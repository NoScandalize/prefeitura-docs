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BRAS\CAPS\Engenharia\Planilha Vencedora\"/>
    </mc:Choice>
  </mc:AlternateContent>
  <xr:revisionPtr revIDLastSave="0" documentId="13_ncr:1_{07FAEEA3-117A-41CE-8BB2-E6CF128F7989}" xr6:coauthVersionLast="47" xr6:coauthVersionMax="47" xr10:uidLastSave="{00000000-0000-0000-0000-000000000000}"/>
  <bookViews>
    <workbookView xWindow="-120" yWindow="-120" windowWidth="20730" windowHeight="11160" firstSheet="2" activeTab="5" xr2:uid="{2025D1A7-3EBC-4446-B082-00859F492EE6}"/>
  </bookViews>
  <sheets>
    <sheet name="RESUMO REV_1" sheetId="3" r:id="rId1"/>
    <sheet name="SINTÉTICO REV_01" sheetId="1" r:id="rId2"/>
    <sheet name="CPU REV_1" sheetId="2" r:id="rId3"/>
    <sheet name="CRONOGRAMA REV_1" sheetId="4" r:id="rId4"/>
    <sheet name="ENCARGOS REV_1" sheetId="5" r:id="rId5"/>
    <sheet name="BDI REV_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I8" i="1"/>
  <c r="H8" i="1"/>
  <c r="H11" i="1"/>
  <c r="J478" i="1"/>
  <c r="Y25" i="4"/>
  <c r="Y26" i="4"/>
  <c r="Y27" i="4"/>
  <c r="Y24" i="4"/>
  <c r="R14" i="4"/>
  <c r="R15" i="4"/>
  <c r="R16" i="4"/>
  <c r="R17" i="4"/>
  <c r="R18" i="4"/>
  <c r="R19" i="4"/>
  <c r="P1500" i="2"/>
  <c r="O1493" i="2"/>
  <c r="P1493" i="2" s="1"/>
  <c r="O1492" i="2"/>
  <c r="P1492" i="2" s="1"/>
  <c r="O1491" i="2"/>
  <c r="P1491" i="2" s="1"/>
  <c r="O1490" i="2"/>
  <c r="O1483" i="2"/>
  <c r="P1483" i="2" s="1"/>
  <c r="O1482" i="2"/>
  <c r="P1482" i="2" s="1"/>
  <c r="O1481" i="2"/>
  <c r="P1481" i="2" s="1"/>
  <c r="O1480" i="2"/>
  <c r="O1474" i="2"/>
  <c r="P1474" i="2" s="1"/>
  <c r="O1473" i="2"/>
  <c r="O1466" i="2"/>
  <c r="P1466" i="2" s="1"/>
  <c r="O1465" i="2"/>
  <c r="P1465" i="2" s="1"/>
  <c r="O1464" i="2"/>
  <c r="O1458" i="2"/>
  <c r="P1458" i="2" s="1"/>
  <c r="O1457" i="2"/>
  <c r="P1457" i="2" s="1"/>
  <c r="O1456" i="2"/>
  <c r="P1456" i="2" s="1"/>
  <c r="O1455" i="2"/>
  <c r="O1448" i="2"/>
  <c r="P1448" i="2" s="1"/>
  <c r="O1447" i="2"/>
  <c r="P1447" i="2" s="1"/>
  <c r="O1446" i="2"/>
  <c r="P1446" i="2" s="1"/>
  <c r="O1445" i="2"/>
  <c r="O1439" i="2"/>
  <c r="P1439" i="2" s="1"/>
  <c r="O1438" i="2"/>
  <c r="P1438" i="2" s="1"/>
  <c r="O1437" i="2"/>
  <c r="P1437" i="2" s="1"/>
  <c r="O1436" i="2"/>
  <c r="O1430" i="2"/>
  <c r="P1430" i="2" s="1"/>
  <c r="O1429" i="2"/>
  <c r="P1429" i="2" s="1"/>
  <c r="O1428" i="2"/>
  <c r="P1428" i="2" s="1"/>
  <c r="O1427" i="2"/>
  <c r="O1421" i="2"/>
  <c r="P1421" i="2" s="1"/>
  <c r="O1420" i="2"/>
  <c r="P1420" i="2" s="1"/>
  <c r="O1419" i="2"/>
  <c r="P1419" i="2" s="1"/>
  <c r="O1418" i="2"/>
  <c r="P1418" i="2" s="1"/>
  <c r="O1417" i="2"/>
  <c r="O1411" i="2"/>
  <c r="P1411" i="2" s="1"/>
  <c r="O1410" i="2"/>
  <c r="P1410" i="2" s="1"/>
  <c r="O1409" i="2"/>
  <c r="P1409" i="2" s="1"/>
  <c r="O1408" i="2"/>
  <c r="O1402" i="2"/>
  <c r="P1402" i="2" s="1"/>
  <c r="O1401" i="2"/>
  <c r="P1401" i="2" s="1"/>
  <c r="O1400" i="2"/>
  <c r="P1400" i="2" s="1"/>
  <c r="O1399" i="2"/>
  <c r="O1393" i="2"/>
  <c r="P1393" i="2" s="1"/>
  <c r="O1392" i="2"/>
  <c r="P1392" i="2" s="1"/>
  <c r="O1391" i="2"/>
  <c r="P1391" i="2" s="1"/>
  <c r="O1390" i="2"/>
  <c r="O1384" i="2"/>
  <c r="P1384" i="2" s="1"/>
  <c r="O1383" i="2"/>
  <c r="P1383" i="2" s="1"/>
  <c r="O1382" i="2"/>
  <c r="P1382" i="2" s="1"/>
  <c r="O1381" i="2"/>
  <c r="O1375" i="2"/>
  <c r="P1375" i="2" s="1"/>
  <c r="O1374" i="2"/>
  <c r="P1374" i="2" s="1"/>
  <c r="O1373" i="2"/>
  <c r="P1373" i="2" s="1"/>
  <c r="O1372" i="2"/>
  <c r="O1366" i="2"/>
  <c r="P1366" i="2" s="1"/>
  <c r="O1365" i="2"/>
  <c r="P1365" i="2" s="1"/>
  <c r="O1364" i="2"/>
  <c r="P1364" i="2" s="1"/>
  <c r="O1363" i="2"/>
  <c r="O1357" i="2"/>
  <c r="P1357" i="2" s="1"/>
  <c r="O1356" i="2"/>
  <c r="P1356" i="2" s="1"/>
  <c r="O1355" i="2"/>
  <c r="P1355" i="2" s="1"/>
  <c r="O1354" i="2"/>
  <c r="O1348" i="2"/>
  <c r="P1348" i="2" s="1"/>
  <c r="O1347" i="2"/>
  <c r="P1347" i="2" s="1"/>
  <c r="O1346" i="2"/>
  <c r="P1346" i="2" s="1"/>
  <c r="O1345" i="2"/>
  <c r="O1338" i="2"/>
  <c r="P1338" i="2" s="1"/>
  <c r="O1337" i="2"/>
  <c r="P1337" i="2" s="1"/>
  <c r="O1336" i="2"/>
  <c r="P1336" i="2" s="1"/>
  <c r="O1335" i="2"/>
  <c r="O1329" i="2"/>
  <c r="P1329" i="2" s="1"/>
  <c r="O1328" i="2"/>
  <c r="P1328" i="2" s="1"/>
  <c r="O1327" i="2"/>
  <c r="P1327" i="2" s="1"/>
  <c r="O1326" i="2"/>
  <c r="O1319" i="2"/>
  <c r="P1319" i="2" s="1"/>
  <c r="O1318" i="2"/>
  <c r="P1318" i="2" s="1"/>
  <c r="O1317" i="2"/>
  <c r="P1317" i="2" s="1"/>
  <c r="O1316" i="2"/>
  <c r="O1310" i="2"/>
  <c r="P1310" i="2" s="1"/>
  <c r="O1309" i="2"/>
  <c r="P1309" i="2" s="1"/>
  <c r="O1308" i="2"/>
  <c r="P1308" i="2" s="1"/>
  <c r="O1307" i="2"/>
  <c r="P1307" i="2" s="1"/>
  <c r="O1306" i="2"/>
  <c r="P1306" i="2" s="1"/>
  <c r="O1305" i="2"/>
  <c r="P1305" i="2" s="1"/>
  <c r="O1304" i="2"/>
  <c r="P1304" i="2" s="1"/>
  <c r="O1303" i="2"/>
  <c r="P1303" i="2" s="1"/>
  <c r="O1302" i="2"/>
  <c r="O1295" i="2"/>
  <c r="P1295" i="2" s="1"/>
  <c r="O1294" i="2"/>
  <c r="P1294" i="2" s="1"/>
  <c r="O1293" i="2"/>
  <c r="P1293" i="2" s="1"/>
  <c r="O1292" i="2"/>
  <c r="O1286" i="2"/>
  <c r="P1286" i="2" s="1"/>
  <c r="O1285" i="2"/>
  <c r="P1285" i="2" s="1"/>
  <c r="O1284" i="2"/>
  <c r="P1284" i="2" s="1"/>
  <c r="O1283" i="2"/>
  <c r="O1276" i="2"/>
  <c r="P1276" i="2" s="1"/>
  <c r="O1275" i="2"/>
  <c r="P1275" i="2" s="1"/>
  <c r="O1274" i="2"/>
  <c r="P1274" i="2" s="1"/>
  <c r="O1273" i="2"/>
  <c r="P1273" i="2" s="1"/>
  <c r="O1272" i="2"/>
  <c r="P1272" i="2" s="1"/>
  <c r="O1271" i="2"/>
  <c r="O1265" i="2"/>
  <c r="P1265" i="2" s="1"/>
  <c r="O1264" i="2"/>
  <c r="P1264" i="2" s="1"/>
  <c r="O1263" i="2"/>
  <c r="P1263" i="2" s="1"/>
  <c r="O1262" i="2"/>
  <c r="O1255" i="2"/>
  <c r="P1255" i="2" s="1"/>
  <c r="O1254" i="2"/>
  <c r="P1254" i="2" s="1"/>
  <c r="O1253" i="2"/>
  <c r="P1253" i="2" s="1"/>
  <c r="O1252" i="2"/>
  <c r="O1246" i="2"/>
  <c r="P1246" i="2" s="1"/>
  <c r="O1245" i="2"/>
  <c r="P1245" i="2" s="1"/>
  <c r="O1244" i="2"/>
  <c r="P1244" i="2" s="1"/>
  <c r="O1243" i="2"/>
  <c r="O1236" i="2"/>
  <c r="P1236" i="2" s="1"/>
  <c r="O1235" i="2"/>
  <c r="P1235" i="2" s="1"/>
  <c r="O1234" i="2"/>
  <c r="O1227" i="2"/>
  <c r="P1227" i="2" s="1"/>
  <c r="O1226" i="2"/>
  <c r="P1226" i="2" s="1"/>
  <c r="O1225" i="2"/>
  <c r="P1225" i="2" s="1"/>
  <c r="O1224" i="2"/>
  <c r="P1224" i="2" s="1"/>
  <c r="O1223" i="2"/>
  <c r="O1217" i="2"/>
  <c r="P1217" i="2" s="1"/>
  <c r="O1216" i="2"/>
  <c r="P1216" i="2" s="1"/>
  <c r="O1215" i="2"/>
  <c r="P1215" i="2" s="1"/>
  <c r="O1214" i="2"/>
  <c r="O1207" i="2"/>
  <c r="P1207" i="2" s="1"/>
  <c r="O1206" i="2"/>
  <c r="P1206" i="2" s="1"/>
  <c r="O1205" i="2"/>
  <c r="P1205" i="2" s="1"/>
  <c r="O1204" i="2"/>
  <c r="O1198" i="2"/>
  <c r="P1198" i="2" s="1"/>
  <c r="O1197" i="2"/>
  <c r="P1197" i="2" s="1"/>
  <c r="O1196" i="2"/>
  <c r="P1196" i="2" s="1"/>
  <c r="O1195" i="2"/>
  <c r="O1188" i="2"/>
  <c r="P1188" i="2" s="1"/>
  <c r="O1187" i="2"/>
  <c r="P1187" i="2" s="1"/>
  <c r="O1186" i="2"/>
  <c r="P1186" i="2" s="1"/>
  <c r="O1185" i="2"/>
  <c r="O1179" i="2"/>
  <c r="P1179" i="2" s="1"/>
  <c r="O1178" i="2"/>
  <c r="P1178" i="2" s="1"/>
  <c r="O1177" i="2"/>
  <c r="P1177" i="2" s="1"/>
  <c r="O1176" i="2"/>
  <c r="O1169" i="2"/>
  <c r="P1169" i="2" s="1"/>
  <c r="O1168" i="2"/>
  <c r="P1168" i="2" s="1"/>
  <c r="O1167" i="2"/>
  <c r="P1167" i="2" s="1"/>
  <c r="O1166" i="2"/>
  <c r="O1160" i="2"/>
  <c r="P1160" i="2" s="1"/>
  <c r="O1159" i="2"/>
  <c r="P1159" i="2" s="1"/>
  <c r="O1158" i="2"/>
  <c r="P1158" i="2" s="1"/>
  <c r="O1157" i="2"/>
  <c r="P1157" i="2" s="1"/>
  <c r="O1156" i="2"/>
  <c r="O1149" i="2"/>
  <c r="P1149" i="2" s="1"/>
  <c r="O1148" i="2"/>
  <c r="P1148" i="2" s="1"/>
  <c r="O1147" i="2"/>
  <c r="P1147" i="2" s="1"/>
  <c r="O1146" i="2"/>
  <c r="O1140" i="2"/>
  <c r="P1140" i="2" s="1"/>
  <c r="O1139" i="2"/>
  <c r="P1139" i="2" s="1"/>
  <c r="O1138" i="2"/>
  <c r="P1138" i="2" s="1"/>
  <c r="O1137" i="2"/>
  <c r="P1137" i="2" s="1"/>
  <c r="O1136" i="2"/>
  <c r="P1136" i="2" s="1"/>
  <c r="O1135" i="2"/>
  <c r="O1128" i="2"/>
  <c r="P1128" i="2" s="1"/>
  <c r="O1127" i="2"/>
  <c r="P1127" i="2" s="1"/>
  <c r="O1126" i="2"/>
  <c r="P1126" i="2" s="1"/>
  <c r="O1125" i="2"/>
  <c r="P1125" i="2" s="1"/>
  <c r="O1124" i="2"/>
  <c r="P1124" i="2" s="1"/>
  <c r="O1123" i="2"/>
  <c r="O1117" i="2"/>
  <c r="P1117" i="2" s="1"/>
  <c r="O1116" i="2"/>
  <c r="P1116" i="2" s="1"/>
  <c r="O1115" i="2"/>
  <c r="P1115" i="2" s="1"/>
  <c r="O1114" i="2"/>
  <c r="O1107" i="2"/>
  <c r="P1107" i="2" s="1"/>
  <c r="O1106" i="2"/>
  <c r="P1106" i="2" s="1"/>
  <c r="O1105" i="2"/>
  <c r="P1105" i="2" s="1"/>
  <c r="O1104" i="2"/>
  <c r="O1098" i="2"/>
  <c r="P1098" i="2" s="1"/>
  <c r="O1097" i="2"/>
  <c r="P1097" i="2" s="1"/>
  <c r="O1096" i="2"/>
  <c r="P1096" i="2" s="1"/>
  <c r="O1095" i="2"/>
  <c r="O1088" i="2"/>
  <c r="P1088" i="2" s="1"/>
  <c r="O1087" i="2"/>
  <c r="P1087" i="2" s="1"/>
  <c r="O1086" i="2"/>
  <c r="P1086" i="2" s="1"/>
  <c r="O1085" i="2"/>
  <c r="O1079" i="2"/>
  <c r="P1079" i="2" s="1"/>
  <c r="O1078" i="2"/>
  <c r="P1078" i="2" s="1"/>
  <c r="O1077" i="2"/>
  <c r="P1077" i="2" s="1"/>
  <c r="O1076" i="2"/>
  <c r="O1069" i="2"/>
  <c r="P1069" i="2" s="1"/>
  <c r="O1068" i="2"/>
  <c r="P1068" i="2" s="1"/>
  <c r="O1067" i="2"/>
  <c r="P1067" i="2" s="1"/>
  <c r="O1066" i="2"/>
  <c r="O1060" i="2"/>
  <c r="P1060" i="2" s="1"/>
  <c r="O1059" i="2"/>
  <c r="P1059" i="2" s="1"/>
  <c r="O1058" i="2"/>
  <c r="P1058" i="2" s="1"/>
  <c r="O1057" i="2"/>
  <c r="O1050" i="2"/>
  <c r="P1050" i="2" s="1"/>
  <c r="O1049" i="2"/>
  <c r="P1049" i="2" s="1"/>
  <c r="O1048" i="2"/>
  <c r="P1048" i="2" s="1"/>
  <c r="O1047" i="2"/>
  <c r="O1041" i="2"/>
  <c r="P1041" i="2" s="1"/>
  <c r="O1040" i="2"/>
  <c r="P1040" i="2" s="1"/>
  <c r="O1039" i="2"/>
  <c r="P1039" i="2" s="1"/>
  <c r="O1038" i="2"/>
  <c r="O1031" i="2"/>
  <c r="P1031" i="2" s="1"/>
  <c r="O1030" i="2"/>
  <c r="P1030" i="2" s="1"/>
  <c r="O1029" i="2"/>
  <c r="P1029" i="2" s="1"/>
  <c r="O1028" i="2"/>
  <c r="O1022" i="2"/>
  <c r="P1022" i="2" s="1"/>
  <c r="O1021" i="2"/>
  <c r="P1021" i="2" s="1"/>
  <c r="O1020" i="2"/>
  <c r="P1020" i="2" s="1"/>
  <c r="O1019" i="2"/>
  <c r="O1012" i="2"/>
  <c r="P1012" i="2" s="1"/>
  <c r="O1011" i="2"/>
  <c r="P1011" i="2" s="1"/>
  <c r="O1010" i="2"/>
  <c r="P1010" i="2" s="1"/>
  <c r="O1009" i="2"/>
  <c r="O1003" i="2"/>
  <c r="P1003" i="2" s="1"/>
  <c r="O1002" i="2"/>
  <c r="P1002" i="2" s="1"/>
  <c r="O1001" i="2"/>
  <c r="P1001" i="2" s="1"/>
  <c r="O1000" i="2"/>
  <c r="O994" i="2"/>
  <c r="P994" i="2" s="1"/>
  <c r="O993" i="2"/>
  <c r="P993" i="2" s="1"/>
  <c r="O992" i="2"/>
  <c r="P992" i="2" s="1"/>
  <c r="O991" i="2"/>
  <c r="O985" i="2"/>
  <c r="P985" i="2" s="1"/>
  <c r="O984" i="2"/>
  <c r="P984" i="2" s="1"/>
  <c r="O983" i="2"/>
  <c r="P983" i="2" s="1"/>
  <c r="O982" i="2"/>
  <c r="O976" i="2"/>
  <c r="P976" i="2" s="1"/>
  <c r="O975" i="2"/>
  <c r="P975" i="2" s="1"/>
  <c r="O974" i="2"/>
  <c r="P974" i="2" s="1"/>
  <c r="O973" i="2"/>
  <c r="O967" i="2"/>
  <c r="P967" i="2" s="1"/>
  <c r="O966" i="2"/>
  <c r="P966" i="2" s="1"/>
  <c r="O965" i="2"/>
  <c r="P965" i="2" s="1"/>
  <c r="O964" i="2"/>
  <c r="O958" i="2"/>
  <c r="P958" i="2" s="1"/>
  <c r="O957" i="2"/>
  <c r="P957" i="2" s="1"/>
  <c r="O956" i="2"/>
  <c r="P956" i="2" s="1"/>
  <c r="O955" i="2"/>
  <c r="O949" i="2"/>
  <c r="P949" i="2" s="1"/>
  <c r="O948" i="2"/>
  <c r="P948" i="2" s="1"/>
  <c r="O947" i="2"/>
  <c r="P947" i="2" s="1"/>
  <c r="O946" i="2"/>
  <c r="O940" i="2"/>
  <c r="P940" i="2" s="1"/>
  <c r="O939" i="2"/>
  <c r="P939" i="2" s="1"/>
  <c r="O938" i="2"/>
  <c r="P938" i="2" s="1"/>
  <c r="O937" i="2"/>
  <c r="O931" i="2"/>
  <c r="P931" i="2" s="1"/>
  <c r="O930" i="2"/>
  <c r="P930" i="2" s="1"/>
  <c r="O929" i="2"/>
  <c r="P929" i="2" s="1"/>
  <c r="O928" i="2"/>
  <c r="P928" i="2" s="1"/>
  <c r="O927" i="2"/>
  <c r="P927" i="2" s="1"/>
  <c r="O926" i="2"/>
  <c r="P926" i="2" s="1"/>
  <c r="O925" i="2"/>
  <c r="P925" i="2" s="1"/>
  <c r="O924" i="2"/>
  <c r="P924" i="2" s="1"/>
  <c r="O923" i="2"/>
  <c r="P923" i="2" s="1"/>
  <c r="O922" i="2"/>
  <c r="O916" i="2"/>
  <c r="P916" i="2" s="1"/>
  <c r="O915" i="2"/>
  <c r="P915" i="2" s="1"/>
  <c r="O914" i="2"/>
  <c r="P914" i="2" s="1"/>
  <c r="O913" i="2"/>
  <c r="O907" i="2"/>
  <c r="P907" i="2" s="1"/>
  <c r="O906" i="2"/>
  <c r="P906" i="2" s="1"/>
  <c r="O905" i="2"/>
  <c r="P905" i="2" s="1"/>
  <c r="O904" i="2"/>
  <c r="O898" i="2"/>
  <c r="P898" i="2" s="1"/>
  <c r="O897" i="2"/>
  <c r="P897" i="2" s="1"/>
  <c r="O896" i="2"/>
  <c r="P896" i="2" s="1"/>
  <c r="O895" i="2"/>
  <c r="O889" i="2"/>
  <c r="P889" i="2" s="1"/>
  <c r="O888" i="2"/>
  <c r="P888" i="2" s="1"/>
  <c r="O887" i="2"/>
  <c r="P887" i="2" s="1"/>
  <c r="O886" i="2"/>
  <c r="O880" i="2"/>
  <c r="P880" i="2" s="1"/>
  <c r="O879" i="2"/>
  <c r="P879" i="2" s="1"/>
  <c r="O878" i="2"/>
  <c r="P878" i="2" s="1"/>
  <c r="O877" i="2"/>
  <c r="O871" i="2"/>
  <c r="P871" i="2" s="1"/>
  <c r="O870" i="2"/>
  <c r="P870" i="2" s="1"/>
  <c r="O869" i="2"/>
  <c r="P869" i="2" s="1"/>
  <c r="O868" i="2"/>
  <c r="O862" i="2"/>
  <c r="P862" i="2" s="1"/>
  <c r="O861" i="2"/>
  <c r="P861" i="2" s="1"/>
  <c r="O860" i="2"/>
  <c r="P860" i="2" s="1"/>
  <c r="O859" i="2"/>
  <c r="O853" i="2"/>
  <c r="P853" i="2" s="1"/>
  <c r="O852" i="2"/>
  <c r="P852" i="2" s="1"/>
  <c r="O851" i="2"/>
  <c r="P851" i="2" s="1"/>
  <c r="O850" i="2"/>
  <c r="O844" i="2"/>
  <c r="P844" i="2" s="1"/>
  <c r="O843" i="2"/>
  <c r="P843" i="2" s="1"/>
  <c r="O842" i="2"/>
  <c r="P842" i="2" s="1"/>
  <c r="O841" i="2"/>
  <c r="P841" i="2" s="1"/>
  <c r="O840" i="2"/>
  <c r="O836" i="2"/>
  <c r="P836" i="2" s="1"/>
  <c r="O835" i="2"/>
  <c r="P835" i="2" s="1"/>
  <c r="O834" i="2"/>
  <c r="P834" i="2" s="1"/>
  <c r="O833" i="2"/>
  <c r="O825" i="2"/>
  <c r="P825" i="2" s="1"/>
  <c r="O824" i="2"/>
  <c r="P824" i="2" s="1"/>
  <c r="O823" i="2"/>
  <c r="P823" i="2" s="1"/>
  <c r="O822" i="2"/>
  <c r="P822" i="2" s="1"/>
  <c r="O821" i="2"/>
  <c r="O815" i="2"/>
  <c r="P815" i="2" s="1"/>
  <c r="O814" i="2"/>
  <c r="P814" i="2" s="1"/>
  <c r="O813" i="2"/>
  <c r="O807" i="2"/>
  <c r="P807" i="2" s="1"/>
  <c r="O806" i="2"/>
  <c r="P806" i="2" s="1"/>
  <c r="O805" i="2"/>
  <c r="P805" i="2" s="1"/>
  <c r="O804" i="2"/>
  <c r="P804" i="2" s="1"/>
  <c r="O803" i="2"/>
  <c r="O796" i="2"/>
  <c r="P796" i="2" s="1"/>
  <c r="O795" i="2"/>
  <c r="P795" i="2" s="1"/>
  <c r="O794" i="2"/>
  <c r="P794" i="2" s="1"/>
  <c r="O793" i="2"/>
  <c r="O787" i="2"/>
  <c r="P787" i="2" s="1"/>
  <c r="O786" i="2"/>
  <c r="P786" i="2" s="1"/>
  <c r="O785" i="2"/>
  <c r="O778" i="2"/>
  <c r="P778" i="2" s="1"/>
  <c r="O777" i="2"/>
  <c r="P777" i="2" s="1"/>
  <c r="O776" i="2"/>
  <c r="P776" i="2" s="1"/>
  <c r="O775" i="2"/>
  <c r="O769" i="2"/>
  <c r="P769" i="2" s="1"/>
  <c r="O768" i="2"/>
  <c r="P768" i="2" s="1"/>
  <c r="O767" i="2"/>
  <c r="P767" i="2" s="1"/>
  <c r="O766" i="2"/>
  <c r="O759" i="2"/>
  <c r="P759" i="2" s="1"/>
  <c r="P758" i="2" s="1"/>
  <c r="O758" i="2"/>
  <c r="O752" i="2"/>
  <c r="P752" i="2" s="1"/>
  <c r="O751" i="2"/>
  <c r="P751" i="2" s="1"/>
  <c r="O750" i="2"/>
  <c r="P750" i="2" s="1"/>
  <c r="O749" i="2"/>
  <c r="O742" i="2"/>
  <c r="P742" i="2" s="1"/>
  <c r="O741" i="2"/>
  <c r="P741" i="2" s="1"/>
  <c r="O740" i="2"/>
  <c r="O734" i="2"/>
  <c r="P734" i="2" s="1"/>
  <c r="O733" i="2"/>
  <c r="P733" i="2" s="1"/>
  <c r="P732" i="2" s="1"/>
  <c r="O732" i="2"/>
  <c r="O725" i="2"/>
  <c r="P725" i="2" s="1"/>
  <c r="O724" i="2"/>
  <c r="P724" i="2" s="1"/>
  <c r="O723" i="2"/>
  <c r="P723" i="2" s="1"/>
  <c r="O722" i="2"/>
  <c r="P722" i="2" s="1"/>
  <c r="O721" i="2"/>
  <c r="P721" i="2" s="1"/>
  <c r="O720" i="2"/>
  <c r="P720" i="2" s="1"/>
  <c r="O719" i="2"/>
  <c r="O713" i="2"/>
  <c r="P713" i="2" s="1"/>
  <c r="O712" i="2"/>
  <c r="P712" i="2" s="1"/>
  <c r="O711" i="2"/>
  <c r="P711" i="2" s="1"/>
  <c r="O710" i="2"/>
  <c r="P710" i="2" s="1"/>
  <c r="O709" i="2"/>
  <c r="P709" i="2" s="1"/>
  <c r="O708" i="2"/>
  <c r="P708" i="2" s="1"/>
  <c r="O707" i="2"/>
  <c r="O700" i="2"/>
  <c r="P700" i="2" s="1"/>
  <c r="O699" i="2"/>
  <c r="P699" i="2" s="1"/>
  <c r="O698" i="2"/>
  <c r="P698" i="2" s="1"/>
  <c r="O697" i="2"/>
  <c r="P697" i="2" s="1"/>
  <c r="O696" i="2"/>
  <c r="P696" i="2" s="1"/>
  <c r="O695" i="2"/>
  <c r="O691" i="2"/>
  <c r="P691" i="2" s="1"/>
  <c r="O690" i="2"/>
  <c r="P690" i="2" s="1"/>
  <c r="O689" i="2"/>
  <c r="O683" i="2"/>
  <c r="P683" i="2" s="1"/>
  <c r="O682" i="2"/>
  <c r="P682" i="2" s="1"/>
  <c r="O681" i="2"/>
  <c r="P681" i="2" s="1"/>
  <c r="O680" i="2"/>
  <c r="P680" i="2" s="1"/>
  <c r="O679" i="2"/>
  <c r="O673" i="2"/>
  <c r="P673" i="2" s="1"/>
  <c r="O672" i="2"/>
  <c r="P672" i="2" s="1"/>
  <c r="O671" i="2"/>
  <c r="P671" i="2" s="1"/>
  <c r="O670" i="2"/>
  <c r="P670" i="2" s="1"/>
  <c r="O669" i="2"/>
  <c r="P669" i="2" s="1"/>
  <c r="O668" i="2"/>
  <c r="O662" i="2"/>
  <c r="P662" i="2" s="1"/>
  <c r="O661" i="2"/>
  <c r="P661" i="2" s="1"/>
  <c r="O660" i="2"/>
  <c r="O654" i="2"/>
  <c r="P654" i="2" s="1"/>
  <c r="O653" i="2"/>
  <c r="P653" i="2" s="1"/>
  <c r="O652" i="2"/>
  <c r="P652" i="2" s="1"/>
  <c r="O651" i="2"/>
  <c r="P651" i="2" s="1"/>
  <c r="O650" i="2"/>
  <c r="P650" i="2" s="1"/>
  <c r="O649" i="2"/>
  <c r="O643" i="2"/>
  <c r="P643" i="2" s="1"/>
  <c r="O642" i="2"/>
  <c r="P642" i="2" s="1"/>
  <c r="O641" i="2"/>
  <c r="P641" i="2" s="1"/>
  <c r="O640" i="2"/>
  <c r="P640" i="2" s="1"/>
  <c r="O639" i="2"/>
  <c r="P639" i="2" s="1"/>
  <c r="O638" i="2"/>
  <c r="P638" i="2" s="1"/>
  <c r="O637" i="2"/>
  <c r="P637" i="2" s="1"/>
  <c r="O636" i="2"/>
  <c r="O630" i="2"/>
  <c r="P630" i="2" s="1"/>
  <c r="O629" i="2"/>
  <c r="P629" i="2" s="1"/>
  <c r="O628" i="2"/>
  <c r="P628" i="2" s="1"/>
  <c r="O627" i="2"/>
  <c r="P627" i="2" s="1"/>
  <c r="O626" i="2"/>
  <c r="P626" i="2" s="1"/>
  <c r="O625" i="2"/>
  <c r="P625" i="2" s="1"/>
  <c r="O624" i="2"/>
  <c r="P624" i="2" s="1"/>
  <c r="O623" i="2"/>
  <c r="O617" i="2"/>
  <c r="P617" i="2" s="1"/>
  <c r="O616" i="2"/>
  <c r="P616" i="2" s="1"/>
  <c r="O615" i="2"/>
  <c r="P615" i="2" s="1"/>
  <c r="O614" i="2"/>
  <c r="P614" i="2" s="1"/>
  <c r="O613" i="2"/>
  <c r="P613" i="2" s="1"/>
  <c r="O612" i="2"/>
  <c r="P612" i="2" s="1"/>
  <c r="O611" i="2"/>
  <c r="O605" i="2"/>
  <c r="P605" i="2" s="1"/>
  <c r="O604" i="2"/>
  <c r="P604" i="2" s="1"/>
  <c r="O603" i="2"/>
  <c r="P603" i="2" s="1"/>
  <c r="O602" i="2"/>
  <c r="P602" i="2" s="1"/>
  <c r="O601" i="2"/>
  <c r="P601" i="2" s="1"/>
  <c r="O600" i="2"/>
  <c r="P600" i="2" s="1"/>
  <c r="O599" i="2"/>
  <c r="O593" i="2"/>
  <c r="P593" i="2" s="1"/>
  <c r="O592" i="2"/>
  <c r="P592" i="2" s="1"/>
  <c r="O591" i="2"/>
  <c r="P591" i="2" s="1"/>
  <c r="O590" i="2"/>
  <c r="P590" i="2" s="1"/>
  <c r="O589" i="2"/>
  <c r="P589" i="2" s="1"/>
  <c r="O588" i="2"/>
  <c r="P588" i="2" s="1"/>
  <c r="O587" i="2"/>
  <c r="O581" i="2"/>
  <c r="P581" i="2" s="1"/>
  <c r="O580" i="2"/>
  <c r="P580" i="2" s="1"/>
  <c r="O579" i="2"/>
  <c r="P579" i="2" s="1"/>
  <c r="O578" i="2"/>
  <c r="P578" i="2" s="1"/>
  <c r="O577" i="2"/>
  <c r="P577" i="2" s="1"/>
  <c r="O576" i="2"/>
  <c r="P576" i="2" s="1"/>
  <c r="O575" i="2"/>
  <c r="O569" i="2"/>
  <c r="P569" i="2" s="1"/>
  <c r="O568" i="2"/>
  <c r="P568" i="2" s="1"/>
  <c r="O567" i="2"/>
  <c r="P567" i="2" s="1"/>
  <c r="O566" i="2"/>
  <c r="P566" i="2" s="1"/>
  <c r="O565" i="2"/>
  <c r="O559" i="2"/>
  <c r="P559" i="2" s="1"/>
  <c r="O558" i="2"/>
  <c r="P558" i="2" s="1"/>
  <c r="O557" i="2"/>
  <c r="P557" i="2" s="1"/>
  <c r="O556" i="2"/>
  <c r="O552" i="2"/>
  <c r="P552" i="2" s="1"/>
  <c r="O551" i="2"/>
  <c r="P551" i="2" s="1"/>
  <c r="O550" i="2"/>
  <c r="P550" i="2" s="1"/>
  <c r="O549" i="2"/>
  <c r="O544" i="2"/>
  <c r="P544" i="2" s="1"/>
  <c r="O543" i="2"/>
  <c r="P543" i="2" s="1"/>
  <c r="O542" i="2"/>
  <c r="P542" i="2" s="1"/>
  <c r="O541" i="2"/>
  <c r="O537" i="2"/>
  <c r="P537" i="2" s="1"/>
  <c r="O536" i="2"/>
  <c r="P536" i="2" s="1"/>
  <c r="O535" i="2"/>
  <c r="P535" i="2" s="1"/>
  <c r="O534" i="2"/>
  <c r="O529" i="2"/>
  <c r="P529" i="2" s="1"/>
  <c r="O528" i="2"/>
  <c r="P528" i="2" s="1"/>
  <c r="O527" i="2"/>
  <c r="P527" i="2" s="1"/>
  <c r="O526" i="2"/>
  <c r="O520" i="2"/>
  <c r="P520" i="2" s="1"/>
  <c r="O519" i="2"/>
  <c r="P519" i="2" s="1"/>
  <c r="O518" i="2"/>
  <c r="P518" i="2" s="1"/>
  <c r="O517" i="2"/>
  <c r="P517" i="2" s="1"/>
  <c r="O516" i="2"/>
  <c r="O510" i="2"/>
  <c r="P510" i="2" s="1"/>
  <c r="O509" i="2"/>
  <c r="P509" i="2" s="1"/>
  <c r="O508" i="2"/>
  <c r="P508" i="2" s="1"/>
  <c r="O507" i="2"/>
  <c r="O503" i="2"/>
  <c r="P503" i="2" s="1"/>
  <c r="O502" i="2"/>
  <c r="P502" i="2" s="1"/>
  <c r="O501" i="2"/>
  <c r="P501" i="2" s="1"/>
  <c r="O500" i="2"/>
  <c r="P500" i="2" s="1"/>
  <c r="O499" i="2"/>
  <c r="P499" i="2" s="1"/>
  <c r="O498" i="2"/>
  <c r="P498" i="2" s="1"/>
  <c r="O497" i="2"/>
  <c r="O492" i="2"/>
  <c r="P492" i="2" s="1"/>
  <c r="O491" i="2"/>
  <c r="P491" i="2" s="1"/>
  <c r="P490" i="2" s="1"/>
  <c r="O490" i="2"/>
  <c r="O484" i="2"/>
  <c r="P484" i="2" s="1"/>
  <c r="O483" i="2"/>
  <c r="P483" i="2" s="1"/>
  <c r="O482" i="2"/>
  <c r="P482" i="2" s="1"/>
  <c r="O481" i="2"/>
  <c r="O475" i="2"/>
  <c r="P475" i="2" s="1"/>
  <c r="O474" i="2"/>
  <c r="P474" i="2" s="1"/>
  <c r="O473" i="2"/>
  <c r="P473" i="2" s="1"/>
  <c r="O472" i="2"/>
  <c r="P472" i="2" s="1"/>
  <c r="O471" i="2"/>
  <c r="P471" i="2" s="1"/>
  <c r="O470" i="2"/>
  <c r="O464" i="2"/>
  <c r="P464" i="2" s="1"/>
  <c r="O463" i="2"/>
  <c r="P463" i="2" s="1"/>
  <c r="O462" i="2"/>
  <c r="P462" i="2" s="1"/>
  <c r="O461" i="2"/>
  <c r="P461" i="2" s="1"/>
  <c r="O460" i="2"/>
  <c r="O454" i="2"/>
  <c r="P454" i="2" s="1"/>
  <c r="O453" i="2"/>
  <c r="P453" i="2" s="1"/>
  <c r="O452" i="2"/>
  <c r="P452" i="2" s="1"/>
  <c r="O451" i="2"/>
  <c r="P451" i="2" s="1"/>
  <c r="O450" i="2"/>
  <c r="O444" i="2"/>
  <c r="P444" i="2" s="1"/>
  <c r="O443" i="2"/>
  <c r="P443" i="2" s="1"/>
  <c r="O442" i="2"/>
  <c r="P442" i="2" s="1"/>
  <c r="O441" i="2"/>
  <c r="P441" i="2" s="1"/>
  <c r="O440" i="2"/>
  <c r="O435" i="2"/>
  <c r="P435" i="2" s="1"/>
  <c r="O434" i="2"/>
  <c r="P434" i="2" s="1"/>
  <c r="O433" i="2"/>
  <c r="P433" i="2" s="1"/>
  <c r="O432" i="2"/>
  <c r="O426" i="2"/>
  <c r="P426" i="2" s="1"/>
  <c r="O425" i="2"/>
  <c r="P425" i="2" s="1"/>
  <c r="O424" i="2"/>
  <c r="P424" i="2" s="1"/>
  <c r="O423" i="2"/>
  <c r="P423" i="2" s="1"/>
  <c r="O422" i="2"/>
  <c r="P422" i="2" s="1"/>
  <c r="O421" i="2"/>
  <c r="P421" i="2" s="1"/>
  <c r="O420" i="2"/>
  <c r="P420" i="2" s="1"/>
  <c r="O419" i="2"/>
  <c r="P419" i="2" s="1"/>
  <c r="O418" i="2"/>
  <c r="P418" i="2" s="1"/>
  <c r="O417" i="2"/>
  <c r="P417" i="2" s="1"/>
  <c r="O416" i="2"/>
  <c r="P416" i="2" s="1"/>
  <c r="O415" i="2"/>
  <c r="P415" i="2" s="1"/>
  <c r="O414" i="2"/>
  <c r="P414" i="2" s="1"/>
  <c r="O413" i="2"/>
  <c r="O408" i="2"/>
  <c r="P408" i="2" s="1"/>
  <c r="O407" i="2"/>
  <c r="P407" i="2" s="1"/>
  <c r="O406" i="2"/>
  <c r="P406" i="2" s="1"/>
  <c r="O405" i="2"/>
  <c r="P405" i="2" s="1"/>
  <c r="O404" i="2"/>
  <c r="P404" i="2" s="1"/>
  <c r="O403" i="2"/>
  <c r="P403" i="2" s="1"/>
  <c r="O402" i="2"/>
  <c r="P402" i="2" s="1"/>
  <c r="O401" i="2"/>
  <c r="O400" i="2"/>
  <c r="P400" i="2" s="1"/>
  <c r="O394" i="2"/>
  <c r="P394" i="2" s="1"/>
  <c r="O393" i="2"/>
  <c r="P393" i="2" s="1"/>
  <c r="O392" i="2"/>
  <c r="P392" i="2" s="1"/>
  <c r="O391" i="2"/>
  <c r="O385" i="2"/>
  <c r="P385" i="2" s="1"/>
  <c r="O384" i="2"/>
  <c r="P384" i="2" s="1"/>
  <c r="O376" i="2"/>
  <c r="P376" i="2" s="1"/>
  <c r="O375" i="2"/>
  <c r="O368" i="2"/>
  <c r="P368" i="2" s="1"/>
  <c r="O367" i="2"/>
  <c r="O360" i="2"/>
  <c r="P360" i="2" s="1"/>
  <c r="O359" i="2"/>
  <c r="P359" i="2" s="1"/>
  <c r="O358" i="2"/>
  <c r="P358" i="2" s="1"/>
  <c r="O352" i="2"/>
  <c r="P352" i="2" s="1"/>
  <c r="O351" i="2"/>
  <c r="P351" i="2" s="1"/>
  <c r="O350" i="2"/>
  <c r="P350" i="2" s="1"/>
  <c r="O349" i="2"/>
  <c r="P349" i="2" s="1"/>
  <c r="O343" i="2"/>
  <c r="P343" i="2" s="1"/>
  <c r="O342" i="2"/>
  <c r="P342" i="2" s="1"/>
  <c r="O341" i="2"/>
  <c r="P341" i="2" s="1"/>
  <c r="O340" i="2"/>
  <c r="P340" i="2" s="1"/>
  <c r="O339" i="2"/>
  <c r="P339" i="2" s="1"/>
  <c r="O338" i="2"/>
  <c r="P338" i="2" s="1"/>
  <c r="O337" i="2"/>
  <c r="P337" i="2" s="1"/>
  <c r="O336" i="2"/>
  <c r="P336" i="2" s="1"/>
  <c r="O335" i="2"/>
  <c r="P335" i="2" s="1"/>
  <c r="O334" i="2"/>
  <c r="P334" i="2" s="1"/>
  <c r="O327" i="2"/>
  <c r="P327" i="2" s="1"/>
  <c r="O326" i="2"/>
  <c r="P326" i="2" s="1"/>
  <c r="O325" i="2"/>
  <c r="P325" i="2" s="1"/>
  <c r="O318" i="2"/>
  <c r="P318" i="2" s="1"/>
  <c r="O317" i="2"/>
  <c r="O316" i="2"/>
  <c r="P316" i="2" s="1"/>
  <c r="O309" i="2"/>
  <c r="P309" i="2" s="1"/>
  <c r="O308" i="2"/>
  <c r="P308" i="2" s="1"/>
  <c r="O307" i="2"/>
  <c r="P307" i="2" s="1"/>
  <c r="O300" i="2"/>
  <c r="P300" i="2" s="1"/>
  <c r="O299" i="2"/>
  <c r="P299" i="2" s="1"/>
  <c r="O298" i="2"/>
  <c r="O291" i="2"/>
  <c r="P291" i="2" s="1"/>
  <c r="O290" i="2"/>
  <c r="P290" i="2" s="1"/>
  <c r="O289" i="2"/>
  <c r="P289" i="2" s="1"/>
  <c r="O288" i="2"/>
  <c r="P288" i="2" s="1"/>
  <c r="O287" i="2"/>
  <c r="P287" i="2" s="1"/>
  <c r="O286" i="2"/>
  <c r="P286" i="2" s="1"/>
  <c r="O280" i="2"/>
  <c r="P280" i="2" s="1"/>
  <c r="O279" i="2"/>
  <c r="P279" i="2" s="1"/>
  <c r="O278" i="2"/>
  <c r="P278" i="2" s="1"/>
  <c r="O270" i="2"/>
  <c r="P270" i="2" s="1"/>
  <c r="O269" i="2"/>
  <c r="P269" i="2" s="1"/>
  <c r="O268" i="2"/>
  <c r="P268" i="2" s="1"/>
  <c r="O267" i="2"/>
  <c r="P267" i="2" s="1"/>
  <c r="O266" i="2"/>
  <c r="P266" i="2" s="1"/>
  <c r="O265" i="2"/>
  <c r="P265" i="2" s="1"/>
  <c r="O258" i="2"/>
  <c r="P258" i="2" s="1"/>
  <c r="O257" i="2"/>
  <c r="P257" i="2" s="1"/>
  <c r="O256" i="2"/>
  <c r="P256" i="2" s="1"/>
  <c r="O255" i="2"/>
  <c r="P255" i="2" s="1"/>
  <c r="O254" i="2"/>
  <c r="O247" i="2"/>
  <c r="P247" i="2" s="1"/>
  <c r="O246" i="2"/>
  <c r="P246" i="2" s="1"/>
  <c r="O245" i="2"/>
  <c r="P245" i="2" s="1"/>
  <c r="O244" i="2"/>
  <c r="P244" i="2" s="1"/>
  <c r="O243" i="2"/>
  <c r="P243" i="2" s="1"/>
  <c r="O236" i="2"/>
  <c r="P236" i="2" s="1"/>
  <c r="O235" i="2"/>
  <c r="P235" i="2" s="1"/>
  <c r="O234" i="2"/>
  <c r="P234" i="2" s="1"/>
  <c r="O233" i="2"/>
  <c r="P233" i="2" s="1"/>
  <c r="O232" i="2"/>
  <c r="O225" i="2"/>
  <c r="P225" i="2" s="1"/>
  <c r="O224" i="2"/>
  <c r="P224" i="2" s="1"/>
  <c r="O223" i="2"/>
  <c r="P223" i="2" s="1"/>
  <c r="O222" i="2"/>
  <c r="P222" i="2" s="1"/>
  <c r="O221" i="2"/>
  <c r="P221" i="2" s="1"/>
  <c r="O220" i="2"/>
  <c r="P220" i="2" s="1"/>
  <c r="O219" i="2"/>
  <c r="P219" i="2" s="1"/>
  <c r="O218" i="2"/>
  <c r="P218" i="2" s="1"/>
  <c r="O217" i="2"/>
  <c r="P217" i="2" s="1"/>
  <c r="O216" i="2"/>
  <c r="P216" i="2" s="1"/>
  <c r="O215" i="2"/>
  <c r="P215" i="2" s="1"/>
  <c r="O208" i="2"/>
  <c r="P208" i="2" s="1"/>
  <c r="O207" i="2"/>
  <c r="P207" i="2" s="1"/>
  <c r="O206" i="2"/>
  <c r="P206" i="2" s="1"/>
  <c r="O205" i="2"/>
  <c r="P205" i="2" s="1"/>
  <c r="O204" i="2"/>
  <c r="P204" i="2" s="1"/>
  <c r="O203" i="2"/>
  <c r="P203" i="2" s="1"/>
  <c r="O202" i="2"/>
  <c r="P202" i="2" s="1"/>
  <c r="O201" i="2"/>
  <c r="P201" i="2" s="1"/>
  <c r="O200" i="2"/>
  <c r="P200" i="2" s="1"/>
  <c r="O199" i="2"/>
  <c r="P199" i="2" s="1"/>
  <c r="O198" i="2"/>
  <c r="P198" i="2" s="1"/>
  <c r="O197" i="2"/>
  <c r="P197" i="2" s="1"/>
  <c r="O196" i="2"/>
  <c r="O189" i="2"/>
  <c r="P189" i="2" s="1"/>
  <c r="O188" i="2"/>
  <c r="P188" i="2" s="1"/>
  <c r="O187" i="2"/>
  <c r="P187" i="2" s="1"/>
  <c r="O186" i="2"/>
  <c r="P186" i="2" s="1"/>
  <c r="O185" i="2"/>
  <c r="P185" i="2" s="1"/>
  <c r="O184" i="2"/>
  <c r="P184" i="2" s="1"/>
  <c r="O183" i="2"/>
  <c r="P183" i="2" s="1"/>
  <c r="O182" i="2"/>
  <c r="P182" i="2" s="1"/>
  <c r="O181" i="2"/>
  <c r="P181" i="2" s="1"/>
  <c r="O180" i="2"/>
  <c r="P180" i="2" s="1"/>
  <c r="O179" i="2"/>
  <c r="P179" i="2" s="1"/>
  <c r="O178" i="2"/>
  <c r="P178" i="2" s="1"/>
  <c r="O177" i="2"/>
  <c r="P177" i="2" s="1"/>
  <c r="O170" i="2"/>
  <c r="P170" i="2" s="1"/>
  <c r="O169" i="2"/>
  <c r="P169" i="2" s="1"/>
  <c r="O168" i="2"/>
  <c r="P168" i="2" s="1"/>
  <c r="O167" i="2"/>
  <c r="P167" i="2" s="1"/>
  <c r="O166" i="2"/>
  <c r="P166" i="2" s="1"/>
  <c r="O165" i="2"/>
  <c r="P165" i="2" s="1"/>
  <c r="O164" i="2"/>
  <c r="P164" i="2" s="1"/>
  <c r="O163" i="2"/>
  <c r="P163" i="2" s="1"/>
  <c r="O162" i="2"/>
  <c r="P162" i="2" s="1"/>
  <c r="O161" i="2"/>
  <c r="P161" i="2" s="1"/>
  <c r="O160" i="2"/>
  <c r="P160" i="2" s="1"/>
  <c r="O159" i="2"/>
  <c r="P159" i="2" s="1"/>
  <c r="O152" i="2"/>
  <c r="P152" i="2" s="1"/>
  <c r="O151" i="2"/>
  <c r="P151" i="2" s="1"/>
  <c r="O150" i="2"/>
  <c r="P150" i="2" s="1"/>
  <c r="O149" i="2"/>
  <c r="P149" i="2" s="1"/>
  <c r="O148" i="2"/>
  <c r="P148" i="2" s="1"/>
  <c r="O147" i="2"/>
  <c r="P147" i="2" s="1"/>
  <c r="O146" i="2"/>
  <c r="P146" i="2" s="1"/>
  <c r="O145" i="2"/>
  <c r="P145" i="2" s="1"/>
  <c r="O144" i="2"/>
  <c r="O143" i="2"/>
  <c r="P143" i="2" s="1"/>
  <c r="O142" i="2"/>
  <c r="P142" i="2" s="1"/>
  <c r="O136" i="2"/>
  <c r="P136" i="2" s="1"/>
  <c r="O135" i="2"/>
  <c r="P135" i="2" s="1"/>
  <c r="O134" i="2"/>
  <c r="P134" i="2" s="1"/>
  <c r="O133" i="2"/>
  <c r="P133" i="2" s="1"/>
  <c r="O132" i="2"/>
  <c r="P132" i="2" s="1"/>
  <c r="O126" i="2"/>
  <c r="P126" i="2" s="1"/>
  <c r="O125" i="2"/>
  <c r="P125" i="2" s="1"/>
  <c r="O118" i="2"/>
  <c r="O117" i="2"/>
  <c r="P117" i="2" s="1"/>
  <c r="O116" i="2"/>
  <c r="P116" i="2" s="1"/>
  <c r="O110" i="2"/>
  <c r="P110" i="2" s="1"/>
  <c r="O109" i="2"/>
  <c r="P109" i="2" s="1"/>
  <c r="O108" i="2"/>
  <c r="P108" i="2" s="1"/>
  <c r="O107" i="2"/>
  <c r="P107" i="2" s="1"/>
  <c r="O106" i="2"/>
  <c r="P106" i="2" s="1"/>
  <c r="O105" i="2"/>
  <c r="O99" i="2"/>
  <c r="P99" i="2" s="1"/>
  <c r="O98" i="2"/>
  <c r="P98" i="2" s="1"/>
  <c r="O97" i="2"/>
  <c r="P97" i="2" s="1"/>
  <c r="O96" i="2"/>
  <c r="P96" i="2" s="1"/>
  <c r="O95" i="2"/>
  <c r="P95" i="2" s="1"/>
  <c r="O94" i="2"/>
  <c r="P94" i="2" s="1"/>
  <c r="O86" i="2"/>
  <c r="O85" i="2"/>
  <c r="P85" i="2" s="1"/>
  <c r="O84" i="2"/>
  <c r="P84" i="2" s="1"/>
  <c r="O76" i="2"/>
  <c r="P76" i="2" s="1"/>
  <c r="O75" i="2"/>
  <c r="P75" i="2" s="1"/>
  <c r="O68" i="2"/>
  <c r="P68" i="2" s="1"/>
  <c r="O67" i="2"/>
  <c r="P67" i="2" s="1"/>
  <c r="O66" i="2"/>
  <c r="P66" i="2" s="1"/>
  <c r="O65" i="2"/>
  <c r="P65" i="2" s="1"/>
  <c r="O64" i="2"/>
  <c r="P64" i="2" s="1"/>
  <c r="O63" i="2"/>
  <c r="P63" i="2" s="1"/>
  <c r="O62" i="2"/>
  <c r="P62" i="2" s="1"/>
  <c r="O61" i="2"/>
  <c r="P61" i="2" s="1"/>
  <c r="O60" i="2"/>
  <c r="O54" i="2"/>
  <c r="P54" i="2" s="1"/>
  <c r="O53" i="2"/>
  <c r="O52" i="2" s="1"/>
  <c r="O43" i="2"/>
  <c r="P43" i="2" s="1"/>
  <c r="O42" i="2"/>
  <c r="P42" i="2" s="1"/>
  <c r="O41" i="2"/>
  <c r="P41" i="2" s="1"/>
  <c r="O40" i="2"/>
  <c r="P40" i="2" s="1"/>
  <c r="O39" i="2"/>
  <c r="P39" i="2" s="1"/>
  <c r="O38" i="2"/>
  <c r="P38" i="2" s="1"/>
  <c r="O37" i="2"/>
  <c r="P37" i="2" s="1"/>
  <c r="O36" i="2"/>
  <c r="P36" i="2" s="1"/>
  <c r="O35" i="2"/>
  <c r="P35" i="2" s="1"/>
  <c r="O34" i="2"/>
  <c r="P34" i="2" s="1"/>
  <c r="O28" i="2"/>
  <c r="P28" i="2" s="1"/>
  <c r="P27" i="2" s="1"/>
  <c r="O22" i="2"/>
  <c r="P22" i="2" s="1"/>
  <c r="O21" i="2"/>
  <c r="P21" i="2" s="1"/>
  <c r="O20" i="2"/>
  <c r="P20" i="2" s="1"/>
  <c r="O19" i="2"/>
  <c r="P19" i="2" s="1"/>
  <c r="O18" i="2"/>
  <c r="P18" i="2" s="1"/>
  <c r="O10" i="2"/>
  <c r="P10" i="2" s="1"/>
  <c r="O9" i="2"/>
  <c r="P9" i="2" s="1"/>
  <c r="O8" i="2"/>
  <c r="P8" i="2" s="1"/>
  <c r="O7" i="2"/>
  <c r="H470" i="1"/>
  <c r="I470" i="1" s="1"/>
  <c r="J470" i="1" s="1"/>
  <c r="H469" i="1"/>
  <c r="I469" i="1" s="1"/>
  <c r="J469" i="1" s="1"/>
  <c r="H467" i="1"/>
  <c r="I467" i="1" s="1"/>
  <c r="J467" i="1" s="1"/>
  <c r="H466" i="1"/>
  <c r="I466" i="1" s="1"/>
  <c r="J466" i="1" s="1"/>
  <c r="H464" i="1"/>
  <c r="I464" i="1" s="1"/>
  <c r="J464" i="1" s="1"/>
  <c r="J463" i="1" s="1"/>
  <c r="H462" i="1"/>
  <c r="I462" i="1" s="1"/>
  <c r="J462" i="1" s="1"/>
  <c r="J461" i="1" s="1"/>
  <c r="H459" i="1"/>
  <c r="I459" i="1" s="1"/>
  <c r="J459" i="1" s="1"/>
  <c r="H458" i="1"/>
  <c r="I458" i="1" s="1"/>
  <c r="J458" i="1" s="1"/>
  <c r="H457" i="1"/>
  <c r="I457" i="1" s="1"/>
  <c r="J457" i="1" s="1"/>
  <c r="H456" i="1"/>
  <c r="I456" i="1" s="1"/>
  <c r="J456" i="1" s="1"/>
  <c r="H455" i="1"/>
  <c r="I455" i="1" s="1"/>
  <c r="J455" i="1" s="1"/>
  <c r="H454" i="1"/>
  <c r="I454" i="1" s="1"/>
  <c r="J454" i="1" s="1"/>
  <c r="H453" i="1"/>
  <c r="I453" i="1" s="1"/>
  <c r="J453" i="1" s="1"/>
  <c r="H452" i="1"/>
  <c r="I452" i="1" s="1"/>
  <c r="J452" i="1" s="1"/>
  <c r="H451" i="1"/>
  <c r="I451" i="1" s="1"/>
  <c r="J451" i="1" s="1"/>
  <c r="H450" i="1"/>
  <c r="I450" i="1" s="1"/>
  <c r="J450" i="1" s="1"/>
  <c r="H449" i="1"/>
  <c r="I449" i="1" s="1"/>
  <c r="J449" i="1" s="1"/>
  <c r="H448" i="1"/>
  <c r="I448" i="1" s="1"/>
  <c r="J448" i="1" s="1"/>
  <c r="H447" i="1"/>
  <c r="I447" i="1" s="1"/>
  <c r="J447" i="1" s="1"/>
  <c r="H446" i="1"/>
  <c r="I446" i="1" s="1"/>
  <c r="J446" i="1" s="1"/>
  <c r="H445" i="1"/>
  <c r="I445" i="1" s="1"/>
  <c r="J445" i="1" s="1"/>
  <c r="H444" i="1"/>
  <c r="I444" i="1" s="1"/>
  <c r="J444" i="1" s="1"/>
  <c r="H443" i="1"/>
  <c r="I443" i="1" s="1"/>
  <c r="J443" i="1" s="1"/>
  <c r="H442" i="1"/>
  <c r="I442" i="1" s="1"/>
  <c r="J442" i="1" s="1"/>
  <c r="H441" i="1"/>
  <c r="I441" i="1" s="1"/>
  <c r="J441" i="1" s="1"/>
  <c r="H440" i="1"/>
  <c r="I440" i="1" s="1"/>
  <c r="J440" i="1" s="1"/>
  <c r="H439" i="1"/>
  <c r="I439" i="1" s="1"/>
  <c r="J439" i="1" s="1"/>
  <c r="H437" i="1"/>
  <c r="I437" i="1" s="1"/>
  <c r="J437" i="1" s="1"/>
  <c r="H436" i="1"/>
  <c r="I436" i="1" s="1"/>
  <c r="J436" i="1" s="1"/>
  <c r="H435" i="1"/>
  <c r="I435" i="1" s="1"/>
  <c r="J435" i="1" s="1"/>
  <c r="H434" i="1"/>
  <c r="I434" i="1" s="1"/>
  <c r="J434" i="1" s="1"/>
  <c r="H433" i="1"/>
  <c r="I433" i="1" s="1"/>
  <c r="J433" i="1" s="1"/>
  <c r="H432" i="1"/>
  <c r="I432" i="1" s="1"/>
  <c r="J432" i="1" s="1"/>
  <c r="H430" i="1"/>
  <c r="I430" i="1" s="1"/>
  <c r="J430" i="1" s="1"/>
  <c r="H429" i="1"/>
  <c r="I429" i="1" s="1"/>
  <c r="J429" i="1" s="1"/>
  <c r="H428" i="1"/>
  <c r="I428" i="1" s="1"/>
  <c r="J428" i="1" s="1"/>
  <c r="H427" i="1"/>
  <c r="I427" i="1" s="1"/>
  <c r="J427" i="1" s="1"/>
  <c r="H426" i="1"/>
  <c r="I426" i="1" s="1"/>
  <c r="J426" i="1" s="1"/>
  <c r="H425" i="1"/>
  <c r="I425" i="1" s="1"/>
  <c r="J425" i="1" s="1"/>
  <c r="H424" i="1"/>
  <c r="I424" i="1" s="1"/>
  <c r="J424" i="1" s="1"/>
  <c r="H423" i="1"/>
  <c r="I423" i="1" s="1"/>
  <c r="J423" i="1" s="1"/>
  <c r="H422" i="1"/>
  <c r="I422" i="1" s="1"/>
  <c r="J422" i="1" s="1"/>
  <c r="H421" i="1"/>
  <c r="I421" i="1" s="1"/>
  <c r="J421" i="1" s="1"/>
  <c r="H420" i="1"/>
  <c r="I420" i="1" s="1"/>
  <c r="J420" i="1" s="1"/>
  <c r="H419" i="1"/>
  <c r="I419" i="1" s="1"/>
  <c r="J419" i="1" s="1"/>
  <c r="H418" i="1"/>
  <c r="I418" i="1" s="1"/>
  <c r="J418" i="1" s="1"/>
  <c r="H417" i="1"/>
  <c r="I417" i="1" s="1"/>
  <c r="J417" i="1" s="1"/>
  <c r="H414" i="1"/>
  <c r="I414" i="1" s="1"/>
  <c r="J414" i="1" s="1"/>
  <c r="H413" i="1"/>
  <c r="I413" i="1" s="1"/>
  <c r="J413" i="1" s="1"/>
  <c r="H412" i="1"/>
  <c r="I412" i="1" s="1"/>
  <c r="J412" i="1" s="1"/>
  <c r="H411" i="1"/>
  <c r="I411" i="1" s="1"/>
  <c r="J411" i="1" s="1"/>
  <c r="H410" i="1"/>
  <c r="I410" i="1" s="1"/>
  <c r="J410" i="1" s="1"/>
  <c r="H409" i="1"/>
  <c r="I409" i="1" s="1"/>
  <c r="J409" i="1" s="1"/>
  <c r="H408" i="1"/>
  <c r="I408" i="1" s="1"/>
  <c r="J408" i="1" s="1"/>
  <c r="H407" i="1"/>
  <c r="I407" i="1" s="1"/>
  <c r="J407" i="1" s="1"/>
  <c r="H406" i="1"/>
  <c r="I406" i="1" s="1"/>
  <c r="J406" i="1" s="1"/>
  <c r="H405" i="1"/>
  <c r="I405" i="1" s="1"/>
  <c r="J405" i="1" s="1"/>
  <c r="H404" i="1"/>
  <c r="I404" i="1" s="1"/>
  <c r="J404" i="1" s="1"/>
  <c r="H403" i="1"/>
  <c r="I403" i="1" s="1"/>
  <c r="J403" i="1" s="1"/>
  <c r="H401" i="1"/>
  <c r="I401" i="1" s="1"/>
  <c r="J401" i="1" s="1"/>
  <c r="H400" i="1"/>
  <c r="I400" i="1" s="1"/>
  <c r="J400" i="1" s="1"/>
  <c r="H399" i="1"/>
  <c r="I399" i="1" s="1"/>
  <c r="J399" i="1" s="1"/>
  <c r="H398" i="1"/>
  <c r="I398" i="1" s="1"/>
  <c r="J398" i="1" s="1"/>
  <c r="H397" i="1"/>
  <c r="I397" i="1" s="1"/>
  <c r="J397" i="1" s="1"/>
  <c r="H396" i="1"/>
  <c r="I396" i="1" s="1"/>
  <c r="J396" i="1" s="1"/>
  <c r="H395" i="1"/>
  <c r="I395" i="1" s="1"/>
  <c r="J395" i="1" s="1"/>
  <c r="H394" i="1"/>
  <c r="I394" i="1" s="1"/>
  <c r="J394" i="1" s="1"/>
  <c r="H393" i="1"/>
  <c r="I393" i="1" s="1"/>
  <c r="J393" i="1" s="1"/>
  <c r="H391" i="1"/>
  <c r="I391" i="1" s="1"/>
  <c r="J391" i="1" s="1"/>
  <c r="H390" i="1"/>
  <c r="I390" i="1" s="1"/>
  <c r="J390" i="1" s="1"/>
  <c r="H389" i="1"/>
  <c r="I389" i="1" s="1"/>
  <c r="J389" i="1" s="1"/>
  <c r="H388" i="1"/>
  <c r="I388" i="1" s="1"/>
  <c r="J388" i="1" s="1"/>
  <c r="H387" i="1"/>
  <c r="I387" i="1" s="1"/>
  <c r="J387" i="1" s="1"/>
  <c r="H386" i="1"/>
  <c r="I386" i="1" s="1"/>
  <c r="J386" i="1" s="1"/>
  <c r="H385" i="1"/>
  <c r="I385" i="1" s="1"/>
  <c r="J385" i="1" s="1"/>
  <c r="H384" i="1"/>
  <c r="I384" i="1" s="1"/>
  <c r="J384" i="1" s="1"/>
  <c r="H383" i="1"/>
  <c r="I383" i="1" s="1"/>
  <c r="J383" i="1" s="1"/>
  <c r="H382" i="1"/>
  <c r="I382" i="1" s="1"/>
  <c r="J382" i="1" s="1"/>
  <c r="H381" i="1"/>
  <c r="I381" i="1" s="1"/>
  <c r="J381" i="1" s="1"/>
  <c r="H380" i="1"/>
  <c r="I380" i="1" s="1"/>
  <c r="J380" i="1" s="1"/>
  <c r="H379" i="1"/>
  <c r="I379" i="1" s="1"/>
  <c r="J379" i="1" s="1"/>
  <c r="H378" i="1"/>
  <c r="I378" i="1" s="1"/>
  <c r="J378" i="1" s="1"/>
  <c r="H377" i="1"/>
  <c r="I377" i="1" s="1"/>
  <c r="J377" i="1" s="1"/>
  <c r="H376" i="1"/>
  <c r="I376" i="1" s="1"/>
  <c r="J376" i="1" s="1"/>
  <c r="H375" i="1"/>
  <c r="I375" i="1" s="1"/>
  <c r="J375" i="1" s="1"/>
  <c r="H374" i="1"/>
  <c r="I374" i="1" s="1"/>
  <c r="J374" i="1" s="1"/>
  <c r="H373" i="1"/>
  <c r="I373" i="1" s="1"/>
  <c r="J373" i="1" s="1"/>
  <c r="H372" i="1"/>
  <c r="I372" i="1" s="1"/>
  <c r="J372" i="1" s="1"/>
  <c r="H371" i="1"/>
  <c r="I371" i="1" s="1"/>
  <c r="J371" i="1" s="1"/>
  <c r="H370" i="1"/>
  <c r="I370" i="1" s="1"/>
  <c r="J370" i="1" s="1"/>
  <c r="H369" i="1"/>
  <c r="I369" i="1" s="1"/>
  <c r="J369" i="1" s="1"/>
  <c r="H368" i="1"/>
  <c r="I368" i="1" s="1"/>
  <c r="J368" i="1" s="1"/>
  <c r="H367" i="1"/>
  <c r="I367" i="1" s="1"/>
  <c r="J367" i="1" s="1"/>
  <c r="H366" i="1"/>
  <c r="I366" i="1" s="1"/>
  <c r="J366" i="1" s="1"/>
  <c r="H365" i="1"/>
  <c r="I365" i="1" s="1"/>
  <c r="J365" i="1" s="1"/>
  <c r="H364" i="1"/>
  <c r="I364" i="1" s="1"/>
  <c r="J364" i="1" s="1"/>
  <c r="H363" i="1"/>
  <c r="I363" i="1" s="1"/>
  <c r="J363" i="1" s="1"/>
  <c r="H362" i="1"/>
  <c r="I362" i="1" s="1"/>
  <c r="J362" i="1" s="1"/>
  <c r="H361" i="1"/>
  <c r="I361" i="1" s="1"/>
  <c r="J361" i="1" s="1"/>
  <c r="H360" i="1"/>
  <c r="I360" i="1" s="1"/>
  <c r="J360" i="1" s="1"/>
  <c r="H359" i="1"/>
  <c r="I359" i="1" s="1"/>
  <c r="J359" i="1" s="1"/>
  <c r="H358" i="1"/>
  <c r="I358" i="1" s="1"/>
  <c r="J358" i="1" s="1"/>
  <c r="H357" i="1"/>
  <c r="I357" i="1" s="1"/>
  <c r="J357" i="1" s="1"/>
  <c r="H356" i="1"/>
  <c r="I356" i="1" s="1"/>
  <c r="J356" i="1" s="1"/>
  <c r="H355" i="1"/>
  <c r="I355" i="1" s="1"/>
  <c r="J355" i="1" s="1"/>
  <c r="H354" i="1"/>
  <c r="I354" i="1" s="1"/>
  <c r="J354" i="1" s="1"/>
  <c r="H353" i="1"/>
  <c r="I353" i="1" s="1"/>
  <c r="J353" i="1" s="1"/>
  <c r="H352" i="1"/>
  <c r="I352" i="1" s="1"/>
  <c r="J352" i="1" s="1"/>
  <c r="H351" i="1"/>
  <c r="I351" i="1" s="1"/>
  <c r="J351" i="1" s="1"/>
  <c r="H350" i="1"/>
  <c r="I350" i="1" s="1"/>
  <c r="J350" i="1" s="1"/>
  <c r="H349" i="1"/>
  <c r="I349" i="1" s="1"/>
  <c r="J349" i="1" s="1"/>
  <c r="H348" i="1"/>
  <c r="I348" i="1" s="1"/>
  <c r="J348" i="1" s="1"/>
  <c r="H347" i="1"/>
  <c r="I347" i="1" s="1"/>
  <c r="J347" i="1" s="1"/>
  <c r="H346" i="1"/>
  <c r="I346" i="1" s="1"/>
  <c r="J346" i="1" s="1"/>
  <c r="H345" i="1"/>
  <c r="I345" i="1" s="1"/>
  <c r="J345" i="1" s="1"/>
  <c r="H344" i="1"/>
  <c r="I344" i="1" s="1"/>
  <c r="J344" i="1" s="1"/>
  <c r="H343" i="1"/>
  <c r="I343" i="1" s="1"/>
  <c r="J343" i="1" s="1"/>
  <c r="H342" i="1"/>
  <c r="I342" i="1" s="1"/>
  <c r="J342" i="1" s="1"/>
  <c r="H341" i="1"/>
  <c r="I341" i="1" s="1"/>
  <c r="J341" i="1" s="1"/>
  <c r="H340" i="1"/>
  <c r="I340" i="1" s="1"/>
  <c r="J340" i="1" s="1"/>
  <c r="H339" i="1"/>
  <c r="I339" i="1" s="1"/>
  <c r="J339" i="1" s="1"/>
  <c r="H338" i="1"/>
  <c r="I338" i="1" s="1"/>
  <c r="J338" i="1" s="1"/>
  <c r="H337" i="1"/>
  <c r="I337" i="1" s="1"/>
  <c r="J337" i="1" s="1"/>
  <c r="H336" i="1"/>
  <c r="I336" i="1" s="1"/>
  <c r="J336" i="1" s="1"/>
  <c r="H335" i="1"/>
  <c r="I335" i="1" s="1"/>
  <c r="J335" i="1" s="1"/>
  <c r="H334" i="1"/>
  <c r="I334" i="1" s="1"/>
  <c r="J334" i="1" s="1"/>
  <c r="H333" i="1"/>
  <c r="I333" i="1" s="1"/>
  <c r="J333" i="1" s="1"/>
  <c r="H332" i="1"/>
  <c r="I332" i="1" s="1"/>
  <c r="J332" i="1" s="1"/>
  <c r="H331" i="1"/>
  <c r="I331" i="1" s="1"/>
  <c r="J331" i="1" s="1"/>
  <c r="H330" i="1"/>
  <c r="I330" i="1" s="1"/>
  <c r="J330" i="1" s="1"/>
  <c r="H329" i="1"/>
  <c r="I329" i="1" s="1"/>
  <c r="J329" i="1" s="1"/>
  <c r="H328" i="1"/>
  <c r="I328" i="1" s="1"/>
  <c r="J328" i="1" s="1"/>
  <c r="H327" i="1"/>
  <c r="I327" i="1" s="1"/>
  <c r="J327" i="1" s="1"/>
  <c r="H326" i="1"/>
  <c r="I326" i="1" s="1"/>
  <c r="J326" i="1" s="1"/>
  <c r="H325" i="1"/>
  <c r="I325" i="1" s="1"/>
  <c r="J325" i="1" s="1"/>
  <c r="H324" i="1"/>
  <c r="I324" i="1" s="1"/>
  <c r="J324" i="1" s="1"/>
  <c r="H323" i="1"/>
  <c r="I323" i="1" s="1"/>
  <c r="J323" i="1" s="1"/>
  <c r="H322" i="1"/>
  <c r="I322" i="1" s="1"/>
  <c r="J322" i="1" s="1"/>
  <c r="H321" i="1"/>
  <c r="I321" i="1" s="1"/>
  <c r="J321" i="1" s="1"/>
  <c r="H320" i="1"/>
  <c r="I320" i="1" s="1"/>
  <c r="J320" i="1" s="1"/>
  <c r="H319" i="1"/>
  <c r="I319" i="1" s="1"/>
  <c r="J319" i="1" s="1"/>
  <c r="H318" i="1"/>
  <c r="I318" i="1" s="1"/>
  <c r="J318" i="1" s="1"/>
  <c r="H317" i="1"/>
  <c r="I317" i="1" s="1"/>
  <c r="J317" i="1" s="1"/>
  <c r="H316" i="1"/>
  <c r="I316" i="1" s="1"/>
  <c r="J316" i="1" s="1"/>
  <c r="H315" i="1"/>
  <c r="I315" i="1" s="1"/>
  <c r="J315" i="1" s="1"/>
  <c r="H314" i="1"/>
  <c r="I314" i="1" s="1"/>
  <c r="J314" i="1" s="1"/>
  <c r="H313" i="1"/>
  <c r="I313" i="1" s="1"/>
  <c r="J313" i="1" s="1"/>
  <c r="H312" i="1"/>
  <c r="I312" i="1" s="1"/>
  <c r="J312" i="1" s="1"/>
  <c r="H311" i="1"/>
  <c r="I311" i="1" s="1"/>
  <c r="J311" i="1" s="1"/>
  <c r="H308" i="1"/>
  <c r="I308" i="1" s="1"/>
  <c r="J308" i="1" s="1"/>
  <c r="H307" i="1"/>
  <c r="I307" i="1" s="1"/>
  <c r="J307" i="1" s="1"/>
  <c r="H306" i="1"/>
  <c r="I306" i="1" s="1"/>
  <c r="J306" i="1" s="1"/>
  <c r="H305" i="1"/>
  <c r="I305" i="1" s="1"/>
  <c r="J305" i="1" s="1"/>
  <c r="H304" i="1"/>
  <c r="I304" i="1" s="1"/>
  <c r="J304" i="1" s="1"/>
  <c r="H303" i="1"/>
  <c r="I303" i="1" s="1"/>
  <c r="J303" i="1" s="1"/>
  <c r="H302" i="1"/>
  <c r="I302" i="1" s="1"/>
  <c r="J302" i="1" s="1"/>
  <c r="H301" i="1"/>
  <c r="I301" i="1" s="1"/>
  <c r="J301" i="1" s="1"/>
  <c r="H300" i="1"/>
  <c r="I300" i="1" s="1"/>
  <c r="J300" i="1" s="1"/>
  <c r="H299" i="1"/>
  <c r="I299" i="1" s="1"/>
  <c r="J299" i="1" s="1"/>
  <c r="H298" i="1"/>
  <c r="I298" i="1" s="1"/>
  <c r="J298" i="1" s="1"/>
  <c r="H296" i="1"/>
  <c r="I296" i="1" s="1"/>
  <c r="J296" i="1" s="1"/>
  <c r="H295" i="1"/>
  <c r="I295" i="1" s="1"/>
  <c r="J295" i="1" s="1"/>
  <c r="H294" i="1"/>
  <c r="I294" i="1" s="1"/>
  <c r="J294" i="1" s="1"/>
  <c r="H293" i="1"/>
  <c r="I293" i="1" s="1"/>
  <c r="J293" i="1" s="1"/>
  <c r="H292" i="1"/>
  <c r="I292" i="1" s="1"/>
  <c r="J292" i="1" s="1"/>
  <c r="H291" i="1"/>
  <c r="I291" i="1" s="1"/>
  <c r="J291" i="1" s="1"/>
  <c r="H290" i="1"/>
  <c r="I290" i="1" s="1"/>
  <c r="J290" i="1" s="1"/>
  <c r="H289" i="1"/>
  <c r="I289" i="1" s="1"/>
  <c r="J289" i="1" s="1"/>
  <c r="H288" i="1"/>
  <c r="I288" i="1" s="1"/>
  <c r="J288" i="1" s="1"/>
  <c r="H287" i="1"/>
  <c r="I287" i="1" s="1"/>
  <c r="J287" i="1" s="1"/>
  <c r="H286" i="1"/>
  <c r="I286" i="1" s="1"/>
  <c r="J286" i="1" s="1"/>
  <c r="H285" i="1"/>
  <c r="I285" i="1" s="1"/>
  <c r="J285" i="1" s="1"/>
  <c r="H284" i="1"/>
  <c r="I284" i="1" s="1"/>
  <c r="J284" i="1" s="1"/>
  <c r="H283" i="1"/>
  <c r="I283" i="1" s="1"/>
  <c r="J283" i="1" s="1"/>
  <c r="H282" i="1"/>
  <c r="I282" i="1" s="1"/>
  <c r="J282" i="1" s="1"/>
  <c r="H281" i="1"/>
  <c r="I281" i="1" s="1"/>
  <c r="J281" i="1" s="1"/>
  <c r="H280" i="1"/>
  <c r="I280" i="1" s="1"/>
  <c r="J280" i="1" s="1"/>
  <c r="H278" i="1"/>
  <c r="I278" i="1" s="1"/>
  <c r="J278" i="1" s="1"/>
  <c r="H277" i="1"/>
  <c r="I277" i="1" s="1"/>
  <c r="J277" i="1" s="1"/>
  <c r="H276" i="1"/>
  <c r="I276" i="1" s="1"/>
  <c r="J276" i="1" s="1"/>
  <c r="H275" i="1"/>
  <c r="I275" i="1" s="1"/>
  <c r="J275" i="1" s="1"/>
  <c r="H274" i="1"/>
  <c r="I274" i="1" s="1"/>
  <c r="J274" i="1" s="1"/>
  <c r="H273" i="1"/>
  <c r="I273" i="1" s="1"/>
  <c r="J273" i="1" s="1"/>
  <c r="H272" i="1"/>
  <c r="I272" i="1" s="1"/>
  <c r="J272" i="1" s="1"/>
  <c r="H271" i="1"/>
  <c r="I271" i="1" s="1"/>
  <c r="J271" i="1" s="1"/>
  <c r="H270" i="1"/>
  <c r="I270" i="1" s="1"/>
  <c r="J270" i="1" s="1"/>
  <c r="H269" i="1"/>
  <c r="I269" i="1" s="1"/>
  <c r="J269" i="1" s="1"/>
  <c r="H268" i="1"/>
  <c r="I268" i="1" s="1"/>
  <c r="J268" i="1" s="1"/>
  <c r="H267" i="1"/>
  <c r="I267" i="1" s="1"/>
  <c r="J267" i="1" s="1"/>
  <c r="H266" i="1"/>
  <c r="I266" i="1" s="1"/>
  <c r="J266" i="1" s="1"/>
  <c r="H265" i="1"/>
  <c r="I265" i="1" s="1"/>
  <c r="J265" i="1" s="1"/>
  <c r="H264" i="1"/>
  <c r="I264" i="1" s="1"/>
  <c r="J264" i="1" s="1"/>
  <c r="H263" i="1"/>
  <c r="I263" i="1" s="1"/>
  <c r="J263" i="1" s="1"/>
  <c r="H262" i="1"/>
  <c r="I262" i="1" s="1"/>
  <c r="J262" i="1" s="1"/>
  <c r="H261" i="1"/>
  <c r="I261" i="1" s="1"/>
  <c r="J261" i="1" s="1"/>
  <c r="H260" i="1"/>
  <c r="I260" i="1" s="1"/>
  <c r="J260" i="1" s="1"/>
  <c r="H259" i="1"/>
  <c r="I259" i="1" s="1"/>
  <c r="J259" i="1" s="1"/>
  <c r="H258" i="1"/>
  <c r="I258" i="1" s="1"/>
  <c r="J258" i="1" s="1"/>
  <c r="H257" i="1"/>
  <c r="I257" i="1" s="1"/>
  <c r="J257" i="1" s="1"/>
  <c r="H256" i="1"/>
  <c r="I256" i="1" s="1"/>
  <c r="J256" i="1" s="1"/>
  <c r="H255" i="1"/>
  <c r="I255" i="1" s="1"/>
  <c r="J255" i="1" s="1"/>
  <c r="H254" i="1"/>
  <c r="I254" i="1" s="1"/>
  <c r="J254" i="1" s="1"/>
  <c r="H253" i="1"/>
  <c r="I253" i="1" s="1"/>
  <c r="J253" i="1" s="1"/>
  <c r="H252" i="1"/>
  <c r="I252" i="1" s="1"/>
  <c r="J252" i="1" s="1"/>
  <c r="H251" i="1"/>
  <c r="I251" i="1" s="1"/>
  <c r="J251" i="1" s="1"/>
  <c r="H250" i="1"/>
  <c r="I250" i="1" s="1"/>
  <c r="J250" i="1" s="1"/>
  <c r="H249" i="1"/>
  <c r="I249" i="1" s="1"/>
  <c r="J249" i="1" s="1"/>
  <c r="H248" i="1"/>
  <c r="I248" i="1" s="1"/>
  <c r="J248" i="1" s="1"/>
  <c r="H247" i="1"/>
  <c r="I247" i="1" s="1"/>
  <c r="J247" i="1" s="1"/>
  <c r="H246" i="1"/>
  <c r="I246" i="1" s="1"/>
  <c r="J246" i="1" s="1"/>
  <c r="H245" i="1"/>
  <c r="I245" i="1" s="1"/>
  <c r="J245" i="1" s="1"/>
  <c r="H244" i="1"/>
  <c r="I244" i="1" s="1"/>
  <c r="J244" i="1" s="1"/>
  <c r="H243" i="1"/>
  <c r="I243" i="1" s="1"/>
  <c r="J243" i="1" s="1"/>
  <c r="H242" i="1"/>
  <c r="I242" i="1" s="1"/>
  <c r="J242" i="1" s="1"/>
  <c r="H241" i="1"/>
  <c r="I241" i="1" s="1"/>
  <c r="J241" i="1" s="1"/>
  <c r="H240" i="1"/>
  <c r="I240" i="1" s="1"/>
  <c r="J240" i="1" s="1"/>
  <c r="H239" i="1"/>
  <c r="I239" i="1" s="1"/>
  <c r="J239" i="1" s="1"/>
  <c r="H238" i="1"/>
  <c r="I238" i="1" s="1"/>
  <c r="J238" i="1" s="1"/>
  <c r="H237" i="1"/>
  <c r="I237" i="1" s="1"/>
  <c r="J237" i="1" s="1"/>
  <c r="H236" i="1"/>
  <c r="I236" i="1" s="1"/>
  <c r="J236" i="1" s="1"/>
  <c r="H235" i="1"/>
  <c r="I235" i="1" s="1"/>
  <c r="J235" i="1" s="1"/>
  <c r="H233" i="1"/>
  <c r="I233" i="1" s="1"/>
  <c r="J233" i="1" s="1"/>
  <c r="H232" i="1"/>
  <c r="I232" i="1" s="1"/>
  <c r="J232" i="1" s="1"/>
  <c r="H231" i="1"/>
  <c r="I231" i="1" s="1"/>
  <c r="J231" i="1" s="1"/>
  <c r="H230" i="1"/>
  <c r="I230" i="1" s="1"/>
  <c r="J230" i="1" s="1"/>
  <c r="H229" i="1"/>
  <c r="I229" i="1" s="1"/>
  <c r="J229" i="1" s="1"/>
  <c r="H228" i="1"/>
  <c r="I228" i="1" s="1"/>
  <c r="J228" i="1" s="1"/>
  <c r="H227" i="1"/>
  <c r="I227" i="1" s="1"/>
  <c r="J227" i="1" s="1"/>
  <c r="H226" i="1"/>
  <c r="I226" i="1" s="1"/>
  <c r="J226" i="1" s="1"/>
  <c r="H225" i="1"/>
  <c r="I225" i="1" s="1"/>
  <c r="J225" i="1" s="1"/>
  <c r="H224" i="1"/>
  <c r="I224" i="1" s="1"/>
  <c r="J224" i="1" s="1"/>
  <c r="H223" i="1"/>
  <c r="I223" i="1" s="1"/>
  <c r="J223" i="1" s="1"/>
  <c r="H222" i="1"/>
  <c r="I222" i="1" s="1"/>
  <c r="J222" i="1" s="1"/>
  <c r="H221" i="1"/>
  <c r="I221" i="1" s="1"/>
  <c r="J221" i="1" s="1"/>
  <c r="H220" i="1"/>
  <c r="I220" i="1" s="1"/>
  <c r="J220" i="1" s="1"/>
  <c r="H219" i="1"/>
  <c r="I219" i="1" s="1"/>
  <c r="J219" i="1" s="1"/>
  <c r="H218" i="1"/>
  <c r="I218" i="1" s="1"/>
  <c r="J218" i="1" s="1"/>
  <c r="H217" i="1"/>
  <c r="I217" i="1" s="1"/>
  <c r="J217" i="1" s="1"/>
  <c r="H216" i="1"/>
  <c r="I216" i="1" s="1"/>
  <c r="J216" i="1" s="1"/>
  <c r="H215" i="1"/>
  <c r="I215" i="1" s="1"/>
  <c r="J215" i="1" s="1"/>
  <c r="H214" i="1"/>
  <c r="I214" i="1" s="1"/>
  <c r="J214" i="1" s="1"/>
  <c r="H213" i="1"/>
  <c r="I213" i="1" s="1"/>
  <c r="J213" i="1" s="1"/>
  <c r="H212" i="1"/>
  <c r="I212" i="1" s="1"/>
  <c r="J212" i="1" s="1"/>
  <c r="H211" i="1"/>
  <c r="I211" i="1" s="1"/>
  <c r="J211" i="1" s="1"/>
  <c r="H210" i="1"/>
  <c r="I210" i="1" s="1"/>
  <c r="J210" i="1" s="1"/>
  <c r="H209" i="1"/>
  <c r="I209" i="1" s="1"/>
  <c r="J209" i="1" s="1"/>
  <c r="H208" i="1"/>
  <c r="I208" i="1" s="1"/>
  <c r="J208" i="1" s="1"/>
  <c r="H207" i="1"/>
  <c r="I207" i="1" s="1"/>
  <c r="J207" i="1" s="1"/>
  <c r="H206" i="1"/>
  <c r="I206" i="1" s="1"/>
  <c r="J206" i="1" s="1"/>
  <c r="H205" i="1"/>
  <c r="I205" i="1" s="1"/>
  <c r="J205" i="1" s="1"/>
  <c r="H204" i="1"/>
  <c r="I204" i="1" s="1"/>
  <c r="J204" i="1" s="1"/>
  <c r="H203" i="1"/>
  <c r="I203" i="1" s="1"/>
  <c r="J203" i="1" s="1"/>
  <c r="H202" i="1"/>
  <c r="I202" i="1" s="1"/>
  <c r="J202" i="1" s="1"/>
  <c r="H201" i="1"/>
  <c r="I201" i="1" s="1"/>
  <c r="J201" i="1" s="1"/>
  <c r="H200" i="1"/>
  <c r="I200" i="1" s="1"/>
  <c r="J200" i="1" s="1"/>
  <c r="H199" i="1"/>
  <c r="I199" i="1" s="1"/>
  <c r="J199" i="1" s="1"/>
  <c r="H198" i="1"/>
  <c r="I198" i="1" s="1"/>
  <c r="J198" i="1" s="1"/>
  <c r="H197" i="1"/>
  <c r="I197" i="1" s="1"/>
  <c r="J197" i="1" s="1"/>
  <c r="H196" i="1"/>
  <c r="I196" i="1" s="1"/>
  <c r="J196" i="1" s="1"/>
  <c r="H195" i="1"/>
  <c r="I195" i="1" s="1"/>
  <c r="J195" i="1" s="1"/>
  <c r="H192" i="1"/>
  <c r="I192" i="1" s="1"/>
  <c r="J192" i="1" s="1"/>
  <c r="H191" i="1"/>
  <c r="I191" i="1" s="1"/>
  <c r="J191" i="1" s="1"/>
  <c r="H190" i="1"/>
  <c r="I190" i="1" s="1"/>
  <c r="J190" i="1" s="1"/>
  <c r="H189" i="1"/>
  <c r="I189" i="1" s="1"/>
  <c r="J189" i="1" s="1"/>
  <c r="H188" i="1"/>
  <c r="I188" i="1" s="1"/>
  <c r="J188" i="1" s="1"/>
  <c r="H187" i="1"/>
  <c r="I187" i="1" s="1"/>
  <c r="J187" i="1" s="1"/>
  <c r="H186" i="1"/>
  <c r="I186" i="1" s="1"/>
  <c r="J186" i="1" s="1"/>
  <c r="H185" i="1"/>
  <c r="I185" i="1" s="1"/>
  <c r="J185" i="1" s="1"/>
  <c r="H184" i="1"/>
  <c r="I184" i="1" s="1"/>
  <c r="J184" i="1" s="1"/>
  <c r="H183" i="1"/>
  <c r="I183" i="1" s="1"/>
  <c r="J183" i="1" s="1"/>
  <c r="H182" i="1"/>
  <c r="I182" i="1" s="1"/>
  <c r="J182" i="1" s="1"/>
  <c r="H181" i="1"/>
  <c r="I181" i="1" s="1"/>
  <c r="J181" i="1" s="1"/>
  <c r="H180" i="1"/>
  <c r="I180" i="1" s="1"/>
  <c r="J180" i="1" s="1"/>
  <c r="H179" i="1"/>
  <c r="I179" i="1" s="1"/>
  <c r="J179" i="1" s="1"/>
  <c r="H178" i="1"/>
  <c r="I178" i="1" s="1"/>
  <c r="J178" i="1" s="1"/>
  <c r="H177" i="1"/>
  <c r="I177" i="1" s="1"/>
  <c r="J177" i="1" s="1"/>
  <c r="H175" i="1"/>
  <c r="I175" i="1" s="1"/>
  <c r="J175" i="1" s="1"/>
  <c r="H174" i="1"/>
  <c r="I174" i="1" s="1"/>
  <c r="J174" i="1" s="1"/>
  <c r="H173" i="1"/>
  <c r="I173" i="1" s="1"/>
  <c r="J173" i="1" s="1"/>
  <c r="H172" i="1"/>
  <c r="I172" i="1" s="1"/>
  <c r="J172" i="1" s="1"/>
  <c r="H171" i="1"/>
  <c r="I171" i="1" s="1"/>
  <c r="J171" i="1" s="1"/>
  <c r="H170" i="1"/>
  <c r="I170" i="1" s="1"/>
  <c r="J170" i="1" s="1"/>
  <c r="H168" i="1"/>
  <c r="I168" i="1" s="1"/>
  <c r="J168" i="1" s="1"/>
  <c r="J167" i="1" s="1"/>
  <c r="H165" i="1"/>
  <c r="I165" i="1" s="1"/>
  <c r="J165" i="1" s="1"/>
  <c r="H164" i="1"/>
  <c r="I164" i="1" s="1"/>
  <c r="J164" i="1" s="1"/>
  <c r="H162" i="1"/>
  <c r="I162" i="1" s="1"/>
  <c r="J162" i="1" s="1"/>
  <c r="H161" i="1"/>
  <c r="I161" i="1" s="1"/>
  <c r="J161" i="1" s="1"/>
  <c r="H159" i="1"/>
  <c r="I159" i="1" s="1"/>
  <c r="J159" i="1" s="1"/>
  <c r="H158" i="1"/>
  <c r="I158" i="1" s="1"/>
  <c r="J158" i="1" s="1"/>
  <c r="H156" i="1"/>
  <c r="I156" i="1" s="1"/>
  <c r="J156" i="1" s="1"/>
  <c r="H155" i="1"/>
  <c r="I155" i="1" s="1"/>
  <c r="J155" i="1" s="1"/>
  <c r="H154" i="1"/>
  <c r="I154" i="1" s="1"/>
  <c r="J154" i="1" s="1"/>
  <c r="H153" i="1"/>
  <c r="I153" i="1" s="1"/>
  <c r="J153" i="1" s="1"/>
  <c r="H152" i="1"/>
  <c r="I152" i="1" s="1"/>
  <c r="J152" i="1" s="1"/>
  <c r="H149" i="1"/>
  <c r="I149" i="1" s="1"/>
  <c r="J149" i="1" s="1"/>
  <c r="J148" i="1" s="1"/>
  <c r="J147" i="1" s="1"/>
  <c r="F21" i="4" s="1"/>
  <c r="T21" i="4" s="1"/>
  <c r="H146" i="1"/>
  <c r="I146" i="1" s="1"/>
  <c r="J146" i="1" s="1"/>
  <c r="J145" i="1" s="1"/>
  <c r="J144" i="1" s="1"/>
  <c r="F20" i="4" s="1"/>
  <c r="T20" i="4" s="1"/>
  <c r="H143" i="1"/>
  <c r="I143" i="1" s="1"/>
  <c r="J143" i="1" s="1"/>
  <c r="J142" i="1" s="1"/>
  <c r="H141" i="1"/>
  <c r="I141" i="1" s="1"/>
  <c r="J141" i="1" s="1"/>
  <c r="H140" i="1"/>
  <c r="I140" i="1" s="1"/>
  <c r="J140" i="1" s="1"/>
  <c r="H138" i="1"/>
  <c r="I138" i="1" s="1"/>
  <c r="J138" i="1" s="1"/>
  <c r="H137" i="1"/>
  <c r="I137" i="1" s="1"/>
  <c r="J137" i="1" s="1"/>
  <c r="H134" i="1"/>
  <c r="I134" i="1" s="1"/>
  <c r="J134" i="1" s="1"/>
  <c r="J133" i="1" s="1"/>
  <c r="H132" i="1"/>
  <c r="I132" i="1" s="1"/>
  <c r="J132" i="1" s="1"/>
  <c r="H131" i="1"/>
  <c r="I131" i="1" s="1"/>
  <c r="J131" i="1" s="1"/>
  <c r="H130" i="1"/>
  <c r="I130" i="1" s="1"/>
  <c r="J130" i="1" s="1"/>
  <c r="H127" i="1"/>
  <c r="I127" i="1" s="1"/>
  <c r="J127" i="1" s="1"/>
  <c r="H126" i="1"/>
  <c r="I126" i="1" s="1"/>
  <c r="J126" i="1" s="1"/>
  <c r="H125" i="1"/>
  <c r="I125" i="1" s="1"/>
  <c r="J125" i="1" s="1"/>
  <c r="H124" i="1"/>
  <c r="I124" i="1" s="1"/>
  <c r="J124" i="1" s="1"/>
  <c r="H123" i="1"/>
  <c r="I123" i="1" s="1"/>
  <c r="J123" i="1" s="1"/>
  <c r="H122" i="1"/>
  <c r="I122" i="1" s="1"/>
  <c r="J122" i="1" s="1"/>
  <c r="H121" i="1"/>
  <c r="I121" i="1" s="1"/>
  <c r="J121" i="1" s="1"/>
  <c r="H119" i="1"/>
  <c r="I119" i="1" s="1"/>
  <c r="J119" i="1" s="1"/>
  <c r="J118" i="1" s="1"/>
  <c r="J117" i="1" s="1"/>
  <c r="H116" i="1"/>
  <c r="I116" i="1" s="1"/>
  <c r="J116" i="1" s="1"/>
  <c r="H115" i="1"/>
  <c r="I115" i="1" s="1"/>
  <c r="J115" i="1" s="1"/>
  <c r="H113" i="1"/>
  <c r="I113" i="1" s="1"/>
  <c r="J113" i="1" s="1"/>
  <c r="H112" i="1"/>
  <c r="I112" i="1" s="1"/>
  <c r="J112" i="1" s="1"/>
  <c r="H111" i="1"/>
  <c r="I111" i="1" s="1"/>
  <c r="J111" i="1" s="1"/>
  <c r="H110" i="1"/>
  <c r="I110" i="1" s="1"/>
  <c r="J110" i="1" s="1"/>
  <c r="H109" i="1"/>
  <c r="I109" i="1" s="1"/>
  <c r="J109" i="1" s="1"/>
  <c r="H106" i="1"/>
  <c r="I106" i="1" s="1"/>
  <c r="J106" i="1" s="1"/>
  <c r="H105" i="1"/>
  <c r="I105" i="1" s="1"/>
  <c r="J105" i="1" s="1"/>
  <c r="H104" i="1"/>
  <c r="I104" i="1" s="1"/>
  <c r="J104" i="1" s="1"/>
  <c r="H100" i="1"/>
  <c r="I100" i="1" s="1"/>
  <c r="J100" i="1" s="1"/>
  <c r="H99" i="1"/>
  <c r="I99" i="1" s="1"/>
  <c r="J99" i="1" s="1"/>
  <c r="H98" i="1"/>
  <c r="I98" i="1" s="1"/>
  <c r="J98" i="1" s="1"/>
  <c r="H96" i="1"/>
  <c r="I96" i="1" s="1"/>
  <c r="J96" i="1" s="1"/>
  <c r="H95" i="1"/>
  <c r="I95" i="1" s="1"/>
  <c r="J95" i="1" s="1"/>
  <c r="H94" i="1"/>
  <c r="I94" i="1" s="1"/>
  <c r="J94" i="1" s="1"/>
  <c r="H92" i="1"/>
  <c r="I92" i="1" s="1"/>
  <c r="J92" i="1" s="1"/>
  <c r="J91" i="1" s="1"/>
  <c r="H90" i="1"/>
  <c r="I90" i="1" s="1"/>
  <c r="J90" i="1" s="1"/>
  <c r="H89" i="1"/>
  <c r="I89" i="1" s="1"/>
  <c r="J89" i="1" s="1"/>
  <c r="H86" i="1"/>
  <c r="I86" i="1" s="1"/>
  <c r="J86" i="1" s="1"/>
  <c r="J85" i="1" s="1"/>
  <c r="H84" i="1"/>
  <c r="I84" i="1" s="1"/>
  <c r="J84" i="1" s="1"/>
  <c r="H83" i="1"/>
  <c r="I83" i="1" s="1"/>
  <c r="J83" i="1" s="1"/>
  <c r="H82" i="1"/>
  <c r="I82" i="1" s="1"/>
  <c r="J82" i="1" s="1"/>
  <c r="H81" i="1"/>
  <c r="I81" i="1" s="1"/>
  <c r="J81" i="1" s="1"/>
  <c r="H80" i="1"/>
  <c r="I80" i="1" s="1"/>
  <c r="J80" i="1" s="1"/>
  <c r="H78" i="1"/>
  <c r="I78" i="1" s="1"/>
  <c r="J78" i="1" s="1"/>
  <c r="H77" i="1"/>
  <c r="I77" i="1" s="1"/>
  <c r="J77" i="1" s="1"/>
  <c r="H76" i="1"/>
  <c r="I76" i="1" s="1"/>
  <c r="J76" i="1" s="1"/>
  <c r="H75" i="1"/>
  <c r="I75" i="1" s="1"/>
  <c r="J75" i="1" s="1"/>
  <c r="H74" i="1"/>
  <c r="I74" i="1" s="1"/>
  <c r="J74" i="1" s="1"/>
  <c r="H71" i="1"/>
  <c r="I71" i="1" s="1"/>
  <c r="J71" i="1" s="1"/>
  <c r="J70" i="1" s="1"/>
  <c r="H69" i="1"/>
  <c r="I69" i="1" s="1"/>
  <c r="J69" i="1" s="1"/>
  <c r="H68" i="1"/>
  <c r="I68" i="1" s="1"/>
  <c r="J68" i="1" s="1"/>
  <c r="H67" i="1"/>
  <c r="I67" i="1" s="1"/>
  <c r="J67" i="1" s="1"/>
  <c r="H66" i="1"/>
  <c r="I66" i="1" s="1"/>
  <c r="J66" i="1" s="1"/>
  <c r="H65" i="1"/>
  <c r="I65" i="1" s="1"/>
  <c r="J65" i="1" s="1"/>
  <c r="H64" i="1"/>
  <c r="I64" i="1" s="1"/>
  <c r="J64" i="1" s="1"/>
  <c r="H63" i="1"/>
  <c r="I63" i="1" s="1"/>
  <c r="J63" i="1" s="1"/>
  <c r="H62" i="1"/>
  <c r="I62" i="1" s="1"/>
  <c r="J62" i="1" s="1"/>
  <c r="H61" i="1"/>
  <c r="I61" i="1" s="1"/>
  <c r="J61" i="1" s="1"/>
  <c r="H60" i="1"/>
  <c r="I60" i="1" s="1"/>
  <c r="J60" i="1" s="1"/>
  <c r="H58" i="1"/>
  <c r="I58" i="1" s="1"/>
  <c r="J58" i="1" s="1"/>
  <c r="H57" i="1"/>
  <c r="I57" i="1" s="1"/>
  <c r="J57" i="1" s="1"/>
  <c r="H56" i="1"/>
  <c r="I56" i="1" s="1"/>
  <c r="J56" i="1" s="1"/>
  <c r="H55" i="1"/>
  <c r="I55" i="1" s="1"/>
  <c r="J55" i="1" s="1"/>
  <c r="H54" i="1"/>
  <c r="I54" i="1" s="1"/>
  <c r="J54" i="1" s="1"/>
  <c r="H53" i="1"/>
  <c r="I53" i="1" s="1"/>
  <c r="J53" i="1" s="1"/>
  <c r="H52" i="1"/>
  <c r="I52" i="1" s="1"/>
  <c r="J52" i="1" s="1"/>
  <c r="H51" i="1"/>
  <c r="I51" i="1" s="1"/>
  <c r="J51" i="1" s="1"/>
  <c r="H50" i="1"/>
  <c r="I50" i="1" s="1"/>
  <c r="J50" i="1" s="1"/>
  <c r="H48" i="1"/>
  <c r="I48" i="1" s="1"/>
  <c r="J48" i="1" s="1"/>
  <c r="H47" i="1"/>
  <c r="I47" i="1" s="1"/>
  <c r="J47" i="1" s="1"/>
  <c r="H46" i="1"/>
  <c r="I46" i="1" s="1"/>
  <c r="J46" i="1" s="1"/>
  <c r="H45" i="1"/>
  <c r="I45" i="1" s="1"/>
  <c r="J45" i="1" s="1"/>
  <c r="H44" i="1"/>
  <c r="I44" i="1" s="1"/>
  <c r="J44" i="1" s="1"/>
  <c r="H43" i="1"/>
  <c r="I43" i="1" s="1"/>
  <c r="J43" i="1" s="1"/>
  <c r="H40" i="1"/>
  <c r="I40" i="1" s="1"/>
  <c r="J40" i="1" s="1"/>
  <c r="H39" i="1"/>
  <c r="I39" i="1" s="1"/>
  <c r="J39" i="1" s="1"/>
  <c r="H38" i="1"/>
  <c r="I38" i="1" s="1"/>
  <c r="J38" i="1" s="1"/>
  <c r="H37" i="1"/>
  <c r="I37" i="1" s="1"/>
  <c r="J37" i="1" s="1"/>
  <c r="H36" i="1"/>
  <c r="I36" i="1" s="1"/>
  <c r="J36" i="1" s="1"/>
  <c r="H35" i="1"/>
  <c r="I35" i="1" s="1"/>
  <c r="J35" i="1" s="1"/>
  <c r="H34" i="1"/>
  <c r="I34" i="1" s="1"/>
  <c r="J34" i="1" s="1"/>
  <c r="H33" i="1"/>
  <c r="I33" i="1" s="1"/>
  <c r="J33" i="1" s="1"/>
  <c r="H32" i="1"/>
  <c r="I32" i="1" s="1"/>
  <c r="J32" i="1" s="1"/>
  <c r="H31" i="1"/>
  <c r="I31" i="1" s="1"/>
  <c r="J31" i="1" s="1"/>
  <c r="H30" i="1"/>
  <c r="I30" i="1" s="1"/>
  <c r="J30" i="1" s="1"/>
  <c r="H29" i="1"/>
  <c r="I29" i="1" s="1"/>
  <c r="J29" i="1" s="1"/>
  <c r="H28" i="1"/>
  <c r="I28" i="1" s="1"/>
  <c r="J28" i="1" s="1"/>
  <c r="H27" i="1"/>
  <c r="I27" i="1" s="1"/>
  <c r="J27" i="1" s="1"/>
  <c r="H26" i="1"/>
  <c r="I26" i="1" s="1"/>
  <c r="J26" i="1" s="1"/>
  <c r="H25" i="1"/>
  <c r="I25" i="1" s="1"/>
  <c r="J25" i="1" s="1"/>
  <c r="H23" i="1"/>
  <c r="I23" i="1" s="1"/>
  <c r="J23" i="1" s="1"/>
  <c r="J22" i="1" s="1"/>
  <c r="H21" i="1"/>
  <c r="I21" i="1" s="1"/>
  <c r="J21" i="1" s="1"/>
  <c r="J20" i="1" s="1"/>
  <c r="H19" i="1"/>
  <c r="I19" i="1" s="1"/>
  <c r="J19" i="1" s="1"/>
  <c r="J18" i="1" s="1"/>
  <c r="H17" i="1"/>
  <c r="I17" i="1" s="1"/>
  <c r="J17" i="1" s="1"/>
  <c r="H16" i="1"/>
  <c r="I16" i="1" s="1"/>
  <c r="J16" i="1" s="1"/>
  <c r="H15" i="1"/>
  <c r="I15" i="1" s="1"/>
  <c r="J15" i="1" s="1"/>
  <c r="H14" i="1"/>
  <c r="I14" i="1" s="1"/>
  <c r="J14" i="1" s="1"/>
  <c r="H13" i="1"/>
  <c r="I13" i="1" s="1"/>
  <c r="J13" i="1" s="1"/>
  <c r="H12" i="1"/>
  <c r="I12" i="1" s="1"/>
  <c r="J12" i="1" s="1"/>
  <c r="I11" i="1"/>
  <c r="J11" i="1" s="1"/>
  <c r="I10" i="1"/>
  <c r="J10" i="1" s="1"/>
  <c r="H9" i="1"/>
  <c r="I9" i="1" s="1"/>
  <c r="J9" i="1" s="1"/>
  <c r="J136" i="1" l="1"/>
  <c r="J465" i="1"/>
  <c r="J460" i="1" s="1"/>
  <c r="J157" i="1"/>
  <c r="F14" i="3"/>
  <c r="F15" i="3"/>
  <c r="J176" i="1"/>
  <c r="J7" i="1"/>
  <c r="J6" i="1" s="1"/>
  <c r="J139" i="1"/>
  <c r="V21" i="4"/>
  <c r="J108" i="1"/>
  <c r="J431" i="1"/>
  <c r="J93" i="1"/>
  <c r="J438" i="1"/>
  <c r="J88" i="1"/>
  <c r="J160" i="1"/>
  <c r="J297" i="1"/>
  <c r="J194" i="1"/>
  <c r="J73" i="1"/>
  <c r="J163" i="1"/>
  <c r="J468" i="1"/>
  <c r="P556" i="2"/>
  <c r="P749" i="2"/>
  <c r="P766" i="2"/>
  <c r="P1166" i="2"/>
  <c r="P1195" i="2"/>
  <c r="P1252" i="2"/>
  <c r="P689" i="2"/>
  <c r="O83" i="2"/>
  <c r="P937" i="2"/>
  <c r="P955" i="2"/>
  <c r="P1009" i="2"/>
  <c r="P1019" i="2"/>
  <c r="P1038" i="2"/>
  <c r="P1095" i="2"/>
  <c r="P1104" i="2"/>
  <c r="O141" i="2"/>
  <c r="O285" i="2"/>
  <c r="O277" i="2" s="1"/>
  <c r="P541" i="2"/>
  <c r="P565" i="2"/>
  <c r="P695" i="2"/>
  <c r="P775" i="2"/>
  <c r="P833" i="2"/>
  <c r="P1204" i="2"/>
  <c r="P534" i="2"/>
  <c r="P481" i="2"/>
  <c r="P158" i="2"/>
  <c r="P1292" i="2"/>
  <c r="P17" i="2"/>
  <c r="O33" i="2"/>
  <c r="P144" i="2"/>
  <c r="P141" i="2" s="1"/>
  <c r="O195" i="2"/>
  <c r="O231" i="2"/>
  <c r="P526" i="2"/>
  <c r="P587" i="2"/>
  <c r="P707" i="2"/>
  <c r="P1176" i="2"/>
  <c r="P1262" i="2"/>
  <c r="P1283" i="2"/>
  <c r="P1316" i="2"/>
  <c r="P1363" i="2"/>
  <c r="P1417" i="2"/>
  <c r="P1427" i="2"/>
  <c r="P1445" i="2"/>
  <c r="P1436" i="2"/>
  <c r="O59" i="2"/>
  <c r="O176" i="2"/>
  <c r="O253" i="2"/>
  <c r="P285" i="2"/>
  <c r="P277" i="2" s="1"/>
  <c r="O315" i="2"/>
  <c r="O357" i="2"/>
  <c r="P497" i="2"/>
  <c r="P1354" i="2"/>
  <c r="P1372" i="2"/>
  <c r="P1408" i="2"/>
  <c r="P1490" i="2"/>
  <c r="P440" i="2"/>
  <c r="P516" i="2"/>
  <c r="O6" i="2"/>
  <c r="O74" i="2"/>
  <c r="P131" i="2"/>
  <c r="P124" i="2" s="1"/>
  <c r="P357" i="2"/>
  <c r="O374" i="2"/>
  <c r="P460" i="2"/>
  <c r="P1223" i="2"/>
  <c r="P1464" i="2"/>
  <c r="P1480" i="2"/>
  <c r="P1473" i="2" s="1"/>
  <c r="P413" i="2"/>
  <c r="O104" i="2"/>
  <c r="O390" i="2"/>
  <c r="O383" i="2" s="1"/>
  <c r="P1156" i="2"/>
  <c r="P1455" i="2"/>
  <c r="O297" i="2"/>
  <c r="O324" i="2"/>
  <c r="O399" i="2"/>
  <c r="P176" i="2"/>
  <c r="P33" i="2"/>
  <c r="P93" i="2"/>
  <c r="P306" i="2"/>
  <c r="P333" i="2"/>
  <c r="P7" i="2"/>
  <c r="P6" i="2" s="1"/>
  <c r="P53" i="2"/>
  <c r="P52" i="2" s="1"/>
  <c r="P60" i="2"/>
  <c r="P59" i="2" s="1"/>
  <c r="P86" i="2"/>
  <c r="P83" i="2" s="1"/>
  <c r="P74" i="2" s="1"/>
  <c r="P105" i="2"/>
  <c r="P104" i="2" s="1"/>
  <c r="P118" i="2"/>
  <c r="P232" i="2"/>
  <c r="P231" i="2" s="1"/>
  <c r="P254" i="2"/>
  <c r="P253" i="2" s="1"/>
  <c r="O306" i="2"/>
  <c r="O333" i="2"/>
  <c r="P401" i="2"/>
  <c r="P399" i="2" s="1"/>
  <c r="O17" i="2"/>
  <c r="O27" i="2"/>
  <c r="O93" i="2"/>
  <c r="O131" i="2"/>
  <c r="O124" i="2" s="1"/>
  <c r="O115" i="2" s="1"/>
  <c r="O158" i="2"/>
  <c r="P196" i="2"/>
  <c r="P195" i="2" s="1"/>
  <c r="O348" i="2"/>
  <c r="P375" i="2"/>
  <c r="P374" i="2" s="1"/>
  <c r="P432" i="2"/>
  <c r="P1302" i="2"/>
  <c r="O242" i="2"/>
  <c r="O264" i="2"/>
  <c r="P298" i="2"/>
  <c r="P297" i="2" s="1"/>
  <c r="P324" i="2"/>
  <c r="P348" i="2"/>
  <c r="O366" i="2"/>
  <c r="P470" i="2"/>
  <c r="P242" i="2"/>
  <c r="P264" i="2"/>
  <c r="P367" i="2"/>
  <c r="P366" i="2" s="1"/>
  <c r="P391" i="2"/>
  <c r="P390" i="2" s="1"/>
  <c r="P383" i="2" s="1"/>
  <c r="P450" i="2"/>
  <c r="P214" i="2"/>
  <c r="O214" i="2"/>
  <c r="P317" i="2"/>
  <c r="P315" i="2" s="1"/>
  <c r="P507" i="2"/>
  <c r="P599" i="2"/>
  <c r="P649" i="2"/>
  <c r="P660" i="2"/>
  <c r="P719" i="2"/>
  <c r="P793" i="2"/>
  <c r="P821" i="2"/>
  <c r="P859" i="2"/>
  <c r="P886" i="2"/>
  <c r="P913" i="2"/>
  <c r="P611" i="2"/>
  <c r="P623" i="2"/>
  <c r="P850" i="2"/>
  <c r="P877" i="2"/>
  <c r="P904" i="2"/>
  <c r="P964" i="2"/>
  <c r="P991" i="2"/>
  <c r="P1047" i="2"/>
  <c r="P1076" i="2"/>
  <c r="P549" i="2"/>
  <c r="P668" i="2"/>
  <c r="P679" i="2"/>
  <c r="P785" i="2"/>
  <c r="P813" i="2"/>
  <c r="P840" i="2"/>
  <c r="P575" i="2"/>
  <c r="P636" i="2"/>
  <c r="P740" i="2"/>
  <c r="P803" i="2"/>
  <c r="P868" i="2"/>
  <c r="P895" i="2"/>
  <c r="P922" i="2"/>
  <c r="P982" i="2"/>
  <c r="P1066" i="2"/>
  <c r="P1123" i="2"/>
  <c r="P1135" i="2"/>
  <c r="P1146" i="2"/>
  <c r="P946" i="2"/>
  <c r="P1028" i="2"/>
  <c r="P1114" i="2"/>
  <c r="P1214" i="2"/>
  <c r="P1234" i="2"/>
  <c r="P1000" i="2"/>
  <c r="P1085" i="2"/>
  <c r="P1185" i="2"/>
  <c r="P1271" i="2"/>
  <c r="P1326" i="2"/>
  <c r="P1335" i="2"/>
  <c r="P1390" i="2"/>
  <c r="P973" i="2"/>
  <c r="P1057" i="2"/>
  <c r="P1243" i="2"/>
  <c r="P1345" i="2"/>
  <c r="P1381" i="2"/>
  <c r="P1399" i="2"/>
  <c r="J24" i="1"/>
  <c r="J97" i="1"/>
  <c r="J120" i="1"/>
  <c r="J151" i="1"/>
  <c r="J234" i="1"/>
  <c r="J42" i="1"/>
  <c r="J49" i="1"/>
  <c r="J59" i="1"/>
  <c r="J79" i="1"/>
  <c r="J103" i="1"/>
  <c r="J102" i="1" s="1"/>
  <c r="J114" i="1"/>
  <c r="J129" i="1"/>
  <c r="J128" i="1" s="1"/>
  <c r="J169" i="1"/>
  <c r="J392" i="1"/>
  <c r="J402" i="1"/>
  <c r="J310" i="1"/>
  <c r="J279" i="1"/>
  <c r="J416" i="1"/>
  <c r="J415" i="1" s="1"/>
  <c r="J87" i="1" l="1"/>
  <c r="J135" i="1"/>
  <c r="F13" i="3" s="1"/>
  <c r="J107" i="1"/>
  <c r="J166" i="1"/>
  <c r="F18" i="3" s="1"/>
  <c r="J72" i="1"/>
  <c r="F8" i="3" s="1"/>
  <c r="F19" i="4"/>
  <c r="F29" i="4"/>
  <c r="AC29" i="4" s="1"/>
  <c r="F23" i="3"/>
  <c r="F24" i="3"/>
  <c r="F30" i="4"/>
  <c r="AE30" i="4" s="1"/>
  <c r="F15" i="4"/>
  <c r="F9" i="3"/>
  <c r="F23" i="4"/>
  <c r="V23" i="4" s="1"/>
  <c r="F17" i="3"/>
  <c r="F28" i="4"/>
  <c r="AC28" i="4" s="1"/>
  <c r="F22" i="3"/>
  <c r="F27" i="4"/>
  <c r="F21" i="3"/>
  <c r="F16" i="4"/>
  <c r="F10" i="3"/>
  <c r="F12" i="3"/>
  <c r="F18" i="4"/>
  <c r="F6" i="3"/>
  <c r="F12" i="4"/>
  <c r="F5" i="3"/>
  <c r="F11" i="4"/>
  <c r="J150" i="1"/>
  <c r="J193" i="1"/>
  <c r="J309" i="1"/>
  <c r="P115" i="2"/>
  <c r="J41" i="1"/>
  <c r="J101" i="1"/>
  <c r="F14" i="4" l="1"/>
  <c r="F24" i="4"/>
  <c r="X24" i="4" s="1"/>
  <c r="F22" i="4"/>
  <c r="F16" i="3"/>
  <c r="Q18" i="4"/>
  <c r="O18" i="4"/>
  <c r="F25" i="4"/>
  <c r="F19" i="3"/>
  <c r="F13" i="4"/>
  <c r="F7" i="3"/>
  <c r="L476" i="1"/>
  <c r="X27" i="4"/>
  <c r="AA27" i="4"/>
  <c r="O16" i="4"/>
  <c r="Q16" i="4"/>
  <c r="J473" i="1"/>
  <c r="L473" i="1" s="1"/>
  <c r="L474" i="1" s="1"/>
  <c r="F17" i="4"/>
  <c r="F11" i="3"/>
  <c r="M14" i="4"/>
  <c r="O14" i="4"/>
  <c r="Q14" i="4"/>
  <c r="J14" i="4"/>
  <c r="Q15" i="4"/>
  <c r="O15" i="4"/>
  <c r="F26" i="4"/>
  <c r="F20" i="3"/>
  <c r="M12" i="4"/>
  <c r="J12" i="4"/>
  <c r="H12" i="4"/>
  <c r="V24" i="4"/>
  <c r="T19" i="4"/>
  <c r="O19" i="4"/>
  <c r="Q19" i="4"/>
  <c r="J11" i="4"/>
  <c r="H11" i="4"/>
  <c r="F33" i="4" l="1"/>
  <c r="F25" i="3"/>
  <c r="G5" i="3" s="1"/>
  <c r="AC26" i="4"/>
  <c r="AC33" i="4" s="1"/>
  <c r="AE26" i="4"/>
  <c r="AE33" i="4" s="1"/>
  <c r="X26" i="4"/>
  <c r="AA26" i="4"/>
  <c r="AA25" i="4"/>
  <c r="X25" i="4"/>
  <c r="V25" i="4"/>
  <c r="O17" i="4"/>
  <c r="O33" i="4" s="1"/>
  <c r="P33" i="4" s="1"/>
  <c r="Q17" i="4"/>
  <c r="Q33" i="4" s="1"/>
  <c r="S33" i="4" s="1"/>
  <c r="T17" i="4"/>
  <c r="H13" i="4"/>
  <c r="H33" i="4" s="1"/>
  <c r="I33" i="4" s="1"/>
  <c r="M13" i="4"/>
  <c r="M33" i="4" s="1"/>
  <c r="J13" i="4"/>
  <c r="J33" i="4" s="1"/>
  <c r="T22" i="4"/>
  <c r="V22" i="4"/>
  <c r="V33" i="4" s="1"/>
  <c r="W33" i="4" s="1"/>
  <c r="G27" i="4"/>
  <c r="G25" i="4"/>
  <c r="G16" i="4"/>
  <c r="G26" i="4"/>
  <c r="AD33" i="4"/>
  <c r="G19" i="4"/>
  <c r="G12" i="4"/>
  <c r="G21" i="4"/>
  <c r="G28" i="4"/>
  <c r="G20" i="4"/>
  <c r="G13" i="4"/>
  <c r="G24" i="4"/>
  <c r="G15" i="4"/>
  <c r="G23" i="4"/>
  <c r="G18" i="4"/>
  <c r="G14" i="4"/>
  <c r="AG33" i="4"/>
  <c r="G17" i="4"/>
  <c r="G22" i="4"/>
  <c r="G29" i="4"/>
  <c r="G30" i="4"/>
  <c r="G11" i="4"/>
  <c r="N33" i="4" l="1"/>
  <c r="G16" i="3"/>
  <c r="G14" i="3"/>
  <c r="G18" i="3"/>
  <c r="G7" i="3"/>
  <c r="G24" i="3"/>
  <c r="G11" i="3"/>
  <c r="G13" i="3"/>
  <c r="G20" i="3"/>
  <c r="G9" i="3"/>
  <c r="G15" i="3"/>
  <c r="G17" i="3"/>
  <c r="G21" i="3"/>
  <c r="G23" i="3"/>
  <c r="G19" i="3"/>
  <c r="G22" i="3"/>
  <c r="G8" i="3"/>
  <c r="G10" i="3"/>
  <c r="G12" i="3"/>
  <c r="G6" i="3"/>
  <c r="AA33" i="4"/>
  <c r="AB33" i="4" s="1"/>
  <c r="T33" i="4"/>
  <c r="U33" i="4" s="1"/>
  <c r="X33" i="4"/>
  <c r="Z33" i="4" s="1"/>
  <c r="L33" i="4"/>
  <c r="J34" i="4"/>
  <c r="L34" i="4" s="1"/>
  <c r="G33" i="4"/>
  <c r="G25" i="3" l="1"/>
  <c r="M34" i="4"/>
  <c r="O34" i="4" s="1"/>
  <c r="N34" i="4" l="1"/>
  <c r="P34" i="4"/>
  <c r="Q34" i="4"/>
  <c r="S34" i="4" l="1"/>
  <c r="T34" i="4"/>
  <c r="V34" i="4" l="1"/>
  <c r="U34" i="4"/>
  <c r="W34" i="4" l="1"/>
  <c r="X34" i="4"/>
  <c r="Z34" i="4" l="1"/>
  <c r="AA34" i="4"/>
  <c r="AB34" i="4" l="1"/>
  <c r="AC34" i="4"/>
  <c r="AE34" i="4" l="1"/>
  <c r="AG34" i="4" s="1"/>
  <c r="AD34" i="4"/>
</calcChain>
</file>

<file path=xl/sharedStrings.xml><?xml version="1.0" encoding="utf-8"?>
<sst xmlns="http://schemas.openxmlformats.org/spreadsheetml/2006/main" count="8365" uniqueCount="2115">
  <si>
    <r>
      <rPr>
        <b/>
        <sz val="17"/>
        <rFont val="Arial"/>
        <family val="2"/>
      </rPr>
      <t>PLANILHA DE ORÇAMENTO SINTÉTICO</t>
    </r>
  </si>
  <si>
    <r>
      <rPr>
        <b/>
        <sz val="11"/>
        <rFont val="Arial"/>
        <family val="2"/>
      </rPr>
      <t>Secretaria de Atenção Especializada à Saúde                                                                                                                                                                                                             BDI Geral:                      Encargo Social Mensalista:                  Data:</t>
    </r>
  </si>
  <si>
    <r>
      <rPr>
        <b/>
        <sz val="11"/>
        <rFont val="Arial"/>
        <family val="2"/>
      </rPr>
      <t>Item</t>
    </r>
  </si>
  <si>
    <r>
      <rPr>
        <b/>
        <sz val="11"/>
        <rFont val="Arial"/>
        <family val="2"/>
      </rPr>
      <t>Código</t>
    </r>
  </si>
  <si>
    <r>
      <rPr>
        <b/>
        <sz val="11"/>
        <rFont val="Arial"/>
        <family val="2"/>
      </rPr>
      <t>Banco</t>
    </r>
  </si>
  <si>
    <r>
      <rPr>
        <b/>
        <sz val="11"/>
        <rFont val="Arial"/>
        <family val="2"/>
      </rPr>
      <t>Descrição</t>
    </r>
  </si>
  <si>
    <r>
      <rPr>
        <b/>
        <sz val="11"/>
        <rFont val="Arial"/>
        <family val="2"/>
      </rPr>
      <t>Und</t>
    </r>
  </si>
  <si>
    <r>
      <rPr>
        <b/>
        <sz val="11"/>
        <rFont val="Arial"/>
        <family val="2"/>
      </rPr>
      <t>Quant.</t>
    </r>
  </si>
  <si>
    <r>
      <rPr>
        <b/>
        <sz val="11"/>
        <rFont val="Arial"/>
        <family val="2"/>
      </rPr>
      <t>Valor Unit</t>
    </r>
  </si>
  <si>
    <t>Valor Unit c/ Desconto</t>
  </si>
  <si>
    <r>
      <rPr>
        <b/>
        <sz val="11"/>
        <rFont val="Arial"/>
        <family val="2"/>
      </rPr>
      <t xml:space="preserve">Valor Unit com
</t>
    </r>
    <r>
      <rPr>
        <b/>
        <sz val="11"/>
        <rFont val="Arial"/>
        <family val="2"/>
      </rPr>
      <t>BDI</t>
    </r>
  </si>
  <si>
    <r>
      <rPr>
        <b/>
        <sz val="11"/>
        <rFont val="Arial"/>
        <family val="2"/>
      </rPr>
      <t>Total</t>
    </r>
  </si>
  <si>
    <t>SERVIÇOS PRELIMINARES E INDIRETOS</t>
  </si>
  <si>
    <r>
      <rPr>
        <b/>
        <sz val="11"/>
        <rFont val="Arial"/>
        <family val="2"/>
      </rPr>
      <t>1.1</t>
    </r>
  </si>
  <si>
    <r>
      <rPr>
        <b/>
        <sz val="11"/>
        <rFont val="Arial"/>
        <family val="2"/>
      </rPr>
      <t>CANTEIRO DE OBRAS</t>
    </r>
  </si>
  <si>
    <r>
      <rPr>
        <sz val="11"/>
        <rFont val="Arial MT"/>
        <family val="2"/>
      </rPr>
      <t>1.1.1</t>
    </r>
  </si>
  <si>
    <r>
      <rPr>
        <sz val="11"/>
        <rFont val="Arial MT"/>
        <family val="2"/>
      </rPr>
      <t>CPU2526</t>
    </r>
  </si>
  <si>
    <r>
      <rPr>
        <sz val="11"/>
        <rFont val="Arial MT"/>
        <family val="2"/>
      </rPr>
      <t>Próprio</t>
    </r>
  </si>
  <si>
    <r>
      <rPr>
        <sz val="11"/>
        <rFont val="Arial MT"/>
        <family val="2"/>
      </rPr>
      <t>LOCAÇÃO DE CONTAINER TIPO DEPÓSITO - ÁREA MÍNIMA DE 13,80 M2</t>
    </r>
  </si>
  <si>
    <r>
      <rPr>
        <sz val="11"/>
        <rFont val="Arial MT"/>
        <family val="2"/>
      </rPr>
      <t>UNXMÊS</t>
    </r>
  </si>
  <si>
    <r>
      <rPr>
        <sz val="11"/>
        <rFont val="Arial MT"/>
        <family val="2"/>
      </rPr>
      <t>1.1.2</t>
    </r>
  </si>
  <si>
    <r>
      <rPr>
        <sz val="11"/>
        <rFont val="Arial MT"/>
        <family val="2"/>
      </rPr>
      <t>CPU2527</t>
    </r>
  </si>
  <si>
    <r>
      <rPr>
        <sz val="11"/>
        <rFont val="Arial MT"/>
        <family val="2"/>
      </rPr>
      <t>BARRACÃO ABERTO PARA APOIO À PRODUÇÃO (CARPINTARIA, CENTRAL DE ARMAÇÃO, OFICINA, ETC.) C/</t>
    </r>
  </si>
  <si>
    <r>
      <rPr>
        <sz val="11"/>
        <rFont val="Arial MT"/>
        <family val="2"/>
      </rPr>
      <t>m²</t>
    </r>
  </si>
  <si>
    <r>
      <rPr>
        <sz val="11"/>
        <rFont val="Arial MT"/>
        <family val="2"/>
      </rPr>
      <t>1.1.3</t>
    </r>
  </si>
  <si>
    <r>
      <rPr>
        <sz val="11"/>
        <rFont val="Arial MT"/>
        <family val="2"/>
      </rPr>
      <t>CPU2528</t>
    </r>
  </si>
  <si>
    <r>
      <rPr>
        <sz val="11"/>
        <rFont val="Arial MT"/>
        <family val="2"/>
      </rPr>
      <t>LOCAÇÃO DE CONTAINER - BANHEIRO COM CHUVEIROS E VASOS - 4,30 X 2,30M</t>
    </r>
  </si>
  <si>
    <r>
      <rPr>
        <sz val="11"/>
        <rFont val="Arial MT"/>
        <family val="2"/>
      </rPr>
      <t>MÊS</t>
    </r>
  </si>
  <si>
    <r>
      <rPr>
        <sz val="11"/>
        <rFont val="Arial MT"/>
        <family val="2"/>
      </rPr>
      <t>1.1.4</t>
    </r>
  </si>
  <si>
    <r>
      <rPr>
        <sz val="11"/>
        <rFont val="Arial MT"/>
        <family val="2"/>
      </rPr>
      <t>CPU2529</t>
    </r>
  </si>
  <si>
    <r>
      <rPr>
        <sz val="11"/>
        <rFont val="Arial MT"/>
        <family val="2"/>
      </rPr>
      <t>BARRACAO PARA REFEITORIO EM OBRAS EM COMPENSADO</t>
    </r>
  </si>
  <si>
    <r>
      <rPr>
        <sz val="11"/>
        <rFont val="Arial MT"/>
        <family val="2"/>
      </rPr>
      <t>1.1.5</t>
    </r>
  </si>
  <si>
    <r>
      <rPr>
        <sz val="11"/>
        <rFont val="Arial MT"/>
        <family val="2"/>
      </rPr>
      <t>SINAPI</t>
    </r>
  </si>
  <si>
    <r>
      <rPr>
        <sz val="11"/>
        <rFont val="Arial MT"/>
        <family val="2"/>
      </rPr>
      <t>KIT CAVALETE PARA MEDIÇÃO DE ÁGUA - ENTRADA INDIVIDUALIZADA, EM CPVC DN 28 MM (1"), PARA 1 MEDIDOR</t>
    </r>
  </si>
  <si>
    <r>
      <rPr>
        <sz val="11"/>
        <rFont val="Arial MT"/>
        <family val="2"/>
      </rPr>
      <t>UN</t>
    </r>
  </si>
  <si>
    <r>
      <rPr>
        <sz val="11"/>
        <rFont val="Arial MT"/>
        <family val="2"/>
      </rPr>
      <t>1.1.6</t>
    </r>
  </si>
  <si>
    <r>
      <rPr>
        <sz val="11"/>
        <rFont val="Arial MT"/>
        <family val="2"/>
      </rPr>
      <t>HIDRÔMETRO DN 1/2", 1,5 M3/H - FORNECIMENTO E INSTALAÇÃO. AF_03/2024</t>
    </r>
  </si>
  <si>
    <r>
      <rPr>
        <sz val="11"/>
        <rFont val="Arial MT"/>
        <family val="2"/>
      </rPr>
      <t>1.1.7</t>
    </r>
  </si>
  <si>
    <r>
      <rPr>
        <sz val="11"/>
        <rFont val="Arial MT"/>
        <family val="2"/>
      </rPr>
      <t>ENTRADA DE ENERGIA ELÉTRICA, AÉREA, TRIFÁSICA, COM CAIXA DE EMBUTIR, CABO DE 10 MM2 E DISJUNTOR</t>
    </r>
  </si>
  <si>
    <r>
      <rPr>
        <sz val="11"/>
        <rFont val="Arial MT"/>
        <family val="2"/>
      </rPr>
      <t>1.1.8</t>
    </r>
  </si>
  <si>
    <r>
      <rPr>
        <sz val="11"/>
        <rFont val="Arial MT"/>
        <family val="2"/>
      </rPr>
      <t>FORNECIMENTO E INSTALAÇÃO DE PLACA DE OBRA COM CHAPA GALVANIZADA E ESTRUTURA DE MADEIRA.</t>
    </r>
  </si>
  <si>
    <r>
      <rPr>
        <sz val="11"/>
        <rFont val="Arial MT"/>
        <family val="2"/>
      </rPr>
      <t>1.1.9</t>
    </r>
  </si>
  <si>
    <r>
      <rPr>
        <sz val="11"/>
        <rFont val="Arial MT"/>
        <family val="2"/>
      </rPr>
      <t>CPU2530</t>
    </r>
  </si>
  <si>
    <r>
      <rPr>
        <sz val="11"/>
        <rFont val="Arial MT"/>
        <family val="2"/>
      </rPr>
      <t>REMOÇÃO DE ENTULHO SEPARADO DE OBRA COM CAÇAMBA METÁLICA - TERRA, ALVENARIA, CONCRETO,</t>
    </r>
  </si>
  <si>
    <r>
      <rPr>
        <sz val="11"/>
        <rFont val="Arial MT"/>
        <family val="2"/>
      </rPr>
      <t>m³</t>
    </r>
  </si>
  <si>
    <r>
      <rPr>
        <sz val="11"/>
        <rFont val="Arial MT"/>
        <family val="2"/>
      </rPr>
      <t>TAPUME COM TELHA METÁLICA. AF_03/2024</t>
    </r>
  </si>
  <si>
    <r>
      <rPr>
        <b/>
        <sz val="11"/>
        <rFont val="Arial"/>
        <family val="2"/>
      </rPr>
      <t>1.2</t>
    </r>
  </si>
  <si>
    <r>
      <rPr>
        <b/>
        <sz val="11"/>
        <rFont val="Arial"/>
        <family val="2"/>
      </rPr>
      <t>ADMINISTRAÇÃO LOCAL DA OBRA</t>
    </r>
  </si>
  <si>
    <r>
      <rPr>
        <sz val="11"/>
        <rFont val="Arial MT"/>
        <family val="2"/>
      </rPr>
      <t>1.2.1</t>
    </r>
  </si>
  <si>
    <r>
      <rPr>
        <sz val="11"/>
        <rFont val="Arial MT"/>
        <family val="2"/>
      </rPr>
      <t>ENGENHEIRO CIVIL DE OBRA JUNIOR COM ENCARGOS COMPLEMENTARES</t>
    </r>
  </si>
  <si>
    <r>
      <rPr>
        <sz val="11"/>
        <rFont val="Arial MT"/>
        <family val="2"/>
      </rPr>
      <t>MES</t>
    </r>
  </si>
  <si>
    <r>
      <rPr>
        <b/>
        <sz val="11"/>
        <rFont val="Arial"/>
        <family val="2"/>
      </rPr>
      <t>1.3</t>
    </r>
  </si>
  <si>
    <r>
      <rPr>
        <b/>
        <sz val="11"/>
        <rFont val="Arial"/>
        <family val="2"/>
      </rPr>
      <t>MOBILIZAÇÃO E DESMOBILIZAÇÃO</t>
    </r>
  </si>
  <si>
    <r>
      <rPr>
        <sz val="11"/>
        <rFont val="Arial MT"/>
        <family val="2"/>
      </rPr>
      <t>1.3.1</t>
    </r>
  </si>
  <si>
    <r>
      <rPr>
        <sz val="11"/>
        <rFont val="Arial MT"/>
        <family val="2"/>
      </rPr>
      <t>CPU2531</t>
    </r>
  </si>
  <si>
    <r>
      <rPr>
        <sz val="11"/>
        <rFont val="Arial MT"/>
        <family val="2"/>
      </rPr>
      <t>MOBILIZACAO E DESMOBILIZACAO DE CANTEIRO</t>
    </r>
  </si>
  <si>
    <r>
      <rPr>
        <b/>
        <sz val="11"/>
        <rFont val="Arial"/>
        <family val="2"/>
      </rPr>
      <t>1.4</t>
    </r>
  </si>
  <si>
    <r>
      <rPr>
        <b/>
        <sz val="11"/>
        <rFont val="Arial"/>
        <family val="2"/>
      </rPr>
      <t>EQUIPAMENTOS DE APOIO</t>
    </r>
  </si>
  <si>
    <r>
      <rPr>
        <sz val="11"/>
        <rFont val="Arial MT"/>
        <family val="2"/>
      </rPr>
      <t>1.4.1</t>
    </r>
  </si>
  <si>
    <r>
      <rPr>
        <sz val="11"/>
        <rFont val="Arial MT"/>
        <family val="2"/>
      </rPr>
      <t>CPU1926</t>
    </r>
  </si>
  <si>
    <r>
      <rPr>
        <sz val="11"/>
        <rFont val="Arial MT"/>
        <family val="2"/>
      </rPr>
      <t>LOCACAO DE ANDAIME METALICO TIPO FACHADEIRO, PECAS COM APROXIMADAMENTE 1,20 M DE LARGURA E</t>
    </r>
  </si>
  <si>
    <r>
      <rPr>
        <sz val="11"/>
        <rFont val="Arial MT"/>
        <family val="2"/>
      </rPr>
      <t>M2XMÊS</t>
    </r>
  </si>
  <si>
    <t>FUNDAÇÃO</t>
  </si>
  <si>
    <r>
      <rPr>
        <sz val="11"/>
        <rFont val="Arial MT"/>
        <family val="2"/>
      </rPr>
      <t>2.1</t>
    </r>
  </si>
  <si>
    <r>
      <rPr>
        <sz val="11"/>
        <rFont val="Arial MT"/>
        <family val="2"/>
      </rPr>
      <t>LOCAÇÃO CONVENCIONAL DE OBRA, UTILIZANDO GABARITO DE TÁBUAS CORRIDAS PONTALETADAS A CADA</t>
    </r>
  </si>
  <si>
    <r>
      <rPr>
        <sz val="11"/>
        <rFont val="Arial MT"/>
        <family val="2"/>
      </rPr>
      <t>M</t>
    </r>
  </si>
  <si>
    <r>
      <rPr>
        <sz val="11"/>
        <rFont val="Arial MT"/>
        <family val="2"/>
      </rPr>
      <t>2.2</t>
    </r>
  </si>
  <si>
    <r>
      <rPr>
        <sz val="11"/>
        <rFont val="Arial MT"/>
        <family val="2"/>
      </rPr>
      <t>ESCAVAÇÃO MECANIZADA DE VALA COM PROF. ATÉ 1,5 M (MÉDIA MONTANTE E JUSANTE/UMA COMPOSIÇÃO</t>
    </r>
  </si>
  <si>
    <r>
      <rPr>
        <sz val="11"/>
        <rFont val="Arial MT"/>
        <family val="2"/>
      </rPr>
      <t>2.3</t>
    </r>
  </si>
  <si>
    <r>
      <rPr>
        <sz val="11"/>
        <rFont val="Arial MT"/>
        <family val="2"/>
      </rPr>
      <t>ESCAVAÇÃO MANUAL DE VALA COM PROFUNDIDADE MENOR OU IGUAL A 1,30 M. AF_02/2021</t>
    </r>
  </si>
  <si>
    <r>
      <rPr>
        <sz val="11"/>
        <rFont val="Arial MT"/>
        <family val="2"/>
      </rPr>
      <t>2.4</t>
    </r>
  </si>
  <si>
    <r>
      <rPr>
        <sz val="11"/>
        <rFont val="Arial MT"/>
        <family val="2"/>
      </rPr>
      <t>LASTRO COM MATERIAL GRANULAR (PEDRA BRITADA N.1 E PEDRA BRITADA N.2), APLICADO EM PISOS OU LAJES</t>
    </r>
  </si>
  <si>
    <r>
      <rPr>
        <sz val="11"/>
        <rFont val="Arial MT"/>
        <family val="2"/>
      </rPr>
      <t>2.5</t>
    </r>
  </si>
  <si>
    <r>
      <rPr>
        <sz val="11"/>
        <rFont val="Arial MT"/>
        <family val="2"/>
      </rPr>
      <t>FABRICAÇÃO, MONTAGEM E DESMONTAGEM DE FÔRMA PARA BLOCO DE COROAMENTO, EM MADEIRA</t>
    </r>
  </si>
  <si>
    <r>
      <rPr>
        <sz val="11"/>
        <rFont val="Arial MT"/>
        <family val="2"/>
      </rPr>
      <t>2.6</t>
    </r>
  </si>
  <si>
    <r>
      <rPr>
        <sz val="11"/>
        <rFont val="Arial MT"/>
        <family val="2"/>
      </rPr>
      <t>ARMAÇÃO DE BLOCO UTILIZANDO AÇO CA-60 DE 5 MM - MONTAGEM. AF_01/2024</t>
    </r>
  </si>
  <si>
    <r>
      <rPr>
        <sz val="11"/>
        <rFont val="Arial MT"/>
        <family val="2"/>
      </rPr>
      <t>KG</t>
    </r>
  </si>
  <si>
    <r>
      <rPr>
        <sz val="11"/>
        <rFont val="Arial MT"/>
        <family val="2"/>
      </rPr>
      <t>2.7</t>
    </r>
  </si>
  <si>
    <r>
      <rPr>
        <sz val="11"/>
        <rFont val="Arial MT"/>
        <family val="2"/>
      </rPr>
      <t>ARMAÇÃO DE BLOCO UTILIZANDO AÇO CA-50 DE 6,3 MM - MONTAGEM. AF_01/2024</t>
    </r>
  </si>
  <si>
    <r>
      <rPr>
        <sz val="11"/>
        <rFont val="Arial MT"/>
        <family val="2"/>
      </rPr>
      <t>2.8</t>
    </r>
  </si>
  <si>
    <r>
      <rPr>
        <sz val="11"/>
        <rFont val="Arial MT"/>
        <family val="2"/>
      </rPr>
      <t>ARMAÇÃO DE BLOCO UTILIZANDO AÇO CA-50 DE 8 MM - MONTAGEM. AF_01/2024</t>
    </r>
  </si>
  <si>
    <r>
      <rPr>
        <sz val="11"/>
        <rFont val="Arial MT"/>
        <family val="2"/>
      </rPr>
      <t>2.9</t>
    </r>
  </si>
  <si>
    <r>
      <rPr>
        <sz val="11"/>
        <rFont val="Arial MT"/>
        <family val="2"/>
      </rPr>
      <t>ARMAÇÃO DE BLOCO UTILIZANDO AÇO CA-50 DE 10 MM - MONTAGEM. AF_01/2024</t>
    </r>
  </si>
  <si>
    <r>
      <rPr>
        <sz val="11"/>
        <rFont val="Arial MT"/>
        <family val="2"/>
      </rPr>
      <t>2.10</t>
    </r>
  </si>
  <si>
    <r>
      <rPr>
        <sz val="11"/>
        <rFont val="Arial MT"/>
        <family val="2"/>
      </rPr>
      <t>ARMAÇÃO DE BLOCO, SAPATA ISOLADA, VIGA BALDRAME E SAPATA CORRIDA UTILIZANDO AÇO CA-50 DE 12,5</t>
    </r>
  </si>
  <si>
    <r>
      <rPr>
        <sz val="11"/>
        <rFont val="Arial MT"/>
        <family val="2"/>
      </rPr>
      <t>2.11</t>
    </r>
  </si>
  <si>
    <r>
      <rPr>
        <sz val="11"/>
        <rFont val="Arial MT"/>
        <family val="2"/>
      </rPr>
      <t>ARMAÇÃO DE BLOCO, SAPATA ISOLADA, VIGA BALDRAME E SAPATA CORRIDA UTILIZANDO AÇO CA-50 DE 16 MM -</t>
    </r>
  </si>
  <si>
    <r>
      <rPr>
        <sz val="11"/>
        <rFont val="Arial MT"/>
        <family val="2"/>
      </rPr>
      <t>2.12</t>
    </r>
  </si>
  <si>
    <r>
      <rPr>
        <sz val="11"/>
        <rFont val="Arial MT"/>
        <family val="2"/>
      </rPr>
      <t>CONCRETAGEM DE BLOCO DE COROAMENTO OU VIGA BALDRAME, FCK 30 MPA, COM USO DE BOMBA -</t>
    </r>
  </si>
  <si>
    <r>
      <rPr>
        <sz val="11"/>
        <rFont val="Arial MT"/>
        <family val="2"/>
      </rPr>
      <t>2.13</t>
    </r>
  </si>
  <si>
    <r>
      <rPr>
        <sz val="11"/>
        <rFont val="Arial MT"/>
        <family val="2"/>
      </rPr>
      <t>ESPALHAMENTO DE MATERIAL COM TRATOR DE ESTEIRAS. AF_11/2019</t>
    </r>
  </si>
  <si>
    <r>
      <rPr>
        <sz val="11"/>
        <rFont val="Arial MT"/>
        <family val="2"/>
      </rPr>
      <t>2.14</t>
    </r>
  </si>
  <si>
    <r>
      <rPr>
        <sz val="11"/>
        <rFont val="Arial MT"/>
        <family val="2"/>
      </rPr>
      <t>REATERRO MANUAL DE VALAS, COM COMPACTADOR DE SOLOS DE PERCUSSÃO. AF_08/2023</t>
    </r>
  </si>
  <si>
    <r>
      <rPr>
        <sz val="11"/>
        <rFont val="Arial MT"/>
        <family val="2"/>
      </rPr>
      <t>2.15</t>
    </r>
  </si>
  <si>
    <r>
      <rPr>
        <sz val="11"/>
        <rFont val="Arial MT"/>
        <family val="2"/>
      </rPr>
      <t>IMPERMEABILIZAÇÃO DE SUPERFÍCIE COM EMULSÃO ASFÁLTICA, 2 DEMÃOS. AF_09/2023</t>
    </r>
  </si>
  <si>
    <r>
      <rPr>
        <sz val="11"/>
        <rFont val="Arial MT"/>
        <family val="2"/>
      </rPr>
      <t>2.16</t>
    </r>
  </si>
  <si>
    <r>
      <rPr>
        <sz val="11"/>
        <rFont val="Arial MT"/>
        <family val="2"/>
      </rPr>
      <t>CPU2532</t>
    </r>
  </si>
  <si>
    <r>
      <rPr>
        <sz val="11"/>
        <rFont val="Arial MT"/>
        <family val="2"/>
      </rPr>
      <t>CONTROLE TECNOLOGICO DE CONCRETOS</t>
    </r>
  </si>
  <si>
    <t>ESTRUTURA</t>
  </si>
  <si>
    <r>
      <rPr>
        <b/>
        <sz val="11"/>
        <rFont val="Arial"/>
        <family val="2"/>
      </rPr>
      <t>3.1</t>
    </r>
  </si>
  <si>
    <r>
      <rPr>
        <b/>
        <sz val="11"/>
        <rFont val="Arial"/>
        <family val="2"/>
      </rPr>
      <t>PILARES</t>
    </r>
  </si>
  <si>
    <r>
      <rPr>
        <sz val="11"/>
        <rFont val="Arial MT"/>
        <family val="2"/>
      </rPr>
      <t>3.1.1</t>
    </r>
  </si>
  <si>
    <r>
      <rPr>
        <sz val="11"/>
        <rFont val="Arial MT"/>
        <family val="2"/>
      </rPr>
      <t>MONTAGEM E DESMONTAGEM DE FÔRMA DE PILARES RETANGULARES E ESTRUTURAS SIMILARES, PÉ-DIREITO</t>
    </r>
  </si>
  <si>
    <r>
      <rPr>
        <sz val="11"/>
        <rFont val="Arial MT"/>
        <family val="2"/>
      </rPr>
      <t>3.1.2</t>
    </r>
  </si>
  <si>
    <r>
      <rPr>
        <sz val="11"/>
        <rFont val="Arial MT"/>
        <family val="2"/>
      </rPr>
      <t xml:space="preserve">ARMAÇÃO DE PILAR OU VIGA DE ESTRUTURA CONVENCIONAL DE CONCRETO ARMADO UTILIZANDO AÇO CA-50
</t>
    </r>
    <r>
      <rPr>
        <sz val="11"/>
        <rFont val="Arial MT"/>
        <family val="2"/>
      </rPr>
      <t>DE 10,0 MM - MONTAGEM. AF_06/2022</t>
    </r>
  </si>
  <si>
    <r>
      <rPr>
        <sz val="11"/>
        <rFont val="Arial MT"/>
        <family val="2"/>
      </rPr>
      <t>3.1.3</t>
    </r>
  </si>
  <si>
    <r>
      <rPr>
        <sz val="11"/>
        <rFont val="Arial MT"/>
        <family val="2"/>
      </rPr>
      <t>ARMAÇÃO DE PILAR OU VIGA DE ESTRUTURA CONVENCIONAL DE CONCRETO ARMADO UTILIZANDO AÇO CA-50</t>
    </r>
  </si>
  <si>
    <r>
      <rPr>
        <sz val="11"/>
        <rFont val="Arial MT"/>
        <family val="2"/>
      </rPr>
      <t>3.1.4</t>
    </r>
  </si>
  <si>
    <r>
      <rPr>
        <sz val="11"/>
        <rFont val="Arial MT"/>
        <family val="2"/>
      </rPr>
      <t>ARMAÇÃO DE PILAR OU VIGA DE ESTRUTURA CONVENCIONAL DE CONCRETO ARMADO UTILIZANDO AÇO CA-60</t>
    </r>
  </si>
  <si>
    <r>
      <rPr>
        <sz val="11"/>
        <rFont val="Arial MT"/>
        <family val="2"/>
      </rPr>
      <t>3.1.5</t>
    </r>
  </si>
  <si>
    <r>
      <rPr>
        <sz val="11"/>
        <rFont val="Arial MT"/>
        <family val="2"/>
      </rPr>
      <t>CPU2284</t>
    </r>
  </si>
  <si>
    <r>
      <rPr>
        <sz val="11"/>
        <rFont val="Arial MT"/>
        <family val="2"/>
      </rPr>
      <t>CONCRETAGEM DE PILARES, FCK = 30 MPA, COM USO DE BOMBA - LANÇAMENTO, ADENSAMENTO E</t>
    </r>
  </si>
  <si>
    <r>
      <rPr>
        <sz val="11"/>
        <rFont val="Arial MT"/>
        <family val="2"/>
      </rPr>
      <t>3.1.6</t>
    </r>
  </si>
  <si>
    <r>
      <rPr>
        <b/>
        <sz val="11"/>
        <rFont val="Arial"/>
        <family val="2"/>
      </rPr>
      <t>3.2</t>
    </r>
  </si>
  <si>
    <r>
      <rPr>
        <b/>
        <sz val="11"/>
        <rFont val="Arial"/>
        <family val="2"/>
      </rPr>
      <t>VIGAS</t>
    </r>
  </si>
  <si>
    <r>
      <rPr>
        <sz val="11"/>
        <rFont val="Arial MT"/>
        <family val="2"/>
      </rPr>
      <t>3.2.1</t>
    </r>
  </si>
  <si>
    <r>
      <rPr>
        <sz val="11"/>
        <rFont val="Arial MT"/>
        <family val="2"/>
      </rPr>
      <t>MONTAGEM E DESMONTAGEM DE FÔRMA DE VIGA, ESCORAMENTO METÁLICO, PÉ-DIREITO SIMPLES, EM CHAPA</t>
    </r>
  </si>
  <si>
    <r>
      <rPr>
        <sz val="11"/>
        <rFont val="Arial MT"/>
        <family val="2"/>
      </rPr>
      <t>3.2.2</t>
    </r>
  </si>
  <si>
    <r>
      <rPr>
        <sz val="11"/>
        <rFont val="Arial MT"/>
        <family val="2"/>
      </rPr>
      <t xml:space="preserve">ARMAÇÃO DE PILAR OU VIGA DE ESTRUTURA CONVENCIONAL DE CONCRETO ARMADO UTILIZANDO AÇO CA-50
</t>
    </r>
    <r>
      <rPr>
        <sz val="11"/>
        <rFont val="Arial MT"/>
        <family val="2"/>
      </rPr>
      <t>DE 6,3 MM - MONTAGEM. AF_06/2022</t>
    </r>
  </si>
  <si>
    <r>
      <rPr>
        <sz val="11"/>
        <rFont val="Arial MT"/>
        <family val="2"/>
      </rPr>
      <t>3.2.3</t>
    </r>
  </si>
  <si>
    <r>
      <rPr>
        <sz val="11"/>
        <rFont val="Arial MT"/>
        <family val="2"/>
      </rPr>
      <t>3.2.4</t>
    </r>
  </si>
  <si>
    <r>
      <rPr>
        <sz val="11"/>
        <rFont val="Arial MT"/>
        <family val="2"/>
      </rPr>
      <t>3.2.5</t>
    </r>
  </si>
  <si>
    <r>
      <rPr>
        <sz val="11"/>
        <rFont val="Arial MT"/>
        <family val="2"/>
      </rPr>
      <t>3.2.6</t>
    </r>
  </si>
  <si>
    <r>
      <rPr>
        <sz val="11"/>
        <rFont val="Arial MT"/>
        <family val="2"/>
      </rPr>
      <t>3.2.7</t>
    </r>
  </si>
  <si>
    <r>
      <rPr>
        <sz val="11"/>
        <rFont val="Arial MT"/>
        <family val="2"/>
      </rPr>
      <t>3.2.8</t>
    </r>
  </si>
  <si>
    <r>
      <rPr>
        <sz val="11"/>
        <rFont val="Arial MT"/>
        <family val="2"/>
      </rPr>
      <t>CPU2283</t>
    </r>
  </si>
  <si>
    <r>
      <rPr>
        <sz val="11"/>
        <rFont val="Arial MT"/>
        <family val="2"/>
      </rPr>
      <t>CONCRETAGEM DE VIGAS E LAJES, FCK=30 MPA, PARA LAJES MACIÇAS OU NERVURADAS COM USO DE BOMBA -</t>
    </r>
  </si>
  <si>
    <r>
      <rPr>
        <sz val="11"/>
        <rFont val="Arial MT"/>
        <family val="2"/>
      </rPr>
      <t>3.2.9</t>
    </r>
  </si>
  <si>
    <r>
      <rPr>
        <b/>
        <sz val="11"/>
        <rFont val="Arial"/>
        <family val="2"/>
      </rPr>
      <t>3.3</t>
    </r>
  </si>
  <si>
    <r>
      <rPr>
        <b/>
        <sz val="11"/>
        <rFont val="Arial"/>
        <family val="2"/>
      </rPr>
      <t>LAJES</t>
    </r>
  </si>
  <si>
    <r>
      <rPr>
        <sz val="11"/>
        <rFont val="Arial MT"/>
        <family val="2"/>
      </rPr>
      <t>3.3.1</t>
    </r>
  </si>
  <si>
    <r>
      <rPr>
        <sz val="11"/>
        <rFont val="Arial MT"/>
        <family val="2"/>
      </rPr>
      <t>ARMAÇÃO DE LAJE DE ESTRUTURA CONVENCIONAL DE CONCRETO ARMADO UTILIZANDO AÇO CA-60 DE 5,0 MM -</t>
    </r>
  </si>
  <si>
    <r>
      <rPr>
        <sz val="11"/>
        <rFont val="Arial MT"/>
        <family val="2"/>
      </rPr>
      <t>3.3.2</t>
    </r>
  </si>
  <si>
    <r>
      <rPr>
        <sz val="11"/>
        <rFont val="Arial MT"/>
        <family val="2"/>
      </rPr>
      <t>ARMAÇÃO DE LAJE DE ESTRUTURA CONVENCIONAL DE CONCRETO ARMADO UTILIZANDO AÇO CA-50 DE 6,3 MM -</t>
    </r>
  </si>
  <si>
    <r>
      <rPr>
        <sz val="11"/>
        <rFont val="Arial MT"/>
        <family val="2"/>
      </rPr>
      <t>3.3.3</t>
    </r>
  </si>
  <si>
    <r>
      <rPr>
        <sz val="11"/>
        <rFont val="Arial MT"/>
        <family val="2"/>
      </rPr>
      <t>ARMAÇÃO DE LAJE DE ESTRUTURA CONVENCIONAL DE CONCRETO ARMADO UTILIZANDO AÇO CA-50 DE 8,0 MM -</t>
    </r>
  </si>
  <si>
    <r>
      <rPr>
        <sz val="11"/>
        <rFont val="Arial MT"/>
        <family val="2"/>
      </rPr>
      <t>3.3.4</t>
    </r>
  </si>
  <si>
    <r>
      <rPr>
        <sz val="11"/>
        <rFont val="Arial MT"/>
        <family val="2"/>
      </rPr>
      <t>ARMAÇÃO DE LAJE DE ESTRUTURA CONVENCIONAL DE CONCRETO ARMADO UTILIZANDO AÇO CA-50 DE 10,0</t>
    </r>
  </si>
  <si>
    <r>
      <rPr>
        <sz val="11"/>
        <rFont val="Arial MT"/>
        <family val="2"/>
      </rPr>
      <t>3.3.5</t>
    </r>
  </si>
  <si>
    <r>
      <rPr>
        <sz val="11"/>
        <rFont val="Arial MT"/>
        <family val="2"/>
      </rPr>
      <t>ARMAÇÃO DE LAJE DE ESTRUTURA CONVENCIONAL DE CONCRETO ARMADO UTILIZANDO AÇO CA-50 DE 12,5</t>
    </r>
  </si>
  <si>
    <r>
      <rPr>
        <sz val="11"/>
        <rFont val="Arial MT"/>
        <family val="2"/>
      </rPr>
      <t>3.3.6</t>
    </r>
  </si>
  <si>
    <r>
      <rPr>
        <sz val="11"/>
        <rFont val="Arial MT"/>
        <family val="2"/>
      </rPr>
      <t>3.3.7</t>
    </r>
  </si>
  <si>
    <r>
      <rPr>
        <sz val="11"/>
        <rFont val="Arial MT"/>
        <family val="2"/>
      </rPr>
      <t>3.3.8</t>
    </r>
  </si>
  <si>
    <r>
      <rPr>
        <sz val="11"/>
        <rFont val="Arial MT"/>
        <family val="2"/>
      </rPr>
      <t>CPU2100</t>
    </r>
  </si>
  <si>
    <r>
      <rPr>
        <sz val="11"/>
        <rFont val="Arial MT"/>
        <family val="2"/>
      </rPr>
      <t>Laje pré-fabricada unidirecional em viga treliçada/lajota em EPS LT 16 (12 + 4), exceto capa de concreto</t>
    </r>
  </si>
  <si>
    <r>
      <rPr>
        <sz val="11"/>
        <rFont val="Arial MT"/>
        <family val="2"/>
      </rPr>
      <t>3.3.9</t>
    </r>
  </si>
  <si>
    <r>
      <rPr>
        <sz val="11"/>
        <rFont val="Arial MT"/>
        <family val="2"/>
      </rPr>
      <t>CPU2534</t>
    </r>
  </si>
  <si>
    <r>
      <rPr>
        <sz val="11"/>
        <rFont val="Arial MT"/>
        <family val="2"/>
      </rPr>
      <t>FORNECIMENTO E INSTALAÇÃO DE TELA AÇO SOLDADA NERVURADA CA-60, MALHA 20X20CM,FERRO 3.4MM,</t>
    </r>
  </si>
  <si>
    <r>
      <rPr>
        <sz val="11"/>
        <rFont val="Arial MT"/>
        <family val="2"/>
      </rPr>
      <t>ESCORAMENTO DE FÔRMAS DE LAJE EM MADEIRA NÃO APARELHADA, PÉ-DIREITO SIMPLES, INCLUSO</t>
    </r>
  </si>
  <si>
    <r>
      <rPr>
        <b/>
        <sz val="11"/>
        <rFont val="Arial"/>
        <family val="2"/>
      </rPr>
      <t>3.4</t>
    </r>
  </si>
  <si>
    <r>
      <rPr>
        <b/>
        <sz val="11"/>
        <rFont val="Arial"/>
        <family val="2"/>
      </rPr>
      <t>BASE RESERVATÓRIO</t>
    </r>
  </si>
  <si>
    <r>
      <rPr>
        <sz val="11"/>
        <rFont val="Arial MT"/>
        <family val="2"/>
      </rPr>
      <t>3.4.1</t>
    </r>
  </si>
  <si>
    <r>
      <rPr>
        <sz val="11"/>
        <rFont val="Arial MT"/>
        <family val="2"/>
      </rPr>
      <t>EXECUÇÃO DE RADIER, ESPESSURA DE 20 CM, FCK = 30 MPA, COM USO DE FORMAS EM MADEIRA SERRADA.</t>
    </r>
  </si>
  <si>
    <t>ALVENARIA, VEDAÇÕES E DIVISÓRIAS</t>
  </si>
  <si>
    <r>
      <rPr>
        <b/>
        <sz val="11"/>
        <rFont val="Arial"/>
        <family val="2"/>
      </rPr>
      <t>4.1</t>
    </r>
  </si>
  <si>
    <r>
      <rPr>
        <b/>
        <sz val="11"/>
        <rFont val="Arial"/>
        <family val="2"/>
      </rPr>
      <t>ALVENARIA DE VEDAÇÃO</t>
    </r>
  </si>
  <si>
    <r>
      <rPr>
        <sz val="11"/>
        <rFont val="Arial MT"/>
        <family val="2"/>
      </rPr>
      <t>4.1.1</t>
    </r>
  </si>
  <si>
    <r>
      <rPr>
        <sz val="11"/>
        <rFont val="Arial MT"/>
        <family val="2"/>
      </rPr>
      <t>ALVENARIA DE VEDAÇÃO DE BLOCOS CERÂMICOS FURADOS NA VERTICAL DE 14X19X39 CM (ESPESSURA 14</t>
    </r>
  </si>
  <si>
    <r>
      <rPr>
        <sz val="11"/>
        <rFont val="Arial MT"/>
        <family val="2"/>
      </rPr>
      <t>4.1.2</t>
    </r>
  </si>
  <si>
    <r>
      <rPr>
        <sz val="11"/>
        <rFont val="Arial MT"/>
        <family val="2"/>
      </rPr>
      <t>CPU2535</t>
    </r>
  </si>
  <si>
    <r>
      <rPr>
        <sz val="11"/>
        <rFont val="Arial MT"/>
        <family val="2"/>
      </rPr>
      <t>COBOGO DE CIMENTO (ELEMENTO VAZADO, CIRCULAR), 30 X 30 X 5CM, ASSENTADO COM ARGAMASSA DE</t>
    </r>
  </si>
  <si>
    <r>
      <rPr>
        <sz val="11"/>
        <rFont val="Arial MT"/>
        <family val="2"/>
      </rPr>
      <t>4.1.3</t>
    </r>
  </si>
  <si>
    <r>
      <rPr>
        <sz val="11"/>
        <rFont val="Arial MT"/>
        <family val="2"/>
      </rPr>
      <t>VERGA MOLDADA IN LOCO COM UTILIZAÇÃO DE BLOCOS CANALETA, ESPESSURA DE *20* CM. AF_03/2024</t>
    </r>
  </si>
  <si>
    <r>
      <rPr>
        <sz val="11"/>
        <rFont val="Arial MT"/>
        <family val="2"/>
      </rPr>
      <t>4.1.4</t>
    </r>
  </si>
  <si>
    <r>
      <rPr>
        <sz val="11"/>
        <rFont val="Arial MT"/>
        <family val="2"/>
      </rPr>
      <t>CONTRAVERGA MOLDADA IN LOCO COM UTILIZAÇÃO DE BLOCOS CANALETA, ESPESSURA DE *20* CM.</t>
    </r>
  </si>
  <si>
    <r>
      <rPr>
        <sz val="11"/>
        <rFont val="Arial MT"/>
        <family val="2"/>
      </rPr>
      <t>4.1.5</t>
    </r>
  </si>
  <si>
    <r>
      <rPr>
        <sz val="11"/>
        <rFont val="Arial MT"/>
        <family val="2"/>
      </rPr>
      <t>FIXAÇÃO (ENCUNHAMENTO) DE ALVENARIA DE VEDAÇÃO COM ARGAMASSA APLICADA COM BISNAGA.</t>
    </r>
  </si>
  <si>
    <r>
      <rPr>
        <b/>
        <sz val="11"/>
        <rFont val="Arial"/>
        <family val="2"/>
      </rPr>
      <t>4.2</t>
    </r>
  </si>
  <si>
    <r>
      <rPr>
        <b/>
        <sz val="11"/>
        <rFont val="Arial"/>
        <family val="2"/>
      </rPr>
      <t>DRYWALL</t>
    </r>
  </si>
  <si>
    <r>
      <rPr>
        <sz val="11"/>
        <rFont val="Arial MT"/>
        <family val="2"/>
      </rPr>
      <t>4.2.1</t>
    </r>
  </si>
  <si>
    <r>
      <rPr>
        <sz val="11"/>
        <rFont val="Arial MT"/>
        <family val="2"/>
      </rPr>
      <t>CPU1942</t>
    </r>
  </si>
  <si>
    <r>
      <rPr>
        <sz val="11"/>
        <rFont val="Arial MT"/>
        <family val="2"/>
      </rPr>
      <t>PAREDE COM SISTEMA EM CHAPAS DE GESSO RU PARA DRYWALL, USO INTERNO, COM DUAS FACES SIMPLES</t>
    </r>
  </si>
  <si>
    <r>
      <rPr>
        <sz val="11"/>
        <rFont val="Arial MT"/>
        <family val="2"/>
      </rPr>
      <t>4.2.2</t>
    </r>
  </si>
  <si>
    <r>
      <rPr>
        <sz val="11"/>
        <rFont val="Arial MT"/>
        <family val="2"/>
      </rPr>
      <t>CPU2286</t>
    </r>
  </si>
  <si>
    <r>
      <rPr>
        <sz val="11"/>
        <rFont val="Arial MT"/>
        <family val="2"/>
      </rPr>
      <t>PAREDE COM SISTEMA EM CHAPAS DE GESSO RU PARA DRYWALL COM ISOLAMENTO ACUSTICO, USO</t>
    </r>
  </si>
  <si>
    <r>
      <rPr>
        <sz val="11"/>
        <rFont val="Arial MT"/>
        <family val="2"/>
      </rPr>
      <t>4.2.3</t>
    </r>
  </si>
  <si>
    <r>
      <rPr>
        <sz val="11"/>
        <rFont val="Arial MT"/>
        <family val="2"/>
      </rPr>
      <t>CPU2520</t>
    </r>
  </si>
  <si>
    <r>
      <rPr>
        <sz val="11"/>
        <rFont val="Arial MT"/>
        <family val="2"/>
      </rPr>
      <t>4.2.4</t>
    </r>
  </si>
  <si>
    <r>
      <rPr>
        <sz val="11"/>
        <rFont val="Arial MT"/>
        <family val="2"/>
      </rPr>
      <t>CPU2522</t>
    </r>
  </si>
  <si>
    <r>
      <rPr>
        <sz val="11"/>
        <rFont val="Arial MT"/>
        <family val="2"/>
      </rPr>
      <t>PAREDE COM SISTEMA EM CHAPAS DE GESSO ST PARA DRYWALL COM ISOLAMENTO ACUSTICO, USO INTERNO,</t>
    </r>
  </si>
  <si>
    <r>
      <rPr>
        <sz val="11"/>
        <rFont val="Arial MT"/>
        <family val="2"/>
      </rPr>
      <t>4.2.5</t>
    </r>
  </si>
  <si>
    <r>
      <rPr>
        <sz val="11"/>
        <rFont val="Arial MT"/>
        <family val="2"/>
      </rPr>
      <t>INSTALAÇÃO DE REFORÇO DE MADEIRA EM PAREDE DRYWALL. AF_07/2023</t>
    </r>
  </si>
  <si>
    <r>
      <rPr>
        <b/>
        <sz val="11"/>
        <rFont val="Arial"/>
        <family val="2"/>
      </rPr>
      <t>4.3</t>
    </r>
  </si>
  <si>
    <r>
      <rPr>
        <b/>
        <sz val="11"/>
        <rFont val="Arial"/>
        <family val="2"/>
      </rPr>
      <t>DIVISÓRIAS</t>
    </r>
  </si>
  <si>
    <r>
      <rPr>
        <sz val="11"/>
        <rFont val="Arial MT"/>
        <family val="2"/>
      </rPr>
      <t>4.3.1</t>
    </r>
  </si>
  <si>
    <r>
      <rPr>
        <sz val="11"/>
        <rFont val="Arial MT"/>
        <family val="2"/>
      </rPr>
      <t>DIVISORIA SANITÁRIA, TIPO CABINE, EM PAINEL DE GRANILITE, ESP = 3CM, ASSENTADO COM ARGAMASSA</t>
    </r>
  </si>
  <si>
    <t>COBERTURA</t>
  </si>
  <si>
    <r>
      <rPr>
        <b/>
        <sz val="11"/>
        <rFont val="Arial"/>
        <family val="2"/>
      </rPr>
      <t>5.1</t>
    </r>
  </si>
  <si>
    <r>
      <rPr>
        <b/>
        <sz val="11"/>
        <rFont val="Arial"/>
        <family val="2"/>
      </rPr>
      <t>ESTRUTURA</t>
    </r>
  </si>
  <si>
    <r>
      <rPr>
        <sz val="11"/>
        <rFont val="Arial MT"/>
        <family val="2"/>
      </rPr>
      <t>5.1.1</t>
    </r>
  </si>
  <si>
    <r>
      <rPr>
        <sz val="11"/>
        <rFont val="Arial MT"/>
        <family val="2"/>
      </rPr>
      <t>FABRICAÇÃO E INSTALAÇÃO DE PONTALETES DE MADEIRA NÃO APARELHADA PARA TELHADOS COM ATÉ 2</t>
    </r>
  </si>
  <si>
    <r>
      <rPr>
        <sz val="11"/>
        <rFont val="Arial MT"/>
        <family val="2"/>
      </rPr>
      <t>5.1.2</t>
    </r>
  </si>
  <si>
    <r>
      <rPr>
        <sz val="11"/>
        <rFont val="Arial MT"/>
        <family val="2"/>
      </rPr>
      <t>TRAMA DE MADEIRA COMPOSTA POR TERÇAS PARA TELHADOS DE ATÉ 2 ÁGUAS PARA TELHA ONDULADA DE</t>
    </r>
  </si>
  <si>
    <r>
      <rPr>
        <b/>
        <sz val="11"/>
        <rFont val="Arial"/>
        <family val="2"/>
      </rPr>
      <t>5.2</t>
    </r>
  </si>
  <si>
    <r>
      <rPr>
        <b/>
        <sz val="11"/>
        <rFont val="Arial"/>
        <family val="2"/>
      </rPr>
      <t>TELHAMENTO</t>
    </r>
  </si>
  <si>
    <r>
      <rPr>
        <sz val="11"/>
        <rFont val="Arial MT"/>
        <family val="2"/>
      </rPr>
      <t>5.2.1</t>
    </r>
  </si>
  <si>
    <r>
      <rPr>
        <sz val="11"/>
        <rFont val="Arial MT"/>
        <family val="2"/>
      </rPr>
      <t>TELHAMENTO COM TELHA ONDULADA DE FIBROCIMENTO E = 6 MM, COM RECOBRIMENTO LATERAL DE 1/4 DE</t>
    </r>
  </si>
  <si>
    <r>
      <rPr>
        <b/>
        <sz val="11"/>
        <rFont val="Arial"/>
        <family val="2"/>
      </rPr>
      <t>5.3</t>
    </r>
  </si>
  <si>
    <r>
      <rPr>
        <b/>
        <sz val="11"/>
        <rFont val="Arial"/>
        <family val="2"/>
      </rPr>
      <t>COMPLEMENTOS</t>
    </r>
  </si>
  <si>
    <r>
      <rPr>
        <sz val="11"/>
        <rFont val="Arial MT"/>
        <family val="2"/>
      </rPr>
      <t>5.3.1</t>
    </r>
  </si>
  <si>
    <r>
      <rPr>
        <sz val="11"/>
        <rFont val="Arial MT"/>
        <family val="2"/>
      </rPr>
      <t>CALHA EM CHAPA DE AÇO GALVANIZADO NÚMERO 24, DESENVOLVIMENTO DE 100 CM, INCLUSO TRANSPORTE</t>
    </r>
  </si>
  <si>
    <r>
      <rPr>
        <sz val="11"/>
        <rFont val="Arial MT"/>
        <family val="2"/>
      </rPr>
      <t>5.3.2</t>
    </r>
  </si>
  <si>
    <r>
      <rPr>
        <sz val="11"/>
        <rFont val="Arial MT"/>
        <family val="2"/>
      </rPr>
      <t>RUFO EM CHAPA DE AÇO GALVANIZADO NÚMERO 24, CORTE DE 25 CM, INCLUSO TRANSPORTE VERTICAL.</t>
    </r>
  </si>
  <si>
    <r>
      <rPr>
        <sz val="11"/>
        <rFont val="Arial MT"/>
        <family val="2"/>
      </rPr>
      <t>5.3.3</t>
    </r>
  </si>
  <si>
    <r>
      <rPr>
        <sz val="11"/>
        <rFont val="Arial MT"/>
        <family val="2"/>
      </rPr>
      <t>CUMEEIRA PARA TELHA DE FIBROCIMENTO ESTRUTURAL E = 6 MM, INCLUSO ACESSÓRIOS DE FIXAÇÃO E</t>
    </r>
  </si>
  <si>
    <t>IMPERMEABILIZAÇÃO</t>
  </si>
  <si>
    <r>
      <rPr>
        <sz val="11"/>
        <rFont val="Arial MT"/>
        <family val="2"/>
      </rPr>
      <t>6.1</t>
    </r>
  </si>
  <si>
    <r>
      <rPr>
        <sz val="11"/>
        <rFont val="Arial MT"/>
        <family val="2"/>
      </rPr>
      <t>PROTEÇÃO MECÂNICA DE SUPERFICIE HORIZONTAL COM ARGAMASSA DE CIMENTO E AREIA, TRAÇO 1:3,</t>
    </r>
  </si>
  <si>
    <r>
      <rPr>
        <sz val="11"/>
        <rFont val="Arial MT"/>
        <family val="2"/>
      </rPr>
      <t>6.2</t>
    </r>
  </si>
  <si>
    <r>
      <rPr>
        <sz val="11"/>
        <rFont val="Arial MT"/>
        <family val="2"/>
      </rPr>
      <t>IMPERMEABILIZAÇÃO DE SUPERFÍCIE COM ARGAMASSA POLIMÉRICA / MEMBRANA ACRÍLICA, 4 DEMÃOS,</t>
    </r>
  </si>
  <si>
    <r>
      <rPr>
        <sz val="11"/>
        <rFont val="Arial MT"/>
        <family val="2"/>
      </rPr>
      <t>6.3</t>
    </r>
  </si>
  <si>
    <r>
      <rPr>
        <sz val="11"/>
        <rFont val="Arial MT"/>
        <family val="2"/>
      </rPr>
      <t>IMPERMEABILIZAÇÃO DE SUPERFÍCIE COM ARGAMASSA POLIMÉRICA / MEMBRANA ACRÍLICA, 3 DEMÃOS.</t>
    </r>
  </si>
  <si>
    <t>ESQUADRIAS</t>
  </si>
  <si>
    <r>
      <rPr>
        <b/>
        <sz val="11"/>
        <rFont val="Arial"/>
        <family val="2"/>
      </rPr>
      <t>7.1</t>
    </r>
  </si>
  <si>
    <r>
      <rPr>
        <b/>
        <sz val="11"/>
        <rFont val="Arial"/>
        <family val="2"/>
      </rPr>
      <t>ESQUADRIAS DE MADEIRA</t>
    </r>
  </si>
  <si>
    <r>
      <rPr>
        <b/>
        <sz val="11"/>
        <rFont val="Arial"/>
        <family val="2"/>
      </rPr>
      <t>7.1.1</t>
    </r>
  </si>
  <si>
    <r>
      <rPr>
        <b/>
        <sz val="11"/>
        <rFont val="Arial"/>
        <family val="2"/>
      </rPr>
      <t>PORTAS DE MADEIRA</t>
    </r>
  </si>
  <si>
    <r>
      <rPr>
        <sz val="11"/>
        <rFont val="Arial MT"/>
        <family val="2"/>
      </rPr>
      <t>7.1.1.1</t>
    </r>
  </si>
  <si>
    <r>
      <rPr>
        <sz val="11"/>
        <rFont val="Arial MT"/>
        <family val="2"/>
      </rPr>
      <t>KIT DE PORTA DE MADEIRA PARA PINTURA, SEMI-OCA (LEVE OU MÉDIA), PADRÃO MÉDIO, 90X210CM,</t>
    </r>
  </si>
  <si>
    <r>
      <rPr>
        <sz val="11"/>
        <rFont val="Arial MT"/>
        <family val="2"/>
      </rPr>
      <t>7.1.1.2</t>
    </r>
  </si>
  <si>
    <r>
      <rPr>
        <sz val="11"/>
        <rFont val="Arial MT"/>
        <family val="2"/>
      </rPr>
      <t>KIT DE PORTA DE MADEIRA PARA PINTURA, SEMI-OCA (LEVE OU MÉDIA), PADRÃO MÉDIO, 80X210CM,</t>
    </r>
  </si>
  <si>
    <r>
      <rPr>
        <sz val="11"/>
        <rFont val="Arial MT"/>
        <family val="2"/>
      </rPr>
      <t>7.1.1.3</t>
    </r>
  </si>
  <si>
    <r>
      <rPr>
        <sz val="11"/>
        <rFont val="Arial MT"/>
        <family val="2"/>
      </rPr>
      <t>CPU2536</t>
    </r>
  </si>
  <si>
    <r>
      <rPr>
        <sz val="11"/>
        <rFont val="Arial MT"/>
        <family val="2"/>
      </rPr>
      <t>PORTA COMPLETA MADEIRA 2,20m CORRER COM FERRAGENS</t>
    </r>
  </si>
  <si>
    <r>
      <rPr>
        <b/>
        <sz val="11"/>
        <rFont val="Arial"/>
        <family val="2"/>
      </rPr>
      <t>7.2</t>
    </r>
  </si>
  <si>
    <r>
      <rPr>
        <b/>
        <sz val="11"/>
        <rFont val="Arial"/>
        <family val="2"/>
      </rPr>
      <t>ESQUADRIAS DE ALUMÍNIO</t>
    </r>
  </si>
  <si>
    <r>
      <rPr>
        <b/>
        <sz val="11"/>
        <rFont val="Arial"/>
        <family val="2"/>
      </rPr>
      <t>7.2.1</t>
    </r>
  </si>
  <si>
    <r>
      <rPr>
        <b/>
        <sz val="11"/>
        <rFont val="Arial"/>
        <family val="2"/>
      </rPr>
      <t>PORTAS DE ALUMÍNIO</t>
    </r>
  </si>
  <si>
    <r>
      <rPr>
        <sz val="11"/>
        <rFont val="Arial MT"/>
        <family val="2"/>
      </rPr>
      <t>7.2.1.1</t>
    </r>
  </si>
  <si>
    <r>
      <rPr>
        <sz val="11"/>
        <rFont val="Arial MT"/>
        <family val="2"/>
      </rPr>
      <t>CPU2537</t>
    </r>
  </si>
  <si>
    <r>
      <rPr>
        <sz val="11"/>
        <rFont val="Arial MT"/>
        <family val="2"/>
      </rPr>
      <t>PORTA VENEZIANA DE ABRIR EM ALUMÍNIO, SOB MEDIDA</t>
    </r>
  </si>
  <si>
    <r>
      <rPr>
        <sz val="11"/>
        <rFont val="Arial MT"/>
        <family val="2"/>
      </rPr>
      <t>7.2.1.2</t>
    </r>
  </si>
  <si>
    <r>
      <rPr>
        <sz val="11"/>
        <rFont val="Arial MT"/>
        <family val="2"/>
      </rPr>
      <t>CPU2538</t>
    </r>
  </si>
  <si>
    <r>
      <rPr>
        <sz val="11"/>
        <rFont val="Arial MT"/>
        <family val="2"/>
      </rPr>
      <t>PORTA DE ABRIR EM TELA ONDULADA DE AÇO GALVANIZADO, COMPLETA</t>
    </r>
  </si>
  <si>
    <r>
      <rPr>
        <sz val="11"/>
        <rFont val="Arial MT"/>
        <family val="2"/>
      </rPr>
      <t>7.2.1.3</t>
    </r>
  </si>
  <si>
    <r>
      <rPr>
        <sz val="11"/>
        <rFont val="Arial MT"/>
        <family val="2"/>
      </rPr>
      <t>CPU2541</t>
    </r>
  </si>
  <si>
    <r>
      <rPr>
        <sz val="11"/>
        <rFont val="Arial MT"/>
        <family val="2"/>
      </rPr>
      <t>PORTA ALUMINIO ANODIZADO NATURAL 1 FOLHA DE ABRIR</t>
    </r>
  </si>
  <si>
    <r>
      <rPr>
        <sz val="11"/>
        <rFont val="Arial MT"/>
        <family val="2"/>
      </rPr>
      <t>7.2.1.4</t>
    </r>
  </si>
  <si>
    <r>
      <rPr>
        <sz val="11"/>
        <rFont val="Arial MT"/>
        <family val="2"/>
      </rPr>
      <t>CPU2543</t>
    </r>
  </si>
  <si>
    <r>
      <rPr>
        <sz val="11"/>
        <rFont val="Arial MT"/>
        <family val="2"/>
      </rPr>
      <t>PORTAO DE CORRER EM ALUMINIO PINTURA ELETROSTATICA BRANCA</t>
    </r>
  </si>
  <si>
    <r>
      <rPr>
        <sz val="11"/>
        <rFont val="Arial MT"/>
        <family val="2"/>
      </rPr>
      <t>7.2.1.5</t>
    </r>
  </si>
  <si>
    <r>
      <rPr>
        <sz val="11"/>
        <rFont val="Arial MT"/>
        <family val="2"/>
      </rPr>
      <t>CPU2686</t>
    </r>
  </si>
  <si>
    <r>
      <rPr>
        <sz val="11"/>
        <rFont val="Arial MT"/>
        <family val="2"/>
      </rPr>
      <t>PORTA DE ALUMÍNIO ANODIZADO COM VIDRO, 3 FOLHAS, ABERTURA DE CORRER</t>
    </r>
  </si>
  <si>
    <r>
      <rPr>
        <b/>
        <sz val="11"/>
        <rFont val="Arial"/>
        <family val="2"/>
      </rPr>
      <t>7.2.2</t>
    </r>
  </si>
  <si>
    <r>
      <rPr>
        <b/>
        <sz val="11"/>
        <rFont val="Arial"/>
        <family val="2"/>
      </rPr>
      <t>JANELAS DE ALUMÍNIO</t>
    </r>
  </si>
  <si>
    <r>
      <rPr>
        <sz val="11"/>
        <rFont val="Arial MT"/>
        <family val="2"/>
      </rPr>
      <t>7.2.2.1</t>
    </r>
  </si>
  <si>
    <r>
      <rPr>
        <sz val="11"/>
        <rFont val="Arial MT"/>
        <family val="2"/>
      </rPr>
      <t>JANELA DE ALUMÍNIO TIPO MAXIM-AR, COM VIDROS, BATENTE E FERRAGENS. EXCLUSIVE ALIZAR, ACABAMENTO</t>
    </r>
  </si>
  <si>
    <r>
      <rPr>
        <sz val="11"/>
        <rFont val="Arial MT"/>
        <family val="2"/>
      </rPr>
      <t>7.2.2.2</t>
    </r>
  </si>
  <si>
    <r>
      <rPr>
        <sz val="11"/>
        <rFont val="Arial MT"/>
        <family val="2"/>
      </rPr>
      <t>JANELA DE ALUMÍNIO DE CORRER COM 2 FOLHAS PARA VIDROS, COM VIDROS, BATENTE, ACABAMENTO COM</t>
    </r>
  </si>
  <si>
    <r>
      <rPr>
        <b/>
        <sz val="11"/>
        <rFont val="Arial"/>
        <family val="2"/>
      </rPr>
      <t>7.3</t>
    </r>
  </si>
  <si>
    <r>
      <rPr>
        <b/>
        <sz val="11"/>
        <rFont val="Arial"/>
        <family val="2"/>
      </rPr>
      <t>ESQUADRIAS METÁLICAS</t>
    </r>
  </si>
  <si>
    <r>
      <rPr>
        <b/>
        <sz val="11"/>
        <rFont val="Arial"/>
        <family val="2"/>
      </rPr>
      <t>7.3.1</t>
    </r>
  </si>
  <si>
    <r>
      <rPr>
        <b/>
        <sz val="11"/>
        <rFont val="Arial"/>
        <family val="2"/>
      </rPr>
      <t>PORTAS METÁLICAS</t>
    </r>
  </si>
  <si>
    <r>
      <rPr>
        <sz val="11"/>
        <rFont val="Arial MT"/>
        <family val="2"/>
      </rPr>
      <t>7.3.1.1</t>
    </r>
  </si>
  <si>
    <r>
      <rPr>
        <sz val="11"/>
        <rFont val="Arial MT"/>
        <family val="2"/>
      </rPr>
      <t>CPU2544</t>
    </r>
  </si>
  <si>
    <r>
      <rPr>
        <sz val="11"/>
        <rFont val="Arial MT"/>
        <family val="2"/>
      </rPr>
      <t>PORTA CORTA FOGO, DE ABRIR, 02 FOLHAS, EM CHAPA DE AÇO GALVANIZADO Nº24, BATENTE EM CHAPA Nº18,</t>
    </r>
  </si>
  <si>
    <r>
      <rPr>
        <b/>
        <sz val="11"/>
        <rFont val="Arial"/>
        <family val="2"/>
      </rPr>
      <t>7.4</t>
    </r>
  </si>
  <si>
    <r>
      <rPr>
        <b/>
        <sz val="11"/>
        <rFont val="Arial"/>
        <family val="2"/>
      </rPr>
      <t>ACESSÓRIOS</t>
    </r>
  </si>
  <si>
    <r>
      <rPr>
        <sz val="11"/>
        <rFont val="Arial MT"/>
        <family val="2"/>
      </rPr>
      <t>7.4.1</t>
    </r>
  </si>
  <si>
    <r>
      <rPr>
        <sz val="11"/>
        <rFont val="Arial MT"/>
        <family val="2"/>
      </rPr>
      <t>CPU2545</t>
    </r>
  </si>
  <si>
    <r>
      <rPr>
        <sz val="11"/>
        <rFont val="Arial MT"/>
        <family val="2"/>
      </rPr>
      <t>PUXADOR DUPLO EM AÇO INOXIDÁVEL, PARA PORTA DE MADEIRA, ALUMÍNIO OU VIDRO, DE 350 MM</t>
    </r>
  </si>
  <si>
    <r>
      <rPr>
        <sz val="11"/>
        <rFont val="Arial MT"/>
        <family val="2"/>
      </rPr>
      <t>7.4.2</t>
    </r>
  </si>
  <si>
    <r>
      <rPr>
        <sz val="11"/>
        <rFont val="Arial MT"/>
        <family val="2"/>
      </rPr>
      <t>CPU2547</t>
    </r>
  </si>
  <si>
    <r>
      <rPr>
        <sz val="11"/>
        <rFont val="Arial MT"/>
        <family val="2"/>
      </rPr>
      <t>ALIZAR ALUMINIO PINTURA ELETROSTATICA BRANCA</t>
    </r>
  </si>
  <si>
    <r>
      <rPr>
        <sz val="11"/>
        <rFont val="Arial MT"/>
        <family val="2"/>
      </rPr>
      <t>7.4.3</t>
    </r>
  </si>
  <si>
    <r>
      <rPr>
        <sz val="11"/>
        <rFont val="Arial MT"/>
        <family val="2"/>
      </rPr>
      <t>CPU2548</t>
    </r>
  </si>
  <si>
    <r>
      <rPr>
        <sz val="11"/>
        <rFont val="Arial MT"/>
        <family val="2"/>
      </rPr>
      <t>MOLA AEREA COM CALHA/BRACO DESLIZANTE</t>
    </r>
  </si>
  <si>
    <r>
      <rPr>
        <sz val="11"/>
        <rFont val="Arial MT"/>
        <family val="2"/>
      </rPr>
      <t>7.4.4</t>
    </r>
  </si>
  <si>
    <r>
      <rPr>
        <sz val="11"/>
        <rFont val="Arial MT"/>
        <family val="2"/>
      </rPr>
      <t>CPU2549</t>
    </r>
  </si>
  <si>
    <r>
      <rPr>
        <sz val="11"/>
        <rFont val="Arial MT"/>
        <family val="2"/>
      </rPr>
      <t>FECHADURA COM MAÇANETA TIPO ALAVANCA EM AÇO INOXIDÁVEL, PARA PORTA EXTERNA</t>
    </r>
  </si>
  <si>
    <r>
      <rPr>
        <sz val="11"/>
        <rFont val="Arial MT"/>
        <family val="2"/>
      </rPr>
      <t>7.4.5</t>
    </r>
  </si>
  <si>
    <r>
      <rPr>
        <sz val="11"/>
        <rFont val="Arial MT"/>
        <family val="2"/>
      </rPr>
      <t>CPU2550</t>
    </r>
  </si>
  <si>
    <r>
      <rPr>
        <sz val="11"/>
        <rFont val="Arial MT"/>
        <family val="2"/>
      </rPr>
      <t>GUICHE COM REQUADRO EM MADEIRA DE LEI - VASADO</t>
    </r>
  </si>
  <si>
    <r>
      <rPr>
        <sz val="11"/>
        <rFont val="Arial MT"/>
        <family val="2"/>
      </rPr>
      <t>7.4.6</t>
    </r>
  </si>
  <si>
    <r>
      <rPr>
        <sz val="11"/>
        <rFont val="Arial MT"/>
        <family val="2"/>
      </rPr>
      <t>TARJETA TIPO LIVRE/OCUPADO PARA PORTA DE BANHEIRO. AF_12/2019</t>
    </r>
  </si>
  <si>
    <r>
      <rPr>
        <sz val="11"/>
        <rFont val="Arial MT"/>
        <family val="2"/>
      </rPr>
      <t>7.4.7</t>
    </r>
  </si>
  <si>
    <r>
      <rPr>
        <sz val="11"/>
        <rFont val="Arial MT"/>
        <family val="2"/>
      </rPr>
      <t>CPU2551</t>
    </r>
  </si>
  <si>
    <r>
      <rPr>
        <sz val="11"/>
        <rFont val="Arial MT"/>
        <family val="2"/>
      </rPr>
      <t>FERRAGENS PARA MÓDULO DE JANELA DE ALUMÍNIO MÁXIM AR, INCLUSIVE FECHO E BRAÇO, FORNECIMENTO</t>
    </r>
  </si>
  <si>
    <t>REVESTIMENTO DE PAREDE</t>
  </si>
  <si>
    <r>
      <rPr>
        <b/>
        <sz val="11"/>
        <rFont val="Arial"/>
        <family val="2"/>
      </rPr>
      <t>8.1</t>
    </r>
  </si>
  <si>
    <r>
      <rPr>
        <b/>
        <sz val="11"/>
        <rFont val="Arial"/>
        <family val="2"/>
      </rPr>
      <t>REVESTIMENTO ARGAMASSADO</t>
    </r>
  </si>
  <si>
    <r>
      <rPr>
        <sz val="11"/>
        <rFont val="Arial MT"/>
        <family val="2"/>
      </rPr>
      <t>8.1.1</t>
    </r>
  </si>
  <si>
    <r>
      <rPr>
        <sz val="11"/>
        <rFont val="Arial MT"/>
        <family val="2"/>
      </rPr>
      <t>CHAPISCO APLICADO EM ALVENARIA (COM PRESENÇA DE VÃOS) E ESTRUTURAS DE CONCRETO DE FACHADA,</t>
    </r>
  </si>
  <si>
    <r>
      <rPr>
        <sz val="11"/>
        <rFont val="Arial MT"/>
        <family val="2"/>
      </rPr>
      <t>8.1.2</t>
    </r>
  </si>
  <si>
    <r>
      <rPr>
        <sz val="11"/>
        <rFont val="Arial MT"/>
        <family val="2"/>
      </rPr>
      <t>MASSA ÚNICA, EM ARGAMASSA TRAÇO 1:2:8 PREPARO MECÂNICO, APLICADA MANUALMENTE EM PAREDES</t>
    </r>
  </si>
  <si>
    <r>
      <rPr>
        <sz val="11"/>
        <rFont val="Arial MT"/>
        <family val="2"/>
      </rPr>
      <t>8.1.3</t>
    </r>
  </si>
  <si>
    <r>
      <rPr>
        <sz val="11"/>
        <rFont val="Arial MT"/>
        <family val="2"/>
      </rPr>
      <t>EMBOÇO, EM ARGAMASSA TRAÇO 1:2:8, PREPARO MECÂNICO, APLICADO MANUALMENTE EM PAREDES</t>
    </r>
  </si>
  <si>
    <r>
      <rPr>
        <b/>
        <sz val="11"/>
        <rFont val="Arial"/>
        <family val="2"/>
      </rPr>
      <t>8.2</t>
    </r>
  </si>
  <si>
    <r>
      <rPr>
        <b/>
        <sz val="11"/>
        <rFont val="Arial"/>
        <family val="2"/>
      </rPr>
      <t>REVESTIMENTO CERÂMICO</t>
    </r>
  </si>
  <si>
    <r>
      <rPr>
        <sz val="11"/>
        <rFont val="Arial MT"/>
        <family val="2"/>
      </rPr>
      <t>8.2.1</t>
    </r>
  </si>
  <si>
    <r>
      <rPr>
        <sz val="11"/>
        <rFont val="Arial MT"/>
        <family val="2"/>
      </rPr>
      <t>REVESTIMENTO CERÂMICO PARA PAREDES INTERNAS COM PLACAS TIPO ESMALTADA EXTRA DE DIMENSÕES</t>
    </r>
  </si>
  <si>
    <t>REVESTIMENTO DE PISO INTERNO</t>
  </si>
  <si>
    <r>
      <rPr>
        <b/>
        <sz val="11"/>
        <rFont val="Arial"/>
        <family val="2"/>
      </rPr>
      <t>9.1</t>
    </r>
  </si>
  <si>
    <r>
      <rPr>
        <sz val="11"/>
        <rFont val="Arial MT"/>
        <family val="2"/>
      </rPr>
      <t>9.1.1</t>
    </r>
  </si>
  <si>
    <r>
      <rPr>
        <sz val="11"/>
        <rFont val="Arial MT"/>
        <family val="2"/>
      </rPr>
      <t>EXECUÇÃO DE PASSEIO (CALÇADA) OU PISO DE CONCRETO COM CONCRETO MOLDADO IN LOCO, USINADO,</t>
    </r>
  </si>
  <si>
    <r>
      <rPr>
        <sz val="11"/>
        <rFont val="Arial MT"/>
        <family val="2"/>
      </rPr>
      <t>9.1.2</t>
    </r>
  </si>
  <si>
    <r>
      <rPr>
        <sz val="11"/>
        <rFont val="Arial MT"/>
        <family val="2"/>
      </rPr>
      <t>CPU2552</t>
    </r>
  </si>
  <si>
    <r>
      <rPr>
        <sz val="11"/>
        <rFont val="Arial MT"/>
        <family val="2"/>
      </rPr>
      <t>REGULARIZAÇÃO DE BASE PARA REVEST. DE PISOS COM ARG. TRAÇO T4, ESP. MÉDIA = 2,5CM</t>
    </r>
  </si>
  <si>
    <r>
      <rPr>
        <b/>
        <sz val="11"/>
        <rFont val="Arial"/>
        <family val="2"/>
      </rPr>
      <t>9.2</t>
    </r>
  </si>
  <si>
    <r>
      <rPr>
        <b/>
        <sz val="11"/>
        <rFont val="Arial"/>
        <family val="2"/>
      </rPr>
      <t>GRANILITE</t>
    </r>
  </si>
  <si>
    <r>
      <rPr>
        <sz val="11"/>
        <rFont val="Arial MT"/>
        <family val="2"/>
      </rPr>
      <t>9.2.1</t>
    </r>
  </si>
  <si>
    <r>
      <rPr>
        <sz val="11"/>
        <rFont val="Arial MT"/>
        <family val="2"/>
      </rPr>
      <t>CPU2553</t>
    </r>
  </si>
  <si>
    <r>
      <rPr>
        <sz val="11"/>
        <rFont val="Arial MT"/>
        <family val="2"/>
      </rPr>
      <t>PISO ALTA RESISTENCIA, COLORIDO, E=10MM, APLICADO COM JUNTAS, POLIDO ATÉ O ESMERIL 400 E</t>
    </r>
  </si>
  <si>
    <r>
      <rPr>
        <sz val="11"/>
        <rFont val="Arial MT"/>
        <family val="2"/>
      </rPr>
      <t>9.2.2</t>
    </r>
  </si>
  <si>
    <r>
      <rPr>
        <sz val="11"/>
        <rFont val="Arial MT"/>
        <family val="2"/>
      </rPr>
      <t>CPU2554</t>
    </r>
  </si>
  <si>
    <r>
      <rPr>
        <sz val="11"/>
        <rFont val="Arial MT"/>
        <family val="2"/>
      </rPr>
      <t>PISO ALTA RESISTÊNCIA OU INDUSTRIAL DE 12 MM, COMUM, COR CINZA, COM JUNTAS PLÁSTICAS, SEM</t>
    </r>
  </si>
  <si>
    <r>
      <rPr>
        <b/>
        <sz val="11"/>
        <rFont val="Arial"/>
        <family val="2"/>
      </rPr>
      <t>9.3</t>
    </r>
  </si>
  <si>
    <r>
      <rPr>
        <b/>
        <sz val="11"/>
        <rFont val="Arial"/>
        <family val="2"/>
      </rPr>
      <t>RODAPÉ</t>
    </r>
  </si>
  <si>
    <r>
      <rPr>
        <sz val="11"/>
        <rFont val="Arial MT"/>
        <family val="2"/>
      </rPr>
      <t>9.3.1</t>
    </r>
  </si>
  <si>
    <r>
      <rPr>
        <sz val="11"/>
        <rFont val="Arial MT"/>
        <family val="2"/>
      </rPr>
      <t>CPU2555</t>
    </r>
  </si>
  <si>
    <r>
      <rPr>
        <sz val="11"/>
        <rFont val="Arial MT"/>
        <family val="2"/>
      </rPr>
      <t>RODAPÉ ALTA RESISTÊNCIA, H = 10 CM, MEIA-CANA</t>
    </r>
  </si>
  <si>
    <t>REVESTIMENTO DE PISO EXTERNO</t>
  </si>
  <si>
    <r>
      <rPr>
        <b/>
        <sz val="11"/>
        <rFont val="Arial"/>
        <family val="2"/>
      </rPr>
      <t>10.1</t>
    </r>
  </si>
  <si>
    <r>
      <rPr>
        <sz val="11"/>
        <rFont val="Arial MT"/>
        <family val="2"/>
      </rPr>
      <t>10.1.1</t>
    </r>
  </si>
  <si>
    <r>
      <rPr>
        <sz val="11"/>
        <rFont val="Arial MT"/>
        <family val="2"/>
      </rPr>
      <t>EXECUÇÃO DE PASSEIO (CALÇADA) OU PISO DE CONCRETO COM CONCRETO MOLDADO IN LOCO, USINADO</t>
    </r>
  </si>
  <si>
    <t>REVESTIMENTO DE TETO</t>
  </si>
  <si>
    <r>
      <rPr>
        <b/>
        <sz val="11"/>
        <rFont val="Arial"/>
        <family val="2"/>
      </rPr>
      <t>11.1</t>
    </r>
  </si>
  <si>
    <r>
      <rPr>
        <b/>
        <sz val="11"/>
        <rFont val="Arial"/>
        <family val="2"/>
      </rPr>
      <t>FORRO</t>
    </r>
  </si>
  <si>
    <r>
      <rPr>
        <sz val="11"/>
        <rFont val="Arial MT"/>
        <family val="2"/>
      </rPr>
      <t>11.1.1</t>
    </r>
  </si>
  <si>
    <r>
      <rPr>
        <sz val="11"/>
        <rFont val="Arial MT"/>
        <family val="2"/>
      </rPr>
      <t>FORRO EM DRYWALL, PARA AMBIENTES COMERCIAIS, INCLUSIVE ESTRUTURA BIRECIONAL DE FIXAÇÃO.</t>
    </r>
  </si>
  <si>
    <t>PINTURA</t>
  </si>
  <si>
    <r>
      <rPr>
        <b/>
        <sz val="11"/>
        <rFont val="Arial"/>
        <family val="2"/>
      </rPr>
      <t>12.1</t>
    </r>
  </si>
  <si>
    <r>
      <rPr>
        <b/>
        <sz val="11"/>
        <rFont val="Arial"/>
        <family val="2"/>
      </rPr>
      <t>PAREDES</t>
    </r>
  </si>
  <si>
    <r>
      <rPr>
        <sz val="11"/>
        <rFont val="Arial MT"/>
        <family val="2"/>
      </rPr>
      <t>12.1.1</t>
    </r>
  </si>
  <si>
    <r>
      <rPr>
        <sz val="11"/>
        <rFont val="Arial MT"/>
        <family val="2"/>
      </rPr>
      <t>FUNDO SELADOR ACRÍLICO, APLICAÇÃO MANUAL EM PAREDE, UMA DEMÃO. AF_04/2023</t>
    </r>
  </si>
  <si>
    <r>
      <rPr>
        <sz val="11"/>
        <rFont val="Arial MT"/>
        <family val="2"/>
      </rPr>
      <t>12.1.2</t>
    </r>
  </si>
  <si>
    <r>
      <rPr>
        <sz val="11"/>
        <rFont val="Arial MT"/>
        <family val="2"/>
      </rPr>
      <t>EMASSAMENTO COM MASSA LÁTEX, APLICAÇÃO EM PAREDE, UMA DEMÃO, LIXAMENTO MANUAL. AF_04/2023</t>
    </r>
  </si>
  <si>
    <r>
      <rPr>
        <sz val="11"/>
        <rFont val="Arial MT"/>
        <family val="2"/>
      </rPr>
      <t>12.1.3</t>
    </r>
  </si>
  <si>
    <r>
      <rPr>
        <sz val="11"/>
        <rFont val="Arial MT"/>
        <family val="2"/>
      </rPr>
      <t>APLICAÇÃO MANUAL DE MASSA ACRÍLICA EM PAREDES EXTERNAS DE CASAS, UMA DEMÃO. AF_03/2024</t>
    </r>
  </si>
  <si>
    <r>
      <rPr>
        <sz val="11"/>
        <rFont val="Arial MT"/>
        <family val="2"/>
      </rPr>
      <t>12.1.4</t>
    </r>
  </si>
  <si>
    <r>
      <rPr>
        <sz val="11"/>
        <rFont val="Arial MT"/>
        <family val="2"/>
      </rPr>
      <t>PINTURA LÁTEX ACRÍLICA ECONÔMICA, APLICAÇÃO MANUAL EM PAREDES, DUAS DEMÃOS. AF_04/2023</t>
    </r>
  </si>
  <si>
    <r>
      <rPr>
        <sz val="11"/>
        <rFont val="Arial MT"/>
        <family val="2"/>
      </rPr>
      <t>12.1.5</t>
    </r>
  </si>
  <si>
    <r>
      <rPr>
        <sz val="11"/>
        <rFont val="Arial MT"/>
        <family val="2"/>
      </rPr>
      <t>TEXTURA ACRÍLICA, APLICAÇÃO MANUAL EM PAREDE, UMA DEMÃO. AF_04/2023</t>
    </r>
  </si>
  <si>
    <r>
      <rPr>
        <b/>
        <sz val="11"/>
        <rFont val="Arial"/>
        <family val="2"/>
      </rPr>
      <t>12.2</t>
    </r>
  </si>
  <si>
    <r>
      <rPr>
        <b/>
        <sz val="11"/>
        <rFont val="Arial"/>
        <family val="2"/>
      </rPr>
      <t>TETO</t>
    </r>
  </si>
  <si>
    <r>
      <rPr>
        <sz val="11"/>
        <rFont val="Arial MT"/>
        <family val="2"/>
      </rPr>
      <t>12.2.1</t>
    </r>
  </si>
  <si>
    <r>
      <rPr>
        <sz val="11"/>
        <rFont val="Arial MT"/>
        <family val="2"/>
      </rPr>
      <t>EMASSAMENTO COM MASSA LÁTEX, APLICAÇÃO EM TETO, UMA DEMÃO, LIXAMENTO MANUAL. AF_04/2023</t>
    </r>
  </si>
  <si>
    <r>
      <rPr>
        <sz val="11"/>
        <rFont val="Arial MT"/>
        <family val="2"/>
      </rPr>
      <t>12.2.2</t>
    </r>
  </si>
  <si>
    <r>
      <rPr>
        <sz val="11"/>
        <rFont val="Arial MT"/>
        <family val="2"/>
      </rPr>
      <t>PINTURA LÁTEX ACRÍLICA ECONÔMICA, APLICAÇÃO MANUAL EM TETO, DUAS DEMÃOS. AF_04/2023</t>
    </r>
  </si>
  <si>
    <r>
      <rPr>
        <b/>
        <sz val="11"/>
        <rFont val="Arial"/>
        <family val="2"/>
      </rPr>
      <t>12.3</t>
    </r>
  </si>
  <si>
    <r>
      <rPr>
        <b/>
        <sz val="11"/>
        <rFont val="Arial"/>
        <family val="2"/>
      </rPr>
      <t>ESQUADRIAS</t>
    </r>
  </si>
  <si>
    <r>
      <rPr>
        <sz val="11"/>
        <rFont val="Arial MT"/>
        <family val="2"/>
      </rPr>
      <t>12.3.1</t>
    </r>
  </si>
  <si>
    <r>
      <rPr>
        <sz val="11"/>
        <rFont val="Arial MT"/>
        <family val="2"/>
      </rPr>
      <t>PINTURA FUNDO NIVELADOR ALQUÍDICO BRANCO EM MADEIRA. AF_01/2021</t>
    </r>
  </si>
  <si>
    <r>
      <rPr>
        <sz val="11"/>
        <rFont val="Arial MT"/>
        <family val="2"/>
      </rPr>
      <t>12.3.2</t>
    </r>
  </si>
  <si>
    <r>
      <rPr>
        <sz val="11"/>
        <rFont val="Arial MT"/>
        <family val="2"/>
      </rPr>
      <t>PINTURA TINTA DE ACABAMENTO (PIGMENTADA) ESMALTE SINTÉTICO ACETINADO EM MADEIRA, 2 DEMÃOS.</t>
    </r>
  </si>
  <si>
    <t>MARMORARIA</t>
  </si>
  <si>
    <r>
      <rPr>
        <sz val="11"/>
        <rFont val="Arial MT"/>
        <family val="2"/>
      </rPr>
      <t>13.1</t>
    </r>
  </si>
  <si>
    <r>
      <rPr>
        <sz val="11"/>
        <rFont val="Arial MT"/>
        <family val="2"/>
      </rPr>
      <t>CPU2556</t>
    </r>
  </si>
  <si>
    <r>
      <rPr>
        <sz val="11"/>
        <rFont val="Arial MT"/>
        <family val="2"/>
      </rPr>
      <t>TAMPO/BANCADA EM GRANITO BRANCO SIENA, E=2CM</t>
    </r>
  </si>
  <si>
    <r>
      <rPr>
        <sz val="11"/>
        <rFont val="Arial MT"/>
        <family val="2"/>
      </rPr>
      <t>13.2</t>
    </r>
  </si>
  <si>
    <r>
      <rPr>
        <sz val="11"/>
        <rFont val="Arial MT"/>
        <family val="2"/>
      </rPr>
      <t>PEITORIL LINEAR EM GRANITO OU MÁRMORE, L = 15CM, COMPRIMENTO DE ATÉ 2M, ASSENTADO COM</t>
    </r>
  </si>
  <si>
    <t>LOUÇAS, METAIS E ACESSÓRIOS</t>
  </si>
  <si>
    <r>
      <rPr>
        <b/>
        <sz val="11"/>
        <rFont val="Arial"/>
        <family val="2"/>
      </rPr>
      <t>14.1</t>
    </r>
  </si>
  <si>
    <r>
      <rPr>
        <b/>
        <sz val="11"/>
        <rFont val="Arial"/>
        <family val="2"/>
      </rPr>
      <t>EQUIPAMENTOS</t>
    </r>
  </si>
  <si>
    <r>
      <rPr>
        <sz val="11"/>
        <rFont val="Arial MT"/>
        <family val="2"/>
      </rPr>
      <t>14.1.1</t>
    </r>
  </si>
  <si>
    <r>
      <rPr>
        <sz val="11"/>
        <rFont val="Arial MT"/>
        <family val="2"/>
      </rPr>
      <t>CHUVEIRO ELÉTRICO COMUM CORPO PLÁSTICO, TIPO DUCHA - FORNECIMENTO E INSTALAÇÃO. AF_01/2020</t>
    </r>
  </si>
  <si>
    <r>
      <rPr>
        <b/>
        <sz val="11"/>
        <rFont val="Arial"/>
        <family val="2"/>
      </rPr>
      <t>14.2</t>
    </r>
  </si>
  <si>
    <r>
      <rPr>
        <b/>
        <sz val="11"/>
        <rFont val="Arial"/>
        <family val="2"/>
      </rPr>
      <t>LOUÇAS</t>
    </r>
  </si>
  <si>
    <r>
      <rPr>
        <sz val="11"/>
        <rFont val="Arial MT"/>
        <family val="2"/>
      </rPr>
      <t>14.2.1</t>
    </r>
  </si>
  <si>
    <r>
      <rPr>
        <sz val="11"/>
        <rFont val="Arial MT"/>
        <family val="2"/>
      </rPr>
      <t>VASO SANITÁRIO SIFONADO COM CAIXA ACOPLADA LOUÇA BRANCA - PADRÃO MÉDIO, INCLUSO ENGATE</t>
    </r>
  </si>
  <si>
    <r>
      <rPr>
        <sz val="11"/>
        <rFont val="Arial MT"/>
        <family val="2"/>
      </rPr>
      <t>14.2.2</t>
    </r>
  </si>
  <si>
    <r>
      <rPr>
        <sz val="11"/>
        <rFont val="Arial MT"/>
        <family val="2"/>
      </rPr>
      <t xml:space="preserve">LAVATÓRIO LOUÇA BRANCA COM COLUNA, *44 X 35,5* CM, PADRÃO POPULAR, INCLUSO SIFÃO FLEXÍVEL EM
</t>
    </r>
    <r>
      <rPr>
        <sz val="11"/>
        <rFont val="Arial MT"/>
        <family val="2"/>
      </rPr>
      <t>PVC, VÁLVULA E ENGATE FLEXÍVEL 30CM EM PLÁSTICO E COM TORNEIRA CROMADA PADRÃO POPULAR -</t>
    </r>
  </si>
  <si>
    <r>
      <rPr>
        <sz val="11"/>
        <rFont val="Arial MT"/>
        <family val="2"/>
      </rPr>
      <t>14.2.3</t>
    </r>
  </si>
  <si>
    <r>
      <rPr>
        <sz val="11"/>
        <rFont val="Arial MT"/>
        <family val="2"/>
      </rPr>
      <t>TANQUE DE LOUÇA BRANCA COM COLUNA, 30L OU EQUIVALENTE, INCLUSO SIFÃO FLEXÍVEL EM PVC, VÁLVULA</t>
    </r>
  </si>
  <si>
    <r>
      <rPr>
        <sz val="11"/>
        <rFont val="Arial MT"/>
        <family val="2"/>
      </rPr>
      <t>14.2.4</t>
    </r>
  </si>
  <si>
    <r>
      <rPr>
        <sz val="11"/>
        <rFont val="Arial MT"/>
        <family val="2"/>
      </rPr>
      <t>MICTÓRIO SIFONADO LOUÇA BRANCA - PADRÃO MÉDIO - FORNECIMENTO E INSTALAÇÃO. AF_01/2020</t>
    </r>
  </si>
  <si>
    <r>
      <rPr>
        <sz val="11"/>
        <rFont val="Arial MT"/>
        <family val="2"/>
      </rPr>
      <t>14.2.5</t>
    </r>
  </si>
  <si>
    <r>
      <rPr>
        <sz val="11"/>
        <rFont val="Arial MT"/>
        <family val="2"/>
      </rPr>
      <t>CPU2557</t>
    </r>
  </si>
  <si>
    <r>
      <rPr>
        <sz val="11"/>
        <rFont val="Arial MT"/>
        <family val="2"/>
      </rPr>
      <t>LAVATÓRIO DE CANTO REF. L101 DECA OU EQUIVALENTE, INCLUSIVE VÁLVULA, SIFÃO E ENGATES CROMADOS,</t>
    </r>
  </si>
  <si>
    <r>
      <rPr>
        <sz val="11"/>
        <rFont val="Arial MT"/>
        <family val="2"/>
      </rPr>
      <t>14.2.6</t>
    </r>
  </si>
  <si>
    <r>
      <rPr>
        <sz val="11"/>
        <rFont val="Arial MT"/>
        <family val="2"/>
      </rPr>
      <t>CUBA DE EMBUTIR OVAL EM LOUÇA BRANCA, 35 X 50CM OU EQUIVALENTE - FORNECIMENTO E INSTALAÇÃO.</t>
    </r>
  </si>
  <si>
    <r>
      <rPr>
        <b/>
        <sz val="11"/>
        <rFont val="Arial"/>
        <family val="2"/>
      </rPr>
      <t>14.3</t>
    </r>
  </si>
  <si>
    <r>
      <rPr>
        <b/>
        <sz val="11"/>
        <rFont val="Arial"/>
        <family val="2"/>
      </rPr>
      <t>METAIS E ACESSÓRIOS</t>
    </r>
  </si>
  <si>
    <r>
      <rPr>
        <sz val="11"/>
        <rFont val="Arial MT"/>
        <family val="2"/>
      </rPr>
      <t>14.3.1</t>
    </r>
  </si>
  <si>
    <r>
      <rPr>
        <sz val="11"/>
        <rFont val="Arial MT"/>
        <family val="2"/>
      </rPr>
      <t>CPU2558</t>
    </r>
  </si>
  <si>
    <r>
      <rPr>
        <sz val="11"/>
        <rFont val="Arial MT"/>
        <family val="2"/>
      </rPr>
      <t>TAMPO/BANCADA EM CONCRETO ARMADO, REVESTIDO EM AÇO INOXIDÁVEL FOSCO POLIDO</t>
    </r>
  </si>
  <si>
    <r>
      <rPr>
        <sz val="11"/>
        <rFont val="Arial MT"/>
        <family val="2"/>
      </rPr>
      <t>14.3.2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</si>
  <si>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CPU2559</t>
    </r>
  </si>
  <si>
    <r>
      <rPr>
        <sz val="11"/>
        <rFont val="Arial MT"/>
        <family val="2"/>
      </rPr>
      <t>FUNIL EXPURGO HOSPITALAR DE AÇO INOX 304  290X300MM E= 0,8MM SEM MESA PARA EMBUTIR - MIRNOX OU</t>
    </r>
  </si>
  <si>
    <r>
      <rPr>
        <sz val="11"/>
        <rFont val="Arial MT"/>
        <family val="2"/>
      </rPr>
      <t>14.3.3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</si>
  <si>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CUBA DE EMBUTIR RETANGULAR DE AÇO INOXIDÁVEL, 46 X 30 X 12 CM - FORNECIMENTO E INSTALAÇÃO.</t>
    </r>
  </si>
  <si>
    <r>
      <rPr>
        <sz val="11"/>
        <rFont val="Arial MT"/>
        <family val="2"/>
      </rPr>
      <t>14.3.4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</si>
  <si>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TORNEIRA CROMADA TUBO MÓVEL, DE MESA, 1/2" OU 3/4", PARA PIA DE COZINHA, PADRÃO ALTO -</t>
    </r>
  </si>
  <si>
    <r>
      <rPr>
        <sz val="11"/>
        <rFont val="Arial MT"/>
        <family val="2"/>
      </rPr>
      <t>14.3.5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</si>
  <si>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TORNEIRA CROMADA 1/2" OU 3/4" PARA TANQUE, PADRÃO POPULAR - FORNECIMENTO E INSTALAÇÃO.</t>
    </r>
  </si>
  <si>
    <r>
      <rPr>
        <sz val="11"/>
        <rFont val="Arial MT"/>
        <family val="2"/>
      </rPr>
      <t>14.3.6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</si>
  <si>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CPU2560</t>
    </r>
  </si>
  <si>
    <r>
      <rPr>
        <sz val="11"/>
        <rFont val="Arial MT"/>
        <family val="2"/>
      </rPr>
      <t>TORNEIRA CLÍNICA COM VOLANTE TIPO ALAVANCA</t>
    </r>
  </si>
  <si>
    <r>
      <rPr>
        <sz val="11"/>
        <rFont val="Arial MT"/>
        <family val="2"/>
      </rPr>
      <t>14.3.7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</si>
  <si>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CPU2561</t>
    </r>
  </si>
  <si>
    <r>
      <rPr>
        <sz val="11"/>
        <rFont val="Arial MT"/>
        <family val="2"/>
      </rPr>
      <t>TORNEIRA MISTURADOR CLÍNICA DE MESA COM AREJADOR ARTICULADO, ACIONAMENTO COTOVELO</t>
    </r>
  </si>
  <si>
    <r>
      <rPr>
        <sz val="11"/>
        <rFont val="Arial MT"/>
        <family val="2"/>
      </rPr>
      <t>14.3.8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</si>
  <si>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CPU2562</t>
    </r>
  </si>
  <si>
    <r>
      <rPr>
        <sz val="11"/>
        <rFont val="Arial MT"/>
        <family val="2"/>
      </rPr>
      <t>TORNEIRA DE MESA COM FECHAMENTO AUTOMÁTICO, LINHA DECAMATIC ECO, REF.1173.C, DECA OU SIMILAR</t>
    </r>
  </si>
  <si>
    <r>
      <rPr>
        <sz val="11"/>
        <rFont val="Arial MT"/>
        <family val="2"/>
      </rPr>
      <t>14.3.9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</si>
  <si>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CPU2690</t>
    </r>
  </si>
  <si>
    <r>
      <rPr>
        <sz val="11"/>
        <rFont val="Arial MT"/>
        <family val="2"/>
      </rPr>
      <t>TORNEIRA PARA  LAVATÓRIO,  DE  MESA,  CROMADA,  BICA  ALTA,  REF.:  FLEX  PLUS,  1198  C21,  DA  DECA  OU</t>
    </r>
  </si>
  <si>
    <r>
      <rPr>
        <sz val="11"/>
        <rFont val="Arial MT"/>
        <family val="2"/>
      </rPr>
      <t>14.3.10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</si>
  <si>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CPU2563</t>
    </r>
  </si>
  <si>
    <r>
      <rPr>
        <sz val="11"/>
        <rFont val="Arial MT"/>
        <family val="2"/>
      </rPr>
      <t>DUCHA HIGIÊNICA COM REGISTRO, LINHA DREAM, REF. 1984.C87.ACT.CR, DA DECA OU SIMILAR</t>
    </r>
  </si>
  <si>
    <r>
      <rPr>
        <sz val="11"/>
        <rFont val="Arial MT"/>
        <family val="2"/>
      </rPr>
      <t>14.3.11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</si>
  <si>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BARRA DE APOIO RETA, EM ACO INOX POLIDO, COMPRIMENTO 80 CM,  FIXADA NA PAREDE - FORNECIMENTO E</t>
    </r>
  </si>
  <si>
    <r>
      <rPr>
        <sz val="11"/>
        <rFont val="Arial MT"/>
        <family val="2"/>
      </rPr>
      <t>14.3.12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</si>
  <si>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CPU2546</t>
    </r>
  </si>
  <si>
    <r>
      <rPr>
        <sz val="11"/>
        <rFont val="Arial MT"/>
        <family val="2"/>
      </rPr>
      <t>BARRA DE APOIO, RETA, FIXA, EM AÇO INOX, L=40CM, D=1 1/4", JACKWAL OU SIMILAR</t>
    </r>
  </si>
  <si>
    <r>
      <rPr>
        <sz val="11"/>
        <rFont val="Arial MT"/>
        <family val="2"/>
      </rPr>
      <t>14.3.13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</si>
  <si>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BARRA DE APOIO RETA, EM ACO INOX POLIDO, COMPRIMENTO 70 CM,  FIXADA NA PAREDE - FORNECIMENTO E</t>
    </r>
  </si>
  <si>
    <r>
      <rPr>
        <sz val="11"/>
        <rFont val="Arial MT"/>
        <family val="2"/>
      </rPr>
      <t>14.3.14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</si>
  <si>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BANCO ARTICULADO, EM ACO INOX, PARA PCD, FIXADO NA PAREDE - FORNECIMENTO E INSTALAÇÃO.</t>
    </r>
  </si>
  <si>
    <r>
      <rPr>
        <sz val="11"/>
        <rFont val="Arial MT"/>
        <family val="2"/>
      </rPr>
      <t>14.3.15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</si>
  <si>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CPU2105</t>
    </r>
  </si>
  <si>
    <r>
      <rPr>
        <sz val="11"/>
        <rFont val="Arial MT"/>
        <family val="2"/>
      </rPr>
      <t>RALO SECO PVC QUADRADO 15x15 COM GRELHA</t>
    </r>
  </si>
  <si>
    <r>
      <rPr>
        <sz val="11"/>
        <rFont val="Arial MT"/>
        <family val="2"/>
      </rPr>
      <t>14.3.16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</si>
  <si>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CPU2564</t>
    </r>
  </si>
  <si>
    <r>
      <rPr>
        <sz val="11"/>
        <rFont val="Arial MT"/>
        <family val="2"/>
      </rPr>
      <t>ESTACAO DE CHAMADA DE BANHEIRO,COM INTERRUPTOR DE EMBUTIR.FO RNECIMENTO E COLOCACAO 3%-</t>
    </r>
  </si>
  <si>
    <t>INSTALAÇÕES HIDROSSANITÁRIAS</t>
  </si>
  <si>
    <r>
      <rPr>
        <b/>
        <sz val="11"/>
        <rFont val="Arial"/>
        <family val="2"/>
      </rPr>
      <t>15.1</t>
    </r>
  </si>
  <si>
    <r>
      <rPr>
        <b/>
        <sz val="11"/>
        <rFont val="Arial"/>
        <family val="2"/>
      </rPr>
      <t>HIDRÁULICA</t>
    </r>
  </si>
  <si>
    <r>
      <rPr>
        <sz val="11"/>
        <rFont val="Arial MT"/>
        <family val="2"/>
      </rPr>
      <t>15.1.1</t>
    </r>
  </si>
  <si>
    <r>
      <rPr>
        <sz val="11"/>
        <rFont val="Arial MT"/>
        <family val="2"/>
      </rPr>
      <t>CPU2565</t>
    </r>
  </si>
  <si>
    <r>
      <rPr>
        <sz val="11"/>
        <rFont val="Arial MT"/>
        <family val="2"/>
      </rPr>
      <t>ACOPLAMENTO RANHURADO EM FERRO FUNDIDO DN 60,3mm 2""</t>
    </r>
  </si>
  <si>
    <r>
      <rPr>
        <sz val="11"/>
        <rFont val="Arial MT"/>
        <family val="2"/>
      </rPr>
      <t>15.1.2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</si>
  <si>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CPU2566</t>
    </r>
  </si>
  <si>
    <r>
      <rPr>
        <sz val="11"/>
        <rFont val="Arial MT"/>
        <family val="2"/>
      </rPr>
      <t>HIDRÔMETRO EM BRONZE, DIÂMETRO DE 40 MM (1 1/2´)</t>
    </r>
  </si>
  <si>
    <r>
      <rPr>
        <sz val="11"/>
        <rFont val="Arial MT"/>
        <family val="2"/>
      </rPr>
      <t>15.1.3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</si>
  <si>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REGISTRO DE ESFERA, PVC, ROSCÁVEL, COM VOLANTE, 1 1/2" - FORNECIMENTO E INSTALAÇÃO. AF_08/2021</t>
    </r>
  </si>
  <si>
    <r>
      <rPr>
        <sz val="11"/>
        <rFont val="Arial MT"/>
        <family val="2"/>
      </rPr>
      <t>15.1.4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</si>
  <si>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REGISTRO DE ESFERA, PVC, SOLDÁVEL, COM VOLANTE, DN  50 MM - FORNECIMENTO E INSTALAÇÃO.</t>
    </r>
  </si>
  <si>
    <r>
      <rPr>
        <sz val="11"/>
        <rFont val="Arial MT"/>
        <family val="2"/>
      </rPr>
      <t>15.1.5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</si>
  <si>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CURVA 90 GRAUS, PVC, SOLDÁVEL, DN 60 MM, INSTALADO EM RESERVAÇÃO PREDIAL DE ÁGUA -</t>
    </r>
  </si>
  <si>
    <r>
      <rPr>
        <sz val="11"/>
        <rFont val="Arial MT"/>
        <family val="2"/>
      </rPr>
      <t>15.1.6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</si>
  <si>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ADAPTADOR CURTO COM BOLSA E ROSCA PARA REGISTRO, PVC, SOLDÁVEL, DN 50 MM X 1 1/2", INSTALADO EM</t>
    </r>
  </si>
  <si>
    <r>
      <rPr>
        <sz val="11"/>
        <rFont val="Arial MT"/>
        <family val="2"/>
      </rPr>
      <t>15.1.7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</si>
  <si>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CURVA 90 GRAUS, PVC, SOLDÁVEL, DN 50MM, INSTALADO EM RAMAL DE DISTRIBUIÇÃO DE ÁGUA -</t>
    </r>
  </si>
  <si>
    <r>
      <rPr>
        <sz val="11"/>
        <rFont val="Arial MT"/>
        <family val="2"/>
      </rPr>
      <t>15.1.8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</si>
  <si>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TUBO, PVC, SOLDÁVEL, DN 50MM, INSTALADO EM RAMAL DE DISTRIBUIÇÃO DE ÁGUA - FORNECIMENTO E</t>
    </r>
  </si>
  <si>
    <r>
      <rPr>
        <sz val="11"/>
        <rFont val="Arial MT"/>
        <family val="2"/>
      </rPr>
      <t>15.1.9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</si>
  <si>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 xml:space="preserve">TE DE REDUÇÃO, 90 GRAUS, PVC, SOLDÁVEL, DN 50 MM X 32 MM, INSTALADO EM RAMAL DE DISTRIBUIÇÃO DE
</t>
    </r>
    <r>
      <rPr>
        <sz val="11"/>
        <rFont val="Arial MT"/>
        <family val="2"/>
      </rPr>
      <t>ÁGUA - FORNECIMENTO E INSTALAÇÃO. AF_06/2022</t>
    </r>
  </si>
  <si>
    <r>
      <rPr>
        <sz val="11"/>
        <rFont val="Arial MT"/>
        <family val="2"/>
      </rPr>
      <t>15.1.10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</si>
  <si>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REGISTRO DE GAVETA BRUTO, LATÃO, ROSCÁVEL, 1 1/2", COM ACABAMENTO E CANOPLA CROMADOS -</t>
    </r>
  </si>
  <si>
    <r>
      <rPr>
        <sz val="11"/>
        <rFont val="Arial MT"/>
        <family val="2"/>
      </rPr>
      <t>15.1.11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</si>
  <si>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REGISTRO DE GAVETA BRUTO, LATÃO, ROSCÁVEL, 3/4", COM ACABAMENTO E CANOPLA CROMADOS -</t>
    </r>
  </si>
  <si>
    <r>
      <rPr>
        <sz val="11"/>
        <rFont val="Arial MT"/>
        <family val="2"/>
      </rPr>
      <t>15.1.12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</si>
  <si>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REGISTRO DE PRESSÃO BRUTO, LATÃO, ROSCÁVEL, 3/4", COM ACABAMENTO E CANOPLA CROMADOS -</t>
    </r>
  </si>
  <si>
    <r>
      <rPr>
        <sz val="11"/>
        <rFont val="Arial MT"/>
        <family val="2"/>
      </rPr>
      <t>15.1.13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</si>
  <si>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TUBO DE AÇO GALVANIZADO COM COSTURA, CLASSE MÉDIA, CONEXÃO RANHURADA, DN 65 (2 1/2"), INSTALADO</t>
    </r>
  </si>
  <si>
    <r>
      <rPr>
        <sz val="11"/>
        <rFont val="Arial MT"/>
        <family val="2"/>
      </rPr>
      <t>15.1.14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</si>
  <si>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LUVA DE REDUÇÃO, PVC, SOLDÁVEL, DN 25MM X 20MM, INSTALADO EM RAMAL OU SUB-RAMAL DE ÁGUA -</t>
    </r>
  </si>
  <si>
    <r>
      <rPr>
        <sz val="11"/>
        <rFont val="Arial MT"/>
        <family val="2"/>
      </rPr>
      <t>15.1.15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</si>
  <si>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ADAPTADOR CURTO COM BOLSA E ROSCA PARA REGISTRO, PVC, SOLDÁVEL, DN  25 MM X 3/4", INSTALADO EM</t>
    </r>
  </si>
  <si>
    <r>
      <rPr>
        <sz val="11"/>
        <rFont val="Arial MT"/>
        <family val="2"/>
      </rPr>
      <t>15.1.16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</si>
  <si>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ADAPTADOR CURTO COM BOLSA E ROSCA PARA REGISTRO, PVC, SOLDÁVEL, DN 50MM X 1.1/4", INSTALADO EM</t>
    </r>
  </si>
  <si>
    <r>
      <rPr>
        <sz val="11"/>
        <rFont val="Arial MT"/>
        <family val="2"/>
      </rPr>
      <t>15.1.17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</si>
  <si>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BUCHA DE REDUÇÃO, CURTA, PVC, SOLDÁVEL, DN 32 X 25 MM, INSTALADO EM RAMAL OU SUB-RAMAL DE ÁGUA -</t>
    </r>
  </si>
  <si>
    <r>
      <rPr>
        <sz val="11"/>
        <rFont val="Arial MT"/>
        <family val="2"/>
      </rPr>
      <t>15.1.18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</si>
  <si>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BUCHA DE REDUÇÃO, LONGA, PVC, SOLDÁVEL, DN 50 X 25 MM, INSTALADO EM PRUMADA DE ÁGUA -</t>
    </r>
  </si>
  <si>
    <r>
      <rPr>
        <sz val="11"/>
        <rFont val="Arial MT"/>
        <family val="2"/>
      </rPr>
      <t>15.1.19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</si>
  <si>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BUCHA DE REDUÇÃO , LONGA, PVC, SOLDÁVEL, DN 50 X 32 MM, INSTALADO EM RAMAL DE DISTRIBUIÇÃO DE</t>
    </r>
  </si>
  <si>
    <r>
      <rPr>
        <sz val="11"/>
        <rFont val="Arial MT"/>
        <family val="2"/>
      </rPr>
      <t>15.1.20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</si>
  <si>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CURVA 45 GRAUS, PVC, SOLDÁVEL, DN 25MM, INSTALADO EM PRUMADA DE ÁGUA - FORNECIMENTO E</t>
    </r>
  </si>
  <si>
    <r>
      <rPr>
        <sz val="11"/>
        <rFont val="Arial MT"/>
        <family val="2"/>
      </rPr>
      <t>15.1.21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</si>
  <si>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CURVA 90 GRAUS, PVC, SOLDÁVEL, DN 25MM, INSTALADO EM PRUMADA DE ÁGUA - FORNECIMENTO E</t>
    </r>
  </si>
  <si>
    <r>
      <rPr>
        <sz val="11"/>
        <rFont val="Arial MT"/>
        <family val="2"/>
      </rPr>
      <t>15.1.22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</si>
  <si>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CURVA DE TRANSPOSIÇÃO, PVC, SOLDÁVEL, DN 25MM, INSTALADO EM RAMAL OU SUB-RAMAL DE ÁGUA</t>
    </r>
  </si>
  <si>
    <r>
      <rPr>
        <sz val="11"/>
        <rFont val="Arial MT"/>
        <family val="2"/>
      </rPr>
      <t>15.1.23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</si>
  <si>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JOELHO 90 GRAUS, PVC, SOLDÁVEL, DN 25MM, INSTALADO EM RAMAL DE DISTRIBUIÇÃO DE ÁGUA -</t>
    </r>
  </si>
  <si>
    <r>
      <rPr>
        <sz val="11"/>
        <rFont val="Arial MT"/>
        <family val="2"/>
      </rPr>
      <t>15.1.24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</si>
  <si>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LUVA DE CORRER, PVC, SOLDÁVEL, DN 25MM, INSTALADO EM PRUMADA DE ÁGUA - FORNECIMENTO E</t>
    </r>
  </si>
  <si>
    <r>
      <rPr>
        <sz val="11"/>
        <rFont val="Arial MT"/>
        <family val="2"/>
      </rPr>
      <t>15.1.25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</si>
  <si>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LUVA DE CORRER, PVC, SOLDÁVEL, DN 50MM, INSTALADO EM PRUMADA DE ÁGUA - FORNECIMENTO E</t>
    </r>
  </si>
  <si>
    <r>
      <rPr>
        <sz val="11"/>
        <rFont val="Arial MT"/>
        <family val="2"/>
      </rPr>
      <t>15.1.26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</si>
  <si>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TUBO, PVC, SOLDÁVEL, DN 25MM, INSTALADO EM RAMAL OU SUB-RAMAL DE ÁGUA - FORNECIMENTO E</t>
    </r>
  </si>
  <si>
    <r>
      <rPr>
        <sz val="11"/>
        <rFont val="Arial MT"/>
        <family val="2"/>
      </rPr>
      <t>15.1.27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</si>
  <si>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 xml:space="preserve">TUBO, PVC, SOLDÁVEL, DN 32MM, INSTALADO EM RAMAL OU SUB-RAMAL DE ÁGUA - FORNECIMENTO E
</t>
    </r>
    <r>
      <rPr>
        <sz val="11"/>
        <rFont val="Arial MT"/>
        <family val="2"/>
      </rPr>
      <t>INSTALAÇÃO. AF_06/2022</t>
    </r>
  </si>
  <si>
    <r>
      <rPr>
        <sz val="11"/>
        <rFont val="Arial MT"/>
        <family val="2"/>
      </rPr>
      <t>15.1.28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</si>
  <si>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TUBO, PVC, SOLDÁVEL, DN 40MM, INSTALADO EM PRUMADA DE ÁGUA - FORNECIMENTO E INSTALAÇÃO.</t>
    </r>
  </si>
  <si>
    <r>
      <rPr>
        <sz val="11"/>
        <rFont val="Arial MT"/>
        <family val="2"/>
      </rPr>
      <t>15.1.29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</si>
  <si>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TE, PVC, SOLDÁVEL, DN 25MM, INSTALADO EM DRENO DE AR-CONDICIONADO - FORNECIMENTO E INSTALAÇÃO.</t>
    </r>
  </si>
  <si>
    <r>
      <rPr>
        <sz val="11"/>
        <rFont val="Arial MT"/>
        <family val="2"/>
      </rPr>
      <t>15.1.30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</si>
  <si>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TÊ DE REDUÇÃO, PVC, SOLDÁVEL, DN 32MM X 25MM, INSTALADO EM RAMAL OU SUB-RAMAL DE ÁGUA -</t>
    </r>
  </si>
  <si>
    <r>
      <rPr>
        <sz val="11"/>
        <rFont val="Arial MT"/>
        <family val="2"/>
      </rPr>
      <t>15.1.31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</si>
  <si>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TÊ DE REDUÇÃO, PVC, SOLDÁVEL, DN 50MM X 25MM, INSTALADO EM PRUMADA DE ÁGUA - FORNECIMENTO E</t>
    </r>
  </si>
  <si>
    <r>
      <rPr>
        <sz val="11"/>
        <rFont val="Arial MT"/>
        <family val="2"/>
      </rPr>
      <t>15.1.32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</si>
  <si>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JOELHO 90 GRAUS COM BUCHA DE LATÃO, PVC, SOLDÁVEL, DN 25MM, X 3/4  INSTALADO EM RAMAL OU SUB-</t>
    </r>
  </si>
  <si>
    <r>
      <rPr>
        <sz val="11"/>
        <rFont val="Arial MT"/>
        <family val="2"/>
      </rPr>
      <t>15.1.33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</si>
  <si>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JOELHO 90 GRAUS COM BUCHA DE LATÃO, PVC, SOLDÁVEL, DN 25MM, X 1/2  INSTALADO EM RAMAL OU SUB-</t>
    </r>
  </si>
  <si>
    <r>
      <rPr>
        <sz val="11"/>
        <rFont val="Arial MT"/>
        <family val="2"/>
      </rPr>
      <t>15.1.34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</si>
  <si>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CPU2194</t>
    </r>
  </si>
  <si>
    <r>
      <rPr>
        <sz val="11"/>
        <rFont val="Arial MT"/>
        <family val="2"/>
      </rPr>
      <t>PRESSURIZADOR DE ÁGUA MAX PRESS 270 VF MONOFASICO 220V</t>
    </r>
  </si>
  <si>
    <r>
      <rPr>
        <sz val="11"/>
        <rFont val="Arial MT"/>
        <family val="2"/>
      </rPr>
      <t>15.1.35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</si>
  <si>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CPU2475</t>
    </r>
  </si>
  <si>
    <r>
      <rPr>
        <sz val="11"/>
        <rFont val="Arial MT"/>
        <family val="2"/>
      </rPr>
      <t>RESERVATÓRIO METÁLICO TIPO TAÇA 25000L H &lt;= 10M DE ALTURA - FORNECIMENTO E INSTALAÇÃO</t>
    </r>
  </si>
  <si>
    <r>
      <rPr>
        <sz val="11"/>
        <rFont val="Arial MT"/>
        <family val="2"/>
      </rPr>
      <t>15.1.36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</si>
  <si>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REGISTRO DE ESFERA, PVC, SOLDÁVEL, COM VOLANTE, DN  32 MM - FORNECIMENTO E INSTALAÇÃO.</t>
    </r>
  </si>
  <si>
    <r>
      <rPr>
        <sz val="11"/>
        <rFont val="Arial MT"/>
        <family val="2"/>
      </rPr>
      <t>15.1.37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</si>
  <si>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CURVA 90 GRAUS, PVC, SOLDÁVEL, DN 32MM, INSTALADO EM RAMAL DE DISTRIBUIÇÃO DE ÁGUA -</t>
    </r>
  </si>
  <si>
    <r>
      <rPr>
        <sz val="11"/>
        <rFont val="Arial MT"/>
        <family val="2"/>
      </rPr>
      <t>15.1.38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</si>
  <si>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CPU2464</t>
    </r>
  </si>
  <si>
    <r>
      <rPr>
        <sz val="11"/>
        <rFont val="Arial MT"/>
        <family val="2"/>
      </rPr>
      <t>PRESSURIZADOR MAX PRESS 20E</t>
    </r>
  </si>
  <si>
    <r>
      <rPr>
        <sz val="11"/>
        <rFont val="Arial MT"/>
        <family val="2"/>
      </rPr>
      <t>15.1.39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</si>
  <si>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CPU2570</t>
    </r>
  </si>
  <si>
    <r>
      <rPr>
        <sz val="11"/>
        <rFont val="Arial MT"/>
        <family val="2"/>
      </rPr>
      <t>RESERVATÓRIO EM POLIETILENO DE ALTA DENSIDADE (CISTERNA) COM ANTIOXIDANTE E PROTEÇÃO CONTRA</t>
    </r>
  </si>
  <si>
    <r>
      <rPr>
        <sz val="11"/>
        <rFont val="Arial MT"/>
        <family val="2"/>
      </rPr>
      <t>CJ</t>
    </r>
  </si>
  <si>
    <r>
      <rPr>
        <b/>
        <sz val="11"/>
        <rFont val="Arial"/>
        <family val="2"/>
      </rPr>
      <t>15.2</t>
    </r>
  </si>
  <si>
    <r>
      <rPr>
        <b/>
        <sz val="11"/>
        <rFont val="Arial"/>
        <family val="2"/>
      </rPr>
      <t>SANITÁRIA</t>
    </r>
  </si>
  <si>
    <r>
      <rPr>
        <sz val="11"/>
        <rFont val="Arial MT"/>
        <family val="2"/>
      </rPr>
      <t>15.2.1</t>
    </r>
  </si>
  <si>
    <r>
      <rPr>
        <sz val="11"/>
        <rFont val="Arial MT"/>
        <family val="2"/>
      </rPr>
      <t>CAIXA ENTERRADA HIDRÁULICA RETANGULAR EM ALVENARIA COM TIJOLOS CERÂMICOS MACIÇOS, DIMENSÕES</t>
    </r>
  </si>
  <si>
    <r>
      <rPr>
        <sz val="11"/>
        <rFont val="Arial MT"/>
        <family val="2"/>
      </rPr>
      <t>15.2.2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</si>
  <si>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15.2.3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</si>
  <si>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CAIXA SIFONADA, COM GRELHA QUADRADA, PVC, DN 150 X 150 X 50 MM, JUNTA SOLDÁVEL, FORNECIDA E</t>
    </r>
  </si>
  <si>
    <r>
      <rPr>
        <sz val="11"/>
        <rFont val="Arial MT"/>
        <family val="2"/>
      </rPr>
      <t>15.2.4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</si>
  <si>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CAIXA SIFONADA, PVC, DN 150 X 185 X 75 MM, JUNTA ELÁSTICA, FORNECIDA E INSTALADA EM RAMAL DE</t>
    </r>
  </si>
  <si>
    <r>
      <rPr>
        <sz val="11"/>
        <rFont val="Arial MT"/>
        <family val="2"/>
      </rPr>
      <t>15.2.5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</si>
  <si>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RALO SIFONADO, PVC, DN 100 X 40 MM, JUNTA SOLDÁVEL, FORNECIDO E INSTALADO EM RAMAL DE DESCARGA</t>
    </r>
  </si>
  <si>
    <r>
      <rPr>
        <sz val="11"/>
        <rFont val="Arial MT"/>
        <family val="2"/>
      </rPr>
      <t>15.2.6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</si>
  <si>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SIFÃO DO TIPO FLEXÍVEL EM PVC 1  X 1.1/2  - FORNECIMENTO E INSTALAÇÃO. AF_01/2020</t>
    </r>
  </si>
  <si>
    <r>
      <rPr>
        <sz val="11"/>
        <rFont val="Arial MT"/>
        <family val="2"/>
      </rPr>
      <t>15.2.7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</si>
  <si>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SIFÃO DO TIPO GARRAFA/COPO EM PVC 1.1/4  X 1.1/2" - FORNECIMENTO E INSTALAÇÃO. AF_01/2020</t>
    </r>
  </si>
  <si>
    <r>
      <rPr>
        <sz val="11"/>
        <rFont val="Arial MT"/>
        <family val="2"/>
      </rPr>
      <t>15.2.8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</si>
  <si>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CPU2573</t>
    </r>
  </si>
  <si>
    <r>
      <rPr>
        <sz val="11"/>
        <rFont val="Arial MT"/>
        <family val="2"/>
      </rPr>
      <t>SIFÃO CROMADO 1 1/4" X 2" (INSTALADO)</t>
    </r>
  </si>
  <si>
    <r>
      <rPr>
        <sz val="11"/>
        <rFont val="Arial MT"/>
        <family val="2"/>
      </rPr>
      <t>15.2.9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</si>
  <si>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VÁLVULA EM PLÁSTICO 1" PARA PIA, TANQUE OU LAVATÓRIO, COM OU SEM LADRÃO - FORNECIMENTO E</t>
    </r>
  </si>
  <si>
    <r>
      <rPr>
        <sz val="11"/>
        <rFont val="Arial MT"/>
        <family val="2"/>
      </rPr>
      <t>15.2.10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</si>
  <si>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CURVA LONGA, 45 GRAUS, PVC OCRE, JUNTA ELÁSTICA, DN 100 MM, PARA COLETOR PREDIAL DE ESGOTO.</t>
    </r>
  </si>
  <si>
    <r>
      <rPr>
        <sz val="11"/>
        <rFont val="Arial MT"/>
        <family val="2"/>
      </rPr>
      <t>15.2.11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</si>
  <si>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CURVA CURTA 90 GRAUS, PVC, SERIE NORMAL, ESGOTO PREDIAL, DN 100 MM, JUNTA ELÁSTICA, FORNECIDO E</t>
    </r>
  </si>
  <si>
    <r>
      <rPr>
        <sz val="11"/>
        <rFont val="Arial MT"/>
        <family val="2"/>
      </rPr>
      <t>15.2.12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</si>
  <si>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CURVA CURTA 90 GRAUS, PVC, SERIE NORMAL, ESGOTO PREDIAL, DN 40 MM, JUNTA SOLDÁVEL, FORNECIDO E</t>
    </r>
  </si>
  <si>
    <r>
      <rPr>
        <sz val="11"/>
        <rFont val="Arial MT"/>
        <family val="2"/>
      </rPr>
      <t>15.2.13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</si>
  <si>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JOELHO 45 GRAUS, PVC, SERIE NORMAL, ESGOTO PREDIAL, DN 100 MM, JUNTA ELÁSTICA, FORNECIDO E</t>
    </r>
  </si>
  <si>
    <r>
      <rPr>
        <sz val="11"/>
        <rFont val="Arial MT"/>
        <family val="2"/>
      </rPr>
      <t>15.2.14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</si>
  <si>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JOELHO 45 GRAUS, PVC, SERIE NORMAL, ESGOTO PREDIAL, DN 40 MM, JUNTA SOLDÁVEL, FORNECIDO E</t>
    </r>
  </si>
  <si>
    <r>
      <rPr>
        <sz val="11"/>
        <rFont val="Arial MT"/>
        <family val="2"/>
      </rPr>
      <t>15.2.15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</si>
  <si>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JOELHO 45 GRAUS, PVC, SERIE NORMAL, ESGOTO PREDIAL, DN 50 MM, JUNTA ELÁSTICA, FORNECIDO E</t>
    </r>
  </si>
  <si>
    <r>
      <rPr>
        <sz val="11"/>
        <rFont val="Arial MT"/>
        <family val="2"/>
      </rPr>
      <t>15.2.16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</si>
  <si>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JOELHO 45 GRAUS, PVC, SERIE NORMAL, ESGOTO PREDIAL, DN 75 MM, JUNTA ELÁSTICA, FORNECIDO E</t>
    </r>
  </si>
  <si>
    <r>
      <rPr>
        <sz val="11"/>
        <rFont val="Arial MT"/>
        <family val="2"/>
      </rPr>
      <t>15.2.17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</si>
  <si>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JOELHO 90 GRAUS, PVC, SERIE NORMAL, ESGOTO PREDIAL, DN 40 MM, JUNTA SOLDÁVEL, FORNECIDO E</t>
    </r>
  </si>
  <si>
    <r>
      <rPr>
        <sz val="11"/>
        <rFont val="Arial MT"/>
        <family val="2"/>
      </rPr>
      <t>15.2.18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</si>
  <si>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JOELHO 90 GRAUS, PVC, SERIE NORMAL, ESGOTO PREDIAL, DN 50 MM, JUNTA ELÁSTICA, FORNECIDO E</t>
    </r>
  </si>
  <si>
    <r>
      <rPr>
        <sz val="11"/>
        <rFont val="Arial MT"/>
        <family val="2"/>
      </rPr>
      <t>15.2.19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</si>
  <si>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JUNÇÃO DE REDUCAO INVERTIDA, PVC, SÉRIE NORMAL, ESGOTO PREDIAL, DN 100 X 75 MM, JUNTA ELÁSTICA,</t>
    </r>
  </si>
  <si>
    <r>
      <rPr>
        <sz val="11"/>
        <rFont val="Arial MT"/>
        <family val="2"/>
      </rPr>
      <t>15.2.20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</si>
  <si>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JUNÇÃO DE REDUÇÃO INVERTIDA, PVC, SÉRIE NORMAL, ESGOTO PREDIAL, DN 100 X 50 MM, JUNTA ELÁSTICA,</t>
    </r>
  </si>
  <si>
    <r>
      <rPr>
        <sz val="11"/>
        <rFont val="Arial MT"/>
        <family val="2"/>
      </rPr>
      <t>15.2.21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</si>
  <si>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JUNÇÃO SIMPLES, PVC, SERIE NORMAL, ESGOTO PREDIAL, DN 100 X 100 MM, JUNTA ELÁSTICA, FORNECIDO E</t>
    </r>
  </si>
  <si>
    <r>
      <rPr>
        <sz val="11"/>
        <rFont val="Arial MT"/>
        <family val="2"/>
      </rPr>
      <t>15.2.22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</si>
  <si>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JUNÇÃO SIMPLES, PVC, SERIE NORMAL, ESGOTO PREDIAL, DN 40 MM, JUNTA SOLDÁVEL, FORNECIDO E</t>
    </r>
  </si>
  <si>
    <r>
      <rPr>
        <sz val="11"/>
        <rFont val="Arial MT"/>
        <family val="2"/>
      </rPr>
      <t>15.2.23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</si>
  <si>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JUNÇÃO SIMPLES, PVC, SERIE NORMAL, ESGOTO PREDIAL, DN 50 X 50 MM, JUNTA ELÁSTICA, FORNECIDO E</t>
    </r>
  </si>
  <si>
    <r>
      <rPr>
        <sz val="11"/>
        <rFont val="Arial MT"/>
        <family val="2"/>
      </rPr>
      <t>15.2.24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</si>
  <si>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JUNÇÃO DE REDUÇÃO INVERTIDA, PVC, SÉRIE NORMAL, ESGOTO PREDIAL, DN 75 X 50 MM, JUNTA ELÁSTICA,</t>
    </r>
  </si>
  <si>
    <r>
      <rPr>
        <sz val="11"/>
        <rFont val="Arial MT"/>
        <family val="2"/>
      </rPr>
      <t>15.2.25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</si>
  <si>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JUNÇÃO SIMPLES, PVC, SERIE NORMAL, ESGOTO PREDIAL, DN 75 X 75 MM, JUNTA ELÁSTICA, FORNECIDO E</t>
    </r>
  </si>
  <si>
    <r>
      <rPr>
        <sz val="11"/>
        <rFont val="Arial MT"/>
        <family val="2"/>
      </rPr>
      <t>15.2.26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</si>
  <si>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REDUÇÃO EXCÊNTRICA, PVC, SERIE R, ÁGUA PLUVIAL, DN 75 X 50 MM, JUNTA ELÁSTICA, FORNECIDO E</t>
    </r>
  </si>
  <si>
    <r>
      <rPr>
        <sz val="11"/>
        <rFont val="Arial MT"/>
        <family val="2"/>
      </rPr>
      <t>15.2.27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</si>
  <si>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CPU2574</t>
    </r>
  </si>
  <si>
    <r>
      <rPr>
        <sz val="11"/>
        <rFont val="Arial MT"/>
        <family val="2"/>
      </rPr>
      <t>TUBO DE PVC RÍGIDO PXB COM VIROLA E ANEL DE BORRACHA, LINHA ESGOTO SÉRIE REFORÇADA ´R´, DN= 100</t>
    </r>
  </si>
  <si>
    <r>
      <rPr>
        <sz val="11"/>
        <rFont val="Arial MT"/>
        <family val="2"/>
      </rPr>
      <t>15.2.28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</si>
  <si>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CPU2576</t>
    </r>
  </si>
  <si>
    <r>
      <rPr>
        <sz val="11"/>
        <rFont val="Arial MT"/>
        <family val="2"/>
      </rPr>
      <t>TUBO DE PVC RÍGIDO PXB COM VIROLA E ANEL DE BORRACHA, LINHA ESGOTO SÉRIE REFORÇADA ´R´, DN= 50</t>
    </r>
  </si>
  <si>
    <r>
      <rPr>
        <sz val="11"/>
        <rFont val="Arial MT"/>
        <family val="2"/>
      </rPr>
      <t>15.2.29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</si>
  <si>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CPU2577</t>
    </r>
  </si>
  <si>
    <r>
      <rPr>
        <sz val="11"/>
        <rFont val="Arial MT"/>
        <family val="2"/>
      </rPr>
      <t>TUBO DE PVC RÍGIDO PXB COM VIROLA E ANEL DE BORRACHA, LINHA ESGOTO SÉRIE REFORÇADA ´R´, DN= 75</t>
    </r>
  </si>
  <si>
    <r>
      <rPr>
        <sz val="11"/>
        <rFont val="Arial MT"/>
        <family val="2"/>
      </rPr>
      <t>15.2.30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</si>
  <si>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CPU2578</t>
    </r>
  </si>
  <si>
    <r>
      <rPr>
        <sz val="11"/>
        <rFont val="Arial MT"/>
        <family val="2"/>
      </rPr>
      <t>TUBO DE PVC RÍGIDO SOLDÁVEL MARROM, DN= 40 MM, (1 1/4´), INCLUSIVE CONEXÕES</t>
    </r>
  </si>
  <si>
    <r>
      <rPr>
        <sz val="11"/>
        <rFont val="Arial MT"/>
        <family val="2"/>
      </rPr>
      <t>15.2.31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</si>
  <si>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CPU2579</t>
    </r>
  </si>
  <si>
    <r>
      <rPr>
        <sz val="11"/>
        <rFont val="Arial MT"/>
        <family val="2"/>
      </rPr>
      <t>TUBO DE PVC RÍGIDO BRANCO, PONTAS LISAS, SOLDÁVEL, LINHA ESGOTO SÉRIE NORMAL, DN= 40 MM,</t>
    </r>
  </si>
  <si>
    <r>
      <rPr>
        <sz val="11"/>
        <rFont val="Arial MT"/>
        <family val="2"/>
      </rPr>
      <t>15.2.32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</si>
  <si>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CPU2586</t>
    </r>
  </si>
  <si>
    <r>
      <rPr>
        <sz val="11"/>
        <rFont val="Arial MT"/>
        <family val="2"/>
      </rPr>
      <t>TUBO DE PVC RÍGIDO, PONTAS LISAS, SOLDÁVEL, LINHA ESGOTO SÉRIE REFORÇADA ´R´, DN= 40 MM,</t>
    </r>
  </si>
  <si>
    <r>
      <rPr>
        <sz val="11"/>
        <rFont val="Arial MT"/>
        <family val="2"/>
      </rPr>
      <t>15.2.33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</si>
  <si>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TE, PVC, SERIE NORMAL, ESGOTO PREDIAL, DN 40 X 40 MM, JUNTA SOLDÁVEL, FORNECIDO E INSTALADO EM</t>
    </r>
  </si>
  <si>
    <r>
      <rPr>
        <sz val="11"/>
        <rFont val="Arial MT"/>
        <family val="2"/>
      </rPr>
      <t>15.2.34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</si>
  <si>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15.2.35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</si>
  <si>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LUVA SIMPLES, PVC, SERIE NORMAL, ESGOTO PREDIAL, DN 50 MM, JUNTA ELÁSTICA, FORNECIDO E INSTALADO</t>
    </r>
  </si>
  <si>
    <r>
      <rPr>
        <sz val="11"/>
        <rFont val="Arial MT"/>
        <family val="2"/>
      </rPr>
      <t>15.2.36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</si>
  <si>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CPU2688</t>
    </r>
  </si>
  <si>
    <r>
      <rPr>
        <sz val="11"/>
        <rFont val="Arial MT"/>
        <family val="2"/>
      </rPr>
      <t>REDUCAO EXCENTRICA ESGOTO PVC 100x75mm</t>
    </r>
  </si>
  <si>
    <r>
      <rPr>
        <sz val="11"/>
        <rFont val="Arial MT"/>
        <family val="2"/>
      </rPr>
      <t>15.2.37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</si>
  <si>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CPU2588</t>
    </r>
  </si>
  <si>
    <r>
      <rPr>
        <sz val="11"/>
        <rFont val="Arial MT"/>
        <family val="2"/>
      </rPr>
      <t>ANEL DE BORRACHA PARA TUBO PVC SANITARIO D = 50MM</t>
    </r>
  </si>
  <si>
    <r>
      <rPr>
        <sz val="11"/>
        <rFont val="Arial MT"/>
        <family val="2"/>
      </rPr>
      <t>15.2.38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</si>
  <si>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CPU2589</t>
    </r>
  </si>
  <si>
    <r>
      <rPr>
        <sz val="11"/>
        <rFont val="Arial MT"/>
        <family val="2"/>
      </rPr>
      <t>JOELHO 45º DE PVC RÍGIDO, SÉRIE R, DIÂM = 50MM</t>
    </r>
  </si>
  <si>
    <r>
      <rPr>
        <sz val="11"/>
        <rFont val="Arial MT"/>
        <family val="2"/>
      </rPr>
      <t>15.2.39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</si>
  <si>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CPU2590</t>
    </r>
  </si>
  <si>
    <r>
      <rPr>
        <sz val="11"/>
        <rFont val="Arial MT"/>
        <family val="2"/>
      </rPr>
      <t>CAIXA DE COLETORA DE TALVEGUE - CCT 02 (PADRÃO DNIT)</t>
    </r>
  </si>
  <si>
    <r>
      <rPr>
        <sz val="11"/>
        <rFont val="Arial MT"/>
        <family val="2"/>
      </rPr>
      <t>15.2.40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</si>
  <si>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CONCRETO MAGRO PARA LASTRO, TRAÇO 1:4,5:4,5 (EM MASSA SECA DE CIMENTO/ AREIA MÉDIA/ BRITA 1) -</t>
    </r>
  </si>
  <si>
    <r>
      <rPr>
        <sz val="11"/>
        <rFont val="Arial MT"/>
        <family val="2"/>
      </rPr>
      <t>15.2.41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</si>
  <si>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TERMINAL DE VENTILAÇÃO, PVC, SÉRIE NORMAL, ESGOTO PREDIAL, DN 50 MM, JUNTA SOLDÁVEL, FORNECIDO</t>
    </r>
  </si>
  <si>
    <r>
      <rPr>
        <sz val="11"/>
        <rFont val="Arial MT"/>
        <family val="2"/>
      </rPr>
      <t>15.2.42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</si>
  <si>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TE, PVC, SÉRIE NORMAL, ESGOTO PREDIAL, DN 100 X 50 MM, JUNTA ELÁSTICA, FORNECIDO E INSTALADO EM</t>
    </r>
  </si>
  <si>
    <r>
      <rPr>
        <sz val="11"/>
        <rFont val="Arial MT"/>
        <family val="2"/>
      </rPr>
      <t>15.2.43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</si>
  <si>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TE, PVC, SERIE NORMAL, ESGOTO PREDIAL, DN 50 X 50 MM, JUNTA ELÁSTICA, FORNECIDO E INSTALADO EM</t>
    </r>
  </si>
  <si>
    <r>
      <rPr>
        <sz val="11"/>
        <rFont val="Arial MT"/>
        <family val="2"/>
      </rPr>
      <t>15.2.44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</si>
  <si>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TE, PVC, SERIE NORMAL, ESGOTO PREDIAL, DN 75 X 75 MM, JUNTA ELÁSTICA, FORNECIDO E INSTALADO EM</t>
    </r>
  </si>
  <si>
    <r>
      <rPr>
        <b/>
        <sz val="11"/>
        <rFont val="Arial"/>
        <family val="2"/>
      </rPr>
      <t>15.3</t>
    </r>
  </si>
  <si>
    <r>
      <rPr>
        <b/>
        <sz val="11"/>
        <rFont val="Arial"/>
        <family val="2"/>
      </rPr>
      <t>PLUVIAL</t>
    </r>
  </si>
  <si>
    <r>
      <rPr>
        <sz val="11"/>
        <rFont val="Arial MT"/>
        <family val="2"/>
      </rPr>
      <t>15.3.1</t>
    </r>
  </si>
  <si>
    <r>
      <rPr>
        <sz val="11"/>
        <rFont val="Arial MT"/>
        <family val="2"/>
      </rPr>
      <t>CPU2591</t>
    </r>
  </si>
  <si>
    <r>
      <rPr>
        <sz val="11"/>
        <rFont val="Arial MT"/>
        <family val="2"/>
      </rPr>
      <t>CAIXA DE PASSAGEM EM ALVENARIA DE TIJOLOS MACIÇOS ESP. = 0,12M,  DIM. INT. = 0.50 X 0.50 X 0.60M, COM</t>
    </r>
  </si>
  <si>
    <r>
      <rPr>
        <sz val="11"/>
        <rFont val="Arial MT"/>
        <family val="2"/>
      </rPr>
      <t>un</t>
    </r>
  </si>
  <si>
    <r>
      <rPr>
        <sz val="11"/>
        <rFont val="Arial MT"/>
        <family val="2"/>
      </rPr>
      <t>15.3.2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</si>
  <si>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CPU2689</t>
    </r>
  </si>
  <si>
    <r>
      <rPr>
        <sz val="11"/>
        <rFont val="Arial MT"/>
        <family val="2"/>
      </rPr>
      <t>CAIXA DE PASSAGEM EM ALVENARIA DE TIJOLOS MACIÇOS ESP=12CM, DIM. INT. 0,60X0,60X1,00M, SEM TAMPA</t>
    </r>
  </si>
  <si>
    <r>
      <rPr>
        <sz val="11"/>
        <rFont val="Arial MT"/>
        <family val="2"/>
      </rPr>
      <t>15.3.3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</si>
  <si>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15.3.4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</si>
  <si>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15.3.5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</si>
  <si>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JOELHO 45 GRAUS, PVC, SERIE NORMAL, ESGOTO PREDIAL, DN 150 MM, JUNTA ELÁSTICA, FORNECIDO E</t>
    </r>
  </si>
  <si>
    <r>
      <rPr>
        <sz val="11"/>
        <rFont val="Arial MT"/>
        <family val="2"/>
      </rPr>
      <t>15.3.6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</si>
  <si>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15.3.7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</si>
  <si>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LUVA SIMPLES, PVC, SERIE R, ÁGUA PLUVIAL, DN 100 MM, JUNTA ELÁSTICA, FORNECIDO E INSTALADO EM</t>
    </r>
  </si>
  <si>
    <r>
      <rPr>
        <sz val="11"/>
        <rFont val="Arial MT"/>
        <family val="2"/>
      </rPr>
      <t>15.3.8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</si>
  <si>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CPU2691</t>
    </r>
  </si>
  <si>
    <r>
      <rPr>
        <sz val="11"/>
        <rFont val="Arial MT"/>
        <family val="2"/>
      </rPr>
      <t>LUVA SIMPLES EM PVC RÍGIDO SOLDÁVEL, PARA ESGOTO PRIMÁRIO, DIÂM = 200MM</t>
    </r>
  </si>
  <si>
    <r>
      <rPr>
        <sz val="11"/>
        <rFont val="Arial MT"/>
        <family val="2"/>
      </rPr>
      <t>15.3.9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</si>
  <si>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15.3.10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</si>
  <si>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CPU2575</t>
    </r>
  </si>
  <si>
    <r>
      <rPr>
        <sz val="11"/>
        <rFont val="Arial MT"/>
        <family val="2"/>
      </rPr>
      <t>TUBO DE PVC RÍGIDO PXB COM VIROLA E ANEL DE BORRACHA, LINHA ESGOTO SÉRIE REFORÇADA ´R´. DN= 150</t>
    </r>
  </si>
  <si>
    <r>
      <rPr>
        <sz val="11"/>
        <rFont val="Arial MT"/>
        <family val="2"/>
      </rPr>
      <t>15.3.11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</si>
  <si>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TUBO DE PVC PARA REDE COLETORA DE ESGOTO DE PAREDE MACIÇA, DN 100 MM, JUNTA ELÁSTICA -</t>
    </r>
  </si>
  <si>
    <r>
      <rPr>
        <sz val="11"/>
        <rFont val="Arial MT"/>
        <family val="2"/>
      </rPr>
      <t>15.3.12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</si>
  <si>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TUBO DE PVC PARA REDE COLETORA DE ESGOTO DE PAREDE MACIÇA, DN 200 MM, JUNTA ELÁSTICA -</t>
    </r>
  </si>
  <si>
    <r>
      <rPr>
        <sz val="11"/>
        <rFont val="Arial MT"/>
        <family val="2"/>
      </rPr>
      <t>15.3.13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</si>
  <si>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TE, PVC, SERIE NORMAL, ESGOTO PREDIAL, DN 100 X 100 MM, JUNTA ELÁSTICA, FORNECIDO E INSTALADO EM</t>
    </r>
  </si>
  <si>
    <r>
      <rPr>
        <sz val="11"/>
        <rFont val="Arial MT"/>
        <family val="2"/>
      </rPr>
      <t>15.3.14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</si>
  <si>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15.3.15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</si>
  <si>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15.3.16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</si>
  <si>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15.3.17</t>
    </r>
    <r>
      <rPr>
        <sz val="11"/>
        <color theme="1"/>
        <rFont val="Calibri"/>
        <family val="2"/>
        <scheme val="minor"/>
      </rPr>
      <t/>
    </r>
  </si>
  <si>
    <r>
      <rPr>
        <b/>
        <sz val="11"/>
        <rFont val="Arial"/>
        <family val="2"/>
      </rPr>
      <t>15.4</t>
    </r>
  </si>
  <si>
    <r>
      <rPr>
        <b/>
        <sz val="11"/>
        <rFont val="Arial"/>
        <family val="2"/>
      </rPr>
      <t>PREVENÇÃO E COMBATE A INCÊNDIO (PCI)</t>
    </r>
  </si>
  <si>
    <r>
      <rPr>
        <sz val="11"/>
        <rFont val="Arial MT"/>
        <family val="2"/>
      </rPr>
      <t>15.4.1</t>
    </r>
  </si>
  <si>
    <r>
      <rPr>
        <sz val="11"/>
        <rFont val="Arial MT"/>
        <family val="2"/>
      </rPr>
      <t>CPU2592</t>
    </r>
  </si>
  <si>
    <r>
      <rPr>
        <sz val="11"/>
        <rFont val="Arial MT"/>
        <family val="2"/>
      </rPr>
      <t>PLACA DE SINALIZACAO, FOTOLUMINESCENTE, EM PVC , COM LOGOTIPO "CUIDADO RISCO DE CHOQUE</t>
    </r>
  </si>
  <si>
    <r>
      <rPr>
        <sz val="11"/>
        <rFont val="Arial MT"/>
        <family val="2"/>
      </rPr>
      <t>15.4.2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</si>
  <si>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EXTINTOR DE INCÊNDIO PORTÁTIL COM CARGA DE PQS DE 8 KG, CLASSE BC - FORNECIMENTO E INSTALAÇÃO.</t>
    </r>
  </si>
  <si>
    <r>
      <rPr>
        <sz val="11"/>
        <rFont val="Arial MT"/>
        <family val="2"/>
      </rPr>
      <t>15.4.3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</si>
  <si>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CPU2593</t>
    </r>
  </si>
  <si>
    <r>
      <rPr>
        <sz val="11"/>
        <rFont val="Arial MT"/>
        <family val="2"/>
      </rPr>
      <t>PLACA DE SINALIZACAO, FOTOLUMINESCENTE, EM PVC , COM LOGOTIPO "EXTINTOR DE INCÊNDIO PORTÁTIL"-</t>
    </r>
  </si>
  <si>
    <r>
      <rPr>
        <sz val="11"/>
        <rFont val="Arial MT"/>
        <family val="2"/>
      </rPr>
      <t>15.4.4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</si>
  <si>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CPU2594</t>
    </r>
  </si>
  <si>
    <r>
      <rPr>
        <sz val="11"/>
        <rFont val="Arial MT"/>
        <family val="2"/>
      </rPr>
      <t>PLACA DE SINALIZAÇÃO EM PVC PARA AMBIENTES</t>
    </r>
  </si>
  <si>
    <r>
      <rPr>
        <sz val="11"/>
        <rFont val="Arial MT"/>
        <family val="2"/>
      </rPr>
      <t>15.4.5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</si>
  <si>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CPU2595</t>
    </r>
  </si>
  <si>
    <r>
      <rPr>
        <sz val="11"/>
        <rFont val="Arial MT"/>
        <family val="2"/>
      </rPr>
      <t>PLACA DE SINALIZACAO DE SEGURANCA CONTRA INCENDIO, FOTOLUMINESCENTE, RETANGULAR, *20 X 40* CM,</t>
    </r>
  </si>
  <si>
    <r>
      <rPr>
        <sz val="11"/>
        <rFont val="Arial MT"/>
        <family val="2"/>
      </rPr>
      <t>15.4.6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</si>
  <si>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CPU2596</t>
    </r>
  </si>
  <si>
    <r>
      <rPr>
        <sz val="11"/>
        <rFont val="Arial MT"/>
        <family val="2"/>
      </rPr>
      <t>PLACA DE SINALIZAÇÃO EM PVC, COM INDICAÇÃO DE PROIBIÇÃO NORMATIVA</t>
    </r>
  </si>
  <si>
    <r>
      <rPr>
        <sz val="11"/>
        <rFont val="Arial MT"/>
        <family val="2"/>
      </rPr>
      <t>15.4.7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</si>
  <si>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CPU2597</t>
    </r>
  </si>
  <si>
    <r>
      <rPr>
        <sz val="11"/>
        <rFont val="Arial MT"/>
        <family val="2"/>
      </rPr>
      <t>PLACA DE SINALIZAÇÃO EM ALUMÍNIO 35 X 25 CM - "PERIGO - GÁS INFLAMÁVEL - PROIBIDO FUMAR"</t>
    </r>
  </si>
  <si>
    <r>
      <rPr>
        <sz val="11"/>
        <rFont val="Arial MT"/>
        <family val="2"/>
      </rPr>
      <t>15.4.8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</si>
  <si>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CPU2598</t>
    </r>
  </si>
  <si>
    <r>
      <rPr>
        <sz val="11"/>
        <rFont val="Arial MT"/>
        <family val="2"/>
      </rPr>
      <t>PLACA DE SINALIZACAO, FOTOLUMINESCENTE, 38X19 CM, EM PVC , COM SETA INDICATIVA DE SENTIDO</t>
    </r>
  </si>
  <si>
    <r>
      <rPr>
        <sz val="11"/>
        <rFont val="Arial MT"/>
        <family val="2"/>
      </rPr>
      <t>15.4.9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</si>
  <si>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CPU2599</t>
    </r>
  </si>
  <si>
    <r>
      <rPr>
        <sz val="11"/>
        <rFont val="Arial MT"/>
        <family val="2"/>
      </rPr>
      <t>ABRIGO DE SOBREPOR EM CHAPA DE AÇO CARBONO PINTADO COM TINTA A BASE DE EPOXI VERMELHA,</t>
    </r>
  </si>
  <si>
    <r>
      <rPr>
        <sz val="11"/>
        <rFont val="Arial MT"/>
        <family val="2"/>
      </rPr>
      <t>15.4.10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</si>
  <si>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CPU2600</t>
    </r>
  </si>
  <si>
    <r>
      <rPr>
        <sz val="11"/>
        <rFont val="Arial MT"/>
        <family val="2"/>
      </rPr>
      <t>PLACA DE SINALIZAÇÃO DE SEGURANÇA CODIGO 14 - 315/158(NBR 13.434); CÓDIGO S3(NT 14/2010-ES) ("SAIDA</t>
    </r>
  </si>
  <si>
    <r>
      <rPr>
        <sz val="11"/>
        <rFont val="Arial MT"/>
        <family val="2"/>
      </rPr>
      <t>15.4.11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</si>
  <si>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CPU2601</t>
    </r>
  </si>
  <si>
    <r>
      <rPr>
        <sz val="11"/>
        <rFont val="Arial MT"/>
        <family val="2"/>
      </rPr>
      <t>PLACA FOTOLUMINESCENTE DE SINALIZACAO DE SEGURANCA CONTRA IN CENDIO,PARA EQUIPAMENTOS DE</t>
    </r>
  </si>
  <si>
    <t>INSTALAÇÕES ELÉTRICAS</t>
  </si>
  <si>
    <r>
      <rPr>
        <b/>
        <sz val="11"/>
        <rFont val="Arial"/>
        <family val="2"/>
      </rPr>
      <t>16.1</t>
    </r>
  </si>
  <si>
    <r>
      <rPr>
        <b/>
        <sz val="11"/>
        <rFont val="Arial"/>
        <family val="2"/>
      </rPr>
      <t>INFRAESTRUTURA</t>
    </r>
  </si>
  <si>
    <r>
      <rPr>
        <sz val="11"/>
        <rFont val="Arial MT"/>
        <family val="2"/>
      </rPr>
      <t>16.1.1</t>
    </r>
  </si>
  <si>
    <r>
      <rPr>
        <sz val="11"/>
        <rFont val="Arial MT"/>
        <family val="2"/>
      </rPr>
      <t>CPU2602</t>
    </r>
  </si>
  <si>
    <r>
      <rPr>
        <sz val="11"/>
        <rFont val="Arial MT"/>
        <family val="2"/>
      </rPr>
      <t>BUCHA COM ARRUELA EM LIGA ESPECIAL ZAMAK P/ELETRODUTO 32MM, D=1 1/4"</t>
    </r>
  </si>
  <si>
    <r>
      <rPr>
        <sz val="11"/>
        <rFont val="Arial MT"/>
        <family val="2"/>
      </rPr>
      <t>16.1.2</t>
    </r>
  </si>
  <si>
    <r>
      <rPr>
        <sz val="11"/>
        <rFont val="Arial MT"/>
        <family val="2"/>
      </rPr>
      <t>CAIXA RETANGULAR 4" X 2" MÉDIA (1,30 M DO PISO), PVC, INSTALADA EM PAREDE - FORNECIMENTO E</t>
    </r>
  </si>
  <si>
    <r>
      <rPr>
        <sz val="11"/>
        <rFont val="Arial MT"/>
        <family val="2"/>
      </rPr>
      <t>16.1.3</t>
    </r>
  </si>
  <si>
    <r>
      <rPr>
        <sz val="11"/>
        <rFont val="Arial MT"/>
        <family val="2"/>
      </rPr>
      <t>CAIXA OCTOGONAL 3" X 3", PVC, INSTALADA EM LAJE - FORNECIMENTO E INSTALAÇÃO. AF_03/2023</t>
    </r>
  </si>
  <si>
    <r>
      <rPr>
        <sz val="11"/>
        <rFont val="Arial MT"/>
        <family val="2"/>
      </rPr>
      <t>16.1.4</t>
    </r>
  </si>
  <si>
    <r>
      <rPr>
        <sz val="11"/>
        <rFont val="Arial MT"/>
        <family val="2"/>
      </rPr>
      <t>CAIXA RETANGULAR 4" X 2" MÉDIA (1,30 M DO PISO), METÁLICA, INSTALADA EM PAREDE - FORNECIMENTO E</t>
    </r>
  </si>
  <si>
    <r>
      <rPr>
        <sz val="11"/>
        <rFont val="Arial MT"/>
        <family val="2"/>
      </rPr>
      <t>16.1.5</t>
    </r>
  </si>
  <si>
    <r>
      <rPr>
        <sz val="11"/>
        <rFont val="Arial MT"/>
        <family val="2"/>
      </rPr>
      <t>CURVA 90 GRAUS PARA ELETRODUTO, PVC, ROSCÁVEL, DN 40 MM (1 1/4"), PARA CIRCUITOS TERMINAIS,</t>
    </r>
  </si>
  <si>
    <r>
      <rPr>
        <sz val="11"/>
        <rFont val="Arial MT"/>
        <family val="2"/>
      </rPr>
      <t>16.1.6</t>
    </r>
  </si>
  <si>
    <r>
      <rPr>
        <sz val="11"/>
        <rFont val="Arial MT"/>
        <family val="2"/>
      </rPr>
      <t>CPU2678</t>
    </r>
  </si>
  <si>
    <r>
      <rPr>
        <sz val="11"/>
        <rFont val="Arial MT"/>
        <family val="2"/>
      </rPr>
      <t>LEITOS - PORCA E ARRUELA 1/4""</t>
    </r>
  </si>
  <si>
    <r>
      <rPr>
        <sz val="11"/>
        <rFont val="Arial MT"/>
        <family val="2"/>
      </rPr>
      <t>16.1.7</t>
    </r>
  </si>
  <si>
    <r>
      <rPr>
        <sz val="11"/>
        <rFont val="Arial MT"/>
        <family val="2"/>
      </rPr>
      <t>CPU2604</t>
    </r>
  </si>
  <si>
    <r>
      <rPr>
        <sz val="11"/>
        <rFont val="Arial MT"/>
        <family val="2"/>
      </rPr>
      <t>LEITOS - PORCA E ARRUELA 3/8""</t>
    </r>
  </si>
  <si>
    <r>
      <rPr>
        <sz val="11"/>
        <rFont val="Arial MT"/>
        <family val="2"/>
      </rPr>
      <t>16.1.8</t>
    </r>
  </si>
  <si>
    <r>
      <rPr>
        <sz val="11"/>
        <rFont val="Arial MT"/>
        <family val="2"/>
      </rPr>
      <t>CPU2605</t>
    </r>
  </si>
  <si>
    <r>
      <rPr>
        <sz val="11"/>
        <rFont val="Arial MT"/>
        <family val="2"/>
      </rPr>
      <t>CHUMBADOR CB 3/8""x2.1/2""+ PARAFUSO</t>
    </r>
  </si>
  <si>
    <r>
      <rPr>
        <sz val="11"/>
        <rFont val="Arial MT"/>
        <family val="2"/>
      </rPr>
      <t>16.1.9</t>
    </r>
  </si>
  <si>
    <r>
      <rPr>
        <sz val="11"/>
        <rFont val="Arial MT"/>
        <family val="2"/>
      </rPr>
      <t>CPU2606</t>
    </r>
  </si>
  <si>
    <r>
      <rPr>
        <sz val="11"/>
        <rFont val="Arial MT"/>
        <family val="2"/>
      </rPr>
      <t>PARAFUSO LENTILHA 42x13MM COM PORCA E ARRUELA</t>
    </r>
  </si>
  <si>
    <r>
      <rPr>
        <sz val="11"/>
        <rFont val="Arial MT"/>
        <family val="2"/>
      </rPr>
      <t>16.1.10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</si>
  <si>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CPU2607</t>
    </r>
  </si>
  <si>
    <r>
      <rPr>
        <sz val="11"/>
        <rFont val="Arial MT"/>
        <family val="2"/>
      </rPr>
      <t>SUPORTE PARA FIXACAO FITA ALUMINIO OU CABO COBRE NU</t>
    </r>
  </si>
  <si>
    <r>
      <rPr>
        <sz val="11"/>
        <rFont val="Arial MT"/>
        <family val="2"/>
      </rPr>
      <t>16.1.11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</si>
  <si>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CPU2608</t>
    </r>
  </si>
  <si>
    <r>
      <rPr>
        <sz val="11"/>
        <rFont val="Arial MT"/>
        <family val="2"/>
      </rPr>
      <t>VERGALHAO ACO GALV C/OM ROSCA TOTAL PARA PERFILADO 1/4""</t>
    </r>
  </si>
  <si>
    <r>
      <rPr>
        <sz val="11"/>
        <rFont val="Arial MT"/>
        <family val="2"/>
      </rPr>
      <t>16.1.12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</si>
  <si>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CABO DE COBRE FLEXÍVEL ISOLADO, 50 MM², ANTI-CHAMA 0,6/1,0 KV, PARA REDE ENTERRADA DE DISTRIBUIÇÃO</t>
    </r>
  </si>
  <si>
    <r>
      <rPr>
        <sz val="11"/>
        <rFont val="Arial MT"/>
        <family val="2"/>
      </rPr>
      <t>16.1.13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</si>
  <si>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CABO DE COBRE FLEXÍVEL ISOLADO, 95 MM², ANTI-CHAMA 0,6/1,0 KV, PARA REDE ENTERRADA DE DISTRIBUIÇÃO</t>
    </r>
  </si>
  <si>
    <r>
      <rPr>
        <sz val="11"/>
        <rFont val="Arial MT"/>
        <family val="2"/>
      </rPr>
      <t>16.1.14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</si>
  <si>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CABO DE COBRE FLEXÍVEL ISOLADO, 16 MM², ANTI-CHAMA 450/750 V, PARA DISTRIBUIÇÃO - FORNECIMENTO E</t>
    </r>
  </si>
  <si>
    <r>
      <rPr>
        <sz val="11"/>
        <rFont val="Arial MT"/>
        <family val="2"/>
      </rPr>
      <t>16.1.15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</si>
  <si>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CABO DE COBRE ISOLADO, 25 MM², ANTI-CHAMA 450/750 V, INSTALADO EM ELETROCALHA OU PERFILADO -</t>
    </r>
  </si>
  <si>
    <r>
      <rPr>
        <sz val="11"/>
        <rFont val="Arial MT"/>
        <family val="2"/>
      </rPr>
      <t>16.1.16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</si>
  <si>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CABO DE COBRE FLEXÍVEL ISOLADO, 35 MM², ANTI-CHAMA 0,6/1,0 KV, PARA REDE ENTERRADA DE DISTRIBUIÇÃO</t>
    </r>
  </si>
  <si>
    <r>
      <rPr>
        <sz val="11"/>
        <rFont val="Arial MT"/>
        <family val="2"/>
      </rPr>
      <t>16.1.17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</si>
  <si>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CABO DE COBRE FLEXÍVEL ISOLADO, 1,5 MM², ANTI-CHAMA 450/750 V, PARA CIRCUITOS TERMINAIS -</t>
    </r>
  </si>
  <si>
    <r>
      <rPr>
        <sz val="11"/>
        <rFont val="Arial MT"/>
        <family val="2"/>
      </rPr>
      <t>16.1.18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</si>
  <si>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CABO DE COBRE FLEXÍVEL ISOLADO, 2,5 MM², ANTI-CHAMA 450/750 V, PARA CIRCUITOS TERMINAIS -</t>
    </r>
  </si>
  <si>
    <r>
      <rPr>
        <sz val="11"/>
        <rFont val="Arial MT"/>
        <family val="2"/>
      </rPr>
      <t>16.1.19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</si>
  <si>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CABO DE COBRE FLEXÍVEL ISOLADO, 4 MM², ANTI-CHAMA 450/750 V, PARA CIRCUITOS TERMINAIS -</t>
    </r>
  </si>
  <si>
    <r>
      <rPr>
        <sz val="11"/>
        <rFont val="Arial MT"/>
        <family val="2"/>
      </rPr>
      <t>16.1.20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</si>
  <si>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CABO DE COBRE FLEXÍVEL ISOLADO, 6 MM², ANTI-CHAMA 450/750 V, PARA CIRCUITOS TERMINAIS -</t>
    </r>
  </si>
  <si>
    <r>
      <rPr>
        <sz val="11"/>
        <rFont val="Arial MT"/>
        <family val="2"/>
      </rPr>
      <t>16.1.21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</si>
  <si>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CPU2612</t>
    </r>
  </si>
  <si>
    <r>
      <rPr>
        <sz val="11"/>
        <rFont val="Arial MT"/>
        <family val="2"/>
      </rPr>
      <t>CAIXA DE PASSAGEM CH.DE ACO C/TAMPA APARAF. 200x200x100 PISO</t>
    </r>
  </si>
  <si>
    <r>
      <rPr>
        <sz val="11"/>
        <rFont val="Arial MT"/>
        <family val="2"/>
      </rPr>
      <t>16.1.22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</si>
  <si>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CPU2611</t>
    </r>
  </si>
  <si>
    <r>
      <rPr>
        <sz val="11"/>
        <rFont val="Arial MT"/>
        <family val="2"/>
      </rPr>
      <t>CAIXA DE PASSAGEM DE ACO C/ TAMPA APARAFUSADA 302X302X120</t>
    </r>
  </si>
  <si>
    <r>
      <rPr>
        <sz val="11"/>
        <rFont val="Arial MT"/>
        <family val="2"/>
      </rPr>
      <t>16.1.23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</si>
  <si>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INTERRUPTOR INTERMEDIÁRIO (1 MÓDULO), 10A/250V, INCLUINDO SUPORTE E PLACA - FORNECIMENTO E</t>
    </r>
  </si>
  <si>
    <r>
      <rPr>
        <sz val="11"/>
        <rFont val="Arial MT"/>
        <family val="2"/>
      </rPr>
      <t>16.1.24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</si>
  <si>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INTERRUPTOR PARALELO (1 MÓDULO), 10A/250V, INCLUINDO SUPORTE E PLACA - FORNECIMENTO E</t>
    </r>
  </si>
  <si>
    <r>
      <rPr>
        <sz val="11"/>
        <rFont val="Arial MT"/>
        <family val="2"/>
      </rPr>
      <t>16.1.25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</si>
  <si>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INTERRUPTOR SIMPLES (1 MÓDULO) COM INTERRUPTOR PARALELO (1 MÓDULO), 10A/250V, INCLUINDO</t>
    </r>
  </si>
  <si>
    <r>
      <rPr>
        <sz val="11"/>
        <rFont val="Arial MT"/>
        <family val="2"/>
      </rPr>
      <t>16.1.26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</si>
  <si>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INTERRUPTOR SIMPLES (1 MÓDULO), 10A/250V, INCLUINDO SUPORTE E PLACA - FORNECIMENTO E INSTALAÇÃO.</t>
    </r>
  </si>
  <si>
    <r>
      <rPr>
        <sz val="11"/>
        <rFont val="Arial MT"/>
        <family val="2"/>
      </rPr>
      <t>16.1.27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</si>
  <si>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CPU2613</t>
    </r>
  </si>
  <si>
    <r>
      <rPr>
        <sz val="11"/>
        <rFont val="Arial MT"/>
        <family val="2"/>
      </rPr>
      <t>PLACA COM UM FURO IMPERIA BRANCO IRIEL P/ SAIDA CABO DE SOM</t>
    </r>
  </si>
  <si>
    <r>
      <rPr>
        <sz val="11"/>
        <rFont val="Arial MT"/>
        <family val="2"/>
      </rPr>
      <t>16.1.28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</si>
  <si>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CPU2614</t>
    </r>
  </si>
  <si>
    <r>
      <rPr>
        <sz val="11"/>
        <rFont val="Arial MT"/>
        <family val="2"/>
      </rPr>
      <t>PLACA (ESPELHO) 1 POSTO HORIZONTAL 4x2 PIAL PLUS</t>
    </r>
  </si>
  <si>
    <r>
      <rPr>
        <sz val="11"/>
        <rFont val="Arial MT"/>
        <family val="2"/>
      </rPr>
      <t>16.1.29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</si>
  <si>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TOMADA MÉDIA DE EMBUTIR (1 MÓDULO), 2P+T 10 A, INCLUINDO SUPORTE E PLACA - FORNECIMENTO E</t>
    </r>
  </si>
  <si>
    <r>
      <rPr>
        <sz val="11"/>
        <rFont val="Arial MT"/>
        <family val="2"/>
      </rPr>
      <t>16.1.30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</si>
  <si>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TOMADA MÉDIA DE EMBUTIR (1 MÓDULO), 2P+T 20 A, INCLUINDO SUPORTE E PLACA - FORNECIMENTO E</t>
    </r>
  </si>
  <si>
    <r>
      <rPr>
        <sz val="11"/>
        <rFont val="Arial MT"/>
        <family val="2"/>
      </rPr>
      <t>16.1.31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</si>
  <si>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INTERRUPTOR PARALELO (1 MÓDULO) COM 1 TOMADA DE EMBUTIR 2P+T 10 A, SEM SUPORTE E SEM PLACA -</t>
    </r>
  </si>
  <si>
    <r>
      <rPr>
        <sz val="11"/>
        <rFont val="Arial MT"/>
        <family val="2"/>
      </rPr>
      <t>16.1.32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</si>
  <si>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INTERRUPTOR SIMPLES (1 MÓDULO), 10A/250V, SEM SUPORTE E SEM PLACA - FORNECIMENTO E INSTALAÇÃO.</t>
    </r>
  </si>
  <si>
    <r>
      <rPr>
        <sz val="11"/>
        <rFont val="Arial MT"/>
        <family val="2"/>
      </rPr>
      <t>16.1.33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</si>
  <si>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INTERRUPTOR SIMPLES (1 MÓDULO) COM 1 TOMADA DE EMBUTIR 2P+T 10 A, SEM SUPORTE E SEM PLACA -</t>
    </r>
  </si>
  <si>
    <r>
      <rPr>
        <sz val="11"/>
        <rFont val="Arial MT"/>
        <family val="2"/>
      </rPr>
      <t>16.1.34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</si>
  <si>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TOMADA MÉDIA DE EMBUTIR (2 MÓDULOS), 2P+T 10 A, SEM SUPORTE E SEM PLACA - FORNECIMENTO E</t>
    </r>
  </si>
  <si>
    <r>
      <rPr>
        <sz val="11"/>
        <rFont val="Arial MT"/>
        <family val="2"/>
      </rPr>
      <t>16.1.35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</si>
  <si>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TOMADA MÉDIA DE EMBUTIR (2 MÓDULOS), 2P+T 20 A, SEM SUPORTE E SEM PLACA - FORNECIMENTO E</t>
    </r>
  </si>
  <si>
    <r>
      <rPr>
        <sz val="11"/>
        <rFont val="Arial MT"/>
        <family val="2"/>
      </rPr>
      <t>16.1.36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</si>
  <si>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TOMADA MÉDIA DE EMBUTIR (3 MÓDULOS), 2P+T 10 A, SEM SUPORTE E SEM PLACA - FORNECIMENTO E</t>
    </r>
  </si>
  <si>
    <r>
      <rPr>
        <sz val="11"/>
        <rFont val="Arial MT"/>
        <family val="2"/>
      </rPr>
      <t>16.1.37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</si>
  <si>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TOMADA MÉDIA DE EMBUTIR (1 MÓDULO), 2P+T 10 A, SEM SUPORTE E SEM PLACA - FORNECIMENTO E</t>
    </r>
  </si>
  <si>
    <r>
      <rPr>
        <sz val="11"/>
        <rFont val="Arial MT"/>
        <family val="2"/>
      </rPr>
      <t>16.1.38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</si>
  <si>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TOMADA MÉDIA DE EMBUTIR (1 MÓDULO), 2P+T 20 A, SEM SUPORTE E SEM PLACA - FORNECIMENTO E</t>
    </r>
  </si>
  <si>
    <r>
      <rPr>
        <sz val="11"/>
        <rFont val="Arial MT"/>
        <family val="2"/>
      </rPr>
      <t>16.1.39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</si>
  <si>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CPU2615</t>
    </r>
  </si>
  <si>
    <r>
      <rPr>
        <sz val="11"/>
        <rFont val="Arial MT"/>
        <family val="2"/>
      </rPr>
      <t>SENSOR DE PRESENCA (LIGA/DESLIGA)</t>
    </r>
  </si>
  <si>
    <r>
      <rPr>
        <sz val="11"/>
        <rFont val="Arial MT"/>
        <family val="2"/>
      </rPr>
      <t>16.1.40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</si>
  <si>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RELÉ FOTOELÉTRICO PARA COMANDO DE ILUMINAÇÃO EXTERNA 1000 W - FORNECIMENTO E INSTALAÇÃO.</t>
    </r>
  </si>
  <si>
    <r>
      <rPr>
        <sz val="11"/>
        <rFont val="Arial MT"/>
        <family val="2"/>
      </rPr>
      <t>16.1.41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</si>
  <si>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CPU2616</t>
    </r>
  </si>
  <si>
    <r>
      <rPr>
        <sz val="11"/>
        <rFont val="Arial MT"/>
        <family val="2"/>
      </rPr>
      <t>RELÉ DE TEMPO ELETRÔNICO DE 3 ATÉ 30S - 220V - 50/60HZ</t>
    </r>
  </si>
  <si>
    <r>
      <rPr>
        <sz val="11"/>
        <rFont val="Arial MT"/>
        <family val="2"/>
      </rPr>
      <t>16.1.42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</si>
  <si>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DISJUNTOR BIPOLAR TIPO DIN, CORRENTE NOMINAL DE 10A - FORNECIMENTO E INSTALAÇÃO. AF_10/2020</t>
    </r>
  </si>
  <si>
    <r>
      <rPr>
        <sz val="11"/>
        <rFont val="Arial MT"/>
        <family val="2"/>
      </rPr>
      <t>16.1.43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</si>
  <si>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CPU2692</t>
    </r>
  </si>
  <si>
    <r>
      <rPr>
        <sz val="11"/>
        <rFont val="Arial MT"/>
        <family val="2"/>
      </rPr>
      <t>DISJUNTOR TERMOMAGNÉTICO, BIPOLAR 220/380 V, CORRENTE DE 60 A ATÉ 100 A</t>
    </r>
  </si>
  <si>
    <r>
      <rPr>
        <sz val="11"/>
        <rFont val="Arial MT"/>
        <family val="2"/>
      </rPr>
      <t>16.1.44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</si>
  <si>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CPU2693</t>
    </r>
  </si>
  <si>
    <r>
      <rPr>
        <sz val="11"/>
        <rFont val="Arial MT"/>
        <family val="2"/>
      </rPr>
      <t>DISJUNTOR DIN TRIPOLAR 100A CURVA C STECK</t>
    </r>
  </si>
  <si>
    <r>
      <rPr>
        <sz val="11"/>
        <rFont val="Arial MT"/>
        <family val="2"/>
      </rPr>
      <t>16.1.45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</si>
  <si>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DISJUNTOR TRIPOLAR TIPO NEMA, CORRENTE NOMINAL DE 60 ATÉ 100A - FORNECIMENTO E INSTALAÇÃO.</t>
    </r>
  </si>
  <si>
    <r>
      <rPr>
        <sz val="11"/>
        <rFont val="Arial MT"/>
        <family val="2"/>
      </rPr>
      <t>16.1.46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</si>
  <si>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DISJUNTOR BIPOLAR TIPO DIN, CORRENTE NOMINAL DE 16A - FORNECIMENTO E INSTALAÇÃO. AF_10/2020</t>
    </r>
  </si>
  <si>
    <r>
      <rPr>
        <sz val="11"/>
        <rFont val="Arial MT"/>
        <family val="2"/>
      </rPr>
      <t>16.1.47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</si>
  <si>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DISJUNTOR BIPOLAR TIPO DIN, CORRENTE NOMINAL DE 20A - FORNECIMENTO E INSTALAÇÃO. AF_10/2020</t>
    </r>
  </si>
  <si>
    <r>
      <rPr>
        <sz val="11"/>
        <rFont val="Arial MT"/>
        <family val="2"/>
      </rPr>
      <t>16.1.48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</si>
  <si>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DISJUNTOR BIPOLAR TIPO DIN, CORRENTE NOMINAL DE 25A - FORNECIMENTO E INSTALAÇÃO. AF_10/2020</t>
    </r>
  </si>
  <si>
    <r>
      <rPr>
        <sz val="11"/>
        <rFont val="Arial MT"/>
        <family val="2"/>
      </rPr>
      <t>16.1.49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</si>
  <si>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DISJUNTOR BIPOLAR TIPO DIN, CORRENTE NOMINAL DE 40A - FORNECIMENTO E INSTALAÇÃO. AF_10/2020</t>
    </r>
  </si>
  <si>
    <r>
      <rPr>
        <sz val="11"/>
        <rFont val="Arial MT"/>
        <family val="2"/>
      </rPr>
      <t>16.1.50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</si>
  <si>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DISJUNTOR TRIPOLAR TIPO NEMA, CORRENTE NOMINAL DE 10 ATÉ 50A - FORNECIMENTO E INSTALAÇÃO.</t>
    </r>
  </si>
  <si>
    <r>
      <rPr>
        <sz val="11"/>
        <rFont val="Arial MT"/>
        <family val="2"/>
      </rPr>
      <t>16.1.51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</si>
  <si>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DISJUNTOR TRIPOLAR TIPO DIN, CORRENTE NOMINAL DE 16A - FORNECIMENTO E INSTALAÇÃO. AF_10/2020</t>
    </r>
  </si>
  <si>
    <r>
      <rPr>
        <sz val="11"/>
        <rFont val="Arial MT"/>
        <family val="2"/>
      </rPr>
      <t>16.1.52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</si>
  <si>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CPU2694</t>
    </r>
  </si>
  <si>
    <r>
      <rPr>
        <sz val="11"/>
        <rFont val="Arial MT"/>
        <family val="2"/>
      </rPr>
      <t>DISJUNTOR CAIXA MOLDADA TERMOMAGNETICO FIXO, TRIPOLAR 200A, ICU: 50KA, 400/500VCA, REFERÊNCIA</t>
    </r>
  </si>
  <si>
    <r>
      <rPr>
        <sz val="11"/>
        <rFont val="Arial MT"/>
        <family val="2"/>
      </rPr>
      <t>16.1.53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</si>
  <si>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CPU2618</t>
    </r>
  </si>
  <si>
    <r>
      <rPr>
        <sz val="11"/>
        <rFont val="Arial MT"/>
        <family val="2"/>
      </rPr>
      <t>DISPOSITIVO PROTETOR DE SURTO 220V OU 127V, 20 KA, TRIFASICO</t>
    </r>
  </si>
  <si>
    <r>
      <rPr>
        <sz val="11"/>
        <rFont val="Arial MT"/>
        <family val="2"/>
      </rPr>
      <t>16.1.54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</si>
  <si>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CPU2619</t>
    </r>
  </si>
  <si>
    <r>
      <rPr>
        <sz val="11"/>
        <rFont val="Arial MT"/>
        <family val="2"/>
      </rPr>
      <t>DISPOSITIVO DE PROTEÇÃO CONTRA SURTO, 1 POLO, SUPORTABILIDADE &amp;LT;= 4 KV, UN ATÉ 240V/415V, IIMP =</t>
    </r>
  </si>
  <si>
    <r>
      <rPr>
        <sz val="11"/>
        <rFont val="Arial MT"/>
        <family val="2"/>
      </rPr>
      <t>16.1.55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</si>
  <si>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CPU2621</t>
    </r>
  </si>
  <si>
    <r>
      <rPr>
        <sz val="11"/>
        <rFont val="Arial MT"/>
        <family val="2"/>
      </rPr>
      <t>DISPOSITIVO DIFERENCIAL DR ALTA SENSIB.(30MA) TETRAPOLAR 25A</t>
    </r>
  </si>
  <si>
    <r>
      <rPr>
        <sz val="11"/>
        <rFont val="Arial MT"/>
        <family val="2"/>
      </rPr>
      <t>16.1.56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</si>
  <si>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CPU2622</t>
    </r>
  </si>
  <si>
    <r>
      <rPr>
        <sz val="11"/>
        <rFont val="Arial MT"/>
        <family val="2"/>
      </rPr>
      <t>DISPOSITIVO DR TETRAPOLAR 100 A, TIPO AC, 30MA</t>
    </r>
  </si>
  <si>
    <r>
      <rPr>
        <sz val="11"/>
        <rFont val="Arial MT"/>
        <family val="2"/>
      </rPr>
      <t>16.1.57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</si>
  <si>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CPU2623</t>
    </r>
  </si>
  <si>
    <r>
      <rPr>
        <sz val="11"/>
        <rFont val="Arial MT"/>
        <family val="2"/>
      </rPr>
      <t>SAIDA PARA ELETRODUTO MG2982 HORIZONTAL</t>
    </r>
  </si>
  <si>
    <r>
      <rPr>
        <sz val="11"/>
        <rFont val="Arial MT"/>
        <family val="2"/>
      </rPr>
      <t>16.1.58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</si>
  <si>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CPU2624</t>
    </r>
  </si>
  <si>
    <r>
      <rPr>
        <sz val="11"/>
        <rFont val="Arial MT"/>
        <family val="2"/>
      </rPr>
      <t>SAIDA HORIZONTAL PARA ELETROCALHA 1 1/4""</t>
    </r>
  </si>
  <si>
    <r>
      <rPr>
        <sz val="11"/>
        <rFont val="Arial MT"/>
        <family val="2"/>
      </rPr>
      <t>16.1.59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</si>
  <si>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CPU2625</t>
    </r>
  </si>
  <si>
    <r>
      <rPr>
        <sz val="11"/>
        <rFont val="Arial MT"/>
        <family val="2"/>
      </rPr>
      <t>CURVA DE INVERSAO PARA ELETROCALHA 100X100MM CHAPA 20</t>
    </r>
  </si>
  <si>
    <r>
      <rPr>
        <sz val="11"/>
        <rFont val="Arial MT"/>
        <family val="2"/>
      </rPr>
      <t>16.1.60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</si>
  <si>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CPU2626</t>
    </r>
  </si>
  <si>
    <r>
      <rPr>
        <sz val="11"/>
        <rFont val="Arial MT"/>
        <family val="2"/>
      </rPr>
      <t>ELETROCALHA PERFURADA TIPO ""U"" 100X100 CHAPA 22 SEM TAMPA</t>
    </r>
  </si>
  <si>
    <r>
      <rPr>
        <sz val="11"/>
        <rFont val="Arial MT"/>
        <family val="2"/>
      </rPr>
      <t>16.1.61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</si>
  <si>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CPU2627</t>
    </r>
  </si>
  <si>
    <r>
      <rPr>
        <sz val="11"/>
        <rFont val="Arial MT"/>
        <family val="2"/>
      </rPr>
      <t>SUPORTE VERTICAL 150 X 150 MM PARA FIXAÇÃO DE ELETROCALHA METÁLICA (REF.: MOPA OU SIMILAR)</t>
    </r>
  </si>
  <si>
    <r>
      <rPr>
        <sz val="11"/>
        <rFont val="Arial MT"/>
        <family val="2"/>
      </rPr>
      <t>16.1.62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</si>
  <si>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CPU2628</t>
    </r>
  </si>
  <si>
    <r>
      <rPr>
        <sz val="11"/>
        <rFont val="Arial MT"/>
        <family val="2"/>
      </rPr>
      <t>TE VERTICAL DE SUBIDA PARA ELETROCALHA 100x100 CHAPA 20</t>
    </r>
  </si>
  <si>
    <r>
      <rPr>
        <sz val="11"/>
        <rFont val="Arial MT"/>
        <family val="2"/>
      </rPr>
      <t>16.1.63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</si>
  <si>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CPU2630</t>
    </r>
  </si>
  <si>
    <r>
      <rPr>
        <sz val="11"/>
        <rFont val="Arial MT"/>
        <family val="2"/>
      </rPr>
      <t>EMENDA PARA ELETROCALHA TIPO U 100X100</t>
    </r>
  </si>
  <si>
    <r>
      <rPr>
        <sz val="11"/>
        <rFont val="Arial MT"/>
        <family val="2"/>
      </rPr>
      <t>16.1.64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</si>
  <si>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CPU2631</t>
    </r>
  </si>
  <si>
    <r>
      <rPr>
        <sz val="11"/>
        <rFont val="Arial MT"/>
        <family val="2"/>
      </rPr>
      <t>TERMINAL DE FECHAMENTO LISO,PARA ELETROCALHA PERFURADA OU LI SA,100X100MM.FORNECIMENTO E</t>
    </r>
  </si>
  <si>
    <r>
      <rPr>
        <sz val="11"/>
        <rFont val="Arial MT"/>
        <family val="2"/>
      </rPr>
      <t>16.1.65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</si>
  <si>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ELETRODUTO FLEXÍVEL CORRUGADO REFORÇADO, PVC, DN 32 MM (1"), PARA CIRCUITOS TERMINAIS,</t>
    </r>
  </si>
  <si>
    <r>
      <rPr>
        <sz val="11"/>
        <rFont val="Arial MT"/>
        <family val="2"/>
      </rPr>
      <t>16.1.66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</si>
  <si>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ELETRODUTO FLEXÍVEL CORRUGADO REFORÇADO, PVC, DN 25 MM (3/4"), PARA CIRCUITOS TERMINAIS,</t>
    </r>
  </si>
  <si>
    <r>
      <rPr>
        <sz val="11"/>
        <rFont val="Arial MT"/>
        <family val="2"/>
      </rPr>
      <t>16.1.67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</si>
  <si>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ELETRODUTO RÍGIDO ROSCÁVEL, PVC, DN 50 MM (1 1/2"), PARA REDE ENTERRADA DE DISTRIBUIÇÃO DE</t>
    </r>
  </si>
  <si>
    <r>
      <rPr>
        <sz val="11"/>
        <rFont val="Arial MT"/>
        <family val="2"/>
      </rPr>
      <t>16.1.68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</si>
  <si>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ELETRODUTO RÍGIDO ROSCÁVEL, PVC, DN 40 MM (1 1/4"), PARA CIRCUITOS TERMINAIS, INSTALADO EM FORRO -</t>
    </r>
  </si>
  <si>
    <r>
      <rPr>
        <sz val="11"/>
        <rFont val="Arial MT"/>
        <family val="2"/>
      </rPr>
      <t>16.1.69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</si>
  <si>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ELETRODUTO RÍGIDO ROSCÁVEL, PVC, DN 60 MM (2"), PARA REDE ENTERRADA DE DISTRIBUIÇÃO DE ENERGIA</t>
    </r>
  </si>
  <si>
    <r>
      <rPr>
        <sz val="11"/>
        <rFont val="Arial MT"/>
        <family val="2"/>
      </rPr>
      <t>16.1.70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</si>
  <si>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ELETRODUTO RÍGIDO ROSCÁVEL, PVC, DN 85 MM (3"), PARA REDE ENTERRADA DE DISTRIBUIÇÃO DE ENERGIA</t>
    </r>
  </si>
  <si>
    <r>
      <rPr>
        <sz val="11"/>
        <rFont val="Arial MT"/>
        <family val="2"/>
      </rPr>
      <t>16.1.71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</si>
  <si>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ELETRODUTO RÍGIDO ROSCÁVEL, PVC, DN 110 MM (4"), PARA REDE ENTERRADA DE DISTRIBUIÇÃO DE ENERGIA</t>
    </r>
  </si>
  <si>
    <r>
      <rPr>
        <sz val="11"/>
        <rFont val="Arial MT"/>
        <family val="2"/>
      </rPr>
      <t>16.1.72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</si>
  <si>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CPU2632</t>
    </r>
  </si>
  <si>
    <r>
      <rPr>
        <sz val="11"/>
        <rFont val="Arial MT"/>
        <family val="2"/>
      </rPr>
      <t>ELETRODUTO GALVANIZADO CONFORME NBR13057 -  1 1/4´ COM ACESSÓRIOS</t>
    </r>
  </si>
  <si>
    <r>
      <rPr>
        <sz val="11"/>
        <rFont val="Arial MT"/>
        <family val="2"/>
      </rPr>
      <t>16.1.73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</si>
  <si>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CPU2633</t>
    </r>
  </si>
  <si>
    <r>
      <rPr>
        <sz val="11"/>
        <rFont val="Arial MT"/>
        <family val="2"/>
      </rPr>
      <t>LUMINÁRIA DE EMERGÊNCIA, DE SOBREPOR, TIPO BLOCO AUTÔNOMO, COM AUTONOMIA DE 1H, MODELO LLE-</t>
    </r>
  </si>
  <si>
    <r>
      <rPr>
        <sz val="11"/>
        <rFont val="Arial MT"/>
        <family val="2"/>
      </rPr>
      <t>16.1.74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</si>
  <si>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CPU2634</t>
    </r>
  </si>
  <si>
    <r>
      <rPr>
        <sz val="11"/>
        <rFont val="Arial MT"/>
        <family val="2"/>
      </rPr>
      <t>16.1.75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</si>
  <si>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CPU2635</t>
    </r>
  </si>
  <si>
    <r>
      <rPr>
        <sz val="11"/>
        <rFont val="Arial MT"/>
        <family val="2"/>
      </rPr>
      <t>SOQUETE OU BOCAL DE PORCELANA E27 DE TEMPO, REF.MT-2233, MARCA DECORLUX OU SIMILAR</t>
    </r>
  </si>
  <si>
    <r>
      <rPr>
        <sz val="11"/>
        <rFont val="Arial MT"/>
        <family val="2"/>
      </rPr>
      <t>16.1.76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</si>
  <si>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ARMAÇÃO SECUNDÁRIA, COM 1 ESTRIBO E 1 ISOLADOR - FORNECIMENTO E INSTALAÇÃO. AF_07/2020</t>
    </r>
  </si>
  <si>
    <r>
      <rPr>
        <sz val="11"/>
        <rFont val="Arial MT"/>
        <family val="2"/>
      </rPr>
      <t>16.1.77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</si>
  <si>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QUADRO DE MEDIÇÃO GERAL DE ENERGIA COM 16 MEDIDORES - FORNECIMENTO E INSTALAÇÃO. AF_10/2020</t>
    </r>
  </si>
  <si>
    <r>
      <rPr>
        <sz val="11"/>
        <rFont val="Arial MT"/>
        <family val="2"/>
      </rPr>
      <t>16.1.78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</si>
  <si>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CPU2695</t>
    </r>
  </si>
  <si>
    <r>
      <rPr>
        <sz val="11"/>
        <rFont val="Arial MT"/>
        <family val="2"/>
      </rPr>
      <t>QUADRO DE DISTRIBUIÇÃO DE EMBUTIR, EM CHAPA DE AÇO, PARA ATÉ 70 DISJUNTORES, COM BARRAMENTO,</t>
    </r>
  </si>
  <si>
    <r>
      <rPr>
        <sz val="11"/>
        <rFont val="Arial MT"/>
        <family val="2"/>
      </rPr>
      <t>16.1.79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</si>
  <si>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CPU2636</t>
    </r>
  </si>
  <si>
    <r>
      <rPr>
        <sz val="11"/>
        <rFont val="Arial MT"/>
        <family val="2"/>
      </rPr>
      <t>QUADRO DE DISTRIBUIÇÃO DE EMBUTIR, EM CHAPA DE AÇO, PARA ATÉ 32 DISJUNTORES, COM BARRAMENTO,</t>
    </r>
  </si>
  <si>
    <r>
      <rPr>
        <sz val="11"/>
        <rFont val="Arial MT"/>
        <family val="2"/>
      </rPr>
      <t>16.1.80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</si>
  <si>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QUADRO DE DISTRIBUIÇÃO DE ENERGIA EM CHAPA DE AÇO GALVANIZADO, DE EMBUTIR, COM BARRAMENTO</t>
    </r>
  </si>
  <si>
    <r>
      <rPr>
        <sz val="11"/>
        <rFont val="Arial MT"/>
        <family val="2"/>
      </rPr>
      <t>16.1.81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</si>
  <si>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CPU2638</t>
    </r>
  </si>
  <si>
    <r>
      <rPr>
        <sz val="11"/>
        <rFont val="Arial MT"/>
        <family val="2"/>
      </rPr>
      <t>QUADRO GERAL DE DISTRIBUIÇÃO, EMBUTIR, COM BARRAMENTO, EM CHAPA DE AÇO,</t>
    </r>
  </si>
  <si>
    <r>
      <rPr>
        <b/>
        <sz val="11"/>
        <rFont val="Arial"/>
        <family val="2"/>
      </rPr>
      <t>16.2</t>
    </r>
  </si>
  <si>
    <r>
      <rPr>
        <b/>
        <sz val="11"/>
        <rFont val="Arial"/>
        <family val="2"/>
      </rPr>
      <t>ILUMINAÇÃO</t>
    </r>
  </si>
  <si>
    <r>
      <rPr>
        <sz val="11"/>
        <rFont val="Arial MT"/>
        <family val="2"/>
      </rPr>
      <t>16.2.1</t>
    </r>
  </si>
  <si>
    <r>
      <rPr>
        <sz val="11"/>
        <rFont val="Arial MT"/>
        <family val="2"/>
      </rPr>
      <t>CPU2639</t>
    </r>
  </si>
  <si>
    <r>
      <rPr>
        <sz val="11"/>
        <rFont val="Arial MT"/>
        <family val="2"/>
      </rPr>
      <t>LUMINARIA DE EMBUTIR PLAFON 18W LED BRANCO FRIO 22,5x22,5</t>
    </r>
  </si>
  <si>
    <r>
      <rPr>
        <sz val="11"/>
        <rFont val="Arial MT"/>
        <family val="2"/>
      </rPr>
      <t>16.2.2</t>
    </r>
  </si>
  <si>
    <r>
      <rPr>
        <sz val="11"/>
        <rFont val="Arial MT"/>
        <family val="2"/>
      </rPr>
      <t>CPU2696</t>
    </r>
  </si>
  <si>
    <r>
      <rPr>
        <sz val="11"/>
        <rFont val="Arial MT"/>
        <family val="2"/>
      </rPr>
      <t>LUMINARIA TIPO PLAFON COM PAINEL LED, 40X40CM, EMBUTIR, POTENCIA DE 36W, 4000K, LUZ NEUTRA, ELGIN</t>
    </r>
  </si>
  <si>
    <r>
      <rPr>
        <sz val="11"/>
        <rFont val="Arial MT"/>
        <family val="2"/>
      </rPr>
      <t>16.2.3</t>
    </r>
  </si>
  <si>
    <r>
      <rPr>
        <sz val="11"/>
        <rFont val="Arial MT"/>
        <family val="2"/>
      </rPr>
      <t>CPU2697</t>
    </r>
  </si>
  <si>
    <r>
      <rPr>
        <sz val="11"/>
        <rFont val="Arial MT"/>
        <family val="2"/>
      </rPr>
      <t>LUMINARIA TIPO PLAFON COM PAINEL LED, 40X40CM, SOBREPOR, POTENCIA DE 36W, 4000K, LUZ NEUTRA,</t>
    </r>
  </si>
  <si>
    <r>
      <rPr>
        <sz val="11"/>
        <rFont val="Arial MT"/>
        <family val="2"/>
      </rPr>
      <t>16.2.4</t>
    </r>
  </si>
  <si>
    <r>
      <rPr>
        <sz val="11"/>
        <rFont val="Arial MT"/>
        <family val="2"/>
      </rPr>
      <t>CPU2641</t>
    </r>
  </si>
  <si>
    <r>
      <rPr>
        <sz val="11"/>
        <rFont val="Arial MT"/>
        <family val="2"/>
      </rPr>
      <t>LUMINÁRIA DE EMBUTIR DE LED RETANGULAR, DIMENSÃO DE 60X20CM OU EQUIVALENTE. CORPO FABRICADO</t>
    </r>
  </si>
  <si>
    <r>
      <rPr>
        <sz val="11"/>
        <rFont val="Arial MT"/>
        <family val="2"/>
      </rPr>
      <t>16.2.5</t>
    </r>
  </si>
  <si>
    <r>
      <rPr>
        <sz val="11"/>
        <rFont val="Arial MT"/>
        <family val="2"/>
      </rPr>
      <t>CPU2642</t>
    </r>
  </si>
  <si>
    <r>
      <rPr>
        <sz val="11"/>
        <rFont val="Arial MT"/>
        <family val="2"/>
      </rPr>
      <t>LUMINÁRIA PLAFON (SOBREPOR) 22,5 X 22,5 - 18 W - 6000K - G- LIGHT OU SIMILAR</t>
    </r>
  </si>
  <si>
    <r>
      <rPr>
        <sz val="11"/>
        <rFont val="Arial MT"/>
        <family val="2"/>
      </rPr>
      <t>16.2.6</t>
    </r>
  </si>
  <si>
    <r>
      <rPr>
        <sz val="11"/>
        <rFont val="Arial MT"/>
        <family val="2"/>
      </rPr>
      <t>CPU2643</t>
    </r>
  </si>
  <si>
    <r>
      <rPr>
        <sz val="11"/>
        <rFont val="Arial MT"/>
        <family val="2"/>
      </rPr>
      <t>LUMINÁRIA PLAFON LED QUADRADA DE EMBUTIR, 36W, 60X60 CM (MEDIDAS APROXIMADAS) - INCLUSO CORTE</t>
    </r>
  </si>
  <si>
    <r>
      <rPr>
        <sz val="11"/>
        <rFont val="Arial MT"/>
        <family val="2"/>
      </rPr>
      <t>16.2.7</t>
    </r>
  </si>
  <si>
    <r>
      <rPr>
        <sz val="11"/>
        <rFont val="Arial MT"/>
        <family val="2"/>
      </rPr>
      <t>CPU2645</t>
    </r>
  </si>
  <si>
    <r>
      <rPr>
        <sz val="11"/>
        <rFont val="Arial MT"/>
        <family val="2"/>
      </rPr>
      <t>ARANDELA LED 18W BRANCO FRIO TIPO TARTARUGA</t>
    </r>
  </si>
  <si>
    <r>
      <rPr>
        <sz val="11"/>
        <rFont val="Arial MT"/>
        <family val="2"/>
      </rPr>
      <t>16.2.8</t>
    </r>
  </si>
  <si>
    <r>
      <rPr>
        <sz val="11"/>
        <rFont val="Arial MT"/>
        <family val="2"/>
      </rPr>
      <t>CPU2646</t>
    </r>
  </si>
  <si>
    <r>
      <rPr>
        <sz val="11"/>
        <rFont val="Arial MT"/>
        <family val="2"/>
      </rPr>
      <t>LUMINÁRIA LED REDONDA DE EMBUTIR PARA PAREDE OU PISO, ÁREA INTERNA OU EXTERNA, BIVOLT -</t>
    </r>
  </si>
  <si>
    <r>
      <rPr>
        <sz val="11"/>
        <rFont val="Arial MT"/>
        <family val="2"/>
      </rPr>
      <t>16.2.9</t>
    </r>
  </si>
  <si>
    <r>
      <rPr>
        <b/>
        <sz val="11"/>
        <rFont val="Arial"/>
        <family val="2"/>
      </rPr>
      <t>16.3</t>
    </r>
  </si>
  <si>
    <r>
      <rPr>
        <b/>
        <sz val="11"/>
        <rFont val="Arial"/>
        <family val="2"/>
      </rPr>
      <t>SPDA</t>
    </r>
  </si>
  <si>
    <r>
      <rPr>
        <sz val="11"/>
        <rFont val="Arial MT"/>
        <family val="2"/>
      </rPr>
      <t>16.3.1</t>
    </r>
  </si>
  <si>
    <r>
      <rPr>
        <sz val="11"/>
        <rFont val="Arial MT"/>
        <family val="2"/>
      </rPr>
      <t>CPU2649</t>
    </r>
  </si>
  <si>
    <r>
      <rPr>
        <sz val="11"/>
        <rFont val="Arial MT"/>
        <family val="2"/>
      </rPr>
      <t>CAIXA DE EQUIPOTENCIALIZAÇÃO EM AÇO 200X200X90MM, PARA EMBUTIR COM TAMPA, COM9 TERMINAIS,</t>
    </r>
  </si>
  <si>
    <r>
      <rPr>
        <sz val="11"/>
        <rFont val="Arial MT"/>
        <family val="2"/>
      </rPr>
      <t>16.3.2</t>
    </r>
  </si>
  <si>
    <r>
      <rPr>
        <sz val="11"/>
        <rFont val="Arial MT"/>
        <family val="2"/>
      </rPr>
      <t>CAIXA COM GRELHA RETANGULAR DE FERRO FUNDIDO, EM ALVENARIA COM BLOCOS DE CONCRETO,</t>
    </r>
  </si>
  <si>
    <r>
      <rPr>
        <sz val="11"/>
        <rFont val="Arial MT"/>
        <family val="2"/>
      </rPr>
      <t>16.3.3</t>
    </r>
  </si>
  <si>
    <r>
      <rPr>
        <sz val="11"/>
        <rFont val="Arial MT"/>
        <family val="2"/>
      </rPr>
      <t>HASTE DE ATERRAMENTO, DIÂMETRO 3/4", COM 3 METROS - FORNECIMENTO E INSTALAÇÃO. AF_08/2023</t>
    </r>
  </si>
  <si>
    <r>
      <rPr>
        <sz val="11"/>
        <rFont val="Arial MT"/>
        <family val="2"/>
      </rPr>
      <t>16.3.4</t>
    </r>
  </si>
  <si>
    <r>
      <rPr>
        <sz val="11"/>
        <rFont val="Arial MT"/>
        <family val="2"/>
      </rPr>
      <t>CAPTOR TIPO FRANKLIN PARA SPDA - FORNECIMENTO E INSTALAÇÃO. AF_08/2023</t>
    </r>
  </si>
  <si>
    <r>
      <rPr>
        <sz val="11"/>
        <rFont val="Arial MT"/>
        <family val="2"/>
      </rPr>
      <t>16.3.5</t>
    </r>
  </si>
  <si>
    <r>
      <rPr>
        <sz val="11"/>
        <rFont val="Arial MT"/>
        <family val="2"/>
      </rPr>
      <t>MASTRO 1 ½", COM 3 METROS, PARA SPDA - FORNECIMENTO E INSTALAÇÃO. AF_08/2023</t>
    </r>
  </si>
  <si>
    <r>
      <rPr>
        <sz val="11"/>
        <rFont val="Arial MT"/>
        <family val="2"/>
      </rPr>
      <t>16.3.6</t>
    </r>
  </si>
  <si>
    <r>
      <rPr>
        <sz val="11"/>
        <rFont val="Arial MT"/>
        <family val="2"/>
      </rPr>
      <t>MINI CAPTOR PARA SPDA - FORNECIMENTO E INSTALAÇÃO. AF_08/2023</t>
    </r>
  </si>
  <si>
    <r>
      <rPr>
        <sz val="11"/>
        <rFont val="Arial MT"/>
        <family val="2"/>
      </rPr>
      <t>16.3.7</t>
    </r>
  </si>
  <si>
    <r>
      <rPr>
        <sz val="11"/>
        <rFont val="Arial MT"/>
        <family val="2"/>
      </rPr>
      <t>BASE METÁLICA PARA MASTRO 1 ½"  PARA SPDA - FORNECIMENTO E INSTALAÇÃO. AF_08/2023</t>
    </r>
  </si>
  <si>
    <r>
      <rPr>
        <sz val="11"/>
        <rFont val="Arial MT"/>
        <family val="2"/>
      </rPr>
      <t>16.3.8</t>
    </r>
  </si>
  <si>
    <r>
      <rPr>
        <sz val="11"/>
        <rFont val="Arial MT"/>
        <family val="2"/>
      </rPr>
      <t>ABRAÇADEIRA DE FIXAÇÃO DE BRAÇOS DE LUMINÁRIAS DE 2" - FORNECIMENTO E INSTALAÇÃO. AF_08/2020</t>
    </r>
  </si>
  <si>
    <r>
      <rPr>
        <sz val="11"/>
        <rFont val="Arial MT"/>
        <family val="2"/>
      </rPr>
      <t>16.3.9</t>
    </r>
  </si>
  <si>
    <r>
      <rPr>
        <sz val="11"/>
        <rFont val="Arial MT"/>
        <family val="2"/>
      </rPr>
      <t>CPU2650</t>
    </r>
  </si>
  <si>
    <r>
      <rPr>
        <sz val="11"/>
        <rFont val="Arial MT"/>
        <family val="2"/>
      </rPr>
      <t>CABO DE COBRE NU MEIO DURO 7 FIOS 35MM2</t>
    </r>
  </si>
  <si>
    <r>
      <rPr>
        <sz val="11"/>
        <rFont val="Arial MT"/>
        <family val="2"/>
      </rPr>
      <t>16.3.10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</si>
  <si>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CPU2651</t>
    </r>
  </si>
  <si>
    <r>
      <rPr>
        <sz val="11"/>
        <rFont val="Arial MT"/>
        <family val="2"/>
      </rPr>
      <t>CABO DE COBRE NU MEIO DURO 7 FIOS 50MM2</t>
    </r>
  </si>
  <si>
    <r>
      <rPr>
        <sz val="11"/>
        <rFont val="Arial MT"/>
        <family val="2"/>
      </rPr>
      <t>16.3.11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</si>
  <si>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ELETRODUTO PVC RÍGIDO, DIÂMETRO 40MM, COM 3 METROS, PARA SPDA - FORNECIMENTO E INSTALAÇÃO.</t>
    </r>
  </si>
  <si>
    <r>
      <rPr>
        <sz val="11"/>
        <rFont val="Arial MT"/>
        <family val="2"/>
      </rPr>
      <t>16.3.12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</si>
  <si>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ISOLADOR, TIPO ROLDANA, PARA BAIXA TENSÃO - FORNECIMENTO E INSTALAÇÃO. AF_07/2020</t>
    </r>
  </si>
  <si>
    <t>CLIMATIZAÇÃO</t>
  </si>
  <si>
    <r>
      <rPr>
        <b/>
        <sz val="11"/>
        <rFont val="Arial"/>
        <family val="2"/>
      </rPr>
      <t>17.1</t>
    </r>
  </si>
  <si>
    <r>
      <rPr>
        <sz val="11"/>
        <rFont val="Arial MT"/>
        <family val="2"/>
      </rPr>
      <t>17.1.1</t>
    </r>
  </si>
  <si>
    <r>
      <rPr>
        <sz val="11"/>
        <rFont val="Arial MT"/>
        <family val="2"/>
      </rPr>
      <t>TUBO EM COBRE FLEXÍVEL, DN 1/4", COM ISOLAMENTO, INSTALADO EM FORRO, PARA RAMAL DE ALIMENTAÇÃO</t>
    </r>
  </si>
  <si>
    <r>
      <rPr>
        <sz val="11"/>
        <rFont val="Arial MT"/>
        <family val="2"/>
      </rPr>
      <t>17.1.2</t>
    </r>
  </si>
  <si>
    <r>
      <rPr>
        <sz val="11"/>
        <rFont val="Arial MT"/>
        <family val="2"/>
      </rPr>
      <t>TUBO EM COBRE FLEXÍVEL, DN 3/8", COM ISOLAMENTO, INSTALADO EM FORRO, PARA RAMAL DE ALIMENTAÇÃO</t>
    </r>
  </si>
  <si>
    <r>
      <rPr>
        <sz val="11"/>
        <rFont val="Arial MT"/>
        <family val="2"/>
      </rPr>
      <t>17.1.3</t>
    </r>
  </si>
  <si>
    <r>
      <rPr>
        <sz val="11"/>
        <rFont val="Arial MT"/>
        <family val="2"/>
      </rPr>
      <t>TUBO EM COBRE FLEXÍVEL, DN 1/2", COM ISOLAMENTO, INSTALADO EM FORRO, PARA RAMAL DE ALIMENTAÇÃO</t>
    </r>
  </si>
  <si>
    <r>
      <rPr>
        <sz val="11"/>
        <rFont val="Arial MT"/>
        <family val="2"/>
      </rPr>
      <t>17.1.4</t>
    </r>
  </si>
  <si>
    <r>
      <rPr>
        <sz val="11"/>
        <rFont val="Arial MT"/>
        <family val="2"/>
      </rPr>
      <t>TUBO EM COBRE FLEXÍVEL, DN 5/8", COM ISOLAMENTO, INSTALADO EM FORRO, PARA RAMAL DE ALIMENTAÇÃO</t>
    </r>
  </si>
  <si>
    <r>
      <rPr>
        <sz val="11"/>
        <rFont val="Arial MT"/>
        <family val="2"/>
      </rPr>
      <t>17.1.5</t>
    </r>
  </si>
  <si>
    <r>
      <rPr>
        <sz val="11"/>
        <rFont val="Arial MT"/>
        <family val="2"/>
      </rPr>
      <t>CPU2652</t>
    </r>
  </si>
  <si>
    <r>
      <rPr>
        <sz val="11"/>
        <rFont val="Arial MT"/>
        <family val="2"/>
      </rPr>
      <t>CABO DE COBRE PP CORDPLAST 4 X 2,5 MM2, 450/750V - FORNECIMENTO E INSTALAÇÃO</t>
    </r>
  </si>
  <si>
    <r>
      <rPr>
        <sz val="11"/>
        <rFont val="Arial MT"/>
        <family val="2"/>
      </rPr>
      <t>17.1.6</t>
    </r>
  </si>
  <si>
    <r>
      <rPr>
        <sz val="11"/>
        <rFont val="Arial MT"/>
        <family val="2"/>
      </rPr>
      <t>CPU2653</t>
    </r>
  </si>
  <si>
    <r>
      <rPr>
        <sz val="11"/>
        <rFont val="Arial MT"/>
        <family val="2"/>
      </rPr>
      <t>CAIXA PARA ENCAIXE E INSTALACAO APARELHO AR CONDICIONADO</t>
    </r>
  </si>
  <si>
    <r>
      <rPr>
        <sz val="11"/>
        <rFont val="Arial MT"/>
        <family val="2"/>
      </rPr>
      <t>17.1.7</t>
    </r>
  </si>
  <si>
    <r>
      <rPr>
        <sz val="11"/>
        <rFont val="Arial MT"/>
        <family val="2"/>
      </rPr>
      <t>CPU2654</t>
    </r>
  </si>
  <si>
    <r>
      <rPr>
        <sz val="11"/>
        <rFont val="Arial MT"/>
        <family val="2"/>
      </rPr>
      <t>TOMADA AR EXTERIOR+VENEZIANA C/ REGISTRO EM ALUMINIO 500X400</t>
    </r>
  </si>
  <si>
    <r>
      <rPr>
        <sz val="11"/>
        <rFont val="Arial MT"/>
        <family val="2"/>
      </rPr>
      <t>17.1.8</t>
    </r>
  </si>
  <si>
    <r>
      <rPr>
        <sz val="11"/>
        <rFont val="Arial MT"/>
        <family val="2"/>
      </rPr>
      <t>CPU2655</t>
    </r>
  </si>
  <si>
    <r>
      <rPr>
        <sz val="11"/>
        <rFont val="Arial MT"/>
        <family val="2"/>
      </rPr>
      <t>TOMADA AR EXTERIOR+VENEZIANA C/ REGISTRO EM ALUMINIO 750X150</t>
    </r>
  </si>
  <si>
    <r>
      <rPr>
        <sz val="11"/>
        <rFont val="Arial MT"/>
        <family val="2"/>
      </rPr>
      <t>17.1.9</t>
    </r>
  </si>
  <si>
    <r>
      <rPr>
        <sz val="11"/>
        <rFont val="Arial MT"/>
        <family val="2"/>
      </rPr>
      <t>PORTA EM ALUMÍNIO DE ABRIR TIPO VENEZIANA COM GUARNIÇÃO, FIXAÇÃO COM PARAFUSOS -</t>
    </r>
  </si>
  <si>
    <r>
      <rPr>
        <sz val="11"/>
        <rFont val="Arial MT"/>
        <family val="2"/>
      </rPr>
      <t>17.1.10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</si>
  <si>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CPU2656</t>
    </r>
  </si>
  <si>
    <r>
      <rPr>
        <sz val="11"/>
        <rFont val="Arial MT"/>
        <family val="2"/>
      </rPr>
      <t>DUTO PARA EXAUSTAO DE AR/VENTILACAO,CHAVETADO EM CHAPA DE AC O GALVANIZADO,NAS DIVERSAS</t>
    </r>
  </si>
  <si>
    <r>
      <rPr>
        <sz val="11"/>
        <rFont val="Arial MT"/>
        <family val="2"/>
      </rPr>
      <t>17.1.11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</si>
  <si>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CPU2698</t>
    </r>
  </si>
  <si>
    <r>
      <rPr>
        <sz val="11"/>
        <rFont val="Arial MT"/>
        <family val="2"/>
      </rPr>
      <t>DUTO FLEXIVEL DE ALUMINIO C/ ISOLAM. TERM.LA VIDRO 125MM 5""</t>
    </r>
  </si>
  <si>
    <r>
      <rPr>
        <sz val="11"/>
        <rFont val="Arial MT"/>
        <family val="2"/>
      </rPr>
      <t>17.1.12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</si>
  <si>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CPU2658</t>
    </r>
  </si>
  <si>
    <r>
      <rPr>
        <sz val="11"/>
        <rFont val="Arial MT"/>
        <family val="2"/>
      </rPr>
      <t>BARRA ROSCADA BICROMATIZADA Ø 3/8" X 3000MM</t>
    </r>
  </si>
  <si>
    <r>
      <rPr>
        <sz val="11"/>
        <rFont val="Arial MT"/>
        <family val="2"/>
      </rPr>
      <t>17.1.13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</si>
  <si>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CPU2659</t>
    </r>
  </si>
  <si>
    <r>
      <rPr>
        <sz val="11"/>
        <rFont val="Arial MT"/>
        <family val="2"/>
      </rPr>
      <t>FORNECIMENTO E INSTALAÇÃO DE PORCA SEXTAVADA 3/8" (REF VL 1.55 VALEMAM OU SIMILAR)</t>
    </r>
  </si>
  <si>
    <r>
      <rPr>
        <sz val="11"/>
        <rFont val="Arial MT"/>
        <family val="2"/>
      </rPr>
      <t>17.1.14</t>
    </r>
    <r>
      <rPr>
        <sz val="11"/>
        <color theme="1"/>
        <rFont val="Calibri"/>
        <family val="2"/>
        <scheme val="minor"/>
      </rPr>
      <t/>
    </r>
  </si>
  <si>
    <r>
      <rPr>
        <sz val="11"/>
        <rFont val="Arial MT"/>
        <family val="2"/>
      </rPr>
      <t>SUPORTE PARA 2 TUBOS HORIZONTAIS, ESPAÇADO A CADA 56 CM, EM PERFILADO COM COMPRIMENTO DE 25</t>
    </r>
  </si>
  <si>
    <r>
      <rPr>
        <b/>
        <sz val="11"/>
        <rFont val="Arial"/>
        <family val="2"/>
      </rPr>
      <t>17.2</t>
    </r>
  </si>
  <si>
    <r>
      <rPr>
        <sz val="11"/>
        <rFont val="Arial MT"/>
        <family val="2"/>
      </rPr>
      <t>17.2.1</t>
    </r>
  </si>
  <si>
    <r>
      <rPr>
        <sz val="11"/>
        <rFont val="Arial MT"/>
        <family val="2"/>
      </rPr>
      <t>CPU2660</t>
    </r>
  </si>
  <si>
    <r>
      <rPr>
        <sz val="11"/>
        <rFont val="Arial MT"/>
        <family val="2"/>
      </rPr>
      <t>EXAUSTOR CENTRIFUGO SIROCO TRIFASICO MODELO EC4-TN</t>
    </r>
  </si>
  <si>
    <r>
      <rPr>
        <sz val="11"/>
        <rFont val="Arial MT"/>
        <family val="2"/>
      </rPr>
      <t>17.2.2</t>
    </r>
  </si>
  <si>
    <r>
      <rPr>
        <sz val="11"/>
        <rFont val="Arial MT"/>
        <family val="2"/>
      </rPr>
      <t>CPU2661</t>
    </r>
  </si>
  <si>
    <r>
      <rPr>
        <sz val="11"/>
        <rFont val="Arial MT"/>
        <family val="2"/>
      </rPr>
      <t>EXAUSTOR CENTRIFUGO SIROCO TRIFASICO EC5-TN-3</t>
    </r>
  </si>
  <si>
    <r>
      <rPr>
        <sz val="11"/>
        <rFont val="Arial MT"/>
        <family val="2"/>
      </rPr>
      <t>17.2.3</t>
    </r>
  </si>
  <si>
    <r>
      <rPr>
        <sz val="11"/>
        <rFont val="Arial MT"/>
        <family val="2"/>
      </rPr>
      <t>CPU2663</t>
    </r>
  </si>
  <si>
    <r>
      <rPr>
        <sz val="11"/>
        <rFont val="Arial MT"/>
        <family val="2"/>
      </rPr>
      <t>CAIXA DE VENTILACAO PARA FORRO CAB-250 - 220V - S&amp;P</t>
    </r>
  </si>
  <si>
    <r>
      <rPr>
        <sz val="11"/>
        <rFont val="Arial MT"/>
        <family val="2"/>
      </rPr>
      <t>17.2.4</t>
    </r>
  </si>
  <si>
    <r>
      <rPr>
        <sz val="11"/>
        <rFont val="Arial MT"/>
        <family val="2"/>
      </rPr>
      <t>CPU2664</t>
    </r>
  </si>
  <si>
    <r>
      <rPr>
        <sz val="11"/>
        <rFont val="Arial MT"/>
        <family val="2"/>
      </rPr>
      <t>CAIXA DE VENTILACAO PARA FORRO COLARINHO COM BOCAL CVM2500</t>
    </r>
  </si>
  <si>
    <r>
      <rPr>
        <sz val="11"/>
        <rFont val="Arial MT"/>
        <family val="2"/>
      </rPr>
      <t>17.2.5</t>
    </r>
  </si>
  <si>
    <r>
      <rPr>
        <sz val="11"/>
        <rFont val="Arial MT"/>
        <family val="2"/>
      </rPr>
      <t>CPU2662</t>
    </r>
  </si>
  <si>
    <r>
      <rPr>
        <sz val="11"/>
        <rFont val="Arial MT"/>
        <family val="2"/>
      </rPr>
      <t>CAIXA DE VENTILACAO PARA FORRO MODELO: CAB-250N - 220V - S&amp;P</t>
    </r>
  </si>
  <si>
    <r>
      <rPr>
        <sz val="11"/>
        <rFont val="Arial MT"/>
        <family val="2"/>
      </rPr>
      <t>17.2.6</t>
    </r>
  </si>
  <si>
    <r>
      <rPr>
        <sz val="11"/>
        <rFont val="Arial MT"/>
        <family val="2"/>
      </rPr>
      <t>CPU2665</t>
    </r>
  </si>
  <si>
    <r>
      <rPr>
        <sz val="11"/>
        <rFont val="Arial MT"/>
        <family val="2"/>
      </rPr>
      <t>EXAUSTOR AXIAL MULTIVAC MODELO MURO 150A</t>
    </r>
  </si>
  <si>
    <t>DADOS E VOZ</t>
  </si>
  <si>
    <r>
      <rPr>
        <sz val="11"/>
        <rFont val="Arial MT"/>
        <family val="2"/>
      </rPr>
      <t>18.1</t>
    </r>
  </si>
  <si>
    <r>
      <rPr>
        <sz val="11"/>
        <rFont val="Arial MT"/>
        <family val="2"/>
      </rPr>
      <t>18.2</t>
    </r>
  </si>
  <si>
    <r>
      <rPr>
        <sz val="11"/>
        <rFont val="Arial MT"/>
        <family val="2"/>
      </rPr>
      <t>18.3</t>
    </r>
  </si>
  <si>
    <r>
      <rPr>
        <sz val="11"/>
        <rFont val="Arial MT"/>
        <family val="2"/>
      </rPr>
      <t>18.4</t>
    </r>
  </si>
  <si>
    <r>
      <rPr>
        <sz val="11"/>
        <rFont val="Arial MT"/>
        <family val="2"/>
      </rPr>
      <t>CPU2699</t>
    </r>
  </si>
  <si>
    <r>
      <rPr>
        <sz val="11"/>
        <rFont val="Arial MT"/>
        <family val="2"/>
      </rPr>
      <t>CHUMBADOR 3/8"" X 2.1/2"" COM PARAFUSO CBA/CB/CBT ZINCADO</t>
    </r>
  </si>
  <si>
    <r>
      <rPr>
        <sz val="11"/>
        <rFont val="Arial MT"/>
        <family val="2"/>
      </rPr>
      <t>18.5</t>
    </r>
  </si>
  <si>
    <r>
      <rPr>
        <sz val="11"/>
        <rFont val="Arial MT"/>
        <family val="2"/>
      </rPr>
      <t>18.6</t>
    </r>
  </si>
  <si>
    <r>
      <rPr>
        <sz val="11"/>
        <rFont val="Arial MT"/>
        <family val="2"/>
      </rPr>
      <t>18.7</t>
    </r>
  </si>
  <si>
    <r>
      <rPr>
        <sz val="11"/>
        <rFont val="Arial MT"/>
        <family val="2"/>
      </rPr>
      <t>18.8</t>
    </r>
  </si>
  <si>
    <r>
      <rPr>
        <sz val="11"/>
        <rFont val="Arial MT"/>
        <family val="2"/>
      </rPr>
      <t>18.9</t>
    </r>
  </si>
  <si>
    <r>
      <rPr>
        <sz val="11"/>
        <rFont val="Arial MT"/>
        <family val="2"/>
      </rPr>
      <t>TOMADA DE REDE RJ45 - FORNECIMENTO E INSTALAÇÃO. AF_11/2019</t>
    </r>
  </si>
  <si>
    <r>
      <rPr>
        <sz val="11"/>
        <rFont val="Arial MT"/>
        <family val="2"/>
      </rPr>
      <t>18.10</t>
    </r>
  </si>
  <si>
    <r>
      <rPr>
        <sz val="11"/>
        <rFont val="Arial MT"/>
        <family val="2"/>
      </rPr>
      <t>18.11</t>
    </r>
  </si>
  <si>
    <r>
      <rPr>
        <sz val="11"/>
        <rFont val="Arial MT"/>
        <family val="2"/>
      </rPr>
      <t>18.12</t>
    </r>
  </si>
  <si>
    <r>
      <rPr>
        <sz val="11"/>
        <rFont val="Arial MT"/>
        <family val="2"/>
      </rPr>
      <t>CPU2669</t>
    </r>
  </si>
  <si>
    <r>
      <rPr>
        <sz val="11"/>
        <rFont val="Arial MT"/>
        <family val="2"/>
      </rPr>
      <t>TÊ HORIZONTAL 75 X 50 MM PARA ELETROCALHA METÁLICA (REF. MOPA OU SIMILAR)</t>
    </r>
  </si>
  <si>
    <r>
      <rPr>
        <sz val="11"/>
        <rFont val="Arial MT"/>
        <family val="2"/>
      </rPr>
      <t>18.13</t>
    </r>
  </si>
  <si>
    <r>
      <rPr>
        <sz val="11"/>
        <rFont val="Arial MT"/>
        <family val="2"/>
      </rPr>
      <t>CPU2667</t>
    </r>
  </si>
  <si>
    <r>
      <rPr>
        <sz val="11"/>
        <rFont val="Arial MT"/>
        <family val="2"/>
      </rPr>
      <t>FORNECIMENTO E INSTALAÇÃO DE ELETROCALHA METÁLICA  75 X  50 X 3000 MM (REF. VL 3.01 GE 75/50</t>
    </r>
  </si>
  <si>
    <r>
      <rPr>
        <sz val="11"/>
        <rFont val="Arial MT"/>
        <family val="2"/>
      </rPr>
      <t>18.14</t>
    </r>
  </si>
  <si>
    <r>
      <rPr>
        <sz val="11"/>
        <rFont val="Arial MT"/>
        <family val="2"/>
      </rPr>
      <t>CPU2668</t>
    </r>
  </si>
  <si>
    <r>
      <rPr>
        <sz val="11"/>
        <rFont val="Arial MT"/>
        <family val="2"/>
      </rPr>
      <t>SUPORTE VERTICAL  100 X 100 MM  PARA FIXAÇÃO DE ELETROCALHA METÁLICA ( REF.: MOPA OU SIMILAR)</t>
    </r>
  </si>
  <si>
    <r>
      <rPr>
        <sz val="11"/>
        <rFont val="Arial MT"/>
        <family val="2"/>
      </rPr>
      <t>18.15</t>
    </r>
  </si>
  <si>
    <r>
      <rPr>
        <sz val="11"/>
        <rFont val="Arial MT"/>
        <family val="2"/>
      </rPr>
      <t>CPU2670</t>
    </r>
  </si>
  <si>
    <r>
      <rPr>
        <sz val="11"/>
        <rFont val="Arial MT"/>
        <family val="2"/>
      </rPr>
      <t>EMENDA INTERNA PARA ELETROCALHA 50x50</t>
    </r>
  </si>
  <si>
    <r>
      <rPr>
        <sz val="11"/>
        <rFont val="Arial MT"/>
        <family val="2"/>
      </rPr>
      <t>18.16</t>
    </r>
  </si>
  <si>
    <r>
      <rPr>
        <sz val="11"/>
        <rFont val="Arial MT"/>
        <family val="2"/>
      </rPr>
      <t>CPU2671</t>
    </r>
  </si>
  <si>
    <r>
      <rPr>
        <sz val="11"/>
        <rFont val="Arial MT"/>
        <family val="2"/>
      </rPr>
      <t>TERMINAL 75 X 50 MM PARA ELETROCALHA METALICA (REF. VL 3.01-25 GE VALEMAM OU SIMILAR)</t>
    </r>
  </si>
  <si>
    <r>
      <rPr>
        <sz val="11"/>
        <rFont val="Arial MT"/>
        <family val="2"/>
      </rPr>
      <t>18.17</t>
    </r>
  </si>
  <si>
    <r>
      <rPr>
        <sz val="11"/>
        <rFont val="Arial MT"/>
        <family val="2"/>
      </rPr>
      <t>18.18</t>
    </r>
  </si>
  <si>
    <r>
      <rPr>
        <sz val="11"/>
        <rFont val="Arial MT"/>
        <family val="2"/>
      </rPr>
      <t>18.19</t>
    </r>
  </si>
  <si>
    <r>
      <rPr>
        <sz val="11"/>
        <rFont val="Arial MT"/>
        <family val="2"/>
      </rPr>
      <t>18.20</t>
    </r>
  </si>
  <si>
    <r>
      <rPr>
        <sz val="11"/>
        <rFont val="Arial MT"/>
        <family val="2"/>
      </rPr>
      <t>18.21</t>
    </r>
  </si>
  <si>
    <r>
      <rPr>
        <sz val="11"/>
        <rFont val="Arial MT"/>
        <family val="2"/>
      </rPr>
      <t>CPU2672</t>
    </r>
  </si>
  <si>
    <r>
      <rPr>
        <sz val="11"/>
        <rFont val="Arial MT"/>
        <family val="2"/>
      </rPr>
      <t>TOMADA PARA TV, TIPO PINO JACK, COM PLACA</t>
    </r>
  </si>
  <si>
    <t>URBANIZAÇÃO</t>
  </si>
  <si>
    <r>
      <rPr>
        <b/>
        <sz val="11"/>
        <rFont val="Arial"/>
        <family val="2"/>
      </rPr>
      <t>19.1</t>
    </r>
  </si>
  <si>
    <r>
      <rPr>
        <b/>
        <sz val="11"/>
        <rFont val="Arial"/>
        <family val="2"/>
      </rPr>
      <t>PAVIMENTAÇÃO E ACESSIBILIDADE</t>
    </r>
  </si>
  <si>
    <r>
      <rPr>
        <sz val="11"/>
        <rFont val="Arial MT"/>
        <family val="2"/>
      </rPr>
      <t>19.1.1</t>
    </r>
  </si>
  <si>
    <r>
      <rPr>
        <sz val="11"/>
        <rFont val="Arial MT"/>
        <family val="2"/>
      </rPr>
      <t>PISO PODOTÁTIL DE ALERTA OU DIRECIONAL, DE CONCRETO, ASSENTADO SOBRE ARGAMASSA. AF_03/2024</t>
    </r>
  </si>
  <si>
    <r>
      <rPr>
        <b/>
        <sz val="11"/>
        <rFont val="Arial"/>
        <family val="2"/>
      </rPr>
      <t>19.2</t>
    </r>
  </si>
  <si>
    <r>
      <rPr>
        <b/>
        <sz val="11"/>
        <rFont val="Arial"/>
        <family val="2"/>
      </rPr>
      <t>PAISAGISMO</t>
    </r>
  </si>
  <si>
    <r>
      <rPr>
        <sz val="11"/>
        <rFont val="Arial MT"/>
        <family val="2"/>
      </rPr>
      <t>19.2.1</t>
    </r>
  </si>
  <si>
    <r>
      <rPr>
        <sz val="11"/>
        <rFont val="Arial MT"/>
        <family val="2"/>
      </rPr>
      <t>PLANTIO DE GRAMA ESMERALDA OU SÃO CARLOS OU CURITIBANA, EM PLACAS. AF_05/2022</t>
    </r>
  </si>
  <si>
    <r>
      <rPr>
        <b/>
        <sz val="11"/>
        <rFont val="Arial"/>
        <family val="2"/>
      </rPr>
      <t>19.3</t>
    </r>
  </si>
  <si>
    <r>
      <rPr>
        <b/>
        <sz val="11"/>
        <rFont val="Arial"/>
        <family val="2"/>
      </rPr>
      <t>SINALIZAÇÃO</t>
    </r>
  </si>
  <si>
    <r>
      <rPr>
        <sz val="11"/>
        <rFont val="Arial MT"/>
        <family val="2"/>
      </rPr>
      <t>19.3.1</t>
    </r>
  </si>
  <si>
    <r>
      <rPr>
        <sz val="11"/>
        <rFont val="Arial MT"/>
        <family val="2"/>
      </rPr>
      <t>CPU2673</t>
    </r>
  </si>
  <si>
    <r>
      <rPr>
        <sz val="11"/>
        <rFont val="Arial MT"/>
        <family val="2"/>
      </rPr>
      <t>LETRA EM AÇO INOX ESCOVADO/POLIDO 20 X 20CM - INSTALADO</t>
    </r>
  </si>
  <si>
    <r>
      <rPr>
        <sz val="11"/>
        <rFont val="Arial MT"/>
        <family val="2"/>
      </rPr>
      <t>19.3.2</t>
    </r>
  </si>
  <si>
    <r>
      <rPr>
        <sz val="11"/>
        <rFont val="Arial MT"/>
        <family val="2"/>
      </rPr>
      <t>CPU2674</t>
    </r>
  </si>
  <si>
    <r>
      <rPr>
        <sz val="11"/>
        <rFont val="Arial MT"/>
        <family val="2"/>
      </rPr>
      <t>LETRA CAIXA INOX ESCOVADO COLOCADA</t>
    </r>
  </si>
  <si>
    <t>SERVIÇOS COMPLEMENTARES</t>
  </si>
  <si>
    <r>
      <rPr>
        <sz val="11"/>
        <rFont val="Arial MT"/>
        <family val="2"/>
      </rPr>
      <t>20.1</t>
    </r>
  </si>
  <si>
    <r>
      <rPr>
        <sz val="11"/>
        <rFont val="Arial MT"/>
        <family val="2"/>
      </rPr>
      <t>CPU2675</t>
    </r>
  </si>
  <si>
    <r>
      <rPr>
        <sz val="11"/>
        <rFont val="Arial MT"/>
        <family val="2"/>
      </rPr>
      <t>LIMPEZA/REMOÇÃO DE TINTAS EM PISOS E REVESTIMENTOS</t>
    </r>
  </si>
  <si>
    <r>
      <rPr>
        <sz val="11"/>
        <rFont val="Arial MT"/>
        <family val="2"/>
      </rPr>
      <t>20.2</t>
    </r>
  </si>
  <si>
    <r>
      <rPr>
        <sz val="11"/>
        <rFont val="Arial MT"/>
        <family val="2"/>
      </rPr>
      <t>CPU2676</t>
    </r>
  </si>
  <si>
    <r>
      <rPr>
        <sz val="11"/>
        <rFont val="Arial MT"/>
        <family val="2"/>
      </rPr>
      <t>LIMPEZA GERAL</t>
    </r>
  </si>
  <si>
    <r>
      <rPr>
        <b/>
        <sz val="11"/>
        <rFont val="Arial"/>
        <family val="2"/>
      </rPr>
      <t>Totais -&gt;</t>
    </r>
  </si>
  <si>
    <t>Total sem BDI</t>
  </si>
  <si>
    <t>Total do BDI</t>
  </si>
  <si>
    <t>Total Geral</t>
  </si>
  <si>
    <t>_______________________________________________________________
Luzikenyo L. M. Veloso Chianca - CREA PB n° 1612617590
Engenheiro Civil</t>
  </si>
  <si>
    <r>
      <rPr>
        <b/>
        <sz val="11"/>
        <rFont val="Arial"/>
        <family val="2"/>
      </rPr>
      <t>Composições Principais</t>
    </r>
  </si>
  <si>
    <r>
      <rPr>
        <b/>
        <sz val="11"/>
        <rFont val="Arial"/>
        <family val="2"/>
      </rPr>
      <t>1.1.1</t>
    </r>
  </si>
  <si>
    <r>
      <rPr>
        <b/>
        <sz val="11"/>
        <rFont val="Arial"/>
        <family val="2"/>
      </rPr>
      <t>Tipo</t>
    </r>
  </si>
  <si>
    <t>Valor Unit. c Desconto</t>
  </si>
  <si>
    <r>
      <rPr>
        <sz val="10"/>
        <rFont val="Arial MT"/>
        <family val="2"/>
      </rPr>
      <t>Composição</t>
    </r>
  </si>
  <si>
    <r>
      <rPr>
        <sz val="10"/>
        <rFont val="Arial MT"/>
        <family val="2"/>
      </rPr>
      <t>CPU2526</t>
    </r>
  </si>
  <si>
    <r>
      <rPr>
        <sz val="10"/>
        <rFont val="Arial MT"/>
        <family val="2"/>
      </rPr>
      <t>Próprio</t>
    </r>
  </si>
  <si>
    <r>
      <rPr>
        <sz val="10"/>
        <rFont val="Arial MT"/>
        <family val="2"/>
      </rPr>
      <t>LOCAÇÃO DE CONTAINER TIPO DEPÓSITO - ÁREA MÍNIMA DE 13,80 M2</t>
    </r>
  </si>
  <si>
    <r>
      <rPr>
        <sz val="10"/>
        <rFont val="Arial MT"/>
        <family val="2"/>
      </rPr>
      <t xml:space="preserve">CANT -
</t>
    </r>
    <r>
      <rPr>
        <sz val="10"/>
        <rFont val="Arial MT"/>
        <family val="2"/>
      </rPr>
      <t>CANTEIRO</t>
    </r>
  </si>
  <si>
    <r>
      <rPr>
        <sz val="10"/>
        <rFont val="Arial MT"/>
        <family val="2"/>
      </rPr>
      <t>UNXMÊS</t>
    </r>
  </si>
  <si>
    <r>
      <rPr>
        <sz val="10"/>
        <rFont val="Arial MT"/>
        <family val="2"/>
      </rPr>
      <t>Composição A</t>
    </r>
  </si>
  <si>
    <r>
      <rPr>
        <sz val="10"/>
        <rFont val="Arial MT"/>
        <family val="2"/>
      </rPr>
      <t>SINAPI</t>
    </r>
  </si>
  <si>
    <r>
      <rPr>
        <sz val="10"/>
        <rFont val="Arial MT"/>
        <family val="2"/>
      </rPr>
      <t>SERVENTE COM ENCARGOS COMPLEMENTARES</t>
    </r>
  </si>
  <si>
    <r>
      <rPr>
        <sz val="10"/>
        <rFont val="Arial MT"/>
        <family val="2"/>
      </rPr>
      <t xml:space="preserve">SEDI -
</t>
    </r>
    <r>
      <rPr>
        <sz val="10"/>
        <rFont val="Arial MT"/>
        <family val="2"/>
      </rPr>
      <t>SERVIÇOS</t>
    </r>
  </si>
  <si>
    <r>
      <rPr>
        <sz val="10"/>
        <rFont val="Arial MT"/>
        <family val="2"/>
      </rPr>
      <t>H</t>
    </r>
  </si>
  <si>
    <r>
      <rPr>
        <sz val="10"/>
        <rFont val="Arial MT"/>
        <family val="2"/>
      </rPr>
      <t>AUXILIAR DE ELETRICISTA COM ENCARGOS COMPLEMENTARES</t>
    </r>
  </si>
  <si>
    <r>
      <rPr>
        <sz val="10"/>
        <rFont val="Arial MT"/>
        <family val="2"/>
      </rPr>
      <t>ELETRICISTA COM ENCARGOS COMPLEMENTARES</t>
    </r>
  </si>
  <si>
    <r>
      <rPr>
        <sz val="10"/>
        <rFont val="Arial MT"/>
        <family val="2"/>
      </rPr>
      <t>Insumo</t>
    </r>
  </si>
  <si>
    <r>
      <rPr>
        <sz val="10"/>
        <rFont val="Arial MT"/>
        <family val="2"/>
      </rPr>
      <t>A.12.000.021099</t>
    </r>
  </si>
  <si>
    <r>
      <rPr>
        <sz val="10"/>
        <rFont val="Arial MT"/>
        <family val="2"/>
      </rPr>
      <t>CPOS/CDHU</t>
    </r>
  </si>
  <si>
    <r>
      <rPr>
        <sz val="10"/>
        <rFont val="Arial MT"/>
        <family val="2"/>
      </rPr>
      <t xml:space="preserve">CONTAINER DEPÓSITO, MÓDULO METÁLICO EM AÇO GALVANIZADO DE 6,0X2,3X2,5M, VÃO LIVRE, PISO DE CONCRETO,
</t>
    </r>
    <r>
      <rPr>
        <sz val="10"/>
        <rFont val="Arial MT"/>
        <family val="2"/>
      </rPr>
      <t>CIMENTADO, MADEIRA OU MATERIAL EQUIVALENTE</t>
    </r>
  </si>
  <si>
    <r>
      <rPr>
        <sz val="10"/>
        <rFont val="Arial MT"/>
        <family val="2"/>
      </rPr>
      <t>Material</t>
    </r>
  </si>
  <si>
    <r>
      <rPr>
        <sz val="10"/>
        <rFont val="Arial MT"/>
        <family val="2"/>
      </rPr>
      <t>unxmês</t>
    </r>
  </si>
  <si>
    <r>
      <rPr>
        <sz val="10"/>
        <rFont val="Arial MT"/>
        <family val="2"/>
      </rPr>
      <t>MO sem LS</t>
    </r>
  </si>
  <si>
    <r>
      <rPr>
        <sz val="10"/>
        <rFont val="Arial MT"/>
        <family val="2"/>
      </rPr>
      <t>LS =&gt;</t>
    </r>
  </si>
  <si>
    <r>
      <rPr>
        <sz val="10"/>
        <rFont val="Arial MT"/>
        <family val="2"/>
      </rPr>
      <t>MO com LS =&gt;</t>
    </r>
  </si>
  <si>
    <r>
      <rPr>
        <sz val="10"/>
        <rFont val="Arial MT"/>
        <family val="2"/>
      </rPr>
      <t>Valor do BDI</t>
    </r>
  </si>
  <si>
    <r>
      <rPr>
        <sz val="10"/>
        <rFont val="Arial MT"/>
        <family val="2"/>
      </rPr>
      <t>Valor com BDI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</si>
  <si>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02.02.150 CPOS/CDHUA composição foi ajustada para utilizar os insumos e a mão de obra conforme a base SINAPI, garantindo maior aderência aos parâmetros de mercado e normativas vigentes. Apenas os insumos que não possuem correspondência na base SINAPI foram mant</t>
    </r>
  </si>
  <si>
    <r>
      <rPr>
        <b/>
        <sz val="11"/>
        <rFont val="Arial"/>
        <family val="2"/>
      </rPr>
      <t>1.1.2</t>
    </r>
  </si>
  <si>
    <r>
      <rPr>
        <sz val="10"/>
        <rFont val="Arial MT"/>
        <family val="2"/>
      </rPr>
      <t>CPU2527</t>
    </r>
  </si>
  <si>
    <r>
      <rPr>
        <sz val="10"/>
        <rFont val="Arial MT"/>
        <family val="2"/>
      </rPr>
      <t xml:space="preserve">BARRACÃO ABERTO PARA APOIO À PRODUÇÃO (CARPINTARIA, CENTRAL DE ARMAÇÃO, OFICINA, ETC.) C/ TESOURAS, TELHA
</t>
    </r>
    <r>
      <rPr>
        <sz val="10"/>
        <rFont val="Arial MT"/>
        <family val="2"/>
      </rPr>
      <t>4MM, PISO EM CONCRETO DESEMPOLADO</t>
    </r>
  </si>
  <si>
    <r>
      <rPr>
        <sz val="10"/>
        <rFont val="Arial MT"/>
        <family val="2"/>
      </rPr>
      <t>m²</t>
    </r>
  </si>
  <si>
    <r>
      <rPr>
        <sz val="10"/>
        <rFont val="Arial MT"/>
        <family val="2"/>
      </rPr>
      <t xml:space="preserve">TELHAMENTO COM TELHA ONDULADA DE FIBROCIMENTO E = 6 MM, COM RECOBRIMENTO LATERAL DE 1/4 DE ONDA PARA
</t>
    </r>
    <r>
      <rPr>
        <sz val="10"/>
        <rFont val="Arial MT"/>
        <family val="2"/>
      </rPr>
      <t>TELHADO COM INCLINAÇÃO MAIOR QUE 10°, COM ATÉ 2 ÁGUAS, INCLUSO IÇAMENTO. AF_07/2019</t>
    </r>
  </si>
  <si>
    <r>
      <rPr>
        <sz val="10"/>
        <rFont val="Arial MT"/>
        <family val="2"/>
      </rPr>
      <t xml:space="preserve">COBE -
</t>
    </r>
    <r>
      <rPr>
        <sz val="10"/>
        <rFont val="Arial MT"/>
        <family val="2"/>
      </rPr>
      <t>COBERTURA</t>
    </r>
  </si>
  <si>
    <r>
      <rPr>
        <sz val="10"/>
        <rFont val="Arial MT"/>
        <family val="2"/>
      </rPr>
      <t>PISO EM CONCRETO 20 MPA PREPARO MECÂNICO, ESPESSURA 7CM. AF_09/2020</t>
    </r>
  </si>
  <si>
    <r>
      <rPr>
        <sz val="10"/>
        <rFont val="Arial MT"/>
        <family val="2"/>
      </rPr>
      <t>PISO - PISOS</t>
    </r>
  </si>
  <si>
    <r>
      <rPr>
        <sz val="10"/>
        <rFont val="Arial MT"/>
        <family val="2"/>
      </rPr>
      <t xml:space="preserve">FABRICAÇÃO E INSTALAÇÃO DE TESOURA INTEIRA EM MADEIRA NÃO APARELHADA, VÃO DE 10 M, PARA TELHA ONDULADA
</t>
    </r>
    <r>
      <rPr>
        <sz val="10"/>
        <rFont val="Arial MT"/>
        <family val="2"/>
      </rPr>
      <t>DE FIBROCIMENTO, METÁLICA, PLÁSTICA OU TERMOACÚSTICA, INCLUSO IÇAMENTO. AF_07/2019</t>
    </r>
  </si>
  <si>
    <r>
      <rPr>
        <sz val="10"/>
        <rFont val="Arial MT"/>
        <family val="2"/>
      </rPr>
      <t>UN</t>
    </r>
  </si>
  <si>
    <r>
      <rPr>
        <sz val="10"/>
        <rFont val="Arial MT"/>
        <family val="2"/>
      </rPr>
      <t xml:space="preserve">COMPACTAÇÃO MECÂNICA DE SOLO PARA EXECUÇÃO DE RADIER, PISO DE CONCRETO OU LAJE SOBRE SOLO, COM
</t>
    </r>
    <r>
      <rPr>
        <sz val="10"/>
        <rFont val="Arial MT"/>
        <family val="2"/>
      </rPr>
      <t>COMPACTADOR DE SOLOS A PERCUSSÃO. AF_09/2021</t>
    </r>
  </si>
  <si>
    <r>
      <rPr>
        <sz val="10"/>
        <rFont val="Arial MT"/>
        <family val="2"/>
      </rPr>
      <t xml:space="preserve">FUES -
</t>
    </r>
    <r>
      <rPr>
        <sz val="10"/>
        <rFont val="Arial MT"/>
        <family val="2"/>
      </rPr>
      <t>FUNDAÇÕES</t>
    </r>
  </si>
  <si>
    <r>
      <rPr>
        <sz val="10"/>
        <rFont val="Arial MT"/>
        <family val="2"/>
      </rPr>
      <t xml:space="preserve">FABRICAÇÃO E INSTALAÇÃO DE PONTALETES DE MADEIRA NÃO APARELHADA PARA TELHADOS COM ATÉ 2 ÁGUAS E COM
</t>
    </r>
    <r>
      <rPr>
        <sz val="10"/>
        <rFont val="Arial MT"/>
        <family val="2"/>
      </rPr>
      <t>TELHA ONDULADA DE FIBROCIMENTO, ALUMÍNIO OU PLÁSTICA EM EDIFÍCIO RESIDENCIAL TÉRREO, INCLUSO TRANSPORTE</t>
    </r>
  </si>
  <si>
    <r>
      <rPr>
        <b/>
        <sz val="10"/>
        <rFont val="Arial"/>
        <family val="2"/>
      </rPr>
      <t>Observação</t>
    </r>
  </si>
  <si>
    <r>
      <rPr>
        <sz val="10"/>
        <rFont val="Arial MT"/>
        <family val="2"/>
      </rPr>
      <t xml:space="preserve">MO sem LS
</t>
    </r>
    <r>
      <rPr>
        <sz val="10"/>
        <rFont val="Arial MT"/>
        <family val="2"/>
      </rPr>
      <t xml:space="preserve">=&gt;
</t>
    </r>
    <r>
      <rPr>
        <sz val="10"/>
        <rFont val="Arial MT"/>
        <family val="2"/>
      </rPr>
      <t xml:space="preserve">Valor do BDI
</t>
    </r>
    <r>
      <rPr>
        <sz val="10"/>
        <rFont val="Arial MT"/>
        <family val="2"/>
      </rPr>
      <t>=&gt;</t>
    </r>
  </si>
  <si>
    <r>
      <rPr>
        <sz val="10"/>
        <rFont val="Arial MT"/>
        <family val="2"/>
      </rPr>
      <t xml:space="preserve">LS =&gt;                   0,00      MO com LS =&gt;
</t>
    </r>
    <r>
      <rPr>
        <sz val="10"/>
        <rFont val="Arial MT"/>
        <family val="2"/>
      </rPr>
      <t xml:space="preserve">Valor com BDI
</t>
    </r>
    <r>
      <rPr>
        <sz val="10"/>
        <rFont val="Arial MT"/>
        <family val="2"/>
      </rPr>
      <t>=&gt;</t>
    </r>
  </si>
  <si>
    <r>
      <rPr>
        <sz val="10"/>
        <rFont val="Arial MT"/>
        <family val="2"/>
      </rPr>
      <t>Composição de Referência: ORSE 11703.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</si>
  <si>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1.1.3</t>
    </r>
  </si>
  <si>
    <r>
      <rPr>
        <sz val="10"/>
        <rFont val="Arial MT"/>
        <family val="2"/>
      </rPr>
      <t>CPU2528</t>
    </r>
  </si>
  <si>
    <r>
      <rPr>
        <sz val="10"/>
        <rFont val="Arial MT"/>
        <family val="2"/>
      </rPr>
      <t>LOCAÇÃO DE CONTAINER - BANHEIRO COM CHUVEIROS E VASOS - 4,30 X 2,30M</t>
    </r>
  </si>
  <si>
    <r>
      <rPr>
        <sz val="10"/>
        <rFont val="Arial MT"/>
        <family val="2"/>
      </rPr>
      <t>MÊS</t>
    </r>
  </si>
  <si>
    <r>
      <rPr>
        <sz val="10"/>
        <rFont val="Arial MT"/>
        <family val="2"/>
      </rPr>
      <t xml:space="preserve">LOCACAO DE CONTAINER 2,30 X 4,30 M, ALT. 2,50 M, PARA SANITARIO, COM 3 BACIAS, 4 CHUVEIROS, 1 LAVATORIO E 1
</t>
    </r>
    <r>
      <rPr>
        <sz val="10"/>
        <rFont val="Arial MT"/>
        <family val="2"/>
      </rPr>
      <t>MICTORIO (NAO INCLUI MOBILIZACAO/DESMOBILIZACAO)</t>
    </r>
  </si>
  <si>
    <r>
      <rPr>
        <sz val="10"/>
        <rFont val="Arial MT"/>
        <family val="2"/>
      </rPr>
      <t>Equipamento</t>
    </r>
  </si>
  <si>
    <r>
      <rPr>
        <sz val="10"/>
        <rFont val="Arial MT"/>
        <family val="2"/>
      </rPr>
      <t>MES</t>
    </r>
  </si>
  <si>
    <r>
      <rPr>
        <sz val="10"/>
        <rFont val="Arial MT"/>
        <family val="2"/>
      </rPr>
      <t>Composição de Referência: ORSE 4656.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</si>
  <si>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1.1.4</t>
    </r>
  </si>
  <si>
    <r>
      <rPr>
        <sz val="10"/>
        <rFont val="Arial MT"/>
        <family val="2"/>
      </rPr>
      <t>CPU2529</t>
    </r>
  </si>
  <si>
    <r>
      <rPr>
        <sz val="10"/>
        <rFont val="Arial MT"/>
        <family val="2"/>
      </rPr>
      <t>BARRACAO PARA REFEITORIO EM OBRAS EM COMPENSADO</t>
    </r>
  </si>
  <si>
    <r>
      <rPr>
        <sz val="10"/>
        <rFont val="Arial MT"/>
        <family val="2"/>
      </rPr>
      <t>AJUDANTE DE CARPINTEIRO COM ENCARGOS COMPLEMENTARES</t>
    </r>
  </si>
  <si>
    <r>
      <rPr>
        <sz val="10"/>
        <rFont val="Arial MT"/>
        <family val="2"/>
      </rPr>
      <t>CARPINTEIRO DE FORMAS COM ENCARGOS COMPLEMENTARES</t>
    </r>
  </si>
  <si>
    <r>
      <rPr>
        <sz val="10"/>
        <rFont val="Arial MT"/>
        <family val="2"/>
      </rPr>
      <t>RIPA APARELHADA *1,5 X 5* CM, EM MACARANDUBA/MASSARANDUBA, ANGELIM OU EQUIVALENTE DA REGIAO</t>
    </r>
  </si>
  <si>
    <r>
      <rPr>
        <sz val="10"/>
        <rFont val="Arial MT"/>
        <family val="2"/>
      </rPr>
      <t>M</t>
    </r>
  </si>
  <si>
    <r>
      <rPr>
        <sz val="10"/>
        <rFont val="Arial MT"/>
        <family val="2"/>
      </rPr>
      <t>PREGO DE ACO POLIDO COM CABECA 17 X 21 (2 X 11)</t>
    </r>
  </si>
  <si>
    <r>
      <rPr>
        <sz val="10"/>
        <rFont val="Arial MT"/>
        <family val="2"/>
      </rPr>
      <t>KG</t>
    </r>
  </si>
  <si>
    <r>
      <rPr>
        <sz val="10"/>
        <rFont val="Arial MT"/>
        <family val="2"/>
      </rPr>
      <t>PREGO DE ACO POLIDO COM CABECA 19  X 36 (3 1/4  X  9)</t>
    </r>
  </si>
  <si>
    <r>
      <rPr>
        <sz val="10"/>
        <rFont val="Arial MT"/>
        <family val="2"/>
      </rPr>
      <t xml:space="preserve">TABUA NAO APARELHADA *2,5 X 15* CM, EM MACARANDUBA/MASSARANDUBA, ANGELIM OU EQUIVALENTE DA REGIAO -
</t>
    </r>
    <r>
      <rPr>
        <sz val="10"/>
        <rFont val="Arial MT"/>
        <family val="2"/>
      </rPr>
      <t>BRUTA</t>
    </r>
  </si>
  <si>
    <r>
      <rPr>
        <sz val="10"/>
        <rFont val="Arial MT"/>
        <family val="2"/>
      </rPr>
      <t>DOBRADICA EM ACO/FERRO, 3" X 2 1/2", E= 1,9 A 2 MM, SEM ANEL, CROMADO OU ZINCADO, TAMPA BOLA, COM PARAFUSOS</t>
    </r>
  </si>
  <si>
    <r>
      <rPr>
        <sz val="10"/>
        <rFont val="Arial MT"/>
        <family val="2"/>
      </rPr>
      <t>PONTALETE *7,5 X 7,5* CM EM PINUS, MISTA OU EQUIVALENTE DA REGIAO - BRUTA</t>
    </r>
  </si>
  <si>
    <r>
      <rPr>
        <sz val="10"/>
        <rFont val="Arial MT"/>
        <family val="2"/>
      </rPr>
      <t>TELHA DE FIBROCIMENTO ONDULADA E = 4 MM, DE 2,44 X 0,50 M (SEM AMIANTO)</t>
    </r>
  </si>
  <si>
    <r>
      <rPr>
        <sz val="10"/>
        <rFont val="Arial MT"/>
        <family val="2"/>
      </rPr>
      <t>M²</t>
    </r>
  </si>
  <si>
    <r>
      <rPr>
        <sz val="10"/>
        <rFont val="Arial MT"/>
        <family val="2"/>
      </rPr>
      <t>=&gt;</t>
    </r>
  </si>
  <si>
    <r>
      <rPr>
        <b/>
        <sz val="11"/>
        <rFont val="Arial"/>
        <family val="2"/>
      </rPr>
      <t>1.1.9</t>
    </r>
  </si>
  <si>
    <r>
      <rPr>
        <sz val="10"/>
        <rFont val="Arial MT"/>
        <family val="2"/>
      </rPr>
      <t>CPU2530</t>
    </r>
  </si>
  <si>
    <r>
      <rPr>
        <sz val="10"/>
        <rFont val="Arial MT"/>
        <family val="2"/>
      </rPr>
      <t>REMOÇÃO DE ENTULHO SEPARADO DE OBRA COM CAÇAMBA METÁLICA - TERRA, ALVENARIA, CONCRETO, ARGAMASSA, MADEIRA, PAPEL, PLÁSTICO OU METAL</t>
    </r>
  </si>
  <si>
    <r>
      <rPr>
        <sz val="10"/>
        <rFont val="Arial MT"/>
        <family val="2"/>
      </rPr>
      <t xml:space="preserve">CANT - CANTEIRO
</t>
    </r>
    <r>
      <rPr>
        <sz val="10"/>
        <rFont val="Arial MT"/>
        <family val="2"/>
      </rPr>
      <t>DE OBRAS</t>
    </r>
  </si>
  <si>
    <r>
      <rPr>
        <sz val="10"/>
        <rFont val="Arial MT"/>
        <family val="2"/>
      </rPr>
      <t>m³</t>
    </r>
  </si>
  <si>
    <r>
      <rPr>
        <sz val="10"/>
        <rFont val="Arial MT"/>
        <family val="2"/>
      </rPr>
      <t xml:space="preserve">SEDI - SERVIÇOS
</t>
    </r>
    <r>
      <rPr>
        <sz val="10"/>
        <rFont val="Arial MT"/>
        <family val="2"/>
      </rPr>
      <t>DIVERSOS</t>
    </r>
  </si>
  <si>
    <r>
      <rPr>
        <sz val="10"/>
        <rFont val="Arial MT"/>
        <family val="2"/>
      </rPr>
      <t>A.05.000.020358</t>
    </r>
  </si>
  <si>
    <r>
      <rPr>
        <sz val="10"/>
        <rFont val="Arial MT"/>
        <family val="2"/>
      </rPr>
      <t xml:space="preserve">REMOÇÃO DE ENTULHO DE OBRA, TERRA, ALVENARIA, CONCRETO, ARGAMASSA, MADEIRA, PAPEL, PLÁSTICO, METAL,
</t>
    </r>
    <r>
      <rPr>
        <sz val="10"/>
        <rFont val="Arial MT"/>
        <family val="2"/>
      </rPr>
      <t>CAPACIDADE DE 4M³</t>
    </r>
  </si>
  <si>
    <r>
      <rPr>
        <sz val="10"/>
        <rFont val="Arial MT"/>
        <family val="2"/>
      </rPr>
      <t xml:space="preserve">MO sem LS
</t>
    </r>
    <r>
      <rPr>
        <sz val="10"/>
        <rFont val="Arial MT"/>
        <family val="2"/>
      </rPr>
      <t>=&gt;</t>
    </r>
  </si>
  <si>
    <r>
      <rPr>
        <sz val="10"/>
        <rFont val="Arial MT"/>
        <family val="2"/>
      </rPr>
      <t xml:space="preserve">Valor do BDI
</t>
    </r>
    <r>
      <rPr>
        <sz val="10"/>
        <rFont val="Arial MT"/>
        <family val="2"/>
      </rPr>
      <t>=&gt;</t>
    </r>
  </si>
  <si>
    <r>
      <rPr>
        <sz val="10"/>
        <rFont val="Arial MT"/>
        <family val="2"/>
      </rPr>
      <t xml:space="preserve">Valor com BDI
</t>
    </r>
    <r>
      <rPr>
        <sz val="10"/>
        <rFont val="Arial MT"/>
        <family val="2"/>
      </rPr>
      <t>=&gt;</t>
    </r>
  </si>
  <si>
    <r>
      <rPr>
        <b/>
        <sz val="11"/>
        <rFont val="Arial"/>
        <family val="2"/>
      </rPr>
      <t>1.3.1</t>
    </r>
  </si>
  <si>
    <r>
      <rPr>
        <sz val="10"/>
        <rFont val="Arial MT"/>
        <family val="2"/>
      </rPr>
      <t>CPU2531</t>
    </r>
  </si>
  <si>
    <r>
      <rPr>
        <sz val="10"/>
        <rFont val="Arial MT"/>
        <family val="2"/>
      </rPr>
      <t>MOBILIZACAO E DESMOBILIZACAO DE CANTEIRO</t>
    </r>
  </si>
  <si>
    <r>
      <rPr>
        <sz val="10"/>
        <rFont val="Arial MT"/>
        <family val="2"/>
      </rPr>
      <t>VIDRACEIRO COM ENCARGOS COMPLEMENTARES</t>
    </r>
  </si>
  <si>
    <r>
      <rPr>
        <sz val="10"/>
        <rFont val="Arial MT"/>
        <family val="2"/>
      </rPr>
      <t>CARPINTEIRO DE ESQUADRIA COM ENCARGOS COMPLEMENTARES</t>
    </r>
  </si>
  <si>
    <r>
      <rPr>
        <sz val="10"/>
        <rFont val="Arial MT"/>
        <family val="2"/>
      </rPr>
      <t>ENCANADOR OU BOMBEIRO HIDRÁULICO COM ENCARGOS COMPLEMENTARES</t>
    </r>
  </si>
  <si>
    <r>
      <rPr>
        <sz val="10"/>
        <rFont val="Arial MT"/>
        <family val="2"/>
      </rPr>
      <t>PINTOR COM ENCARGOS COMPLEMENTARES</t>
    </r>
  </si>
  <si>
    <r>
      <rPr>
        <sz val="10"/>
        <rFont val="Arial MT"/>
        <family val="2"/>
      </rPr>
      <t>MARCENEIRO COM ENCARGOS COMPLEMENTARES</t>
    </r>
  </si>
  <si>
    <r>
      <rPr>
        <sz val="10"/>
        <rFont val="Arial MT"/>
        <family val="2"/>
      </rPr>
      <t>Composição de Referência: SBC 012689.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</si>
  <si>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1.4.1</t>
    </r>
  </si>
  <si>
    <r>
      <rPr>
        <sz val="10"/>
        <rFont val="Arial MT"/>
        <family val="2"/>
      </rPr>
      <t>CPU1926</t>
    </r>
  </si>
  <si>
    <r>
      <rPr>
        <sz val="10"/>
        <rFont val="Arial MT"/>
        <family val="2"/>
      </rPr>
      <t xml:space="preserve">LOCACAO DE ANDAIME METALICO TIPO FACHADEIRO, PECAS COM APROXIMADAMENTE 1,20 M DE LARGURA E 2,0 M DE
</t>
    </r>
    <r>
      <rPr>
        <sz val="10"/>
        <rFont val="Arial MT"/>
        <family val="2"/>
      </rPr>
      <t>ALTURA, INCLUINDO DIAGONAIS EM X, BARRAS DE LIGACAO, SAPATAS E DEMAIS ITENS NECESSARIOS A MONTAGEM,</t>
    </r>
  </si>
  <si>
    <r>
      <rPr>
        <sz val="10"/>
        <rFont val="Arial MT"/>
        <family val="2"/>
      </rPr>
      <t xml:space="preserve">ASTU -
</t>
    </r>
    <r>
      <rPr>
        <sz val="10"/>
        <rFont val="Arial MT"/>
        <family val="2"/>
      </rPr>
      <t>ASSENTAME</t>
    </r>
  </si>
  <si>
    <r>
      <rPr>
        <sz val="10"/>
        <rFont val="Arial MT"/>
        <family val="2"/>
      </rPr>
      <t>M2XMÊS</t>
    </r>
  </si>
  <si>
    <r>
      <rPr>
        <sz val="10"/>
        <rFont val="Arial MT"/>
        <family val="2"/>
      </rPr>
      <t xml:space="preserve">MONTAGEM E DESMONTAGEM DE ANDAIME MODULAR FACHADEIRO, COM PISO METÁLICO, PARA EDIFÍCIOS COM
</t>
    </r>
    <r>
      <rPr>
        <sz val="10"/>
        <rFont val="Arial MT"/>
        <family val="2"/>
      </rPr>
      <t>MULTIPLOS PAVIMENTOS (EXCLUSIVE ANDAIME E LIMPEZA). AF_03/2024</t>
    </r>
  </si>
  <si>
    <r>
      <rPr>
        <sz val="10"/>
        <rFont val="Arial MT"/>
        <family val="2"/>
      </rPr>
      <t xml:space="preserve">LOCACAO DE ANDAIME METALICO TIPO FACHADEIRO, PECAS COM APROXIMADAMENTE 1,20 M DE LARGURA E 2,0 M DE
</t>
    </r>
    <r>
      <rPr>
        <sz val="10"/>
        <rFont val="Arial MT"/>
        <family val="2"/>
      </rPr>
      <t>ALTURA, INCLUINDO DIAGONAIS EM X, BARRAS DE LIGACAO, SAPATAS E DEMAIS ITENS NECESSARIOS A MONTAGEM (NAO</t>
    </r>
  </si>
  <si>
    <r>
      <rPr>
        <sz val="10"/>
        <rFont val="Arial MT"/>
        <family val="2"/>
      </rPr>
      <t>M2/MES</t>
    </r>
  </si>
  <si>
    <r>
      <rPr>
        <b/>
        <sz val="11"/>
        <rFont val="Arial"/>
        <family val="2"/>
      </rPr>
      <t>2.16</t>
    </r>
  </si>
  <si>
    <r>
      <rPr>
        <sz val="10"/>
        <rFont val="Arial MT"/>
        <family val="2"/>
      </rPr>
      <t>CPU2532</t>
    </r>
  </si>
  <si>
    <r>
      <rPr>
        <sz val="10"/>
        <rFont val="Arial MT"/>
        <family val="2"/>
      </rPr>
      <t>CONTROLE TECNOLOGICO DE CONCRETOS</t>
    </r>
  </si>
  <si>
    <r>
      <rPr>
        <sz val="10"/>
        <rFont val="Arial MT"/>
        <family val="2"/>
      </rPr>
      <t>ENCARREGADO GERAL COM ENCARGOS COMPLEMENTARES</t>
    </r>
  </si>
  <si>
    <r>
      <rPr>
        <sz val="10"/>
        <rFont val="Arial MT"/>
        <family val="2"/>
      </rPr>
      <t>ENGENHEIRO CIVIL PLENO COM ENCARGOS COMPLEMENTARES</t>
    </r>
  </si>
  <si>
    <r>
      <rPr>
        <sz val="10"/>
        <rFont val="Arial MT"/>
        <family val="2"/>
      </rPr>
      <t>SBC</t>
    </r>
  </si>
  <si>
    <r>
      <rPr>
        <sz val="10"/>
        <rFont val="Arial MT"/>
        <family val="2"/>
      </rPr>
      <t>ENSAIO - ENSAIO DE RESISTENCIA A COMPRESSAO SIMPLES - CONCRETO</t>
    </r>
  </si>
  <si>
    <r>
      <rPr>
        <b/>
        <sz val="11"/>
        <rFont val="Arial"/>
        <family val="2"/>
      </rPr>
      <t>3.1.5</t>
    </r>
  </si>
  <si>
    <r>
      <rPr>
        <sz val="10"/>
        <rFont val="Arial MT"/>
        <family val="2"/>
      </rPr>
      <t>CPU2284</t>
    </r>
  </si>
  <si>
    <r>
      <rPr>
        <sz val="10"/>
        <rFont val="Arial MT"/>
        <family val="2"/>
      </rPr>
      <t xml:space="preserve">CONCRETAGEM DE PILARES, FCK = 30 MPA, COM USO DE BOMBA - LANÇAMENTO, ADENSAMENTO E ACABAMENTO.
</t>
    </r>
    <r>
      <rPr>
        <sz val="10"/>
        <rFont val="Arial MT"/>
        <family val="2"/>
      </rPr>
      <t>AF_02/2022_PS</t>
    </r>
  </si>
  <si>
    <r>
      <rPr>
        <sz val="10"/>
        <rFont val="Arial MT"/>
        <family val="2"/>
      </rPr>
      <t xml:space="preserve">VIBRADOR DE IMERSÃO, DIÂMETRO DE PONTEIRA 45MM, MOTOR ELÉTRICO TRIFÁSICO POTÊNCIA DE 2 CV - CHI DIURNO.
</t>
    </r>
    <r>
      <rPr>
        <sz val="10"/>
        <rFont val="Arial MT"/>
        <family val="2"/>
      </rPr>
      <t>AF_06/2015</t>
    </r>
  </si>
  <si>
    <r>
      <rPr>
        <sz val="10"/>
        <rFont val="Arial MT"/>
        <family val="2"/>
      </rPr>
      <t xml:space="preserve">CHOR -
</t>
    </r>
    <r>
      <rPr>
        <sz val="10"/>
        <rFont val="Arial MT"/>
        <family val="2"/>
      </rPr>
      <t>CUSTOS</t>
    </r>
  </si>
  <si>
    <r>
      <rPr>
        <sz val="10"/>
        <rFont val="Arial MT"/>
        <family val="2"/>
      </rPr>
      <t>CHI</t>
    </r>
  </si>
  <si>
    <r>
      <rPr>
        <sz val="10"/>
        <rFont val="Arial MT"/>
        <family val="2"/>
      </rPr>
      <t>SEDI -</t>
    </r>
  </si>
  <si>
    <r>
      <rPr>
        <sz val="10"/>
        <rFont val="Arial MT"/>
        <family val="2"/>
      </rPr>
      <t>VIBRADOR DE IMERSÃO, DIÂMETRO DE PONTEIRA 45MM, MOTOR ELÉTRICO TRIFÁSICO POTÊNCIA DE 2 CV - CHP DIURNO.</t>
    </r>
  </si>
  <si>
    <r>
      <rPr>
        <sz val="10"/>
        <rFont val="Arial MT"/>
        <family val="2"/>
      </rPr>
      <t>CHOR -</t>
    </r>
  </si>
  <si>
    <r>
      <rPr>
        <sz val="10"/>
        <rFont val="Arial MT"/>
        <family val="2"/>
      </rPr>
      <t>CHP</t>
    </r>
  </si>
  <si>
    <r>
      <rPr>
        <sz val="10"/>
        <rFont val="Arial MT"/>
        <family val="2"/>
      </rPr>
      <t>PEDREIRO COM ENCARGOS COMPLEMENTARES</t>
    </r>
  </si>
  <si>
    <r>
      <rPr>
        <sz val="10"/>
        <rFont val="Arial MT"/>
        <family val="2"/>
      </rPr>
      <t>CONCRETO USINADO BOMBEAVEL, CLASSE DE RESISTENCIA C30, BRITA 0 E 1, SLUMP = 100 +/- 20 MM, COM BOMBEAMENTO</t>
    </r>
  </si>
  <si>
    <r>
      <rPr>
        <sz val="10"/>
        <rFont val="Arial MT"/>
        <family val="2"/>
      </rPr>
      <t>M³</t>
    </r>
  </si>
  <si>
    <r>
      <rPr>
        <b/>
        <sz val="11"/>
        <rFont val="Arial"/>
        <family val="2"/>
      </rPr>
      <t>3.2.8</t>
    </r>
  </si>
  <si>
    <r>
      <rPr>
        <sz val="10"/>
        <rFont val="Arial MT"/>
        <family val="2"/>
      </rPr>
      <t>CPU2283</t>
    </r>
  </si>
  <si>
    <r>
      <rPr>
        <sz val="10"/>
        <rFont val="Arial MT"/>
        <family val="2"/>
      </rPr>
      <t>CONCRETAGEM DE VIGAS E LAJES, FCK=30 MPA, PARA LAJES MACIÇAS OU NERVURADAS COM USO DE BOMBA -</t>
    </r>
  </si>
  <si>
    <r>
      <rPr>
        <sz val="10"/>
        <rFont val="Arial MT"/>
        <family val="2"/>
      </rPr>
      <t>FUES -</t>
    </r>
  </si>
  <si>
    <r>
      <rPr>
        <sz val="10"/>
        <rFont val="Arial MT"/>
        <family val="2"/>
      </rPr>
      <t>VIBRADOR DE IMERSÃO, DIÂMETRO DE PONTEIRA 45MM, MOTOR ELÉTRICO TRIFÁSICO POTÊNCIA DE 2 CV - CHI DIURNO.</t>
    </r>
  </si>
  <si>
    <r>
      <rPr>
        <b/>
        <sz val="11"/>
        <rFont val="Arial"/>
        <family val="2"/>
      </rPr>
      <t>3.3.8</t>
    </r>
  </si>
  <si>
    <r>
      <rPr>
        <sz val="10"/>
        <rFont val="Arial MT"/>
        <family val="2"/>
      </rPr>
      <t>CPU2100</t>
    </r>
  </si>
  <si>
    <r>
      <rPr>
        <sz val="10"/>
        <rFont val="Arial MT"/>
        <family val="2"/>
      </rPr>
      <t>Laje pré-fabricada unidirecional em viga treliçada/lajota em EPS LT 16 (12 + 4), exceto capa de concreto</t>
    </r>
  </si>
  <si>
    <r>
      <rPr>
        <sz val="10"/>
        <rFont val="Arial MT"/>
        <family val="2"/>
      </rPr>
      <t>C.06.000.022012</t>
    </r>
  </si>
  <si>
    <r>
      <rPr>
        <sz val="10"/>
        <rFont val="Arial MT"/>
        <family val="2"/>
      </rPr>
      <t>LAJE PRÉ-FABRICADA UNIDIRECIONAL EM VIGA TRELIÇADA/LAJOTA EM EPS LT 16 (12 + 4) - SC = 300KGF/M²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</si>
  <si>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 13.01.320. Exclusão dos insumos referentes à capa de concreto, os quais estão considerados em outro item da planilha, para atender às especificações do projeto.</t>
    </r>
  </si>
  <si>
    <r>
      <rPr>
        <b/>
        <sz val="11"/>
        <rFont val="Arial"/>
        <family val="2"/>
      </rPr>
      <t>3.3.9</t>
    </r>
  </si>
  <si>
    <r>
      <rPr>
        <sz val="10"/>
        <rFont val="Arial MT"/>
        <family val="2"/>
      </rPr>
      <t>CPU2534</t>
    </r>
  </si>
  <si>
    <r>
      <rPr>
        <sz val="10"/>
        <rFont val="Arial MT"/>
        <family val="2"/>
      </rPr>
      <t>FORNECIMENTO E INSTALAÇÃO DE TELA AÇO SOLDADA NERVURADA CA-60, MALHA 20X20CM,FERRO 3.4MM, PAINEL 2X3M,</t>
    </r>
  </si>
  <si>
    <r>
      <rPr>
        <sz val="10"/>
        <rFont val="Arial MT"/>
        <family val="2"/>
      </rPr>
      <t>ARMADOR COM ENCARGOS COMPLEMENTARES</t>
    </r>
  </si>
  <si>
    <r>
      <rPr>
        <sz val="10"/>
        <rFont val="Arial MT"/>
        <family val="2"/>
      </rPr>
      <t>ORSE</t>
    </r>
  </si>
  <si>
    <r>
      <rPr>
        <sz val="10"/>
        <rFont val="Arial MT"/>
        <family val="2"/>
      </rPr>
      <t>Tela aço soldada nervurada CA-60, malha 20x20cm, ferro 3.4mm, painel 2x3m, (0,72kg/m²), Malha Pop Leve Gerdau ou similar</t>
    </r>
  </si>
  <si>
    <r>
      <rPr>
        <b/>
        <sz val="11"/>
        <rFont val="Arial"/>
        <family val="2"/>
      </rPr>
      <t>4.1.2</t>
    </r>
  </si>
  <si>
    <r>
      <rPr>
        <sz val="10"/>
        <rFont val="Arial MT"/>
        <family val="2"/>
      </rPr>
      <t>CPU2535</t>
    </r>
  </si>
  <si>
    <r>
      <rPr>
        <sz val="10"/>
        <rFont val="Arial MT"/>
        <family val="2"/>
      </rPr>
      <t>COBOGO DE CIMENTO (ELEMENTO VAZADO, CIRCULAR), 30 X 30 X 5CM, ASSENTADO COM ARGAMASSA DE CIMENTO E AREIA</t>
    </r>
  </si>
  <si>
    <r>
      <rPr>
        <sz val="10"/>
        <rFont val="Arial MT"/>
        <family val="2"/>
      </rPr>
      <t>PARE -</t>
    </r>
  </si>
  <si>
    <r>
      <rPr>
        <sz val="10"/>
        <rFont val="Arial MT"/>
        <family val="2"/>
      </rPr>
      <t>Cobogo cimento, (elemento vazado,circular), 30 x 30 x 5cm</t>
    </r>
  </si>
  <si>
    <r>
      <rPr>
        <sz val="10"/>
        <rFont val="Arial MT"/>
        <family val="2"/>
      </rPr>
      <t>un</t>
    </r>
  </si>
  <si>
    <r>
      <rPr>
        <sz val="10"/>
        <rFont val="Arial MT"/>
        <family val="2"/>
      </rPr>
      <t>AREIA GROSSA - POSTO JAZIDA/FORNECEDOR (RETIRADO NA JAZIDA, SEM TRANSPORTE)</t>
    </r>
  </si>
  <si>
    <r>
      <rPr>
        <sz val="10"/>
        <rFont val="Arial MT"/>
        <family val="2"/>
      </rPr>
      <t>CIMENTO PORTLAND COMPOSTO CP II-32</t>
    </r>
  </si>
  <si>
    <r>
      <rPr>
        <b/>
        <sz val="11"/>
        <rFont val="Arial"/>
        <family val="2"/>
      </rPr>
      <t>4.2.1</t>
    </r>
  </si>
  <si>
    <r>
      <rPr>
        <sz val="10"/>
        <rFont val="Arial MT"/>
        <family val="2"/>
      </rPr>
      <t>CPU1942</t>
    </r>
  </si>
  <si>
    <r>
      <rPr>
        <sz val="10"/>
        <rFont val="Arial MT"/>
        <family val="2"/>
      </rPr>
      <t>PAREDE COM SISTEMA EM CHAPAS DE GESSO RU PARA DRYWALL, USO INTERNO, COM DUAS FACES SIMPLES E</t>
    </r>
  </si>
  <si>
    <r>
      <rPr>
        <sz val="10"/>
        <rFont val="Arial MT"/>
        <family val="2"/>
      </rPr>
      <t>MONTADOR DE ESTRUTURA METÁLICA COM ENCARGOS COMPLEMENTARES</t>
    </r>
  </si>
  <si>
    <r>
      <rPr>
        <sz val="10"/>
        <rFont val="Arial MT"/>
        <family val="2"/>
      </rPr>
      <t>PERFIL GUIA, FORMATO U, EM ACO ZINCADO, PARA ESTRUTURA PAREDE DRYWALL, E = 0,5 MM, 70 X 3000 MM (L X C)</t>
    </r>
  </si>
  <si>
    <r>
      <rPr>
        <sz val="10"/>
        <rFont val="Arial MT"/>
        <family val="2"/>
      </rPr>
      <t>PERFIL MONTANTE, FORMATO C, EM ACO ZINCADO, PARA ESTRUTURA PAREDE DRYWALL, E = 0,5 MM, 70 X 3000 MM (L X C)</t>
    </r>
  </si>
  <si>
    <r>
      <rPr>
        <sz val="10"/>
        <rFont val="Arial MT"/>
        <family val="2"/>
      </rPr>
      <t>FITA DE PAPEL REFORCADA COM LAMINA DE METAL PARA REFORCO DE CANTOS DE CHAPA DE GESSO PARA DRYWALL</t>
    </r>
  </si>
  <si>
    <r>
      <rPr>
        <sz val="10"/>
        <rFont val="Arial MT"/>
        <family val="2"/>
      </rPr>
      <t>PINO DE ACO COM ARRUELA CONICA, DIAMETRO ARRUELA = *23* MM E COMP HASTE = *27* MM (ACAO INDIRETA)</t>
    </r>
  </si>
  <si>
    <r>
      <rPr>
        <sz val="10"/>
        <rFont val="Arial MT"/>
        <family val="2"/>
      </rPr>
      <t>CENTO</t>
    </r>
  </si>
  <si>
    <r>
      <rPr>
        <sz val="10"/>
        <rFont val="Arial MT"/>
        <family val="2"/>
      </rPr>
      <t>PARAFUSO DRY WALL, EM ACO ZINCADO, CABECA LENTILHA E PONTA BROCA (LB), LARGURA 4,2 MM, COMPRIMENTO 13 MM</t>
    </r>
  </si>
  <si>
    <r>
      <rPr>
        <sz val="10"/>
        <rFont val="Arial MT"/>
        <family val="2"/>
      </rPr>
      <t>PLACA / CHAPA DE GESSO ACARTONADO, RESISTENTE A UMIDADE (RU), COR VERDE, E = 12,5 MM, 1200 X 2400 MM (L X C)</t>
    </r>
  </si>
  <si>
    <r>
      <rPr>
        <sz val="10"/>
        <rFont val="Arial MT"/>
        <family val="2"/>
      </rPr>
      <t>PARAFUSO DRY WALL, EM ACO FOSFATIZADO, CABECA TROMBETA E PONTA AGULHA (TA), COMPRIMENTO 25 MM</t>
    </r>
  </si>
  <si>
    <r>
      <rPr>
        <sz val="10"/>
        <rFont val="Arial MT"/>
        <family val="2"/>
      </rPr>
      <t>FITA DE PAPEL MICROPERFURADO, 50 X 150 MM, PARA TRATAMENTO DE JUNTAS DE CHAPA DE GESSO PARA DRYWALL</t>
    </r>
  </si>
  <si>
    <r>
      <rPr>
        <sz val="10"/>
        <rFont val="Arial MT"/>
        <family val="2"/>
      </rPr>
      <t>MASSA DE REJUNTE EM PO PARA DRYWALL, A BASE DE GESSO, SECAGEM RAPIDA, PARA TRATAMENTO DE JUNTAS DE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</si>
  <si>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SINAPI 96359. Substituição do insumo de chapa de gesso ST 00039413 SINAPI pelo insumo de chapa resistente à umidade 00039417 SINAPI</t>
    </r>
  </si>
  <si>
    <r>
      <rPr>
        <b/>
        <sz val="11"/>
        <rFont val="Arial"/>
        <family val="2"/>
      </rPr>
      <t>4.2.2</t>
    </r>
  </si>
  <si>
    <r>
      <rPr>
        <sz val="10"/>
        <rFont val="Arial MT"/>
        <family val="2"/>
      </rPr>
      <t>CPU2286</t>
    </r>
  </si>
  <si>
    <r>
      <rPr>
        <sz val="10"/>
        <rFont val="Arial MT"/>
        <family val="2"/>
      </rPr>
      <t>PAREDE COM SISTEMA EM CHAPAS DE GESSO RU PARA DRYWALL COM ISOLAMENTO ACUSTICO, USO INTERNO, COM DUAS</t>
    </r>
  </si>
  <si>
    <r>
      <rPr>
        <sz val="10"/>
        <rFont val="Arial MT"/>
        <family val="2"/>
      </rPr>
      <t>Isolamento acústico c/ painel  em lã de vidro e = 50mm (isover-santa marina ref psi - 30/50mm ou similar)</t>
    </r>
  </si>
  <si>
    <r>
      <rPr>
        <sz val="10"/>
        <rFont val="Arial MT"/>
        <family val="2"/>
      </rPr>
      <t>Isolamento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</si>
  <si>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SINAPI 96359. Substituição do insumo de chapa de gesso ST 00039413 SINAPI pelo insumo de chapa resistente à umidade 00039417 SINAPI e acrescentado a composição ORSE 1979 referente ao isolamento acustico.</t>
    </r>
  </si>
  <si>
    <r>
      <rPr>
        <b/>
        <sz val="11"/>
        <rFont val="Arial"/>
        <family val="2"/>
      </rPr>
      <t>4.2.3</t>
    </r>
  </si>
  <si>
    <r>
      <rPr>
        <sz val="10"/>
        <rFont val="Arial MT"/>
        <family val="2"/>
      </rPr>
      <t>CPU2520</t>
    </r>
  </si>
  <si>
    <r>
      <rPr>
        <sz val="10"/>
        <rFont val="Arial MT"/>
        <family val="2"/>
      </rPr>
      <t>PARAFUSO DRY WALL, EM ACO FOSFATIZADO, CABECA TROMBETA E PONTA AGULHA (TA), COMPRIMENTO 45 MM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</si>
  <si>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SINAPI 96369. Substituição do insumo de chapa de gesso ST 00039413 SINAPI pelo insumo de chapa resistente à umidade 00039417 SINAPI e acrescentado a composição ORSE 1979 referente ao isolamento acustico.</t>
    </r>
  </si>
  <si>
    <r>
      <rPr>
        <b/>
        <sz val="11"/>
        <rFont val="Arial"/>
        <family val="2"/>
      </rPr>
      <t>4.2.4</t>
    </r>
  </si>
  <si>
    <r>
      <rPr>
        <sz val="10"/>
        <rFont val="Arial MT"/>
        <family val="2"/>
      </rPr>
      <t>CPU2522</t>
    </r>
  </si>
  <si>
    <r>
      <rPr>
        <sz val="10"/>
        <rFont val="Arial MT"/>
        <family val="2"/>
      </rPr>
      <t>PAREDE COM SISTEMA EM CHAPAS DE GESSO ST PARA DRYWALL COM ISOLAMENTO ACUSTICO, USO INTERNO, COM DUAS</t>
    </r>
  </si>
  <si>
    <r>
      <rPr>
        <sz val="10"/>
        <rFont val="Arial MT"/>
        <family val="2"/>
      </rPr>
      <t>PLACA / CHAPA DE GESSO ACARTONADO, STANDARD (ST), COR BRANCA, E = 12,5 MM, 1200 X 2400 MM (L X C)</t>
    </r>
  </si>
  <si>
    <r>
      <rPr>
        <b/>
        <sz val="11"/>
        <rFont val="Arial"/>
        <family val="2"/>
      </rPr>
      <t>7.1.1.3</t>
    </r>
  </si>
  <si>
    <r>
      <rPr>
        <sz val="10"/>
        <rFont val="Arial MT"/>
        <family val="2"/>
      </rPr>
      <t>CPU2536</t>
    </r>
  </si>
  <si>
    <r>
      <rPr>
        <sz val="10"/>
        <rFont val="Arial MT"/>
        <family val="2"/>
      </rPr>
      <t>PORTA COMPLETA MADEIRA 2,20m CORRER COM FERRAGENS</t>
    </r>
  </si>
  <si>
    <r>
      <rPr>
        <sz val="10"/>
        <rFont val="Arial MT"/>
        <family val="2"/>
      </rPr>
      <t>ESQV -</t>
    </r>
  </si>
  <si>
    <r>
      <rPr>
        <sz val="10"/>
        <rFont val="Arial MT"/>
        <family val="2"/>
      </rPr>
      <t>PREGO DE ACO POLIDO SEM CABECA 15 X 15 (1 1/4 X 13)</t>
    </r>
  </si>
  <si>
    <r>
      <rPr>
        <sz val="10"/>
        <rFont val="Arial MT"/>
        <family val="2"/>
      </rPr>
      <t>TACO FIXACAO 5x10cm MADEIRA DE LEI</t>
    </r>
  </si>
  <si>
    <r>
      <rPr>
        <sz val="10"/>
        <rFont val="Arial MT"/>
        <family val="2"/>
      </rPr>
      <t>CIMENTO PORTLAND DE ALTO FORNO (AF) CP III-40</t>
    </r>
  </si>
  <si>
    <r>
      <rPr>
        <sz val="10"/>
        <rFont val="Arial MT"/>
        <family val="2"/>
      </rPr>
      <t>TRILHO METALICO E ROLDANAS PARA ESQUADRIA DE CORRER 1,80m</t>
    </r>
  </si>
  <si>
    <r>
      <rPr>
        <sz val="10"/>
        <rFont val="Arial MT"/>
        <family val="2"/>
      </rPr>
      <t>PORTA DE ABRIR / GIRO, DE MADEIRA FOLHA MEDIA (NBR 15930) DE 800 X 2100 MM, DE 35 MM A 40 MM DE ESPESSURA,</t>
    </r>
  </si>
  <si>
    <r>
      <rPr>
        <sz val="10"/>
        <rFont val="Arial MT"/>
        <family val="2"/>
      </rPr>
      <t>PERFIL EM ALUMINIO, FORMATO U, ABAS IGUAIS, LARGURA DE 12,70 MM (1/2 POL), ESPESSURA 1,58 MM (1/16 POL) E PESO</t>
    </r>
  </si>
  <si>
    <r>
      <rPr>
        <sz val="10"/>
        <rFont val="Arial MT"/>
        <family val="2"/>
      </rPr>
      <t>AREIA MEDIA - POSTO JAZIDA/FORNECEDOR (RETIRADO NA JAZIDA, SEM TRANSPORTE)</t>
    </r>
  </si>
  <si>
    <r>
      <rPr>
        <sz val="10"/>
        <rFont val="Arial MT"/>
        <family val="2"/>
      </rPr>
      <t>FECHADURA 892 ESCOVADA EXTERNA COM ROSETA LA FONTE</t>
    </r>
  </si>
  <si>
    <r>
      <rPr>
        <sz val="10"/>
        <rFont val="Arial MT"/>
        <family val="2"/>
      </rPr>
      <t>RODIZIO DE SILICONE INCOLOR COM CHAPA SEM FREIO 50mm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</si>
  <si>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110805.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</si>
  <si>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7.2.1.1</t>
    </r>
  </si>
  <si>
    <r>
      <rPr>
        <sz val="10"/>
        <rFont val="Arial MT"/>
        <family val="2"/>
      </rPr>
      <t>CPU2537</t>
    </r>
  </si>
  <si>
    <r>
      <rPr>
        <sz val="10"/>
        <rFont val="Arial MT"/>
        <family val="2"/>
      </rPr>
      <t>PORTA VENEZIANA DE ABRIR EM ALUMÍNIO, SOB MEDIDA</t>
    </r>
  </si>
  <si>
    <r>
      <rPr>
        <sz val="10"/>
        <rFont val="Arial MT"/>
        <family val="2"/>
      </rPr>
      <t>H.05.000.031120</t>
    </r>
  </si>
  <si>
    <r>
      <rPr>
        <sz val="10"/>
        <rFont val="Arial MT"/>
        <family val="2"/>
      </rPr>
      <t>PORTA EM ALUMÍNIO ANODIZADO FOSCO L 30, TIPO VENEZIANA DE GIRO, COMPLETA COM BATENTE E FERRAGEM, SOB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</si>
  <si>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25.02.110.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</si>
  <si>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7.2.1.2</t>
    </r>
  </si>
  <si>
    <r>
      <rPr>
        <sz val="10"/>
        <rFont val="Arial MT"/>
        <family val="2"/>
      </rPr>
      <t>CPU2538</t>
    </r>
  </si>
  <si>
    <r>
      <rPr>
        <sz val="10"/>
        <rFont val="Arial MT"/>
        <family val="2"/>
      </rPr>
      <t>PORTA DE ABRIR EM TELA ONDULADA DE AÇO GALVANIZADO, COMPLETA</t>
    </r>
  </si>
  <si>
    <r>
      <rPr>
        <sz val="10"/>
        <rFont val="Arial MT"/>
        <family val="2"/>
      </rPr>
      <t>H.04.000.031272</t>
    </r>
  </si>
  <si>
    <r>
      <rPr>
        <sz val="10"/>
        <rFont val="Arial MT"/>
        <family val="2"/>
      </rPr>
      <t>PORTA DE ABRIR EM TELA DE AÇO GALVANIZADO, ONDULADA DE 1´ FIO 12, SOB MEDIDA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</si>
  <si>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24.02.460.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</si>
  <si>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7.2.1.3</t>
    </r>
  </si>
  <si>
    <r>
      <rPr>
        <sz val="10"/>
        <rFont val="Arial MT"/>
        <family val="2"/>
      </rPr>
      <t>CPU2541</t>
    </r>
  </si>
  <si>
    <r>
      <rPr>
        <sz val="10"/>
        <rFont val="Arial MT"/>
        <family val="2"/>
      </rPr>
      <t>PORTA ALUMINIO ANODIZADO NATURAL 1 FOLHA DE ABRIR</t>
    </r>
  </si>
  <si>
    <r>
      <rPr>
        <sz val="10"/>
        <rFont val="Arial MT"/>
        <family val="2"/>
      </rPr>
      <t>AUXILIAR DE SERRALHEIRO COM ENCARGOS COMPLEMENTARES</t>
    </r>
  </si>
  <si>
    <r>
      <rPr>
        <sz val="10"/>
        <rFont val="Arial MT"/>
        <family val="2"/>
      </rPr>
      <t>SERRALHEIRO COM ENCARGOS COMPLEMENTARES</t>
    </r>
  </si>
  <si>
    <r>
      <rPr>
        <sz val="10"/>
        <rFont val="Arial MT"/>
        <family val="2"/>
      </rPr>
      <t>PORTA 1 FOLHA LAMBRIL ALUMINIO NATURAL LINHA 25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</si>
  <si>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112370.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</si>
  <si>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7.2.1.4</t>
    </r>
  </si>
  <si>
    <r>
      <rPr>
        <sz val="10"/>
        <rFont val="Arial MT"/>
        <family val="2"/>
      </rPr>
      <t>CPU2543</t>
    </r>
  </si>
  <si>
    <r>
      <rPr>
        <sz val="10"/>
        <rFont val="Arial MT"/>
        <family val="2"/>
      </rPr>
      <t>PORTAO DE CORRER EM ALUMINIO PINTURA ELETROSTATICA BRANCA</t>
    </r>
  </si>
  <si>
    <r>
      <rPr>
        <sz val="10"/>
        <rFont val="Arial MT"/>
        <family val="2"/>
      </rPr>
      <t>SISTEMA DE PORTA DE CORRER 1 FOLHA 135 4 RODAS COM TRILHO</t>
    </r>
  </si>
  <si>
    <r>
      <rPr>
        <sz val="10"/>
        <rFont val="Arial MT"/>
        <family val="2"/>
      </rPr>
      <t>MO sem LS                                                   LS =&gt;                   0,00      MO com LS =&gt;</t>
    </r>
  </si>
  <si>
    <r>
      <rPr>
        <sz val="10"/>
        <rFont val="Arial MT"/>
        <family val="2"/>
      </rPr>
      <t xml:space="preserve">Valor do BDI                                                              Valor com BDI
</t>
    </r>
    <r>
      <rPr>
        <b/>
        <sz val="10"/>
        <rFont val="Arial"/>
        <family val="2"/>
      </rPr>
      <t>Observação</t>
    </r>
  </si>
  <si>
    <r>
      <rPr>
        <sz val="10"/>
        <rFont val="Arial MT"/>
        <family val="2"/>
      </rPr>
      <t>Composição de Referência: SBC 112618.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</si>
  <si>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7.2.1.5</t>
    </r>
  </si>
  <si>
    <r>
      <rPr>
        <sz val="10"/>
        <rFont val="Arial MT"/>
        <family val="2"/>
      </rPr>
      <t>CPU2686</t>
    </r>
  </si>
  <si>
    <r>
      <rPr>
        <sz val="10"/>
        <rFont val="Arial MT"/>
        <family val="2"/>
      </rPr>
      <t>PORTA DE ALUMÍNIO ANODIZADO COM VIDRO, 3 FOLHAS, ABERTURA DE CORRER</t>
    </r>
  </si>
  <si>
    <r>
      <rPr>
        <sz val="10"/>
        <rFont val="Arial MT"/>
        <family val="2"/>
      </rPr>
      <t>EMOP</t>
    </r>
  </si>
  <si>
    <r>
      <rPr>
        <sz val="10"/>
        <rFont val="Arial MT"/>
        <family val="2"/>
      </rPr>
      <t>ALUMINIO EM PERFIL TUBULAR EXTRUDADO, LI GA COMUM</t>
    </r>
  </si>
  <si>
    <r>
      <rPr>
        <b/>
        <sz val="11"/>
        <rFont val="Arial"/>
        <family val="2"/>
      </rPr>
      <t>7.3.1.1</t>
    </r>
  </si>
  <si>
    <r>
      <rPr>
        <sz val="10"/>
        <rFont val="Arial MT"/>
        <family val="2"/>
      </rPr>
      <t>CPU2544</t>
    </r>
  </si>
  <si>
    <r>
      <rPr>
        <sz val="10"/>
        <rFont val="Arial MT"/>
        <family val="2"/>
      </rPr>
      <t>PORTA CORTA FOGO, DE ABRIR, 02 FOLHAS, EM CHAPA DE AÇO GALVANIZADO Nº24, BATENTE EM CHAPA Nº18, CLASSE 90,</t>
    </r>
  </si>
  <si>
    <r>
      <rPr>
        <sz val="10"/>
        <rFont val="Arial MT"/>
        <family val="2"/>
      </rPr>
      <t>Porta corta fogo, duas folhas, abrir, classe P90, da DKS ou similar - inclusive batente</t>
    </r>
  </si>
  <si>
    <r>
      <rPr>
        <sz val="10"/>
        <rFont val="Arial MT"/>
        <family val="2"/>
      </rPr>
      <t>PEDRA BRITADA N. 1 (9,5 A 19 MM) POSTO PEDREIRA/FORNECEDOR, SEM FRETE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</si>
  <si>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12098.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</si>
  <si>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7.4.1</t>
    </r>
  </si>
  <si>
    <r>
      <rPr>
        <sz val="10"/>
        <rFont val="Arial MT"/>
        <family val="2"/>
      </rPr>
      <t>CPU2545</t>
    </r>
  </si>
  <si>
    <r>
      <rPr>
        <sz val="10"/>
        <rFont val="Arial MT"/>
        <family val="2"/>
      </rPr>
      <t>PUXADOR DUPLO EM AÇO INOXIDÁVEL, PARA PORTA DE MADEIRA, ALUMÍNIO OU VIDRO, DE 350 MM</t>
    </r>
  </si>
  <si>
    <r>
      <rPr>
        <sz val="10"/>
        <rFont val="Arial MT"/>
        <family val="2"/>
      </rPr>
      <t>H.08.000.031658</t>
    </r>
  </si>
  <si>
    <r>
      <rPr>
        <sz val="10"/>
        <rFont val="Arial MT"/>
        <family val="2"/>
      </rPr>
      <t>PUXADOR DUPLO PARA PORTA DE MADEIRA, ALUMÍNIO OU VIDRO, REF. DORMA MANET DE 350MM DA DORMA OU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</si>
  <si>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28.20.650.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</si>
  <si>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7.4.2</t>
    </r>
  </si>
  <si>
    <r>
      <rPr>
        <sz val="10"/>
        <rFont val="Arial MT"/>
        <family val="2"/>
      </rPr>
      <t>CPU2547</t>
    </r>
  </si>
  <si>
    <r>
      <rPr>
        <sz val="10"/>
        <rFont val="Arial MT"/>
        <family val="2"/>
      </rPr>
      <t>ALIZAR ALUMINIO PINTURA ELETROSTATICA BRANCA</t>
    </r>
  </si>
  <si>
    <r>
      <rPr>
        <sz val="10"/>
        <rFont val="Arial MT"/>
        <family val="2"/>
      </rPr>
      <t>ALIZAR/ PERFIL ARREMATE M18 18mm BRANCO TEXTURIZADO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</si>
  <si>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112597.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</si>
  <si>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7.4.3</t>
    </r>
  </si>
  <si>
    <r>
      <rPr>
        <sz val="10"/>
        <rFont val="Arial MT"/>
        <family val="2"/>
      </rPr>
      <t>CPU2548</t>
    </r>
  </si>
  <si>
    <r>
      <rPr>
        <sz val="10"/>
        <rFont val="Arial MT"/>
        <family val="2"/>
      </rPr>
      <t>MOLA AEREA COM CALHA/BRACO DESLIZANTE</t>
    </r>
  </si>
  <si>
    <r>
      <rPr>
        <sz val="10"/>
        <rFont val="Arial MT"/>
        <family val="2"/>
      </rPr>
      <t>MOLA AEREA UD94 COM CALHA/BRACO DESLIZANTE UDINESE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</si>
  <si>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140560.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</si>
  <si>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7.4.4</t>
    </r>
  </si>
  <si>
    <r>
      <rPr>
        <sz val="10"/>
        <rFont val="Arial MT"/>
        <family val="2"/>
      </rPr>
      <t>CPU2549</t>
    </r>
  </si>
  <si>
    <r>
      <rPr>
        <sz val="10"/>
        <rFont val="Arial MT"/>
        <family val="2"/>
      </rPr>
      <t>FECHADURA COM MAÇANETA TIPO ALAVANCA EM AÇO INOXIDÁVEL, PARA PORTA EXTERNA</t>
    </r>
  </si>
  <si>
    <r>
      <rPr>
        <sz val="10"/>
        <rFont val="Arial MT"/>
        <family val="2"/>
      </rPr>
      <t>H.08.000.035019</t>
    </r>
  </si>
  <si>
    <r>
      <rPr>
        <sz val="10"/>
        <rFont val="Arial MT"/>
        <family val="2"/>
      </rPr>
      <t>FECHADURA COM MAÇANETA TIPO ALAVANCA EM AÇO INOXIDÁVEL E ROZETA, REF. VICTÓRIA ECOINOX 882 IXE EXTERNA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</si>
  <si>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28.01.550.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</si>
  <si>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7.4.5</t>
    </r>
  </si>
  <si>
    <r>
      <rPr>
        <sz val="10"/>
        <rFont val="Arial MT"/>
        <family val="2"/>
      </rPr>
      <t>CPU2550</t>
    </r>
  </si>
  <si>
    <r>
      <rPr>
        <sz val="10"/>
        <rFont val="Arial MT"/>
        <family val="2"/>
      </rPr>
      <t>GUICHE COM REQUADRO EM MADEIRA DE LEI - VASADO</t>
    </r>
  </si>
  <si>
    <r>
      <rPr>
        <sz val="10"/>
        <rFont val="Arial MT"/>
        <family val="2"/>
      </rPr>
      <t>PREGO FERRO GALVANIZADO 16x24 (285 un/kg)</t>
    </r>
  </si>
  <si>
    <r>
      <rPr>
        <sz val="10"/>
        <rFont val="Arial MT"/>
        <family val="2"/>
      </rPr>
      <t>ADUELA/MARCO/BATENTE MADEIRA 3,5x14cm P/PINTURA</t>
    </r>
  </si>
  <si>
    <r>
      <rPr>
        <sz val="10"/>
        <rFont val="Arial MT"/>
        <family val="2"/>
      </rPr>
      <t>ALIZAR/MOLDURA MADEIRA DE LEI 1,5x4,5cm PARA PINTURA</t>
    </r>
  </si>
  <si>
    <r>
      <rPr>
        <sz val="10"/>
        <rFont val="Arial MT"/>
        <family val="2"/>
      </rPr>
      <t>TACO DE MADEIRA PARA FIXACAO DE ESQUADRIAS/CAIXILHOS</t>
    </r>
  </si>
  <si>
    <r>
      <rPr>
        <b/>
        <sz val="11"/>
        <rFont val="Arial"/>
        <family val="2"/>
      </rPr>
      <t>7.4.7</t>
    </r>
  </si>
  <si>
    <r>
      <rPr>
        <sz val="10"/>
        <rFont val="Arial MT"/>
        <family val="2"/>
      </rPr>
      <t>CPU2551</t>
    </r>
  </si>
  <si>
    <r>
      <rPr>
        <sz val="10"/>
        <rFont val="Arial MT"/>
        <family val="2"/>
      </rPr>
      <t>FERRAGENS PARA MÓDULO DE JANELA DE ALUMÍNIO MÁXIM AR, INCLUSIVE FECHO E BRAÇO, FORNECIMENTO E</t>
    </r>
  </si>
  <si>
    <r>
      <rPr>
        <sz val="10"/>
        <rFont val="Arial MT"/>
        <family val="2"/>
      </rPr>
      <t>MATED-29259</t>
    </r>
  </si>
  <si>
    <r>
      <rPr>
        <sz val="10"/>
        <rFont val="Arial MT"/>
        <family val="2"/>
      </rPr>
      <t>SETOP</t>
    </r>
  </si>
  <si>
    <r>
      <rPr>
        <sz val="10"/>
        <rFont val="Arial MT"/>
        <family val="2"/>
      </rPr>
      <t>FECHO PARA ABERTURA DE JANELA MAXIM-AR (REFERÊNCIA: FEC-009)</t>
    </r>
  </si>
  <si>
    <r>
      <rPr>
        <sz val="10"/>
        <rFont val="Arial MT"/>
        <family val="2"/>
      </rPr>
      <t>MATED-29257</t>
    </r>
  </si>
  <si>
    <r>
      <rPr>
        <sz val="10"/>
        <rFont val="Arial MT"/>
        <family val="2"/>
      </rPr>
      <t>BRAÇO PARA JANELA MAXIM-AR (COMPRIMENTO: 400MM|LINHA: 25 OU 32|REFERÊNCIA: BRA-704|EMBALAGEM: PAR)</t>
    </r>
  </si>
  <si>
    <r>
      <rPr>
        <b/>
        <sz val="11"/>
        <rFont val="Arial"/>
        <family val="2"/>
      </rPr>
      <t>9.1.2</t>
    </r>
  </si>
  <si>
    <r>
      <rPr>
        <sz val="10"/>
        <rFont val="Arial MT"/>
        <family val="2"/>
      </rPr>
      <t>CPU2552</t>
    </r>
  </si>
  <si>
    <r>
      <rPr>
        <sz val="10"/>
        <rFont val="Arial MT"/>
        <family val="2"/>
      </rPr>
      <t>REGULARIZAÇÃO DE BASE PARA REVEST. DE PISOS COM ARG. TRAÇO T4, ESP. MÉDIA = 2,5CM</t>
    </r>
  </si>
  <si>
    <r>
      <rPr>
        <sz val="10"/>
        <rFont val="Arial MT"/>
        <family val="2"/>
      </rPr>
      <t>ARGAMASSA TRAÇO 1:4 (EM VOLUME DE CIMENTO E AREIA MÉDIA ÚMIDA), PREPARO MECÂNICO COM BETONEIRA 600 L.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</si>
  <si>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2180.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</si>
  <si>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9.2.1</t>
    </r>
  </si>
  <si>
    <r>
      <rPr>
        <sz val="10"/>
        <rFont val="Arial MT"/>
        <family val="2"/>
      </rPr>
      <t>CPU2553</t>
    </r>
  </si>
  <si>
    <r>
      <rPr>
        <sz val="10"/>
        <rFont val="Arial MT"/>
        <family val="2"/>
      </rPr>
      <t>PISO ALTA RESISTENCIA, COLORIDO, E=10MM, APLICADO COM JUNTAS, POLIDO ATÉ O ESMERIL 400 E ENCERADO</t>
    </r>
  </si>
  <si>
    <r>
      <rPr>
        <sz val="10"/>
        <rFont val="Arial MT"/>
        <family val="2"/>
      </rPr>
      <t>Piso alta resistencia, colorido, e=10mm, aplicado com juntas, polido até o esmeril 400 e encerado</t>
    </r>
  </si>
  <si>
    <r>
      <rPr>
        <sz val="10"/>
        <rFont val="Arial MT"/>
        <family val="2"/>
      </rPr>
      <t>Serviços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</si>
  <si>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10168.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</si>
  <si>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9.2.2</t>
    </r>
  </si>
  <si>
    <r>
      <rPr>
        <sz val="10"/>
        <rFont val="Arial MT"/>
        <family val="2"/>
      </rPr>
      <t>CPU2554</t>
    </r>
  </si>
  <si>
    <r>
      <rPr>
        <sz val="10"/>
        <rFont val="Arial MT"/>
        <family val="2"/>
      </rPr>
      <t>PISO ALTA RESISTÊNCIA OU INDUSTRIAL DE 12 MM, COMUM, COR CINZA, COM JUNTAS PLÁSTICAS, SEM POLIMENTO,</t>
    </r>
  </si>
  <si>
    <r>
      <rPr>
        <sz val="10"/>
        <rFont val="Arial MT"/>
        <family val="2"/>
      </rPr>
      <t>Piso alta resistencia, comum, cor cinza, e=12mm, aplicado com juntas plásticas, sem polimento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</si>
  <si>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12623.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</si>
  <si>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9.3.1</t>
    </r>
  </si>
  <si>
    <r>
      <rPr>
        <sz val="10"/>
        <rFont val="Arial MT"/>
        <family val="2"/>
      </rPr>
      <t>CPU2555</t>
    </r>
  </si>
  <si>
    <r>
      <rPr>
        <sz val="10"/>
        <rFont val="Arial MT"/>
        <family val="2"/>
      </rPr>
      <t>RODAPÉ ALTA RESISTÊNCIA, H = 10 CM, MEIA-CANA</t>
    </r>
  </si>
  <si>
    <r>
      <rPr>
        <sz val="10"/>
        <rFont val="Arial MT"/>
        <family val="2"/>
      </rPr>
      <t>Rodape alta resistência, alt=10cm, meia-cana</t>
    </r>
  </si>
  <si>
    <r>
      <rPr>
        <sz val="10"/>
        <rFont val="Arial MT"/>
        <family val="2"/>
      </rPr>
      <t>m</t>
    </r>
  </si>
  <si>
    <r>
      <rPr>
        <b/>
        <sz val="11"/>
        <rFont val="Arial"/>
        <family val="2"/>
      </rPr>
      <t>13.1</t>
    </r>
  </si>
  <si>
    <r>
      <rPr>
        <sz val="10"/>
        <rFont val="Arial MT"/>
        <family val="2"/>
      </rPr>
      <t>CPU2556</t>
    </r>
  </si>
  <si>
    <r>
      <rPr>
        <sz val="10"/>
        <rFont val="Arial MT"/>
        <family val="2"/>
      </rPr>
      <t>TAMPO/BANCADA EM GRANITO BRANCO SIENA, E=2CM</t>
    </r>
  </si>
  <si>
    <r>
      <rPr>
        <sz val="10"/>
        <rFont val="Arial MT"/>
        <family val="2"/>
      </rPr>
      <t>Perfil Alumínio, Tubo Retangular 50,80mm x 25,40mm x 1,20mm (0,484kg/m)</t>
    </r>
  </si>
  <si>
    <r>
      <rPr>
        <sz val="10"/>
        <rFont val="Arial MT"/>
        <family val="2"/>
      </rPr>
      <t>Granito branco Siena e= 2cm</t>
    </r>
  </si>
  <si>
    <r>
      <rPr>
        <b/>
        <sz val="11"/>
        <rFont val="Arial"/>
        <family val="2"/>
      </rPr>
      <t>14.2.5</t>
    </r>
  </si>
  <si>
    <r>
      <rPr>
        <sz val="10"/>
        <rFont val="Arial MT"/>
        <family val="2"/>
      </rPr>
      <t>CPU2557</t>
    </r>
  </si>
  <si>
    <r>
      <rPr>
        <sz val="10"/>
        <rFont val="Arial MT"/>
        <family val="2"/>
      </rPr>
      <t>LAVATÓRIO DE CANTO REF. L101 DECA OU EQUIVALENTE, INCLUSIVE VÁLVULA, SIFÃO E ENGATES CROMADOS, EXCLUSIVE</t>
    </r>
  </si>
  <si>
    <r>
      <rPr>
        <sz val="10"/>
        <rFont val="Arial MT"/>
        <family val="2"/>
      </rPr>
      <t>AUXILIAR DE ENCANADOR OU BOMBEIRO HIDRÁULICO COM ENCARGOS COMPLEMENTARES</t>
    </r>
  </si>
  <si>
    <r>
      <rPr>
        <sz val="10"/>
        <rFont val="Arial MT"/>
        <family val="2"/>
      </rPr>
      <t>IOPES</t>
    </r>
  </si>
  <si>
    <r>
      <rPr>
        <sz val="10"/>
        <rFont val="Arial MT"/>
        <family val="2"/>
      </rPr>
      <t>ENGATES CROMADOS</t>
    </r>
  </si>
  <si>
    <r>
      <rPr>
        <sz val="10"/>
        <rFont val="Arial MT"/>
        <family val="2"/>
      </rPr>
      <t>LAVATORIO DE CANTO DE LOUCA BRANCA, SUSPENSO (SEM COLUNA), DIMENSOES *40 X 30* CM (L X C)</t>
    </r>
  </si>
  <si>
    <r>
      <rPr>
        <sz val="10"/>
        <rFont val="Arial MT"/>
        <family val="2"/>
      </rPr>
      <t>VALVULA EM METAL CROMADO PARA LAVATORIO, 1" SEM LADRAO</t>
    </r>
  </si>
  <si>
    <r>
      <rPr>
        <sz val="10"/>
        <rFont val="Arial MT"/>
        <family val="2"/>
      </rPr>
      <t>SIFAO EM METAL CROMADO PARA PIA OU LAVATORIO, 1 X 1.1/2"</t>
    </r>
  </si>
  <si>
    <r>
      <rPr>
        <sz val="10"/>
        <rFont val="Arial MT"/>
        <family val="2"/>
      </rPr>
      <t>CONJUNTO PARAFUSO ACO INOX 304 ROSCA SOBERBA 7,2MM PARA FIXACAO DE BACIA/MICTORIOS</t>
    </r>
  </si>
  <si>
    <r>
      <rPr>
        <sz val="10"/>
        <rFont val="Arial MT"/>
        <family val="2"/>
      </rPr>
      <t>BUCHA DE NYLON SEM ABA S8</t>
    </r>
  </si>
  <si>
    <r>
      <rPr>
        <sz val="10"/>
        <rFont val="Arial MT"/>
        <family val="2"/>
      </rPr>
      <t>FITA DE VEDACAO 18MM X 50M</t>
    </r>
  </si>
  <si>
    <r>
      <rPr>
        <b/>
        <sz val="11"/>
        <rFont val="Arial"/>
        <family val="2"/>
      </rPr>
      <t>14.3.1</t>
    </r>
  </si>
  <si>
    <r>
      <rPr>
        <sz val="10"/>
        <rFont val="Arial MT"/>
        <family val="2"/>
      </rPr>
      <t>CPU2558</t>
    </r>
  </si>
  <si>
    <r>
      <rPr>
        <sz val="10"/>
        <rFont val="Arial MT"/>
        <family val="2"/>
      </rPr>
      <t>TAMPO/BANCADA EM CONCRETO ARMADO, REVESTIDO EM AÇO INOXIDÁVEL FOSCO POLIDO</t>
    </r>
  </si>
  <si>
    <r>
      <rPr>
        <sz val="10"/>
        <rFont val="Arial MT"/>
        <family val="2"/>
      </rPr>
      <t>AJUDANTE DE ARMADOR COM ENCARGOS COMPLEMENTARES</t>
    </r>
  </si>
  <si>
    <r>
      <rPr>
        <sz val="10"/>
        <rFont val="Arial MT"/>
        <family val="2"/>
      </rPr>
      <t>CHAPA/PAINEL DE MADEIRA COMPENSADA RESINADA (MADEIRITE RESINADO ROSA) PARA FORMA DE CONCRETO, DE 2200 X</t>
    </r>
  </si>
  <si>
    <r>
      <rPr>
        <sz val="10"/>
        <rFont val="Arial MT"/>
        <family val="2"/>
      </rPr>
      <t>E.18.000.036519</t>
    </r>
  </si>
  <si>
    <r>
      <rPr>
        <sz val="10"/>
        <rFont val="Arial MT"/>
        <family val="2"/>
      </rPr>
      <t>REVESTIMENTO EM AÇO INOXIDÁVEL AISI304, LIGA18,8 EM CHAPA 20 COM ESPESSURA DE 1MM, ACABAMENTO ESCOVADO -</t>
    </r>
  </si>
  <si>
    <r>
      <rPr>
        <sz val="10"/>
        <rFont val="Arial MT"/>
        <family val="2"/>
      </rPr>
      <t>C.04.000.020530</t>
    </r>
  </si>
  <si>
    <r>
      <rPr>
        <sz val="10"/>
        <rFont val="Arial MT"/>
        <family val="2"/>
      </rPr>
      <t>CONCRETO USINADO FCK= 15 MPA, SLUMP 5 ± 1CM</t>
    </r>
  </si>
  <si>
    <r>
      <rPr>
        <sz val="10"/>
        <rFont val="Arial MT"/>
        <family val="2"/>
      </rPr>
      <t>SARRAFO NAO APARELHADO *2,5 X 5* CM, EM MACARANDUBA/MASSARANDUBA, ANGELIM, PEROBA-ROSA OU EQUIVALENTE</t>
    </r>
  </si>
  <si>
    <r>
      <rPr>
        <sz val="10"/>
        <rFont val="Arial MT"/>
        <family val="2"/>
      </rPr>
      <t>DESMOLDANTE PARA FORMAS METALICAS A BASE DE OLEO VEGETAL</t>
    </r>
  </si>
  <si>
    <r>
      <rPr>
        <sz val="10"/>
        <rFont val="Arial MT"/>
        <family val="2"/>
      </rPr>
      <t>L</t>
    </r>
  </si>
  <si>
    <r>
      <rPr>
        <sz val="10"/>
        <rFont val="Arial MT"/>
        <family val="2"/>
      </rPr>
      <t>PREGO DE ACO POLIDO COM CABECA 18 X 27 (2 1/2 X 10)</t>
    </r>
  </si>
  <si>
    <r>
      <rPr>
        <sz val="10"/>
        <rFont val="Arial MT"/>
        <family val="2"/>
      </rPr>
      <t>TELA DE ACO SOLDADA NERVURADA, CA-60, Q-61, (0,97 KG/M2), DIAMETRO DO FIO = 3,4 MM, LARGURA = 2,45 M,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</si>
  <si>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44.02.200.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</si>
  <si>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14.3.2</t>
    </r>
  </si>
  <si>
    <r>
      <rPr>
        <sz val="10"/>
        <rFont val="Arial MT"/>
        <family val="2"/>
      </rPr>
      <t>CPU2559</t>
    </r>
  </si>
  <si>
    <r>
      <rPr>
        <sz val="10"/>
        <rFont val="Arial MT"/>
        <family val="2"/>
      </rPr>
      <t>FUNIL EXPURGO HOSPITALAR DE AÇO INOX 304  290X300MM E= 0,8MM SEM MESA PARA EMBUTIR - MIRNOX OU SIMILAR</t>
    </r>
  </si>
  <si>
    <r>
      <rPr>
        <sz val="10"/>
        <rFont val="Arial MT"/>
        <family val="2"/>
      </rPr>
      <t>Funil Expurgo Hospitalar de aço inox 304  290x300mm e= 0,8mm Sem mesa para embutir - Mirnox ou similar</t>
    </r>
  </si>
  <si>
    <r>
      <rPr>
        <b/>
        <sz val="11"/>
        <rFont val="Arial"/>
        <family val="2"/>
      </rPr>
      <t>14.3.6</t>
    </r>
  </si>
  <si>
    <r>
      <rPr>
        <sz val="10"/>
        <rFont val="Arial MT"/>
        <family val="2"/>
      </rPr>
      <t>CPU2560</t>
    </r>
  </si>
  <si>
    <r>
      <rPr>
        <sz val="10"/>
        <rFont val="Arial MT"/>
        <family val="2"/>
      </rPr>
      <t>TORNEIRA CLÍNICA COM VOLANTE TIPO ALAVANCA</t>
    </r>
  </si>
  <si>
    <r>
      <rPr>
        <sz val="10"/>
        <rFont val="Arial MT"/>
        <family val="2"/>
      </rPr>
      <t>INHI -</t>
    </r>
  </si>
  <si>
    <r>
      <rPr>
        <sz val="10"/>
        <rFont val="Arial MT"/>
        <family val="2"/>
      </rPr>
      <t>O.11.000.066025</t>
    </r>
  </si>
  <si>
    <r>
      <rPr>
        <sz val="10"/>
        <rFont val="Arial MT"/>
        <family val="2"/>
      </rPr>
      <t>TORNEIRA CLÍNICA PROFISSIONAL, PAREDE OU MESA TIPO ALAVANCA, FABRICADA EM METAL CROMADO COM BICO</t>
    </r>
  </si>
  <si>
    <r>
      <rPr>
        <sz val="10"/>
        <rFont val="Arial MT"/>
        <family val="2"/>
      </rPr>
      <t>B.07.000.069552</t>
    </r>
  </si>
  <si>
    <r>
      <rPr>
        <sz val="10"/>
        <rFont val="Arial MT"/>
        <family val="2"/>
      </rPr>
      <t>FITA TEFLON DE 18 MM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</si>
  <si>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44.03.300.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</si>
  <si>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14.3.7</t>
    </r>
  </si>
  <si>
    <r>
      <rPr>
        <sz val="10"/>
        <rFont val="Arial MT"/>
        <family val="2"/>
      </rPr>
      <t>CPU2561</t>
    </r>
  </si>
  <si>
    <r>
      <rPr>
        <sz val="10"/>
        <rFont val="Arial MT"/>
        <family val="2"/>
      </rPr>
      <t>TORNEIRA MISTURADOR CLÍNICA DE MESA COM AREJADOR ARTICULADO, ACIONAMENTO COTOVELO</t>
    </r>
  </si>
  <si>
    <r>
      <rPr>
        <sz val="10"/>
        <rFont val="Arial MT"/>
        <family val="2"/>
      </rPr>
      <t>O.11.000.066028</t>
    </r>
  </si>
  <si>
    <r>
      <rPr>
        <sz val="10"/>
        <rFont val="Arial MT"/>
        <family val="2"/>
      </rPr>
      <t>TORNEIRA MISTURADOR CLÍNICA DE MESA COM AREJADOR ARTICULADO, ACIONAMENTO COTOVELO; REF. CERTIVA,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</si>
  <si>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44.03.316.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</si>
  <si>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14.3.8</t>
    </r>
  </si>
  <si>
    <r>
      <rPr>
        <sz val="10"/>
        <rFont val="Arial MT"/>
        <family val="2"/>
      </rPr>
      <t>CPU2562</t>
    </r>
  </si>
  <si>
    <r>
      <rPr>
        <sz val="10"/>
        <rFont val="Arial MT"/>
        <family val="2"/>
      </rPr>
      <t>TORNEIRA DE MESA COM FECHAMENTO AUTOMÁTICO, LINHA DECAMATIC ECO, REF.1173.C, DECA OU SIMILAR</t>
    </r>
  </si>
  <si>
    <r>
      <rPr>
        <sz val="10"/>
        <rFont val="Arial MT"/>
        <family val="2"/>
      </rPr>
      <t>Fita veda rosca 18mm</t>
    </r>
  </si>
  <si>
    <r>
      <rPr>
        <sz val="10"/>
        <rFont val="Arial MT"/>
        <family val="2"/>
      </rPr>
      <t>Torneira de mesa com fechamento automático, ref.1173, linha Decamatic Eco, DECA ou similar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</si>
  <si>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9676.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</si>
  <si>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14.3.9</t>
    </r>
  </si>
  <si>
    <r>
      <rPr>
        <sz val="10"/>
        <rFont val="Arial MT"/>
        <family val="2"/>
      </rPr>
      <t>CPU2690</t>
    </r>
  </si>
  <si>
    <r>
      <rPr>
        <sz val="10"/>
        <rFont val="Arial MT"/>
        <family val="2"/>
      </rPr>
      <t>TORNEIRA PARA  LAVATÓRIO,  DE  MESA,  CROMADA,  BICA  ALTA,  REF.:  FLEX  PLUS,  1198  C21,  DA  DECA  OU  SIMILAR,</t>
    </r>
  </si>
  <si>
    <r>
      <rPr>
        <sz val="10"/>
        <rFont val="Arial MT"/>
        <family val="2"/>
      </rPr>
      <t>Torneira para lavatório, de mesa, cromada, bica alta, ref.: Flex Plus, 1198 C21, da DECA ou similar</t>
    </r>
  </si>
  <si>
    <r>
      <rPr>
        <sz val="10"/>
        <rFont val="Arial MT"/>
        <family val="2"/>
      </rPr>
      <t>FURO PARA TORNEIRA OU OUTROS ACESSORIOS EM BANCADA DE MARMORE/ GRANITO OU OUTRO TIPO DE PEDRA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</si>
  <si>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11747.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</si>
  <si>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sz val="10"/>
        <rFont val="Arial MT"/>
        <family val="2"/>
      </rPr>
      <t>CPU2563</t>
    </r>
  </si>
  <si>
    <r>
      <rPr>
        <sz val="10"/>
        <rFont val="Arial MT"/>
        <family val="2"/>
      </rPr>
      <t>DUCHA HIGIÊNICA COM REGISTRO, LINHA DREAM, REF. 1984.C87.ACT.CR, DA DECA OU SIMILAR</t>
    </r>
  </si>
  <si>
    <r>
      <rPr>
        <sz val="10"/>
        <rFont val="Arial MT"/>
        <family val="2"/>
      </rPr>
      <t>Ducha higiênica com registro, linha Dream, ref. 1984.C87.ACT.CR, da DECA ou similar</t>
    </r>
  </si>
  <si>
    <r>
      <rPr>
        <sz val="10"/>
        <rFont val="Arial MT"/>
        <family val="2"/>
      </rPr>
      <t>CPU2546</t>
    </r>
  </si>
  <si>
    <r>
      <rPr>
        <sz val="10"/>
        <rFont val="Arial MT"/>
        <family val="2"/>
      </rPr>
      <t>BARRA DE APOIO, RETA, FIXA, EM AÇO INOX, L=40CM, D=1 1/4", JACKWAL OU SIMILAR</t>
    </r>
  </si>
  <si>
    <r>
      <rPr>
        <sz val="10"/>
        <rFont val="Arial MT"/>
        <family val="2"/>
      </rPr>
      <t>INES -</t>
    </r>
  </si>
  <si>
    <r>
      <rPr>
        <sz val="10"/>
        <rFont val="Arial MT"/>
        <family val="2"/>
      </rPr>
      <t>Barra de apoio, reta, fixa, em aço inox, l=40cm, d=1 1/4" - Jackwal ou similar</t>
    </r>
  </si>
  <si>
    <r>
      <rPr>
        <sz val="10"/>
        <rFont val="Arial MT"/>
        <family val="2"/>
      </rPr>
      <t>CPU2105</t>
    </r>
  </si>
  <si>
    <r>
      <rPr>
        <sz val="10"/>
        <rFont val="Arial MT"/>
        <family val="2"/>
      </rPr>
      <t>RALO SECO PVC QUADRADO 15x15 COM GRELHA</t>
    </r>
  </si>
  <si>
    <r>
      <rPr>
        <sz val="10"/>
        <rFont val="Arial MT"/>
        <family val="2"/>
      </rPr>
      <t>ADESIVO PARA PVC bisnaga de 75 gramas</t>
    </r>
  </si>
  <si>
    <r>
      <rPr>
        <sz val="10"/>
        <rFont val="Arial MT"/>
        <family val="2"/>
      </rPr>
      <t>RALO FOFO COM REQUADRO, QUADRADO 150 X 150 MM</t>
    </r>
  </si>
  <si>
    <r>
      <rPr>
        <sz val="10"/>
        <rFont val="Arial MT"/>
        <family val="2"/>
      </rPr>
      <t>SOLUCAO LIMPADORA PARA PVC EMBALAGEM 200cc</t>
    </r>
  </si>
  <si>
    <r>
      <rPr>
        <sz val="10"/>
        <rFont val="Arial MT"/>
        <family val="2"/>
      </rPr>
      <t>GRELHA FIXA, EM PVC BRANCA, QUADRADA, 150 X 150 MM, PARA RALOS E CAIXAS</t>
    </r>
  </si>
  <si>
    <r>
      <rPr>
        <sz val="10"/>
        <rFont val="Arial MT"/>
        <family val="2"/>
      </rPr>
      <t xml:space="preserve">MO sem LS                                                   LS =&gt;                   0,00      MO com LS =&gt;
</t>
    </r>
    <r>
      <rPr>
        <sz val="10"/>
        <rFont val="Arial MT"/>
        <family val="2"/>
      </rPr>
      <t xml:space="preserve">Valor do BDI                                                              Valor com BDI
</t>
    </r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053037. Alteração do insumo SBC 007506 para o insumo SINAPI 00021059</t>
    </r>
  </si>
  <si>
    <r>
      <rPr>
        <sz val="10"/>
        <rFont val="Arial MT"/>
        <family val="2"/>
      </rPr>
      <t>CPU2564</t>
    </r>
  </si>
  <si>
    <r>
      <rPr>
        <sz val="10"/>
        <rFont val="Arial MT"/>
        <family val="2"/>
      </rPr>
      <t>ESTACAO DE CHAMADA DE BANHEIRO,COM INTERRUPTOR DE EMBUTIR.FO RNECIMENTO E COLOCACAO 3%-DESGASTE DE</t>
    </r>
  </si>
  <si>
    <r>
      <rPr>
        <sz val="10"/>
        <rFont val="Arial MT"/>
        <family val="2"/>
      </rPr>
      <t>ESTACAO DE CHAMADA DE BANHEIRO, HOSPITAL AR, COM INTERRUPTOR DE EMBUTIR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</si>
  <si>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EMOP 18.050.0115-A. A composição foi ajustada para utilizar os insumos e a mão de obra conforme a base SINAPI, garantindo maior aderência aos parâmetros de mercado e normativas vigentes. Apenas os insumos que não possuem correspondência na base SINAPI foram mant</t>
    </r>
  </si>
  <si>
    <r>
      <rPr>
        <b/>
        <sz val="11"/>
        <rFont val="Arial"/>
        <family val="2"/>
      </rPr>
      <t>15.1.1</t>
    </r>
  </si>
  <si>
    <r>
      <rPr>
        <sz val="10"/>
        <rFont val="Arial MT"/>
        <family val="2"/>
      </rPr>
      <t>CPU2565</t>
    </r>
  </si>
  <si>
    <r>
      <rPr>
        <sz val="10"/>
        <rFont val="Arial MT"/>
        <family val="2"/>
      </rPr>
      <t>ACOPLAMENTO RANHURADO EM FERRO FUNDIDO DN 60,3mm 2""</t>
    </r>
  </si>
  <si>
    <r>
      <rPr>
        <sz val="10"/>
        <rFont val="Arial MT"/>
        <family val="2"/>
      </rPr>
      <t>JUNTA RAPID, LINHA SMU, DESTINADA PARA U NIAO E VEDACAO ENTRE EXTREMIDADES PONTA/ PONTA DE TUBOS E</t>
    </r>
  </si>
  <si>
    <r>
      <rPr>
        <sz val="10"/>
        <rFont val="Arial MT"/>
        <family val="2"/>
      </rPr>
      <t>ACOPLAMENTO RIGIDO EM FERRO FUNDIDO RANHURADO DN 50mm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</si>
  <si>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054668.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</si>
  <si>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15.1.2</t>
    </r>
  </si>
  <si>
    <r>
      <rPr>
        <sz val="10"/>
        <rFont val="Arial MT"/>
        <family val="2"/>
      </rPr>
      <t>CPU2566</t>
    </r>
  </si>
  <si>
    <r>
      <rPr>
        <sz val="10"/>
        <rFont val="Arial MT"/>
        <family val="2"/>
      </rPr>
      <t>HIDRÔMETRO EM BRONZE, DIÂMETRO DE 40 MM (1 1/2´)</t>
    </r>
  </si>
  <si>
    <r>
      <rPr>
        <sz val="10"/>
        <rFont val="Arial MT"/>
        <family val="2"/>
      </rPr>
      <t>O.09.000.063552</t>
    </r>
  </si>
  <si>
    <r>
      <rPr>
        <sz val="10"/>
        <rFont val="Arial MT"/>
        <family val="2"/>
      </rPr>
      <t>HIDRÔMETRO EM BRONZE, DIÂMETRO 40 MM (1 1/2)</t>
    </r>
  </si>
  <si>
    <r>
      <rPr>
        <sz val="10"/>
        <rFont val="Arial MT"/>
        <family val="2"/>
      </rPr>
      <t>CPU2194</t>
    </r>
  </si>
  <si>
    <r>
      <rPr>
        <sz val="10"/>
        <rFont val="Arial MT"/>
        <family val="2"/>
      </rPr>
      <t>PRESSURIZADOR DE ÁGUA MAX PRESS 270 VF MONOFASICO 220V</t>
    </r>
  </si>
  <si>
    <r>
      <rPr>
        <sz val="10"/>
        <rFont val="Arial MT"/>
        <family val="2"/>
      </rPr>
      <t>ASTU -</t>
    </r>
  </si>
  <si>
    <r>
      <rPr>
        <sz val="10"/>
        <rFont val="Arial MT"/>
        <family val="2"/>
      </rPr>
      <t>PRESSURIZADOR DE AGUA TP40 KOMECO 127/220V</t>
    </r>
  </si>
  <si>
    <r>
      <rPr>
        <sz val="10"/>
        <rFont val="Arial MT"/>
        <family val="2"/>
      </rPr>
      <t xml:space="preserve">MO sem LS                                                   LS =&gt;                   0,00      MO com LS =&gt;
</t>
    </r>
    <r>
      <rPr>
        <sz val="10"/>
        <rFont val="Arial MT"/>
        <family val="2"/>
      </rPr>
      <t xml:space="preserve">Valor do BDI                                                              Valor com BDI
</t>
    </r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COTAÇÃO + SBC 077390. Utilizada mão de obra de instalação do pressurizador conforme composição SBC e referência e insumo conforme cotação realizada.</t>
    </r>
  </si>
  <si>
    <r>
      <rPr>
        <sz val="10"/>
        <rFont val="Arial MT"/>
        <family val="2"/>
      </rPr>
      <t>CPU2475</t>
    </r>
  </si>
  <si>
    <r>
      <rPr>
        <sz val="10"/>
        <rFont val="Arial MT"/>
        <family val="2"/>
      </rPr>
      <t>RESERVATÓRIO METÁLICO TIPO TAÇA 25000L H &lt;= 10M DE ALTURA - FORNECIMENTO E INSTALAÇÃO</t>
    </r>
  </si>
  <si>
    <r>
      <rPr>
        <sz val="10"/>
        <rFont val="Arial MT"/>
        <family val="2"/>
      </rPr>
      <t>D300001020</t>
    </r>
  </si>
  <si>
    <r>
      <rPr>
        <sz val="10"/>
        <rFont val="Arial MT"/>
        <family val="2"/>
      </rPr>
      <t>EMBASA</t>
    </r>
  </si>
  <si>
    <r>
      <rPr>
        <sz val="10"/>
        <rFont val="Arial MT"/>
        <family val="2"/>
      </rPr>
      <t>RESERVATORIO METALICO EM ACO USI SAC41 CILINDRICO ELEVADO COM CAPACIDADE NOMINAL DE 25.000l C/FUSTE DE</t>
    </r>
  </si>
  <si>
    <r>
      <rPr>
        <sz val="10"/>
        <rFont val="Arial MT"/>
        <family val="2"/>
      </rPr>
      <t>CPU2464</t>
    </r>
  </si>
  <si>
    <r>
      <rPr>
        <sz val="10"/>
        <rFont val="Arial MT"/>
        <family val="2"/>
      </rPr>
      <t>PRESSURIZADOR MAX PRESS 20E</t>
    </r>
  </si>
  <si>
    <r>
      <rPr>
        <sz val="10"/>
        <rFont val="Arial MT"/>
        <family val="2"/>
      </rPr>
      <t xml:space="preserve">MO sem LS                                                   LS =&gt;                   0,00      MO com LS =&gt;
</t>
    </r>
    <r>
      <rPr>
        <sz val="10"/>
        <rFont val="Arial MT"/>
        <family val="2"/>
      </rPr>
      <t xml:space="preserve">Valor do BDI                                                              Valor com BDI
</t>
    </r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077390 + COTAÇÃO. Utilizada mão de obra de instalação do pressurizador conforme composição SBC de referência e insumo conforme cotação realizada.</t>
    </r>
  </si>
  <si>
    <r>
      <rPr>
        <sz val="10"/>
        <rFont val="Arial MT"/>
        <family val="2"/>
      </rPr>
      <t>CPU2570</t>
    </r>
  </si>
  <si>
    <r>
      <rPr>
        <sz val="10"/>
        <rFont val="Arial MT"/>
        <family val="2"/>
      </rPr>
      <t>RESERVATÓRIO EM POLIETILENO DE ALTA DENSIDADE (CISTERNA) COM ANTIOXIDANTE E PROTEÇÃO CONTRA RAIOS</t>
    </r>
  </si>
  <si>
    <r>
      <rPr>
        <sz val="10"/>
        <rFont val="Arial MT"/>
        <family val="2"/>
      </rPr>
      <t>CJ</t>
    </r>
  </si>
  <si>
    <r>
      <rPr>
        <sz val="10"/>
        <rFont val="Arial MT"/>
        <family val="2"/>
      </rPr>
      <t>M.04.000.065082</t>
    </r>
  </si>
  <si>
    <r>
      <rPr>
        <sz val="10"/>
        <rFont val="Arial MT"/>
        <family val="2"/>
      </rPr>
      <t>RESERVATÓRIO EM POLIETILENO DE ALTA DENSIDADE (CISTERNA), ANTIOXIDANTE E PROTEÇÃO ANTI UV, CAPACIDADE DE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</si>
  <si>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48.02.300.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</si>
  <si>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15.2.8</t>
    </r>
  </si>
  <si>
    <r>
      <rPr>
        <sz val="10"/>
        <rFont val="Arial MT"/>
        <family val="2"/>
      </rPr>
      <t>CPU2573</t>
    </r>
  </si>
  <si>
    <r>
      <rPr>
        <sz val="10"/>
        <rFont val="Arial MT"/>
        <family val="2"/>
      </rPr>
      <t>SIFÃO CROMADO 1 1/4" X 2" (INSTALADO)</t>
    </r>
  </si>
  <si>
    <r>
      <rPr>
        <sz val="10"/>
        <rFont val="Arial MT"/>
        <family val="2"/>
      </rPr>
      <t>I1861</t>
    </r>
  </si>
  <si>
    <r>
      <rPr>
        <sz val="10"/>
        <rFont val="Arial MT"/>
        <family val="2"/>
      </rPr>
      <t>SEINFRA</t>
    </r>
  </si>
  <si>
    <r>
      <rPr>
        <sz val="10"/>
        <rFont val="Arial MT"/>
        <family val="2"/>
      </rPr>
      <t>SIFÃO CROMADO 1 1/4"X1 1/2"</t>
    </r>
  </si>
  <si>
    <r>
      <rPr>
        <sz val="10"/>
        <rFont val="Arial MT"/>
        <family val="2"/>
      </rPr>
      <t>I1180</t>
    </r>
  </si>
  <si>
    <r>
      <rPr>
        <sz val="10"/>
        <rFont val="Arial MT"/>
        <family val="2"/>
      </rPr>
      <t>FITA DE VEDAÇÃO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</si>
  <si>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SEINFRA C2270. A composição foi ajustada para utilizar os insumos e a mão de obra conforme a base SINAPI, garantindo maior aderência aos parâmetros de mercado e normativas vigentes. Apenas os insumos que não possuem correspondência na base SINAPI foram mantidos c</t>
    </r>
  </si>
  <si>
    <r>
      <rPr>
        <sz val="10"/>
        <rFont val="Arial MT"/>
        <family val="2"/>
      </rPr>
      <t>CPU2574</t>
    </r>
  </si>
  <si>
    <r>
      <rPr>
        <sz val="10"/>
        <rFont val="Arial MT"/>
        <family val="2"/>
      </rPr>
      <t>TUBO DE PVC RÍGIDO PXB COM VIROLA E ANEL DE BORRACHA, LINHA ESGOTO SÉRIE REFORÇADA ´R´, DN= 100 MM,</t>
    </r>
  </si>
  <si>
    <r>
      <rPr>
        <sz val="10"/>
        <rFont val="Arial MT"/>
        <family val="2"/>
      </rPr>
      <t>O.02.000.062561</t>
    </r>
  </si>
  <si>
    <r>
      <rPr>
        <sz val="10"/>
        <rFont val="Arial MT"/>
        <family val="2"/>
      </rPr>
      <t>TUBO DE PVC RÍGIDO PXB COM VIROLA, LINHA ESGOTO SÉRIE REFORÇADA ´R´, DN= 100MM</t>
    </r>
  </si>
  <si>
    <r>
      <rPr>
        <sz val="10"/>
        <rFont val="Arial MT"/>
        <family val="2"/>
      </rPr>
      <t>O.12.000.069527</t>
    </r>
  </si>
  <si>
    <r>
      <rPr>
        <sz val="10"/>
        <rFont val="Arial MT"/>
        <family val="2"/>
      </rPr>
      <t>LUBRIFICANTE PARA ANEL DE NEOPRENE</t>
    </r>
  </si>
  <si>
    <r>
      <rPr>
        <sz val="10"/>
        <rFont val="Arial MT"/>
        <family val="2"/>
      </rPr>
      <t>kg</t>
    </r>
  </si>
  <si>
    <r>
      <rPr>
        <sz val="10"/>
        <rFont val="Arial MT"/>
        <family val="2"/>
      </rPr>
      <t>O.02.000.069514</t>
    </r>
  </si>
  <si>
    <r>
      <rPr>
        <sz val="10"/>
        <rFont val="Arial MT"/>
        <family val="2"/>
      </rPr>
      <t>SOLUÇÃO LIMPADORA PARA PVC</t>
    </r>
  </si>
  <si>
    <r>
      <rPr>
        <sz val="10"/>
        <rFont val="Arial MT"/>
        <family val="2"/>
      </rPr>
      <t>l</t>
    </r>
  </si>
  <si>
    <r>
      <rPr>
        <sz val="10"/>
        <rFont val="Arial MT"/>
        <family val="2"/>
      </rPr>
      <t>ANEL BORRACHA, DN 100 MM, PARA TUBO SERIE REFORCADA ESGOTO PREDIAL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</si>
  <si>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46.03.050.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</si>
  <si>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sz val="10"/>
        <rFont val="Arial MT"/>
        <family val="2"/>
      </rPr>
      <t>CPU2576</t>
    </r>
  </si>
  <si>
    <r>
      <rPr>
        <sz val="10"/>
        <rFont val="Arial MT"/>
        <family val="2"/>
      </rPr>
      <t>TUBO DE PVC RÍGIDO PXB COM VIROLA E ANEL DE BORRACHA, LINHA ESGOTO SÉRIE REFORÇADA ´R´, DN= 50 MM,</t>
    </r>
  </si>
  <si>
    <r>
      <rPr>
        <sz val="10"/>
        <rFont val="Arial MT"/>
        <family val="2"/>
      </rPr>
      <t>O.02.000.062558</t>
    </r>
  </si>
  <si>
    <r>
      <rPr>
        <sz val="10"/>
        <rFont val="Arial MT"/>
        <family val="2"/>
      </rPr>
      <t>TUBO DE PVC RÍGIDO PXB COM VIROLA, LINHA ESGOTO SÉRIE REFORÇADA ´R´, DN= 50MM</t>
    </r>
  </si>
  <si>
    <r>
      <rPr>
        <sz val="10"/>
        <rFont val="Arial MT"/>
        <family val="2"/>
      </rPr>
      <t>ANEL BORRACHA, DN 50 MM, PARA TUBO SERIE REFORCADA ESGOTO PREDIAL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</si>
  <si>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46.03.038.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</si>
  <si>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sz val="10"/>
        <rFont val="Arial MT"/>
        <family val="2"/>
      </rPr>
      <t>CPU2577</t>
    </r>
  </si>
  <si>
    <r>
      <rPr>
        <sz val="10"/>
        <rFont val="Arial MT"/>
        <family val="2"/>
      </rPr>
      <t>TUBO DE PVC RÍGIDO PXB COM VIROLA E ANEL DE BORRACHA, LINHA ESGOTO SÉRIE REFORÇADA ´R´, DN= 75 MM,</t>
    </r>
  </si>
  <si>
    <r>
      <rPr>
        <sz val="10"/>
        <rFont val="Arial MT"/>
        <family val="2"/>
      </rPr>
      <t>ANEL BORRACHA, DN 75 MM, PARA TUBO SERIE REFORCADA ESGOTO PREDIAL</t>
    </r>
  </si>
  <si>
    <r>
      <rPr>
        <sz val="10"/>
        <rFont val="Arial MT"/>
        <family val="2"/>
      </rPr>
      <t>O.02.000.062560</t>
    </r>
  </si>
  <si>
    <r>
      <rPr>
        <sz val="10"/>
        <rFont val="Arial MT"/>
        <family val="2"/>
      </rPr>
      <t>TUBO DE PVC RÍGIDO PXB COM VIROLA, LINHA ESGOTO SÉRIE REFORÇADA ´R´, DN= 75MM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</si>
  <si>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46.03.040.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</si>
  <si>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sz val="10"/>
        <rFont val="Arial MT"/>
        <family val="2"/>
      </rPr>
      <t>CPU2578</t>
    </r>
  </si>
  <si>
    <r>
      <rPr>
        <sz val="10"/>
        <rFont val="Arial MT"/>
        <family val="2"/>
      </rPr>
      <t>TUBO DE PVC RÍGIDO SOLDÁVEL MARROM, DN= 40 MM, (1 1/4´), INCLUSIVE CONEXÕES</t>
    </r>
  </si>
  <si>
    <r>
      <rPr>
        <sz val="10"/>
        <rFont val="Arial MT"/>
        <family val="2"/>
      </rPr>
      <t>O.02.000.062504</t>
    </r>
  </si>
  <si>
    <r>
      <rPr>
        <sz val="10"/>
        <rFont val="Arial MT"/>
        <family val="2"/>
      </rPr>
      <t>TUBO DE PVC RÍGIDO SOLDÁVEL MARROM, DN= 40MM (1 1/4´)</t>
    </r>
  </si>
  <si>
    <r>
      <rPr>
        <sz val="10"/>
        <rFont val="Arial MT"/>
        <family val="2"/>
      </rPr>
      <t>B.09.000.069513</t>
    </r>
  </si>
  <si>
    <r>
      <rPr>
        <sz val="10"/>
        <rFont val="Arial MT"/>
        <family val="2"/>
      </rPr>
      <t>ADESIVO PARA TUBOS PVC</t>
    </r>
  </si>
  <si>
    <r>
      <rPr>
        <sz val="10"/>
        <rFont val="Arial MT"/>
        <family val="2"/>
      </rPr>
      <t>LIXA D'AGUA EM FOLHA, GRAO 100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</si>
  <si>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46.01.040.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</si>
  <si>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sz val="10"/>
        <rFont val="Arial MT"/>
        <family val="2"/>
      </rPr>
      <t>CPU2579</t>
    </r>
  </si>
  <si>
    <r>
      <rPr>
        <sz val="10"/>
        <rFont val="Arial MT"/>
        <family val="2"/>
      </rPr>
      <t>TUBO DE PVC RÍGIDO BRANCO, PONTAS LISAS, SOLDÁVEL, LINHA ESGOTO SÉRIE NORMAL, DN= 40 MM, INCLUSIVE</t>
    </r>
  </si>
  <si>
    <r>
      <rPr>
        <sz val="10"/>
        <rFont val="Arial MT"/>
        <family val="2"/>
      </rPr>
      <t>O.02.000.062530</t>
    </r>
  </si>
  <si>
    <r>
      <rPr>
        <sz val="10"/>
        <rFont val="Arial MT"/>
        <family val="2"/>
      </rPr>
      <t>TUBO DE PVC RÍGIDO BRANCO, PONTAS LISAS, SOLDÁVEL, SÉRIE NORMAL, DN 40MM</t>
    </r>
  </si>
  <si>
    <r>
      <rPr>
        <sz val="10"/>
        <rFont val="Arial MT"/>
        <family val="2"/>
      </rPr>
      <t>ANEL BORRACHA, DN 40 MM, PARA TUBO SERIE REFORCADA ESGOTO PREDIAL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</si>
  <si>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46.02.010.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</si>
  <si>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sz val="10"/>
        <rFont val="Arial MT"/>
        <family val="2"/>
      </rPr>
      <t>CPU2586</t>
    </r>
  </si>
  <si>
    <r>
      <rPr>
        <sz val="10"/>
        <rFont val="Arial MT"/>
        <family val="2"/>
      </rPr>
      <t>TUBO DE PVC RÍGIDO, PONTAS LISAS, SOLDÁVEL, LINHA ESGOTO SÉRIE REFORÇADA ´R´, DN= 40 MM, INCLUSIVE CONEXÕES</t>
    </r>
  </si>
  <si>
    <r>
      <rPr>
        <sz val="10"/>
        <rFont val="Arial MT"/>
        <family val="2"/>
      </rPr>
      <t>O.02.000.062554</t>
    </r>
  </si>
  <si>
    <r>
      <rPr>
        <sz val="10"/>
        <rFont val="Arial MT"/>
        <family val="2"/>
      </rPr>
      <t>TUBO DE PVC RÍGIDO, PONTAS LISAS, SOLDÁVEL, LINHA ESGOTO SÉRIE REFORÇADA ´R´, DN= 40MM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</si>
  <si>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46.03.080.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</si>
  <si>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sz val="10"/>
        <rFont val="Arial MT"/>
        <family val="2"/>
      </rPr>
      <t>CPU2688</t>
    </r>
  </si>
  <si>
    <r>
      <rPr>
        <sz val="10"/>
        <rFont val="Arial MT"/>
        <family val="2"/>
      </rPr>
      <t>REDUCAO EXCENTRICA ESGOTO PVC 100x75mm</t>
    </r>
  </si>
  <si>
    <r>
      <rPr>
        <sz val="10"/>
        <rFont val="Arial MT"/>
        <family val="2"/>
      </rPr>
      <t>REDUCAO EXCENTRICA ESGOTO PVC SERIE NORMAL 100x75mm</t>
    </r>
  </si>
  <si>
    <r>
      <rPr>
        <sz val="10"/>
        <rFont val="Arial MT"/>
        <family val="2"/>
      </rPr>
      <t>ADESIVO PLASTICO PARA PVC, BISNAGA COM 75 GR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</si>
  <si>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054091.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</si>
  <si>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CPU2588</t>
    </r>
  </si>
  <si>
    <r>
      <rPr>
        <sz val="10"/>
        <rFont val="Arial MT"/>
        <family val="2"/>
      </rPr>
      <t>ANEL DE BORRACHA PARA TUBO PVC SANITARIO D = 50MM</t>
    </r>
  </si>
  <si>
    <r>
      <rPr>
        <sz val="10"/>
        <rFont val="Arial MT"/>
        <family val="2"/>
      </rPr>
      <t>ANEL BORRACHA PARA TUBO ESGOTO PREDIAL, DN 50 MM (NBR 5688)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</si>
  <si>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3404.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</si>
  <si>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CPU2589</t>
    </r>
  </si>
  <si>
    <r>
      <rPr>
        <sz val="10"/>
        <rFont val="Arial MT"/>
        <family val="2"/>
      </rPr>
      <t>JOELHO 45º DE PVC RÍGIDO, SÉRIE R, DIÂM = 50MM</t>
    </r>
  </si>
  <si>
    <r>
      <rPr>
        <sz val="10"/>
        <rFont val="Arial MT"/>
        <family val="2"/>
      </rPr>
      <t>Solucao limpadora pvc</t>
    </r>
  </si>
  <si>
    <r>
      <rPr>
        <sz val="10"/>
        <rFont val="Arial MT"/>
        <family val="2"/>
      </rPr>
      <t>JOELHO, PVC SERIE R, 45 GRAUS, DN 50 MM, PARA ESGOTO PREDIAL</t>
    </r>
  </si>
  <si>
    <r>
      <rPr>
        <sz val="10"/>
        <rFont val="Arial MT"/>
        <family val="2"/>
      </rPr>
      <t>Adesivo pvc em frasco de 850 gramas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</si>
  <si>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9760.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</si>
  <si>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CPU2590</t>
    </r>
  </si>
  <si>
    <r>
      <rPr>
        <sz val="10"/>
        <rFont val="Arial MT"/>
        <family val="2"/>
      </rPr>
      <t>CAIXA DE COLETORA DE TALVEGUE - CCT 02 (PADRÃO DNIT)</t>
    </r>
  </si>
  <si>
    <r>
      <rPr>
        <sz val="10"/>
        <rFont val="Arial MT"/>
        <family val="2"/>
      </rPr>
      <t>CONCRETAGEM DE DISSIPADOR DE ENERGIA, FCK = 20 MPA, COM USO DE JERICAS E PREPARO EM BETONEIRA DE 600 L -</t>
    </r>
  </si>
  <si>
    <r>
      <rPr>
        <sz val="10"/>
        <rFont val="Arial MT"/>
        <family val="2"/>
      </rPr>
      <t>ESCAVAÇÃO MANUAL DE VALA COM PROFUNDIDADE MENOR OU IGUAL A 1,30 M. AF_02/2021</t>
    </r>
  </si>
  <si>
    <r>
      <rPr>
        <sz val="10"/>
        <rFont val="Arial MT"/>
        <family val="2"/>
      </rPr>
      <t>MOVT -</t>
    </r>
  </si>
  <si>
    <r>
      <rPr>
        <sz val="10"/>
        <rFont val="Arial MT"/>
        <family val="2"/>
      </rPr>
      <t>FABRICAÇÃO, MONTAGEM E DESMONTAGEM DE FÔRMA PARA VIGA BALDRAME, EM MADEIRA SERRADA, E=25 MM, 4</t>
    </r>
  </si>
  <si>
    <r>
      <rPr>
        <sz val="10"/>
        <rFont val="Arial MT"/>
        <family val="2"/>
      </rPr>
      <t>PREPARO DE FUNDO DE VALA COM LARGURA MAIOR OU IGUAL A 1,5 M E MENOR QUE 2,5 M (ACERTO DO SOLO NATURAL).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</si>
  <si>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12646.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</si>
  <si>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15.3.1</t>
    </r>
  </si>
  <si>
    <r>
      <rPr>
        <sz val="10"/>
        <rFont val="Arial MT"/>
        <family val="2"/>
      </rPr>
      <t>CPU2591</t>
    </r>
  </si>
  <si>
    <r>
      <rPr>
        <sz val="10"/>
        <rFont val="Arial MT"/>
        <family val="2"/>
      </rPr>
      <t>CAIXA DE PASSAGEM EM ALVENARIA DE TIJOLOS MACIÇOS ESP. = 0,12M,  DIM. INT. = 0.50 X 0.50 X 0.60M, COM GRELHA DE</t>
    </r>
  </si>
  <si>
    <r>
      <rPr>
        <sz val="10"/>
        <rFont val="Arial MT"/>
        <family val="2"/>
      </rPr>
      <t>CAIXA ENTERRADA HIDRÁULICA RETANGULAR EM ALVENARIA COM TIJOLOS CERÂMICOS MACIÇOS, DIMENSÕES INTERNAS:</t>
    </r>
  </si>
  <si>
    <r>
      <rPr>
        <sz val="10"/>
        <rFont val="Arial MT"/>
        <family val="2"/>
      </rPr>
      <t>Grelha metálica de ferro fundido 50 x 50cm</t>
    </r>
  </si>
  <si>
    <r>
      <rPr>
        <sz val="10"/>
        <rFont val="Arial MT"/>
        <family val="2"/>
      </rPr>
      <t xml:space="preserve">MO sem LS                                                   LS =&gt;                   0,00      MO com LS =&gt;
</t>
    </r>
    <r>
      <rPr>
        <sz val="10"/>
        <rFont val="Arial MT"/>
        <family val="2"/>
      </rPr>
      <t xml:space="preserve">Valor do BDI                                                              Valor com BDI
</t>
    </r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3234. Utilizada composição SINAPI 99253 para a caixa e grelha conforme ORSE 3234</t>
    </r>
  </si>
  <si>
    <r>
      <rPr>
        <b/>
        <sz val="11"/>
        <rFont val="Arial"/>
        <family val="2"/>
      </rPr>
      <t>15.3.2</t>
    </r>
  </si>
  <si>
    <r>
      <rPr>
        <sz val="10"/>
        <rFont val="Arial MT"/>
        <family val="2"/>
      </rPr>
      <t>CPU2689</t>
    </r>
  </si>
  <si>
    <r>
      <rPr>
        <sz val="10"/>
        <rFont val="Arial MT"/>
        <family val="2"/>
      </rPr>
      <t>CAIXA DE PASSAGEM EM ALVENARIA DE TIJOLOS MACIÇOS ESP=12CM, DIM. INT. 0,60X0,60X1,00M, SEM TAMPA</t>
    </r>
  </si>
  <si>
    <r>
      <rPr>
        <sz val="10"/>
        <rFont val="Arial MT"/>
        <family val="2"/>
      </rPr>
      <t>CONCRETO FCK = 15MPA, TRAÇO 1:3,4:3,5 (EM MASSA SECA DE CIMENTO/ AREIA MÉDIA/ BRITA 1) - PREPARO MANUAL.</t>
    </r>
  </si>
  <si>
    <r>
      <rPr>
        <sz val="10"/>
        <rFont val="Arial MT"/>
        <family val="2"/>
      </rPr>
      <t>ALVENARIA DE VEDAÇÃO DE BLOCOS CERÂMICOS MACIÇOS DE 5X10X20CM (ESPESSURA 10CM) E ARGAMASSA DE</t>
    </r>
  </si>
  <si>
    <r>
      <rPr>
        <sz val="10"/>
        <rFont val="Arial MT"/>
        <family val="2"/>
      </rPr>
      <t>MASSA ÚNICA, EM ARGAMASSA TRAÇO 1:2:8 PREPARO MECÂNICO, APLICADA MANUALMENTE EM PAREDES INTERNAS DE</t>
    </r>
  </si>
  <si>
    <r>
      <rPr>
        <sz val="10"/>
        <rFont val="Arial MT"/>
        <family val="2"/>
      </rPr>
      <t>REVE -</t>
    </r>
  </si>
  <si>
    <r>
      <rPr>
        <sz val="10"/>
        <rFont val="Arial MT"/>
        <family val="2"/>
      </rPr>
      <t>CHAPISCO APLICADO EM ALVENARIA (COM PRESENÇA DE VÃOS) E ESTRUTURAS DE CONCRETO DE FACHADA, COM COLHER</t>
    </r>
  </si>
  <si>
    <r>
      <rPr>
        <sz val="10"/>
        <rFont val="Arial MT"/>
        <family val="2"/>
      </rPr>
      <t>Composição de Referência: ORSE 6409.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</si>
  <si>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15.3.8</t>
    </r>
  </si>
  <si>
    <r>
      <rPr>
        <sz val="10"/>
        <rFont val="Arial MT"/>
        <family val="2"/>
      </rPr>
      <t>CPU2691</t>
    </r>
  </si>
  <si>
    <r>
      <rPr>
        <sz val="10"/>
        <rFont val="Arial MT"/>
        <family val="2"/>
      </rPr>
      <t>LUVA SIMPLES EM PVC RÍGIDO SOLDÁVEL, PARA ESGOTO PRIMÁRIO, DIÂM = 200MM</t>
    </r>
  </si>
  <si>
    <r>
      <rPr>
        <sz val="10"/>
        <rFont val="Arial MT"/>
        <family val="2"/>
      </rPr>
      <t>Luva simples pvc sanitario d= 200mm</t>
    </r>
  </si>
  <si>
    <r>
      <rPr>
        <sz val="10"/>
        <rFont val="Arial MT"/>
        <family val="2"/>
      </rPr>
      <t>ANEL BORRACHA, PARA TUBO PVC, REDE COLETOR ESGOTO, DN 200 MM (NBR 7362)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</si>
  <si>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8061.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</si>
  <si>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CPU2575</t>
    </r>
  </si>
  <si>
    <r>
      <rPr>
        <sz val="10"/>
        <rFont val="Arial MT"/>
        <family val="2"/>
      </rPr>
      <t>TUBO DE PVC RÍGIDO PXB COM VIROLA E ANEL DE BORRACHA, LINHA ESGOTO SÉRIE REFORÇADA ´R´. DN= 150 MM,</t>
    </r>
  </si>
  <si>
    <r>
      <rPr>
        <sz val="10"/>
        <rFont val="Arial MT"/>
        <family val="2"/>
      </rPr>
      <t>ANEL BORRACHA, DN 150 MM, PARA TUBO SERIE REFORCADA ESGOTO PREDIAL</t>
    </r>
  </si>
  <si>
    <r>
      <rPr>
        <sz val="10"/>
        <rFont val="Arial MT"/>
        <family val="2"/>
      </rPr>
      <t>O.02.000.062562</t>
    </r>
  </si>
  <si>
    <r>
      <rPr>
        <sz val="10"/>
        <rFont val="Arial MT"/>
        <family val="2"/>
      </rPr>
      <t>TUBO DE PVC RÍGIDO PXB COM VIROLA, LINHA ESGOTO SÉRIE REFORÇADA ´R´, DN= 150MM</t>
    </r>
  </si>
  <si>
    <r>
      <rPr>
        <sz val="10"/>
        <rFont val="Arial MT"/>
        <family val="2"/>
      </rPr>
      <t>Composição de Referência: CPOS/CDHU 46.03.060.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</si>
  <si>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15.4.1</t>
    </r>
  </si>
  <si>
    <r>
      <rPr>
        <sz val="10"/>
        <rFont val="Arial MT"/>
        <family val="2"/>
      </rPr>
      <t>CPU2592</t>
    </r>
  </si>
  <si>
    <r>
      <rPr>
        <sz val="10"/>
        <rFont val="Arial MT"/>
        <family val="2"/>
      </rPr>
      <t>PLACA DE SINALIZACAO, FOTOLUMINESCENTE, EM PVC , COM LOGOTIPO "CUIDADO RISCO DE CHOQUE ELÉTRICO"- PLACA</t>
    </r>
  </si>
  <si>
    <r>
      <rPr>
        <sz val="10"/>
        <rFont val="Arial MT"/>
        <family val="2"/>
      </rPr>
      <t>Placa de sinalizacao, fotoluminescente, em pvc , com logotipo "Cuidado risco de choque elétrico"- Placa E5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</si>
  <si>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12889.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</si>
  <si>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15.4.3</t>
    </r>
  </si>
  <si>
    <r>
      <rPr>
        <sz val="10"/>
        <rFont val="Arial MT"/>
        <family val="2"/>
      </rPr>
      <t>CPU2593</t>
    </r>
  </si>
  <si>
    <r>
      <rPr>
        <sz val="10"/>
        <rFont val="Arial MT"/>
        <family val="2"/>
      </rPr>
      <t>PLACA DE SINALIZACAO, FOTOLUMINESCENTE, EM PVC , COM LOGOTIPO "EXTINTOR DE INCÊNDIO PORTÁTIL"- PLACA E5</t>
    </r>
  </si>
  <si>
    <r>
      <rPr>
        <sz val="10"/>
        <rFont val="Arial MT"/>
        <family val="2"/>
      </rPr>
      <t>Placa de sinalizacao, fotoluminescente, em pvc , com logotipo "Extintor de incêndio portátil"- Placa E5</t>
    </r>
  </si>
  <si>
    <r>
      <rPr>
        <sz val="10"/>
        <rFont val="Arial MT"/>
        <family val="2"/>
      </rPr>
      <t>Composição de Referência: ORSE 12888.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</si>
  <si>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15.4.4</t>
    </r>
  </si>
  <si>
    <r>
      <rPr>
        <sz val="10"/>
        <rFont val="Arial MT"/>
        <family val="2"/>
      </rPr>
      <t>CPU2594</t>
    </r>
  </si>
  <si>
    <r>
      <rPr>
        <sz val="10"/>
        <rFont val="Arial MT"/>
        <family val="2"/>
      </rPr>
      <t>PLACA DE SINALIZAÇÃO EM PVC PARA AMBIENTES</t>
    </r>
  </si>
  <si>
    <r>
      <rPr>
        <sz val="10"/>
        <rFont val="Arial MT"/>
        <family val="2"/>
      </rPr>
      <t>S.04.000.039086</t>
    </r>
  </si>
  <si>
    <r>
      <rPr>
        <sz val="10"/>
        <rFont val="Arial MT"/>
        <family val="2"/>
      </rPr>
      <t>PLACA DE SINALIZAÇÃO EM PVC EXPANDIDO DE 70X20CM, ESPESSURA 3MM, ADESIVO DUPLA FACE SOBRE TODO O VERSO</t>
    </r>
  </si>
  <si>
    <r>
      <rPr>
        <sz val="10"/>
        <rFont val="Arial MT"/>
        <family val="2"/>
      </rPr>
      <t>S.04.000.026514</t>
    </r>
  </si>
  <si>
    <r>
      <rPr>
        <sz val="10"/>
        <rFont val="Arial MT"/>
        <family val="2"/>
      </rPr>
      <t>PARAFUSO AUTO-ATARRAXANTE COM FENDA, ZINCADO BRANCO DE 9,5 X 2,9 MM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</si>
  <si>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97.02.210.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</si>
  <si>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15.4.5</t>
    </r>
  </si>
  <si>
    <r>
      <rPr>
        <sz val="10"/>
        <rFont val="Arial MT"/>
        <family val="2"/>
      </rPr>
      <t>CPU2595</t>
    </r>
  </si>
  <si>
    <r>
      <rPr>
        <sz val="10"/>
        <rFont val="Arial MT"/>
        <family val="2"/>
      </rPr>
      <t>PLACA DE SINALIZACAO DE SEGURANCA CONTRA INCENDIO, FOTOLUMINESCENTE, RETANGULAR, *20 X 40* CM, EM PVC *2*</t>
    </r>
  </si>
  <si>
    <r>
      <rPr>
        <sz val="10"/>
        <rFont val="Arial MT"/>
        <family val="2"/>
      </rPr>
      <t>Composição de Referência: ORSE 11853.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</si>
  <si>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15.4.6</t>
    </r>
  </si>
  <si>
    <r>
      <rPr>
        <sz val="10"/>
        <rFont val="Arial MT"/>
        <family val="2"/>
      </rPr>
      <t>CPU2596</t>
    </r>
  </si>
  <si>
    <r>
      <rPr>
        <sz val="10"/>
        <rFont val="Arial MT"/>
        <family val="2"/>
      </rPr>
      <t>PLACA DE SINALIZAÇÃO EM PVC, COM INDICAÇÃO DE PROIBIÇÃO NORMATIVA</t>
    </r>
  </si>
  <si>
    <r>
      <rPr>
        <sz val="10"/>
        <rFont val="Arial MT"/>
        <family val="2"/>
      </rPr>
      <t>N.04.000.020305</t>
    </r>
  </si>
  <si>
    <r>
      <rPr>
        <sz val="10"/>
        <rFont val="Arial MT"/>
        <family val="2"/>
      </rPr>
      <t>PLACA DE SINALIZAÇÃO EM PVC, COM INDICAÇÃO DE PROIBIÇÃO NORMATIVA, (150X200X2MM); REF. P00111C DA ADVCOMM,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</si>
  <si>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97.02.198.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</si>
  <si>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15.4.7</t>
    </r>
  </si>
  <si>
    <r>
      <rPr>
        <sz val="10"/>
        <rFont val="Arial MT"/>
        <family val="2"/>
      </rPr>
      <t>CPU2597</t>
    </r>
  </si>
  <si>
    <r>
      <rPr>
        <sz val="10"/>
        <rFont val="Arial MT"/>
        <family val="2"/>
      </rPr>
      <t>PLACA DE SINALIZAÇÃO EM ALUMÍNIO 35 X 25 CM - "PERIGO - GÁS INFLAMÁVEL - PROIBIDO FUMAR"</t>
    </r>
  </si>
  <si>
    <r>
      <rPr>
        <sz val="10"/>
        <rFont val="Arial MT"/>
        <family val="2"/>
      </rPr>
      <t>H725</t>
    </r>
  </si>
  <si>
    <r>
      <rPr>
        <sz val="10"/>
        <rFont val="Arial MT"/>
        <family val="2"/>
      </rPr>
      <t>AGETOP</t>
    </r>
  </si>
  <si>
    <r>
      <rPr>
        <sz val="10"/>
        <rFont val="Arial MT"/>
        <family val="2"/>
      </rPr>
      <t>Composição de Referência: AGETOP CIVIL 091046.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</si>
  <si>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15.4.8</t>
    </r>
  </si>
  <si>
    <r>
      <rPr>
        <sz val="10"/>
        <rFont val="Arial MT"/>
        <family val="2"/>
      </rPr>
      <t>CPU2598</t>
    </r>
  </si>
  <si>
    <r>
      <rPr>
        <sz val="10"/>
        <rFont val="Arial MT"/>
        <family val="2"/>
      </rPr>
      <t>PLACA DE SINALIZACAO, FOTOLUMINESCENTE, 38X19 CM, EM PVC , COM SETA INDICATIVA DE SENTIDO (ESQUERDA OU</t>
    </r>
  </si>
  <si>
    <r>
      <rPr>
        <sz val="10"/>
        <rFont val="Arial MT"/>
        <family val="2"/>
      </rPr>
      <t>Placa de sinalizacao, fotoluminescente, 38x19 cm, em pvc , com seta indicativa de sentido (esquerda ou direita) de saída de emergência-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</si>
  <si>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12884.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</si>
  <si>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15.4.9</t>
    </r>
  </si>
  <si>
    <r>
      <rPr>
        <sz val="10"/>
        <rFont val="Arial MT"/>
        <family val="2"/>
      </rPr>
      <t>CPU2599</t>
    </r>
  </si>
  <si>
    <r>
      <rPr>
        <sz val="10"/>
        <rFont val="Arial MT"/>
        <family val="2"/>
      </rPr>
      <t>ABRIGO DE SOBREPOR EM CHAPA DE AÇO CARBONO PINTADO COM TINTA A BASE DE EPOXI VERMELHA, DIMENSÕES</t>
    </r>
  </si>
  <si>
    <r>
      <rPr>
        <sz val="10"/>
        <rFont val="Arial MT"/>
        <family val="2"/>
      </rPr>
      <t>Abrigo de sobrepor em chapa de aço carbono pintado com tinta a base de epoxi vermelha, dimensões 75x35x25cm</t>
    </r>
  </si>
  <si>
    <r>
      <rPr>
        <sz val="10"/>
        <rFont val="Arial MT"/>
        <family val="2"/>
      </rPr>
      <t>Composição de Referência: ORSE 10785.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</si>
  <si>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sz val="10"/>
        <rFont val="Arial MT"/>
        <family val="2"/>
      </rPr>
      <t>CPU2600</t>
    </r>
  </si>
  <si>
    <r>
      <rPr>
        <sz val="10"/>
        <rFont val="Arial MT"/>
        <family val="2"/>
      </rPr>
      <t>PLACA DE SINALIZAÇÃO DE SEGURANÇA CODIGO 14 - 315/158(NBR 13.434); CÓDIGO S3(NT 14/2010-ES) ("SAIDA DE</t>
    </r>
  </si>
  <si>
    <r>
      <rPr>
        <sz val="10"/>
        <rFont val="Arial MT"/>
        <family val="2"/>
      </rPr>
      <t>PLACA DE SINALIZAÇÃO DE EMERGÊNCIA DE ORIENTAÇÃO E SALVAMENTO , CONFORME ABNT NBR 13434/2004 E NT14/2010-</t>
    </r>
  </si>
  <si>
    <r>
      <rPr>
        <sz val="10"/>
        <rFont val="Arial MT"/>
        <family val="2"/>
      </rPr>
      <t>BUCHA PLASTICA COM PARAFUSO - 6MM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</si>
  <si>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IOPES 160612. A composição foi ajustada para utilizar os insumos e a mão de obra conforme a base SINAPI, garantindo maior aderência aos parâmetros de mercado e normativas vigentes. Apenas os insumos que não possuem correspondência na base SINAPI foram mantidos co</t>
    </r>
  </si>
  <si>
    <r>
      <rPr>
        <sz val="10"/>
        <rFont val="Arial MT"/>
        <family val="2"/>
      </rPr>
      <t>CPU2601</t>
    </r>
  </si>
  <si>
    <r>
      <rPr>
        <sz val="10"/>
        <rFont val="Arial MT"/>
        <family val="2"/>
      </rPr>
      <t>PLACA FOTOLUMINESCENTE DE SINALIZACAO DE SEGURANCA CONTRA IN CENDIO,PARA EQUIPAMENTOS DE COMBATE A</t>
    </r>
  </si>
  <si>
    <r>
      <rPr>
        <sz val="10"/>
        <rFont val="Arial MT"/>
        <family val="2"/>
      </rPr>
      <t>PLACA FOTOLUMINESCENTE SINALIZACAO SEG.C ONTRA INCENDIO P/EQUIP.COMB.INC.E ALARME ,PVC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</si>
  <si>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EMOP 05.054.0115-0. A composição foi ajustada para utilizar os insumos e a mão de obra conforme a base SINAPI, garantindo maior aderência aos parâmetros de mercado e normativas vigentes. Apenas os insumos que não possuem correspondência na base SINAPI foram manti</t>
    </r>
  </si>
  <si>
    <r>
      <rPr>
        <b/>
        <sz val="11"/>
        <rFont val="Arial"/>
        <family val="2"/>
      </rPr>
      <t>16.1.1</t>
    </r>
  </si>
  <si>
    <r>
      <rPr>
        <sz val="10"/>
        <rFont val="Arial MT"/>
        <family val="2"/>
      </rPr>
      <t>CPU2602</t>
    </r>
  </si>
  <si>
    <r>
      <rPr>
        <sz val="10"/>
        <rFont val="Arial MT"/>
        <family val="2"/>
      </rPr>
      <t>BUCHA COM ARRUELA EM LIGA ESPECIAL ZAMAK P/ELETRODUTO 32MM, D=1 1/4"</t>
    </r>
  </si>
  <si>
    <r>
      <rPr>
        <sz val="10"/>
        <rFont val="Arial MT"/>
        <family val="2"/>
      </rPr>
      <t>Bucha em liga zamak para eletroduto 32mm, d=1 1/4"</t>
    </r>
  </si>
  <si>
    <r>
      <rPr>
        <sz val="10"/>
        <rFont val="Arial MT"/>
        <family val="2"/>
      </rPr>
      <t>Arruela em liga zamak p/eletroduto 32mm, d=1 1/4 "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</si>
  <si>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9925.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</si>
  <si>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16.1.6</t>
    </r>
  </si>
  <si>
    <r>
      <rPr>
        <sz val="10"/>
        <rFont val="Arial MT"/>
        <family val="2"/>
      </rPr>
      <t>CPU2678</t>
    </r>
  </si>
  <si>
    <r>
      <rPr>
        <sz val="10"/>
        <rFont val="Arial MT"/>
        <family val="2"/>
      </rPr>
      <t>LEITOS - PORCA E ARRUELA 1/4""</t>
    </r>
  </si>
  <si>
    <r>
      <rPr>
        <sz val="10"/>
        <rFont val="Arial MT"/>
        <family val="2"/>
      </rPr>
      <t>ARRUELA LISA EM LATAO 1/4"</t>
    </r>
  </si>
  <si>
    <r>
      <rPr>
        <sz val="10"/>
        <rFont val="Arial MT"/>
        <family val="2"/>
      </rPr>
      <t>PORCA SEXTAVADA 1/4"</t>
    </r>
  </si>
  <si>
    <r>
      <rPr>
        <sz val="10"/>
        <rFont val="Arial MT"/>
        <family val="2"/>
      </rPr>
      <t xml:space="preserve">MO sem LS                                                   LS =&gt;                   0,00      MO com LS =&gt;
</t>
    </r>
    <r>
      <rPr>
        <sz val="10"/>
        <rFont val="Arial MT"/>
        <family val="2"/>
      </rPr>
      <t xml:space="preserve">Valor do BDI                                                              Valor com BDI
</t>
    </r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063445. Insumo descontinuado, portanto, utilizada composição SBC como referencia e alterado insumo 006359 para insumos IOPES 026554 e 049818</t>
    </r>
  </si>
  <si>
    <r>
      <rPr>
        <b/>
        <sz val="11"/>
        <rFont val="Arial"/>
        <family val="2"/>
      </rPr>
      <t>16.1.7</t>
    </r>
  </si>
  <si>
    <r>
      <rPr>
        <sz val="10"/>
        <rFont val="Arial MT"/>
        <family val="2"/>
      </rPr>
      <t>CPU2604</t>
    </r>
  </si>
  <si>
    <r>
      <rPr>
        <sz val="10"/>
        <rFont val="Arial MT"/>
        <family val="2"/>
      </rPr>
      <t>LEITOS - PORCA E ARRUELA 3/8""</t>
    </r>
  </si>
  <si>
    <r>
      <rPr>
        <sz val="10"/>
        <rFont val="Arial MT"/>
        <family val="2"/>
      </rPr>
      <t>ARRUELA ACO 3/8" x 1/2"</t>
    </r>
  </si>
  <si>
    <r>
      <rPr>
        <sz val="10"/>
        <rFont val="Arial MT"/>
        <family val="2"/>
      </rPr>
      <t>PORCA ZINCADA, SEXTAVADA, DIAMETRO 3/8"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</si>
  <si>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063444.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</si>
  <si>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16.1.8</t>
    </r>
  </si>
  <si>
    <r>
      <rPr>
        <sz val="10"/>
        <rFont val="Arial MT"/>
        <family val="2"/>
      </rPr>
      <t>CPU2605</t>
    </r>
  </si>
  <si>
    <r>
      <rPr>
        <sz val="10"/>
        <rFont val="Arial MT"/>
        <family val="2"/>
      </rPr>
      <t>CHUMBADOR CB 3/8""x2.1/2""+ PARAFUSO</t>
    </r>
  </si>
  <si>
    <r>
      <rPr>
        <sz val="10"/>
        <rFont val="Arial MT"/>
        <family val="2"/>
      </rPr>
      <t>CHUMBADOR CB 3/8"x2.1/2"+ PARAFUSO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</si>
  <si>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063120.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</si>
  <si>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16.1.9</t>
    </r>
  </si>
  <si>
    <r>
      <rPr>
        <sz val="10"/>
        <rFont val="Arial MT"/>
        <family val="2"/>
      </rPr>
      <t>CPU2606</t>
    </r>
  </si>
  <si>
    <r>
      <rPr>
        <sz val="10"/>
        <rFont val="Arial MT"/>
        <family val="2"/>
      </rPr>
      <t>PARAFUSO LENTILHA 42x13MM COM PORCA E ARRUELA</t>
    </r>
  </si>
  <si>
    <r>
      <rPr>
        <sz val="10"/>
        <rFont val="Arial MT"/>
        <family val="2"/>
      </rPr>
      <t>PARAFUSO LENTILHA 42x13mm COM PORCA E ARRUELA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</si>
  <si>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063111.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</si>
  <si>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CPU2607</t>
    </r>
  </si>
  <si>
    <r>
      <rPr>
        <sz val="10"/>
        <rFont val="Arial MT"/>
        <family val="2"/>
      </rPr>
      <t>SUPORTE PARA FIXACAO FITA ALUMINIO OU CABO COBRE NU</t>
    </r>
  </si>
  <si>
    <r>
      <rPr>
        <sz val="10"/>
        <rFont val="Arial MT"/>
        <family val="2"/>
      </rPr>
      <t>SUPORTE PARA FIXACAO DE FITA DE ALUMINIO 7/8"x1/8" COM BASE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</si>
  <si>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078583.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</si>
  <si>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CPU2608</t>
    </r>
  </si>
  <si>
    <r>
      <rPr>
        <sz val="10"/>
        <rFont val="Arial MT"/>
        <family val="2"/>
      </rPr>
      <t>VERGALHAO ACO GALV C/OM ROSCA TOTAL PARA PERFILADO 1/4""</t>
    </r>
  </si>
  <si>
    <r>
      <rPr>
        <sz val="10"/>
        <rFont val="Arial MT"/>
        <family val="2"/>
      </rPr>
      <t>INEL -</t>
    </r>
  </si>
  <si>
    <r>
      <rPr>
        <sz val="10"/>
        <rFont val="Arial MT"/>
        <family val="2"/>
      </rPr>
      <t>VERGALHAO ZINCADO ROSCA TOTAL, 1/4" (6,3 MM)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</si>
  <si>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062690. A composição foi ajustada para utilizar os insumos e a mão de obra conforme a base SINAPI, garantindo maior aderência aos parâmetros de mercado e normativas vigentes.</t>
    </r>
  </si>
  <si>
    <r>
      <rPr>
        <sz val="10"/>
        <rFont val="Arial MT"/>
        <family val="2"/>
      </rPr>
      <t>CPU2612</t>
    </r>
  </si>
  <si>
    <r>
      <rPr>
        <sz val="10"/>
        <rFont val="Arial MT"/>
        <family val="2"/>
      </rPr>
      <t>CAIXA DE PASSAGEM CH.DE ACO C/TAMPA APARAF. 200x200x100 PISO</t>
    </r>
  </si>
  <si>
    <r>
      <rPr>
        <sz val="10"/>
        <rFont val="Arial MT"/>
        <family val="2"/>
      </rPr>
      <t>CAIXA DE PASSAGEM SOBREPOR 200x200mm BRANCA METAL IP-44 GOMES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</si>
  <si>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061461.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</si>
  <si>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CPU2611</t>
    </r>
  </si>
  <si>
    <r>
      <rPr>
        <sz val="10"/>
        <rFont val="Arial MT"/>
        <family val="2"/>
      </rPr>
      <t>CAIXA DE PASSAGEM DE ACO C/ TAMPA APARAFUSADA 302X302X120</t>
    </r>
  </si>
  <si>
    <r>
      <rPr>
        <sz val="10"/>
        <rFont val="Arial MT"/>
        <family val="2"/>
      </rPr>
      <t>CAIXA DE PASSAGEM CHAPA DE ACO DE EMBUTIR COM TAMPA APARAFUSADA 302x302x122 CEMAR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</si>
  <si>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061462.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</si>
  <si>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CPU2613</t>
    </r>
  </si>
  <si>
    <r>
      <rPr>
        <sz val="10"/>
        <rFont val="Arial MT"/>
        <family val="2"/>
      </rPr>
      <t>PLACA COM UM FURO IMPERIA BRANCO IRIEL P/ SAIDA CABO DE SOM</t>
    </r>
  </si>
  <si>
    <r>
      <rPr>
        <sz val="10"/>
        <rFont val="Arial MT"/>
        <family val="2"/>
      </rPr>
      <t>PLACA COM UM FURO IMPERIA BRANCO IRIEL</t>
    </r>
  </si>
  <si>
    <r>
      <rPr>
        <sz val="10"/>
        <rFont val="Arial MT"/>
        <family val="2"/>
      </rPr>
      <t>Composição de Referência: SBC 059208.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</si>
  <si>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CPU2614</t>
    </r>
  </si>
  <si>
    <r>
      <rPr>
        <sz val="10"/>
        <rFont val="Arial MT"/>
        <family val="2"/>
      </rPr>
      <t>PLACA (ESPELHO) 1 POSTO HORIZONTAL 4x2 PIAL PLUS</t>
    </r>
  </si>
  <si>
    <r>
      <rPr>
        <sz val="10"/>
        <rFont val="Arial MT"/>
        <family val="2"/>
      </rPr>
      <t>PLACA 1 POSTO HORIZONTAL 4x2 PIAL PLUS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</si>
  <si>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062568.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</si>
  <si>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CPU2615</t>
    </r>
  </si>
  <si>
    <r>
      <rPr>
        <sz val="10"/>
        <rFont val="Arial MT"/>
        <family val="2"/>
      </rPr>
      <t>SENSOR DE PRESENCA (LIGA/DESLIGA)</t>
    </r>
  </si>
  <si>
    <r>
      <rPr>
        <sz val="10"/>
        <rFont val="Arial MT"/>
        <family val="2"/>
      </rPr>
      <t>ELETRODUTO DE PVC RIGIDO ROSCAVEL DE 1/2 ", SEM LUVA</t>
    </r>
  </si>
  <si>
    <r>
      <rPr>
        <sz val="10"/>
        <rFont val="Arial MT"/>
        <family val="2"/>
      </rPr>
      <t>CABO DE COBRE, FLEXIVEL, CLASSE 4 OU 5, ISOLACAO EM PVC/A, ANTICHAMA BWF-B, COBERTURA PVC-ST1, ANTICHAMA</t>
    </r>
  </si>
  <si>
    <r>
      <rPr>
        <sz val="10"/>
        <rFont val="Arial MT"/>
        <family val="2"/>
      </rPr>
      <t>BUCHA EM ALUMINIO, COM ROSCA, DE 1/2", PARA ELETRODUTO</t>
    </r>
  </si>
  <si>
    <r>
      <rPr>
        <sz val="10"/>
        <rFont val="Arial MT"/>
        <family val="2"/>
      </rPr>
      <t>CAIXA DE PASSAGEM, EM PVC, DE 4" X 2", PARA ELETRODUTO FLEXIVEL CORRUGADO</t>
    </r>
  </si>
  <si>
    <r>
      <rPr>
        <sz val="10"/>
        <rFont val="Arial MT"/>
        <family val="2"/>
      </rPr>
      <t>FITA ISOLANTE ADESIVA ANTICHAMA, USO ATE 750 V, EM ROLO DE 19 MM X 20 M</t>
    </r>
  </si>
  <si>
    <r>
      <rPr>
        <sz val="10"/>
        <rFont val="Arial MT"/>
        <family val="2"/>
      </rPr>
      <t>SENSOR DE PRESENCA LIGHTEX PARA PAREDE(LIGA/DESLIGA)</t>
    </r>
  </si>
  <si>
    <r>
      <rPr>
        <sz val="10"/>
        <rFont val="Arial MT"/>
        <family val="2"/>
      </rPr>
      <t>ARRUELA EM ALUMINIO, COM ROSCA, DE 1 1/2", PARA ELETRODUTO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</si>
  <si>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060380.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</si>
  <si>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CPU2616</t>
    </r>
  </si>
  <si>
    <r>
      <rPr>
        <sz val="10"/>
        <rFont val="Arial MT"/>
        <family val="2"/>
      </rPr>
      <t>RELÉ DE TEMPO ELETRÔNICO DE 3 ATÉ 30S - 220V - 50/60HZ</t>
    </r>
  </si>
  <si>
    <r>
      <rPr>
        <sz val="10"/>
        <rFont val="Arial MT"/>
        <family val="2"/>
      </rPr>
      <t>P.29.000.042164</t>
    </r>
  </si>
  <si>
    <r>
      <rPr>
        <sz val="10"/>
        <rFont val="Arial MT"/>
        <family val="2"/>
      </rPr>
      <t>RELÉ DE TEMPO ELETRÔNICO DE 3 - 30SEG 220V 50/60HZ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</si>
  <si>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40.11.240.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</si>
  <si>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sz val="10"/>
        <rFont val="Arial MT"/>
        <family val="2"/>
      </rPr>
      <t>CPU2692</t>
    </r>
  </si>
  <si>
    <r>
      <rPr>
        <sz val="10"/>
        <rFont val="Arial MT"/>
        <family val="2"/>
      </rPr>
      <t>DISJUNTOR TERMOMAGNÉTICO, BIPOLAR 220/380 V, CORRENTE DE 60 A ATÉ 100 A</t>
    </r>
  </si>
  <si>
    <r>
      <rPr>
        <sz val="10"/>
        <rFont val="Arial MT"/>
        <family val="2"/>
      </rPr>
      <t>P.26.000.044617</t>
    </r>
  </si>
  <si>
    <r>
      <rPr>
        <sz val="10"/>
        <rFont val="Arial MT"/>
        <family val="2"/>
      </rPr>
      <t>DISJUNTOR TERMOMAGNÉTICO, BIPOLAR 220/380V, CORRENTE DE 60 ATÉ 100A, CONFORME SELO DE CONFORMIDADE DO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</si>
  <si>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37.13.640.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</si>
  <si>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sz val="10"/>
        <rFont val="Arial MT"/>
        <family val="2"/>
      </rPr>
      <t>CPU2693</t>
    </r>
  </si>
  <si>
    <r>
      <rPr>
        <sz val="10"/>
        <rFont val="Arial MT"/>
        <family val="2"/>
      </rPr>
      <t>DISJUNTOR DIN TRIPOLAR 100A CURVA C STECK</t>
    </r>
  </si>
  <si>
    <r>
      <rPr>
        <sz val="10"/>
        <rFont val="Arial MT"/>
        <family val="2"/>
      </rPr>
      <t>DISJUNTOR TRIPOLAR 100A CURVA C SDD3C100 10KA STECK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</si>
  <si>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064035.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</si>
  <si>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CPU2694</t>
    </r>
  </si>
  <si>
    <r>
      <rPr>
        <sz val="10"/>
        <rFont val="Arial MT"/>
        <family val="2"/>
      </rPr>
      <t>DISJUNTOR CAIXA MOLDADA TERMOMAGNETICO FIXO, TRIPOLAR 200A, ICU: 50KA, 400/500VCA, REFERÊNCIA SIEMENS,</t>
    </r>
  </si>
  <si>
    <r>
      <rPr>
        <sz val="10"/>
        <rFont val="Arial MT"/>
        <family val="2"/>
      </rPr>
      <t>DISJUNTOR CAIXA MOLDADA TERMOMAGNETICO FIXO, TRIPOLAR 200A, ICU: 50KA, 400/500VCA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</si>
  <si>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IOPES 151334. A composição foi ajustada para utilizar os insumos e a mão de obra conforme a base SINAPI, garantindo maior aderência aos parâmetros de mercado e normativas vigentes. Apenas os insumos que não possuem correspondência na base SINAPI foram mantidos co</t>
    </r>
  </si>
  <si>
    <r>
      <rPr>
        <sz val="10"/>
        <rFont val="Arial MT"/>
        <family val="2"/>
      </rPr>
      <t>CPU2618</t>
    </r>
  </si>
  <si>
    <r>
      <rPr>
        <sz val="10"/>
        <rFont val="Arial MT"/>
        <family val="2"/>
      </rPr>
      <t>DISPOSITIVO PROTETOR DE SURTO 220V OU 127V, 20 KA, TRIFASICO</t>
    </r>
  </si>
  <si>
    <r>
      <rPr>
        <sz val="10"/>
        <rFont val="Arial MT"/>
        <family val="2"/>
      </rPr>
      <t>DISJUNTOR - DISPOSITIVO PROTETOR DE SURTO DPS CLASSE II 20 ka TRIPOLAR 275V SOPRANO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</si>
  <si>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064563.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</si>
  <si>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CPU2619</t>
    </r>
  </si>
  <si>
    <r>
      <rPr>
        <sz val="10"/>
        <rFont val="Arial MT"/>
        <family val="2"/>
      </rPr>
      <t>DISPOSITIVO DE PROTEÇÃO CONTRA SURTO, 1 POLO, SUPORTABILIDADE &amp;LT;= 4 KV, UN ATÉ 240V/415V, IIMP = 60 KA,</t>
    </r>
  </si>
  <si>
    <r>
      <rPr>
        <sz val="10"/>
        <rFont val="Arial MT"/>
        <family val="2"/>
      </rPr>
      <t>ELETROTÉCNICO COM ENCARGOS COMPLEMENTARES</t>
    </r>
  </si>
  <si>
    <r>
      <rPr>
        <sz val="10"/>
        <rFont val="Arial MT"/>
        <family val="2"/>
      </rPr>
      <t>P.12.000.049762</t>
    </r>
  </si>
  <si>
    <r>
      <rPr>
        <sz val="10"/>
        <rFont val="Arial MT"/>
        <family val="2"/>
      </rPr>
      <t>DISPOSITIVO DE PROTEÇÃO CONTRA SURTO, CLASSE 1, SUPORTABILIDADE &amp;LT;= 4 KV, 1 POLO; F+N, F+T OU F/PEN,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</si>
  <si>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37.24.042.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</si>
  <si>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sz val="10"/>
        <rFont val="Arial MT"/>
        <family val="2"/>
      </rPr>
      <t>CPU2621</t>
    </r>
  </si>
  <si>
    <r>
      <rPr>
        <sz val="10"/>
        <rFont val="Arial MT"/>
        <family val="2"/>
      </rPr>
      <t>DISPOSITIVO DIFERENCIAL DR ALTA SENSIB.(30MA) TETRAPOLAR 25A</t>
    </r>
  </si>
  <si>
    <r>
      <rPr>
        <sz val="10"/>
        <rFont val="Arial MT"/>
        <family val="2"/>
      </rPr>
      <t>DISJUNTOR - DISPOSITIVO DIF.RESIDUAL DR ALTA SENS. TETRAP.25A SDR22530 STECK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</si>
  <si>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064816.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</si>
  <si>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CPU2622</t>
    </r>
  </si>
  <si>
    <r>
      <rPr>
        <sz val="10"/>
        <rFont val="Arial MT"/>
        <family val="2"/>
      </rPr>
      <t>DISPOSITIVO DR TETRAPOLAR 100 A, TIPO AC, 30MA</t>
    </r>
  </si>
  <si>
    <r>
      <rPr>
        <sz val="10"/>
        <rFont val="Arial MT"/>
        <family val="2"/>
      </rPr>
      <t>DISPOSITIVO DR, 4 POLOS, SENSIBILIDADE DE 30 MA, CORRENTE DE 100 A, TIPO AC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</si>
  <si>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13149.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</si>
  <si>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sz val="10"/>
        <rFont val="Arial MT"/>
        <family val="2"/>
      </rPr>
      <t>CPU2623</t>
    </r>
  </si>
  <si>
    <r>
      <rPr>
        <sz val="10"/>
        <rFont val="Arial MT"/>
        <family val="2"/>
      </rPr>
      <t>SAIDA PARA ELETRODUTO MG2982 HORIZONTAL</t>
    </r>
  </si>
  <si>
    <r>
      <rPr>
        <sz val="10"/>
        <rFont val="Arial MT"/>
        <family val="2"/>
      </rPr>
      <t>ELETROCALHA - SAIDA HORIZONTAL PRE GALVANIZADA PARA ELETRODUTO 2.1/2" CHAPA 16</t>
    </r>
  </si>
  <si>
    <r>
      <rPr>
        <sz val="10"/>
        <rFont val="Arial MT"/>
        <family val="2"/>
      </rPr>
      <t>Composição de Referência: SBC 062571.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</si>
  <si>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CPU2624</t>
    </r>
  </si>
  <si>
    <r>
      <rPr>
        <sz val="10"/>
        <rFont val="Arial MT"/>
        <family val="2"/>
      </rPr>
      <t>SAIDA HORIZONTAL PARA ELETROCALHA 1 1/4""</t>
    </r>
  </si>
  <si>
    <r>
      <rPr>
        <sz val="10"/>
        <rFont val="Arial MT"/>
        <family val="2"/>
      </rPr>
      <t>ELETROCALHA - SAIDA HORIZONTAL PRE GALVANIZADA PARA ELETRODUTO 1 1/4" CHAPA 16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</si>
  <si>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063612.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</si>
  <si>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CPU2625</t>
    </r>
  </si>
  <si>
    <r>
      <rPr>
        <sz val="10"/>
        <rFont val="Arial MT"/>
        <family val="2"/>
      </rPr>
      <t>CURVA DE INVERSAO PARA ELETROCALHA 100X100MM CHAPA 20</t>
    </r>
  </si>
  <si>
    <r>
      <rPr>
        <sz val="10"/>
        <rFont val="Arial MT"/>
        <family val="2"/>
      </rPr>
      <t>ELETROCALHA - CURVA DE INVERSAO 100x100mm CHAPA 20</t>
    </r>
  </si>
  <si>
    <r>
      <rPr>
        <sz val="10"/>
        <rFont val="Arial MT"/>
        <family val="2"/>
      </rPr>
      <t>Composição de Referência: SBC 059412.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</si>
  <si>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CPU2626</t>
    </r>
  </si>
  <si>
    <r>
      <rPr>
        <sz val="10"/>
        <rFont val="Arial MT"/>
        <family val="2"/>
      </rPr>
      <t>ELETROCALHA PERFURADA TIPO ""U"" 100X100 CHAPA 22 SEM TAMPA</t>
    </r>
  </si>
  <si>
    <r>
      <rPr>
        <sz val="10"/>
        <rFont val="Arial MT"/>
        <family val="2"/>
      </rPr>
      <t>ELETROCALHA PERFURADA TIPO "U" 100x100mm CHAPA 22 NBR6323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</si>
  <si>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061108.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</si>
  <si>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CPU2627</t>
    </r>
  </si>
  <si>
    <r>
      <rPr>
        <sz val="10"/>
        <rFont val="Arial MT"/>
        <family val="2"/>
      </rPr>
      <t>SUPORTE VERTICAL 150 X 150 MM PARA FIXAÇÃO DE ELETROCALHA METÁLICA (REF.: MOPA OU SIMILAR)</t>
    </r>
  </si>
  <si>
    <r>
      <rPr>
        <sz val="10"/>
        <rFont val="Arial MT"/>
        <family val="2"/>
      </rPr>
      <t>Suporte vertical 150 x 150 mm para fixação de eletrocalha metálica (ref.: mopa ou similar)</t>
    </r>
  </si>
  <si>
    <r>
      <rPr>
        <sz val="10"/>
        <rFont val="Arial MT"/>
        <family val="2"/>
      </rPr>
      <t>Composição de Referência: ORSE 12488.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</si>
  <si>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sz val="10"/>
        <rFont val="Arial MT"/>
        <family val="2"/>
      </rPr>
      <t>CPU2628</t>
    </r>
  </si>
  <si>
    <r>
      <rPr>
        <sz val="10"/>
        <rFont val="Arial MT"/>
        <family val="2"/>
      </rPr>
      <t>TE VERTICAL DE SUBIDA PARA ELETROCALHA 100x100 CHAPA 20</t>
    </r>
  </si>
  <si>
    <r>
      <rPr>
        <sz val="10"/>
        <rFont val="Arial MT"/>
        <family val="2"/>
      </rPr>
      <t>ELETROCALHA - TE VERTICAL DE SUBIDA 100x100mm CHAPA 20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</si>
  <si>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063743.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</si>
  <si>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CPU2630</t>
    </r>
  </si>
  <si>
    <r>
      <rPr>
        <sz val="10"/>
        <rFont val="Arial MT"/>
        <family val="2"/>
      </rPr>
      <t>EMENDA PARA ELETROCALHA TIPO U 100X100</t>
    </r>
  </si>
  <si>
    <r>
      <rPr>
        <sz val="10"/>
        <rFont val="Arial MT"/>
        <family val="2"/>
      </rPr>
      <t>ELETROCALHA - EMENDA INTERNA INTEGRAL "U" 100x100mm CHAPA 22</t>
    </r>
  </si>
  <si>
    <r>
      <rPr>
        <sz val="10"/>
        <rFont val="Arial MT"/>
        <family val="2"/>
      </rPr>
      <t>Composição de Referência: SBC 063617.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</si>
  <si>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CPU2631</t>
    </r>
  </si>
  <si>
    <r>
      <rPr>
        <sz val="10"/>
        <rFont val="Arial MT"/>
        <family val="2"/>
      </rPr>
      <t>TERMINAL DE FECHAMENTO LISO,PARA ELETROCALHA PERFURADA OU LI SA,100X100MM.FORNECIMENTO E COLOCACAO</t>
    </r>
  </si>
  <si>
    <r>
      <rPr>
        <sz val="10"/>
        <rFont val="Arial MT"/>
        <family val="2"/>
      </rPr>
      <t>TERMINAL DE FECHAMENTO LISO, PARA ELETRO CALHA PERFURADA OU LISA, 100X100MM, PRE- ZINCADA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</si>
  <si>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EMOP 15.018.0952-0. A composição foi ajustada para utilizar os insumos e a mão de obra conforme a base SINAPI, garantindo maior aderência aos parâmetros de mercado e normativas vigentes. Apenas os insumos que não possuem correspondência na base SINAPI foram manti</t>
    </r>
  </si>
  <si>
    <r>
      <rPr>
        <sz val="10"/>
        <rFont val="Arial MT"/>
        <family val="2"/>
      </rPr>
      <t>CPU2632</t>
    </r>
  </si>
  <si>
    <r>
      <rPr>
        <sz val="10"/>
        <rFont val="Arial MT"/>
        <family val="2"/>
      </rPr>
      <t>ELETRODUTO GALVANIZADO CONFORME NBR13057 -  1 1/4´ COM ACESSÓRIOS</t>
    </r>
  </si>
  <si>
    <r>
      <rPr>
        <sz val="10"/>
        <rFont val="Arial MT"/>
        <family val="2"/>
      </rPr>
      <t>P.04.000.042173</t>
    </r>
  </si>
  <si>
    <r>
      <rPr>
        <sz val="10"/>
        <rFont val="Arial MT"/>
        <family val="2"/>
      </rPr>
      <t>ELETRODUTO COM COSTURA GALVANIZADO ELETROLITICAMENTE, DN = 1 1/4´ - NBR13057</t>
    </r>
  </si>
  <si>
    <r>
      <rPr>
        <sz val="10"/>
        <rFont val="Arial MT"/>
        <family val="2"/>
      </rPr>
      <t>Composição de Referência: CPOS/CDHU 38.04.080.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</si>
  <si>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sz val="10"/>
        <rFont val="Arial MT"/>
        <family val="2"/>
      </rPr>
      <t>CPU2633</t>
    </r>
  </si>
  <si>
    <r>
      <rPr>
        <sz val="10"/>
        <rFont val="Arial MT"/>
        <family val="2"/>
      </rPr>
      <t>LUMINÁRIA DE EMERGÊNCIA, DE SOBREPOR, TIPO BLOCO AUTÔNOMO, COM AUTONOMIA DE 1H, MODELO LLE-LLEDDF, DA</t>
    </r>
  </si>
  <si>
    <r>
      <rPr>
        <sz val="10"/>
        <rFont val="Arial MT"/>
        <family val="2"/>
      </rPr>
      <t>Luminária de emergência, de sobrepor, tipo bloco autônomo, com autonomia de 1h, modelo LLE-LLEDDF, da KBR ou si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</si>
  <si>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11867.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</si>
  <si>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sz val="10"/>
        <rFont val="Arial MT"/>
        <family val="2"/>
      </rPr>
      <t>CPU2634</t>
    </r>
  </si>
  <si>
    <r>
      <rPr>
        <sz val="10"/>
        <rFont val="Arial MT"/>
        <family val="2"/>
      </rPr>
      <t>P.16.000.067001</t>
    </r>
  </si>
  <si>
    <r>
      <rPr>
        <sz val="10"/>
        <rFont val="Arial MT"/>
        <family val="2"/>
      </rPr>
      <t>BLOCO AUTÔNOMO DE ILUMINAÇÃO DE EMERGÊNCIA LED, AUTONOMIA DE 3 HORAS, EQUIPADO COM 2 FARÓIS, FLUXO</t>
    </r>
  </si>
  <si>
    <r>
      <rPr>
        <sz val="10"/>
        <rFont val="Arial MT"/>
        <family val="2"/>
      </rPr>
      <t>Composição de Referência: CPOS/CDHU 50.05.312.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</si>
  <si>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sz val="10"/>
        <rFont val="Arial MT"/>
        <family val="2"/>
      </rPr>
      <t>CPU2635</t>
    </r>
  </si>
  <si>
    <r>
      <rPr>
        <sz val="10"/>
        <rFont val="Arial MT"/>
        <family val="2"/>
      </rPr>
      <t>SOQUETE OU BOCAL DE PORCELANA E27 DE TEMPO, REF.MT-2233, MARCA DECORLUX OU SIMILAR</t>
    </r>
  </si>
  <si>
    <r>
      <rPr>
        <sz val="10"/>
        <rFont val="Arial MT"/>
        <family val="2"/>
      </rPr>
      <t>Soquete ou bocal de louça (porcelana) E27 de tempo, ref.MT-2233, marca Decorlux ou similar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</si>
  <si>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8662.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</si>
  <si>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CPU2695</t>
    </r>
  </si>
  <si>
    <r>
      <rPr>
        <sz val="10"/>
        <rFont val="Arial MT"/>
        <family val="2"/>
      </rPr>
      <t>QUADRO DE DISTRIBUIÇÃO DE EMBUTIR, EM CHAPA DE AÇO, PARA ATÉ 70 DISJUNTORES, COM BARRAMENTO, PADRÃO DIN,</t>
    </r>
  </si>
  <si>
    <r>
      <rPr>
        <sz val="10"/>
        <rFont val="Arial MT"/>
        <family val="2"/>
      </rPr>
      <t>ARGAMASSA TRAÇO 1:3:12 (EM VOLUME DE CIMENTO, CAL E AREIA MÉDIA ÚMIDA) PARA EMBOÇO/MASSA</t>
    </r>
  </si>
  <si>
    <r>
      <rPr>
        <sz val="10"/>
        <rFont val="Arial MT"/>
        <family val="2"/>
      </rPr>
      <t>Quadro de distribuição de embutir em chapa de aço, p/até 70 disjuntores c/barramento, padrão DIN, Cemar ou similar</t>
    </r>
  </si>
  <si>
    <r>
      <rPr>
        <sz val="10"/>
        <rFont val="Arial MT"/>
        <family val="2"/>
      </rPr>
      <t>Composição de Referência: ORSE 12233.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</si>
  <si>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sz val="10"/>
        <rFont val="Arial MT"/>
        <family val="2"/>
      </rPr>
      <t>CPU2636</t>
    </r>
  </si>
  <si>
    <r>
      <rPr>
        <sz val="10"/>
        <rFont val="Arial MT"/>
        <family val="2"/>
      </rPr>
      <t>QUADRO DE DISTRIBUIÇÃO DE EMBUTIR, EM CHAPA DE AÇO, PARA ATÉ 32 DISJUNTORES, COM BARRAMENTO, PADRÃO DIN,</t>
    </r>
  </si>
  <si>
    <r>
      <rPr>
        <sz val="10"/>
        <rFont val="Arial MT"/>
        <family val="2"/>
      </rPr>
      <t>Quadro de distribuição de embutir em chapa de aço, p/até 32 disjuntores c/barramento, padrão DIN, Cemar ou similar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</si>
  <si>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12228.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</si>
  <si>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sz val="10"/>
        <rFont val="Arial MT"/>
        <family val="2"/>
      </rPr>
      <t>CPU2638</t>
    </r>
  </si>
  <si>
    <r>
      <rPr>
        <sz val="10"/>
        <rFont val="Arial MT"/>
        <family val="2"/>
      </rPr>
      <t>QUADRO GERAL DE DISTRIBUIÇÃO, EMBUTIR, COM BARRAMENTO, EM CHAPA DE AÇO, MEDINDO:1800X1100X250CM,</t>
    </r>
  </si>
  <si>
    <r>
      <rPr>
        <sz val="10"/>
        <rFont val="Arial MT"/>
        <family val="2"/>
      </rPr>
      <t>Quadro geral de distribuição de embutir, com barramento, em chapa galvaniz., medindo:1800x1100x250cm, exclusive disjuntores</t>
    </r>
  </si>
  <si>
    <r>
      <rPr>
        <sz val="10"/>
        <rFont val="Arial MT"/>
        <family val="2"/>
      </rPr>
      <t>Composição de Referência: ORSE 11112.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</si>
  <si>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16.2.1</t>
    </r>
  </si>
  <si>
    <r>
      <rPr>
        <sz val="10"/>
        <rFont val="Arial MT"/>
        <family val="2"/>
      </rPr>
      <t>CPU2639</t>
    </r>
  </si>
  <si>
    <r>
      <rPr>
        <sz val="10"/>
        <rFont val="Arial MT"/>
        <family val="2"/>
      </rPr>
      <t>LUMINARIA DE EMBUTIR PLAFON 18W LED BRANCO FRIO 22,5x22,5</t>
    </r>
  </si>
  <si>
    <r>
      <rPr>
        <sz val="10"/>
        <rFont val="Arial MT"/>
        <family val="2"/>
      </rPr>
      <t>FITA ISOLANTE HIGHLAND ADESIVA 19m x 20mm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</si>
  <si>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060121.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</si>
  <si>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16.2.2</t>
    </r>
  </si>
  <si>
    <r>
      <rPr>
        <sz val="10"/>
        <rFont val="Arial MT"/>
        <family val="2"/>
      </rPr>
      <t>CPU2696</t>
    </r>
  </si>
  <si>
    <r>
      <rPr>
        <sz val="10"/>
        <rFont val="Arial MT"/>
        <family val="2"/>
      </rPr>
      <t>LUMINARIA TIPO PLAFON COM PAINEL LED, 40X40CM, EMBUTIR, POTENCIA DE 36W, 4000K, LUZ NEUTRA, ELGIN OU SIMILAR -</t>
    </r>
  </si>
  <si>
    <r>
      <rPr>
        <sz val="10"/>
        <rFont val="Arial MT"/>
        <family val="2"/>
      </rPr>
      <t>AGESUL</t>
    </r>
  </si>
  <si>
    <r>
      <rPr>
        <sz val="10"/>
        <rFont val="Arial MT"/>
        <family val="2"/>
      </rPr>
      <t>LUMINARIA TIPO PLAFON COM PAINEL LED, 40X40CM, EMBUTIR, POTENCIA DE 36W, 4000K, LUZ NEUTRA, ELGIN OU SIMILAR</t>
    </r>
  </si>
  <si>
    <r>
      <rPr>
        <sz val="10"/>
        <rFont val="Arial MT"/>
        <family val="2"/>
      </rPr>
      <t>Composição de Referência: AGESUL 1201001004. A composição foi ajustada para utilizar os insumos e a mão de obra conforme a base SINAPI, garantindo maior aderência aos parâmetros de mercado e normativas vigentes. Apenas os insumos que não possuem correspondência na base SINAPI foram mant</t>
    </r>
  </si>
  <si>
    <r>
      <rPr>
        <b/>
        <sz val="11"/>
        <rFont val="Arial"/>
        <family val="2"/>
      </rPr>
      <t>16.2.3</t>
    </r>
  </si>
  <si>
    <r>
      <rPr>
        <sz val="10"/>
        <rFont val="Arial MT"/>
        <family val="2"/>
      </rPr>
      <t>CPU2697</t>
    </r>
  </si>
  <si>
    <r>
      <rPr>
        <sz val="10"/>
        <rFont val="Arial MT"/>
        <family val="2"/>
      </rPr>
      <t>LUMINARIA TIPO PLAFON COM PAINEL LED, 40X40CM, SOBREPOR, POTENCIA DE 36W, 4000K, LUZ NEUTRA, ELGIN OU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</si>
  <si>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AGESUL 1201001003. A composição foi ajustada para utilizar os insumos e a mão de obra conforme a base SINAPI, garantindo maior aderência aos parâmetros de mercado e normativas vigentes. Apenas os insumos que não possuem correspondência na base SINAPI foram mant</t>
    </r>
  </si>
  <si>
    <r>
      <rPr>
        <b/>
        <sz val="11"/>
        <rFont val="Arial"/>
        <family val="2"/>
      </rPr>
      <t>16.2.4</t>
    </r>
  </si>
  <si>
    <r>
      <rPr>
        <sz val="10"/>
        <rFont val="Arial MT"/>
        <family val="2"/>
      </rPr>
      <t>CPU2641</t>
    </r>
  </si>
  <si>
    <r>
      <rPr>
        <sz val="10"/>
        <rFont val="Arial MT"/>
        <family val="2"/>
      </rPr>
      <t>LUMINÁRIA DE EMBUTIR DE LED RETANGULAR, DIMENSÃO DE 60X20CM OU EQUIVALENTE. CORPO FABRICADO EM ALUMÍNIO</t>
    </r>
  </si>
  <si>
    <r>
      <rPr>
        <sz val="10"/>
        <rFont val="Arial MT"/>
        <family val="2"/>
      </rPr>
      <t>LUMINARIA DE EMBUTIR, PARA LAMPADA LED D E 25W (INCLUSIVE LAMPADA)</t>
    </r>
  </si>
  <si>
    <r>
      <rPr>
        <sz val="10"/>
        <rFont val="Arial MT"/>
        <family val="2"/>
      </rPr>
      <t>Composição de Referência: EMOP 18.027.0430-A. A composição foi ajustada para utilizar os insumos e a mão de obra conforme a base SINAPI, garantindo maior aderência aos parâmetros de mercado e normativas vigentes. Apenas os insumos que não possuem correspondência na base SINAPI foram mant</t>
    </r>
  </si>
  <si>
    <r>
      <rPr>
        <b/>
        <sz val="11"/>
        <rFont val="Arial"/>
        <family val="2"/>
      </rPr>
      <t>16.2.5</t>
    </r>
  </si>
  <si>
    <r>
      <rPr>
        <sz val="10"/>
        <rFont val="Arial MT"/>
        <family val="2"/>
      </rPr>
      <t>CPU2642</t>
    </r>
  </si>
  <si>
    <r>
      <rPr>
        <sz val="10"/>
        <rFont val="Arial MT"/>
        <family val="2"/>
      </rPr>
      <t>LUMINÁRIA PLAFON (SOBREPOR) 22,5 X 22,5 - 18 W - 6000K - G- LIGHT OU SIMILAR</t>
    </r>
  </si>
  <si>
    <r>
      <rPr>
        <sz val="10"/>
        <rFont val="Arial MT"/>
        <family val="2"/>
      </rPr>
      <t>Luminária  plafon (sobrepor) 22,5 x 22,5 - 18 W - 6000K - G- Light ou similar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</si>
  <si>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13157.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</si>
  <si>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16.2.6</t>
    </r>
  </si>
  <si>
    <r>
      <rPr>
        <sz val="10"/>
        <rFont val="Arial MT"/>
        <family val="2"/>
      </rPr>
      <t>CPU2643</t>
    </r>
  </si>
  <si>
    <r>
      <rPr>
        <sz val="10"/>
        <rFont val="Arial MT"/>
        <family val="2"/>
      </rPr>
      <t>LUMINÁRIA PLAFON LED QUADRADA DE EMBUTIR, 36W, 60X60 CM (MEDIDAS APROXIMADAS) - INCLUSO CORTE NO FORRO</t>
    </r>
  </si>
  <si>
    <r>
      <rPr>
        <sz val="10"/>
        <rFont val="Arial MT"/>
        <family val="2"/>
      </rPr>
      <t>LUMINÁRIA PLAFON LED QUADRADO DE EMBUTIR, CORPO METÁLICO, POTÊNCIA MÍNIMA DE 36W, FLUXO LUMINOSO IGUAL</t>
    </r>
  </si>
  <si>
    <r>
      <rPr>
        <sz val="10"/>
        <rFont val="Arial MT"/>
        <family val="2"/>
      </rPr>
      <t>Composição de Referência: AGETOP CIVIL 071695.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</si>
  <si>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16.2.7</t>
    </r>
  </si>
  <si>
    <r>
      <rPr>
        <sz val="10"/>
        <rFont val="Arial MT"/>
        <family val="2"/>
      </rPr>
      <t>CPU2645</t>
    </r>
  </si>
  <si>
    <r>
      <rPr>
        <sz val="10"/>
        <rFont val="Arial MT"/>
        <family val="2"/>
      </rPr>
      <t>ARANDELA LED 18W BRANCO FRIO TIPO TARTARUGA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</si>
  <si>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060496.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</si>
  <si>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16.2.8</t>
    </r>
  </si>
  <si>
    <r>
      <rPr>
        <sz val="10"/>
        <rFont val="Arial MT"/>
        <family val="2"/>
      </rPr>
      <t>CPU2646</t>
    </r>
  </si>
  <si>
    <r>
      <rPr>
        <sz val="10"/>
        <rFont val="Arial MT"/>
        <family val="2"/>
      </rPr>
      <t>LUMINÁRIA LED REDONDA DE EMBUTIR PARA PAREDE OU PISO, ÁREA INTERNA OU EXTERNA, BIVOLT - POTÊNCIA 6 W</t>
    </r>
  </si>
  <si>
    <r>
      <rPr>
        <sz val="10"/>
        <rFont val="Arial MT"/>
        <family val="2"/>
      </rPr>
      <t>B.07.000.049501</t>
    </r>
  </si>
  <si>
    <r>
      <rPr>
        <sz val="10"/>
        <rFont val="Arial MT"/>
        <family val="2"/>
      </rPr>
      <t>FITA ISOLANTE DE 20 M, REF. 3M SCOTH 33MR OU EQUIVALENTE - USO ESPECIAL</t>
    </r>
  </si>
  <si>
    <r>
      <rPr>
        <sz val="10"/>
        <rFont val="Arial MT"/>
        <family val="2"/>
      </rPr>
      <t>P.15.000.034123</t>
    </r>
  </si>
  <si>
    <r>
      <rPr>
        <sz val="10"/>
        <rFont val="Arial MT"/>
        <family val="2"/>
      </rPr>
      <t>LUMINÁRIA LED REDONTA DE EMBUTIR TIPO BALIZADOR, PARA PISO, POTÊNCIA 6W, 300LM / 360 LM, TEMPERATURA DE COR</t>
    </r>
  </si>
  <si>
    <r>
      <rPr>
        <sz val="10"/>
        <rFont val="Arial MT"/>
        <family val="2"/>
      </rPr>
      <t>Composição de Referência: CPOS/CDHU 41.11.712.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</si>
  <si>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16.3.1</t>
    </r>
  </si>
  <si>
    <r>
      <rPr>
        <sz val="10"/>
        <rFont val="Arial MT"/>
        <family val="2"/>
      </rPr>
      <t>CPU2649</t>
    </r>
  </si>
  <si>
    <r>
      <rPr>
        <sz val="10"/>
        <rFont val="Arial MT"/>
        <family val="2"/>
      </rPr>
      <t>CAIXA DE EQUIPOTENCIALIZAÇÃO EM AÇO 200X200X90MM, PARA EMBUTIR COM TAMPA, COM9 TERMINAIS, REF:TEL-901 OU</t>
    </r>
  </si>
  <si>
    <r>
      <rPr>
        <sz val="10"/>
        <rFont val="Arial MT"/>
        <family val="2"/>
      </rPr>
      <t>Caixa de equipotencialização em aço 200x200x90mm, para embutir com tampa, com9 terminais, ref:TEL-901 ou similar (SPDA)</t>
    </r>
  </si>
  <si>
    <r>
      <rPr>
        <sz val="10"/>
        <rFont val="Arial MT"/>
        <family val="2"/>
      </rPr>
      <t>Composição de Referência: ORSE 11273.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</si>
  <si>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16.3.9</t>
    </r>
  </si>
  <si>
    <r>
      <rPr>
        <sz val="10"/>
        <rFont val="Arial MT"/>
        <family val="2"/>
      </rPr>
      <t>CPU2650</t>
    </r>
  </si>
  <si>
    <r>
      <rPr>
        <sz val="10"/>
        <rFont val="Arial MT"/>
        <family val="2"/>
      </rPr>
      <t>CABO DE COBRE NU MEIO DURO 7 FIOS 35MM2</t>
    </r>
  </si>
  <si>
    <r>
      <rPr>
        <sz val="10"/>
        <rFont val="Arial MT"/>
        <family val="2"/>
      </rPr>
      <t>CABO DE COBRE NU MEIO DURO 7 FIOS 35mm2 (1AWG)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</si>
  <si>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078206.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</si>
  <si>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CPU2651</t>
    </r>
  </si>
  <si>
    <r>
      <rPr>
        <sz val="10"/>
        <rFont val="Arial MT"/>
        <family val="2"/>
      </rPr>
      <t>CABO DE COBRE NU MEIO DURO 7 FIOS 50MM2</t>
    </r>
  </si>
  <si>
    <r>
      <rPr>
        <sz val="10"/>
        <rFont val="Arial MT"/>
        <family val="2"/>
      </rPr>
      <t>CABO DE COBRE NU 50 MM2 MEIO-DURO</t>
    </r>
  </si>
  <si>
    <r>
      <rPr>
        <sz val="10"/>
        <rFont val="Arial MT"/>
        <family val="2"/>
      </rPr>
      <t>Composição de Referência: SBC 078212.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</si>
  <si>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17.1.5</t>
    </r>
  </si>
  <si>
    <r>
      <rPr>
        <sz val="10"/>
        <rFont val="Arial MT"/>
        <family val="2"/>
      </rPr>
      <t>CPU2652</t>
    </r>
  </si>
  <si>
    <r>
      <rPr>
        <sz val="10"/>
        <rFont val="Arial MT"/>
        <family val="2"/>
      </rPr>
      <t>CABO DE COBRE PP CORDPLAST 4 X 2,5 MM2, 450/750V - FORNECIMENTO E INSTALAÇÃO</t>
    </r>
  </si>
  <si>
    <r>
      <rPr>
        <sz val="10"/>
        <rFont val="Arial MT"/>
        <family val="2"/>
      </rPr>
      <t>Cabo de cobre PP Cordplast 4 x 2,5 mm2, 450/750v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</si>
  <si>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11412.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</si>
  <si>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17.1.6</t>
    </r>
  </si>
  <si>
    <r>
      <rPr>
        <sz val="10"/>
        <rFont val="Arial MT"/>
        <family val="2"/>
      </rPr>
      <t>CPU2653</t>
    </r>
  </si>
  <si>
    <r>
      <rPr>
        <sz val="10"/>
        <rFont val="Arial MT"/>
        <family val="2"/>
      </rPr>
      <t>CAIXA PARA ENCAIXE E INSTALACAO APARELHO AR CONDICIONADO</t>
    </r>
  </si>
  <si>
    <r>
      <rPr>
        <sz val="10"/>
        <rFont val="Arial MT"/>
        <family val="2"/>
      </rPr>
      <t>TABUA DE MADEIRA PARA PISO, CUMARU/IPE CHAMPANHE OU EQUIVALENTE DA REGIAO, ENCAIXE MACHO/FEMEA, *10 X 2*</t>
    </r>
  </si>
  <si>
    <r>
      <rPr>
        <sz val="10"/>
        <rFont val="Arial MT"/>
        <family val="2"/>
      </rPr>
      <t>Composição de Referência: SBC 200065.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</si>
  <si>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17.1.7</t>
    </r>
  </si>
  <si>
    <r>
      <rPr>
        <sz val="10"/>
        <rFont val="Arial MT"/>
        <family val="2"/>
      </rPr>
      <t>CPU2654</t>
    </r>
  </si>
  <si>
    <r>
      <rPr>
        <sz val="10"/>
        <rFont val="Arial MT"/>
        <family val="2"/>
      </rPr>
      <t>TOMADA AR EXTERIOR+VENEZIANA C/ REGISTRO EM ALUMINIO 500X400</t>
    </r>
  </si>
  <si>
    <r>
      <rPr>
        <sz val="10"/>
        <rFont val="Arial MT"/>
        <family val="2"/>
      </rPr>
      <t>MECÂNICO DE REFRIGERAÇÃO COM ENCARGOS COMPLEMENTARES</t>
    </r>
  </si>
  <si>
    <r>
      <rPr>
        <sz val="10"/>
        <rFont val="Arial MT"/>
        <family val="2"/>
      </rPr>
      <t>AUXILIAR DE MECÂNICO COM ENCARGOS COMPLEMENTARES</t>
    </r>
  </si>
  <si>
    <r>
      <rPr>
        <sz val="10"/>
        <rFont val="Arial MT"/>
        <family val="2"/>
      </rPr>
      <t>TOMADA AR EXTERIOR + VENEZIANA COM REGISTRO 500x400mm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</si>
  <si>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070909.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</si>
  <si>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17.1.8</t>
    </r>
  </si>
  <si>
    <r>
      <rPr>
        <sz val="10"/>
        <rFont val="Arial MT"/>
        <family val="2"/>
      </rPr>
      <t>CPU2655</t>
    </r>
  </si>
  <si>
    <r>
      <rPr>
        <sz val="10"/>
        <rFont val="Arial MT"/>
        <family val="2"/>
      </rPr>
      <t>TOMADA AR EXTERIOR+VENEZIANA C/ REGISTRO EM ALUMINIO 750X150</t>
    </r>
  </si>
  <si>
    <r>
      <rPr>
        <sz val="10"/>
        <rFont val="Arial MT"/>
        <family val="2"/>
      </rPr>
      <t>TOMADA AR EXTERIOR + VENEZIANA COM REGISTRO 750x150mm</t>
    </r>
  </si>
  <si>
    <r>
      <rPr>
        <sz val="10"/>
        <rFont val="Arial MT"/>
        <family val="2"/>
      </rPr>
      <t>Composição de Referência: SBC 070313.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</si>
  <si>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CPU2656</t>
    </r>
  </si>
  <si>
    <r>
      <rPr>
        <sz val="10"/>
        <rFont val="Arial MT"/>
        <family val="2"/>
      </rPr>
      <t>DUTO PARA EXAUSTAO DE AR/VENTILACAO,CHAVETADO EM CHAPA DE AC O GALVANIZADO,NAS DIVERSAS</t>
    </r>
  </si>
  <si>
    <r>
      <rPr>
        <sz val="10"/>
        <rFont val="Arial MT"/>
        <family val="2"/>
      </rPr>
      <t>FINCAPINO CURTO CALIBRE 22, CARGA MEDIA POTENCIA 5 (PARA FERRAMENTA DE ACAO DIRETA) COR VERMELHA</t>
    </r>
  </si>
  <si>
    <r>
      <rPr>
        <sz val="10"/>
        <rFont val="Arial MT"/>
        <family val="2"/>
      </rPr>
      <t>DIFUSOR QUADRADO EM ALUMINIO EXTRUDADO 1 5" X 15", TROPICAL OU SIMILAR</t>
    </r>
  </si>
  <si>
    <r>
      <rPr>
        <sz val="10"/>
        <rFont val="Arial MT"/>
        <family val="2"/>
      </rPr>
      <t>GRELHA RETANGULAR DE SIMPLES DEFLEXAO, A LETAS VERTICAIS, EM ALUMINIO EXTRUDADO 4 00X150MM, TROPICAL OU</t>
    </r>
  </si>
  <si>
    <r>
      <rPr>
        <sz val="10"/>
        <rFont val="Arial MT"/>
        <family val="2"/>
      </rPr>
      <t>CHAPA DE ACO CARBONO, GALVANIZADA, PARA USOS GERAIS, TAMANHO PADRAO, PRECO DE RE VENDEDOR, COM</t>
    </r>
  </si>
  <si>
    <r>
      <rPr>
        <sz val="10"/>
        <rFont val="Arial MT"/>
        <family val="2"/>
      </rPr>
      <t>CANTONEIRA ACO ABAS IGUAIS (QUALQUER BITOLA), ESPESSURA ENTRE 1/8" E 1/4"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</si>
  <si>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EMOP 15.005.0280-0. A composição foi ajustada para utilizar os insumos e a mão de obra conforme a base SINAPI, garantindo maior aderência aos parâmetros de mercado e normativas vigentes. Apenas os insumos que não possuem correspondência na base SINAPI foram manti</t>
    </r>
  </si>
  <si>
    <r>
      <rPr>
        <sz val="10"/>
        <rFont val="Arial MT"/>
        <family val="2"/>
      </rPr>
      <t>CPU2698</t>
    </r>
  </si>
  <si>
    <r>
      <rPr>
        <sz val="10"/>
        <rFont val="Arial MT"/>
        <family val="2"/>
      </rPr>
      <t>DUTO FLEXIVEL DE ALUMINIO C/ ISOLAM. TERM.LA VIDRO 125MM 5""</t>
    </r>
  </si>
  <si>
    <r>
      <rPr>
        <sz val="10"/>
        <rFont val="Arial MT"/>
        <family val="2"/>
      </rPr>
      <t>MONTADOR (TUBO AÇO/EQUIPAMENTOS) COM ENCARGOS COMPLEMENTARES</t>
    </r>
  </si>
  <si>
    <r>
      <rPr>
        <sz val="10"/>
        <rFont val="Arial MT"/>
        <family val="2"/>
      </rPr>
      <t>AJUDANTE ESPECIALIZADO COM ENCARGOS COMPLEMENTARES</t>
    </r>
  </si>
  <si>
    <r>
      <rPr>
        <sz val="10"/>
        <rFont val="Arial MT"/>
        <family val="2"/>
      </rPr>
      <t>DUTO ALUMINIZADO FLEXIVEL SEM ISOLAMENTO 24" 610mm</t>
    </r>
  </si>
  <si>
    <r>
      <rPr>
        <sz val="10"/>
        <rFont val="Arial MT"/>
        <family val="2"/>
      </rPr>
      <t>Composição de Referência: SBC 070662.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</si>
  <si>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sz val="10"/>
        <rFont val="Arial MT"/>
        <family val="2"/>
      </rPr>
      <t>CPU2658</t>
    </r>
  </si>
  <si>
    <r>
      <rPr>
        <sz val="10"/>
        <rFont val="Arial MT"/>
        <family val="2"/>
      </rPr>
      <t>BARRA ROSCADA BICROMATIZADA Ø 3/8" X 3000MM</t>
    </r>
  </si>
  <si>
    <r>
      <rPr>
        <sz val="10"/>
        <rFont val="Arial MT"/>
        <family val="2"/>
      </rPr>
      <t>Barra roscada bicromatizada ø 3/8" x 3000mm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</si>
  <si>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12498.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</si>
  <si>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sz val="10"/>
        <rFont val="Arial MT"/>
        <family val="2"/>
      </rPr>
      <t>CPU2659</t>
    </r>
  </si>
  <si>
    <r>
      <rPr>
        <sz val="10"/>
        <rFont val="Arial MT"/>
        <family val="2"/>
      </rPr>
      <t>FORNECIMENTO E INSTALAÇÃO DE PORCA SEXTAVADA 3/8" (REF VL 1.55 VALEMAM OU SIMILAR)</t>
    </r>
  </si>
  <si>
    <r>
      <rPr>
        <sz val="10"/>
        <rFont val="Arial MT"/>
        <family val="2"/>
      </rPr>
      <t>Composição de Referência: ORSE 721. A composição foi ajustada para utilizar os insumos e a mão de obra conforme a base SINAPI, garantindo maior aderência aos parâmetros de mercado e normativas vigentes. Apenas os insumos que não possuem correspondência na base SINAPI foram mantidos confor</t>
    </r>
  </si>
  <si>
    <r>
      <rPr>
        <b/>
        <sz val="11"/>
        <rFont val="Arial"/>
        <family val="2"/>
      </rPr>
      <t>17.2.1</t>
    </r>
  </si>
  <si>
    <r>
      <rPr>
        <sz val="10"/>
        <rFont val="Arial MT"/>
        <family val="2"/>
      </rPr>
      <t>CPU2660</t>
    </r>
  </si>
  <si>
    <r>
      <rPr>
        <sz val="10"/>
        <rFont val="Arial MT"/>
        <family val="2"/>
      </rPr>
      <t>EXAUSTOR CENTRIFUGO SIROCO TRIFASICO MODELO EC4-TN</t>
    </r>
  </si>
  <si>
    <r>
      <rPr>
        <sz val="10"/>
        <rFont val="Arial MT"/>
        <family val="2"/>
      </rPr>
      <t>EXAUSTOR CENTRIFUGO SIROCO TRIFASICO MODELO EC4-TN-2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</si>
  <si>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070876.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</si>
  <si>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17.2.2</t>
    </r>
  </si>
  <si>
    <r>
      <rPr>
        <sz val="10"/>
        <rFont val="Arial MT"/>
        <family val="2"/>
      </rPr>
      <t>CPU2661</t>
    </r>
  </si>
  <si>
    <r>
      <rPr>
        <sz val="10"/>
        <rFont val="Arial MT"/>
        <family val="2"/>
      </rPr>
      <t>EXAUSTOR CENTRIFUGO SIROCO TRIFASICO EC5-TN-3</t>
    </r>
  </si>
  <si>
    <r>
      <rPr>
        <sz val="10"/>
        <rFont val="Arial MT"/>
        <family val="2"/>
      </rPr>
      <t>EXAUSTOR CENTRIFUGO SIROCO TRIFASICO EC5-TN-3 ARRANJO 4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</si>
  <si>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070901.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</si>
  <si>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17.2.3</t>
    </r>
  </si>
  <si>
    <r>
      <rPr>
        <sz val="10"/>
        <rFont val="Arial MT"/>
        <family val="2"/>
      </rPr>
      <t>CPU2663</t>
    </r>
  </si>
  <si>
    <r>
      <rPr>
        <sz val="10"/>
        <rFont val="Arial MT"/>
        <family val="2"/>
      </rPr>
      <t>CAIXA DE VENTILACAO PARA FORRO CAB-250 - 220V - S&amp;P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</si>
  <si>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070216.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</si>
  <si>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17.2.4</t>
    </r>
  </si>
  <si>
    <r>
      <rPr>
        <sz val="10"/>
        <rFont val="Arial MT"/>
        <family val="2"/>
      </rPr>
      <t>CPU2664</t>
    </r>
  </si>
  <si>
    <r>
      <rPr>
        <sz val="10"/>
        <rFont val="Arial MT"/>
        <family val="2"/>
      </rPr>
      <t>CAIXA DE VENTILACAO PARA FORRO COLARINHO COM BOCAL CVM2500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</si>
  <si>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070213.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</si>
  <si>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17.2.5</t>
    </r>
  </si>
  <si>
    <r>
      <rPr>
        <sz val="10"/>
        <rFont val="Arial MT"/>
        <family val="2"/>
      </rPr>
      <t>CPU2662</t>
    </r>
  </si>
  <si>
    <r>
      <rPr>
        <sz val="10"/>
        <rFont val="Arial MT"/>
        <family val="2"/>
      </rPr>
      <t>CAIXA DE VENTILACAO PARA FORRO MODELO: CAB-250N - 220V - S&amp;P</t>
    </r>
  </si>
  <si>
    <r>
      <rPr>
        <sz val="10"/>
        <rFont val="Arial MT"/>
        <family val="2"/>
      </rPr>
      <t>CAIXA DE VENTILACAO PARA FORRO CAB-250N- 220V - S&amp;P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</si>
  <si>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073411.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</si>
  <si>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17.2.6</t>
    </r>
  </si>
  <si>
    <r>
      <rPr>
        <sz val="10"/>
        <rFont val="Arial MT"/>
        <family val="2"/>
      </rPr>
      <t>CPU2665</t>
    </r>
  </si>
  <si>
    <r>
      <rPr>
        <sz val="10"/>
        <rFont val="Arial MT"/>
        <family val="2"/>
      </rPr>
      <t>EXAUSTOR AXIAL MULTIVAC MODELO MURO 150A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</si>
  <si>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070205.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</si>
  <si>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18.4</t>
    </r>
  </si>
  <si>
    <r>
      <rPr>
        <sz val="10"/>
        <rFont val="Arial MT"/>
        <family val="2"/>
      </rPr>
      <t>CPU2699</t>
    </r>
  </si>
  <si>
    <r>
      <rPr>
        <sz val="10"/>
        <rFont val="Arial MT"/>
        <family val="2"/>
      </rPr>
      <t>CHUMBADOR 3/8"" X 2.1/2"" COM PARAFUSO CBA/CB/CBT ZINCADO</t>
    </r>
  </si>
  <si>
    <r>
      <rPr>
        <sz val="10"/>
        <rFont val="Arial MT"/>
        <family val="2"/>
      </rPr>
      <t>CHUMBADOR 3/8" X 2.1/2" COM PARAFUSO CBA/CB/CBT ZINCADO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</si>
  <si>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040395.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</si>
  <si>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18.12</t>
    </r>
  </si>
  <si>
    <r>
      <rPr>
        <sz val="10"/>
        <rFont val="Arial MT"/>
        <family val="2"/>
      </rPr>
      <t>CPU2669</t>
    </r>
  </si>
  <si>
    <r>
      <rPr>
        <sz val="10"/>
        <rFont val="Arial MT"/>
        <family val="2"/>
      </rPr>
      <t>TÊ HORIZONTAL 75 X 50 MM PARA ELETROCALHA METÁLICA (REF. MOPA OU SIMILAR)</t>
    </r>
  </si>
  <si>
    <r>
      <rPr>
        <sz val="10"/>
        <rFont val="Arial MT"/>
        <family val="2"/>
      </rPr>
      <t>Tê horizontal 75 x 50 mm para eletrocalha metálica (ref. Mopa ou similar)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</si>
  <si>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9426.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</si>
  <si>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18.13</t>
    </r>
  </si>
  <si>
    <r>
      <rPr>
        <sz val="10"/>
        <rFont val="Arial MT"/>
        <family val="2"/>
      </rPr>
      <t>CPU2667</t>
    </r>
  </si>
  <si>
    <r>
      <rPr>
        <sz val="10"/>
        <rFont val="Arial MT"/>
        <family val="2"/>
      </rPr>
      <t>FORNECIMENTO E INSTALAÇÃO DE ELETROCALHA METÁLICA  75 X  50 X 3000 MM (REF. VL 3.01 GE 75/50 VALEMAM OU</t>
    </r>
  </si>
  <si>
    <r>
      <rPr>
        <sz val="10"/>
        <rFont val="Arial MT"/>
        <family val="2"/>
      </rPr>
      <t>Eletrocalha metálica perfurada 75 x 50 x 3000 mm (ref. vl 3.01 75/50 ge valemam ou similar)</t>
    </r>
  </si>
  <si>
    <r>
      <rPr>
        <sz val="10"/>
        <rFont val="Arial MT"/>
        <family val="2"/>
      </rPr>
      <t>Cartela de bucha S-8 com 10 conjuntos de bucha/parafuso</t>
    </r>
  </si>
  <si>
    <r>
      <rPr>
        <sz val="10"/>
        <rFont val="Arial MT"/>
        <family val="2"/>
      </rPr>
      <t>cartel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</si>
  <si>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749. A composição foi ajustada para utilizar os insumos e a mão de obra conforme a base SINAPI, garantindo maior aderência aos parâmetros de mercado e normativas vigentes. Apenas os insumos que não possuem correspondência na base SINAPI foram mantidos confor</t>
    </r>
  </si>
  <si>
    <r>
      <rPr>
        <b/>
        <sz val="11"/>
        <rFont val="Arial"/>
        <family val="2"/>
      </rPr>
      <t>18.14</t>
    </r>
  </si>
  <si>
    <r>
      <rPr>
        <sz val="10"/>
        <rFont val="Arial MT"/>
        <family val="2"/>
      </rPr>
      <t>CPU2668</t>
    </r>
  </si>
  <si>
    <r>
      <rPr>
        <sz val="10"/>
        <rFont val="Arial MT"/>
        <family val="2"/>
      </rPr>
      <t>SUPORTE VERTICAL  100 X 100 MM  PARA FIXAÇÃO DE ELETROCALHA METÁLICA ( REF.: MOPA OU SIMILAR)</t>
    </r>
  </si>
  <si>
    <r>
      <rPr>
        <sz val="10"/>
        <rFont val="Arial MT"/>
        <family val="2"/>
      </rPr>
      <t>Suporte vertical  100 x 100 mm  para fixação de eletrocalha metálica ( ref.: Mopa ou similar)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</si>
  <si>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8695.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</si>
  <si>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18.15</t>
    </r>
  </si>
  <si>
    <r>
      <rPr>
        <sz val="10"/>
        <rFont val="Arial MT"/>
        <family val="2"/>
      </rPr>
      <t>CPU2670</t>
    </r>
  </si>
  <si>
    <r>
      <rPr>
        <sz val="10"/>
        <rFont val="Arial MT"/>
        <family val="2"/>
      </rPr>
      <t>EMENDA INTERNA PARA ELETROCALHA 50x50</t>
    </r>
  </si>
  <si>
    <r>
      <rPr>
        <sz val="10"/>
        <rFont val="Arial MT"/>
        <family val="2"/>
      </rPr>
      <t>ELETROCALHA - EMENDA INTERNA INTEGRAL "U" 50x50mm CHAPA 22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</si>
  <si>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SBC 063747.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</si>
  <si>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18.16</t>
    </r>
  </si>
  <si>
    <r>
      <rPr>
        <sz val="10"/>
        <rFont val="Arial MT"/>
        <family val="2"/>
      </rPr>
      <t>CPU2671</t>
    </r>
  </si>
  <si>
    <r>
      <rPr>
        <sz val="10"/>
        <rFont val="Arial MT"/>
        <family val="2"/>
      </rPr>
      <t>TERMINAL 75 X 50 MM PARA ELETROCALHA METALICA (REF. VL 3.01-25 GE VALEMAM OU SIMILAR)</t>
    </r>
  </si>
  <si>
    <r>
      <rPr>
        <sz val="10"/>
        <rFont val="Arial MT"/>
        <family val="2"/>
      </rPr>
      <t>Terminal 75 x 50 mm para eletrocalha perfurada metalica (ref. vl 3.01-25 ge valemam ou similar)</t>
    </r>
  </si>
  <si>
    <r>
      <rPr>
        <sz val="10"/>
        <rFont val="Arial MT"/>
        <family val="2"/>
      </rPr>
      <t>Composição de Referência: ORSE 699. A composição foi ajustada para utilizar os insumos e a mão de obra conforme a base SINAPI, garantindo maior aderência aos parâmetros de mercado e normativas vigentes. Apenas os insumos que não possuem correspondência na base SINAPI foram mantidos confor</t>
    </r>
  </si>
  <si>
    <r>
      <rPr>
        <b/>
        <sz val="11"/>
        <rFont val="Arial"/>
        <family val="2"/>
      </rPr>
      <t>18.21</t>
    </r>
  </si>
  <si>
    <r>
      <rPr>
        <sz val="10"/>
        <rFont val="Arial MT"/>
        <family val="2"/>
      </rPr>
      <t>CPU2672</t>
    </r>
  </si>
  <si>
    <r>
      <rPr>
        <sz val="10"/>
        <rFont val="Arial MT"/>
        <family val="2"/>
      </rPr>
      <t>TOMADA PARA TV, TIPO PINO JACK, COM PLACA</t>
    </r>
  </si>
  <si>
    <r>
      <rPr>
        <sz val="10"/>
        <rFont val="Arial MT"/>
        <family val="2"/>
      </rPr>
      <t>P.13.000.042351</t>
    </r>
  </si>
  <si>
    <r>
      <rPr>
        <sz val="10"/>
        <rFont val="Arial MT"/>
        <family val="2"/>
      </rPr>
      <t>TOMADA PARA TV, TIPO PINO JACK, COM PLACA, REF. LINHA TRII DA TRAMONTINA, SIMON, PIAL LEGRAND, OU EQUIVALENTE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</si>
  <si>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CPOS/CDHU 69.20.340. A composição foi ajustada para utilizar os insumos e a mão de obra conforme a base SINAPI, garantindo maior aderência aos parâmetros de mercado e normativas vigentes. Apenas os insumos que não possuem correspondência na base SINAPI foram ma</t>
    </r>
  </si>
  <si>
    <r>
      <rPr>
        <b/>
        <sz val="11"/>
        <rFont val="Arial"/>
        <family val="2"/>
      </rPr>
      <t>19.3.1</t>
    </r>
  </si>
  <si>
    <r>
      <rPr>
        <sz val="10"/>
        <rFont val="Arial MT"/>
        <family val="2"/>
      </rPr>
      <t>CPU2673</t>
    </r>
  </si>
  <si>
    <r>
      <rPr>
        <sz val="10"/>
        <rFont val="Arial MT"/>
        <family val="2"/>
      </rPr>
      <t>LETRA EM AÇO INOX ESCOVADO/POLIDO 20 X 20CM - INSTALADO</t>
    </r>
  </si>
  <si>
    <r>
      <rPr>
        <sz val="10"/>
        <rFont val="Arial MT"/>
        <family val="2"/>
      </rPr>
      <t>Letras aço inox 20 x 20cm</t>
    </r>
  </si>
  <si>
    <r>
      <rPr>
        <sz val="10"/>
        <rFont val="Arial MT"/>
        <family val="2"/>
      </rPr>
      <t>Composição de Referência: ORSE 12043. A composição foi ajustada para utilizar os insumos e a mão de obra conforme a base SINAPI, garantindo maior aderência aos parâmetros de mercado e normativas vigentes. Apenas os insumos que não possuem correspondência na base SINAPI foram mantidos conf</t>
    </r>
  </si>
  <si>
    <r>
      <rPr>
        <b/>
        <sz val="11"/>
        <rFont val="Arial"/>
        <family val="2"/>
      </rPr>
      <t>19.3.2</t>
    </r>
  </si>
  <si>
    <r>
      <rPr>
        <sz val="10"/>
        <rFont val="Arial MT"/>
        <family val="2"/>
      </rPr>
      <t>CPU2674</t>
    </r>
  </si>
  <si>
    <r>
      <rPr>
        <sz val="10"/>
        <rFont val="Arial MT"/>
        <family val="2"/>
      </rPr>
      <t>LETRA CAIXA INOX ESCOVADO COLOCADA</t>
    </r>
  </si>
  <si>
    <r>
      <rPr>
        <sz val="10"/>
        <rFont val="Arial MT"/>
        <family val="2"/>
      </rPr>
      <t>LETRA CAIXA AÇO INOX ESCOVADO COLOCADA (ALTURA LETRASXNUM.LETRAS)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</si>
  <si>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AGETOP CIVIL 271852. Utilizada composição AGETOP CIVIL visto que o SINAPI não possui composição adequada referente a esse serviço. Os preços praticados para esse serviço no estado do Goiás são referenciais e exequíveis para o orçamento em São Paulo. Os insumos da</t>
    </r>
  </si>
  <si>
    <r>
      <rPr>
        <b/>
        <sz val="11"/>
        <rFont val="Arial"/>
        <family val="2"/>
      </rPr>
      <t>20.1</t>
    </r>
  </si>
  <si>
    <r>
      <rPr>
        <sz val="10"/>
        <rFont val="Arial MT"/>
        <family val="2"/>
      </rPr>
      <t>CPU2675</t>
    </r>
  </si>
  <si>
    <r>
      <rPr>
        <sz val="10"/>
        <rFont val="Arial MT"/>
        <family val="2"/>
      </rPr>
      <t>LIMPEZA/REMOÇÃO DE TINTAS EM PISOS E REVESTIMENTOS</t>
    </r>
  </si>
  <si>
    <r>
      <rPr>
        <sz val="10"/>
        <rFont val="Arial MT"/>
        <family val="2"/>
      </rPr>
      <t>ESTOPA</t>
    </r>
  </si>
  <si>
    <r>
      <rPr>
        <sz val="10"/>
        <rFont val="Arial MT"/>
        <family val="2"/>
      </rPr>
      <t>DILUENTE AGUARRAS</t>
    </r>
  </si>
  <si>
    <r>
      <rPr>
        <sz val="10"/>
        <rFont val="Arial MT"/>
        <family val="2"/>
      </rPr>
      <t>Composição de Referência: ORSE 2451.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</si>
  <si>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r>
      <rPr>
        <b/>
        <sz val="11"/>
        <rFont val="Arial"/>
        <family val="2"/>
      </rPr>
      <t>20.2</t>
    </r>
  </si>
  <si>
    <r>
      <rPr>
        <sz val="10"/>
        <rFont val="Arial MT"/>
        <family val="2"/>
      </rPr>
      <t>CPU2676</t>
    </r>
  </si>
  <si>
    <r>
      <rPr>
        <sz val="10"/>
        <rFont val="Arial MT"/>
        <family val="2"/>
      </rPr>
      <t>LIMPEZA GERAL</t>
    </r>
  </si>
  <si>
    <r>
      <rPr>
        <sz val="10"/>
        <rFont val="Arial MT"/>
        <family val="2"/>
      </rPr>
      <t>Sabão em pó</t>
    </r>
  </si>
  <si>
    <r>
      <rPr>
        <sz val="10"/>
        <rFont val="Arial MT"/>
        <family val="2"/>
      </rPr>
      <t>VASSOURA 40 CM COM CABO</t>
    </r>
  </si>
  <si>
    <r>
      <rPr>
        <b/>
        <sz val="10"/>
        <rFont val="Arial"/>
        <family val="2"/>
      </rPr>
      <t xml:space="preserve">Observação
</t>
    </r>
    <r>
      <rPr>
        <sz val="10"/>
        <rFont val="Arial MT"/>
        <family val="2"/>
      </rPr>
      <t>Composição de Referência: ORSE 2450. A composição foi ajustada para utilizar os insumos e a mão de obra conforme a base SINAPI, garantindo maior aderência aos parâmetros de mercado e normativas vigentes. Apenas os insumos que não possuem correspondência na base SINAPI foram mantidos confo</t>
    </r>
  </si>
  <si>
    <t xml:space="preserve">PLANILHA DE COMPOSIÇÕES UNITÁRIAS </t>
  </si>
  <si>
    <t>Secretaria de Atenção Especializada à Saúde                                                                                                                  BDI Geral:                      Encargo Social Mensalista:                  Data:</t>
  </si>
  <si>
    <r>
      <rPr>
        <b/>
        <sz val="12"/>
        <color rgb="FFFFFFFF"/>
        <rFont val="Arial"/>
        <family val="2"/>
      </rPr>
      <t>ITEM</t>
    </r>
  </si>
  <si>
    <r>
      <rPr>
        <b/>
        <sz val="12"/>
        <color rgb="FFFFFFFF"/>
        <rFont val="Arial"/>
        <family val="2"/>
      </rPr>
      <t>DESCRIÇÃO</t>
    </r>
  </si>
  <si>
    <r>
      <rPr>
        <b/>
        <sz val="12"/>
        <color rgb="FFFFFFFF"/>
        <rFont val="Arial"/>
        <family val="2"/>
      </rPr>
      <t>PREÇO</t>
    </r>
  </si>
  <si>
    <r>
      <rPr>
        <b/>
        <sz val="12"/>
        <color rgb="FFFFFFFF"/>
        <rFont val="Arial"/>
        <family val="2"/>
      </rPr>
      <t>%</t>
    </r>
  </si>
  <si>
    <r>
      <rPr>
        <b/>
        <sz val="12"/>
        <rFont val="Arial"/>
        <family val="2"/>
      </rPr>
      <t>SERVIÇOS PRELIMINARES E INDIRETOS</t>
    </r>
  </si>
  <si>
    <r>
      <rPr>
        <b/>
        <sz val="12"/>
        <rFont val="Arial"/>
        <family val="2"/>
      </rPr>
      <t>R$</t>
    </r>
  </si>
  <si>
    <r>
      <rPr>
        <b/>
        <sz val="12"/>
        <rFont val="Arial"/>
        <family val="2"/>
      </rPr>
      <t>FUNDAÇÃO</t>
    </r>
  </si>
  <si>
    <r>
      <rPr>
        <b/>
        <sz val="12"/>
        <rFont val="Arial"/>
        <family val="2"/>
      </rPr>
      <t>ESTRUTURA</t>
    </r>
  </si>
  <si>
    <r>
      <rPr>
        <b/>
        <sz val="12"/>
        <rFont val="Arial"/>
        <family val="2"/>
      </rPr>
      <t>ALVENARIA, VEDAÇÕES E DIVISÓRIAS</t>
    </r>
  </si>
  <si>
    <r>
      <rPr>
        <b/>
        <sz val="12"/>
        <rFont val="Arial"/>
        <family val="2"/>
      </rPr>
      <t>COBERTURA</t>
    </r>
  </si>
  <si>
    <r>
      <rPr>
        <b/>
        <sz val="12"/>
        <rFont val="Arial"/>
        <family val="2"/>
      </rPr>
      <t>IMPERMEABILIZAÇÃO</t>
    </r>
  </si>
  <si>
    <r>
      <rPr>
        <b/>
        <sz val="12"/>
        <rFont val="Arial"/>
        <family val="2"/>
      </rPr>
      <t>ESQUADRIAS</t>
    </r>
  </si>
  <si>
    <r>
      <rPr>
        <b/>
        <sz val="12"/>
        <rFont val="Arial"/>
        <family val="2"/>
      </rPr>
      <t>REVESTIMENTO DE PAREDE</t>
    </r>
  </si>
  <si>
    <r>
      <rPr>
        <b/>
        <sz val="12"/>
        <rFont val="Arial"/>
        <family val="2"/>
      </rPr>
      <t>REVESTIMENTO DE PISO INTERNO</t>
    </r>
  </si>
  <si>
    <r>
      <rPr>
        <b/>
        <sz val="12"/>
        <rFont val="Arial"/>
        <family val="2"/>
      </rPr>
      <t>REVESTIMENTO DE PISO EXTERNO</t>
    </r>
  </si>
  <si>
    <r>
      <rPr>
        <b/>
        <sz val="12"/>
        <rFont val="Arial"/>
        <family val="2"/>
      </rPr>
      <t>REVESTIMENTO DE TETO</t>
    </r>
  </si>
  <si>
    <r>
      <rPr>
        <b/>
        <sz val="12"/>
        <rFont val="Arial"/>
        <family val="2"/>
      </rPr>
      <t>PINTURA</t>
    </r>
  </si>
  <si>
    <r>
      <rPr>
        <b/>
        <sz val="12"/>
        <rFont val="Arial"/>
        <family val="2"/>
      </rPr>
      <t>MARMORARIA</t>
    </r>
  </si>
  <si>
    <r>
      <rPr>
        <b/>
        <sz val="12"/>
        <rFont val="Arial"/>
        <family val="2"/>
      </rPr>
      <t>LOUÇAS, METAIS E ACESSÓRIOS</t>
    </r>
  </si>
  <si>
    <r>
      <rPr>
        <b/>
        <sz val="12"/>
        <rFont val="Arial"/>
        <family val="2"/>
      </rPr>
      <t>INSTALAÇÕES HIDROSSANITÁRIAS</t>
    </r>
  </si>
  <si>
    <r>
      <rPr>
        <b/>
        <sz val="12"/>
        <rFont val="Arial"/>
        <family val="2"/>
      </rPr>
      <t>INSTALAÇÕES ELÉTRICAS</t>
    </r>
  </si>
  <si>
    <r>
      <rPr>
        <b/>
        <sz val="12"/>
        <rFont val="Arial"/>
        <family val="2"/>
      </rPr>
      <t>CLIMATIZAÇÃO</t>
    </r>
  </si>
  <si>
    <r>
      <rPr>
        <b/>
        <sz val="12"/>
        <rFont val="Arial"/>
        <family val="2"/>
      </rPr>
      <t>DADOS E VOZ</t>
    </r>
  </si>
  <si>
    <r>
      <rPr>
        <b/>
        <sz val="12"/>
        <rFont val="Arial"/>
        <family val="2"/>
      </rPr>
      <t>URBANIZAÇÃO</t>
    </r>
  </si>
  <si>
    <r>
      <rPr>
        <b/>
        <sz val="12"/>
        <rFont val="Arial"/>
        <family val="2"/>
      </rPr>
      <t>SERVIÇOS COMPLEMENTARES</t>
    </r>
  </si>
  <si>
    <r>
      <rPr>
        <b/>
        <sz val="12"/>
        <color rgb="FFFFFFFF"/>
        <rFont val="Arial"/>
        <family val="2"/>
      </rPr>
      <t>TOTAL</t>
    </r>
  </si>
  <si>
    <t>R$</t>
  </si>
  <si>
    <r>
      <rPr>
        <b/>
        <sz val="10"/>
        <rFont val="Arial"/>
        <family val="2"/>
      </rPr>
      <t>Notas:</t>
    </r>
  </si>
  <si>
    <r>
      <rPr>
        <sz val="10"/>
        <rFont val="Arial MT"/>
        <family val="2"/>
      </rPr>
      <t>Estão exclusos do escopo: movimentação de terra, mobiliário e equipamentos, piso intertravado, chapas metálicas das portas, instalações de automação, CFTV, energia fotovoltaica, controle de acesso, CATV, sonorização, luminárias externas, arborização, muro perimetral e equipamentos de ar condicionado.</t>
    </r>
  </si>
  <si>
    <t>Secretaria de Atenção Especializada à Saúde                                                    BDI Geral:             Encargo Social Mensalista:          Data:</t>
  </si>
  <si>
    <t>PLANILHA RESUMO</t>
  </si>
  <si>
    <r>
      <rPr>
        <sz val="11"/>
        <rFont val="Arial MT"/>
        <family val="2"/>
      </rPr>
      <t xml:space="preserve">Centro de Atenção Psicossocial - Porte 1, no município de Coremas/PB                                                26,87%                                            69,85%                                            12/12/2025
</t>
    </r>
    <r>
      <rPr>
        <b/>
        <sz val="11"/>
        <rFont val="Arial"/>
        <family val="2"/>
      </rPr>
      <t xml:space="preserve">Bancos:                                                                                                                                                                                                 Encargo Social Horista: </t>
    </r>
    <r>
      <rPr>
        <sz val="11"/>
        <rFont val="Arial"/>
        <family val="2"/>
      </rPr>
      <t>113,60%</t>
    </r>
    <r>
      <rPr>
        <b/>
        <sz val="11"/>
        <rFont val="Arial"/>
        <family val="2"/>
      </rPr>
      <t xml:space="preserve">
</t>
    </r>
    <r>
      <rPr>
        <sz val="11"/>
        <rFont val="Arial MT"/>
        <family val="2"/>
      </rPr>
      <t>SINAPI (09/2025) - CPOS/CDHU (09/2025) - SBC (12/2025) - ORSE (09/2025) - IOPES (08/2025) - EMOP (10/2025) - SETOP (07/2025) - 113,60% SEINFRA (028) - AGETOP CIVIL (08/2025) - AGESUL (06/2025)</t>
    </r>
  </si>
  <si>
    <r>
      <rPr>
        <b/>
        <sz val="9"/>
        <rFont val="Arial"/>
        <family val="2"/>
      </rPr>
      <t>Mês 01</t>
    </r>
  </si>
  <si>
    <r>
      <rPr>
        <b/>
        <sz val="9"/>
        <rFont val="Arial"/>
        <family val="2"/>
      </rPr>
      <t>Mês 02</t>
    </r>
  </si>
  <si>
    <r>
      <rPr>
        <b/>
        <sz val="9"/>
        <rFont val="Arial"/>
        <family val="2"/>
      </rPr>
      <t>Mês 03</t>
    </r>
  </si>
  <si>
    <r>
      <rPr>
        <b/>
        <sz val="9"/>
        <rFont val="Arial"/>
        <family val="2"/>
      </rPr>
      <t>Mês 04</t>
    </r>
  </si>
  <si>
    <r>
      <rPr>
        <b/>
        <sz val="9"/>
        <rFont val="Arial"/>
        <family val="2"/>
      </rPr>
      <t>Mês 05</t>
    </r>
  </si>
  <si>
    <r>
      <rPr>
        <b/>
        <sz val="9"/>
        <rFont val="Arial"/>
        <family val="2"/>
      </rPr>
      <t>Mês 06</t>
    </r>
  </si>
  <si>
    <r>
      <rPr>
        <b/>
        <sz val="9"/>
        <rFont val="Arial"/>
        <family val="2"/>
      </rPr>
      <t>Mês 07</t>
    </r>
  </si>
  <si>
    <r>
      <rPr>
        <b/>
        <sz val="9"/>
        <rFont val="Arial"/>
        <family val="2"/>
      </rPr>
      <t>Mês 08</t>
    </r>
  </si>
  <si>
    <r>
      <rPr>
        <b/>
        <sz val="9"/>
        <rFont val="Arial"/>
        <family val="2"/>
      </rPr>
      <t>Mês 09</t>
    </r>
  </si>
  <si>
    <r>
      <rPr>
        <b/>
        <sz val="9"/>
        <rFont val="Arial"/>
        <family val="2"/>
      </rPr>
      <t>Mês 10</t>
    </r>
  </si>
  <si>
    <r>
      <rPr>
        <b/>
        <sz val="9"/>
        <rFont val="Arial"/>
        <family val="2"/>
      </rPr>
      <t>Mês 11</t>
    </r>
  </si>
  <si>
    <r>
      <rPr>
        <sz val="9"/>
        <rFont val="Arial MT"/>
        <family val="2"/>
      </rPr>
      <t>Concedente R$</t>
    </r>
  </si>
  <si>
    <r>
      <rPr>
        <sz val="9"/>
        <rFont val="Arial MT"/>
        <family val="2"/>
      </rPr>
      <t>%</t>
    </r>
  </si>
  <si>
    <r>
      <rPr>
        <sz val="9"/>
        <rFont val="Arial MT"/>
        <family val="2"/>
      </rPr>
      <t>-</t>
    </r>
  </si>
  <si>
    <r>
      <rPr>
        <b/>
        <sz val="9"/>
        <color rgb="FFFFFFFF"/>
        <rFont val="Arial"/>
        <family val="2"/>
      </rPr>
      <t>ITEM</t>
    </r>
  </si>
  <si>
    <r>
      <rPr>
        <b/>
        <sz val="9"/>
        <color rgb="FFFFFFFF"/>
        <rFont val="Arial"/>
        <family val="2"/>
      </rPr>
      <t>DESCRIÇÃO</t>
    </r>
  </si>
  <si>
    <r>
      <rPr>
        <b/>
        <sz val="9"/>
        <color rgb="FFFFFFFF"/>
        <rFont val="Arial"/>
        <family val="2"/>
      </rPr>
      <t>PREÇO</t>
    </r>
  </si>
  <si>
    <r>
      <rPr>
        <b/>
        <sz val="9"/>
        <color rgb="FFFFFFFF"/>
        <rFont val="Arial"/>
        <family val="2"/>
      </rPr>
      <t>%</t>
    </r>
  </si>
  <si>
    <r>
      <rPr>
        <b/>
        <sz val="9"/>
        <color rgb="FFFFFFFF"/>
        <rFont val="Arial"/>
        <family val="2"/>
      </rPr>
      <t>TOTAL</t>
    </r>
  </si>
  <si>
    <t>TOTAL ACUMULADO</t>
  </si>
  <si>
    <t>-</t>
  </si>
  <si>
    <t>CRONOGRAMA</t>
  </si>
  <si>
    <r>
      <rPr>
        <b/>
        <sz val="12"/>
        <color rgb="FFFFFFFF"/>
        <rFont val="Arial"/>
        <family val="2"/>
      </rPr>
      <t>TOTAL (A+B+C+D)</t>
    </r>
  </si>
  <si>
    <r>
      <rPr>
        <b/>
        <sz val="12"/>
        <rFont val="Arial"/>
        <family val="2"/>
      </rPr>
      <t>Total</t>
    </r>
  </si>
  <si>
    <r>
      <rPr>
        <b/>
        <sz val="12"/>
        <rFont val="Arial"/>
        <family val="2"/>
      </rPr>
      <t>D</t>
    </r>
  </si>
  <si>
    <r>
      <rPr>
        <sz val="12"/>
        <rFont val="Arial MT"/>
        <family val="2"/>
      </rPr>
      <t>Reincidência de Grupo A sobre Aviso Prévio Trabalhado e Reincidência do FGTS sobre Aviso Prévio Indenizado</t>
    </r>
  </si>
  <si>
    <r>
      <rPr>
        <sz val="12"/>
        <rFont val="Arial MT"/>
        <family val="2"/>
      </rPr>
      <t>D2</t>
    </r>
  </si>
  <si>
    <r>
      <rPr>
        <sz val="12"/>
        <rFont val="Arial MT"/>
        <family val="2"/>
      </rPr>
      <t>Reincidência de Grupo A sobre Grupo B</t>
    </r>
  </si>
  <si>
    <r>
      <rPr>
        <sz val="12"/>
        <rFont val="Arial MT"/>
        <family val="2"/>
      </rPr>
      <t>D1</t>
    </r>
  </si>
  <si>
    <r>
      <rPr>
        <b/>
        <sz val="12"/>
        <color rgb="FFFFFFFF"/>
        <rFont val="Arial"/>
        <family val="2"/>
      </rPr>
      <t>GRUPO D</t>
    </r>
  </si>
  <si>
    <r>
      <rPr>
        <b/>
        <sz val="12"/>
        <rFont val="Arial"/>
        <family val="2"/>
      </rPr>
      <t>C</t>
    </r>
  </si>
  <si>
    <r>
      <rPr>
        <sz val="12"/>
        <rFont val="Arial MT"/>
        <family val="2"/>
      </rPr>
      <t>Indenização Adicional</t>
    </r>
  </si>
  <si>
    <r>
      <rPr>
        <sz val="12"/>
        <rFont val="Arial MT"/>
        <family val="2"/>
      </rPr>
      <t>C5</t>
    </r>
  </si>
  <si>
    <r>
      <rPr>
        <sz val="12"/>
        <rFont val="Arial MT"/>
        <family val="2"/>
      </rPr>
      <t>Depósito Recisão sem justa causa</t>
    </r>
  </si>
  <si>
    <r>
      <rPr>
        <sz val="12"/>
        <rFont val="Arial MT"/>
        <family val="2"/>
      </rPr>
      <t>C4</t>
    </r>
  </si>
  <si>
    <r>
      <rPr>
        <sz val="12"/>
        <rFont val="Arial MT"/>
        <family val="2"/>
      </rPr>
      <t>Férias Indenizadas</t>
    </r>
  </si>
  <si>
    <r>
      <rPr>
        <sz val="12"/>
        <rFont val="Arial MT"/>
        <family val="2"/>
      </rPr>
      <t>C3</t>
    </r>
  </si>
  <si>
    <r>
      <rPr>
        <sz val="12"/>
        <rFont val="Arial MT"/>
        <family val="2"/>
      </rPr>
      <t>Aviso Prévio Trabalhado</t>
    </r>
  </si>
  <si>
    <r>
      <rPr>
        <sz val="12"/>
        <rFont val="Arial MT"/>
        <family val="2"/>
      </rPr>
      <t>C2</t>
    </r>
  </si>
  <si>
    <r>
      <rPr>
        <sz val="12"/>
        <rFont val="Arial MT"/>
        <family val="2"/>
      </rPr>
      <t>Aviso Prévio Indenizado</t>
    </r>
  </si>
  <si>
    <r>
      <rPr>
        <sz val="12"/>
        <rFont val="Arial MT"/>
        <family val="2"/>
      </rPr>
      <t>C1</t>
    </r>
  </si>
  <si>
    <r>
      <rPr>
        <b/>
        <sz val="12"/>
        <color rgb="FFFFFFFF"/>
        <rFont val="Arial"/>
        <family val="2"/>
      </rPr>
      <t>GRUPO C</t>
    </r>
  </si>
  <si>
    <r>
      <rPr>
        <b/>
        <sz val="12"/>
        <rFont val="Arial"/>
        <family val="2"/>
      </rPr>
      <t>B</t>
    </r>
  </si>
  <si>
    <r>
      <rPr>
        <sz val="12"/>
        <rFont val="Arial MT"/>
        <family val="2"/>
      </rPr>
      <t>Salário Maternidade</t>
    </r>
  </si>
  <si>
    <r>
      <rPr>
        <sz val="12"/>
        <rFont val="Arial MT"/>
        <family val="2"/>
      </rPr>
      <t>B10</t>
    </r>
  </si>
  <si>
    <r>
      <rPr>
        <sz val="12"/>
        <rFont val="Arial MT"/>
        <family val="2"/>
      </rPr>
      <t>Férias Gozadas</t>
    </r>
  </si>
  <si>
    <r>
      <rPr>
        <sz val="12"/>
        <rFont val="Arial MT"/>
        <family val="2"/>
      </rPr>
      <t>B9</t>
    </r>
  </si>
  <si>
    <r>
      <rPr>
        <sz val="12"/>
        <rFont val="Arial MT"/>
        <family val="2"/>
      </rPr>
      <t>Auxílo Acidente de Trabalho</t>
    </r>
  </si>
  <si>
    <r>
      <rPr>
        <sz val="12"/>
        <rFont val="Arial MT"/>
        <family val="2"/>
      </rPr>
      <t>B8</t>
    </r>
  </si>
  <si>
    <r>
      <rPr>
        <sz val="12"/>
        <rFont val="Arial MT"/>
        <family val="2"/>
      </rPr>
      <t>Não incide</t>
    </r>
  </si>
  <si>
    <r>
      <rPr>
        <sz val="12"/>
        <rFont val="Arial MT"/>
        <family val="2"/>
      </rPr>
      <t>Dias de Chuva</t>
    </r>
  </si>
  <si>
    <r>
      <rPr>
        <sz val="12"/>
        <rFont val="Arial MT"/>
        <family val="2"/>
      </rPr>
      <t>B7</t>
    </r>
  </si>
  <si>
    <r>
      <rPr>
        <sz val="12"/>
        <rFont val="Arial MT"/>
        <family val="2"/>
      </rPr>
      <t>Faltas Justificadas</t>
    </r>
  </si>
  <si>
    <r>
      <rPr>
        <sz val="12"/>
        <rFont val="Arial MT"/>
        <family val="2"/>
      </rPr>
      <t>B6</t>
    </r>
  </si>
  <si>
    <r>
      <rPr>
        <sz val="12"/>
        <rFont val="Arial MT"/>
        <family val="2"/>
      </rPr>
      <t>Licença Paternidade</t>
    </r>
  </si>
  <si>
    <r>
      <rPr>
        <sz val="12"/>
        <rFont val="Arial MT"/>
        <family val="2"/>
      </rPr>
      <t>B5</t>
    </r>
  </si>
  <si>
    <r>
      <rPr>
        <sz val="12"/>
        <rFont val="Arial MT"/>
        <family val="2"/>
      </rPr>
      <t>13º Salário</t>
    </r>
  </si>
  <si>
    <r>
      <rPr>
        <sz val="12"/>
        <rFont val="Arial MT"/>
        <family val="2"/>
      </rPr>
      <t>B4</t>
    </r>
  </si>
  <si>
    <r>
      <rPr>
        <sz val="12"/>
        <rFont val="Arial MT"/>
        <family val="2"/>
      </rPr>
      <t>Auxílio-Enfermidade</t>
    </r>
  </si>
  <si>
    <r>
      <rPr>
        <sz val="12"/>
        <rFont val="Arial MT"/>
        <family val="2"/>
      </rPr>
      <t>B3</t>
    </r>
  </si>
  <si>
    <r>
      <rPr>
        <sz val="12"/>
        <rFont val="Arial MT"/>
        <family val="2"/>
      </rPr>
      <t>Feriados</t>
    </r>
  </si>
  <si>
    <r>
      <rPr>
        <sz val="12"/>
        <rFont val="Arial MT"/>
        <family val="2"/>
      </rPr>
      <t>B2</t>
    </r>
  </si>
  <si>
    <r>
      <rPr>
        <sz val="12"/>
        <rFont val="Arial MT"/>
        <family val="2"/>
      </rPr>
      <t>Repouso Semanal Remunerado</t>
    </r>
  </si>
  <si>
    <r>
      <rPr>
        <sz val="12"/>
        <rFont val="Arial MT"/>
        <family val="2"/>
      </rPr>
      <t>B1</t>
    </r>
  </si>
  <si>
    <r>
      <rPr>
        <b/>
        <sz val="12"/>
        <color rgb="FFFFFFFF"/>
        <rFont val="Arial"/>
        <family val="2"/>
      </rPr>
      <t>GRUPO B</t>
    </r>
  </si>
  <si>
    <r>
      <rPr>
        <b/>
        <sz val="12"/>
        <rFont val="Arial"/>
        <family val="2"/>
      </rPr>
      <t>A</t>
    </r>
  </si>
  <si>
    <r>
      <rPr>
        <sz val="12"/>
        <rFont val="Arial MT"/>
        <family val="2"/>
      </rPr>
      <t>SECONCI</t>
    </r>
  </si>
  <si>
    <r>
      <rPr>
        <sz val="12"/>
        <rFont val="Arial MT"/>
        <family val="2"/>
      </rPr>
      <t>A9</t>
    </r>
  </si>
  <si>
    <r>
      <rPr>
        <sz val="12"/>
        <rFont val="Arial MT"/>
        <family val="2"/>
      </rPr>
      <t>FGTS</t>
    </r>
  </si>
  <si>
    <r>
      <rPr>
        <sz val="12"/>
        <rFont val="Arial MT"/>
        <family val="2"/>
      </rPr>
      <t>A8</t>
    </r>
  </si>
  <si>
    <r>
      <rPr>
        <sz val="12"/>
        <rFont val="Arial MT"/>
        <family val="2"/>
      </rPr>
      <t>Seguro Contra Acidentes de Trabalho</t>
    </r>
  </si>
  <si>
    <r>
      <rPr>
        <sz val="12"/>
        <rFont val="Arial MT"/>
        <family val="2"/>
      </rPr>
      <t>A7</t>
    </r>
  </si>
  <si>
    <r>
      <rPr>
        <sz val="12"/>
        <rFont val="Arial MT"/>
        <family val="2"/>
      </rPr>
      <t>Salário Educação</t>
    </r>
  </si>
  <si>
    <r>
      <rPr>
        <sz val="12"/>
        <rFont val="Arial MT"/>
        <family val="2"/>
      </rPr>
      <t>A6</t>
    </r>
  </si>
  <si>
    <r>
      <rPr>
        <sz val="12"/>
        <rFont val="Arial MT"/>
        <family val="2"/>
      </rPr>
      <t>SEBRAE</t>
    </r>
  </si>
  <si>
    <r>
      <rPr>
        <sz val="12"/>
        <rFont val="Arial MT"/>
        <family val="2"/>
      </rPr>
      <t>A5</t>
    </r>
  </si>
  <si>
    <r>
      <rPr>
        <sz val="12"/>
        <rFont val="Arial MT"/>
        <family val="2"/>
      </rPr>
      <t>INCRA</t>
    </r>
  </si>
  <si>
    <r>
      <rPr>
        <sz val="12"/>
        <rFont val="Arial MT"/>
        <family val="2"/>
      </rPr>
      <t>A4</t>
    </r>
  </si>
  <si>
    <r>
      <rPr>
        <sz val="12"/>
        <rFont val="Arial MT"/>
        <family val="2"/>
      </rPr>
      <t>SENAI</t>
    </r>
  </si>
  <si>
    <r>
      <rPr>
        <sz val="12"/>
        <rFont val="Arial MT"/>
        <family val="2"/>
      </rPr>
      <t>A3</t>
    </r>
  </si>
  <si>
    <r>
      <rPr>
        <sz val="12"/>
        <rFont val="Arial MT"/>
        <family val="2"/>
      </rPr>
      <t>SESI</t>
    </r>
  </si>
  <si>
    <r>
      <rPr>
        <sz val="12"/>
        <rFont val="Arial MT"/>
        <family val="2"/>
      </rPr>
      <t>A2</t>
    </r>
  </si>
  <si>
    <r>
      <rPr>
        <sz val="12"/>
        <rFont val="Arial MT"/>
        <family val="2"/>
      </rPr>
      <t>INSS</t>
    </r>
  </si>
  <si>
    <r>
      <rPr>
        <sz val="12"/>
        <rFont val="Arial MT"/>
        <family val="2"/>
      </rPr>
      <t>A1</t>
    </r>
  </si>
  <si>
    <r>
      <rPr>
        <b/>
        <sz val="12"/>
        <color rgb="FFFFFFFF"/>
        <rFont val="Arial"/>
        <family val="2"/>
      </rPr>
      <t>GRUPO A</t>
    </r>
  </si>
  <si>
    <r>
      <rPr>
        <b/>
        <sz val="12"/>
        <rFont val="Arial"/>
        <family val="2"/>
      </rPr>
      <t>MENSALISTA (%)</t>
    </r>
  </si>
  <si>
    <r>
      <rPr>
        <b/>
        <sz val="12"/>
        <rFont val="Arial"/>
        <family val="2"/>
      </rPr>
      <t>HORISTA (%)</t>
    </r>
  </si>
  <si>
    <r>
      <rPr>
        <b/>
        <sz val="12"/>
        <rFont val="Arial"/>
        <family val="2"/>
      </rPr>
      <t>SEM DESONERAÇÃO</t>
    </r>
  </si>
  <si>
    <r>
      <rPr>
        <b/>
        <sz val="12"/>
        <rFont val="Arial"/>
        <family val="2"/>
      </rPr>
      <t>DESCRIÇÃO</t>
    </r>
  </si>
  <si>
    <r>
      <rPr>
        <b/>
        <sz val="12"/>
        <rFont val="Arial"/>
        <family val="2"/>
      </rPr>
      <t>CÓDIGO</t>
    </r>
  </si>
  <si>
    <r>
      <rPr>
        <b/>
        <sz val="12"/>
        <color rgb="FFFFFFFF"/>
        <rFont val="Arial"/>
        <family val="2"/>
      </rPr>
      <t>ENCARGOS SOCIAIS SOBRE A MÃO DE OBRA</t>
    </r>
  </si>
  <si>
    <r>
      <rPr>
        <b/>
        <sz val="11"/>
        <rFont val="Arial"/>
        <family val="2"/>
      </rPr>
      <t>Secretaria de Atenção Especializada à Saúde                                                                                                                                                             BDI Geral:                       Encargo Social Mensalista:                           Data:</t>
    </r>
  </si>
  <si>
    <r>
      <rPr>
        <b/>
        <sz val="17"/>
        <rFont val="Arial"/>
        <family val="2"/>
      </rPr>
      <t>COMPOSIÇÃO ANALÍTICA DAS TAXAS DE ENCARGOS SOCIAIS</t>
    </r>
  </si>
  <si>
    <r>
      <rPr>
        <b/>
        <sz val="17"/>
        <rFont val="Arial"/>
        <family val="2"/>
      </rPr>
      <t>BONIFICAÇÕES E DESPESAS INDIRETAS</t>
    </r>
  </si>
  <si>
    <r>
      <rPr>
        <b/>
        <sz val="11"/>
        <rFont val="Arial"/>
        <family val="2"/>
      </rPr>
      <t>Secretaria de Atenção Especializada à Saúde                                                                                    BDI Geral:                   Encargo Social Mensalista:                   Data:</t>
    </r>
  </si>
  <si>
    <r>
      <rPr>
        <sz val="12"/>
        <rFont val="Arial MT"/>
        <family val="2"/>
      </rPr>
      <t xml:space="preserve">Fórmula (Bonificações e Despesas Indiretas):
</t>
    </r>
  </si>
  <si>
    <r>
      <rPr>
        <b/>
        <sz val="12"/>
        <color rgb="FFFFFFFF"/>
        <rFont val="Arial"/>
        <family val="2"/>
      </rPr>
      <t>CÓD</t>
    </r>
  </si>
  <si>
    <r>
      <rPr>
        <b/>
        <sz val="12"/>
        <color rgb="FFFFFFFF"/>
        <rFont val="Arial"/>
        <family val="2"/>
      </rPr>
      <t>GERAL VALORES PROPOSTOS (%)</t>
    </r>
  </si>
  <si>
    <r>
      <rPr>
        <b/>
        <sz val="12"/>
        <color rgb="FFFFFFFF"/>
        <rFont val="Arial"/>
        <family val="2"/>
      </rPr>
      <t>EQUIPAMENTOS VALORES PROPOSTOS (%)</t>
    </r>
  </si>
  <si>
    <r>
      <rPr>
        <sz val="12"/>
        <rFont val="Arial MT"/>
        <family val="2"/>
      </rPr>
      <t>Administração Central</t>
    </r>
  </si>
  <si>
    <r>
      <rPr>
        <sz val="12"/>
        <rFont val="Arial MT"/>
        <family val="2"/>
      </rPr>
      <t>AC</t>
    </r>
  </si>
  <si>
    <r>
      <rPr>
        <sz val="12"/>
        <rFont val="Arial MT"/>
        <family val="2"/>
      </rPr>
      <t>4,00%</t>
    </r>
  </si>
  <si>
    <r>
      <rPr>
        <sz val="12"/>
        <rFont val="Arial MT"/>
        <family val="2"/>
      </rPr>
      <t>3,45%</t>
    </r>
  </si>
  <si>
    <r>
      <rPr>
        <sz val="12"/>
        <rFont val="Arial MT"/>
        <family val="2"/>
      </rPr>
      <t>Riscos</t>
    </r>
  </si>
  <si>
    <r>
      <rPr>
        <sz val="12"/>
        <rFont val="Arial MT"/>
        <family val="2"/>
      </rPr>
      <t>R</t>
    </r>
  </si>
  <si>
    <r>
      <rPr>
        <sz val="12"/>
        <rFont val="Arial MT"/>
        <family val="2"/>
      </rPr>
      <t>1,27%</t>
    </r>
  </si>
  <si>
    <r>
      <rPr>
        <sz val="12"/>
        <rFont val="Arial MT"/>
        <family val="2"/>
      </rPr>
      <t>0,85%</t>
    </r>
  </si>
  <si>
    <r>
      <rPr>
        <sz val="12"/>
        <rFont val="Arial MT"/>
        <family val="2"/>
      </rPr>
      <t>Seguros e Garantias</t>
    </r>
  </si>
  <si>
    <r>
      <rPr>
        <sz val="12"/>
        <rFont val="Arial MT"/>
        <family val="2"/>
      </rPr>
      <t>SG</t>
    </r>
  </si>
  <si>
    <r>
      <rPr>
        <sz val="12"/>
        <rFont val="Arial MT"/>
        <family val="2"/>
      </rPr>
      <t>0,80%</t>
    </r>
  </si>
  <si>
    <r>
      <rPr>
        <sz val="12"/>
        <rFont val="Arial MT"/>
        <family val="2"/>
      </rPr>
      <t>0,48%</t>
    </r>
  </si>
  <si>
    <r>
      <rPr>
        <sz val="12"/>
        <rFont val="Arial MT"/>
        <family val="2"/>
      </rPr>
      <t>Despesas Financeiras</t>
    </r>
  </si>
  <si>
    <r>
      <rPr>
        <sz val="12"/>
        <rFont val="Arial MT"/>
        <family val="2"/>
      </rPr>
      <t>DF</t>
    </r>
  </si>
  <si>
    <r>
      <rPr>
        <sz val="12"/>
        <rFont val="Arial MT"/>
        <family val="2"/>
      </rPr>
      <t>1,23%</t>
    </r>
  </si>
  <si>
    <r>
      <rPr>
        <sz val="12"/>
        <rFont val="Arial MT"/>
        <family val="2"/>
      </rPr>
      <t>Lucro</t>
    </r>
  </si>
  <si>
    <r>
      <rPr>
        <sz val="12"/>
        <rFont val="Arial MT"/>
        <family val="2"/>
      </rPr>
      <t>L</t>
    </r>
  </si>
  <si>
    <r>
      <rPr>
        <sz val="12"/>
        <rFont val="Arial MT"/>
        <family val="2"/>
      </rPr>
      <t>6,16%</t>
    </r>
  </si>
  <si>
    <r>
      <rPr>
        <sz val="12"/>
        <rFont val="Arial MT"/>
        <family val="2"/>
      </rPr>
      <t>3,50%</t>
    </r>
  </si>
  <si>
    <r>
      <rPr>
        <sz val="12"/>
        <rFont val="Arial MT"/>
        <family val="2"/>
      </rPr>
      <t>Impostos</t>
    </r>
  </si>
  <si>
    <r>
      <rPr>
        <sz val="12"/>
        <rFont val="Arial MT"/>
        <family val="2"/>
      </rPr>
      <t>I</t>
    </r>
  </si>
  <si>
    <r>
      <rPr>
        <sz val="12"/>
        <rFont val="Arial MT"/>
        <family val="2"/>
      </rPr>
      <t>10,15%</t>
    </r>
  </si>
  <si>
    <r>
      <rPr>
        <sz val="12"/>
        <rFont val="Arial MT"/>
        <family val="2"/>
      </rPr>
      <t>8,15%</t>
    </r>
  </si>
  <si>
    <r>
      <rPr>
        <sz val="12"/>
        <rFont val="Arial MT"/>
        <family val="2"/>
      </rPr>
      <t>PIS</t>
    </r>
  </si>
  <si>
    <r>
      <rPr>
        <sz val="12"/>
        <rFont val="Arial MT"/>
        <family val="2"/>
      </rPr>
      <t>0,65%</t>
    </r>
  </si>
  <si>
    <r>
      <rPr>
        <sz val="12"/>
        <rFont val="Arial MT"/>
        <family val="2"/>
      </rPr>
      <t>COFINS</t>
    </r>
  </si>
  <si>
    <r>
      <rPr>
        <sz val="12"/>
        <rFont val="Arial MT"/>
        <family val="2"/>
      </rPr>
      <t>3,00%</t>
    </r>
  </si>
  <si>
    <r>
      <rPr>
        <sz val="12"/>
        <rFont val="Arial MT"/>
        <family val="2"/>
      </rPr>
      <t>ISSQN</t>
    </r>
  </si>
  <si>
    <r>
      <rPr>
        <sz val="12"/>
        <rFont val="Arial MT"/>
        <family val="2"/>
      </rPr>
      <t>2,00%</t>
    </r>
  </si>
  <si>
    <r>
      <rPr>
        <sz val="12"/>
        <rFont val="Arial MT"/>
        <family val="2"/>
      </rPr>
      <t>0,00%</t>
    </r>
  </si>
  <si>
    <r>
      <rPr>
        <sz val="12"/>
        <rFont val="Arial MT"/>
        <family val="2"/>
      </rPr>
      <t>CPRB</t>
    </r>
  </si>
  <si>
    <r>
      <rPr>
        <b/>
        <sz val="12"/>
        <color rgb="FFFFFFFF"/>
        <rFont val="Arial"/>
        <family val="2"/>
      </rPr>
      <t>BDI</t>
    </r>
  </si>
  <si>
    <r>
      <rPr>
        <b/>
        <sz val="12"/>
        <color rgb="FFFFFFFF"/>
        <rFont val="Arial"/>
        <family val="2"/>
      </rPr>
      <t>26,87%</t>
    </r>
  </si>
  <si>
    <r>
      <rPr>
        <b/>
        <sz val="12"/>
        <color rgb="FFFFFFFF"/>
        <rFont val="Arial"/>
        <family val="2"/>
      </rPr>
      <t>19,07%</t>
    </r>
  </si>
  <si>
    <r>
      <rPr>
        <sz val="11"/>
        <rFont val="Arial MT"/>
        <family val="2"/>
      </rPr>
      <t xml:space="preserve">Centro de Atenção Psicossocial - Porte 1, no município de Coremas/PB                                                     26,87%                        69,85%                                                     12/12/2025
</t>
    </r>
    <r>
      <rPr>
        <b/>
        <sz val="11"/>
        <rFont val="Arial"/>
        <family val="2"/>
      </rPr>
      <t xml:space="preserve">Bancos:                                                                                                                                                                                       Encargo Social Horista: </t>
    </r>
    <r>
      <rPr>
        <sz val="11"/>
        <rFont val="Arial"/>
        <family val="2"/>
      </rPr>
      <t xml:space="preserve">113,60%
</t>
    </r>
    <r>
      <rPr>
        <sz val="11"/>
        <rFont val="Arial MT"/>
        <family val="2"/>
      </rPr>
      <t>SINAPI (09/2025) - CPOS/CDHU (09/2025) - SBC (12/2025) - ORSE (09/2025) - IOPES (08/2025) - EMOP (10/2025) - SETOP (07/2025) - SEINFRA (028) - AGETOP CIVIL (08/2025) - AGESUL (06/2025)</t>
    </r>
  </si>
  <si>
    <r>
      <rPr>
        <sz val="11"/>
        <rFont val="Arial MT"/>
        <family val="2"/>
      </rPr>
      <t xml:space="preserve">Centro de Atenção Psicossocial - Porte 1, no município de Coremas/PB                                                                                                                             26,87%                             69,85%                                                              12/12/2025
</t>
    </r>
    <r>
      <rPr>
        <b/>
        <sz val="11"/>
        <rFont val="Arial"/>
        <family val="2"/>
      </rPr>
      <t xml:space="preserve">Bancos:                                                                                                                                                                                                                                                                     Encargo Social Horista: </t>
    </r>
    <r>
      <rPr>
        <sz val="11"/>
        <rFont val="Arial"/>
        <family val="2"/>
      </rPr>
      <t xml:space="preserve">113,60% </t>
    </r>
    <r>
      <rPr>
        <b/>
        <sz val="11"/>
        <rFont val="Arial"/>
        <family val="2"/>
      </rPr>
      <t xml:space="preserve">
</t>
    </r>
    <r>
      <rPr>
        <sz val="11"/>
        <rFont val="Arial MT"/>
        <family val="2"/>
      </rPr>
      <t>SINAPI (09/2025) - CPOS/CDHU (09/2025) - SBC (12/2025) - ORSE (09/2025) - IOPES (08/2025) - EMOP (10/2025) - SETOP (07/2025) - SEINFRA (028) - AGETOP CIVIL (08/2025) - AGESUL (06/2025)</t>
    </r>
  </si>
  <si>
    <r>
      <rPr>
        <sz val="11"/>
        <rFont val="Arial MT"/>
        <family val="2"/>
      </rPr>
      <t xml:space="preserve">Centro de Atenção Psicossocial - Porte 1, no município de Coremas/PB - L7 ENGENHARIA LTDA                                                                                                                                                                                                                           26,87%                                                                  69,85%                                                   12/12/2025
</t>
    </r>
    <r>
      <rPr>
        <b/>
        <sz val="11"/>
        <rFont val="Arial"/>
        <family val="2"/>
      </rPr>
      <t xml:space="preserve">Bancos:                                                                                                                                                                                                                                                                                                                     Encargo Social Horista: </t>
    </r>
    <r>
      <rPr>
        <sz val="11"/>
        <rFont val="Arial"/>
        <family val="2"/>
      </rPr>
      <t xml:space="preserve">113,60%
</t>
    </r>
    <r>
      <rPr>
        <sz val="11"/>
        <rFont val="Arial MT"/>
        <family val="2"/>
      </rPr>
      <t>SINAPI (09/2025) - CPOS/CDHU (09/2025) - SBC (12/2025) - ORSE (09/2025) - IOPES (08/2025) - EMOP (10/2025) - SETOP (07/2025) - SEINFRA (028) - AGETOP CIVIL (08/2025) - AGESUL (06/2025)</t>
    </r>
  </si>
  <si>
    <r>
      <rPr>
        <sz val="11"/>
        <rFont val="Arial MT"/>
        <family val="2"/>
      </rPr>
      <t xml:space="preserve">Centro de Atenção Psicossocial - Porte 1, no município de Coremas/PB - L7 ENGENHARIA LTDA                                                                                   26,87%                                                                  69,85%                                                   12/12/2025
</t>
    </r>
    <r>
      <rPr>
        <b/>
        <sz val="11"/>
        <rFont val="Arial"/>
        <family val="2"/>
      </rPr>
      <t xml:space="preserve">Bancos: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rFont val="Arial"/>
        <family val="2"/>
      </rPr>
      <t xml:space="preserve">
</t>
    </r>
    <r>
      <rPr>
        <sz val="11"/>
        <rFont val="Arial MT"/>
        <family val="2"/>
      </rPr>
      <t xml:space="preserve">SINAPI (09/2025) - CPOS/CDHU (09/2025) - SBC (12/2025) - ORSE (09/2025) - IOPES (08/2025) - EMOP (10/2025) - SETOP (07/2025) - SEINFRA (028) - AGETOP CIVIL (08/2025) - AGESUL (06/2025)          </t>
    </r>
    <r>
      <rPr>
        <b/>
        <sz val="11"/>
        <rFont val="Arial MT"/>
      </rPr>
      <t>Encargo Social Horista:</t>
    </r>
    <r>
      <rPr>
        <sz val="11"/>
        <rFont val="Arial MT"/>
        <family val="2"/>
      </rPr>
      <t xml:space="preserve"> 113,60%</t>
    </r>
  </si>
  <si>
    <t xml:space="preserve">  </t>
  </si>
  <si>
    <t>Secretaria de Atenção Especializada à Saúde                                                                                                                                                                                                                                                                                      BDI Geral: 26,87%            Encargo Social Mensalista: 69,85%      Encargo Social Horista: 113,60%   Data: 12/12/2025</t>
  </si>
  <si>
    <r>
      <rPr>
        <sz val="11"/>
        <rFont val="Arial MT"/>
        <family val="2"/>
      </rPr>
      <t xml:space="preserve">Centro de Atenção Psicossocial - Porte 1, no município de Coremas/PB  
</t>
    </r>
    <r>
      <rPr>
        <b/>
        <sz val="11"/>
        <rFont val="Arial"/>
        <family val="2"/>
      </rPr>
      <t xml:space="preserve">Bancos:                                                                                                                                                                                               
</t>
    </r>
    <r>
      <rPr>
        <sz val="11"/>
        <rFont val="Arial MT"/>
        <family val="2"/>
      </rPr>
      <t>SINAPI (09/2025) - CPOS/CDHU (09/2025) - SBC (12/2025) - ORSE (09/2025) - IOPES (08/2025) - EMOP (10/2025) - SETOP (07/2025) - 113,60% SEINFRA (028) - AGETOP CIVIL (08/2025) - AGESUL (06/2025)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</si>
</sst>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d\.m\.yy;@"/>
    <numFmt numFmtId="165" formatCode="0.0000000"/>
    <numFmt numFmtId="166" formatCode="0.0"/>
  </numFmts>
  <fonts count="43"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7"/>
      <name val="Arial"/>
      <family val="2"/>
    </font>
    <font>
      <b/>
      <sz val="11"/>
      <name val="Arial"/>
      <family val="2"/>
    </font>
    <font>
      <sz val="11"/>
      <name val="Times New Roman"/>
      <family val="2"/>
      <charset val="204"/>
    </font>
    <font>
      <sz val="11"/>
      <name val="Arial MT"/>
      <family val="2"/>
    </font>
    <font>
      <b/>
      <sz val="14"/>
      <color theme="0"/>
      <name val="Arial"/>
      <family val="2"/>
    </font>
    <font>
      <sz val="14"/>
      <color theme="0"/>
      <name val="Times New Roman"/>
      <family val="1"/>
    </font>
    <font>
      <b/>
      <sz val="11"/>
      <color rgb="FF000000"/>
      <name val="Arial"/>
      <family val="2"/>
    </font>
    <font>
      <sz val="11"/>
      <name val="Arial MT"/>
    </font>
    <font>
      <sz val="11"/>
      <color rgb="FF000000"/>
      <name val="Arial MT"/>
      <family val="2"/>
    </font>
    <font>
      <sz val="10"/>
      <color theme="0"/>
      <name val="Times New Roman"/>
      <family val="1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0"/>
      <name val="Arial"/>
      <family val="1"/>
    </font>
    <font>
      <sz val="10"/>
      <color rgb="FF000000"/>
      <name val="Times New Roman"/>
      <charset val="204"/>
    </font>
    <font>
      <b/>
      <sz val="11"/>
      <name val="Arial"/>
    </font>
    <font>
      <sz val="10"/>
      <name val="Arial MT"/>
    </font>
    <font>
      <sz val="10"/>
      <name val="Arial MT"/>
      <family val="2"/>
    </font>
    <font>
      <sz val="10"/>
      <color rgb="FF000000"/>
      <name val="Arial MT"/>
      <family val="2"/>
    </font>
    <font>
      <b/>
      <sz val="10"/>
      <name val="Arial"/>
      <family val="2"/>
    </font>
    <font>
      <b/>
      <sz val="10"/>
      <name val="Arial"/>
    </font>
    <font>
      <sz val="11"/>
      <name val="Arial"/>
      <family val="2"/>
    </font>
    <font>
      <b/>
      <sz val="11"/>
      <name val="Arial MT"/>
    </font>
    <font>
      <b/>
      <sz val="12"/>
      <color rgb="FFFFFFFF"/>
      <name val="Arial"/>
      <family val="2"/>
    </font>
    <font>
      <b/>
      <sz val="12"/>
      <color theme="0"/>
      <name val="Arial"/>
      <family val="2"/>
    </font>
    <font>
      <sz val="12"/>
      <name val="Arial MT"/>
    </font>
    <font>
      <sz val="12"/>
      <name val="Arial MT"/>
      <family val="2"/>
    </font>
    <font>
      <sz val="11"/>
      <name val="Times New Roman"/>
      <family val="2"/>
    </font>
    <font>
      <sz val="9"/>
      <name val="Arial MT"/>
    </font>
    <font>
      <sz val="9"/>
      <name val="Arial MT"/>
      <family val="2"/>
    </font>
    <font>
      <b/>
      <sz val="9"/>
      <name val="Arial"/>
      <family val="2"/>
    </font>
    <font>
      <sz val="9"/>
      <color rgb="FF000000"/>
      <name val="Arial MT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Times New Roman"/>
      <family val="1"/>
    </font>
    <font>
      <b/>
      <sz val="9"/>
      <color theme="0"/>
      <name val="Arial"/>
      <family val="2"/>
    </font>
    <font>
      <sz val="12"/>
      <color rgb="FF000000"/>
      <name val="Arial MT"/>
      <family val="2"/>
    </font>
    <font>
      <sz val="12"/>
      <name val="Arial"/>
      <family val="1"/>
    </font>
    <font>
      <b/>
      <sz val="11"/>
      <color theme="0"/>
      <name val="Arial"/>
      <family val="2"/>
    </font>
    <font>
      <sz val="11"/>
      <color theme="0"/>
      <name val="Times New Roman"/>
      <family val="2"/>
      <charset val="204"/>
    </font>
    <font>
      <sz val="12"/>
      <color theme="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D7EBF6"/>
      </patternFill>
    </fill>
    <fill>
      <patternFill patternType="solid">
        <fgColor rgb="FFDFEFD7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5D5D5"/>
      </patternFill>
    </fill>
    <fill>
      <patternFill patternType="solid">
        <fgColor rgb="FFEEEEEE"/>
      </patternFill>
    </fill>
    <fill>
      <patternFill patternType="solid">
        <fgColor rgb="FF151F39"/>
      </patternFill>
    </fill>
    <fill>
      <patternFill patternType="solid">
        <fgColor rgb="FFFFFF99"/>
      </patternFill>
    </fill>
    <fill>
      <patternFill patternType="solid">
        <fgColor rgb="FF808080"/>
      </patternFill>
    </fill>
    <fill>
      <patternFill patternType="solid">
        <fgColor rgb="FFBEBEBE"/>
      </patternFill>
    </fill>
    <fill>
      <patternFill patternType="solid">
        <fgColor rgb="FFF1F1F1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6" fillId="0" borderId="0"/>
  </cellStyleXfs>
  <cellXfs count="356">
    <xf numFmtId="0" fontId="0" fillId="0" borderId="0" xfId="0"/>
    <xf numFmtId="0" fontId="0" fillId="0" borderId="0" xfId="0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4" fontId="0" fillId="0" borderId="7" xfId="0" applyNumberFormat="1" applyBorder="1" applyAlignment="1">
      <alignment horizontal="center" vertical="center" wrapText="1"/>
    </xf>
    <xf numFmtId="4" fontId="4" fillId="0" borderId="7" xfId="0" applyNumberFormat="1" applyFont="1" applyBorder="1" applyAlignment="1">
      <alignment horizontal="center" vertical="center" wrapText="1"/>
    </xf>
    <xf numFmtId="1" fontId="7" fillId="2" borderId="8" xfId="0" applyNumberFormat="1" applyFont="1" applyFill="1" applyBorder="1" applyAlignment="1">
      <alignment horizontal="left" vertical="center" shrinkToFit="1"/>
    </xf>
    <xf numFmtId="0" fontId="8" fillId="2" borderId="8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4" fontId="8" fillId="2" borderId="8" xfId="0" applyNumberFormat="1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top" wrapText="1"/>
    </xf>
    <xf numFmtId="0" fontId="0" fillId="3" borderId="9" xfId="0" applyFill="1" applyBorder="1" applyAlignment="1">
      <alignment horizontal="left" wrapText="1"/>
    </xf>
    <xf numFmtId="4" fontId="0" fillId="3" borderId="9" xfId="0" applyNumberFormat="1" applyFill="1" applyBorder="1" applyAlignment="1">
      <alignment horizontal="left" wrapText="1"/>
    </xf>
    <xf numFmtId="0" fontId="10" fillId="4" borderId="9" xfId="0" applyFont="1" applyFill="1" applyBorder="1" applyAlignment="1">
      <alignment horizontal="left" vertical="top" wrapText="1"/>
    </xf>
    <xf numFmtId="0" fontId="10" fillId="4" borderId="9" xfId="0" applyFont="1" applyFill="1" applyBorder="1" applyAlignment="1">
      <alignment horizontal="center" vertical="center" wrapText="1"/>
    </xf>
    <xf numFmtId="2" fontId="11" fillId="4" borderId="9" xfId="0" applyNumberFormat="1" applyFont="1" applyFill="1" applyBorder="1" applyAlignment="1">
      <alignment horizontal="right" vertical="top" shrinkToFit="1"/>
    </xf>
    <xf numFmtId="2" fontId="11" fillId="5" borderId="9" xfId="0" applyNumberFormat="1" applyFont="1" applyFill="1" applyBorder="1" applyAlignment="1">
      <alignment horizontal="right" vertical="top" shrinkToFit="1"/>
    </xf>
    <xf numFmtId="44" fontId="11" fillId="4" borderId="9" xfId="1" applyFont="1" applyFill="1" applyBorder="1" applyAlignment="1">
      <alignment horizontal="right" vertical="top" shrinkToFit="1"/>
    </xf>
    <xf numFmtId="10" fontId="12" fillId="0" borderId="0" xfId="0" applyNumberFormat="1" applyFont="1" applyAlignment="1">
      <alignment horizontal="left" vertical="top"/>
    </xf>
    <xf numFmtId="4" fontId="11" fillId="5" borderId="9" xfId="0" applyNumberFormat="1" applyFont="1" applyFill="1" applyBorder="1" applyAlignment="1">
      <alignment horizontal="right" vertical="top" shrinkToFit="1"/>
    </xf>
    <xf numFmtId="4" fontId="11" fillId="4" borderId="9" xfId="0" applyNumberFormat="1" applyFont="1" applyFill="1" applyBorder="1" applyAlignment="1">
      <alignment horizontal="right" vertical="top" shrinkToFit="1"/>
    </xf>
    <xf numFmtId="164" fontId="11" fillId="4" borderId="9" xfId="0" applyNumberFormat="1" applyFont="1" applyFill="1" applyBorder="1" applyAlignment="1">
      <alignment horizontal="left" vertical="top" shrinkToFit="1"/>
    </xf>
    <xf numFmtId="1" fontId="11" fillId="4" borderId="9" xfId="0" applyNumberFormat="1" applyFont="1" applyFill="1" applyBorder="1" applyAlignment="1">
      <alignment horizontal="left" vertical="top" shrinkToFit="1"/>
    </xf>
    <xf numFmtId="4" fontId="9" fillId="3" borderId="9" xfId="0" applyNumberFormat="1" applyFont="1" applyFill="1" applyBorder="1" applyAlignment="1">
      <alignment horizontal="right" vertical="top" shrinkToFit="1"/>
    </xf>
    <xf numFmtId="0" fontId="12" fillId="0" borderId="0" xfId="0" applyFont="1" applyAlignment="1">
      <alignment horizontal="left" vertical="top"/>
    </xf>
    <xf numFmtId="1" fontId="11" fillId="4" borderId="9" xfId="0" applyNumberFormat="1" applyFont="1" applyFill="1" applyBorder="1" applyAlignment="1">
      <alignment horizontal="right" vertical="top" shrinkToFit="1"/>
    </xf>
    <xf numFmtId="0" fontId="10" fillId="4" borderId="9" xfId="0" applyFont="1" applyFill="1" applyBorder="1" applyAlignment="1">
      <alignment horizontal="center" vertical="top" wrapText="1"/>
    </xf>
    <xf numFmtId="1" fontId="7" fillId="2" borderId="9" xfId="0" applyNumberFormat="1" applyFont="1" applyFill="1" applyBorder="1" applyAlignment="1">
      <alignment horizontal="left" vertical="center" shrinkToFit="1"/>
    </xf>
    <xf numFmtId="0" fontId="8" fillId="2" borderId="9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4" fontId="7" fillId="2" borderId="9" xfId="0" applyNumberFormat="1" applyFont="1" applyFill="1" applyBorder="1" applyAlignment="1">
      <alignment horizontal="right" vertical="center" shrinkToFit="1"/>
    </xf>
    <xf numFmtId="0" fontId="0" fillId="3" borderId="9" xfId="0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right" vertical="top" wrapText="1"/>
    </xf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 wrapText="1"/>
    </xf>
    <xf numFmtId="4" fontId="0" fillId="0" borderId="0" xfId="0" applyNumberFormat="1" applyAlignment="1">
      <alignment horizontal="left" vertical="top"/>
    </xf>
    <xf numFmtId="4" fontId="4" fillId="0" borderId="10" xfId="0" applyNumberFormat="1" applyFont="1" applyBorder="1" applyAlignment="1">
      <alignment horizontal="right" vertical="top" wrapText="1"/>
    </xf>
    <xf numFmtId="4" fontId="9" fillId="6" borderId="10" xfId="0" applyNumberFormat="1" applyFont="1" applyFill="1" applyBorder="1" applyAlignment="1">
      <alignment horizontal="right" vertical="top" shrinkToFit="1"/>
    </xf>
    <xf numFmtId="4" fontId="12" fillId="0" borderId="0" xfId="0" applyNumberFormat="1" applyFont="1" applyAlignment="1">
      <alignment horizontal="left" vertical="top"/>
    </xf>
    <xf numFmtId="4" fontId="1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vertical="top" wrapText="1"/>
    </xf>
    <xf numFmtId="0" fontId="16" fillId="0" borderId="0" xfId="2" applyAlignment="1">
      <alignment horizontal="center" vertical="top"/>
    </xf>
    <xf numFmtId="0" fontId="17" fillId="0" borderId="9" xfId="2" applyFont="1" applyBorder="1" applyAlignment="1">
      <alignment horizontal="left" vertical="top" wrapText="1"/>
    </xf>
    <xf numFmtId="0" fontId="17" fillId="0" borderId="9" xfId="2" applyFont="1" applyBorder="1" applyAlignment="1">
      <alignment horizontal="right" vertical="top" wrapText="1"/>
    </xf>
    <xf numFmtId="0" fontId="4" fillId="0" borderId="12" xfId="2" applyFont="1" applyBorder="1" applyAlignment="1">
      <alignment horizontal="right" vertical="top" wrapText="1"/>
    </xf>
    <xf numFmtId="0" fontId="16" fillId="0" borderId="0" xfId="2" applyAlignment="1">
      <alignment horizontal="left" vertical="top"/>
    </xf>
    <xf numFmtId="0" fontId="18" fillId="4" borderId="9" xfId="2" applyFont="1" applyFill="1" applyBorder="1" applyAlignment="1">
      <alignment horizontal="left" vertical="top" wrapText="1"/>
    </xf>
    <xf numFmtId="0" fontId="18" fillId="4" borderId="9" xfId="2" applyFont="1" applyFill="1" applyBorder="1" applyAlignment="1">
      <alignment horizontal="right" vertical="top" wrapText="1"/>
    </xf>
    <xf numFmtId="0" fontId="16" fillId="4" borderId="9" xfId="2" applyFill="1" applyBorder="1" applyAlignment="1">
      <alignment horizontal="left" vertical="top" wrapText="1"/>
    </xf>
    <xf numFmtId="165" fontId="20" fillId="4" borderId="9" xfId="2" applyNumberFormat="1" applyFont="1" applyFill="1" applyBorder="1" applyAlignment="1">
      <alignment horizontal="right" vertical="top" shrinkToFit="1"/>
    </xf>
    <xf numFmtId="2" fontId="20" fillId="4" borderId="9" xfId="2" applyNumberFormat="1" applyFont="1" applyFill="1" applyBorder="1" applyAlignment="1">
      <alignment horizontal="right" vertical="top" shrinkToFit="1"/>
    </xf>
    <xf numFmtId="0" fontId="18" fillId="8" borderId="9" xfId="2" applyFont="1" applyFill="1" applyBorder="1" applyAlignment="1">
      <alignment horizontal="left" vertical="top" wrapText="1"/>
    </xf>
    <xf numFmtId="1" fontId="20" fillId="8" borderId="9" xfId="2" applyNumberFormat="1" applyFont="1" applyFill="1" applyBorder="1" applyAlignment="1">
      <alignment horizontal="right" vertical="top" shrinkToFit="1"/>
    </xf>
    <xf numFmtId="0" fontId="16" fillId="8" borderId="9" xfId="2" applyFill="1" applyBorder="1" applyAlignment="1">
      <alignment horizontal="left" vertical="top" wrapText="1"/>
    </xf>
    <xf numFmtId="165" fontId="20" fillId="8" borderId="9" xfId="2" applyNumberFormat="1" applyFont="1" applyFill="1" applyBorder="1" applyAlignment="1">
      <alignment horizontal="right" vertical="top" shrinkToFit="1"/>
    </xf>
    <xf numFmtId="2" fontId="20" fillId="8" borderId="12" xfId="2" applyNumberFormat="1" applyFont="1" applyFill="1" applyBorder="1" applyAlignment="1">
      <alignment horizontal="right" vertical="top" shrinkToFit="1"/>
    </xf>
    <xf numFmtId="2" fontId="20" fillId="8" borderId="9" xfId="2" applyNumberFormat="1" applyFont="1" applyFill="1" applyBorder="1" applyAlignment="1">
      <alignment horizontal="right" vertical="top" shrinkToFit="1"/>
    </xf>
    <xf numFmtId="0" fontId="18" fillId="9" borderId="9" xfId="2" applyFont="1" applyFill="1" applyBorder="1" applyAlignment="1">
      <alignment horizontal="left" vertical="top" wrapText="1"/>
    </xf>
    <xf numFmtId="0" fontId="18" fillId="9" borderId="9" xfId="2" applyFont="1" applyFill="1" applyBorder="1" applyAlignment="1">
      <alignment horizontal="right" vertical="top" wrapText="1"/>
    </xf>
    <xf numFmtId="165" fontId="20" fillId="9" borderId="9" xfId="2" applyNumberFormat="1" applyFont="1" applyFill="1" applyBorder="1" applyAlignment="1">
      <alignment horizontal="right" vertical="top" shrinkToFit="1"/>
    </xf>
    <xf numFmtId="2" fontId="20" fillId="4" borderId="12" xfId="2" applyNumberFormat="1" applyFont="1" applyFill="1" applyBorder="1" applyAlignment="1">
      <alignment horizontal="right" vertical="top" shrinkToFit="1"/>
    </xf>
    <xf numFmtId="1" fontId="20" fillId="9" borderId="9" xfId="2" applyNumberFormat="1" applyFont="1" applyFill="1" applyBorder="1" applyAlignment="1">
      <alignment horizontal="right" vertical="top" shrinkToFit="1"/>
    </xf>
    <xf numFmtId="0" fontId="17" fillId="0" borderId="12" xfId="2" applyFont="1" applyBorder="1" applyAlignment="1">
      <alignment horizontal="right" vertical="top" wrapText="1"/>
    </xf>
    <xf numFmtId="4" fontId="20" fillId="4" borderId="9" xfId="2" applyNumberFormat="1" applyFont="1" applyFill="1" applyBorder="1" applyAlignment="1">
      <alignment horizontal="right" vertical="top" shrinkToFit="1"/>
    </xf>
    <xf numFmtId="0" fontId="16" fillId="0" borderId="0" xfId="2" applyAlignment="1">
      <alignment horizontal="left" vertical="top" wrapText="1"/>
    </xf>
    <xf numFmtId="0" fontId="17" fillId="0" borderId="12" xfId="2" applyFont="1" applyBorder="1" applyAlignment="1">
      <alignment horizontal="left" vertical="top" wrapText="1" indent="4"/>
    </xf>
    <xf numFmtId="2" fontId="20" fillId="4" borderId="9" xfId="2" applyNumberFormat="1" applyFont="1" applyFill="1" applyBorder="1" applyAlignment="1">
      <alignment horizontal="left" vertical="top" indent="5" shrinkToFit="1"/>
    </xf>
    <xf numFmtId="0" fontId="16" fillId="0" borderId="0" xfId="2" applyAlignment="1">
      <alignment horizontal="left" wrapText="1"/>
    </xf>
    <xf numFmtId="2" fontId="20" fillId="0" borderId="4" xfId="2" applyNumberFormat="1" applyFont="1" applyBorder="1" applyAlignment="1">
      <alignment horizontal="right" vertical="top" shrinkToFit="1"/>
    </xf>
    <xf numFmtId="0" fontId="18" fillId="0" borderId="0" xfId="2" applyFont="1" applyAlignment="1">
      <alignment horizontal="left" vertical="top" wrapText="1"/>
    </xf>
    <xf numFmtId="164" fontId="9" fillId="0" borderId="9" xfId="2" applyNumberFormat="1" applyFont="1" applyBorder="1" applyAlignment="1">
      <alignment horizontal="left" vertical="top" shrinkToFit="1"/>
    </xf>
    <xf numFmtId="1" fontId="20" fillId="4" borderId="9" xfId="2" applyNumberFormat="1" applyFont="1" applyFill="1" applyBorder="1" applyAlignment="1">
      <alignment horizontal="right" vertical="top" shrinkToFit="1"/>
    </xf>
    <xf numFmtId="0" fontId="16" fillId="0" borderId="10" xfId="2" applyBorder="1" applyAlignment="1">
      <alignment horizontal="left" wrapText="1"/>
    </xf>
    <xf numFmtId="0" fontId="18" fillId="0" borderId="10" xfId="2" applyFont="1" applyBorder="1" applyAlignment="1">
      <alignment horizontal="right" vertical="top" wrapText="1"/>
    </xf>
    <xf numFmtId="2" fontId="20" fillId="0" borderId="10" xfId="2" applyNumberFormat="1" applyFont="1" applyBorder="1" applyAlignment="1">
      <alignment horizontal="right" vertical="top" shrinkToFit="1"/>
    </xf>
    <xf numFmtId="0" fontId="18" fillId="0" borderId="0" xfId="2" applyFont="1" applyAlignment="1">
      <alignment horizontal="right" vertical="top" wrapText="1"/>
    </xf>
    <xf numFmtId="0" fontId="22" fillId="0" borderId="0" xfId="2" applyFont="1" applyAlignment="1">
      <alignment horizontal="left" vertical="top" wrapText="1"/>
    </xf>
    <xf numFmtId="0" fontId="16" fillId="0" borderId="4" xfId="2" applyBorder="1" applyAlignment="1">
      <alignment horizontal="left" wrapText="1"/>
    </xf>
    <xf numFmtId="0" fontId="18" fillId="0" borderId="4" xfId="2" applyFont="1" applyBorder="1" applyAlignment="1">
      <alignment horizontal="left" vertical="top" wrapText="1" indent="1"/>
    </xf>
    <xf numFmtId="0" fontId="18" fillId="0" borderId="4" xfId="2" applyFont="1" applyBorder="1" applyAlignment="1">
      <alignment horizontal="left" vertical="top" wrapText="1"/>
    </xf>
    <xf numFmtId="0" fontId="16" fillId="8" borderId="0" xfId="2" applyFill="1" applyAlignment="1">
      <alignment horizontal="left" vertical="top" wrapText="1"/>
    </xf>
    <xf numFmtId="0" fontId="22" fillId="0" borderId="4" xfId="2" applyFont="1" applyBorder="1" applyAlignment="1">
      <alignment horizontal="left" vertical="top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15" fillId="7" borderId="0" xfId="0" applyFont="1" applyFill="1" applyAlignment="1">
      <alignment wrapText="1"/>
    </xf>
    <xf numFmtId="0" fontId="12" fillId="0" borderId="0" xfId="2" applyFont="1" applyAlignment="1">
      <alignment horizontal="left" vertical="top"/>
    </xf>
    <xf numFmtId="10" fontId="12" fillId="0" borderId="0" xfId="2" applyNumberFormat="1" applyFont="1" applyAlignment="1">
      <alignment horizontal="left" vertical="top"/>
    </xf>
    <xf numFmtId="4" fontId="7" fillId="2" borderId="9" xfId="1" applyNumberFormat="1" applyFont="1" applyFill="1" applyBorder="1" applyAlignment="1">
      <alignment horizontal="right" vertical="center" shrinkToFit="1"/>
    </xf>
    <xf numFmtId="4" fontId="9" fillId="3" borderId="9" xfId="1" applyNumberFormat="1" applyFont="1" applyFill="1" applyBorder="1" applyAlignment="1">
      <alignment horizontal="right" vertical="top" shrinkToFit="1"/>
    </xf>
    <xf numFmtId="4" fontId="11" fillId="4" borderId="9" xfId="1" applyNumberFormat="1" applyFont="1" applyFill="1" applyBorder="1" applyAlignment="1">
      <alignment horizontal="right" vertical="top" shrinkToFit="1"/>
    </xf>
    <xf numFmtId="0" fontId="13" fillId="10" borderId="7" xfId="0" applyFont="1" applyFill="1" applyBorder="1" applyAlignment="1">
      <alignment horizontal="left" vertical="top" wrapText="1" indent="3"/>
    </xf>
    <xf numFmtId="0" fontId="13" fillId="10" borderId="7" xfId="0" applyFont="1" applyFill="1" applyBorder="1" applyAlignment="1">
      <alignment horizontal="center" vertical="top" wrapText="1"/>
    </xf>
    <xf numFmtId="1" fontId="14" fillId="0" borderId="7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 indent="1"/>
    </xf>
    <xf numFmtId="4" fontId="14" fillId="0" borderId="19" xfId="0" applyNumberFormat="1" applyFont="1" applyBorder="1" applyAlignment="1">
      <alignment horizontal="right" vertical="top" shrinkToFit="1"/>
    </xf>
    <xf numFmtId="10" fontId="14" fillId="0" borderId="7" xfId="0" applyNumberFormat="1" applyFont="1" applyBorder="1" applyAlignment="1">
      <alignment horizontal="center" vertical="top" shrinkToFit="1"/>
    </xf>
    <xf numFmtId="0" fontId="26" fillId="10" borderId="1" xfId="0" applyFont="1" applyFill="1" applyBorder="1" applyAlignment="1">
      <alignment vertical="top" wrapText="1"/>
    </xf>
    <xf numFmtId="4" fontId="26" fillId="10" borderId="19" xfId="0" applyNumberFormat="1" applyFont="1" applyFill="1" applyBorder="1" applyAlignment="1">
      <alignment vertical="top" wrapText="1"/>
    </xf>
    <xf numFmtId="10" fontId="25" fillId="10" borderId="7" xfId="0" applyNumberFormat="1" applyFont="1" applyFill="1" applyBorder="1" applyAlignment="1">
      <alignment horizontal="left" vertical="top" indent="4" shrinkToFit="1"/>
    </xf>
    <xf numFmtId="0" fontId="0" fillId="0" borderId="0" xfId="0" applyAlignment="1">
      <alignment horizontal="left" vertical="center" wrapText="1"/>
    </xf>
    <xf numFmtId="0" fontId="0" fillId="0" borderId="24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4" fontId="33" fillId="0" borderId="7" xfId="0" applyNumberFormat="1" applyFont="1" applyBorder="1" applyAlignment="1">
      <alignment horizontal="right" vertical="top" shrinkToFit="1"/>
    </xf>
    <xf numFmtId="0" fontId="30" fillId="0" borderId="7" xfId="0" applyFont="1" applyBorder="1" applyAlignment="1">
      <alignment horizontal="right" vertical="top" wrapText="1" indent="2"/>
    </xf>
    <xf numFmtId="0" fontId="0" fillId="0" borderId="7" xfId="0" applyBorder="1" applyAlignment="1">
      <alignment horizontal="left" vertical="center" wrapText="1"/>
    </xf>
    <xf numFmtId="10" fontId="33" fillId="0" borderId="7" xfId="0" applyNumberFormat="1" applyFont="1" applyBorder="1" applyAlignment="1">
      <alignment horizontal="right" vertical="top" shrinkToFit="1"/>
    </xf>
    <xf numFmtId="10" fontId="34" fillId="13" borderId="7" xfId="0" applyNumberFormat="1" applyFont="1" applyFill="1" applyBorder="1" applyAlignment="1">
      <alignment horizontal="right" vertical="top" shrinkToFit="1"/>
    </xf>
    <xf numFmtId="4" fontId="34" fillId="13" borderId="7" xfId="0" applyNumberFormat="1" applyFont="1" applyFill="1" applyBorder="1" applyAlignment="1">
      <alignment horizontal="right" vertical="top" shrinkToFit="1"/>
    </xf>
    <xf numFmtId="0" fontId="0" fillId="12" borderId="6" xfId="0" applyFill="1" applyBorder="1" applyAlignment="1">
      <alignment wrapText="1"/>
    </xf>
    <xf numFmtId="0" fontId="32" fillId="0" borderId="19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1" fontId="34" fillId="0" borderId="7" xfId="0" applyNumberFormat="1" applyFont="1" applyBorder="1" applyAlignment="1">
      <alignment horizontal="center" vertical="top" shrinkToFit="1"/>
    </xf>
    <xf numFmtId="0" fontId="32" fillId="0" borderId="2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4" fontId="34" fillId="0" borderId="19" xfId="0" applyNumberFormat="1" applyFont="1" applyBorder="1" applyAlignment="1">
      <alignment horizontal="right" vertical="top" shrinkToFit="1"/>
    </xf>
    <xf numFmtId="10" fontId="34" fillId="0" borderId="7" xfId="0" applyNumberFormat="1" applyFont="1" applyBorder="1" applyAlignment="1">
      <alignment horizontal="center" vertical="top" shrinkToFit="1"/>
    </xf>
    <xf numFmtId="0" fontId="36" fillId="10" borderId="1" xfId="0" applyFont="1" applyFill="1" applyBorder="1" applyAlignment="1">
      <alignment horizontal="left" wrapText="1"/>
    </xf>
    <xf numFmtId="0" fontId="36" fillId="10" borderId="19" xfId="0" applyFont="1" applyFill="1" applyBorder="1" applyAlignment="1">
      <alignment horizontal="left" wrapText="1"/>
    </xf>
    <xf numFmtId="0" fontId="37" fillId="10" borderId="1" xfId="0" applyFont="1" applyFill="1" applyBorder="1" applyAlignment="1">
      <alignment vertical="top" wrapText="1"/>
    </xf>
    <xf numFmtId="4" fontId="37" fillId="10" borderId="19" xfId="0" applyNumberFormat="1" applyFont="1" applyFill="1" applyBorder="1" applyAlignment="1">
      <alignment vertical="top" wrapText="1"/>
    </xf>
    <xf numFmtId="10" fontId="35" fillId="10" borderId="7" xfId="0" applyNumberFormat="1" applyFont="1" applyFill="1" applyBorder="1" applyAlignment="1">
      <alignment horizontal="left" vertical="top" indent="4" shrinkToFit="1"/>
    </xf>
    <xf numFmtId="0" fontId="30" fillId="11" borderId="23" xfId="0" applyFont="1" applyFill="1" applyBorder="1" applyAlignment="1">
      <alignment horizontal="left" vertical="center" wrapText="1"/>
    </xf>
    <xf numFmtId="0" fontId="30" fillId="11" borderId="24" xfId="0" applyFont="1" applyFill="1" applyBorder="1" applyAlignment="1">
      <alignment horizontal="left" vertical="center" wrapText="1"/>
    </xf>
    <xf numFmtId="10" fontId="33" fillId="0" borderId="23" xfId="0" applyNumberFormat="1" applyFont="1" applyBorder="1" applyAlignment="1">
      <alignment vertical="top" shrinkToFit="1"/>
    </xf>
    <xf numFmtId="0" fontId="0" fillId="0" borderId="24" xfId="0" applyBorder="1" applyAlignment="1">
      <alignment horizontal="left" vertical="center" wrapText="1"/>
    </xf>
    <xf numFmtId="10" fontId="25" fillId="10" borderId="7" xfId="0" applyNumberFormat="1" applyFont="1" applyFill="1" applyBorder="1" applyAlignment="1">
      <alignment horizontal="center" vertical="top" shrinkToFit="1"/>
    </xf>
    <xf numFmtId="10" fontId="14" fillId="14" borderId="7" xfId="0" applyNumberFormat="1" applyFont="1" applyFill="1" applyBorder="1" applyAlignment="1">
      <alignment horizontal="center" vertical="top" shrinkToFit="1"/>
    </xf>
    <xf numFmtId="0" fontId="13" fillId="14" borderId="7" xfId="0" applyFont="1" applyFill="1" applyBorder="1" applyAlignment="1">
      <alignment horizontal="center" vertical="top" wrapText="1"/>
    </xf>
    <xf numFmtId="10" fontId="38" fillId="0" borderId="7" xfId="0" applyNumberFormat="1" applyFont="1" applyBorder="1" applyAlignment="1">
      <alignment horizontal="center" vertical="top" shrinkToFit="1"/>
    </xf>
    <xf numFmtId="0" fontId="27" fillId="0" borderId="7" xfId="0" applyFont="1" applyBorder="1" applyAlignment="1">
      <alignment horizontal="center" vertical="top" wrapText="1"/>
    </xf>
    <xf numFmtId="0" fontId="13" fillId="14" borderId="7" xfId="0" applyFont="1" applyFill="1" applyBorder="1" applyAlignment="1">
      <alignment horizontal="left" vertical="top" wrapText="1" indent="8"/>
    </xf>
    <xf numFmtId="0" fontId="13" fillId="14" borderId="7" xfId="0" applyFont="1" applyFill="1" applyBorder="1" applyAlignment="1">
      <alignment horizontal="left" vertical="top" wrapText="1" indent="10"/>
    </xf>
    <xf numFmtId="1" fontId="38" fillId="0" borderId="7" xfId="0" applyNumberFormat="1" applyFont="1" applyBorder="1" applyAlignment="1">
      <alignment horizontal="center" vertical="top" shrinkToFit="1"/>
    </xf>
    <xf numFmtId="0" fontId="27" fillId="0" borderId="7" xfId="0" applyFont="1" applyBorder="1" applyAlignment="1">
      <alignment horizontal="left" vertical="top" wrapText="1"/>
    </xf>
    <xf numFmtId="166" fontId="38" fillId="0" borderId="7" xfId="0" applyNumberFormat="1" applyFont="1" applyBorder="1" applyAlignment="1">
      <alignment horizontal="center" vertical="top" shrinkToFit="1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13" fillId="10" borderId="24" xfId="0" applyFont="1" applyFill="1" applyBorder="1" applyAlignment="1">
      <alignment horizontal="center" vertical="center" wrapText="1"/>
    </xf>
    <xf numFmtId="0" fontId="40" fillId="0" borderId="0" xfId="0" applyFont="1" applyAlignment="1">
      <alignment vertical="top" wrapText="1"/>
    </xf>
    <xf numFmtId="0" fontId="41" fillId="0" borderId="0" xfId="0" applyFont="1" applyAlignment="1">
      <alignment vertical="top" wrapText="1"/>
    </xf>
    <xf numFmtId="4" fontId="42" fillId="0" borderId="0" xfId="0" applyNumberFormat="1" applyFont="1" applyAlignment="1">
      <alignment horizontal="left" vertical="top"/>
    </xf>
    <xf numFmtId="0" fontId="13" fillId="0" borderId="0" xfId="0" applyFont="1" applyAlignment="1">
      <alignment horizontal="right" vertical="center" wrapText="1"/>
    </xf>
    <xf numFmtId="0" fontId="15" fillId="7" borderId="0" xfId="0" applyFont="1" applyFill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7" fillId="0" borderId="0" xfId="0" applyFont="1" applyAlignment="1">
      <alignment horizontal="center" vertical="top" wrapText="1"/>
    </xf>
    <xf numFmtId="0" fontId="15" fillId="7" borderId="4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 vertical="top" wrapText="1"/>
    </xf>
    <xf numFmtId="0" fontId="13" fillId="10" borderId="1" xfId="0" applyFont="1" applyFill="1" applyBorder="1" applyAlignment="1">
      <alignment horizontal="center" vertical="top" wrapText="1"/>
    </xf>
    <xf numFmtId="0" fontId="13" fillId="10" borderId="19" xfId="0" applyFont="1" applyFill="1" applyBorder="1" applyAlignment="1">
      <alignment horizontal="center" vertical="top" wrapText="1"/>
    </xf>
    <xf numFmtId="0" fontId="0" fillId="10" borderId="1" xfId="0" applyFill="1" applyBorder="1" applyAlignment="1">
      <alignment horizontal="left" wrapText="1"/>
    </xf>
    <xf numFmtId="0" fontId="0" fillId="10" borderId="19" xfId="0" applyFill="1" applyBorder="1" applyAlignment="1">
      <alignment horizontal="left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20" xfId="0" applyFont="1" applyBorder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0" fontId="18" fillId="0" borderId="2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29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6" fillId="0" borderId="0" xfId="2" applyAlignment="1">
      <alignment horizontal="left" vertical="top" wrapText="1" indent="1"/>
    </xf>
    <xf numFmtId="0" fontId="16" fillId="4" borderId="4" xfId="2" applyFill="1" applyBorder="1" applyAlignment="1">
      <alignment horizontal="left" wrapText="1"/>
    </xf>
    <xf numFmtId="0" fontId="18" fillId="0" borderId="10" xfId="2" applyFont="1" applyBorder="1" applyAlignment="1">
      <alignment horizontal="right" vertical="top" wrapText="1" indent="5"/>
    </xf>
    <xf numFmtId="0" fontId="18" fillId="0" borderId="10" xfId="2" applyFont="1" applyBorder="1" applyAlignment="1">
      <alignment horizontal="right" vertical="top" wrapText="1"/>
    </xf>
    <xf numFmtId="2" fontId="20" fillId="0" borderId="10" xfId="2" applyNumberFormat="1" applyFont="1" applyBorder="1" applyAlignment="1">
      <alignment horizontal="left" vertical="top" indent="6" shrinkToFit="1"/>
    </xf>
    <xf numFmtId="0" fontId="18" fillId="0" borderId="10" xfId="2" applyFont="1" applyBorder="1" applyAlignment="1">
      <alignment horizontal="left" vertical="top" wrapText="1" indent="1"/>
    </xf>
    <xf numFmtId="0" fontId="18" fillId="0" borderId="0" xfId="2" applyFont="1" applyAlignment="1">
      <alignment horizontal="right" vertical="top" wrapText="1" indent="5"/>
    </xf>
    <xf numFmtId="0" fontId="16" fillId="0" borderId="0" xfId="2" applyAlignment="1">
      <alignment horizontal="left" wrapText="1"/>
    </xf>
    <xf numFmtId="0" fontId="18" fillId="0" borderId="0" xfId="2" applyFont="1" applyAlignment="1">
      <alignment horizontal="left" vertical="top" wrapText="1"/>
    </xf>
    <xf numFmtId="0" fontId="18" fillId="9" borderId="11" xfId="2" applyFont="1" applyFill="1" applyBorder="1" applyAlignment="1">
      <alignment horizontal="left" vertical="top" wrapText="1"/>
    </xf>
    <xf numFmtId="0" fontId="18" fillId="9" borderId="12" xfId="2" applyFont="1" applyFill="1" applyBorder="1" applyAlignment="1">
      <alignment horizontal="left" vertical="top" wrapText="1"/>
    </xf>
    <xf numFmtId="0" fontId="16" fillId="9" borderId="11" xfId="2" applyFill="1" applyBorder="1" applyAlignment="1">
      <alignment horizontal="left" wrapText="1"/>
    </xf>
    <xf numFmtId="0" fontId="16" fillId="9" borderId="13" xfId="2" applyFill="1" applyBorder="1" applyAlignment="1">
      <alignment horizontal="left" wrapText="1"/>
    </xf>
    <xf numFmtId="0" fontId="16" fillId="9" borderId="12" xfId="2" applyFill="1" applyBorder="1" applyAlignment="1">
      <alignment horizontal="left" wrapText="1"/>
    </xf>
    <xf numFmtId="0" fontId="18" fillId="9" borderId="11" xfId="2" applyFont="1" applyFill="1" applyBorder="1" applyAlignment="1">
      <alignment horizontal="center" vertical="top" wrapText="1"/>
    </xf>
    <xf numFmtId="0" fontId="18" fillId="9" borderId="12" xfId="2" applyFont="1" applyFill="1" applyBorder="1" applyAlignment="1">
      <alignment horizontal="center" vertical="top" wrapText="1"/>
    </xf>
    <xf numFmtId="2" fontId="20" fillId="8" borderId="11" xfId="2" applyNumberFormat="1" applyFont="1" applyFill="1" applyBorder="1" applyAlignment="1">
      <alignment horizontal="right" vertical="top" shrinkToFit="1"/>
    </xf>
    <xf numFmtId="2" fontId="20" fillId="8" borderId="12" xfId="2" applyNumberFormat="1" applyFont="1" applyFill="1" applyBorder="1" applyAlignment="1">
      <alignment horizontal="right" vertical="top" shrinkToFit="1"/>
    </xf>
    <xf numFmtId="0" fontId="18" fillId="4" borderId="11" xfId="2" applyFont="1" applyFill="1" applyBorder="1" applyAlignment="1">
      <alignment horizontal="left" vertical="top" wrapText="1"/>
    </xf>
    <xf numFmtId="0" fontId="18" fillId="4" borderId="12" xfId="2" applyFont="1" applyFill="1" applyBorder="1" applyAlignment="1">
      <alignment horizontal="left" vertical="top" wrapText="1"/>
    </xf>
    <xf numFmtId="0" fontId="16" fillId="4" borderId="11" xfId="2" applyFill="1" applyBorder="1" applyAlignment="1">
      <alignment horizontal="left" wrapText="1"/>
    </xf>
    <xf numFmtId="0" fontId="16" fillId="4" borderId="13" xfId="2" applyFill="1" applyBorder="1" applyAlignment="1">
      <alignment horizontal="left" wrapText="1"/>
    </xf>
    <xf numFmtId="0" fontId="16" fillId="4" borderId="12" xfId="2" applyFill="1" applyBorder="1" applyAlignment="1">
      <alignment horizontal="left" wrapText="1"/>
    </xf>
    <xf numFmtId="0" fontId="18" fillId="4" borderId="11" xfId="2" applyFont="1" applyFill="1" applyBorder="1" applyAlignment="1">
      <alignment horizontal="center" vertical="top" wrapText="1"/>
    </xf>
    <xf numFmtId="0" fontId="18" fillId="4" borderId="12" xfId="2" applyFont="1" applyFill="1" applyBorder="1" applyAlignment="1">
      <alignment horizontal="center" vertical="top" wrapText="1"/>
    </xf>
    <xf numFmtId="2" fontId="20" fillId="4" borderId="11" xfId="2" applyNumberFormat="1" applyFont="1" applyFill="1" applyBorder="1" applyAlignment="1">
      <alignment horizontal="right" vertical="top" shrinkToFit="1"/>
    </xf>
    <xf numFmtId="2" fontId="20" fillId="4" borderId="12" xfId="2" applyNumberFormat="1" applyFont="1" applyFill="1" applyBorder="1" applyAlignment="1">
      <alignment horizontal="right" vertical="top" shrinkToFit="1"/>
    </xf>
    <xf numFmtId="0" fontId="18" fillId="8" borderId="11" xfId="2" applyFont="1" applyFill="1" applyBorder="1" applyAlignment="1">
      <alignment horizontal="left" vertical="top" wrapText="1"/>
    </xf>
    <xf numFmtId="0" fontId="18" fillId="8" borderId="12" xfId="2" applyFont="1" applyFill="1" applyBorder="1" applyAlignment="1">
      <alignment horizontal="left" vertical="top" wrapText="1"/>
    </xf>
    <xf numFmtId="0" fontId="16" fillId="8" borderId="11" xfId="2" applyFill="1" applyBorder="1" applyAlignment="1">
      <alignment horizontal="left" wrapText="1"/>
    </xf>
    <xf numFmtId="0" fontId="16" fillId="8" borderId="13" xfId="2" applyFill="1" applyBorder="1" applyAlignment="1">
      <alignment horizontal="left" wrapText="1"/>
    </xf>
    <xf numFmtId="0" fontId="16" fillId="8" borderId="12" xfId="2" applyFill="1" applyBorder="1" applyAlignment="1">
      <alignment horizontal="left" wrapText="1"/>
    </xf>
    <xf numFmtId="0" fontId="18" fillId="8" borderId="11" xfId="2" applyFont="1" applyFill="1" applyBorder="1" applyAlignment="1">
      <alignment horizontal="center" vertical="top" wrapText="1"/>
    </xf>
    <xf numFmtId="0" fontId="18" fillId="8" borderId="12" xfId="2" applyFont="1" applyFill="1" applyBorder="1" applyAlignment="1">
      <alignment horizontal="center" vertical="top" wrapText="1"/>
    </xf>
    <xf numFmtId="0" fontId="18" fillId="0" borderId="6" xfId="2" applyFont="1" applyBorder="1" applyAlignment="1">
      <alignment horizontal="left" vertical="top" wrapText="1"/>
    </xf>
    <xf numFmtId="0" fontId="16" fillId="4" borderId="14" xfId="2" applyFill="1" applyBorder="1" applyAlignment="1">
      <alignment horizontal="left" wrapText="1"/>
    </xf>
    <xf numFmtId="0" fontId="17" fillId="0" borderId="11" xfId="2" applyFont="1" applyBorder="1" applyAlignment="1">
      <alignment horizontal="left" vertical="top" wrapText="1"/>
    </xf>
    <xf numFmtId="0" fontId="17" fillId="0" borderId="12" xfId="2" applyFont="1" applyBorder="1" applyAlignment="1">
      <alignment horizontal="left" vertical="top" wrapText="1"/>
    </xf>
    <xf numFmtId="0" fontId="16" fillId="0" borderId="11" xfId="2" applyBorder="1" applyAlignment="1">
      <alignment horizontal="left" wrapText="1"/>
    </xf>
    <xf numFmtId="0" fontId="16" fillId="0" borderId="13" xfId="2" applyBorder="1" applyAlignment="1">
      <alignment horizontal="left" wrapText="1"/>
    </xf>
    <xf numFmtId="0" fontId="16" fillId="0" borderId="12" xfId="2" applyBorder="1" applyAlignment="1">
      <alignment horizontal="left" wrapText="1"/>
    </xf>
    <xf numFmtId="0" fontId="17" fillId="0" borderId="11" xfId="2" applyFont="1" applyBorder="1" applyAlignment="1">
      <alignment horizontal="left" vertical="top" wrapText="1" indent="4"/>
    </xf>
    <xf numFmtId="0" fontId="17" fillId="0" borderId="12" xfId="2" applyFont="1" applyBorder="1" applyAlignment="1">
      <alignment horizontal="left" vertical="top" wrapText="1" indent="4"/>
    </xf>
    <xf numFmtId="0" fontId="17" fillId="0" borderId="11" xfId="2" applyFont="1" applyBorder="1" applyAlignment="1">
      <alignment horizontal="center" vertical="top" wrapText="1"/>
    </xf>
    <xf numFmtId="0" fontId="17" fillId="0" borderId="13" xfId="2" applyFont="1" applyBorder="1" applyAlignment="1">
      <alignment horizontal="center" vertical="top" wrapText="1"/>
    </xf>
    <xf numFmtId="0" fontId="17" fillId="0" borderId="12" xfId="2" applyFont="1" applyBorder="1" applyAlignment="1">
      <alignment horizontal="center" vertical="top" wrapText="1"/>
    </xf>
    <xf numFmtId="0" fontId="16" fillId="0" borderId="10" xfId="2" applyBorder="1" applyAlignment="1">
      <alignment horizontal="left" wrapText="1"/>
    </xf>
    <xf numFmtId="0" fontId="17" fillId="0" borderId="11" xfId="2" applyFont="1" applyBorder="1" applyAlignment="1">
      <alignment horizontal="right" vertical="top" wrapText="1"/>
    </xf>
    <xf numFmtId="0" fontId="17" fillId="0" borderId="12" xfId="2" applyFont="1" applyBorder="1" applyAlignment="1">
      <alignment horizontal="right" vertical="top" wrapText="1"/>
    </xf>
    <xf numFmtId="2" fontId="20" fillId="9" borderId="11" xfId="2" applyNumberFormat="1" applyFont="1" applyFill="1" applyBorder="1" applyAlignment="1">
      <alignment horizontal="right" vertical="top" shrinkToFit="1"/>
    </xf>
    <xf numFmtId="2" fontId="20" fillId="9" borderId="12" xfId="2" applyNumberFormat="1" applyFont="1" applyFill="1" applyBorder="1" applyAlignment="1">
      <alignment horizontal="right" vertical="top" shrinkToFit="1"/>
    </xf>
    <xf numFmtId="0" fontId="18" fillId="4" borderId="11" xfId="2" applyFont="1" applyFill="1" applyBorder="1" applyAlignment="1">
      <alignment horizontal="left" vertical="top" wrapText="1" indent="5"/>
    </xf>
    <xf numFmtId="0" fontId="18" fillId="4" borderId="12" xfId="2" applyFont="1" applyFill="1" applyBorder="1" applyAlignment="1">
      <alignment horizontal="left" vertical="top" wrapText="1" indent="5"/>
    </xf>
    <xf numFmtId="0" fontId="16" fillId="0" borderId="4" xfId="2" applyBorder="1" applyAlignment="1">
      <alignment horizontal="left" wrapText="1"/>
    </xf>
    <xf numFmtId="0" fontId="18" fillId="0" borderId="6" xfId="2" applyFont="1" applyBorder="1" applyAlignment="1">
      <alignment horizontal="right" vertical="top" wrapText="1" indent="5"/>
    </xf>
    <xf numFmtId="0" fontId="16" fillId="0" borderId="6" xfId="2" applyBorder="1" applyAlignment="1">
      <alignment horizontal="left" wrapText="1"/>
    </xf>
    <xf numFmtId="0" fontId="16" fillId="0" borderId="15" xfId="2" applyBorder="1" applyAlignment="1">
      <alignment horizontal="left" wrapText="1"/>
    </xf>
    <xf numFmtId="2" fontId="20" fillId="9" borderId="11" xfId="2" applyNumberFormat="1" applyFont="1" applyFill="1" applyBorder="1" applyAlignment="1">
      <alignment horizontal="left" vertical="top" indent="7" shrinkToFit="1"/>
    </xf>
    <xf numFmtId="2" fontId="20" fillId="9" borderId="12" xfId="2" applyNumberFormat="1" applyFont="1" applyFill="1" applyBorder="1" applyAlignment="1">
      <alignment horizontal="left" vertical="top" indent="7" shrinkToFit="1"/>
    </xf>
    <xf numFmtId="2" fontId="20" fillId="4" borderId="11" xfId="2" applyNumberFormat="1" applyFont="1" applyFill="1" applyBorder="1" applyAlignment="1">
      <alignment horizontal="left" vertical="top" indent="7" shrinkToFit="1"/>
    </xf>
    <xf numFmtId="2" fontId="20" fillId="4" borderId="12" xfId="2" applyNumberFormat="1" applyFont="1" applyFill="1" applyBorder="1" applyAlignment="1">
      <alignment horizontal="left" vertical="top" indent="7" shrinkToFit="1"/>
    </xf>
    <xf numFmtId="0" fontId="16" fillId="0" borderId="0" xfId="2" applyAlignment="1">
      <alignment horizontal="left" vertical="top" wrapText="1"/>
    </xf>
    <xf numFmtId="4" fontId="20" fillId="9" borderId="11" xfId="2" applyNumberFormat="1" applyFont="1" applyFill="1" applyBorder="1" applyAlignment="1">
      <alignment horizontal="left" vertical="top" indent="6" shrinkToFit="1"/>
    </xf>
    <xf numFmtId="4" fontId="20" fillId="9" borderId="12" xfId="2" applyNumberFormat="1" applyFont="1" applyFill="1" applyBorder="1" applyAlignment="1">
      <alignment horizontal="left" vertical="top" indent="6" shrinkToFit="1"/>
    </xf>
    <xf numFmtId="4" fontId="20" fillId="4" borderId="11" xfId="2" applyNumberFormat="1" applyFont="1" applyFill="1" applyBorder="1" applyAlignment="1">
      <alignment horizontal="left" vertical="top" indent="6" shrinkToFit="1"/>
    </xf>
    <xf numFmtId="4" fontId="20" fillId="4" borderId="12" xfId="2" applyNumberFormat="1" applyFont="1" applyFill="1" applyBorder="1" applyAlignment="1">
      <alignment horizontal="left" vertical="top" indent="6" shrinkToFit="1"/>
    </xf>
    <xf numFmtId="4" fontId="20" fillId="4" borderId="11" xfId="2" applyNumberFormat="1" applyFont="1" applyFill="1" applyBorder="1" applyAlignment="1">
      <alignment horizontal="right" vertical="top" shrinkToFit="1"/>
    </xf>
    <xf numFmtId="4" fontId="20" fillId="4" borderId="12" xfId="2" applyNumberFormat="1" applyFont="1" applyFill="1" applyBorder="1" applyAlignment="1">
      <alignment horizontal="right" vertical="top" shrinkToFit="1"/>
    </xf>
    <xf numFmtId="0" fontId="18" fillId="9" borderId="11" xfId="2" applyFont="1" applyFill="1" applyBorder="1" applyAlignment="1">
      <alignment horizontal="left" vertical="top" wrapText="1" indent="5"/>
    </xf>
    <xf numFmtId="0" fontId="18" fillId="9" borderId="12" xfId="2" applyFont="1" applyFill="1" applyBorder="1" applyAlignment="1">
      <alignment horizontal="left" vertical="top" wrapText="1" indent="5"/>
    </xf>
    <xf numFmtId="0" fontId="18" fillId="9" borderId="11" xfId="2" applyFont="1" applyFill="1" applyBorder="1" applyAlignment="1">
      <alignment horizontal="left" vertical="top" wrapText="1" indent="3"/>
    </xf>
    <xf numFmtId="0" fontId="18" fillId="9" borderId="12" xfId="2" applyFont="1" applyFill="1" applyBorder="1" applyAlignment="1">
      <alignment horizontal="left" vertical="top" wrapText="1" indent="3"/>
    </xf>
    <xf numFmtId="4" fontId="20" fillId="8" borderId="11" xfId="2" applyNumberFormat="1" applyFont="1" applyFill="1" applyBorder="1" applyAlignment="1">
      <alignment horizontal="right" vertical="top" shrinkToFit="1"/>
    </xf>
    <xf numFmtId="4" fontId="20" fillId="8" borderId="12" xfId="2" applyNumberFormat="1" applyFont="1" applyFill="1" applyBorder="1" applyAlignment="1">
      <alignment horizontal="right" vertical="top" shrinkToFit="1"/>
    </xf>
    <xf numFmtId="0" fontId="18" fillId="0" borderId="0" xfId="2" applyFont="1" applyAlignment="1">
      <alignment horizontal="left" vertical="top" wrapText="1" indent="114"/>
    </xf>
    <xf numFmtId="2" fontId="20" fillId="8" borderId="11" xfId="2" applyNumberFormat="1" applyFont="1" applyFill="1" applyBorder="1" applyAlignment="1">
      <alignment horizontal="left" vertical="top" indent="7" shrinkToFit="1"/>
    </xf>
    <xf numFmtId="2" fontId="20" fillId="8" borderId="12" xfId="2" applyNumberFormat="1" applyFont="1" applyFill="1" applyBorder="1" applyAlignment="1">
      <alignment horizontal="left" vertical="top" indent="7" shrinkToFit="1"/>
    </xf>
    <xf numFmtId="0" fontId="18" fillId="0" borderId="0" xfId="2" applyFont="1" applyAlignment="1">
      <alignment horizontal="right" vertical="top" wrapText="1"/>
    </xf>
    <xf numFmtId="2" fontId="20" fillId="0" borderId="0" xfId="2" applyNumberFormat="1" applyFont="1" applyAlignment="1">
      <alignment horizontal="left" vertical="top" indent="6" shrinkToFit="1"/>
    </xf>
    <xf numFmtId="0" fontId="18" fillId="0" borderId="0" xfId="2" applyFont="1" applyAlignment="1">
      <alignment horizontal="left" vertical="top" wrapText="1" indent="1"/>
    </xf>
    <xf numFmtId="4" fontId="20" fillId="8" borderId="11" xfId="2" applyNumberFormat="1" applyFont="1" applyFill="1" applyBorder="1" applyAlignment="1">
      <alignment horizontal="left" vertical="top" indent="6" shrinkToFit="1"/>
    </xf>
    <xf numFmtId="4" fontId="20" fillId="8" borderId="12" xfId="2" applyNumberFormat="1" applyFont="1" applyFill="1" applyBorder="1" applyAlignment="1">
      <alignment horizontal="left" vertical="top" indent="6" shrinkToFit="1"/>
    </xf>
    <xf numFmtId="4" fontId="20" fillId="8" borderId="11" xfId="2" applyNumberFormat="1" applyFont="1" applyFill="1" applyBorder="1" applyAlignment="1">
      <alignment horizontal="left" vertical="top" indent="5" shrinkToFit="1"/>
    </xf>
    <xf numFmtId="4" fontId="20" fillId="8" borderId="12" xfId="2" applyNumberFormat="1" applyFont="1" applyFill="1" applyBorder="1" applyAlignment="1">
      <alignment horizontal="left" vertical="top" indent="5" shrinkToFit="1"/>
    </xf>
    <xf numFmtId="4" fontId="20" fillId="4" borderId="11" xfId="2" applyNumberFormat="1" applyFont="1" applyFill="1" applyBorder="1" applyAlignment="1">
      <alignment horizontal="left" vertical="top" indent="5" shrinkToFit="1"/>
    </xf>
    <xf numFmtId="4" fontId="20" fillId="4" borderId="12" xfId="2" applyNumberFormat="1" applyFont="1" applyFill="1" applyBorder="1" applyAlignment="1">
      <alignment horizontal="left" vertical="top" indent="5" shrinkToFit="1"/>
    </xf>
    <xf numFmtId="0" fontId="16" fillId="0" borderId="17" xfId="2" applyBorder="1" applyAlignment="1">
      <alignment horizontal="left" wrapText="1"/>
    </xf>
    <xf numFmtId="0" fontId="18" fillId="0" borderId="4" xfId="2" applyFont="1" applyBorder="1" applyAlignment="1">
      <alignment horizontal="right" vertical="top" wrapText="1" indent="5"/>
    </xf>
    <xf numFmtId="0" fontId="18" fillId="0" borderId="4" xfId="2" applyFont="1" applyBorder="1" applyAlignment="1">
      <alignment horizontal="right" vertical="top" wrapText="1"/>
    </xf>
    <xf numFmtId="0" fontId="18" fillId="0" borderId="0" xfId="2" applyFont="1" applyAlignment="1">
      <alignment horizontal="left" vertical="top" wrapText="1" indent="2"/>
    </xf>
    <xf numFmtId="0" fontId="16" fillId="0" borderId="16" xfId="2" applyBorder="1" applyAlignment="1">
      <alignment horizontal="left" wrapText="1"/>
    </xf>
    <xf numFmtId="0" fontId="16" fillId="0" borderId="6" xfId="2" applyBorder="1" applyAlignment="1">
      <alignment horizontal="left" vertical="center" wrapText="1"/>
    </xf>
    <xf numFmtId="0" fontId="16" fillId="0" borderId="0" xfId="2" applyAlignment="1">
      <alignment horizontal="left" vertical="center" wrapText="1"/>
    </xf>
    <xf numFmtId="0" fontId="16" fillId="4" borderId="11" xfId="2" applyFill="1" applyBorder="1" applyAlignment="1">
      <alignment horizontal="left" vertical="top" wrapText="1"/>
    </xf>
    <xf numFmtId="0" fontId="16" fillId="4" borderId="12" xfId="2" applyFill="1" applyBorder="1" applyAlignment="1">
      <alignment horizontal="left" vertical="top" wrapText="1"/>
    </xf>
    <xf numFmtId="0" fontId="16" fillId="4" borderId="11" xfId="2" applyFill="1" applyBorder="1" applyAlignment="1">
      <alignment horizontal="left" vertical="center" wrapText="1"/>
    </xf>
    <xf numFmtId="0" fontId="16" fillId="4" borderId="13" xfId="2" applyFill="1" applyBorder="1" applyAlignment="1">
      <alignment horizontal="left" vertical="center" wrapText="1"/>
    </xf>
    <xf numFmtId="0" fontId="16" fillId="4" borderId="12" xfId="2" applyFill="1" applyBorder="1" applyAlignment="1">
      <alignment horizontal="left" vertical="center" wrapText="1"/>
    </xf>
    <xf numFmtId="0" fontId="16" fillId="0" borderId="15" xfId="2" applyBorder="1" applyAlignment="1">
      <alignment horizontal="left" vertical="center" wrapText="1"/>
    </xf>
    <xf numFmtId="0" fontId="16" fillId="8" borderId="11" xfId="2" applyFill="1" applyBorder="1" applyAlignment="1">
      <alignment horizontal="left" vertical="top" wrapText="1"/>
    </xf>
    <xf numFmtId="0" fontId="16" fillId="8" borderId="12" xfId="2" applyFill="1" applyBorder="1" applyAlignment="1">
      <alignment horizontal="left" vertical="top" wrapText="1"/>
    </xf>
    <xf numFmtId="0" fontId="16" fillId="8" borderId="11" xfId="2" applyFill="1" applyBorder="1" applyAlignment="1">
      <alignment horizontal="left" vertical="center" wrapText="1"/>
    </xf>
    <xf numFmtId="0" fontId="16" fillId="8" borderId="13" xfId="2" applyFill="1" applyBorder="1" applyAlignment="1">
      <alignment horizontal="left" vertical="center" wrapText="1"/>
    </xf>
    <xf numFmtId="0" fontId="16" fillId="8" borderId="12" xfId="2" applyFill="1" applyBorder="1" applyAlignment="1">
      <alignment horizontal="left" vertical="center" wrapText="1"/>
    </xf>
    <xf numFmtId="0" fontId="16" fillId="4" borderId="14" xfId="2" applyFill="1" applyBorder="1" applyAlignment="1">
      <alignment horizontal="left" vertical="center" wrapText="1"/>
    </xf>
    <xf numFmtId="0" fontId="16" fillId="0" borderId="11" xfId="2" applyBorder="1" applyAlignment="1">
      <alignment horizontal="left" vertical="center" wrapText="1"/>
    </xf>
    <xf numFmtId="0" fontId="16" fillId="0" borderId="13" xfId="2" applyBorder="1" applyAlignment="1">
      <alignment horizontal="left" vertical="center" wrapText="1"/>
    </xf>
    <xf numFmtId="0" fontId="16" fillId="0" borderId="12" xfId="2" applyBorder="1" applyAlignment="1">
      <alignment horizontal="left" vertical="center" wrapText="1"/>
    </xf>
    <xf numFmtId="0" fontId="16" fillId="9" borderId="11" xfId="2" applyFill="1" applyBorder="1" applyAlignment="1">
      <alignment horizontal="left" vertical="center" wrapText="1"/>
    </xf>
    <xf numFmtId="0" fontId="16" fillId="9" borderId="13" xfId="2" applyFill="1" applyBorder="1" applyAlignment="1">
      <alignment horizontal="left" vertical="center" wrapText="1"/>
    </xf>
    <xf numFmtId="0" fontId="16" fillId="9" borderId="12" xfId="2" applyFill="1" applyBorder="1" applyAlignment="1">
      <alignment horizontal="left" vertical="center" wrapText="1"/>
    </xf>
    <xf numFmtId="0" fontId="16" fillId="9" borderId="11" xfId="2" applyFill="1" applyBorder="1" applyAlignment="1">
      <alignment horizontal="left" vertical="top" wrapText="1"/>
    </xf>
    <xf numFmtId="0" fontId="16" fillId="9" borderId="12" xfId="2" applyFill="1" applyBorder="1" applyAlignment="1">
      <alignment horizontal="left" vertical="top" wrapText="1"/>
    </xf>
    <xf numFmtId="0" fontId="18" fillId="4" borderId="11" xfId="2" applyFont="1" applyFill="1" applyBorder="1" applyAlignment="1">
      <alignment horizontal="left" vertical="top" wrapText="1" indent="3"/>
    </xf>
    <xf numFmtId="0" fontId="18" fillId="4" borderId="12" xfId="2" applyFont="1" applyFill="1" applyBorder="1" applyAlignment="1">
      <alignment horizontal="left" vertical="top" wrapText="1" indent="3"/>
    </xf>
    <xf numFmtId="0" fontId="16" fillId="0" borderId="10" xfId="2" applyBorder="1" applyAlignment="1">
      <alignment horizontal="left" vertical="top" wrapText="1" indent="113"/>
    </xf>
    <xf numFmtId="0" fontId="16" fillId="0" borderId="10" xfId="2" applyBorder="1" applyAlignment="1">
      <alignment horizontal="left" vertical="top" wrapText="1"/>
    </xf>
    <xf numFmtId="0" fontId="22" fillId="0" borderId="0" xfId="2" applyFont="1" applyAlignment="1">
      <alignment horizontal="left" vertical="top" wrapText="1"/>
    </xf>
    <xf numFmtId="0" fontId="16" fillId="0" borderId="6" xfId="2" applyBorder="1" applyAlignment="1">
      <alignment horizontal="right" vertical="top" wrapText="1" indent="5"/>
    </xf>
    <xf numFmtId="0" fontId="16" fillId="0" borderId="6" xfId="2" applyBorder="1" applyAlignment="1">
      <alignment horizontal="left" vertical="top" wrapText="1"/>
    </xf>
    <xf numFmtId="0" fontId="16" fillId="0" borderId="10" xfId="2" applyBorder="1" applyAlignment="1">
      <alignment horizontal="right" vertical="top" wrapText="1" indent="5"/>
    </xf>
    <xf numFmtId="2" fontId="20" fillId="0" borderId="0" xfId="2" applyNumberFormat="1" applyFont="1" applyAlignment="1">
      <alignment horizontal="right" vertical="top" indent="1" shrinkToFit="1"/>
    </xf>
    <xf numFmtId="2" fontId="20" fillId="0" borderId="10" xfId="2" applyNumberFormat="1" applyFont="1" applyBorder="1" applyAlignment="1">
      <alignment horizontal="right" vertical="top" indent="1" shrinkToFit="1"/>
    </xf>
    <xf numFmtId="0" fontId="22" fillId="0" borderId="10" xfId="2" applyFont="1" applyBorder="1" applyAlignment="1">
      <alignment horizontal="left" wrapText="1" indent="1"/>
    </xf>
    <xf numFmtId="0" fontId="16" fillId="0" borderId="10" xfId="2" applyBorder="1" applyAlignment="1">
      <alignment horizontal="left" vertical="top" wrapText="1" indent="52"/>
    </xf>
    <xf numFmtId="0" fontId="16" fillId="0" borderId="0" xfId="2" applyAlignment="1">
      <alignment horizontal="left" vertical="top" wrapText="1" indent="9"/>
    </xf>
    <xf numFmtId="1" fontId="20" fillId="0" borderId="0" xfId="2" applyNumberFormat="1" applyFont="1" applyAlignment="1">
      <alignment horizontal="left" vertical="top" indent="20" shrinkToFit="1"/>
    </xf>
    <xf numFmtId="0" fontId="17" fillId="0" borderId="0" xfId="2" applyFont="1" applyAlignment="1">
      <alignment horizontal="center" vertical="top" wrapText="1"/>
    </xf>
    <xf numFmtId="0" fontId="30" fillId="0" borderId="1" xfId="0" applyFont="1" applyBorder="1" applyAlignment="1">
      <alignment horizontal="right" vertical="top" wrapText="1" indent="2"/>
    </xf>
    <xf numFmtId="0" fontId="30" fillId="0" borderId="19" xfId="0" applyFont="1" applyBorder="1" applyAlignment="1">
      <alignment horizontal="right" vertical="top" wrapText="1" indent="2"/>
    </xf>
    <xf numFmtId="0" fontId="37" fillId="10" borderId="1" xfId="0" applyFont="1" applyFill="1" applyBorder="1" applyAlignment="1">
      <alignment horizontal="right" vertical="top" wrapText="1"/>
    </xf>
    <xf numFmtId="0" fontId="37" fillId="10" borderId="2" xfId="0" applyFont="1" applyFill="1" applyBorder="1" applyAlignment="1">
      <alignment horizontal="right" vertical="top" wrapText="1"/>
    </xf>
    <xf numFmtId="4" fontId="34" fillId="13" borderId="1" xfId="0" applyNumberFormat="1" applyFont="1" applyFill="1" applyBorder="1" applyAlignment="1">
      <alignment horizontal="center" vertical="top" shrinkToFit="1"/>
    </xf>
    <xf numFmtId="4" fontId="34" fillId="13" borderId="19" xfId="0" applyNumberFormat="1" applyFont="1" applyFill="1" applyBorder="1" applyAlignment="1">
      <alignment horizontal="center" vertical="top" shrinkToFit="1"/>
    </xf>
    <xf numFmtId="0" fontId="4" fillId="0" borderId="18" xfId="0" applyFont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32" fillId="10" borderId="20" xfId="0" applyFont="1" applyFill="1" applyBorder="1" applyAlignment="1">
      <alignment horizontal="center" vertical="center" wrapText="1"/>
    </xf>
    <xf numFmtId="0" fontId="32" fillId="10" borderId="22" xfId="0" applyFont="1" applyFill="1" applyBorder="1" applyAlignment="1">
      <alignment horizontal="center" vertical="center" wrapText="1"/>
    </xf>
    <xf numFmtId="4" fontId="33" fillId="0" borderId="1" xfId="0" applyNumberFormat="1" applyFont="1" applyBorder="1" applyAlignment="1">
      <alignment horizontal="center" vertical="top" shrinkToFit="1"/>
    </xf>
    <xf numFmtId="4" fontId="33" fillId="0" borderId="19" xfId="0" applyNumberFormat="1" applyFont="1" applyBorder="1" applyAlignment="1">
      <alignment horizontal="center" vertical="top" shrinkToFit="1"/>
    </xf>
    <xf numFmtId="4" fontId="33" fillId="0" borderId="1" xfId="0" applyNumberFormat="1" applyFont="1" applyBorder="1" applyAlignment="1">
      <alignment horizontal="right" vertical="top" shrinkToFit="1"/>
    </xf>
    <xf numFmtId="4" fontId="33" fillId="0" borderId="19" xfId="0" applyNumberFormat="1" applyFont="1" applyBorder="1" applyAlignment="1">
      <alignment horizontal="right" vertical="top" shrinkToFit="1"/>
    </xf>
    <xf numFmtId="0" fontId="32" fillId="10" borderId="0" xfId="0" applyFont="1" applyFill="1" applyAlignment="1">
      <alignment horizontal="center" vertical="center" wrapText="1"/>
    </xf>
    <xf numFmtId="0" fontId="32" fillId="10" borderId="1" xfId="0" applyFont="1" applyFill="1" applyBorder="1" applyAlignment="1">
      <alignment horizontal="right" vertical="top" wrapText="1"/>
    </xf>
    <xf numFmtId="0" fontId="32" fillId="10" borderId="19" xfId="0" applyFont="1" applyFill="1" applyBorder="1" applyAlignment="1">
      <alignment horizontal="right" vertical="top" wrapText="1"/>
    </xf>
    <xf numFmtId="4" fontId="34" fillId="13" borderId="1" xfId="0" applyNumberFormat="1" applyFont="1" applyFill="1" applyBorder="1" applyAlignment="1">
      <alignment horizontal="right" vertical="top" shrinkToFit="1"/>
    </xf>
    <xf numFmtId="4" fontId="34" fillId="13" borderId="19" xfId="0" applyNumberFormat="1" applyFont="1" applyFill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32" fillId="11" borderId="18" xfId="0" applyFont="1" applyFill="1" applyBorder="1" applyAlignment="1">
      <alignment horizontal="center" vertical="top" wrapText="1"/>
    </xf>
    <xf numFmtId="0" fontId="32" fillId="11" borderId="22" xfId="0" applyFont="1" applyFill="1" applyBorder="1" applyAlignment="1">
      <alignment horizontal="center" vertical="top" wrapText="1"/>
    </xf>
    <xf numFmtId="0" fontId="32" fillId="11" borderId="0" xfId="0" applyFont="1" applyFill="1" applyAlignment="1">
      <alignment horizontal="center" vertical="top" wrapText="1"/>
    </xf>
    <xf numFmtId="0" fontId="32" fillId="10" borderId="4" xfId="0" applyFont="1" applyFill="1" applyBorder="1" applyAlignment="1">
      <alignment horizontal="center" vertical="center" wrapText="1"/>
    </xf>
    <xf numFmtId="0" fontId="30" fillId="11" borderId="18" xfId="0" applyFont="1" applyFill="1" applyBorder="1" applyAlignment="1">
      <alignment horizontal="left" vertical="center" wrapText="1"/>
    </xf>
    <xf numFmtId="0" fontId="30" fillId="11" borderId="22" xfId="0" applyFont="1" applyFill="1" applyBorder="1" applyAlignment="1">
      <alignment horizontal="left" vertical="center" wrapText="1"/>
    </xf>
    <xf numFmtId="0" fontId="30" fillId="11" borderId="5" xfId="0" applyFont="1" applyFill="1" applyBorder="1" applyAlignment="1">
      <alignment horizontal="left" vertical="center" wrapText="1"/>
    </xf>
    <xf numFmtId="0" fontId="30" fillId="11" borderId="21" xfId="0" applyFont="1" applyFill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7" fillId="0" borderId="19" xfId="0" applyFont="1" applyBorder="1" applyAlignment="1">
      <alignment horizontal="left" vertical="top" wrapText="1"/>
    </xf>
    <xf numFmtId="0" fontId="13" fillId="10" borderId="2" xfId="0" applyFont="1" applyFill="1" applyBorder="1" applyAlignment="1">
      <alignment horizontal="center" vertical="top" wrapText="1"/>
    </xf>
    <xf numFmtId="0" fontId="13" fillId="14" borderId="25" xfId="0" applyFont="1" applyFill="1" applyBorder="1" applyAlignment="1">
      <alignment horizontal="left" vertical="top" wrapText="1" indent="4"/>
    </xf>
    <xf numFmtId="0" fontId="13" fillId="14" borderId="24" xfId="0" applyFont="1" applyFill="1" applyBorder="1" applyAlignment="1">
      <alignment horizontal="left" vertical="top" wrapText="1" indent="4"/>
    </xf>
    <xf numFmtId="0" fontId="13" fillId="14" borderId="3" xfId="0" applyFont="1" applyFill="1" applyBorder="1" applyAlignment="1">
      <alignment horizontal="center" vertical="top" wrapText="1"/>
    </xf>
    <xf numFmtId="0" fontId="13" fillId="14" borderId="4" xfId="0" applyFont="1" applyFill="1" applyBorder="1" applyAlignment="1">
      <alignment horizontal="center" vertical="top" wrapText="1"/>
    </xf>
    <xf numFmtId="0" fontId="13" fillId="14" borderId="20" xfId="0" applyFont="1" applyFill="1" applyBorder="1" applyAlignment="1">
      <alignment horizontal="center" vertical="top" wrapText="1"/>
    </xf>
    <xf numFmtId="0" fontId="13" fillId="14" borderId="5" xfId="0" applyFont="1" applyFill="1" applyBorder="1" applyAlignment="1">
      <alignment horizontal="center" vertical="top" wrapText="1"/>
    </xf>
    <xf numFmtId="0" fontId="13" fillId="14" borderId="6" xfId="0" applyFont="1" applyFill="1" applyBorder="1" applyAlignment="1">
      <alignment horizontal="center" vertical="top" wrapText="1"/>
    </xf>
    <xf numFmtId="0" fontId="13" fillId="14" borderId="21" xfId="0" applyFont="1" applyFill="1" applyBorder="1" applyAlignment="1">
      <alignment horizontal="center" vertical="top" wrapText="1"/>
    </xf>
    <xf numFmtId="0" fontId="13" fillId="14" borderId="1" xfId="0" applyFont="1" applyFill="1" applyBorder="1" applyAlignment="1">
      <alignment horizontal="center" vertical="top" wrapText="1"/>
    </xf>
    <xf numFmtId="0" fontId="13" fillId="14" borderId="19" xfId="0" applyFont="1" applyFill="1" applyBorder="1" applyAlignment="1">
      <alignment horizontal="center" vertical="top" wrapText="1"/>
    </xf>
    <xf numFmtId="0" fontId="13" fillId="14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9" fillId="7" borderId="0" xfId="0" applyFont="1" applyFill="1" applyAlignment="1">
      <alignment horizontal="center" vertical="top" wrapText="1"/>
    </xf>
    <xf numFmtId="0" fontId="13" fillId="0" borderId="0" xfId="0" applyFont="1" applyAlignment="1">
      <alignment horizontal="left" vertical="top" wrapText="1" indent="16"/>
    </xf>
    <xf numFmtId="0" fontId="39" fillId="7" borderId="0" xfId="0" applyFont="1" applyFill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7" fillId="0" borderId="1" xfId="0" applyFont="1" applyBorder="1" applyAlignment="1">
      <alignment horizontal="center" vertical="top" wrapText="1"/>
    </xf>
    <xf numFmtId="0" fontId="27" fillId="0" borderId="19" xfId="0" applyFont="1" applyBorder="1" applyAlignment="1">
      <alignment horizontal="center" vertical="top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0" borderId="21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Normal 2" xfId="2" xr:uid="{4B465A05-BEFF-45A2-A0AC-67739EC73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1394197</xdr:colOff>
      <xdr:row>0</xdr:row>
      <xdr:rowOff>89758</xdr:rowOff>
    </xdr:from>
    <xdr:ext cx="1479178" cy="516817"/>
    <xdr:pic>
      <xdr:nvPicPr>
        <xdr:cNvPr id="4" name="image1.jpeg">
          <a:extLst>
            <a:ext uri="{FF2B5EF4-FFF2-40B4-BE49-F238E27FC236}">
              <a16:creationId xmlns:a16="http://schemas.microsoft.com/office/drawing/2014/main" id="{1A16593B-CBF1-40B4-A2BB-FD5885140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072" y="89758"/>
          <a:ext cx="1479178" cy="516817"/>
        </a:xfrm>
        <a:prstGeom prst="rect">
          <a:avLst/>
        </a:prstGeom>
      </xdr:spPr>
    </xdr:pic>
    <xdr:clientData/>
  </xdr:oneCellAnchor>
  <xdr:oneCellAnchor>
    <xdr:from>
      <xdr:col>6</xdr:col>
      <xdr:colOff>44357</xdr:colOff>
      <xdr:row>0</xdr:row>
      <xdr:rowOff>631340</xdr:rowOff>
    </xdr:from>
    <xdr:ext cx="1136744" cy="519154"/>
    <xdr:pic>
      <xdr:nvPicPr>
        <xdr:cNvPr id="5" name="image2.jpeg">
          <a:extLst>
            <a:ext uri="{FF2B5EF4-FFF2-40B4-BE49-F238E27FC236}">
              <a16:creationId xmlns:a16="http://schemas.microsoft.com/office/drawing/2014/main" id="{819A0702-C7B4-4349-8EF7-6CEBD8F4E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9732" y="631340"/>
          <a:ext cx="1136744" cy="519154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190500</xdr:colOff>
      <xdr:row>0</xdr:row>
      <xdr:rowOff>301625</xdr:rowOff>
    </xdr:from>
    <xdr:to>
      <xdr:col>1</xdr:col>
      <xdr:colOff>1987549</xdr:colOff>
      <xdr:row>0</xdr:row>
      <xdr:rowOff>988111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EAFF4DB-1328-4CD6-B21C-D69047178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01625"/>
          <a:ext cx="2860674" cy="6864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822697</xdr:colOff>
      <xdr:row>0</xdr:row>
      <xdr:rowOff>73883</xdr:rowOff>
    </xdr:from>
    <xdr:ext cx="1479178" cy="516817"/>
    <xdr:pic>
      <xdr:nvPicPr>
        <xdr:cNvPr id="2" name="image1.jpeg">
          <a:extLst>
            <a:ext uri="{FF2B5EF4-FFF2-40B4-BE49-F238E27FC236}">
              <a16:creationId xmlns:a16="http://schemas.microsoft.com/office/drawing/2014/main" id="{A2E703DD-04AB-4C0C-A1D3-E404C04C6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6772" y="73883"/>
          <a:ext cx="1479178" cy="516817"/>
        </a:xfrm>
        <a:prstGeom prst="rect">
          <a:avLst/>
        </a:prstGeom>
      </xdr:spPr>
    </xdr:pic>
    <xdr:clientData/>
  </xdr:oneCellAnchor>
  <xdr:oneCellAnchor>
    <xdr:from>
      <xdr:col>8</xdr:col>
      <xdr:colOff>1069882</xdr:colOff>
      <xdr:row>0</xdr:row>
      <xdr:rowOff>647215</xdr:rowOff>
    </xdr:from>
    <xdr:ext cx="1136744" cy="519154"/>
    <xdr:pic>
      <xdr:nvPicPr>
        <xdr:cNvPr id="3" name="image2.jpeg">
          <a:extLst>
            <a:ext uri="{FF2B5EF4-FFF2-40B4-BE49-F238E27FC236}">
              <a16:creationId xmlns:a16="http://schemas.microsoft.com/office/drawing/2014/main" id="{7E0CBA33-3371-42CD-8604-52C393538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23957" y="647215"/>
          <a:ext cx="1136744" cy="519154"/>
        </a:xfrm>
        <a:prstGeom prst="rect">
          <a:avLst/>
        </a:prstGeom>
      </xdr:spPr>
    </xdr:pic>
    <xdr:clientData/>
  </xdr:oneCellAnchor>
  <xdr:twoCellAnchor editAs="oneCell">
    <xdr:from>
      <xdr:col>0</xdr:col>
      <xdr:colOff>365125</xdr:colOff>
      <xdr:row>0</xdr:row>
      <xdr:rowOff>190500</xdr:rowOff>
    </xdr:from>
    <xdr:to>
      <xdr:col>3</xdr:col>
      <xdr:colOff>1047749</xdr:colOff>
      <xdr:row>0</xdr:row>
      <xdr:rowOff>876986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31B5E65-8B11-4A32-BABD-CB28E5A9F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25" y="190500"/>
          <a:ext cx="2857499" cy="6864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74548</xdr:colOff>
      <xdr:row>3</xdr:row>
      <xdr:rowOff>0</xdr:rowOff>
    </xdr:from>
    <xdr:ext cx="14609444" cy="12065"/>
    <xdr:grpSp>
      <xdr:nvGrpSpPr>
        <xdr:cNvPr id="2" name="Group 2">
          <a:extLst>
            <a:ext uri="{FF2B5EF4-FFF2-40B4-BE49-F238E27FC236}">
              <a16:creationId xmlns:a16="http://schemas.microsoft.com/office/drawing/2014/main" id="{770CFAEA-7924-4626-8352-A25BD1F04546}"/>
            </a:ext>
          </a:extLst>
        </xdr:cNvPr>
        <xdr:cNvGrpSpPr/>
      </xdr:nvGrpSpPr>
      <xdr:grpSpPr>
        <a:xfrm>
          <a:off x="74548" y="2204357"/>
          <a:ext cx="14609444" cy="12065"/>
          <a:chOff x="0" y="0"/>
          <a:chExt cx="14609444" cy="1206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3897D579-2251-47CF-B55B-048328BECB4C}"/>
              </a:ext>
            </a:extLst>
          </xdr:cNvPr>
          <xdr:cNvSpPr/>
        </xdr:nvSpPr>
        <xdr:spPr>
          <a:xfrm>
            <a:off x="1905" y="2005"/>
            <a:ext cx="14605635" cy="0"/>
          </a:xfrm>
          <a:custGeom>
            <a:avLst/>
            <a:gdLst/>
            <a:ahLst/>
            <a:cxnLst/>
            <a:rect l="0" t="0" r="0" b="0"/>
            <a:pathLst>
              <a:path w="14605635">
                <a:moveTo>
                  <a:pt x="0" y="0"/>
                </a:moveTo>
                <a:lnTo>
                  <a:pt x="14605508" y="0"/>
                </a:lnTo>
              </a:path>
            </a:pathLst>
          </a:custGeom>
          <a:ln w="4010">
            <a:solidFill>
              <a:srgbClr val="000000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1B1A59B0-4128-4495-B85B-778AFBD1C1AC}"/>
              </a:ext>
            </a:extLst>
          </xdr:cNvPr>
          <xdr:cNvSpPr/>
        </xdr:nvSpPr>
        <xdr:spPr>
          <a:xfrm>
            <a:off x="0" y="6"/>
            <a:ext cx="14609444" cy="12065"/>
          </a:xfrm>
          <a:custGeom>
            <a:avLst/>
            <a:gdLst/>
            <a:ahLst/>
            <a:cxnLst/>
            <a:rect l="0" t="0" r="0" b="0"/>
            <a:pathLst>
              <a:path w="14609444" h="12065">
                <a:moveTo>
                  <a:pt x="14609444" y="0"/>
                </a:moveTo>
                <a:lnTo>
                  <a:pt x="0" y="0"/>
                </a:lnTo>
                <a:lnTo>
                  <a:pt x="0" y="12031"/>
                </a:lnTo>
                <a:lnTo>
                  <a:pt x="14609444" y="12031"/>
                </a:lnTo>
                <a:lnTo>
                  <a:pt x="14609444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4064</xdr:colOff>
      <xdr:row>68</xdr:row>
      <xdr:rowOff>187097</xdr:rowOff>
    </xdr:from>
    <xdr:ext cx="14609444" cy="12065"/>
    <xdr:grpSp>
      <xdr:nvGrpSpPr>
        <xdr:cNvPr id="5" name="Group 7">
          <a:extLst>
            <a:ext uri="{FF2B5EF4-FFF2-40B4-BE49-F238E27FC236}">
              <a16:creationId xmlns:a16="http://schemas.microsoft.com/office/drawing/2014/main" id="{9ACA21BE-E2C2-4110-84D0-3C2A9A19861D}"/>
            </a:ext>
          </a:extLst>
        </xdr:cNvPr>
        <xdr:cNvGrpSpPr/>
      </xdr:nvGrpSpPr>
      <xdr:grpSpPr>
        <a:xfrm>
          <a:off x="4064" y="25074561"/>
          <a:ext cx="14609444" cy="12065"/>
          <a:chOff x="0" y="0"/>
          <a:chExt cx="14609444" cy="12065"/>
        </a:xfrm>
      </xdr:grpSpPr>
      <xdr:sp macro="" textlink="">
        <xdr:nvSpPr>
          <xdr:cNvPr id="6" name="Shape 8">
            <a:extLst>
              <a:ext uri="{FF2B5EF4-FFF2-40B4-BE49-F238E27FC236}">
                <a16:creationId xmlns:a16="http://schemas.microsoft.com/office/drawing/2014/main" id="{9655851B-E962-4097-8E93-68759DA5EA7B}"/>
              </a:ext>
            </a:extLst>
          </xdr:cNvPr>
          <xdr:cNvSpPr/>
        </xdr:nvSpPr>
        <xdr:spPr>
          <a:xfrm>
            <a:off x="1905" y="2005"/>
            <a:ext cx="14605635" cy="0"/>
          </a:xfrm>
          <a:custGeom>
            <a:avLst/>
            <a:gdLst/>
            <a:ahLst/>
            <a:cxnLst/>
            <a:rect l="0" t="0" r="0" b="0"/>
            <a:pathLst>
              <a:path w="14605635">
                <a:moveTo>
                  <a:pt x="0" y="0"/>
                </a:moveTo>
                <a:lnTo>
                  <a:pt x="14605508" y="0"/>
                </a:lnTo>
              </a:path>
            </a:pathLst>
          </a:custGeom>
          <a:ln w="4010">
            <a:solidFill>
              <a:srgbClr val="000000"/>
            </a:solidFill>
          </a:ln>
        </xdr:spPr>
      </xdr:sp>
      <xdr:sp macro="" textlink="">
        <xdr:nvSpPr>
          <xdr:cNvPr id="7" name="Shape 9">
            <a:extLst>
              <a:ext uri="{FF2B5EF4-FFF2-40B4-BE49-F238E27FC236}">
                <a16:creationId xmlns:a16="http://schemas.microsoft.com/office/drawing/2014/main" id="{629E5E2A-C981-407D-9B14-4891FFF6154E}"/>
              </a:ext>
            </a:extLst>
          </xdr:cNvPr>
          <xdr:cNvSpPr/>
        </xdr:nvSpPr>
        <xdr:spPr>
          <a:xfrm>
            <a:off x="0" y="6"/>
            <a:ext cx="14609444" cy="12065"/>
          </a:xfrm>
          <a:custGeom>
            <a:avLst/>
            <a:gdLst/>
            <a:ahLst/>
            <a:cxnLst/>
            <a:rect l="0" t="0" r="0" b="0"/>
            <a:pathLst>
              <a:path w="14609444" h="12065">
                <a:moveTo>
                  <a:pt x="14609444" y="0"/>
                </a:moveTo>
                <a:lnTo>
                  <a:pt x="0" y="0"/>
                </a:lnTo>
                <a:lnTo>
                  <a:pt x="0" y="12031"/>
                </a:lnTo>
                <a:lnTo>
                  <a:pt x="14609444" y="12031"/>
                </a:lnTo>
                <a:lnTo>
                  <a:pt x="14609444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4064</xdr:colOff>
      <xdr:row>272</xdr:row>
      <xdr:rowOff>187100</xdr:rowOff>
    </xdr:from>
    <xdr:ext cx="14609444" cy="12065"/>
    <xdr:grpSp>
      <xdr:nvGrpSpPr>
        <xdr:cNvPr id="8" name="Group 10">
          <a:extLst>
            <a:ext uri="{FF2B5EF4-FFF2-40B4-BE49-F238E27FC236}">
              <a16:creationId xmlns:a16="http://schemas.microsoft.com/office/drawing/2014/main" id="{21F52BB7-9544-4853-B690-29CCCE27012F}"/>
            </a:ext>
          </a:extLst>
        </xdr:cNvPr>
        <xdr:cNvGrpSpPr/>
      </xdr:nvGrpSpPr>
      <xdr:grpSpPr>
        <a:xfrm>
          <a:off x="4064" y="68889564"/>
          <a:ext cx="14609444" cy="12065"/>
          <a:chOff x="0" y="0"/>
          <a:chExt cx="14609444" cy="12065"/>
        </a:xfrm>
      </xdr:grpSpPr>
      <xdr:sp macro="" textlink="">
        <xdr:nvSpPr>
          <xdr:cNvPr id="9" name="Shape 11">
            <a:extLst>
              <a:ext uri="{FF2B5EF4-FFF2-40B4-BE49-F238E27FC236}">
                <a16:creationId xmlns:a16="http://schemas.microsoft.com/office/drawing/2014/main" id="{B73A17AA-394D-43B3-A77F-F7C586AB9A08}"/>
              </a:ext>
            </a:extLst>
          </xdr:cNvPr>
          <xdr:cNvSpPr/>
        </xdr:nvSpPr>
        <xdr:spPr>
          <a:xfrm>
            <a:off x="1905" y="2005"/>
            <a:ext cx="14605635" cy="0"/>
          </a:xfrm>
          <a:custGeom>
            <a:avLst/>
            <a:gdLst/>
            <a:ahLst/>
            <a:cxnLst/>
            <a:rect l="0" t="0" r="0" b="0"/>
            <a:pathLst>
              <a:path w="14605635">
                <a:moveTo>
                  <a:pt x="0" y="0"/>
                </a:moveTo>
                <a:lnTo>
                  <a:pt x="14605508" y="0"/>
                </a:lnTo>
              </a:path>
            </a:pathLst>
          </a:custGeom>
          <a:ln w="4010">
            <a:solidFill>
              <a:srgbClr val="000000"/>
            </a:solidFill>
          </a:ln>
        </xdr:spPr>
      </xdr:sp>
      <xdr:sp macro="" textlink="">
        <xdr:nvSpPr>
          <xdr:cNvPr id="10" name="Shape 12">
            <a:extLst>
              <a:ext uri="{FF2B5EF4-FFF2-40B4-BE49-F238E27FC236}">
                <a16:creationId xmlns:a16="http://schemas.microsoft.com/office/drawing/2014/main" id="{EFE40D03-CD0B-4F7C-B9C5-E5BC0686CC10}"/>
              </a:ext>
            </a:extLst>
          </xdr:cNvPr>
          <xdr:cNvSpPr/>
        </xdr:nvSpPr>
        <xdr:spPr>
          <a:xfrm>
            <a:off x="0" y="6"/>
            <a:ext cx="14609444" cy="12065"/>
          </a:xfrm>
          <a:custGeom>
            <a:avLst/>
            <a:gdLst/>
            <a:ahLst/>
            <a:cxnLst/>
            <a:rect l="0" t="0" r="0" b="0"/>
            <a:pathLst>
              <a:path w="14609444" h="12065">
                <a:moveTo>
                  <a:pt x="14609444" y="0"/>
                </a:moveTo>
                <a:lnTo>
                  <a:pt x="0" y="0"/>
                </a:lnTo>
                <a:lnTo>
                  <a:pt x="0" y="12031"/>
                </a:lnTo>
                <a:lnTo>
                  <a:pt x="14609444" y="12031"/>
                </a:lnTo>
                <a:lnTo>
                  <a:pt x="14609444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4064</xdr:colOff>
      <xdr:row>908</xdr:row>
      <xdr:rowOff>187086</xdr:rowOff>
    </xdr:from>
    <xdr:ext cx="14609444" cy="12065"/>
    <xdr:grpSp>
      <xdr:nvGrpSpPr>
        <xdr:cNvPr id="11" name="Group 13">
          <a:extLst>
            <a:ext uri="{FF2B5EF4-FFF2-40B4-BE49-F238E27FC236}">
              <a16:creationId xmlns:a16="http://schemas.microsoft.com/office/drawing/2014/main" id="{1F2AE11E-B1F0-4F59-AED7-1A8B71613C7C}"/>
            </a:ext>
          </a:extLst>
        </xdr:cNvPr>
        <xdr:cNvGrpSpPr/>
      </xdr:nvGrpSpPr>
      <xdr:grpSpPr>
        <a:xfrm>
          <a:off x="4064" y="198864979"/>
          <a:ext cx="14609444" cy="12065"/>
          <a:chOff x="0" y="0"/>
          <a:chExt cx="14609444" cy="12065"/>
        </a:xfrm>
      </xdr:grpSpPr>
      <xdr:sp macro="" textlink="">
        <xdr:nvSpPr>
          <xdr:cNvPr id="12" name="Shape 14">
            <a:extLst>
              <a:ext uri="{FF2B5EF4-FFF2-40B4-BE49-F238E27FC236}">
                <a16:creationId xmlns:a16="http://schemas.microsoft.com/office/drawing/2014/main" id="{FCCF72B1-E45F-45F9-A0AF-C0454D915250}"/>
              </a:ext>
            </a:extLst>
          </xdr:cNvPr>
          <xdr:cNvSpPr/>
        </xdr:nvSpPr>
        <xdr:spPr>
          <a:xfrm>
            <a:off x="1905" y="2005"/>
            <a:ext cx="14605635" cy="0"/>
          </a:xfrm>
          <a:custGeom>
            <a:avLst/>
            <a:gdLst/>
            <a:ahLst/>
            <a:cxnLst/>
            <a:rect l="0" t="0" r="0" b="0"/>
            <a:pathLst>
              <a:path w="14605635">
                <a:moveTo>
                  <a:pt x="0" y="0"/>
                </a:moveTo>
                <a:lnTo>
                  <a:pt x="14605508" y="0"/>
                </a:lnTo>
              </a:path>
            </a:pathLst>
          </a:custGeom>
          <a:ln w="4010">
            <a:solidFill>
              <a:srgbClr val="000000"/>
            </a:solidFill>
          </a:ln>
        </xdr:spPr>
      </xdr:sp>
      <xdr:sp macro="" textlink="">
        <xdr:nvSpPr>
          <xdr:cNvPr id="13" name="Shape 15">
            <a:extLst>
              <a:ext uri="{FF2B5EF4-FFF2-40B4-BE49-F238E27FC236}">
                <a16:creationId xmlns:a16="http://schemas.microsoft.com/office/drawing/2014/main" id="{EF7FFAC1-9FEC-4F8A-9C2F-AB6F07B9ED11}"/>
              </a:ext>
            </a:extLst>
          </xdr:cNvPr>
          <xdr:cNvSpPr/>
        </xdr:nvSpPr>
        <xdr:spPr>
          <a:xfrm>
            <a:off x="0" y="6"/>
            <a:ext cx="14609444" cy="12065"/>
          </a:xfrm>
          <a:custGeom>
            <a:avLst/>
            <a:gdLst/>
            <a:ahLst/>
            <a:cxnLst/>
            <a:rect l="0" t="0" r="0" b="0"/>
            <a:pathLst>
              <a:path w="14609444" h="12065">
                <a:moveTo>
                  <a:pt x="14609444" y="0"/>
                </a:moveTo>
                <a:lnTo>
                  <a:pt x="0" y="0"/>
                </a:lnTo>
                <a:lnTo>
                  <a:pt x="0" y="12031"/>
                </a:lnTo>
                <a:lnTo>
                  <a:pt x="14609444" y="12031"/>
                </a:lnTo>
                <a:lnTo>
                  <a:pt x="14609444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15</xdr:col>
      <xdr:colOff>264804</xdr:colOff>
      <xdr:row>0</xdr:row>
      <xdr:rowOff>73883</xdr:rowOff>
    </xdr:from>
    <xdr:ext cx="1479178" cy="516817"/>
    <xdr:pic>
      <xdr:nvPicPr>
        <xdr:cNvPr id="14" name="image1.jpeg">
          <a:extLst>
            <a:ext uri="{FF2B5EF4-FFF2-40B4-BE49-F238E27FC236}">
              <a16:creationId xmlns:a16="http://schemas.microsoft.com/office/drawing/2014/main" id="{ACE320E8-DDF8-4075-966E-21AE43187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60768" y="73883"/>
          <a:ext cx="1479178" cy="516817"/>
        </a:xfrm>
        <a:prstGeom prst="rect">
          <a:avLst/>
        </a:prstGeom>
      </xdr:spPr>
    </xdr:pic>
    <xdr:clientData/>
  </xdr:oneCellAnchor>
  <xdr:oneCellAnchor>
    <xdr:from>
      <xdr:col>15</xdr:col>
      <xdr:colOff>593633</xdr:colOff>
      <xdr:row>0</xdr:row>
      <xdr:rowOff>647215</xdr:rowOff>
    </xdr:from>
    <xdr:ext cx="1136744" cy="519154"/>
    <xdr:pic>
      <xdr:nvPicPr>
        <xdr:cNvPr id="15" name="image2.jpeg">
          <a:extLst>
            <a:ext uri="{FF2B5EF4-FFF2-40B4-BE49-F238E27FC236}">
              <a16:creationId xmlns:a16="http://schemas.microsoft.com/office/drawing/2014/main" id="{1DF355CB-8831-45FF-BAF7-007900E8B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89597" y="647215"/>
          <a:ext cx="1136744" cy="519154"/>
        </a:xfrm>
        <a:prstGeom prst="rect">
          <a:avLst/>
        </a:prstGeom>
      </xdr:spPr>
    </xdr:pic>
    <xdr:clientData/>
  </xdr:oneCellAnchor>
  <xdr:twoCellAnchor editAs="oneCell">
    <xdr:from>
      <xdr:col>0</xdr:col>
      <xdr:colOff>165554</xdr:colOff>
      <xdr:row>0</xdr:row>
      <xdr:rowOff>292554</xdr:rowOff>
    </xdr:from>
    <xdr:to>
      <xdr:col>3</xdr:col>
      <xdr:colOff>158296</xdr:colOff>
      <xdr:row>0</xdr:row>
      <xdr:rowOff>979040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582DCC9C-3D05-4AA4-BF4C-BE700DFA1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54" y="292554"/>
          <a:ext cx="2863849" cy="6864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603622</xdr:colOff>
      <xdr:row>1</xdr:row>
      <xdr:rowOff>80233</xdr:rowOff>
    </xdr:from>
    <xdr:ext cx="939428" cy="328231"/>
    <xdr:pic>
      <xdr:nvPicPr>
        <xdr:cNvPr id="10" name="image1.jpeg">
          <a:extLst>
            <a:ext uri="{FF2B5EF4-FFF2-40B4-BE49-F238E27FC236}">
              <a16:creationId xmlns:a16="http://schemas.microsoft.com/office/drawing/2014/main" id="{6F52D901-BD5D-409F-B9D2-22641718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10697" y="242158"/>
          <a:ext cx="939428" cy="328231"/>
        </a:xfrm>
        <a:prstGeom prst="rect">
          <a:avLst/>
        </a:prstGeom>
      </xdr:spPr>
    </xdr:pic>
    <xdr:clientData/>
  </xdr:oneCellAnchor>
  <xdr:oneCellAnchor>
    <xdr:from>
      <xdr:col>30</xdr:col>
      <xdr:colOff>333375</xdr:colOff>
      <xdr:row>1</xdr:row>
      <xdr:rowOff>12215</xdr:rowOff>
    </xdr:from>
    <xdr:ext cx="933450" cy="426309"/>
    <xdr:pic>
      <xdr:nvPicPr>
        <xdr:cNvPr id="11" name="image2.jpeg">
          <a:extLst>
            <a:ext uri="{FF2B5EF4-FFF2-40B4-BE49-F238E27FC236}">
              <a16:creationId xmlns:a16="http://schemas.microsoft.com/office/drawing/2014/main" id="{C6E24440-6616-4DFE-87A1-2A61CC099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0150" y="174140"/>
          <a:ext cx="933450" cy="426309"/>
        </a:xfrm>
        <a:prstGeom prst="rect">
          <a:avLst/>
        </a:prstGeom>
      </xdr:spPr>
    </xdr:pic>
    <xdr:clientData/>
  </xdr:oneCellAnchor>
  <xdr:twoCellAnchor editAs="oneCell">
    <xdr:from>
      <xdr:col>1</xdr:col>
      <xdr:colOff>323851</xdr:colOff>
      <xdr:row>0</xdr:row>
      <xdr:rowOff>139700</xdr:rowOff>
    </xdr:from>
    <xdr:to>
      <xdr:col>4</xdr:col>
      <xdr:colOff>161926</xdr:colOff>
      <xdr:row>3</xdr:row>
      <xdr:rowOff>157661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2173049-CA96-4FD3-8ECD-78F35C180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6" y="139700"/>
          <a:ext cx="2419350" cy="5799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2510654</xdr:colOff>
      <xdr:row>0</xdr:row>
      <xdr:rowOff>311246</xdr:rowOff>
    </xdr:from>
    <xdr:ext cx="1849870" cy="588481"/>
    <xdr:pic>
      <xdr:nvPicPr>
        <xdr:cNvPr id="2" name="image1.jpeg">
          <a:extLst>
            <a:ext uri="{FF2B5EF4-FFF2-40B4-BE49-F238E27FC236}">
              <a16:creationId xmlns:a16="http://schemas.microsoft.com/office/drawing/2014/main" id="{A8B59255-9C60-45BF-BABE-BE9C03614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3479" y="311246"/>
          <a:ext cx="1849870" cy="588481"/>
        </a:xfrm>
        <a:prstGeom prst="rect">
          <a:avLst/>
        </a:prstGeom>
      </xdr:spPr>
    </xdr:pic>
    <xdr:clientData/>
  </xdr:oneCellAnchor>
  <xdr:oneCellAnchor>
    <xdr:from>
      <xdr:col>5</xdr:col>
      <xdr:colOff>1546868</xdr:colOff>
      <xdr:row>0</xdr:row>
      <xdr:rowOff>267866</xdr:rowOff>
    </xdr:from>
    <xdr:ext cx="1396691" cy="637872"/>
    <xdr:pic>
      <xdr:nvPicPr>
        <xdr:cNvPr id="3" name="image2.jpeg">
          <a:extLst>
            <a:ext uri="{FF2B5EF4-FFF2-40B4-BE49-F238E27FC236}">
              <a16:creationId xmlns:a16="http://schemas.microsoft.com/office/drawing/2014/main" id="{47B66B31-E5F1-4DA0-9184-DEE38AFB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0068" y="267866"/>
          <a:ext cx="1396691" cy="637872"/>
        </a:xfrm>
        <a:prstGeom prst="rect">
          <a:avLst/>
        </a:prstGeom>
      </xdr:spPr>
    </xdr:pic>
    <xdr:clientData/>
  </xdr:oneCellAnchor>
  <xdr:twoCellAnchor editAs="oneCell">
    <xdr:from>
      <xdr:col>0</xdr:col>
      <xdr:colOff>533400</xdr:colOff>
      <xdr:row>0</xdr:row>
      <xdr:rowOff>209550</xdr:rowOff>
    </xdr:from>
    <xdr:to>
      <xdr:col>2</xdr:col>
      <xdr:colOff>302110</xdr:colOff>
      <xdr:row>0</xdr:row>
      <xdr:rowOff>884736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B73433B-5B24-4722-96A1-D41D21C29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09550"/>
          <a:ext cx="2816710" cy="6751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2723416</xdr:colOff>
      <xdr:row>3</xdr:row>
      <xdr:rowOff>486256</xdr:rowOff>
    </xdr:from>
    <xdr:ext cx="4926753" cy="727113"/>
    <xdr:pic>
      <xdr:nvPicPr>
        <xdr:cNvPr id="2" name="image1.jpeg">
          <a:extLst>
            <a:ext uri="{FF2B5EF4-FFF2-40B4-BE49-F238E27FC236}">
              <a16:creationId xmlns:a16="http://schemas.microsoft.com/office/drawing/2014/main" id="{278ED03B-28BA-4E6A-8546-15D1DA1BF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0741" y="2667481"/>
          <a:ext cx="4926753" cy="727113"/>
        </a:xfrm>
        <a:prstGeom prst="rect">
          <a:avLst/>
        </a:prstGeom>
      </xdr:spPr>
    </xdr:pic>
    <xdr:clientData/>
  </xdr:oneCellAnchor>
  <xdr:oneCellAnchor>
    <xdr:from>
      <xdr:col>4</xdr:col>
      <xdr:colOff>2096132</xdr:colOff>
      <xdr:row>0</xdr:row>
      <xdr:rowOff>365850</xdr:rowOff>
    </xdr:from>
    <xdr:ext cx="1484817" cy="472350"/>
    <xdr:pic>
      <xdr:nvPicPr>
        <xdr:cNvPr id="3" name="image2.jpeg">
          <a:extLst>
            <a:ext uri="{FF2B5EF4-FFF2-40B4-BE49-F238E27FC236}">
              <a16:creationId xmlns:a16="http://schemas.microsoft.com/office/drawing/2014/main" id="{6E8BC82D-4864-4B5C-BDD4-1A4BEF818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8557" y="365850"/>
          <a:ext cx="1484817" cy="472350"/>
        </a:xfrm>
        <a:prstGeom prst="rect">
          <a:avLst/>
        </a:prstGeom>
      </xdr:spPr>
    </xdr:pic>
    <xdr:clientData/>
  </xdr:oneCellAnchor>
  <xdr:oneCellAnchor>
    <xdr:from>
      <xdr:col>5</xdr:col>
      <xdr:colOff>1170573</xdr:colOff>
      <xdr:row>0</xdr:row>
      <xdr:rowOff>255921</xdr:rowOff>
    </xdr:from>
    <xdr:ext cx="1396691" cy="637872"/>
    <xdr:pic>
      <xdr:nvPicPr>
        <xdr:cNvPr id="4" name="image3.jpeg">
          <a:extLst>
            <a:ext uri="{FF2B5EF4-FFF2-40B4-BE49-F238E27FC236}">
              <a16:creationId xmlns:a16="http://schemas.microsoft.com/office/drawing/2014/main" id="{ECB5311B-9409-45BE-8354-B2D52E034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9998" y="255921"/>
          <a:ext cx="1396691" cy="637872"/>
        </a:xfrm>
        <a:prstGeom prst="rect">
          <a:avLst/>
        </a:prstGeom>
      </xdr:spPr>
    </xdr:pic>
    <xdr:clientData/>
  </xdr:oneCellAnchor>
  <xdr:twoCellAnchor editAs="oneCell">
    <xdr:from>
      <xdr:col>0</xdr:col>
      <xdr:colOff>304800</xdr:colOff>
      <xdr:row>0</xdr:row>
      <xdr:rowOff>200025</xdr:rowOff>
    </xdr:from>
    <xdr:to>
      <xdr:col>1</xdr:col>
      <xdr:colOff>1664185</xdr:colOff>
      <xdr:row>0</xdr:row>
      <xdr:rowOff>875211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B5EFEB8-0B9A-4D5D-89FA-09F2F4E2B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200025"/>
          <a:ext cx="2816710" cy="675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FFBB-BD7F-4BD4-9D72-3570BE614A96}">
  <sheetPr>
    <pageSetUpPr fitToPage="1"/>
  </sheetPr>
  <dimension ref="A1:J31"/>
  <sheetViews>
    <sheetView topLeftCell="A4" zoomScale="60" zoomScaleNormal="60" workbookViewId="0">
      <selection activeCell="F24" sqref="F24"/>
    </sheetView>
  </sheetViews>
  <sheetFormatPr defaultRowHeight="12.75"/>
  <cols>
    <col min="1" max="1" width="18.6640625" style="1" customWidth="1"/>
    <col min="2" max="2" width="98" style="1" customWidth="1"/>
    <col min="3" max="3" width="9.33203125" style="1" customWidth="1"/>
    <col min="4" max="4" width="31.33203125" style="1" customWidth="1"/>
    <col min="5" max="5" width="14" style="1" customWidth="1"/>
    <col min="6" max="7" width="25.5" style="1" customWidth="1"/>
    <col min="8" max="16384" width="9.33203125" style="1"/>
  </cols>
  <sheetData>
    <row r="1" spans="1:10" ht="90" customHeight="1">
      <c r="A1" s="146" t="s">
        <v>1973</v>
      </c>
      <c r="B1" s="147"/>
      <c r="C1" s="147"/>
      <c r="D1" s="147"/>
      <c r="E1" s="147"/>
      <c r="F1" s="147"/>
      <c r="G1" s="147"/>
      <c r="H1" s="83"/>
      <c r="I1" s="84"/>
      <c r="J1" s="84"/>
    </row>
    <row r="2" spans="1:10" ht="15.75" customHeight="1">
      <c r="A2" s="165" t="s">
        <v>1972</v>
      </c>
      <c r="B2" s="148"/>
      <c r="C2" s="148"/>
      <c r="D2" s="148"/>
      <c r="E2" s="148"/>
      <c r="F2" s="148"/>
      <c r="G2" s="166"/>
    </row>
    <row r="3" spans="1:10" ht="72.599999999999994" customHeight="1">
      <c r="A3" s="167" t="s">
        <v>1974</v>
      </c>
      <c r="B3" s="168"/>
      <c r="C3" s="168"/>
      <c r="D3" s="168"/>
      <c r="E3" s="168"/>
      <c r="F3" s="168"/>
      <c r="G3" s="169"/>
    </row>
    <row r="4" spans="1:10" ht="17.25" customHeight="1">
      <c r="A4" s="92" t="s">
        <v>1943</v>
      </c>
      <c r="B4" s="93" t="s">
        <v>1944</v>
      </c>
      <c r="C4" s="157"/>
      <c r="D4" s="158"/>
      <c r="E4" s="155" t="s">
        <v>1945</v>
      </c>
      <c r="F4" s="156"/>
      <c r="G4" s="93" t="s">
        <v>1946</v>
      </c>
    </row>
    <row r="5" spans="1:10" ht="17.25" customHeight="1">
      <c r="A5" s="94">
        <v>1</v>
      </c>
      <c r="B5" s="152" t="s">
        <v>1947</v>
      </c>
      <c r="C5" s="153"/>
      <c r="D5" s="154"/>
      <c r="E5" s="95" t="s">
        <v>1948</v>
      </c>
      <c r="F5" s="96">
        <f>'SINTÉTICO REV_01'!J6</f>
        <v>162825.52540017513</v>
      </c>
      <c r="G5" s="97">
        <f>F5/F25</f>
        <v>6.6453675444906518E-2</v>
      </c>
    </row>
    <row r="6" spans="1:10" ht="17.25" customHeight="1">
      <c r="A6" s="94">
        <v>2</v>
      </c>
      <c r="B6" s="152" t="s">
        <v>1949</v>
      </c>
      <c r="C6" s="153"/>
      <c r="D6" s="154"/>
      <c r="E6" s="95" t="s">
        <v>1948</v>
      </c>
      <c r="F6" s="96">
        <f>'SINTÉTICO REV_01'!J24</f>
        <v>207935.32095720471</v>
      </c>
      <c r="G6" s="97">
        <f>F6/F25</f>
        <v>8.4864251464639759E-2</v>
      </c>
    </row>
    <row r="7" spans="1:10" ht="17.25" customHeight="1">
      <c r="A7" s="94">
        <v>3</v>
      </c>
      <c r="B7" s="152" t="s">
        <v>1950</v>
      </c>
      <c r="C7" s="153"/>
      <c r="D7" s="154"/>
      <c r="E7" s="95" t="s">
        <v>1948</v>
      </c>
      <c r="F7" s="96">
        <f>'SINTÉTICO REV_01'!J41</f>
        <v>300443.72079463216</v>
      </c>
      <c r="G7" s="97">
        <f>F7/F25</f>
        <v>0.12261953070366155</v>
      </c>
    </row>
    <row r="8" spans="1:10" ht="17.25" customHeight="1">
      <c r="A8" s="94">
        <v>4</v>
      </c>
      <c r="B8" s="152" t="s">
        <v>1951</v>
      </c>
      <c r="C8" s="153"/>
      <c r="D8" s="154"/>
      <c r="E8" s="95" t="s">
        <v>1948</v>
      </c>
      <c r="F8" s="96">
        <f>'SINTÉTICO REV_01'!J72</f>
        <v>195823.08567988186</v>
      </c>
      <c r="G8" s="97">
        <f>F8/F25</f>
        <v>7.9920907661182927E-2</v>
      </c>
    </row>
    <row r="9" spans="1:10" ht="17.25" customHeight="1">
      <c r="A9" s="94">
        <v>5</v>
      </c>
      <c r="B9" s="152" t="s">
        <v>1952</v>
      </c>
      <c r="C9" s="153"/>
      <c r="D9" s="154"/>
      <c r="E9" s="95" t="s">
        <v>1948</v>
      </c>
      <c r="F9" s="96">
        <f>'SINTÉTICO REV_01'!J87</f>
        <v>102452.36160421718</v>
      </c>
      <c r="G9" s="97">
        <f>F9/F25</f>
        <v>4.1813689652639242E-2</v>
      </c>
    </row>
    <row r="10" spans="1:10" ht="17.25" customHeight="1">
      <c r="A10" s="94">
        <v>6</v>
      </c>
      <c r="B10" s="152" t="s">
        <v>1953</v>
      </c>
      <c r="C10" s="153"/>
      <c r="D10" s="154"/>
      <c r="E10" s="95" t="s">
        <v>1948</v>
      </c>
      <c r="F10" s="96">
        <f>'SINTÉTICO REV_01'!J97</f>
        <v>40341.331619648467</v>
      </c>
      <c r="G10" s="97">
        <f>F10/F25</f>
        <v>1.6464431801333411E-2</v>
      </c>
    </row>
    <row r="11" spans="1:10" ht="17.25" customHeight="1">
      <c r="A11" s="94">
        <v>7</v>
      </c>
      <c r="B11" s="152" t="s">
        <v>1954</v>
      </c>
      <c r="C11" s="153"/>
      <c r="D11" s="154"/>
      <c r="E11" s="95" t="s">
        <v>1948</v>
      </c>
      <c r="F11" s="96">
        <f>'SINTÉTICO REV_01'!J101</f>
        <v>255123.6986059169</v>
      </c>
      <c r="G11" s="97">
        <f>F11/F25</f>
        <v>0.10412315528412548</v>
      </c>
    </row>
    <row r="12" spans="1:10" ht="17.25" customHeight="1">
      <c r="A12" s="94">
        <v>8</v>
      </c>
      <c r="B12" s="152" t="s">
        <v>1955</v>
      </c>
      <c r="C12" s="153"/>
      <c r="D12" s="154"/>
      <c r="E12" s="95" t="s">
        <v>1948</v>
      </c>
      <c r="F12" s="96">
        <f>'SINTÉTICO REV_01'!J128</f>
        <v>105077.27147250774</v>
      </c>
      <c r="G12" s="97">
        <f>F12/F25</f>
        <v>4.2884989180344162E-2</v>
      </c>
    </row>
    <row r="13" spans="1:10" ht="17.25" customHeight="1">
      <c r="A13" s="94">
        <v>9</v>
      </c>
      <c r="B13" s="152" t="s">
        <v>1956</v>
      </c>
      <c r="C13" s="153"/>
      <c r="D13" s="154"/>
      <c r="E13" s="95" t="s">
        <v>1948</v>
      </c>
      <c r="F13" s="96">
        <f>'SINTÉTICO REV_01'!J135</f>
        <v>138994.44684988973</v>
      </c>
      <c r="G13" s="97">
        <f>F13/F25</f>
        <v>5.6727542176854218E-2</v>
      </c>
    </row>
    <row r="14" spans="1:10" ht="17.25" customHeight="1">
      <c r="A14" s="94">
        <v>10</v>
      </c>
      <c r="B14" s="152" t="s">
        <v>1957</v>
      </c>
      <c r="C14" s="153"/>
      <c r="D14" s="154"/>
      <c r="E14" s="95" t="s">
        <v>1948</v>
      </c>
      <c r="F14" s="96">
        <f>'SINTÉTICO REV_01'!J144</f>
        <v>37635.54513173498</v>
      </c>
      <c r="G14" s="97">
        <f>F14/F25</f>
        <v>1.5360124250971758E-2</v>
      </c>
    </row>
    <row r="15" spans="1:10" ht="17.25" customHeight="1">
      <c r="A15" s="94">
        <v>11</v>
      </c>
      <c r="B15" s="152" t="s">
        <v>1958</v>
      </c>
      <c r="C15" s="153"/>
      <c r="D15" s="154"/>
      <c r="E15" s="95" t="s">
        <v>1948</v>
      </c>
      <c r="F15" s="96">
        <f>'SINTÉTICO REV_01'!J147</f>
        <v>45069.658947824493</v>
      </c>
      <c r="G15" s="97">
        <f>F15/F25</f>
        <v>1.8394195140905928E-2</v>
      </c>
    </row>
    <row r="16" spans="1:10" ht="17.25" customHeight="1">
      <c r="A16" s="94">
        <v>12</v>
      </c>
      <c r="B16" s="152" t="s">
        <v>1959</v>
      </c>
      <c r="C16" s="153"/>
      <c r="D16" s="154"/>
      <c r="E16" s="95" t="s">
        <v>1948</v>
      </c>
      <c r="F16" s="96">
        <f>'SINTÉTICO REV_01'!J150</f>
        <v>82409.806808889101</v>
      </c>
      <c r="G16" s="97">
        <f>F16/F25</f>
        <v>3.3633759459372047E-2</v>
      </c>
    </row>
    <row r="17" spans="1:10" ht="17.25" customHeight="1">
      <c r="A17" s="94">
        <v>13</v>
      </c>
      <c r="B17" s="152" t="s">
        <v>1960</v>
      </c>
      <c r="C17" s="153"/>
      <c r="D17" s="154"/>
      <c r="E17" s="95" t="s">
        <v>1948</v>
      </c>
      <c r="F17" s="96">
        <f>'SINTÉTICO REV_01'!J163</f>
        <v>8379.8121923133749</v>
      </c>
      <c r="G17" s="97">
        <f>F17/F25</f>
        <v>3.4200369895853238E-3</v>
      </c>
    </row>
    <row r="18" spans="1:10" ht="17.25" customHeight="1">
      <c r="A18" s="94">
        <v>14</v>
      </c>
      <c r="B18" s="152" t="s">
        <v>1961</v>
      </c>
      <c r="C18" s="153"/>
      <c r="D18" s="154"/>
      <c r="E18" s="95" t="s">
        <v>1948</v>
      </c>
      <c r="F18" s="96">
        <f>'SINTÉTICO REV_01'!J166</f>
        <v>63864.558169528929</v>
      </c>
      <c r="G18" s="97">
        <f>F18/F25</f>
        <v>2.606492201145794E-2</v>
      </c>
    </row>
    <row r="19" spans="1:10" ht="17.25" customHeight="1">
      <c r="A19" s="94">
        <v>15</v>
      </c>
      <c r="B19" s="152" t="s">
        <v>1962</v>
      </c>
      <c r="C19" s="153"/>
      <c r="D19" s="154"/>
      <c r="E19" s="95" t="s">
        <v>1948</v>
      </c>
      <c r="F19" s="96">
        <f>'SINTÉTICO REV_01'!J193</f>
        <v>171422.78163510279</v>
      </c>
      <c r="G19" s="97">
        <f>F19/F25</f>
        <v>6.9962457462642708E-2</v>
      </c>
    </row>
    <row r="20" spans="1:10" ht="17.25" customHeight="1">
      <c r="A20" s="94">
        <v>16</v>
      </c>
      <c r="B20" s="152" t="s">
        <v>1963</v>
      </c>
      <c r="C20" s="153"/>
      <c r="D20" s="154"/>
      <c r="E20" s="95" t="s">
        <v>1948</v>
      </c>
      <c r="F20" s="96">
        <f>'SINTÉTICO REV_01'!J309</f>
        <v>334017.29471121344</v>
      </c>
      <c r="G20" s="97">
        <f>F20/F25</f>
        <v>0.13632185028220886</v>
      </c>
    </row>
    <row r="21" spans="1:10" ht="17.25" customHeight="1">
      <c r="A21" s="94">
        <v>17</v>
      </c>
      <c r="B21" s="152" t="s">
        <v>1964</v>
      </c>
      <c r="C21" s="153"/>
      <c r="D21" s="154"/>
      <c r="E21" s="95" t="s">
        <v>1948</v>
      </c>
      <c r="F21" s="96">
        <f>'SINTÉTICO REV_01'!J415</f>
        <v>151556.94105800454</v>
      </c>
      <c r="G21" s="97">
        <f>F21/F25</f>
        <v>6.1854649310903613E-2</v>
      </c>
    </row>
    <row r="22" spans="1:10" ht="17.25" customHeight="1">
      <c r="A22" s="94">
        <v>18</v>
      </c>
      <c r="B22" s="152" t="s">
        <v>1965</v>
      </c>
      <c r="C22" s="153"/>
      <c r="D22" s="154"/>
      <c r="E22" s="95" t="s">
        <v>1948</v>
      </c>
      <c r="F22" s="96">
        <f>'SINTÉTICO REV_01'!J438</f>
        <v>21580.296350812194</v>
      </c>
      <c r="G22" s="97">
        <f>F22/F25</f>
        <v>8.8075257621753177E-3</v>
      </c>
    </row>
    <row r="23" spans="1:10" ht="17.25" customHeight="1">
      <c r="A23" s="94">
        <v>19</v>
      </c>
      <c r="B23" s="152" t="s">
        <v>1966</v>
      </c>
      <c r="C23" s="153"/>
      <c r="D23" s="154"/>
      <c r="E23" s="95" t="s">
        <v>1948</v>
      </c>
      <c r="F23" s="96">
        <f>'SINTÉTICO REV_01'!J460</f>
        <v>14283.411322306954</v>
      </c>
      <c r="G23" s="97">
        <f>F23/F25</f>
        <v>5.8294617992227194E-3</v>
      </c>
    </row>
    <row r="24" spans="1:10" ht="17.25" customHeight="1">
      <c r="A24" s="94">
        <v>20</v>
      </c>
      <c r="B24" s="152" t="s">
        <v>1967</v>
      </c>
      <c r="C24" s="153"/>
      <c r="D24" s="154"/>
      <c r="E24" s="95" t="s">
        <v>1948</v>
      </c>
      <c r="F24" s="96">
        <f>'SINTÉTICO REV_01'!J468</f>
        <v>10974.113151697502</v>
      </c>
      <c r="G24" s="97">
        <f>F24/F25</f>
        <v>4.4788441608664487E-3</v>
      </c>
    </row>
    <row r="25" spans="1:10" ht="17.25" customHeight="1">
      <c r="A25" s="155" t="s">
        <v>1968</v>
      </c>
      <c r="B25" s="156"/>
      <c r="C25" s="157"/>
      <c r="D25" s="158"/>
      <c r="E25" s="98" t="s">
        <v>1969</v>
      </c>
      <c r="F25" s="99">
        <f>SUM(F5:F24)</f>
        <v>2450210.9824635023</v>
      </c>
      <c r="G25" s="100">
        <f>SUM(G5:G24)</f>
        <v>1</v>
      </c>
    </row>
    <row r="26" spans="1:10" ht="14.85" customHeight="1">
      <c r="A26" s="159" t="s">
        <v>1970</v>
      </c>
      <c r="B26" s="160"/>
      <c r="C26" s="160"/>
      <c r="D26" s="160"/>
      <c r="E26" s="160"/>
      <c r="F26" s="160"/>
      <c r="G26" s="161"/>
    </row>
    <row r="27" spans="1:10" ht="28.7" customHeight="1">
      <c r="A27" s="162" t="s">
        <v>1971</v>
      </c>
      <c r="B27" s="163"/>
      <c r="C27" s="163"/>
      <c r="D27" s="163"/>
      <c r="E27" s="163"/>
      <c r="F27" s="163"/>
      <c r="G27" s="164"/>
    </row>
    <row r="28" spans="1:10" ht="116.1" customHeight="1">
      <c r="A28" s="151" t="s">
        <v>1046</v>
      </c>
      <c r="B28" s="151"/>
      <c r="C28" s="151"/>
      <c r="D28" s="151"/>
      <c r="E28" s="151"/>
      <c r="F28" s="151"/>
      <c r="G28" s="151"/>
      <c r="H28" s="86"/>
      <c r="I28" s="86"/>
      <c r="J28" s="86"/>
    </row>
    <row r="29" spans="1:10" ht="13.5" customHeight="1">
      <c r="A29" s="145"/>
      <c r="B29" s="145"/>
      <c r="C29" s="145"/>
      <c r="D29" s="145"/>
      <c r="E29" s="145"/>
      <c r="F29" s="145"/>
      <c r="G29" s="145"/>
      <c r="H29" s="86"/>
      <c r="I29" s="86"/>
      <c r="J29" s="86"/>
    </row>
    <row r="30" spans="1:10" ht="17.25" customHeight="1">
      <c r="A30" s="145"/>
      <c r="B30" s="145"/>
      <c r="C30" s="145"/>
      <c r="D30" s="145"/>
      <c r="E30" s="145"/>
      <c r="F30" s="145"/>
      <c r="G30" s="145"/>
      <c r="H30" s="86"/>
      <c r="I30" s="86"/>
      <c r="J30" s="86"/>
    </row>
    <row r="31" spans="1:10" ht="17.25" customHeight="1">
      <c r="A31" s="150"/>
      <c r="B31" s="150"/>
      <c r="C31" s="150"/>
    </row>
  </sheetData>
  <mergeCells count="31">
    <mergeCell ref="B11:D11"/>
    <mergeCell ref="A1:G1"/>
    <mergeCell ref="A2:G2"/>
    <mergeCell ref="A3:G3"/>
    <mergeCell ref="C4:D4"/>
    <mergeCell ref="E4:F4"/>
    <mergeCell ref="B5:D5"/>
    <mergeCell ref="B6:D6"/>
    <mergeCell ref="B7:D7"/>
    <mergeCell ref="B8:D8"/>
    <mergeCell ref="B9:D9"/>
    <mergeCell ref="B10:D10"/>
    <mergeCell ref="B23:D23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A31:C31"/>
    <mergeCell ref="A28:G30"/>
    <mergeCell ref="B24:D24"/>
    <mergeCell ref="A25:B25"/>
    <mergeCell ref="C25:D25"/>
    <mergeCell ref="A26:G26"/>
    <mergeCell ref="A27:G27"/>
  </mergeCells>
  <pageMargins left="0.23622047244094491" right="0.23622047244094491" top="0.74803149606299213" bottom="0.74803149606299213" header="0.31496062992125984" footer="0.31496062992125984"/>
  <pageSetup paperSize="9" scale="44" orientation="portrait" r:id="rId1"/>
  <headerFooter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E91C-40CC-4D08-8F0C-9994886D6B7D}">
  <sheetPr>
    <pageSetUpPr fitToPage="1"/>
  </sheetPr>
  <dimension ref="A1:P481"/>
  <sheetViews>
    <sheetView topLeftCell="A46" zoomScale="70" zoomScaleNormal="70" workbookViewId="0">
      <selection activeCell="D5" sqref="D5"/>
    </sheetView>
  </sheetViews>
  <sheetFormatPr defaultRowHeight="12.75"/>
  <cols>
    <col min="1" max="1" width="9.83203125" style="1" customWidth="1"/>
    <col min="2" max="2" width="15" style="1" customWidth="1"/>
    <col min="3" max="3" width="13.33203125" style="1" customWidth="1"/>
    <col min="4" max="4" width="143.33203125" style="1" customWidth="1"/>
    <col min="5" max="5" width="14" style="1" customWidth="1"/>
    <col min="6" max="6" width="16.1640625" style="1" customWidth="1"/>
    <col min="7" max="7" width="25.5" style="1" hidden="1" customWidth="1"/>
    <col min="8" max="8" width="25.5" style="1" customWidth="1"/>
    <col min="9" max="9" width="20.83203125" style="36" customWidth="1"/>
    <col min="10" max="10" width="23.33203125" style="36" customWidth="1"/>
    <col min="11" max="11" width="8.1640625" style="1" customWidth="1"/>
    <col min="12" max="12" width="21.6640625" style="1" customWidth="1"/>
    <col min="13" max="13" width="9.33203125" style="25"/>
    <col min="14" max="16384" width="9.33203125" style="1"/>
  </cols>
  <sheetData>
    <row r="1" spans="1:16" ht="90.75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6" ht="16.5" customHeight="1">
      <c r="A2" s="148" t="s">
        <v>1942</v>
      </c>
      <c r="B2" s="148"/>
      <c r="C2" s="148"/>
      <c r="D2" s="148"/>
      <c r="E2" s="148"/>
      <c r="F2" s="148"/>
      <c r="G2" s="148"/>
      <c r="H2" s="148"/>
      <c r="I2" s="148"/>
      <c r="J2" s="148"/>
      <c r="K2" s="41"/>
      <c r="L2" s="41"/>
      <c r="M2" s="141"/>
      <c r="N2" s="41"/>
      <c r="O2" s="41"/>
      <c r="P2" s="41"/>
    </row>
    <row r="3" spans="1:16" ht="72" customHeight="1">
      <c r="A3" s="149" t="s">
        <v>2111</v>
      </c>
      <c r="B3" s="149"/>
      <c r="C3" s="149"/>
      <c r="D3" s="149"/>
      <c r="E3" s="149"/>
      <c r="F3" s="149"/>
      <c r="G3" s="149"/>
      <c r="H3" s="149"/>
      <c r="I3" s="149"/>
      <c r="J3" s="149"/>
      <c r="K3" s="85"/>
      <c r="L3" s="85"/>
      <c r="M3" s="142"/>
      <c r="N3" s="85"/>
      <c r="O3" s="85"/>
      <c r="P3" s="85"/>
    </row>
    <row r="4" spans="1:16" ht="13.5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</row>
    <row r="5" spans="1:16" ht="48" customHeight="1">
      <c r="A5" s="2" t="s">
        <v>2</v>
      </c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" t="s">
        <v>9</v>
      </c>
      <c r="I5" s="5" t="s">
        <v>10</v>
      </c>
      <c r="J5" s="6" t="s">
        <v>11</v>
      </c>
    </row>
    <row r="6" spans="1:16" ht="32.25" customHeight="1">
      <c r="A6" s="7">
        <v>1</v>
      </c>
      <c r="B6" s="8"/>
      <c r="C6" s="8"/>
      <c r="D6" s="9" t="s">
        <v>12</v>
      </c>
      <c r="E6" s="8"/>
      <c r="F6" s="8"/>
      <c r="G6" s="8"/>
      <c r="H6" s="8"/>
      <c r="I6" s="10"/>
      <c r="J6" s="89">
        <f>J7+J18+J20+J22</f>
        <v>162825.52540017513</v>
      </c>
    </row>
    <row r="7" spans="1:16" ht="15.75" customHeight="1">
      <c r="A7" s="11" t="s">
        <v>13</v>
      </c>
      <c r="B7" s="12"/>
      <c r="C7" s="12"/>
      <c r="D7" s="11" t="s">
        <v>14</v>
      </c>
      <c r="E7" s="12"/>
      <c r="F7" s="12"/>
      <c r="G7" s="12"/>
      <c r="H7" s="12"/>
      <c r="I7" s="13"/>
      <c r="J7" s="90">
        <f>SUM(J8:J17)</f>
        <v>99885.998751546838</v>
      </c>
    </row>
    <row r="8" spans="1:16" ht="14.25" customHeight="1">
      <c r="A8" s="14" t="s">
        <v>15</v>
      </c>
      <c r="B8" s="14" t="s">
        <v>16</v>
      </c>
      <c r="C8" s="14" t="s">
        <v>17</v>
      </c>
      <c r="D8" s="14" t="s">
        <v>18</v>
      </c>
      <c r="E8" s="15" t="s">
        <v>19</v>
      </c>
      <c r="F8" s="16">
        <v>14</v>
      </c>
      <c r="G8" s="17">
        <v>967.29</v>
      </c>
      <c r="H8" s="18">
        <f>G8-(G8*M8)</f>
        <v>924.53544344850002</v>
      </c>
      <c r="I8" s="18">
        <f>H8+(H8*L8)</f>
        <v>1172.958117103112</v>
      </c>
      <c r="J8" s="91">
        <f>I8*F8</f>
        <v>16421.41363944357</v>
      </c>
      <c r="L8" s="19">
        <v>0.26869999999999999</v>
      </c>
      <c r="M8" s="19">
        <v>4.4200349999999999E-2</v>
      </c>
    </row>
    <row r="9" spans="1:16" ht="15.75" customHeight="1">
      <c r="A9" s="14" t="s">
        <v>20</v>
      </c>
      <c r="B9" s="14" t="s">
        <v>21</v>
      </c>
      <c r="C9" s="14" t="s">
        <v>17</v>
      </c>
      <c r="D9" s="14" t="s">
        <v>22</v>
      </c>
      <c r="E9" s="15" t="s">
        <v>23</v>
      </c>
      <c r="F9" s="16">
        <v>15</v>
      </c>
      <c r="G9" s="17">
        <v>245.8</v>
      </c>
      <c r="H9" s="18">
        <f t="shared" ref="H9:H71" si="0">G9-(G9*M9)</f>
        <v>234.93555397</v>
      </c>
      <c r="I9" s="18">
        <f t="shared" ref="I9:I71" si="1">H9+(H9*L9)</f>
        <v>298.06273732173901</v>
      </c>
      <c r="J9" s="91">
        <f t="shared" ref="J9:J16" si="2">I9*F9</f>
        <v>4470.9410598260847</v>
      </c>
      <c r="L9" s="19">
        <v>0.26869999999999999</v>
      </c>
      <c r="M9" s="19">
        <v>4.4200349999999999E-2</v>
      </c>
    </row>
    <row r="10" spans="1:16" ht="15.75" customHeight="1">
      <c r="A10" s="14" t="s">
        <v>24</v>
      </c>
      <c r="B10" s="14" t="s">
        <v>25</v>
      </c>
      <c r="C10" s="14" t="s">
        <v>17</v>
      </c>
      <c r="D10" s="14" t="s">
        <v>26</v>
      </c>
      <c r="E10" s="15" t="s">
        <v>27</v>
      </c>
      <c r="F10" s="16">
        <v>0</v>
      </c>
      <c r="G10" s="17">
        <v>962.26</v>
      </c>
      <c r="H10" s="18">
        <v>0</v>
      </c>
      <c r="I10" s="18">
        <f t="shared" si="1"/>
        <v>0</v>
      </c>
      <c r="J10" s="91">
        <f t="shared" si="2"/>
        <v>0</v>
      </c>
      <c r="L10" s="19">
        <v>0.26869999999999999</v>
      </c>
      <c r="M10" s="19">
        <v>4.4200349999999999E-2</v>
      </c>
    </row>
    <row r="11" spans="1:16" ht="15.75" customHeight="1">
      <c r="A11" s="14" t="s">
        <v>28</v>
      </c>
      <c r="B11" s="14" t="s">
        <v>29</v>
      </c>
      <c r="C11" s="14" t="s">
        <v>17</v>
      </c>
      <c r="D11" s="14" t="s">
        <v>30</v>
      </c>
      <c r="E11" s="15" t="s">
        <v>23</v>
      </c>
      <c r="F11" s="16">
        <v>13</v>
      </c>
      <c r="G11" s="20">
        <v>1057.99</v>
      </c>
      <c r="H11" s="18">
        <f>G11-(G11*M11)</f>
        <v>1011.2264717035</v>
      </c>
      <c r="I11" s="18">
        <f t="shared" si="1"/>
        <v>1282.9430246502304</v>
      </c>
      <c r="J11" s="91">
        <f t="shared" si="2"/>
        <v>16678.259320452995</v>
      </c>
      <c r="L11" s="19">
        <v>0.26869999999999999</v>
      </c>
      <c r="M11" s="19">
        <v>4.4200349999999999E-2</v>
      </c>
    </row>
    <row r="12" spans="1:16" ht="15.75" customHeight="1">
      <c r="A12" s="14" t="s">
        <v>31</v>
      </c>
      <c r="B12" s="14">
        <v>95648</v>
      </c>
      <c r="C12" s="14" t="s">
        <v>32</v>
      </c>
      <c r="D12" s="14" t="s">
        <v>33</v>
      </c>
      <c r="E12" s="15" t="s">
        <v>34</v>
      </c>
      <c r="F12" s="16">
        <v>1</v>
      </c>
      <c r="G12" s="16">
        <v>594.6</v>
      </c>
      <c r="H12" s="18">
        <f t="shared" si="0"/>
        <v>568.31847189000007</v>
      </c>
      <c r="I12" s="18">
        <f t="shared" si="1"/>
        <v>721.02564528684309</v>
      </c>
      <c r="J12" s="91">
        <f t="shared" si="2"/>
        <v>721.02564528684309</v>
      </c>
      <c r="L12" s="19">
        <v>0.26869999999999999</v>
      </c>
      <c r="M12" s="19">
        <v>4.4200349999999999E-2</v>
      </c>
    </row>
    <row r="13" spans="1:16" ht="15.75" customHeight="1">
      <c r="A13" s="14" t="s">
        <v>35</v>
      </c>
      <c r="B13" s="14">
        <v>95673</v>
      </c>
      <c r="C13" s="14" t="s">
        <v>32</v>
      </c>
      <c r="D13" s="14" t="s">
        <v>36</v>
      </c>
      <c r="E13" s="15" t="s">
        <v>34</v>
      </c>
      <c r="F13" s="16">
        <v>1</v>
      </c>
      <c r="G13" s="16">
        <v>130.69</v>
      </c>
      <c r="H13" s="18">
        <f t="shared" si="0"/>
        <v>124.91345625849999</v>
      </c>
      <c r="I13" s="18">
        <f t="shared" si="1"/>
        <v>158.47770195515892</v>
      </c>
      <c r="J13" s="91">
        <f t="shared" si="2"/>
        <v>158.47770195515892</v>
      </c>
      <c r="L13" s="19">
        <v>0.26869999999999999</v>
      </c>
      <c r="M13" s="19">
        <v>4.4200349999999999E-2</v>
      </c>
    </row>
    <row r="14" spans="1:16" ht="15.75" customHeight="1">
      <c r="A14" s="14" t="s">
        <v>37</v>
      </c>
      <c r="B14" s="14">
        <v>101509</v>
      </c>
      <c r="C14" s="14" t="s">
        <v>32</v>
      </c>
      <c r="D14" s="14" t="s">
        <v>38</v>
      </c>
      <c r="E14" s="15" t="s">
        <v>34</v>
      </c>
      <c r="F14" s="16">
        <v>1</v>
      </c>
      <c r="G14" s="21">
        <v>1954.86</v>
      </c>
      <c r="H14" s="18">
        <f t="shared" si="0"/>
        <v>1868.4545037989999</v>
      </c>
      <c r="I14" s="18">
        <f t="shared" si="1"/>
        <v>2370.5082289697912</v>
      </c>
      <c r="J14" s="91">
        <f t="shared" si="2"/>
        <v>2370.5082289697912</v>
      </c>
      <c r="L14" s="19">
        <v>0.26869999999999999</v>
      </c>
      <c r="M14" s="19">
        <v>4.4200349999999999E-2</v>
      </c>
    </row>
    <row r="15" spans="1:16" ht="15.75" customHeight="1">
      <c r="A15" s="14" t="s">
        <v>39</v>
      </c>
      <c r="B15" s="14">
        <v>103689</v>
      </c>
      <c r="C15" s="14" t="s">
        <v>32</v>
      </c>
      <c r="D15" s="14" t="s">
        <v>40</v>
      </c>
      <c r="E15" s="15" t="s">
        <v>23</v>
      </c>
      <c r="F15" s="16">
        <v>6</v>
      </c>
      <c r="G15" s="16">
        <v>465.84</v>
      </c>
      <c r="H15" s="18">
        <f t="shared" si="0"/>
        <v>445.24970895599995</v>
      </c>
      <c r="I15" s="18">
        <f t="shared" si="1"/>
        <v>564.88830575247709</v>
      </c>
      <c r="J15" s="91">
        <f t="shared" si="2"/>
        <v>3389.3298345148623</v>
      </c>
      <c r="L15" s="19">
        <v>0.26869999999999999</v>
      </c>
      <c r="M15" s="19">
        <v>4.4200349999999999E-2</v>
      </c>
    </row>
    <row r="16" spans="1:16" ht="15.75" customHeight="1">
      <c r="A16" s="14" t="s">
        <v>41</v>
      </c>
      <c r="B16" s="14" t="s">
        <v>42</v>
      </c>
      <c r="C16" s="14" t="s">
        <v>17</v>
      </c>
      <c r="D16" s="14" t="s">
        <v>43</v>
      </c>
      <c r="E16" s="15" t="s">
        <v>44</v>
      </c>
      <c r="F16" s="16">
        <v>140</v>
      </c>
      <c r="G16" s="17">
        <v>110.78</v>
      </c>
      <c r="H16" s="18">
        <f t="shared" si="0"/>
        <v>105.88348522699999</v>
      </c>
      <c r="I16" s="18">
        <f t="shared" si="1"/>
        <v>134.33437770749489</v>
      </c>
      <c r="J16" s="91">
        <f t="shared" si="2"/>
        <v>18806.812879049285</v>
      </c>
      <c r="L16" s="19">
        <v>0.26869999999999999</v>
      </c>
      <c r="M16" s="19">
        <v>4.4200349999999999E-2</v>
      </c>
    </row>
    <row r="17" spans="1:13" ht="15.75" customHeight="1">
      <c r="A17" s="22">
        <v>40179</v>
      </c>
      <c r="B17" s="23">
        <v>98459</v>
      </c>
      <c r="C17" s="14" t="s">
        <v>32</v>
      </c>
      <c r="D17" s="14" t="s">
        <v>45</v>
      </c>
      <c r="E17" s="15" t="s">
        <v>23</v>
      </c>
      <c r="F17" s="16">
        <v>325.60000000000002</v>
      </c>
      <c r="G17" s="16">
        <v>93.38</v>
      </c>
      <c r="H17" s="18">
        <f t="shared" si="0"/>
        <v>89.25257131699999</v>
      </c>
      <c r="I17" s="18">
        <f t="shared" si="1"/>
        <v>113.23473722987788</v>
      </c>
      <c r="J17" s="91">
        <f>I17*F17</f>
        <v>36869.23044204824</v>
      </c>
      <c r="L17" s="19">
        <v>0.26869999999999999</v>
      </c>
      <c r="M17" s="19">
        <v>4.4200349999999999E-2</v>
      </c>
    </row>
    <row r="18" spans="1:13" ht="15.75" customHeight="1">
      <c r="A18" s="11" t="s">
        <v>46</v>
      </c>
      <c r="B18" s="12"/>
      <c r="C18" s="12"/>
      <c r="D18" s="11" t="s">
        <v>47</v>
      </c>
      <c r="E18" s="12"/>
      <c r="F18" s="12"/>
      <c r="G18" s="12"/>
      <c r="H18" s="12"/>
      <c r="I18" s="12"/>
      <c r="J18" s="24">
        <f>J19</f>
        <v>47945.998437686016</v>
      </c>
      <c r="L18" s="25"/>
      <c r="M18" s="19">
        <v>4.4200349999999999E-2</v>
      </c>
    </row>
    <row r="19" spans="1:13" ht="15.75" customHeight="1">
      <c r="A19" s="14" t="s">
        <v>48</v>
      </c>
      <c r="B19" s="26">
        <v>93565</v>
      </c>
      <c r="C19" s="14" t="s">
        <v>32</v>
      </c>
      <c r="D19" s="14" t="s">
        <v>49</v>
      </c>
      <c r="E19" s="27" t="s">
        <v>50</v>
      </c>
      <c r="F19" s="16">
        <v>1.75</v>
      </c>
      <c r="G19" s="21">
        <v>22593.759999999998</v>
      </c>
      <c r="H19" s="18">
        <f t="shared" si="0"/>
        <v>21595.107900183997</v>
      </c>
      <c r="I19" s="18">
        <f t="shared" si="1"/>
        <v>27397.713392963436</v>
      </c>
      <c r="J19" s="91">
        <f>I19*F19</f>
        <v>47945.998437686016</v>
      </c>
      <c r="L19" s="19">
        <v>0.26869999999999999</v>
      </c>
      <c r="M19" s="19">
        <v>4.4200349999999999E-2</v>
      </c>
    </row>
    <row r="20" spans="1:13" ht="15.75" customHeight="1">
      <c r="A20" s="11" t="s">
        <v>51</v>
      </c>
      <c r="B20" s="12"/>
      <c r="C20" s="12"/>
      <c r="D20" s="11" t="s">
        <v>52</v>
      </c>
      <c r="E20" s="12"/>
      <c r="F20" s="12"/>
      <c r="G20" s="12"/>
      <c r="H20" s="12"/>
      <c r="I20" s="12"/>
      <c r="J20" s="24">
        <f>J21</f>
        <v>7839.0863702522138</v>
      </c>
      <c r="L20" s="25"/>
      <c r="M20" s="19">
        <v>4.4200349999999999E-2</v>
      </c>
    </row>
    <row r="21" spans="1:13" ht="15.75" customHeight="1">
      <c r="A21" s="14" t="s">
        <v>53</v>
      </c>
      <c r="B21" s="14" t="s">
        <v>54</v>
      </c>
      <c r="C21" s="14" t="s">
        <v>17</v>
      </c>
      <c r="D21" s="14" t="s">
        <v>55</v>
      </c>
      <c r="E21" s="15" t="s">
        <v>34</v>
      </c>
      <c r="F21" s="16">
        <v>1</v>
      </c>
      <c r="G21" s="20">
        <v>6464.57</v>
      </c>
      <c r="H21" s="18">
        <f t="shared" si="0"/>
        <v>6178.8337434004998</v>
      </c>
      <c r="I21" s="18">
        <f t="shared" si="1"/>
        <v>7839.0863702522138</v>
      </c>
      <c r="J21" s="91">
        <f>I21*F21</f>
        <v>7839.0863702522138</v>
      </c>
      <c r="L21" s="19">
        <v>0.26869999999999999</v>
      </c>
      <c r="M21" s="19">
        <v>4.4200349999999999E-2</v>
      </c>
    </row>
    <row r="22" spans="1:13" ht="15.75" customHeight="1">
      <c r="A22" s="11" t="s">
        <v>56</v>
      </c>
      <c r="B22" s="12"/>
      <c r="C22" s="12"/>
      <c r="D22" s="11" t="s">
        <v>57</v>
      </c>
      <c r="E22" s="12"/>
      <c r="F22" s="12"/>
      <c r="G22" s="12"/>
      <c r="H22" s="12"/>
      <c r="I22" s="12"/>
      <c r="J22" s="24">
        <f>J23</f>
        <v>7154.4418406900522</v>
      </c>
      <c r="L22" s="25"/>
      <c r="M22" s="19">
        <v>4.4200349999999999E-2</v>
      </c>
    </row>
    <row r="23" spans="1:13" ht="15.75" customHeight="1">
      <c r="A23" s="14" t="s">
        <v>58</v>
      </c>
      <c r="B23" s="14" t="s">
        <v>59</v>
      </c>
      <c r="C23" s="14" t="s">
        <v>17</v>
      </c>
      <c r="D23" s="14" t="s">
        <v>60</v>
      </c>
      <c r="E23" s="15" t="s">
        <v>61</v>
      </c>
      <c r="F23" s="16">
        <v>273.39999999999998</v>
      </c>
      <c r="G23" s="17">
        <v>21.58</v>
      </c>
      <c r="H23" s="18">
        <f t="shared" si="0"/>
        <v>20.626156447</v>
      </c>
      <c r="I23" s="18">
        <f t="shared" si="1"/>
        <v>26.1684046843089</v>
      </c>
      <c r="J23" s="91">
        <f>I23*F23</f>
        <v>7154.4418406900522</v>
      </c>
      <c r="L23" s="19">
        <v>0.26869999999999999</v>
      </c>
      <c r="M23" s="19">
        <v>4.4200349999999999E-2</v>
      </c>
    </row>
    <row r="24" spans="1:13" ht="33" customHeight="1">
      <c r="A24" s="28">
        <v>2</v>
      </c>
      <c r="B24" s="29"/>
      <c r="C24" s="29"/>
      <c r="D24" s="30" t="s">
        <v>62</v>
      </c>
      <c r="E24" s="29"/>
      <c r="F24" s="29"/>
      <c r="G24" s="29"/>
      <c r="H24" s="29"/>
      <c r="I24" s="29"/>
      <c r="J24" s="31">
        <f>SUM(J25:J40)</f>
        <v>207935.32095720471</v>
      </c>
      <c r="L24" s="25"/>
      <c r="M24" s="19">
        <v>4.4200349999999999E-2</v>
      </c>
    </row>
    <row r="25" spans="1:13" ht="15.75" customHeight="1">
      <c r="A25" s="14" t="s">
        <v>63</v>
      </c>
      <c r="B25" s="14">
        <v>99059</v>
      </c>
      <c r="C25" s="14" t="s">
        <v>32</v>
      </c>
      <c r="D25" s="14" t="s">
        <v>64</v>
      </c>
      <c r="E25" s="27" t="s">
        <v>65</v>
      </c>
      <c r="F25" s="16">
        <v>97.5</v>
      </c>
      <c r="G25" s="16">
        <v>62.21</v>
      </c>
      <c r="H25" s="18">
        <f t="shared" si="0"/>
        <v>59.460296226499999</v>
      </c>
      <c r="I25" s="18">
        <f t="shared" si="1"/>
        <v>75.437277822560546</v>
      </c>
      <c r="J25" s="91">
        <f>I25*F25</f>
        <v>7355.1345876996529</v>
      </c>
      <c r="L25" s="19">
        <v>0.26869999999999999</v>
      </c>
      <c r="M25" s="19">
        <v>4.4200349999999999E-2</v>
      </c>
    </row>
    <row r="26" spans="1:13" ht="15.75" customHeight="1">
      <c r="A26" s="14" t="s">
        <v>66</v>
      </c>
      <c r="B26" s="14">
        <v>90100</v>
      </c>
      <c r="C26" s="14" t="s">
        <v>32</v>
      </c>
      <c r="D26" s="14" t="s">
        <v>67</v>
      </c>
      <c r="E26" s="27" t="s">
        <v>44</v>
      </c>
      <c r="F26" s="16">
        <v>208.39</v>
      </c>
      <c r="G26" s="16">
        <v>12.45</v>
      </c>
      <c r="H26" s="18">
        <f t="shared" si="0"/>
        <v>11.899705642499999</v>
      </c>
      <c r="I26" s="18">
        <f t="shared" si="1"/>
        <v>15.097156548639749</v>
      </c>
      <c r="J26" s="91">
        <f t="shared" ref="J26:J40" si="3">I26*F26</f>
        <v>3146.096453171037</v>
      </c>
      <c r="L26" s="19">
        <v>0.26869999999999999</v>
      </c>
      <c r="M26" s="19">
        <v>4.4200349999999999E-2</v>
      </c>
    </row>
    <row r="27" spans="1:13" ht="15.75" customHeight="1">
      <c r="A27" s="14" t="s">
        <v>68</v>
      </c>
      <c r="B27" s="14">
        <v>93358</v>
      </c>
      <c r="C27" s="14" t="s">
        <v>32</v>
      </c>
      <c r="D27" s="14" t="s">
        <v>69</v>
      </c>
      <c r="E27" s="27" t="s">
        <v>44</v>
      </c>
      <c r="F27" s="16">
        <v>52.1</v>
      </c>
      <c r="G27" s="16">
        <v>84.33</v>
      </c>
      <c r="H27" s="18">
        <f t="shared" si="0"/>
        <v>80.602584484499999</v>
      </c>
      <c r="I27" s="18">
        <f t="shared" si="1"/>
        <v>102.26049893548515</v>
      </c>
      <c r="J27" s="91">
        <f t="shared" si="3"/>
        <v>5327.7719945387762</v>
      </c>
      <c r="L27" s="19">
        <v>0.26869999999999999</v>
      </c>
      <c r="M27" s="19">
        <v>4.4200349999999999E-2</v>
      </c>
    </row>
    <row r="28" spans="1:13" ht="15.75" customHeight="1">
      <c r="A28" s="14" t="s">
        <v>70</v>
      </c>
      <c r="B28" s="14">
        <v>100324</v>
      </c>
      <c r="C28" s="14" t="s">
        <v>32</v>
      </c>
      <c r="D28" s="14" t="s">
        <v>71</v>
      </c>
      <c r="E28" s="27" t="s">
        <v>44</v>
      </c>
      <c r="F28" s="16">
        <v>60.58</v>
      </c>
      <c r="G28" s="16">
        <v>175</v>
      </c>
      <c r="H28" s="18">
        <f t="shared" si="0"/>
        <v>167.26493875</v>
      </c>
      <c r="I28" s="18">
        <f t="shared" si="1"/>
        <v>212.209027792125</v>
      </c>
      <c r="J28" s="91">
        <f t="shared" si="3"/>
        <v>12855.622903646932</v>
      </c>
      <c r="L28" s="19">
        <v>0.26869999999999999</v>
      </c>
      <c r="M28" s="19">
        <v>4.4200349999999999E-2</v>
      </c>
    </row>
    <row r="29" spans="1:13" ht="15.75" customHeight="1">
      <c r="A29" s="14" t="s">
        <v>72</v>
      </c>
      <c r="B29" s="14">
        <v>96534</v>
      </c>
      <c r="C29" s="14" t="s">
        <v>32</v>
      </c>
      <c r="D29" s="14" t="s">
        <v>73</v>
      </c>
      <c r="E29" s="27" t="s">
        <v>23</v>
      </c>
      <c r="F29" s="16">
        <v>403.5</v>
      </c>
      <c r="G29" s="16">
        <v>85.12</v>
      </c>
      <c r="H29" s="18">
        <f t="shared" si="0"/>
        <v>81.357666207999998</v>
      </c>
      <c r="I29" s="18">
        <f t="shared" si="1"/>
        <v>103.2184711180896</v>
      </c>
      <c r="J29" s="91">
        <f t="shared" si="3"/>
        <v>41648.653096149152</v>
      </c>
      <c r="L29" s="19">
        <v>0.26869999999999999</v>
      </c>
      <c r="M29" s="19">
        <v>4.4200349999999999E-2</v>
      </c>
    </row>
    <row r="30" spans="1:13" ht="15.75" customHeight="1">
      <c r="A30" s="14" t="s">
        <v>74</v>
      </c>
      <c r="B30" s="14">
        <v>96543</v>
      </c>
      <c r="C30" s="14" t="s">
        <v>32</v>
      </c>
      <c r="D30" s="14" t="s">
        <v>75</v>
      </c>
      <c r="E30" s="27" t="s">
        <v>76</v>
      </c>
      <c r="F30" s="16">
        <v>415.5</v>
      </c>
      <c r="G30" s="16">
        <v>18.55</v>
      </c>
      <c r="H30" s="18">
        <f t="shared" si="0"/>
        <v>17.730083507500002</v>
      </c>
      <c r="I30" s="18">
        <f t="shared" si="1"/>
        <v>22.494156945965251</v>
      </c>
      <c r="J30" s="91">
        <f t="shared" si="3"/>
        <v>9346.3222110485622</v>
      </c>
      <c r="L30" s="19">
        <v>0.26869999999999999</v>
      </c>
      <c r="M30" s="19">
        <v>4.4200349999999999E-2</v>
      </c>
    </row>
    <row r="31" spans="1:13" ht="15.75" customHeight="1">
      <c r="A31" s="14" t="s">
        <v>77</v>
      </c>
      <c r="B31" s="14">
        <v>96544</v>
      </c>
      <c r="C31" s="14" t="s">
        <v>32</v>
      </c>
      <c r="D31" s="14" t="s">
        <v>78</v>
      </c>
      <c r="E31" s="27" t="s">
        <v>76</v>
      </c>
      <c r="F31" s="16">
        <v>4.4000000000000004</v>
      </c>
      <c r="G31" s="16">
        <v>16.48</v>
      </c>
      <c r="H31" s="18">
        <f t="shared" si="0"/>
        <v>15.751578232</v>
      </c>
      <c r="I31" s="18">
        <f t="shared" si="1"/>
        <v>19.984027302938401</v>
      </c>
      <c r="J31" s="91">
        <f t="shared" si="3"/>
        <v>87.929720132928963</v>
      </c>
      <c r="L31" s="19">
        <v>0.26869999999999999</v>
      </c>
      <c r="M31" s="19">
        <v>4.4200349999999999E-2</v>
      </c>
    </row>
    <row r="32" spans="1:13" ht="15.75" customHeight="1">
      <c r="A32" s="14" t="s">
        <v>79</v>
      </c>
      <c r="B32" s="14">
        <v>96545</v>
      </c>
      <c r="C32" s="14" t="s">
        <v>32</v>
      </c>
      <c r="D32" s="14" t="s">
        <v>80</v>
      </c>
      <c r="E32" s="27" t="s">
        <v>76</v>
      </c>
      <c r="F32" s="21">
        <v>1092.4000000000001</v>
      </c>
      <c r="G32" s="16">
        <v>14.69</v>
      </c>
      <c r="H32" s="18">
        <f t="shared" si="0"/>
        <v>14.040696858499999</v>
      </c>
      <c r="I32" s="18">
        <f t="shared" si="1"/>
        <v>17.813432104378947</v>
      </c>
      <c r="J32" s="91">
        <f t="shared" si="3"/>
        <v>19459.393230823563</v>
      </c>
      <c r="L32" s="19">
        <v>0.26869999999999999</v>
      </c>
      <c r="M32" s="19">
        <v>4.4200349999999999E-2</v>
      </c>
    </row>
    <row r="33" spans="1:13" ht="15.75" customHeight="1">
      <c r="A33" s="14" t="s">
        <v>81</v>
      </c>
      <c r="B33" s="14">
        <v>96546</v>
      </c>
      <c r="C33" s="14" t="s">
        <v>32</v>
      </c>
      <c r="D33" s="14" t="s">
        <v>82</v>
      </c>
      <c r="E33" s="27" t="s">
        <v>76</v>
      </c>
      <c r="F33" s="16">
        <v>787.4</v>
      </c>
      <c r="G33" s="16">
        <v>12.76</v>
      </c>
      <c r="H33" s="18">
        <f t="shared" si="0"/>
        <v>12.196003533999999</v>
      </c>
      <c r="I33" s="18">
        <f t="shared" si="1"/>
        <v>15.473069683585798</v>
      </c>
      <c r="J33" s="91">
        <f t="shared" si="3"/>
        <v>12183.495068855458</v>
      </c>
      <c r="L33" s="19">
        <v>0.26869999999999999</v>
      </c>
      <c r="M33" s="19">
        <v>4.4200349999999999E-2</v>
      </c>
    </row>
    <row r="34" spans="1:13" ht="15.75" customHeight="1">
      <c r="A34" s="14" t="s">
        <v>83</v>
      </c>
      <c r="B34" s="14">
        <v>104920</v>
      </c>
      <c r="C34" s="14" t="s">
        <v>32</v>
      </c>
      <c r="D34" s="14" t="s">
        <v>84</v>
      </c>
      <c r="E34" s="27" t="s">
        <v>76</v>
      </c>
      <c r="F34" s="16">
        <v>436.8</v>
      </c>
      <c r="G34" s="16">
        <v>9.75</v>
      </c>
      <c r="H34" s="18">
        <f t="shared" si="0"/>
        <v>9.3190465875000008</v>
      </c>
      <c r="I34" s="18">
        <f t="shared" si="1"/>
        <v>11.82307440556125</v>
      </c>
      <c r="J34" s="91">
        <f t="shared" si="3"/>
        <v>5164.3189003491543</v>
      </c>
      <c r="L34" s="19">
        <v>0.26869999999999999</v>
      </c>
      <c r="M34" s="19">
        <v>4.4200349999999999E-2</v>
      </c>
    </row>
    <row r="35" spans="1:13" ht="15.75" customHeight="1">
      <c r="A35" s="14" t="s">
        <v>85</v>
      </c>
      <c r="B35" s="14">
        <v>104921</v>
      </c>
      <c r="C35" s="14" t="s">
        <v>32</v>
      </c>
      <c r="D35" s="14" t="s">
        <v>86</v>
      </c>
      <c r="E35" s="27" t="s">
        <v>76</v>
      </c>
      <c r="F35" s="16">
        <v>207.1</v>
      </c>
      <c r="G35" s="16">
        <v>9.14</v>
      </c>
      <c r="H35" s="18">
        <f t="shared" si="0"/>
        <v>8.7360088010000005</v>
      </c>
      <c r="I35" s="18">
        <f t="shared" si="1"/>
        <v>11.0833743658287</v>
      </c>
      <c r="J35" s="91">
        <f t="shared" si="3"/>
        <v>2295.3668311631236</v>
      </c>
      <c r="L35" s="19">
        <v>0.26869999999999999</v>
      </c>
      <c r="M35" s="19">
        <v>4.4200349999999999E-2</v>
      </c>
    </row>
    <row r="36" spans="1:13" ht="15.75" customHeight="1">
      <c r="A36" s="14" t="s">
        <v>87</v>
      </c>
      <c r="B36" s="14">
        <v>96557</v>
      </c>
      <c r="C36" s="14" t="s">
        <v>32</v>
      </c>
      <c r="D36" s="14" t="s">
        <v>88</v>
      </c>
      <c r="E36" s="27" t="s">
        <v>44</v>
      </c>
      <c r="F36" s="16">
        <v>54.3</v>
      </c>
      <c r="G36" s="16">
        <v>761.22</v>
      </c>
      <c r="H36" s="18">
        <f t="shared" si="0"/>
        <v>727.57380957300006</v>
      </c>
      <c r="I36" s="18">
        <f t="shared" si="1"/>
        <v>923.07289220526513</v>
      </c>
      <c r="J36" s="91">
        <f t="shared" si="3"/>
        <v>50122.858046745896</v>
      </c>
      <c r="L36" s="19">
        <v>0.26869999999999999</v>
      </c>
      <c r="M36" s="19">
        <v>4.4200349999999999E-2</v>
      </c>
    </row>
    <row r="37" spans="1:13" ht="15.75" customHeight="1">
      <c r="A37" s="14" t="s">
        <v>89</v>
      </c>
      <c r="B37" s="14">
        <v>100574</v>
      </c>
      <c r="C37" s="14" t="s">
        <v>32</v>
      </c>
      <c r="D37" s="14" t="s">
        <v>90</v>
      </c>
      <c r="E37" s="27" t="s">
        <v>44</v>
      </c>
      <c r="F37" s="16">
        <v>332.94</v>
      </c>
      <c r="G37" s="16">
        <v>1.36</v>
      </c>
      <c r="H37" s="18">
        <f t="shared" si="0"/>
        <v>1.2998875240000001</v>
      </c>
      <c r="I37" s="18">
        <f t="shared" si="1"/>
        <v>1.6491673016988</v>
      </c>
      <c r="J37" s="91">
        <f t="shared" si="3"/>
        <v>549.07376142759847</v>
      </c>
      <c r="L37" s="19">
        <v>0.26869999999999999</v>
      </c>
      <c r="M37" s="19">
        <v>4.4200349999999999E-2</v>
      </c>
    </row>
    <row r="38" spans="1:13" ht="15.75" customHeight="1">
      <c r="A38" s="14" t="s">
        <v>91</v>
      </c>
      <c r="B38" s="14">
        <v>93382</v>
      </c>
      <c r="C38" s="14" t="s">
        <v>32</v>
      </c>
      <c r="D38" s="14" t="s">
        <v>92</v>
      </c>
      <c r="E38" s="27" t="s">
        <v>44</v>
      </c>
      <c r="F38" s="16">
        <v>250.02</v>
      </c>
      <c r="G38" s="16">
        <v>25.3</v>
      </c>
      <c r="H38" s="18">
        <f t="shared" si="0"/>
        <v>24.181731145000001</v>
      </c>
      <c r="I38" s="18">
        <f t="shared" si="1"/>
        <v>30.679362303661499</v>
      </c>
      <c r="J38" s="91">
        <f t="shared" si="3"/>
        <v>7670.4541631614484</v>
      </c>
      <c r="L38" s="19">
        <v>0.26869999999999999</v>
      </c>
      <c r="M38" s="19">
        <v>4.4200349999999999E-2</v>
      </c>
    </row>
    <row r="39" spans="1:13" ht="15.75" customHeight="1">
      <c r="A39" s="14" t="s">
        <v>93</v>
      </c>
      <c r="B39" s="14">
        <v>98557</v>
      </c>
      <c r="C39" s="14" t="s">
        <v>32</v>
      </c>
      <c r="D39" s="14" t="s">
        <v>94</v>
      </c>
      <c r="E39" s="27" t="s">
        <v>23</v>
      </c>
      <c r="F39" s="16">
        <v>403.5</v>
      </c>
      <c r="G39" s="16">
        <v>48.94</v>
      </c>
      <c r="H39" s="18">
        <f t="shared" si="0"/>
        <v>46.776834870999998</v>
      </c>
      <c r="I39" s="18">
        <f t="shared" si="1"/>
        <v>59.345770400837694</v>
      </c>
      <c r="J39" s="91">
        <f t="shared" si="3"/>
        <v>23946.018356738008</v>
      </c>
      <c r="L39" s="19">
        <v>0.26869999999999999</v>
      </c>
      <c r="M39" s="19">
        <v>4.4200349999999999E-2</v>
      </c>
    </row>
    <row r="40" spans="1:13" ht="15.75" customHeight="1">
      <c r="A40" s="14" t="s">
        <v>95</v>
      </c>
      <c r="B40" s="14" t="s">
        <v>96</v>
      </c>
      <c r="C40" s="14" t="s">
        <v>17</v>
      </c>
      <c r="D40" s="14" t="s">
        <v>97</v>
      </c>
      <c r="E40" s="15" t="s">
        <v>44</v>
      </c>
      <c r="F40" s="16">
        <v>54.3</v>
      </c>
      <c r="G40" s="17">
        <v>102.92</v>
      </c>
      <c r="H40" s="18">
        <f t="shared" si="0"/>
        <v>98.370899977999997</v>
      </c>
      <c r="I40" s="18">
        <f t="shared" si="1"/>
        <v>124.8031608020886</v>
      </c>
      <c r="J40" s="91">
        <f t="shared" si="3"/>
        <v>6776.8116315534107</v>
      </c>
      <c r="L40" s="19">
        <v>0.26869999999999999</v>
      </c>
      <c r="M40" s="19">
        <v>4.4200349999999999E-2</v>
      </c>
    </row>
    <row r="41" spans="1:13" ht="32.25" customHeight="1">
      <c r="A41" s="28">
        <v>3</v>
      </c>
      <c r="B41" s="29"/>
      <c r="C41" s="29"/>
      <c r="D41" s="30" t="s">
        <v>98</v>
      </c>
      <c r="E41" s="29"/>
      <c r="F41" s="29"/>
      <c r="G41" s="29"/>
      <c r="H41" s="29"/>
      <c r="I41" s="29"/>
      <c r="J41" s="31">
        <f>J42+J49+J59+J70</f>
        <v>300443.72079463216</v>
      </c>
      <c r="L41" s="25"/>
      <c r="M41" s="19">
        <v>4.4200349999999999E-2</v>
      </c>
    </row>
    <row r="42" spans="1:13" ht="15.75" customHeight="1">
      <c r="A42" s="11" t="s">
        <v>99</v>
      </c>
      <c r="B42" s="12"/>
      <c r="C42" s="12"/>
      <c r="D42" s="11" t="s">
        <v>100</v>
      </c>
      <c r="E42" s="12"/>
      <c r="F42" s="12"/>
      <c r="G42" s="12"/>
      <c r="H42" s="12"/>
      <c r="I42" s="12"/>
      <c r="J42" s="24">
        <f>SUM(J43:J48)</f>
        <v>45759.591847621523</v>
      </c>
      <c r="L42" s="25"/>
      <c r="M42" s="19">
        <v>4.4200349999999999E-2</v>
      </c>
    </row>
    <row r="43" spans="1:13" ht="15.75" customHeight="1">
      <c r="A43" s="14" t="s">
        <v>101</v>
      </c>
      <c r="B43" s="14">
        <v>92423</v>
      </c>
      <c r="C43" s="14" t="s">
        <v>32</v>
      </c>
      <c r="D43" s="14" t="s">
        <v>102</v>
      </c>
      <c r="E43" s="27" t="s">
        <v>23</v>
      </c>
      <c r="F43" s="16">
        <v>231.1</v>
      </c>
      <c r="G43" s="16">
        <v>65.77</v>
      </c>
      <c r="H43" s="18">
        <f t="shared" si="0"/>
        <v>62.862942980499994</v>
      </c>
      <c r="I43" s="18">
        <f t="shared" si="1"/>
        <v>79.754215759360335</v>
      </c>
      <c r="J43" s="91">
        <f t="shared" ref="J43:J69" si="4">I43*F43</f>
        <v>18431.199261988171</v>
      </c>
      <c r="L43" s="19">
        <v>0.26869999999999999</v>
      </c>
      <c r="M43" s="19">
        <v>4.4200349999999999E-2</v>
      </c>
    </row>
    <row r="44" spans="1:13" ht="31.5" customHeight="1">
      <c r="A44" s="14" t="s">
        <v>103</v>
      </c>
      <c r="B44" s="14">
        <v>92762</v>
      </c>
      <c r="C44" s="14" t="s">
        <v>32</v>
      </c>
      <c r="D44" s="14" t="s">
        <v>104</v>
      </c>
      <c r="E44" s="27" t="s">
        <v>76</v>
      </c>
      <c r="F44" s="16">
        <v>584.9</v>
      </c>
      <c r="G44" s="16">
        <v>9.89</v>
      </c>
      <c r="H44" s="18">
        <f t="shared" si="0"/>
        <v>9.452858538500001</v>
      </c>
      <c r="I44" s="18">
        <f t="shared" si="1"/>
        <v>11.992841627794952</v>
      </c>
      <c r="J44" s="91">
        <f t="shared" si="4"/>
        <v>7014.6130680972674</v>
      </c>
      <c r="L44" s="19">
        <v>0.26869999999999999</v>
      </c>
      <c r="M44" s="19">
        <v>4.4200349999999999E-2</v>
      </c>
    </row>
    <row r="45" spans="1:13" ht="15.75" customHeight="1">
      <c r="A45" s="14" t="s">
        <v>105</v>
      </c>
      <c r="B45" s="14">
        <v>92763</v>
      </c>
      <c r="C45" s="14" t="s">
        <v>32</v>
      </c>
      <c r="D45" s="14" t="s">
        <v>106</v>
      </c>
      <c r="E45" s="27" t="s">
        <v>76</v>
      </c>
      <c r="F45" s="16">
        <v>151.30000000000001</v>
      </c>
      <c r="G45" s="16">
        <v>8.2899999999999991</v>
      </c>
      <c r="H45" s="18">
        <f t="shared" si="0"/>
        <v>7.9235790984999994</v>
      </c>
      <c r="I45" s="18">
        <f t="shared" si="1"/>
        <v>10.052644802266949</v>
      </c>
      <c r="J45" s="91">
        <f t="shared" si="4"/>
        <v>1520.9651585829895</v>
      </c>
      <c r="L45" s="19">
        <v>0.26869999999999999</v>
      </c>
      <c r="M45" s="19">
        <v>4.4200349999999999E-2</v>
      </c>
    </row>
    <row r="46" spans="1:13" ht="15.75" customHeight="1">
      <c r="A46" s="14" t="s">
        <v>107</v>
      </c>
      <c r="B46" s="14">
        <v>92759</v>
      </c>
      <c r="C46" s="14" t="s">
        <v>32</v>
      </c>
      <c r="D46" s="14" t="s">
        <v>108</v>
      </c>
      <c r="E46" s="27" t="s">
        <v>76</v>
      </c>
      <c r="F46" s="16">
        <v>310.8</v>
      </c>
      <c r="G46" s="16">
        <v>12.92</v>
      </c>
      <c r="H46" s="18">
        <f t="shared" si="0"/>
        <v>12.348931478000001</v>
      </c>
      <c r="I46" s="18">
        <f t="shared" si="1"/>
        <v>15.667089366138601</v>
      </c>
      <c r="J46" s="91">
        <f t="shared" si="4"/>
        <v>4869.331374995877</v>
      </c>
      <c r="L46" s="19">
        <v>0.26869999999999999</v>
      </c>
      <c r="M46" s="19">
        <v>4.4200349999999999E-2</v>
      </c>
    </row>
    <row r="47" spans="1:13" ht="15.75" customHeight="1">
      <c r="A47" s="14" t="s">
        <v>109</v>
      </c>
      <c r="B47" s="14" t="s">
        <v>110</v>
      </c>
      <c r="C47" s="14" t="s">
        <v>17</v>
      </c>
      <c r="D47" s="14" t="s">
        <v>111</v>
      </c>
      <c r="E47" s="15" t="s">
        <v>44</v>
      </c>
      <c r="F47" s="16">
        <v>14.2</v>
      </c>
      <c r="G47" s="17">
        <v>705.68</v>
      </c>
      <c r="H47" s="18">
        <f t="shared" si="0"/>
        <v>674.48869701199999</v>
      </c>
      <c r="I47" s="18">
        <f t="shared" si="1"/>
        <v>855.72380989912438</v>
      </c>
      <c r="J47" s="91">
        <f t="shared" si="4"/>
        <v>12151.278100567566</v>
      </c>
      <c r="L47" s="19">
        <v>0.26869999999999999</v>
      </c>
      <c r="M47" s="19">
        <v>4.4200349999999999E-2</v>
      </c>
    </row>
    <row r="48" spans="1:13" ht="15.75" customHeight="1">
      <c r="A48" s="14" t="s">
        <v>112</v>
      </c>
      <c r="B48" s="14" t="s">
        <v>96</v>
      </c>
      <c r="C48" s="14" t="s">
        <v>17</v>
      </c>
      <c r="D48" s="14" t="s">
        <v>97</v>
      </c>
      <c r="E48" s="15" t="s">
        <v>44</v>
      </c>
      <c r="F48" s="16">
        <v>14.2</v>
      </c>
      <c r="G48" s="17">
        <v>102.92</v>
      </c>
      <c r="H48" s="18">
        <f t="shared" si="0"/>
        <v>98.370899977999997</v>
      </c>
      <c r="I48" s="18">
        <f t="shared" si="1"/>
        <v>124.8031608020886</v>
      </c>
      <c r="J48" s="91">
        <f t="shared" si="4"/>
        <v>1772.2048833896581</v>
      </c>
      <c r="L48" s="19">
        <v>0.26869999999999999</v>
      </c>
      <c r="M48" s="19">
        <v>4.4200349999999999E-2</v>
      </c>
    </row>
    <row r="49" spans="1:13" ht="15.75" customHeight="1">
      <c r="A49" s="14" t="s">
        <v>113</v>
      </c>
      <c r="B49" s="14"/>
      <c r="C49" s="14"/>
      <c r="D49" s="14" t="s">
        <v>114</v>
      </c>
      <c r="E49" s="12"/>
      <c r="F49" s="12"/>
      <c r="G49" s="12"/>
      <c r="H49" s="12"/>
      <c r="I49" s="12"/>
      <c r="J49" s="24">
        <f>SUM(J50:J58)</f>
        <v>74998.366496689618</v>
      </c>
      <c r="L49" s="25"/>
      <c r="M49" s="19">
        <v>4.4200349999999999E-2</v>
      </c>
    </row>
    <row r="50" spans="1:13" ht="15.75" customHeight="1">
      <c r="A50" s="14" t="s">
        <v>115</v>
      </c>
      <c r="B50" s="14">
        <v>92460</v>
      </c>
      <c r="C50" s="14" t="s">
        <v>32</v>
      </c>
      <c r="D50" s="14" t="s">
        <v>116</v>
      </c>
      <c r="E50" s="27" t="s">
        <v>23</v>
      </c>
      <c r="F50" s="16">
        <v>205.1</v>
      </c>
      <c r="G50" s="16">
        <v>112.94</v>
      </c>
      <c r="H50" s="18">
        <f t="shared" si="0"/>
        <v>107.948012471</v>
      </c>
      <c r="I50" s="18">
        <f t="shared" si="1"/>
        <v>136.95364342195771</v>
      </c>
      <c r="J50" s="91">
        <f t="shared" si="4"/>
        <v>28089.192265843525</v>
      </c>
      <c r="L50" s="19">
        <v>0.26869999999999999</v>
      </c>
      <c r="M50" s="19">
        <v>4.4200349999999999E-2</v>
      </c>
    </row>
    <row r="51" spans="1:13" ht="31.5" customHeight="1">
      <c r="A51" s="14" t="s">
        <v>117</v>
      </c>
      <c r="B51" s="14">
        <v>92760</v>
      </c>
      <c r="C51" s="14" t="s">
        <v>32</v>
      </c>
      <c r="D51" s="14" t="s">
        <v>118</v>
      </c>
      <c r="E51" s="27" t="s">
        <v>76</v>
      </c>
      <c r="F51" s="16">
        <v>54.6</v>
      </c>
      <c r="G51" s="16">
        <v>12</v>
      </c>
      <c r="H51" s="18">
        <f t="shared" si="0"/>
        <v>11.4695958</v>
      </c>
      <c r="I51" s="18">
        <f t="shared" si="1"/>
        <v>14.551476191460001</v>
      </c>
      <c r="J51" s="91">
        <f t="shared" si="4"/>
        <v>794.51060005371608</v>
      </c>
      <c r="L51" s="19">
        <v>0.26869999999999999</v>
      </c>
      <c r="M51" s="19">
        <v>4.4200349999999999E-2</v>
      </c>
    </row>
    <row r="52" spans="1:13" ht="15.75" customHeight="1">
      <c r="A52" s="14" t="s">
        <v>119</v>
      </c>
      <c r="B52" s="14">
        <v>92761</v>
      </c>
      <c r="C52" s="14" t="s">
        <v>32</v>
      </c>
      <c r="D52" s="14" t="s">
        <v>106</v>
      </c>
      <c r="E52" s="27" t="s">
        <v>76</v>
      </c>
      <c r="F52" s="16">
        <v>296.7</v>
      </c>
      <c r="G52" s="16">
        <v>11.15</v>
      </c>
      <c r="H52" s="18">
        <f t="shared" si="0"/>
        <v>10.657166097500001</v>
      </c>
      <c r="I52" s="18">
        <f t="shared" si="1"/>
        <v>13.520746627898252</v>
      </c>
      <c r="J52" s="91">
        <f t="shared" si="4"/>
        <v>4011.6055244974109</v>
      </c>
      <c r="L52" s="19">
        <v>0.26869999999999999</v>
      </c>
      <c r="M52" s="19">
        <v>4.4200349999999999E-2</v>
      </c>
    </row>
    <row r="53" spans="1:13" ht="15.75" customHeight="1">
      <c r="A53" s="14" t="s">
        <v>120</v>
      </c>
      <c r="B53" s="14">
        <v>92762</v>
      </c>
      <c r="C53" s="14" t="s">
        <v>32</v>
      </c>
      <c r="D53" s="14" t="s">
        <v>106</v>
      </c>
      <c r="E53" s="27" t="s">
        <v>76</v>
      </c>
      <c r="F53" s="16">
        <v>370</v>
      </c>
      <c r="G53" s="16">
        <v>9.89</v>
      </c>
      <c r="H53" s="18">
        <f t="shared" si="0"/>
        <v>9.452858538500001</v>
      </c>
      <c r="I53" s="18">
        <f t="shared" si="1"/>
        <v>11.992841627794952</v>
      </c>
      <c r="J53" s="91">
        <f t="shared" si="4"/>
        <v>4437.3514022841327</v>
      </c>
      <c r="L53" s="19">
        <v>0.26869999999999999</v>
      </c>
      <c r="M53" s="19">
        <v>4.4200349999999999E-2</v>
      </c>
    </row>
    <row r="54" spans="1:13" ht="15.75" customHeight="1">
      <c r="A54" s="14" t="s">
        <v>121</v>
      </c>
      <c r="B54" s="14">
        <v>92763</v>
      </c>
      <c r="C54" s="14" t="s">
        <v>32</v>
      </c>
      <c r="D54" s="14" t="s">
        <v>106</v>
      </c>
      <c r="E54" s="27" t="s">
        <v>76</v>
      </c>
      <c r="F54" s="16">
        <v>545.5</v>
      </c>
      <c r="G54" s="16">
        <v>8.2899999999999991</v>
      </c>
      <c r="H54" s="18">
        <f t="shared" si="0"/>
        <v>7.9235790984999994</v>
      </c>
      <c r="I54" s="18">
        <f t="shared" si="1"/>
        <v>10.052644802266949</v>
      </c>
      <c r="J54" s="91">
        <f t="shared" si="4"/>
        <v>5483.7177396366205</v>
      </c>
      <c r="L54" s="19">
        <v>0.26869999999999999</v>
      </c>
      <c r="M54" s="19">
        <v>4.4200349999999999E-2</v>
      </c>
    </row>
    <row r="55" spans="1:13" ht="15.75" customHeight="1">
      <c r="A55" s="14" t="s">
        <v>122</v>
      </c>
      <c r="B55" s="14">
        <v>92764</v>
      </c>
      <c r="C55" s="14" t="s">
        <v>32</v>
      </c>
      <c r="D55" s="14" t="s">
        <v>106</v>
      </c>
      <c r="E55" s="27" t="s">
        <v>76</v>
      </c>
      <c r="F55" s="16">
        <v>467.8</v>
      </c>
      <c r="G55" s="16">
        <v>7.99</v>
      </c>
      <c r="H55" s="18">
        <f t="shared" si="0"/>
        <v>7.6368392035000001</v>
      </c>
      <c r="I55" s="18">
        <f t="shared" si="1"/>
        <v>9.6888578974804496</v>
      </c>
      <c r="J55" s="91">
        <f t="shared" si="4"/>
        <v>4532.4477244413547</v>
      </c>
      <c r="L55" s="19">
        <v>0.26869999999999999</v>
      </c>
      <c r="M55" s="19">
        <v>4.4200349999999999E-2</v>
      </c>
    </row>
    <row r="56" spans="1:13" ht="15.75" customHeight="1">
      <c r="A56" s="14" t="s">
        <v>123</v>
      </c>
      <c r="B56" s="14">
        <v>92759</v>
      </c>
      <c r="C56" s="14" t="s">
        <v>32</v>
      </c>
      <c r="D56" s="14" t="s">
        <v>108</v>
      </c>
      <c r="E56" s="27" t="s">
        <v>76</v>
      </c>
      <c r="F56" s="16">
        <v>311.8</v>
      </c>
      <c r="G56" s="16">
        <v>12.92</v>
      </c>
      <c r="H56" s="18">
        <f t="shared" si="0"/>
        <v>12.348931478000001</v>
      </c>
      <c r="I56" s="18">
        <f t="shared" si="1"/>
        <v>15.667089366138601</v>
      </c>
      <c r="J56" s="91">
        <f t="shared" si="4"/>
        <v>4884.9984643620164</v>
      </c>
      <c r="L56" s="19">
        <v>0.26869999999999999</v>
      </c>
      <c r="M56" s="19">
        <v>4.4200349999999999E-2</v>
      </c>
    </row>
    <row r="57" spans="1:13" ht="15.75" customHeight="1">
      <c r="A57" s="14" t="s">
        <v>124</v>
      </c>
      <c r="B57" s="14" t="s">
        <v>125</v>
      </c>
      <c r="C57" s="14" t="s">
        <v>17</v>
      </c>
      <c r="D57" s="14" t="s">
        <v>126</v>
      </c>
      <c r="E57" s="15" t="s">
        <v>44</v>
      </c>
      <c r="F57" s="16">
        <v>23.2</v>
      </c>
      <c r="G57" s="17">
        <v>706.26</v>
      </c>
      <c r="H57" s="18">
        <f t="shared" si="0"/>
        <v>675.04306080899994</v>
      </c>
      <c r="I57" s="18">
        <f t="shared" si="1"/>
        <v>856.42713124837826</v>
      </c>
      <c r="J57" s="91">
        <f t="shared" si="4"/>
        <v>19869.109444962374</v>
      </c>
      <c r="L57" s="19">
        <v>0.26869999999999999</v>
      </c>
      <c r="M57" s="19">
        <v>4.4200349999999999E-2</v>
      </c>
    </row>
    <row r="58" spans="1:13" ht="15.75" customHeight="1">
      <c r="A58" s="14" t="s">
        <v>127</v>
      </c>
      <c r="B58" s="14" t="s">
        <v>96</v>
      </c>
      <c r="C58" s="14" t="s">
        <v>17</v>
      </c>
      <c r="D58" s="14" t="s">
        <v>97</v>
      </c>
      <c r="E58" s="15" t="s">
        <v>44</v>
      </c>
      <c r="F58" s="16">
        <v>23.2</v>
      </c>
      <c r="G58" s="17">
        <v>102.92</v>
      </c>
      <c r="H58" s="18">
        <f t="shared" si="0"/>
        <v>98.370899977999997</v>
      </c>
      <c r="I58" s="18">
        <f t="shared" si="1"/>
        <v>124.8031608020886</v>
      </c>
      <c r="J58" s="91">
        <f t="shared" si="4"/>
        <v>2895.4333306084554</v>
      </c>
      <c r="L58" s="19">
        <v>0.26869999999999999</v>
      </c>
      <c r="M58" s="19">
        <v>4.4200349999999999E-2</v>
      </c>
    </row>
    <row r="59" spans="1:13" ht="15.75" customHeight="1">
      <c r="A59" s="11" t="s">
        <v>128</v>
      </c>
      <c r="B59" s="12"/>
      <c r="C59" s="12"/>
      <c r="D59" s="11" t="s">
        <v>129</v>
      </c>
      <c r="E59" s="12"/>
      <c r="F59" s="12"/>
      <c r="G59" s="12"/>
      <c r="H59" s="12"/>
      <c r="I59" s="12"/>
      <c r="J59" s="24">
        <f>SUM(J60:J69)</f>
        <v>177753.37188545818</v>
      </c>
      <c r="L59" s="25"/>
      <c r="M59" s="19">
        <v>4.4200349999999999E-2</v>
      </c>
    </row>
    <row r="60" spans="1:13" ht="15.75" customHeight="1">
      <c r="A60" s="14" t="s">
        <v>130</v>
      </c>
      <c r="B60" s="14">
        <v>92768</v>
      </c>
      <c r="C60" s="14" t="s">
        <v>32</v>
      </c>
      <c r="D60" s="14" t="s">
        <v>131</v>
      </c>
      <c r="E60" s="27" t="s">
        <v>76</v>
      </c>
      <c r="F60" s="16">
        <v>429.2</v>
      </c>
      <c r="G60" s="16">
        <v>12.42</v>
      </c>
      <c r="H60" s="18">
        <f t="shared" si="0"/>
        <v>11.871031652999999</v>
      </c>
      <c r="I60" s="18">
        <f t="shared" si="1"/>
        <v>15.060777858161099</v>
      </c>
      <c r="J60" s="91">
        <f t="shared" si="4"/>
        <v>6464.0858567227433</v>
      </c>
      <c r="L60" s="19">
        <v>0.26869999999999999</v>
      </c>
      <c r="M60" s="19">
        <v>4.4200349999999999E-2</v>
      </c>
    </row>
    <row r="61" spans="1:13" ht="15.75" customHeight="1">
      <c r="A61" s="14" t="s">
        <v>132</v>
      </c>
      <c r="B61" s="14">
        <v>92769</v>
      </c>
      <c r="C61" s="14" t="s">
        <v>32</v>
      </c>
      <c r="D61" s="14" t="s">
        <v>133</v>
      </c>
      <c r="E61" s="27" t="s">
        <v>76</v>
      </c>
      <c r="F61" s="16">
        <v>128.4</v>
      </c>
      <c r="G61" s="16">
        <v>11.5</v>
      </c>
      <c r="H61" s="18">
        <f t="shared" si="0"/>
        <v>10.991695975000001</v>
      </c>
      <c r="I61" s="18">
        <f t="shared" si="1"/>
        <v>13.945164683482501</v>
      </c>
      <c r="J61" s="91">
        <f t="shared" si="4"/>
        <v>1790.5591453591533</v>
      </c>
      <c r="L61" s="19">
        <v>0.26869999999999999</v>
      </c>
      <c r="M61" s="19">
        <v>4.4200349999999999E-2</v>
      </c>
    </row>
    <row r="62" spans="1:13" ht="15.75" customHeight="1">
      <c r="A62" s="14" t="s">
        <v>134</v>
      </c>
      <c r="B62" s="14">
        <v>92770</v>
      </c>
      <c r="C62" s="14" t="s">
        <v>32</v>
      </c>
      <c r="D62" s="14" t="s">
        <v>135</v>
      </c>
      <c r="E62" s="27" t="s">
        <v>76</v>
      </c>
      <c r="F62" s="16">
        <v>70.099999999999994</v>
      </c>
      <c r="G62" s="16">
        <v>10.67</v>
      </c>
      <c r="H62" s="18">
        <f t="shared" si="0"/>
        <v>10.198382265499999</v>
      </c>
      <c r="I62" s="18">
        <f t="shared" si="1"/>
        <v>12.938687580239849</v>
      </c>
      <c r="J62" s="91">
        <f t="shared" si="4"/>
        <v>907.00199937481329</v>
      </c>
      <c r="L62" s="19">
        <v>0.26869999999999999</v>
      </c>
      <c r="M62" s="19">
        <v>4.4200349999999999E-2</v>
      </c>
    </row>
    <row r="63" spans="1:13" ht="15.75" customHeight="1">
      <c r="A63" s="14" t="s">
        <v>136</v>
      </c>
      <c r="B63" s="14">
        <v>92771</v>
      </c>
      <c r="C63" s="14" t="s">
        <v>32</v>
      </c>
      <c r="D63" s="14" t="s">
        <v>137</v>
      </c>
      <c r="E63" s="27" t="s">
        <v>76</v>
      </c>
      <c r="F63" s="16">
        <v>126</v>
      </c>
      <c r="G63" s="16">
        <v>9.4499999999999993</v>
      </c>
      <c r="H63" s="18">
        <f t="shared" si="0"/>
        <v>9.0323066924999988</v>
      </c>
      <c r="I63" s="18">
        <f t="shared" si="1"/>
        <v>11.459287500774749</v>
      </c>
      <c r="J63" s="91">
        <f t="shared" si="4"/>
        <v>1443.8702250976185</v>
      </c>
      <c r="L63" s="19">
        <v>0.26869999999999999</v>
      </c>
      <c r="M63" s="19">
        <v>4.4200349999999999E-2</v>
      </c>
    </row>
    <row r="64" spans="1:13" ht="15.75" customHeight="1">
      <c r="A64" s="14" t="s">
        <v>138</v>
      </c>
      <c r="B64" s="14">
        <v>92772</v>
      </c>
      <c r="C64" s="14" t="s">
        <v>32</v>
      </c>
      <c r="D64" s="14" t="s">
        <v>139</v>
      </c>
      <c r="E64" s="27" t="s">
        <v>76</v>
      </c>
      <c r="F64" s="16">
        <v>252.4</v>
      </c>
      <c r="G64" s="16">
        <v>7.9</v>
      </c>
      <c r="H64" s="18">
        <f t="shared" si="0"/>
        <v>7.5508172350000002</v>
      </c>
      <c r="I64" s="18">
        <f t="shared" si="1"/>
        <v>9.5797218260444996</v>
      </c>
      <c r="J64" s="91">
        <f t="shared" si="4"/>
        <v>2417.9217888936319</v>
      </c>
      <c r="L64" s="19">
        <v>0.26869999999999999</v>
      </c>
      <c r="M64" s="19">
        <v>4.4200349999999999E-2</v>
      </c>
    </row>
    <row r="65" spans="1:13" ht="15.75" customHeight="1">
      <c r="A65" s="14" t="s">
        <v>140</v>
      </c>
      <c r="B65" s="14" t="s">
        <v>125</v>
      </c>
      <c r="C65" s="14" t="s">
        <v>17</v>
      </c>
      <c r="D65" s="14" t="s">
        <v>126</v>
      </c>
      <c r="E65" s="15" t="s">
        <v>44</v>
      </c>
      <c r="F65" s="16">
        <v>34.700000000000003</v>
      </c>
      <c r="G65" s="17">
        <v>706.26</v>
      </c>
      <c r="H65" s="18">
        <f t="shared" si="0"/>
        <v>675.04306080899994</v>
      </c>
      <c r="I65" s="18">
        <f t="shared" si="1"/>
        <v>856.42713124837826</v>
      </c>
      <c r="J65" s="91">
        <f t="shared" si="4"/>
        <v>29718.021454318729</v>
      </c>
      <c r="L65" s="19">
        <v>0.26869999999999999</v>
      </c>
      <c r="M65" s="19">
        <v>4.4200349999999999E-2</v>
      </c>
    </row>
    <row r="66" spans="1:13" ht="15.75" customHeight="1">
      <c r="A66" s="14" t="s">
        <v>141</v>
      </c>
      <c r="B66" s="14" t="s">
        <v>96</v>
      </c>
      <c r="C66" s="14" t="s">
        <v>17</v>
      </c>
      <c r="D66" s="14" t="s">
        <v>97</v>
      </c>
      <c r="E66" s="15" t="s">
        <v>44</v>
      </c>
      <c r="F66" s="16">
        <v>34.700000000000003</v>
      </c>
      <c r="G66" s="17">
        <v>102.92</v>
      </c>
      <c r="H66" s="18">
        <f t="shared" si="0"/>
        <v>98.370899977999997</v>
      </c>
      <c r="I66" s="18">
        <f t="shared" si="1"/>
        <v>124.8031608020886</v>
      </c>
      <c r="J66" s="91">
        <f t="shared" si="4"/>
        <v>4330.6696798324747</v>
      </c>
      <c r="L66" s="19">
        <v>0.26869999999999999</v>
      </c>
      <c r="M66" s="19">
        <v>4.4200349999999999E-2</v>
      </c>
    </row>
    <row r="67" spans="1:13" ht="15.75" customHeight="1">
      <c r="A67" s="14" t="s">
        <v>142</v>
      </c>
      <c r="B67" s="14" t="s">
        <v>143</v>
      </c>
      <c r="C67" s="14" t="s">
        <v>17</v>
      </c>
      <c r="D67" s="14" t="s">
        <v>144</v>
      </c>
      <c r="E67" s="15" t="s">
        <v>23</v>
      </c>
      <c r="F67" s="16">
        <v>539.41</v>
      </c>
      <c r="G67" s="17">
        <v>115.9</v>
      </c>
      <c r="H67" s="18">
        <f t="shared" si="0"/>
        <v>110.77717943500001</v>
      </c>
      <c r="I67" s="18">
        <f t="shared" si="1"/>
        <v>140.54300754918449</v>
      </c>
      <c r="J67" s="91">
        <f t="shared" si="4"/>
        <v>75810.303702105608</v>
      </c>
      <c r="L67" s="19">
        <v>0.26869999999999999</v>
      </c>
      <c r="M67" s="19">
        <v>4.4200349999999999E-2</v>
      </c>
    </row>
    <row r="68" spans="1:13" ht="15.75" customHeight="1">
      <c r="A68" s="14" t="s">
        <v>145</v>
      </c>
      <c r="B68" s="14" t="s">
        <v>146</v>
      </c>
      <c r="C68" s="14" t="s">
        <v>17</v>
      </c>
      <c r="D68" s="14" t="s">
        <v>147</v>
      </c>
      <c r="E68" s="15" t="s">
        <v>23</v>
      </c>
      <c r="F68" s="16">
        <v>631.11</v>
      </c>
      <c r="G68" s="17">
        <v>15.02</v>
      </c>
      <c r="H68" s="18">
        <f t="shared" si="0"/>
        <v>14.356110743</v>
      </c>
      <c r="I68" s="18">
        <f t="shared" si="1"/>
        <v>18.213597699644101</v>
      </c>
      <c r="J68" s="91">
        <f t="shared" si="4"/>
        <v>11494.783644222389</v>
      </c>
      <c r="L68" s="19">
        <v>0.26869999999999999</v>
      </c>
      <c r="M68" s="19">
        <v>4.4200349999999999E-2</v>
      </c>
    </row>
    <row r="69" spans="1:13" ht="15.75" customHeight="1">
      <c r="A69" s="14">
        <v>40240</v>
      </c>
      <c r="B69" s="14">
        <v>101792</v>
      </c>
      <c r="C69" s="14" t="s">
        <v>32</v>
      </c>
      <c r="D69" s="14" t="s">
        <v>148</v>
      </c>
      <c r="E69" s="27" t="s">
        <v>44</v>
      </c>
      <c r="F69" s="21">
        <v>1914.91</v>
      </c>
      <c r="G69" s="16">
        <v>18.68</v>
      </c>
      <c r="H69" s="18">
        <f t="shared" si="0"/>
        <v>17.854337462</v>
      </c>
      <c r="I69" s="18">
        <f t="shared" si="1"/>
        <v>22.651797938039401</v>
      </c>
      <c r="J69" s="91">
        <f t="shared" si="4"/>
        <v>43376.154389531031</v>
      </c>
      <c r="L69" s="19">
        <v>0.26869999999999999</v>
      </c>
      <c r="M69" s="19">
        <v>4.4200349999999999E-2</v>
      </c>
    </row>
    <row r="70" spans="1:13" ht="15.75" customHeight="1">
      <c r="A70" s="11" t="s">
        <v>149</v>
      </c>
      <c r="B70" s="12"/>
      <c r="C70" s="12"/>
      <c r="D70" s="11" t="s">
        <v>150</v>
      </c>
      <c r="E70" s="12"/>
      <c r="F70" s="12"/>
      <c r="G70" s="12"/>
      <c r="H70" s="12"/>
      <c r="I70" s="12"/>
      <c r="J70" s="24">
        <f>J71</f>
        <v>1932.3905648627897</v>
      </c>
      <c r="L70" s="25"/>
      <c r="M70" s="19">
        <v>4.4200349999999999E-2</v>
      </c>
    </row>
    <row r="71" spans="1:13" ht="15.75" customHeight="1">
      <c r="A71" s="14" t="s">
        <v>151</v>
      </c>
      <c r="B71" s="26">
        <v>97103</v>
      </c>
      <c r="C71" s="14" t="s">
        <v>32</v>
      </c>
      <c r="D71" s="14" t="s">
        <v>152</v>
      </c>
      <c r="E71" s="27" t="s">
        <v>23</v>
      </c>
      <c r="F71" s="16">
        <v>6.25</v>
      </c>
      <c r="G71" s="16">
        <v>254.97</v>
      </c>
      <c r="H71" s="18">
        <f t="shared" si="0"/>
        <v>243.70023676049999</v>
      </c>
      <c r="I71" s="18">
        <f t="shared" si="1"/>
        <v>309.18249037804634</v>
      </c>
      <c r="J71" s="91">
        <f>I71*F71</f>
        <v>1932.3905648627897</v>
      </c>
      <c r="L71" s="19">
        <v>0.26869999999999999</v>
      </c>
      <c r="M71" s="19">
        <v>4.4200349999999999E-2</v>
      </c>
    </row>
    <row r="72" spans="1:13" ht="32.25" customHeight="1">
      <c r="A72" s="28">
        <v>4</v>
      </c>
      <c r="B72" s="29"/>
      <c r="C72" s="29"/>
      <c r="D72" s="30" t="s">
        <v>153</v>
      </c>
      <c r="E72" s="29"/>
      <c r="F72" s="29"/>
      <c r="G72" s="29"/>
      <c r="H72" s="29"/>
      <c r="I72" s="29"/>
      <c r="J72" s="31">
        <f>J73+J79+J85</f>
        <v>195823.08567988186</v>
      </c>
      <c r="L72" s="25"/>
      <c r="M72" s="19">
        <v>4.4200349999999999E-2</v>
      </c>
    </row>
    <row r="73" spans="1:13" ht="15.75" customHeight="1">
      <c r="A73" s="11" t="s">
        <v>154</v>
      </c>
      <c r="B73" s="12"/>
      <c r="C73" s="12"/>
      <c r="D73" s="11" t="s">
        <v>155</v>
      </c>
      <c r="E73" s="12"/>
      <c r="F73" s="12"/>
      <c r="G73" s="12"/>
      <c r="H73" s="12"/>
      <c r="I73" s="12"/>
      <c r="J73" s="24">
        <f>SUM(J74:J78)</f>
        <v>123354.72456628672</v>
      </c>
      <c r="L73" s="25"/>
      <c r="M73" s="19">
        <v>4.4200349999999999E-2</v>
      </c>
    </row>
    <row r="74" spans="1:13" ht="15.75" customHeight="1">
      <c r="A74" s="14" t="s">
        <v>156</v>
      </c>
      <c r="B74" s="26">
        <v>103324</v>
      </c>
      <c r="C74" s="14" t="s">
        <v>32</v>
      </c>
      <c r="D74" s="14" t="s">
        <v>157</v>
      </c>
      <c r="E74" s="27" t="s">
        <v>23</v>
      </c>
      <c r="F74" s="16">
        <v>888.77</v>
      </c>
      <c r="G74" s="16">
        <v>78.180000000000007</v>
      </c>
      <c r="H74" s="18">
        <f t="shared" ref="H74:H134" si="5">G74-(G74*M74)</f>
        <v>74.724416637000004</v>
      </c>
      <c r="I74" s="18">
        <f t="shared" ref="I74:I134" si="6">H74+(H74*L74)</f>
        <v>94.802867387361914</v>
      </c>
      <c r="J74" s="91">
        <f>I74*F74</f>
        <v>84257.944447865651</v>
      </c>
      <c r="L74" s="19">
        <v>0.26869999999999999</v>
      </c>
      <c r="M74" s="19">
        <v>4.4200349999999999E-2</v>
      </c>
    </row>
    <row r="75" spans="1:13" ht="15.75" customHeight="1">
      <c r="A75" s="14" t="s">
        <v>158</v>
      </c>
      <c r="B75" s="14" t="s">
        <v>159</v>
      </c>
      <c r="C75" s="14" t="s">
        <v>17</v>
      </c>
      <c r="D75" s="14" t="s">
        <v>160</v>
      </c>
      <c r="E75" s="15" t="s">
        <v>23</v>
      </c>
      <c r="F75" s="16">
        <v>76.23</v>
      </c>
      <c r="G75" s="17">
        <v>222.63</v>
      </c>
      <c r="H75" s="18">
        <f t="shared" si="5"/>
        <v>212.7896760795</v>
      </c>
      <c r="I75" s="18">
        <f t="shared" si="6"/>
        <v>269.96626204206166</v>
      </c>
      <c r="J75" s="91">
        <f t="shared" ref="J75:J84" si="7">I75*F75</f>
        <v>20579.52815546636</v>
      </c>
      <c r="L75" s="19">
        <v>0.26869999999999999</v>
      </c>
      <c r="M75" s="19">
        <v>4.4200349999999999E-2</v>
      </c>
    </row>
    <row r="76" spans="1:13" ht="15.75" customHeight="1">
      <c r="A76" s="14" t="s">
        <v>161</v>
      </c>
      <c r="B76" s="26">
        <v>93191</v>
      </c>
      <c r="C76" s="14" t="s">
        <v>32</v>
      </c>
      <c r="D76" s="14" t="s">
        <v>162</v>
      </c>
      <c r="E76" s="27" t="s">
        <v>65</v>
      </c>
      <c r="F76" s="16">
        <v>114.15</v>
      </c>
      <c r="G76" s="16">
        <v>71.489999999999995</v>
      </c>
      <c r="H76" s="18">
        <f t="shared" si="5"/>
        <v>68.330116978500001</v>
      </c>
      <c r="I76" s="18">
        <f t="shared" si="6"/>
        <v>86.690419410622951</v>
      </c>
      <c r="J76" s="91">
        <f t="shared" si="7"/>
        <v>9895.7113757226107</v>
      </c>
      <c r="L76" s="19">
        <v>0.26869999999999999</v>
      </c>
      <c r="M76" s="19">
        <v>4.4200349999999999E-2</v>
      </c>
    </row>
    <row r="77" spans="1:13" ht="15.75" customHeight="1">
      <c r="A77" s="14" t="s">
        <v>163</v>
      </c>
      <c r="B77" s="26">
        <v>93199</v>
      </c>
      <c r="C77" s="14" t="s">
        <v>32</v>
      </c>
      <c r="D77" s="14" t="s">
        <v>164</v>
      </c>
      <c r="E77" s="27" t="s">
        <v>65</v>
      </c>
      <c r="F77" s="16">
        <v>48.8</v>
      </c>
      <c r="G77" s="16">
        <v>49.81</v>
      </c>
      <c r="H77" s="18">
        <f t="shared" si="5"/>
        <v>47.608380566500003</v>
      </c>
      <c r="I77" s="18">
        <f t="shared" si="6"/>
        <v>60.400752424718554</v>
      </c>
      <c r="J77" s="91">
        <f t="shared" si="7"/>
        <v>2947.5567183262651</v>
      </c>
      <c r="L77" s="19">
        <v>0.26869999999999999</v>
      </c>
      <c r="M77" s="19">
        <v>4.4200349999999999E-2</v>
      </c>
    </row>
    <row r="78" spans="1:13" ht="15.75" customHeight="1">
      <c r="A78" s="14" t="s">
        <v>165</v>
      </c>
      <c r="B78" s="26">
        <v>93200</v>
      </c>
      <c r="C78" s="14" t="s">
        <v>32</v>
      </c>
      <c r="D78" s="14" t="s">
        <v>166</v>
      </c>
      <c r="E78" s="27" t="s">
        <v>65</v>
      </c>
      <c r="F78" s="16">
        <v>416.29</v>
      </c>
      <c r="G78" s="16">
        <v>11.24</v>
      </c>
      <c r="H78" s="18">
        <f t="shared" si="5"/>
        <v>10.743188066</v>
      </c>
      <c r="I78" s="18">
        <f t="shared" si="6"/>
        <v>13.6298826993342</v>
      </c>
      <c r="J78" s="91">
        <f t="shared" si="7"/>
        <v>5673.9838689058342</v>
      </c>
      <c r="L78" s="19">
        <v>0.26869999999999999</v>
      </c>
      <c r="M78" s="19">
        <v>4.4200349999999999E-2</v>
      </c>
    </row>
    <row r="79" spans="1:13" ht="15.75" customHeight="1">
      <c r="A79" s="11" t="s">
        <v>167</v>
      </c>
      <c r="B79" s="12"/>
      <c r="C79" s="12"/>
      <c r="D79" s="11" t="s">
        <v>168</v>
      </c>
      <c r="E79" s="12"/>
      <c r="F79" s="12"/>
      <c r="G79" s="12"/>
      <c r="H79" s="12"/>
      <c r="I79" s="12"/>
      <c r="J79" s="24">
        <f>SUM(J80:J84)</f>
        <v>56926.56723320311</v>
      </c>
      <c r="L79" s="25"/>
      <c r="M79" s="19">
        <v>4.4200349999999999E-2</v>
      </c>
    </row>
    <row r="80" spans="1:13" ht="15.75" customHeight="1">
      <c r="A80" s="14" t="s">
        <v>169</v>
      </c>
      <c r="B80" s="14" t="s">
        <v>170</v>
      </c>
      <c r="C80" s="14" t="s">
        <v>17</v>
      </c>
      <c r="D80" s="14" t="s">
        <v>171</v>
      </c>
      <c r="E80" s="15" t="s">
        <v>23</v>
      </c>
      <c r="F80" s="16">
        <v>107.07</v>
      </c>
      <c r="G80" s="17">
        <v>113.39</v>
      </c>
      <c r="H80" s="18">
        <f t="shared" si="5"/>
        <v>108.3781223135</v>
      </c>
      <c r="I80" s="18">
        <f t="shared" si="6"/>
        <v>137.49932377913746</v>
      </c>
      <c r="J80" s="91">
        <f t="shared" si="7"/>
        <v>14722.052597032247</v>
      </c>
      <c r="L80" s="19">
        <v>0.26869999999999999</v>
      </c>
      <c r="M80" s="19">
        <v>4.4200349999999999E-2</v>
      </c>
    </row>
    <row r="81" spans="1:13" ht="15.75" customHeight="1">
      <c r="A81" s="14" t="s">
        <v>172</v>
      </c>
      <c r="B81" s="14" t="s">
        <v>173</v>
      </c>
      <c r="C81" s="14" t="s">
        <v>17</v>
      </c>
      <c r="D81" s="14" t="s">
        <v>174</v>
      </c>
      <c r="E81" s="15" t="s">
        <v>23</v>
      </c>
      <c r="F81" s="16">
        <v>91.66</v>
      </c>
      <c r="G81" s="17">
        <v>183.49</v>
      </c>
      <c r="H81" s="18">
        <f t="shared" si="5"/>
        <v>175.3796777785</v>
      </c>
      <c r="I81" s="18">
        <f t="shared" si="6"/>
        <v>222.50419719758295</v>
      </c>
      <c r="J81" s="91">
        <f t="shared" si="7"/>
        <v>20394.734715130453</v>
      </c>
      <c r="L81" s="19">
        <v>0.26869999999999999</v>
      </c>
      <c r="M81" s="19">
        <v>4.4200349999999999E-2</v>
      </c>
    </row>
    <row r="82" spans="1:13" ht="15.75" customHeight="1">
      <c r="A82" s="14" t="s">
        <v>175</v>
      </c>
      <c r="B82" s="14" t="s">
        <v>176</v>
      </c>
      <c r="C82" s="14" t="s">
        <v>17</v>
      </c>
      <c r="D82" s="14" t="s">
        <v>174</v>
      </c>
      <c r="E82" s="15" t="s">
        <v>23</v>
      </c>
      <c r="F82" s="16">
        <v>10.56</v>
      </c>
      <c r="G82" s="17">
        <v>285.27</v>
      </c>
      <c r="H82" s="18">
        <f t="shared" si="5"/>
        <v>272.66096615549998</v>
      </c>
      <c r="I82" s="18">
        <f t="shared" si="6"/>
        <v>345.92496776148283</v>
      </c>
      <c r="J82" s="91">
        <f t="shared" si="7"/>
        <v>3652.9676595612591</v>
      </c>
      <c r="L82" s="19">
        <v>0.26869999999999999</v>
      </c>
      <c r="M82" s="19">
        <v>4.4200349999999999E-2</v>
      </c>
    </row>
    <row r="83" spans="1:13" ht="15.75" customHeight="1">
      <c r="A83" s="14" t="s">
        <v>177</v>
      </c>
      <c r="B83" s="14" t="s">
        <v>178</v>
      </c>
      <c r="C83" s="14" t="s">
        <v>17</v>
      </c>
      <c r="D83" s="14" t="s">
        <v>179</v>
      </c>
      <c r="E83" s="15" t="s">
        <v>23</v>
      </c>
      <c r="F83" s="16">
        <v>50.5</v>
      </c>
      <c r="G83" s="17">
        <v>257.05</v>
      </c>
      <c r="H83" s="18">
        <f t="shared" si="5"/>
        <v>245.68830003250002</v>
      </c>
      <c r="I83" s="18">
        <f t="shared" si="6"/>
        <v>311.70474625123279</v>
      </c>
      <c r="J83" s="91">
        <f t="shared" si="7"/>
        <v>15741.089685687257</v>
      </c>
      <c r="L83" s="19">
        <v>0.26869999999999999</v>
      </c>
      <c r="M83" s="19">
        <v>4.4200349999999999E-2</v>
      </c>
    </row>
    <row r="84" spans="1:13" ht="15.75" customHeight="1">
      <c r="A84" s="14" t="s">
        <v>180</v>
      </c>
      <c r="B84" s="26">
        <v>96374</v>
      </c>
      <c r="C84" s="14" t="s">
        <v>32</v>
      </c>
      <c r="D84" s="14" t="s">
        <v>181</v>
      </c>
      <c r="E84" s="27" t="s">
        <v>65</v>
      </c>
      <c r="F84" s="16">
        <v>77.94</v>
      </c>
      <c r="G84" s="16">
        <v>25.56</v>
      </c>
      <c r="H84" s="18">
        <f t="shared" si="5"/>
        <v>24.430239053999998</v>
      </c>
      <c r="I84" s="18">
        <f t="shared" si="6"/>
        <v>30.994644287809798</v>
      </c>
      <c r="J84" s="91">
        <f t="shared" si="7"/>
        <v>2415.7225757918955</v>
      </c>
      <c r="L84" s="19">
        <v>0.26869999999999999</v>
      </c>
      <c r="M84" s="19">
        <v>4.4200349999999999E-2</v>
      </c>
    </row>
    <row r="85" spans="1:13" ht="15.75" customHeight="1">
      <c r="A85" s="11" t="s">
        <v>182</v>
      </c>
      <c r="B85" s="12"/>
      <c r="C85" s="12"/>
      <c r="D85" s="11" t="s">
        <v>183</v>
      </c>
      <c r="E85" s="12"/>
      <c r="F85" s="12"/>
      <c r="G85" s="12"/>
      <c r="H85" s="12"/>
      <c r="I85" s="12"/>
      <c r="J85" s="24">
        <f>J86</f>
        <v>15541.793880392035</v>
      </c>
      <c r="L85" s="25"/>
      <c r="M85" s="19">
        <v>4.4200349999999999E-2</v>
      </c>
    </row>
    <row r="86" spans="1:13" ht="15.75" customHeight="1">
      <c r="A86" s="14" t="s">
        <v>184</v>
      </c>
      <c r="B86" s="26">
        <v>102257</v>
      </c>
      <c r="C86" s="14" t="s">
        <v>32</v>
      </c>
      <c r="D86" s="14" t="s">
        <v>185</v>
      </c>
      <c r="E86" s="27" t="s">
        <v>23</v>
      </c>
      <c r="F86" s="16">
        <v>36.380000000000003</v>
      </c>
      <c r="G86" s="16">
        <v>352.3</v>
      </c>
      <c r="H86" s="18">
        <f t="shared" si="5"/>
        <v>336.72821669500001</v>
      </c>
      <c r="I86" s="18">
        <f t="shared" si="6"/>
        <v>427.20708852094651</v>
      </c>
      <c r="J86" s="91">
        <f t="shared" ref="J86" si="8">I86*F86</f>
        <v>15541.793880392035</v>
      </c>
      <c r="L86" s="19">
        <v>0.26869999999999999</v>
      </c>
      <c r="M86" s="19">
        <v>4.4200349999999999E-2</v>
      </c>
    </row>
    <row r="87" spans="1:13" ht="30.75" customHeight="1">
      <c r="A87" s="28">
        <v>5</v>
      </c>
      <c r="B87" s="29"/>
      <c r="C87" s="29"/>
      <c r="D87" s="30" t="s">
        <v>186</v>
      </c>
      <c r="E87" s="29"/>
      <c r="F87" s="29"/>
      <c r="G87" s="29"/>
      <c r="H87" s="29"/>
      <c r="I87" s="29"/>
      <c r="J87" s="31">
        <f>J88+J91+J93</f>
        <v>102452.36160421718</v>
      </c>
      <c r="L87" s="25"/>
      <c r="M87" s="19">
        <v>4.4200349999999999E-2</v>
      </c>
    </row>
    <row r="88" spans="1:13" ht="15.75" customHeight="1">
      <c r="A88" s="11" t="s">
        <v>187</v>
      </c>
      <c r="B88" s="12"/>
      <c r="C88" s="12"/>
      <c r="D88" s="11" t="s">
        <v>188</v>
      </c>
      <c r="E88" s="12"/>
      <c r="F88" s="12"/>
      <c r="G88" s="12"/>
      <c r="H88" s="12"/>
      <c r="I88" s="12"/>
      <c r="J88" s="24">
        <f>J89+J90</f>
        <v>26204.044644846232</v>
      </c>
      <c r="L88" s="25"/>
      <c r="M88" s="19">
        <v>4.4200349999999999E-2</v>
      </c>
    </row>
    <row r="89" spans="1:13" ht="15.75" customHeight="1">
      <c r="A89" s="14" t="s">
        <v>189</v>
      </c>
      <c r="B89" s="26">
        <v>100383</v>
      </c>
      <c r="C89" s="14" t="s">
        <v>32</v>
      </c>
      <c r="D89" s="14" t="s">
        <v>190</v>
      </c>
      <c r="E89" s="27" t="s">
        <v>23</v>
      </c>
      <c r="F89" s="16">
        <v>490.12</v>
      </c>
      <c r="G89" s="16">
        <v>23.35</v>
      </c>
      <c r="H89" s="18">
        <f t="shared" si="5"/>
        <v>22.317921827500001</v>
      </c>
      <c r="I89" s="18">
        <f t="shared" si="6"/>
        <v>28.314747422549253</v>
      </c>
      <c r="J89" s="91">
        <f t="shared" ref="J89:J90" si="9">I89*F89</f>
        <v>13877.624006739839</v>
      </c>
      <c r="L89" s="19">
        <v>0.26869999999999999</v>
      </c>
      <c r="M89" s="19">
        <v>4.4200349999999999E-2</v>
      </c>
    </row>
    <row r="90" spans="1:13" ht="15.75" customHeight="1">
      <c r="A90" s="14" t="s">
        <v>191</v>
      </c>
      <c r="B90" s="26">
        <v>92543</v>
      </c>
      <c r="C90" s="14" t="s">
        <v>32</v>
      </c>
      <c r="D90" s="14" t="s">
        <v>192</v>
      </c>
      <c r="E90" s="27" t="s">
        <v>23</v>
      </c>
      <c r="F90" s="16">
        <v>490.12</v>
      </c>
      <c r="G90" s="16">
        <v>20.74</v>
      </c>
      <c r="H90" s="18">
        <f t="shared" si="5"/>
        <v>19.823284740999998</v>
      </c>
      <c r="I90" s="18">
        <f t="shared" si="6"/>
        <v>25.149801350906699</v>
      </c>
      <c r="J90" s="91">
        <f t="shared" si="9"/>
        <v>12326.420638106392</v>
      </c>
      <c r="L90" s="19">
        <v>0.26869999999999999</v>
      </c>
      <c r="M90" s="19">
        <v>4.4200349999999999E-2</v>
      </c>
    </row>
    <row r="91" spans="1:13" ht="15.75" customHeight="1">
      <c r="A91" s="11" t="s">
        <v>193</v>
      </c>
      <c r="B91" s="12"/>
      <c r="C91" s="12"/>
      <c r="D91" s="11" t="s">
        <v>194</v>
      </c>
      <c r="E91" s="12"/>
      <c r="F91" s="12"/>
      <c r="G91" s="12"/>
      <c r="H91" s="12"/>
      <c r="I91" s="12"/>
      <c r="J91" s="24">
        <f>J92</f>
        <v>36010.502722413999</v>
      </c>
      <c r="L91" s="25"/>
      <c r="M91" s="19">
        <v>4.4200349999999999E-2</v>
      </c>
    </row>
    <row r="92" spans="1:13" ht="15.75" customHeight="1">
      <c r="A92" s="14" t="s">
        <v>195</v>
      </c>
      <c r="B92" s="26">
        <v>94207</v>
      </c>
      <c r="C92" s="14" t="s">
        <v>32</v>
      </c>
      <c r="D92" s="14" t="s">
        <v>196</v>
      </c>
      <c r="E92" s="27" t="s">
        <v>23</v>
      </c>
      <c r="F92" s="16">
        <v>490.12</v>
      </c>
      <c r="G92" s="16">
        <v>60.59</v>
      </c>
      <c r="H92" s="18">
        <f t="shared" si="5"/>
        <v>57.911900793500003</v>
      </c>
      <c r="I92" s="18">
        <f t="shared" si="6"/>
        <v>73.47282853671345</v>
      </c>
      <c r="J92" s="91">
        <f t="shared" ref="J92" si="10">I92*F92</f>
        <v>36010.502722413999</v>
      </c>
      <c r="L92" s="19">
        <v>0.26869999999999999</v>
      </c>
      <c r="M92" s="19">
        <v>4.4200349999999999E-2</v>
      </c>
    </row>
    <row r="93" spans="1:13" ht="15.75" customHeight="1">
      <c r="A93" s="11" t="s">
        <v>197</v>
      </c>
      <c r="B93" s="12"/>
      <c r="C93" s="12"/>
      <c r="D93" s="11" t="s">
        <v>198</v>
      </c>
      <c r="E93" s="12"/>
      <c r="F93" s="12"/>
      <c r="G93" s="12"/>
      <c r="H93" s="12"/>
      <c r="I93" s="12"/>
      <c r="J93" s="24">
        <f>J94+J95+J96</f>
        <v>40237.814236956947</v>
      </c>
      <c r="L93" s="25"/>
      <c r="M93" s="19">
        <v>4.4200349999999999E-2</v>
      </c>
    </row>
    <row r="94" spans="1:13" ht="15.75" customHeight="1">
      <c r="A94" s="14" t="s">
        <v>199</v>
      </c>
      <c r="B94" s="26">
        <v>94229</v>
      </c>
      <c r="C94" s="14" t="s">
        <v>32</v>
      </c>
      <c r="D94" s="14" t="s">
        <v>200</v>
      </c>
      <c r="E94" s="27" t="s">
        <v>65</v>
      </c>
      <c r="F94" s="16">
        <v>154.4</v>
      </c>
      <c r="G94" s="16">
        <v>141.76</v>
      </c>
      <c r="H94" s="18">
        <f t="shared" si="5"/>
        <v>135.494158384</v>
      </c>
      <c r="I94" s="18">
        <f t="shared" si="6"/>
        <v>171.90143874178079</v>
      </c>
      <c r="J94" s="91">
        <f t="shared" ref="J94:J96" si="11">I94*F94</f>
        <v>26541.582141730956</v>
      </c>
      <c r="L94" s="19">
        <v>0.26869999999999999</v>
      </c>
      <c r="M94" s="19">
        <v>4.4200349999999999E-2</v>
      </c>
    </row>
    <row r="95" spans="1:13" ht="15.75" customHeight="1">
      <c r="A95" s="14" t="s">
        <v>201</v>
      </c>
      <c r="B95" s="26">
        <v>94231</v>
      </c>
      <c r="C95" s="14" t="s">
        <v>32</v>
      </c>
      <c r="D95" s="14" t="s">
        <v>202</v>
      </c>
      <c r="E95" s="27" t="s">
        <v>65</v>
      </c>
      <c r="F95" s="16">
        <v>53.63</v>
      </c>
      <c r="G95" s="16">
        <v>45.92</v>
      </c>
      <c r="H95" s="18">
        <f t="shared" si="5"/>
        <v>43.890319928000004</v>
      </c>
      <c r="I95" s="18">
        <f t="shared" si="6"/>
        <v>55.683648892653608</v>
      </c>
      <c r="J95" s="91">
        <f t="shared" si="11"/>
        <v>2986.3140901130132</v>
      </c>
      <c r="L95" s="19">
        <v>0.26869999999999999</v>
      </c>
      <c r="M95" s="19">
        <v>4.4200349999999999E-2</v>
      </c>
    </row>
    <row r="96" spans="1:13" ht="15.75" customHeight="1">
      <c r="A96" s="14" t="s">
        <v>203</v>
      </c>
      <c r="B96" s="26">
        <v>94451</v>
      </c>
      <c r="C96" s="14" t="s">
        <v>32</v>
      </c>
      <c r="D96" s="14" t="s">
        <v>204</v>
      </c>
      <c r="E96" s="27" t="s">
        <v>65</v>
      </c>
      <c r="F96" s="16">
        <v>74.2</v>
      </c>
      <c r="G96" s="16">
        <v>119.03</v>
      </c>
      <c r="H96" s="18">
        <f t="shared" si="5"/>
        <v>113.76883233949999</v>
      </c>
      <c r="I96" s="18">
        <f t="shared" si="6"/>
        <v>144.33851758912365</v>
      </c>
      <c r="J96" s="91">
        <f t="shared" si="11"/>
        <v>10709.918005112975</v>
      </c>
      <c r="L96" s="19">
        <v>0.26869999999999999</v>
      </c>
      <c r="M96" s="19">
        <v>4.4200349999999999E-2</v>
      </c>
    </row>
    <row r="97" spans="1:13" ht="33" customHeight="1">
      <c r="A97" s="28">
        <v>6</v>
      </c>
      <c r="B97" s="29"/>
      <c r="C97" s="29"/>
      <c r="D97" s="30" t="s">
        <v>205</v>
      </c>
      <c r="E97" s="29"/>
      <c r="F97" s="29"/>
      <c r="G97" s="29"/>
      <c r="H97" s="29"/>
      <c r="I97" s="29"/>
      <c r="J97" s="31">
        <f>SUM(J98:J100)</f>
        <v>40341.331619648467</v>
      </c>
      <c r="L97" s="25"/>
      <c r="M97" s="19">
        <v>4.4200349999999999E-2</v>
      </c>
    </row>
    <row r="98" spans="1:13" ht="15.75" customHeight="1">
      <c r="A98" s="14" t="s">
        <v>206</v>
      </c>
      <c r="B98" s="26">
        <v>98565</v>
      </c>
      <c r="C98" s="14" t="s">
        <v>32</v>
      </c>
      <c r="D98" s="14" t="s">
        <v>207</v>
      </c>
      <c r="E98" s="27" t="s">
        <v>23</v>
      </c>
      <c r="F98" s="16">
        <v>107.01</v>
      </c>
      <c r="G98" s="16">
        <v>53.54</v>
      </c>
      <c r="H98" s="18">
        <f t="shared" si="5"/>
        <v>51.173513260999997</v>
      </c>
      <c r="I98" s="18">
        <f t="shared" si="6"/>
        <v>64.923836274230695</v>
      </c>
      <c r="J98" s="91">
        <f t="shared" ref="J98:J100" si="12">I98*F98</f>
        <v>6947.4997197054272</v>
      </c>
      <c r="L98" s="19">
        <v>0.26869999999999999</v>
      </c>
      <c r="M98" s="19">
        <v>4.4200349999999999E-2</v>
      </c>
    </row>
    <row r="99" spans="1:13" ht="15.75" customHeight="1">
      <c r="A99" s="14" t="s">
        <v>208</v>
      </c>
      <c r="B99" s="26">
        <v>98556</v>
      </c>
      <c r="C99" s="14" t="s">
        <v>32</v>
      </c>
      <c r="D99" s="14" t="s">
        <v>209</v>
      </c>
      <c r="E99" s="27" t="s">
        <v>23</v>
      </c>
      <c r="F99" s="16">
        <v>222.3</v>
      </c>
      <c r="G99" s="16">
        <v>61.09</v>
      </c>
      <c r="H99" s="18">
        <f t="shared" si="5"/>
        <v>58.389800618500004</v>
      </c>
      <c r="I99" s="18">
        <f t="shared" si="6"/>
        <v>74.079140044690959</v>
      </c>
      <c r="J99" s="91">
        <f t="shared" si="12"/>
        <v>16467.792831934799</v>
      </c>
      <c r="L99" s="19">
        <v>0.26869999999999999</v>
      </c>
      <c r="M99" s="19">
        <v>4.4200349999999999E-2</v>
      </c>
    </row>
    <row r="100" spans="1:13" ht="15.75" customHeight="1">
      <c r="A100" s="14" t="s">
        <v>210</v>
      </c>
      <c r="B100" s="26">
        <v>98555</v>
      </c>
      <c r="C100" s="14" t="s">
        <v>32</v>
      </c>
      <c r="D100" s="14" t="s">
        <v>211</v>
      </c>
      <c r="E100" s="27" t="s">
        <v>23</v>
      </c>
      <c r="F100" s="16">
        <v>416.29</v>
      </c>
      <c r="G100" s="16">
        <v>33.53</v>
      </c>
      <c r="H100" s="18">
        <f t="shared" si="5"/>
        <v>32.047962264500001</v>
      </c>
      <c r="I100" s="18">
        <f t="shared" si="6"/>
        <v>40.659249724971147</v>
      </c>
      <c r="J100" s="91">
        <f t="shared" si="12"/>
        <v>16926.039068008238</v>
      </c>
      <c r="L100" s="19">
        <v>0.26869999999999999</v>
      </c>
      <c r="M100" s="19">
        <v>4.4200349999999999E-2</v>
      </c>
    </row>
    <row r="101" spans="1:13" ht="32.25" customHeight="1">
      <c r="A101" s="28">
        <v>7</v>
      </c>
      <c r="B101" s="29"/>
      <c r="C101" s="29"/>
      <c r="D101" s="30" t="s">
        <v>212</v>
      </c>
      <c r="E101" s="29"/>
      <c r="F101" s="29"/>
      <c r="G101" s="29"/>
      <c r="H101" s="29"/>
      <c r="I101" s="29"/>
      <c r="J101" s="31">
        <f>J102+J107+J117+J120</f>
        <v>255123.6986059169</v>
      </c>
      <c r="L101" s="25"/>
      <c r="M101" s="19">
        <v>4.4200349999999999E-2</v>
      </c>
    </row>
    <row r="102" spans="1:13" ht="15.75" customHeight="1">
      <c r="A102" s="11" t="s">
        <v>213</v>
      </c>
      <c r="B102" s="12"/>
      <c r="C102" s="12"/>
      <c r="D102" s="11" t="s">
        <v>214</v>
      </c>
      <c r="E102" s="12"/>
      <c r="F102" s="12"/>
      <c r="G102" s="12"/>
      <c r="H102" s="12"/>
      <c r="I102" s="12"/>
      <c r="J102" s="24">
        <f>J103</f>
        <v>62613.231622249084</v>
      </c>
      <c r="L102" s="25"/>
      <c r="M102" s="19">
        <v>4.4200349999999999E-2</v>
      </c>
    </row>
    <row r="103" spans="1:13" ht="15.75" customHeight="1">
      <c r="A103" s="11" t="s">
        <v>215</v>
      </c>
      <c r="B103" s="12"/>
      <c r="C103" s="12"/>
      <c r="D103" s="11" t="s">
        <v>216</v>
      </c>
      <c r="E103" s="12"/>
      <c r="F103" s="12"/>
      <c r="G103" s="12"/>
      <c r="H103" s="12"/>
      <c r="I103" s="12"/>
      <c r="J103" s="24">
        <f>SUM(J104:J106)</f>
        <v>62613.231622249084</v>
      </c>
      <c r="L103" s="25"/>
      <c r="M103" s="19">
        <v>4.4200349999999999E-2</v>
      </c>
    </row>
    <row r="104" spans="1:13" ht="15.75" customHeight="1">
      <c r="A104" s="14" t="s">
        <v>217</v>
      </c>
      <c r="B104" s="26">
        <v>90844</v>
      </c>
      <c r="C104" s="14" t="s">
        <v>32</v>
      </c>
      <c r="D104" s="14" t="s">
        <v>218</v>
      </c>
      <c r="E104" s="27" t="s">
        <v>34</v>
      </c>
      <c r="F104" s="16">
        <v>12</v>
      </c>
      <c r="G104" s="21">
        <v>1150.6500000000001</v>
      </c>
      <c r="H104" s="18">
        <f t="shared" si="5"/>
        <v>1099.7908672725</v>
      </c>
      <c r="I104" s="18">
        <f t="shared" si="6"/>
        <v>1395.3046733086207</v>
      </c>
      <c r="J104" s="91">
        <f t="shared" ref="J104:J106" si="13">I104*F104</f>
        <v>16743.656079703447</v>
      </c>
      <c r="L104" s="19">
        <v>0.26869999999999999</v>
      </c>
      <c r="M104" s="19">
        <v>4.4200349999999999E-2</v>
      </c>
    </row>
    <row r="105" spans="1:13" ht="15.75" customHeight="1">
      <c r="A105" s="14" t="s">
        <v>219</v>
      </c>
      <c r="B105" s="26">
        <v>90843</v>
      </c>
      <c r="C105" s="14" t="s">
        <v>32</v>
      </c>
      <c r="D105" s="14" t="s">
        <v>220</v>
      </c>
      <c r="E105" s="27" t="s">
        <v>34</v>
      </c>
      <c r="F105" s="16">
        <v>8</v>
      </c>
      <c r="G105" s="21">
        <v>1062.53</v>
      </c>
      <c r="H105" s="18">
        <f t="shared" si="5"/>
        <v>1015.5658021145</v>
      </c>
      <c r="I105" s="18">
        <f t="shared" si="6"/>
        <v>1288.4483331426661</v>
      </c>
      <c r="J105" s="91">
        <f t="shared" si="13"/>
        <v>10307.586665141329</v>
      </c>
      <c r="L105" s="19">
        <v>0.26869999999999999</v>
      </c>
      <c r="M105" s="19">
        <v>4.4200349999999999E-2</v>
      </c>
    </row>
    <row r="106" spans="1:13" ht="15.75" customHeight="1">
      <c r="A106" s="14" t="s">
        <v>221</v>
      </c>
      <c r="B106" s="14" t="s">
        <v>222</v>
      </c>
      <c r="C106" s="14" t="s">
        <v>17</v>
      </c>
      <c r="D106" s="14" t="s">
        <v>223</v>
      </c>
      <c r="E106" s="15" t="s">
        <v>23</v>
      </c>
      <c r="F106" s="16">
        <v>7.98</v>
      </c>
      <c r="G106" s="20">
        <v>3675</v>
      </c>
      <c r="H106" s="18">
        <f t="shared" si="5"/>
        <v>3512.5637137499998</v>
      </c>
      <c r="I106" s="18">
        <f t="shared" si="6"/>
        <v>4456.3895836346246</v>
      </c>
      <c r="J106" s="91">
        <f t="shared" si="13"/>
        <v>35561.988877404307</v>
      </c>
      <c r="L106" s="19">
        <v>0.26869999999999999</v>
      </c>
      <c r="M106" s="19">
        <v>4.4200349999999999E-2</v>
      </c>
    </row>
    <row r="107" spans="1:13" ht="15.75" customHeight="1">
      <c r="A107" s="11" t="s">
        <v>224</v>
      </c>
      <c r="B107" s="12"/>
      <c r="C107" s="12"/>
      <c r="D107" s="11" t="s">
        <v>225</v>
      </c>
      <c r="E107" s="12"/>
      <c r="F107" s="12"/>
      <c r="G107" s="12"/>
      <c r="H107" s="12"/>
      <c r="I107" s="12"/>
      <c r="J107" s="24">
        <f>J108+J114</f>
        <v>147815.57815233452</v>
      </c>
      <c r="L107" s="25"/>
      <c r="M107" s="19">
        <v>4.4200349999999999E-2</v>
      </c>
    </row>
    <row r="108" spans="1:13" ht="15.75" customHeight="1">
      <c r="A108" s="11" t="s">
        <v>226</v>
      </c>
      <c r="B108" s="12"/>
      <c r="C108" s="12"/>
      <c r="D108" s="11" t="s">
        <v>227</v>
      </c>
      <c r="E108" s="12"/>
      <c r="F108" s="12"/>
      <c r="G108" s="12"/>
      <c r="H108" s="12"/>
      <c r="I108" s="12"/>
      <c r="J108" s="24">
        <f>SUM(J109:J113)</f>
        <v>124575.83024402522</v>
      </c>
      <c r="L108" s="25"/>
      <c r="M108" s="19">
        <v>4.4200349999999999E-2</v>
      </c>
    </row>
    <row r="109" spans="1:13" ht="15.75" customHeight="1">
      <c r="A109" s="14" t="s">
        <v>228</v>
      </c>
      <c r="B109" s="14" t="s">
        <v>229</v>
      </c>
      <c r="C109" s="14" t="s">
        <v>17</v>
      </c>
      <c r="D109" s="14" t="s">
        <v>230</v>
      </c>
      <c r="E109" s="15" t="s">
        <v>23</v>
      </c>
      <c r="F109" s="16">
        <v>24.01</v>
      </c>
      <c r="G109" s="20">
        <v>1205.29</v>
      </c>
      <c r="H109" s="18">
        <f t="shared" si="5"/>
        <v>1152.0157601485</v>
      </c>
      <c r="I109" s="18">
        <f t="shared" si="6"/>
        <v>1461.5623949004021</v>
      </c>
      <c r="J109" s="91">
        <f t="shared" ref="J109:J113" si="14">I109*F109</f>
        <v>35092.113101558658</v>
      </c>
      <c r="L109" s="19">
        <v>0.26869999999999999</v>
      </c>
      <c r="M109" s="19">
        <v>4.4200349999999999E-2</v>
      </c>
    </row>
    <row r="110" spans="1:13" ht="15.75" customHeight="1">
      <c r="A110" s="14" t="s">
        <v>231</v>
      </c>
      <c r="B110" s="14" t="s">
        <v>232</v>
      </c>
      <c r="C110" s="14" t="s">
        <v>17</v>
      </c>
      <c r="D110" s="14" t="s">
        <v>233</v>
      </c>
      <c r="E110" s="15" t="s">
        <v>23</v>
      </c>
      <c r="F110" s="16">
        <v>2</v>
      </c>
      <c r="G110" s="20">
        <v>1331.61</v>
      </c>
      <c r="H110" s="18">
        <f t="shared" si="5"/>
        <v>1272.7523719364999</v>
      </c>
      <c r="I110" s="18">
        <f t="shared" si="6"/>
        <v>1614.7409342758374</v>
      </c>
      <c r="J110" s="91">
        <f t="shared" si="14"/>
        <v>3229.4818685516748</v>
      </c>
      <c r="L110" s="19">
        <v>0.26869999999999999</v>
      </c>
      <c r="M110" s="19">
        <v>4.4200349999999999E-2</v>
      </c>
    </row>
    <row r="111" spans="1:13" ht="15.75" customHeight="1">
      <c r="A111" s="14" t="s">
        <v>234</v>
      </c>
      <c r="B111" s="14" t="s">
        <v>235</v>
      </c>
      <c r="C111" s="14" t="s">
        <v>17</v>
      </c>
      <c r="D111" s="14" t="s">
        <v>236</v>
      </c>
      <c r="E111" s="15" t="s">
        <v>23</v>
      </c>
      <c r="F111" s="16">
        <v>1.68</v>
      </c>
      <c r="G111" s="20">
        <v>1256.52</v>
      </c>
      <c r="H111" s="18">
        <f t="shared" si="5"/>
        <v>1200.9813762179999</v>
      </c>
      <c r="I111" s="18">
        <f t="shared" si="6"/>
        <v>1523.6850720077764</v>
      </c>
      <c r="J111" s="91">
        <f t="shared" si="14"/>
        <v>2559.7909209730642</v>
      </c>
      <c r="L111" s="19">
        <v>0.26869999999999999</v>
      </c>
      <c r="M111" s="19">
        <v>4.4200349999999999E-2</v>
      </c>
    </row>
    <row r="112" spans="1:13" ht="15.75" customHeight="1">
      <c r="A112" s="14" t="s">
        <v>237</v>
      </c>
      <c r="B112" s="14" t="s">
        <v>238</v>
      </c>
      <c r="C112" s="14" t="s">
        <v>17</v>
      </c>
      <c r="D112" s="14" t="s">
        <v>239</v>
      </c>
      <c r="E112" s="15" t="s">
        <v>23</v>
      </c>
      <c r="F112" s="16">
        <v>44.5</v>
      </c>
      <c r="G112" s="20">
        <v>1369.34</v>
      </c>
      <c r="H112" s="18">
        <f t="shared" si="5"/>
        <v>1308.8146927309999</v>
      </c>
      <c r="I112" s="18">
        <f t="shared" si="6"/>
        <v>1660.4932006678196</v>
      </c>
      <c r="J112" s="91">
        <f t="shared" si="14"/>
        <v>73891.947429717969</v>
      </c>
      <c r="L112" s="19">
        <v>0.26869999999999999</v>
      </c>
      <c r="M112" s="19">
        <v>4.4200349999999999E-2</v>
      </c>
    </row>
    <row r="113" spans="1:13" ht="15.75" customHeight="1">
      <c r="A113" s="14" t="s">
        <v>240</v>
      </c>
      <c r="B113" s="14" t="s">
        <v>241</v>
      </c>
      <c r="C113" s="14" t="s">
        <v>17</v>
      </c>
      <c r="D113" s="14" t="s">
        <v>242</v>
      </c>
      <c r="E113" s="15" t="s">
        <v>23</v>
      </c>
      <c r="F113" s="16">
        <v>8.74</v>
      </c>
      <c r="G113" s="17">
        <v>924.91</v>
      </c>
      <c r="H113" s="18">
        <f t="shared" si="5"/>
        <v>884.02865428149994</v>
      </c>
      <c r="I113" s="18">
        <f t="shared" si="6"/>
        <v>1121.567153686939</v>
      </c>
      <c r="J113" s="91">
        <f t="shared" si="14"/>
        <v>9802.4969232238473</v>
      </c>
      <c r="L113" s="19">
        <v>0.26869999999999999</v>
      </c>
      <c r="M113" s="19">
        <v>4.4200349999999999E-2</v>
      </c>
    </row>
    <row r="114" spans="1:13" ht="15.75" customHeight="1">
      <c r="A114" s="11" t="s">
        <v>243</v>
      </c>
      <c r="B114" s="12"/>
      <c r="C114" s="12"/>
      <c r="D114" s="11" t="s">
        <v>244</v>
      </c>
      <c r="E114" s="12"/>
      <c r="F114" s="12"/>
      <c r="G114" s="12"/>
      <c r="H114" s="12"/>
      <c r="I114" s="12"/>
      <c r="J114" s="24">
        <f>SUM(J115:J116)</f>
        <v>23239.747908309313</v>
      </c>
      <c r="L114" s="25"/>
      <c r="M114" s="19">
        <v>4.4200349999999999E-2</v>
      </c>
    </row>
    <row r="115" spans="1:13" ht="15.75" customHeight="1">
      <c r="A115" s="14" t="s">
        <v>245</v>
      </c>
      <c r="B115" s="26">
        <v>94569</v>
      </c>
      <c r="C115" s="14" t="s">
        <v>32</v>
      </c>
      <c r="D115" s="14" t="s">
        <v>246</v>
      </c>
      <c r="E115" s="27" t="s">
        <v>23</v>
      </c>
      <c r="F115" s="16">
        <v>28.64</v>
      </c>
      <c r="G115" s="16">
        <v>658.2</v>
      </c>
      <c r="H115" s="18">
        <f t="shared" si="5"/>
        <v>629.10732963000009</v>
      </c>
      <c r="I115" s="18">
        <f t="shared" si="6"/>
        <v>798.1484691015811</v>
      </c>
      <c r="J115" s="91">
        <f t="shared" ref="J115:J116" si="15">I115*F115</f>
        <v>22858.972155069285</v>
      </c>
      <c r="L115" s="19">
        <v>0.26869999999999999</v>
      </c>
      <c r="M115" s="19">
        <v>4.4200349999999999E-2</v>
      </c>
    </row>
    <row r="116" spans="1:13" ht="15.75" customHeight="1">
      <c r="A116" s="14" t="s">
        <v>247</v>
      </c>
      <c r="B116" s="26">
        <v>94570</v>
      </c>
      <c r="C116" s="14" t="s">
        <v>32</v>
      </c>
      <c r="D116" s="14" t="s">
        <v>248</v>
      </c>
      <c r="E116" s="27" t="s">
        <v>23</v>
      </c>
      <c r="F116" s="16">
        <v>0.9</v>
      </c>
      <c r="G116" s="16">
        <v>348.9</v>
      </c>
      <c r="H116" s="18">
        <f t="shared" si="5"/>
        <v>333.47849788499997</v>
      </c>
      <c r="I116" s="18">
        <f t="shared" si="6"/>
        <v>423.08417026669946</v>
      </c>
      <c r="J116" s="91">
        <f t="shared" si="15"/>
        <v>380.77575324002953</v>
      </c>
      <c r="L116" s="19">
        <v>0.26869999999999999</v>
      </c>
      <c r="M116" s="19">
        <v>4.4200349999999999E-2</v>
      </c>
    </row>
    <row r="117" spans="1:13" ht="15.75" customHeight="1">
      <c r="A117" s="11" t="s">
        <v>249</v>
      </c>
      <c r="B117" s="12"/>
      <c r="C117" s="12"/>
      <c r="D117" s="11" t="s">
        <v>250</v>
      </c>
      <c r="E117" s="12"/>
      <c r="F117" s="12"/>
      <c r="G117" s="12"/>
      <c r="H117" s="12"/>
      <c r="I117" s="12"/>
      <c r="J117" s="24">
        <f>J118</f>
        <v>2546.5210660471676</v>
      </c>
      <c r="L117" s="25"/>
      <c r="M117" s="19">
        <v>4.4200349999999999E-2</v>
      </c>
    </row>
    <row r="118" spans="1:13" ht="15.75" customHeight="1">
      <c r="A118" s="11" t="s">
        <v>251</v>
      </c>
      <c r="B118" s="12"/>
      <c r="C118" s="12"/>
      <c r="D118" s="11" t="s">
        <v>252</v>
      </c>
      <c r="E118" s="12"/>
      <c r="F118" s="12"/>
      <c r="G118" s="12"/>
      <c r="H118" s="12"/>
      <c r="I118" s="12"/>
      <c r="J118" s="24">
        <f>J119</f>
        <v>2546.5210660471676</v>
      </c>
      <c r="L118" s="25"/>
      <c r="M118" s="19">
        <v>4.4200349999999999E-2</v>
      </c>
    </row>
    <row r="119" spans="1:13" ht="15.75" customHeight="1">
      <c r="A119" s="14" t="s">
        <v>253</v>
      </c>
      <c r="B119" s="14" t="s">
        <v>254</v>
      </c>
      <c r="C119" s="14" t="s">
        <v>17</v>
      </c>
      <c r="D119" s="14" t="s">
        <v>255</v>
      </c>
      <c r="E119" s="15" t="s">
        <v>23</v>
      </c>
      <c r="F119" s="16">
        <v>3.15</v>
      </c>
      <c r="G119" s="17">
        <v>666.67</v>
      </c>
      <c r="H119" s="18">
        <f t="shared" si="5"/>
        <v>637.20295266549999</v>
      </c>
      <c r="I119" s="18">
        <f t="shared" si="6"/>
        <v>808.41938604671986</v>
      </c>
      <c r="J119" s="91">
        <f t="shared" ref="J119" si="16">I119*F119</f>
        <v>2546.5210660471676</v>
      </c>
      <c r="L119" s="19">
        <v>0.26869999999999999</v>
      </c>
      <c r="M119" s="19">
        <v>4.4200349999999999E-2</v>
      </c>
    </row>
    <row r="120" spans="1:13" ht="15.75" customHeight="1">
      <c r="A120" s="11" t="s">
        <v>256</v>
      </c>
      <c r="B120" s="12"/>
      <c r="C120" s="12"/>
      <c r="D120" s="11" t="s">
        <v>257</v>
      </c>
      <c r="E120" s="12"/>
      <c r="F120" s="12"/>
      <c r="G120" s="12"/>
      <c r="H120" s="12"/>
      <c r="I120" s="12"/>
      <c r="J120" s="24">
        <f>SUM(J121:J127)</f>
        <v>42148.367765286115</v>
      </c>
      <c r="L120" s="19"/>
      <c r="M120" s="19">
        <v>4.4200349999999999E-2</v>
      </c>
    </row>
    <row r="121" spans="1:13" ht="15.75" customHeight="1">
      <c r="A121" s="14" t="s">
        <v>258</v>
      </c>
      <c r="B121" s="14" t="s">
        <v>259</v>
      </c>
      <c r="C121" s="14" t="s">
        <v>17</v>
      </c>
      <c r="D121" s="14" t="s">
        <v>260</v>
      </c>
      <c r="E121" s="15" t="s">
        <v>34</v>
      </c>
      <c r="F121" s="16">
        <v>4</v>
      </c>
      <c r="G121" s="17">
        <v>479.12</v>
      </c>
      <c r="H121" s="18">
        <f t="shared" si="5"/>
        <v>457.94272830800003</v>
      </c>
      <c r="I121" s="18">
        <f t="shared" si="6"/>
        <v>580.99193940435964</v>
      </c>
      <c r="J121" s="91">
        <f t="shared" ref="J121:J127" si="17">I121*F121</f>
        <v>2323.9677576174386</v>
      </c>
      <c r="L121" s="19">
        <v>0.26869999999999999</v>
      </c>
      <c r="M121" s="19">
        <v>4.4200349999999999E-2</v>
      </c>
    </row>
    <row r="122" spans="1:13" ht="15.75" customHeight="1">
      <c r="A122" s="14" t="s">
        <v>261</v>
      </c>
      <c r="B122" s="14" t="s">
        <v>262</v>
      </c>
      <c r="C122" s="14" t="s">
        <v>17</v>
      </c>
      <c r="D122" s="14" t="s">
        <v>263</v>
      </c>
      <c r="E122" s="15" t="s">
        <v>65</v>
      </c>
      <c r="F122" s="16">
        <v>106.6</v>
      </c>
      <c r="G122" s="17">
        <v>113.64</v>
      </c>
      <c r="H122" s="18">
        <f t="shared" si="5"/>
        <v>108.617072226</v>
      </c>
      <c r="I122" s="18">
        <f t="shared" si="6"/>
        <v>137.80247953312622</v>
      </c>
      <c r="J122" s="91">
        <f t="shared" si="17"/>
        <v>14689.744318231255</v>
      </c>
      <c r="L122" s="19">
        <v>0.26869999999999999</v>
      </c>
      <c r="M122" s="19">
        <v>4.4200349999999999E-2</v>
      </c>
    </row>
    <row r="123" spans="1:13" ht="15.75" customHeight="1">
      <c r="A123" s="14" t="s">
        <v>264</v>
      </c>
      <c r="B123" s="14" t="s">
        <v>265</v>
      </c>
      <c r="C123" s="14" t="s">
        <v>17</v>
      </c>
      <c r="D123" s="14" t="s">
        <v>266</v>
      </c>
      <c r="E123" s="15" t="s">
        <v>34</v>
      </c>
      <c r="F123" s="16">
        <v>4</v>
      </c>
      <c r="G123" s="20">
        <v>1822.21</v>
      </c>
      <c r="H123" s="18">
        <f t="shared" si="5"/>
        <v>1741.6676802265001</v>
      </c>
      <c r="I123" s="18">
        <f t="shared" si="6"/>
        <v>2209.6537859033606</v>
      </c>
      <c r="J123" s="91">
        <f t="shared" si="17"/>
        <v>8838.6151436134423</v>
      </c>
      <c r="L123" s="19">
        <v>0.26869999999999999</v>
      </c>
      <c r="M123" s="19">
        <v>4.4200349999999999E-2</v>
      </c>
    </row>
    <row r="124" spans="1:13" ht="15.75" customHeight="1">
      <c r="A124" s="14" t="s">
        <v>267</v>
      </c>
      <c r="B124" s="14" t="s">
        <v>268</v>
      </c>
      <c r="C124" s="14" t="s">
        <v>17</v>
      </c>
      <c r="D124" s="14" t="s">
        <v>269</v>
      </c>
      <c r="E124" s="15" t="s">
        <v>34</v>
      </c>
      <c r="F124" s="16">
        <v>21</v>
      </c>
      <c r="G124" s="17">
        <v>307.27999999999997</v>
      </c>
      <c r="H124" s="18">
        <f t="shared" si="5"/>
        <v>293.69811645199997</v>
      </c>
      <c r="I124" s="18">
        <f t="shared" si="6"/>
        <v>372.61480034265236</v>
      </c>
      <c r="J124" s="91">
        <f t="shared" si="17"/>
        <v>7824.9108071956998</v>
      </c>
      <c r="L124" s="19">
        <v>0.26869999999999999</v>
      </c>
      <c r="M124" s="19">
        <v>4.4200349999999999E-2</v>
      </c>
    </row>
    <row r="125" spans="1:13" ht="15.75" customHeight="1">
      <c r="A125" s="14" t="s">
        <v>270</v>
      </c>
      <c r="B125" s="14" t="s">
        <v>271</v>
      </c>
      <c r="C125" s="14" t="s">
        <v>17</v>
      </c>
      <c r="D125" s="14" t="s">
        <v>272</v>
      </c>
      <c r="E125" s="15" t="s">
        <v>23</v>
      </c>
      <c r="F125" s="16">
        <v>0.5</v>
      </c>
      <c r="G125" s="17">
        <v>694.78</v>
      </c>
      <c r="H125" s="18">
        <f t="shared" si="5"/>
        <v>664.07048082699998</v>
      </c>
      <c r="I125" s="18">
        <f t="shared" si="6"/>
        <v>842.50621902521493</v>
      </c>
      <c r="J125" s="91">
        <f t="shared" si="17"/>
        <v>421.25310951260747</v>
      </c>
      <c r="L125" s="19">
        <v>0.26869999999999999</v>
      </c>
      <c r="M125" s="19">
        <v>4.4200349999999999E-2</v>
      </c>
    </row>
    <row r="126" spans="1:13" ht="15.75" customHeight="1">
      <c r="A126" s="14" t="s">
        <v>273</v>
      </c>
      <c r="B126" s="26">
        <v>100705</v>
      </c>
      <c r="C126" s="14" t="s">
        <v>32</v>
      </c>
      <c r="D126" s="14" t="s">
        <v>274</v>
      </c>
      <c r="E126" s="15" t="s">
        <v>34</v>
      </c>
      <c r="F126" s="16">
        <v>15</v>
      </c>
      <c r="G126" s="16">
        <v>87.38</v>
      </c>
      <c r="H126" s="18">
        <f t="shared" si="5"/>
        <v>83.517773417000001</v>
      </c>
      <c r="I126" s="18">
        <f t="shared" si="6"/>
        <v>105.9589991341479</v>
      </c>
      <c r="J126" s="91">
        <f t="shared" si="17"/>
        <v>1589.3849870122185</v>
      </c>
      <c r="L126" s="19">
        <v>0.26869999999999999</v>
      </c>
      <c r="M126" s="19">
        <v>4.4200349999999999E-2</v>
      </c>
    </row>
    <row r="127" spans="1:13" ht="15.75" customHeight="1">
      <c r="A127" s="14" t="s">
        <v>275</v>
      </c>
      <c r="B127" s="14" t="s">
        <v>276</v>
      </c>
      <c r="C127" s="14" t="s">
        <v>17</v>
      </c>
      <c r="D127" s="14" t="s">
        <v>277</v>
      </c>
      <c r="E127" s="15" t="s">
        <v>34</v>
      </c>
      <c r="F127" s="16">
        <v>43</v>
      </c>
      <c r="G127" s="17">
        <v>123.9</v>
      </c>
      <c r="H127" s="18">
        <f t="shared" si="5"/>
        <v>118.423576635</v>
      </c>
      <c r="I127" s="18">
        <f t="shared" si="6"/>
        <v>150.24399167682449</v>
      </c>
      <c r="J127" s="91">
        <f t="shared" si="17"/>
        <v>6460.4916421034532</v>
      </c>
      <c r="L127" s="19">
        <v>0.26869999999999999</v>
      </c>
      <c r="M127" s="19">
        <v>4.4200349999999999E-2</v>
      </c>
    </row>
    <row r="128" spans="1:13" ht="32.25" customHeight="1">
      <c r="A128" s="28">
        <v>8</v>
      </c>
      <c r="B128" s="29"/>
      <c r="C128" s="29"/>
      <c r="D128" s="30" t="s">
        <v>278</v>
      </c>
      <c r="E128" s="29"/>
      <c r="F128" s="29"/>
      <c r="G128" s="29"/>
      <c r="H128" s="29"/>
      <c r="I128" s="29"/>
      <c r="J128" s="31">
        <f>J129+J133</f>
        <v>105077.27147250774</v>
      </c>
      <c r="L128" s="25"/>
      <c r="M128" s="19">
        <v>4.4200349999999999E-2</v>
      </c>
    </row>
    <row r="129" spans="1:13" ht="15.75" customHeight="1">
      <c r="A129" s="11" t="s">
        <v>279</v>
      </c>
      <c r="B129" s="12"/>
      <c r="C129" s="12"/>
      <c r="D129" s="11" t="s">
        <v>280</v>
      </c>
      <c r="E129" s="12"/>
      <c r="F129" s="12"/>
      <c r="G129" s="12"/>
      <c r="H129" s="12"/>
      <c r="I129" s="12"/>
      <c r="J129" s="24">
        <f>SUM(J130:J132)</f>
        <v>65233.525277242516</v>
      </c>
      <c r="L129" s="25"/>
      <c r="M129" s="19">
        <v>4.4200349999999999E-2</v>
      </c>
    </row>
    <row r="130" spans="1:13" ht="15.75" customHeight="1">
      <c r="A130" s="14" t="s">
        <v>281</v>
      </c>
      <c r="B130" s="26">
        <v>87905</v>
      </c>
      <c r="C130" s="14" t="s">
        <v>32</v>
      </c>
      <c r="D130" s="14" t="s">
        <v>282</v>
      </c>
      <c r="E130" s="27" t="s">
        <v>23</v>
      </c>
      <c r="F130" s="21">
        <v>1777.54</v>
      </c>
      <c r="G130" s="16">
        <v>7.8</v>
      </c>
      <c r="H130" s="18">
        <f t="shared" si="5"/>
        <v>7.4552372699999996</v>
      </c>
      <c r="I130" s="18">
        <f t="shared" si="6"/>
        <v>9.4584595244489993</v>
      </c>
      <c r="J130" s="91">
        <f t="shared" ref="J130:J134" si="18">I130*F130</f>
        <v>16812.790143089074</v>
      </c>
      <c r="L130" s="19">
        <v>0.26869999999999999</v>
      </c>
      <c r="M130" s="19">
        <v>4.4200349999999999E-2</v>
      </c>
    </row>
    <row r="131" spans="1:13" ht="15.75" customHeight="1">
      <c r="A131" s="14" t="s">
        <v>283</v>
      </c>
      <c r="B131" s="26">
        <v>104958</v>
      </c>
      <c r="C131" s="14" t="s">
        <v>32</v>
      </c>
      <c r="D131" s="14" t="s">
        <v>284</v>
      </c>
      <c r="E131" s="27" t="s">
        <v>23</v>
      </c>
      <c r="F131" s="21">
        <v>1591.19</v>
      </c>
      <c r="G131" s="16">
        <v>22.53</v>
      </c>
      <c r="H131" s="18">
        <f t="shared" si="5"/>
        <v>21.5341661145</v>
      </c>
      <c r="I131" s="18">
        <f t="shared" si="6"/>
        <v>27.32039654946615</v>
      </c>
      <c r="J131" s="91">
        <f t="shared" si="18"/>
        <v>43471.941785545045</v>
      </c>
      <c r="L131" s="19">
        <v>0.26869999999999999</v>
      </c>
      <c r="M131" s="19">
        <v>4.4200349999999999E-2</v>
      </c>
    </row>
    <row r="132" spans="1:13" ht="15.75" customHeight="1">
      <c r="A132" s="14" t="s">
        <v>285</v>
      </c>
      <c r="B132" s="26">
        <v>87553</v>
      </c>
      <c r="C132" s="14" t="s">
        <v>32</v>
      </c>
      <c r="D132" s="14" t="s">
        <v>286</v>
      </c>
      <c r="E132" s="27" t="s">
        <v>23</v>
      </c>
      <c r="F132" s="16">
        <v>186.35</v>
      </c>
      <c r="G132" s="16">
        <v>21.9</v>
      </c>
      <c r="H132" s="18">
        <f t="shared" si="5"/>
        <v>20.932012335</v>
      </c>
      <c r="I132" s="18">
        <f t="shared" si="6"/>
        <v>26.556444049414498</v>
      </c>
      <c r="J132" s="91">
        <f t="shared" si="18"/>
        <v>4948.7933486083912</v>
      </c>
      <c r="L132" s="19">
        <v>0.26869999999999999</v>
      </c>
      <c r="M132" s="19">
        <v>4.4200349999999999E-2</v>
      </c>
    </row>
    <row r="133" spans="1:13" ht="15.75" customHeight="1">
      <c r="A133" s="11" t="s">
        <v>287</v>
      </c>
      <c r="B133" s="12"/>
      <c r="C133" s="12"/>
      <c r="D133" s="11" t="s">
        <v>288</v>
      </c>
      <c r="E133" s="12"/>
      <c r="F133" s="12"/>
      <c r="G133" s="12"/>
      <c r="H133" s="12"/>
      <c r="I133" s="12"/>
      <c r="J133" s="24">
        <f>J134</f>
        <v>39843.746195265216</v>
      </c>
      <c r="L133" s="25"/>
      <c r="M133" s="19">
        <v>4.4200349999999999E-2</v>
      </c>
    </row>
    <row r="134" spans="1:13" ht="15.75" customHeight="1">
      <c r="A134" s="14" t="s">
        <v>289</v>
      </c>
      <c r="B134" s="26">
        <v>104611</v>
      </c>
      <c r="C134" s="14" t="s">
        <v>32</v>
      </c>
      <c r="D134" s="14" t="s">
        <v>290</v>
      </c>
      <c r="E134" s="27" t="s">
        <v>23</v>
      </c>
      <c r="F134" s="16">
        <v>300.48</v>
      </c>
      <c r="G134" s="16">
        <v>109.35</v>
      </c>
      <c r="H134" s="18">
        <f t="shared" si="5"/>
        <v>104.51669172749999</v>
      </c>
      <c r="I134" s="18">
        <f t="shared" si="6"/>
        <v>132.60032679467923</v>
      </c>
      <c r="J134" s="91">
        <f t="shared" si="18"/>
        <v>39843.746195265216</v>
      </c>
      <c r="L134" s="19">
        <v>0.26869999999999999</v>
      </c>
      <c r="M134" s="19">
        <v>4.4200349999999999E-2</v>
      </c>
    </row>
    <row r="135" spans="1:13" ht="33" customHeight="1">
      <c r="A135" s="28">
        <v>9</v>
      </c>
      <c r="B135" s="29"/>
      <c r="C135" s="29"/>
      <c r="D135" s="30" t="s">
        <v>291</v>
      </c>
      <c r="E135" s="29"/>
      <c r="F135" s="29"/>
      <c r="G135" s="29"/>
      <c r="H135" s="29"/>
      <c r="I135" s="29"/>
      <c r="J135" s="31">
        <f>J136+J139+J142</f>
        <v>138994.44684988973</v>
      </c>
      <c r="L135" s="25"/>
      <c r="M135" s="19">
        <v>4.4200349999999999E-2</v>
      </c>
    </row>
    <row r="136" spans="1:13" ht="15.75" customHeight="1">
      <c r="A136" s="11" t="s">
        <v>292</v>
      </c>
      <c r="B136" s="12"/>
      <c r="C136" s="12"/>
      <c r="D136" s="11" t="s">
        <v>280</v>
      </c>
      <c r="E136" s="12"/>
      <c r="F136" s="12"/>
      <c r="G136" s="12"/>
      <c r="H136" s="12"/>
      <c r="I136" s="12"/>
      <c r="J136" s="24">
        <f>SUM(J137:J138)</f>
        <v>83398.508677652368</v>
      </c>
      <c r="L136" s="25"/>
      <c r="M136" s="19">
        <v>4.4200349999999999E-2</v>
      </c>
    </row>
    <row r="137" spans="1:13" ht="15.75" customHeight="1">
      <c r="A137" s="14" t="s">
        <v>293</v>
      </c>
      <c r="B137" s="26">
        <v>94995</v>
      </c>
      <c r="C137" s="14" t="s">
        <v>32</v>
      </c>
      <c r="D137" s="14" t="s">
        <v>294</v>
      </c>
      <c r="E137" s="27" t="s">
        <v>23</v>
      </c>
      <c r="F137" s="16">
        <v>568.25</v>
      </c>
      <c r="G137" s="16">
        <v>88.94</v>
      </c>
      <c r="H137" s="18">
        <f t="shared" ref="H137:H200" si="19">G137-(G137*M137)</f>
        <v>85.008820870999998</v>
      </c>
      <c r="I137" s="18">
        <f t="shared" ref="I137:I200" si="20">H137+(H137*L137)</f>
        <v>107.8506910390377</v>
      </c>
      <c r="J137" s="91">
        <f>I137*F137</f>
        <v>61286.155182933173</v>
      </c>
      <c r="L137" s="19">
        <v>0.26869999999999999</v>
      </c>
      <c r="M137" s="19">
        <v>4.4200349999999999E-2</v>
      </c>
    </row>
    <row r="138" spans="1:13" ht="15.75" customHeight="1">
      <c r="A138" s="14" t="s">
        <v>295</v>
      </c>
      <c r="B138" s="14" t="s">
        <v>296</v>
      </c>
      <c r="C138" s="14" t="s">
        <v>17</v>
      </c>
      <c r="D138" s="14" t="s">
        <v>297</v>
      </c>
      <c r="E138" s="15" t="s">
        <v>23</v>
      </c>
      <c r="F138" s="16">
        <v>568.25</v>
      </c>
      <c r="G138" s="17">
        <v>32.090000000000003</v>
      </c>
      <c r="H138" s="18">
        <f t="shared" si="19"/>
        <v>30.671610768500003</v>
      </c>
      <c r="I138" s="18">
        <f t="shared" si="20"/>
        <v>38.913072581995955</v>
      </c>
      <c r="J138" s="91">
        <f t="shared" ref="J138" si="21">I138*F138</f>
        <v>22112.353494719202</v>
      </c>
      <c r="L138" s="19">
        <v>0.26869999999999999</v>
      </c>
      <c r="M138" s="19">
        <v>4.4200349999999999E-2</v>
      </c>
    </row>
    <row r="139" spans="1:13" ht="15.75" customHeight="1">
      <c r="A139" s="11" t="s">
        <v>298</v>
      </c>
      <c r="B139" s="12"/>
      <c r="C139" s="12"/>
      <c r="D139" s="11" t="s">
        <v>299</v>
      </c>
      <c r="E139" s="12"/>
      <c r="F139" s="12"/>
      <c r="G139" s="12"/>
      <c r="H139" s="12"/>
      <c r="I139" s="12"/>
      <c r="J139" s="24">
        <f>SUM(J140:J141)</f>
        <v>48464.336328577418</v>
      </c>
      <c r="L139" s="25"/>
      <c r="M139" s="19">
        <v>4.4200349999999999E-2</v>
      </c>
    </row>
    <row r="140" spans="1:13" ht="15.75" customHeight="1">
      <c r="A140" s="14" t="s">
        <v>300</v>
      </c>
      <c r="B140" s="14" t="s">
        <v>301</v>
      </c>
      <c r="C140" s="14" t="s">
        <v>17</v>
      </c>
      <c r="D140" s="14" t="s">
        <v>302</v>
      </c>
      <c r="E140" s="15" t="s">
        <v>23</v>
      </c>
      <c r="F140" s="16">
        <v>457.67</v>
      </c>
      <c r="G140" s="17">
        <v>77.2</v>
      </c>
      <c r="H140" s="18">
        <f t="shared" si="19"/>
        <v>73.787732980000001</v>
      </c>
      <c r="I140" s="18">
        <f t="shared" si="20"/>
        <v>93.614496831726001</v>
      </c>
      <c r="J140" s="91">
        <f t="shared" ref="J140:J143" si="22">I140*F140</f>
        <v>42844.546764976039</v>
      </c>
      <c r="L140" s="19">
        <v>0.26869999999999999</v>
      </c>
      <c r="M140" s="19">
        <v>4.4200349999999999E-2</v>
      </c>
    </row>
    <row r="141" spans="1:13" ht="15.75" customHeight="1">
      <c r="A141" s="14" t="s">
        <v>303</v>
      </c>
      <c r="B141" s="14" t="s">
        <v>304</v>
      </c>
      <c r="C141" s="14" t="s">
        <v>17</v>
      </c>
      <c r="D141" s="14" t="s">
        <v>305</v>
      </c>
      <c r="E141" s="15" t="s">
        <v>23</v>
      </c>
      <c r="F141" s="16">
        <v>110.58</v>
      </c>
      <c r="G141" s="17">
        <v>41.91</v>
      </c>
      <c r="H141" s="18">
        <f t="shared" si="19"/>
        <v>40.057563331499999</v>
      </c>
      <c r="I141" s="18">
        <f t="shared" si="20"/>
        <v>50.821030598674049</v>
      </c>
      <c r="J141" s="91">
        <f t="shared" si="22"/>
        <v>5619.7895636013764</v>
      </c>
      <c r="L141" s="19">
        <v>0.26869999999999999</v>
      </c>
      <c r="M141" s="19">
        <v>4.4200349999999999E-2</v>
      </c>
    </row>
    <row r="142" spans="1:13" ht="15.75" customHeight="1">
      <c r="A142" s="11" t="s">
        <v>306</v>
      </c>
      <c r="B142" s="12"/>
      <c r="C142" s="12"/>
      <c r="D142" s="11" t="s">
        <v>307</v>
      </c>
      <c r="E142" s="12"/>
      <c r="F142" s="12"/>
      <c r="G142" s="12"/>
      <c r="H142" s="12"/>
      <c r="I142" s="12"/>
      <c r="J142" s="24">
        <f>J143</f>
        <v>7131.601843659937</v>
      </c>
      <c r="L142" s="25"/>
      <c r="M142" s="19">
        <v>4.4200349999999999E-2</v>
      </c>
    </row>
    <row r="143" spans="1:13" ht="15.75" customHeight="1">
      <c r="A143" s="14" t="s">
        <v>308</v>
      </c>
      <c r="B143" s="14" t="s">
        <v>309</v>
      </c>
      <c r="C143" s="14" t="s">
        <v>17</v>
      </c>
      <c r="D143" s="14" t="s">
        <v>310</v>
      </c>
      <c r="E143" s="15" t="s">
        <v>65</v>
      </c>
      <c r="F143" s="16">
        <v>290.57</v>
      </c>
      <c r="G143" s="17">
        <v>20.239999999999998</v>
      </c>
      <c r="H143" s="18">
        <f>G143-(G143*M143)</f>
        <v>19.345384915999997</v>
      </c>
      <c r="I143" s="18">
        <f>H143+(H143*L143)</f>
        <v>24.543489842929198</v>
      </c>
      <c r="J143" s="91">
        <f t="shared" si="22"/>
        <v>7131.601843659937</v>
      </c>
      <c r="L143" s="19">
        <v>0.26869999999999999</v>
      </c>
      <c r="M143" s="19">
        <v>4.4200349999999999E-2</v>
      </c>
    </row>
    <row r="144" spans="1:13" ht="30.75" customHeight="1">
      <c r="A144" s="28">
        <v>10</v>
      </c>
      <c r="B144" s="29"/>
      <c r="C144" s="29"/>
      <c r="D144" s="30" t="s">
        <v>311</v>
      </c>
      <c r="E144" s="29"/>
      <c r="F144" s="29"/>
      <c r="G144" s="29"/>
      <c r="H144" s="29"/>
      <c r="I144" s="29"/>
      <c r="J144" s="31">
        <f>J145</f>
        <v>37635.54513173498</v>
      </c>
      <c r="L144" s="25"/>
      <c r="M144" s="19">
        <v>4.4200349999999999E-2</v>
      </c>
    </row>
    <row r="145" spans="1:13" ht="15.75" customHeight="1">
      <c r="A145" s="11" t="s">
        <v>312</v>
      </c>
      <c r="B145" s="12"/>
      <c r="C145" s="12"/>
      <c r="D145" s="11" t="s">
        <v>280</v>
      </c>
      <c r="E145" s="12"/>
      <c r="F145" s="12"/>
      <c r="G145" s="12"/>
      <c r="H145" s="12"/>
      <c r="I145" s="12"/>
      <c r="J145" s="24">
        <f>J146</f>
        <v>37635.54513173498</v>
      </c>
      <c r="L145" s="25"/>
      <c r="M145" s="19">
        <v>4.4200349999999999E-2</v>
      </c>
    </row>
    <row r="146" spans="1:13" ht="15.75" customHeight="1">
      <c r="A146" s="14" t="s">
        <v>313</v>
      </c>
      <c r="B146" s="26">
        <v>94991</v>
      </c>
      <c r="C146" s="14" t="s">
        <v>32</v>
      </c>
      <c r="D146" s="14" t="s">
        <v>314</v>
      </c>
      <c r="E146" s="27" t="s">
        <v>44</v>
      </c>
      <c r="F146" s="16">
        <v>40.450000000000003</v>
      </c>
      <c r="G146" s="16">
        <v>767.28</v>
      </c>
      <c r="H146" s="18">
        <f t="shared" si="19"/>
        <v>733.36595545199998</v>
      </c>
      <c r="I146" s="18">
        <f t="shared" si="20"/>
        <v>930.42138768195241</v>
      </c>
      <c r="J146" s="91">
        <f t="shared" ref="J146" si="23">I146*F146</f>
        <v>37635.54513173498</v>
      </c>
      <c r="L146" s="19">
        <v>0.26869999999999999</v>
      </c>
      <c r="M146" s="19">
        <v>4.4200349999999999E-2</v>
      </c>
    </row>
    <row r="147" spans="1:13" ht="32.25" customHeight="1">
      <c r="A147" s="28">
        <v>11</v>
      </c>
      <c r="B147" s="29"/>
      <c r="C147" s="29"/>
      <c r="D147" s="30" t="s">
        <v>315</v>
      </c>
      <c r="E147" s="29"/>
      <c r="F147" s="29"/>
      <c r="G147" s="29"/>
      <c r="H147" s="29"/>
      <c r="I147" s="29"/>
      <c r="J147" s="31">
        <f>J148</f>
        <v>45069.658947824493</v>
      </c>
      <c r="L147" s="25"/>
      <c r="M147" s="19">
        <v>4.4200349999999999E-2</v>
      </c>
    </row>
    <row r="148" spans="1:13" ht="15.75" customHeight="1">
      <c r="A148" s="11" t="s">
        <v>316</v>
      </c>
      <c r="B148" s="12"/>
      <c r="C148" s="12"/>
      <c r="D148" s="11" t="s">
        <v>317</v>
      </c>
      <c r="E148" s="12"/>
      <c r="F148" s="12"/>
      <c r="G148" s="12"/>
      <c r="H148" s="12"/>
      <c r="I148" s="12"/>
      <c r="J148" s="24">
        <f>J149</f>
        <v>45069.658947824493</v>
      </c>
      <c r="L148" s="25"/>
      <c r="M148" s="19">
        <v>4.4200349999999999E-2</v>
      </c>
    </row>
    <row r="149" spans="1:13" ht="15.75" customHeight="1">
      <c r="A149" s="14" t="s">
        <v>318</v>
      </c>
      <c r="B149" s="26">
        <v>96114</v>
      </c>
      <c r="C149" s="14" t="s">
        <v>32</v>
      </c>
      <c r="D149" s="14" t="s">
        <v>319</v>
      </c>
      <c r="E149" s="27" t="s">
        <v>23</v>
      </c>
      <c r="F149" s="16">
        <v>502.19</v>
      </c>
      <c r="G149" s="16">
        <v>74.010000000000005</v>
      </c>
      <c r="H149" s="18">
        <f t="shared" si="19"/>
        <v>70.738732096500001</v>
      </c>
      <c r="I149" s="18">
        <f t="shared" si="20"/>
        <v>89.746229410829557</v>
      </c>
      <c r="J149" s="91">
        <f t="shared" ref="J149" si="24">I149*F149</f>
        <v>45069.658947824493</v>
      </c>
      <c r="L149" s="19">
        <v>0.26869999999999999</v>
      </c>
      <c r="M149" s="19">
        <v>4.4200349999999999E-2</v>
      </c>
    </row>
    <row r="150" spans="1:13" ht="30.75" customHeight="1">
      <c r="A150" s="28">
        <v>12</v>
      </c>
      <c r="B150" s="29"/>
      <c r="C150" s="29"/>
      <c r="D150" s="30" t="s">
        <v>320</v>
      </c>
      <c r="E150" s="29"/>
      <c r="F150" s="29"/>
      <c r="G150" s="29"/>
      <c r="H150" s="29"/>
      <c r="I150" s="29"/>
      <c r="J150" s="31">
        <f>J151+J157+J160</f>
        <v>82409.806808889101</v>
      </c>
      <c r="L150" s="25"/>
      <c r="M150" s="19">
        <v>4.4200349999999999E-2</v>
      </c>
    </row>
    <row r="151" spans="1:13" ht="15.75" customHeight="1">
      <c r="A151" s="11" t="s">
        <v>321</v>
      </c>
      <c r="B151" s="12"/>
      <c r="C151" s="12"/>
      <c r="D151" s="11" t="s">
        <v>322</v>
      </c>
      <c r="E151" s="12"/>
      <c r="F151" s="12"/>
      <c r="G151" s="12"/>
      <c r="H151" s="12"/>
      <c r="I151" s="12"/>
      <c r="J151" s="24">
        <f>SUM(J152:J156)</f>
        <v>58222.592398736371</v>
      </c>
      <c r="L151" s="25"/>
      <c r="M151" s="19">
        <v>4.4200349999999999E-2</v>
      </c>
    </row>
    <row r="152" spans="1:13" ht="15.75" customHeight="1">
      <c r="A152" s="14" t="s">
        <v>323</v>
      </c>
      <c r="B152" s="26">
        <v>88485</v>
      </c>
      <c r="C152" s="14" t="s">
        <v>32</v>
      </c>
      <c r="D152" s="14" t="s">
        <v>324</v>
      </c>
      <c r="E152" s="27" t="s">
        <v>23</v>
      </c>
      <c r="F152" s="16">
        <v>553.80999999999995</v>
      </c>
      <c r="G152" s="16">
        <v>3.83</v>
      </c>
      <c r="H152" s="18">
        <f t="shared" si="19"/>
        <v>3.6607126595000001</v>
      </c>
      <c r="I152" s="18">
        <f t="shared" si="20"/>
        <v>4.6443461511076505</v>
      </c>
      <c r="J152" s="91">
        <f t="shared" ref="J152:J156" si="25">I152*F152</f>
        <v>2572.0853419449277</v>
      </c>
      <c r="L152" s="19">
        <v>0.26869999999999999</v>
      </c>
      <c r="M152" s="19">
        <v>4.4200349999999999E-2</v>
      </c>
    </row>
    <row r="153" spans="1:13" ht="15.75" customHeight="1">
      <c r="A153" s="14" t="s">
        <v>325</v>
      </c>
      <c r="B153" s="26">
        <v>88495</v>
      </c>
      <c r="C153" s="14" t="s">
        <v>32</v>
      </c>
      <c r="D153" s="14" t="s">
        <v>326</v>
      </c>
      <c r="E153" s="27" t="s">
        <v>23</v>
      </c>
      <c r="F153" s="21">
        <v>1442.83</v>
      </c>
      <c r="G153" s="16">
        <v>10.77</v>
      </c>
      <c r="H153" s="18">
        <f t="shared" si="19"/>
        <v>10.2939622305</v>
      </c>
      <c r="I153" s="18">
        <f t="shared" si="20"/>
        <v>13.059949881835351</v>
      </c>
      <c r="J153" s="91">
        <f t="shared" si="25"/>
        <v>18843.2874880085</v>
      </c>
      <c r="L153" s="19">
        <v>0.26869999999999999</v>
      </c>
      <c r="M153" s="19">
        <v>4.4200349999999999E-2</v>
      </c>
    </row>
    <row r="154" spans="1:13" ht="15.75" customHeight="1">
      <c r="A154" s="14" t="s">
        <v>327</v>
      </c>
      <c r="B154" s="26">
        <v>96130</v>
      </c>
      <c r="C154" s="14" t="s">
        <v>32</v>
      </c>
      <c r="D154" s="14" t="s">
        <v>328</v>
      </c>
      <c r="E154" s="27" t="s">
        <v>23</v>
      </c>
      <c r="F154" s="16">
        <v>553.80999999999995</v>
      </c>
      <c r="G154" s="16">
        <v>17.57</v>
      </c>
      <c r="H154" s="18">
        <f t="shared" si="19"/>
        <v>16.793399850500002</v>
      </c>
      <c r="I154" s="18">
        <f t="shared" si="20"/>
        <v>21.305786390329352</v>
      </c>
      <c r="J154" s="91">
        <f t="shared" si="25"/>
        <v>11799.357560828297</v>
      </c>
      <c r="L154" s="19">
        <v>0.26869999999999999</v>
      </c>
      <c r="M154" s="19">
        <v>4.4200349999999999E-2</v>
      </c>
    </row>
    <row r="155" spans="1:13" ht="15.75" customHeight="1">
      <c r="A155" s="14" t="s">
        <v>329</v>
      </c>
      <c r="B155" s="26">
        <v>104641</v>
      </c>
      <c r="C155" s="14" t="s">
        <v>32</v>
      </c>
      <c r="D155" s="14" t="s">
        <v>330</v>
      </c>
      <c r="E155" s="27" t="s">
        <v>23</v>
      </c>
      <c r="F155" s="21">
        <v>1442.83</v>
      </c>
      <c r="G155" s="16">
        <v>9.15</v>
      </c>
      <c r="H155" s="18">
        <f t="shared" si="19"/>
        <v>8.7455667975000004</v>
      </c>
      <c r="I155" s="18">
        <f t="shared" si="20"/>
        <v>11.09550059598825</v>
      </c>
      <c r="J155" s="91">
        <f t="shared" si="25"/>
        <v>16008.921124909726</v>
      </c>
      <c r="L155" s="19">
        <v>0.26869999999999999</v>
      </c>
      <c r="M155" s="19">
        <v>4.4200349999999999E-2</v>
      </c>
    </row>
    <row r="156" spans="1:13" ht="15.75" customHeight="1">
      <c r="A156" s="14" t="s">
        <v>331</v>
      </c>
      <c r="B156" s="26">
        <v>95305</v>
      </c>
      <c r="C156" s="14" t="s">
        <v>32</v>
      </c>
      <c r="D156" s="14" t="s">
        <v>332</v>
      </c>
      <c r="E156" s="27" t="s">
        <v>23</v>
      </c>
      <c r="F156" s="16">
        <v>553.80999999999995</v>
      </c>
      <c r="G156" s="16">
        <v>13.4</v>
      </c>
      <c r="H156" s="18">
        <f t="shared" si="19"/>
        <v>12.807715310000001</v>
      </c>
      <c r="I156" s="18">
        <f t="shared" si="20"/>
        <v>16.249148413797002</v>
      </c>
      <c r="J156" s="91">
        <f t="shared" si="25"/>
        <v>8998.9408830449174</v>
      </c>
      <c r="L156" s="19">
        <v>0.26869999999999999</v>
      </c>
      <c r="M156" s="19">
        <v>4.4200349999999999E-2</v>
      </c>
    </row>
    <row r="157" spans="1:13" ht="15.75" customHeight="1">
      <c r="A157" s="11" t="s">
        <v>333</v>
      </c>
      <c r="B157" s="12"/>
      <c r="C157" s="12"/>
      <c r="D157" s="11" t="s">
        <v>334</v>
      </c>
      <c r="E157" s="12"/>
      <c r="F157" s="12"/>
      <c r="G157" s="12"/>
      <c r="H157" s="12"/>
      <c r="I157" s="12"/>
      <c r="J157" s="24">
        <f>SUM(J158:J159)</f>
        <v>19164.196285475431</v>
      </c>
      <c r="L157" s="25"/>
      <c r="M157" s="19">
        <v>4.4200349999999999E-2</v>
      </c>
    </row>
    <row r="158" spans="1:13" ht="15.75" customHeight="1">
      <c r="A158" s="14" t="s">
        <v>335</v>
      </c>
      <c r="B158" s="26">
        <v>88494</v>
      </c>
      <c r="C158" s="14" t="s">
        <v>32</v>
      </c>
      <c r="D158" s="14" t="s">
        <v>336</v>
      </c>
      <c r="E158" s="27" t="s">
        <v>23</v>
      </c>
      <c r="F158" s="16">
        <v>502.19</v>
      </c>
      <c r="G158" s="16">
        <v>20.04</v>
      </c>
      <c r="H158" s="18">
        <f t="shared" si="19"/>
        <v>19.154224985999999</v>
      </c>
      <c r="I158" s="18">
        <f t="shared" si="20"/>
        <v>24.300965239738197</v>
      </c>
      <c r="J158" s="91">
        <f t="shared" ref="J158:J159" si="26">I158*F158</f>
        <v>12203.701733744125</v>
      </c>
      <c r="L158" s="19">
        <v>0.26869999999999999</v>
      </c>
      <c r="M158" s="19">
        <v>4.4200349999999999E-2</v>
      </c>
    </row>
    <row r="159" spans="1:13" ht="15.75" customHeight="1">
      <c r="A159" s="14" t="s">
        <v>337</v>
      </c>
      <c r="B159" s="26">
        <v>104639</v>
      </c>
      <c r="C159" s="14" t="s">
        <v>32</v>
      </c>
      <c r="D159" s="14" t="s">
        <v>338</v>
      </c>
      <c r="E159" s="27" t="s">
        <v>23</v>
      </c>
      <c r="F159" s="16">
        <v>502.19</v>
      </c>
      <c r="G159" s="16">
        <v>11.43</v>
      </c>
      <c r="H159" s="18">
        <f t="shared" si="19"/>
        <v>10.9247899995</v>
      </c>
      <c r="I159" s="18">
        <f t="shared" si="20"/>
        <v>13.86028107236565</v>
      </c>
      <c r="J159" s="91">
        <f t="shared" si="26"/>
        <v>6960.4945517313054</v>
      </c>
      <c r="L159" s="19">
        <v>0.26869999999999999</v>
      </c>
      <c r="M159" s="19">
        <v>4.4200349999999999E-2</v>
      </c>
    </row>
    <row r="160" spans="1:13" ht="26.25" customHeight="1">
      <c r="A160" s="11" t="s">
        <v>339</v>
      </c>
      <c r="B160" s="32"/>
      <c r="C160" s="32"/>
      <c r="D160" s="11" t="s">
        <v>340</v>
      </c>
      <c r="E160" s="32"/>
      <c r="F160" s="32"/>
      <c r="G160" s="32"/>
      <c r="H160" s="12"/>
      <c r="I160" s="12"/>
      <c r="J160" s="24">
        <f>SUM(J161:J162)</f>
        <v>5023.0181246772991</v>
      </c>
      <c r="L160" s="25"/>
      <c r="M160" s="19">
        <v>4.4200349999999999E-2</v>
      </c>
    </row>
    <row r="161" spans="1:13" ht="15.75" customHeight="1">
      <c r="A161" s="14" t="s">
        <v>341</v>
      </c>
      <c r="B161" s="26">
        <v>102197</v>
      </c>
      <c r="C161" s="14" t="s">
        <v>32</v>
      </c>
      <c r="D161" s="14" t="s">
        <v>342</v>
      </c>
      <c r="E161" s="27" t="s">
        <v>23</v>
      </c>
      <c r="F161" s="16">
        <v>107.83</v>
      </c>
      <c r="G161" s="16">
        <v>22.17</v>
      </c>
      <c r="H161" s="18">
        <f t="shared" si="19"/>
        <v>21.1900782405</v>
      </c>
      <c r="I161" s="18">
        <f t="shared" si="20"/>
        <v>26.88385226372235</v>
      </c>
      <c r="J161" s="91">
        <f t="shared" ref="J161:J162" si="27">I161*F161</f>
        <v>2898.885789597181</v>
      </c>
      <c r="L161" s="19">
        <v>0.26869999999999999</v>
      </c>
      <c r="M161" s="19">
        <v>4.4200349999999999E-2</v>
      </c>
    </row>
    <row r="162" spans="1:13" ht="15.75" customHeight="1">
      <c r="A162" s="14" t="s">
        <v>343</v>
      </c>
      <c r="B162" s="26">
        <v>102219</v>
      </c>
      <c r="C162" s="14" t="s">
        <v>32</v>
      </c>
      <c r="D162" s="14" t="s">
        <v>344</v>
      </c>
      <c r="E162" s="27" t="s">
        <v>23</v>
      </c>
      <c r="F162" s="16">
        <v>106.81</v>
      </c>
      <c r="G162" s="16">
        <v>16.399999999999999</v>
      </c>
      <c r="H162" s="18">
        <f t="shared" si="19"/>
        <v>15.675114259999999</v>
      </c>
      <c r="I162" s="18">
        <f t="shared" si="20"/>
        <v>19.887017461661998</v>
      </c>
      <c r="J162" s="91">
        <f t="shared" si="27"/>
        <v>2124.1323350801181</v>
      </c>
      <c r="L162" s="19">
        <v>0.26869999999999999</v>
      </c>
      <c r="M162" s="19">
        <v>4.4200349999999999E-2</v>
      </c>
    </row>
    <row r="163" spans="1:13" ht="33" customHeight="1">
      <c r="A163" s="28">
        <v>13</v>
      </c>
      <c r="B163" s="29"/>
      <c r="C163" s="29"/>
      <c r="D163" s="30" t="s">
        <v>345</v>
      </c>
      <c r="E163" s="29"/>
      <c r="F163" s="29"/>
      <c r="G163" s="29"/>
      <c r="H163" s="29"/>
      <c r="I163" s="29"/>
      <c r="J163" s="31">
        <f>SUM(J164:J165)</f>
        <v>8379.8121923133749</v>
      </c>
      <c r="L163" s="25"/>
      <c r="M163" s="19">
        <v>4.4200349999999999E-2</v>
      </c>
    </row>
    <row r="164" spans="1:13" ht="15.75" customHeight="1">
      <c r="A164" s="14" t="s">
        <v>346</v>
      </c>
      <c r="B164" s="14" t="s">
        <v>347</v>
      </c>
      <c r="C164" s="14" t="s">
        <v>17</v>
      </c>
      <c r="D164" s="14" t="s">
        <v>348</v>
      </c>
      <c r="E164" s="15" t="s">
        <v>23</v>
      </c>
      <c r="F164" s="16">
        <v>19.02</v>
      </c>
      <c r="G164" s="17">
        <v>65.510000000000005</v>
      </c>
      <c r="H164" s="18">
        <f t="shared" si="19"/>
        <v>62.614435071500004</v>
      </c>
      <c r="I164" s="18">
        <f t="shared" si="20"/>
        <v>79.438933775212064</v>
      </c>
      <c r="J164" s="91">
        <f t="shared" ref="J164:J165" si="28">I164*F164</f>
        <v>1510.9285204045334</v>
      </c>
      <c r="L164" s="19">
        <v>0.26869999999999999</v>
      </c>
      <c r="M164" s="19">
        <v>4.4200349999999999E-2</v>
      </c>
    </row>
    <row r="165" spans="1:13" ht="15.75" customHeight="1">
      <c r="A165" s="14" t="s">
        <v>349</v>
      </c>
      <c r="B165" s="14">
        <v>101965</v>
      </c>
      <c r="C165" s="14" t="s">
        <v>32</v>
      </c>
      <c r="D165" s="14" t="s">
        <v>350</v>
      </c>
      <c r="E165" s="27" t="s">
        <v>65</v>
      </c>
      <c r="F165" s="16">
        <v>40.4</v>
      </c>
      <c r="G165" s="16">
        <v>140.21</v>
      </c>
      <c r="H165" s="18">
        <f t="shared" si="19"/>
        <v>134.0126689265</v>
      </c>
      <c r="I165" s="18">
        <f t="shared" si="20"/>
        <v>170.02187306705054</v>
      </c>
      <c r="J165" s="91">
        <f t="shared" si="28"/>
        <v>6868.8836719088413</v>
      </c>
      <c r="L165" s="19">
        <v>0.26869999999999999</v>
      </c>
      <c r="M165" s="19">
        <v>4.4200349999999999E-2</v>
      </c>
    </row>
    <row r="166" spans="1:13" ht="30.75" customHeight="1">
      <c r="A166" s="28">
        <v>14</v>
      </c>
      <c r="B166" s="29"/>
      <c r="C166" s="29"/>
      <c r="D166" s="30" t="s">
        <v>351</v>
      </c>
      <c r="E166" s="29"/>
      <c r="F166" s="29"/>
      <c r="G166" s="29"/>
      <c r="H166" s="29"/>
      <c r="I166" s="29"/>
      <c r="J166" s="31">
        <f>J167+J169+J176</f>
        <v>63864.558169528929</v>
      </c>
      <c r="L166" s="25"/>
      <c r="M166" s="19">
        <v>4.4200349999999999E-2</v>
      </c>
    </row>
    <row r="167" spans="1:13" ht="15.75" customHeight="1">
      <c r="A167" s="11" t="s">
        <v>352</v>
      </c>
      <c r="B167" s="12"/>
      <c r="C167" s="12"/>
      <c r="D167" s="11" t="s">
        <v>353</v>
      </c>
      <c r="E167" s="12"/>
      <c r="F167" s="12"/>
      <c r="G167" s="12"/>
      <c r="H167" s="12"/>
      <c r="I167" s="12"/>
      <c r="J167" s="24">
        <f>J168</f>
        <v>398.7832050269613</v>
      </c>
      <c r="L167" s="25"/>
      <c r="M167" s="19">
        <v>4.4200349999999999E-2</v>
      </c>
    </row>
    <row r="168" spans="1:13" ht="15.75" customHeight="1">
      <c r="A168" s="14" t="s">
        <v>354</v>
      </c>
      <c r="B168" s="26">
        <v>100860</v>
      </c>
      <c r="C168" s="14" t="s">
        <v>32</v>
      </c>
      <c r="D168" s="14" t="s">
        <v>355</v>
      </c>
      <c r="E168" s="27" t="s">
        <v>34</v>
      </c>
      <c r="F168" s="16">
        <v>3</v>
      </c>
      <c r="G168" s="16">
        <v>109.62</v>
      </c>
      <c r="H168" s="18">
        <f t="shared" si="19"/>
        <v>104.77475763300001</v>
      </c>
      <c r="I168" s="18">
        <f t="shared" si="20"/>
        <v>132.9277350089871</v>
      </c>
      <c r="J168" s="91">
        <f t="shared" ref="J168:J192" si="29">I168*F168</f>
        <v>398.7832050269613</v>
      </c>
      <c r="L168" s="19">
        <v>0.26869999999999999</v>
      </c>
      <c r="M168" s="19">
        <v>4.4200349999999999E-2</v>
      </c>
    </row>
    <row r="169" spans="1:13" ht="15.75" customHeight="1">
      <c r="A169" s="11" t="s">
        <v>356</v>
      </c>
      <c r="B169" s="12"/>
      <c r="C169" s="12"/>
      <c r="D169" s="11" t="s">
        <v>357</v>
      </c>
      <c r="E169" s="12"/>
      <c r="F169" s="12"/>
      <c r="G169" s="12"/>
      <c r="H169" s="12"/>
      <c r="I169" s="12"/>
      <c r="J169" s="24">
        <f>SUM(J170:J175)</f>
        <v>22470.935215209713</v>
      </c>
      <c r="L169" s="25"/>
      <c r="M169" s="19">
        <v>4.4200349999999999E-2</v>
      </c>
    </row>
    <row r="170" spans="1:13" ht="15.75" customHeight="1">
      <c r="A170" s="14" t="s">
        <v>358</v>
      </c>
      <c r="B170" s="14">
        <v>86932</v>
      </c>
      <c r="C170" s="14" t="s">
        <v>32</v>
      </c>
      <c r="D170" s="14" t="s">
        <v>359</v>
      </c>
      <c r="E170" s="27" t="s">
        <v>34</v>
      </c>
      <c r="F170" s="16">
        <v>14</v>
      </c>
      <c r="G170" s="16">
        <v>559.87</v>
      </c>
      <c r="H170" s="18">
        <f t="shared" si="19"/>
        <v>535.1235500455</v>
      </c>
      <c r="I170" s="18">
        <f t="shared" si="20"/>
        <v>678.91124794272582</v>
      </c>
      <c r="J170" s="91">
        <f t="shared" si="29"/>
        <v>9504.7574711981615</v>
      </c>
      <c r="L170" s="19">
        <v>0.26869999999999999</v>
      </c>
      <c r="M170" s="19">
        <v>4.4200349999999999E-2</v>
      </c>
    </row>
    <row r="171" spans="1:13" ht="31.5" customHeight="1">
      <c r="A171" s="14" t="s">
        <v>360</v>
      </c>
      <c r="B171" s="14">
        <v>86939</v>
      </c>
      <c r="C171" s="14" t="s">
        <v>32</v>
      </c>
      <c r="D171" s="14" t="s">
        <v>361</v>
      </c>
      <c r="E171" s="27" t="s">
        <v>34</v>
      </c>
      <c r="F171" s="16">
        <v>9</v>
      </c>
      <c r="G171" s="16">
        <v>423.56</v>
      </c>
      <c r="H171" s="18">
        <f t="shared" si="19"/>
        <v>404.838499754</v>
      </c>
      <c r="I171" s="18">
        <f t="shared" si="20"/>
        <v>513.61860463789981</v>
      </c>
      <c r="J171" s="91">
        <f t="shared" si="29"/>
        <v>4622.5674417410983</v>
      </c>
      <c r="L171" s="19">
        <v>0.26869999999999999</v>
      </c>
      <c r="M171" s="19">
        <v>4.4200349999999999E-2</v>
      </c>
    </row>
    <row r="172" spans="1:13" ht="15.75" customHeight="1">
      <c r="A172" s="14" t="s">
        <v>362</v>
      </c>
      <c r="B172" s="14">
        <v>86919</v>
      </c>
      <c r="C172" s="14" t="s">
        <v>32</v>
      </c>
      <c r="D172" s="14" t="s">
        <v>363</v>
      </c>
      <c r="E172" s="27" t="s">
        <v>34</v>
      </c>
      <c r="F172" s="16">
        <v>3</v>
      </c>
      <c r="G172" s="16">
        <v>928.45</v>
      </c>
      <c r="H172" s="18">
        <f t="shared" si="19"/>
        <v>887.41218504250003</v>
      </c>
      <c r="I172" s="18">
        <f t="shared" si="20"/>
        <v>1125.8598391634198</v>
      </c>
      <c r="J172" s="91">
        <f t="shared" si="29"/>
        <v>3377.5795174902596</v>
      </c>
      <c r="L172" s="19">
        <v>0.26869999999999999</v>
      </c>
      <c r="M172" s="19">
        <v>4.4200349999999999E-2</v>
      </c>
    </row>
    <row r="173" spans="1:13" ht="15.75" customHeight="1">
      <c r="A173" s="14" t="s">
        <v>364</v>
      </c>
      <c r="B173" s="14">
        <v>100858</v>
      </c>
      <c r="C173" s="14" t="s">
        <v>32</v>
      </c>
      <c r="D173" s="14" t="s">
        <v>365</v>
      </c>
      <c r="E173" s="27" t="s">
        <v>34</v>
      </c>
      <c r="F173" s="16">
        <v>2</v>
      </c>
      <c r="G173" s="16">
        <v>704.21</v>
      </c>
      <c r="H173" s="18">
        <f t="shared" si="19"/>
        <v>673.08367152649998</v>
      </c>
      <c r="I173" s="18">
        <f t="shared" si="20"/>
        <v>853.94125406567059</v>
      </c>
      <c r="J173" s="91">
        <f t="shared" si="29"/>
        <v>1707.8825081313412</v>
      </c>
      <c r="L173" s="19">
        <v>0.26869999999999999</v>
      </c>
      <c r="M173" s="19">
        <v>4.4200349999999999E-2</v>
      </c>
    </row>
    <row r="174" spans="1:13" ht="15.75" customHeight="1">
      <c r="A174" s="14" t="s">
        <v>366</v>
      </c>
      <c r="B174" s="14" t="s">
        <v>367</v>
      </c>
      <c r="C174" s="14" t="s">
        <v>17</v>
      </c>
      <c r="D174" s="14" t="s">
        <v>368</v>
      </c>
      <c r="E174" s="15" t="s">
        <v>34</v>
      </c>
      <c r="F174" s="16">
        <v>1</v>
      </c>
      <c r="G174" s="17">
        <v>576.22</v>
      </c>
      <c r="H174" s="18">
        <f t="shared" si="19"/>
        <v>550.75087432300006</v>
      </c>
      <c r="I174" s="18">
        <f t="shared" si="20"/>
        <v>698.73763425359016</v>
      </c>
      <c r="J174" s="91">
        <f t="shared" si="29"/>
        <v>698.73763425359016</v>
      </c>
      <c r="L174" s="19">
        <v>0.26869999999999999</v>
      </c>
      <c r="M174" s="19">
        <v>4.4200349999999999E-2</v>
      </c>
    </row>
    <row r="175" spans="1:13" ht="15.75" customHeight="1">
      <c r="A175" s="14" t="s">
        <v>369</v>
      </c>
      <c r="B175" s="14">
        <v>86901</v>
      </c>
      <c r="C175" s="14" t="s">
        <v>32</v>
      </c>
      <c r="D175" s="14" t="s">
        <v>370</v>
      </c>
      <c r="E175" s="27" t="s">
        <v>34</v>
      </c>
      <c r="F175" s="16">
        <v>14</v>
      </c>
      <c r="G175" s="16">
        <v>150.76</v>
      </c>
      <c r="H175" s="18">
        <f t="shared" si="19"/>
        <v>144.09635523399999</v>
      </c>
      <c r="I175" s="18">
        <f t="shared" si="20"/>
        <v>182.81504588537578</v>
      </c>
      <c r="J175" s="91">
        <f t="shared" si="29"/>
        <v>2559.4106423952608</v>
      </c>
      <c r="L175" s="19">
        <v>0.26869999999999999</v>
      </c>
      <c r="M175" s="19">
        <v>4.4200349999999999E-2</v>
      </c>
    </row>
    <row r="176" spans="1:13" ht="15.75" customHeight="1">
      <c r="A176" s="11" t="s">
        <v>371</v>
      </c>
      <c r="B176" s="12"/>
      <c r="C176" s="12"/>
      <c r="D176" s="11" t="s">
        <v>372</v>
      </c>
      <c r="E176" s="12"/>
      <c r="F176" s="12"/>
      <c r="G176" s="12"/>
      <c r="H176" s="12"/>
      <c r="I176" s="12"/>
      <c r="J176" s="24">
        <f>SUM(J177:J192)</f>
        <v>40994.839749292252</v>
      </c>
      <c r="L176" s="25"/>
      <c r="M176" s="19">
        <v>4.4200349999999999E-2</v>
      </c>
    </row>
    <row r="177" spans="1:13" ht="15.75" customHeight="1">
      <c r="A177" s="14" t="s">
        <v>373</v>
      </c>
      <c r="B177" s="14" t="s">
        <v>374</v>
      </c>
      <c r="C177" s="14" t="s">
        <v>17</v>
      </c>
      <c r="D177" s="14" t="s">
        <v>375</v>
      </c>
      <c r="E177" s="15" t="s">
        <v>23</v>
      </c>
      <c r="F177" s="16">
        <v>1.48</v>
      </c>
      <c r="G177" s="20">
        <v>1561.64</v>
      </c>
      <c r="H177" s="18">
        <f t="shared" si="19"/>
        <v>1492.614965426</v>
      </c>
      <c r="I177" s="18">
        <f t="shared" si="20"/>
        <v>1893.6806066359663</v>
      </c>
      <c r="J177" s="91">
        <f t="shared" si="29"/>
        <v>2802.64729782123</v>
      </c>
      <c r="L177" s="19">
        <v>0.26869999999999999</v>
      </c>
      <c r="M177" s="19">
        <v>4.4200349999999999E-2</v>
      </c>
    </row>
    <row r="178" spans="1:13" ht="15.75" customHeight="1">
      <c r="A178" s="14" t="s">
        <v>376</v>
      </c>
      <c r="B178" s="14" t="s">
        <v>377</v>
      </c>
      <c r="C178" s="14" t="s">
        <v>17</v>
      </c>
      <c r="D178" s="14" t="s">
        <v>378</v>
      </c>
      <c r="E178" s="15" t="s">
        <v>34</v>
      </c>
      <c r="F178" s="16">
        <v>1</v>
      </c>
      <c r="G178" s="20">
        <v>2467.96</v>
      </c>
      <c r="H178" s="18">
        <f t="shared" si="19"/>
        <v>2358.8753042140002</v>
      </c>
      <c r="I178" s="18">
        <f t="shared" si="20"/>
        <v>2992.705098456302</v>
      </c>
      <c r="J178" s="91">
        <f t="shared" si="29"/>
        <v>2992.705098456302</v>
      </c>
      <c r="L178" s="19">
        <v>0.26869999999999999</v>
      </c>
      <c r="M178" s="19">
        <v>4.4200349999999999E-2</v>
      </c>
    </row>
    <row r="179" spans="1:13" ht="15.75" customHeight="1">
      <c r="A179" s="14" t="s">
        <v>379</v>
      </c>
      <c r="B179" s="14">
        <v>86900</v>
      </c>
      <c r="C179" s="14" t="s">
        <v>32</v>
      </c>
      <c r="D179" s="14" t="s">
        <v>380</v>
      </c>
      <c r="E179" s="15" t="s">
        <v>34</v>
      </c>
      <c r="F179" s="16">
        <v>10</v>
      </c>
      <c r="G179" s="16">
        <v>229.27</v>
      </c>
      <c r="H179" s="18">
        <f t="shared" si="19"/>
        <v>219.13618575550001</v>
      </c>
      <c r="I179" s="18">
        <f t="shared" si="20"/>
        <v>278.01807886800287</v>
      </c>
      <c r="J179" s="91">
        <f t="shared" si="29"/>
        <v>2780.1807886800289</v>
      </c>
      <c r="L179" s="19">
        <v>0.26869999999999999</v>
      </c>
      <c r="M179" s="19">
        <v>4.4200349999999999E-2</v>
      </c>
    </row>
    <row r="180" spans="1:13" ht="15.75" customHeight="1">
      <c r="A180" s="14" t="s">
        <v>381</v>
      </c>
      <c r="B180" s="14">
        <v>86909</v>
      </c>
      <c r="C180" s="14" t="s">
        <v>32</v>
      </c>
      <c r="D180" s="14" t="s">
        <v>382</v>
      </c>
      <c r="E180" s="15" t="s">
        <v>34</v>
      </c>
      <c r="F180" s="16">
        <v>5</v>
      </c>
      <c r="G180" s="16">
        <v>142.66999999999999</v>
      </c>
      <c r="H180" s="18">
        <f t="shared" si="19"/>
        <v>136.36393606549998</v>
      </c>
      <c r="I180" s="18">
        <f t="shared" si="20"/>
        <v>173.00492568629983</v>
      </c>
      <c r="J180" s="91">
        <f t="shared" si="29"/>
        <v>865.0246284314992</v>
      </c>
      <c r="L180" s="19">
        <v>0.26869999999999999</v>
      </c>
      <c r="M180" s="19">
        <v>4.4200349999999999E-2</v>
      </c>
    </row>
    <row r="181" spans="1:13" ht="15.75" customHeight="1">
      <c r="A181" s="14" t="s">
        <v>383</v>
      </c>
      <c r="B181" s="14">
        <v>86913</v>
      </c>
      <c r="C181" s="14" t="s">
        <v>32</v>
      </c>
      <c r="D181" s="14" t="s">
        <v>384</v>
      </c>
      <c r="E181" s="15" t="s">
        <v>34</v>
      </c>
      <c r="F181" s="16">
        <v>4</v>
      </c>
      <c r="G181" s="16">
        <v>59.96</v>
      </c>
      <c r="H181" s="18">
        <f t="shared" si="19"/>
        <v>57.309747014000003</v>
      </c>
      <c r="I181" s="18">
        <f t="shared" si="20"/>
        <v>72.708876036661806</v>
      </c>
      <c r="J181" s="91">
        <f t="shared" si="29"/>
        <v>290.83550414664722</v>
      </c>
      <c r="L181" s="19">
        <v>0.26869999999999999</v>
      </c>
      <c r="M181" s="19">
        <v>4.4200349999999999E-2</v>
      </c>
    </row>
    <row r="182" spans="1:13" ht="15.75" customHeight="1">
      <c r="A182" s="14" t="s">
        <v>385</v>
      </c>
      <c r="B182" s="14" t="s">
        <v>386</v>
      </c>
      <c r="C182" s="14" t="s">
        <v>17</v>
      </c>
      <c r="D182" s="14" t="s">
        <v>387</v>
      </c>
      <c r="E182" s="15" t="s">
        <v>34</v>
      </c>
      <c r="F182" s="16">
        <v>3</v>
      </c>
      <c r="G182" s="17">
        <v>376.77</v>
      </c>
      <c r="H182" s="18">
        <f t="shared" si="19"/>
        <v>360.11663413049996</v>
      </c>
      <c r="I182" s="18">
        <f t="shared" si="20"/>
        <v>456.87997372136533</v>
      </c>
      <c r="J182" s="91">
        <f t="shared" si="29"/>
        <v>1370.639921164096</v>
      </c>
      <c r="L182" s="19">
        <v>0.26869999999999999</v>
      </c>
      <c r="M182" s="19">
        <v>4.4200349999999999E-2</v>
      </c>
    </row>
    <row r="183" spans="1:13" ht="15.75" customHeight="1">
      <c r="A183" s="14" t="s">
        <v>388</v>
      </c>
      <c r="B183" s="14" t="s">
        <v>389</v>
      </c>
      <c r="C183" s="14" t="s">
        <v>17</v>
      </c>
      <c r="D183" s="14" t="s">
        <v>390</v>
      </c>
      <c r="E183" s="15" t="s">
        <v>34</v>
      </c>
      <c r="F183" s="16">
        <v>6</v>
      </c>
      <c r="G183" s="17">
        <v>366.58</v>
      </c>
      <c r="H183" s="18">
        <f t="shared" si="19"/>
        <v>350.377035697</v>
      </c>
      <c r="I183" s="18">
        <f t="shared" si="20"/>
        <v>444.52334518878388</v>
      </c>
      <c r="J183" s="91">
        <f t="shared" si="29"/>
        <v>2667.1400711327033</v>
      </c>
      <c r="L183" s="19">
        <v>0.26869999999999999</v>
      </c>
      <c r="M183" s="19">
        <v>4.4200349999999999E-2</v>
      </c>
    </row>
    <row r="184" spans="1:13" ht="15.75" customHeight="1">
      <c r="A184" s="14" t="s">
        <v>391</v>
      </c>
      <c r="B184" s="14" t="s">
        <v>392</v>
      </c>
      <c r="C184" s="14" t="s">
        <v>17</v>
      </c>
      <c r="D184" s="14" t="s">
        <v>393</v>
      </c>
      <c r="E184" s="15" t="s">
        <v>34</v>
      </c>
      <c r="F184" s="16">
        <v>24</v>
      </c>
      <c r="G184" s="17">
        <v>273.81</v>
      </c>
      <c r="H184" s="18">
        <f t="shared" si="19"/>
        <v>261.70750216649998</v>
      </c>
      <c r="I184" s="18">
        <f t="shared" si="20"/>
        <v>332.02830799863852</v>
      </c>
      <c r="J184" s="91">
        <f t="shared" si="29"/>
        <v>7968.6793919673246</v>
      </c>
      <c r="L184" s="19">
        <v>0.26869999999999999</v>
      </c>
      <c r="M184" s="19">
        <v>4.4200349999999999E-2</v>
      </c>
    </row>
    <row r="185" spans="1:13" ht="15.75" customHeight="1">
      <c r="A185" s="14" t="s">
        <v>394</v>
      </c>
      <c r="B185" s="14" t="s">
        <v>395</v>
      </c>
      <c r="C185" s="14" t="s">
        <v>17</v>
      </c>
      <c r="D185" s="14" t="s">
        <v>396</v>
      </c>
      <c r="E185" s="15" t="s">
        <v>34</v>
      </c>
      <c r="F185" s="16">
        <v>5</v>
      </c>
      <c r="G185" s="17">
        <v>406.23</v>
      </c>
      <c r="H185" s="18">
        <f t="shared" si="19"/>
        <v>388.27449181950004</v>
      </c>
      <c r="I185" s="18">
        <f t="shared" si="20"/>
        <v>492.60384777139973</v>
      </c>
      <c r="J185" s="91">
        <f t="shared" si="29"/>
        <v>2463.0192388569985</v>
      </c>
      <c r="L185" s="19">
        <v>0.26869999999999999</v>
      </c>
      <c r="M185" s="19">
        <v>4.4200349999999999E-2</v>
      </c>
    </row>
    <row r="186" spans="1:13" ht="15.75" customHeight="1">
      <c r="A186" s="14" t="s">
        <v>397</v>
      </c>
      <c r="B186" s="14" t="s">
        <v>398</v>
      </c>
      <c r="C186" s="14" t="s">
        <v>17</v>
      </c>
      <c r="D186" s="14" t="s">
        <v>399</v>
      </c>
      <c r="E186" s="15" t="s">
        <v>34</v>
      </c>
      <c r="F186" s="16">
        <v>2</v>
      </c>
      <c r="G186" s="17">
        <v>814.65</v>
      </c>
      <c r="H186" s="18">
        <f t="shared" si="19"/>
        <v>778.64218487250002</v>
      </c>
      <c r="I186" s="18">
        <f t="shared" si="20"/>
        <v>987.86333994774077</v>
      </c>
      <c r="J186" s="91">
        <f t="shared" si="29"/>
        <v>1975.7266798954815</v>
      </c>
      <c r="L186" s="19">
        <v>0.26869999999999999</v>
      </c>
      <c r="M186" s="19">
        <v>4.4200349999999999E-2</v>
      </c>
    </row>
    <row r="187" spans="1:13" ht="15.75" customHeight="1">
      <c r="A187" s="14" t="s">
        <v>400</v>
      </c>
      <c r="B187" s="14">
        <v>100868</v>
      </c>
      <c r="C187" s="14" t="s">
        <v>32</v>
      </c>
      <c r="D187" s="14" t="s">
        <v>401</v>
      </c>
      <c r="E187" s="15" t="s">
        <v>34</v>
      </c>
      <c r="F187" s="16">
        <v>5</v>
      </c>
      <c r="G187" s="16">
        <v>327.06</v>
      </c>
      <c r="H187" s="18">
        <f t="shared" si="19"/>
        <v>312.60383352899998</v>
      </c>
      <c r="I187" s="18">
        <f t="shared" si="20"/>
        <v>396.60048359824225</v>
      </c>
      <c r="J187" s="91">
        <f t="shared" si="29"/>
        <v>1983.0024179912111</v>
      </c>
      <c r="L187" s="19">
        <v>0.26869999999999999</v>
      </c>
      <c r="M187" s="19">
        <v>4.4200349999999999E-2</v>
      </c>
    </row>
    <row r="188" spans="1:13" ht="15.75" customHeight="1">
      <c r="A188" s="14" t="s">
        <v>402</v>
      </c>
      <c r="B188" s="14" t="s">
        <v>403</v>
      </c>
      <c r="C188" s="14" t="s">
        <v>17</v>
      </c>
      <c r="D188" s="14" t="s">
        <v>404</v>
      </c>
      <c r="E188" s="15" t="s">
        <v>34</v>
      </c>
      <c r="F188" s="16">
        <v>4</v>
      </c>
      <c r="G188" s="17">
        <v>111.75</v>
      </c>
      <c r="H188" s="18">
        <f t="shared" si="19"/>
        <v>106.8106108875</v>
      </c>
      <c r="I188" s="18">
        <f t="shared" si="20"/>
        <v>135.51062203297124</v>
      </c>
      <c r="J188" s="91">
        <f t="shared" si="29"/>
        <v>542.04248813188497</v>
      </c>
      <c r="L188" s="19">
        <v>0.26869999999999999</v>
      </c>
      <c r="M188" s="19">
        <v>4.4200349999999999E-2</v>
      </c>
    </row>
    <row r="189" spans="1:13" ht="15.75" customHeight="1">
      <c r="A189" s="14" t="s">
        <v>405</v>
      </c>
      <c r="B189" s="14">
        <v>100867</v>
      </c>
      <c r="C189" s="14" t="s">
        <v>32</v>
      </c>
      <c r="D189" s="14" t="s">
        <v>406</v>
      </c>
      <c r="E189" s="15" t="s">
        <v>34</v>
      </c>
      <c r="F189" s="16">
        <v>24</v>
      </c>
      <c r="G189" s="16">
        <v>314.42</v>
      </c>
      <c r="H189" s="18">
        <f t="shared" si="19"/>
        <v>300.52252595300001</v>
      </c>
      <c r="I189" s="18">
        <f t="shared" si="20"/>
        <v>381.2729286765711</v>
      </c>
      <c r="J189" s="91">
        <f t="shared" si="29"/>
        <v>9150.5502882377059</v>
      </c>
      <c r="L189" s="19">
        <v>0.26869999999999999</v>
      </c>
      <c r="M189" s="19">
        <v>4.4200349999999999E-2</v>
      </c>
    </row>
    <row r="190" spans="1:13" ht="15.75" customHeight="1">
      <c r="A190" s="14" t="s">
        <v>407</v>
      </c>
      <c r="B190" s="14">
        <v>100875</v>
      </c>
      <c r="C190" s="14" t="s">
        <v>32</v>
      </c>
      <c r="D190" s="14" t="s">
        <v>408</v>
      </c>
      <c r="E190" s="15" t="s">
        <v>34</v>
      </c>
      <c r="F190" s="16">
        <v>1</v>
      </c>
      <c r="G190" s="21">
        <v>1045.8399999999999</v>
      </c>
      <c r="H190" s="18">
        <f t="shared" si="19"/>
        <v>999.61350595599993</v>
      </c>
      <c r="I190" s="18">
        <f t="shared" si="20"/>
        <v>1268.209655006377</v>
      </c>
      <c r="J190" s="91">
        <f t="shared" si="29"/>
        <v>1268.209655006377</v>
      </c>
      <c r="L190" s="19">
        <v>0.26869999999999999</v>
      </c>
      <c r="M190" s="19">
        <v>4.4200349999999999E-2</v>
      </c>
    </row>
    <row r="191" spans="1:13" ht="15.75" customHeight="1">
      <c r="A191" s="14" t="s">
        <v>409</v>
      </c>
      <c r="B191" s="14" t="s">
        <v>410</v>
      </c>
      <c r="C191" s="14" t="s">
        <v>17</v>
      </c>
      <c r="D191" s="14" t="s">
        <v>411</v>
      </c>
      <c r="E191" s="15" t="s">
        <v>34</v>
      </c>
      <c r="F191" s="16">
        <v>19</v>
      </c>
      <c r="G191" s="17">
        <v>56.03</v>
      </c>
      <c r="H191" s="18">
        <f t="shared" si="19"/>
        <v>53.553454389500004</v>
      </c>
      <c r="I191" s="18">
        <f t="shared" si="20"/>
        <v>67.943267583958658</v>
      </c>
      <c r="J191" s="91">
        <f t="shared" si="29"/>
        <v>1290.9220840952146</v>
      </c>
      <c r="L191" s="19">
        <v>0.26869999999999999</v>
      </c>
      <c r="M191" s="19">
        <v>4.4200349999999999E-2</v>
      </c>
    </row>
    <row r="192" spans="1:13" ht="15.75" customHeight="1">
      <c r="A192" s="14" t="s">
        <v>412</v>
      </c>
      <c r="B192" s="14" t="s">
        <v>413</v>
      </c>
      <c r="C192" s="14" t="s">
        <v>17</v>
      </c>
      <c r="D192" s="14" t="s">
        <v>414</v>
      </c>
      <c r="E192" s="15" t="s">
        <v>34</v>
      </c>
      <c r="F192" s="16">
        <v>2</v>
      </c>
      <c r="G192" s="17">
        <v>240.6</v>
      </c>
      <c r="H192" s="18">
        <f t="shared" si="19"/>
        <v>229.96539579</v>
      </c>
      <c r="I192" s="18">
        <f t="shared" si="20"/>
        <v>291.75709763877302</v>
      </c>
      <c r="J192" s="91">
        <f t="shared" si="29"/>
        <v>583.51419527754604</v>
      </c>
      <c r="L192" s="19">
        <v>0.26869999999999999</v>
      </c>
      <c r="M192" s="19">
        <v>4.4200349999999999E-2</v>
      </c>
    </row>
    <row r="193" spans="1:13" ht="30.75" customHeight="1">
      <c r="A193" s="28">
        <v>15</v>
      </c>
      <c r="B193" s="29"/>
      <c r="C193" s="29"/>
      <c r="D193" s="30" t="s">
        <v>415</v>
      </c>
      <c r="E193" s="29"/>
      <c r="F193" s="29"/>
      <c r="G193" s="29"/>
      <c r="H193" s="29"/>
      <c r="I193" s="29"/>
      <c r="J193" s="31">
        <f>J194+J234+J279+J297</f>
        <v>171422.78163510279</v>
      </c>
      <c r="L193" s="25"/>
      <c r="M193" s="19">
        <v>4.4200349999999999E-2</v>
      </c>
    </row>
    <row r="194" spans="1:13" ht="15.75" customHeight="1">
      <c r="A194" s="11" t="s">
        <v>416</v>
      </c>
      <c r="B194" s="12"/>
      <c r="C194" s="12"/>
      <c r="D194" s="11" t="s">
        <v>417</v>
      </c>
      <c r="E194" s="12"/>
      <c r="F194" s="12"/>
      <c r="G194" s="12"/>
      <c r="H194" s="12"/>
      <c r="I194" s="12"/>
      <c r="J194" s="24">
        <f>SUM(J195:J233)</f>
        <v>61891.764218397533</v>
      </c>
      <c r="L194" s="25"/>
      <c r="M194" s="19">
        <v>4.4200349999999999E-2</v>
      </c>
    </row>
    <row r="195" spans="1:13" ht="15.75" customHeight="1">
      <c r="A195" s="14" t="s">
        <v>418</v>
      </c>
      <c r="B195" s="14" t="s">
        <v>419</v>
      </c>
      <c r="C195" s="14" t="s">
        <v>17</v>
      </c>
      <c r="D195" s="14" t="s">
        <v>420</v>
      </c>
      <c r="E195" s="15" t="s">
        <v>34</v>
      </c>
      <c r="F195" s="16">
        <v>1</v>
      </c>
      <c r="G195" s="17">
        <v>90.3</v>
      </c>
      <c r="H195" s="18">
        <f t="shared" si="19"/>
        <v>86.308708394999996</v>
      </c>
      <c r="I195" s="18">
        <f t="shared" si="20"/>
        <v>109.49985834073649</v>
      </c>
      <c r="J195" s="91">
        <f t="shared" ref="J195:J232" si="30">I195*F195</f>
        <v>109.49985834073649</v>
      </c>
      <c r="L195" s="19">
        <v>0.26869999999999999</v>
      </c>
      <c r="M195" s="19">
        <v>4.4200349999999999E-2</v>
      </c>
    </row>
    <row r="196" spans="1:13" ht="15.75" customHeight="1">
      <c r="A196" s="14" t="s">
        <v>421</v>
      </c>
      <c r="B196" s="14" t="s">
        <v>422</v>
      </c>
      <c r="C196" s="14" t="s">
        <v>17</v>
      </c>
      <c r="D196" s="14" t="s">
        <v>423</v>
      </c>
      <c r="E196" s="15" t="s">
        <v>34</v>
      </c>
      <c r="F196" s="16">
        <v>1</v>
      </c>
      <c r="G196" s="20">
        <v>1085.83</v>
      </c>
      <c r="H196" s="18">
        <f t="shared" si="19"/>
        <v>1037.8359339594999</v>
      </c>
      <c r="I196" s="18">
        <f t="shared" si="20"/>
        <v>1316.7024494144175</v>
      </c>
      <c r="J196" s="91">
        <f t="shared" si="30"/>
        <v>1316.7024494144175</v>
      </c>
      <c r="L196" s="19">
        <v>0.26869999999999999</v>
      </c>
      <c r="M196" s="19">
        <v>4.4200349999999999E-2</v>
      </c>
    </row>
    <row r="197" spans="1:13" ht="15.75" customHeight="1">
      <c r="A197" s="14" t="s">
        <v>424</v>
      </c>
      <c r="B197" s="14">
        <v>103039</v>
      </c>
      <c r="C197" s="14" t="s">
        <v>32</v>
      </c>
      <c r="D197" s="14" t="s">
        <v>425</v>
      </c>
      <c r="E197" s="27" t="s">
        <v>34</v>
      </c>
      <c r="F197" s="16">
        <v>1</v>
      </c>
      <c r="G197" s="16">
        <v>51.83</v>
      </c>
      <c r="H197" s="18">
        <f t="shared" si="19"/>
        <v>49.539095859500001</v>
      </c>
      <c r="I197" s="18">
        <f t="shared" si="20"/>
        <v>62.850250916947651</v>
      </c>
      <c r="J197" s="91">
        <f t="shared" si="30"/>
        <v>62.850250916947651</v>
      </c>
      <c r="L197" s="19">
        <v>0.26869999999999999</v>
      </c>
      <c r="M197" s="19">
        <v>4.4200349999999999E-2</v>
      </c>
    </row>
    <row r="198" spans="1:13" ht="15.75" customHeight="1">
      <c r="A198" s="14" t="s">
        <v>426</v>
      </c>
      <c r="B198" s="14">
        <v>94492</v>
      </c>
      <c r="C198" s="14" t="s">
        <v>32</v>
      </c>
      <c r="D198" s="14" t="s">
        <v>427</v>
      </c>
      <c r="E198" s="27" t="s">
        <v>34</v>
      </c>
      <c r="F198" s="16">
        <v>4</v>
      </c>
      <c r="G198" s="16">
        <v>45.61</v>
      </c>
      <c r="H198" s="18">
        <f t="shared" si="19"/>
        <v>43.5940220365</v>
      </c>
      <c r="I198" s="18">
        <f t="shared" si="20"/>
        <v>55.307735757707547</v>
      </c>
      <c r="J198" s="91">
        <f t="shared" si="30"/>
        <v>221.23094303083019</v>
      </c>
      <c r="L198" s="19">
        <v>0.26869999999999999</v>
      </c>
      <c r="M198" s="19">
        <v>4.4200349999999999E-2</v>
      </c>
    </row>
    <row r="199" spans="1:13" ht="15.75" customHeight="1">
      <c r="A199" s="14" t="s">
        <v>428</v>
      </c>
      <c r="B199" s="14">
        <v>94681</v>
      </c>
      <c r="C199" s="14" t="s">
        <v>32</v>
      </c>
      <c r="D199" s="14" t="s">
        <v>429</v>
      </c>
      <c r="E199" s="27" t="s">
        <v>34</v>
      </c>
      <c r="F199" s="16">
        <v>1</v>
      </c>
      <c r="G199" s="16">
        <v>45.6</v>
      </c>
      <c r="H199" s="18">
        <f t="shared" si="19"/>
        <v>43.58446404</v>
      </c>
      <c r="I199" s="18">
        <f t="shared" si="20"/>
        <v>55.295609527548002</v>
      </c>
      <c r="J199" s="91">
        <f t="shared" si="30"/>
        <v>55.295609527548002</v>
      </c>
      <c r="L199" s="19">
        <v>0.26869999999999999</v>
      </c>
      <c r="M199" s="19">
        <v>4.4200349999999999E-2</v>
      </c>
    </row>
    <row r="200" spans="1:13" ht="15.75" customHeight="1">
      <c r="A200" s="14" t="s">
        <v>430</v>
      </c>
      <c r="B200" s="14">
        <v>94662</v>
      </c>
      <c r="C200" s="14" t="s">
        <v>32</v>
      </c>
      <c r="D200" s="14" t="s">
        <v>431</v>
      </c>
      <c r="E200" s="27" t="s">
        <v>34</v>
      </c>
      <c r="F200" s="16">
        <v>3</v>
      </c>
      <c r="G200" s="16">
        <v>9.98</v>
      </c>
      <c r="H200" s="18">
        <f t="shared" si="19"/>
        <v>9.538880507</v>
      </c>
      <c r="I200" s="18">
        <f t="shared" si="20"/>
        <v>12.1019776992309</v>
      </c>
      <c r="J200" s="91">
        <f t="shared" si="30"/>
        <v>36.305933097692701</v>
      </c>
      <c r="L200" s="19">
        <v>0.26869999999999999</v>
      </c>
      <c r="M200" s="19">
        <v>4.4200349999999999E-2</v>
      </c>
    </row>
    <row r="201" spans="1:13" ht="15.75" customHeight="1">
      <c r="A201" s="14" t="s">
        <v>432</v>
      </c>
      <c r="B201" s="14">
        <v>103986</v>
      </c>
      <c r="C201" s="14" t="s">
        <v>32</v>
      </c>
      <c r="D201" s="14" t="s">
        <v>433</v>
      </c>
      <c r="E201" s="27" t="s">
        <v>34</v>
      </c>
      <c r="F201" s="16">
        <v>16</v>
      </c>
      <c r="G201" s="16">
        <v>26.04</v>
      </c>
      <c r="H201" s="18">
        <f t="shared" ref="H201:H264" si="31">G201-(G201*M201)</f>
        <v>24.889022885999999</v>
      </c>
      <c r="I201" s="18">
        <f t="shared" ref="I201:I264" si="32">H201+(H201*L201)</f>
        <v>31.576703335468199</v>
      </c>
      <c r="J201" s="91">
        <f t="shared" si="30"/>
        <v>505.22725336749119</v>
      </c>
      <c r="L201" s="19">
        <v>0.26869999999999999</v>
      </c>
      <c r="M201" s="19">
        <v>4.4200349999999999E-2</v>
      </c>
    </row>
    <row r="202" spans="1:13" ht="15.75" customHeight="1">
      <c r="A202" s="14" t="s">
        <v>434</v>
      </c>
      <c r="B202" s="14">
        <v>103979</v>
      </c>
      <c r="C202" s="14" t="s">
        <v>32</v>
      </c>
      <c r="D202" s="14" t="s">
        <v>435</v>
      </c>
      <c r="E202" s="27" t="s">
        <v>65</v>
      </c>
      <c r="F202" s="16">
        <v>148.37</v>
      </c>
      <c r="G202" s="16">
        <v>28.9</v>
      </c>
      <c r="H202" s="18">
        <f t="shared" si="31"/>
        <v>27.622609884999999</v>
      </c>
      <c r="I202" s="18">
        <f t="shared" si="32"/>
        <v>35.044805161099497</v>
      </c>
      <c r="J202" s="91">
        <f t="shared" si="30"/>
        <v>5199.5977417523327</v>
      </c>
      <c r="L202" s="19">
        <v>0.26869999999999999</v>
      </c>
      <c r="M202" s="19">
        <v>4.4200349999999999E-2</v>
      </c>
    </row>
    <row r="203" spans="1:13" ht="31.5" customHeight="1">
      <c r="A203" s="14" t="s">
        <v>436</v>
      </c>
      <c r="B203" s="14">
        <v>104008</v>
      </c>
      <c r="C203" s="14" t="s">
        <v>32</v>
      </c>
      <c r="D203" s="14" t="s">
        <v>437</v>
      </c>
      <c r="E203" s="27" t="s">
        <v>34</v>
      </c>
      <c r="F203" s="16">
        <v>7</v>
      </c>
      <c r="G203" s="16">
        <v>29.63</v>
      </c>
      <c r="H203" s="18">
        <f t="shared" si="31"/>
        <v>28.320343629499998</v>
      </c>
      <c r="I203" s="18">
        <f t="shared" si="32"/>
        <v>35.930019962746648</v>
      </c>
      <c r="J203" s="91">
        <f t="shared" si="30"/>
        <v>251.51013973922653</v>
      </c>
      <c r="L203" s="19">
        <v>0.26869999999999999</v>
      </c>
      <c r="M203" s="19">
        <v>4.4200349999999999E-2</v>
      </c>
    </row>
    <row r="204" spans="1:13" ht="15.75" customHeight="1">
      <c r="A204" s="14" t="s">
        <v>438</v>
      </c>
      <c r="B204" s="14">
        <v>94794</v>
      </c>
      <c r="C204" s="14" t="s">
        <v>32</v>
      </c>
      <c r="D204" s="14" t="s">
        <v>439</v>
      </c>
      <c r="E204" s="27" t="s">
        <v>34</v>
      </c>
      <c r="F204" s="16">
        <v>1</v>
      </c>
      <c r="G204" s="16">
        <v>177.35</v>
      </c>
      <c r="H204" s="18">
        <f t="shared" si="31"/>
        <v>169.51106792749999</v>
      </c>
      <c r="I204" s="18">
        <f t="shared" si="32"/>
        <v>215.05869187961923</v>
      </c>
      <c r="J204" s="91">
        <f t="shared" si="30"/>
        <v>215.05869187961923</v>
      </c>
      <c r="L204" s="19">
        <v>0.26869999999999999</v>
      </c>
      <c r="M204" s="19">
        <v>4.4200349999999999E-2</v>
      </c>
    </row>
    <row r="205" spans="1:13" ht="15.75" customHeight="1">
      <c r="A205" s="14" t="s">
        <v>440</v>
      </c>
      <c r="B205" s="14">
        <v>89987</v>
      </c>
      <c r="C205" s="14" t="s">
        <v>32</v>
      </c>
      <c r="D205" s="14" t="s">
        <v>441</v>
      </c>
      <c r="E205" s="27" t="s">
        <v>34</v>
      </c>
      <c r="F205" s="16">
        <v>25</v>
      </c>
      <c r="G205" s="16">
        <v>100.14</v>
      </c>
      <c r="H205" s="18">
        <f t="shared" si="31"/>
        <v>95.713776951</v>
      </c>
      <c r="I205" s="18">
        <f t="shared" si="32"/>
        <v>121.43206881773369</v>
      </c>
      <c r="J205" s="91">
        <f t="shared" si="30"/>
        <v>3035.8017204433422</v>
      </c>
      <c r="L205" s="19">
        <v>0.26869999999999999</v>
      </c>
      <c r="M205" s="19">
        <v>4.4200349999999999E-2</v>
      </c>
    </row>
    <row r="206" spans="1:13" ht="15.75" customHeight="1">
      <c r="A206" s="14" t="s">
        <v>442</v>
      </c>
      <c r="B206" s="14">
        <v>89985</v>
      </c>
      <c r="C206" s="14" t="s">
        <v>32</v>
      </c>
      <c r="D206" s="14" t="s">
        <v>443</v>
      </c>
      <c r="E206" s="27" t="s">
        <v>34</v>
      </c>
      <c r="F206" s="16">
        <v>4</v>
      </c>
      <c r="G206" s="16">
        <v>95.05</v>
      </c>
      <c r="H206" s="18">
        <f t="shared" si="31"/>
        <v>90.848756732499993</v>
      </c>
      <c r="I206" s="18">
        <f t="shared" si="32"/>
        <v>115.25981766652274</v>
      </c>
      <c r="J206" s="91">
        <f t="shared" si="30"/>
        <v>461.03927066609094</v>
      </c>
      <c r="L206" s="19">
        <v>0.26869999999999999</v>
      </c>
      <c r="M206" s="19">
        <v>4.4200349999999999E-2</v>
      </c>
    </row>
    <row r="207" spans="1:13" ht="15.75" customHeight="1">
      <c r="A207" s="14" t="s">
        <v>444</v>
      </c>
      <c r="B207" s="14">
        <v>92336</v>
      </c>
      <c r="C207" s="14" t="s">
        <v>32</v>
      </c>
      <c r="D207" s="14" t="s">
        <v>445</v>
      </c>
      <c r="E207" s="27" t="s">
        <v>65</v>
      </c>
      <c r="F207" s="16">
        <v>1</v>
      </c>
      <c r="G207" s="16">
        <v>110.45</v>
      </c>
      <c r="H207" s="18">
        <f t="shared" si="31"/>
        <v>105.56807134250001</v>
      </c>
      <c r="I207" s="18">
        <f t="shared" si="32"/>
        <v>133.93421211222974</v>
      </c>
      <c r="J207" s="91">
        <f t="shared" si="30"/>
        <v>133.93421211222974</v>
      </c>
      <c r="L207" s="19">
        <v>0.26869999999999999</v>
      </c>
      <c r="M207" s="19">
        <v>4.4200349999999999E-2</v>
      </c>
    </row>
    <row r="208" spans="1:13" ht="15.75" customHeight="1">
      <c r="A208" s="14" t="s">
        <v>446</v>
      </c>
      <c r="B208" s="14">
        <v>89373</v>
      </c>
      <c r="C208" s="14" t="s">
        <v>32</v>
      </c>
      <c r="D208" s="14" t="s">
        <v>447</v>
      </c>
      <c r="E208" s="27" t="s">
        <v>34</v>
      </c>
      <c r="F208" s="16">
        <v>4</v>
      </c>
      <c r="G208" s="16">
        <v>6.63</v>
      </c>
      <c r="H208" s="18">
        <f t="shared" si="31"/>
        <v>6.3369516795000003</v>
      </c>
      <c r="I208" s="18">
        <f t="shared" si="32"/>
        <v>8.03969059578165</v>
      </c>
      <c r="J208" s="91">
        <f t="shared" si="30"/>
        <v>32.1587623831266</v>
      </c>
      <c r="L208" s="19">
        <v>0.26869999999999999</v>
      </c>
      <c r="M208" s="19">
        <v>4.4200349999999999E-2</v>
      </c>
    </row>
    <row r="209" spans="1:13" ht="15.75" customHeight="1">
      <c r="A209" s="14" t="s">
        <v>448</v>
      </c>
      <c r="B209" s="14">
        <v>94656</v>
      </c>
      <c r="C209" s="14" t="s">
        <v>32</v>
      </c>
      <c r="D209" s="14" t="s">
        <v>449</v>
      </c>
      <c r="E209" s="27" t="s">
        <v>34</v>
      </c>
      <c r="F209" s="16">
        <v>54</v>
      </c>
      <c r="G209" s="16">
        <v>3.13</v>
      </c>
      <c r="H209" s="18">
        <f t="shared" si="31"/>
        <v>2.9916529045</v>
      </c>
      <c r="I209" s="18">
        <f t="shared" si="32"/>
        <v>3.7955100399391499</v>
      </c>
      <c r="J209" s="91">
        <f t="shared" si="30"/>
        <v>204.95754215671408</v>
      </c>
      <c r="L209" s="19">
        <v>0.26869999999999999</v>
      </c>
      <c r="M209" s="19">
        <v>4.4200349999999999E-2</v>
      </c>
    </row>
    <row r="210" spans="1:13" ht="15.75" customHeight="1">
      <c r="A210" s="14" t="s">
        <v>450</v>
      </c>
      <c r="B210" s="14">
        <v>104002</v>
      </c>
      <c r="C210" s="14" t="s">
        <v>32</v>
      </c>
      <c r="D210" s="14" t="s">
        <v>451</v>
      </c>
      <c r="E210" s="27" t="s">
        <v>34</v>
      </c>
      <c r="F210" s="16">
        <v>1</v>
      </c>
      <c r="G210" s="16">
        <v>16.23</v>
      </c>
      <c r="H210" s="18">
        <f t="shared" si="31"/>
        <v>15.512628319500001</v>
      </c>
      <c r="I210" s="18">
        <f t="shared" si="32"/>
        <v>19.68087154894965</v>
      </c>
      <c r="J210" s="91">
        <f t="shared" si="30"/>
        <v>19.68087154894965</v>
      </c>
      <c r="L210" s="19">
        <v>0.26869999999999999</v>
      </c>
      <c r="M210" s="19">
        <v>4.4200349999999999E-2</v>
      </c>
    </row>
    <row r="211" spans="1:13" ht="15.75" customHeight="1">
      <c r="A211" s="14" t="s">
        <v>452</v>
      </c>
      <c r="B211" s="14">
        <v>103948</v>
      </c>
      <c r="C211" s="14" t="s">
        <v>32</v>
      </c>
      <c r="D211" s="14" t="s">
        <v>453</v>
      </c>
      <c r="E211" s="27" t="s">
        <v>34</v>
      </c>
      <c r="F211" s="16">
        <v>6</v>
      </c>
      <c r="G211" s="16">
        <v>7.25</v>
      </c>
      <c r="H211" s="18">
        <f t="shared" si="31"/>
        <v>6.9295474625000004</v>
      </c>
      <c r="I211" s="18">
        <f t="shared" si="32"/>
        <v>8.791516865673751</v>
      </c>
      <c r="J211" s="91">
        <f t="shared" si="30"/>
        <v>52.74910119404251</v>
      </c>
      <c r="L211" s="19">
        <v>0.26869999999999999</v>
      </c>
      <c r="M211" s="19">
        <v>4.4200349999999999E-2</v>
      </c>
    </row>
    <row r="212" spans="1:13" ht="15.75" customHeight="1">
      <c r="A212" s="14" t="s">
        <v>454</v>
      </c>
      <c r="B212" s="14">
        <v>103966</v>
      </c>
      <c r="C212" s="14" t="s">
        <v>32</v>
      </c>
      <c r="D212" s="14" t="s">
        <v>455</v>
      </c>
      <c r="E212" s="27" t="s">
        <v>34</v>
      </c>
      <c r="F212" s="16">
        <v>1</v>
      </c>
      <c r="G212" s="16">
        <v>8.8000000000000007</v>
      </c>
      <c r="H212" s="18">
        <f t="shared" si="31"/>
        <v>8.4110369200000008</v>
      </c>
      <c r="I212" s="18">
        <f t="shared" si="32"/>
        <v>10.671082540404001</v>
      </c>
      <c r="J212" s="91">
        <f t="shared" si="30"/>
        <v>10.671082540404001</v>
      </c>
      <c r="L212" s="19">
        <v>0.26869999999999999</v>
      </c>
      <c r="M212" s="19">
        <v>4.4200349999999999E-2</v>
      </c>
    </row>
    <row r="213" spans="1:13" ht="15.75" customHeight="1">
      <c r="A213" s="14" t="s">
        <v>456</v>
      </c>
      <c r="B213" s="14">
        <v>104003</v>
      </c>
      <c r="C213" s="14" t="s">
        <v>32</v>
      </c>
      <c r="D213" s="14" t="s">
        <v>457</v>
      </c>
      <c r="E213" s="27" t="s">
        <v>34</v>
      </c>
      <c r="F213" s="16">
        <v>3</v>
      </c>
      <c r="G213" s="16">
        <v>13.54</v>
      </c>
      <c r="H213" s="18">
        <f t="shared" si="31"/>
        <v>12.941527260999999</v>
      </c>
      <c r="I213" s="18">
        <f t="shared" si="32"/>
        <v>16.4189156360307</v>
      </c>
      <c r="J213" s="91">
        <f t="shared" si="30"/>
        <v>49.256746908092097</v>
      </c>
      <c r="L213" s="19">
        <v>0.26869999999999999</v>
      </c>
      <c r="M213" s="19">
        <v>4.4200349999999999E-2</v>
      </c>
    </row>
    <row r="214" spans="1:13" ht="15.75" customHeight="1">
      <c r="A214" s="14" t="s">
        <v>458</v>
      </c>
      <c r="B214" s="14">
        <v>89490</v>
      </c>
      <c r="C214" s="14" t="s">
        <v>32</v>
      </c>
      <c r="D214" s="14" t="s">
        <v>459</v>
      </c>
      <c r="E214" s="27" t="s">
        <v>34</v>
      </c>
      <c r="F214" s="16">
        <v>2</v>
      </c>
      <c r="G214" s="16">
        <v>6.6</v>
      </c>
      <c r="H214" s="18">
        <f t="shared" si="31"/>
        <v>6.3082776899999997</v>
      </c>
      <c r="I214" s="18">
        <f t="shared" si="32"/>
        <v>8.0033119053029989</v>
      </c>
      <c r="J214" s="91">
        <f t="shared" si="30"/>
        <v>16.006623810605998</v>
      </c>
      <c r="L214" s="19">
        <v>0.26869999999999999</v>
      </c>
      <c r="M214" s="19">
        <v>4.4200349999999999E-2</v>
      </c>
    </row>
    <row r="215" spans="1:13" ht="15.75" customHeight="1">
      <c r="A215" s="14" t="s">
        <v>460</v>
      </c>
      <c r="B215" s="14">
        <v>89489</v>
      </c>
      <c r="C215" s="14" t="s">
        <v>32</v>
      </c>
      <c r="D215" s="14" t="s">
        <v>461</v>
      </c>
      <c r="E215" s="27" t="s">
        <v>34</v>
      </c>
      <c r="F215" s="16">
        <v>75</v>
      </c>
      <c r="G215" s="16">
        <v>7.13</v>
      </c>
      <c r="H215" s="18">
        <f t="shared" si="31"/>
        <v>6.8148515045</v>
      </c>
      <c r="I215" s="18">
        <f t="shared" si="32"/>
        <v>8.6460021037591499</v>
      </c>
      <c r="J215" s="91">
        <f t="shared" si="30"/>
        <v>648.45015778193624</v>
      </c>
      <c r="L215" s="19">
        <v>0.26869999999999999</v>
      </c>
      <c r="M215" s="19">
        <v>4.4200349999999999E-2</v>
      </c>
    </row>
    <row r="216" spans="1:13" ht="15.75" customHeight="1">
      <c r="A216" s="14" t="s">
        <v>462</v>
      </c>
      <c r="B216" s="14">
        <v>89384</v>
      </c>
      <c r="C216" s="14" t="s">
        <v>32</v>
      </c>
      <c r="D216" s="14" t="s">
        <v>463</v>
      </c>
      <c r="E216" s="27" t="s">
        <v>34</v>
      </c>
      <c r="F216" s="16">
        <v>1</v>
      </c>
      <c r="G216" s="16">
        <v>12.33</v>
      </c>
      <c r="H216" s="18">
        <f t="shared" si="31"/>
        <v>11.7850096845</v>
      </c>
      <c r="I216" s="18">
        <f t="shared" si="32"/>
        <v>14.951641786725151</v>
      </c>
      <c r="J216" s="91">
        <f t="shared" si="30"/>
        <v>14.951641786725151</v>
      </c>
      <c r="L216" s="19">
        <v>0.26869999999999999</v>
      </c>
      <c r="M216" s="19">
        <v>4.4200349999999999E-2</v>
      </c>
    </row>
    <row r="217" spans="1:13" ht="15.75" customHeight="1">
      <c r="A217" s="14" t="s">
        <v>464</v>
      </c>
      <c r="B217" s="14">
        <v>89408</v>
      </c>
      <c r="C217" s="14" t="s">
        <v>32</v>
      </c>
      <c r="D217" s="14" t="s">
        <v>465</v>
      </c>
      <c r="E217" s="27" t="s">
        <v>34</v>
      </c>
      <c r="F217" s="16">
        <v>6</v>
      </c>
      <c r="G217" s="16">
        <v>8.0500000000000007</v>
      </c>
      <c r="H217" s="18">
        <f t="shared" si="31"/>
        <v>7.6941871825000003</v>
      </c>
      <c r="I217" s="18">
        <f t="shared" si="32"/>
        <v>9.7616152784377501</v>
      </c>
      <c r="J217" s="91">
        <f t="shared" si="30"/>
        <v>58.569691670626497</v>
      </c>
      <c r="L217" s="19">
        <v>0.26869999999999999</v>
      </c>
      <c r="M217" s="19">
        <v>4.4200349999999999E-2</v>
      </c>
    </row>
    <row r="218" spans="1:13" ht="15.75" customHeight="1">
      <c r="A218" s="14" t="s">
        <v>466</v>
      </c>
      <c r="B218" s="14">
        <v>89530</v>
      </c>
      <c r="C218" s="14" t="s">
        <v>32</v>
      </c>
      <c r="D218" s="14" t="s">
        <v>467</v>
      </c>
      <c r="E218" s="27" t="s">
        <v>34</v>
      </c>
      <c r="F218" s="16">
        <v>25</v>
      </c>
      <c r="G218" s="16">
        <v>15.29</v>
      </c>
      <c r="H218" s="18">
        <f t="shared" si="31"/>
        <v>14.614176648499999</v>
      </c>
      <c r="I218" s="18">
        <f t="shared" si="32"/>
        <v>18.541005913951949</v>
      </c>
      <c r="J218" s="91">
        <f t="shared" si="30"/>
        <v>463.52514784879872</v>
      </c>
      <c r="L218" s="19">
        <v>0.26869999999999999</v>
      </c>
      <c r="M218" s="19">
        <v>4.4200349999999999E-2</v>
      </c>
    </row>
    <row r="219" spans="1:13" ht="15.75" customHeight="1">
      <c r="A219" s="14" t="s">
        <v>468</v>
      </c>
      <c r="B219" s="14">
        <v>89577</v>
      </c>
      <c r="C219" s="14" t="s">
        <v>32</v>
      </c>
      <c r="D219" s="14" t="s">
        <v>469</v>
      </c>
      <c r="E219" s="27" t="s">
        <v>34</v>
      </c>
      <c r="F219" s="16">
        <v>1</v>
      </c>
      <c r="G219" s="16">
        <v>34.46</v>
      </c>
      <c r="H219" s="18">
        <f t="shared" si="31"/>
        <v>32.936855938999997</v>
      </c>
      <c r="I219" s="18">
        <f t="shared" si="32"/>
        <v>41.786989129809299</v>
      </c>
      <c r="J219" s="91">
        <f t="shared" si="30"/>
        <v>41.786989129809299</v>
      </c>
      <c r="L219" s="19">
        <v>0.26869999999999999</v>
      </c>
      <c r="M219" s="19">
        <v>4.4200349999999999E-2</v>
      </c>
    </row>
    <row r="220" spans="1:13" ht="15.75" customHeight="1">
      <c r="A220" s="14" t="s">
        <v>470</v>
      </c>
      <c r="B220" s="14">
        <v>89356</v>
      </c>
      <c r="C220" s="14" t="s">
        <v>32</v>
      </c>
      <c r="D220" s="14" t="s">
        <v>471</v>
      </c>
      <c r="E220" s="27" t="s">
        <v>65</v>
      </c>
      <c r="F220" s="16">
        <v>261.14999999999998</v>
      </c>
      <c r="G220" s="16">
        <v>22.63</v>
      </c>
      <c r="H220" s="18">
        <f t="shared" si="31"/>
        <v>21.629746079499999</v>
      </c>
      <c r="I220" s="18">
        <f t="shared" si="32"/>
        <v>27.441658851061646</v>
      </c>
      <c r="J220" s="91">
        <f t="shared" si="30"/>
        <v>7166.389208954748</v>
      </c>
      <c r="L220" s="19">
        <v>0.26869999999999999</v>
      </c>
      <c r="M220" s="19">
        <v>4.4200349999999999E-2</v>
      </c>
    </row>
    <row r="221" spans="1:13" ht="31.5" customHeight="1">
      <c r="A221" s="14" t="s">
        <v>472</v>
      </c>
      <c r="B221" s="14">
        <v>89357</v>
      </c>
      <c r="C221" s="14" t="s">
        <v>32</v>
      </c>
      <c r="D221" s="14" t="s">
        <v>473</v>
      </c>
      <c r="E221" s="27" t="s">
        <v>65</v>
      </c>
      <c r="F221" s="16">
        <v>52.56</v>
      </c>
      <c r="G221" s="16">
        <v>31.16</v>
      </c>
      <c r="H221" s="18">
        <f t="shared" si="31"/>
        <v>29.782717093999999</v>
      </c>
      <c r="I221" s="18">
        <f t="shared" si="32"/>
        <v>37.785333177157796</v>
      </c>
      <c r="J221" s="91">
        <f t="shared" si="30"/>
        <v>1985.9971117914138</v>
      </c>
      <c r="L221" s="19">
        <v>0.26869999999999999</v>
      </c>
      <c r="M221" s="19">
        <v>4.4200349999999999E-2</v>
      </c>
    </row>
    <row r="222" spans="1:13" ht="15.75" customHeight="1">
      <c r="A222" s="14" t="s">
        <v>474</v>
      </c>
      <c r="B222" s="14">
        <v>89448</v>
      </c>
      <c r="C222" s="14" t="s">
        <v>32</v>
      </c>
      <c r="D222" s="14" t="s">
        <v>475</v>
      </c>
      <c r="E222" s="27" t="s">
        <v>65</v>
      </c>
      <c r="F222" s="16">
        <v>7.0000000000000007E-2</v>
      </c>
      <c r="G222" s="16">
        <v>15.98</v>
      </c>
      <c r="H222" s="18">
        <f t="shared" si="31"/>
        <v>15.273678407</v>
      </c>
      <c r="I222" s="18">
        <f t="shared" si="32"/>
        <v>19.377715794960899</v>
      </c>
      <c r="J222" s="91">
        <f t="shared" si="30"/>
        <v>1.356440105647263</v>
      </c>
      <c r="L222" s="19">
        <v>0.26869999999999999</v>
      </c>
      <c r="M222" s="19">
        <v>4.4200349999999999E-2</v>
      </c>
    </row>
    <row r="223" spans="1:13" ht="15.75" customHeight="1">
      <c r="A223" s="14" t="s">
        <v>476</v>
      </c>
      <c r="B223" s="14">
        <v>89869</v>
      </c>
      <c r="C223" s="14" t="s">
        <v>32</v>
      </c>
      <c r="D223" s="14" t="s">
        <v>477</v>
      </c>
      <c r="E223" s="27" t="s">
        <v>34</v>
      </c>
      <c r="F223" s="16">
        <v>41</v>
      </c>
      <c r="G223" s="16">
        <v>9.44</v>
      </c>
      <c r="H223" s="18">
        <f t="shared" si="31"/>
        <v>9.022748695999999</v>
      </c>
      <c r="I223" s="18">
        <f t="shared" si="32"/>
        <v>11.447161270615199</v>
      </c>
      <c r="J223" s="91">
        <f t="shared" si="30"/>
        <v>469.33361209522315</v>
      </c>
      <c r="L223" s="19">
        <v>0.26869999999999999</v>
      </c>
      <c r="M223" s="19">
        <v>4.4200349999999999E-2</v>
      </c>
    </row>
    <row r="224" spans="1:13" ht="15.75" customHeight="1">
      <c r="A224" s="14" t="s">
        <v>478</v>
      </c>
      <c r="B224" s="14">
        <v>89400</v>
      </c>
      <c r="C224" s="14" t="s">
        <v>32</v>
      </c>
      <c r="D224" s="14" t="s">
        <v>479</v>
      </c>
      <c r="E224" s="27" t="s">
        <v>34</v>
      </c>
      <c r="F224" s="16">
        <v>10</v>
      </c>
      <c r="G224" s="16">
        <v>18.77</v>
      </c>
      <c r="H224" s="18">
        <f t="shared" si="31"/>
        <v>17.940359430499999</v>
      </c>
      <c r="I224" s="18">
        <f t="shared" si="32"/>
        <v>22.760934009475349</v>
      </c>
      <c r="J224" s="91">
        <f t="shared" si="30"/>
        <v>227.60934009475349</v>
      </c>
      <c r="L224" s="19">
        <v>0.26869999999999999</v>
      </c>
      <c r="M224" s="19">
        <v>4.4200349999999999E-2</v>
      </c>
    </row>
    <row r="225" spans="1:13" ht="15.75" customHeight="1">
      <c r="A225" s="14" t="s">
        <v>480</v>
      </c>
      <c r="B225" s="14">
        <v>89627</v>
      </c>
      <c r="C225" s="14" t="s">
        <v>32</v>
      </c>
      <c r="D225" s="14" t="s">
        <v>481</v>
      </c>
      <c r="E225" s="27" t="s">
        <v>34</v>
      </c>
      <c r="F225" s="16">
        <v>10</v>
      </c>
      <c r="G225" s="16">
        <v>18.579999999999998</v>
      </c>
      <c r="H225" s="18">
        <f t="shared" si="31"/>
        <v>17.758757496999998</v>
      </c>
      <c r="I225" s="18">
        <f t="shared" si="32"/>
        <v>22.530535636443897</v>
      </c>
      <c r="J225" s="91">
        <f t="shared" si="30"/>
        <v>225.30535636443898</v>
      </c>
      <c r="L225" s="19">
        <v>0.26869999999999999</v>
      </c>
      <c r="M225" s="19">
        <v>4.4200349999999999E-2</v>
      </c>
    </row>
    <row r="226" spans="1:13" ht="15.75" customHeight="1">
      <c r="A226" s="14" t="s">
        <v>482</v>
      </c>
      <c r="B226" s="14">
        <v>89366</v>
      </c>
      <c r="C226" s="14" t="s">
        <v>32</v>
      </c>
      <c r="D226" s="14" t="s">
        <v>483</v>
      </c>
      <c r="E226" s="27" t="s">
        <v>34</v>
      </c>
      <c r="F226" s="16">
        <v>9</v>
      </c>
      <c r="G226" s="16">
        <v>15.5</v>
      </c>
      <c r="H226" s="18">
        <f t="shared" si="31"/>
        <v>14.814894575</v>
      </c>
      <c r="I226" s="18">
        <f t="shared" si="32"/>
        <v>18.795656747302502</v>
      </c>
      <c r="J226" s="91">
        <f t="shared" si="30"/>
        <v>169.16091072572252</v>
      </c>
      <c r="L226" s="19">
        <v>0.26869999999999999</v>
      </c>
      <c r="M226" s="19">
        <v>4.4200349999999999E-2</v>
      </c>
    </row>
    <row r="227" spans="1:13" ht="15.75" customHeight="1">
      <c r="A227" s="14" t="s">
        <v>484</v>
      </c>
      <c r="B227" s="14">
        <v>90373</v>
      </c>
      <c r="C227" s="14" t="s">
        <v>32</v>
      </c>
      <c r="D227" s="14" t="s">
        <v>485</v>
      </c>
      <c r="E227" s="27" t="s">
        <v>34</v>
      </c>
      <c r="F227" s="16">
        <v>59</v>
      </c>
      <c r="G227" s="16">
        <v>12.3</v>
      </c>
      <c r="H227" s="18">
        <f t="shared" si="31"/>
        <v>11.756335695000001</v>
      </c>
      <c r="I227" s="18">
        <f t="shared" si="32"/>
        <v>14.915263096246502</v>
      </c>
      <c r="J227" s="91">
        <f t="shared" si="30"/>
        <v>880.00052267854358</v>
      </c>
      <c r="L227" s="19">
        <v>0.26869999999999999</v>
      </c>
      <c r="M227" s="19">
        <v>4.4200349999999999E-2</v>
      </c>
    </row>
    <row r="228" spans="1:13" ht="15.75" customHeight="1">
      <c r="A228" s="14" t="s">
        <v>486</v>
      </c>
      <c r="B228" s="14" t="s">
        <v>487</v>
      </c>
      <c r="C228" s="14" t="s">
        <v>17</v>
      </c>
      <c r="D228" s="14" t="s">
        <v>488</v>
      </c>
      <c r="E228" s="15" t="s">
        <v>34</v>
      </c>
      <c r="F228" s="16">
        <v>1</v>
      </c>
      <c r="G228" s="20">
        <v>1285.6600000000001</v>
      </c>
      <c r="H228" s="18">
        <f t="shared" si="31"/>
        <v>1228.8333780190001</v>
      </c>
      <c r="I228" s="18">
        <f t="shared" si="32"/>
        <v>1559.0209066927055</v>
      </c>
      <c r="J228" s="91">
        <f t="shared" si="30"/>
        <v>1559.0209066927055</v>
      </c>
      <c r="L228" s="19">
        <v>0.26869999999999999</v>
      </c>
      <c r="M228" s="19">
        <v>4.4200349999999999E-2</v>
      </c>
    </row>
    <row r="229" spans="1:13" ht="15.75" customHeight="1">
      <c r="A229" s="14" t="s">
        <v>489</v>
      </c>
      <c r="B229" s="14" t="s">
        <v>490</v>
      </c>
      <c r="C229" s="14" t="s">
        <v>17</v>
      </c>
      <c r="D229" s="14" t="s">
        <v>491</v>
      </c>
      <c r="E229" s="15" t="s">
        <v>34</v>
      </c>
      <c r="F229" s="16">
        <v>1</v>
      </c>
      <c r="G229" s="20">
        <v>21239.27</v>
      </c>
      <c r="H229" s="18">
        <f t="shared" si="31"/>
        <v>20300.486832255501</v>
      </c>
      <c r="I229" s="18">
        <f t="shared" si="32"/>
        <v>25755.227644082555</v>
      </c>
      <c r="J229" s="91">
        <f t="shared" si="30"/>
        <v>25755.227644082555</v>
      </c>
      <c r="L229" s="19">
        <v>0.26869999999999999</v>
      </c>
      <c r="M229" s="19">
        <v>4.4200349999999999E-2</v>
      </c>
    </row>
    <row r="230" spans="1:13" ht="15.75" customHeight="1">
      <c r="A230" s="14" t="s">
        <v>492</v>
      </c>
      <c r="B230" s="14">
        <v>94490</v>
      </c>
      <c r="C230" s="14" t="s">
        <v>32</v>
      </c>
      <c r="D230" s="14" t="s">
        <v>493</v>
      </c>
      <c r="E230" s="15" t="s">
        <v>34</v>
      </c>
      <c r="F230" s="16">
        <v>2</v>
      </c>
      <c r="G230" s="16">
        <v>32.51</v>
      </c>
      <c r="H230" s="18">
        <f t="shared" si="31"/>
        <v>31.073046621499998</v>
      </c>
      <c r="I230" s="18">
        <f t="shared" si="32"/>
        <v>39.422374248697047</v>
      </c>
      <c r="J230" s="91">
        <f t="shared" si="30"/>
        <v>78.844748497394093</v>
      </c>
      <c r="L230" s="19">
        <v>0.26869999999999999</v>
      </c>
      <c r="M230" s="19">
        <v>4.4200349999999999E-2</v>
      </c>
    </row>
    <row r="231" spans="1:13" ht="15.75" customHeight="1">
      <c r="A231" s="14" t="s">
        <v>494</v>
      </c>
      <c r="B231" s="14">
        <v>89415</v>
      </c>
      <c r="C231" s="14" t="s">
        <v>32</v>
      </c>
      <c r="D231" s="14" t="s">
        <v>495</v>
      </c>
      <c r="E231" s="15" t="s">
        <v>34</v>
      </c>
      <c r="F231" s="16">
        <v>5</v>
      </c>
      <c r="G231" s="16">
        <v>15.29</v>
      </c>
      <c r="H231" s="18">
        <f t="shared" si="31"/>
        <v>14.614176648499999</v>
      </c>
      <c r="I231" s="18">
        <f t="shared" si="32"/>
        <v>18.541005913951949</v>
      </c>
      <c r="J231" s="91">
        <f t="shared" si="30"/>
        <v>92.705029569759745</v>
      </c>
      <c r="L231" s="19">
        <v>0.26869999999999999</v>
      </c>
      <c r="M231" s="19">
        <v>4.4200349999999999E-2</v>
      </c>
    </row>
    <row r="232" spans="1:13" ht="15.75" customHeight="1">
      <c r="A232" s="14" t="s">
        <v>496</v>
      </c>
      <c r="B232" s="14" t="s">
        <v>497</v>
      </c>
      <c r="C232" s="14" t="s">
        <v>17</v>
      </c>
      <c r="D232" s="14" t="s">
        <v>498</v>
      </c>
      <c r="E232" s="15" t="s">
        <v>34</v>
      </c>
      <c r="F232" s="16">
        <v>1</v>
      </c>
      <c r="G232" s="20">
        <v>1285.6600000000001</v>
      </c>
      <c r="H232" s="18">
        <f t="shared" si="31"/>
        <v>1228.8333780190001</v>
      </c>
      <c r="I232" s="18">
        <f t="shared" si="32"/>
        <v>1559.0209066927055</v>
      </c>
      <c r="J232" s="91">
        <f t="shared" si="30"/>
        <v>1559.0209066927055</v>
      </c>
      <c r="L232" s="19">
        <v>0.26869999999999999</v>
      </c>
      <c r="M232" s="19">
        <v>4.4200349999999999E-2</v>
      </c>
    </row>
    <row r="233" spans="1:13" ht="15.75" customHeight="1">
      <c r="A233" s="14" t="s">
        <v>499</v>
      </c>
      <c r="B233" s="14" t="s">
        <v>500</v>
      </c>
      <c r="C233" s="14" t="s">
        <v>17</v>
      </c>
      <c r="D233" s="14" t="s">
        <v>501</v>
      </c>
      <c r="E233" s="15" t="s">
        <v>502</v>
      </c>
      <c r="F233" s="16">
        <v>1</v>
      </c>
      <c r="G233" s="20">
        <v>7013.7</v>
      </c>
      <c r="H233" s="18">
        <f t="shared" si="31"/>
        <v>6703.692005205</v>
      </c>
      <c r="I233" s="18">
        <f t="shared" si="32"/>
        <v>8504.9740470035831</v>
      </c>
      <c r="J233" s="91">
        <f>I233*F233</f>
        <v>8504.9740470035831</v>
      </c>
      <c r="L233" s="19">
        <v>0.26869999999999999</v>
      </c>
      <c r="M233" s="19">
        <v>4.4200349999999999E-2</v>
      </c>
    </row>
    <row r="234" spans="1:13" ht="15.75" customHeight="1">
      <c r="A234" s="11" t="s">
        <v>503</v>
      </c>
      <c r="B234" s="12"/>
      <c r="C234" s="12"/>
      <c r="D234" s="11" t="s">
        <v>504</v>
      </c>
      <c r="E234" s="12"/>
      <c r="F234" s="12"/>
      <c r="G234" s="12"/>
      <c r="H234" s="12"/>
      <c r="I234" s="12"/>
      <c r="J234" s="24">
        <f>SUM(J235:J278)</f>
        <v>59845.696672690923</v>
      </c>
      <c r="L234" s="25"/>
      <c r="M234" s="19">
        <v>4.4200349999999999E-2</v>
      </c>
    </row>
    <row r="235" spans="1:13" ht="15.75" customHeight="1">
      <c r="A235" s="14" t="s">
        <v>505</v>
      </c>
      <c r="B235" s="14">
        <v>97903</v>
      </c>
      <c r="C235" s="14" t="s">
        <v>32</v>
      </c>
      <c r="D235" s="14" t="s">
        <v>506</v>
      </c>
      <c r="E235" s="27" t="s">
        <v>34</v>
      </c>
      <c r="F235" s="16">
        <v>1</v>
      </c>
      <c r="G235" s="16">
        <v>767.43</v>
      </c>
      <c r="H235" s="18">
        <f t="shared" si="31"/>
        <v>733.50932539949997</v>
      </c>
      <c r="I235" s="18">
        <f t="shared" si="32"/>
        <v>930.60328113434559</v>
      </c>
      <c r="J235" s="91">
        <f>I235*F235</f>
        <v>930.60328113434559</v>
      </c>
      <c r="L235" s="19">
        <v>0.26869999999999999</v>
      </c>
      <c r="M235" s="19">
        <v>4.4200349999999999E-2</v>
      </c>
    </row>
    <row r="236" spans="1:13" ht="15.75" customHeight="1">
      <c r="A236" s="14" t="s">
        <v>507</v>
      </c>
      <c r="B236" s="14">
        <v>99253</v>
      </c>
      <c r="C236" s="14" t="s">
        <v>32</v>
      </c>
      <c r="D236" s="14" t="s">
        <v>506</v>
      </c>
      <c r="E236" s="27" t="s">
        <v>34</v>
      </c>
      <c r="F236" s="16">
        <v>7</v>
      </c>
      <c r="G236" s="16">
        <v>530.20000000000005</v>
      </c>
      <c r="H236" s="18">
        <f t="shared" si="31"/>
        <v>506.76497443000005</v>
      </c>
      <c r="I236" s="18">
        <f t="shared" si="32"/>
        <v>642.93272305934101</v>
      </c>
      <c r="J236" s="91">
        <f t="shared" ref="J236:J299" si="33">I236*F236</f>
        <v>4500.5290614153873</v>
      </c>
      <c r="L236" s="19">
        <v>0.26869999999999999</v>
      </c>
      <c r="M236" s="19">
        <v>4.4200349999999999E-2</v>
      </c>
    </row>
    <row r="237" spans="1:13" ht="15.75" customHeight="1">
      <c r="A237" s="14" t="s">
        <v>508</v>
      </c>
      <c r="B237" s="14">
        <v>104328</v>
      </c>
      <c r="C237" s="14" t="s">
        <v>32</v>
      </c>
      <c r="D237" s="14" t="s">
        <v>509</v>
      </c>
      <c r="E237" s="27" t="s">
        <v>34</v>
      </c>
      <c r="F237" s="16">
        <v>17</v>
      </c>
      <c r="G237" s="16">
        <v>60.14</v>
      </c>
      <c r="H237" s="18">
        <f t="shared" si="31"/>
        <v>57.481790951000001</v>
      </c>
      <c r="I237" s="18">
        <f t="shared" si="32"/>
        <v>72.927148179533702</v>
      </c>
      <c r="J237" s="91">
        <f t="shared" si="33"/>
        <v>1239.761519052073</v>
      </c>
      <c r="L237" s="19">
        <v>0.26869999999999999</v>
      </c>
      <c r="M237" s="19">
        <v>4.4200349999999999E-2</v>
      </c>
    </row>
    <row r="238" spans="1:13" ht="15.75" customHeight="1">
      <c r="A238" s="14" t="s">
        <v>510</v>
      </c>
      <c r="B238" s="14">
        <v>89708</v>
      </c>
      <c r="C238" s="14" t="s">
        <v>32</v>
      </c>
      <c r="D238" s="14" t="s">
        <v>511</v>
      </c>
      <c r="E238" s="27" t="s">
        <v>34</v>
      </c>
      <c r="F238" s="16">
        <v>3</v>
      </c>
      <c r="G238" s="16">
        <v>87.14</v>
      </c>
      <c r="H238" s="18">
        <f t="shared" si="31"/>
        <v>83.288381501000003</v>
      </c>
      <c r="I238" s="18">
        <f t="shared" si="32"/>
        <v>105.66796961031871</v>
      </c>
      <c r="J238" s="91">
        <f t="shared" si="33"/>
        <v>317.00390883095611</v>
      </c>
      <c r="L238" s="19">
        <v>0.26869999999999999</v>
      </c>
      <c r="M238" s="19">
        <v>4.4200349999999999E-2</v>
      </c>
    </row>
    <row r="239" spans="1:13" ht="15.75" customHeight="1">
      <c r="A239" s="14" t="s">
        <v>512</v>
      </c>
      <c r="B239" s="14">
        <v>89709</v>
      </c>
      <c r="C239" s="14" t="s">
        <v>32</v>
      </c>
      <c r="D239" s="14" t="s">
        <v>513</v>
      </c>
      <c r="E239" s="27" t="s">
        <v>34</v>
      </c>
      <c r="F239" s="16">
        <v>3</v>
      </c>
      <c r="G239" s="16">
        <v>18.239999999999998</v>
      </c>
      <c r="H239" s="18">
        <f t="shared" si="31"/>
        <v>17.433785615999998</v>
      </c>
      <c r="I239" s="18">
        <f t="shared" si="32"/>
        <v>22.118243811019198</v>
      </c>
      <c r="J239" s="91">
        <f t="shared" si="33"/>
        <v>66.354731433057594</v>
      </c>
      <c r="L239" s="19">
        <v>0.26869999999999999</v>
      </c>
      <c r="M239" s="19">
        <v>4.4200349999999999E-2</v>
      </c>
    </row>
    <row r="240" spans="1:13" ht="15.75" customHeight="1">
      <c r="A240" s="14" t="s">
        <v>514</v>
      </c>
      <c r="B240" s="14">
        <v>86883</v>
      </c>
      <c r="C240" s="14" t="s">
        <v>32</v>
      </c>
      <c r="D240" s="14" t="s">
        <v>515</v>
      </c>
      <c r="E240" s="27" t="s">
        <v>34</v>
      </c>
      <c r="F240" s="16">
        <v>31</v>
      </c>
      <c r="G240" s="16">
        <v>11.73</v>
      </c>
      <c r="H240" s="18">
        <f t="shared" si="31"/>
        <v>11.2115298945</v>
      </c>
      <c r="I240" s="18">
        <f t="shared" si="32"/>
        <v>14.224067977152149</v>
      </c>
      <c r="J240" s="91">
        <f t="shared" si="33"/>
        <v>440.9461072917166</v>
      </c>
      <c r="L240" s="19">
        <v>0.26869999999999999</v>
      </c>
      <c r="M240" s="19">
        <v>4.4200349999999999E-2</v>
      </c>
    </row>
    <row r="241" spans="1:13" ht="15.75" customHeight="1">
      <c r="A241" s="14" t="s">
        <v>516</v>
      </c>
      <c r="B241" s="14">
        <v>86882</v>
      </c>
      <c r="C241" s="14" t="s">
        <v>32</v>
      </c>
      <c r="D241" s="14" t="s">
        <v>517</v>
      </c>
      <c r="E241" s="27" t="s">
        <v>34</v>
      </c>
      <c r="F241" s="16">
        <v>6</v>
      </c>
      <c r="G241" s="16">
        <v>21.65</v>
      </c>
      <c r="H241" s="18">
        <f t="shared" si="31"/>
        <v>20.693062422499999</v>
      </c>
      <c r="I241" s="18">
        <f t="shared" si="32"/>
        <v>26.253288295425747</v>
      </c>
      <c r="J241" s="91">
        <f t="shared" si="33"/>
        <v>157.51972977255448</v>
      </c>
      <c r="L241" s="19">
        <v>0.26869999999999999</v>
      </c>
      <c r="M241" s="19">
        <v>4.4200349999999999E-2</v>
      </c>
    </row>
    <row r="242" spans="1:13" ht="15.75" customHeight="1">
      <c r="A242" s="14" t="s">
        <v>518</v>
      </c>
      <c r="B242" s="14" t="s">
        <v>519</v>
      </c>
      <c r="C242" s="14" t="s">
        <v>17</v>
      </c>
      <c r="D242" s="14" t="s">
        <v>520</v>
      </c>
      <c r="E242" s="15" t="s">
        <v>34</v>
      </c>
      <c r="F242" s="16">
        <v>2</v>
      </c>
      <c r="G242" s="17">
        <v>213.04</v>
      </c>
      <c r="H242" s="18">
        <f t="shared" si="31"/>
        <v>203.623557436</v>
      </c>
      <c r="I242" s="18">
        <f t="shared" si="32"/>
        <v>258.33720731905322</v>
      </c>
      <c r="J242" s="91">
        <f t="shared" si="33"/>
        <v>516.67441463810644</v>
      </c>
      <c r="L242" s="19">
        <v>0.26869999999999999</v>
      </c>
      <c r="M242" s="19">
        <v>4.4200349999999999E-2</v>
      </c>
    </row>
    <row r="243" spans="1:13" ht="15.75" customHeight="1">
      <c r="A243" s="14" t="s">
        <v>521</v>
      </c>
      <c r="B243" s="14">
        <v>86879</v>
      </c>
      <c r="C243" s="14" t="s">
        <v>32</v>
      </c>
      <c r="D243" s="14" t="s">
        <v>522</v>
      </c>
      <c r="E243" s="27" t="s">
        <v>34</v>
      </c>
      <c r="F243" s="16">
        <v>37</v>
      </c>
      <c r="G243" s="16">
        <v>9.33</v>
      </c>
      <c r="H243" s="18">
        <f t="shared" si="31"/>
        <v>8.9176107345000002</v>
      </c>
      <c r="I243" s="18">
        <f t="shared" si="32"/>
        <v>11.31377273886015</v>
      </c>
      <c r="J243" s="91">
        <f t="shared" si="33"/>
        <v>418.60959133782558</v>
      </c>
      <c r="L243" s="19">
        <v>0.26869999999999999</v>
      </c>
      <c r="M243" s="19">
        <v>4.4200349999999999E-2</v>
      </c>
    </row>
    <row r="244" spans="1:13" ht="15.75" customHeight="1">
      <c r="A244" s="14" t="s">
        <v>523</v>
      </c>
      <c r="B244" s="14">
        <v>104063</v>
      </c>
      <c r="C244" s="14" t="s">
        <v>32</v>
      </c>
      <c r="D244" s="14" t="s">
        <v>524</v>
      </c>
      <c r="E244" s="27" t="s">
        <v>34</v>
      </c>
      <c r="F244" s="16">
        <v>11</v>
      </c>
      <c r="G244" s="16">
        <v>64.819999999999993</v>
      </c>
      <c r="H244" s="18">
        <f t="shared" si="31"/>
        <v>61.954933312999991</v>
      </c>
      <c r="I244" s="18">
        <f t="shared" si="32"/>
        <v>78.602223894203092</v>
      </c>
      <c r="J244" s="91">
        <f t="shared" si="33"/>
        <v>864.62446283623399</v>
      </c>
      <c r="L244" s="19">
        <v>0.26869999999999999</v>
      </c>
      <c r="M244" s="19">
        <v>4.4200349999999999E-2</v>
      </c>
    </row>
    <row r="245" spans="1:13" ht="15.75" customHeight="1">
      <c r="A245" s="14" t="s">
        <v>525</v>
      </c>
      <c r="B245" s="14">
        <v>89811</v>
      </c>
      <c r="C245" s="14" t="s">
        <v>32</v>
      </c>
      <c r="D245" s="14" t="s">
        <v>526</v>
      </c>
      <c r="E245" s="27" t="s">
        <v>34</v>
      </c>
      <c r="F245" s="16">
        <v>15</v>
      </c>
      <c r="G245" s="16">
        <v>42.41</v>
      </c>
      <c r="H245" s="18">
        <f t="shared" si="31"/>
        <v>40.535463156499993</v>
      </c>
      <c r="I245" s="18">
        <f t="shared" si="32"/>
        <v>51.427342106651544</v>
      </c>
      <c r="J245" s="91">
        <f t="shared" si="33"/>
        <v>771.41013159977319</v>
      </c>
      <c r="L245" s="19">
        <v>0.26869999999999999</v>
      </c>
      <c r="M245" s="19">
        <v>4.4200349999999999E-2</v>
      </c>
    </row>
    <row r="246" spans="1:13" ht="15.75" customHeight="1">
      <c r="A246" s="14" t="s">
        <v>527</v>
      </c>
      <c r="B246" s="14">
        <v>89728</v>
      </c>
      <c r="C246" s="14" t="s">
        <v>32</v>
      </c>
      <c r="D246" s="14" t="s">
        <v>528</v>
      </c>
      <c r="E246" s="27" t="s">
        <v>34</v>
      </c>
      <c r="F246" s="16">
        <v>38</v>
      </c>
      <c r="G246" s="16">
        <v>12.28</v>
      </c>
      <c r="H246" s="18">
        <f t="shared" si="31"/>
        <v>11.737219701999999</v>
      </c>
      <c r="I246" s="18">
        <f t="shared" si="32"/>
        <v>14.891010635927399</v>
      </c>
      <c r="J246" s="91">
        <f t="shared" si="33"/>
        <v>565.85840416524115</v>
      </c>
      <c r="L246" s="19">
        <v>0.26869999999999999</v>
      </c>
      <c r="M246" s="19">
        <v>4.4200349999999999E-2</v>
      </c>
    </row>
    <row r="247" spans="1:13" ht="15.75" customHeight="1">
      <c r="A247" s="14" t="s">
        <v>529</v>
      </c>
      <c r="B247" s="14">
        <v>89746</v>
      </c>
      <c r="C247" s="14" t="s">
        <v>32</v>
      </c>
      <c r="D247" s="14" t="s">
        <v>530</v>
      </c>
      <c r="E247" s="27" t="s">
        <v>34</v>
      </c>
      <c r="F247" s="16">
        <v>1</v>
      </c>
      <c r="G247" s="16">
        <v>27.46</v>
      </c>
      <c r="H247" s="18">
        <f t="shared" si="31"/>
        <v>26.246258389000001</v>
      </c>
      <c r="I247" s="18">
        <f t="shared" si="32"/>
        <v>33.298628018124305</v>
      </c>
      <c r="J247" s="91">
        <f t="shared" si="33"/>
        <v>33.298628018124305</v>
      </c>
      <c r="L247" s="19">
        <v>0.26869999999999999</v>
      </c>
      <c r="M247" s="19">
        <v>4.4200349999999999E-2</v>
      </c>
    </row>
    <row r="248" spans="1:13" ht="15.75" customHeight="1">
      <c r="A248" s="14" t="s">
        <v>531</v>
      </c>
      <c r="B248" s="14">
        <v>89726</v>
      </c>
      <c r="C248" s="14" t="s">
        <v>32</v>
      </c>
      <c r="D248" s="14" t="s">
        <v>532</v>
      </c>
      <c r="E248" s="27" t="s">
        <v>34</v>
      </c>
      <c r="F248" s="16">
        <v>35</v>
      </c>
      <c r="G248" s="16">
        <v>9.67</v>
      </c>
      <c r="H248" s="18">
        <f t="shared" si="31"/>
        <v>9.2425826154999999</v>
      </c>
      <c r="I248" s="18">
        <f t="shared" si="32"/>
        <v>11.726064564284851</v>
      </c>
      <c r="J248" s="91">
        <f t="shared" si="33"/>
        <v>410.41225974996979</v>
      </c>
      <c r="L248" s="19">
        <v>0.26869999999999999</v>
      </c>
      <c r="M248" s="19">
        <v>4.4200349999999999E-2</v>
      </c>
    </row>
    <row r="249" spans="1:13" ht="15.75" customHeight="1">
      <c r="A249" s="14" t="s">
        <v>533</v>
      </c>
      <c r="B249" s="14">
        <v>89732</v>
      </c>
      <c r="C249" s="14" t="s">
        <v>32</v>
      </c>
      <c r="D249" s="14" t="s">
        <v>534</v>
      </c>
      <c r="E249" s="27" t="s">
        <v>34</v>
      </c>
      <c r="F249" s="16">
        <v>40</v>
      </c>
      <c r="G249" s="16">
        <v>15.26</v>
      </c>
      <c r="H249" s="18">
        <f t="shared" si="31"/>
        <v>14.585502658999999</v>
      </c>
      <c r="I249" s="18">
        <f t="shared" si="32"/>
        <v>18.5046272234733</v>
      </c>
      <c r="J249" s="91">
        <f t="shared" si="33"/>
        <v>740.18508893893204</v>
      </c>
      <c r="L249" s="19">
        <v>0.26869999999999999</v>
      </c>
      <c r="M249" s="19">
        <v>4.4200349999999999E-2</v>
      </c>
    </row>
    <row r="250" spans="1:13" ht="15.75" customHeight="1">
      <c r="A250" s="14" t="s">
        <v>535</v>
      </c>
      <c r="B250" s="14">
        <v>89739</v>
      </c>
      <c r="C250" s="14" t="s">
        <v>32</v>
      </c>
      <c r="D250" s="14" t="s">
        <v>536</v>
      </c>
      <c r="E250" s="27" t="s">
        <v>34</v>
      </c>
      <c r="F250" s="16">
        <v>3</v>
      </c>
      <c r="G250" s="16">
        <v>22.96</v>
      </c>
      <c r="H250" s="18">
        <f t="shared" si="31"/>
        <v>21.945159964000002</v>
      </c>
      <c r="I250" s="18">
        <f t="shared" si="32"/>
        <v>27.841824446326804</v>
      </c>
      <c r="J250" s="91">
        <f t="shared" si="33"/>
        <v>83.525473338980419</v>
      </c>
      <c r="L250" s="19">
        <v>0.26869999999999999</v>
      </c>
      <c r="M250" s="19">
        <v>4.4200349999999999E-2</v>
      </c>
    </row>
    <row r="251" spans="1:13" ht="15.75" customHeight="1">
      <c r="A251" s="14" t="s">
        <v>537</v>
      </c>
      <c r="B251" s="14">
        <v>89724</v>
      </c>
      <c r="C251" s="14" t="s">
        <v>32</v>
      </c>
      <c r="D251" s="14" t="s">
        <v>538</v>
      </c>
      <c r="E251" s="27" t="s">
        <v>34</v>
      </c>
      <c r="F251" s="16">
        <v>35</v>
      </c>
      <c r="G251" s="16">
        <v>9.4499999999999993</v>
      </c>
      <c r="H251" s="18">
        <f t="shared" si="31"/>
        <v>9.0323066924999988</v>
      </c>
      <c r="I251" s="18">
        <f t="shared" si="32"/>
        <v>11.459287500774749</v>
      </c>
      <c r="J251" s="91">
        <f t="shared" si="33"/>
        <v>401.07506252711624</v>
      </c>
      <c r="L251" s="19">
        <v>0.26869999999999999</v>
      </c>
      <c r="M251" s="19">
        <v>4.4200349999999999E-2</v>
      </c>
    </row>
    <row r="252" spans="1:13" ht="15.75" customHeight="1">
      <c r="A252" s="14" t="s">
        <v>539</v>
      </c>
      <c r="B252" s="14">
        <v>89731</v>
      </c>
      <c r="C252" s="14" t="s">
        <v>32</v>
      </c>
      <c r="D252" s="14" t="s">
        <v>540</v>
      </c>
      <c r="E252" s="27" t="s">
        <v>34</v>
      </c>
      <c r="F252" s="16">
        <v>59</v>
      </c>
      <c r="G252" s="16">
        <v>14.55</v>
      </c>
      <c r="H252" s="18">
        <f t="shared" si="31"/>
        <v>13.9068849075</v>
      </c>
      <c r="I252" s="18">
        <f t="shared" si="32"/>
        <v>17.643664882145252</v>
      </c>
      <c r="J252" s="91">
        <f t="shared" si="33"/>
        <v>1040.97622804657</v>
      </c>
      <c r="L252" s="19">
        <v>0.26869999999999999</v>
      </c>
      <c r="M252" s="19">
        <v>4.4200349999999999E-2</v>
      </c>
    </row>
    <row r="253" spans="1:13" ht="15.75" customHeight="1">
      <c r="A253" s="14" t="s">
        <v>541</v>
      </c>
      <c r="B253" s="14">
        <v>104355</v>
      </c>
      <c r="C253" s="14" t="s">
        <v>32</v>
      </c>
      <c r="D253" s="14" t="s">
        <v>542</v>
      </c>
      <c r="E253" s="27" t="s">
        <v>34</v>
      </c>
      <c r="F253" s="16">
        <v>1</v>
      </c>
      <c r="G253" s="16">
        <v>46.52</v>
      </c>
      <c r="H253" s="18">
        <f t="shared" si="31"/>
        <v>44.463799718000004</v>
      </c>
      <c r="I253" s="18">
        <f t="shared" si="32"/>
        <v>56.411222702226603</v>
      </c>
      <c r="J253" s="91">
        <f t="shared" si="33"/>
        <v>56.411222702226603</v>
      </c>
      <c r="L253" s="19">
        <v>0.26869999999999999</v>
      </c>
      <c r="M253" s="19">
        <v>4.4200349999999999E-2</v>
      </c>
    </row>
    <row r="254" spans="1:13" ht="15.75" customHeight="1">
      <c r="A254" s="14" t="s">
        <v>543</v>
      </c>
      <c r="B254" s="14">
        <v>104345</v>
      </c>
      <c r="C254" s="14" t="s">
        <v>32</v>
      </c>
      <c r="D254" s="14" t="s">
        <v>544</v>
      </c>
      <c r="E254" s="27" t="s">
        <v>34</v>
      </c>
      <c r="F254" s="16">
        <v>7</v>
      </c>
      <c r="G254" s="16">
        <v>41.51</v>
      </c>
      <c r="H254" s="18">
        <f t="shared" si="31"/>
        <v>39.675243471499996</v>
      </c>
      <c r="I254" s="18">
        <f t="shared" si="32"/>
        <v>50.335981392292041</v>
      </c>
      <c r="J254" s="91">
        <f t="shared" si="33"/>
        <v>352.35186974604426</v>
      </c>
      <c r="L254" s="19">
        <v>0.26869999999999999</v>
      </c>
      <c r="M254" s="19">
        <v>4.4200349999999999E-2</v>
      </c>
    </row>
    <row r="255" spans="1:13" ht="15.75" customHeight="1">
      <c r="A255" s="14" t="s">
        <v>545</v>
      </c>
      <c r="B255" s="14">
        <v>89797</v>
      </c>
      <c r="C255" s="14" t="s">
        <v>32</v>
      </c>
      <c r="D255" s="14" t="s">
        <v>546</v>
      </c>
      <c r="E255" s="27" t="s">
        <v>34</v>
      </c>
      <c r="F255" s="16">
        <v>8</v>
      </c>
      <c r="G255" s="16">
        <v>49.68</v>
      </c>
      <c r="H255" s="18">
        <f t="shared" si="31"/>
        <v>47.484126611999997</v>
      </c>
      <c r="I255" s="18">
        <f t="shared" si="32"/>
        <v>60.243111432644397</v>
      </c>
      <c r="J255" s="91">
        <f t="shared" si="33"/>
        <v>481.94489146115518</v>
      </c>
      <c r="L255" s="19">
        <v>0.26869999999999999</v>
      </c>
      <c r="M255" s="19">
        <v>4.4200349999999999E-2</v>
      </c>
    </row>
    <row r="256" spans="1:13" ht="15.75" customHeight="1">
      <c r="A256" s="14" t="s">
        <v>547</v>
      </c>
      <c r="B256" s="14">
        <v>89783</v>
      </c>
      <c r="C256" s="14" t="s">
        <v>32</v>
      </c>
      <c r="D256" s="14" t="s">
        <v>548</v>
      </c>
      <c r="E256" s="27" t="s">
        <v>34</v>
      </c>
      <c r="F256" s="16">
        <v>11</v>
      </c>
      <c r="G256" s="16">
        <v>13.78</v>
      </c>
      <c r="H256" s="18">
        <f t="shared" si="31"/>
        <v>13.170919177</v>
      </c>
      <c r="I256" s="18">
        <f t="shared" si="32"/>
        <v>16.709945159859899</v>
      </c>
      <c r="J256" s="91">
        <f t="shared" si="33"/>
        <v>183.80939675845889</v>
      </c>
      <c r="L256" s="19">
        <v>0.26869999999999999</v>
      </c>
      <c r="M256" s="19">
        <v>4.4200349999999999E-2</v>
      </c>
    </row>
    <row r="257" spans="1:13" ht="15.75" customHeight="1">
      <c r="A257" s="14" t="s">
        <v>549</v>
      </c>
      <c r="B257" s="14">
        <v>89785</v>
      </c>
      <c r="C257" s="14" t="s">
        <v>32</v>
      </c>
      <c r="D257" s="14" t="s">
        <v>550</v>
      </c>
      <c r="E257" s="27" t="s">
        <v>34</v>
      </c>
      <c r="F257" s="16">
        <v>1</v>
      </c>
      <c r="G257" s="16">
        <v>25.84</v>
      </c>
      <c r="H257" s="18">
        <f t="shared" si="31"/>
        <v>24.697862956000002</v>
      </c>
      <c r="I257" s="18">
        <f t="shared" si="32"/>
        <v>31.334178732277202</v>
      </c>
      <c r="J257" s="91">
        <f t="shared" si="33"/>
        <v>31.334178732277202</v>
      </c>
      <c r="L257" s="19">
        <v>0.26869999999999999</v>
      </c>
      <c r="M257" s="19">
        <v>4.4200349999999999E-2</v>
      </c>
    </row>
    <row r="258" spans="1:13" ht="15.75" customHeight="1">
      <c r="A258" s="14" t="s">
        <v>551</v>
      </c>
      <c r="B258" s="14">
        <v>104350</v>
      </c>
      <c r="C258" s="14" t="s">
        <v>32</v>
      </c>
      <c r="D258" s="14" t="s">
        <v>552</v>
      </c>
      <c r="E258" s="27" t="s">
        <v>34</v>
      </c>
      <c r="F258" s="16">
        <v>3</v>
      </c>
      <c r="G258" s="16">
        <v>29.17</v>
      </c>
      <c r="H258" s="18">
        <f t="shared" si="31"/>
        <v>27.8806757905</v>
      </c>
      <c r="I258" s="18">
        <f t="shared" si="32"/>
        <v>35.372213375407348</v>
      </c>
      <c r="J258" s="91">
        <f t="shared" si="33"/>
        <v>106.11664012622205</v>
      </c>
      <c r="L258" s="19">
        <v>0.26869999999999999</v>
      </c>
      <c r="M258" s="19">
        <v>4.4200349999999999E-2</v>
      </c>
    </row>
    <row r="259" spans="1:13" ht="15.75" customHeight="1">
      <c r="A259" s="14" t="s">
        <v>553</v>
      </c>
      <c r="B259" s="14">
        <v>89795</v>
      </c>
      <c r="C259" s="14" t="s">
        <v>32</v>
      </c>
      <c r="D259" s="14" t="s">
        <v>554</v>
      </c>
      <c r="E259" s="27" t="s">
        <v>34</v>
      </c>
      <c r="F259" s="16">
        <v>2</v>
      </c>
      <c r="G259" s="16">
        <v>39.729999999999997</v>
      </c>
      <c r="H259" s="18">
        <f t="shared" si="31"/>
        <v>37.973920094499995</v>
      </c>
      <c r="I259" s="18">
        <f t="shared" si="32"/>
        <v>48.177512423892139</v>
      </c>
      <c r="J259" s="91">
        <f t="shared" si="33"/>
        <v>96.355024847784279</v>
      </c>
      <c r="L259" s="19">
        <v>0.26869999999999999</v>
      </c>
      <c r="M259" s="19">
        <v>4.4200349999999999E-2</v>
      </c>
    </row>
    <row r="260" spans="1:13" ht="15.75" customHeight="1">
      <c r="A260" s="14" t="s">
        <v>555</v>
      </c>
      <c r="B260" s="14">
        <v>89549</v>
      </c>
      <c r="C260" s="14" t="s">
        <v>32</v>
      </c>
      <c r="D260" s="14" t="s">
        <v>556</v>
      </c>
      <c r="E260" s="27" t="s">
        <v>34</v>
      </c>
      <c r="F260" s="16">
        <v>5</v>
      </c>
      <c r="G260" s="16">
        <v>18.55</v>
      </c>
      <c r="H260" s="18">
        <f t="shared" si="31"/>
        <v>17.730083507500002</v>
      </c>
      <c r="I260" s="18">
        <f t="shared" si="32"/>
        <v>22.494156945965251</v>
      </c>
      <c r="J260" s="91">
        <f t="shared" si="33"/>
        <v>112.47078472982625</v>
      </c>
      <c r="L260" s="19">
        <v>0.26869999999999999</v>
      </c>
      <c r="M260" s="19">
        <v>4.4200349999999999E-2</v>
      </c>
    </row>
    <row r="261" spans="1:13" ht="15.75" customHeight="1">
      <c r="A261" s="14" t="s">
        <v>557</v>
      </c>
      <c r="B261" s="14" t="s">
        <v>558</v>
      </c>
      <c r="C261" s="14" t="s">
        <v>17</v>
      </c>
      <c r="D261" s="14" t="s">
        <v>559</v>
      </c>
      <c r="E261" s="15" t="s">
        <v>65</v>
      </c>
      <c r="F261" s="16">
        <v>125.08</v>
      </c>
      <c r="G261" s="17">
        <v>108.58</v>
      </c>
      <c r="H261" s="18">
        <f t="shared" si="31"/>
        <v>103.780725997</v>
      </c>
      <c r="I261" s="18">
        <f t="shared" si="32"/>
        <v>131.6666070723939</v>
      </c>
      <c r="J261" s="91">
        <f t="shared" si="33"/>
        <v>16468.859212615029</v>
      </c>
      <c r="L261" s="19">
        <v>0.26869999999999999</v>
      </c>
      <c r="M261" s="19">
        <v>4.4200349999999999E-2</v>
      </c>
    </row>
    <row r="262" spans="1:13" ht="15.75" customHeight="1">
      <c r="A262" s="14" t="s">
        <v>560</v>
      </c>
      <c r="B262" s="14" t="s">
        <v>561</v>
      </c>
      <c r="C262" s="14" t="s">
        <v>17</v>
      </c>
      <c r="D262" s="14" t="s">
        <v>562</v>
      </c>
      <c r="E262" s="15" t="s">
        <v>65</v>
      </c>
      <c r="F262" s="16">
        <v>108.78</v>
      </c>
      <c r="G262" s="17">
        <v>54.02</v>
      </c>
      <c r="H262" s="18">
        <f t="shared" si="31"/>
        <v>51.632297093000005</v>
      </c>
      <c r="I262" s="18">
        <f t="shared" si="32"/>
        <v>65.505895321889113</v>
      </c>
      <c r="J262" s="91">
        <f t="shared" si="33"/>
        <v>7125.7312931150982</v>
      </c>
      <c r="L262" s="19">
        <v>0.26869999999999999</v>
      </c>
      <c r="M262" s="19">
        <v>4.4200349999999999E-2</v>
      </c>
    </row>
    <row r="263" spans="1:13" ht="15.75" customHeight="1">
      <c r="A263" s="14" t="s">
        <v>563</v>
      </c>
      <c r="B263" s="14" t="s">
        <v>564</v>
      </c>
      <c r="C263" s="14" t="s">
        <v>17</v>
      </c>
      <c r="D263" s="14" t="s">
        <v>565</v>
      </c>
      <c r="E263" s="15" t="s">
        <v>65</v>
      </c>
      <c r="F263" s="16">
        <v>30.57</v>
      </c>
      <c r="G263" s="17">
        <v>98.07</v>
      </c>
      <c r="H263" s="18">
        <f t="shared" si="31"/>
        <v>93.735271675499988</v>
      </c>
      <c r="I263" s="18">
        <f t="shared" si="32"/>
        <v>118.92193917470684</v>
      </c>
      <c r="J263" s="91">
        <f t="shared" si="33"/>
        <v>3635.4436805707878</v>
      </c>
      <c r="L263" s="19">
        <v>0.26869999999999999</v>
      </c>
      <c r="M263" s="19">
        <v>4.4200349999999999E-2</v>
      </c>
    </row>
    <row r="264" spans="1:13" ht="15.75" customHeight="1">
      <c r="A264" s="14" t="s">
        <v>566</v>
      </c>
      <c r="B264" s="14" t="s">
        <v>567</v>
      </c>
      <c r="C264" s="14" t="s">
        <v>17</v>
      </c>
      <c r="D264" s="14" t="s">
        <v>568</v>
      </c>
      <c r="E264" s="15" t="s">
        <v>65</v>
      </c>
      <c r="F264" s="16">
        <v>69.23</v>
      </c>
      <c r="G264" s="17">
        <v>46.74</v>
      </c>
      <c r="H264" s="18">
        <f t="shared" si="31"/>
        <v>44.674075641000002</v>
      </c>
      <c r="I264" s="18">
        <f t="shared" si="32"/>
        <v>56.677999765736701</v>
      </c>
      <c r="J264" s="91">
        <f t="shared" si="33"/>
        <v>3923.8179237819518</v>
      </c>
      <c r="L264" s="19">
        <v>0.26869999999999999</v>
      </c>
      <c r="M264" s="19">
        <v>4.4200349999999999E-2</v>
      </c>
    </row>
    <row r="265" spans="1:13" ht="15.75" customHeight="1">
      <c r="A265" s="14" t="s">
        <v>569</v>
      </c>
      <c r="B265" s="14" t="s">
        <v>570</v>
      </c>
      <c r="C265" s="14" t="s">
        <v>17</v>
      </c>
      <c r="D265" s="14" t="s">
        <v>571</v>
      </c>
      <c r="E265" s="15" t="s">
        <v>65</v>
      </c>
      <c r="F265" s="16">
        <v>21</v>
      </c>
      <c r="G265" s="17">
        <v>36.24</v>
      </c>
      <c r="H265" s="18">
        <f t="shared" ref="H265:H328" si="34">G265-(G265*M265)</f>
        <v>34.638179315999999</v>
      </c>
      <c r="I265" s="18">
        <f t="shared" ref="I265:I328" si="35">H265+(H265*L265)</f>
        <v>43.945458098209201</v>
      </c>
      <c r="J265" s="91">
        <f t="shared" si="33"/>
        <v>922.85462006239322</v>
      </c>
      <c r="L265" s="19">
        <v>0.26869999999999999</v>
      </c>
      <c r="M265" s="19">
        <v>4.4200349999999999E-2</v>
      </c>
    </row>
    <row r="266" spans="1:13" ht="15.75" customHeight="1">
      <c r="A266" s="14" t="s">
        <v>572</v>
      </c>
      <c r="B266" s="14" t="s">
        <v>573</v>
      </c>
      <c r="C266" s="14" t="s">
        <v>17</v>
      </c>
      <c r="D266" s="14" t="s">
        <v>574</v>
      </c>
      <c r="E266" s="15" t="s">
        <v>65</v>
      </c>
      <c r="F266" s="16">
        <v>120.34</v>
      </c>
      <c r="G266" s="17">
        <v>44.15</v>
      </c>
      <c r="H266" s="18">
        <f t="shared" si="34"/>
        <v>42.198554547499995</v>
      </c>
      <c r="I266" s="18">
        <f t="shared" si="35"/>
        <v>53.537306154413244</v>
      </c>
      <c r="J266" s="91">
        <f t="shared" si="33"/>
        <v>6442.67942262209</v>
      </c>
      <c r="L266" s="19">
        <v>0.26869999999999999</v>
      </c>
      <c r="M266" s="19">
        <v>4.4200349999999999E-2</v>
      </c>
    </row>
    <row r="267" spans="1:13" ht="15.75" customHeight="1">
      <c r="A267" s="14" t="s">
        <v>575</v>
      </c>
      <c r="B267" s="14">
        <v>89782</v>
      </c>
      <c r="C267" s="14" t="s">
        <v>32</v>
      </c>
      <c r="D267" s="14" t="s">
        <v>576</v>
      </c>
      <c r="E267" s="15" t="s">
        <v>34</v>
      </c>
      <c r="F267" s="16">
        <v>3</v>
      </c>
      <c r="G267" s="16">
        <v>13.69</v>
      </c>
      <c r="H267" s="18">
        <f t="shared" si="34"/>
        <v>13.084897208499999</v>
      </c>
      <c r="I267" s="18">
        <f t="shared" si="35"/>
        <v>16.600809088423951</v>
      </c>
      <c r="J267" s="91">
        <f t="shared" si="33"/>
        <v>49.802427265271852</v>
      </c>
      <c r="L267" s="19">
        <v>0.26869999999999999</v>
      </c>
      <c r="M267" s="19">
        <v>4.4200349999999999E-2</v>
      </c>
    </row>
    <row r="268" spans="1:13" ht="15.75" customHeight="1">
      <c r="A268" s="14" t="s">
        <v>577</v>
      </c>
      <c r="B268" s="14">
        <v>104347</v>
      </c>
      <c r="C268" s="14" t="s">
        <v>32</v>
      </c>
      <c r="D268" s="14" t="s">
        <v>542</v>
      </c>
      <c r="E268" s="15" t="s">
        <v>34</v>
      </c>
      <c r="F268" s="16">
        <v>1</v>
      </c>
      <c r="G268" s="16">
        <v>46.31</v>
      </c>
      <c r="H268" s="18">
        <f t="shared" si="34"/>
        <v>44.263081791499999</v>
      </c>
      <c r="I268" s="18">
        <f t="shared" si="35"/>
        <v>56.15657186887605</v>
      </c>
      <c r="J268" s="91">
        <f t="shared" si="33"/>
        <v>56.15657186887605</v>
      </c>
      <c r="L268" s="19">
        <v>0.26869999999999999</v>
      </c>
      <c r="M268" s="19">
        <v>4.4200349999999999E-2</v>
      </c>
    </row>
    <row r="269" spans="1:13" ht="15.75" customHeight="1">
      <c r="A269" s="14" t="s">
        <v>578</v>
      </c>
      <c r="B269" s="14">
        <v>89753</v>
      </c>
      <c r="C269" s="14" t="s">
        <v>32</v>
      </c>
      <c r="D269" s="14" t="s">
        <v>579</v>
      </c>
      <c r="E269" s="15" t="s">
        <v>34</v>
      </c>
      <c r="F269" s="16">
        <v>4</v>
      </c>
      <c r="G269" s="16">
        <v>8.64</v>
      </c>
      <c r="H269" s="18">
        <f t="shared" si="34"/>
        <v>8.2581089760000008</v>
      </c>
      <c r="I269" s="18">
        <f t="shared" si="35"/>
        <v>10.477062857851202</v>
      </c>
      <c r="J269" s="91">
        <f t="shared" si="33"/>
        <v>41.908251431404807</v>
      </c>
      <c r="L269" s="19">
        <v>0.26869999999999999</v>
      </c>
      <c r="M269" s="19">
        <v>4.4200349999999999E-2</v>
      </c>
    </row>
    <row r="270" spans="1:13" ht="15.75" customHeight="1">
      <c r="A270" s="14" t="s">
        <v>580</v>
      </c>
      <c r="B270" s="14" t="s">
        <v>581</v>
      </c>
      <c r="C270" s="14" t="s">
        <v>17</v>
      </c>
      <c r="D270" s="14" t="s">
        <v>582</v>
      </c>
      <c r="E270" s="15" t="s">
        <v>34</v>
      </c>
      <c r="F270" s="16">
        <v>1</v>
      </c>
      <c r="G270" s="17">
        <v>63.93</v>
      </c>
      <c r="H270" s="18">
        <f t="shared" si="34"/>
        <v>61.104271624500001</v>
      </c>
      <c r="I270" s="18">
        <f t="shared" si="35"/>
        <v>77.522989410003149</v>
      </c>
      <c r="J270" s="91">
        <f t="shared" si="33"/>
        <v>77.522989410003149</v>
      </c>
      <c r="L270" s="19">
        <v>0.26869999999999999</v>
      </c>
      <c r="M270" s="19">
        <v>4.4200349999999999E-2</v>
      </c>
    </row>
    <row r="271" spans="1:13" ht="15.75" customHeight="1">
      <c r="A271" s="14" t="s">
        <v>583</v>
      </c>
      <c r="B271" s="14" t="s">
        <v>584</v>
      </c>
      <c r="C271" s="14" t="s">
        <v>17</v>
      </c>
      <c r="D271" s="14" t="s">
        <v>585</v>
      </c>
      <c r="E271" s="15" t="s">
        <v>34</v>
      </c>
      <c r="F271" s="16">
        <v>5</v>
      </c>
      <c r="G271" s="17">
        <v>4.5999999999999996</v>
      </c>
      <c r="H271" s="18">
        <f t="shared" si="34"/>
        <v>4.3966783899999999</v>
      </c>
      <c r="I271" s="18">
        <f t="shared" si="35"/>
        <v>5.5780658733930002</v>
      </c>
      <c r="J271" s="91">
        <f t="shared" si="33"/>
        <v>27.890329366965002</v>
      </c>
      <c r="L271" s="19">
        <v>0.26869999999999999</v>
      </c>
      <c r="M271" s="19">
        <v>4.4200349999999999E-2</v>
      </c>
    </row>
    <row r="272" spans="1:13" ht="15.75" customHeight="1">
      <c r="A272" s="14" t="s">
        <v>586</v>
      </c>
      <c r="B272" s="14" t="s">
        <v>587</v>
      </c>
      <c r="C272" s="14" t="s">
        <v>17</v>
      </c>
      <c r="D272" s="14" t="s">
        <v>588</v>
      </c>
      <c r="E272" s="15" t="s">
        <v>34</v>
      </c>
      <c r="F272" s="16">
        <v>4</v>
      </c>
      <c r="G272" s="17">
        <v>21.25</v>
      </c>
      <c r="H272" s="18">
        <f t="shared" si="34"/>
        <v>20.3107425625</v>
      </c>
      <c r="I272" s="18">
        <f t="shared" si="35"/>
        <v>25.76823908904375</v>
      </c>
      <c r="J272" s="91">
        <f t="shared" si="33"/>
        <v>103.072956356175</v>
      </c>
      <c r="L272" s="19">
        <v>0.26869999999999999</v>
      </c>
      <c r="M272" s="19">
        <v>4.4200349999999999E-2</v>
      </c>
    </row>
    <row r="273" spans="1:13" ht="15.75" customHeight="1">
      <c r="A273" s="14" t="s">
        <v>589</v>
      </c>
      <c r="B273" s="14" t="s">
        <v>590</v>
      </c>
      <c r="C273" s="14" t="s">
        <v>17</v>
      </c>
      <c r="D273" s="14" t="s">
        <v>591</v>
      </c>
      <c r="E273" s="15" t="s">
        <v>34</v>
      </c>
      <c r="F273" s="16">
        <v>1</v>
      </c>
      <c r="G273" s="20">
        <v>4203.6000000000004</v>
      </c>
      <c r="H273" s="18">
        <f t="shared" si="34"/>
        <v>4017.7994087400002</v>
      </c>
      <c r="I273" s="18">
        <f t="shared" si="35"/>
        <v>5097.3821098684384</v>
      </c>
      <c r="J273" s="91">
        <f t="shared" si="33"/>
        <v>5097.3821098684384</v>
      </c>
      <c r="L273" s="19">
        <v>0.26869999999999999</v>
      </c>
      <c r="M273" s="19">
        <v>4.4200349999999999E-2</v>
      </c>
    </row>
    <row r="274" spans="1:13" ht="15.75" customHeight="1">
      <c r="A274" s="14" t="s">
        <v>592</v>
      </c>
      <c r="B274" s="14">
        <v>94962</v>
      </c>
      <c r="C274" s="14" t="s">
        <v>32</v>
      </c>
      <c r="D274" s="14" t="s">
        <v>593</v>
      </c>
      <c r="E274" s="27" t="s">
        <v>44</v>
      </c>
      <c r="F274" s="16">
        <v>0.34</v>
      </c>
      <c r="G274" s="16">
        <v>408.81</v>
      </c>
      <c r="H274" s="18">
        <f t="shared" si="34"/>
        <v>390.74045491650003</v>
      </c>
      <c r="I274" s="18">
        <f t="shared" si="35"/>
        <v>495.73241515256359</v>
      </c>
      <c r="J274" s="91">
        <f t="shared" si="33"/>
        <v>168.54902115187164</v>
      </c>
      <c r="L274" s="19">
        <v>0.26869999999999999</v>
      </c>
      <c r="M274" s="19">
        <v>4.4200349999999999E-2</v>
      </c>
    </row>
    <row r="275" spans="1:13" ht="15.75" customHeight="1">
      <c r="A275" s="14" t="s">
        <v>594</v>
      </c>
      <c r="B275" s="14">
        <v>104348</v>
      </c>
      <c r="C275" s="14" t="s">
        <v>32</v>
      </c>
      <c r="D275" s="14" t="s">
        <v>595</v>
      </c>
      <c r="E275" s="27" t="s">
        <v>34</v>
      </c>
      <c r="F275" s="16">
        <v>19</v>
      </c>
      <c r="G275" s="16">
        <v>10.39</v>
      </c>
      <c r="H275" s="18">
        <f t="shared" si="34"/>
        <v>9.9307583635000007</v>
      </c>
      <c r="I275" s="18">
        <f t="shared" si="35"/>
        <v>12.59915313577245</v>
      </c>
      <c r="J275" s="91">
        <f t="shared" si="33"/>
        <v>239.38390957967655</v>
      </c>
      <c r="L275" s="19">
        <v>0.26869999999999999</v>
      </c>
      <c r="M275" s="19">
        <v>4.4200349999999999E-2</v>
      </c>
    </row>
    <row r="276" spans="1:13" ht="15.75" customHeight="1">
      <c r="A276" s="14" t="s">
        <v>596</v>
      </c>
      <c r="B276" s="14">
        <v>104352</v>
      </c>
      <c r="C276" s="14" t="s">
        <v>32</v>
      </c>
      <c r="D276" s="14" t="s">
        <v>597</v>
      </c>
      <c r="E276" s="27" t="s">
        <v>34</v>
      </c>
      <c r="F276" s="16">
        <v>1</v>
      </c>
      <c r="G276" s="16">
        <v>38.340000000000003</v>
      </c>
      <c r="H276" s="18">
        <f t="shared" si="34"/>
        <v>36.645358581000004</v>
      </c>
      <c r="I276" s="18">
        <f t="shared" si="35"/>
        <v>46.491966431714701</v>
      </c>
      <c r="J276" s="91">
        <f t="shared" si="33"/>
        <v>46.491966431714701</v>
      </c>
      <c r="L276" s="19">
        <v>0.26869999999999999</v>
      </c>
      <c r="M276" s="19">
        <v>4.4200349999999999E-2</v>
      </c>
    </row>
    <row r="277" spans="1:13" ht="15.75" customHeight="1">
      <c r="A277" s="14" t="s">
        <v>598</v>
      </c>
      <c r="B277" s="14">
        <v>89825</v>
      </c>
      <c r="C277" s="14" t="s">
        <v>32</v>
      </c>
      <c r="D277" s="14" t="s">
        <v>599</v>
      </c>
      <c r="E277" s="27" t="s">
        <v>34</v>
      </c>
      <c r="F277" s="16">
        <v>18</v>
      </c>
      <c r="G277" s="16">
        <v>16.95</v>
      </c>
      <c r="H277" s="18">
        <f t="shared" si="34"/>
        <v>16.200804067499998</v>
      </c>
      <c r="I277" s="18">
        <f t="shared" si="35"/>
        <v>20.553960120437246</v>
      </c>
      <c r="J277" s="91">
        <f t="shared" si="33"/>
        <v>369.97128216787041</v>
      </c>
      <c r="L277" s="19">
        <v>0.26869999999999999</v>
      </c>
      <c r="M277" s="19">
        <v>4.4200349999999999E-2</v>
      </c>
    </row>
    <row r="278" spans="1:13" ht="15.75" customHeight="1">
      <c r="A278" s="14" t="s">
        <v>600</v>
      </c>
      <c r="B278" s="14">
        <v>89829</v>
      </c>
      <c r="C278" s="14" t="s">
        <v>32</v>
      </c>
      <c r="D278" s="14" t="s">
        <v>601</v>
      </c>
      <c r="E278" s="27" t="s">
        <v>34</v>
      </c>
      <c r="F278" s="16">
        <v>3</v>
      </c>
      <c r="G278" s="16">
        <v>35.19</v>
      </c>
      <c r="H278" s="18">
        <f t="shared" si="34"/>
        <v>33.634589683499996</v>
      </c>
      <c r="I278" s="18">
        <f t="shared" si="35"/>
        <v>42.672203931456444</v>
      </c>
      <c r="J278" s="91">
        <f t="shared" si="33"/>
        <v>128.01661179436934</v>
      </c>
      <c r="L278" s="19">
        <v>0.26869999999999999</v>
      </c>
      <c r="M278" s="19">
        <v>4.4200349999999999E-2</v>
      </c>
    </row>
    <row r="279" spans="1:13" ht="15.75" customHeight="1">
      <c r="A279" s="11" t="s">
        <v>602</v>
      </c>
      <c r="B279" s="12"/>
      <c r="C279" s="12"/>
      <c r="D279" s="11" t="s">
        <v>603</v>
      </c>
      <c r="E279" s="12"/>
      <c r="F279" s="12"/>
      <c r="G279" s="12"/>
      <c r="H279" s="12"/>
      <c r="I279" s="12"/>
      <c r="J279" s="24">
        <f>SUM(J280:J296)</f>
        <v>42615.8983282189</v>
      </c>
      <c r="L279" s="25"/>
      <c r="M279" s="19">
        <v>4.4200349999999999E-2</v>
      </c>
    </row>
    <row r="280" spans="1:13" ht="15.75" customHeight="1">
      <c r="A280" s="14" t="s">
        <v>604</v>
      </c>
      <c r="B280" s="14" t="s">
        <v>605</v>
      </c>
      <c r="C280" s="14" t="s">
        <v>17</v>
      </c>
      <c r="D280" s="14" t="s">
        <v>606</v>
      </c>
      <c r="E280" s="15" t="s">
        <v>607</v>
      </c>
      <c r="F280" s="16">
        <v>5</v>
      </c>
      <c r="G280" s="17">
        <v>711.59</v>
      </c>
      <c r="H280" s="18">
        <f t="shared" si="34"/>
        <v>680.13747294350003</v>
      </c>
      <c r="I280" s="18">
        <f t="shared" si="35"/>
        <v>862.89041192341847</v>
      </c>
      <c r="J280" s="91">
        <f t="shared" si="33"/>
        <v>4314.4520596170923</v>
      </c>
      <c r="L280" s="19">
        <v>0.26869999999999999</v>
      </c>
      <c r="M280" s="19">
        <v>4.4200349999999999E-2</v>
      </c>
    </row>
    <row r="281" spans="1:13" ht="15.75" customHeight="1">
      <c r="A281" s="14" t="s">
        <v>608</v>
      </c>
      <c r="B281" s="14" t="s">
        <v>609</v>
      </c>
      <c r="C281" s="14" t="s">
        <v>17</v>
      </c>
      <c r="D281" s="14" t="s">
        <v>610</v>
      </c>
      <c r="E281" s="15" t="s">
        <v>34</v>
      </c>
      <c r="F281" s="16">
        <v>2</v>
      </c>
      <c r="G281" s="17">
        <v>519.67999999999995</v>
      </c>
      <c r="H281" s="18">
        <f t="shared" si="34"/>
        <v>496.70996211199997</v>
      </c>
      <c r="I281" s="18">
        <f t="shared" si="35"/>
        <v>630.17592893149435</v>
      </c>
      <c r="J281" s="91">
        <f t="shared" si="33"/>
        <v>1260.3518578629887</v>
      </c>
      <c r="L281" s="19">
        <v>0.26869999999999999</v>
      </c>
      <c r="M281" s="19">
        <v>4.4200349999999999E-2</v>
      </c>
    </row>
    <row r="282" spans="1:13" ht="15.75" customHeight="1">
      <c r="A282" s="14" t="s">
        <v>611</v>
      </c>
      <c r="B282" s="14">
        <v>104063</v>
      </c>
      <c r="C282" s="14" t="s">
        <v>32</v>
      </c>
      <c r="D282" s="14" t="s">
        <v>524</v>
      </c>
      <c r="E282" s="15" t="s">
        <v>34</v>
      </c>
      <c r="F282" s="16">
        <v>23</v>
      </c>
      <c r="G282" s="16">
        <v>64.819999999999993</v>
      </c>
      <c r="H282" s="18">
        <f t="shared" si="34"/>
        <v>61.954933312999991</v>
      </c>
      <c r="I282" s="18">
        <f t="shared" si="35"/>
        <v>78.602223894203092</v>
      </c>
      <c r="J282" s="91">
        <f t="shared" si="33"/>
        <v>1807.8511495666712</v>
      </c>
      <c r="L282" s="19">
        <v>0.26869999999999999</v>
      </c>
      <c r="M282" s="19">
        <v>4.4200349999999999E-2</v>
      </c>
    </row>
    <row r="283" spans="1:13" ht="15.75" customHeight="1">
      <c r="A283" s="14" t="s">
        <v>612</v>
      </c>
      <c r="B283" s="14">
        <v>89811</v>
      </c>
      <c r="C283" s="14" t="s">
        <v>32</v>
      </c>
      <c r="D283" s="14" t="s">
        <v>526</v>
      </c>
      <c r="E283" s="15" t="s">
        <v>34</v>
      </c>
      <c r="F283" s="16">
        <v>50</v>
      </c>
      <c r="G283" s="16">
        <v>42.41</v>
      </c>
      <c r="H283" s="18">
        <f t="shared" si="34"/>
        <v>40.535463156499993</v>
      </c>
      <c r="I283" s="18">
        <f t="shared" si="35"/>
        <v>51.427342106651544</v>
      </c>
      <c r="J283" s="91">
        <f t="shared" si="33"/>
        <v>2571.367105332577</v>
      </c>
      <c r="L283" s="19">
        <v>0.26869999999999999</v>
      </c>
      <c r="M283" s="19">
        <v>4.4200349999999999E-2</v>
      </c>
    </row>
    <row r="284" spans="1:13" ht="15.75" customHeight="1">
      <c r="A284" s="14" t="s">
        <v>613</v>
      </c>
      <c r="B284" s="14">
        <v>89855</v>
      </c>
      <c r="C284" s="14" t="s">
        <v>32</v>
      </c>
      <c r="D284" s="14" t="s">
        <v>614</v>
      </c>
      <c r="E284" s="15" t="s">
        <v>34</v>
      </c>
      <c r="F284" s="16">
        <v>2</v>
      </c>
      <c r="G284" s="16">
        <v>108.94</v>
      </c>
      <c r="H284" s="18">
        <f t="shared" si="34"/>
        <v>104.124813871</v>
      </c>
      <c r="I284" s="18">
        <f t="shared" si="35"/>
        <v>132.10315135813769</v>
      </c>
      <c r="J284" s="91">
        <f t="shared" si="33"/>
        <v>264.20630271627539</v>
      </c>
      <c r="L284" s="19">
        <v>0.26869999999999999</v>
      </c>
      <c r="M284" s="19">
        <v>4.4200349999999999E-2</v>
      </c>
    </row>
    <row r="285" spans="1:13" ht="15.75" customHeight="1">
      <c r="A285" s="14" t="s">
        <v>615</v>
      </c>
      <c r="B285" s="14">
        <v>89797</v>
      </c>
      <c r="C285" s="14" t="s">
        <v>32</v>
      </c>
      <c r="D285" s="14" t="s">
        <v>546</v>
      </c>
      <c r="E285" s="15" t="s">
        <v>34</v>
      </c>
      <c r="F285" s="16">
        <v>17</v>
      </c>
      <c r="G285" s="16">
        <v>49.68</v>
      </c>
      <c r="H285" s="18">
        <f t="shared" si="34"/>
        <v>47.484126611999997</v>
      </c>
      <c r="I285" s="18">
        <f t="shared" si="35"/>
        <v>60.243111432644397</v>
      </c>
      <c r="J285" s="91">
        <f t="shared" si="33"/>
        <v>1024.1328943549547</v>
      </c>
      <c r="L285" s="19">
        <v>0.26869999999999999</v>
      </c>
      <c r="M285" s="19">
        <v>4.4200349999999999E-2</v>
      </c>
    </row>
    <row r="286" spans="1:13" ht="15.75" customHeight="1">
      <c r="A286" s="14" t="s">
        <v>616</v>
      </c>
      <c r="B286" s="14">
        <v>89669</v>
      </c>
      <c r="C286" s="14" t="s">
        <v>32</v>
      </c>
      <c r="D286" s="14" t="s">
        <v>617</v>
      </c>
      <c r="E286" s="15" t="s">
        <v>34</v>
      </c>
      <c r="F286" s="16">
        <v>50</v>
      </c>
      <c r="G286" s="16">
        <v>30.74</v>
      </c>
      <c r="H286" s="18">
        <f t="shared" si="34"/>
        <v>29.381281241</v>
      </c>
      <c r="I286" s="18">
        <f t="shared" si="35"/>
        <v>37.276031510456697</v>
      </c>
      <c r="J286" s="91">
        <f t="shared" si="33"/>
        <v>1863.8015755228348</v>
      </c>
      <c r="L286" s="19">
        <v>0.26869999999999999</v>
      </c>
      <c r="M286" s="19">
        <v>4.4200349999999999E-2</v>
      </c>
    </row>
    <row r="287" spans="1:13" ht="15.75" customHeight="1">
      <c r="A287" s="14" t="s">
        <v>618</v>
      </c>
      <c r="B287" s="14" t="s">
        <v>619</v>
      </c>
      <c r="C287" s="14" t="s">
        <v>17</v>
      </c>
      <c r="D287" s="14" t="s">
        <v>620</v>
      </c>
      <c r="E287" s="15" t="s">
        <v>34</v>
      </c>
      <c r="F287" s="16">
        <v>5</v>
      </c>
      <c r="G287" s="17">
        <v>109.81</v>
      </c>
      <c r="H287" s="18">
        <f t="shared" si="34"/>
        <v>104.9563595665</v>
      </c>
      <c r="I287" s="18">
        <f t="shared" si="35"/>
        <v>133.15813338201855</v>
      </c>
      <c r="J287" s="91">
        <f t="shared" si="33"/>
        <v>665.7906669100928</v>
      </c>
      <c r="L287" s="19">
        <v>0.26869999999999999</v>
      </c>
      <c r="M287" s="19">
        <v>4.4200349999999999E-2</v>
      </c>
    </row>
    <row r="288" spans="1:13" ht="15.75" customHeight="1">
      <c r="A288" s="14" t="s">
        <v>621</v>
      </c>
      <c r="B288" s="14" t="s">
        <v>558</v>
      </c>
      <c r="C288" s="14" t="s">
        <v>17</v>
      </c>
      <c r="D288" s="14" t="s">
        <v>559</v>
      </c>
      <c r="E288" s="15" t="s">
        <v>65</v>
      </c>
      <c r="F288" s="16">
        <v>55.85</v>
      </c>
      <c r="G288" s="17">
        <v>108.58</v>
      </c>
      <c r="H288" s="18">
        <f t="shared" si="34"/>
        <v>103.780725997</v>
      </c>
      <c r="I288" s="18">
        <f t="shared" si="35"/>
        <v>131.6666070723939</v>
      </c>
      <c r="J288" s="91">
        <f t="shared" si="33"/>
        <v>7353.5800049931995</v>
      </c>
      <c r="L288" s="19">
        <v>0.26869999999999999</v>
      </c>
      <c r="M288" s="19">
        <v>4.4200349999999999E-2</v>
      </c>
    </row>
    <row r="289" spans="1:13" ht="15.75" customHeight="1">
      <c r="A289" s="14" t="s">
        <v>622</v>
      </c>
      <c r="B289" s="14" t="s">
        <v>623</v>
      </c>
      <c r="C289" s="14" t="s">
        <v>17</v>
      </c>
      <c r="D289" s="14" t="s">
        <v>624</v>
      </c>
      <c r="E289" s="15" t="s">
        <v>65</v>
      </c>
      <c r="F289" s="16">
        <v>10.62</v>
      </c>
      <c r="G289" s="17">
        <v>156.71</v>
      </c>
      <c r="H289" s="18">
        <f t="shared" si="34"/>
        <v>149.7833631515</v>
      </c>
      <c r="I289" s="18">
        <f t="shared" si="35"/>
        <v>190.03015283030805</v>
      </c>
      <c r="J289" s="91">
        <f t="shared" si="33"/>
        <v>2018.1202230578715</v>
      </c>
      <c r="L289" s="19">
        <v>0.26869999999999999</v>
      </c>
      <c r="M289" s="19">
        <v>4.4200349999999999E-2</v>
      </c>
    </row>
    <row r="290" spans="1:13" ht="15.75" customHeight="1">
      <c r="A290" s="14" t="s">
        <v>625</v>
      </c>
      <c r="B290" s="14">
        <v>90694</v>
      </c>
      <c r="C290" s="14" t="s">
        <v>32</v>
      </c>
      <c r="D290" s="14" t="s">
        <v>626</v>
      </c>
      <c r="E290" s="27" t="s">
        <v>65</v>
      </c>
      <c r="F290" s="16">
        <v>187.06</v>
      </c>
      <c r="G290" s="16">
        <v>44.13</v>
      </c>
      <c r="H290" s="18">
        <f t="shared" si="34"/>
        <v>42.179438554500003</v>
      </c>
      <c r="I290" s="18">
        <f t="shared" si="35"/>
        <v>53.513053694094154</v>
      </c>
      <c r="J290" s="91">
        <f t="shared" si="33"/>
        <v>10010.151824017252</v>
      </c>
      <c r="L290" s="19">
        <v>0.26869999999999999</v>
      </c>
      <c r="M290" s="19">
        <v>4.4200349999999999E-2</v>
      </c>
    </row>
    <row r="291" spans="1:13" ht="15.75" customHeight="1">
      <c r="A291" s="14" t="s">
        <v>627</v>
      </c>
      <c r="B291" s="14">
        <v>90696</v>
      </c>
      <c r="C291" s="14" t="s">
        <v>32</v>
      </c>
      <c r="D291" s="14" t="s">
        <v>628</v>
      </c>
      <c r="E291" s="27" t="s">
        <v>65</v>
      </c>
      <c r="F291" s="16">
        <v>38.92</v>
      </c>
      <c r="G291" s="16">
        <v>140.84</v>
      </c>
      <c r="H291" s="18">
        <f t="shared" si="34"/>
        <v>134.61482270600001</v>
      </c>
      <c r="I291" s="18">
        <f t="shared" si="35"/>
        <v>170.78582556710222</v>
      </c>
      <c r="J291" s="91">
        <f t="shared" si="33"/>
        <v>6646.9843310716187</v>
      </c>
      <c r="L291" s="19">
        <v>0.26869999999999999</v>
      </c>
      <c r="M291" s="19">
        <v>4.4200349999999999E-2</v>
      </c>
    </row>
    <row r="292" spans="1:13" ht="15.75" customHeight="1">
      <c r="A292" s="14" t="s">
        <v>629</v>
      </c>
      <c r="B292" s="14">
        <v>89833</v>
      </c>
      <c r="C292" s="14" t="s">
        <v>32</v>
      </c>
      <c r="D292" s="14" t="s">
        <v>630</v>
      </c>
      <c r="E292" s="27" t="s">
        <v>34</v>
      </c>
      <c r="F292" s="16">
        <v>1</v>
      </c>
      <c r="G292" s="16">
        <v>43.45</v>
      </c>
      <c r="H292" s="18">
        <f t="shared" si="34"/>
        <v>41.529494792500003</v>
      </c>
      <c r="I292" s="18">
        <f t="shared" si="35"/>
        <v>52.688470043244756</v>
      </c>
      <c r="J292" s="91">
        <f t="shared" si="33"/>
        <v>52.688470043244756</v>
      </c>
      <c r="L292" s="19">
        <v>0.26869999999999999</v>
      </c>
      <c r="M292" s="19">
        <v>4.4200349999999999E-2</v>
      </c>
    </row>
    <row r="293" spans="1:13" ht="15.75" customHeight="1">
      <c r="A293" s="14" t="s">
        <v>631</v>
      </c>
      <c r="B293" s="14">
        <v>89489</v>
      </c>
      <c r="C293" s="14" t="s">
        <v>32</v>
      </c>
      <c r="D293" s="14" t="s">
        <v>461</v>
      </c>
      <c r="E293" s="27" t="s">
        <v>34</v>
      </c>
      <c r="F293" s="16">
        <v>1</v>
      </c>
      <c r="G293" s="16">
        <v>7.13</v>
      </c>
      <c r="H293" s="18">
        <f t="shared" si="34"/>
        <v>6.8148515045</v>
      </c>
      <c r="I293" s="18">
        <f t="shared" si="35"/>
        <v>8.6460021037591499</v>
      </c>
      <c r="J293" s="91">
        <f t="shared" si="33"/>
        <v>8.6460021037591499</v>
      </c>
      <c r="L293" s="19">
        <v>0.26869999999999999</v>
      </c>
      <c r="M293" s="19">
        <v>4.4200349999999999E-2</v>
      </c>
    </row>
    <row r="294" spans="1:13" ht="15.75" customHeight="1">
      <c r="A294" s="14" t="s">
        <v>632</v>
      </c>
      <c r="B294" s="14">
        <v>89408</v>
      </c>
      <c r="C294" s="14" t="s">
        <v>32</v>
      </c>
      <c r="D294" s="14" t="s">
        <v>465</v>
      </c>
      <c r="E294" s="27" t="s">
        <v>34</v>
      </c>
      <c r="F294" s="16">
        <v>12</v>
      </c>
      <c r="G294" s="16">
        <v>8.0500000000000007</v>
      </c>
      <c r="H294" s="18">
        <f t="shared" si="34"/>
        <v>7.6941871825000003</v>
      </c>
      <c r="I294" s="18">
        <f t="shared" si="35"/>
        <v>9.7616152784377501</v>
      </c>
      <c r="J294" s="91">
        <f t="shared" si="33"/>
        <v>117.13938334125299</v>
      </c>
      <c r="L294" s="19">
        <v>0.26869999999999999</v>
      </c>
      <c r="M294" s="19">
        <v>4.4200349999999999E-2</v>
      </c>
    </row>
    <row r="295" spans="1:13" ht="15.75" customHeight="1">
      <c r="A295" s="14" t="s">
        <v>633</v>
      </c>
      <c r="B295" s="14">
        <v>89356</v>
      </c>
      <c r="C295" s="14" t="s">
        <v>32</v>
      </c>
      <c r="D295" s="14" t="s">
        <v>471</v>
      </c>
      <c r="E295" s="27" t="s">
        <v>65</v>
      </c>
      <c r="F295" s="16">
        <v>91.91</v>
      </c>
      <c r="G295" s="16">
        <v>22.63</v>
      </c>
      <c r="H295" s="18">
        <f t="shared" si="34"/>
        <v>21.629746079499999</v>
      </c>
      <c r="I295" s="18">
        <f t="shared" si="35"/>
        <v>27.441658851061646</v>
      </c>
      <c r="J295" s="91">
        <f t="shared" si="33"/>
        <v>2522.1628650010757</v>
      </c>
      <c r="L295" s="19">
        <v>0.26869999999999999</v>
      </c>
      <c r="M295" s="19">
        <v>4.4200349999999999E-2</v>
      </c>
    </row>
    <row r="296" spans="1:13" ht="15.75" customHeight="1">
      <c r="A296" s="14" t="s">
        <v>634</v>
      </c>
      <c r="B296" s="14">
        <v>89869</v>
      </c>
      <c r="C296" s="14" t="s">
        <v>32</v>
      </c>
      <c r="D296" s="14" t="s">
        <v>477</v>
      </c>
      <c r="E296" s="27" t="s">
        <v>34</v>
      </c>
      <c r="F296" s="16">
        <v>10</v>
      </c>
      <c r="G296" s="16">
        <v>9.44</v>
      </c>
      <c r="H296" s="18">
        <f t="shared" si="34"/>
        <v>9.022748695999999</v>
      </c>
      <c r="I296" s="18">
        <f t="shared" si="35"/>
        <v>11.447161270615199</v>
      </c>
      <c r="J296" s="91">
        <f t="shared" si="33"/>
        <v>114.47161270615199</v>
      </c>
      <c r="L296" s="19">
        <v>0.26869999999999999</v>
      </c>
      <c r="M296" s="19">
        <v>4.4200349999999999E-2</v>
      </c>
    </row>
    <row r="297" spans="1:13" ht="15.75" customHeight="1">
      <c r="A297" s="11" t="s">
        <v>635</v>
      </c>
      <c r="B297" s="12"/>
      <c r="C297" s="12"/>
      <c r="D297" s="11" t="s">
        <v>636</v>
      </c>
      <c r="E297" s="12"/>
      <c r="F297" s="12"/>
      <c r="G297" s="12"/>
      <c r="H297" s="12"/>
      <c r="I297" s="12"/>
      <c r="J297" s="24">
        <f>SUM(J298:J308)</f>
        <v>7069.4224157954168</v>
      </c>
      <c r="L297" s="25"/>
      <c r="M297" s="19">
        <v>4.4200349999999999E-2</v>
      </c>
    </row>
    <row r="298" spans="1:13" ht="15.75" customHeight="1">
      <c r="A298" s="14" t="s">
        <v>637</v>
      </c>
      <c r="B298" s="14" t="s">
        <v>638</v>
      </c>
      <c r="C298" s="14" t="s">
        <v>17</v>
      </c>
      <c r="D298" s="14" t="s">
        <v>639</v>
      </c>
      <c r="E298" s="15" t="s">
        <v>34</v>
      </c>
      <c r="F298" s="16">
        <v>7</v>
      </c>
      <c r="G298" s="17">
        <v>18.670000000000002</v>
      </c>
      <c r="H298" s="18">
        <f t="shared" si="34"/>
        <v>17.8447794655</v>
      </c>
      <c r="I298" s="18">
        <f t="shared" si="35"/>
        <v>22.639671707879849</v>
      </c>
      <c r="J298" s="91">
        <f t="shared" si="33"/>
        <v>158.47770195515895</v>
      </c>
      <c r="L298" s="19">
        <v>0.26869999999999999</v>
      </c>
      <c r="M298" s="19">
        <v>4.4200349999999999E-2</v>
      </c>
    </row>
    <row r="299" spans="1:13" ht="15.75" customHeight="1">
      <c r="A299" s="14" t="s">
        <v>640</v>
      </c>
      <c r="B299" s="14">
        <v>101910</v>
      </c>
      <c r="C299" s="14" t="s">
        <v>32</v>
      </c>
      <c r="D299" s="14" t="s">
        <v>641</v>
      </c>
      <c r="E299" s="15" t="s">
        <v>34</v>
      </c>
      <c r="F299" s="16">
        <v>8</v>
      </c>
      <c r="G299" s="16">
        <v>380.72</v>
      </c>
      <c r="H299" s="18">
        <f t="shared" si="34"/>
        <v>363.89204274800005</v>
      </c>
      <c r="I299" s="18">
        <f t="shared" si="35"/>
        <v>461.66983463438766</v>
      </c>
      <c r="J299" s="91">
        <f t="shared" si="33"/>
        <v>3693.3586770751012</v>
      </c>
      <c r="L299" s="19">
        <v>0.26869999999999999</v>
      </c>
      <c r="M299" s="19">
        <v>4.4200349999999999E-2</v>
      </c>
    </row>
    <row r="300" spans="1:13" ht="15.75" customHeight="1">
      <c r="A300" s="14" t="s">
        <v>642</v>
      </c>
      <c r="B300" s="14" t="s">
        <v>643</v>
      </c>
      <c r="C300" s="14" t="s">
        <v>17</v>
      </c>
      <c r="D300" s="14" t="s">
        <v>644</v>
      </c>
      <c r="E300" s="15" t="s">
        <v>34</v>
      </c>
      <c r="F300" s="16">
        <v>8</v>
      </c>
      <c r="G300" s="17">
        <v>17.309999999999999</v>
      </c>
      <c r="H300" s="18">
        <f t="shared" si="34"/>
        <v>16.544891941499998</v>
      </c>
      <c r="I300" s="18">
        <f t="shared" si="35"/>
        <v>20.990504406181046</v>
      </c>
      <c r="J300" s="91">
        <f t="shared" ref="J300:J308" si="36">I300*F300</f>
        <v>167.92403524944837</v>
      </c>
      <c r="L300" s="19">
        <v>0.26869999999999999</v>
      </c>
      <c r="M300" s="19">
        <v>4.4200349999999999E-2</v>
      </c>
    </row>
    <row r="301" spans="1:13" ht="15.75" customHeight="1">
      <c r="A301" s="14" t="s">
        <v>645</v>
      </c>
      <c r="B301" s="14" t="s">
        <v>646</v>
      </c>
      <c r="C301" s="14" t="s">
        <v>17</v>
      </c>
      <c r="D301" s="14" t="s">
        <v>647</v>
      </c>
      <c r="E301" s="15" t="s">
        <v>34</v>
      </c>
      <c r="F301" s="16">
        <v>1</v>
      </c>
      <c r="G301" s="17">
        <v>213.84</v>
      </c>
      <c r="H301" s="18">
        <f t="shared" si="34"/>
        <v>204.38819715599999</v>
      </c>
      <c r="I301" s="18">
        <f t="shared" si="35"/>
        <v>259.30730573181717</v>
      </c>
      <c r="J301" s="91">
        <f t="shared" si="36"/>
        <v>259.30730573181717</v>
      </c>
      <c r="L301" s="19">
        <v>0.26869999999999999</v>
      </c>
      <c r="M301" s="19">
        <v>4.4200349999999999E-2</v>
      </c>
    </row>
    <row r="302" spans="1:13" ht="15.75" customHeight="1">
      <c r="A302" s="14" t="s">
        <v>648</v>
      </c>
      <c r="B302" s="14" t="s">
        <v>649</v>
      </c>
      <c r="C302" s="14" t="s">
        <v>17</v>
      </c>
      <c r="D302" s="14" t="s">
        <v>650</v>
      </c>
      <c r="E302" s="15" t="s">
        <v>34</v>
      </c>
      <c r="F302" s="16">
        <v>6</v>
      </c>
      <c r="G302" s="17">
        <v>37.29</v>
      </c>
      <c r="H302" s="18">
        <f t="shared" si="34"/>
        <v>35.641768948500001</v>
      </c>
      <c r="I302" s="18">
        <f t="shared" si="35"/>
        <v>45.218712264961951</v>
      </c>
      <c r="J302" s="91">
        <f t="shared" si="36"/>
        <v>271.31227358977173</v>
      </c>
      <c r="L302" s="19">
        <v>0.26869999999999999</v>
      </c>
      <c r="M302" s="19">
        <v>4.4200349999999999E-2</v>
      </c>
    </row>
    <row r="303" spans="1:13" ht="15.75" customHeight="1">
      <c r="A303" s="14" t="s">
        <v>651</v>
      </c>
      <c r="B303" s="14" t="s">
        <v>652</v>
      </c>
      <c r="C303" s="14" t="s">
        <v>17</v>
      </c>
      <c r="D303" s="14" t="s">
        <v>653</v>
      </c>
      <c r="E303" s="15" t="s">
        <v>34</v>
      </c>
      <c r="F303" s="16">
        <v>2</v>
      </c>
      <c r="G303" s="17">
        <v>15.45</v>
      </c>
      <c r="H303" s="18">
        <f t="shared" si="34"/>
        <v>14.767104592499999</v>
      </c>
      <c r="I303" s="18">
        <f t="shared" si="35"/>
        <v>18.735025596504748</v>
      </c>
      <c r="J303" s="91">
        <f t="shared" si="36"/>
        <v>37.470051193009496</v>
      </c>
      <c r="L303" s="19">
        <v>0.26869999999999999</v>
      </c>
      <c r="M303" s="19">
        <v>4.4200349999999999E-2</v>
      </c>
    </row>
    <row r="304" spans="1:13" ht="15.75" customHeight="1">
      <c r="A304" s="14" t="s">
        <v>654</v>
      </c>
      <c r="B304" s="14" t="s">
        <v>655</v>
      </c>
      <c r="C304" s="14" t="s">
        <v>17</v>
      </c>
      <c r="D304" s="14" t="s">
        <v>656</v>
      </c>
      <c r="E304" s="15" t="s">
        <v>34</v>
      </c>
      <c r="F304" s="16">
        <v>2</v>
      </c>
      <c r="G304" s="17">
        <v>52.89</v>
      </c>
      <c r="H304" s="18">
        <f t="shared" si="34"/>
        <v>50.552243488500004</v>
      </c>
      <c r="I304" s="18">
        <f t="shared" si="35"/>
        <v>64.13563131385996</v>
      </c>
      <c r="J304" s="91">
        <f t="shared" si="36"/>
        <v>128.27126262771992</v>
      </c>
      <c r="L304" s="19">
        <v>0.26869999999999999</v>
      </c>
      <c r="M304" s="19">
        <v>4.4200349999999999E-2</v>
      </c>
    </row>
    <row r="305" spans="1:13" ht="15.75" customHeight="1">
      <c r="A305" s="14" t="s">
        <v>657</v>
      </c>
      <c r="B305" s="14" t="s">
        <v>658</v>
      </c>
      <c r="C305" s="14" t="s">
        <v>17</v>
      </c>
      <c r="D305" s="14" t="s">
        <v>659</v>
      </c>
      <c r="E305" s="15" t="s">
        <v>34</v>
      </c>
      <c r="F305" s="16">
        <v>38</v>
      </c>
      <c r="G305" s="17">
        <v>24.45</v>
      </c>
      <c r="H305" s="18">
        <f t="shared" si="34"/>
        <v>23.369301442499999</v>
      </c>
      <c r="I305" s="18">
        <f t="shared" si="35"/>
        <v>29.64863274009975</v>
      </c>
      <c r="J305" s="91">
        <f t="shared" si="36"/>
        <v>1126.6480441237904</v>
      </c>
      <c r="L305" s="19">
        <v>0.26869999999999999</v>
      </c>
      <c r="M305" s="19">
        <v>4.4200349999999999E-2</v>
      </c>
    </row>
    <row r="306" spans="1:13" ht="15.75" customHeight="1">
      <c r="A306" s="14" t="s">
        <v>660</v>
      </c>
      <c r="B306" s="14" t="s">
        <v>661</v>
      </c>
      <c r="C306" s="14" t="s">
        <v>17</v>
      </c>
      <c r="D306" s="14" t="s">
        <v>662</v>
      </c>
      <c r="E306" s="15" t="s">
        <v>34</v>
      </c>
      <c r="F306" s="16">
        <v>2</v>
      </c>
      <c r="G306" s="17">
        <v>470.68</v>
      </c>
      <c r="H306" s="18">
        <f t="shared" si="34"/>
        <v>449.87577926199998</v>
      </c>
      <c r="I306" s="18">
        <f t="shared" si="35"/>
        <v>570.75740114969938</v>
      </c>
      <c r="J306" s="91">
        <f t="shared" si="36"/>
        <v>1141.5148022993988</v>
      </c>
      <c r="L306" s="19">
        <v>0.26869999999999999</v>
      </c>
      <c r="M306" s="19">
        <v>4.4200349999999999E-2</v>
      </c>
    </row>
    <row r="307" spans="1:13" ht="15.75" customHeight="1">
      <c r="A307" s="14" t="s">
        <v>663</v>
      </c>
      <c r="B307" s="14" t="s">
        <v>664</v>
      </c>
      <c r="C307" s="14" t="s">
        <v>17</v>
      </c>
      <c r="D307" s="14" t="s">
        <v>665</v>
      </c>
      <c r="E307" s="15" t="s">
        <v>34</v>
      </c>
      <c r="F307" s="16">
        <v>2</v>
      </c>
      <c r="G307" s="17">
        <v>29.21</v>
      </c>
      <c r="H307" s="18">
        <f t="shared" si="34"/>
        <v>27.918907776499999</v>
      </c>
      <c r="I307" s="18">
        <f t="shared" si="35"/>
        <v>35.42071829604555</v>
      </c>
      <c r="J307" s="91">
        <f t="shared" si="36"/>
        <v>70.8414365920911</v>
      </c>
      <c r="L307" s="19">
        <v>0.26869999999999999</v>
      </c>
      <c r="M307" s="19">
        <v>4.4200349999999999E-2</v>
      </c>
    </row>
    <row r="308" spans="1:13" ht="15.75" customHeight="1">
      <c r="A308" s="14" t="s">
        <v>666</v>
      </c>
      <c r="B308" s="14" t="s">
        <v>667</v>
      </c>
      <c r="C308" s="14" t="s">
        <v>17</v>
      </c>
      <c r="D308" s="14" t="s">
        <v>668</v>
      </c>
      <c r="E308" s="15" t="s">
        <v>34</v>
      </c>
      <c r="F308" s="16">
        <v>1</v>
      </c>
      <c r="G308" s="17">
        <v>11.79</v>
      </c>
      <c r="H308" s="18">
        <f t="shared" si="34"/>
        <v>11.268877873499999</v>
      </c>
      <c r="I308" s="18">
        <f t="shared" si="35"/>
        <v>14.296825358109448</v>
      </c>
      <c r="J308" s="91">
        <f t="shared" si="36"/>
        <v>14.296825358109448</v>
      </c>
      <c r="L308" s="19">
        <v>0.26869999999999999</v>
      </c>
      <c r="M308" s="19">
        <v>4.4200349999999999E-2</v>
      </c>
    </row>
    <row r="309" spans="1:13" ht="33" customHeight="1">
      <c r="A309" s="28">
        <v>16</v>
      </c>
      <c r="B309" s="29"/>
      <c r="C309" s="29"/>
      <c r="D309" s="30" t="s">
        <v>669</v>
      </c>
      <c r="E309" s="29"/>
      <c r="F309" s="29"/>
      <c r="G309" s="29"/>
      <c r="H309" s="29"/>
      <c r="I309" s="29"/>
      <c r="J309" s="31">
        <f>J310+J392+J402</f>
        <v>334017.29471121344</v>
      </c>
      <c r="L309" s="25"/>
      <c r="M309" s="19">
        <v>4.4200349999999999E-2</v>
      </c>
    </row>
    <row r="310" spans="1:13" ht="15.75" customHeight="1">
      <c r="A310" s="11" t="s">
        <v>670</v>
      </c>
      <c r="B310" s="12"/>
      <c r="C310" s="12"/>
      <c r="D310" s="11" t="s">
        <v>671</v>
      </c>
      <c r="E310" s="12"/>
      <c r="F310" s="12"/>
      <c r="G310" s="12"/>
      <c r="H310" s="12"/>
      <c r="I310" s="12"/>
      <c r="J310" s="24">
        <f>SUM(J311:J391)</f>
        <v>249119.03510833072</v>
      </c>
      <c r="L310" s="25"/>
      <c r="M310" s="19">
        <v>4.4200349999999999E-2</v>
      </c>
    </row>
    <row r="311" spans="1:13" ht="15.75" customHeight="1">
      <c r="A311" s="14" t="s">
        <v>672</v>
      </c>
      <c r="B311" s="14" t="s">
        <v>673</v>
      </c>
      <c r="C311" s="14" t="s">
        <v>17</v>
      </c>
      <c r="D311" s="14" t="s">
        <v>674</v>
      </c>
      <c r="E311" s="15" t="s">
        <v>34</v>
      </c>
      <c r="F311" s="16">
        <v>1</v>
      </c>
      <c r="G311" s="17">
        <v>2.08</v>
      </c>
      <c r="H311" s="18">
        <f t="shared" si="34"/>
        <v>1.988063272</v>
      </c>
      <c r="I311" s="18">
        <f t="shared" si="35"/>
        <v>2.5222558731864</v>
      </c>
      <c r="J311" s="91">
        <f t="shared" ref="J311:J374" si="37">I311*F311</f>
        <v>2.5222558731864</v>
      </c>
      <c r="L311" s="19">
        <v>0.26869999999999999</v>
      </c>
      <c r="M311" s="19">
        <v>4.4200349999999999E-2</v>
      </c>
    </row>
    <row r="312" spans="1:13" ht="15.75" customHeight="1">
      <c r="A312" s="14" t="s">
        <v>675</v>
      </c>
      <c r="B312" s="14">
        <v>91940</v>
      </c>
      <c r="C312" s="14" t="s">
        <v>32</v>
      </c>
      <c r="D312" s="14" t="s">
        <v>676</v>
      </c>
      <c r="E312" s="15" t="s">
        <v>34</v>
      </c>
      <c r="F312" s="16">
        <v>242</v>
      </c>
      <c r="G312" s="16">
        <v>16.46</v>
      </c>
      <c r="H312" s="18">
        <f t="shared" si="34"/>
        <v>15.732462239</v>
      </c>
      <c r="I312" s="18">
        <f t="shared" si="35"/>
        <v>19.9597748426193</v>
      </c>
      <c r="J312" s="91">
        <f t="shared" si="37"/>
        <v>4830.2655119138708</v>
      </c>
      <c r="L312" s="19">
        <v>0.26869999999999999</v>
      </c>
      <c r="M312" s="19">
        <v>4.4200349999999999E-2</v>
      </c>
    </row>
    <row r="313" spans="1:13" ht="15.75" customHeight="1">
      <c r="A313" s="14" t="s">
        <v>677</v>
      </c>
      <c r="B313" s="14">
        <v>91937</v>
      </c>
      <c r="C313" s="14" t="s">
        <v>32</v>
      </c>
      <c r="D313" s="14" t="s">
        <v>678</v>
      </c>
      <c r="E313" s="15" t="s">
        <v>34</v>
      </c>
      <c r="F313" s="16">
        <v>95</v>
      </c>
      <c r="G313" s="16">
        <v>13.48</v>
      </c>
      <c r="H313" s="18">
        <f t="shared" si="34"/>
        <v>12.884179282</v>
      </c>
      <c r="I313" s="18">
        <f t="shared" si="35"/>
        <v>16.346158255073398</v>
      </c>
      <c r="J313" s="91">
        <f t="shared" si="37"/>
        <v>1552.8850342319729</v>
      </c>
      <c r="L313" s="19">
        <v>0.26869999999999999</v>
      </c>
      <c r="M313" s="19">
        <v>4.4200349999999999E-2</v>
      </c>
    </row>
    <row r="314" spans="1:13" ht="15.75" customHeight="1">
      <c r="A314" s="14" t="s">
        <v>679</v>
      </c>
      <c r="B314" s="14">
        <v>92868</v>
      </c>
      <c r="C314" s="14" t="s">
        <v>32</v>
      </c>
      <c r="D314" s="14" t="s">
        <v>680</v>
      </c>
      <c r="E314" s="15" t="s">
        <v>34</v>
      </c>
      <c r="F314" s="16">
        <v>2</v>
      </c>
      <c r="G314" s="16">
        <v>16.399999999999999</v>
      </c>
      <c r="H314" s="18">
        <f t="shared" si="34"/>
        <v>15.675114259999999</v>
      </c>
      <c r="I314" s="18">
        <f t="shared" si="35"/>
        <v>19.887017461661998</v>
      </c>
      <c r="J314" s="91">
        <f t="shared" si="37"/>
        <v>39.774034923323995</v>
      </c>
      <c r="L314" s="19">
        <v>0.26869999999999999</v>
      </c>
      <c r="M314" s="19">
        <v>4.4200349999999999E-2</v>
      </c>
    </row>
    <row r="315" spans="1:13" ht="15.75" customHeight="1">
      <c r="A315" s="14" t="s">
        <v>681</v>
      </c>
      <c r="B315" s="14">
        <v>91920</v>
      </c>
      <c r="C315" s="14" t="s">
        <v>32</v>
      </c>
      <c r="D315" s="14" t="s">
        <v>682</v>
      </c>
      <c r="E315" s="15" t="s">
        <v>34</v>
      </c>
      <c r="F315" s="16">
        <v>1</v>
      </c>
      <c r="G315" s="16">
        <v>20.86</v>
      </c>
      <c r="H315" s="18">
        <f t="shared" si="34"/>
        <v>19.937980699000001</v>
      </c>
      <c r="I315" s="18">
        <f t="shared" si="35"/>
        <v>25.2953161128213</v>
      </c>
      <c r="J315" s="91">
        <f t="shared" si="37"/>
        <v>25.2953161128213</v>
      </c>
      <c r="L315" s="19">
        <v>0.26869999999999999</v>
      </c>
      <c r="M315" s="19">
        <v>4.4200349999999999E-2</v>
      </c>
    </row>
    <row r="316" spans="1:13" ht="15.75" customHeight="1">
      <c r="A316" s="14" t="s">
        <v>683</v>
      </c>
      <c r="B316" s="14" t="s">
        <v>684</v>
      </c>
      <c r="C316" s="14" t="s">
        <v>17</v>
      </c>
      <c r="D316" s="14" t="s">
        <v>685</v>
      </c>
      <c r="E316" s="15" t="s">
        <v>502</v>
      </c>
      <c r="F316" s="16">
        <v>646</v>
      </c>
      <c r="G316" s="17">
        <v>4.34</v>
      </c>
      <c r="H316" s="18">
        <f t="shared" si="34"/>
        <v>4.1481704810000002</v>
      </c>
      <c r="I316" s="18">
        <f t="shared" si="35"/>
        <v>5.2627838892446999</v>
      </c>
      <c r="J316" s="91">
        <f t="shared" si="37"/>
        <v>3399.7583924520759</v>
      </c>
      <c r="L316" s="19">
        <v>0.26869999999999999</v>
      </c>
      <c r="M316" s="19">
        <v>4.4200349999999999E-2</v>
      </c>
    </row>
    <row r="317" spans="1:13" ht="15.75" customHeight="1">
      <c r="A317" s="14" t="s">
        <v>686</v>
      </c>
      <c r="B317" s="14" t="s">
        <v>687</v>
      </c>
      <c r="C317" s="14" t="s">
        <v>17</v>
      </c>
      <c r="D317" s="14" t="s">
        <v>688</v>
      </c>
      <c r="E317" s="15" t="s">
        <v>502</v>
      </c>
      <c r="F317" s="16">
        <v>87</v>
      </c>
      <c r="G317" s="17">
        <v>5.85</v>
      </c>
      <c r="H317" s="18">
        <f t="shared" si="34"/>
        <v>5.5914279525000001</v>
      </c>
      <c r="I317" s="18">
        <f t="shared" si="35"/>
        <v>7.0938446433367499</v>
      </c>
      <c r="J317" s="91">
        <f t="shared" si="37"/>
        <v>617.16448397029728</v>
      </c>
      <c r="L317" s="19">
        <v>0.26869999999999999</v>
      </c>
      <c r="M317" s="19">
        <v>4.4200349999999999E-2</v>
      </c>
    </row>
    <row r="318" spans="1:13" ht="15.75" customHeight="1">
      <c r="A318" s="14" t="s">
        <v>689</v>
      </c>
      <c r="B318" s="14" t="s">
        <v>690</v>
      </c>
      <c r="C318" s="14" t="s">
        <v>17</v>
      </c>
      <c r="D318" s="14" t="s">
        <v>691</v>
      </c>
      <c r="E318" s="15" t="s">
        <v>34</v>
      </c>
      <c r="F318" s="16">
        <v>87</v>
      </c>
      <c r="G318" s="17">
        <v>11.73</v>
      </c>
      <c r="H318" s="18">
        <f t="shared" si="34"/>
        <v>11.2115298945</v>
      </c>
      <c r="I318" s="18">
        <f t="shared" si="35"/>
        <v>14.224067977152149</v>
      </c>
      <c r="J318" s="91">
        <f t="shared" si="37"/>
        <v>1237.4939140122369</v>
      </c>
      <c r="L318" s="19">
        <v>0.26869999999999999</v>
      </c>
      <c r="M318" s="19">
        <v>4.4200349999999999E-2</v>
      </c>
    </row>
    <row r="319" spans="1:13" ht="15.75" customHeight="1">
      <c r="A319" s="14" t="s">
        <v>692</v>
      </c>
      <c r="B319" s="14" t="s">
        <v>693</v>
      </c>
      <c r="C319" s="14" t="s">
        <v>17</v>
      </c>
      <c r="D319" s="14" t="s">
        <v>694</v>
      </c>
      <c r="E319" s="15" t="s">
        <v>34</v>
      </c>
      <c r="F319" s="16">
        <v>384</v>
      </c>
      <c r="G319" s="17">
        <v>2.82</v>
      </c>
      <c r="H319" s="18">
        <f t="shared" si="34"/>
        <v>2.6953550129999999</v>
      </c>
      <c r="I319" s="18">
        <f t="shared" si="35"/>
        <v>3.4195969049930999</v>
      </c>
      <c r="J319" s="91">
        <f t="shared" si="37"/>
        <v>1313.1252115173504</v>
      </c>
      <c r="L319" s="19">
        <v>0.26869999999999999</v>
      </c>
      <c r="M319" s="19">
        <v>4.4200349999999999E-2</v>
      </c>
    </row>
    <row r="320" spans="1:13" ht="15.75" customHeight="1">
      <c r="A320" s="14" t="s">
        <v>695</v>
      </c>
      <c r="B320" s="14" t="s">
        <v>696</v>
      </c>
      <c r="C320" s="14" t="s">
        <v>17</v>
      </c>
      <c r="D320" s="14" t="s">
        <v>697</v>
      </c>
      <c r="E320" s="15" t="s">
        <v>34</v>
      </c>
      <c r="F320" s="16">
        <v>87</v>
      </c>
      <c r="G320" s="17">
        <v>5.36</v>
      </c>
      <c r="H320" s="18">
        <f t="shared" si="34"/>
        <v>5.1230861240000003</v>
      </c>
      <c r="I320" s="18">
        <f t="shared" si="35"/>
        <v>6.4996593655188004</v>
      </c>
      <c r="J320" s="91">
        <f t="shared" si="37"/>
        <v>565.4703648001356</v>
      </c>
      <c r="L320" s="19">
        <v>0.26869999999999999</v>
      </c>
      <c r="M320" s="19">
        <v>4.4200349999999999E-2</v>
      </c>
    </row>
    <row r="321" spans="1:13" ht="15.75" customHeight="1">
      <c r="A321" s="14" t="s">
        <v>698</v>
      </c>
      <c r="B321" s="14" t="s">
        <v>699</v>
      </c>
      <c r="C321" s="14" t="s">
        <v>17</v>
      </c>
      <c r="D321" s="14" t="s">
        <v>700</v>
      </c>
      <c r="E321" s="15" t="s">
        <v>65</v>
      </c>
      <c r="F321" s="16">
        <v>87</v>
      </c>
      <c r="G321" s="17">
        <v>19.71</v>
      </c>
      <c r="H321" s="18">
        <f t="shared" si="34"/>
        <v>18.838811101499999</v>
      </c>
      <c r="I321" s="18">
        <f t="shared" si="35"/>
        <v>23.90079964447305</v>
      </c>
      <c r="J321" s="91">
        <f t="shared" si="37"/>
        <v>2079.3695690691552</v>
      </c>
      <c r="L321" s="19">
        <v>0.26869999999999999</v>
      </c>
      <c r="M321" s="19">
        <v>4.4200349999999999E-2</v>
      </c>
    </row>
    <row r="322" spans="1:13" ht="15.75" customHeight="1">
      <c r="A322" s="14" t="s">
        <v>701</v>
      </c>
      <c r="B322" s="14">
        <v>92988</v>
      </c>
      <c r="C322" s="14" t="s">
        <v>32</v>
      </c>
      <c r="D322" s="14" t="s">
        <v>702</v>
      </c>
      <c r="E322" s="15" t="s">
        <v>65</v>
      </c>
      <c r="F322" s="16">
        <v>32</v>
      </c>
      <c r="G322" s="16">
        <v>63.82</v>
      </c>
      <c r="H322" s="18">
        <f t="shared" si="34"/>
        <v>60.999133663000002</v>
      </c>
      <c r="I322" s="18">
        <f t="shared" si="35"/>
        <v>77.389600878248103</v>
      </c>
      <c r="J322" s="91">
        <f t="shared" si="37"/>
        <v>2476.4672281039393</v>
      </c>
      <c r="L322" s="19">
        <v>0.26869999999999999</v>
      </c>
      <c r="M322" s="19">
        <v>4.4200349999999999E-2</v>
      </c>
    </row>
    <row r="323" spans="1:13" ht="15.75" customHeight="1">
      <c r="A323" s="14" t="s">
        <v>703</v>
      </c>
      <c r="B323" s="14">
        <v>92992</v>
      </c>
      <c r="C323" s="14" t="s">
        <v>32</v>
      </c>
      <c r="D323" s="14" t="s">
        <v>704</v>
      </c>
      <c r="E323" s="15" t="s">
        <v>65</v>
      </c>
      <c r="F323" s="16">
        <v>137.6</v>
      </c>
      <c r="G323" s="16">
        <v>114.52</v>
      </c>
      <c r="H323" s="18">
        <f t="shared" si="34"/>
        <v>109.45817591799999</v>
      </c>
      <c r="I323" s="18">
        <f t="shared" si="35"/>
        <v>138.86958778716661</v>
      </c>
      <c r="J323" s="91">
        <f t="shared" si="37"/>
        <v>19108.455279514124</v>
      </c>
      <c r="L323" s="19">
        <v>0.26869999999999999</v>
      </c>
      <c r="M323" s="19">
        <v>4.4200349999999999E-2</v>
      </c>
    </row>
    <row r="324" spans="1:13" ht="15.75" customHeight="1">
      <c r="A324" s="14" t="s">
        <v>705</v>
      </c>
      <c r="B324" s="14">
        <v>91934</v>
      </c>
      <c r="C324" s="14" t="s">
        <v>32</v>
      </c>
      <c r="D324" s="14" t="s">
        <v>706</v>
      </c>
      <c r="E324" s="15" t="s">
        <v>65</v>
      </c>
      <c r="F324" s="16">
        <v>447.4</v>
      </c>
      <c r="G324" s="16">
        <v>26.92</v>
      </c>
      <c r="H324" s="18">
        <f t="shared" si="34"/>
        <v>25.730126578</v>
      </c>
      <c r="I324" s="18">
        <f t="shared" si="35"/>
        <v>32.643811589508601</v>
      </c>
      <c r="J324" s="91">
        <f t="shared" si="37"/>
        <v>14604.841305146147</v>
      </c>
      <c r="L324" s="19">
        <v>0.26869999999999999</v>
      </c>
      <c r="M324" s="19">
        <v>4.4200349999999999E-2</v>
      </c>
    </row>
    <row r="325" spans="1:13" ht="15.75" customHeight="1">
      <c r="A325" s="14" t="s">
        <v>707</v>
      </c>
      <c r="B325" s="14">
        <v>101888</v>
      </c>
      <c r="C325" s="14" t="s">
        <v>32</v>
      </c>
      <c r="D325" s="14" t="s">
        <v>708</v>
      </c>
      <c r="E325" s="15" t="s">
        <v>65</v>
      </c>
      <c r="F325" s="16">
        <v>24.4</v>
      </c>
      <c r="G325" s="16">
        <v>28.48</v>
      </c>
      <c r="H325" s="18">
        <f t="shared" si="34"/>
        <v>27.221174032</v>
      </c>
      <c r="I325" s="18">
        <f t="shared" si="35"/>
        <v>34.535503494398398</v>
      </c>
      <c r="J325" s="91">
        <f t="shared" si="37"/>
        <v>842.6662852633209</v>
      </c>
      <c r="L325" s="19">
        <v>0.26869999999999999</v>
      </c>
      <c r="M325" s="19">
        <v>4.4200349999999999E-2</v>
      </c>
    </row>
    <row r="326" spans="1:13" ht="15.75" customHeight="1">
      <c r="A326" s="14" t="s">
        <v>709</v>
      </c>
      <c r="B326" s="14">
        <v>92986</v>
      </c>
      <c r="C326" s="14" t="s">
        <v>32</v>
      </c>
      <c r="D326" s="14" t="s">
        <v>710</v>
      </c>
      <c r="E326" s="15" t="s">
        <v>65</v>
      </c>
      <c r="F326" s="16">
        <v>113.2</v>
      </c>
      <c r="G326" s="16">
        <v>43.84</v>
      </c>
      <c r="H326" s="18">
        <f t="shared" si="34"/>
        <v>41.902256656000006</v>
      </c>
      <c r="I326" s="18">
        <f t="shared" si="35"/>
        <v>53.161393019467205</v>
      </c>
      <c r="J326" s="91">
        <f t="shared" si="37"/>
        <v>6017.8696898036878</v>
      </c>
      <c r="L326" s="19">
        <v>0.26869999999999999</v>
      </c>
      <c r="M326" s="19">
        <v>4.4200349999999999E-2</v>
      </c>
    </row>
    <row r="327" spans="1:13" ht="15.75" customHeight="1">
      <c r="A327" s="14" t="s">
        <v>711</v>
      </c>
      <c r="B327" s="14">
        <v>91924</v>
      </c>
      <c r="C327" s="14" t="s">
        <v>32</v>
      </c>
      <c r="D327" s="14" t="s">
        <v>712</v>
      </c>
      <c r="E327" s="15" t="s">
        <v>65</v>
      </c>
      <c r="F327" s="16">
        <v>3065.4</v>
      </c>
      <c r="G327" s="16">
        <v>3.23</v>
      </c>
      <c r="H327" s="18">
        <f t="shared" si="34"/>
        <v>3.0872328695000002</v>
      </c>
      <c r="I327" s="18">
        <f t="shared" si="35"/>
        <v>3.9167723415346503</v>
      </c>
      <c r="J327" s="91">
        <f t="shared" si="37"/>
        <v>12006.473935740318</v>
      </c>
      <c r="L327" s="19">
        <v>0.26869999999999999</v>
      </c>
      <c r="M327" s="19">
        <v>4.4200349999999999E-2</v>
      </c>
    </row>
    <row r="328" spans="1:13" ht="15.75" customHeight="1">
      <c r="A328" s="14" t="s">
        <v>713</v>
      </c>
      <c r="B328" s="14">
        <v>91926</v>
      </c>
      <c r="C328" s="14" t="s">
        <v>32</v>
      </c>
      <c r="D328" s="14" t="s">
        <v>714</v>
      </c>
      <c r="E328" s="15" t="s">
        <v>65</v>
      </c>
      <c r="F328" s="16">
        <v>4032.9</v>
      </c>
      <c r="G328" s="16">
        <v>4.72</v>
      </c>
      <c r="H328" s="18">
        <f t="shared" si="34"/>
        <v>4.5113743479999995</v>
      </c>
      <c r="I328" s="18">
        <f t="shared" si="35"/>
        <v>5.7235806353075995</v>
      </c>
      <c r="J328" s="91">
        <f t="shared" si="37"/>
        <v>23082.628344132019</v>
      </c>
      <c r="L328" s="19">
        <v>0.26869999999999999</v>
      </c>
      <c r="M328" s="19">
        <v>4.4200349999999999E-2</v>
      </c>
    </row>
    <row r="329" spans="1:13" ht="15.75" customHeight="1">
      <c r="A329" s="14" t="s">
        <v>715</v>
      </c>
      <c r="B329" s="14">
        <v>91928</v>
      </c>
      <c r="C329" s="14" t="s">
        <v>32</v>
      </c>
      <c r="D329" s="14" t="s">
        <v>716</v>
      </c>
      <c r="E329" s="15" t="s">
        <v>65</v>
      </c>
      <c r="F329" s="16">
        <v>982.2</v>
      </c>
      <c r="G329" s="16">
        <v>7.37</v>
      </c>
      <c r="H329" s="18">
        <f t="shared" ref="H329:H391" si="38">G329-(G329*M329)</f>
        <v>7.0442434205</v>
      </c>
      <c r="I329" s="18">
        <f t="shared" ref="I329:I391" si="39">H329+(H329*L329)</f>
        <v>8.9370316275883503</v>
      </c>
      <c r="J329" s="91">
        <f t="shared" si="37"/>
        <v>8777.9524646172777</v>
      </c>
      <c r="L329" s="19">
        <v>0.26869999999999999</v>
      </c>
      <c r="M329" s="19">
        <v>4.4200349999999999E-2</v>
      </c>
    </row>
    <row r="330" spans="1:13" ht="15.75" customHeight="1">
      <c r="A330" s="14" t="s">
        <v>717</v>
      </c>
      <c r="B330" s="14">
        <v>91930</v>
      </c>
      <c r="C330" s="14" t="s">
        <v>32</v>
      </c>
      <c r="D330" s="14" t="s">
        <v>718</v>
      </c>
      <c r="E330" s="15" t="s">
        <v>65</v>
      </c>
      <c r="F330" s="16">
        <v>213.1</v>
      </c>
      <c r="G330" s="16">
        <v>10.34</v>
      </c>
      <c r="H330" s="18">
        <f t="shared" si="38"/>
        <v>9.8829683809999995</v>
      </c>
      <c r="I330" s="18">
        <f t="shared" si="39"/>
        <v>12.5385219849747</v>
      </c>
      <c r="J330" s="91">
        <f t="shared" si="37"/>
        <v>2671.9590349981086</v>
      </c>
      <c r="L330" s="19">
        <v>0.26869999999999999</v>
      </c>
      <c r="M330" s="19">
        <v>4.4200349999999999E-2</v>
      </c>
    </row>
    <row r="331" spans="1:13" ht="15.75" customHeight="1">
      <c r="A331" s="14" t="s">
        <v>719</v>
      </c>
      <c r="B331" s="14" t="s">
        <v>720</v>
      </c>
      <c r="C331" s="14" t="s">
        <v>17</v>
      </c>
      <c r="D331" s="14" t="s">
        <v>721</v>
      </c>
      <c r="E331" s="15" t="s">
        <v>34</v>
      </c>
      <c r="F331" s="16">
        <v>1</v>
      </c>
      <c r="G331" s="17">
        <v>115.96</v>
      </c>
      <c r="H331" s="18">
        <f t="shared" si="38"/>
        <v>110.83452741399999</v>
      </c>
      <c r="I331" s="18">
        <f t="shared" si="39"/>
        <v>140.61576493014178</v>
      </c>
      <c r="J331" s="91">
        <f t="shared" si="37"/>
        <v>140.61576493014178</v>
      </c>
      <c r="L331" s="19">
        <v>0.26869999999999999</v>
      </c>
      <c r="M331" s="19">
        <v>4.4200349999999999E-2</v>
      </c>
    </row>
    <row r="332" spans="1:13" ht="15.75" customHeight="1">
      <c r="A332" s="14" t="s">
        <v>722</v>
      </c>
      <c r="B332" s="14" t="s">
        <v>723</v>
      </c>
      <c r="C332" s="14" t="s">
        <v>17</v>
      </c>
      <c r="D332" s="14" t="s">
        <v>724</v>
      </c>
      <c r="E332" s="15" t="s">
        <v>34</v>
      </c>
      <c r="F332" s="16">
        <v>6</v>
      </c>
      <c r="G332" s="17">
        <v>245.18</v>
      </c>
      <c r="H332" s="18">
        <f t="shared" si="38"/>
        <v>234.34295818699999</v>
      </c>
      <c r="I332" s="18">
        <f t="shared" si="39"/>
        <v>297.31091105184692</v>
      </c>
      <c r="J332" s="91">
        <f t="shared" si="37"/>
        <v>1783.8654663110815</v>
      </c>
      <c r="L332" s="19">
        <v>0.26869999999999999</v>
      </c>
      <c r="M332" s="19">
        <v>4.4200349999999999E-2</v>
      </c>
    </row>
    <row r="333" spans="1:13" ht="15.75" customHeight="1">
      <c r="A333" s="14" t="s">
        <v>725</v>
      </c>
      <c r="B333" s="14">
        <v>91979</v>
      </c>
      <c r="C333" s="14" t="s">
        <v>32</v>
      </c>
      <c r="D333" s="14" t="s">
        <v>726</v>
      </c>
      <c r="E333" s="27" t="s">
        <v>34</v>
      </c>
      <c r="F333" s="16">
        <v>1</v>
      </c>
      <c r="G333" s="16">
        <v>48.1</v>
      </c>
      <c r="H333" s="18">
        <f t="shared" si="38"/>
        <v>45.973963165000001</v>
      </c>
      <c r="I333" s="18">
        <f t="shared" si="39"/>
        <v>58.327167067435497</v>
      </c>
      <c r="J333" s="91">
        <f t="shared" si="37"/>
        <v>58.327167067435497</v>
      </c>
      <c r="L333" s="19">
        <v>0.26869999999999999</v>
      </c>
      <c r="M333" s="19">
        <v>4.4200349999999999E-2</v>
      </c>
    </row>
    <row r="334" spans="1:13" ht="15.75" customHeight="1">
      <c r="A334" s="14" t="s">
        <v>727</v>
      </c>
      <c r="B334" s="14">
        <v>91955</v>
      </c>
      <c r="C334" s="14" t="s">
        <v>32</v>
      </c>
      <c r="D334" s="14" t="s">
        <v>728</v>
      </c>
      <c r="E334" s="27" t="s">
        <v>34</v>
      </c>
      <c r="F334" s="16">
        <v>13</v>
      </c>
      <c r="G334" s="16">
        <v>34.56</v>
      </c>
      <c r="H334" s="18">
        <f t="shared" si="38"/>
        <v>33.032435904000003</v>
      </c>
      <c r="I334" s="18">
        <f t="shared" si="39"/>
        <v>41.908251431404807</v>
      </c>
      <c r="J334" s="91">
        <f t="shared" si="37"/>
        <v>544.80726860826246</v>
      </c>
      <c r="L334" s="19">
        <v>0.26869999999999999</v>
      </c>
      <c r="M334" s="19">
        <v>4.4200349999999999E-2</v>
      </c>
    </row>
    <row r="335" spans="1:13" ht="15.75" customHeight="1">
      <c r="A335" s="14" t="s">
        <v>729</v>
      </c>
      <c r="B335" s="14">
        <v>91957</v>
      </c>
      <c r="C335" s="14" t="s">
        <v>32</v>
      </c>
      <c r="D335" s="14" t="s">
        <v>730</v>
      </c>
      <c r="E335" s="27" t="s">
        <v>34</v>
      </c>
      <c r="F335" s="16">
        <v>2</v>
      </c>
      <c r="G335" s="16">
        <v>49.34</v>
      </c>
      <c r="H335" s="18">
        <f t="shared" si="38"/>
        <v>47.159154731000001</v>
      </c>
      <c r="I335" s="18">
        <f t="shared" si="39"/>
        <v>59.830819607219702</v>
      </c>
      <c r="J335" s="91">
        <f t="shared" si="37"/>
        <v>119.6616392144394</v>
      </c>
      <c r="L335" s="19">
        <v>0.26869999999999999</v>
      </c>
      <c r="M335" s="19">
        <v>4.4200349999999999E-2</v>
      </c>
    </row>
    <row r="336" spans="1:13" ht="15.75" customHeight="1">
      <c r="A336" s="14" t="s">
        <v>731</v>
      </c>
      <c r="B336" s="14">
        <v>91953</v>
      </c>
      <c r="C336" s="14" t="s">
        <v>32</v>
      </c>
      <c r="D336" s="14" t="s">
        <v>732</v>
      </c>
      <c r="E336" s="27" t="s">
        <v>34</v>
      </c>
      <c r="F336" s="16">
        <v>14</v>
      </c>
      <c r="G336" s="16">
        <v>28.39</v>
      </c>
      <c r="H336" s="18">
        <f t="shared" si="38"/>
        <v>27.135152063500001</v>
      </c>
      <c r="I336" s="18">
        <f t="shared" si="39"/>
        <v>34.42636742296245</v>
      </c>
      <c r="J336" s="91">
        <f t="shared" si="37"/>
        <v>481.96914392147431</v>
      </c>
      <c r="L336" s="19">
        <v>0.26869999999999999</v>
      </c>
      <c r="M336" s="19">
        <v>4.4200349999999999E-2</v>
      </c>
    </row>
    <row r="337" spans="1:13" ht="15.75" customHeight="1">
      <c r="A337" s="14" t="s">
        <v>733</v>
      </c>
      <c r="B337" s="14" t="s">
        <v>734</v>
      </c>
      <c r="C337" s="14" t="s">
        <v>17</v>
      </c>
      <c r="D337" s="14" t="s">
        <v>735</v>
      </c>
      <c r="E337" s="15" t="s">
        <v>34</v>
      </c>
      <c r="F337" s="16">
        <v>41</v>
      </c>
      <c r="G337" s="17">
        <v>15.18</v>
      </c>
      <c r="H337" s="18">
        <f t="shared" si="38"/>
        <v>14.509038687</v>
      </c>
      <c r="I337" s="18">
        <f t="shared" si="39"/>
        <v>18.4076173821969</v>
      </c>
      <c r="J337" s="91">
        <f t="shared" si="37"/>
        <v>754.71231267007295</v>
      </c>
      <c r="L337" s="19">
        <v>0.26869999999999999</v>
      </c>
      <c r="M337" s="19">
        <v>4.4200349999999999E-2</v>
      </c>
    </row>
    <row r="338" spans="1:13" ht="15.75" customHeight="1">
      <c r="A338" s="14" t="s">
        <v>736</v>
      </c>
      <c r="B338" s="14" t="s">
        <v>737</v>
      </c>
      <c r="C338" s="14" t="s">
        <v>17</v>
      </c>
      <c r="D338" s="14" t="s">
        <v>738</v>
      </c>
      <c r="E338" s="15" t="s">
        <v>34</v>
      </c>
      <c r="F338" s="16">
        <v>170</v>
      </c>
      <c r="G338" s="17">
        <v>9.74</v>
      </c>
      <c r="H338" s="18">
        <f t="shared" si="38"/>
        <v>9.3094885910000009</v>
      </c>
      <c r="I338" s="18">
        <f t="shared" si="39"/>
        <v>11.810948175401702</v>
      </c>
      <c r="J338" s="91">
        <f t="shared" si="37"/>
        <v>2007.8611898182894</v>
      </c>
      <c r="L338" s="19">
        <v>0.26869999999999999</v>
      </c>
      <c r="M338" s="19">
        <v>4.4200349999999999E-2</v>
      </c>
    </row>
    <row r="339" spans="1:13" ht="15.75" customHeight="1">
      <c r="A339" s="14" t="s">
        <v>739</v>
      </c>
      <c r="B339" s="14">
        <v>91996</v>
      </c>
      <c r="C339" s="14" t="s">
        <v>32</v>
      </c>
      <c r="D339" s="14" t="s">
        <v>740</v>
      </c>
      <c r="E339" s="15" t="s">
        <v>34</v>
      </c>
      <c r="F339" s="16">
        <v>6</v>
      </c>
      <c r="G339" s="16">
        <v>33.51</v>
      </c>
      <c r="H339" s="18">
        <f t="shared" si="38"/>
        <v>32.028846271500001</v>
      </c>
      <c r="I339" s="18">
        <f t="shared" si="39"/>
        <v>40.63499726465205</v>
      </c>
      <c r="J339" s="91">
        <f t="shared" si="37"/>
        <v>243.80998358791231</v>
      </c>
      <c r="L339" s="19">
        <v>0.26869999999999999</v>
      </c>
      <c r="M339" s="19">
        <v>4.4200349999999999E-2</v>
      </c>
    </row>
    <row r="340" spans="1:13" ht="15.75" customHeight="1">
      <c r="A340" s="14" t="s">
        <v>741</v>
      </c>
      <c r="B340" s="14">
        <v>91997</v>
      </c>
      <c r="C340" s="14" t="s">
        <v>32</v>
      </c>
      <c r="D340" s="14" t="s">
        <v>742</v>
      </c>
      <c r="E340" s="15" t="s">
        <v>34</v>
      </c>
      <c r="F340" s="16">
        <v>2</v>
      </c>
      <c r="G340" s="16">
        <v>35.53</v>
      </c>
      <c r="H340" s="18">
        <f t="shared" si="38"/>
        <v>33.9595615645</v>
      </c>
      <c r="I340" s="18">
        <f t="shared" si="39"/>
        <v>43.084495756881147</v>
      </c>
      <c r="J340" s="91">
        <f t="shared" si="37"/>
        <v>86.168991513762293</v>
      </c>
      <c r="L340" s="19">
        <v>0.26869999999999999</v>
      </c>
      <c r="M340" s="19">
        <v>4.4200349999999999E-2</v>
      </c>
    </row>
    <row r="341" spans="1:13" ht="15.75" customHeight="1">
      <c r="A341" s="14" t="s">
        <v>743</v>
      </c>
      <c r="B341" s="14">
        <v>92028</v>
      </c>
      <c r="C341" s="14" t="s">
        <v>32</v>
      </c>
      <c r="D341" s="14" t="s">
        <v>744</v>
      </c>
      <c r="E341" s="15" t="s">
        <v>34</v>
      </c>
      <c r="F341" s="16">
        <v>1</v>
      </c>
      <c r="G341" s="16">
        <v>44.04</v>
      </c>
      <c r="H341" s="18">
        <f t="shared" si="38"/>
        <v>42.093416585999996</v>
      </c>
      <c r="I341" s="18">
        <f t="shared" si="39"/>
        <v>53.403917622658199</v>
      </c>
      <c r="J341" s="91">
        <f t="shared" si="37"/>
        <v>53.403917622658199</v>
      </c>
      <c r="L341" s="19">
        <v>0.26869999999999999</v>
      </c>
      <c r="M341" s="19">
        <v>4.4200349999999999E-2</v>
      </c>
    </row>
    <row r="342" spans="1:13" ht="15.75" customHeight="1">
      <c r="A342" s="14" t="s">
        <v>745</v>
      </c>
      <c r="B342" s="14">
        <v>91952</v>
      </c>
      <c r="C342" s="14" t="s">
        <v>32</v>
      </c>
      <c r="D342" s="14" t="s">
        <v>746</v>
      </c>
      <c r="E342" s="15" t="s">
        <v>34</v>
      </c>
      <c r="F342" s="16">
        <v>1</v>
      </c>
      <c r="G342" s="16">
        <v>17.920000000000002</v>
      </c>
      <c r="H342" s="18">
        <f t="shared" si="38"/>
        <v>17.127929728000002</v>
      </c>
      <c r="I342" s="18">
        <f t="shared" si="39"/>
        <v>21.7302044459136</v>
      </c>
      <c r="J342" s="91">
        <f t="shared" si="37"/>
        <v>21.7302044459136</v>
      </c>
      <c r="L342" s="19">
        <v>0.26869999999999999</v>
      </c>
      <c r="M342" s="19">
        <v>4.4200349999999999E-2</v>
      </c>
    </row>
    <row r="343" spans="1:13" ht="15.75" customHeight="1">
      <c r="A343" s="14" t="s">
        <v>747</v>
      </c>
      <c r="B343" s="14">
        <v>92022</v>
      </c>
      <c r="C343" s="14" t="s">
        <v>32</v>
      </c>
      <c r="D343" s="14" t="s">
        <v>748</v>
      </c>
      <c r="E343" s="15" t="s">
        <v>34</v>
      </c>
      <c r="F343" s="16">
        <v>12</v>
      </c>
      <c r="G343" s="16">
        <v>37.82</v>
      </c>
      <c r="H343" s="18">
        <f t="shared" si="38"/>
        <v>36.148342763000002</v>
      </c>
      <c r="I343" s="18">
        <f t="shared" si="39"/>
        <v>45.861402463418102</v>
      </c>
      <c r="J343" s="91">
        <f t="shared" si="37"/>
        <v>550.33682956101723</v>
      </c>
      <c r="L343" s="19">
        <v>0.26869999999999999</v>
      </c>
      <c r="M343" s="19">
        <v>4.4200349999999999E-2</v>
      </c>
    </row>
    <row r="344" spans="1:13" ht="15.75" customHeight="1">
      <c r="A344" s="14" t="s">
        <v>749</v>
      </c>
      <c r="B344" s="14">
        <v>92002</v>
      </c>
      <c r="C344" s="14" t="s">
        <v>32</v>
      </c>
      <c r="D344" s="14" t="s">
        <v>750</v>
      </c>
      <c r="E344" s="15" t="s">
        <v>34</v>
      </c>
      <c r="F344" s="16">
        <v>31</v>
      </c>
      <c r="G344" s="16">
        <v>42.99</v>
      </c>
      <c r="H344" s="18">
        <f t="shared" si="38"/>
        <v>41.089826953500001</v>
      </c>
      <c r="I344" s="18">
        <f t="shared" si="39"/>
        <v>52.130663455905449</v>
      </c>
      <c r="J344" s="91">
        <f t="shared" si="37"/>
        <v>1616.0505671330689</v>
      </c>
      <c r="L344" s="19">
        <v>0.26869999999999999</v>
      </c>
      <c r="M344" s="19">
        <v>4.4200349999999999E-2</v>
      </c>
    </row>
    <row r="345" spans="1:13" ht="15.75" customHeight="1">
      <c r="A345" s="14" t="s">
        <v>751</v>
      </c>
      <c r="B345" s="14">
        <v>92003</v>
      </c>
      <c r="C345" s="14" t="s">
        <v>32</v>
      </c>
      <c r="D345" s="14" t="s">
        <v>752</v>
      </c>
      <c r="E345" s="15" t="s">
        <v>34</v>
      </c>
      <c r="F345" s="16">
        <v>42</v>
      </c>
      <c r="G345" s="16">
        <v>47.03</v>
      </c>
      <c r="H345" s="18">
        <f t="shared" si="38"/>
        <v>44.951257539499998</v>
      </c>
      <c r="I345" s="18">
        <f t="shared" si="39"/>
        <v>57.029660440363649</v>
      </c>
      <c r="J345" s="91">
        <f t="shared" si="37"/>
        <v>2395.2457384952731</v>
      </c>
      <c r="L345" s="19">
        <v>0.26869999999999999</v>
      </c>
      <c r="M345" s="19">
        <v>4.4200349999999999E-2</v>
      </c>
    </row>
    <row r="346" spans="1:13" ht="15.75" customHeight="1">
      <c r="A346" s="14" t="s">
        <v>753</v>
      </c>
      <c r="B346" s="14">
        <v>92010</v>
      </c>
      <c r="C346" s="14" t="s">
        <v>32</v>
      </c>
      <c r="D346" s="14" t="s">
        <v>754</v>
      </c>
      <c r="E346" s="15" t="s">
        <v>34</v>
      </c>
      <c r="F346" s="16">
        <v>3</v>
      </c>
      <c r="G346" s="16">
        <v>62.9</v>
      </c>
      <c r="H346" s="18">
        <f t="shared" si="38"/>
        <v>60.119797984999998</v>
      </c>
      <c r="I346" s="18">
        <f t="shared" si="39"/>
        <v>76.273987703569503</v>
      </c>
      <c r="J346" s="91">
        <f t="shared" si="37"/>
        <v>228.82196311070851</v>
      </c>
      <c r="L346" s="19">
        <v>0.26869999999999999</v>
      </c>
      <c r="M346" s="19">
        <v>4.4200349999999999E-2</v>
      </c>
    </row>
    <row r="347" spans="1:13" ht="15.75" customHeight="1">
      <c r="A347" s="14" t="s">
        <v>755</v>
      </c>
      <c r="B347" s="14">
        <v>91994</v>
      </c>
      <c r="C347" s="14" t="s">
        <v>32</v>
      </c>
      <c r="D347" s="14" t="s">
        <v>756</v>
      </c>
      <c r="E347" s="15" t="s">
        <v>34</v>
      </c>
      <c r="F347" s="16">
        <v>25</v>
      </c>
      <c r="G347" s="16">
        <v>23.04</v>
      </c>
      <c r="H347" s="18">
        <f t="shared" si="38"/>
        <v>22.021623935999997</v>
      </c>
      <c r="I347" s="18">
        <f t="shared" si="39"/>
        <v>27.938834287603196</v>
      </c>
      <c r="J347" s="91">
        <f t="shared" si="37"/>
        <v>698.47085719007987</v>
      </c>
      <c r="L347" s="19">
        <v>0.26869999999999999</v>
      </c>
      <c r="M347" s="19">
        <v>4.4200349999999999E-2</v>
      </c>
    </row>
    <row r="348" spans="1:13" ht="15.75" customHeight="1">
      <c r="A348" s="14" t="s">
        <v>757</v>
      </c>
      <c r="B348" s="14">
        <v>91995</v>
      </c>
      <c r="C348" s="14" t="s">
        <v>32</v>
      </c>
      <c r="D348" s="14" t="s">
        <v>758</v>
      </c>
      <c r="E348" s="15" t="s">
        <v>34</v>
      </c>
      <c r="F348" s="16">
        <v>50</v>
      </c>
      <c r="G348" s="16">
        <v>25.06</v>
      </c>
      <c r="H348" s="18">
        <f t="shared" si="38"/>
        <v>23.952339229</v>
      </c>
      <c r="I348" s="18">
        <f t="shared" si="39"/>
        <v>30.3883327798323</v>
      </c>
      <c r="J348" s="91">
        <f t="shared" si="37"/>
        <v>1519.4166389916149</v>
      </c>
      <c r="L348" s="19">
        <v>0.26869999999999999</v>
      </c>
      <c r="M348" s="19">
        <v>4.4200349999999999E-2</v>
      </c>
    </row>
    <row r="349" spans="1:13" ht="15.75" customHeight="1">
      <c r="A349" s="14" t="s">
        <v>759</v>
      </c>
      <c r="B349" s="14" t="s">
        <v>760</v>
      </c>
      <c r="C349" s="14" t="s">
        <v>17</v>
      </c>
      <c r="D349" s="14" t="s">
        <v>761</v>
      </c>
      <c r="E349" s="15" t="s">
        <v>34</v>
      </c>
      <c r="F349" s="16">
        <v>1</v>
      </c>
      <c r="G349" s="17">
        <v>243.44</v>
      </c>
      <c r="H349" s="18">
        <f t="shared" si="38"/>
        <v>232.679866796</v>
      </c>
      <c r="I349" s="18">
        <f t="shared" si="39"/>
        <v>295.20094700408521</v>
      </c>
      <c r="J349" s="91">
        <f t="shared" si="37"/>
        <v>295.20094700408521</v>
      </c>
      <c r="L349" s="19">
        <v>0.26869999999999999</v>
      </c>
      <c r="M349" s="19">
        <v>4.4200349999999999E-2</v>
      </c>
    </row>
    <row r="350" spans="1:13" ht="15.75" customHeight="1">
      <c r="A350" s="14" t="s">
        <v>762</v>
      </c>
      <c r="B350" s="14">
        <v>101632</v>
      </c>
      <c r="C350" s="14" t="s">
        <v>32</v>
      </c>
      <c r="D350" s="14" t="s">
        <v>763</v>
      </c>
      <c r="E350" s="15" t="s">
        <v>34</v>
      </c>
      <c r="F350" s="16">
        <v>9</v>
      </c>
      <c r="G350" s="16">
        <v>33.26</v>
      </c>
      <c r="H350" s="18">
        <f t="shared" si="38"/>
        <v>31.789896358999997</v>
      </c>
      <c r="I350" s="18">
        <f t="shared" si="39"/>
        <v>40.331841510663295</v>
      </c>
      <c r="J350" s="91">
        <f t="shared" si="37"/>
        <v>362.98657359596967</v>
      </c>
      <c r="L350" s="19">
        <v>0.26869999999999999</v>
      </c>
      <c r="M350" s="19">
        <v>4.4200349999999999E-2</v>
      </c>
    </row>
    <row r="351" spans="1:13" ht="15.75" customHeight="1">
      <c r="A351" s="14" t="s">
        <v>764</v>
      </c>
      <c r="B351" s="14" t="s">
        <v>765</v>
      </c>
      <c r="C351" s="14" t="s">
        <v>17</v>
      </c>
      <c r="D351" s="14" t="s">
        <v>766</v>
      </c>
      <c r="E351" s="15" t="s">
        <v>34</v>
      </c>
      <c r="F351" s="16">
        <v>9</v>
      </c>
      <c r="G351" s="17">
        <v>171.38</v>
      </c>
      <c r="H351" s="18">
        <f t="shared" si="38"/>
        <v>163.804944017</v>
      </c>
      <c r="I351" s="18">
        <f t="shared" si="39"/>
        <v>207.81933247436791</v>
      </c>
      <c r="J351" s="91">
        <f t="shared" si="37"/>
        <v>1870.3739922693112</v>
      </c>
      <c r="L351" s="19">
        <v>0.26869999999999999</v>
      </c>
      <c r="M351" s="19">
        <v>4.4200349999999999E-2</v>
      </c>
    </row>
    <row r="352" spans="1:13" ht="26.25" customHeight="1">
      <c r="A352" s="14" t="s">
        <v>767</v>
      </c>
      <c r="B352" s="14">
        <v>93660</v>
      </c>
      <c r="C352" s="14" t="s">
        <v>32</v>
      </c>
      <c r="D352" s="14" t="s">
        <v>768</v>
      </c>
      <c r="E352" s="15" t="s">
        <v>34</v>
      </c>
      <c r="F352" s="16">
        <v>41</v>
      </c>
      <c r="G352" s="16">
        <v>49.2</v>
      </c>
      <c r="H352" s="18">
        <f t="shared" si="38"/>
        <v>47.025342780000003</v>
      </c>
      <c r="I352" s="18">
        <f t="shared" si="39"/>
        <v>59.661052384986007</v>
      </c>
      <c r="J352" s="91">
        <f t="shared" si="37"/>
        <v>2446.1031477844263</v>
      </c>
      <c r="L352" s="19">
        <v>0.26869999999999999</v>
      </c>
      <c r="M352" s="19">
        <v>4.4200349999999999E-2</v>
      </c>
    </row>
    <row r="353" spans="1:13" ht="15.75" customHeight="1">
      <c r="A353" s="14" t="s">
        <v>769</v>
      </c>
      <c r="B353" s="14" t="s">
        <v>770</v>
      </c>
      <c r="C353" s="14" t="s">
        <v>17</v>
      </c>
      <c r="D353" s="14" t="s">
        <v>771</v>
      </c>
      <c r="E353" s="15" t="s">
        <v>34</v>
      </c>
      <c r="F353" s="16">
        <v>4</v>
      </c>
      <c r="G353" s="17">
        <v>209.01</v>
      </c>
      <c r="H353" s="18">
        <f t="shared" si="38"/>
        <v>199.77168484649999</v>
      </c>
      <c r="I353" s="18">
        <f t="shared" si="39"/>
        <v>253.45033656475454</v>
      </c>
      <c r="J353" s="91">
        <f t="shared" si="37"/>
        <v>1013.8013462590181</v>
      </c>
      <c r="L353" s="19">
        <v>0.26869999999999999</v>
      </c>
      <c r="M353" s="19">
        <v>4.4200349999999999E-2</v>
      </c>
    </row>
    <row r="354" spans="1:13" ht="15.75" customHeight="1">
      <c r="A354" s="14" t="s">
        <v>772</v>
      </c>
      <c r="B354" s="14" t="s">
        <v>773</v>
      </c>
      <c r="C354" s="14" t="s">
        <v>17</v>
      </c>
      <c r="D354" s="14" t="s">
        <v>774</v>
      </c>
      <c r="E354" s="15" t="s">
        <v>34</v>
      </c>
      <c r="F354" s="16">
        <v>2</v>
      </c>
      <c r="G354" s="17">
        <v>231.45</v>
      </c>
      <c r="H354" s="18">
        <f t="shared" si="38"/>
        <v>221.2198289925</v>
      </c>
      <c r="I354" s="18">
        <f t="shared" si="39"/>
        <v>280.66159704278476</v>
      </c>
      <c r="J354" s="91">
        <f t="shared" si="37"/>
        <v>561.32319408556953</v>
      </c>
      <c r="L354" s="19">
        <v>0.26869999999999999</v>
      </c>
      <c r="M354" s="19">
        <v>4.4200349999999999E-2</v>
      </c>
    </row>
    <row r="355" spans="1:13" ht="15.75" customHeight="1">
      <c r="A355" s="14" t="s">
        <v>775</v>
      </c>
      <c r="B355" s="14">
        <v>101894</v>
      </c>
      <c r="C355" s="14" t="s">
        <v>32</v>
      </c>
      <c r="D355" s="14" t="s">
        <v>776</v>
      </c>
      <c r="E355" s="15" t="s">
        <v>34</v>
      </c>
      <c r="F355" s="16">
        <v>4</v>
      </c>
      <c r="G355" s="16">
        <v>137.63999999999999</v>
      </c>
      <c r="H355" s="18">
        <f t="shared" si="38"/>
        <v>131.55626382599999</v>
      </c>
      <c r="I355" s="18">
        <f t="shared" si="39"/>
        <v>166.90543191604618</v>
      </c>
      <c r="J355" s="91">
        <f t="shared" si="37"/>
        <v>667.62172766418473</v>
      </c>
      <c r="L355" s="19">
        <v>0.26869999999999999</v>
      </c>
      <c r="M355" s="19">
        <v>4.4200349999999999E-2</v>
      </c>
    </row>
    <row r="356" spans="1:13" ht="15.75" customHeight="1">
      <c r="A356" s="14" t="s">
        <v>777</v>
      </c>
      <c r="B356" s="14">
        <v>93661</v>
      </c>
      <c r="C356" s="14" t="s">
        <v>32</v>
      </c>
      <c r="D356" s="14" t="s">
        <v>778</v>
      </c>
      <c r="E356" s="15" t="s">
        <v>34</v>
      </c>
      <c r="F356" s="16">
        <v>7</v>
      </c>
      <c r="G356" s="16">
        <v>49.2</v>
      </c>
      <c r="H356" s="18">
        <f t="shared" si="38"/>
        <v>47.025342780000003</v>
      </c>
      <c r="I356" s="18">
        <f t="shared" si="39"/>
        <v>59.661052384986007</v>
      </c>
      <c r="J356" s="91">
        <f t="shared" si="37"/>
        <v>417.62736669490204</v>
      </c>
      <c r="L356" s="19">
        <v>0.26869999999999999</v>
      </c>
      <c r="M356" s="19">
        <v>4.4200349999999999E-2</v>
      </c>
    </row>
    <row r="357" spans="1:13" ht="15.75" customHeight="1">
      <c r="A357" s="14" t="s">
        <v>779</v>
      </c>
      <c r="B357" s="14">
        <v>93662</v>
      </c>
      <c r="C357" s="14" t="s">
        <v>32</v>
      </c>
      <c r="D357" s="14" t="s">
        <v>780</v>
      </c>
      <c r="E357" s="15" t="s">
        <v>34</v>
      </c>
      <c r="F357" s="16">
        <v>14</v>
      </c>
      <c r="G357" s="16">
        <v>50.92</v>
      </c>
      <c r="H357" s="18">
        <f t="shared" si="38"/>
        <v>48.669318178000005</v>
      </c>
      <c r="I357" s="18">
        <f t="shared" si="39"/>
        <v>61.746763972428603</v>
      </c>
      <c r="J357" s="91">
        <f t="shared" si="37"/>
        <v>864.45469561400046</v>
      </c>
      <c r="L357" s="19">
        <v>0.26869999999999999</v>
      </c>
      <c r="M357" s="19">
        <v>4.4200349999999999E-2</v>
      </c>
    </row>
    <row r="358" spans="1:13" ht="15.75" customHeight="1">
      <c r="A358" s="14" t="s">
        <v>781</v>
      </c>
      <c r="B358" s="14">
        <v>93663</v>
      </c>
      <c r="C358" s="14" t="s">
        <v>32</v>
      </c>
      <c r="D358" s="14" t="s">
        <v>782</v>
      </c>
      <c r="E358" s="15" t="s">
        <v>34</v>
      </c>
      <c r="F358" s="16">
        <v>1</v>
      </c>
      <c r="G358" s="16">
        <v>52.62</v>
      </c>
      <c r="H358" s="18">
        <f t="shared" si="38"/>
        <v>50.294177583</v>
      </c>
      <c r="I358" s="18">
        <f t="shared" si="39"/>
        <v>63.808223099552102</v>
      </c>
      <c r="J358" s="91">
        <f t="shared" si="37"/>
        <v>63.808223099552102</v>
      </c>
      <c r="L358" s="19">
        <v>0.26869999999999999</v>
      </c>
      <c r="M358" s="19">
        <v>4.4200349999999999E-2</v>
      </c>
    </row>
    <row r="359" spans="1:13" ht="15.75" customHeight="1">
      <c r="A359" s="14" t="s">
        <v>783</v>
      </c>
      <c r="B359" s="14">
        <v>93665</v>
      </c>
      <c r="C359" s="14" t="s">
        <v>32</v>
      </c>
      <c r="D359" s="14" t="s">
        <v>784</v>
      </c>
      <c r="E359" s="15" t="s">
        <v>34</v>
      </c>
      <c r="F359" s="16">
        <v>4</v>
      </c>
      <c r="G359" s="16">
        <v>58.96</v>
      </c>
      <c r="H359" s="18">
        <f t="shared" si="38"/>
        <v>56.353947364</v>
      </c>
      <c r="I359" s="18">
        <f t="shared" si="39"/>
        <v>71.496253020706803</v>
      </c>
      <c r="J359" s="91">
        <f t="shared" si="37"/>
        <v>285.98501208282721</v>
      </c>
      <c r="L359" s="19">
        <v>0.26869999999999999</v>
      </c>
      <c r="M359" s="19">
        <v>4.4200349999999999E-2</v>
      </c>
    </row>
    <row r="360" spans="1:13" ht="15.75" customHeight="1">
      <c r="A360" s="14" t="s">
        <v>785</v>
      </c>
      <c r="B360" s="14">
        <v>101893</v>
      </c>
      <c r="C360" s="14" t="s">
        <v>32</v>
      </c>
      <c r="D360" s="14" t="s">
        <v>786</v>
      </c>
      <c r="E360" s="15" t="s">
        <v>34</v>
      </c>
      <c r="F360" s="16">
        <v>7</v>
      </c>
      <c r="G360" s="16">
        <v>79.680000000000007</v>
      </c>
      <c r="H360" s="18">
        <f t="shared" si="38"/>
        <v>76.158116112000002</v>
      </c>
      <c r="I360" s="18">
        <f t="shared" si="39"/>
        <v>96.621801911294398</v>
      </c>
      <c r="J360" s="91">
        <f t="shared" si="37"/>
        <v>676.35261337906081</v>
      </c>
      <c r="L360" s="19">
        <v>0.26869999999999999</v>
      </c>
      <c r="M360" s="19">
        <v>4.4200349999999999E-2</v>
      </c>
    </row>
    <row r="361" spans="1:13" ht="15.75" customHeight="1">
      <c r="A361" s="14" t="s">
        <v>787</v>
      </c>
      <c r="B361" s="14">
        <v>93668</v>
      </c>
      <c r="C361" s="14" t="s">
        <v>32</v>
      </c>
      <c r="D361" s="14" t="s">
        <v>788</v>
      </c>
      <c r="E361" s="15" t="s">
        <v>34</v>
      </c>
      <c r="F361" s="16">
        <v>1</v>
      </c>
      <c r="G361" s="16">
        <v>61.76</v>
      </c>
      <c r="H361" s="18">
        <f t="shared" si="38"/>
        <v>59.030186383999997</v>
      </c>
      <c r="I361" s="18">
        <f t="shared" si="39"/>
        <v>74.891597465380798</v>
      </c>
      <c r="J361" s="91">
        <f t="shared" si="37"/>
        <v>74.891597465380798</v>
      </c>
      <c r="L361" s="19">
        <v>0.26869999999999999</v>
      </c>
      <c r="M361" s="19">
        <v>4.4200349999999999E-2</v>
      </c>
    </row>
    <row r="362" spans="1:13" ht="15.75" customHeight="1">
      <c r="A362" s="14" t="s">
        <v>789</v>
      </c>
      <c r="B362" s="14" t="s">
        <v>790</v>
      </c>
      <c r="C362" s="14" t="s">
        <v>17</v>
      </c>
      <c r="D362" s="14" t="s">
        <v>791</v>
      </c>
      <c r="E362" s="15" t="s">
        <v>34</v>
      </c>
      <c r="F362" s="16">
        <v>1</v>
      </c>
      <c r="G362" s="17">
        <v>516.65</v>
      </c>
      <c r="H362" s="18">
        <f t="shared" si="38"/>
        <v>493.81388917249996</v>
      </c>
      <c r="I362" s="18">
        <f t="shared" si="39"/>
        <v>626.50168119315072</v>
      </c>
      <c r="J362" s="91">
        <f t="shared" si="37"/>
        <v>626.50168119315072</v>
      </c>
      <c r="L362" s="19">
        <v>0.26869999999999999</v>
      </c>
      <c r="M362" s="19">
        <v>4.4200349999999999E-2</v>
      </c>
    </row>
    <row r="363" spans="1:13" ht="15.75" customHeight="1">
      <c r="A363" s="14" t="s">
        <v>792</v>
      </c>
      <c r="B363" s="14" t="s">
        <v>793</v>
      </c>
      <c r="C363" s="14" t="s">
        <v>17</v>
      </c>
      <c r="D363" s="14" t="s">
        <v>794</v>
      </c>
      <c r="E363" s="15" t="s">
        <v>34</v>
      </c>
      <c r="F363" s="16">
        <v>18</v>
      </c>
      <c r="G363" s="17">
        <v>336.31</v>
      </c>
      <c r="H363" s="18">
        <f t="shared" si="38"/>
        <v>321.44498029149997</v>
      </c>
      <c r="I363" s="18">
        <f t="shared" si="39"/>
        <v>407.817246495826</v>
      </c>
      <c r="J363" s="91">
        <f t="shared" si="37"/>
        <v>7340.7104369248682</v>
      </c>
      <c r="L363" s="19">
        <v>0.26869999999999999</v>
      </c>
      <c r="M363" s="19">
        <v>4.4200349999999999E-2</v>
      </c>
    </row>
    <row r="364" spans="1:13" ht="15.75" customHeight="1">
      <c r="A364" s="14" t="s">
        <v>795</v>
      </c>
      <c r="B364" s="14" t="s">
        <v>796</v>
      </c>
      <c r="C364" s="14" t="s">
        <v>17</v>
      </c>
      <c r="D364" s="14" t="s">
        <v>797</v>
      </c>
      <c r="E364" s="15" t="s">
        <v>34</v>
      </c>
      <c r="F364" s="16">
        <v>8</v>
      </c>
      <c r="G364" s="17">
        <v>526.26</v>
      </c>
      <c r="H364" s="18">
        <f t="shared" si="38"/>
        <v>502.99912380899997</v>
      </c>
      <c r="I364" s="18">
        <f t="shared" si="39"/>
        <v>638.15498837647829</v>
      </c>
      <c r="J364" s="91">
        <f t="shared" si="37"/>
        <v>5105.2399070118263</v>
      </c>
      <c r="L364" s="19">
        <v>0.26869999999999999</v>
      </c>
      <c r="M364" s="19">
        <v>4.4200349999999999E-2</v>
      </c>
    </row>
    <row r="365" spans="1:13" ht="15.75" customHeight="1">
      <c r="A365" s="14" t="s">
        <v>798</v>
      </c>
      <c r="B365" s="14" t="s">
        <v>799</v>
      </c>
      <c r="C365" s="14" t="s">
        <v>17</v>
      </c>
      <c r="D365" s="14" t="s">
        <v>800</v>
      </c>
      <c r="E365" s="15" t="s">
        <v>34</v>
      </c>
      <c r="F365" s="16">
        <v>18</v>
      </c>
      <c r="G365" s="17">
        <v>167.14</v>
      </c>
      <c r="H365" s="18">
        <f t="shared" si="38"/>
        <v>159.75235350099999</v>
      </c>
      <c r="I365" s="18">
        <f t="shared" si="39"/>
        <v>202.67781088671867</v>
      </c>
      <c r="J365" s="91">
        <f t="shared" si="37"/>
        <v>3648.200595960936</v>
      </c>
      <c r="L365" s="19">
        <v>0.26869999999999999</v>
      </c>
      <c r="M365" s="19">
        <v>4.4200349999999999E-2</v>
      </c>
    </row>
    <row r="366" spans="1:13" ht="15.75" customHeight="1">
      <c r="A366" s="14" t="s">
        <v>801</v>
      </c>
      <c r="B366" s="14" t="s">
        <v>802</v>
      </c>
      <c r="C366" s="14" t="s">
        <v>17</v>
      </c>
      <c r="D366" s="14" t="s">
        <v>803</v>
      </c>
      <c r="E366" s="15" t="s">
        <v>34</v>
      </c>
      <c r="F366" s="16">
        <v>3</v>
      </c>
      <c r="G366" s="17">
        <v>300.14999999999998</v>
      </c>
      <c r="H366" s="18">
        <f t="shared" si="38"/>
        <v>286.88326494749998</v>
      </c>
      <c r="I366" s="18">
        <f t="shared" si="39"/>
        <v>363.96879823889321</v>
      </c>
      <c r="J366" s="91">
        <f t="shared" si="37"/>
        <v>1091.9063947166796</v>
      </c>
      <c r="L366" s="19">
        <v>0.26869999999999999</v>
      </c>
      <c r="M366" s="19">
        <v>4.4200349999999999E-2</v>
      </c>
    </row>
    <row r="367" spans="1:13" ht="15.75" customHeight="1">
      <c r="A367" s="14" t="s">
        <v>804</v>
      </c>
      <c r="B367" s="14" t="s">
        <v>805</v>
      </c>
      <c r="C367" s="14" t="s">
        <v>17</v>
      </c>
      <c r="D367" s="14" t="s">
        <v>806</v>
      </c>
      <c r="E367" s="15" t="s">
        <v>34</v>
      </c>
      <c r="F367" s="16">
        <v>11</v>
      </c>
      <c r="G367" s="17">
        <v>13.73</v>
      </c>
      <c r="H367" s="18">
        <f t="shared" si="38"/>
        <v>13.123129194500001</v>
      </c>
      <c r="I367" s="18">
        <f t="shared" si="39"/>
        <v>16.649314009062152</v>
      </c>
      <c r="J367" s="91">
        <f t="shared" si="37"/>
        <v>183.14245409968368</v>
      </c>
      <c r="L367" s="19">
        <v>0.26869999999999999</v>
      </c>
      <c r="M367" s="19">
        <v>4.4200349999999999E-2</v>
      </c>
    </row>
    <row r="368" spans="1:13" ht="15.75" customHeight="1">
      <c r="A368" s="14" t="s">
        <v>807</v>
      </c>
      <c r="B368" s="14" t="s">
        <v>808</v>
      </c>
      <c r="C368" s="14" t="s">
        <v>17</v>
      </c>
      <c r="D368" s="14" t="s">
        <v>809</v>
      </c>
      <c r="E368" s="15" t="s">
        <v>34</v>
      </c>
      <c r="F368" s="16">
        <v>33</v>
      </c>
      <c r="G368" s="17">
        <v>11.73</v>
      </c>
      <c r="H368" s="18">
        <f t="shared" si="38"/>
        <v>11.2115298945</v>
      </c>
      <c r="I368" s="18">
        <f t="shared" si="39"/>
        <v>14.224067977152149</v>
      </c>
      <c r="J368" s="91">
        <f t="shared" si="37"/>
        <v>469.39424324602095</v>
      </c>
      <c r="L368" s="19">
        <v>0.26869999999999999</v>
      </c>
      <c r="M368" s="19">
        <v>4.4200349999999999E-2</v>
      </c>
    </row>
    <row r="369" spans="1:13" ht="15.75" customHeight="1">
      <c r="A369" s="14" t="s">
        <v>810</v>
      </c>
      <c r="B369" s="14" t="s">
        <v>811</v>
      </c>
      <c r="C369" s="14" t="s">
        <v>17</v>
      </c>
      <c r="D369" s="14" t="s">
        <v>812</v>
      </c>
      <c r="E369" s="15" t="s">
        <v>34</v>
      </c>
      <c r="F369" s="16">
        <v>4</v>
      </c>
      <c r="G369" s="17">
        <v>50.76</v>
      </c>
      <c r="H369" s="18">
        <f t="shared" si="38"/>
        <v>48.516390233999999</v>
      </c>
      <c r="I369" s="18">
        <f t="shared" si="39"/>
        <v>61.552744289875797</v>
      </c>
      <c r="J369" s="91">
        <f t="shared" si="37"/>
        <v>246.21097715950319</v>
      </c>
      <c r="L369" s="19">
        <v>0.26869999999999999</v>
      </c>
      <c r="M369" s="19">
        <v>4.4200349999999999E-2</v>
      </c>
    </row>
    <row r="370" spans="1:13" ht="15.75" customHeight="1">
      <c r="A370" s="14" t="s">
        <v>813</v>
      </c>
      <c r="B370" s="14" t="s">
        <v>814</v>
      </c>
      <c r="C370" s="14" t="s">
        <v>17</v>
      </c>
      <c r="D370" s="14" t="s">
        <v>815</v>
      </c>
      <c r="E370" s="15" t="s">
        <v>65</v>
      </c>
      <c r="F370" s="16">
        <v>88.6</v>
      </c>
      <c r="G370" s="17">
        <v>52.15</v>
      </c>
      <c r="H370" s="18">
        <f t="shared" si="38"/>
        <v>49.844951747499998</v>
      </c>
      <c r="I370" s="18">
        <f t="shared" si="39"/>
        <v>63.238290282053249</v>
      </c>
      <c r="J370" s="91">
        <f t="shared" si="37"/>
        <v>5602.9125189899178</v>
      </c>
      <c r="L370" s="19">
        <v>0.26869999999999999</v>
      </c>
      <c r="M370" s="19">
        <v>4.4200349999999999E-2</v>
      </c>
    </row>
    <row r="371" spans="1:13" ht="15.75" customHeight="1">
      <c r="A371" s="14" t="s">
        <v>816</v>
      </c>
      <c r="B371" s="14" t="s">
        <v>817</v>
      </c>
      <c r="C371" s="14" t="s">
        <v>17</v>
      </c>
      <c r="D371" s="14" t="s">
        <v>818</v>
      </c>
      <c r="E371" s="15" t="s">
        <v>34</v>
      </c>
      <c r="F371" s="16">
        <v>87</v>
      </c>
      <c r="G371" s="17">
        <v>33.72</v>
      </c>
      <c r="H371" s="18">
        <f t="shared" si="38"/>
        <v>32.229564197999998</v>
      </c>
      <c r="I371" s="18">
        <f t="shared" si="39"/>
        <v>40.889648098002596</v>
      </c>
      <c r="J371" s="91">
        <f t="shared" si="37"/>
        <v>3557.3993845262257</v>
      </c>
      <c r="L371" s="19">
        <v>0.26869999999999999</v>
      </c>
      <c r="M371" s="19">
        <v>4.4200349999999999E-2</v>
      </c>
    </row>
    <row r="372" spans="1:13" ht="15.75" customHeight="1">
      <c r="A372" s="14" t="s">
        <v>819</v>
      </c>
      <c r="B372" s="14" t="s">
        <v>820</v>
      </c>
      <c r="C372" s="14" t="s">
        <v>17</v>
      </c>
      <c r="D372" s="14" t="s">
        <v>821</v>
      </c>
      <c r="E372" s="15" t="s">
        <v>34</v>
      </c>
      <c r="F372" s="16">
        <v>7</v>
      </c>
      <c r="G372" s="17">
        <v>90.7</v>
      </c>
      <c r="H372" s="18">
        <f t="shared" si="38"/>
        <v>86.691028255000006</v>
      </c>
      <c r="I372" s="18">
        <f t="shared" si="39"/>
        <v>109.98490754711851</v>
      </c>
      <c r="J372" s="91">
        <f t="shared" si="37"/>
        <v>769.89435282982959</v>
      </c>
      <c r="L372" s="19">
        <v>0.26869999999999999</v>
      </c>
      <c r="M372" s="19">
        <v>4.4200349999999999E-2</v>
      </c>
    </row>
    <row r="373" spans="1:13" ht="15.75" customHeight="1">
      <c r="A373" s="14" t="s">
        <v>822</v>
      </c>
      <c r="B373" s="14" t="s">
        <v>823</v>
      </c>
      <c r="C373" s="14" t="s">
        <v>17</v>
      </c>
      <c r="D373" s="14" t="s">
        <v>824</v>
      </c>
      <c r="E373" s="15" t="s">
        <v>34</v>
      </c>
      <c r="F373" s="16">
        <v>96</v>
      </c>
      <c r="G373" s="17">
        <v>11.37</v>
      </c>
      <c r="H373" s="18">
        <f t="shared" si="38"/>
        <v>10.867442020499999</v>
      </c>
      <c r="I373" s="18">
        <f t="shared" si="39"/>
        <v>13.787523691408348</v>
      </c>
      <c r="J373" s="91">
        <f t="shared" si="37"/>
        <v>1323.6022743752014</v>
      </c>
      <c r="L373" s="19">
        <v>0.26869999999999999</v>
      </c>
      <c r="M373" s="19">
        <v>4.4200349999999999E-2</v>
      </c>
    </row>
    <row r="374" spans="1:13" ht="15.75" customHeight="1">
      <c r="A374" s="14" t="s">
        <v>825</v>
      </c>
      <c r="B374" s="14" t="s">
        <v>826</v>
      </c>
      <c r="C374" s="14" t="s">
        <v>17</v>
      </c>
      <c r="D374" s="14" t="s">
        <v>827</v>
      </c>
      <c r="E374" s="15" t="s">
        <v>34</v>
      </c>
      <c r="F374" s="16">
        <v>5</v>
      </c>
      <c r="G374" s="17">
        <v>13.05</v>
      </c>
      <c r="H374" s="18">
        <f t="shared" si="38"/>
        <v>12.473185432500001</v>
      </c>
      <c r="I374" s="18">
        <f t="shared" si="39"/>
        <v>15.824730358212751</v>
      </c>
      <c r="J374" s="91">
        <f t="shared" si="37"/>
        <v>79.12365179106375</v>
      </c>
      <c r="L374" s="19">
        <v>0.26869999999999999</v>
      </c>
      <c r="M374" s="19">
        <v>4.4200349999999999E-2</v>
      </c>
    </row>
    <row r="375" spans="1:13" ht="15.75" customHeight="1">
      <c r="A375" s="14" t="s">
        <v>828</v>
      </c>
      <c r="B375" s="14">
        <v>91837</v>
      </c>
      <c r="C375" s="14" t="s">
        <v>32</v>
      </c>
      <c r="D375" s="14" t="s">
        <v>829</v>
      </c>
      <c r="E375" s="15" t="s">
        <v>65</v>
      </c>
      <c r="F375" s="16">
        <v>23.9</v>
      </c>
      <c r="G375" s="16">
        <v>24.49</v>
      </c>
      <c r="H375" s="18">
        <f t="shared" si="38"/>
        <v>23.407533428499999</v>
      </c>
      <c r="I375" s="18">
        <f t="shared" si="39"/>
        <v>29.697137660737948</v>
      </c>
      <c r="J375" s="91">
        <f t="shared" ref="J375:J414" si="40">I375*F375</f>
        <v>709.76159009163689</v>
      </c>
      <c r="L375" s="19">
        <v>0.26869999999999999</v>
      </c>
      <c r="M375" s="19">
        <v>4.4200349999999999E-2</v>
      </c>
    </row>
    <row r="376" spans="1:13" ht="15.75" customHeight="1">
      <c r="A376" s="14" t="s">
        <v>830</v>
      </c>
      <c r="B376" s="14">
        <v>91835</v>
      </c>
      <c r="C376" s="14" t="s">
        <v>32</v>
      </c>
      <c r="D376" s="14" t="s">
        <v>831</v>
      </c>
      <c r="E376" s="15" t="s">
        <v>65</v>
      </c>
      <c r="F376" s="16">
        <v>1046.5</v>
      </c>
      <c r="G376" s="16">
        <v>19.55</v>
      </c>
      <c r="H376" s="18">
        <f t="shared" si="38"/>
        <v>18.685883157500001</v>
      </c>
      <c r="I376" s="18">
        <f t="shared" si="39"/>
        <v>23.706779961920251</v>
      </c>
      <c r="J376" s="91">
        <f t="shared" si="40"/>
        <v>24809.145230149541</v>
      </c>
      <c r="L376" s="19">
        <v>0.26869999999999999</v>
      </c>
      <c r="M376" s="19">
        <v>4.4200349999999999E-2</v>
      </c>
    </row>
    <row r="377" spans="1:13" ht="15.75" customHeight="1">
      <c r="A377" s="14" t="s">
        <v>832</v>
      </c>
      <c r="B377" s="14">
        <v>93008</v>
      </c>
      <c r="C377" s="14" t="s">
        <v>32</v>
      </c>
      <c r="D377" s="14" t="s">
        <v>833</v>
      </c>
      <c r="E377" s="15" t="s">
        <v>65</v>
      </c>
      <c r="F377" s="16">
        <v>11.3</v>
      </c>
      <c r="G377" s="16">
        <v>18.63</v>
      </c>
      <c r="H377" s="18">
        <f t="shared" si="38"/>
        <v>17.806547479500001</v>
      </c>
      <c r="I377" s="18">
        <f t="shared" si="39"/>
        <v>22.591166787241651</v>
      </c>
      <c r="J377" s="91">
        <f t="shared" si="40"/>
        <v>255.28018469583068</v>
      </c>
      <c r="L377" s="19">
        <v>0.26869999999999999</v>
      </c>
      <c r="M377" s="19">
        <v>4.4200349999999999E-2</v>
      </c>
    </row>
    <row r="378" spans="1:13" ht="15.75" customHeight="1">
      <c r="A378" s="14" t="s">
        <v>834</v>
      </c>
      <c r="B378" s="14">
        <v>91865</v>
      </c>
      <c r="C378" s="14" t="s">
        <v>32</v>
      </c>
      <c r="D378" s="14" t="s">
        <v>835</v>
      </c>
      <c r="E378" s="15" t="s">
        <v>65</v>
      </c>
      <c r="F378" s="16">
        <v>225</v>
      </c>
      <c r="G378" s="16">
        <v>19.05</v>
      </c>
      <c r="H378" s="18">
        <f t="shared" si="38"/>
        <v>18.2079833325</v>
      </c>
      <c r="I378" s="18">
        <f t="shared" si="39"/>
        <v>23.100468453942749</v>
      </c>
      <c r="J378" s="91">
        <f t="shared" si="40"/>
        <v>5197.6054021371183</v>
      </c>
      <c r="L378" s="19">
        <v>0.26869999999999999</v>
      </c>
      <c r="M378" s="19">
        <v>4.4200349999999999E-2</v>
      </c>
    </row>
    <row r="379" spans="1:13" ht="15.75" customHeight="1">
      <c r="A379" s="14" t="s">
        <v>836</v>
      </c>
      <c r="B379" s="14">
        <v>93009</v>
      </c>
      <c r="C379" s="14" t="s">
        <v>32</v>
      </c>
      <c r="D379" s="14" t="s">
        <v>837</v>
      </c>
      <c r="E379" s="15" t="s">
        <v>65</v>
      </c>
      <c r="F379" s="16">
        <v>4.8</v>
      </c>
      <c r="G379" s="16">
        <v>27.76</v>
      </c>
      <c r="H379" s="18">
        <f t="shared" si="38"/>
        <v>26.532998284000001</v>
      </c>
      <c r="I379" s="18">
        <f t="shared" si="39"/>
        <v>33.662414922910799</v>
      </c>
      <c r="J379" s="91">
        <f t="shared" si="40"/>
        <v>161.57959162997182</v>
      </c>
      <c r="L379" s="19">
        <v>0.26869999999999999</v>
      </c>
      <c r="M379" s="19">
        <v>4.4200349999999999E-2</v>
      </c>
    </row>
    <row r="380" spans="1:13" ht="15.75" customHeight="1">
      <c r="A380" s="14" t="s">
        <v>838</v>
      </c>
      <c r="B380" s="14">
        <v>93011</v>
      </c>
      <c r="C380" s="14" t="s">
        <v>32</v>
      </c>
      <c r="D380" s="14" t="s">
        <v>839</v>
      </c>
      <c r="E380" s="15" t="s">
        <v>65</v>
      </c>
      <c r="F380" s="16">
        <v>9.1999999999999993</v>
      </c>
      <c r="G380" s="16">
        <v>47.57</v>
      </c>
      <c r="H380" s="18">
        <f t="shared" si="38"/>
        <v>45.4673893505</v>
      </c>
      <c r="I380" s="18">
        <f t="shared" si="39"/>
        <v>57.684476868979345</v>
      </c>
      <c r="J380" s="91">
        <f t="shared" si="40"/>
        <v>530.69718719460991</v>
      </c>
      <c r="L380" s="19">
        <v>0.26869999999999999</v>
      </c>
      <c r="M380" s="19">
        <v>4.4200349999999999E-2</v>
      </c>
    </row>
    <row r="381" spans="1:13" ht="15.75" customHeight="1">
      <c r="A381" s="14" t="s">
        <v>840</v>
      </c>
      <c r="B381" s="14">
        <v>93012</v>
      </c>
      <c r="C381" s="14" t="s">
        <v>32</v>
      </c>
      <c r="D381" s="14" t="s">
        <v>841</v>
      </c>
      <c r="E381" s="15" t="s">
        <v>65</v>
      </c>
      <c r="F381" s="16">
        <v>22.8</v>
      </c>
      <c r="G381" s="16">
        <v>72.150000000000006</v>
      </c>
      <c r="H381" s="18">
        <f t="shared" si="38"/>
        <v>68.960944747500008</v>
      </c>
      <c r="I381" s="18">
        <f t="shared" si="39"/>
        <v>87.490750601153252</v>
      </c>
      <c r="J381" s="91">
        <f t="shared" si="40"/>
        <v>1994.7891137062943</v>
      </c>
      <c r="L381" s="19">
        <v>0.26869999999999999</v>
      </c>
      <c r="M381" s="19">
        <v>4.4200349999999999E-2</v>
      </c>
    </row>
    <row r="382" spans="1:13" ht="15.75" customHeight="1">
      <c r="A382" s="14" t="s">
        <v>842</v>
      </c>
      <c r="B382" s="14" t="s">
        <v>843</v>
      </c>
      <c r="C382" s="14" t="s">
        <v>17</v>
      </c>
      <c r="D382" s="14" t="s">
        <v>844</v>
      </c>
      <c r="E382" s="15" t="s">
        <v>65</v>
      </c>
      <c r="F382" s="16">
        <v>1</v>
      </c>
      <c r="G382" s="17">
        <v>68.510000000000005</v>
      </c>
      <c r="H382" s="18">
        <f t="shared" si="38"/>
        <v>65.481834021500006</v>
      </c>
      <c r="I382" s="18">
        <f t="shared" si="39"/>
        <v>83.07680282307706</v>
      </c>
      <c r="J382" s="91">
        <f t="shared" si="40"/>
        <v>83.07680282307706</v>
      </c>
      <c r="L382" s="19">
        <v>0.26869999999999999</v>
      </c>
      <c r="M382" s="19">
        <v>4.4200349999999999E-2</v>
      </c>
    </row>
    <row r="383" spans="1:13" ht="15.75" customHeight="1">
      <c r="A383" s="14" t="s">
        <v>845</v>
      </c>
      <c r="B383" s="14" t="s">
        <v>846</v>
      </c>
      <c r="C383" s="14" t="s">
        <v>17</v>
      </c>
      <c r="D383" s="14" t="s">
        <v>847</v>
      </c>
      <c r="E383" s="15" t="s">
        <v>34</v>
      </c>
      <c r="F383" s="16">
        <v>3</v>
      </c>
      <c r="G383" s="17">
        <v>172.42</v>
      </c>
      <c r="H383" s="18">
        <f t="shared" si="38"/>
        <v>164.79897565299999</v>
      </c>
      <c r="I383" s="18">
        <f t="shared" si="39"/>
        <v>209.08046041096108</v>
      </c>
      <c r="J383" s="91">
        <f t="shared" si="40"/>
        <v>627.24138123288321</v>
      </c>
      <c r="L383" s="19">
        <v>0.26869999999999999</v>
      </c>
      <c r="M383" s="19">
        <v>4.4200349999999999E-2</v>
      </c>
    </row>
    <row r="384" spans="1:13" ht="15.75" customHeight="1">
      <c r="A384" s="14" t="s">
        <v>848</v>
      </c>
      <c r="B384" s="14" t="s">
        <v>849</v>
      </c>
      <c r="C384" s="14" t="s">
        <v>17</v>
      </c>
      <c r="D384" s="14" t="s">
        <v>844</v>
      </c>
      <c r="E384" s="15" t="s">
        <v>65</v>
      </c>
      <c r="F384" s="16">
        <v>32</v>
      </c>
      <c r="G384" s="17">
        <v>226.17</v>
      </c>
      <c r="H384" s="18">
        <f t="shared" si="38"/>
        <v>216.1732068405</v>
      </c>
      <c r="I384" s="18">
        <f t="shared" si="39"/>
        <v>274.25894751854236</v>
      </c>
      <c r="J384" s="91">
        <f t="shared" si="40"/>
        <v>8776.2863205933554</v>
      </c>
      <c r="L384" s="19">
        <v>0.26869999999999999</v>
      </c>
      <c r="M384" s="19">
        <v>4.4200349999999999E-2</v>
      </c>
    </row>
    <row r="385" spans="1:13" ht="26.1" customHeight="1">
      <c r="A385" s="14" t="s">
        <v>850</v>
      </c>
      <c r="B385" s="14" t="s">
        <v>851</v>
      </c>
      <c r="C385" s="14" t="s">
        <v>17</v>
      </c>
      <c r="D385" s="14" t="s">
        <v>852</v>
      </c>
      <c r="E385" s="15" t="s">
        <v>34</v>
      </c>
      <c r="F385" s="16">
        <v>102</v>
      </c>
      <c r="G385" s="17">
        <v>13.74</v>
      </c>
      <c r="H385" s="18">
        <f t="shared" si="38"/>
        <v>13.132687191</v>
      </c>
      <c r="I385" s="18">
        <f t="shared" si="39"/>
        <v>16.661440239221701</v>
      </c>
      <c r="J385" s="91">
        <f t="shared" si="40"/>
        <v>1699.4669044006134</v>
      </c>
      <c r="L385" s="19">
        <v>0.26869999999999999</v>
      </c>
      <c r="M385" s="19">
        <v>4.4200349999999999E-2</v>
      </c>
    </row>
    <row r="386" spans="1:13" ht="15.75" customHeight="1">
      <c r="A386" s="14" t="s">
        <v>853</v>
      </c>
      <c r="B386" s="14">
        <v>101538</v>
      </c>
      <c r="C386" s="14" t="s">
        <v>32</v>
      </c>
      <c r="D386" s="14" t="s">
        <v>854</v>
      </c>
      <c r="E386" s="15" t="s">
        <v>34</v>
      </c>
      <c r="F386" s="16">
        <v>2</v>
      </c>
      <c r="G386" s="16">
        <v>50.42</v>
      </c>
      <c r="H386" s="18">
        <f t="shared" si="38"/>
        <v>48.191418353000003</v>
      </c>
      <c r="I386" s="18">
        <f t="shared" si="39"/>
        <v>61.140452464451101</v>
      </c>
      <c r="J386" s="91">
        <f t="shared" si="40"/>
        <v>122.2809049289022</v>
      </c>
      <c r="L386" s="19">
        <v>0.26869999999999999</v>
      </c>
      <c r="M386" s="19">
        <v>4.4200349999999999E-2</v>
      </c>
    </row>
    <row r="387" spans="1:13" ht="15.75" customHeight="1">
      <c r="A387" s="14" t="s">
        <v>855</v>
      </c>
      <c r="B387" s="14">
        <v>97361</v>
      </c>
      <c r="C387" s="14" t="s">
        <v>32</v>
      </c>
      <c r="D387" s="14" t="s">
        <v>856</v>
      </c>
      <c r="E387" s="15" t="s">
        <v>34</v>
      </c>
      <c r="F387" s="16">
        <v>1</v>
      </c>
      <c r="G387" s="21">
        <v>12441.04</v>
      </c>
      <c r="H387" s="18">
        <f t="shared" si="38"/>
        <v>11891.141677636</v>
      </c>
      <c r="I387" s="18">
        <f t="shared" si="39"/>
        <v>15086.291446416793</v>
      </c>
      <c r="J387" s="91">
        <f t="shared" si="40"/>
        <v>15086.291446416793</v>
      </c>
      <c r="L387" s="19">
        <v>0.26869999999999999</v>
      </c>
      <c r="M387" s="19">
        <v>4.4200349999999999E-2</v>
      </c>
    </row>
    <row r="388" spans="1:13" ht="15.75" customHeight="1">
      <c r="A388" s="14" t="s">
        <v>857</v>
      </c>
      <c r="B388" s="14" t="s">
        <v>858</v>
      </c>
      <c r="C388" s="14" t="s">
        <v>17</v>
      </c>
      <c r="D388" s="14" t="s">
        <v>859</v>
      </c>
      <c r="E388" s="15" t="s">
        <v>34</v>
      </c>
      <c r="F388" s="16">
        <v>1</v>
      </c>
      <c r="G388" s="20">
        <v>2450.11</v>
      </c>
      <c r="H388" s="18">
        <f t="shared" si="38"/>
        <v>2341.8142804614999</v>
      </c>
      <c r="I388" s="18">
        <f t="shared" si="39"/>
        <v>2971.059777621505</v>
      </c>
      <c r="J388" s="91">
        <f t="shared" si="40"/>
        <v>2971.059777621505</v>
      </c>
      <c r="L388" s="19">
        <v>0.26869999999999999</v>
      </c>
      <c r="M388" s="19">
        <v>4.4200349999999999E-2</v>
      </c>
    </row>
    <row r="389" spans="1:13" ht="15.75" customHeight="1">
      <c r="A389" s="14" t="s">
        <v>860</v>
      </c>
      <c r="B389" s="14" t="s">
        <v>861</v>
      </c>
      <c r="C389" s="14" t="s">
        <v>17</v>
      </c>
      <c r="D389" s="14" t="s">
        <v>862</v>
      </c>
      <c r="E389" s="15" t="s">
        <v>34</v>
      </c>
      <c r="F389" s="16">
        <v>1</v>
      </c>
      <c r="G389" s="17">
        <v>566.87</v>
      </c>
      <c r="H389" s="18">
        <f t="shared" si="38"/>
        <v>541.8141475955</v>
      </c>
      <c r="I389" s="18">
        <f t="shared" si="39"/>
        <v>687.3996090544108</v>
      </c>
      <c r="J389" s="91">
        <f t="shared" si="40"/>
        <v>687.3996090544108</v>
      </c>
      <c r="L389" s="19">
        <v>0.26869999999999999</v>
      </c>
      <c r="M389" s="19">
        <v>4.4200349999999999E-2</v>
      </c>
    </row>
    <row r="390" spans="1:13" ht="15.75" customHeight="1">
      <c r="A390" s="14" t="s">
        <v>863</v>
      </c>
      <c r="B390" s="14">
        <v>101881</v>
      </c>
      <c r="C390" s="14" t="s">
        <v>32</v>
      </c>
      <c r="D390" s="14" t="s">
        <v>864</v>
      </c>
      <c r="E390" s="15" t="s">
        <v>34</v>
      </c>
      <c r="F390" s="16">
        <v>2</v>
      </c>
      <c r="G390" s="16">
        <v>836.25</v>
      </c>
      <c r="H390" s="18">
        <f t="shared" si="38"/>
        <v>799.28745731250001</v>
      </c>
      <c r="I390" s="18">
        <f t="shared" si="39"/>
        <v>1014.0559970923688</v>
      </c>
      <c r="J390" s="91">
        <f t="shared" si="40"/>
        <v>2028.1119941847376</v>
      </c>
      <c r="L390" s="19">
        <v>0.26869999999999999</v>
      </c>
      <c r="M390" s="19">
        <v>4.4200349999999999E-2</v>
      </c>
    </row>
    <row r="391" spans="1:13" ht="15.75" customHeight="1">
      <c r="A391" s="14" t="s">
        <v>865</v>
      </c>
      <c r="B391" s="14" t="s">
        <v>866</v>
      </c>
      <c r="C391" s="14" t="s">
        <v>17</v>
      </c>
      <c r="D391" s="14" t="s">
        <v>867</v>
      </c>
      <c r="E391" s="15" t="s">
        <v>34</v>
      </c>
      <c r="F391" s="16">
        <v>2</v>
      </c>
      <c r="G391" s="20">
        <v>10381</v>
      </c>
      <c r="H391" s="18">
        <f t="shared" si="38"/>
        <v>9922.1561666500002</v>
      </c>
      <c r="I391" s="18">
        <f t="shared" si="39"/>
        <v>12588.239528628856</v>
      </c>
      <c r="J391" s="91">
        <f t="shared" si="40"/>
        <v>25176.479057257711</v>
      </c>
      <c r="L391" s="19">
        <v>0.26869999999999999</v>
      </c>
      <c r="M391" s="19">
        <v>4.4200349999999999E-2</v>
      </c>
    </row>
    <row r="392" spans="1:13" ht="15.75" customHeight="1">
      <c r="A392" s="11" t="s">
        <v>868</v>
      </c>
      <c r="B392" s="12"/>
      <c r="C392" s="12"/>
      <c r="D392" s="11" t="s">
        <v>869</v>
      </c>
      <c r="E392" s="12"/>
      <c r="F392" s="12"/>
      <c r="G392" s="12"/>
      <c r="H392" s="12"/>
      <c r="I392" s="12"/>
      <c r="J392" s="24">
        <f>SUM(J393:J401)</f>
        <v>40205.255794027755</v>
      </c>
      <c r="L392" s="25"/>
      <c r="M392" s="19">
        <v>4.4200349999999999E-2</v>
      </c>
    </row>
    <row r="393" spans="1:13" ht="15.75" customHeight="1">
      <c r="A393" s="14" t="s">
        <v>870</v>
      </c>
      <c r="B393" s="14" t="s">
        <v>871</v>
      </c>
      <c r="C393" s="14" t="s">
        <v>17</v>
      </c>
      <c r="D393" s="14" t="s">
        <v>872</v>
      </c>
      <c r="E393" s="15" t="s">
        <v>34</v>
      </c>
      <c r="F393" s="16">
        <v>1</v>
      </c>
      <c r="G393" s="17">
        <v>103.46</v>
      </c>
      <c r="H393" s="18">
        <f t="shared" ref="H393:H456" si="41">G393-(G393*M393)</f>
        <v>98.887031788999991</v>
      </c>
      <c r="I393" s="18">
        <f t="shared" ref="I393:I456" si="42">H393+(H393*L393)</f>
        <v>125.45797723070429</v>
      </c>
      <c r="J393" s="91">
        <f t="shared" si="40"/>
        <v>125.45797723070429</v>
      </c>
      <c r="L393" s="19">
        <v>0.26869999999999999</v>
      </c>
      <c r="M393" s="19">
        <v>4.4200349999999999E-2</v>
      </c>
    </row>
    <row r="394" spans="1:13" ht="15.75" customHeight="1">
      <c r="A394" s="14" t="s">
        <v>873</v>
      </c>
      <c r="B394" s="14" t="s">
        <v>874</v>
      </c>
      <c r="C394" s="14" t="s">
        <v>17</v>
      </c>
      <c r="D394" s="14" t="s">
        <v>875</v>
      </c>
      <c r="E394" s="15" t="s">
        <v>34</v>
      </c>
      <c r="F394" s="16">
        <v>71</v>
      </c>
      <c r="G394" s="17">
        <v>219.08</v>
      </c>
      <c r="H394" s="18">
        <f t="shared" si="41"/>
        <v>209.39658732200002</v>
      </c>
      <c r="I394" s="18">
        <f t="shared" si="42"/>
        <v>265.66145033542142</v>
      </c>
      <c r="J394" s="91">
        <f t="shared" si="40"/>
        <v>18861.96297381492</v>
      </c>
      <c r="L394" s="19">
        <v>0.26869999999999999</v>
      </c>
      <c r="M394" s="19">
        <v>4.4200349999999999E-2</v>
      </c>
    </row>
    <row r="395" spans="1:13" ht="15.75" customHeight="1">
      <c r="A395" s="14" t="s">
        <v>876</v>
      </c>
      <c r="B395" s="14" t="s">
        <v>877</v>
      </c>
      <c r="C395" s="14" t="s">
        <v>17</v>
      </c>
      <c r="D395" s="14" t="s">
        <v>878</v>
      </c>
      <c r="E395" s="15" t="s">
        <v>34</v>
      </c>
      <c r="F395" s="16">
        <v>2</v>
      </c>
      <c r="G395" s="17">
        <v>185.69</v>
      </c>
      <c r="H395" s="18">
        <f t="shared" si="41"/>
        <v>177.4824370085</v>
      </c>
      <c r="I395" s="18">
        <f t="shared" si="42"/>
        <v>225.17196783268395</v>
      </c>
      <c r="J395" s="91">
        <f t="shared" si="40"/>
        <v>450.34393566536789</v>
      </c>
      <c r="L395" s="19">
        <v>0.26869999999999999</v>
      </c>
      <c r="M395" s="19">
        <v>4.4200349999999999E-2</v>
      </c>
    </row>
    <row r="396" spans="1:13" ht="15.75" customHeight="1">
      <c r="A396" s="14" t="s">
        <v>879</v>
      </c>
      <c r="B396" s="14" t="s">
        <v>880</v>
      </c>
      <c r="C396" s="14" t="s">
        <v>17</v>
      </c>
      <c r="D396" s="14" t="s">
        <v>881</v>
      </c>
      <c r="E396" s="15" t="s">
        <v>34</v>
      </c>
      <c r="F396" s="16">
        <v>19</v>
      </c>
      <c r="G396" s="17">
        <v>161.16</v>
      </c>
      <c r="H396" s="18">
        <f t="shared" si="41"/>
        <v>154.03667159399998</v>
      </c>
      <c r="I396" s="18">
        <f t="shared" si="42"/>
        <v>195.42632525130779</v>
      </c>
      <c r="J396" s="91">
        <f t="shared" si="40"/>
        <v>3713.1001797748481</v>
      </c>
      <c r="L396" s="19">
        <v>0.26869999999999999</v>
      </c>
      <c r="M396" s="19">
        <v>4.4200349999999999E-2</v>
      </c>
    </row>
    <row r="397" spans="1:13" ht="15.75" customHeight="1">
      <c r="A397" s="14" t="s">
        <v>882</v>
      </c>
      <c r="B397" s="14" t="s">
        <v>883</v>
      </c>
      <c r="C397" s="14" t="s">
        <v>17</v>
      </c>
      <c r="D397" s="14" t="s">
        <v>884</v>
      </c>
      <c r="E397" s="15" t="s">
        <v>34</v>
      </c>
      <c r="F397" s="16">
        <v>1</v>
      </c>
      <c r="G397" s="17">
        <v>74.83</v>
      </c>
      <c r="H397" s="18">
        <f t="shared" si="41"/>
        <v>71.522487809499992</v>
      </c>
      <c r="I397" s="18">
        <f t="shared" si="42"/>
        <v>90.740580283912635</v>
      </c>
      <c r="J397" s="91">
        <f t="shared" si="40"/>
        <v>90.740580283912635</v>
      </c>
      <c r="L397" s="19">
        <v>0.26869999999999999</v>
      </c>
      <c r="M397" s="19">
        <v>4.4200349999999999E-2</v>
      </c>
    </row>
    <row r="398" spans="1:13" ht="15.75" customHeight="1">
      <c r="A398" s="14" t="s">
        <v>885</v>
      </c>
      <c r="B398" s="14" t="s">
        <v>886</v>
      </c>
      <c r="C398" s="14" t="s">
        <v>17</v>
      </c>
      <c r="D398" s="14" t="s">
        <v>887</v>
      </c>
      <c r="E398" s="15" t="s">
        <v>34</v>
      </c>
      <c r="F398" s="16">
        <v>21</v>
      </c>
      <c r="G398" s="17">
        <v>221.16</v>
      </c>
      <c r="H398" s="18">
        <f t="shared" si="41"/>
        <v>211.38465059399999</v>
      </c>
      <c r="I398" s="18">
        <f t="shared" si="42"/>
        <v>268.18370620860776</v>
      </c>
      <c r="J398" s="91">
        <f t="shared" si="40"/>
        <v>5631.8578303807626</v>
      </c>
      <c r="L398" s="19">
        <v>0.26869999999999999</v>
      </c>
      <c r="M398" s="19">
        <v>4.4200349999999999E-2</v>
      </c>
    </row>
    <row r="399" spans="1:13" ht="15.75" customHeight="1">
      <c r="A399" s="14" t="s">
        <v>888</v>
      </c>
      <c r="B399" s="14" t="s">
        <v>889</v>
      </c>
      <c r="C399" s="14" t="s">
        <v>17</v>
      </c>
      <c r="D399" s="14" t="s">
        <v>890</v>
      </c>
      <c r="E399" s="15" t="s">
        <v>34</v>
      </c>
      <c r="F399" s="16">
        <v>14</v>
      </c>
      <c r="G399" s="17">
        <v>101.63</v>
      </c>
      <c r="H399" s="18">
        <f t="shared" si="41"/>
        <v>97.13791842949999</v>
      </c>
      <c r="I399" s="18">
        <f t="shared" si="42"/>
        <v>123.23887711150664</v>
      </c>
      <c r="J399" s="91">
        <f t="shared" si="40"/>
        <v>1725.3442795610929</v>
      </c>
      <c r="L399" s="19">
        <v>0.26869999999999999</v>
      </c>
      <c r="M399" s="19">
        <v>4.4200349999999999E-2</v>
      </c>
    </row>
    <row r="400" spans="1:13" ht="15.75" customHeight="1">
      <c r="A400" s="14" t="s">
        <v>891</v>
      </c>
      <c r="B400" s="14" t="s">
        <v>892</v>
      </c>
      <c r="C400" s="14" t="s">
        <v>17</v>
      </c>
      <c r="D400" s="14" t="s">
        <v>893</v>
      </c>
      <c r="E400" s="15" t="s">
        <v>34</v>
      </c>
      <c r="F400" s="16">
        <v>7</v>
      </c>
      <c r="G400" s="17">
        <v>97.8</v>
      </c>
      <c r="H400" s="18">
        <f t="shared" si="41"/>
        <v>93.477205769999998</v>
      </c>
      <c r="I400" s="18">
        <f t="shared" si="42"/>
        <v>118.594530960399</v>
      </c>
      <c r="J400" s="91">
        <f t="shared" si="40"/>
        <v>830.16171672279302</v>
      </c>
      <c r="L400" s="19">
        <v>0.26869999999999999</v>
      </c>
      <c r="M400" s="19">
        <v>4.4200349999999999E-2</v>
      </c>
    </row>
    <row r="401" spans="1:13" ht="15.75" customHeight="1">
      <c r="A401" s="14" t="s">
        <v>894</v>
      </c>
      <c r="B401" s="14" t="s">
        <v>849</v>
      </c>
      <c r="C401" s="14" t="s">
        <v>17</v>
      </c>
      <c r="D401" s="14" t="s">
        <v>844</v>
      </c>
      <c r="E401" s="15" t="s">
        <v>65</v>
      </c>
      <c r="F401" s="16">
        <v>32</v>
      </c>
      <c r="G401" s="17">
        <v>226.17</v>
      </c>
      <c r="H401" s="18">
        <f t="shared" si="41"/>
        <v>216.1732068405</v>
      </c>
      <c r="I401" s="18">
        <f t="shared" si="42"/>
        <v>274.25894751854236</v>
      </c>
      <c r="J401" s="91">
        <f t="shared" si="40"/>
        <v>8776.2863205933554</v>
      </c>
      <c r="L401" s="19">
        <v>0.26869999999999999</v>
      </c>
      <c r="M401" s="19">
        <v>4.4200349999999999E-2</v>
      </c>
    </row>
    <row r="402" spans="1:13" ht="15.75" customHeight="1">
      <c r="A402" s="11" t="s">
        <v>895</v>
      </c>
      <c r="B402" s="12"/>
      <c r="C402" s="12"/>
      <c r="D402" s="11" t="s">
        <v>896</v>
      </c>
      <c r="E402" s="12"/>
      <c r="F402" s="12"/>
      <c r="G402" s="12"/>
      <c r="H402" s="12"/>
      <c r="I402" s="12"/>
      <c r="J402" s="24">
        <f>SUM(J403:J414)</f>
        <v>44693.00380885497</v>
      </c>
      <c r="L402" s="25"/>
      <c r="M402" s="19">
        <v>4.4200349999999999E-2</v>
      </c>
    </row>
    <row r="403" spans="1:13" ht="15.75" customHeight="1">
      <c r="A403" s="14" t="s">
        <v>897</v>
      </c>
      <c r="B403" s="14" t="s">
        <v>898</v>
      </c>
      <c r="C403" s="14" t="s">
        <v>17</v>
      </c>
      <c r="D403" s="14" t="s">
        <v>899</v>
      </c>
      <c r="E403" s="15" t="s">
        <v>34</v>
      </c>
      <c r="F403" s="16">
        <v>1</v>
      </c>
      <c r="G403" s="17">
        <v>378.91</v>
      </c>
      <c r="H403" s="18">
        <f t="shared" si="41"/>
        <v>362.16204538150004</v>
      </c>
      <c r="I403" s="18">
        <f t="shared" si="42"/>
        <v>459.47498697550907</v>
      </c>
      <c r="J403" s="91">
        <f t="shared" si="40"/>
        <v>459.47498697550907</v>
      </c>
      <c r="L403" s="19">
        <v>0.26869999999999999</v>
      </c>
      <c r="M403" s="19">
        <v>4.4200349999999999E-2</v>
      </c>
    </row>
    <row r="404" spans="1:13" ht="15.75" customHeight="1">
      <c r="A404" s="14" t="s">
        <v>900</v>
      </c>
      <c r="B404" s="14">
        <v>101801</v>
      </c>
      <c r="C404" s="14" t="s">
        <v>32</v>
      </c>
      <c r="D404" s="14" t="s">
        <v>901</v>
      </c>
      <c r="E404" s="27" t="s">
        <v>34</v>
      </c>
      <c r="F404" s="16">
        <v>11</v>
      </c>
      <c r="G404" s="21">
        <v>1070.93</v>
      </c>
      <c r="H404" s="18">
        <f t="shared" si="41"/>
        <v>1023.5945191745001</v>
      </c>
      <c r="I404" s="18">
        <f t="shared" si="42"/>
        <v>1298.6343664766882</v>
      </c>
      <c r="J404" s="91">
        <f t="shared" si="40"/>
        <v>14284.978031243571</v>
      </c>
      <c r="L404" s="19">
        <v>0.26869999999999999</v>
      </c>
      <c r="M404" s="19">
        <v>4.4200349999999999E-2</v>
      </c>
    </row>
    <row r="405" spans="1:13" ht="15.75" customHeight="1">
      <c r="A405" s="14" t="s">
        <v>902</v>
      </c>
      <c r="B405" s="14">
        <v>96986</v>
      </c>
      <c r="C405" s="14" t="s">
        <v>32</v>
      </c>
      <c r="D405" s="14" t="s">
        <v>903</v>
      </c>
      <c r="E405" s="27" t="s">
        <v>34</v>
      </c>
      <c r="F405" s="16">
        <v>11</v>
      </c>
      <c r="G405" s="16">
        <v>129.28</v>
      </c>
      <c r="H405" s="18">
        <f t="shared" si="41"/>
        <v>123.565778752</v>
      </c>
      <c r="I405" s="18">
        <f t="shared" si="42"/>
        <v>156.76790350266239</v>
      </c>
      <c r="J405" s="91">
        <f t="shared" si="40"/>
        <v>1724.4469385292864</v>
      </c>
      <c r="L405" s="19">
        <v>0.26869999999999999</v>
      </c>
      <c r="M405" s="19">
        <v>4.4200349999999999E-2</v>
      </c>
    </row>
    <row r="406" spans="1:13" ht="15.75" customHeight="1">
      <c r="A406" s="14" t="s">
        <v>904</v>
      </c>
      <c r="B406" s="14">
        <v>96989</v>
      </c>
      <c r="C406" s="14" t="s">
        <v>32</v>
      </c>
      <c r="D406" s="14" t="s">
        <v>905</v>
      </c>
      <c r="E406" s="27" t="s">
        <v>34</v>
      </c>
      <c r="F406" s="16">
        <v>1</v>
      </c>
      <c r="G406" s="16">
        <v>95.71</v>
      </c>
      <c r="H406" s="18">
        <f t="shared" si="41"/>
        <v>91.4795845015</v>
      </c>
      <c r="I406" s="18">
        <f t="shared" si="42"/>
        <v>116.06014885705305</v>
      </c>
      <c r="J406" s="91">
        <f t="shared" si="40"/>
        <v>116.06014885705305</v>
      </c>
      <c r="L406" s="19">
        <v>0.26869999999999999</v>
      </c>
      <c r="M406" s="19">
        <v>4.4200349999999999E-2</v>
      </c>
    </row>
    <row r="407" spans="1:13" ht="15.75" customHeight="1">
      <c r="A407" s="14" t="s">
        <v>906</v>
      </c>
      <c r="B407" s="14">
        <v>96988</v>
      </c>
      <c r="C407" s="14" t="s">
        <v>32</v>
      </c>
      <c r="D407" s="14" t="s">
        <v>907</v>
      </c>
      <c r="E407" s="27" t="s">
        <v>34</v>
      </c>
      <c r="F407" s="16">
        <v>2</v>
      </c>
      <c r="G407" s="16">
        <v>114.42</v>
      </c>
      <c r="H407" s="18">
        <f t="shared" si="41"/>
        <v>109.362595953</v>
      </c>
      <c r="I407" s="18">
        <f t="shared" si="42"/>
        <v>138.74832548557109</v>
      </c>
      <c r="J407" s="91">
        <f t="shared" si="40"/>
        <v>277.49665097114217</v>
      </c>
      <c r="L407" s="19">
        <v>0.26869999999999999</v>
      </c>
      <c r="M407" s="19">
        <v>4.4200349999999999E-2</v>
      </c>
    </row>
    <row r="408" spans="1:13" ht="15.75" customHeight="1">
      <c r="A408" s="14" t="s">
        <v>908</v>
      </c>
      <c r="B408" s="14">
        <v>104746</v>
      </c>
      <c r="C408" s="14" t="s">
        <v>32</v>
      </c>
      <c r="D408" s="14" t="s">
        <v>909</v>
      </c>
      <c r="E408" s="27" t="s">
        <v>34</v>
      </c>
      <c r="F408" s="16">
        <v>35</v>
      </c>
      <c r="G408" s="16">
        <v>22.35</v>
      </c>
      <c r="H408" s="18">
        <f t="shared" si="41"/>
        <v>21.362122177500002</v>
      </c>
      <c r="I408" s="18">
        <f t="shared" si="42"/>
        <v>27.102124406594253</v>
      </c>
      <c r="J408" s="91">
        <f t="shared" si="40"/>
        <v>948.57435423079892</v>
      </c>
      <c r="L408" s="19">
        <v>0.26869999999999999</v>
      </c>
      <c r="M408" s="19">
        <v>4.4200349999999999E-2</v>
      </c>
    </row>
    <row r="409" spans="1:13" ht="15.75" customHeight="1">
      <c r="A409" s="14" t="s">
        <v>910</v>
      </c>
      <c r="B409" s="14">
        <v>96987</v>
      </c>
      <c r="C409" s="14" t="s">
        <v>32</v>
      </c>
      <c r="D409" s="14" t="s">
        <v>911</v>
      </c>
      <c r="E409" s="27" t="s">
        <v>34</v>
      </c>
      <c r="F409" s="16">
        <v>1</v>
      </c>
      <c r="G409" s="16">
        <v>103.23</v>
      </c>
      <c r="H409" s="18">
        <f t="shared" si="41"/>
        <v>98.667197869500001</v>
      </c>
      <c r="I409" s="18">
        <f t="shared" si="42"/>
        <v>125.17907393703464</v>
      </c>
      <c r="J409" s="91">
        <f t="shared" si="40"/>
        <v>125.17907393703464</v>
      </c>
      <c r="L409" s="19">
        <v>0.26869999999999999</v>
      </c>
      <c r="M409" s="19">
        <v>4.4200349999999999E-2</v>
      </c>
    </row>
    <row r="410" spans="1:13" ht="15.75" customHeight="1">
      <c r="A410" s="14" t="s">
        <v>912</v>
      </c>
      <c r="B410" s="14">
        <v>101663</v>
      </c>
      <c r="C410" s="14" t="s">
        <v>32</v>
      </c>
      <c r="D410" s="14" t="s">
        <v>913</v>
      </c>
      <c r="E410" s="27" t="s">
        <v>34</v>
      </c>
      <c r="F410" s="16">
        <v>1</v>
      </c>
      <c r="G410" s="16">
        <v>23.08</v>
      </c>
      <c r="H410" s="18">
        <f t="shared" si="41"/>
        <v>22.059855921999997</v>
      </c>
      <c r="I410" s="18">
        <f t="shared" si="42"/>
        <v>27.987339208241394</v>
      </c>
      <c r="J410" s="91">
        <f t="shared" si="40"/>
        <v>27.987339208241394</v>
      </c>
      <c r="L410" s="19">
        <v>0.26869999999999999</v>
      </c>
      <c r="M410" s="19">
        <v>4.4200349999999999E-2</v>
      </c>
    </row>
    <row r="411" spans="1:13" ht="15.75" customHeight="1">
      <c r="A411" s="14" t="s">
        <v>914</v>
      </c>
      <c r="B411" s="14" t="s">
        <v>915</v>
      </c>
      <c r="C411" s="14" t="s">
        <v>17</v>
      </c>
      <c r="D411" s="14" t="s">
        <v>916</v>
      </c>
      <c r="E411" s="15" t="s">
        <v>65</v>
      </c>
      <c r="F411" s="16">
        <v>307</v>
      </c>
      <c r="G411" s="17">
        <v>41.2</v>
      </c>
      <c r="H411" s="18">
        <f t="shared" si="41"/>
        <v>39.37894558</v>
      </c>
      <c r="I411" s="18">
        <f t="shared" si="42"/>
        <v>49.960068257346002</v>
      </c>
      <c r="J411" s="91">
        <f t="shared" si="40"/>
        <v>15337.740955005223</v>
      </c>
      <c r="L411" s="19">
        <v>0.26869999999999999</v>
      </c>
      <c r="M411" s="19">
        <v>4.4200349999999999E-2</v>
      </c>
    </row>
    <row r="412" spans="1:13" ht="15.75" customHeight="1">
      <c r="A412" s="14" t="s">
        <v>917</v>
      </c>
      <c r="B412" s="14" t="s">
        <v>918</v>
      </c>
      <c r="C412" s="14" t="s">
        <v>17</v>
      </c>
      <c r="D412" s="14" t="s">
        <v>919</v>
      </c>
      <c r="E412" s="15" t="s">
        <v>65</v>
      </c>
      <c r="F412" s="16">
        <v>132</v>
      </c>
      <c r="G412" s="17">
        <v>63.62</v>
      </c>
      <c r="H412" s="18">
        <f t="shared" si="41"/>
        <v>60.807973732999997</v>
      </c>
      <c r="I412" s="18">
        <f t="shared" si="42"/>
        <v>77.147076275057088</v>
      </c>
      <c r="J412" s="91">
        <f t="shared" si="40"/>
        <v>10183.414068307535</v>
      </c>
      <c r="L412" s="19">
        <v>0.26869999999999999</v>
      </c>
      <c r="M412" s="19">
        <v>4.4200349999999999E-2</v>
      </c>
    </row>
    <row r="413" spans="1:13" ht="15.75" customHeight="1">
      <c r="A413" s="14" t="s">
        <v>920</v>
      </c>
      <c r="B413" s="14">
        <v>96984</v>
      </c>
      <c r="C413" s="14" t="s">
        <v>32</v>
      </c>
      <c r="D413" s="14" t="s">
        <v>921</v>
      </c>
      <c r="E413" s="27" t="s">
        <v>34</v>
      </c>
      <c r="F413" s="16">
        <v>15</v>
      </c>
      <c r="G413" s="16">
        <v>56.74</v>
      </c>
      <c r="H413" s="18">
        <f t="shared" si="41"/>
        <v>54.232072141000003</v>
      </c>
      <c r="I413" s="18">
        <f t="shared" si="42"/>
        <v>68.804229925286705</v>
      </c>
      <c r="J413" s="91">
        <f t="shared" si="40"/>
        <v>1032.0634488793005</v>
      </c>
      <c r="L413" s="19">
        <v>0.26869999999999999</v>
      </c>
      <c r="M413" s="19">
        <v>4.4200349999999999E-2</v>
      </c>
    </row>
    <row r="414" spans="1:13" ht="15.75" customHeight="1">
      <c r="A414" s="14" t="s">
        <v>922</v>
      </c>
      <c r="B414" s="14">
        <v>101548</v>
      </c>
      <c r="C414" s="14" t="s">
        <v>32</v>
      </c>
      <c r="D414" s="14" t="s">
        <v>923</v>
      </c>
      <c r="E414" s="27" t="s">
        <v>34</v>
      </c>
      <c r="F414" s="16">
        <v>20</v>
      </c>
      <c r="G414" s="16">
        <v>7.24</v>
      </c>
      <c r="H414" s="18">
        <f t="shared" si="41"/>
        <v>6.9199894660000005</v>
      </c>
      <c r="I414" s="18">
        <f t="shared" si="42"/>
        <v>8.7793906355142006</v>
      </c>
      <c r="J414" s="91">
        <f t="shared" si="40"/>
        <v>175.58781271028403</v>
      </c>
      <c r="L414" s="19">
        <v>0.26869999999999999</v>
      </c>
      <c r="M414" s="19">
        <v>4.4200349999999999E-2</v>
      </c>
    </row>
    <row r="415" spans="1:13" ht="30.75" customHeight="1">
      <c r="A415" s="28">
        <v>17</v>
      </c>
      <c r="B415" s="29"/>
      <c r="C415" s="29"/>
      <c r="D415" s="30" t="s">
        <v>924</v>
      </c>
      <c r="E415" s="29"/>
      <c r="F415" s="29"/>
      <c r="G415" s="29"/>
      <c r="H415" s="29"/>
      <c r="I415" s="29"/>
      <c r="J415" s="31">
        <f>J416+J431</f>
        <v>151556.94105800454</v>
      </c>
      <c r="L415" s="25"/>
      <c r="M415" s="19">
        <v>4.4200349999999999E-2</v>
      </c>
    </row>
    <row r="416" spans="1:13" ht="15.75" customHeight="1">
      <c r="A416" s="11" t="s">
        <v>925</v>
      </c>
      <c r="B416" s="12"/>
      <c r="C416" s="12"/>
      <c r="D416" s="11" t="s">
        <v>671</v>
      </c>
      <c r="E416" s="12"/>
      <c r="F416" s="12"/>
      <c r="G416" s="12"/>
      <c r="H416" s="12"/>
      <c r="I416" s="12"/>
      <c r="J416" s="24">
        <f>SUM(J417:J430)</f>
        <v>99331.013937965661</v>
      </c>
      <c r="L416" s="25"/>
      <c r="M416" s="19">
        <v>4.4200349999999999E-2</v>
      </c>
    </row>
    <row r="417" spans="1:13" ht="15.75" customHeight="1">
      <c r="A417" s="14" t="s">
        <v>926</v>
      </c>
      <c r="B417" s="14">
        <v>103289</v>
      </c>
      <c r="C417" s="14" t="s">
        <v>32</v>
      </c>
      <c r="D417" s="14" t="s">
        <v>927</v>
      </c>
      <c r="E417" s="27" t="s">
        <v>65</v>
      </c>
      <c r="F417" s="16">
        <v>84</v>
      </c>
      <c r="G417" s="16">
        <v>30.75</v>
      </c>
      <c r="H417" s="18">
        <f t="shared" si="41"/>
        <v>29.3908392375</v>
      </c>
      <c r="I417" s="18">
        <f t="shared" si="42"/>
        <v>37.288157740616249</v>
      </c>
      <c r="J417" s="91">
        <f t="shared" ref="J417:J459" si="43">I417*F417</f>
        <v>3132.2052502117649</v>
      </c>
      <c r="L417" s="19">
        <v>0.26869999999999999</v>
      </c>
      <c r="M417" s="19">
        <v>4.4200349999999999E-2</v>
      </c>
    </row>
    <row r="418" spans="1:13" ht="15.75" customHeight="1">
      <c r="A418" s="14" t="s">
        <v>928</v>
      </c>
      <c r="B418" s="14">
        <v>103290</v>
      </c>
      <c r="C418" s="14" t="s">
        <v>32</v>
      </c>
      <c r="D418" s="14" t="s">
        <v>929</v>
      </c>
      <c r="E418" s="27" t="s">
        <v>65</v>
      </c>
      <c r="F418" s="16">
        <v>91</v>
      </c>
      <c r="G418" s="16">
        <v>48.19</v>
      </c>
      <c r="H418" s="18">
        <f t="shared" si="41"/>
        <v>46.0599851335</v>
      </c>
      <c r="I418" s="18">
        <f t="shared" si="42"/>
        <v>58.436303138871452</v>
      </c>
      <c r="J418" s="91">
        <f t="shared" si="43"/>
        <v>5317.7035856373022</v>
      </c>
      <c r="L418" s="19">
        <v>0.26869999999999999</v>
      </c>
      <c r="M418" s="19">
        <v>4.4200349999999999E-2</v>
      </c>
    </row>
    <row r="419" spans="1:13" ht="15.75" customHeight="1">
      <c r="A419" s="14" t="s">
        <v>930</v>
      </c>
      <c r="B419" s="14">
        <v>103291</v>
      </c>
      <c r="C419" s="14" t="s">
        <v>32</v>
      </c>
      <c r="D419" s="14" t="s">
        <v>931</v>
      </c>
      <c r="E419" s="27" t="s">
        <v>65</v>
      </c>
      <c r="F419" s="16">
        <v>6</v>
      </c>
      <c r="G419" s="16">
        <v>61.12</v>
      </c>
      <c r="H419" s="18">
        <f t="shared" si="41"/>
        <v>58.418474607999997</v>
      </c>
      <c r="I419" s="18">
        <f t="shared" si="42"/>
        <v>74.115518735169601</v>
      </c>
      <c r="J419" s="91">
        <f t="shared" si="43"/>
        <v>444.69311241101764</v>
      </c>
      <c r="L419" s="19">
        <v>0.26869999999999999</v>
      </c>
      <c r="M419" s="19">
        <v>4.4200349999999999E-2</v>
      </c>
    </row>
    <row r="420" spans="1:13" ht="15.75" customHeight="1">
      <c r="A420" s="14" t="s">
        <v>932</v>
      </c>
      <c r="B420" s="14">
        <v>103292</v>
      </c>
      <c r="C420" s="14" t="s">
        <v>32</v>
      </c>
      <c r="D420" s="14" t="s">
        <v>933</v>
      </c>
      <c r="E420" s="27" t="s">
        <v>65</v>
      </c>
      <c r="F420" s="16">
        <v>35</v>
      </c>
      <c r="G420" s="16">
        <v>74.319999999999993</v>
      </c>
      <c r="H420" s="18">
        <f t="shared" si="41"/>
        <v>71.035029987999991</v>
      </c>
      <c r="I420" s="18">
        <f t="shared" si="42"/>
        <v>90.122142545775588</v>
      </c>
      <c r="J420" s="91">
        <f t="shared" si="43"/>
        <v>3154.2749891021458</v>
      </c>
      <c r="L420" s="19">
        <v>0.26869999999999999</v>
      </c>
      <c r="M420" s="19">
        <v>4.4200349999999999E-2</v>
      </c>
    </row>
    <row r="421" spans="1:13" ht="15.75" customHeight="1">
      <c r="A421" s="14" t="s">
        <v>934</v>
      </c>
      <c r="B421" s="14" t="s">
        <v>935</v>
      </c>
      <c r="C421" s="14" t="s">
        <v>17</v>
      </c>
      <c r="D421" s="14" t="s">
        <v>936</v>
      </c>
      <c r="E421" s="15" t="s">
        <v>65</v>
      </c>
      <c r="F421" s="16">
        <v>122</v>
      </c>
      <c r="G421" s="17">
        <v>16.36</v>
      </c>
      <c r="H421" s="18">
        <f t="shared" si="41"/>
        <v>15.636882274</v>
      </c>
      <c r="I421" s="18">
        <f t="shared" si="42"/>
        <v>19.8385125410238</v>
      </c>
      <c r="J421" s="91">
        <f t="shared" si="43"/>
        <v>2420.2985300049036</v>
      </c>
      <c r="L421" s="19">
        <v>0.26869999999999999</v>
      </c>
      <c r="M421" s="19">
        <v>4.4200349999999999E-2</v>
      </c>
    </row>
    <row r="422" spans="1:13" ht="15.75" customHeight="1">
      <c r="A422" s="14" t="s">
        <v>937</v>
      </c>
      <c r="B422" s="14" t="s">
        <v>938</v>
      </c>
      <c r="C422" s="14" t="s">
        <v>17</v>
      </c>
      <c r="D422" s="14" t="s">
        <v>939</v>
      </c>
      <c r="E422" s="15" t="s">
        <v>34</v>
      </c>
      <c r="F422" s="16">
        <v>14</v>
      </c>
      <c r="G422" s="17">
        <v>211.79</v>
      </c>
      <c r="H422" s="18">
        <f t="shared" si="41"/>
        <v>202.42880787350001</v>
      </c>
      <c r="I422" s="18">
        <f t="shared" si="42"/>
        <v>256.82142854910944</v>
      </c>
      <c r="J422" s="91">
        <f t="shared" si="43"/>
        <v>3595.4999996875322</v>
      </c>
      <c r="L422" s="19">
        <v>0.26869999999999999</v>
      </c>
      <c r="M422" s="19">
        <v>4.4200349999999999E-2</v>
      </c>
    </row>
    <row r="423" spans="1:13" ht="15.75" customHeight="1">
      <c r="A423" s="14" t="s">
        <v>940</v>
      </c>
      <c r="B423" s="14" t="s">
        <v>941</v>
      </c>
      <c r="C423" s="14" t="s">
        <v>17</v>
      </c>
      <c r="D423" s="14" t="s">
        <v>942</v>
      </c>
      <c r="E423" s="15" t="s">
        <v>34</v>
      </c>
      <c r="F423" s="16">
        <v>4</v>
      </c>
      <c r="G423" s="17">
        <v>979.17</v>
      </c>
      <c r="H423" s="18">
        <f t="shared" si="41"/>
        <v>935.89034329049991</v>
      </c>
      <c r="I423" s="18">
        <f t="shared" si="42"/>
        <v>1187.3640785326572</v>
      </c>
      <c r="J423" s="91">
        <f t="shared" si="43"/>
        <v>4749.4563141306289</v>
      </c>
      <c r="L423" s="19">
        <v>0.26869999999999999</v>
      </c>
      <c r="M423" s="19">
        <v>4.4200349999999999E-2</v>
      </c>
    </row>
    <row r="424" spans="1:13" ht="15.75" customHeight="1">
      <c r="A424" s="14" t="s">
        <v>943</v>
      </c>
      <c r="B424" s="14" t="s">
        <v>944</v>
      </c>
      <c r="C424" s="14" t="s">
        <v>17</v>
      </c>
      <c r="D424" s="14" t="s">
        <v>945</v>
      </c>
      <c r="E424" s="15" t="s">
        <v>34</v>
      </c>
      <c r="F424" s="16">
        <v>1</v>
      </c>
      <c r="G424" s="20">
        <v>1163.03</v>
      </c>
      <c r="H424" s="18">
        <f t="shared" si="41"/>
        <v>1111.6236669395</v>
      </c>
      <c r="I424" s="18">
        <f t="shared" si="42"/>
        <v>1410.3169462461437</v>
      </c>
      <c r="J424" s="91">
        <f t="shared" si="43"/>
        <v>1410.3169462461437</v>
      </c>
      <c r="L424" s="19">
        <v>0.26869999999999999</v>
      </c>
      <c r="M424" s="19">
        <v>4.4200349999999999E-2</v>
      </c>
    </row>
    <row r="425" spans="1:13" ht="15.75" customHeight="1">
      <c r="A425" s="14" t="s">
        <v>946</v>
      </c>
      <c r="B425" s="14">
        <v>91341</v>
      </c>
      <c r="C425" s="14" t="s">
        <v>32</v>
      </c>
      <c r="D425" s="14" t="s">
        <v>947</v>
      </c>
      <c r="E425" s="15" t="s">
        <v>23</v>
      </c>
      <c r="F425" s="16">
        <v>0.22</v>
      </c>
      <c r="G425" s="16">
        <v>701.25</v>
      </c>
      <c r="H425" s="18">
        <f t="shared" si="41"/>
        <v>670.25450456249996</v>
      </c>
      <c r="I425" s="18">
        <f t="shared" si="42"/>
        <v>850.35188993844372</v>
      </c>
      <c r="J425" s="91">
        <f t="shared" si="43"/>
        <v>187.07741578645761</v>
      </c>
      <c r="L425" s="19">
        <v>0.26869999999999999</v>
      </c>
      <c r="M425" s="19">
        <v>4.4200349999999999E-2</v>
      </c>
    </row>
    <row r="426" spans="1:13" ht="15.75" customHeight="1">
      <c r="A426" s="14" t="s">
        <v>948</v>
      </c>
      <c r="B426" s="14" t="s">
        <v>949</v>
      </c>
      <c r="C426" s="14" t="s">
        <v>17</v>
      </c>
      <c r="D426" s="14" t="s">
        <v>950</v>
      </c>
      <c r="E426" s="15" t="s">
        <v>76</v>
      </c>
      <c r="F426" s="16">
        <v>750</v>
      </c>
      <c r="G426" s="17">
        <v>59.67</v>
      </c>
      <c r="H426" s="18">
        <f t="shared" si="41"/>
        <v>57.032565115499999</v>
      </c>
      <c r="I426" s="18">
        <f t="shared" si="42"/>
        <v>72.35721536203485</v>
      </c>
      <c r="J426" s="91">
        <f t="shared" si="43"/>
        <v>54267.911521526141</v>
      </c>
      <c r="L426" s="19">
        <v>0.26869999999999999</v>
      </c>
      <c r="M426" s="19">
        <v>4.4200349999999999E-2</v>
      </c>
    </row>
    <row r="427" spans="1:13" ht="15.75" customHeight="1">
      <c r="A427" s="14" t="s">
        <v>951</v>
      </c>
      <c r="B427" s="14" t="s">
        <v>952</v>
      </c>
      <c r="C427" s="14" t="s">
        <v>17</v>
      </c>
      <c r="D427" s="14" t="s">
        <v>953</v>
      </c>
      <c r="E427" s="15" t="s">
        <v>34</v>
      </c>
      <c r="F427" s="16">
        <v>24</v>
      </c>
      <c r="G427" s="17">
        <v>120.33</v>
      </c>
      <c r="H427" s="18">
        <f t="shared" si="41"/>
        <v>115.01137188449999</v>
      </c>
      <c r="I427" s="18">
        <f t="shared" si="42"/>
        <v>145.91492750986515</v>
      </c>
      <c r="J427" s="91">
        <f t="shared" si="43"/>
        <v>3501.9582602367636</v>
      </c>
      <c r="L427" s="19">
        <v>0.26869999999999999</v>
      </c>
      <c r="M427" s="19">
        <v>4.4200349999999999E-2</v>
      </c>
    </row>
    <row r="428" spans="1:13" ht="15.75" customHeight="1">
      <c r="A428" s="14" t="s">
        <v>954</v>
      </c>
      <c r="B428" s="14" t="s">
        <v>955</v>
      </c>
      <c r="C428" s="14" t="s">
        <v>17</v>
      </c>
      <c r="D428" s="14" t="s">
        <v>956</v>
      </c>
      <c r="E428" s="15" t="s">
        <v>34</v>
      </c>
      <c r="F428" s="16">
        <v>140</v>
      </c>
      <c r="G428" s="17">
        <v>91.24</v>
      </c>
      <c r="H428" s="18">
        <f t="shared" si="41"/>
        <v>87.207160066</v>
      </c>
      <c r="I428" s="18">
        <f t="shared" si="42"/>
        <v>110.6397239757342</v>
      </c>
      <c r="J428" s="91">
        <f t="shared" si="43"/>
        <v>15489.561356602788</v>
      </c>
      <c r="L428" s="19">
        <v>0.26869999999999999</v>
      </c>
      <c r="M428" s="19">
        <v>4.4200349999999999E-2</v>
      </c>
    </row>
    <row r="429" spans="1:13" ht="15.75" customHeight="1">
      <c r="A429" s="14" t="s">
        <v>957</v>
      </c>
      <c r="B429" s="14" t="s">
        <v>958</v>
      </c>
      <c r="C429" s="14" t="s">
        <v>17</v>
      </c>
      <c r="D429" s="14" t="s">
        <v>959</v>
      </c>
      <c r="E429" s="15" t="s">
        <v>34</v>
      </c>
      <c r="F429" s="16">
        <v>72</v>
      </c>
      <c r="G429" s="17">
        <v>2.69</v>
      </c>
      <c r="H429" s="18">
        <f t="shared" si="41"/>
        <v>2.5711010585</v>
      </c>
      <c r="I429" s="18">
        <f t="shared" si="42"/>
        <v>3.2619559129189502</v>
      </c>
      <c r="J429" s="91">
        <f t="shared" si="43"/>
        <v>234.86082573016441</v>
      </c>
      <c r="L429" s="19">
        <v>0.26869999999999999</v>
      </c>
      <c r="M429" s="19">
        <v>4.4200349999999999E-2</v>
      </c>
    </row>
    <row r="430" spans="1:13" ht="15.75" customHeight="1">
      <c r="A430" s="14" t="s">
        <v>960</v>
      </c>
      <c r="B430" s="14">
        <v>90460</v>
      </c>
      <c r="C430" s="14" t="s">
        <v>32</v>
      </c>
      <c r="D430" s="14" t="s">
        <v>961</v>
      </c>
      <c r="E430" s="27" t="s">
        <v>65</v>
      </c>
      <c r="F430" s="16">
        <v>46</v>
      </c>
      <c r="G430" s="16">
        <v>25.55</v>
      </c>
      <c r="H430" s="18">
        <f t="shared" si="41"/>
        <v>24.420681057500001</v>
      </c>
      <c r="I430" s="18">
        <f t="shared" si="42"/>
        <v>30.982518057650253</v>
      </c>
      <c r="J430" s="91">
        <f t="shared" si="43"/>
        <v>1425.1958306519116</v>
      </c>
      <c r="L430" s="19">
        <v>0.26869999999999999</v>
      </c>
      <c r="M430" s="19">
        <v>4.4200349999999999E-2</v>
      </c>
    </row>
    <row r="431" spans="1:13" ht="15.75" customHeight="1">
      <c r="A431" s="11" t="s">
        <v>962</v>
      </c>
      <c r="B431" s="12"/>
      <c r="C431" s="12"/>
      <c r="D431" s="11" t="s">
        <v>353</v>
      </c>
      <c r="E431" s="12"/>
      <c r="F431" s="12"/>
      <c r="G431" s="12"/>
      <c r="H431" s="12"/>
      <c r="I431" s="12"/>
      <c r="J431" s="24">
        <f>SUM(J432:J437)</f>
        <v>52225.927120038876</v>
      </c>
      <c r="L431" s="25"/>
      <c r="M431" s="19">
        <v>4.4200349999999999E-2</v>
      </c>
    </row>
    <row r="432" spans="1:13" ht="15.75" customHeight="1">
      <c r="A432" s="14" t="s">
        <v>963</v>
      </c>
      <c r="B432" s="14" t="s">
        <v>964</v>
      </c>
      <c r="C432" s="14" t="s">
        <v>17</v>
      </c>
      <c r="D432" s="14" t="s">
        <v>965</v>
      </c>
      <c r="E432" s="15" t="s">
        <v>34</v>
      </c>
      <c r="F432" s="16">
        <v>3</v>
      </c>
      <c r="G432" s="20">
        <v>6348.47</v>
      </c>
      <c r="H432" s="18">
        <f t="shared" si="41"/>
        <v>6067.8654040355004</v>
      </c>
      <c r="I432" s="18">
        <f t="shared" si="42"/>
        <v>7698.3008380998399</v>
      </c>
      <c r="J432" s="91">
        <f t="shared" si="43"/>
        <v>23094.90251429952</v>
      </c>
      <c r="L432" s="19">
        <v>0.26869999999999999</v>
      </c>
      <c r="M432" s="19">
        <v>4.4200349999999999E-2</v>
      </c>
    </row>
    <row r="433" spans="1:13" ht="15.75" customHeight="1">
      <c r="A433" s="14" t="s">
        <v>966</v>
      </c>
      <c r="B433" s="14" t="s">
        <v>967</v>
      </c>
      <c r="C433" s="14" t="s">
        <v>17</v>
      </c>
      <c r="D433" s="14" t="s">
        <v>968</v>
      </c>
      <c r="E433" s="15" t="s">
        <v>34</v>
      </c>
      <c r="F433" s="16">
        <v>1</v>
      </c>
      <c r="G433" s="20">
        <v>7574.14</v>
      </c>
      <c r="H433" s="18">
        <f t="shared" si="41"/>
        <v>7239.3603610509999</v>
      </c>
      <c r="I433" s="18">
        <f t="shared" si="42"/>
        <v>9184.576490065403</v>
      </c>
      <c r="J433" s="91">
        <f t="shared" si="43"/>
        <v>9184.576490065403</v>
      </c>
      <c r="L433" s="19">
        <v>0.26869999999999999</v>
      </c>
      <c r="M433" s="19">
        <v>4.4200349999999999E-2</v>
      </c>
    </row>
    <row r="434" spans="1:13" ht="15.75" customHeight="1">
      <c r="A434" s="14" t="s">
        <v>969</v>
      </c>
      <c r="B434" s="14" t="s">
        <v>970</v>
      </c>
      <c r="C434" s="14" t="s">
        <v>17</v>
      </c>
      <c r="D434" s="14" t="s">
        <v>971</v>
      </c>
      <c r="E434" s="15" t="s">
        <v>34</v>
      </c>
      <c r="F434" s="16">
        <v>2</v>
      </c>
      <c r="G434" s="20">
        <v>3154.13</v>
      </c>
      <c r="H434" s="18">
        <f t="shared" si="41"/>
        <v>3014.7163500545003</v>
      </c>
      <c r="I434" s="18">
        <f t="shared" si="42"/>
        <v>3824.7706333141446</v>
      </c>
      <c r="J434" s="91">
        <f t="shared" si="43"/>
        <v>7649.5412666282891</v>
      </c>
      <c r="L434" s="19">
        <v>0.26869999999999999</v>
      </c>
      <c r="M434" s="19">
        <v>4.4200349999999999E-2</v>
      </c>
    </row>
    <row r="435" spans="1:13" ht="15.75" customHeight="1">
      <c r="A435" s="14" t="s">
        <v>972</v>
      </c>
      <c r="B435" s="14" t="s">
        <v>973</v>
      </c>
      <c r="C435" s="14" t="s">
        <v>17</v>
      </c>
      <c r="D435" s="14" t="s">
        <v>974</v>
      </c>
      <c r="E435" s="15" t="s">
        <v>34</v>
      </c>
      <c r="F435" s="16">
        <v>1</v>
      </c>
      <c r="G435" s="20">
        <v>5998.04</v>
      </c>
      <c r="H435" s="18">
        <f t="shared" si="41"/>
        <v>5732.924532686</v>
      </c>
      <c r="I435" s="18">
        <f t="shared" si="42"/>
        <v>7273.361354618728</v>
      </c>
      <c r="J435" s="91">
        <f t="shared" si="43"/>
        <v>7273.361354618728</v>
      </c>
      <c r="L435" s="19">
        <v>0.26869999999999999</v>
      </c>
      <c r="M435" s="19">
        <v>4.4200349999999999E-2</v>
      </c>
    </row>
    <row r="436" spans="1:13" ht="15.75" customHeight="1">
      <c r="A436" s="14" t="s">
        <v>975</v>
      </c>
      <c r="B436" s="14" t="s">
        <v>976</v>
      </c>
      <c r="C436" s="14" t="s">
        <v>17</v>
      </c>
      <c r="D436" s="14" t="s">
        <v>977</v>
      </c>
      <c r="E436" s="15" t="s">
        <v>34</v>
      </c>
      <c r="F436" s="16">
        <v>1</v>
      </c>
      <c r="G436" s="20">
        <v>3889.38</v>
      </c>
      <c r="H436" s="18">
        <f t="shared" si="41"/>
        <v>3717.4680427170001</v>
      </c>
      <c r="I436" s="18">
        <f t="shared" si="42"/>
        <v>4716.3517057950576</v>
      </c>
      <c r="J436" s="91">
        <f t="shared" si="43"/>
        <v>4716.3517057950576</v>
      </c>
      <c r="L436" s="19">
        <v>0.26869999999999999</v>
      </c>
      <c r="M436" s="19">
        <v>4.4200349999999999E-2</v>
      </c>
    </row>
    <row r="437" spans="1:13" ht="15.75" customHeight="1">
      <c r="A437" s="14" t="s">
        <v>978</v>
      </c>
      <c r="B437" s="14" t="s">
        <v>979</v>
      </c>
      <c r="C437" s="14" t="s">
        <v>17</v>
      </c>
      <c r="D437" s="14" t="s">
        <v>980</v>
      </c>
      <c r="E437" s="15" t="s">
        <v>34</v>
      </c>
      <c r="F437" s="16">
        <v>1</v>
      </c>
      <c r="G437" s="17">
        <v>253.33</v>
      </c>
      <c r="H437" s="18">
        <f t="shared" si="41"/>
        <v>242.13272533450001</v>
      </c>
      <c r="I437" s="18">
        <f t="shared" si="42"/>
        <v>307.19378863188012</v>
      </c>
      <c r="J437" s="91">
        <f t="shared" si="43"/>
        <v>307.19378863188012</v>
      </c>
      <c r="L437" s="19">
        <v>0.26869999999999999</v>
      </c>
      <c r="M437" s="19">
        <v>4.4200349999999999E-2</v>
      </c>
    </row>
    <row r="438" spans="1:13" ht="33" customHeight="1">
      <c r="A438" s="28">
        <v>18</v>
      </c>
      <c r="B438" s="29"/>
      <c r="C438" s="29"/>
      <c r="D438" s="30" t="s">
        <v>981</v>
      </c>
      <c r="E438" s="29"/>
      <c r="F438" s="29"/>
      <c r="G438" s="29"/>
      <c r="H438" s="29"/>
      <c r="I438" s="29"/>
      <c r="J438" s="31">
        <f>SUM(J439:J459)</f>
        <v>21580.296350812194</v>
      </c>
      <c r="L438" s="25"/>
      <c r="M438" s="19">
        <v>4.4200349999999999E-2</v>
      </c>
    </row>
    <row r="439" spans="1:13" ht="15.75" customHeight="1">
      <c r="A439" s="14" t="s">
        <v>982</v>
      </c>
      <c r="B439" s="14">
        <v>91940</v>
      </c>
      <c r="C439" s="14" t="s">
        <v>32</v>
      </c>
      <c r="D439" s="14" t="s">
        <v>676</v>
      </c>
      <c r="E439" s="27" t="s">
        <v>34</v>
      </c>
      <c r="F439" s="16">
        <v>32</v>
      </c>
      <c r="G439" s="16">
        <v>16.46</v>
      </c>
      <c r="H439" s="18">
        <f t="shared" si="41"/>
        <v>15.732462239</v>
      </c>
      <c r="I439" s="18">
        <f t="shared" si="42"/>
        <v>19.9597748426193</v>
      </c>
      <c r="J439" s="91">
        <f t="shared" si="43"/>
        <v>638.7127949638176</v>
      </c>
      <c r="L439" s="19">
        <v>0.26869999999999999</v>
      </c>
      <c r="M439" s="19">
        <v>4.4200349999999999E-2</v>
      </c>
    </row>
    <row r="440" spans="1:13" ht="15.75" customHeight="1">
      <c r="A440" s="14" t="s">
        <v>983</v>
      </c>
      <c r="B440" s="14" t="s">
        <v>684</v>
      </c>
      <c r="C440" s="14" t="s">
        <v>17</v>
      </c>
      <c r="D440" s="14" t="s">
        <v>685</v>
      </c>
      <c r="E440" s="15" t="s">
        <v>502</v>
      </c>
      <c r="F440" s="16">
        <v>353</v>
      </c>
      <c r="G440" s="17">
        <v>4.34</v>
      </c>
      <c r="H440" s="18">
        <f t="shared" si="41"/>
        <v>4.1481704810000002</v>
      </c>
      <c r="I440" s="18">
        <f t="shared" si="42"/>
        <v>5.2627838892446999</v>
      </c>
      <c r="J440" s="91">
        <f t="shared" si="43"/>
        <v>1857.762712903379</v>
      </c>
      <c r="L440" s="19">
        <v>0.26869999999999999</v>
      </c>
      <c r="M440" s="19">
        <v>4.4200349999999999E-2</v>
      </c>
    </row>
    <row r="441" spans="1:13" ht="15.75" customHeight="1">
      <c r="A441" s="14" t="s">
        <v>984</v>
      </c>
      <c r="B441" s="14" t="s">
        <v>687</v>
      </c>
      <c r="C441" s="14" t="s">
        <v>17</v>
      </c>
      <c r="D441" s="14" t="s">
        <v>688</v>
      </c>
      <c r="E441" s="15" t="s">
        <v>502</v>
      </c>
      <c r="F441" s="16">
        <v>52</v>
      </c>
      <c r="G441" s="17">
        <v>5.85</v>
      </c>
      <c r="H441" s="18">
        <f t="shared" si="41"/>
        <v>5.5914279525000001</v>
      </c>
      <c r="I441" s="18">
        <f t="shared" si="42"/>
        <v>7.0938446433367499</v>
      </c>
      <c r="J441" s="91">
        <f t="shared" si="43"/>
        <v>368.87992145351097</v>
      </c>
      <c r="L441" s="19">
        <v>0.26869999999999999</v>
      </c>
      <c r="M441" s="19">
        <v>4.4200349999999999E-2</v>
      </c>
    </row>
    <row r="442" spans="1:13" ht="15.75" customHeight="1">
      <c r="A442" s="14" t="s">
        <v>985</v>
      </c>
      <c r="B442" s="14" t="s">
        <v>986</v>
      </c>
      <c r="C442" s="14" t="s">
        <v>17</v>
      </c>
      <c r="D442" s="14" t="s">
        <v>987</v>
      </c>
      <c r="E442" s="15" t="s">
        <v>34</v>
      </c>
      <c r="F442" s="16">
        <v>52</v>
      </c>
      <c r="G442" s="17">
        <v>11.29</v>
      </c>
      <c r="H442" s="18">
        <f t="shared" si="41"/>
        <v>10.7909780485</v>
      </c>
      <c r="I442" s="18">
        <f t="shared" si="42"/>
        <v>13.69051385013195</v>
      </c>
      <c r="J442" s="91">
        <f t="shared" si="43"/>
        <v>711.90672020686134</v>
      </c>
      <c r="L442" s="19">
        <v>0.26869999999999999</v>
      </c>
      <c r="M442" s="19">
        <v>4.4200349999999999E-2</v>
      </c>
    </row>
    <row r="443" spans="1:13" ht="15.75" customHeight="1">
      <c r="A443" s="14" t="s">
        <v>988</v>
      </c>
      <c r="B443" s="14" t="s">
        <v>693</v>
      </c>
      <c r="C443" s="14" t="s">
        <v>17</v>
      </c>
      <c r="D443" s="14" t="s">
        <v>694</v>
      </c>
      <c r="E443" s="15" t="s">
        <v>34</v>
      </c>
      <c r="F443" s="16">
        <v>216</v>
      </c>
      <c r="G443" s="17">
        <v>2.82</v>
      </c>
      <c r="H443" s="18">
        <f t="shared" si="41"/>
        <v>2.6953550129999999</v>
      </c>
      <c r="I443" s="18">
        <f t="shared" si="42"/>
        <v>3.4195969049930999</v>
      </c>
      <c r="J443" s="91">
        <f t="shared" si="43"/>
        <v>738.63293147850959</v>
      </c>
      <c r="L443" s="19">
        <v>0.26869999999999999</v>
      </c>
      <c r="M443" s="19">
        <v>4.4200349999999999E-2</v>
      </c>
    </row>
    <row r="444" spans="1:13" ht="15.75" customHeight="1">
      <c r="A444" s="14" t="s">
        <v>989</v>
      </c>
      <c r="B444" s="14" t="s">
        <v>696</v>
      </c>
      <c r="C444" s="14" t="s">
        <v>17</v>
      </c>
      <c r="D444" s="14" t="s">
        <v>697</v>
      </c>
      <c r="E444" s="15" t="s">
        <v>34</v>
      </c>
      <c r="F444" s="16">
        <v>52</v>
      </c>
      <c r="G444" s="17">
        <v>5.36</v>
      </c>
      <c r="H444" s="18">
        <f t="shared" si="41"/>
        <v>5.1230861240000003</v>
      </c>
      <c r="I444" s="18">
        <f t="shared" si="42"/>
        <v>6.4996593655188004</v>
      </c>
      <c r="J444" s="91">
        <f t="shared" si="43"/>
        <v>337.98228700697763</v>
      </c>
      <c r="L444" s="19">
        <v>0.26869999999999999</v>
      </c>
      <c r="M444" s="19">
        <v>4.4200349999999999E-2</v>
      </c>
    </row>
    <row r="445" spans="1:13" ht="15.75" customHeight="1">
      <c r="A445" s="14" t="s">
        <v>990</v>
      </c>
      <c r="B445" s="14" t="s">
        <v>699</v>
      </c>
      <c r="C445" s="14" t="s">
        <v>17</v>
      </c>
      <c r="D445" s="14" t="s">
        <v>700</v>
      </c>
      <c r="E445" s="15" t="s">
        <v>65</v>
      </c>
      <c r="F445" s="16">
        <v>52</v>
      </c>
      <c r="G445" s="17">
        <v>19.71</v>
      </c>
      <c r="H445" s="18">
        <f t="shared" si="41"/>
        <v>18.838811101499999</v>
      </c>
      <c r="I445" s="18">
        <f t="shared" si="42"/>
        <v>23.90079964447305</v>
      </c>
      <c r="J445" s="91">
        <f t="shared" si="43"/>
        <v>1242.8415815125986</v>
      </c>
      <c r="L445" s="19">
        <v>0.26869999999999999</v>
      </c>
      <c r="M445" s="19">
        <v>4.4200349999999999E-2</v>
      </c>
    </row>
    <row r="446" spans="1:13" ht="15.75" customHeight="1">
      <c r="A446" s="14" t="s">
        <v>991</v>
      </c>
      <c r="B446" s="14" t="s">
        <v>723</v>
      </c>
      <c r="C446" s="14" t="s">
        <v>17</v>
      </c>
      <c r="D446" s="14" t="s">
        <v>724</v>
      </c>
      <c r="E446" s="15" t="s">
        <v>34</v>
      </c>
      <c r="F446" s="16">
        <v>3</v>
      </c>
      <c r="G446" s="17">
        <v>245.18</v>
      </c>
      <c r="H446" s="18">
        <f t="shared" si="41"/>
        <v>234.34295818699999</v>
      </c>
      <c r="I446" s="18">
        <f t="shared" si="42"/>
        <v>297.31091105184692</v>
      </c>
      <c r="J446" s="91">
        <f t="shared" si="43"/>
        <v>891.93273315554075</v>
      </c>
      <c r="L446" s="19">
        <v>0.26869999999999999</v>
      </c>
      <c r="M446" s="19">
        <v>4.4200349999999999E-2</v>
      </c>
    </row>
    <row r="447" spans="1:13" ht="15.75" customHeight="1">
      <c r="A447" s="14" t="s">
        <v>992</v>
      </c>
      <c r="B447" s="14">
        <v>98307</v>
      </c>
      <c r="C447" s="14" t="s">
        <v>32</v>
      </c>
      <c r="D447" s="14" t="s">
        <v>993</v>
      </c>
      <c r="E447" s="15" t="s">
        <v>34</v>
      </c>
      <c r="F447" s="16">
        <v>23</v>
      </c>
      <c r="G447" s="16">
        <v>52.15</v>
      </c>
      <c r="H447" s="18">
        <f t="shared" si="41"/>
        <v>49.844951747499998</v>
      </c>
      <c r="I447" s="18">
        <f t="shared" si="42"/>
        <v>63.238290282053249</v>
      </c>
      <c r="J447" s="91">
        <f t="shared" si="43"/>
        <v>1454.4806764872246</v>
      </c>
      <c r="L447" s="19">
        <v>0.26869999999999999</v>
      </c>
      <c r="M447" s="19">
        <v>4.4200349999999999E-2</v>
      </c>
    </row>
    <row r="448" spans="1:13" ht="26.25" customHeight="1">
      <c r="A448" s="14" t="s">
        <v>994</v>
      </c>
      <c r="B448" s="14" t="s">
        <v>805</v>
      </c>
      <c r="C448" s="14" t="s">
        <v>17</v>
      </c>
      <c r="D448" s="14" t="s">
        <v>806</v>
      </c>
      <c r="E448" s="15" t="s">
        <v>34</v>
      </c>
      <c r="F448" s="16">
        <v>1</v>
      </c>
      <c r="G448" s="17">
        <v>13.73</v>
      </c>
      <c r="H448" s="18">
        <f t="shared" si="41"/>
        <v>13.123129194500001</v>
      </c>
      <c r="I448" s="18">
        <f t="shared" si="42"/>
        <v>16.649314009062152</v>
      </c>
      <c r="J448" s="91">
        <f t="shared" si="43"/>
        <v>16.649314009062152</v>
      </c>
      <c r="L448" s="19">
        <v>0.26869999999999999</v>
      </c>
      <c r="M448" s="19">
        <v>4.4200349999999999E-2</v>
      </c>
    </row>
    <row r="449" spans="1:13" ht="15.75" customHeight="1">
      <c r="A449" s="14" t="s">
        <v>995</v>
      </c>
      <c r="B449" s="14" t="s">
        <v>808</v>
      </c>
      <c r="C449" s="14" t="s">
        <v>17</v>
      </c>
      <c r="D449" s="14" t="s">
        <v>809</v>
      </c>
      <c r="E449" s="15" t="s">
        <v>34</v>
      </c>
      <c r="F449" s="16">
        <v>26</v>
      </c>
      <c r="G449" s="17">
        <v>11.73</v>
      </c>
      <c r="H449" s="18">
        <f t="shared" si="41"/>
        <v>11.2115298945</v>
      </c>
      <c r="I449" s="18">
        <f t="shared" si="42"/>
        <v>14.224067977152149</v>
      </c>
      <c r="J449" s="91">
        <f t="shared" si="43"/>
        <v>369.8257674059559</v>
      </c>
      <c r="L449" s="19">
        <v>0.26869999999999999</v>
      </c>
      <c r="M449" s="19">
        <v>4.4200349999999999E-2</v>
      </c>
    </row>
    <row r="450" spans="1:13" ht="15.75" customHeight="1">
      <c r="A450" s="14" t="s">
        <v>996</v>
      </c>
      <c r="B450" s="14" t="s">
        <v>997</v>
      </c>
      <c r="C450" s="14" t="s">
        <v>17</v>
      </c>
      <c r="D450" s="14" t="s">
        <v>998</v>
      </c>
      <c r="E450" s="15" t="s">
        <v>34</v>
      </c>
      <c r="F450" s="16">
        <v>5</v>
      </c>
      <c r="G450" s="17">
        <v>32.119999999999997</v>
      </c>
      <c r="H450" s="18">
        <f t="shared" si="41"/>
        <v>30.700284757999999</v>
      </c>
      <c r="I450" s="18">
        <f t="shared" si="42"/>
        <v>38.949451272474597</v>
      </c>
      <c r="J450" s="91">
        <f t="shared" si="43"/>
        <v>194.74725636237298</v>
      </c>
      <c r="L450" s="19">
        <v>0.26869999999999999</v>
      </c>
      <c r="M450" s="19">
        <v>4.4200349999999999E-2</v>
      </c>
    </row>
    <row r="451" spans="1:13" ht="15.75" customHeight="1">
      <c r="A451" s="14" t="s">
        <v>999</v>
      </c>
      <c r="B451" s="14" t="s">
        <v>1000</v>
      </c>
      <c r="C451" s="14" t="s">
        <v>17</v>
      </c>
      <c r="D451" s="14" t="s">
        <v>1001</v>
      </c>
      <c r="E451" s="15" t="s">
        <v>34</v>
      </c>
      <c r="F451" s="16">
        <v>46.2</v>
      </c>
      <c r="G451" s="17">
        <v>80.099999999999994</v>
      </c>
      <c r="H451" s="18">
        <f t="shared" si="41"/>
        <v>76.559551964999997</v>
      </c>
      <c r="I451" s="18">
        <f t="shared" si="42"/>
        <v>97.131103577995503</v>
      </c>
      <c r="J451" s="91">
        <f t="shared" si="43"/>
        <v>4487.4569853033927</v>
      </c>
      <c r="L451" s="19">
        <v>0.26869999999999999</v>
      </c>
      <c r="M451" s="19">
        <v>4.4200349999999999E-2</v>
      </c>
    </row>
    <row r="452" spans="1:13" ht="15.75" customHeight="1">
      <c r="A452" s="14" t="s">
        <v>1002</v>
      </c>
      <c r="B452" s="14" t="s">
        <v>1003</v>
      </c>
      <c r="C452" s="14" t="s">
        <v>17</v>
      </c>
      <c r="D452" s="14" t="s">
        <v>1004</v>
      </c>
      <c r="E452" s="15" t="s">
        <v>34</v>
      </c>
      <c r="F452" s="16">
        <v>52</v>
      </c>
      <c r="G452" s="17">
        <v>15.22</v>
      </c>
      <c r="H452" s="18">
        <f t="shared" si="41"/>
        <v>14.547270673</v>
      </c>
      <c r="I452" s="18">
        <f t="shared" si="42"/>
        <v>18.456122302835098</v>
      </c>
      <c r="J452" s="91">
        <f t="shared" si="43"/>
        <v>959.7183597474251</v>
      </c>
      <c r="L452" s="19">
        <v>0.26869999999999999</v>
      </c>
      <c r="M452" s="19">
        <v>4.4200349999999999E-2</v>
      </c>
    </row>
    <row r="453" spans="1:13" ht="15.75" customHeight="1">
      <c r="A453" s="14" t="s">
        <v>1005</v>
      </c>
      <c r="B453" s="14" t="s">
        <v>1006</v>
      </c>
      <c r="C453" s="14" t="s">
        <v>17</v>
      </c>
      <c r="D453" s="14" t="s">
        <v>1007</v>
      </c>
      <c r="E453" s="15" t="s">
        <v>34</v>
      </c>
      <c r="F453" s="16">
        <v>54</v>
      </c>
      <c r="G453" s="17">
        <v>10.09</v>
      </c>
      <c r="H453" s="18">
        <f t="shared" si="41"/>
        <v>9.6440184685000006</v>
      </c>
      <c r="I453" s="18">
        <f t="shared" si="42"/>
        <v>12.235366230985951</v>
      </c>
      <c r="J453" s="91">
        <f t="shared" si="43"/>
        <v>660.70977647324139</v>
      </c>
      <c r="L453" s="19">
        <v>0.26869999999999999</v>
      </c>
      <c r="M453" s="19">
        <v>4.4200349999999999E-2</v>
      </c>
    </row>
    <row r="454" spans="1:13" ht="15.75" customHeight="1">
      <c r="A454" s="14" t="s">
        <v>1008</v>
      </c>
      <c r="B454" s="14" t="s">
        <v>1009</v>
      </c>
      <c r="C454" s="14" t="s">
        <v>17</v>
      </c>
      <c r="D454" s="14" t="s">
        <v>1010</v>
      </c>
      <c r="E454" s="15" t="s">
        <v>34</v>
      </c>
      <c r="F454" s="16">
        <v>3</v>
      </c>
      <c r="G454" s="17">
        <v>174.51</v>
      </c>
      <c r="H454" s="18">
        <f t="shared" si="41"/>
        <v>166.7965969215</v>
      </c>
      <c r="I454" s="18">
        <f t="shared" si="42"/>
        <v>211.61484251430704</v>
      </c>
      <c r="J454" s="91">
        <f t="shared" si="43"/>
        <v>634.84452754292113</v>
      </c>
      <c r="L454" s="19">
        <v>0.26869999999999999</v>
      </c>
      <c r="M454" s="19">
        <v>4.4200349999999999E-2</v>
      </c>
    </row>
    <row r="455" spans="1:13" ht="15.75" customHeight="1">
      <c r="A455" s="14" t="s">
        <v>1011</v>
      </c>
      <c r="B455" s="14">
        <v>91837</v>
      </c>
      <c r="C455" s="14" t="s">
        <v>32</v>
      </c>
      <c r="D455" s="14" t="s">
        <v>829</v>
      </c>
      <c r="E455" s="15" t="s">
        <v>65</v>
      </c>
      <c r="F455" s="16">
        <v>121.1</v>
      </c>
      <c r="G455" s="16">
        <v>24.49</v>
      </c>
      <c r="H455" s="18">
        <f t="shared" si="41"/>
        <v>23.407533428499999</v>
      </c>
      <c r="I455" s="18">
        <f t="shared" si="42"/>
        <v>29.697137660737948</v>
      </c>
      <c r="J455" s="91">
        <f t="shared" si="43"/>
        <v>3596.3233707153654</v>
      </c>
      <c r="L455" s="19">
        <v>0.26869999999999999</v>
      </c>
      <c r="M455" s="19">
        <v>4.4200349999999999E-2</v>
      </c>
    </row>
    <row r="456" spans="1:13" ht="15.75" customHeight="1">
      <c r="A456" s="14" t="s">
        <v>1012</v>
      </c>
      <c r="B456" s="14">
        <v>91835</v>
      </c>
      <c r="C456" s="14" t="s">
        <v>32</v>
      </c>
      <c r="D456" s="14" t="s">
        <v>831</v>
      </c>
      <c r="E456" s="15" t="s">
        <v>65</v>
      </c>
      <c r="F456" s="16">
        <v>72.2</v>
      </c>
      <c r="G456" s="16">
        <v>19.55</v>
      </c>
      <c r="H456" s="18">
        <f t="shared" si="41"/>
        <v>18.685883157500001</v>
      </c>
      <c r="I456" s="18">
        <f t="shared" si="42"/>
        <v>23.706779961920251</v>
      </c>
      <c r="J456" s="91">
        <f t="shared" si="43"/>
        <v>1711.6295132506423</v>
      </c>
      <c r="L456" s="19">
        <v>0.26869999999999999</v>
      </c>
      <c r="M456" s="19">
        <v>4.4200349999999999E-2</v>
      </c>
    </row>
    <row r="457" spans="1:13" ht="15.75" customHeight="1">
      <c r="A457" s="14" t="s">
        <v>1013</v>
      </c>
      <c r="B457" s="14">
        <v>93008</v>
      </c>
      <c r="C457" s="14" t="s">
        <v>32</v>
      </c>
      <c r="D457" s="14" t="s">
        <v>833</v>
      </c>
      <c r="E457" s="15" t="s">
        <v>65</v>
      </c>
      <c r="F457" s="16">
        <v>14.6</v>
      </c>
      <c r="G457" s="16">
        <v>18.63</v>
      </c>
      <c r="H457" s="18">
        <f t="shared" ref="H457:H470" si="44">G457-(G457*M457)</f>
        <v>17.806547479500001</v>
      </c>
      <c r="I457" s="18">
        <f t="shared" ref="I457:I470" si="45">H457+(H457*L457)</f>
        <v>22.591166787241651</v>
      </c>
      <c r="J457" s="91">
        <f t="shared" si="43"/>
        <v>329.83103509372808</v>
      </c>
      <c r="L457" s="19">
        <v>0.26869999999999999</v>
      </c>
      <c r="M457" s="19">
        <v>4.4200349999999999E-2</v>
      </c>
    </row>
    <row r="458" spans="1:13" ht="15.75" customHeight="1">
      <c r="A458" s="14" t="s">
        <v>1014</v>
      </c>
      <c r="B458" s="14">
        <v>91865</v>
      </c>
      <c r="C458" s="14" t="s">
        <v>32</v>
      </c>
      <c r="D458" s="14" t="s">
        <v>835</v>
      </c>
      <c r="E458" s="15" t="s">
        <v>65</v>
      </c>
      <c r="F458" s="16">
        <v>5.4</v>
      </c>
      <c r="G458" s="16">
        <v>19.05</v>
      </c>
      <c r="H458" s="18">
        <f t="shared" si="44"/>
        <v>18.2079833325</v>
      </c>
      <c r="I458" s="18">
        <f t="shared" si="45"/>
        <v>23.100468453942749</v>
      </c>
      <c r="J458" s="91">
        <f t="shared" si="43"/>
        <v>124.74252965129085</v>
      </c>
      <c r="L458" s="19">
        <v>0.26869999999999999</v>
      </c>
      <c r="M458" s="19">
        <v>4.4200349999999999E-2</v>
      </c>
    </row>
    <row r="459" spans="1:13" ht="15.75" customHeight="1">
      <c r="A459" s="14" t="s">
        <v>1015</v>
      </c>
      <c r="B459" s="14" t="s">
        <v>1016</v>
      </c>
      <c r="C459" s="14" t="s">
        <v>17</v>
      </c>
      <c r="D459" s="14" t="s">
        <v>1017</v>
      </c>
      <c r="E459" s="15" t="s">
        <v>34</v>
      </c>
      <c r="F459" s="16">
        <v>9</v>
      </c>
      <c r="G459" s="17">
        <v>22.97</v>
      </c>
      <c r="H459" s="18">
        <f t="shared" si="44"/>
        <v>21.954717960499998</v>
      </c>
      <c r="I459" s="18">
        <f t="shared" si="45"/>
        <v>27.853950676486349</v>
      </c>
      <c r="J459" s="91">
        <f t="shared" si="43"/>
        <v>250.68555608837715</v>
      </c>
      <c r="L459" s="19">
        <v>0.26869999999999999</v>
      </c>
      <c r="M459" s="19">
        <v>4.4200349999999999E-2</v>
      </c>
    </row>
    <row r="460" spans="1:13" ht="32.25" customHeight="1">
      <c r="A460" s="28">
        <v>19</v>
      </c>
      <c r="B460" s="29"/>
      <c r="C460" s="29"/>
      <c r="D460" s="30" t="s">
        <v>1018</v>
      </c>
      <c r="E460" s="29"/>
      <c r="F460" s="29"/>
      <c r="G460" s="29"/>
      <c r="H460" s="29"/>
      <c r="I460" s="29"/>
      <c r="J460" s="31">
        <f>J461+J463+J465</f>
        <v>14283.411322306954</v>
      </c>
      <c r="L460" s="25"/>
      <c r="M460" s="19">
        <v>4.4200349999999999E-2</v>
      </c>
    </row>
    <row r="461" spans="1:13" ht="15.75" customHeight="1">
      <c r="A461" s="11" t="s">
        <v>1019</v>
      </c>
      <c r="B461" s="12"/>
      <c r="C461" s="12"/>
      <c r="D461" s="11" t="s">
        <v>1020</v>
      </c>
      <c r="E461" s="12"/>
      <c r="F461" s="12"/>
      <c r="G461" s="12"/>
      <c r="H461" s="12"/>
      <c r="I461" s="12"/>
      <c r="J461" s="24">
        <f>J462</f>
        <v>1087.0301950449216</v>
      </c>
      <c r="L461" s="25"/>
      <c r="M461" s="19">
        <v>4.4200349999999999E-2</v>
      </c>
    </row>
    <row r="462" spans="1:13" ht="15.75" customHeight="1">
      <c r="A462" s="14" t="s">
        <v>1021</v>
      </c>
      <c r="B462" s="26">
        <v>104658</v>
      </c>
      <c r="C462" s="14" t="s">
        <v>32</v>
      </c>
      <c r="D462" s="14" t="s">
        <v>1022</v>
      </c>
      <c r="E462" s="27" t="s">
        <v>23</v>
      </c>
      <c r="F462" s="16">
        <v>6.32</v>
      </c>
      <c r="G462" s="16">
        <v>141.84</v>
      </c>
      <c r="H462" s="18">
        <f t="shared" si="44"/>
        <v>135.570622356</v>
      </c>
      <c r="I462" s="18">
        <f t="shared" si="45"/>
        <v>171.99844858305721</v>
      </c>
      <c r="J462" s="91">
        <f t="shared" ref="J462" si="46">I462*F462</f>
        <v>1087.0301950449216</v>
      </c>
      <c r="L462" s="19">
        <v>0.26869999999999999</v>
      </c>
      <c r="M462" s="19">
        <v>4.4200349999999999E-2</v>
      </c>
    </row>
    <row r="463" spans="1:13" ht="15.75" customHeight="1">
      <c r="A463" s="11" t="s">
        <v>1023</v>
      </c>
      <c r="B463" s="12"/>
      <c r="C463" s="12"/>
      <c r="D463" s="11" t="s">
        <v>1024</v>
      </c>
      <c r="E463" s="12"/>
      <c r="F463" s="12"/>
      <c r="G463" s="12"/>
      <c r="H463" s="12"/>
      <c r="I463" s="12"/>
      <c r="J463" s="24">
        <f>J464</f>
        <v>6788.107457471634</v>
      </c>
      <c r="L463" s="25"/>
      <c r="M463" s="19">
        <v>4.4200349999999999E-2</v>
      </c>
    </row>
    <row r="464" spans="1:13" ht="15.75" customHeight="1">
      <c r="A464" s="14" t="s">
        <v>1025</v>
      </c>
      <c r="B464" s="26">
        <v>103946</v>
      </c>
      <c r="C464" s="14" t="s">
        <v>32</v>
      </c>
      <c r="D464" s="14" t="s">
        <v>1026</v>
      </c>
      <c r="E464" s="27" t="s">
        <v>23</v>
      </c>
      <c r="F464" s="16">
        <v>272.27</v>
      </c>
      <c r="G464" s="16">
        <v>20.56</v>
      </c>
      <c r="H464" s="18">
        <f t="shared" si="44"/>
        <v>19.651240804</v>
      </c>
      <c r="I464" s="18">
        <f t="shared" si="45"/>
        <v>24.931529208034799</v>
      </c>
      <c r="J464" s="91">
        <f t="shared" ref="J464" si="47">I464*F464</f>
        <v>6788.107457471634</v>
      </c>
      <c r="L464" s="19">
        <v>0.26869999999999999</v>
      </c>
      <c r="M464" s="19">
        <v>4.4200349999999999E-2</v>
      </c>
    </row>
    <row r="465" spans="1:13" ht="15.75" customHeight="1">
      <c r="A465" s="11" t="s">
        <v>1027</v>
      </c>
      <c r="B465" s="12"/>
      <c r="C465" s="12"/>
      <c r="D465" s="11" t="s">
        <v>1028</v>
      </c>
      <c r="E465" s="12"/>
      <c r="F465" s="12"/>
      <c r="G465" s="12"/>
      <c r="H465" s="12"/>
      <c r="I465" s="12"/>
      <c r="J465" s="24">
        <f>J466+J467</f>
        <v>6408.2736697903993</v>
      </c>
      <c r="L465" s="25"/>
      <c r="M465" s="19">
        <v>4.4200349999999999E-2</v>
      </c>
    </row>
    <row r="466" spans="1:13" ht="15.75" customHeight="1">
      <c r="A466" s="14" t="s">
        <v>1029</v>
      </c>
      <c r="B466" s="33" t="s">
        <v>1030</v>
      </c>
      <c r="C466" s="14" t="s">
        <v>17</v>
      </c>
      <c r="D466" s="14" t="s">
        <v>1031</v>
      </c>
      <c r="E466" s="27" t="s">
        <v>34</v>
      </c>
      <c r="F466" s="16">
        <v>27</v>
      </c>
      <c r="G466" s="16">
        <v>100.37</v>
      </c>
      <c r="H466" s="18">
        <f t="shared" si="44"/>
        <v>95.933610870500004</v>
      </c>
      <c r="I466" s="18">
        <f t="shared" si="45"/>
        <v>121.71097211140335</v>
      </c>
      <c r="J466" s="91">
        <f t="shared" ref="J466:J467" si="48">I466*F466</f>
        <v>3286.1962470078906</v>
      </c>
      <c r="L466" s="19">
        <v>0.26869999999999999</v>
      </c>
      <c r="M466" s="19">
        <v>4.4200349999999999E-2</v>
      </c>
    </row>
    <row r="467" spans="1:13" ht="15.75" customHeight="1">
      <c r="A467" s="14" t="s">
        <v>1032</v>
      </c>
      <c r="B467" s="33" t="s">
        <v>1033</v>
      </c>
      <c r="C467" s="14" t="s">
        <v>17</v>
      </c>
      <c r="D467" s="14" t="s">
        <v>1034</v>
      </c>
      <c r="E467" s="27" t="s">
        <v>65</v>
      </c>
      <c r="F467" s="16">
        <v>3.6</v>
      </c>
      <c r="G467" s="16">
        <v>715.18</v>
      </c>
      <c r="H467" s="18">
        <f t="shared" si="44"/>
        <v>683.56879368699992</v>
      </c>
      <c r="I467" s="18">
        <f t="shared" si="45"/>
        <v>867.2437285506968</v>
      </c>
      <c r="J467" s="91">
        <f t="shared" si="48"/>
        <v>3122.0774227825086</v>
      </c>
      <c r="L467" s="19">
        <v>0.26869999999999999</v>
      </c>
      <c r="M467" s="19">
        <v>4.4200349999999999E-2</v>
      </c>
    </row>
    <row r="468" spans="1:13" ht="32.25" customHeight="1">
      <c r="A468" s="28">
        <v>20</v>
      </c>
      <c r="B468" s="29"/>
      <c r="C468" s="29"/>
      <c r="D468" s="30" t="s">
        <v>1035</v>
      </c>
      <c r="E468" s="29"/>
      <c r="F468" s="29"/>
      <c r="G468" s="29"/>
      <c r="H468" s="29"/>
      <c r="I468" s="29"/>
      <c r="J468" s="31">
        <f>J469+J470</f>
        <v>10974.113151697502</v>
      </c>
      <c r="L468" s="25"/>
      <c r="M468" s="19">
        <v>4.4200349999999999E-2</v>
      </c>
    </row>
    <row r="469" spans="1:13" ht="15.75" customHeight="1">
      <c r="A469" s="14" t="s">
        <v>1036</v>
      </c>
      <c r="B469" s="33" t="s">
        <v>1037</v>
      </c>
      <c r="C469" s="14" t="s">
        <v>17</v>
      </c>
      <c r="D469" s="14" t="s">
        <v>1038</v>
      </c>
      <c r="E469" s="27" t="s">
        <v>23</v>
      </c>
      <c r="F469" s="16">
        <v>564.55999999999995</v>
      </c>
      <c r="G469" s="16">
        <v>12.02</v>
      </c>
      <c r="H469" s="18">
        <f t="shared" si="44"/>
        <v>11.488711793</v>
      </c>
      <c r="I469" s="18">
        <f t="shared" si="45"/>
        <v>14.5757286517791</v>
      </c>
      <c r="J469" s="91">
        <f t="shared" ref="J469:J470" si="49">I469*F469</f>
        <v>8228.873367648408</v>
      </c>
      <c r="L469" s="19">
        <v>0.26869999999999999</v>
      </c>
      <c r="M469" s="19">
        <v>4.4200349999999999E-2</v>
      </c>
    </row>
    <row r="470" spans="1:13" ht="15.75" customHeight="1">
      <c r="A470" s="14" t="s">
        <v>1039</v>
      </c>
      <c r="B470" s="33" t="s">
        <v>1040</v>
      </c>
      <c r="C470" s="14" t="s">
        <v>17</v>
      </c>
      <c r="D470" s="14" t="s">
        <v>1041</v>
      </c>
      <c r="E470" s="27" t="s">
        <v>23</v>
      </c>
      <c r="F470" s="16">
        <v>564.55999999999995</v>
      </c>
      <c r="G470" s="16">
        <v>4.01</v>
      </c>
      <c r="H470" s="18">
        <f t="shared" si="44"/>
        <v>3.8327565964999999</v>
      </c>
      <c r="I470" s="18">
        <f t="shared" si="45"/>
        <v>4.8626182939795495</v>
      </c>
      <c r="J470" s="91">
        <f t="shared" si="49"/>
        <v>2745.2397840490944</v>
      </c>
      <c r="L470" s="19">
        <v>0.26869999999999999</v>
      </c>
      <c r="M470" s="19">
        <v>4.4200349999999999E-2</v>
      </c>
    </row>
    <row r="471" spans="1:13" ht="15.75" customHeight="1">
      <c r="A471" s="34"/>
      <c r="B471" s="34"/>
      <c r="C471" s="34"/>
      <c r="D471" s="34"/>
      <c r="E471" s="34"/>
      <c r="F471" s="34"/>
      <c r="G471" s="34"/>
      <c r="H471" s="35"/>
      <c r="L471" s="25"/>
    </row>
    <row r="472" spans="1:13" ht="15.75" customHeight="1">
      <c r="L472" s="25"/>
    </row>
    <row r="473" spans="1:13" ht="15.75" hidden="1" customHeight="1">
      <c r="I473" s="37" t="s">
        <v>1042</v>
      </c>
      <c r="J473" s="38">
        <f>J6+J24+J41+J72+J87+J97+J101+J128+J135+J144+J147+J150+J163+J166+J193+J309+J415+J438+J460+J468</f>
        <v>2450210.9824635023</v>
      </c>
      <c r="L473" s="39">
        <f>J473-(J473*L470)</f>
        <v>1791839.2914755591</v>
      </c>
    </row>
    <row r="474" spans="1:13" ht="15.75" customHeight="1">
      <c r="L474" s="39">
        <f>L473-J473</f>
        <v>-658371.69098794321</v>
      </c>
    </row>
    <row r="475" spans="1:13">
      <c r="L475" s="25"/>
    </row>
    <row r="476" spans="1:13" ht="22.5" customHeight="1">
      <c r="A476" s="144" t="s">
        <v>1043</v>
      </c>
      <c r="B476" s="144"/>
      <c r="C476" s="144"/>
      <c r="D476" s="144"/>
      <c r="E476" s="144"/>
      <c r="F476" s="144"/>
      <c r="G476" s="144"/>
      <c r="H476" s="144"/>
      <c r="I476" s="144"/>
      <c r="J476" s="40">
        <v>1791839.29</v>
      </c>
      <c r="K476" s="41"/>
      <c r="L476" s="143">
        <f>J6+J24+J41+J72+J87+J97+J101+J128+J135+J144+J147+J150+J163+J166+J193+J309+J415+J438+J460+J468</f>
        <v>2450210.9824635023</v>
      </c>
    </row>
    <row r="477" spans="1:13" ht="22.5" customHeight="1">
      <c r="A477" s="144" t="s">
        <v>1044</v>
      </c>
      <c r="B477" s="144"/>
      <c r="C477" s="144"/>
      <c r="D477" s="144"/>
      <c r="E477" s="144"/>
      <c r="F477" s="144"/>
      <c r="G477" s="144"/>
      <c r="H477" s="144"/>
      <c r="I477" s="144"/>
      <c r="J477" s="40">
        <v>658371.68999999994</v>
      </c>
      <c r="K477" s="41"/>
    </row>
    <row r="478" spans="1:13" ht="22.5" customHeight="1">
      <c r="A478" s="144" t="s">
        <v>1045</v>
      </c>
      <c r="B478" s="144"/>
      <c r="C478" s="144"/>
      <c r="D478" s="144"/>
      <c r="E478" s="144"/>
      <c r="F478" s="144"/>
      <c r="G478" s="144"/>
      <c r="H478" s="144"/>
      <c r="I478" s="144"/>
      <c r="J478" s="40">
        <f>J476+J477</f>
        <v>2450210.98</v>
      </c>
      <c r="K478" s="41"/>
    </row>
    <row r="479" spans="1:13" ht="16.5" customHeight="1">
      <c r="A479" s="145" t="s">
        <v>1046</v>
      </c>
      <c r="B479" s="145"/>
      <c r="C479" s="145"/>
      <c r="D479" s="145"/>
      <c r="E479" s="145"/>
      <c r="F479" s="145"/>
      <c r="G479" s="145"/>
      <c r="H479" s="145"/>
      <c r="I479" s="145"/>
      <c r="J479" s="145"/>
      <c r="L479" s="25"/>
    </row>
    <row r="480" spans="1:13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</row>
    <row r="481" spans="1:10" ht="67.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</row>
  </sheetData>
  <mergeCells count="7">
    <mergeCell ref="A477:I477"/>
    <mergeCell ref="A478:I478"/>
    <mergeCell ref="A479:J481"/>
    <mergeCell ref="A1:J1"/>
    <mergeCell ref="A2:J2"/>
    <mergeCell ref="A3:J3"/>
    <mergeCell ref="A476:I476"/>
  </mergeCells>
  <pageMargins left="0.23622047244094491" right="0.23622047244094491" top="0.74803149606299213" bottom="0.74803149606299213" header="0.31496062992125984" footer="0.31496062992125984"/>
  <pageSetup paperSize="9" scale="34" fitToHeight="0" orientation="portrait" r:id="rId1"/>
  <headerFooter>
    <oddFooter>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DD04-015D-4754-8B56-DF409B8266CD}">
  <sheetPr>
    <pageSetUpPr fitToPage="1"/>
  </sheetPr>
  <dimension ref="A1:T1503"/>
  <sheetViews>
    <sheetView zoomScale="70" zoomScaleNormal="70" workbookViewId="0">
      <selection activeCell="O27" sqref="O27"/>
    </sheetView>
  </sheetViews>
  <sheetFormatPr defaultRowHeight="12.75"/>
  <cols>
    <col min="1" max="1" width="15.1640625" style="46" customWidth="1"/>
    <col min="2" max="2" width="19.83203125" style="46" customWidth="1"/>
    <col min="3" max="3" width="15.1640625" style="46" customWidth="1"/>
    <col min="4" max="4" width="57.1640625" style="46" customWidth="1"/>
    <col min="5" max="5" width="88.6640625" style="46" customWidth="1"/>
    <col min="6" max="6" width="16.1640625" style="46" customWidth="1"/>
    <col min="7" max="7" width="9.33203125" style="46" customWidth="1"/>
    <col min="8" max="8" width="8" style="46" customWidth="1"/>
    <col min="9" max="9" width="1.1640625" style="46" customWidth="1"/>
    <col min="10" max="10" width="14" style="46" customWidth="1"/>
    <col min="11" max="11" width="6.83203125" style="46" customWidth="1"/>
    <col min="12" max="12" width="17" style="46" customWidth="1"/>
    <col min="13" max="13" width="1.1640625" style="46" hidden="1" customWidth="1"/>
    <col min="14" max="14" width="18.6640625" style="46" hidden="1" customWidth="1"/>
    <col min="15" max="15" width="23.6640625" style="46" customWidth="1"/>
    <col min="16" max="16" width="32.6640625" style="46" customWidth="1"/>
    <col min="17" max="17" width="0.5" style="46" customWidth="1"/>
    <col min="18" max="18" width="0.6640625" style="46" customWidth="1"/>
    <col min="19" max="16384" width="9.33203125" style="46"/>
  </cols>
  <sheetData>
    <row r="1" spans="1:20" ht="102" customHeight="1">
      <c r="A1" s="170" t="s">
        <v>1941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2" spans="1:20" ht="14.25" customHeight="1">
      <c r="A2" s="171" t="s">
        <v>1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20" ht="57.75" customHeight="1">
      <c r="A3" s="149" t="s">
        <v>2110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20" s="42" customFormat="1" ht="15.75" customHeight="1">
      <c r="A4" s="299" t="s">
        <v>1047</v>
      </c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</row>
    <row r="5" spans="1:20" ht="35.25" customHeight="1">
      <c r="A5" s="43" t="s">
        <v>1048</v>
      </c>
      <c r="B5" s="44" t="s">
        <v>3</v>
      </c>
      <c r="C5" s="43" t="s">
        <v>4</v>
      </c>
      <c r="D5" s="208" t="s">
        <v>5</v>
      </c>
      <c r="E5" s="209"/>
      <c r="F5" s="43" t="s">
        <v>1049</v>
      </c>
      <c r="G5" s="210"/>
      <c r="H5" s="211"/>
      <c r="I5" s="212"/>
      <c r="J5" s="215" t="s">
        <v>6</v>
      </c>
      <c r="K5" s="217"/>
      <c r="L5" s="44" t="s">
        <v>7</v>
      </c>
      <c r="M5" s="219" t="s">
        <v>8</v>
      </c>
      <c r="N5" s="220"/>
      <c r="O5" s="45" t="s">
        <v>1050</v>
      </c>
      <c r="P5" s="44" t="s">
        <v>11</v>
      </c>
      <c r="T5" s="87"/>
    </row>
    <row r="6" spans="1:20" ht="28.5" customHeight="1">
      <c r="A6" s="47" t="s">
        <v>1051</v>
      </c>
      <c r="B6" s="48" t="s">
        <v>1052</v>
      </c>
      <c r="C6" s="47" t="s">
        <v>1053</v>
      </c>
      <c r="D6" s="190" t="s">
        <v>1054</v>
      </c>
      <c r="E6" s="191"/>
      <c r="F6" s="49" t="s">
        <v>1055</v>
      </c>
      <c r="G6" s="267"/>
      <c r="H6" s="268"/>
      <c r="I6" s="269"/>
      <c r="J6" s="195" t="s">
        <v>1056</v>
      </c>
      <c r="K6" s="196"/>
      <c r="L6" s="50">
        <v>1</v>
      </c>
      <c r="M6" s="197">
        <v>967.29</v>
      </c>
      <c r="N6" s="198"/>
      <c r="O6" s="51">
        <f>SUM(O7:O10)</f>
        <v>905.31903142274996</v>
      </c>
      <c r="P6" s="51">
        <f>SUM(P7:P10)</f>
        <v>918.41344815904836</v>
      </c>
      <c r="T6" s="87"/>
    </row>
    <row r="7" spans="1:20" ht="28.5" customHeight="1">
      <c r="A7" s="52" t="s">
        <v>1057</v>
      </c>
      <c r="B7" s="53">
        <v>88316</v>
      </c>
      <c r="C7" s="52" t="s">
        <v>1058</v>
      </c>
      <c r="D7" s="199" t="s">
        <v>1059</v>
      </c>
      <c r="E7" s="200"/>
      <c r="F7" s="54" t="s">
        <v>1060</v>
      </c>
      <c r="G7" s="273"/>
      <c r="H7" s="274"/>
      <c r="I7" s="275"/>
      <c r="J7" s="204" t="s">
        <v>1061</v>
      </c>
      <c r="K7" s="205"/>
      <c r="L7" s="55">
        <v>1.32</v>
      </c>
      <c r="M7" s="188">
        <v>21.32</v>
      </c>
      <c r="N7" s="189"/>
      <c r="O7" s="56">
        <f>M7-(M7*T7)</f>
        <v>20.24268668058</v>
      </c>
      <c r="P7" s="57">
        <f>O7*L7</f>
        <v>26.720346418365601</v>
      </c>
      <c r="T7" s="88">
        <v>5.05306435E-2</v>
      </c>
    </row>
    <row r="8" spans="1:20" ht="28.5" customHeight="1">
      <c r="A8" s="52" t="s">
        <v>1057</v>
      </c>
      <c r="B8" s="53">
        <v>88247</v>
      </c>
      <c r="C8" s="52" t="s">
        <v>1058</v>
      </c>
      <c r="D8" s="199" t="s">
        <v>1062</v>
      </c>
      <c r="E8" s="200"/>
      <c r="F8" s="54" t="s">
        <v>1060</v>
      </c>
      <c r="G8" s="273"/>
      <c r="H8" s="274"/>
      <c r="I8" s="275"/>
      <c r="J8" s="204" t="s">
        <v>1061</v>
      </c>
      <c r="K8" s="205"/>
      <c r="L8" s="55">
        <v>1.32</v>
      </c>
      <c r="M8" s="188">
        <v>22.63</v>
      </c>
      <c r="N8" s="189"/>
      <c r="O8" s="56">
        <f>M8-(M8*T8)</f>
        <v>21.486491537595001</v>
      </c>
      <c r="P8" s="57">
        <f>O8*L8</f>
        <v>28.362168829625404</v>
      </c>
      <c r="T8" s="88">
        <v>5.05306435E-2</v>
      </c>
    </row>
    <row r="9" spans="1:20" ht="28.5" customHeight="1">
      <c r="A9" s="52" t="s">
        <v>1057</v>
      </c>
      <c r="B9" s="53">
        <v>88264</v>
      </c>
      <c r="C9" s="52" t="s">
        <v>1058</v>
      </c>
      <c r="D9" s="199" t="s">
        <v>1063</v>
      </c>
      <c r="E9" s="200"/>
      <c r="F9" s="54" t="s">
        <v>1060</v>
      </c>
      <c r="G9" s="273"/>
      <c r="H9" s="274"/>
      <c r="I9" s="275"/>
      <c r="J9" s="204" t="s">
        <v>1061</v>
      </c>
      <c r="K9" s="205"/>
      <c r="L9" s="55">
        <v>0.99</v>
      </c>
      <c r="M9" s="188">
        <v>27.27</v>
      </c>
      <c r="N9" s="189"/>
      <c r="O9" s="56">
        <f>M9-(M9*T9)</f>
        <v>25.892029351754999</v>
      </c>
      <c r="P9" s="57">
        <f>O9*L9</f>
        <v>25.633109058237448</v>
      </c>
      <c r="T9" s="88">
        <v>5.05306435E-2</v>
      </c>
    </row>
    <row r="10" spans="1:20" ht="28.5" customHeight="1">
      <c r="A10" s="58" t="s">
        <v>1064</v>
      </c>
      <c r="B10" s="59" t="s">
        <v>1065</v>
      </c>
      <c r="C10" s="58" t="s">
        <v>1066</v>
      </c>
      <c r="D10" s="283" t="s">
        <v>1067</v>
      </c>
      <c r="E10" s="284"/>
      <c r="F10" s="58" t="s">
        <v>1068</v>
      </c>
      <c r="G10" s="280"/>
      <c r="H10" s="281"/>
      <c r="I10" s="282"/>
      <c r="J10" s="186" t="s">
        <v>1069</v>
      </c>
      <c r="K10" s="187"/>
      <c r="L10" s="60">
        <v>1</v>
      </c>
      <c r="M10" s="221">
        <v>882.28</v>
      </c>
      <c r="N10" s="222"/>
      <c r="O10" s="56">
        <f>M10-(M10*T10)</f>
        <v>837.69782385281997</v>
      </c>
      <c r="P10" s="57">
        <f>O10*L10</f>
        <v>837.69782385281997</v>
      </c>
      <c r="T10" s="88">
        <v>5.05306435E-2</v>
      </c>
    </row>
    <row r="11" spans="1:20" ht="14.25" customHeight="1">
      <c r="A11" s="298">
        <v>2</v>
      </c>
      <c r="B11" s="298"/>
      <c r="C11" s="298"/>
      <c r="D11" s="298"/>
      <c r="E11" s="298"/>
      <c r="F11" s="298"/>
      <c r="G11" s="298"/>
      <c r="H11" s="298"/>
      <c r="I11" s="298"/>
      <c r="J11" s="298"/>
      <c r="K11" s="298"/>
      <c r="L11" s="298"/>
      <c r="M11" s="298"/>
      <c r="N11" s="298"/>
      <c r="O11" s="298"/>
      <c r="P11" s="298"/>
      <c r="Q11" s="298"/>
      <c r="T11" s="87"/>
    </row>
    <row r="12" spans="1:20" ht="14.25" customHeight="1">
      <c r="A12" s="178" t="s">
        <v>1070</v>
      </c>
      <c r="B12" s="178"/>
      <c r="C12" s="178"/>
      <c r="D12" s="178"/>
      <c r="E12" s="178"/>
      <c r="F12" s="178"/>
      <c r="G12" s="178"/>
      <c r="H12" s="249" t="s">
        <v>1071</v>
      </c>
      <c r="I12" s="249"/>
      <c r="J12" s="249"/>
      <c r="K12" s="249"/>
      <c r="L12" s="250">
        <v>0</v>
      </c>
      <c r="M12" s="250"/>
      <c r="N12" s="251" t="s">
        <v>1072</v>
      </c>
      <c r="O12" s="251"/>
      <c r="P12" s="251"/>
      <c r="T12" s="87"/>
    </row>
    <row r="13" spans="1:20" ht="14.25" customHeight="1">
      <c r="A13" s="178" t="s">
        <v>1073</v>
      </c>
      <c r="B13" s="178"/>
      <c r="C13" s="178"/>
      <c r="D13" s="178"/>
      <c r="E13" s="178"/>
      <c r="F13" s="178"/>
      <c r="G13" s="178"/>
      <c r="H13" s="179"/>
      <c r="I13" s="179"/>
      <c r="J13" s="179"/>
      <c r="K13" s="179"/>
      <c r="L13" s="180" t="s">
        <v>1074</v>
      </c>
      <c r="M13" s="180"/>
      <c r="N13" s="179"/>
      <c r="O13" s="179"/>
      <c r="P13" s="179"/>
      <c r="T13" s="87"/>
    </row>
    <row r="14" spans="1:20" ht="28.7" customHeight="1">
      <c r="A14" s="172" t="s">
        <v>1075</v>
      </c>
      <c r="B14" s="172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T14" s="87"/>
    </row>
    <row r="15" spans="1:20" ht="15.2" customHeight="1">
      <c r="A15" s="207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T15" s="87"/>
    </row>
    <row r="16" spans="1:20" ht="39" customHeight="1">
      <c r="A16" s="43" t="s">
        <v>1076</v>
      </c>
      <c r="B16" s="44" t="s">
        <v>3</v>
      </c>
      <c r="C16" s="43" t="s">
        <v>4</v>
      </c>
      <c r="D16" s="208" t="s">
        <v>5</v>
      </c>
      <c r="E16" s="209"/>
      <c r="F16" s="43" t="s">
        <v>1049</v>
      </c>
      <c r="G16" s="277"/>
      <c r="H16" s="278"/>
      <c r="I16" s="279"/>
      <c r="J16" s="215" t="s">
        <v>6</v>
      </c>
      <c r="K16" s="217"/>
      <c r="L16" s="44" t="s">
        <v>7</v>
      </c>
      <c r="M16" s="219" t="s">
        <v>8</v>
      </c>
      <c r="N16" s="220"/>
      <c r="O16" s="45" t="s">
        <v>1050</v>
      </c>
      <c r="P16" s="44" t="s">
        <v>11</v>
      </c>
      <c r="T16" s="87"/>
    </row>
    <row r="17" spans="1:20" ht="28.5" customHeight="1">
      <c r="A17" s="47" t="s">
        <v>1051</v>
      </c>
      <c r="B17" s="48" t="s">
        <v>1077</v>
      </c>
      <c r="C17" s="47" t="s">
        <v>1053</v>
      </c>
      <c r="D17" s="265" t="s">
        <v>1078</v>
      </c>
      <c r="E17" s="266"/>
      <c r="F17" s="49" t="s">
        <v>1055</v>
      </c>
      <c r="G17" s="267"/>
      <c r="H17" s="268"/>
      <c r="I17" s="269"/>
      <c r="J17" s="195" t="s">
        <v>1079</v>
      </c>
      <c r="K17" s="196"/>
      <c r="L17" s="50">
        <v>1</v>
      </c>
      <c r="M17" s="197">
        <v>245.8</v>
      </c>
      <c r="N17" s="198"/>
      <c r="O17" s="51">
        <f>SUM(O18:O22)</f>
        <v>2363.4001328126701</v>
      </c>
      <c r="P17" s="51">
        <f>SUM(P18:P22)</f>
        <v>233.38222634189822</v>
      </c>
      <c r="T17" s="87"/>
    </row>
    <row r="18" spans="1:20" ht="28.5" customHeight="1">
      <c r="A18" s="52" t="s">
        <v>1057</v>
      </c>
      <c r="B18" s="53">
        <v>94207</v>
      </c>
      <c r="C18" s="52" t="s">
        <v>1058</v>
      </c>
      <c r="D18" s="271" t="s">
        <v>1080</v>
      </c>
      <c r="E18" s="272"/>
      <c r="F18" s="54" t="s">
        <v>1081</v>
      </c>
      <c r="G18" s="273"/>
      <c r="H18" s="274"/>
      <c r="I18" s="275"/>
      <c r="J18" s="204" t="s">
        <v>1079</v>
      </c>
      <c r="K18" s="205"/>
      <c r="L18" s="55">
        <v>1</v>
      </c>
      <c r="M18" s="188">
        <v>60.59</v>
      </c>
      <c r="N18" s="189"/>
      <c r="O18" s="56">
        <f>M18-(M18*T18)</f>
        <v>57.528348310335005</v>
      </c>
      <c r="P18" s="57">
        <f>O18*L18</f>
        <v>57.528348310335005</v>
      </c>
      <c r="T18" s="88">
        <v>5.05306435E-2</v>
      </c>
    </row>
    <row r="19" spans="1:20" ht="25.5" customHeight="1">
      <c r="A19" s="52" t="s">
        <v>1057</v>
      </c>
      <c r="B19" s="53">
        <v>101747</v>
      </c>
      <c r="C19" s="52" t="s">
        <v>1058</v>
      </c>
      <c r="D19" s="199" t="s">
        <v>1082</v>
      </c>
      <c r="E19" s="200"/>
      <c r="F19" s="52" t="s">
        <v>1083</v>
      </c>
      <c r="G19" s="273"/>
      <c r="H19" s="274"/>
      <c r="I19" s="275"/>
      <c r="J19" s="204" t="s">
        <v>1079</v>
      </c>
      <c r="K19" s="205"/>
      <c r="L19" s="55">
        <v>1</v>
      </c>
      <c r="M19" s="188">
        <v>91.04</v>
      </c>
      <c r="N19" s="189"/>
      <c r="O19" s="56">
        <f>M19-(M19*T19)</f>
        <v>86.43969021576001</v>
      </c>
      <c r="P19" s="57">
        <f>O19*L19</f>
        <v>86.43969021576001</v>
      </c>
      <c r="T19" s="88">
        <v>5.05306435E-2</v>
      </c>
    </row>
    <row r="20" spans="1:20" ht="28.5" customHeight="1">
      <c r="A20" s="52" t="s">
        <v>1057</v>
      </c>
      <c r="B20" s="53">
        <v>92562</v>
      </c>
      <c r="C20" s="52" t="s">
        <v>1058</v>
      </c>
      <c r="D20" s="271" t="s">
        <v>1084</v>
      </c>
      <c r="E20" s="272"/>
      <c r="F20" s="54" t="s">
        <v>1081</v>
      </c>
      <c r="G20" s="273"/>
      <c r="H20" s="274"/>
      <c r="I20" s="275"/>
      <c r="J20" s="204" t="s">
        <v>1085</v>
      </c>
      <c r="K20" s="205"/>
      <c r="L20" s="55">
        <v>0.03</v>
      </c>
      <c r="M20" s="244">
        <v>2312.7600000000002</v>
      </c>
      <c r="N20" s="245"/>
      <c r="O20" s="56">
        <f>M20-(M20*T20)</f>
        <v>2195.8947489389402</v>
      </c>
      <c r="P20" s="57">
        <f>O20*L20</f>
        <v>65.876842468168206</v>
      </c>
      <c r="T20" s="88">
        <v>5.05306435E-2</v>
      </c>
    </row>
    <row r="21" spans="1:20" ht="28.5" customHeight="1">
      <c r="A21" s="52" t="s">
        <v>1057</v>
      </c>
      <c r="B21" s="53">
        <v>97083</v>
      </c>
      <c r="C21" s="52" t="s">
        <v>1058</v>
      </c>
      <c r="D21" s="271" t="s">
        <v>1086</v>
      </c>
      <c r="E21" s="272"/>
      <c r="F21" s="54" t="s">
        <v>1087</v>
      </c>
      <c r="G21" s="273"/>
      <c r="H21" s="274"/>
      <c r="I21" s="275"/>
      <c r="J21" s="204" t="s">
        <v>1079</v>
      </c>
      <c r="K21" s="205"/>
      <c r="L21" s="55">
        <v>1</v>
      </c>
      <c r="M21" s="188">
        <v>3.29</v>
      </c>
      <c r="N21" s="189"/>
      <c r="O21" s="56">
        <f>M21-(M21*T21)</f>
        <v>3.123754182885</v>
      </c>
      <c r="P21" s="57">
        <f>O21*L21</f>
        <v>3.123754182885</v>
      </c>
      <c r="T21" s="88">
        <v>5.05306435E-2</v>
      </c>
    </row>
    <row r="22" spans="1:20" ht="28.5" customHeight="1">
      <c r="A22" s="52" t="s">
        <v>1057</v>
      </c>
      <c r="B22" s="53">
        <v>100382</v>
      </c>
      <c r="C22" s="52" t="s">
        <v>1058</v>
      </c>
      <c r="D22" s="271" t="s">
        <v>1088</v>
      </c>
      <c r="E22" s="272"/>
      <c r="F22" s="54" t="s">
        <v>1081</v>
      </c>
      <c r="G22" s="273"/>
      <c r="H22" s="274"/>
      <c r="I22" s="275"/>
      <c r="J22" s="204" t="s">
        <v>1079</v>
      </c>
      <c r="K22" s="205"/>
      <c r="L22" s="55">
        <v>1</v>
      </c>
      <c r="M22" s="188">
        <v>21.5</v>
      </c>
      <c r="N22" s="189"/>
      <c r="O22" s="56">
        <f>M22-(M22*T22)</f>
        <v>20.413591164749999</v>
      </c>
      <c r="P22" s="57">
        <f>O22*L22</f>
        <v>20.413591164749999</v>
      </c>
      <c r="T22" s="88">
        <v>5.05306435E-2</v>
      </c>
    </row>
    <row r="23" spans="1:20" ht="71.25" customHeight="1">
      <c r="A23" s="295" t="s">
        <v>1089</v>
      </c>
      <c r="B23" s="295"/>
      <c r="C23" s="295"/>
      <c r="D23" s="295"/>
      <c r="E23" s="296" t="s">
        <v>1090</v>
      </c>
      <c r="F23" s="296"/>
      <c r="G23" s="296"/>
      <c r="H23" s="296"/>
      <c r="I23" s="297" t="s">
        <v>1091</v>
      </c>
      <c r="J23" s="297"/>
      <c r="K23" s="297"/>
      <c r="L23" s="297"/>
      <c r="M23" s="297"/>
      <c r="N23" s="297"/>
      <c r="O23" s="297"/>
      <c r="P23" s="297"/>
      <c r="Q23" s="297"/>
      <c r="T23" s="88">
        <v>5.05306435E-2</v>
      </c>
    </row>
    <row r="24" spans="1:20" ht="14.25" customHeight="1">
      <c r="A24" s="251" t="s">
        <v>1092</v>
      </c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T24" s="88">
        <v>5.05306435E-2</v>
      </c>
    </row>
    <row r="25" spans="1:20" ht="25.5" customHeight="1">
      <c r="A25" s="276"/>
      <c r="B25" s="276"/>
      <c r="C25" s="276"/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T25" s="88">
        <v>5.05306435E-2</v>
      </c>
    </row>
    <row r="26" spans="1:20" ht="36.75" customHeight="1">
      <c r="A26" s="43" t="s">
        <v>1093</v>
      </c>
      <c r="B26" s="44" t="s">
        <v>3</v>
      </c>
      <c r="C26" s="43" t="s">
        <v>4</v>
      </c>
      <c r="D26" s="208" t="s">
        <v>5</v>
      </c>
      <c r="E26" s="209"/>
      <c r="F26" s="43" t="s">
        <v>1049</v>
      </c>
      <c r="G26" s="277"/>
      <c r="H26" s="278"/>
      <c r="I26" s="279"/>
      <c r="J26" s="215" t="s">
        <v>6</v>
      </c>
      <c r="K26" s="217"/>
      <c r="L26" s="44" t="s">
        <v>7</v>
      </c>
      <c r="M26" s="219" t="s">
        <v>8</v>
      </c>
      <c r="N26" s="220"/>
      <c r="O26" s="45" t="s">
        <v>1050</v>
      </c>
      <c r="P26" s="44" t="s">
        <v>11</v>
      </c>
      <c r="T26" s="88">
        <v>5.05306435E-2</v>
      </c>
    </row>
    <row r="27" spans="1:20" ht="28.5" customHeight="1">
      <c r="A27" s="47" t="s">
        <v>1051</v>
      </c>
      <c r="B27" s="48" t="s">
        <v>1094</v>
      </c>
      <c r="C27" s="47" t="s">
        <v>1053</v>
      </c>
      <c r="D27" s="190" t="s">
        <v>1095</v>
      </c>
      <c r="E27" s="191"/>
      <c r="F27" s="49" t="s">
        <v>1055</v>
      </c>
      <c r="G27" s="267"/>
      <c r="H27" s="268"/>
      <c r="I27" s="269"/>
      <c r="J27" s="195" t="s">
        <v>1096</v>
      </c>
      <c r="K27" s="196"/>
      <c r="L27" s="50">
        <v>1</v>
      </c>
      <c r="M27" s="197">
        <v>0</v>
      </c>
      <c r="N27" s="198"/>
      <c r="O27" s="61">
        <f>O28</f>
        <v>913.63638298569003</v>
      </c>
      <c r="P27" s="51">
        <f>P28</f>
        <v>913.63638298569003</v>
      </c>
      <c r="T27" s="88">
        <v>5.05306435E-2</v>
      </c>
    </row>
    <row r="28" spans="1:20" ht="28.5" customHeight="1">
      <c r="A28" s="58" t="s">
        <v>1064</v>
      </c>
      <c r="B28" s="62">
        <v>10777</v>
      </c>
      <c r="C28" s="58" t="s">
        <v>1058</v>
      </c>
      <c r="D28" s="283" t="s">
        <v>1097</v>
      </c>
      <c r="E28" s="284"/>
      <c r="F28" s="58" t="s">
        <v>1098</v>
      </c>
      <c r="G28" s="280"/>
      <c r="H28" s="281"/>
      <c r="I28" s="282"/>
      <c r="J28" s="186" t="s">
        <v>1099</v>
      </c>
      <c r="K28" s="187"/>
      <c r="L28" s="60">
        <v>1</v>
      </c>
      <c r="M28" s="188">
        <v>962.26</v>
      </c>
      <c r="N28" s="189"/>
      <c r="O28" s="56">
        <f>M28-(M28*T28)</f>
        <v>913.63638298569003</v>
      </c>
      <c r="P28" s="57">
        <f>O28*L28</f>
        <v>913.63638298569003</v>
      </c>
      <c r="T28" s="88">
        <v>5.05306435E-2</v>
      </c>
    </row>
    <row r="29" spans="1:20" ht="71.25" customHeight="1">
      <c r="A29" s="295" t="s">
        <v>1089</v>
      </c>
      <c r="B29" s="295"/>
      <c r="C29" s="295"/>
      <c r="D29" s="295"/>
      <c r="E29" s="296" t="s">
        <v>1090</v>
      </c>
      <c r="F29" s="296"/>
      <c r="G29" s="296"/>
      <c r="H29" s="296"/>
      <c r="I29" s="297" t="s">
        <v>1091</v>
      </c>
      <c r="J29" s="297"/>
      <c r="K29" s="297"/>
      <c r="L29" s="297"/>
      <c r="M29" s="297"/>
      <c r="N29" s="297"/>
      <c r="O29" s="297"/>
      <c r="P29" s="297"/>
      <c r="Q29" s="297"/>
      <c r="T29" s="88">
        <v>5.05306435E-2</v>
      </c>
    </row>
    <row r="30" spans="1:20" ht="14.25" customHeight="1">
      <c r="A30" s="251" t="s">
        <v>1100</v>
      </c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T30" s="88">
        <v>5.05306435E-2</v>
      </c>
    </row>
    <row r="31" spans="1:20" ht="25.5" customHeight="1">
      <c r="A31" s="276"/>
      <c r="B31" s="276"/>
      <c r="C31" s="276"/>
      <c r="D31" s="276"/>
      <c r="E31" s="276"/>
      <c r="F31" s="276"/>
      <c r="G31" s="276"/>
      <c r="H31" s="276"/>
      <c r="I31" s="276"/>
      <c r="J31" s="276"/>
      <c r="K31" s="276"/>
      <c r="L31" s="276"/>
      <c r="M31" s="276"/>
      <c r="N31" s="276"/>
      <c r="O31" s="276"/>
      <c r="P31" s="276"/>
      <c r="T31" s="88">
        <v>5.05306435E-2</v>
      </c>
    </row>
    <row r="32" spans="1:20" ht="37.700000000000003" customHeight="1">
      <c r="A32" s="43" t="s">
        <v>1101</v>
      </c>
      <c r="B32" s="44" t="s">
        <v>3</v>
      </c>
      <c r="C32" s="43" t="s">
        <v>4</v>
      </c>
      <c r="D32" s="208" t="s">
        <v>5</v>
      </c>
      <c r="E32" s="209"/>
      <c r="F32" s="43" t="s">
        <v>1049</v>
      </c>
      <c r="G32" s="277"/>
      <c r="H32" s="278"/>
      <c r="I32" s="279"/>
      <c r="J32" s="215" t="s">
        <v>6</v>
      </c>
      <c r="K32" s="217"/>
      <c r="L32" s="44" t="s">
        <v>7</v>
      </c>
      <c r="M32" s="219" t="s">
        <v>8</v>
      </c>
      <c r="N32" s="220"/>
      <c r="O32" s="63"/>
      <c r="P32" s="44" t="s">
        <v>11</v>
      </c>
      <c r="R32" s="87"/>
      <c r="T32" s="88">
        <v>5.05306435E-2</v>
      </c>
    </row>
    <row r="33" spans="1:20" ht="28.5" customHeight="1">
      <c r="A33" s="47" t="s">
        <v>1051</v>
      </c>
      <c r="B33" s="48" t="s">
        <v>1102</v>
      </c>
      <c r="C33" s="47" t="s">
        <v>1053</v>
      </c>
      <c r="D33" s="190" t="s">
        <v>1103</v>
      </c>
      <c r="E33" s="191"/>
      <c r="F33" s="49" t="s">
        <v>1055</v>
      </c>
      <c r="G33" s="267"/>
      <c r="H33" s="268"/>
      <c r="I33" s="269"/>
      <c r="J33" s="195" t="s">
        <v>1079</v>
      </c>
      <c r="K33" s="196"/>
      <c r="L33" s="50">
        <v>1</v>
      </c>
      <c r="M33" s="238">
        <v>1057.99</v>
      </c>
      <c r="N33" s="239"/>
      <c r="O33" s="64">
        <f>SUM(O34:O43)</f>
        <v>174.52196241826499</v>
      </c>
      <c r="P33" s="64">
        <f>SUM(P34:P43)</f>
        <v>1004.528078045917</v>
      </c>
      <c r="R33" s="87"/>
      <c r="T33" s="88">
        <v>5.05306435E-2</v>
      </c>
    </row>
    <row r="34" spans="1:20" ht="28.5" customHeight="1">
      <c r="A34" s="52" t="s">
        <v>1057</v>
      </c>
      <c r="B34" s="53">
        <v>88316</v>
      </c>
      <c r="C34" s="52" t="s">
        <v>1058</v>
      </c>
      <c r="D34" s="199" t="s">
        <v>1059</v>
      </c>
      <c r="E34" s="200"/>
      <c r="F34" s="54" t="s">
        <v>1060</v>
      </c>
      <c r="G34" s="273"/>
      <c r="H34" s="274"/>
      <c r="I34" s="275"/>
      <c r="J34" s="204" t="s">
        <v>1061</v>
      </c>
      <c r="K34" s="205"/>
      <c r="L34" s="55">
        <v>13.053000000000001</v>
      </c>
      <c r="M34" s="188">
        <v>21.32</v>
      </c>
      <c r="N34" s="189"/>
      <c r="O34" s="56">
        <f t="shared" ref="O34:O43" si="0">M34-(M34*R34)</f>
        <v>20.24268668058</v>
      </c>
      <c r="P34" s="57">
        <f t="shared" ref="P34:P43" si="1">O34*L34</f>
        <v>264.22778924161076</v>
      </c>
      <c r="R34" s="88">
        <v>5.05306435E-2</v>
      </c>
      <c r="T34" s="88">
        <v>5.05306435E-2</v>
      </c>
    </row>
    <row r="35" spans="1:20" ht="28.5" customHeight="1">
      <c r="A35" s="52" t="s">
        <v>1057</v>
      </c>
      <c r="B35" s="53">
        <v>88239</v>
      </c>
      <c r="C35" s="52" t="s">
        <v>1058</v>
      </c>
      <c r="D35" s="199" t="s">
        <v>1104</v>
      </c>
      <c r="E35" s="200"/>
      <c r="F35" s="54" t="s">
        <v>1060</v>
      </c>
      <c r="G35" s="273"/>
      <c r="H35" s="274"/>
      <c r="I35" s="275"/>
      <c r="J35" s="204" t="s">
        <v>1061</v>
      </c>
      <c r="K35" s="205"/>
      <c r="L35" s="55">
        <v>12.074999999999999</v>
      </c>
      <c r="M35" s="188">
        <v>22</v>
      </c>
      <c r="N35" s="189"/>
      <c r="O35" s="56">
        <f t="shared" si="0"/>
        <v>20.888325843000001</v>
      </c>
      <c r="P35" s="57">
        <f t="shared" si="1"/>
        <v>252.226534554225</v>
      </c>
      <c r="R35" s="88">
        <v>5.05306435E-2</v>
      </c>
      <c r="T35" s="88">
        <v>5.05306435E-2</v>
      </c>
    </row>
    <row r="36" spans="1:20" ht="28.5" customHeight="1">
      <c r="A36" s="52" t="s">
        <v>1057</v>
      </c>
      <c r="B36" s="53">
        <v>88262</v>
      </c>
      <c r="C36" s="52" t="s">
        <v>1058</v>
      </c>
      <c r="D36" s="199" t="s">
        <v>1105</v>
      </c>
      <c r="E36" s="200"/>
      <c r="F36" s="54" t="s">
        <v>1060</v>
      </c>
      <c r="G36" s="273"/>
      <c r="H36" s="274"/>
      <c r="I36" s="275"/>
      <c r="J36" s="204" t="s">
        <v>1061</v>
      </c>
      <c r="K36" s="205"/>
      <c r="L36" s="55">
        <v>8.4190000000000005</v>
      </c>
      <c r="M36" s="188">
        <v>26.48</v>
      </c>
      <c r="N36" s="189"/>
      <c r="O36" s="56">
        <f t="shared" si="0"/>
        <v>25.141948560119999</v>
      </c>
      <c r="P36" s="57">
        <f t="shared" si="1"/>
        <v>211.67006492765029</v>
      </c>
      <c r="R36" s="88">
        <v>5.05306435E-2</v>
      </c>
      <c r="T36" s="88">
        <v>5.05306435E-2</v>
      </c>
    </row>
    <row r="37" spans="1:20" ht="25.5" customHeight="1">
      <c r="A37" s="58" t="s">
        <v>1064</v>
      </c>
      <c r="B37" s="62">
        <v>20205</v>
      </c>
      <c r="C37" s="58" t="s">
        <v>1058</v>
      </c>
      <c r="D37" s="181" t="s">
        <v>1106</v>
      </c>
      <c r="E37" s="182"/>
      <c r="F37" s="58" t="s">
        <v>1068</v>
      </c>
      <c r="G37" s="280"/>
      <c r="H37" s="281"/>
      <c r="I37" s="282"/>
      <c r="J37" s="186" t="s">
        <v>1107</v>
      </c>
      <c r="K37" s="187"/>
      <c r="L37" s="60">
        <v>4.9489999999999998</v>
      </c>
      <c r="M37" s="188">
        <v>2.9</v>
      </c>
      <c r="N37" s="189"/>
      <c r="O37" s="56">
        <f t="shared" si="0"/>
        <v>2.7534611338500001</v>
      </c>
      <c r="P37" s="57">
        <f t="shared" si="1"/>
        <v>13.626879151423649</v>
      </c>
      <c r="R37" s="88">
        <v>5.05306435E-2</v>
      </c>
      <c r="T37" s="88">
        <v>5.05306435E-2</v>
      </c>
    </row>
    <row r="38" spans="1:20" ht="25.5" customHeight="1">
      <c r="A38" s="58" t="s">
        <v>1064</v>
      </c>
      <c r="B38" s="62">
        <v>5068</v>
      </c>
      <c r="C38" s="58" t="s">
        <v>1058</v>
      </c>
      <c r="D38" s="181" t="s">
        <v>1108</v>
      </c>
      <c r="E38" s="182"/>
      <c r="F38" s="58" t="s">
        <v>1068</v>
      </c>
      <c r="G38" s="280"/>
      <c r="H38" s="281"/>
      <c r="I38" s="282"/>
      <c r="J38" s="186" t="s">
        <v>1109</v>
      </c>
      <c r="K38" s="187"/>
      <c r="L38" s="60">
        <v>0.42099999999999999</v>
      </c>
      <c r="M38" s="188">
        <v>21.36</v>
      </c>
      <c r="N38" s="189"/>
      <c r="O38" s="56">
        <f t="shared" si="0"/>
        <v>20.280665454839998</v>
      </c>
      <c r="P38" s="57">
        <f t="shared" si="1"/>
        <v>8.5381601564876384</v>
      </c>
      <c r="R38" s="88">
        <v>5.05306435E-2</v>
      </c>
      <c r="T38" s="88">
        <v>5.05306435E-2</v>
      </c>
    </row>
    <row r="39" spans="1:20" ht="25.5" customHeight="1">
      <c r="A39" s="58" t="s">
        <v>1064</v>
      </c>
      <c r="B39" s="62">
        <v>39027</v>
      </c>
      <c r="C39" s="58" t="s">
        <v>1058</v>
      </c>
      <c r="D39" s="181" t="s">
        <v>1110</v>
      </c>
      <c r="E39" s="182"/>
      <c r="F39" s="58" t="s">
        <v>1068</v>
      </c>
      <c r="G39" s="280"/>
      <c r="H39" s="281"/>
      <c r="I39" s="282"/>
      <c r="J39" s="186" t="s">
        <v>1109</v>
      </c>
      <c r="K39" s="187"/>
      <c r="L39" s="60">
        <v>1.68</v>
      </c>
      <c r="M39" s="188">
        <v>21.34</v>
      </c>
      <c r="N39" s="189"/>
      <c r="O39" s="56">
        <f t="shared" si="0"/>
        <v>20.261676067709999</v>
      </c>
      <c r="P39" s="57">
        <f t="shared" si="1"/>
        <v>34.039615793752795</v>
      </c>
      <c r="R39" s="88">
        <v>5.05306435E-2</v>
      </c>
      <c r="T39" s="88">
        <v>5.05306435E-2</v>
      </c>
    </row>
    <row r="40" spans="1:20" ht="28.5" customHeight="1">
      <c r="A40" s="58" t="s">
        <v>1064</v>
      </c>
      <c r="B40" s="62">
        <v>43614</v>
      </c>
      <c r="C40" s="58" t="s">
        <v>1058</v>
      </c>
      <c r="D40" s="283" t="s">
        <v>1111</v>
      </c>
      <c r="E40" s="284"/>
      <c r="F40" s="58" t="s">
        <v>1068</v>
      </c>
      <c r="G40" s="280"/>
      <c r="H40" s="281"/>
      <c r="I40" s="282"/>
      <c r="J40" s="186" t="s">
        <v>1107</v>
      </c>
      <c r="K40" s="187"/>
      <c r="L40" s="60">
        <v>6.26</v>
      </c>
      <c r="M40" s="188">
        <v>13.26</v>
      </c>
      <c r="N40" s="189"/>
      <c r="O40" s="56">
        <f t="shared" si="0"/>
        <v>12.58996366719</v>
      </c>
      <c r="P40" s="57">
        <f t="shared" si="1"/>
        <v>78.813172556609402</v>
      </c>
      <c r="R40" s="88">
        <v>5.05306435E-2</v>
      </c>
      <c r="T40" s="88">
        <v>5.05306435E-2</v>
      </c>
    </row>
    <row r="41" spans="1:20" ht="25.5" customHeight="1">
      <c r="A41" s="58" t="s">
        <v>1064</v>
      </c>
      <c r="B41" s="62">
        <v>2420</v>
      </c>
      <c r="C41" s="58" t="s">
        <v>1058</v>
      </c>
      <c r="D41" s="181" t="s">
        <v>1112</v>
      </c>
      <c r="E41" s="182"/>
      <c r="F41" s="58" t="s">
        <v>1068</v>
      </c>
      <c r="G41" s="280"/>
      <c r="H41" s="281"/>
      <c r="I41" s="282"/>
      <c r="J41" s="186" t="s">
        <v>1085</v>
      </c>
      <c r="K41" s="187"/>
      <c r="L41" s="60">
        <v>0.48</v>
      </c>
      <c r="M41" s="188">
        <v>18.190000000000001</v>
      </c>
      <c r="N41" s="189"/>
      <c r="O41" s="56">
        <f t="shared" si="0"/>
        <v>17.270847594735002</v>
      </c>
      <c r="P41" s="57">
        <f t="shared" si="1"/>
        <v>8.2900068454728011</v>
      </c>
      <c r="R41" s="88">
        <v>5.05306435E-2</v>
      </c>
      <c r="T41" s="88">
        <v>5.05306435E-2</v>
      </c>
    </row>
    <row r="42" spans="1:20" ht="25.5" customHeight="1">
      <c r="A42" s="58" t="s">
        <v>1064</v>
      </c>
      <c r="B42" s="62">
        <v>4491</v>
      </c>
      <c r="C42" s="58" t="s">
        <v>1058</v>
      </c>
      <c r="D42" s="181" t="s">
        <v>1113</v>
      </c>
      <c r="E42" s="182"/>
      <c r="F42" s="58" t="s">
        <v>1068</v>
      </c>
      <c r="G42" s="280"/>
      <c r="H42" s="281"/>
      <c r="I42" s="282"/>
      <c r="J42" s="186" t="s">
        <v>1107</v>
      </c>
      <c r="K42" s="187"/>
      <c r="L42" s="60">
        <v>10.119999999999999</v>
      </c>
      <c r="M42" s="188">
        <v>11.76</v>
      </c>
      <c r="N42" s="189"/>
      <c r="O42" s="56">
        <f t="shared" si="0"/>
        <v>11.16575963244</v>
      </c>
      <c r="P42" s="57">
        <f t="shared" si="1"/>
        <v>112.99748748029279</v>
      </c>
      <c r="R42" s="88">
        <v>5.05306435E-2</v>
      </c>
      <c r="T42" s="88">
        <v>5.05306435E-2</v>
      </c>
    </row>
    <row r="43" spans="1:20" ht="25.5" customHeight="1">
      <c r="A43" s="58" t="s">
        <v>1064</v>
      </c>
      <c r="B43" s="62">
        <v>7213</v>
      </c>
      <c r="C43" s="58" t="s">
        <v>1058</v>
      </c>
      <c r="D43" s="181" t="s">
        <v>1114</v>
      </c>
      <c r="E43" s="182"/>
      <c r="F43" s="58" t="s">
        <v>1068</v>
      </c>
      <c r="G43" s="280"/>
      <c r="H43" s="281"/>
      <c r="I43" s="282"/>
      <c r="J43" s="186" t="s">
        <v>1115</v>
      </c>
      <c r="K43" s="187"/>
      <c r="L43" s="60">
        <v>0.84</v>
      </c>
      <c r="M43" s="188">
        <v>25.2</v>
      </c>
      <c r="N43" s="189"/>
      <c r="O43" s="56">
        <f t="shared" si="0"/>
        <v>23.926627783800001</v>
      </c>
      <c r="P43" s="57">
        <f t="shared" si="1"/>
        <v>20.098367338391999</v>
      </c>
      <c r="R43" s="88">
        <v>5.05306435E-2</v>
      </c>
      <c r="T43" s="88">
        <v>5.05306435E-2</v>
      </c>
    </row>
    <row r="44" spans="1:20" ht="14.25" customHeight="1">
      <c r="A44" s="174" t="s">
        <v>1070</v>
      </c>
      <c r="B44" s="174"/>
      <c r="C44" s="174"/>
      <c r="D44" s="174"/>
      <c r="E44" s="174"/>
      <c r="F44" s="174"/>
      <c r="G44" s="174"/>
      <c r="H44" s="175" t="s">
        <v>1071</v>
      </c>
      <c r="I44" s="175"/>
      <c r="J44" s="175"/>
      <c r="K44" s="175"/>
      <c r="L44" s="294">
        <v>0</v>
      </c>
      <c r="M44" s="294"/>
      <c r="N44" s="177" t="s">
        <v>1072</v>
      </c>
      <c r="O44" s="177"/>
      <c r="P44" s="177"/>
      <c r="R44" s="87"/>
      <c r="T44" s="88">
        <v>5.05306435E-2</v>
      </c>
    </row>
    <row r="45" spans="1:20" ht="14.25" customHeight="1">
      <c r="A45" s="178" t="s">
        <v>1116</v>
      </c>
      <c r="B45" s="178"/>
      <c r="C45" s="178"/>
      <c r="D45" s="178"/>
      <c r="E45" s="178"/>
      <c r="F45" s="178"/>
      <c r="G45" s="178"/>
      <c r="H45" s="179"/>
      <c r="I45" s="179"/>
      <c r="J45" s="179"/>
      <c r="K45" s="179"/>
      <c r="L45" s="179"/>
      <c r="M45" s="179"/>
      <c r="N45" s="179"/>
      <c r="O45" s="179"/>
      <c r="P45" s="179"/>
      <c r="R45" s="87"/>
      <c r="T45" s="88">
        <v>5.05306435E-2</v>
      </c>
    </row>
    <row r="46" spans="1:20" ht="14.25" customHeight="1">
      <c r="A46" s="178" t="s">
        <v>1073</v>
      </c>
      <c r="B46" s="178"/>
      <c r="C46" s="178"/>
      <c r="D46" s="178"/>
      <c r="E46" s="178"/>
      <c r="F46" s="178"/>
      <c r="G46" s="178"/>
      <c r="H46" s="179"/>
      <c r="I46" s="179"/>
      <c r="J46" s="179"/>
      <c r="K46" s="179"/>
      <c r="L46" s="180" t="s">
        <v>1074</v>
      </c>
      <c r="M46" s="180"/>
      <c r="N46" s="179"/>
      <c r="O46" s="179"/>
      <c r="P46" s="179"/>
      <c r="R46" s="87"/>
      <c r="T46" s="88">
        <v>5.05306435E-2</v>
      </c>
    </row>
    <row r="47" spans="1:20" ht="14.25" customHeight="1">
      <c r="A47" s="178" t="s">
        <v>1116</v>
      </c>
      <c r="B47" s="178"/>
      <c r="C47" s="178"/>
      <c r="D47" s="178"/>
      <c r="E47" s="178"/>
      <c r="F47" s="178"/>
      <c r="G47" s="178"/>
      <c r="H47" s="179"/>
      <c r="I47" s="179"/>
      <c r="J47" s="179"/>
      <c r="K47" s="179"/>
      <c r="L47" s="180" t="s">
        <v>1116</v>
      </c>
      <c r="M47" s="180"/>
      <c r="N47" s="179"/>
      <c r="O47" s="179"/>
      <c r="P47" s="179"/>
      <c r="R47" s="87"/>
      <c r="T47" s="88">
        <v>5.05306435E-2</v>
      </c>
    </row>
    <row r="48" spans="1:20" ht="14.25" customHeight="1">
      <c r="A48" s="178" t="s">
        <v>1070</v>
      </c>
      <c r="B48" s="178"/>
      <c r="C48" s="178"/>
      <c r="D48" s="178"/>
      <c r="E48" s="178"/>
      <c r="F48" s="178"/>
      <c r="G48" s="178"/>
      <c r="H48" s="249" t="s">
        <v>1071</v>
      </c>
      <c r="I48" s="249"/>
      <c r="J48" s="249"/>
      <c r="K48" s="249"/>
      <c r="L48" s="293">
        <v>0</v>
      </c>
      <c r="M48" s="293"/>
      <c r="N48" s="251" t="s">
        <v>1072</v>
      </c>
      <c r="O48" s="251"/>
      <c r="P48" s="251"/>
      <c r="R48" s="87"/>
      <c r="T48" s="88">
        <v>5.05306435E-2</v>
      </c>
    </row>
    <row r="49" spans="1:20" ht="14.25" customHeight="1">
      <c r="A49" s="226" t="s">
        <v>1116</v>
      </c>
      <c r="B49" s="226"/>
      <c r="C49" s="226"/>
      <c r="D49" s="226"/>
      <c r="E49" s="226"/>
      <c r="F49" s="226"/>
      <c r="G49" s="226"/>
      <c r="H49" s="227"/>
      <c r="I49" s="227"/>
      <c r="J49" s="227"/>
      <c r="K49" s="227"/>
      <c r="L49" s="227"/>
      <c r="M49" s="227"/>
      <c r="N49" s="227"/>
      <c r="O49" s="227"/>
      <c r="P49" s="227"/>
      <c r="R49" s="87"/>
      <c r="T49" s="88">
        <v>5.05306435E-2</v>
      </c>
    </row>
    <row r="50" spans="1:20" ht="25.5" customHeight="1">
      <c r="A50" s="276"/>
      <c r="B50" s="276"/>
      <c r="C50" s="276"/>
      <c r="D50" s="276"/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R50" s="87"/>
      <c r="T50" s="88">
        <v>5.05306435E-2</v>
      </c>
    </row>
    <row r="51" spans="1:20" ht="25.5" customHeight="1">
      <c r="A51" s="43" t="s">
        <v>1117</v>
      </c>
      <c r="B51" s="44" t="s">
        <v>3</v>
      </c>
      <c r="C51" s="43" t="s">
        <v>4</v>
      </c>
      <c r="D51" s="208" t="s">
        <v>5</v>
      </c>
      <c r="E51" s="209"/>
      <c r="F51" s="43" t="s">
        <v>1049</v>
      </c>
      <c r="G51" s="277"/>
      <c r="H51" s="278"/>
      <c r="I51" s="279"/>
      <c r="J51" s="215" t="s">
        <v>6</v>
      </c>
      <c r="K51" s="217"/>
      <c r="L51" s="44" t="s">
        <v>7</v>
      </c>
      <c r="M51" s="219" t="s">
        <v>8</v>
      </c>
      <c r="N51" s="220"/>
      <c r="O51" s="63"/>
      <c r="P51" s="44" t="s">
        <v>11</v>
      </c>
      <c r="R51" s="87"/>
      <c r="T51" s="88">
        <v>5.05306435E-2</v>
      </c>
    </row>
    <row r="52" spans="1:20" ht="38.1" customHeight="1">
      <c r="A52" s="47" t="s">
        <v>1051</v>
      </c>
      <c r="B52" s="48" t="s">
        <v>1118</v>
      </c>
      <c r="C52" s="47" t="s">
        <v>1053</v>
      </c>
      <c r="D52" s="190" t="s">
        <v>1119</v>
      </c>
      <c r="E52" s="191"/>
      <c r="F52" s="49" t="s">
        <v>1120</v>
      </c>
      <c r="G52" s="267"/>
      <c r="H52" s="268"/>
      <c r="I52" s="269"/>
      <c r="J52" s="195" t="s">
        <v>1121</v>
      </c>
      <c r="K52" s="196"/>
      <c r="L52" s="50">
        <v>1</v>
      </c>
      <c r="M52" s="197">
        <v>110.78</v>
      </c>
      <c r="N52" s="198"/>
      <c r="O52" s="61">
        <f>SUM(O53:O54)</f>
        <v>113.281188924015</v>
      </c>
      <c r="P52" s="51">
        <f>SUM(P53:P54)</f>
        <v>105.18411425178299</v>
      </c>
      <c r="R52" s="87"/>
      <c r="T52" s="88">
        <v>5.05306435E-2</v>
      </c>
    </row>
    <row r="53" spans="1:20" ht="37.700000000000003" customHeight="1">
      <c r="A53" s="52" t="s">
        <v>1057</v>
      </c>
      <c r="B53" s="53">
        <v>88316</v>
      </c>
      <c r="C53" s="52" t="s">
        <v>1058</v>
      </c>
      <c r="D53" s="199" t="s">
        <v>1059</v>
      </c>
      <c r="E53" s="200"/>
      <c r="F53" s="54" t="s">
        <v>1122</v>
      </c>
      <c r="G53" s="273"/>
      <c r="H53" s="274"/>
      <c r="I53" s="275"/>
      <c r="J53" s="204" t="s">
        <v>1061</v>
      </c>
      <c r="K53" s="205"/>
      <c r="L53" s="55">
        <v>0.6</v>
      </c>
      <c r="M53" s="188">
        <v>21.32</v>
      </c>
      <c r="N53" s="189"/>
      <c r="O53" s="56">
        <f t="shared" ref="O53:O54" si="2">M53-(M53*R53)</f>
        <v>20.24268668058</v>
      </c>
      <c r="P53" s="57">
        <f t="shared" ref="P53:P54" si="3">O53*L53</f>
        <v>12.145612008347999</v>
      </c>
      <c r="R53" s="88">
        <v>5.05306435E-2</v>
      </c>
      <c r="T53" s="88">
        <v>5.05306435E-2</v>
      </c>
    </row>
    <row r="54" spans="1:20" ht="28.5" customHeight="1">
      <c r="A54" s="58" t="s">
        <v>1064</v>
      </c>
      <c r="B54" s="59" t="s">
        <v>1123</v>
      </c>
      <c r="C54" s="58" t="s">
        <v>1066</v>
      </c>
      <c r="D54" s="283" t="s">
        <v>1124</v>
      </c>
      <c r="E54" s="284"/>
      <c r="F54" s="58" t="s">
        <v>1068</v>
      </c>
      <c r="G54" s="280"/>
      <c r="H54" s="281"/>
      <c r="I54" s="282"/>
      <c r="J54" s="186" t="s">
        <v>1121</v>
      </c>
      <c r="K54" s="187"/>
      <c r="L54" s="60">
        <v>1</v>
      </c>
      <c r="M54" s="221">
        <v>97.99</v>
      </c>
      <c r="N54" s="222"/>
      <c r="O54" s="56">
        <f t="shared" si="2"/>
        <v>93.038502243434991</v>
      </c>
      <c r="P54" s="57">
        <f t="shared" si="3"/>
        <v>93.038502243434991</v>
      </c>
      <c r="R54" s="88">
        <v>5.05306435E-2</v>
      </c>
      <c r="T54" s="88">
        <v>5.05306435E-2</v>
      </c>
    </row>
    <row r="55" spans="1:20" ht="30.95" customHeight="1">
      <c r="A55" s="292" t="s">
        <v>1125</v>
      </c>
      <c r="B55" s="292"/>
      <c r="C55" s="292"/>
      <c r="D55" s="292"/>
      <c r="E55" s="292"/>
      <c r="F55" s="292"/>
      <c r="G55" s="292"/>
      <c r="H55" s="175" t="s">
        <v>1071</v>
      </c>
      <c r="I55" s="175"/>
      <c r="J55" s="175"/>
      <c r="K55" s="175"/>
      <c r="L55" s="176">
        <v>0</v>
      </c>
      <c r="M55" s="176"/>
      <c r="N55" s="177" t="s">
        <v>1072</v>
      </c>
      <c r="O55" s="177"/>
      <c r="P55" s="177"/>
      <c r="T55" s="88">
        <v>5.05306435E-2</v>
      </c>
    </row>
    <row r="56" spans="1:20" ht="30.95" customHeight="1">
      <c r="A56" s="290" t="s">
        <v>1126</v>
      </c>
      <c r="B56" s="290"/>
      <c r="C56" s="290"/>
      <c r="D56" s="290"/>
      <c r="E56" s="290"/>
      <c r="F56" s="290"/>
      <c r="G56" s="290"/>
      <c r="H56" s="263"/>
      <c r="I56" s="263"/>
      <c r="J56" s="263"/>
      <c r="K56" s="263"/>
      <c r="L56" s="291" t="s">
        <v>1127</v>
      </c>
      <c r="M56" s="291"/>
      <c r="N56" s="263"/>
      <c r="O56" s="263"/>
      <c r="P56" s="263"/>
      <c r="T56" s="88">
        <v>5.05306435E-2</v>
      </c>
    </row>
    <row r="57" spans="1:20" ht="25.5" customHeight="1">
      <c r="A57" s="276"/>
      <c r="B57" s="276"/>
      <c r="C57" s="276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T57" s="88">
        <v>5.05306435E-2</v>
      </c>
    </row>
    <row r="58" spans="1:20" ht="25.5" customHeight="1">
      <c r="A58" s="43" t="s">
        <v>1128</v>
      </c>
      <c r="B58" s="44" t="s">
        <v>3</v>
      </c>
      <c r="C58" s="43" t="s">
        <v>4</v>
      </c>
      <c r="D58" s="208" t="s">
        <v>5</v>
      </c>
      <c r="E58" s="209"/>
      <c r="F58" s="43" t="s">
        <v>1049</v>
      </c>
      <c r="G58" s="277"/>
      <c r="H58" s="278"/>
      <c r="I58" s="279"/>
      <c r="J58" s="215" t="s">
        <v>6</v>
      </c>
      <c r="K58" s="217"/>
      <c r="L58" s="44" t="s">
        <v>7</v>
      </c>
      <c r="M58" s="219" t="s">
        <v>8</v>
      </c>
      <c r="N58" s="220"/>
      <c r="O58" s="63"/>
      <c r="P58" s="44" t="s">
        <v>11</v>
      </c>
      <c r="T58" s="88">
        <v>5.05306435E-2</v>
      </c>
    </row>
    <row r="59" spans="1:20" ht="28.5" customHeight="1">
      <c r="A59" s="47" t="s">
        <v>1051</v>
      </c>
      <c r="B59" s="48" t="s">
        <v>1129</v>
      </c>
      <c r="C59" s="47" t="s">
        <v>1053</v>
      </c>
      <c r="D59" s="190" t="s">
        <v>1130</v>
      </c>
      <c r="E59" s="191"/>
      <c r="F59" s="49" t="s">
        <v>1055</v>
      </c>
      <c r="G59" s="267"/>
      <c r="H59" s="268"/>
      <c r="I59" s="269"/>
      <c r="J59" s="195" t="s">
        <v>1085</v>
      </c>
      <c r="K59" s="196"/>
      <c r="L59" s="50">
        <v>1</v>
      </c>
      <c r="M59" s="238">
        <v>6464.57</v>
      </c>
      <c r="N59" s="239"/>
      <c r="O59" s="64">
        <f>SUM(O60:O68)</f>
        <v>210.45937756179001</v>
      </c>
      <c r="P59" s="64">
        <f>SUM(P60:P68)</f>
        <v>6137.9133397074993</v>
      </c>
      <c r="T59" s="88">
        <v>5.05306435E-2</v>
      </c>
    </row>
    <row r="60" spans="1:20" ht="28.5" customHeight="1">
      <c r="A60" s="52" t="s">
        <v>1057</v>
      </c>
      <c r="B60" s="53">
        <v>88264</v>
      </c>
      <c r="C60" s="52" t="s">
        <v>1058</v>
      </c>
      <c r="D60" s="199" t="s">
        <v>1063</v>
      </c>
      <c r="E60" s="200"/>
      <c r="F60" s="54" t="s">
        <v>1060</v>
      </c>
      <c r="G60" s="273"/>
      <c r="H60" s="274"/>
      <c r="I60" s="275"/>
      <c r="J60" s="204" t="s">
        <v>1061</v>
      </c>
      <c r="K60" s="205"/>
      <c r="L60" s="55">
        <v>28.7</v>
      </c>
      <c r="M60" s="188">
        <v>27.27</v>
      </c>
      <c r="N60" s="189"/>
      <c r="O60" s="56">
        <f>M60-(M60*T60)</f>
        <v>25.892029351754999</v>
      </c>
      <c r="P60" s="57">
        <f t="shared" ref="P60:P68" si="4">O60*L60</f>
        <v>743.10124239536844</v>
      </c>
      <c r="T60" s="88">
        <v>5.05306435E-2</v>
      </c>
    </row>
    <row r="61" spans="1:20" ht="28.5" customHeight="1">
      <c r="A61" s="52" t="s">
        <v>1057</v>
      </c>
      <c r="B61" s="53">
        <v>88247</v>
      </c>
      <c r="C61" s="52" t="s">
        <v>1058</v>
      </c>
      <c r="D61" s="199" t="s">
        <v>1062</v>
      </c>
      <c r="E61" s="200"/>
      <c r="F61" s="54" t="s">
        <v>1060</v>
      </c>
      <c r="G61" s="273"/>
      <c r="H61" s="274"/>
      <c r="I61" s="275"/>
      <c r="J61" s="204" t="s">
        <v>1061</v>
      </c>
      <c r="K61" s="205"/>
      <c r="L61" s="55">
        <v>57.4</v>
      </c>
      <c r="M61" s="188">
        <v>22.63</v>
      </c>
      <c r="N61" s="189"/>
      <c r="O61" s="56">
        <f t="shared" ref="O61:O68" si="5">M61-(M61*T61)</f>
        <v>21.486491537595001</v>
      </c>
      <c r="P61" s="57">
        <f t="shared" si="4"/>
        <v>1233.324614257953</v>
      </c>
      <c r="T61" s="88">
        <v>5.05306435E-2</v>
      </c>
    </row>
    <row r="62" spans="1:20" ht="28.5" customHeight="1">
      <c r="A62" s="52" t="s">
        <v>1057</v>
      </c>
      <c r="B62" s="53">
        <v>88325</v>
      </c>
      <c r="C62" s="52" t="s">
        <v>1058</v>
      </c>
      <c r="D62" s="199" t="s">
        <v>1131</v>
      </c>
      <c r="E62" s="200"/>
      <c r="F62" s="54" t="s">
        <v>1060</v>
      </c>
      <c r="G62" s="273"/>
      <c r="H62" s="274"/>
      <c r="I62" s="275"/>
      <c r="J62" s="204" t="s">
        <v>1061</v>
      </c>
      <c r="K62" s="205"/>
      <c r="L62" s="55">
        <v>12.756</v>
      </c>
      <c r="M62" s="188">
        <v>22.22</v>
      </c>
      <c r="N62" s="189"/>
      <c r="O62" s="56">
        <f t="shared" si="5"/>
        <v>21.09720910143</v>
      </c>
      <c r="P62" s="57">
        <f t="shared" si="4"/>
        <v>269.11599929784109</v>
      </c>
      <c r="T62" s="88">
        <v>5.05306435E-2</v>
      </c>
    </row>
    <row r="63" spans="1:20" ht="28.5" customHeight="1">
      <c r="A63" s="52" t="s">
        <v>1057</v>
      </c>
      <c r="B63" s="53">
        <v>88239</v>
      </c>
      <c r="C63" s="52" t="s">
        <v>1058</v>
      </c>
      <c r="D63" s="199" t="s">
        <v>1104</v>
      </c>
      <c r="E63" s="200"/>
      <c r="F63" s="54" t="s">
        <v>1060</v>
      </c>
      <c r="G63" s="273"/>
      <c r="H63" s="274"/>
      <c r="I63" s="275"/>
      <c r="J63" s="204" t="s">
        <v>1061</v>
      </c>
      <c r="K63" s="205"/>
      <c r="L63" s="55">
        <v>18.07</v>
      </c>
      <c r="M63" s="188">
        <v>22</v>
      </c>
      <c r="N63" s="189"/>
      <c r="O63" s="56">
        <f t="shared" si="5"/>
        <v>20.888325843000001</v>
      </c>
      <c r="P63" s="57">
        <f t="shared" si="4"/>
        <v>377.45204798301</v>
      </c>
      <c r="T63" s="88">
        <v>5.05306435E-2</v>
      </c>
    </row>
    <row r="64" spans="1:20" ht="28.5" customHeight="1">
      <c r="A64" s="52" t="s">
        <v>1057</v>
      </c>
      <c r="B64" s="53">
        <v>88261</v>
      </c>
      <c r="C64" s="52" t="s">
        <v>1058</v>
      </c>
      <c r="D64" s="199" t="s">
        <v>1132</v>
      </c>
      <c r="E64" s="200"/>
      <c r="F64" s="54" t="s">
        <v>1060</v>
      </c>
      <c r="G64" s="273"/>
      <c r="H64" s="274"/>
      <c r="I64" s="275"/>
      <c r="J64" s="204" t="s">
        <v>1061</v>
      </c>
      <c r="K64" s="205"/>
      <c r="L64" s="55">
        <v>18.07</v>
      </c>
      <c r="M64" s="188">
        <v>25.53</v>
      </c>
      <c r="N64" s="189"/>
      <c r="O64" s="56">
        <f t="shared" si="5"/>
        <v>24.239952671445</v>
      </c>
      <c r="P64" s="57">
        <f t="shared" si="4"/>
        <v>438.01594477301114</v>
      </c>
      <c r="T64" s="88">
        <v>5.05306435E-2</v>
      </c>
    </row>
    <row r="65" spans="1:20" ht="28.5" customHeight="1">
      <c r="A65" s="52" t="s">
        <v>1057</v>
      </c>
      <c r="B65" s="53">
        <v>88267</v>
      </c>
      <c r="C65" s="52" t="s">
        <v>1058</v>
      </c>
      <c r="D65" s="199" t="s">
        <v>1133</v>
      </c>
      <c r="E65" s="200"/>
      <c r="F65" s="54" t="s">
        <v>1060</v>
      </c>
      <c r="G65" s="273"/>
      <c r="H65" s="274"/>
      <c r="I65" s="275"/>
      <c r="J65" s="204" t="s">
        <v>1061</v>
      </c>
      <c r="K65" s="205"/>
      <c r="L65" s="55">
        <v>20.196000000000002</v>
      </c>
      <c r="M65" s="188">
        <v>26.19</v>
      </c>
      <c r="N65" s="189"/>
      <c r="O65" s="56">
        <f t="shared" si="5"/>
        <v>24.866602446735001</v>
      </c>
      <c r="P65" s="57">
        <f t="shared" si="4"/>
        <v>502.20590301426012</v>
      </c>
      <c r="T65" s="88">
        <v>5.05306435E-2</v>
      </c>
    </row>
    <row r="66" spans="1:20" ht="28.5" customHeight="1">
      <c r="A66" s="52" t="s">
        <v>1057</v>
      </c>
      <c r="B66" s="53">
        <v>88310</v>
      </c>
      <c r="C66" s="52" t="s">
        <v>1058</v>
      </c>
      <c r="D66" s="199" t="s">
        <v>1134</v>
      </c>
      <c r="E66" s="200"/>
      <c r="F66" s="54" t="s">
        <v>1060</v>
      </c>
      <c r="G66" s="273"/>
      <c r="H66" s="274"/>
      <c r="I66" s="275"/>
      <c r="J66" s="204" t="s">
        <v>1061</v>
      </c>
      <c r="K66" s="205"/>
      <c r="L66" s="55">
        <v>13.818</v>
      </c>
      <c r="M66" s="188">
        <v>28.58</v>
      </c>
      <c r="N66" s="189"/>
      <c r="O66" s="56">
        <f t="shared" si="5"/>
        <v>27.13583420877</v>
      </c>
      <c r="P66" s="57">
        <f t="shared" si="4"/>
        <v>374.96295709678384</v>
      </c>
      <c r="T66" s="88">
        <v>5.05306435E-2</v>
      </c>
    </row>
    <row r="67" spans="1:20" ht="28.5" customHeight="1">
      <c r="A67" s="52" t="s">
        <v>1057</v>
      </c>
      <c r="B67" s="53">
        <v>88316</v>
      </c>
      <c r="C67" s="52" t="s">
        <v>1058</v>
      </c>
      <c r="D67" s="199" t="s">
        <v>1059</v>
      </c>
      <c r="E67" s="200"/>
      <c r="F67" s="54" t="s">
        <v>1060</v>
      </c>
      <c r="G67" s="273"/>
      <c r="H67" s="274"/>
      <c r="I67" s="275"/>
      <c r="J67" s="204" t="s">
        <v>1061</v>
      </c>
      <c r="K67" s="205"/>
      <c r="L67" s="55">
        <v>100.914</v>
      </c>
      <c r="M67" s="188">
        <v>21.32</v>
      </c>
      <c r="N67" s="189"/>
      <c r="O67" s="56">
        <f t="shared" si="5"/>
        <v>20.24268668058</v>
      </c>
      <c r="P67" s="57">
        <f t="shared" si="4"/>
        <v>2042.7704836840501</v>
      </c>
      <c r="T67" s="88">
        <v>5.05306435E-2</v>
      </c>
    </row>
    <row r="68" spans="1:20" ht="28.5" customHeight="1">
      <c r="A68" s="52" t="s">
        <v>1057</v>
      </c>
      <c r="B68" s="53">
        <v>88273</v>
      </c>
      <c r="C68" s="52" t="s">
        <v>1058</v>
      </c>
      <c r="D68" s="199" t="s">
        <v>1135</v>
      </c>
      <c r="E68" s="200"/>
      <c r="F68" s="54" t="s">
        <v>1060</v>
      </c>
      <c r="G68" s="273"/>
      <c r="H68" s="274"/>
      <c r="I68" s="275"/>
      <c r="J68" s="204" t="s">
        <v>1061</v>
      </c>
      <c r="K68" s="205"/>
      <c r="L68" s="55">
        <v>6.3780000000000001</v>
      </c>
      <c r="M68" s="188">
        <v>25.92</v>
      </c>
      <c r="N68" s="189"/>
      <c r="O68" s="56">
        <f t="shared" si="5"/>
        <v>24.610245720480002</v>
      </c>
      <c r="P68" s="57">
        <f t="shared" si="4"/>
        <v>156.96414720522145</v>
      </c>
      <c r="T68" s="88">
        <v>5.05306435E-2</v>
      </c>
    </row>
    <row r="69" spans="1:20" ht="71.25" customHeight="1">
      <c r="A69" s="287" t="s">
        <v>1090</v>
      </c>
      <c r="B69" s="287"/>
      <c r="C69" s="287"/>
      <c r="D69" s="287"/>
      <c r="E69" s="287"/>
      <c r="F69" s="287"/>
      <c r="G69" s="65"/>
      <c r="H69" s="288"/>
      <c r="I69" s="288"/>
      <c r="J69" s="65"/>
      <c r="K69" s="233" t="s">
        <v>1091</v>
      </c>
      <c r="L69" s="233"/>
      <c r="M69" s="233"/>
      <c r="N69" s="233"/>
      <c r="O69" s="233"/>
      <c r="P69" s="233"/>
      <c r="Q69" s="233"/>
      <c r="R69" s="233"/>
      <c r="T69" s="88">
        <v>5.05306435E-2</v>
      </c>
    </row>
    <row r="70" spans="1:20" ht="24.95" customHeight="1">
      <c r="A70" s="289" t="s">
        <v>1089</v>
      </c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T70" s="88">
        <v>5.05306435E-2</v>
      </c>
    </row>
    <row r="71" spans="1:20" ht="24.6" customHeight="1">
      <c r="A71" s="180" t="s">
        <v>1136</v>
      </c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T71" s="88">
        <v>5.05306435E-2</v>
      </c>
    </row>
    <row r="72" spans="1:20" ht="24.95" customHeight="1">
      <c r="A72" s="276"/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64"/>
      <c r="R72" s="264"/>
      <c r="T72" s="88">
        <v>5.05306435E-2</v>
      </c>
    </row>
    <row r="73" spans="1:20" ht="26.1" customHeight="1">
      <c r="A73" s="43" t="s">
        <v>1137</v>
      </c>
      <c r="B73" s="44" t="s">
        <v>3</v>
      </c>
      <c r="C73" s="43" t="s">
        <v>4</v>
      </c>
      <c r="D73" s="208" t="s">
        <v>5</v>
      </c>
      <c r="E73" s="209"/>
      <c r="F73" s="43" t="s">
        <v>1049</v>
      </c>
      <c r="G73" s="277"/>
      <c r="H73" s="278"/>
      <c r="I73" s="279"/>
      <c r="J73" s="215" t="s">
        <v>6</v>
      </c>
      <c r="K73" s="217"/>
      <c r="L73" s="44" t="s">
        <v>7</v>
      </c>
      <c r="M73" s="213" t="s">
        <v>8</v>
      </c>
      <c r="N73" s="214"/>
      <c r="O73" s="66"/>
      <c r="P73" s="44" t="s">
        <v>11</v>
      </c>
      <c r="Q73" s="270"/>
      <c r="R73" s="264"/>
      <c r="T73" s="88">
        <v>5.05306435E-2</v>
      </c>
    </row>
    <row r="74" spans="1:20" ht="28.5" customHeight="1">
      <c r="A74" s="47" t="s">
        <v>1051</v>
      </c>
      <c r="B74" s="48" t="s">
        <v>1138</v>
      </c>
      <c r="C74" s="47" t="s">
        <v>1053</v>
      </c>
      <c r="D74" s="265" t="s">
        <v>1139</v>
      </c>
      <c r="E74" s="266"/>
      <c r="F74" s="49" t="s">
        <v>1140</v>
      </c>
      <c r="G74" s="267"/>
      <c r="H74" s="268"/>
      <c r="I74" s="269"/>
      <c r="J74" s="285" t="s">
        <v>1141</v>
      </c>
      <c r="K74" s="286"/>
      <c r="L74" s="50">
        <v>1</v>
      </c>
      <c r="M74" s="197">
        <v>21.58</v>
      </c>
      <c r="N74" s="198"/>
      <c r="O74" s="64">
        <f>SUM(O75:O83)</f>
        <v>278.51734103570999</v>
      </c>
      <c r="P74" s="64">
        <f>SUM(P75:P83)</f>
        <v>118.20769107939299</v>
      </c>
      <c r="Q74" s="270"/>
      <c r="R74" s="264"/>
      <c r="T74" s="88">
        <v>5.05306435E-2</v>
      </c>
    </row>
    <row r="75" spans="1:20" ht="28.5" customHeight="1">
      <c r="A75" s="52" t="s">
        <v>1057</v>
      </c>
      <c r="B75" s="53">
        <v>97063</v>
      </c>
      <c r="C75" s="52" t="s">
        <v>1058</v>
      </c>
      <c r="D75" s="271" t="s">
        <v>1142</v>
      </c>
      <c r="E75" s="272"/>
      <c r="F75" s="54" t="s">
        <v>1060</v>
      </c>
      <c r="G75" s="273"/>
      <c r="H75" s="274"/>
      <c r="I75" s="275"/>
      <c r="J75" s="204" t="s">
        <v>1079</v>
      </c>
      <c r="K75" s="205"/>
      <c r="L75" s="55">
        <v>0.41599999999999998</v>
      </c>
      <c r="M75" s="188">
        <v>16.170000000000002</v>
      </c>
      <c r="N75" s="189"/>
      <c r="O75" s="56">
        <f>M75-(M75*T75)</f>
        <v>15.352919494605002</v>
      </c>
      <c r="P75" s="57">
        <f t="shared" ref="P75:P76" si="6">O75*L75</f>
        <v>6.3868145097556805</v>
      </c>
      <c r="Q75" s="270"/>
      <c r="R75" s="264"/>
      <c r="T75" s="88">
        <v>5.05306435E-2</v>
      </c>
    </row>
    <row r="76" spans="1:20" ht="28.5" customHeight="1">
      <c r="A76" s="58" t="s">
        <v>1064</v>
      </c>
      <c r="B76" s="62">
        <v>20193</v>
      </c>
      <c r="C76" s="58" t="s">
        <v>1058</v>
      </c>
      <c r="D76" s="283" t="s">
        <v>1143</v>
      </c>
      <c r="E76" s="284"/>
      <c r="F76" s="58" t="s">
        <v>1098</v>
      </c>
      <c r="G76" s="280"/>
      <c r="H76" s="281"/>
      <c r="I76" s="282"/>
      <c r="J76" s="242" t="s">
        <v>1144</v>
      </c>
      <c r="K76" s="243"/>
      <c r="L76" s="60">
        <v>1</v>
      </c>
      <c r="M76" s="188">
        <v>14.85</v>
      </c>
      <c r="N76" s="189"/>
      <c r="O76" s="56">
        <f t="shared" ref="O76" si="7">M76-(M76*T76)</f>
        <v>14.099619944024999</v>
      </c>
      <c r="P76" s="57">
        <f t="shared" si="6"/>
        <v>14.099619944024999</v>
      </c>
      <c r="Q76" s="270"/>
      <c r="R76" s="264"/>
      <c r="T76" s="88">
        <v>5.05306435E-2</v>
      </c>
    </row>
    <row r="77" spans="1:20" ht="14.25" customHeight="1">
      <c r="A77" s="174" t="s">
        <v>1070</v>
      </c>
      <c r="B77" s="174"/>
      <c r="C77" s="174"/>
      <c r="D77" s="174"/>
      <c r="E77" s="174"/>
      <c r="F77" s="174"/>
      <c r="G77" s="174"/>
      <c r="H77" s="175" t="s">
        <v>1071</v>
      </c>
      <c r="I77" s="175"/>
      <c r="J77" s="175"/>
      <c r="K77" s="175"/>
      <c r="L77" s="176">
        <v>0</v>
      </c>
      <c r="M77" s="176"/>
      <c r="N77" s="177" t="s">
        <v>1072</v>
      </c>
      <c r="O77" s="177"/>
      <c r="P77" s="177"/>
      <c r="Q77" s="179"/>
      <c r="R77" s="179"/>
      <c r="T77" s="88">
        <v>5.05306435E-2</v>
      </c>
    </row>
    <row r="78" spans="1:20" ht="14.25" customHeight="1">
      <c r="A78" s="178" t="s">
        <v>1116</v>
      </c>
      <c r="B78" s="178"/>
      <c r="C78" s="178"/>
      <c r="D78" s="178"/>
      <c r="E78" s="178"/>
      <c r="F78" s="178"/>
      <c r="G78" s="178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T78" s="88">
        <v>5.05306435E-2</v>
      </c>
    </row>
    <row r="79" spans="1:20" ht="14.25" customHeight="1">
      <c r="A79" s="178" t="s">
        <v>1073</v>
      </c>
      <c r="B79" s="178"/>
      <c r="C79" s="178"/>
      <c r="D79" s="178"/>
      <c r="E79" s="178"/>
      <c r="F79" s="178"/>
      <c r="G79" s="178"/>
      <c r="H79" s="179"/>
      <c r="I79" s="179"/>
      <c r="J79" s="179"/>
      <c r="K79" s="179"/>
      <c r="L79" s="180" t="s">
        <v>1074</v>
      </c>
      <c r="M79" s="180"/>
      <c r="N79" s="179"/>
      <c r="O79" s="179"/>
      <c r="P79" s="179"/>
      <c r="Q79" s="179"/>
      <c r="R79" s="179"/>
      <c r="T79" s="88">
        <v>5.05306435E-2</v>
      </c>
    </row>
    <row r="80" spans="1:20" ht="14.25" customHeight="1">
      <c r="A80" s="226" t="s">
        <v>1116</v>
      </c>
      <c r="B80" s="226"/>
      <c r="C80" s="226"/>
      <c r="D80" s="226"/>
      <c r="E80" s="226"/>
      <c r="F80" s="226"/>
      <c r="G80" s="226"/>
      <c r="H80" s="227"/>
      <c r="I80" s="227"/>
      <c r="J80" s="227"/>
      <c r="K80" s="227"/>
      <c r="L80" s="206" t="s">
        <v>1116</v>
      </c>
      <c r="M80" s="206"/>
      <c r="N80" s="227"/>
      <c r="O80" s="227"/>
      <c r="P80" s="227"/>
      <c r="Q80" s="179"/>
      <c r="R80" s="179"/>
      <c r="T80" s="88">
        <v>5.05306435E-2</v>
      </c>
    </row>
    <row r="81" spans="1:20" ht="24.95" customHeight="1">
      <c r="A81" s="276"/>
      <c r="B81" s="276"/>
      <c r="C81" s="276"/>
      <c r="D81" s="276"/>
      <c r="E81" s="276"/>
      <c r="F81" s="276"/>
      <c r="G81" s="276"/>
      <c r="H81" s="276"/>
      <c r="I81" s="276"/>
      <c r="J81" s="276"/>
      <c r="K81" s="276"/>
      <c r="L81" s="276"/>
      <c r="M81" s="276"/>
      <c r="N81" s="276"/>
      <c r="O81" s="276"/>
      <c r="P81" s="276"/>
      <c r="Q81" s="264"/>
      <c r="R81" s="264"/>
      <c r="T81" s="88">
        <v>5.05306435E-2</v>
      </c>
    </row>
    <row r="82" spans="1:20" ht="26.1" customHeight="1">
      <c r="A82" s="43" t="s">
        <v>1145</v>
      </c>
      <c r="B82" s="44" t="s">
        <v>3</v>
      </c>
      <c r="C82" s="43" t="s">
        <v>4</v>
      </c>
      <c r="D82" s="208" t="s">
        <v>5</v>
      </c>
      <c r="E82" s="209"/>
      <c r="F82" s="43" t="s">
        <v>1049</v>
      </c>
      <c r="G82" s="277"/>
      <c r="H82" s="278"/>
      <c r="I82" s="279"/>
      <c r="J82" s="215" t="s">
        <v>6</v>
      </c>
      <c r="K82" s="217"/>
      <c r="L82" s="44" t="s">
        <v>7</v>
      </c>
      <c r="M82" s="213" t="s">
        <v>8</v>
      </c>
      <c r="N82" s="214"/>
      <c r="O82" s="66"/>
      <c r="P82" s="44" t="s">
        <v>11</v>
      </c>
      <c r="Q82" s="270"/>
      <c r="R82" s="264"/>
      <c r="T82" s="88">
        <v>5.05306435E-2</v>
      </c>
    </row>
    <row r="83" spans="1:20" ht="28.5" customHeight="1">
      <c r="A83" s="47" t="s">
        <v>1051</v>
      </c>
      <c r="B83" s="48" t="s">
        <v>1146</v>
      </c>
      <c r="C83" s="47" t="s">
        <v>1053</v>
      </c>
      <c r="D83" s="190" t="s">
        <v>1147</v>
      </c>
      <c r="E83" s="191"/>
      <c r="F83" s="49" t="s">
        <v>1087</v>
      </c>
      <c r="G83" s="267"/>
      <c r="H83" s="268"/>
      <c r="I83" s="269"/>
      <c r="J83" s="195" t="s">
        <v>1121</v>
      </c>
      <c r="K83" s="196"/>
      <c r="L83" s="50">
        <v>1</v>
      </c>
      <c r="M83" s="231">
        <v>102.92</v>
      </c>
      <c r="N83" s="232"/>
      <c r="O83" s="64">
        <f>SUM(O84:O92)</f>
        <v>249.06480159707996</v>
      </c>
      <c r="P83" s="64">
        <f>SUM(P84:P92)</f>
        <v>97.721256625612298</v>
      </c>
      <c r="Q83" s="270"/>
      <c r="R83" s="264"/>
      <c r="T83" s="88">
        <v>5.05306435E-2</v>
      </c>
    </row>
    <row r="84" spans="1:20" ht="28.5" customHeight="1">
      <c r="A84" s="52" t="s">
        <v>1057</v>
      </c>
      <c r="B84" s="53">
        <v>90776</v>
      </c>
      <c r="C84" s="52" t="s">
        <v>1058</v>
      </c>
      <c r="D84" s="199" t="s">
        <v>1148</v>
      </c>
      <c r="E84" s="200"/>
      <c r="F84" s="54" t="s">
        <v>1060</v>
      </c>
      <c r="G84" s="273"/>
      <c r="H84" s="274"/>
      <c r="I84" s="275"/>
      <c r="J84" s="204" t="s">
        <v>1061</v>
      </c>
      <c r="K84" s="205"/>
      <c r="L84" s="55">
        <v>3.9E-2</v>
      </c>
      <c r="M84" s="188">
        <v>25.91</v>
      </c>
      <c r="N84" s="189"/>
      <c r="O84" s="56">
        <f>M84-(M84*T84)</f>
        <v>24.600751026914999</v>
      </c>
      <c r="P84" s="57">
        <f t="shared" ref="P84:P86" si="8">O84*L84</f>
        <v>0.95942929004968491</v>
      </c>
      <c r="Q84" s="270"/>
      <c r="R84" s="264"/>
      <c r="T84" s="88">
        <v>5.05306435E-2</v>
      </c>
    </row>
    <row r="85" spans="1:20" ht="28.5" customHeight="1">
      <c r="A85" s="52" t="s">
        <v>1057</v>
      </c>
      <c r="B85" s="53">
        <v>90778</v>
      </c>
      <c r="C85" s="52" t="s">
        <v>1058</v>
      </c>
      <c r="D85" s="199" t="s">
        <v>1149</v>
      </c>
      <c r="E85" s="200"/>
      <c r="F85" s="54" t="s">
        <v>1060</v>
      </c>
      <c r="G85" s="273"/>
      <c r="H85" s="274"/>
      <c r="I85" s="275"/>
      <c r="J85" s="204" t="s">
        <v>1061</v>
      </c>
      <c r="K85" s="205"/>
      <c r="L85" s="55">
        <v>8.9999999999999993E-3</v>
      </c>
      <c r="M85" s="247">
        <v>135.72</v>
      </c>
      <c r="N85" s="248"/>
      <c r="O85" s="56">
        <f t="shared" ref="O85:O86" si="9">M85-(M85*T85)</f>
        <v>128.86198106417999</v>
      </c>
      <c r="P85" s="57">
        <f t="shared" si="8"/>
        <v>1.1597578295776199</v>
      </c>
      <c r="Q85" s="270"/>
      <c r="R85" s="264"/>
      <c r="T85" s="88">
        <v>5.05306435E-2</v>
      </c>
    </row>
    <row r="86" spans="1:20" ht="25.5" customHeight="1">
      <c r="A86" s="58" t="s">
        <v>1064</v>
      </c>
      <c r="B86" s="62">
        <v>8823</v>
      </c>
      <c r="C86" s="58" t="s">
        <v>1150</v>
      </c>
      <c r="D86" s="181" t="s">
        <v>1151</v>
      </c>
      <c r="E86" s="182"/>
      <c r="F86" s="58" t="s">
        <v>1068</v>
      </c>
      <c r="G86" s="280"/>
      <c r="H86" s="281"/>
      <c r="I86" s="282"/>
      <c r="J86" s="186" t="s">
        <v>1085</v>
      </c>
      <c r="K86" s="187"/>
      <c r="L86" s="60">
        <v>1</v>
      </c>
      <c r="M86" s="247">
        <v>100.69</v>
      </c>
      <c r="N86" s="248"/>
      <c r="O86" s="56">
        <f t="shared" si="9"/>
        <v>95.602069505985</v>
      </c>
      <c r="P86" s="57">
        <f t="shared" si="8"/>
        <v>95.602069505985</v>
      </c>
      <c r="Q86" s="270"/>
      <c r="R86" s="264"/>
      <c r="T86" s="88">
        <v>5.05306435E-2</v>
      </c>
    </row>
    <row r="87" spans="1:20" ht="14.25" customHeight="1">
      <c r="A87" s="174" t="s">
        <v>1070</v>
      </c>
      <c r="B87" s="174"/>
      <c r="C87" s="174"/>
      <c r="D87" s="174"/>
      <c r="E87" s="174"/>
      <c r="F87" s="174"/>
      <c r="G87" s="174"/>
      <c r="H87" s="175" t="s">
        <v>1071</v>
      </c>
      <c r="I87" s="175"/>
      <c r="J87" s="175"/>
      <c r="K87" s="175"/>
      <c r="L87" s="176">
        <v>0</v>
      </c>
      <c r="M87" s="176"/>
      <c r="N87" s="177" t="s">
        <v>1072</v>
      </c>
      <c r="O87" s="177"/>
      <c r="P87" s="177"/>
      <c r="Q87" s="179"/>
      <c r="R87" s="179"/>
      <c r="T87" s="88">
        <v>5.05306435E-2</v>
      </c>
    </row>
    <row r="88" spans="1:20" ht="14.25" customHeight="1">
      <c r="A88" s="178" t="s">
        <v>1116</v>
      </c>
      <c r="B88" s="178"/>
      <c r="C88" s="178"/>
      <c r="D88" s="178"/>
      <c r="E88" s="178"/>
      <c r="F88" s="178"/>
      <c r="G88" s="178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T88" s="88">
        <v>5.05306435E-2</v>
      </c>
    </row>
    <row r="89" spans="1:20" ht="14.25" customHeight="1">
      <c r="A89" s="178" t="s">
        <v>1073</v>
      </c>
      <c r="B89" s="178"/>
      <c r="C89" s="178"/>
      <c r="D89" s="178"/>
      <c r="E89" s="178"/>
      <c r="F89" s="178"/>
      <c r="G89" s="178"/>
      <c r="H89" s="179"/>
      <c r="I89" s="179"/>
      <c r="J89" s="179"/>
      <c r="K89" s="179"/>
      <c r="L89" s="180" t="s">
        <v>1074</v>
      </c>
      <c r="M89" s="180"/>
      <c r="N89" s="179"/>
      <c r="O89" s="179"/>
      <c r="P89" s="179"/>
      <c r="Q89" s="179"/>
      <c r="R89" s="179"/>
      <c r="T89" s="88">
        <v>5.05306435E-2</v>
      </c>
    </row>
    <row r="90" spans="1:20" ht="14.25" customHeight="1">
      <c r="A90" s="226" t="s">
        <v>1116</v>
      </c>
      <c r="B90" s="226"/>
      <c r="C90" s="226"/>
      <c r="D90" s="226"/>
      <c r="E90" s="226"/>
      <c r="F90" s="226"/>
      <c r="G90" s="226"/>
      <c r="H90" s="227"/>
      <c r="I90" s="227"/>
      <c r="J90" s="227"/>
      <c r="K90" s="227"/>
      <c r="L90" s="206" t="s">
        <v>1116</v>
      </c>
      <c r="M90" s="206"/>
      <c r="N90" s="227"/>
      <c r="O90" s="227"/>
      <c r="P90" s="227"/>
      <c r="Q90" s="179"/>
      <c r="R90" s="179"/>
      <c r="T90" s="88">
        <v>5.05306435E-2</v>
      </c>
    </row>
    <row r="91" spans="1:20" ht="26.1" customHeight="1">
      <c r="A91" s="276"/>
      <c r="B91" s="276"/>
      <c r="C91" s="276"/>
      <c r="D91" s="276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64"/>
      <c r="R91" s="264"/>
      <c r="T91" s="88">
        <v>5.05306435E-2</v>
      </c>
    </row>
    <row r="92" spans="1:20" ht="24.95" customHeight="1">
      <c r="A92" s="43" t="s">
        <v>1152</v>
      </c>
      <c r="B92" s="44" t="s">
        <v>3</v>
      </c>
      <c r="C92" s="43" t="s">
        <v>4</v>
      </c>
      <c r="D92" s="208" t="s">
        <v>5</v>
      </c>
      <c r="E92" s="209"/>
      <c r="F92" s="43" t="s">
        <v>1049</v>
      </c>
      <c r="G92" s="277"/>
      <c r="H92" s="278"/>
      <c r="I92" s="279"/>
      <c r="J92" s="215" t="s">
        <v>6</v>
      </c>
      <c r="K92" s="217"/>
      <c r="L92" s="44" t="s">
        <v>7</v>
      </c>
      <c r="M92" s="213" t="s">
        <v>8</v>
      </c>
      <c r="N92" s="214"/>
      <c r="O92" s="66"/>
      <c r="P92" s="44" t="s">
        <v>11</v>
      </c>
      <c r="Q92" s="270"/>
      <c r="R92" s="264"/>
      <c r="T92" s="88">
        <v>5.05306435E-2</v>
      </c>
    </row>
    <row r="93" spans="1:20" ht="28.5" customHeight="1">
      <c r="A93" s="47" t="s">
        <v>1051</v>
      </c>
      <c r="B93" s="48" t="s">
        <v>1153</v>
      </c>
      <c r="C93" s="47" t="s">
        <v>1053</v>
      </c>
      <c r="D93" s="265" t="s">
        <v>1154</v>
      </c>
      <c r="E93" s="266"/>
      <c r="F93" s="49" t="s">
        <v>1087</v>
      </c>
      <c r="G93" s="267"/>
      <c r="H93" s="268"/>
      <c r="I93" s="269"/>
      <c r="J93" s="195" t="s">
        <v>1121</v>
      </c>
      <c r="K93" s="196"/>
      <c r="L93" s="50">
        <v>1</v>
      </c>
      <c r="M93" s="231">
        <v>705.68</v>
      </c>
      <c r="N93" s="232"/>
      <c r="O93" s="64">
        <f>SUM(O94:O102)</f>
        <v>645.01251264470989</v>
      </c>
      <c r="P93" s="64">
        <f>SUM(P94:P102)</f>
        <v>670.02511499439402</v>
      </c>
      <c r="Q93" s="270"/>
      <c r="R93" s="264"/>
      <c r="T93" s="88">
        <v>5.05306435E-2</v>
      </c>
    </row>
    <row r="94" spans="1:20" ht="28.5" customHeight="1">
      <c r="A94" s="52" t="s">
        <v>1057</v>
      </c>
      <c r="B94" s="53">
        <v>90587</v>
      </c>
      <c r="C94" s="52" t="s">
        <v>1058</v>
      </c>
      <c r="D94" s="271" t="s">
        <v>1155</v>
      </c>
      <c r="E94" s="272"/>
      <c r="F94" s="54" t="s">
        <v>1156</v>
      </c>
      <c r="G94" s="273"/>
      <c r="H94" s="274"/>
      <c r="I94" s="275"/>
      <c r="J94" s="204" t="s">
        <v>1157</v>
      </c>
      <c r="K94" s="205"/>
      <c r="L94" s="55">
        <v>0.13</v>
      </c>
      <c r="M94" s="188">
        <v>0.56000000000000005</v>
      </c>
      <c r="N94" s="189"/>
      <c r="O94" s="56">
        <f>M94-(M94*T94)</f>
        <v>0.53170283964000009</v>
      </c>
      <c r="P94" s="57">
        <f t="shared" ref="P94:P99" si="10">O94*L94</f>
        <v>6.912136915320001E-2</v>
      </c>
      <c r="Q94" s="270"/>
      <c r="R94" s="264"/>
      <c r="T94" s="88">
        <v>5.05306435E-2</v>
      </c>
    </row>
    <row r="95" spans="1:20" ht="14.25" customHeight="1">
      <c r="A95" s="52" t="s">
        <v>1057</v>
      </c>
      <c r="B95" s="53">
        <v>88316</v>
      </c>
      <c r="C95" s="52" t="s">
        <v>1058</v>
      </c>
      <c r="D95" s="199" t="s">
        <v>1059</v>
      </c>
      <c r="E95" s="200"/>
      <c r="F95" s="52" t="s">
        <v>1158</v>
      </c>
      <c r="G95" s="201"/>
      <c r="H95" s="202"/>
      <c r="I95" s="203"/>
      <c r="J95" s="204" t="s">
        <v>1061</v>
      </c>
      <c r="K95" s="205"/>
      <c r="L95" s="55">
        <v>1.345</v>
      </c>
      <c r="M95" s="188">
        <v>21.32</v>
      </c>
      <c r="N95" s="189"/>
      <c r="O95" s="56">
        <f t="shared" ref="O95:O99" si="11">M95-(M95*T95)</f>
        <v>20.24268668058</v>
      </c>
      <c r="P95" s="57">
        <f t="shared" si="10"/>
        <v>27.226413585380101</v>
      </c>
      <c r="Q95" s="228"/>
      <c r="R95" s="179"/>
      <c r="T95" s="88">
        <v>5.05306435E-2</v>
      </c>
    </row>
    <row r="96" spans="1:20" ht="14.25" customHeight="1">
      <c r="A96" s="52" t="s">
        <v>1057</v>
      </c>
      <c r="B96" s="53">
        <v>90586</v>
      </c>
      <c r="C96" s="52" t="s">
        <v>1058</v>
      </c>
      <c r="D96" s="199" t="s">
        <v>1159</v>
      </c>
      <c r="E96" s="200"/>
      <c r="F96" s="52" t="s">
        <v>1160</v>
      </c>
      <c r="G96" s="201"/>
      <c r="H96" s="202"/>
      <c r="I96" s="203"/>
      <c r="J96" s="204" t="s">
        <v>1161</v>
      </c>
      <c r="K96" s="205"/>
      <c r="L96" s="55">
        <v>9.4E-2</v>
      </c>
      <c r="M96" s="188">
        <v>1.31</v>
      </c>
      <c r="N96" s="189"/>
      <c r="O96" s="56">
        <f t="shared" si="11"/>
        <v>1.243804857015</v>
      </c>
      <c r="P96" s="57">
        <f t="shared" si="10"/>
        <v>0.11691765655941</v>
      </c>
      <c r="Q96" s="228"/>
      <c r="R96" s="179"/>
      <c r="T96" s="88">
        <v>5.05306435E-2</v>
      </c>
    </row>
    <row r="97" spans="1:20" ht="14.25" customHeight="1">
      <c r="A97" s="52" t="s">
        <v>1057</v>
      </c>
      <c r="B97" s="53">
        <v>88262</v>
      </c>
      <c r="C97" s="52" t="s">
        <v>1058</v>
      </c>
      <c r="D97" s="199" t="s">
        <v>1105</v>
      </c>
      <c r="E97" s="200"/>
      <c r="F97" s="52" t="s">
        <v>1158</v>
      </c>
      <c r="G97" s="201"/>
      <c r="H97" s="202"/>
      <c r="I97" s="203"/>
      <c r="J97" s="204" t="s">
        <v>1061</v>
      </c>
      <c r="K97" s="205"/>
      <c r="L97" s="55">
        <v>0.224</v>
      </c>
      <c r="M97" s="188">
        <v>26.48</v>
      </c>
      <c r="N97" s="189"/>
      <c r="O97" s="56">
        <f t="shared" si="11"/>
        <v>25.141948560119999</v>
      </c>
      <c r="P97" s="57">
        <f t="shared" si="10"/>
        <v>5.6317964774668798</v>
      </c>
      <c r="Q97" s="228"/>
      <c r="R97" s="179"/>
      <c r="T97" s="88">
        <v>5.05306435E-2</v>
      </c>
    </row>
    <row r="98" spans="1:20" ht="14.25" customHeight="1">
      <c r="A98" s="52" t="s">
        <v>1057</v>
      </c>
      <c r="B98" s="53">
        <v>88309</v>
      </c>
      <c r="C98" s="52" t="s">
        <v>1058</v>
      </c>
      <c r="D98" s="199" t="s">
        <v>1162</v>
      </c>
      <c r="E98" s="200"/>
      <c r="F98" s="52" t="s">
        <v>1158</v>
      </c>
      <c r="G98" s="201"/>
      <c r="H98" s="202"/>
      <c r="I98" s="203"/>
      <c r="J98" s="204" t="s">
        <v>1061</v>
      </c>
      <c r="K98" s="205"/>
      <c r="L98" s="55">
        <v>0.224</v>
      </c>
      <c r="M98" s="188">
        <v>26.9</v>
      </c>
      <c r="N98" s="189"/>
      <c r="O98" s="56">
        <f t="shared" si="11"/>
        <v>25.540725689849999</v>
      </c>
      <c r="P98" s="57">
        <f t="shared" si="10"/>
        <v>5.7211225545264002</v>
      </c>
      <c r="Q98" s="228"/>
      <c r="R98" s="179"/>
      <c r="T98" s="88">
        <v>5.05306435E-2</v>
      </c>
    </row>
    <row r="99" spans="1:20" ht="14.45" customHeight="1">
      <c r="A99" s="58" t="s">
        <v>1064</v>
      </c>
      <c r="B99" s="62">
        <v>1525</v>
      </c>
      <c r="C99" s="58" t="s">
        <v>1058</v>
      </c>
      <c r="D99" s="181" t="s">
        <v>1163</v>
      </c>
      <c r="E99" s="182"/>
      <c r="F99" s="58" t="s">
        <v>1068</v>
      </c>
      <c r="G99" s="183"/>
      <c r="H99" s="184"/>
      <c r="I99" s="185"/>
      <c r="J99" s="186" t="s">
        <v>1164</v>
      </c>
      <c r="K99" s="187"/>
      <c r="L99" s="60">
        <v>1.103</v>
      </c>
      <c r="M99" s="247">
        <v>602.77</v>
      </c>
      <c r="N99" s="248"/>
      <c r="O99" s="56">
        <f t="shared" si="11"/>
        <v>572.31164401750493</v>
      </c>
      <c r="P99" s="57">
        <f t="shared" si="10"/>
        <v>631.25974335130797</v>
      </c>
      <c r="Q99" s="228"/>
      <c r="R99" s="179"/>
      <c r="T99" s="88">
        <v>5.05306435E-2</v>
      </c>
    </row>
    <row r="100" spans="1:20" ht="14.25" customHeight="1">
      <c r="A100" s="174" t="s">
        <v>1070</v>
      </c>
      <c r="B100" s="174"/>
      <c r="C100" s="174"/>
      <c r="D100" s="174"/>
      <c r="E100" s="174"/>
      <c r="F100" s="174"/>
      <c r="G100" s="174"/>
      <c r="H100" s="175" t="s">
        <v>1071</v>
      </c>
      <c r="I100" s="175"/>
      <c r="J100" s="175"/>
      <c r="K100" s="175"/>
      <c r="L100" s="176">
        <v>0</v>
      </c>
      <c r="M100" s="176"/>
      <c r="N100" s="177" t="s">
        <v>1072</v>
      </c>
      <c r="O100" s="177"/>
      <c r="P100" s="177"/>
      <c r="Q100" s="179"/>
      <c r="R100" s="179"/>
      <c r="T100" s="88">
        <v>5.05306435E-2</v>
      </c>
    </row>
    <row r="101" spans="1:20" ht="15" customHeight="1">
      <c r="A101" s="226" t="s">
        <v>1073</v>
      </c>
      <c r="B101" s="226"/>
      <c r="C101" s="226"/>
      <c r="D101" s="226"/>
      <c r="E101" s="226"/>
      <c r="F101" s="226"/>
      <c r="G101" s="226"/>
      <c r="H101" s="227"/>
      <c r="I101" s="227"/>
      <c r="J101" s="227"/>
      <c r="K101" s="227"/>
      <c r="L101" s="206" t="s">
        <v>1074</v>
      </c>
      <c r="M101" s="206"/>
      <c r="N101" s="227"/>
      <c r="O101" s="227"/>
      <c r="P101" s="227"/>
      <c r="Q101" s="179"/>
      <c r="R101" s="179"/>
      <c r="T101" s="88">
        <v>5.05306435E-2</v>
      </c>
    </row>
    <row r="102" spans="1:20" ht="14.25" customHeight="1">
      <c r="A102" s="207"/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179"/>
      <c r="R102" s="179"/>
      <c r="T102" s="88">
        <v>5.05306435E-2</v>
      </c>
    </row>
    <row r="103" spans="1:20" ht="15.75" customHeight="1">
      <c r="A103" s="43" t="s">
        <v>1165</v>
      </c>
      <c r="B103" s="44" t="s">
        <v>3</v>
      </c>
      <c r="C103" s="43" t="s">
        <v>4</v>
      </c>
      <c r="D103" s="208" t="s">
        <v>5</v>
      </c>
      <c r="E103" s="209"/>
      <c r="F103" s="43" t="s">
        <v>1049</v>
      </c>
      <c r="G103" s="210"/>
      <c r="H103" s="211"/>
      <c r="I103" s="212"/>
      <c r="J103" s="215" t="s">
        <v>6</v>
      </c>
      <c r="K103" s="217"/>
      <c r="L103" s="44" t="s">
        <v>7</v>
      </c>
      <c r="M103" s="213" t="s">
        <v>8</v>
      </c>
      <c r="N103" s="214"/>
      <c r="O103" s="66"/>
      <c r="P103" s="44" t="s">
        <v>11</v>
      </c>
      <c r="Q103" s="228"/>
      <c r="R103" s="179"/>
      <c r="T103" s="88">
        <v>5.05306435E-2</v>
      </c>
    </row>
    <row r="104" spans="1:20" ht="14.25" customHeight="1">
      <c r="A104" s="47" t="s">
        <v>1051</v>
      </c>
      <c r="B104" s="48" t="s">
        <v>1166</v>
      </c>
      <c r="C104" s="47" t="s">
        <v>1053</v>
      </c>
      <c r="D104" s="190" t="s">
        <v>1167</v>
      </c>
      <c r="E104" s="191"/>
      <c r="F104" s="47" t="s">
        <v>1168</v>
      </c>
      <c r="G104" s="192"/>
      <c r="H104" s="193"/>
      <c r="I104" s="194"/>
      <c r="J104" s="195" t="s">
        <v>1121</v>
      </c>
      <c r="K104" s="196"/>
      <c r="L104" s="50">
        <v>1</v>
      </c>
      <c r="M104" s="231">
        <v>706.26</v>
      </c>
      <c r="N104" s="232"/>
      <c r="O104" s="64">
        <f>SUM(O105:O113)</f>
        <v>645.01251264470989</v>
      </c>
      <c r="P104" s="64">
        <f>SUM(P105:P113)</f>
        <v>670.57402221877373</v>
      </c>
      <c r="Q104" s="228"/>
      <c r="R104" s="179"/>
      <c r="T104" s="88">
        <v>5.05306435E-2</v>
      </c>
    </row>
    <row r="105" spans="1:20" ht="14.25" customHeight="1">
      <c r="A105" s="52" t="s">
        <v>1057</v>
      </c>
      <c r="B105" s="53">
        <v>90586</v>
      </c>
      <c r="C105" s="52" t="s">
        <v>1058</v>
      </c>
      <c r="D105" s="199" t="s">
        <v>1159</v>
      </c>
      <c r="E105" s="200"/>
      <c r="F105" s="52" t="s">
        <v>1160</v>
      </c>
      <c r="G105" s="201"/>
      <c r="H105" s="202"/>
      <c r="I105" s="203"/>
      <c r="J105" s="204" t="s">
        <v>1161</v>
      </c>
      <c r="K105" s="205"/>
      <c r="L105" s="55">
        <v>0.12</v>
      </c>
      <c r="M105" s="188">
        <v>1.31</v>
      </c>
      <c r="N105" s="189"/>
      <c r="O105" s="56">
        <f>M105-(M105*T105)</f>
        <v>1.243804857015</v>
      </c>
      <c r="P105" s="57">
        <f t="shared" ref="P105:P110" si="12">O105*L105</f>
        <v>0.14925658284179999</v>
      </c>
      <c r="Q105" s="228"/>
      <c r="R105" s="179"/>
      <c r="T105" s="88">
        <v>5.05306435E-2</v>
      </c>
    </row>
    <row r="106" spans="1:20" ht="14.25" customHeight="1">
      <c r="A106" s="52" t="s">
        <v>1057</v>
      </c>
      <c r="B106" s="53">
        <v>88309</v>
      </c>
      <c r="C106" s="52" t="s">
        <v>1058</v>
      </c>
      <c r="D106" s="199" t="s">
        <v>1162</v>
      </c>
      <c r="E106" s="200"/>
      <c r="F106" s="52" t="s">
        <v>1158</v>
      </c>
      <c r="G106" s="201"/>
      <c r="H106" s="202"/>
      <c r="I106" s="203"/>
      <c r="J106" s="204" t="s">
        <v>1061</v>
      </c>
      <c r="K106" s="205"/>
      <c r="L106" s="55">
        <v>0.753</v>
      </c>
      <c r="M106" s="188">
        <v>26.9</v>
      </c>
      <c r="N106" s="189"/>
      <c r="O106" s="56">
        <f t="shared" ref="O106:O110" si="13">M106-(M106*T106)</f>
        <v>25.540725689849999</v>
      </c>
      <c r="P106" s="57">
        <f t="shared" si="12"/>
        <v>19.23216644445705</v>
      </c>
      <c r="Q106" s="228"/>
      <c r="R106" s="179"/>
      <c r="T106" s="88">
        <v>5.05306435E-2</v>
      </c>
    </row>
    <row r="107" spans="1:20" ht="14.25" customHeight="1">
      <c r="A107" s="52" t="s">
        <v>1057</v>
      </c>
      <c r="B107" s="53">
        <v>88262</v>
      </c>
      <c r="C107" s="52" t="s">
        <v>1058</v>
      </c>
      <c r="D107" s="199" t="s">
        <v>1105</v>
      </c>
      <c r="E107" s="200"/>
      <c r="F107" s="52" t="s">
        <v>1158</v>
      </c>
      <c r="G107" s="201"/>
      <c r="H107" s="202"/>
      <c r="I107" s="203"/>
      <c r="J107" s="204" t="s">
        <v>1061</v>
      </c>
      <c r="K107" s="205"/>
      <c r="L107" s="55">
        <v>0.125</v>
      </c>
      <c r="M107" s="188">
        <v>26.48</v>
      </c>
      <c r="N107" s="189"/>
      <c r="O107" s="56">
        <f t="shared" si="13"/>
        <v>25.141948560119999</v>
      </c>
      <c r="P107" s="57">
        <f t="shared" si="12"/>
        <v>3.1427435700149999</v>
      </c>
      <c r="Q107" s="228"/>
      <c r="R107" s="179"/>
      <c r="T107" s="88">
        <v>5.05306435E-2</v>
      </c>
    </row>
    <row r="108" spans="1:20" ht="14.25" customHeight="1">
      <c r="A108" s="52" t="s">
        <v>1057</v>
      </c>
      <c r="B108" s="53">
        <v>90587</v>
      </c>
      <c r="C108" s="52" t="s">
        <v>1058</v>
      </c>
      <c r="D108" s="199" t="s">
        <v>1169</v>
      </c>
      <c r="E108" s="200"/>
      <c r="F108" s="52" t="s">
        <v>1160</v>
      </c>
      <c r="G108" s="201"/>
      <c r="H108" s="202"/>
      <c r="I108" s="203"/>
      <c r="J108" s="204" t="s">
        <v>1157</v>
      </c>
      <c r="K108" s="205"/>
      <c r="L108" s="55">
        <v>0.13100000000000001</v>
      </c>
      <c r="M108" s="188">
        <v>0.56000000000000005</v>
      </c>
      <c r="N108" s="189"/>
      <c r="O108" s="56">
        <f t="shared" si="13"/>
        <v>0.53170283964000009</v>
      </c>
      <c r="P108" s="57">
        <f t="shared" si="12"/>
        <v>6.9653071992840015E-2</v>
      </c>
      <c r="Q108" s="228"/>
      <c r="R108" s="179"/>
      <c r="T108" s="88">
        <v>5.05306435E-2</v>
      </c>
    </row>
    <row r="109" spans="1:20" ht="14.25" customHeight="1">
      <c r="A109" s="52" t="s">
        <v>1057</v>
      </c>
      <c r="B109" s="53">
        <v>88316</v>
      </c>
      <c r="C109" s="52" t="s">
        <v>1058</v>
      </c>
      <c r="D109" s="199" t="s">
        <v>1059</v>
      </c>
      <c r="E109" s="200"/>
      <c r="F109" s="52" t="s">
        <v>1158</v>
      </c>
      <c r="G109" s="201"/>
      <c r="H109" s="202"/>
      <c r="I109" s="203"/>
      <c r="J109" s="204" t="s">
        <v>1061</v>
      </c>
      <c r="K109" s="205"/>
      <c r="L109" s="55">
        <v>0.82599999999999996</v>
      </c>
      <c r="M109" s="188">
        <v>21.32</v>
      </c>
      <c r="N109" s="189"/>
      <c r="O109" s="56">
        <f t="shared" si="13"/>
        <v>20.24268668058</v>
      </c>
      <c r="P109" s="57">
        <f t="shared" si="12"/>
        <v>16.72045919815908</v>
      </c>
      <c r="Q109" s="228"/>
      <c r="R109" s="179"/>
      <c r="T109" s="88">
        <v>5.05306435E-2</v>
      </c>
    </row>
    <row r="110" spans="1:20" ht="14.25" customHeight="1">
      <c r="A110" s="58" t="s">
        <v>1064</v>
      </c>
      <c r="B110" s="62">
        <v>1525</v>
      </c>
      <c r="C110" s="58" t="s">
        <v>1058</v>
      </c>
      <c r="D110" s="181" t="s">
        <v>1163</v>
      </c>
      <c r="E110" s="182"/>
      <c r="F110" s="58" t="s">
        <v>1068</v>
      </c>
      <c r="G110" s="183"/>
      <c r="H110" s="184"/>
      <c r="I110" s="185"/>
      <c r="J110" s="186" t="s">
        <v>1164</v>
      </c>
      <c r="K110" s="187"/>
      <c r="L110" s="60">
        <v>1.103</v>
      </c>
      <c r="M110" s="247">
        <v>602.77</v>
      </c>
      <c r="N110" s="248"/>
      <c r="O110" s="56">
        <f t="shared" si="13"/>
        <v>572.31164401750493</v>
      </c>
      <c r="P110" s="57">
        <f t="shared" si="12"/>
        <v>631.25974335130797</v>
      </c>
      <c r="Q110" s="228"/>
      <c r="R110" s="179"/>
      <c r="T110" s="88">
        <v>5.05306435E-2</v>
      </c>
    </row>
    <row r="111" spans="1:20" ht="14.25" customHeight="1">
      <c r="A111" s="174" t="s">
        <v>1070</v>
      </c>
      <c r="B111" s="174"/>
      <c r="C111" s="174"/>
      <c r="D111" s="174"/>
      <c r="E111" s="174"/>
      <c r="F111" s="174"/>
      <c r="G111" s="174"/>
      <c r="H111" s="175" t="s">
        <v>1071</v>
      </c>
      <c r="I111" s="175"/>
      <c r="J111" s="175"/>
      <c r="K111" s="175"/>
      <c r="L111" s="176">
        <v>0</v>
      </c>
      <c r="M111" s="176"/>
      <c r="N111" s="177" t="s">
        <v>1072</v>
      </c>
      <c r="O111" s="177"/>
      <c r="P111" s="177"/>
      <c r="Q111" s="179"/>
      <c r="R111" s="179"/>
      <c r="T111" s="88">
        <v>5.05306435E-2</v>
      </c>
    </row>
    <row r="112" spans="1:20" ht="15" customHeight="1">
      <c r="A112" s="226" t="s">
        <v>1073</v>
      </c>
      <c r="B112" s="226"/>
      <c r="C112" s="226"/>
      <c r="D112" s="226"/>
      <c r="E112" s="226"/>
      <c r="F112" s="226"/>
      <c r="G112" s="226"/>
      <c r="H112" s="227"/>
      <c r="I112" s="227"/>
      <c r="J112" s="227"/>
      <c r="K112" s="227"/>
      <c r="L112" s="206" t="s">
        <v>1074</v>
      </c>
      <c r="M112" s="206"/>
      <c r="N112" s="227"/>
      <c r="O112" s="227"/>
      <c r="P112" s="227"/>
      <c r="Q112" s="179"/>
      <c r="R112" s="179"/>
      <c r="T112" s="88">
        <v>5.05306435E-2</v>
      </c>
    </row>
    <row r="113" spans="1:20" ht="15" customHeight="1">
      <c r="A113" s="207"/>
      <c r="B113" s="207"/>
      <c r="C113" s="207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179"/>
      <c r="R113" s="179"/>
      <c r="T113" s="88">
        <v>5.05306435E-2</v>
      </c>
    </row>
    <row r="114" spans="1:20" ht="15.75" customHeight="1">
      <c r="A114" s="43" t="s">
        <v>1170</v>
      </c>
      <c r="B114" s="44" t="s">
        <v>3</v>
      </c>
      <c r="C114" s="43" t="s">
        <v>4</v>
      </c>
      <c r="D114" s="208" t="s">
        <v>5</v>
      </c>
      <c r="E114" s="209"/>
      <c r="F114" s="43" t="s">
        <v>1049</v>
      </c>
      <c r="G114" s="210"/>
      <c r="H114" s="211"/>
      <c r="I114" s="212"/>
      <c r="J114" s="215" t="s">
        <v>6</v>
      </c>
      <c r="K114" s="217"/>
      <c r="L114" s="44" t="s">
        <v>7</v>
      </c>
      <c r="M114" s="213" t="s">
        <v>8</v>
      </c>
      <c r="N114" s="214"/>
      <c r="O114" s="66"/>
      <c r="P114" s="44" t="s">
        <v>11</v>
      </c>
      <c r="Q114" s="228"/>
      <c r="R114" s="179"/>
      <c r="T114" s="88">
        <v>5.05306435E-2</v>
      </c>
    </row>
    <row r="115" spans="1:20" ht="15" customHeight="1">
      <c r="A115" s="47" t="s">
        <v>1051</v>
      </c>
      <c r="B115" s="48" t="s">
        <v>1171</v>
      </c>
      <c r="C115" s="47" t="s">
        <v>1053</v>
      </c>
      <c r="D115" s="190" t="s">
        <v>1172</v>
      </c>
      <c r="E115" s="191"/>
      <c r="F115" s="67">
        <v>13.01</v>
      </c>
      <c r="G115" s="192"/>
      <c r="H115" s="193"/>
      <c r="I115" s="194"/>
      <c r="J115" s="195" t="s">
        <v>1079</v>
      </c>
      <c r="K115" s="196"/>
      <c r="L115" s="50">
        <v>1</v>
      </c>
      <c r="M115" s="231">
        <v>115.9</v>
      </c>
      <c r="N115" s="232"/>
      <c r="O115" s="64">
        <f>SUM(O116:O124)</f>
        <v>399.19489624685997</v>
      </c>
      <c r="P115" s="64">
        <f>SUM(P116:P124)</f>
        <v>421.75007251335711</v>
      </c>
      <c r="Q115" s="228"/>
      <c r="R115" s="179"/>
      <c r="T115" s="88">
        <v>5.05306435E-2</v>
      </c>
    </row>
    <row r="116" spans="1:20" ht="15" customHeight="1">
      <c r="A116" s="52" t="s">
        <v>1057</v>
      </c>
      <c r="B116" s="53">
        <v>88316</v>
      </c>
      <c r="C116" s="52" t="s">
        <v>1058</v>
      </c>
      <c r="D116" s="199" t="s">
        <v>1059</v>
      </c>
      <c r="E116" s="200"/>
      <c r="F116" s="52" t="s">
        <v>1158</v>
      </c>
      <c r="G116" s="201"/>
      <c r="H116" s="202"/>
      <c r="I116" s="203"/>
      <c r="J116" s="204" t="s">
        <v>1061</v>
      </c>
      <c r="K116" s="205"/>
      <c r="L116" s="55">
        <v>0.8</v>
      </c>
      <c r="M116" s="188">
        <v>21.32</v>
      </c>
      <c r="N116" s="189"/>
      <c r="O116" s="56">
        <f>M116-(M116*T116)</f>
        <v>20.24268668058</v>
      </c>
      <c r="P116" s="57">
        <f t="shared" ref="P116:P118" si="14">O116*L116</f>
        <v>16.194149344464002</v>
      </c>
      <c r="Q116" s="228"/>
      <c r="R116" s="179"/>
      <c r="T116" s="88">
        <v>5.05306435E-2</v>
      </c>
    </row>
    <row r="117" spans="1:20" ht="15.95" customHeight="1">
      <c r="A117" s="52" t="s">
        <v>1057</v>
      </c>
      <c r="B117" s="53">
        <v>88309</v>
      </c>
      <c r="C117" s="52" t="s">
        <v>1058</v>
      </c>
      <c r="D117" s="199" t="s">
        <v>1162</v>
      </c>
      <c r="E117" s="200"/>
      <c r="F117" s="52" t="s">
        <v>1158</v>
      </c>
      <c r="G117" s="201"/>
      <c r="H117" s="202"/>
      <c r="I117" s="203"/>
      <c r="J117" s="204" t="s">
        <v>1061</v>
      </c>
      <c r="K117" s="205"/>
      <c r="L117" s="55">
        <v>0.4</v>
      </c>
      <c r="M117" s="188">
        <v>26.9</v>
      </c>
      <c r="N117" s="189"/>
      <c r="O117" s="56">
        <f>M117-(M117*T117)</f>
        <v>25.540725689849999</v>
      </c>
      <c r="P117" s="57">
        <f t="shared" si="14"/>
        <v>10.21629027594</v>
      </c>
      <c r="Q117" s="228"/>
      <c r="R117" s="179"/>
      <c r="T117" s="88">
        <v>5.05306435E-2</v>
      </c>
    </row>
    <row r="118" spans="1:20" ht="14.85" customHeight="1">
      <c r="A118" s="58" t="s">
        <v>1064</v>
      </c>
      <c r="B118" s="59" t="s">
        <v>1173</v>
      </c>
      <c r="C118" s="58" t="s">
        <v>1066</v>
      </c>
      <c r="D118" s="181" t="s">
        <v>1174</v>
      </c>
      <c r="E118" s="182"/>
      <c r="F118" s="58" t="s">
        <v>1068</v>
      </c>
      <c r="G118" s="183"/>
      <c r="H118" s="184"/>
      <c r="I118" s="185"/>
      <c r="J118" s="186" t="s">
        <v>1079</v>
      </c>
      <c r="K118" s="187"/>
      <c r="L118" s="60">
        <v>1</v>
      </c>
      <c r="M118" s="188">
        <v>88.08</v>
      </c>
      <c r="N118" s="189"/>
      <c r="O118" s="56">
        <f t="shared" ref="O118" si="15">M118-(M118*T118)</f>
        <v>83.629260920519997</v>
      </c>
      <c r="P118" s="57">
        <f t="shared" si="14"/>
        <v>83.629260920519997</v>
      </c>
      <c r="Q118" s="228"/>
      <c r="R118" s="179"/>
      <c r="T118" s="88">
        <v>5.05306435E-2</v>
      </c>
    </row>
    <row r="119" spans="1:20" ht="14.25" customHeight="1">
      <c r="A119" s="174" t="s">
        <v>1070</v>
      </c>
      <c r="B119" s="174"/>
      <c r="C119" s="174"/>
      <c r="D119" s="174"/>
      <c r="E119" s="174"/>
      <c r="F119" s="174"/>
      <c r="G119" s="174"/>
      <c r="H119" s="175" t="s">
        <v>1071</v>
      </c>
      <c r="I119" s="175"/>
      <c r="J119" s="175"/>
      <c r="K119" s="175"/>
      <c r="L119" s="176">
        <v>0</v>
      </c>
      <c r="M119" s="176"/>
      <c r="N119" s="177" t="s">
        <v>1072</v>
      </c>
      <c r="O119" s="177"/>
      <c r="P119" s="177"/>
      <c r="Q119" s="179"/>
      <c r="R119" s="179"/>
      <c r="T119" s="88">
        <v>5.05306435E-2</v>
      </c>
    </row>
    <row r="120" spans="1:20" ht="17.45" customHeight="1">
      <c r="A120" s="178" t="s">
        <v>1073</v>
      </c>
      <c r="B120" s="178"/>
      <c r="C120" s="178"/>
      <c r="D120" s="178"/>
      <c r="E120" s="178"/>
      <c r="F120" s="178"/>
      <c r="G120" s="178"/>
      <c r="H120" s="179"/>
      <c r="I120" s="179"/>
      <c r="J120" s="179"/>
      <c r="K120" s="179"/>
      <c r="L120" s="180" t="s">
        <v>1074</v>
      </c>
      <c r="M120" s="180"/>
      <c r="N120" s="179"/>
      <c r="O120" s="179"/>
      <c r="P120" s="179"/>
      <c r="Q120" s="179"/>
      <c r="R120" s="179"/>
      <c r="T120" s="88">
        <v>5.05306435E-2</v>
      </c>
    </row>
    <row r="121" spans="1:20" ht="28.5" customHeight="1">
      <c r="A121" s="233" t="s">
        <v>1175</v>
      </c>
      <c r="B121" s="233"/>
      <c r="C121" s="233"/>
      <c r="D121" s="233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T121" s="88">
        <v>5.05306435E-2</v>
      </c>
    </row>
    <row r="122" spans="1:20" ht="15.95" customHeight="1">
      <c r="A122" s="207"/>
      <c r="B122" s="207"/>
      <c r="C122" s="207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179"/>
      <c r="R122" s="179"/>
      <c r="T122" s="88">
        <v>5.05306435E-2</v>
      </c>
    </row>
    <row r="123" spans="1:20" ht="15.75" customHeight="1">
      <c r="A123" s="43" t="s">
        <v>1176</v>
      </c>
      <c r="B123" s="44" t="s">
        <v>3</v>
      </c>
      <c r="C123" s="43" t="s">
        <v>4</v>
      </c>
      <c r="D123" s="208" t="s">
        <v>5</v>
      </c>
      <c r="E123" s="209"/>
      <c r="F123" s="43" t="s">
        <v>1049</v>
      </c>
      <c r="G123" s="210"/>
      <c r="H123" s="211"/>
      <c r="I123" s="212"/>
      <c r="J123" s="215" t="s">
        <v>6</v>
      </c>
      <c r="K123" s="217"/>
      <c r="L123" s="44" t="s">
        <v>7</v>
      </c>
      <c r="M123" s="213" t="s">
        <v>8</v>
      </c>
      <c r="N123" s="214"/>
      <c r="O123" s="66"/>
      <c r="P123" s="44" t="s">
        <v>11</v>
      </c>
      <c r="Q123" s="228"/>
      <c r="R123" s="179"/>
      <c r="T123" s="88">
        <v>5.05306435E-2</v>
      </c>
    </row>
    <row r="124" spans="1:20" ht="15" customHeight="1">
      <c r="A124" s="47" t="s">
        <v>1051</v>
      </c>
      <c r="B124" s="48" t="s">
        <v>1177</v>
      </c>
      <c r="C124" s="47" t="s">
        <v>1053</v>
      </c>
      <c r="D124" s="190" t="s">
        <v>1178</v>
      </c>
      <c r="E124" s="191"/>
      <c r="F124" s="47" t="s">
        <v>1168</v>
      </c>
      <c r="G124" s="192"/>
      <c r="H124" s="193"/>
      <c r="I124" s="194"/>
      <c r="J124" s="195" t="s">
        <v>1079</v>
      </c>
      <c r="K124" s="196"/>
      <c r="L124" s="50">
        <v>1</v>
      </c>
      <c r="M124" s="197">
        <v>15.02</v>
      </c>
      <c r="N124" s="198"/>
      <c r="O124" s="64">
        <f>SUM(O125:O133)</f>
        <v>269.78222295590996</v>
      </c>
      <c r="P124" s="64">
        <f>SUM(P125:P133)</f>
        <v>311.71037197243311</v>
      </c>
      <c r="Q124" s="228"/>
      <c r="R124" s="179"/>
      <c r="T124" s="88">
        <v>5.05306435E-2</v>
      </c>
    </row>
    <row r="125" spans="1:20" ht="15" customHeight="1">
      <c r="A125" s="52" t="s">
        <v>1057</v>
      </c>
      <c r="B125" s="53">
        <v>88245</v>
      </c>
      <c r="C125" s="52" t="s">
        <v>1058</v>
      </c>
      <c r="D125" s="199" t="s">
        <v>1179</v>
      </c>
      <c r="E125" s="200"/>
      <c r="F125" s="52" t="s">
        <v>1158</v>
      </c>
      <c r="G125" s="201"/>
      <c r="H125" s="202"/>
      <c r="I125" s="203"/>
      <c r="J125" s="204" t="s">
        <v>1061</v>
      </c>
      <c r="K125" s="205"/>
      <c r="L125" s="55">
        <v>0.5</v>
      </c>
      <c r="M125" s="188">
        <v>26.7</v>
      </c>
      <c r="N125" s="189"/>
      <c r="O125" s="56">
        <f>M125-(M125*T125)</f>
        <v>25.350831818549999</v>
      </c>
      <c r="P125" s="57">
        <f t="shared" ref="P125:P126" si="16">O125*L125</f>
        <v>12.675415909274999</v>
      </c>
      <c r="Q125" s="228"/>
      <c r="R125" s="179"/>
      <c r="T125" s="88">
        <v>5.05306435E-2</v>
      </c>
    </row>
    <row r="126" spans="1:20" ht="15.6" customHeight="1">
      <c r="A126" s="58" t="s">
        <v>1064</v>
      </c>
      <c r="B126" s="62">
        <v>12236</v>
      </c>
      <c r="C126" s="58" t="s">
        <v>1180</v>
      </c>
      <c r="D126" s="181" t="s">
        <v>1181</v>
      </c>
      <c r="E126" s="182"/>
      <c r="F126" s="58" t="s">
        <v>1068</v>
      </c>
      <c r="G126" s="183"/>
      <c r="H126" s="184"/>
      <c r="I126" s="185"/>
      <c r="J126" s="186" t="s">
        <v>1079</v>
      </c>
      <c r="K126" s="187"/>
      <c r="L126" s="60">
        <v>1</v>
      </c>
      <c r="M126" s="188">
        <v>1.67</v>
      </c>
      <c r="N126" s="189"/>
      <c r="O126" s="56">
        <f>M126-(M126*T126)</f>
        <v>1.5856138253549998</v>
      </c>
      <c r="P126" s="57">
        <f t="shared" si="16"/>
        <v>1.5856138253549998</v>
      </c>
      <c r="Q126" s="228"/>
      <c r="R126" s="179"/>
      <c r="T126" s="88">
        <v>5.05306435E-2</v>
      </c>
    </row>
    <row r="127" spans="1:20" ht="14.25" customHeight="1">
      <c r="A127" s="174" t="s">
        <v>1070</v>
      </c>
      <c r="B127" s="174"/>
      <c r="C127" s="174"/>
      <c r="D127" s="174"/>
      <c r="E127" s="174"/>
      <c r="F127" s="174"/>
      <c r="G127" s="174"/>
      <c r="H127" s="175" t="s">
        <v>1071</v>
      </c>
      <c r="I127" s="175"/>
      <c r="J127" s="175"/>
      <c r="K127" s="175"/>
      <c r="L127" s="176">
        <v>0</v>
      </c>
      <c r="M127" s="176"/>
      <c r="N127" s="177" t="s">
        <v>1072</v>
      </c>
      <c r="O127" s="177"/>
      <c r="P127" s="177"/>
      <c r="Q127" s="179"/>
      <c r="R127" s="179"/>
      <c r="T127" s="88">
        <v>5.05306435E-2</v>
      </c>
    </row>
    <row r="128" spans="1:20" ht="20.100000000000001" customHeight="1">
      <c r="A128" s="226" t="s">
        <v>1073</v>
      </c>
      <c r="B128" s="226"/>
      <c r="C128" s="226"/>
      <c r="D128" s="226"/>
      <c r="E128" s="226"/>
      <c r="F128" s="226"/>
      <c r="G128" s="226"/>
      <c r="H128" s="227"/>
      <c r="I128" s="227"/>
      <c r="J128" s="227"/>
      <c r="K128" s="227"/>
      <c r="L128" s="206" t="s">
        <v>1074</v>
      </c>
      <c r="M128" s="206"/>
      <c r="N128" s="227"/>
      <c r="O128" s="227"/>
      <c r="P128" s="227"/>
      <c r="Q128" s="179"/>
      <c r="R128" s="179"/>
      <c r="T128" s="88">
        <v>5.05306435E-2</v>
      </c>
    </row>
    <row r="129" spans="1:20" ht="15" customHeight="1">
      <c r="A129" s="207"/>
      <c r="B129" s="207"/>
      <c r="C129" s="207"/>
      <c r="D129" s="207"/>
      <c r="E129" s="207"/>
      <c r="F129" s="207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179"/>
      <c r="R129" s="179"/>
      <c r="T129" s="88">
        <v>5.05306435E-2</v>
      </c>
    </row>
    <row r="130" spans="1:20" ht="15.75" customHeight="1">
      <c r="A130" s="43" t="s">
        <v>1182</v>
      </c>
      <c r="B130" s="44" t="s">
        <v>3</v>
      </c>
      <c r="C130" s="43" t="s">
        <v>4</v>
      </c>
      <c r="D130" s="208" t="s">
        <v>5</v>
      </c>
      <c r="E130" s="209"/>
      <c r="F130" s="43" t="s">
        <v>1049</v>
      </c>
      <c r="G130" s="210"/>
      <c r="H130" s="211"/>
      <c r="I130" s="212"/>
      <c r="J130" s="215" t="s">
        <v>6</v>
      </c>
      <c r="K130" s="217"/>
      <c r="L130" s="44" t="s">
        <v>7</v>
      </c>
      <c r="M130" s="213" t="s">
        <v>8</v>
      </c>
      <c r="N130" s="214"/>
      <c r="O130" s="66"/>
      <c r="P130" s="44" t="s">
        <v>11</v>
      </c>
      <c r="Q130" s="228"/>
      <c r="R130" s="179"/>
      <c r="T130" s="88">
        <v>5.05306435E-2</v>
      </c>
    </row>
    <row r="131" spans="1:20" ht="15" customHeight="1">
      <c r="A131" s="47" t="s">
        <v>1051</v>
      </c>
      <c r="B131" s="48" t="s">
        <v>1183</v>
      </c>
      <c r="C131" s="47" t="s">
        <v>1053</v>
      </c>
      <c r="D131" s="190" t="s">
        <v>1184</v>
      </c>
      <c r="E131" s="191"/>
      <c r="F131" s="47" t="s">
        <v>1185</v>
      </c>
      <c r="G131" s="192"/>
      <c r="H131" s="193"/>
      <c r="I131" s="194"/>
      <c r="J131" s="195" t="s">
        <v>1079</v>
      </c>
      <c r="K131" s="196"/>
      <c r="L131" s="50">
        <v>1</v>
      </c>
      <c r="M131" s="231">
        <v>222.63</v>
      </c>
      <c r="N131" s="232"/>
      <c r="O131" s="64">
        <f>SUM(O132:O140)</f>
        <v>197.062364941575</v>
      </c>
      <c r="P131" s="64">
        <f>SUM(P132:P140)</f>
        <v>211.37652698139476</v>
      </c>
      <c r="Q131" s="228"/>
      <c r="R131" s="179"/>
      <c r="T131" s="88">
        <v>5.05306435E-2</v>
      </c>
    </row>
    <row r="132" spans="1:20" ht="15.95" customHeight="1">
      <c r="A132" s="52" t="s">
        <v>1057</v>
      </c>
      <c r="B132" s="53">
        <v>88316</v>
      </c>
      <c r="C132" s="52" t="s">
        <v>1058</v>
      </c>
      <c r="D132" s="199" t="s">
        <v>1059</v>
      </c>
      <c r="E132" s="200"/>
      <c r="F132" s="52" t="s">
        <v>1158</v>
      </c>
      <c r="G132" s="201"/>
      <c r="H132" s="202"/>
      <c r="I132" s="203"/>
      <c r="J132" s="204" t="s">
        <v>1061</v>
      </c>
      <c r="K132" s="205"/>
      <c r="L132" s="55">
        <v>1.88</v>
      </c>
      <c r="M132" s="188">
        <v>21.32</v>
      </c>
      <c r="N132" s="189"/>
      <c r="O132" s="56">
        <f>M132-(M132*T132)</f>
        <v>20.24268668058</v>
      </c>
      <c r="P132" s="57">
        <f t="shared" ref="P132:P136" si="17">O132*L132</f>
        <v>38.056250959490399</v>
      </c>
      <c r="Q132" s="228"/>
      <c r="R132" s="179"/>
      <c r="T132" s="88">
        <v>5.05306435E-2</v>
      </c>
    </row>
    <row r="133" spans="1:20" ht="15" customHeight="1">
      <c r="A133" s="52" t="s">
        <v>1057</v>
      </c>
      <c r="B133" s="53">
        <v>88309</v>
      </c>
      <c r="C133" s="52" t="s">
        <v>1058</v>
      </c>
      <c r="D133" s="199" t="s">
        <v>1162</v>
      </c>
      <c r="E133" s="200"/>
      <c r="F133" s="52" t="s">
        <v>1158</v>
      </c>
      <c r="G133" s="201"/>
      <c r="H133" s="202"/>
      <c r="I133" s="203"/>
      <c r="J133" s="204" t="s">
        <v>1061</v>
      </c>
      <c r="K133" s="205"/>
      <c r="L133" s="55">
        <v>1.88</v>
      </c>
      <c r="M133" s="188">
        <v>26.9</v>
      </c>
      <c r="N133" s="189"/>
      <c r="O133" s="56">
        <f t="shared" ref="O133:O136" si="18">M133-(M133*T133)</f>
        <v>25.540725689849999</v>
      </c>
      <c r="P133" s="57">
        <f t="shared" si="17"/>
        <v>48.016564296917998</v>
      </c>
      <c r="Q133" s="228"/>
      <c r="R133" s="179"/>
      <c r="T133" s="88">
        <v>5.05306435E-2</v>
      </c>
    </row>
    <row r="134" spans="1:20" ht="15" customHeight="1">
      <c r="A134" s="58" t="s">
        <v>1064</v>
      </c>
      <c r="B134" s="62">
        <v>11639</v>
      </c>
      <c r="C134" s="58" t="s">
        <v>1180</v>
      </c>
      <c r="D134" s="181" t="s">
        <v>1186</v>
      </c>
      <c r="E134" s="182"/>
      <c r="F134" s="58" t="s">
        <v>1068</v>
      </c>
      <c r="G134" s="183"/>
      <c r="H134" s="184"/>
      <c r="I134" s="185"/>
      <c r="J134" s="186" t="s">
        <v>1187</v>
      </c>
      <c r="K134" s="187"/>
      <c r="L134" s="60">
        <v>11.12</v>
      </c>
      <c r="M134" s="188">
        <v>11.72</v>
      </c>
      <c r="N134" s="189"/>
      <c r="O134" s="56">
        <f t="shared" si="18"/>
        <v>11.127780858180001</v>
      </c>
      <c r="P134" s="57">
        <f t="shared" si="17"/>
        <v>123.74092314296161</v>
      </c>
      <c r="Q134" s="228"/>
      <c r="R134" s="179"/>
      <c r="T134" s="88">
        <v>5.05306435E-2</v>
      </c>
    </row>
    <row r="135" spans="1:20" ht="15" customHeight="1">
      <c r="A135" s="58" t="s">
        <v>1064</v>
      </c>
      <c r="B135" s="62">
        <v>367</v>
      </c>
      <c r="C135" s="58" t="s">
        <v>1058</v>
      </c>
      <c r="D135" s="181" t="s">
        <v>1188</v>
      </c>
      <c r="E135" s="182"/>
      <c r="F135" s="58" t="s">
        <v>1068</v>
      </c>
      <c r="G135" s="183"/>
      <c r="H135" s="184"/>
      <c r="I135" s="185"/>
      <c r="J135" s="186" t="s">
        <v>1164</v>
      </c>
      <c r="K135" s="187"/>
      <c r="L135" s="60">
        <v>4.0000000000000001E-3</v>
      </c>
      <c r="M135" s="247">
        <v>146.88999999999999</v>
      </c>
      <c r="N135" s="248"/>
      <c r="O135" s="56">
        <f t="shared" si="18"/>
        <v>139.467553776285</v>
      </c>
      <c r="P135" s="57">
        <f t="shared" si="17"/>
        <v>0.55787021510514001</v>
      </c>
      <c r="Q135" s="228"/>
      <c r="R135" s="179"/>
      <c r="T135" s="88">
        <v>5.05306435E-2</v>
      </c>
    </row>
    <row r="136" spans="1:20" ht="15.6" customHeight="1">
      <c r="A136" s="58" t="s">
        <v>1064</v>
      </c>
      <c r="B136" s="62">
        <v>1379</v>
      </c>
      <c r="C136" s="58" t="s">
        <v>1058</v>
      </c>
      <c r="D136" s="181" t="s">
        <v>1189</v>
      </c>
      <c r="E136" s="182"/>
      <c r="F136" s="58" t="s">
        <v>1068</v>
      </c>
      <c r="G136" s="183"/>
      <c r="H136" s="184"/>
      <c r="I136" s="185"/>
      <c r="J136" s="186" t="s">
        <v>1109</v>
      </c>
      <c r="K136" s="187"/>
      <c r="L136" s="60">
        <v>1.47</v>
      </c>
      <c r="M136" s="188">
        <v>0.72</v>
      </c>
      <c r="N136" s="189"/>
      <c r="O136" s="56">
        <f t="shared" si="18"/>
        <v>0.68361793667999993</v>
      </c>
      <c r="P136" s="57">
        <f t="shared" si="17"/>
        <v>1.0049183669195998</v>
      </c>
      <c r="Q136" s="228"/>
      <c r="R136" s="179"/>
      <c r="T136" s="88">
        <v>5.05306435E-2</v>
      </c>
    </row>
    <row r="137" spans="1:20" ht="14.25" customHeight="1">
      <c r="A137" s="174" t="s">
        <v>1070</v>
      </c>
      <c r="B137" s="174"/>
      <c r="C137" s="174"/>
      <c r="D137" s="174"/>
      <c r="E137" s="174"/>
      <c r="F137" s="174"/>
      <c r="G137" s="174"/>
      <c r="H137" s="175" t="s">
        <v>1071</v>
      </c>
      <c r="I137" s="175"/>
      <c r="J137" s="175"/>
      <c r="K137" s="175"/>
      <c r="L137" s="176">
        <v>0</v>
      </c>
      <c r="M137" s="176"/>
      <c r="N137" s="177" t="s">
        <v>1072</v>
      </c>
      <c r="O137" s="177"/>
      <c r="P137" s="177"/>
      <c r="Q137" s="179"/>
      <c r="R137" s="179"/>
      <c r="T137" s="88">
        <v>5.05306435E-2</v>
      </c>
    </row>
    <row r="138" spans="1:20" ht="17.100000000000001" customHeight="1">
      <c r="A138" s="226" t="s">
        <v>1073</v>
      </c>
      <c r="B138" s="226"/>
      <c r="C138" s="226"/>
      <c r="D138" s="226"/>
      <c r="E138" s="226"/>
      <c r="F138" s="226"/>
      <c r="G138" s="226"/>
      <c r="H138" s="227"/>
      <c r="I138" s="227"/>
      <c r="J138" s="227"/>
      <c r="K138" s="227"/>
      <c r="L138" s="206" t="s">
        <v>1074</v>
      </c>
      <c r="M138" s="206"/>
      <c r="N138" s="227"/>
      <c r="O138" s="227"/>
      <c r="P138" s="227"/>
      <c r="Q138" s="179"/>
      <c r="R138" s="179"/>
      <c r="T138" s="88">
        <v>5.05306435E-2</v>
      </c>
    </row>
    <row r="139" spans="1:20" ht="15" customHeight="1">
      <c r="A139" s="207"/>
      <c r="B139" s="207"/>
      <c r="C139" s="207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179"/>
      <c r="R139" s="179"/>
      <c r="T139" s="88">
        <v>5.05306435E-2</v>
      </c>
    </row>
    <row r="140" spans="1:20" ht="15.75" customHeight="1">
      <c r="A140" s="43" t="s">
        <v>1190</v>
      </c>
      <c r="B140" s="44" t="s">
        <v>3</v>
      </c>
      <c r="C140" s="43" t="s">
        <v>4</v>
      </c>
      <c r="D140" s="208" t="s">
        <v>5</v>
      </c>
      <c r="E140" s="209"/>
      <c r="F140" s="43" t="s">
        <v>1049</v>
      </c>
      <c r="G140" s="210"/>
      <c r="H140" s="211"/>
      <c r="I140" s="212"/>
      <c r="J140" s="215" t="s">
        <v>6</v>
      </c>
      <c r="K140" s="217"/>
      <c r="L140" s="44" t="s">
        <v>7</v>
      </c>
      <c r="M140" s="213" t="s">
        <v>8</v>
      </c>
      <c r="N140" s="214"/>
      <c r="O140" s="66"/>
      <c r="P140" s="44" t="s">
        <v>11</v>
      </c>
      <c r="Q140" s="228"/>
      <c r="R140" s="179"/>
      <c r="T140" s="88">
        <v>5.05306435E-2</v>
      </c>
    </row>
    <row r="141" spans="1:20" ht="15" customHeight="1">
      <c r="A141" s="47" t="s">
        <v>1051</v>
      </c>
      <c r="B141" s="48" t="s">
        <v>1191</v>
      </c>
      <c r="C141" s="47" t="s">
        <v>1053</v>
      </c>
      <c r="D141" s="190" t="s">
        <v>1192</v>
      </c>
      <c r="E141" s="191"/>
      <c r="F141" s="47" t="s">
        <v>1185</v>
      </c>
      <c r="G141" s="192"/>
      <c r="H141" s="193"/>
      <c r="I141" s="194"/>
      <c r="J141" s="195" t="s">
        <v>1079</v>
      </c>
      <c r="K141" s="196"/>
      <c r="L141" s="50">
        <v>1</v>
      </c>
      <c r="M141" s="231">
        <v>113.39</v>
      </c>
      <c r="N141" s="232"/>
      <c r="O141" s="64">
        <f>SUM(O142:O150)</f>
        <v>84.398331099285002</v>
      </c>
      <c r="P141" s="64">
        <f>SUM(P142:P150)</f>
        <v>103.11947034880919</v>
      </c>
      <c r="Q141" s="228"/>
      <c r="R141" s="179"/>
      <c r="T141" s="88">
        <v>5.05306435E-2</v>
      </c>
    </row>
    <row r="142" spans="1:20" ht="15" customHeight="1">
      <c r="A142" s="52" t="s">
        <v>1057</v>
      </c>
      <c r="B142" s="53">
        <v>88316</v>
      </c>
      <c r="C142" s="52" t="s">
        <v>1058</v>
      </c>
      <c r="D142" s="199" t="s">
        <v>1059</v>
      </c>
      <c r="E142" s="200"/>
      <c r="F142" s="52" t="s">
        <v>1158</v>
      </c>
      <c r="G142" s="201"/>
      <c r="H142" s="202"/>
      <c r="I142" s="203"/>
      <c r="J142" s="204" t="s">
        <v>1061</v>
      </c>
      <c r="K142" s="205"/>
      <c r="L142" s="55">
        <v>0.19500000000000001</v>
      </c>
      <c r="M142" s="188">
        <v>21.32</v>
      </c>
      <c r="N142" s="189"/>
      <c r="O142" s="56">
        <f>M142-(M142*T142)</f>
        <v>20.24268668058</v>
      </c>
      <c r="P142" s="57">
        <f t="shared" ref="P142:P152" si="19">O142*L142</f>
        <v>3.9473239027131002</v>
      </c>
      <c r="Q142" s="228"/>
      <c r="R142" s="179"/>
      <c r="T142" s="88">
        <v>5.05306435E-2</v>
      </c>
    </row>
    <row r="143" spans="1:20" ht="15" customHeight="1">
      <c r="A143" s="52" t="s">
        <v>1057</v>
      </c>
      <c r="B143" s="53">
        <v>88278</v>
      </c>
      <c r="C143" s="52" t="s">
        <v>1058</v>
      </c>
      <c r="D143" s="199" t="s">
        <v>1193</v>
      </c>
      <c r="E143" s="200"/>
      <c r="F143" s="52" t="s">
        <v>1158</v>
      </c>
      <c r="G143" s="201"/>
      <c r="H143" s="202"/>
      <c r="I143" s="203"/>
      <c r="J143" s="204" t="s">
        <v>1061</v>
      </c>
      <c r="K143" s="205"/>
      <c r="L143" s="55">
        <v>0.59499999999999997</v>
      </c>
      <c r="M143" s="188">
        <v>21.17</v>
      </c>
      <c r="N143" s="189"/>
      <c r="O143" s="56">
        <f t="shared" ref="O143:O152" si="20">M143-(M143*T143)</f>
        <v>20.100266277105</v>
      </c>
      <c r="P143" s="57">
        <f t="shared" si="19"/>
        <v>11.959658434877474</v>
      </c>
      <c r="Q143" s="228"/>
      <c r="R143" s="179"/>
      <c r="T143" s="88">
        <v>5.05306435E-2</v>
      </c>
    </row>
    <row r="144" spans="1:20" ht="15.95" customHeight="1">
      <c r="A144" s="58" t="s">
        <v>1064</v>
      </c>
      <c r="B144" s="62">
        <v>39419</v>
      </c>
      <c r="C144" s="58" t="s">
        <v>1058</v>
      </c>
      <c r="D144" s="181" t="s">
        <v>1194</v>
      </c>
      <c r="E144" s="182"/>
      <c r="F144" s="58" t="s">
        <v>1068</v>
      </c>
      <c r="G144" s="183"/>
      <c r="H144" s="184"/>
      <c r="I144" s="185"/>
      <c r="J144" s="186" t="s">
        <v>1107</v>
      </c>
      <c r="K144" s="187"/>
      <c r="L144" s="60">
        <v>0.91169999999999995</v>
      </c>
      <c r="M144" s="188">
        <v>7.41</v>
      </c>
      <c r="N144" s="189"/>
      <c r="O144" s="56">
        <f t="shared" si="20"/>
        <v>7.0355679316649997</v>
      </c>
      <c r="P144" s="57">
        <f t="shared" si="19"/>
        <v>6.4143272832989799</v>
      </c>
      <c r="Q144" s="228"/>
      <c r="R144" s="179"/>
      <c r="T144" s="88">
        <v>5.05306435E-2</v>
      </c>
    </row>
    <row r="145" spans="1:20" ht="15" customHeight="1">
      <c r="A145" s="58" t="s">
        <v>1064</v>
      </c>
      <c r="B145" s="62">
        <v>39422</v>
      </c>
      <c r="C145" s="58" t="s">
        <v>1058</v>
      </c>
      <c r="D145" s="181" t="s">
        <v>1195</v>
      </c>
      <c r="E145" s="182"/>
      <c r="F145" s="58" t="s">
        <v>1068</v>
      </c>
      <c r="G145" s="183"/>
      <c r="H145" s="184"/>
      <c r="I145" s="185"/>
      <c r="J145" s="186" t="s">
        <v>1107</v>
      </c>
      <c r="K145" s="187"/>
      <c r="L145" s="60">
        <v>2.9138999999999999</v>
      </c>
      <c r="M145" s="188">
        <v>8.41</v>
      </c>
      <c r="N145" s="189"/>
      <c r="O145" s="56">
        <f t="shared" si="20"/>
        <v>7.9850372881650005</v>
      </c>
      <c r="P145" s="57">
        <f t="shared" si="19"/>
        <v>23.267600153983995</v>
      </c>
      <c r="Q145" s="228"/>
      <c r="R145" s="179"/>
      <c r="T145" s="88">
        <v>5.05306435E-2</v>
      </c>
    </row>
    <row r="146" spans="1:20" ht="15" customHeight="1">
      <c r="A146" s="58" t="s">
        <v>1064</v>
      </c>
      <c r="B146" s="62">
        <v>39432</v>
      </c>
      <c r="C146" s="58" t="s">
        <v>1058</v>
      </c>
      <c r="D146" s="181" t="s">
        <v>1196</v>
      </c>
      <c r="E146" s="182"/>
      <c r="F146" s="58" t="s">
        <v>1068</v>
      </c>
      <c r="G146" s="183"/>
      <c r="H146" s="184"/>
      <c r="I146" s="185"/>
      <c r="J146" s="186" t="s">
        <v>1107</v>
      </c>
      <c r="K146" s="187"/>
      <c r="L146" s="60">
        <v>0.79249999999999998</v>
      </c>
      <c r="M146" s="188">
        <v>2.9</v>
      </c>
      <c r="N146" s="189"/>
      <c r="O146" s="56">
        <f t="shared" si="20"/>
        <v>2.7534611338500001</v>
      </c>
      <c r="P146" s="57">
        <f t="shared" si="19"/>
        <v>2.1821179485761251</v>
      </c>
      <c r="Q146" s="228"/>
      <c r="R146" s="179"/>
      <c r="T146" s="88">
        <v>5.05306435E-2</v>
      </c>
    </row>
    <row r="147" spans="1:20" ht="15" customHeight="1">
      <c r="A147" s="58" t="s">
        <v>1064</v>
      </c>
      <c r="B147" s="62">
        <v>37586</v>
      </c>
      <c r="C147" s="58" t="s">
        <v>1058</v>
      </c>
      <c r="D147" s="181" t="s">
        <v>1197</v>
      </c>
      <c r="E147" s="182"/>
      <c r="F147" s="58" t="s">
        <v>1068</v>
      </c>
      <c r="G147" s="183"/>
      <c r="H147" s="184"/>
      <c r="I147" s="185"/>
      <c r="J147" s="242" t="s">
        <v>1198</v>
      </c>
      <c r="K147" s="243"/>
      <c r="L147" s="60">
        <v>2.9600000000000001E-2</v>
      </c>
      <c r="M147" s="188">
        <v>0</v>
      </c>
      <c r="N147" s="189"/>
      <c r="O147" s="56">
        <f t="shared" si="20"/>
        <v>0</v>
      </c>
      <c r="P147" s="57">
        <f t="shared" si="19"/>
        <v>0</v>
      </c>
      <c r="Q147" s="228"/>
      <c r="R147" s="179"/>
      <c r="T147" s="88">
        <v>5.05306435E-2</v>
      </c>
    </row>
    <row r="148" spans="1:20" ht="15" customHeight="1">
      <c r="A148" s="58" t="s">
        <v>1064</v>
      </c>
      <c r="B148" s="62">
        <v>39443</v>
      </c>
      <c r="C148" s="58" t="s">
        <v>1058</v>
      </c>
      <c r="D148" s="181" t="s">
        <v>1199</v>
      </c>
      <c r="E148" s="182"/>
      <c r="F148" s="58" t="s">
        <v>1068</v>
      </c>
      <c r="G148" s="183"/>
      <c r="H148" s="184"/>
      <c r="I148" s="185"/>
      <c r="J148" s="186" t="s">
        <v>1085</v>
      </c>
      <c r="K148" s="187"/>
      <c r="L148" s="60">
        <v>0.54410000000000003</v>
      </c>
      <c r="M148" s="188">
        <v>0</v>
      </c>
      <c r="N148" s="189"/>
      <c r="O148" s="56">
        <f t="shared" si="20"/>
        <v>0</v>
      </c>
      <c r="P148" s="57">
        <f t="shared" si="19"/>
        <v>0</v>
      </c>
      <c r="Q148" s="228"/>
      <c r="R148" s="179"/>
      <c r="T148" s="88">
        <v>5.05306435E-2</v>
      </c>
    </row>
    <row r="149" spans="1:20" ht="15" customHeight="1">
      <c r="A149" s="58" t="s">
        <v>1064</v>
      </c>
      <c r="B149" s="62">
        <v>39417</v>
      </c>
      <c r="C149" s="58" t="s">
        <v>1058</v>
      </c>
      <c r="D149" s="181" t="s">
        <v>1200</v>
      </c>
      <c r="E149" s="182"/>
      <c r="F149" s="58" t="s">
        <v>1068</v>
      </c>
      <c r="G149" s="183"/>
      <c r="H149" s="184"/>
      <c r="I149" s="185"/>
      <c r="J149" s="186" t="s">
        <v>1079</v>
      </c>
      <c r="K149" s="187"/>
      <c r="L149" s="60">
        <v>2.1059999999999999</v>
      </c>
      <c r="M149" s="188">
        <v>27.68</v>
      </c>
      <c r="N149" s="189"/>
      <c r="O149" s="56">
        <f t="shared" si="20"/>
        <v>26.28131178792</v>
      </c>
      <c r="P149" s="57">
        <f t="shared" si="19"/>
        <v>55.348442625359517</v>
      </c>
      <c r="Q149" s="228"/>
      <c r="R149" s="179"/>
      <c r="T149" s="88">
        <v>5.05306435E-2</v>
      </c>
    </row>
    <row r="150" spans="1:20" ht="15" customHeight="1">
      <c r="A150" s="58" t="s">
        <v>1064</v>
      </c>
      <c r="B150" s="62">
        <v>39435</v>
      </c>
      <c r="C150" s="58" t="s">
        <v>1058</v>
      </c>
      <c r="D150" s="181" t="s">
        <v>1201</v>
      </c>
      <c r="E150" s="182"/>
      <c r="F150" s="58" t="s">
        <v>1068</v>
      </c>
      <c r="G150" s="183"/>
      <c r="H150" s="184"/>
      <c r="I150" s="185"/>
      <c r="J150" s="186" t="s">
        <v>1085</v>
      </c>
      <c r="K150" s="187"/>
      <c r="L150" s="60">
        <v>20.186800000000002</v>
      </c>
      <c r="M150" s="188">
        <v>0</v>
      </c>
      <c r="N150" s="189"/>
      <c r="O150" s="56">
        <f t="shared" si="20"/>
        <v>0</v>
      </c>
      <c r="P150" s="57">
        <f t="shared" si="19"/>
        <v>0</v>
      </c>
      <c r="Q150" s="228"/>
      <c r="R150" s="179"/>
      <c r="T150" s="88">
        <v>5.05306435E-2</v>
      </c>
    </row>
    <row r="151" spans="1:20" ht="15.95" customHeight="1">
      <c r="A151" s="58" t="s">
        <v>1064</v>
      </c>
      <c r="B151" s="62">
        <v>39431</v>
      </c>
      <c r="C151" s="58" t="s">
        <v>1058</v>
      </c>
      <c r="D151" s="181" t="s">
        <v>1202</v>
      </c>
      <c r="E151" s="182"/>
      <c r="F151" s="58" t="s">
        <v>1068</v>
      </c>
      <c r="G151" s="183"/>
      <c r="H151" s="184"/>
      <c r="I151" s="185"/>
      <c r="J151" s="186" t="s">
        <v>1107</v>
      </c>
      <c r="K151" s="187"/>
      <c r="L151" s="60">
        <v>2.5026999999999999</v>
      </c>
      <c r="M151" s="188">
        <v>0.32</v>
      </c>
      <c r="N151" s="189"/>
      <c r="O151" s="56">
        <f t="shared" si="20"/>
        <v>0.30383019408</v>
      </c>
      <c r="P151" s="57">
        <f t="shared" si="19"/>
        <v>0.76039582672401596</v>
      </c>
      <c r="Q151" s="228"/>
      <c r="R151" s="179"/>
      <c r="T151" s="88">
        <v>5.05306435E-2</v>
      </c>
    </row>
    <row r="152" spans="1:20" ht="14.85" customHeight="1">
      <c r="A152" s="58" t="s">
        <v>1064</v>
      </c>
      <c r="B152" s="62">
        <v>39434</v>
      </c>
      <c r="C152" s="58" t="s">
        <v>1058</v>
      </c>
      <c r="D152" s="181" t="s">
        <v>1203</v>
      </c>
      <c r="E152" s="182"/>
      <c r="F152" s="58" t="s">
        <v>1098</v>
      </c>
      <c r="G152" s="183"/>
      <c r="H152" s="184"/>
      <c r="I152" s="185"/>
      <c r="J152" s="186" t="s">
        <v>1109</v>
      </c>
      <c r="K152" s="187"/>
      <c r="L152" s="60">
        <v>1.0978000000000001</v>
      </c>
      <c r="M152" s="188">
        <v>3.63</v>
      </c>
      <c r="N152" s="189"/>
      <c r="O152" s="56">
        <f t="shared" si="20"/>
        <v>3.446573764095</v>
      </c>
      <c r="P152" s="57">
        <f t="shared" si="19"/>
        <v>3.7836486782234915</v>
      </c>
      <c r="Q152" s="228"/>
      <c r="R152" s="179"/>
      <c r="T152" s="88">
        <v>5.05306435E-2</v>
      </c>
    </row>
    <row r="153" spans="1:20" ht="14.25" customHeight="1">
      <c r="A153" s="174" t="s">
        <v>1070</v>
      </c>
      <c r="B153" s="174"/>
      <c r="C153" s="174"/>
      <c r="D153" s="174"/>
      <c r="E153" s="174"/>
      <c r="F153" s="174"/>
      <c r="G153" s="174"/>
      <c r="H153" s="175" t="s">
        <v>1071</v>
      </c>
      <c r="I153" s="175"/>
      <c r="J153" s="175"/>
      <c r="K153" s="175"/>
      <c r="L153" s="176">
        <v>0</v>
      </c>
      <c r="M153" s="176"/>
      <c r="N153" s="177" t="s">
        <v>1072</v>
      </c>
      <c r="O153" s="177"/>
      <c r="P153" s="177"/>
      <c r="Q153" s="179"/>
      <c r="R153" s="179"/>
      <c r="T153" s="88">
        <v>5.05306435E-2</v>
      </c>
    </row>
    <row r="154" spans="1:20" ht="17.45" customHeight="1">
      <c r="A154" s="178" t="s">
        <v>1073</v>
      </c>
      <c r="B154" s="178"/>
      <c r="C154" s="178"/>
      <c r="D154" s="178"/>
      <c r="E154" s="178"/>
      <c r="F154" s="178"/>
      <c r="G154" s="178"/>
      <c r="H154" s="179"/>
      <c r="I154" s="179"/>
      <c r="J154" s="179"/>
      <c r="K154" s="179"/>
      <c r="L154" s="180" t="s">
        <v>1074</v>
      </c>
      <c r="M154" s="180"/>
      <c r="N154" s="179"/>
      <c r="O154" s="179"/>
      <c r="P154" s="179"/>
      <c r="Q154" s="179"/>
      <c r="R154" s="179"/>
      <c r="T154" s="88">
        <v>5.05306435E-2</v>
      </c>
    </row>
    <row r="155" spans="1:20" ht="28.5" customHeight="1">
      <c r="A155" s="233" t="s">
        <v>1204</v>
      </c>
      <c r="B155" s="233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T155" s="88">
        <v>5.05306435E-2</v>
      </c>
    </row>
    <row r="156" spans="1:20" ht="15.95" customHeight="1">
      <c r="A156" s="207"/>
      <c r="B156" s="207"/>
      <c r="C156" s="207"/>
      <c r="D156" s="207"/>
      <c r="E156" s="207"/>
      <c r="F156" s="207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179"/>
      <c r="R156" s="179"/>
      <c r="T156" s="88">
        <v>5.05306435E-2</v>
      </c>
    </row>
    <row r="157" spans="1:20" ht="15.75" customHeight="1">
      <c r="A157" s="43" t="s">
        <v>1205</v>
      </c>
      <c r="B157" s="44" t="s">
        <v>3</v>
      </c>
      <c r="C157" s="43" t="s">
        <v>4</v>
      </c>
      <c r="D157" s="208" t="s">
        <v>5</v>
      </c>
      <c r="E157" s="209"/>
      <c r="F157" s="43" t="s">
        <v>1049</v>
      </c>
      <c r="G157" s="210"/>
      <c r="H157" s="211"/>
      <c r="I157" s="212"/>
      <c r="J157" s="215" t="s">
        <v>6</v>
      </c>
      <c r="K157" s="217"/>
      <c r="L157" s="44" t="s">
        <v>7</v>
      </c>
      <c r="M157" s="213" t="s">
        <v>8</v>
      </c>
      <c r="N157" s="214"/>
      <c r="O157" s="66"/>
      <c r="P157" s="44" t="s">
        <v>11</v>
      </c>
      <c r="Q157" s="228"/>
      <c r="R157" s="179"/>
      <c r="T157" s="88">
        <v>5.05306435E-2</v>
      </c>
    </row>
    <row r="158" spans="1:20" ht="15" customHeight="1">
      <c r="A158" s="47" t="s">
        <v>1051</v>
      </c>
      <c r="B158" s="48" t="s">
        <v>1206</v>
      </c>
      <c r="C158" s="47" t="s">
        <v>1053</v>
      </c>
      <c r="D158" s="190" t="s">
        <v>1207</v>
      </c>
      <c r="E158" s="191"/>
      <c r="F158" s="47" t="s">
        <v>1185</v>
      </c>
      <c r="G158" s="192"/>
      <c r="H158" s="193"/>
      <c r="I158" s="194"/>
      <c r="J158" s="195" t="s">
        <v>1079</v>
      </c>
      <c r="K158" s="196"/>
      <c r="L158" s="50">
        <v>1</v>
      </c>
      <c r="M158" s="231">
        <v>183.49</v>
      </c>
      <c r="N158" s="232"/>
      <c r="O158" s="64">
        <f>SUM(O159:O166)</f>
        <v>134.92909025221499</v>
      </c>
      <c r="P158" s="64">
        <f>SUM(P159:P166)</f>
        <v>140.75042360050384</v>
      </c>
      <c r="Q158" s="228"/>
      <c r="R158" s="179"/>
      <c r="T158" s="88">
        <v>5.05306435E-2</v>
      </c>
    </row>
    <row r="159" spans="1:20" ht="15" customHeight="1">
      <c r="A159" s="52" t="s">
        <v>1057</v>
      </c>
      <c r="B159" s="53">
        <v>88278</v>
      </c>
      <c r="C159" s="52" t="s">
        <v>1058</v>
      </c>
      <c r="D159" s="199" t="s">
        <v>1193</v>
      </c>
      <c r="E159" s="200"/>
      <c r="F159" s="52" t="s">
        <v>1158</v>
      </c>
      <c r="G159" s="201"/>
      <c r="H159" s="202"/>
      <c r="I159" s="203"/>
      <c r="J159" s="204" t="s">
        <v>1061</v>
      </c>
      <c r="K159" s="205"/>
      <c r="L159" s="55">
        <v>0.59499999999999997</v>
      </c>
      <c r="M159" s="188">
        <v>21.17</v>
      </c>
      <c r="N159" s="189"/>
      <c r="O159" s="56">
        <f>M159-(M159*T159)</f>
        <v>20.100266277105</v>
      </c>
      <c r="P159" s="57">
        <f t="shared" ref="P159:P170" si="21">O159*L159</f>
        <v>11.959658434877474</v>
      </c>
      <c r="Q159" s="228"/>
      <c r="R159" s="179"/>
      <c r="T159" s="88">
        <v>5.05306435E-2</v>
      </c>
    </row>
    <row r="160" spans="1:20" ht="15" customHeight="1">
      <c r="A160" s="52" t="s">
        <v>1057</v>
      </c>
      <c r="B160" s="53">
        <v>88316</v>
      </c>
      <c r="C160" s="52" t="s">
        <v>1058</v>
      </c>
      <c r="D160" s="199" t="s">
        <v>1059</v>
      </c>
      <c r="E160" s="200"/>
      <c r="F160" s="52" t="s">
        <v>1158</v>
      </c>
      <c r="G160" s="201"/>
      <c r="H160" s="202"/>
      <c r="I160" s="203"/>
      <c r="J160" s="204" t="s">
        <v>1061</v>
      </c>
      <c r="K160" s="205"/>
      <c r="L160" s="55">
        <v>0.19500000000000001</v>
      </c>
      <c r="M160" s="188">
        <v>21.32</v>
      </c>
      <c r="N160" s="189"/>
      <c r="O160" s="56">
        <f t="shared" ref="O160:O170" si="22">M160-(M160*T160)</f>
        <v>20.24268668058</v>
      </c>
      <c r="P160" s="57">
        <f t="shared" si="21"/>
        <v>3.9473239027131002</v>
      </c>
      <c r="Q160" s="228"/>
      <c r="R160" s="179"/>
      <c r="T160" s="88">
        <v>5.05306435E-2</v>
      </c>
    </row>
    <row r="161" spans="1:20" ht="15" customHeight="1">
      <c r="A161" s="52" t="s">
        <v>1057</v>
      </c>
      <c r="B161" s="53">
        <v>1979</v>
      </c>
      <c r="C161" s="52" t="s">
        <v>1180</v>
      </c>
      <c r="D161" s="199" t="s">
        <v>1208</v>
      </c>
      <c r="E161" s="200"/>
      <c r="F161" s="52" t="s">
        <v>1209</v>
      </c>
      <c r="G161" s="201"/>
      <c r="H161" s="202"/>
      <c r="I161" s="203"/>
      <c r="J161" s="204" t="s">
        <v>1079</v>
      </c>
      <c r="K161" s="205"/>
      <c r="L161" s="55">
        <v>1.02</v>
      </c>
      <c r="M161" s="188">
        <v>68.72</v>
      </c>
      <c r="N161" s="189"/>
      <c r="O161" s="56">
        <f t="shared" si="22"/>
        <v>65.247534178679999</v>
      </c>
      <c r="P161" s="57">
        <f t="shared" si="21"/>
        <v>66.552484862253607</v>
      </c>
      <c r="Q161" s="228"/>
      <c r="R161" s="179"/>
      <c r="T161" s="88">
        <v>5.05306435E-2</v>
      </c>
    </row>
    <row r="162" spans="1:20" ht="15.95" customHeight="1">
      <c r="A162" s="58" t="s">
        <v>1064</v>
      </c>
      <c r="B162" s="62">
        <v>39435</v>
      </c>
      <c r="C162" s="58" t="s">
        <v>1058</v>
      </c>
      <c r="D162" s="181" t="s">
        <v>1201</v>
      </c>
      <c r="E162" s="182"/>
      <c r="F162" s="58" t="s">
        <v>1068</v>
      </c>
      <c r="G162" s="183"/>
      <c r="H162" s="184"/>
      <c r="I162" s="185"/>
      <c r="J162" s="186" t="s">
        <v>1085</v>
      </c>
      <c r="K162" s="187"/>
      <c r="L162" s="60">
        <v>20.186800000000002</v>
      </c>
      <c r="M162" s="188">
        <v>0</v>
      </c>
      <c r="N162" s="189"/>
      <c r="O162" s="56">
        <f t="shared" si="22"/>
        <v>0</v>
      </c>
      <c r="P162" s="57">
        <f t="shared" si="21"/>
        <v>0</v>
      </c>
      <c r="Q162" s="228"/>
      <c r="R162" s="179"/>
      <c r="T162" s="88">
        <v>5.05306435E-2</v>
      </c>
    </row>
    <row r="163" spans="1:20" ht="15" customHeight="1">
      <c r="A163" s="58" t="s">
        <v>1064</v>
      </c>
      <c r="B163" s="62">
        <v>39431</v>
      </c>
      <c r="C163" s="58" t="s">
        <v>1058</v>
      </c>
      <c r="D163" s="181" t="s">
        <v>1202</v>
      </c>
      <c r="E163" s="182"/>
      <c r="F163" s="58" t="s">
        <v>1068</v>
      </c>
      <c r="G163" s="183"/>
      <c r="H163" s="184"/>
      <c r="I163" s="185"/>
      <c r="J163" s="186" t="s">
        <v>1107</v>
      </c>
      <c r="K163" s="187"/>
      <c r="L163" s="60">
        <v>2.5026999999999999</v>
      </c>
      <c r="M163" s="188">
        <v>0.32</v>
      </c>
      <c r="N163" s="189"/>
      <c r="O163" s="56">
        <f t="shared" si="22"/>
        <v>0.30383019408</v>
      </c>
      <c r="P163" s="57">
        <f t="shared" si="21"/>
        <v>0.76039582672401596</v>
      </c>
      <c r="Q163" s="228"/>
      <c r="R163" s="179"/>
      <c r="T163" s="88">
        <v>5.05306435E-2</v>
      </c>
    </row>
    <row r="164" spans="1:20" ht="15" customHeight="1">
      <c r="A164" s="58" t="s">
        <v>1064</v>
      </c>
      <c r="B164" s="62">
        <v>39432</v>
      </c>
      <c r="C164" s="58" t="s">
        <v>1058</v>
      </c>
      <c r="D164" s="181" t="s">
        <v>1196</v>
      </c>
      <c r="E164" s="182"/>
      <c r="F164" s="58" t="s">
        <v>1068</v>
      </c>
      <c r="G164" s="183"/>
      <c r="H164" s="184"/>
      <c r="I164" s="185"/>
      <c r="J164" s="186" t="s">
        <v>1107</v>
      </c>
      <c r="K164" s="187"/>
      <c r="L164" s="60">
        <v>0.79249999999999998</v>
      </c>
      <c r="M164" s="188">
        <v>2.9</v>
      </c>
      <c r="N164" s="189"/>
      <c r="O164" s="56">
        <f t="shared" si="22"/>
        <v>2.7534611338500001</v>
      </c>
      <c r="P164" s="57">
        <f t="shared" si="21"/>
        <v>2.1821179485761251</v>
      </c>
      <c r="Q164" s="228"/>
      <c r="R164" s="179"/>
      <c r="T164" s="88">
        <v>5.05306435E-2</v>
      </c>
    </row>
    <row r="165" spans="1:20" ht="15" customHeight="1">
      <c r="A165" s="58" t="s">
        <v>1064</v>
      </c>
      <c r="B165" s="62">
        <v>37586</v>
      </c>
      <c r="C165" s="58" t="s">
        <v>1058</v>
      </c>
      <c r="D165" s="181" t="s">
        <v>1197</v>
      </c>
      <c r="E165" s="182"/>
      <c r="F165" s="58" t="s">
        <v>1068</v>
      </c>
      <c r="G165" s="183"/>
      <c r="H165" s="184"/>
      <c r="I165" s="185"/>
      <c r="J165" s="242" t="s">
        <v>1198</v>
      </c>
      <c r="K165" s="243"/>
      <c r="L165" s="60">
        <v>2.9600000000000001E-2</v>
      </c>
      <c r="M165" s="188">
        <v>0</v>
      </c>
      <c r="N165" s="189"/>
      <c r="O165" s="56">
        <f t="shared" si="22"/>
        <v>0</v>
      </c>
      <c r="P165" s="57">
        <f t="shared" si="21"/>
        <v>0</v>
      </c>
      <c r="Q165" s="228"/>
      <c r="R165" s="179"/>
      <c r="T165" s="88">
        <v>5.05306435E-2</v>
      </c>
    </row>
    <row r="166" spans="1:20" ht="15.75" customHeight="1">
      <c r="A166" s="58" t="s">
        <v>1064</v>
      </c>
      <c r="B166" s="62">
        <v>39417</v>
      </c>
      <c r="C166" s="58" t="s">
        <v>1058</v>
      </c>
      <c r="D166" s="181" t="s">
        <v>1200</v>
      </c>
      <c r="E166" s="182"/>
      <c r="F166" s="58" t="s">
        <v>1068</v>
      </c>
      <c r="G166" s="183"/>
      <c r="H166" s="184"/>
      <c r="I166" s="185"/>
      <c r="J166" s="186" t="s">
        <v>1079</v>
      </c>
      <c r="K166" s="187"/>
      <c r="L166" s="60">
        <v>2.1059999999999999</v>
      </c>
      <c r="M166" s="188">
        <v>27.68</v>
      </c>
      <c r="N166" s="189"/>
      <c r="O166" s="56">
        <f t="shared" si="22"/>
        <v>26.28131178792</v>
      </c>
      <c r="P166" s="57">
        <f t="shared" si="21"/>
        <v>55.348442625359517</v>
      </c>
      <c r="Q166" s="228"/>
      <c r="R166" s="179"/>
      <c r="T166" s="88">
        <v>5.05306435E-2</v>
      </c>
    </row>
    <row r="167" spans="1:20" ht="14.45" customHeight="1">
      <c r="A167" s="58" t="s">
        <v>1064</v>
      </c>
      <c r="B167" s="62">
        <v>39419</v>
      </c>
      <c r="C167" s="58" t="s">
        <v>1058</v>
      </c>
      <c r="D167" s="181" t="s">
        <v>1194</v>
      </c>
      <c r="E167" s="182"/>
      <c r="F167" s="58" t="s">
        <v>1068</v>
      </c>
      <c r="G167" s="183"/>
      <c r="H167" s="184"/>
      <c r="I167" s="185"/>
      <c r="J167" s="186" t="s">
        <v>1107</v>
      </c>
      <c r="K167" s="187"/>
      <c r="L167" s="60">
        <v>0.91169999999999995</v>
      </c>
      <c r="M167" s="188">
        <v>7.41</v>
      </c>
      <c r="N167" s="189"/>
      <c r="O167" s="56">
        <f t="shared" si="22"/>
        <v>7.0355679316649997</v>
      </c>
      <c r="P167" s="57">
        <f t="shared" si="21"/>
        <v>6.4143272832989799</v>
      </c>
      <c r="Q167" s="228"/>
      <c r="R167" s="179"/>
      <c r="T167" s="88">
        <v>5.05306435E-2</v>
      </c>
    </row>
    <row r="168" spans="1:20" ht="15.95" customHeight="1">
      <c r="A168" s="58" t="s">
        <v>1064</v>
      </c>
      <c r="B168" s="62">
        <v>39422</v>
      </c>
      <c r="C168" s="58" t="s">
        <v>1058</v>
      </c>
      <c r="D168" s="181" t="s">
        <v>1195</v>
      </c>
      <c r="E168" s="182"/>
      <c r="F168" s="58" t="s">
        <v>1068</v>
      </c>
      <c r="G168" s="183"/>
      <c r="H168" s="184"/>
      <c r="I168" s="185"/>
      <c r="J168" s="186" t="s">
        <v>1107</v>
      </c>
      <c r="K168" s="187"/>
      <c r="L168" s="60">
        <v>2.9138999999999999</v>
      </c>
      <c r="M168" s="188">
        <v>8.41</v>
      </c>
      <c r="N168" s="189"/>
      <c r="O168" s="56">
        <f t="shared" si="22"/>
        <v>7.9850372881650005</v>
      </c>
      <c r="P168" s="57">
        <f t="shared" si="21"/>
        <v>23.267600153983995</v>
      </c>
      <c r="Q168" s="228"/>
      <c r="R168" s="179"/>
      <c r="T168" s="88">
        <v>5.05306435E-2</v>
      </c>
    </row>
    <row r="169" spans="1:20" ht="15" customHeight="1">
      <c r="A169" s="58" t="s">
        <v>1064</v>
      </c>
      <c r="B169" s="62">
        <v>39443</v>
      </c>
      <c r="C169" s="58" t="s">
        <v>1058</v>
      </c>
      <c r="D169" s="181" t="s">
        <v>1199</v>
      </c>
      <c r="E169" s="182"/>
      <c r="F169" s="58" t="s">
        <v>1068</v>
      </c>
      <c r="G169" s="183"/>
      <c r="H169" s="184"/>
      <c r="I169" s="185"/>
      <c r="J169" s="186" t="s">
        <v>1085</v>
      </c>
      <c r="K169" s="187"/>
      <c r="L169" s="60">
        <v>0.54410000000000003</v>
      </c>
      <c r="M169" s="188">
        <v>0</v>
      </c>
      <c r="N169" s="189"/>
      <c r="O169" s="56">
        <f t="shared" si="22"/>
        <v>0</v>
      </c>
      <c r="P169" s="57">
        <f t="shared" si="21"/>
        <v>0</v>
      </c>
      <c r="Q169" s="228"/>
      <c r="R169" s="179"/>
      <c r="T169" s="88">
        <v>5.05306435E-2</v>
      </c>
    </row>
    <row r="170" spans="1:20" ht="15" customHeight="1">
      <c r="A170" s="58" t="s">
        <v>1064</v>
      </c>
      <c r="B170" s="62">
        <v>39434</v>
      </c>
      <c r="C170" s="58" t="s">
        <v>1058</v>
      </c>
      <c r="D170" s="181" t="s">
        <v>1203</v>
      </c>
      <c r="E170" s="182"/>
      <c r="F170" s="58" t="s">
        <v>1098</v>
      </c>
      <c r="G170" s="183"/>
      <c r="H170" s="184"/>
      <c r="I170" s="185"/>
      <c r="J170" s="186" t="s">
        <v>1109</v>
      </c>
      <c r="K170" s="187"/>
      <c r="L170" s="60">
        <v>1.0978000000000001</v>
      </c>
      <c r="M170" s="188">
        <v>3.63</v>
      </c>
      <c r="N170" s="189"/>
      <c r="O170" s="56">
        <f t="shared" si="22"/>
        <v>3.446573764095</v>
      </c>
      <c r="P170" s="57">
        <f t="shared" si="21"/>
        <v>3.7836486782234915</v>
      </c>
      <c r="Q170" s="228"/>
      <c r="R170" s="179"/>
      <c r="T170" s="88">
        <v>5.05306435E-2</v>
      </c>
    </row>
    <row r="171" spans="1:20" ht="14.25" customHeight="1">
      <c r="A171" s="174" t="s">
        <v>1070</v>
      </c>
      <c r="B171" s="174"/>
      <c r="C171" s="174"/>
      <c r="D171" s="174"/>
      <c r="E171" s="174"/>
      <c r="F171" s="174"/>
      <c r="G171" s="174"/>
      <c r="H171" s="175" t="s">
        <v>1071</v>
      </c>
      <c r="I171" s="175"/>
      <c r="J171" s="175"/>
      <c r="K171" s="175"/>
      <c r="L171" s="176">
        <v>0</v>
      </c>
      <c r="M171" s="176"/>
      <c r="N171" s="177" t="s">
        <v>1072</v>
      </c>
      <c r="O171" s="177"/>
      <c r="P171" s="177"/>
      <c r="Q171" s="179"/>
      <c r="R171" s="179"/>
      <c r="T171" s="88">
        <v>5.05306435E-2</v>
      </c>
    </row>
    <row r="172" spans="1:20" ht="17.45" customHeight="1">
      <c r="A172" s="178" t="s">
        <v>1073</v>
      </c>
      <c r="B172" s="178"/>
      <c r="C172" s="178"/>
      <c r="D172" s="178"/>
      <c r="E172" s="178"/>
      <c r="F172" s="178"/>
      <c r="G172" s="178"/>
      <c r="H172" s="179"/>
      <c r="I172" s="179"/>
      <c r="J172" s="179"/>
      <c r="K172" s="179"/>
      <c r="L172" s="180" t="s">
        <v>1074</v>
      </c>
      <c r="M172" s="180"/>
      <c r="N172" s="179"/>
      <c r="O172" s="179"/>
      <c r="P172" s="179"/>
      <c r="Q172" s="179"/>
      <c r="R172" s="179"/>
      <c r="T172" s="88">
        <v>5.05306435E-2</v>
      </c>
    </row>
    <row r="173" spans="1:20" ht="28.5" customHeight="1">
      <c r="A173" s="233" t="s">
        <v>1210</v>
      </c>
      <c r="B173" s="233"/>
      <c r="C173" s="233"/>
      <c r="D173" s="233"/>
      <c r="E173" s="233"/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T173" s="88">
        <v>5.05306435E-2</v>
      </c>
    </row>
    <row r="174" spans="1:20" ht="15.95" customHeight="1">
      <c r="A174" s="207"/>
      <c r="B174" s="207"/>
      <c r="C174" s="207"/>
      <c r="D174" s="207"/>
      <c r="E174" s="207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179"/>
      <c r="R174" s="179"/>
      <c r="T174" s="88">
        <v>5.05306435E-2</v>
      </c>
    </row>
    <row r="175" spans="1:20" ht="15.75" customHeight="1">
      <c r="A175" s="43" t="s">
        <v>1211</v>
      </c>
      <c r="B175" s="44" t="s">
        <v>3</v>
      </c>
      <c r="C175" s="43" t="s">
        <v>4</v>
      </c>
      <c r="D175" s="208" t="s">
        <v>5</v>
      </c>
      <c r="E175" s="209"/>
      <c r="F175" s="43" t="s">
        <v>1049</v>
      </c>
      <c r="G175" s="210"/>
      <c r="H175" s="211"/>
      <c r="I175" s="212"/>
      <c r="J175" s="215" t="s">
        <v>6</v>
      </c>
      <c r="K175" s="217"/>
      <c r="L175" s="44" t="s">
        <v>7</v>
      </c>
      <c r="M175" s="213" t="s">
        <v>8</v>
      </c>
      <c r="N175" s="214"/>
      <c r="O175" s="66"/>
      <c r="P175" s="44" t="s">
        <v>11</v>
      </c>
      <c r="Q175" s="228"/>
      <c r="R175" s="179"/>
      <c r="T175" s="88">
        <v>5.05306435E-2</v>
      </c>
    </row>
    <row r="176" spans="1:20" ht="15" customHeight="1">
      <c r="A176" s="47" t="s">
        <v>1051</v>
      </c>
      <c r="B176" s="48" t="s">
        <v>1212</v>
      </c>
      <c r="C176" s="47" t="s">
        <v>1053</v>
      </c>
      <c r="D176" s="190" t="s">
        <v>1207</v>
      </c>
      <c r="E176" s="191"/>
      <c r="F176" s="47" t="s">
        <v>1185</v>
      </c>
      <c r="G176" s="192"/>
      <c r="H176" s="193"/>
      <c r="I176" s="194"/>
      <c r="J176" s="195" t="s">
        <v>1079</v>
      </c>
      <c r="K176" s="196"/>
      <c r="L176" s="50">
        <v>1</v>
      </c>
      <c r="M176" s="231">
        <v>285.27</v>
      </c>
      <c r="N176" s="232"/>
      <c r="O176" s="64">
        <f>SUM(O177:O184)</f>
        <v>115.37951620187999</v>
      </c>
      <c r="P176" s="64">
        <f>SUM(P177:P184)</f>
        <v>109.07593597379254</v>
      </c>
      <c r="Q176" s="228"/>
      <c r="R176" s="179"/>
      <c r="T176" s="88">
        <v>5.05306435E-2</v>
      </c>
    </row>
    <row r="177" spans="1:20" ht="15" customHeight="1">
      <c r="A177" s="52" t="s">
        <v>1057</v>
      </c>
      <c r="B177" s="53">
        <v>88316</v>
      </c>
      <c r="C177" s="52" t="s">
        <v>1058</v>
      </c>
      <c r="D177" s="199" t="s">
        <v>1059</v>
      </c>
      <c r="E177" s="200"/>
      <c r="F177" s="52" t="s">
        <v>1158</v>
      </c>
      <c r="G177" s="201"/>
      <c r="H177" s="202"/>
      <c r="I177" s="203"/>
      <c r="J177" s="204" t="s">
        <v>1061</v>
      </c>
      <c r="K177" s="205"/>
      <c r="L177" s="55">
        <v>0.31</v>
      </c>
      <c r="M177" s="188">
        <v>21.32</v>
      </c>
      <c r="N177" s="189"/>
      <c r="O177" s="56">
        <f>M177-(M177*T177)</f>
        <v>20.24268668058</v>
      </c>
      <c r="P177" s="57">
        <f t="shared" ref="P177:P189" si="23">O177*L177</f>
        <v>6.2752328709798002</v>
      </c>
      <c r="Q177" s="228"/>
      <c r="R177" s="179"/>
      <c r="T177" s="88">
        <v>5.05306435E-2</v>
      </c>
    </row>
    <row r="178" spans="1:20" ht="15" customHeight="1">
      <c r="A178" s="52" t="s">
        <v>1057</v>
      </c>
      <c r="B178" s="53">
        <v>88278</v>
      </c>
      <c r="C178" s="52" t="s">
        <v>1058</v>
      </c>
      <c r="D178" s="199" t="s">
        <v>1193</v>
      </c>
      <c r="E178" s="200"/>
      <c r="F178" s="52" t="s">
        <v>1158</v>
      </c>
      <c r="G178" s="201"/>
      <c r="H178" s="202"/>
      <c r="I178" s="203"/>
      <c r="J178" s="204" t="s">
        <v>1061</v>
      </c>
      <c r="K178" s="205"/>
      <c r="L178" s="55">
        <v>0.94799999999999995</v>
      </c>
      <c r="M178" s="188">
        <v>21.17</v>
      </c>
      <c r="N178" s="189"/>
      <c r="O178" s="56">
        <f t="shared" ref="O178:O189" si="24">M178-(M178*T178)</f>
        <v>20.100266277105</v>
      </c>
      <c r="P178" s="57">
        <f t="shared" si="23"/>
        <v>19.05505243069554</v>
      </c>
      <c r="Q178" s="228"/>
      <c r="R178" s="179"/>
      <c r="T178" s="88">
        <v>5.05306435E-2</v>
      </c>
    </row>
    <row r="179" spans="1:20" ht="15" customHeight="1">
      <c r="A179" s="52" t="s">
        <v>1057</v>
      </c>
      <c r="B179" s="53">
        <v>1979</v>
      </c>
      <c r="C179" s="52" t="s">
        <v>1180</v>
      </c>
      <c r="D179" s="199" t="s">
        <v>1208</v>
      </c>
      <c r="E179" s="200"/>
      <c r="F179" s="52" t="s">
        <v>1209</v>
      </c>
      <c r="G179" s="201"/>
      <c r="H179" s="202"/>
      <c r="I179" s="203"/>
      <c r="J179" s="204" t="s">
        <v>1079</v>
      </c>
      <c r="K179" s="205"/>
      <c r="L179" s="55">
        <v>1.02</v>
      </c>
      <c r="M179" s="188">
        <v>68.72</v>
      </c>
      <c r="N179" s="189"/>
      <c r="O179" s="56">
        <f t="shared" si="24"/>
        <v>65.247534178679999</v>
      </c>
      <c r="P179" s="57">
        <f t="shared" si="23"/>
        <v>66.552484862253607</v>
      </c>
      <c r="Q179" s="228"/>
      <c r="R179" s="179"/>
      <c r="T179" s="88">
        <v>5.05306435E-2</v>
      </c>
    </row>
    <row r="180" spans="1:20" ht="15.95" customHeight="1">
      <c r="A180" s="58" t="s">
        <v>1064</v>
      </c>
      <c r="B180" s="62">
        <v>39437</v>
      </c>
      <c r="C180" s="58" t="s">
        <v>1058</v>
      </c>
      <c r="D180" s="181" t="s">
        <v>1213</v>
      </c>
      <c r="E180" s="182"/>
      <c r="F180" s="58" t="s">
        <v>1068</v>
      </c>
      <c r="G180" s="183"/>
      <c r="H180" s="184"/>
      <c r="I180" s="185"/>
      <c r="J180" s="186" t="s">
        <v>1085</v>
      </c>
      <c r="K180" s="187"/>
      <c r="L180" s="60">
        <v>20.186800000000002</v>
      </c>
      <c r="M180" s="188">
        <v>0</v>
      </c>
      <c r="N180" s="189"/>
      <c r="O180" s="56">
        <f t="shared" si="24"/>
        <v>0</v>
      </c>
      <c r="P180" s="57">
        <f t="shared" si="23"/>
        <v>0</v>
      </c>
      <c r="Q180" s="228"/>
      <c r="R180" s="179"/>
      <c r="T180" s="88">
        <v>5.05306435E-2</v>
      </c>
    </row>
    <row r="181" spans="1:20" ht="15" customHeight="1">
      <c r="A181" s="58" t="s">
        <v>1064</v>
      </c>
      <c r="B181" s="62">
        <v>39443</v>
      </c>
      <c r="C181" s="58" t="s">
        <v>1058</v>
      </c>
      <c r="D181" s="181" t="s">
        <v>1199</v>
      </c>
      <c r="E181" s="182"/>
      <c r="F181" s="58" t="s">
        <v>1068</v>
      </c>
      <c r="G181" s="183"/>
      <c r="H181" s="184"/>
      <c r="I181" s="185"/>
      <c r="J181" s="186" t="s">
        <v>1085</v>
      </c>
      <c r="K181" s="187"/>
      <c r="L181" s="60">
        <v>0.54410000000000003</v>
      </c>
      <c r="M181" s="188">
        <v>0</v>
      </c>
      <c r="N181" s="189"/>
      <c r="O181" s="56">
        <f t="shared" si="24"/>
        <v>0</v>
      </c>
      <c r="P181" s="57">
        <f t="shared" si="23"/>
        <v>0</v>
      </c>
      <c r="Q181" s="228"/>
      <c r="R181" s="179"/>
      <c r="T181" s="88">
        <v>5.05306435E-2</v>
      </c>
    </row>
    <row r="182" spans="1:20" ht="15" customHeight="1">
      <c r="A182" s="58" t="s">
        <v>1064</v>
      </c>
      <c r="B182" s="62">
        <v>39435</v>
      </c>
      <c r="C182" s="58" t="s">
        <v>1058</v>
      </c>
      <c r="D182" s="181" t="s">
        <v>1201</v>
      </c>
      <c r="E182" s="182"/>
      <c r="F182" s="58" t="s">
        <v>1068</v>
      </c>
      <c r="G182" s="183"/>
      <c r="H182" s="184"/>
      <c r="I182" s="185"/>
      <c r="J182" s="186" t="s">
        <v>1085</v>
      </c>
      <c r="K182" s="187"/>
      <c r="L182" s="60">
        <v>20.186800000000002</v>
      </c>
      <c r="M182" s="188">
        <v>0</v>
      </c>
      <c r="N182" s="189"/>
      <c r="O182" s="56">
        <f t="shared" si="24"/>
        <v>0</v>
      </c>
      <c r="P182" s="57">
        <f t="shared" si="23"/>
        <v>0</v>
      </c>
      <c r="Q182" s="228"/>
      <c r="R182" s="179"/>
      <c r="T182" s="88">
        <v>5.05306435E-2</v>
      </c>
    </row>
    <row r="183" spans="1:20" ht="15" customHeight="1">
      <c r="A183" s="58" t="s">
        <v>1064</v>
      </c>
      <c r="B183" s="62">
        <v>39432</v>
      </c>
      <c r="C183" s="58" t="s">
        <v>1058</v>
      </c>
      <c r="D183" s="181" t="s">
        <v>1196</v>
      </c>
      <c r="E183" s="182"/>
      <c r="F183" s="58" t="s">
        <v>1068</v>
      </c>
      <c r="G183" s="183"/>
      <c r="H183" s="184"/>
      <c r="I183" s="185"/>
      <c r="J183" s="186" t="s">
        <v>1107</v>
      </c>
      <c r="K183" s="187"/>
      <c r="L183" s="60">
        <v>1.5851</v>
      </c>
      <c r="M183" s="188">
        <v>2.9</v>
      </c>
      <c r="N183" s="189"/>
      <c r="O183" s="56">
        <f t="shared" si="24"/>
        <v>2.7534611338500001</v>
      </c>
      <c r="P183" s="57">
        <f t="shared" si="23"/>
        <v>4.3645112432656354</v>
      </c>
      <c r="Q183" s="228"/>
      <c r="R183" s="179"/>
      <c r="T183" s="88">
        <v>5.05306435E-2</v>
      </c>
    </row>
    <row r="184" spans="1:20" ht="15" customHeight="1">
      <c r="A184" s="58" t="s">
        <v>1064</v>
      </c>
      <c r="B184" s="62">
        <v>39419</v>
      </c>
      <c r="C184" s="58" t="s">
        <v>1058</v>
      </c>
      <c r="D184" s="181" t="s">
        <v>1194</v>
      </c>
      <c r="E184" s="182"/>
      <c r="F184" s="58" t="s">
        <v>1068</v>
      </c>
      <c r="G184" s="183"/>
      <c r="H184" s="184"/>
      <c r="I184" s="185"/>
      <c r="J184" s="186" t="s">
        <v>1107</v>
      </c>
      <c r="K184" s="187"/>
      <c r="L184" s="60">
        <v>1.8233999999999999</v>
      </c>
      <c r="M184" s="188">
        <v>7.41</v>
      </c>
      <c r="N184" s="189"/>
      <c r="O184" s="56">
        <f t="shared" si="24"/>
        <v>7.0355679316649997</v>
      </c>
      <c r="P184" s="57">
        <f t="shared" si="23"/>
        <v>12.82865456659796</v>
      </c>
      <c r="Q184" s="228"/>
      <c r="R184" s="179"/>
      <c r="T184" s="88">
        <v>5.05306435E-2</v>
      </c>
    </row>
    <row r="185" spans="1:20" ht="15" customHeight="1">
      <c r="A185" s="58" t="s">
        <v>1064</v>
      </c>
      <c r="B185" s="62">
        <v>39417</v>
      </c>
      <c r="C185" s="58" t="s">
        <v>1058</v>
      </c>
      <c r="D185" s="181" t="s">
        <v>1200</v>
      </c>
      <c r="E185" s="182"/>
      <c r="F185" s="58" t="s">
        <v>1068</v>
      </c>
      <c r="G185" s="183"/>
      <c r="H185" s="184"/>
      <c r="I185" s="185"/>
      <c r="J185" s="186" t="s">
        <v>1079</v>
      </c>
      <c r="K185" s="187"/>
      <c r="L185" s="60">
        <v>4.2119999999999997</v>
      </c>
      <c r="M185" s="188">
        <v>27.68</v>
      </c>
      <c r="N185" s="189"/>
      <c r="O185" s="56">
        <f t="shared" si="24"/>
        <v>26.28131178792</v>
      </c>
      <c r="P185" s="57">
        <f t="shared" si="23"/>
        <v>110.69688525071903</v>
      </c>
      <c r="Q185" s="228"/>
      <c r="R185" s="179"/>
      <c r="T185" s="88">
        <v>5.05306435E-2</v>
      </c>
    </row>
    <row r="186" spans="1:20" ht="15.95" customHeight="1">
      <c r="A186" s="58" t="s">
        <v>1064</v>
      </c>
      <c r="B186" s="62">
        <v>39431</v>
      </c>
      <c r="C186" s="58" t="s">
        <v>1058</v>
      </c>
      <c r="D186" s="181" t="s">
        <v>1202</v>
      </c>
      <c r="E186" s="182"/>
      <c r="F186" s="58" t="s">
        <v>1068</v>
      </c>
      <c r="G186" s="183"/>
      <c r="H186" s="184"/>
      <c r="I186" s="185"/>
      <c r="J186" s="186" t="s">
        <v>1107</v>
      </c>
      <c r="K186" s="187"/>
      <c r="L186" s="60">
        <v>2.5026999999999999</v>
      </c>
      <c r="M186" s="188">
        <v>0.32</v>
      </c>
      <c r="N186" s="189"/>
      <c r="O186" s="56">
        <f t="shared" si="24"/>
        <v>0.30383019408</v>
      </c>
      <c r="P186" s="57">
        <f t="shared" si="23"/>
        <v>0.76039582672401596</v>
      </c>
      <c r="Q186" s="228"/>
      <c r="R186" s="179"/>
      <c r="T186" s="88">
        <v>5.05306435E-2</v>
      </c>
    </row>
    <row r="187" spans="1:20" ht="15" customHeight="1">
      <c r="A187" s="58" t="s">
        <v>1064</v>
      </c>
      <c r="B187" s="62">
        <v>37586</v>
      </c>
      <c r="C187" s="58" t="s">
        <v>1058</v>
      </c>
      <c r="D187" s="181" t="s">
        <v>1197</v>
      </c>
      <c r="E187" s="182"/>
      <c r="F187" s="58" t="s">
        <v>1068</v>
      </c>
      <c r="G187" s="183"/>
      <c r="H187" s="184"/>
      <c r="I187" s="185"/>
      <c r="J187" s="186" t="s">
        <v>1198</v>
      </c>
      <c r="K187" s="187"/>
      <c r="L187" s="60">
        <v>5.9200000000000003E-2</v>
      </c>
      <c r="M187" s="188">
        <v>0</v>
      </c>
      <c r="N187" s="189"/>
      <c r="O187" s="56">
        <f t="shared" si="24"/>
        <v>0</v>
      </c>
      <c r="P187" s="57">
        <f t="shared" si="23"/>
        <v>0</v>
      </c>
      <c r="Q187" s="228"/>
      <c r="R187" s="179"/>
      <c r="T187" s="88">
        <v>5.05306435E-2</v>
      </c>
    </row>
    <row r="188" spans="1:20" ht="15" customHeight="1">
      <c r="A188" s="58" t="s">
        <v>1064</v>
      </c>
      <c r="B188" s="62">
        <v>39422</v>
      </c>
      <c r="C188" s="58" t="s">
        <v>1058</v>
      </c>
      <c r="D188" s="181" t="s">
        <v>1195</v>
      </c>
      <c r="E188" s="182"/>
      <c r="F188" s="58" t="s">
        <v>1068</v>
      </c>
      <c r="G188" s="183"/>
      <c r="H188" s="184"/>
      <c r="I188" s="185"/>
      <c r="J188" s="186" t="s">
        <v>1107</v>
      </c>
      <c r="K188" s="187"/>
      <c r="L188" s="60">
        <v>5.8277999999999999</v>
      </c>
      <c r="M188" s="188">
        <v>8.41</v>
      </c>
      <c r="N188" s="189"/>
      <c r="O188" s="56">
        <f t="shared" si="24"/>
        <v>7.9850372881650005</v>
      </c>
      <c r="P188" s="57">
        <f t="shared" si="23"/>
        <v>46.53520030796799</v>
      </c>
      <c r="Q188" s="228"/>
      <c r="R188" s="179"/>
      <c r="T188" s="88">
        <v>5.05306435E-2</v>
      </c>
    </row>
    <row r="189" spans="1:20" ht="15.6" customHeight="1">
      <c r="A189" s="58" t="s">
        <v>1064</v>
      </c>
      <c r="B189" s="62">
        <v>39434</v>
      </c>
      <c r="C189" s="58" t="s">
        <v>1058</v>
      </c>
      <c r="D189" s="181" t="s">
        <v>1203</v>
      </c>
      <c r="E189" s="182"/>
      <c r="F189" s="58" t="s">
        <v>1098</v>
      </c>
      <c r="G189" s="183"/>
      <c r="H189" s="184"/>
      <c r="I189" s="185"/>
      <c r="J189" s="186" t="s">
        <v>1109</v>
      </c>
      <c r="K189" s="187"/>
      <c r="L189" s="60">
        <v>1.0978000000000001</v>
      </c>
      <c r="M189" s="188">
        <v>3.63</v>
      </c>
      <c r="N189" s="189"/>
      <c r="O189" s="56">
        <f t="shared" si="24"/>
        <v>3.446573764095</v>
      </c>
      <c r="P189" s="57">
        <f t="shared" si="23"/>
        <v>3.7836486782234915</v>
      </c>
      <c r="Q189" s="228"/>
      <c r="R189" s="179"/>
      <c r="T189" s="88">
        <v>5.05306435E-2</v>
      </c>
    </row>
    <row r="190" spans="1:20" ht="14.25" customHeight="1">
      <c r="A190" s="174" t="s">
        <v>1070</v>
      </c>
      <c r="B190" s="174"/>
      <c r="C190" s="174"/>
      <c r="D190" s="174"/>
      <c r="E190" s="174"/>
      <c r="F190" s="174"/>
      <c r="G190" s="174"/>
      <c r="H190" s="175" t="s">
        <v>1071</v>
      </c>
      <c r="I190" s="175"/>
      <c r="J190" s="175"/>
      <c r="K190" s="175"/>
      <c r="L190" s="176">
        <v>0</v>
      </c>
      <c r="M190" s="176"/>
      <c r="N190" s="177" t="s">
        <v>1072</v>
      </c>
      <c r="O190" s="177"/>
      <c r="P190" s="177"/>
      <c r="Q190" s="179"/>
      <c r="R190" s="179"/>
      <c r="T190" s="88">
        <v>5.05306435E-2</v>
      </c>
    </row>
    <row r="191" spans="1:20" ht="18.600000000000001" customHeight="1">
      <c r="A191" s="178" t="s">
        <v>1073</v>
      </c>
      <c r="B191" s="178"/>
      <c r="C191" s="178"/>
      <c r="D191" s="178"/>
      <c r="E191" s="178"/>
      <c r="F191" s="178"/>
      <c r="G191" s="178"/>
      <c r="H191" s="179"/>
      <c r="I191" s="179"/>
      <c r="J191" s="179"/>
      <c r="K191" s="179"/>
      <c r="L191" s="180" t="s">
        <v>1074</v>
      </c>
      <c r="M191" s="180"/>
      <c r="N191" s="179"/>
      <c r="O191" s="179"/>
      <c r="P191" s="179"/>
      <c r="Q191" s="179"/>
      <c r="R191" s="179"/>
      <c r="T191" s="88">
        <v>5.05306435E-2</v>
      </c>
    </row>
    <row r="192" spans="1:20" ht="28.5" customHeight="1">
      <c r="A192" s="233" t="s">
        <v>1214</v>
      </c>
      <c r="B192" s="233"/>
      <c r="C192" s="233"/>
      <c r="D192" s="233"/>
      <c r="E192" s="233"/>
      <c r="F192" s="233"/>
      <c r="G192" s="233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T192" s="88">
        <v>5.05306435E-2</v>
      </c>
    </row>
    <row r="193" spans="1:20" ht="15" customHeight="1">
      <c r="A193" s="207"/>
      <c r="B193" s="207"/>
      <c r="C193" s="207"/>
      <c r="D193" s="207"/>
      <c r="E193" s="20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179"/>
      <c r="R193" s="179"/>
      <c r="T193" s="88">
        <v>5.05306435E-2</v>
      </c>
    </row>
    <row r="194" spans="1:20" ht="15.75" customHeight="1">
      <c r="A194" s="43" t="s">
        <v>1215</v>
      </c>
      <c r="B194" s="44" t="s">
        <v>3</v>
      </c>
      <c r="C194" s="43" t="s">
        <v>4</v>
      </c>
      <c r="D194" s="208" t="s">
        <v>5</v>
      </c>
      <c r="E194" s="209"/>
      <c r="F194" s="43" t="s">
        <v>1049</v>
      </c>
      <c r="G194" s="210"/>
      <c r="H194" s="211"/>
      <c r="I194" s="212"/>
      <c r="J194" s="215" t="s">
        <v>6</v>
      </c>
      <c r="K194" s="217"/>
      <c r="L194" s="44" t="s">
        <v>7</v>
      </c>
      <c r="M194" s="213" t="s">
        <v>8</v>
      </c>
      <c r="N194" s="214"/>
      <c r="O194" s="66"/>
      <c r="P194" s="44" t="s">
        <v>11</v>
      </c>
      <c r="Q194" s="228"/>
      <c r="R194" s="179"/>
      <c r="T194" s="88">
        <v>5.05306435E-2</v>
      </c>
    </row>
    <row r="195" spans="1:20" ht="15" customHeight="1">
      <c r="A195" s="47" t="s">
        <v>1051</v>
      </c>
      <c r="B195" s="48" t="s">
        <v>1216</v>
      </c>
      <c r="C195" s="47" t="s">
        <v>1053</v>
      </c>
      <c r="D195" s="190" t="s">
        <v>1217</v>
      </c>
      <c r="E195" s="191"/>
      <c r="F195" s="47" t="s">
        <v>1185</v>
      </c>
      <c r="G195" s="192"/>
      <c r="H195" s="193"/>
      <c r="I195" s="194"/>
      <c r="J195" s="195" t="s">
        <v>1079</v>
      </c>
      <c r="K195" s="196"/>
      <c r="L195" s="50">
        <v>1</v>
      </c>
      <c r="M195" s="231">
        <v>257.05</v>
      </c>
      <c r="N195" s="232"/>
      <c r="O195" s="64">
        <f>SUM(O196:O203)</f>
        <v>133.79922171798</v>
      </c>
      <c r="P195" s="64">
        <f>SUM(P196:P203)</f>
        <v>223.08084652116742</v>
      </c>
      <c r="Q195" s="228"/>
      <c r="R195" s="179"/>
      <c r="T195" s="88">
        <v>5.05306435E-2</v>
      </c>
    </row>
    <row r="196" spans="1:20" ht="15" customHeight="1">
      <c r="A196" s="52" t="s">
        <v>1057</v>
      </c>
      <c r="B196" s="53">
        <v>1979</v>
      </c>
      <c r="C196" s="52" t="s">
        <v>1180</v>
      </c>
      <c r="D196" s="199" t="s">
        <v>1208</v>
      </c>
      <c r="E196" s="200"/>
      <c r="F196" s="52" t="s">
        <v>1209</v>
      </c>
      <c r="G196" s="201"/>
      <c r="H196" s="202"/>
      <c r="I196" s="203"/>
      <c r="J196" s="204" t="s">
        <v>1079</v>
      </c>
      <c r="K196" s="205"/>
      <c r="L196" s="55">
        <v>1.02</v>
      </c>
      <c r="M196" s="188">
        <v>68.72</v>
      </c>
      <c r="N196" s="189"/>
      <c r="O196" s="56">
        <f>M196-(M196*T196)</f>
        <v>65.247534178679999</v>
      </c>
      <c r="P196" s="57">
        <f t="shared" ref="P196:P208" si="25">O196*L196</f>
        <v>66.552484862253607</v>
      </c>
      <c r="Q196" s="228"/>
      <c r="R196" s="179"/>
      <c r="T196" s="88">
        <v>5.05306435E-2</v>
      </c>
    </row>
    <row r="197" spans="1:20" ht="15" customHeight="1">
      <c r="A197" s="52" t="s">
        <v>1057</v>
      </c>
      <c r="B197" s="53">
        <v>88316</v>
      </c>
      <c r="C197" s="52" t="s">
        <v>1058</v>
      </c>
      <c r="D197" s="199" t="s">
        <v>1059</v>
      </c>
      <c r="E197" s="200"/>
      <c r="F197" s="52" t="s">
        <v>1158</v>
      </c>
      <c r="G197" s="201"/>
      <c r="H197" s="202"/>
      <c r="I197" s="203"/>
      <c r="J197" s="204" t="s">
        <v>1061</v>
      </c>
      <c r="K197" s="205"/>
      <c r="L197" s="55">
        <v>0.31</v>
      </c>
      <c r="M197" s="188">
        <v>21.32</v>
      </c>
      <c r="N197" s="189"/>
      <c r="O197" s="56">
        <f t="shared" ref="O197:O208" si="26">M197-(M197*T197)</f>
        <v>20.24268668058</v>
      </c>
      <c r="P197" s="57">
        <f t="shared" si="25"/>
        <v>6.2752328709798002</v>
      </c>
      <c r="Q197" s="228"/>
      <c r="R197" s="179"/>
      <c r="T197" s="88">
        <v>5.05306435E-2</v>
      </c>
    </row>
    <row r="198" spans="1:20" ht="15.95" customHeight="1">
      <c r="A198" s="52" t="s">
        <v>1057</v>
      </c>
      <c r="B198" s="53">
        <v>88278</v>
      </c>
      <c r="C198" s="52" t="s">
        <v>1058</v>
      </c>
      <c r="D198" s="199" t="s">
        <v>1193</v>
      </c>
      <c r="E198" s="200"/>
      <c r="F198" s="52" t="s">
        <v>1158</v>
      </c>
      <c r="G198" s="201"/>
      <c r="H198" s="202"/>
      <c r="I198" s="203"/>
      <c r="J198" s="204" t="s">
        <v>1061</v>
      </c>
      <c r="K198" s="205"/>
      <c r="L198" s="55">
        <v>0.94799999999999995</v>
      </c>
      <c r="M198" s="188">
        <v>21.17</v>
      </c>
      <c r="N198" s="189"/>
      <c r="O198" s="56">
        <f t="shared" si="26"/>
        <v>20.100266277105</v>
      </c>
      <c r="P198" s="57">
        <f t="shared" si="25"/>
        <v>19.05505243069554</v>
      </c>
      <c r="Q198" s="228"/>
      <c r="R198" s="179"/>
      <c r="T198" s="88">
        <v>5.05306435E-2</v>
      </c>
    </row>
    <row r="199" spans="1:20" ht="15" customHeight="1">
      <c r="A199" s="58" t="s">
        <v>1064</v>
      </c>
      <c r="B199" s="62">
        <v>39437</v>
      </c>
      <c r="C199" s="58" t="s">
        <v>1058</v>
      </c>
      <c r="D199" s="181" t="s">
        <v>1213</v>
      </c>
      <c r="E199" s="182"/>
      <c r="F199" s="58" t="s">
        <v>1068</v>
      </c>
      <c r="G199" s="183"/>
      <c r="H199" s="184"/>
      <c r="I199" s="185"/>
      <c r="J199" s="186" t="s">
        <v>1085</v>
      </c>
      <c r="K199" s="187"/>
      <c r="L199" s="60">
        <v>20.186800000000002</v>
      </c>
      <c r="M199" s="188">
        <v>0</v>
      </c>
      <c r="N199" s="189"/>
      <c r="O199" s="56">
        <f t="shared" si="26"/>
        <v>0</v>
      </c>
      <c r="P199" s="57">
        <f t="shared" si="25"/>
        <v>0</v>
      </c>
      <c r="Q199" s="228"/>
      <c r="R199" s="179"/>
      <c r="T199" s="88">
        <v>5.05306435E-2</v>
      </c>
    </row>
    <row r="200" spans="1:20" ht="15" customHeight="1">
      <c r="A200" s="58" t="s">
        <v>1064</v>
      </c>
      <c r="B200" s="62">
        <v>39422</v>
      </c>
      <c r="C200" s="58" t="s">
        <v>1058</v>
      </c>
      <c r="D200" s="181" t="s">
        <v>1195</v>
      </c>
      <c r="E200" s="182"/>
      <c r="F200" s="58" t="s">
        <v>1068</v>
      </c>
      <c r="G200" s="183"/>
      <c r="H200" s="184"/>
      <c r="I200" s="185"/>
      <c r="J200" s="186" t="s">
        <v>1107</v>
      </c>
      <c r="K200" s="187"/>
      <c r="L200" s="60">
        <v>5.8277999999999999</v>
      </c>
      <c r="M200" s="188">
        <v>8.41</v>
      </c>
      <c r="N200" s="189"/>
      <c r="O200" s="56">
        <f t="shared" si="26"/>
        <v>7.9850372881650005</v>
      </c>
      <c r="P200" s="57">
        <f t="shared" si="25"/>
        <v>46.53520030796799</v>
      </c>
      <c r="Q200" s="228"/>
      <c r="R200" s="179"/>
      <c r="T200" s="88">
        <v>5.05306435E-2</v>
      </c>
    </row>
    <row r="201" spans="1:20" ht="15" customHeight="1">
      <c r="A201" s="58" t="s">
        <v>1064</v>
      </c>
      <c r="B201" s="62">
        <v>39413</v>
      </c>
      <c r="C201" s="58" t="s">
        <v>1058</v>
      </c>
      <c r="D201" s="181" t="s">
        <v>1218</v>
      </c>
      <c r="E201" s="182"/>
      <c r="F201" s="58" t="s">
        <v>1068</v>
      </c>
      <c r="G201" s="183"/>
      <c r="H201" s="184"/>
      <c r="I201" s="185"/>
      <c r="J201" s="186" t="s">
        <v>1079</v>
      </c>
      <c r="K201" s="187"/>
      <c r="L201" s="60">
        <v>4.2119999999999997</v>
      </c>
      <c r="M201" s="188">
        <v>20.98</v>
      </c>
      <c r="N201" s="189"/>
      <c r="O201" s="56">
        <f t="shared" si="26"/>
        <v>19.919867099370002</v>
      </c>
      <c r="P201" s="57">
        <f t="shared" si="25"/>
        <v>83.902480222546444</v>
      </c>
      <c r="Q201" s="228"/>
      <c r="R201" s="179"/>
      <c r="T201" s="88">
        <v>5.05306435E-2</v>
      </c>
    </row>
    <row r="202" spans="1:20" ht="15" customHeight="1">
      <c r="A202" s="58" t="s">
        <v>1064</v>
      </c>
      <c r="B202" s="62">
        <v>39435</v>
      </c>
      <c r="C202" s="58" t="s">
        <v>1058</v>
      </c>
      <c r="D202" s="181" t="s">
        <v>1201</v>
      </c>
      <c r="E202" s="182"/>
      <c r="F202" s="58" t="s">
        <v>1068</v>
      </c>
      <c r="G202" s="183"/>
      <c r="H202" s="184"/>
      <c r="I202" s="185"/>
      <c r="J202" s="186" t="s">
        <v>1085</v>
      </c>
      <c r="K202" s="187"/>
      <c r="L202" s="60">
        <v>20.186800000000002</v>
      </c>
      <c r="M202" s="188">
        <v>0</v>
      </c>
      <c r="N202" s="189"/>
      <c r="O202" s="56">
        <f t="shared" si="26"/>
        <v>0</v>
      </c>
      <c r="P202" s="57">
        <f t="shared" si="25"/>
        <v>0</v>
      </c>
      <c r="Q202" s="228"/>
      <c r="R202" s="179"/>
      <c r="T202" s="88">
        <v>5.05306435E-2</v>
      </c>
    </row>
    <row r="203" spans="1:20" ht="15" customHeight="1">
      <c r="A203" s="58" t="s">
        <v>1064</v>
      </c>
      <c r="B203" s="62">
        <v>39431</v>
      </c>
      <c r="C203" s="58" t="s">
        <v>1058</v>
      </c>
      <c r="D203" s="181" t="s">
        <v>1202</v>
      </c>
      <c r="E203" s="182"/>
      <c r="F203" s="58" t="s">
        <v>1068</v>
      </c>
      <c r="G203" s="183"/>
      <c r="H203" s="184"/>
      <c r="I203" s="185"/>
      <c r="J203" s="186" t="s">
        <v>1107</v>
      </c>
      <c r="K203" s="187"/>
      <c r="L203" s="60">
        <v>2.5026999999999999</v>
      </c>
      <c r="M203" s="188">
        <v>0.32</v>
      </c>
      <c r="N203" s="189"/>
      <c r="O203" s="56">
        <f t="shared" si="26"/>
        <v>0.30383019408</v>
      </c>
      <c r="P203" s="57">
        <f t="shared" si="25"/>
        <v>0.76039582672401596</v>
      </c>
      <c r="Q203" s="228"/>
      <c r="R203" s="179"/>
      <c r="T203" s="88">
        <v>5.05306435E-2</v>
      </c>
    </row>
    <row r="204" spans="1:20" ht="15.95" customHeight="1">
      <c r="A204" s="58" t="s">
        <v>1064</v>
      </c>
      <c r="B204" s="62">
        <v>39443</v>
      </c>
      <c r="C204" s="58" t="s">
        <v>1058</v>
      </c>
      <c r="D204" s="181" t="s">
        <v>1199</v>
      </c>
      <c r="E204" s="182"/>
      <c r="F204" s="58" t="s">
        <v>1068</v>
      </c>
      <c r="G204" s="183"/>
      <c r="H204" s="184"/>
      <c r="I204" s="185"/>
      <c r="J204" s="186" t="s">
        <v>1085</v>
      </c>
      <c r="K204" s="187"/>
      <c r="L204" s="60">
        <v>0.54410000000000003</v>
      </c>
      <c r="M204" s="188">
        <v>0</v>
      </c>
      <c r="N204" s="189"/>
      <c r="O204" s="56">
        <f t="shared" si="26"/>
        <v>0</v>
      </c>
      <c r="P204" s="57">
        <f t="shared" si="25"/>
        <v>0</v>
      </c>
      <c r="Q204" s="228"/>
      <c r="R204" s="179"/>
      <c r="T204" s="88">
        <v>5.05306435E-2</v>
      </c>
    </row>
    <row r="205" spans="1:20" ht="15" customHeight="1">
      <c r="A205" s="58" t="s">
        <v>1064</v>
      </c>
      <c r="B205" s="62">
        <v>37586</v>
      </c>
      <c r="C205" s="58" t="s">
        <v>1058</v>
      </c>
      <c r="D205" s="181" t="s">
        <v>1197</v>
      </c>
      <c r="E205" s="182"/>
      <c r="F205" s="58" t="s">
        <v>1068</v>
      </c>
      <c r="G205" s="183"/>
      <c r="H205" s="184"/>
      <c r="I205" s="185"/>
      <c r="J205" s="186" t="s">
        <v>1198</v>
      </c>
      <c r="K205" s="187"/>
      <c r="L205" s="60">
        <v>5.9200000000000003E-2</v>
      </c>
      <c r="M205" s="188">
        <v>0</v>
      </c>
      <c r="N205" s="189"/>
      <c r="O205" s="56">
        <f t="shared" si="26"/>
        <v>0</v>
      </c>
      <c r="P205" s="57">
        <f t="shared" si="25"/>
        <v>0</v>
      </c>
      <c r="Q205" s="228"/>
      <c r="R205" s="179"/>
      <c r="T205" s="88">
        <v>5.05306435E-2</v>
      </c>
    </row>
    <row r="206" spans="1:20" ht="15" customHeight="1">
      <c r="A206" s="58" t="s">
        <v>1064</v>
      </c>
      <c r="B206" s="62">
        <v>39432</v>
      </c>
      <c r="C206" s="58" t="s">
        <v>1058</v>
      </c>
      <c r="D206" s="181" t="s">
        <v>1196</v>
      </c>
      <c r="E206" s="182"/>
      <c r="F206" s="58" t="s">
        <v>1068</v>
      </c>
      <c r="G206" s="183"/>
      <c r="H206" s="184"/>
      <c r="I206" s="185"/>
      <c r="J206" s="186" t="s">
        <v>1107</v>
      </c>
      <c r="K206" s="187"/>
      <c r="L206" s="60">
        <v>1.5851</v>
      </c>
      <c r="M206" s="188">
        <v>2.9</v>
      </c>
      <c r="N206" s="189"/>
      <c r="O206" s="56">
        <f t="shared" si="26"/>
        <v>2.7534611338500001</v>
      </c>
      <c r="P206" s="57">
        <f t="shared" si="25"/>
        <v>4.3645112432656354</v>
      </c>
      <c r="Q206" s="228"/>
      <c r="R206" s="179"/>
      <c r="T206" s="88">
        <v>5.05306435E-2</v>
      </c>
    </row>
    <row r="207" spans="1:20" ht="15" customHeight="1">
      <c r="A207" s="58" t="s">
        <v>1064</v>
      </c>
      <c r="B207" s="62">
        <v>39419</v>
      </c>
      <c r="C207" s="58" t="s">
        <v>1058</v>
      </c>
      <c r="D207" s="181" t="s">
        <v>1194</v>
      </c>
      <c r="E207" s="182"/>
      <c r="F207" s="58" t="s">
        <v>1068</v>
      </c>
      <c r="G207" s="183"/>
      <c r="H207" s="184"/>
      <c r="I207" s="185"/>
      <c r="J207" s="186" t="s">
        <v>1107</v>
      </c>
      <c r="K207" s="187"/>
      <c r="L207" s="60">
        <v>1.8233999999999999</v>
      </c>
      <c r="M207" s="188">
        <v>7.41</v>
      </c>
      <c r="N207" s="189"/>
      <c r="O207" s="56">
        <f t="shared" si="26"/>
        <v>7.0355679316649997</v>
      </c>
      <c r="P207" s="57">
        <f t="shared" si="25"/>
        <v>12.82865456659796</v>
      </c>
      <c r="Q207" s="228"/>
      <c r="R207" s="179"/>
      <c r="T207" s="88">
        <v>5.05306435E-2</v>
      </c>
    </row>
    <row r="208" spans="1:20" ht="15.6" customHeight="1">
      <c r="A208" s="58" t="s">
        <v>1064</v>
      </c>
      <c r="B208" s="62">
        <v>39434</v>
      </c>
      <c r="C208" s="58" t="s">
        <v>1058</v>
      </c>
      <c r="D208" s="181" t="s">
        <v>1203</v>
      </c>
      <c r="E208" s="182"/>
      <c r="F208" s="58" t="s">
        <v>1098</v>
      </c>
      <c r="G208" s="183"/>
      <c r="H208" s="184"/>
      <c r="I208" s="185"/>
      <c r="J208" s="186" t="s">
        <v>1109</v>
      </c>
      <c r="K208" s="187"/>
      <c r="L208" s="60">
        <v>1.0978000000000001</v>
      </c>
      <c r="M208" s="188">
        <v>3.63</v>
      </c>
      <c r="N208" s="189"/>
      <c r="O208" s="56">
        <f t="shared" si="26"/>
        <v>3.446573764095</v>
      </c>
      <c r="P208" s="57">
        <f t="shared" si="25"/>
        <v>3.7836486782234915</v>
      </c>
      <c r="Q208" s="228"/>
      <c r="R208" s="179"/>
      <c r="T208" s="88">
        <v>5.05306435E-2</v>
      </c>
    </row>
    <row r="209" spans="1:20" ht="14.25" customHeight="1">
      <c r="A209" s="174" t="s">
        <v>1070</v>
      </c>
      <c r="B209" s="174"/>
      <c r="C209" s="174"/>
      <c r="D209" s="174"/>
      <c r="E209" s="174"/>
      <c r="F209" s="174"/>
      <c r="G209" s="174"/>
      <c r="H209" s="175" t="s">
        <v>1071</v>
      </c>
      <c r="I209" s="175"/>
      <c r="J209" s="175"/>
      <c r="K209" s="175"/>
      <c r="L209" s="176">
        <v>0</v>
      </c>
      <c r="M209" s="176"/>
      <c r="N209" s="177" t="s">
        <v>1072</v>
      </c>
      <c r="O209" s="177"/>
      <c r="P209" s="177"/>
      <c r="Q209" s="179"/>
      <c r="R209" s="179"/>
      <c r="T209" s="88">
        <v>5.05306435E-2</v>
      </c>
    </row>
    <row r="210" spans="1:20" ht="15" customHeight="1">
      <c r="A210" s="178" t="s">
        <v>1073</v>
      </c>
      <c r="B210" s="178"/>
      <c r="C210" s="178"/>
      <c r="D210" s="178"/>
      <c r="E210" s="178"/>
      <c r="F210" s="178"/>
      <c r="G210" s="178"/>
      <c r="H210" s="179"/>
      <c r="I210" s="179"/>
      <c r="J210" s="179"/>
      <c r="K210" s="179"/>
      <c r="L210" s="180" t="s">
        <v>1074</v>
      </c>
      <c r="M210" s="180"/>
      <c r="N210" s="179"/>
      <c r="O210" s="179"/>
      <c r="P210" s="179"/>
      <c r="Q210" s="179"/>
      <c r="R210" s="179"/>
      <c r="T210" s="88">
        <v>5.05306435E-2</v>
      </c>
    </row>
    <row r="211" spans="1:20" ht="17.100000000000001" customHeight="1">
      <c r="A211" s="226" t="s">
        <v>1073</v>
      </c>
      <c r="B211" s="226"/>
      <c r="C211" s="226"/>
      <c r="D211" s="226"/>
      <c r="E211" s="226"/>
      <c r="F211" s="226"/>
      <c r="G211" s="226"/>
      <c r="H211" s="227"/>
      <c r="I211" s="227"/>
      <c r="J211" s="227"/>
      <c r="K211" s="227"/>
      <c r="L211" s="206" t="s">
        <v>1074</v>
      </c>
      <c r="M211" s="206"/>
      <c r="N211" s="227"/>
      <c r="O211" s="227"/>
      <c r="P211" s="227"/>
      <c r="Q211" s="179"/>
      <c r="R211" s="179"/>
      <c r="T211" s="88">
        <v>5.05306435E-2</v>
      </c>
    </row>
    <row r="212" spans="1:20" ht="15" customHeight="1">
      <c r="A212" s="207"/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179"/>
      <c r="R212" s="179"/>
      <c r="T212" s="88">
        <v>5.05306435E-2</v>
      </c>
    </row>
    <row r="213" spans="1:20" ht="15.75" customHeight="1">
      <c r="A213" s="43" t="s">
        <v>1219</v>
      </c>
      <c r="B213" s="44" t="s">
        <v>3</v>
      </c>
      <c r="C213" s="43" t="s">
        <v>4</v>
      </c>
      <c r="D213" s="208" t="s">
        <v>5</v>
      </c>
      <c r="E213" s="209"/>
      <c r="F213" s="43" t="s">
        <v>1049</v>
      </c>
      <c r="G213" s="210"/>
      <c r="H213" s="211"/>
      <c r="I213" s="212"/>
      <c r="J213" s="215" t="s">
        <v>6</v>
      </c>
      <c r="K213" s="217"/>
      <c r="L213" s="44" t="s">
        <v>7</v>
      </c>
      <c r="M213" s="213" t="s">
        <v>8</v>
      </c>
      <c r="N213" s="214"/>
      <c r="O213" s="66"/>
      <c r="P213" s="44" t="s">
        <v>11</v>
      </c>
      <c r="Q213" s="228"/>
      <c r="R213" s="179"/>
      <c r="T213" s="88">
        <v>5.05306435E-2</v>
      </c>
    </row>
    <row r="214" spans="1:20" ht="15" customHeight="1">
      <c r="A214" s="47" t="s">
        <v>1051</v>
      </c>
      <c r="B214" s="48" t="s">
        <v>1220</v>
      </c>
      <c r="C214" s="47" t="s">
        <v>1053</v>
      </c>
      <c r="D214" s="190" t="s">
        <v>1221</v>
      </c>
      <c r="E214" s="191"/>
      <c r="F214" s="47" t="s">
        <v>1222</v>
      </c>
      <c r="G214" s="192"/>
      <c r="H214" s="193"/>
      <c r="I214" s="194"/>
      <c r="J214" s="195" t="s">
        <v>1079</v>
      </c>
      <c r="K214" s="196"/>
      <c r="L214" s="50">
        <v>1</v>
      </c>
      <c r="M214" s="236">
        <v>3675</v>
      </c>
      <c r="N214" s="237"/>
      <c r="O214" s="64">
        <f>SUM(O215:O222)</f>
        <v>614.32566304263014</v>
      </c>
      <c r="P214" s="64">
        <f>SUM(P215:P222)</f>
        <v>2882.4886264124052</v>
      </c>
      <c r="Q214" s="228"/>
      <c r="R214" s="179"/>
      <c r="T214" s="88">
        <v>5.05306435E-2</v>
      </c>
    </row>
    <row r="215" spans="1:20" ht="15" customHeight="1">
      <c r="A215" s="52" t="s">
        <v>1057</v>
      </c>
      <c r="B215" s="53">
        <v>88261</v>
      </c>
      <c r="C215" s="52" t="s">
        <v>1058</v>
      </c>
      <c r="D215" s="199" t="s">
        <v>1132</v>
      </c>
      <c r="E215" s="200"/>
      <c r="F215" s="52" t="s">
        <v>1158</v>
      </c>
      <c r="G215" s="201"/>
      <c r="H215" s="202"/>
      <c r="I215" s="203"/>
      <c r="J215" s="204" t="s">
        <v>1061</v>
      </c>
      <c r="K215" s="205"/>
      <c r="L215" s="55">
        <v>25.423999999999999</v>
      </c>
      <c r="M215" s="188">
        <v>25.53</v>
      </c>
      <c r="N215" s="189"/>
      <c r="O215" s="56">
        <f>M215-(M215*T215)</f>
        <v>24.239952671445</v>
      </c>
      <c r="P215" s="57">
        <f t="shared" ref="P215:P225" si="27">O215*L215</f>
        <v>616.27655671881769</v>
      </c>
      <c r="Q215" s="228"/>
      <c r="R215" s="179"/>
      <c r="T215" s="88">
        <v>5.05306435E-2</v>
      </c>
    </row>
    <row r="216" spans="1:20" ht="15.95" customHeight="1">
      <c r="A216" s="52" t="s">
        <v>1057</v>
      </c>
      <c r="B216" s="53">
        <v>88239</v>
      </c>
      <c r="C216" s="52" t="s">
        <v>1058</v>
      </c>
      <c r="D216" s="199" t="s">
        <v>1104</v>
      </c>
      <c r="E216" s="200"/>
      <c r="F216" s="52" t="s">
        <v>1158</v>
      </c>
      <c r="G216" s="201"/>
      <c r="H216" s="202"/>
      <c r="I216" s="203"/>
      <c r="J216" s="204" t="s">
        <v>1061</v>
      </c>
      <c r="K216" s="205"/>
      <c r="L216" s="55">
        <v>20.603999999999999</v>
      </c>
      <c r="M216" s="188">
        <v>22</v>
      </c>
      <c r="N216" s="189"/>
      <c r="O216" s="56">
        <f t="shared" ref="O216:O225" si="28">M216-(M216*T216)</f>
        <v>20.888325843000001</v>
      </c>
      <c r="P216" s="57">
        <f t="shared" si="27"/>
        <v>430.38306566917197</v>
      </c>
      <c r="Q216" s="228"/>
      <c r="R216" s="179"/>
      <c r="T216" s="88">
        <v>5.05306435E-2</v>
      </c>
    </row>
    <row r="217" spans="1:20" ht="15" customHeight="1">
      <c r="A217" s="58" t="s">
        <v>1064</v>
      </c>
      <c r="B217" s="62">
        <v>39026</v>
      </c>
      <c r="C217" s="58" t="s">
        <v>1058</v>
      </c>
      <c r="D217" s="181" t="s">
        <v>1223</v>
      </c>
      <c r="E217" s="182"/>
      <c r="F217" s="58" t="s">
        <v>1068</v>
      </c>
      <c r="G217" s="183"/>
      <c r="H217" s="184"/>
      <c r="I217" s="185"/>
      <c r="J217" s="186" t="s">
        <v>1109</v>
      </c>
      <c r="K217" s="187"/>
      <c r="L217" s="60">
        <v>0.03</v>
      </c>
      <c r="M217" s="188">
        <v>24.02</v>
      </c>
      <c r="N217" s="189"/>
      <c r="O217" s="56">
        <f t="shared" si="28"/>
        <v>22.806253943129999</v>
      </c>
      <c r="P217" s="57">
        <f t="shared" si="27"/>
        <v>0.68418761829389996</v>
      </c>
      <c r="Q217" s="228"/>
      <c r="R217" s="179"/>
      <c r="T217" s="88">
        <v>5.05306435E-2</v>
      </c>
    </row>
    <row r="218" spans="1:20" ht="15" customHeight="1">
      <c r="A218" s="58" t="s">
        <v>1064</v>
      </c>
      <c r="B218" s="62">
        <v>2202</v>
      </c>
      <c r="C218" s="58" t="s">
        <v>1150</v>
      </c>
      <c r="D218" s="181" t="s">
        <v>1224</v>
      </c>
      <c r="E218" s="182"/>
      <c r="F218" s="58" t="s">
        <v>1068</v>
      </c>
      <c r="G218" s="183"/>
      <c r="H218" s="184"/>
      <c r="I218" s="185"/>
      <c r="J218" s="186" t="s">
        <v>1085</v>
      </c>
      <c r="K218" s="187"/>
      <c r="L218" s="60">
        <v>8</v>
      </c>
      <c r="M218" s="188">
        <v>0.8</v>
      </c>
      <c r="N218" s="189"/>
      <c r="O218" s="56">
        <f t="shared" si="28"/>
        <v>0.75957548520000007</v>
      </c>
      <c r="P218" s="57">
        <f t="shared" si="27"/>
        <v>6.0766038816000005</v>
      </c>
      <c r="Q218" s="228"/>
      <c r="R218" s="179"/>
      <c r="T218" s="88">
        <v>5.05306435E-2</v>
      </c>
    </row>
    <row r="219" spans="1:20" ht="15" customHeight="1">
      <c r="A219" s="58" t="s">
        <v>1064</v>
      </c>
      <c r="B219" s="62">
        <v>13284</v>
      </c>
      <c r="C219" s="58" t="s">
        <v>1058</v>
      </c>
      <c r="D219" s="181" t="s">
        <v>1225</v>
      </c>
      <c r="E219" s="182"/>
      <c r="F219" s="58" t="s">
        <v>1068</v>
      </c>
      <c r="G219" s="183"/>
      <c r="H219" s="184"/>
      <c r="I219" s="185"/>
      <c r="J219" s="186" t="s">
        <v>1109</v>
      </c>
      <c r="K219" s="187"/>
      <c r="L219" s="60">
        <v>6.2</v>
      </c>
      <c r="M219" s="188">
        <v>0.65</v>
      </c>
      <c r="N219" s="189"/>
      <c r="O219" s="56">
        <f t="shared" si="28"/>
        <v>0.617155081725</v>
      </c>
      <c r="P219" s="57">
        <f t="shared" si="27"/>
        <v>3.8263615066950001</v>
      </c>
      <c r="Q219" s="228"/>
      <c r="R219" s="179"/>
      <c r="T219" s="88">
        <v>5.05306435E-2</v>
      </c>
    </row>
    <row r="220" spans="1:20" ht="15" customHeight="1">
      <c r="A220" s="58" t="s">
        <v>1064</v>
      </c>
      <c r="B220" s="62">
        <v>8643</v>
      </c>
      <c r="C220" s="58" t="s">
        <v>1150</v>
      </c>
      <c r="D220" s="181" t="s">
        <v>1226</v>
      </c>
      <c r="E220" s="182"/>
      <c r="F220" s="58" t="s">
        <v>1068</v>
      </c>
      <c r="G220" s="183"/>
      <c r="H220" s="184"/>
      <c r="I220" s="185"/>
      <c r="J220" s="186" t="s">
        <v>1085</v>
      </c>
      <c r="K220" s="187"/>
      <c r="L220" s="60">
        <v>2</v>
      </c>
      <c r="M220" s="247">
        <v>269.98</v>
      </c>
      <c r="N220" s="248"/>
      <c r="O220" s="56">
        <f t="shared" si="28"/>
        <v>256.33773686787003</v>
      </c>
      <c r="P220" s="57">
        <f t="shared" si="27"/>
        <v>512.67547373574007</v>
      </c>
      <c r="Q220" s="228"/>
      <c r="R220" s="179"/>
      <c r="T220" s="88">
        <v>5.05306435E-2</v>
      </c>
    </row>
    <row r="221" spans="1:20" ht="15" customHeight="1">
      <c r="A221" s="58" t="s">
        <v>1064</v>
      </c>
      <c r="B221" s="62">
        <v>4992</v>
      </c>
      <c r="C221" s="58" t="s">
        <v>1058</v>
      </c>
      <c r="D221" s="181" t="s">
        <v>1227</v>
      </c>
      <c r="E221" s="182"/>
      <c r="F221" s="58" t="s">
        <v>1068</v>
      </c>
      <c r="G221" s="183"/>
      <c r="H221" s="184"/>
      <c r="I221" s="185"/>
      <c r="J221" s="186" t="s">
        <v>1085</v>
      </c>
      <c r="K221" s="187"/>
      <c r="L221" s="60">
        <v>4.62</v>
      </c>
      <c r="M221" s="247">
        <v>295.55</v>
      </c>
      <c r="N221" s="248"/>
      <c r="O221" s="56">
        <f t="shared" si="28"/>
        <v>280.61566831357499</v>
      </c>
      <c r="P221" s="57">
        <f t="shared" si="27"/>
        <v>1296.4443876087164</v>
      </c>
      <c r="Q221" s="228"/>
      <c r="R221" s="179"/>
      <c r="T221" s="88">
        <v>5.05306435E-2</v>
      </c>
    </row>
    <row r="222" spans="1:20" ht="15" customHeight="1">
      <c r="A222" s="58" t="s">
        <v>1064</v>
      </c>
      <c r="B222" s="62">
        <v>11552</v>
      </c>
      <c r="C222" s="58" t="s">
        <v>1058</v>
      </c>
      <c r="D222" s="181" t="s">
        <v>1228</v>
      </c>
      <c r="E222" s="182"/>
      <c r="F222" s="58" t="s">
        <v>1068</v>
      </c>
      <c r="G222" s="183"/>
      <c r="H222" s="184"/>
      <c r="I222" s="185"/>
      <c r="J222" s="186" t="s">
        <v>1107</v>
      </c>
      <c r="K222" s="187"/>
      <c r="L222" s="60">
        <v>2</v>
      </c>
      <c r="M222" s="188">
        <v>8.49</v>
      </c>
      <c r="N222" s="189"/>
      <c r="O222" s="56">
        <f t="shared" si="28"/>
        <v>8.0609948366849995</v>
      </c>
      <c r="P222" s="57">
        <f t="shared" si="27"/>
        <v>16.121989673369999</v>
      </c>
      <c r="Q222" s="228"/>
      <c r="R222" s="179"/>
      <c r="T222" s="88">
        <v>5.05306435E-2</v>
      </c>
    </row>
    <row r="223" spans="1:20" ht="15.95" customHeight="1">
      <c r="A223" s="58" t="s">
        <v>1064</v>
      </c>
      <c r="B223" s="62">
        <v>370</v>
      </c>
      <c r="C223" s="58" t="s">
        <v>1058</v>
      </c>
      <c r="D223" s="181" t="s">
        <v>1229</v>
      </c>
      <c r="E223" s="182"/>
      <c r="F223" s="58" t="s">
        <v>1068</v>
      </c>
      <c r="G223" s="183"/>
      <c r="H223" s="184"/>
      <c r="I223" s="185"/>
      <c r="J223" s="186" t="s">
        <v>1164</v>
      </c>
      <c r="K223" s="187"/>
      <c r="L223" s="60">
        <v>1.2E-2</v>
      </c>
      <c r="M223" s="247">
        <v>145</v>
      </c>
      <c r="N223" s="248"/>
      <c r="O223" s="56">
        <f t="shared" si="28"/>
        <v>137.67305669250001</v>
      </c>
      <c r="P223" s="57">
        <f t="shared" si="27"/>
        <v>1.6520766803100002</v>
      </c>
      <c r="Q223" s="228"/>
      <c r="R223" s="179"/>
      <c r="T223" s="88">
        <v>5.05306435E-2</v>
      </c>
    </row>
    <row r="224" spans="1:20" ht="15" customHeight="1">
      <c r="A224" s="58" t="s">
        <v>1064</v>
      </c>
      <c r="B224" s="62">
        <v>12724</v>
      </c>
      <c r="C224" s="58" t="s">
        <v>1150</v>
      </c>
      <c r="D224" s="181" t="s">
        <v>1230</v>
      </c>
      <c r="E224" s="182"/>
      <c r="F224" s="58" t="s">
        <v>1068</v>
      </c>
      <c r="G224" s="183"/>
      <c r="H224" s="184"/>
      <c r="I224" s="185"/>
      <c r="J224" s="186" t="s">
        <v>1085</v>
      </c>
      <c r="K224" s="187"/>
      <c r="L224" s="60">
        <v>1</v>
      </c>
      <c r="M224" s="247">
        <v>515.57000000000005</v>
      </c>
      <c r="N224" s="248"/>
      <c r="O224" s="56">
        <f t="shared" si="28"/>
        <v>489.51791613070503</v>
      </c>
      <c r="P224" s="57">
        <f t="shared" si="27"/>
        <v>489.51791613070503</v>
      </c>
      <c r="Q224" s="228"/>
      <c r="R224" s="179"/>
      <c r="T224" s="88">
        <v>5.05306435E-2</v>
      </c>
    </row>
    <row r="225" spans="1:20" ht="15" customHeight="1">
      <c r="A225" s="58" t="s">
        <v>1064</v>
      </c>
      <c r="B225" s="62">
        <v>12748</v>
      </c>
      <c r="C225" s="58" t="s">
        <v>1150</v>
      </c>
      <c r="D225" s="181" t="s">
        <v>1231</v>
      </c>
      <c r="E225" s="182"/>
      <c r="F225" s="58" t="s">
        <v>1068</v>
      </c>
      <c r="G225" s="183"/>
      <c r="H225" s="184"/>
      <c r="I225" s="185"/>
      <c r="J225" s="186" t="s">
        <v>1085</v>
      </c>
      <c r="K225" s="187"/>
      <c r="L225" s="60">
        <v>6</v>
      </c>
      <c r="M225" s="188">
        <v>20.3</v>
      </c>
      <c r="N225" s="189"/>
      <c r="O225" s="56">
        <f t="shared" si="28"/>
        <v>19.274227936950002</v>
      </c>
      <c r="P225" s="57">
        <f t="shared" si="27"/>
        <v>115.64536762170002</v>
      </c>
      <c r="Q225" s="228"/>
      <c r="R225" s="179"/>
      <c r="T225" s="88">
        <v>5.05306435E-2</v>
      </c>
    </row>
    <row r="226" spans="1:20" ht="14.25" customHeight="1">
      <c r="A226" s="174" t="s">
        <v>1070</v>
      </c>
      <c r="B226" s="174"/>
      <c r="C226" s="174"/>
      <c r="D226" s="174"/>
      <c r="E226" s="174"/>
      <c r="F226" s="174"/>
      <c r="G226" s="174"/>
      <c r="H226" s="175" t="s">
        <v>1071</v>
      </c>
      <c r="I226" s="175"/>
      <c r="J226" s="175"/>
      <c r="K226" s="175"/>
      <c r="L226" s="176">
        <v>0</v>
      </c>
      <c r="M226" s="176"/>
      <c r="N226" s="177" t="s">
        <v>1072</v>
      </c>
      <c r="O226" s="177"/>
      <c r="P226" s="177"/>
      <c r="Q226" s="179"/>
      <c r="R226" s="179"/>
      <c r="T226" s="88">
        <v>5.05306435E-2</v>
      </c>
    </row>
    <row r="227" spans="1:20" ht="17.45" customHeight="1">
      <c r="A227" s="178" t="s">
        <v>1073</v>
      </c>
      <c r="B227" s="178"/>
      <c r="C227" s="178"/>
      <c r="D227" s="178"/>
      <c r="E227" s="178"/>
      <c r="F227" s="178"/>
      <c r="G227" s="178"/>
      <c r="H227" s="179"/>
      <c r="I227" s="179"/>
      <c r="J227" s="179"/>
      <c r="K227" s="179"/>
      <c r="L227" s="180" t="s">
        <v>1074</v>
      </c>
      <c r="M227" s="180"/>
      <c r="N227" s="179"/>
      <c r="O227" s="179"/>
      <c r="P227" s="179"/>
      <c r="Q227" s="179"/>
      <c r="R227" s="179"/>
      <c r="T227" s="88">
        <v>5.05306435E-2</v>
      </c>
    </row>
    <row r="228" spans="1:20" ht="29.45" customHeight="1">
      <c r="A228" s="233" t="s">
        <v>1232</v>
      </c>
      <c r="B228" s="233"/>
      <c r="C228" s="233"/>
      <c r="D228" s="233"/>
      <c r="E228" s="233"/>
      <c r="F228" s="233"/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233"/>
      <c r="T228" s="88">
        <v>5.05306435E-2</v>
      </c>
    </row>
    <row r="229" spans="1:20" ht="15" customHeight="1">
      <c r="A229" s="207"/>
      <c r="B229" s="207"/>
      <c r="C229" s="207"/>
      <c r="D229" s="207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179"/>
      <c r="R229" s="179"/>
      <c r="T229" s="88">
        <v>5.05306435E-2</v>
      </c>
    </row>
    <row r="230" spans="1:20" ht="15.75" customHeight="1">
      <c r="A230" s="43" t="s">
        <v>1233</v>
      </c>
      <c r="B230" s="44" t="s">
        <v>3</v>
      </c>
      <c r="C230" s="43" t="s">
        <v>4</v>
      </c>
      <c r="D230" s="208" t="s">
        <v>5</v>
      </c>
      <c r="E230" s="209"/>
      <c r="F230" s="43" t="s">
        <v>1049</v>
      </c>
      <c r="G230" s="210"/>
      <c r="H230" s="211"/>
      <c r="I230" s="212"/>
      <c r="J230" s="215" t="s">
        <v>6</v>
      </c>
      <c r="K230" s="217"/>
      <c r="L230" s="44" t="s">
        <v>7</v>
      </c>
      <c r="M230" s="213" t="s">
        <v>8</v>
      </c>
      <c r="N230" s="214"/>
      <c r="O230" s="66"/>
      <c r="P230" s="44" t="s">
        <v>11</v>
      </c>
      <c r="Q230" s="228"/>
      <c r="R230" s="179"/>
      <c r="T230" s="88">
        <v>5.05306435E-2</v>
      </c>
    </row>
    <row r="231" spans="1:20" ht="15" customHeight="1">
      <c r="A231" s="47" t="s">
        <v>1051</v>
      </c>
      <c r="B231" s="48" t="s">
        <v>1234</v>
      </c>
      <c r="C231" s="47" t="s">
        <v>1053</v>
      </c>
      <c r="D231" s="190" t="s">
        <v>1235</v>
      </c>
      <c r="E231" s="191"/>
      <c r="F231" s="47" t="s">
        <v>1222</v>
      </c>
      <c r="G231" s="192"/>
      <c r="H231" s="193"/>
      <c r="I231" s="194"/>
      <c r="J231" s="195" t="s">
        <v>1079</v>
      </c>
      <c r="K231" s="196"/>
      <c r="L231" s="50">
        <v>1</v>
      </c>
      <c r="M231" s="236">
        <v>1205.29</v>
      </c>
      <c r="N231" s="237"/>
      <c r="O231" s="64">
        <f>SUM(O232:O239)</f>
        <v>1188.7926024993899</v>
      </c>
      <c r="P231" s="64">
        <f>SUM(P232:P239)</f>
        <v>1144.3817430307161</v>
      </c>
      <c r="Q231" s="228"/>
      <c r="R231" s="179"/>
      <c r="T231" s="88">
        <v>5.05306435E-2</v>
      </c>
    </row>
    <row r="232" spans="1:20" ht="15" customHeight="1">
      <c r="A232" s="52" t="s">
        <v>1057</v>
      </c>
      <c r="B232" s="53">
        <v>88316</v>
      </c>
      <c r="C232" s="52" t="s">
        <v>1058</v>
      </c>
      <c r="D232" s="199" t="s">
        <v>1059</v>
      </c>
      <c r="E232" s="200"/>
      <c r="F232" s="52" t="s">
        <v>1158</v>
      </c>
      <c r="G232" s="201"/>
      <c r="H232" s="202"/>
      <c r="I232" s="203"/>
      <c r="J232" s="204" t="s">
        <v>1061</v>
      </c>
      <c r="K232" s="205"/>
      <c r="L232" s="55">
        <v>3</v>
      </c>
      <c r="M232" s="188">
        <v>21.32</v>
      </c>
      <c r="N232" s="189"/>
      <c r="O232" s="56">
        <f>M232-(M232*T232)</f>
        <v>20.24268668058</v>
      </c>
      <c r="P232" s="57">
        <f t="shared" ref="P232:P236" si="29">O232*L232</f>
        <v>60.728060041740001</v>
      </c>
      <c r="Q232" s="228"/>
      <c r="R232" s="179"/>
      <c r="T232" s="88">
        <v>5.05306435E-2</v>
      </c>
    </row>
    <row r="233" spans="1:20" ht="15" customHeight="1">
      <c r="A233" s="52" t="s">
        <v>1057</v>
      </c>
      <c r="B233" s="53">
        <v>88309</v>
      </c>
      <c r="C233" s="52" t="s">
        <v>1058</v>
      </c>
      <c r="D233" s="199" t="s">
        <v>1162</v>
      </c>
      <c r="E233" s="200"/>
      <c r="F233" s="52" t="s">
        <v>1158</v>
      </c>
      <c r="G233" s="201"/>
      <c r="H233" s="202"/>
      <c r="I233" s="203"/>
      <c r="J233" s="204" t="s">
        <v>1061</v>
      </c>
      <c r="K233" s="205"/>
      <c r="L233" s="55">
        <v>3</v>
      </c>
      <c r="M233" s="188">
        <v>26.9</v>
      </c>
      <c r="N233" s="189"/>
      <c r="O233" s="56">
        <f t="shared" ref="O233:O236" si="30">M233-(M233*T233)</f>
        <v>25.540725689849999</v>
      </c>
      <c r="P233" s="57">
        <f t="shared" si="29"/>
        <v>76.622177069549991</v>
      </c>
      <c r="Q233" s="228"/>
      <c r="R233" s="179"/>
      <c r="T233" s="88">
        <v>5.05306435E-2</v>
      </c>
    </row>
    <row r="234" spans="1:20" ht="15.95" customHeight="1">
      <c r="A234" s="58" t="s">
        <v>1064</v>
      </c>
      <c r="B234" s="59" t="s">
        <v>1236</v>
      </c>
      <c r="C234" s="58" t="s">
        <v>1066</v>
      </c>
      <c r="D234" s="181" t="s">
        <v>1237</v>
      </c>
      <c r="E234" s="182"/>
      <c r="F234" s="58" t="s">
        <v>1068</v>
      </c>
      <c r="G234" s="183"/>
      <c r="H234" s="184"/>
      <c r="I234" s="185"/>
      <c r="J234" s="186" t="s">
        <v>1079</v>
      </c>
      <c r="K234" s="187"/>
      <c r="L234" s="60">
        <v>1</v>
      </c>
      <c r="M234" s="252">
        <v>1058.1199999999999</v>
      </c>
      <c r="N234" s="253"/>
      <c r="O234" s="56">
        <f t="shared" si="30"/>
        <v>1004.6525154997798</v>
      </c>
      <c r="P234" s="57">
        <f t="shared" si="29"/>
        <v>1004.6525154997798</v>
      </c>
      <c r="Q234" s="228"/>
      <c r="R234" s="179"/>
      <c r="T234" s="88">
        <v>5.05306435E-2</v>
      </c>
    </row>
    <row r="235" spans="1:20" ht="15" customHeight="1">
      <c r="A235" s="58" t="s">
        <v>1064</v>
      </c>
      <c r="B235" s="62">
        <v>1379</v>
      </c>
      <c r="C235" s="58" t="s">
        <v>1058</v>
      </c>
      <c r="D235" s="181" t="s">
        <v>1189</v>
      </c>
      <c r="E235" s="182"/>
      <c r="F235" s="58" t="s">
        <v>1068</v>
      </c>
      <c r="G235" s="183"/>
      <c r="H235" s="184"/>
      <c r="I235" s="185"/>
      <c r="J235" s="186" t="s">
        <v>1109</v>
      </c>
      <c r="K235" s="187"/>
      <c r="L235" s="60">
        <v>2.0299999999999998</v>
      </c>
      <c r="M235" s="188">
        <v>0.72</v>
      </c>
      <c r="N235" s="189"/>
      <c r="O235" s="56">
        <f t="shared" si="30"/>
        <v>0.68361793667999993</v>
      </c>
      <c r="P235" s="57">
        <f t="shared" si="29"/>
        <v>1.3877444114603996</v>
      </c>
      <c r="Q235" s="228"/>
      <c r="R235" s="179"/>
      <c r="T235" s="88">
        <v>5.05306435E-2</v>
      </c>
    </row>
    <row r="236" spans="1:20" ht="15" customHeight="1">
      <c r="A236" s="58" t="s">
        <v>1064</v>
      </c>
      <c r="B236" s="62">
        <v>370</v>
      </c>
      <c r="C236" s="58" t="s">
        <v>1058</v>
      </c>
      <c r="D236" s="181" t="s">
        <v>1229</v>
      </c>
      <c r="E236" s="182"/>
      <c r="F236" s="58" t="s">
        <v>1068</v>
      </c>
      <c r="G236" s="183"/>
      <c r="H236" s="184"/>
      <c r="I236" s="185"/>
      <c r="J236" s="186" t="s">
        <v>1164</v>
      </c>
      <c r="K236" s="187"/>
      <c r="L236" s="60">
        <v>7.1999999999999998E-3</v>
      </c>
      <c r="M236" s="247">
        <v>145</v>
      </c>
      <c r="N236" s="248"/>
      <c r="O236" s="56">
        <f t="shared" si="30"/>
        <v>137.67305669250001</v>
      </c>
      <c r="P236" s="57">
        <f t="shared" si="29"/>
        <v>0.99124600818600006</v>
      </c>
      <c r="Q236" s="228"/>
      <c r="R236" s="179"/>
      <c r="T236" s="88">
        <v>5.05306435E-2</v>
      </c>
    </row>
    <row r="237" spans="1:20" ht="14.25" customHeight="1">
      <c r="A237" s="174" t="s">
        <v>1070</v>
      </c>
      <c r="B237" s="174"/>
      <c r="C237" s="174"/>
      <c r="D237" s="174"/>
      <c r="E237" s="174"/>
      <c r="F237" s="174"/>
      <c r="G237" s="174"/>
      <c r="H237" s="175" t="s">
        <v>1071</v>
      </c>
      <c r="I237" s="175"/>
      <c r="J237" s="175"/>
      <c r="K237" s="175"/>
      <c r="L237" s="176">
        <v>0</v>
      </c>
      <c r="M237" s="176"/>
      <c r="N237" s="177" t="s">
        <v>1072</v>
      </c>
      <c r="O237" s="177"/>
      <c r="P237" s="177"/>
      <c r="Q237" s="179"/>
      <c r="R237" s="179"/>
      <c r="T237" s="88">
        <v>5.05306435E-2</v>
      </c>
    </row>
    <row r="238" spans="1:20" ht="17.45" customHeight="1">
      <c r="A238" s="178" t="s">
        <v>1073</v>
      </c>
      <c r="B238" s="178"/>
      <c r="C238" s="178"/>
      <c r="D238" s="178"/>
      <c r="E238" s="178"/>
      <c r="F238" s="178"/>
      <c r="G238" s="178"/>
      <c r="H238" s="179"/>
      <c r="I238" s="179"/>
      <c r="J238" s="179"/>
      <c r="K238" s="179"/>
      <c r="L238" s="180" t="s">
        <v>1074</v>
      </c>
      <c r="M238" s="180"/>
      <c r="N238" s="179"/>
      <c r="O238" s="179"/>
      <c r="P238" s="179"/>
      <c r="Q238" s="179"/>
      <c r="R238" s="179"/>
      <c r="T238" s="88">
        <v>5.05306435E-2</v>
      </c>
    </row>
    <row r="239" spans="1:20" ht="29.45" customHeight="1">
      <c r="A239" s="233" t="s">
        <v>1238</v>
      </c>
      <c r="B239" s="233"/>
      <c r="C239" s="233"/>
      <c r="D239" s="233"/>
      <c r="E239" s="233"/>
      <c r="F239" s="233"/>
      <c r="G239" s="233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T239" s="88">
        <v>5.05306435E-2</v>
      </c>
    </row>
    <row r="240" spans="1:20" ht="15" customHeight="1">
      <c r="A240" s="207"/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179"/>
      <c r="R240" s="179"/>
      <c r="T240" s="88">
        <v>5.05306435E-2</v>
      </c>
    </row>
    <row r="241" spans="1:20" ht="15.75" customHeight="1">
      <c r="A241" s="43" t="s">
        <v>1239</v>
      </c>
      <c r="B241" s="44" t="s">
        <v>3</v>
      </c>
      <c r="C241" s="43" t="s">
        <v>4</v>
      </c>
      <c r="D241" s="208" t="s">
        <v>5</v>
      </c>
      <c r="E241" s="209"/>
      <c r="F241" s="43" t="s">
        <v>1049</v>
      </c>
      <c r="G241" s="210"/>
      <c r="H241" s="211"/>
      <c r="I241" s="212"/>
      <c r="J241" s="215" t="s">
        <v>6</v>
      </c>
      <c r="K241" s="217"/>
      <c r="L241" s="44" t="s">
        <v>7</v>
      </c>
      <c r="M241" s="213" t="s">
        <v>8</v>
      </c>
      <c r="N241" s="214"/>
      <c r="O241" s="66"/>
      <c r="P241" s="44" t="s">
        <v>11</v>
      </c>
      <c r="Q241" s="228"/>
      <c r="R241" s="179"/>
      <c r="T241" s="88">
        <v>5.05306435E-2</v>
      </c>
    </row>
    <row r="242" spans="1:20" ht="15" customHeight="1">
      <c r="A242" s="47" t="s">
        <v>1051</v>
      </c>
      <c r="B242" s="48" t="s">
        <v>1240</v>
      </c>
      <c r="C242" s="47" t="s">
        <v>1053</v>
      </c>
      <c r="D242" s="190" t="s">
        <v>1241</v>
      </c>
      <c r="E242" s="191"/>
      <c r="F242" s="47" t="s">
        <v>1222</v>
      </c>
      <c r="G242" s="192"/>
      <c r="H242" s="193"/>
      <c r="I242" s="194"/>
      <c r="J242" s="195" t="s">
        <v>1079</v>
      </c>
      <c r="K242" s="196"/>
      <c r="L242" s="50">
        <v>1</v>
      </c>
      <c r="M242" s="236">
        <v>1331.61</v>
      </c>
      <c r="N242" s="237"/>
      <c r="O242" s="64">
        <f>SUM(O243:O250)</f>
        <v>1379.6739219301501</v>
      </c>
      <c r="P242" s="64">
        <f>SUM(P243:P250)</f>
        <v>1264.3244089599355</v>
      </c>
      <c r="Q242" s="228"/>
      <c r="R242" s="179"/>
      <c r="T242" s="88">
        <v>5.05306435E-2</v>
      </c>
    </row>
    <row r="243" spans="1:20" ht="15" customHeight="1">
      <c r="A243" s="52" t="s">
        <v>1057</v>
      </c>
      <c r="B243" s="53">
        <v>88309</v>
      </c>
      <c r="C243" s="52" t="s">
        <v>1058</v>
      </c>
      <c r="D243" s="199" t="s">
        <v>1162</v>
      </c>
      <c r="E243" s="200"/>
      <c r="F243" s="52" t="s">
        <v>1158</v>
      </c>
      <c r="G243" s="201"/>
      <c r="H243" s="202"/>
      <c r="I243" s="203"/>
      <c r="J243" s="204" t="s">
        <v>1061</v>
      </c>
      <c r="K243" s="205"/>
      <c r="L243" s="55">
        <v>1</v>
      </c>
      <c r="M243" s="188">
        <v>26.9</v>
      </c>
      <c r="N243" s="189"/>
      <c r="O243" s="56">
        <f>M243-(M243*T243)</f>
        <v>25.540725689849999</v>
      </c>
      <c r="P243" s="57">
        <f t="shared" ref="P243:P247" si="31">O243*L243</f>
        <v>25.540725689849999</v>
      </c>
      <c r="Q243" s="228"/>
      <c r="R243" s="179"/>
      <c r="T243" s="88">
        <v>5.05306435E-2</v>
      </c>
    </row>
    <row r="244" spans="1:20" ht="15" customHeight="1">
      <c r="A244" s="52" t="s">
        <v>1057</v>
      </c>
      <c r="B244" s="53">
        <v>88316</v>
      </c>
      <c r="C244" s="52" t="s">
        <v>1058</v>
      </c>
      <c r="D244" s="199" t="s">
        <v>1059</v>
      </c>
      <c r="E244" s="200"/>
      <c r="F244" s="52" t="s">
        <v>1158</v>
      </c>
      <c r="G244" s="201"/>
      <c r="H244" s="202"/>
      <c r="I244" s="203"/>
      <c r="J244" s="204" t="s">
        <v>1061</v>
      </c>
      <c r="K244" s="205"/>
      <c r="L244" s="55">
        <v>2</v>
      </c>
      <c r="M244" s="188">
        <v>21.32</v>
      </c>
      <c r="N244" s="189"/>
      <c r="O244" s="56">
        <f t="shared" ref="O244:O247" si="32">M244-(M244*T244)</f>
        <v>20.24268668058</v>
      </c>
      <c r="P244" s="57">
        <f t="shared" si="31"/>
        <v>40.485373361160001</v>
      </c>
      <c r="Q244" s="228"/>
      <c r="R244" s="179"/>
      <c r="T244" s="88">
        <v>5.05306435E-2</v>
      </c>
    </row>
    <row r="245" spans="1:20" ht="15.95" customHeight="1">
      <c r="A245" s="58" t="s">
        <v>1064</v>
      </c>
      <c r="B245" s="62">
        <v>1379</v>
      </c>
      <c r="C245" s="58" t="s">
        <v>1058</v>
      </c>
      <c r="D245" s="181" t="s">
        <v>1189</v>
      </c>
      <c r="E245" s="182"/>
      <c r="F245" s="58" t="s">
        <v>1068</v>
      </c>
      <c r="G245" s="183"/>
      <c r="H245" s="184"/>
      <c r="I245" s="185"/>
      <c r="J245" s="186" t="s">
        <v>1109</v>
      </c>
      <c r="K245" s="187"/>
      <c r="L245" s="60">
        <v>2.0299999999999998</v>
      </c>
      <c r="M245" s="188">
        <v>0.72</v>
      </c>
      <c r="N245" s="189"/>
      <c r="O245" s="56">
        <f t="shared" si="32"/>
        <v>0.68361793667999993</v>
      </c>
      <c r="P245" s="57">
        <f t="shared" si="31"/>
        <v>1.3877444114603996</v>
      </c>
      <c r="Q245" s="228"/>
      <c r="R245" s="179"/>
      <c r="T245" s="88">
        <v>5.05306435E-2</v>
      </c>
    </row>
    <row r="246" spans="1:20" ht="15" customHeight="1">
      <c r="A246" s="58" t="s">
        <v>1064</v>
      </c>
      <c r="B246" s="59" t="s">
        <v>1242</v>
      </c>
      <c r="C246" s="58" t="s">
        <v>1066</v>
      </c>
      <c r="D246" s="181" t="s">
        <v>1243</v>
      </c>
      <c r="E246" s="182"/>
      <c r="F246" s="58" t="s">
        <v>1068</v>
      </c>
      <c r="G246" s="183"/>
      <c r="H246" s="184"/>
      <c r="I246" s="185"/>
      <c r="J246" s="186" t="s">
        <v>1079</v>
      </c>
      <c r="K246" s="187"/>
      <c r="L246" s="60">
        <v>1</v>
      </c>
      <c r="M246" s="252">
        <v>1259.1600000000001</v>
      </c>
      <c r="N246" s="253"/>
      <c r="O246" s="56">
        <f t="shared" si="32"/>
        <v>1195.53383493054</v>
      </c>
      <c r="P246" s="57">
        <f t="shared" si="31"/>
        <v>1195.53383493054</v>
      </c>
      <c r="Q246" s="228"/>
      <c r="R246" s="179"/>
      <c r="T246" s="88">
        <v>5.05306435E-2</v>
      </c>
    </row>
    <row r="247" spans="1:20" ht="15" customHeight="1">
      <c r="A247" s="58" t="s">
        <v>1064</v>
      </c>
      <c r="B247" s="62">
        <v>370</v>
      </c>
      <c r="C247" s="58" t="s">
        <v>1058</v>
      </c>
      <c r="D247" s="181" t="s">
        <v>1229</v>
      </c>
      <c r="E247" s="182"/>
      <c r="F247" s="58" t="s">
        <v>1068</v>
      </c>
      <c r="G247" s="183"/>
      <c r="H247" s="184"/>
      <c r="I247" s="185"/>
      <c r="J247" s="186" t="s">
        <v>1164</v>
      </c>
      <c r="K247" s="187"/>
      <c r="L247" s="60">
        <v>0.01</v>
      </c>
      <c r="M247" s="247">
        <v>145</v>
      </c>
      <c r="N247" s="248"/>
      <c r="O247" s="56">
        <f t="shared" si="32"/>
        <v>137.67305669250001</v>
      </c>
      <c r="P247" s="57">
        <f t="shared" si="31"/>
        <v>1.3767305669250001</v>
      </c>
      <c r="Q247" s="228"/>
      <c r="R247" s="179"/>
      <c r="T247" s="88">
        <v>5.05306435E-2</v>
      </c>
    </row>
    <row r="248" spans="1:20" ht="14.25" customHeight="1">
      <c r="A248" s="174" t="s">
        <v>1070</v>
      </c>
      <c r="B248" s="174"/>
      <c r="C248" s="174"/>
      <c r="D248" s="174"/>
      <c r="E248" s="174"/>
      <c r="F248" s="174"/>
      <c r="G248" s="174"/>
      <c r="H248" s="175" t="s">
        <v>1071</v>
      </c>
      <c r="I248" s="175"/>
      <c r="J248" s="175"/>
      <c r="K248" s="175"/>
      <c r="L248" s="176">
        <v>0</v>
      </c>
      <c r="M248" s="176"/>
      <c r="N248" s="177" t="s">
        <v>1072</v>
      </c>
      <c r="O248" s="177"/>
      <c r="P248" s="177"/>
      <c r="Q248" s="179"/>
      <c r="R248" s="179"/>
      <c r="T248" s="88">
        <v>5.05306435E-2</v>
      </c>
    </row>
    <row r="249" spans="1:20" ht="17.45" customHeight="1">
      <c r="A249" s="178" t="s">
        <v>1073</v>
      </c>
      <c r="B249" s="178"/>
      <c r="C249" s="178"/>
      <c r="D249" s="178"/>
      <c r="E249" s="178"/>
      <c r="F249" s="178"/>
      <c r="G249" s="178"/>
      <c r="H249" s="179"/>
      <c r="I249" s="179"/>
      <c r="J249" s="179"/>
      <c r="K249" s="179"/>
      <c r="L249" s="180" t="s">
        <v>1074</v>
      </c>
      <c r="M249" s="180"/>
      <c r="N249" s="179"/>
      <c r="O249" s="179"/>
      <c r="P249" s="179"/>
      <c r="Q249" s="179"/>
      <c r="R249" s="179"/>
      <c r="T249" s="88">
        <v>5.05306435E-2</v>
      </c>
    </row>
    <row r="250" spans="1:20" ht="28.5" customHeight="1">
      <c r="A250" s="233" t="s">
        <v>1244</v>
      </c>
      <c r="B250" s="233"/>
      <c r="C250" s="233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T250" s="88">
        <v>5.05306435E-2</v>
      </c>
    </row>
    <row r="251" spans="1:20" ht="15.95" customHeight="1">
      <c r="A251" s="207"/>
      <c r="B251" s="207"/>
      <c r="C251" s="207"/>
      <c r="D251" s="207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179"/>
      <c r="R251" s="179"/>
      <c r="T251" s="88">
        <v>5.05306435E-2</v>
      </c>
    </row>
    <row r="252" spans="1:20" ht="15.75" customHeight="1">
      <c r="A252" s="43" t="s">
        <v>1245</v>
      </c>
      <c r="B252" s="44" t="s">
        <v>3</v>
      </c>
      <c r="C252" s="43" t="s">
        <v>4</v>
      </c>
      <c r="D252" s="208" t="s">
        <v>5</v>
      </c>
      <c r="E252" s="209"/>
      <c r="F252" s="43" t="s">
        <v>1049</v>
      </c>
      <c r="G252" s="210"/>
      <c r="H252" s="211"/>
      <c r="I252" s="212"/>
      <c r="J252" s="215" t="s">
        <v>6</v>
      </c>
      <c r="K252" s="217"/>
      <c r="L252" s="44" t="s">
        <v>7</v>
      </c>
      <c r="M252" s="213" t="s">
        <v>8</v>
      </c>
      <c r="N252" s="214"/>
      <c r="O252" s="66"/>
      <c r="P252" s="44" t="s">
        <v>11</v>
      </c>
      <c r="Q252" s="228"/>
      <c r="R252" s="179"/>
      <c r="T252" s="88">
        <v>5.05306435E-2</v>
      </c>
    </row>
    <row r="253" spans="1:20" ht="15" customHeight="1">
      <c r="A253" s="47" t="s">
        <v>1051</v>
      </c>
      <c r="B253" s="48" t="s">
        <v>1246</v>
      </c>
      <c r="C253" s="47" t="s">
        <v>1053</v>
      </c>
      <c r="D253" s="190" t="s">
        <v>1247</v>
      </c>
      <c r="E253" s="191"/>
      <c r="F253" s="47" t="s">
        <v>1222</v>
      </c>
      <c r="G253" s="192"/>
      <c r="H253" s="193"/>
      <c r="I253" s="194"/>
      <c r="J253" s="195" t="s">
        <v>1079</v>
      </c>
      <c r="K253" s="196"/>
      <c r="L253" s="50">
        <v>1</v>
      </c>
      <c r="M253" s="236">
        <v>1256.52</v>
      </c>
      <c r="N253" s="237"/>
      <c r="O253" s="64">
        <f>SUM(O254:O261)</f>
        <v>623.53551580067995</v>
      </c>
      <c r="P253" s="64">
        <f>SUM(P254:P261)</f>
        <v>1193.0285840758663</v>
      </c>
      <c r="Q253" s="228"/>
      <c r="R253" s="179"/>
      <c r="T253" s="88">
        <v>5.05306435E-2</v>
      </c>
    </row>
    <row r="254" spans="1:20" ht="15" customHeight="1">
      <c r="A254" s="52" t="s">
        <v>1057</v>
      </c>
      <c r="B254" s="53">
        <v>88251</v>
      </c>
      <c r="C254" s="52" t="s">
        <v>1058</v>
      </c>
      <c r="D254" s="199" t="s">
        <v>1248</v>
      </c>
      <c r="E254" s="200"/>
      <c r="F254" s="52" t="s">
        <v>1158</v>
      </c>
      <c r="G254" s="201"/>
      <c r="H254" s="202"/>
      <c r="I254" s="203"/>
      <c r="J254" s="204" t="s">
        <v>1061</v>
      </c>
      <c r="K254" s="205"/>
      <c r="L254" s="55">
        <v>17.431999999999999</v>
      </c>
      <c r="M254" s="188">
        <v>22.17</v>
      </c>
      <c r="N254" s="189"/>
      <c r="O254" s="56">
        <f>M254-(M254*T254)</f>
        <v>21.049735633605003</v>
      </c>
      <c r="P254" s="57">
        <f t="shared" ref="P254:P258" si="33">O254*L254</f>
        <v>366.93899156500237</v>
      </c>
      <c r="Q254" s="228"/>
      <c r="R254" s="179"/>
      <c r="T254" s="88">
        <v>5.05306435E-2</v>
      </c>
    </row>
    <row r="255" spans="1:20" ht="15" customHeight="1">
      <c r="A255" s="52" t="s">
        <v>1057</v>
      </c>
      <c r="B255" s="53">
        <v>88315</v>
      </c>
      <c r="C255" s="52" t="s">
        <v>1058</v>
      </c>
      <c r="D255" s="199" t="s">
        <v>1249</v>
      </c>
      <c r="E255" s="200"/>
      <c r="F255" s="52" t="s">
        <v>1158</v>
      </c>
      <c r="G255" s="201"/>
      <c r="H255" s="202"/>
      <c r="I255" s="203"/>
      <c r="J255" s="204" t="s">
        <v>1061</v>
      </c>
      <c r="K255" s="205"/>
      <c r="L255" s="55">
        <v>15.305999999999999</v>
      </c>
      <c r="M255" s="188">
        <v>26.7</v>
      </c>
      <c r="N255" s="189"/>
      <c r="O255" s="56">
        <f t="shared" ref="O255:O258" si="34">M255-(M255*T255)</f>
        <v>25.350831818549999</v>
      </c>
      <c r="P255" s="57">
        <f t="shared" si="33"/>
        <v>388.01983181472627</v>
      </c>
      <c r="Q255" s="228"/>
      <c r="R255" s="179"/>
      <c r="T255" s="88">
        <v>5.05306435E-2</v>
      </c>
    </row>
    <row r="256" spans="1:20" ht="15" customHeight="1">
      <c r="A256" s="58" t="s">
        <v>1064</v>
      </c>
      <c r="B256" s="62">
        <v>367</v>
      </c>
      <c r="C256" s="58" t="s">
        <v>1058</v>
      </c>
      <c r="D256" s="181" t="s">
        <v>1188</v>
      </c>
      <c r="E256" s="182"/>
      <c r="F256" s="58" t="s">
        <v>1068</v>
      </c>
      <c r="G256" s="183"/>
      <c r="H256" s="184"/>
      <c r="I256" s="185"/>
      <c r="J256" s="186" t="s">
        <v>1164</v>
      </c>
      <c r="K256" s="187"/>
      <c r="L256" s="60">
        <v>2E-3</v>
      </c>
      <c r="M256" s="247">
        <v>146.88999999999999</v>
      </c>
      <c r="N256" s="248"/>
      <c r="O256" s="56">
        <f t="shared" si="34"/>
        <v>139.467553776285</v>
      </c>
      <c r="P256" s="57">
        <f t="shared" si="33"/>
        <v>0.27893510755257001</v>
      </c>
      <c r="Q256" s="228"/>
      <c r="R256" s="179"/>
      <c r="T256" s="88">
        <v>5.05306435E-2</v>
      </c>
    </row>
    <row r="257" spans="1:20" ht="15.95" customHeight="1">
      <c r="A257" s="58" t="s">
        <v>1064</v>
      </c>
      <c r="B257" s="62">
        <v>1328</v>
      </c>
      <c r="C257" s="58" t="s">
        <v>1150</v>
      </c>
      <c r="D257" s="181" t="s">
        <v>1250</v>
      </c>
      <c r="E257" s="182"/>
      <c r="F257" s="58" t="s">
        <v>1068</v>
      </c>
      <c r="G257" s="183"/>
      <c r="H257" s="184"/>
      <c r="I257" s="185"/>
      <c r="J257" s="186" t="s">
        <v>1079</v>
      </c>
      <c r="K257" s="187"/>
      <c r="L257" s="60">
        <v>1</v>
      </c>
      <c r="M257" s="247">
        <v>460.31</v>
      </c>
      <c r="N257" s="248"/>
      <c r="O257" s="56">
        <f t="shared" si="34"/>
        <v>437.05023949051503</v>
      </c>
      <c r="P257" s="57">
        <f t="shared" si="33"/>
        <v>437.05023949051503</v>
      </c>
      <c r="Q257" s="228"/>
      <c r="R257" s="179"/>
      <c r="T257" s="88">
        <v>5.05306435E-2</v>
      </c>
    </row>
    <row r="258" spans="1:20" ht="14.85" customHeight="1">
      <c r="A258" s="58" t="s">
        <v>1064</v>
      </c>
      <c r="B258" s="62">
        <v>13284</v>
      </c>
      <c r="C258" s="58" t="s">
        <v>1058</v>
      </c>
      <c r="D258" s="181" t="s">
        <v>1225</v>
      </c>
      <c r="E258" s="182"/>
      <c r="F258" s="58" t="s">
        <v>1068</v>
      </c>
      <c r="G258" s="183"/>
      <c r="H258" s="184"/>
      <c r="I258" s="185"/>
      <c r="J258" s="186" t="s">
        <v>1109</v>
      </c>
      <c r="K258" s="187"/>
      <c r="L258" s="60">
        <v>1.2</v>
      </c>
      <c r="M258" s="188">
        <v>0.65</v>
      </c>
      <c r="N258" s="189"/>
      <c r="O258" s="56">
        <f t="shared" si="34"/>
        <v>0.617155081725</v>
      </c>
      <c r="P258" s="57">
        <f t="shared" si="33"/>
        <v>0.74058609806999998</v>
      </c>
      <c r="Q258" s="228"/>
      <c r="R258" s="179"/>
      <c r="T258" s="88">
        <v>5.05306435E-2</v>
      </c>
    </row>
    <row r="259" spans="1:20" ht="14.25" customHeight="1">
      <c r="A259" s="174" t="s">
        <v>1070</v>
      </c>
      <c r="B259" s="174"/>
      <c r="C259" s="174"/>
      <c r="D259" s="174"/>
      <c r="E259" s="174"/>
      <c r="F259" s="174"/>
      <c r="G259" s="174"/>
      <c r="H259" s="175" t="s">
        <v>1071</v>
      </c>
      <c r="I259" s="175"/>
      <c r="J259" s="175"/>
      <c r="K259" s="175"/>
      <c r="L259" s="176">
        <v>0</v>
      </c>
      <c r="M259" s="176"/>
      <c r="N259" s="177" t="s">
        <v>1072</v>
      </c>
      <c r="O259" s="177"/>
      <c r="P259" s="177"/>
      <c r="Q259" s="179"/>
      <c r="R259" s="179"/>
      <c r="T259" s="88">
        <v>5.05306435E-2</v>
      </c>
    </row>
    <row r="260" spans="1:20" ht="17.45" customHeight="1">
      <c r="A260" s="178" t="s">
        <v>1073</v>
      </c>
      <c r="B260" s="178"/>
      <c r="C260" s="178"/>
      <c r="D260" s="178"/>
      <c r="E260" s="178"/>
      <c r="F260" s="178"/>
      <c r="G260" s="178"/>
      <c r="H260" s="179"/>
      <c r="I260" s="179"/>
      <c r="J260" s="179"/>
      <c r="K260" s="179"/>
      <c r="L260" s="180" t="s">
        <v>1074</v>
      </c>
      <c r="M260" s="180"/>
      <c r="N260" s="179"/>
      <c r="O260" s="179"/>
      <c r="P260" s="179"/>
      <c r="Q260" s="179"/>
      <c r="R260" s="179"/>
      <c r="T260" s="88">
        <v>5.05306435E-2</v>
      </c>
    </row>
    <row r="261" spans="1:20" ht="28.5" customHeight="1">
      <c r="A261" s="233" t="s">
        <v>1251</v>
      </c>
      <c r="B261" s="233"/>
      <c r="C261" s="233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T261" s="88">
        <v>5.05306435E-2</v>
      </c>
    </row>
    <row r="262" spans="1:20" ht="15.95" customHeight="1">
      <c r="A262" s="207"/>
      <c r="B262" s="207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179"/>
      <c r="R262" s="179"/>
      <c r="T262" s="88">
        <v>5.05306435E-2</v>
      </c>
    </row>
    <row r="263" spans="1:20" ht="15.75" customHeight="1">
      <c r="A263" s="43" t="s">
        <v>1252</v>
      </c>
      <c r="B263" s="44" t="s">
        <v>3</v>
      </c>
      <c r="C263" s="43" t="s">
        <v>4</v>
      </c>
      <c r="D263" s="208" t="s">
        <v>5</v>
      </c>
      <c r="E263" s="209"/>
      <c r="F263" s="43" t="s">
        <v>1049</v>
      </c>
      <c r="G263" s="210"/>
      <c r="H263" s="211"/>
      <c r="I263" s="212"/>
      <c r="J263" s="215" t="s">
        <v>6</v>
      </c>
      <c r="K263" s="217"/>
      <c r="L263" s="44" t="s">
        <v>7</v>
      </c>
      <c r="M263" s="213" t="s">
        <v>8</v>
      </c>
      <c r="N263" s="214"/>
      <c r="O263" s="66"/>
      <c r="P263" s="44" t="s">
        <v>11</v>
      </c>
      <c r="Q263" s="228"/>
      <c r="R263" s="179"/>
      <c r="T263" s="88">
        <v>5.05306435E-2</v>
      </c>
    </row>
    <row r="264" spans="1:20" ht="15" customHeight="1">
      <c r="A264" s="47" t="s">
        <v>1051</v>
      </c>
      <c r="B264" s="48" t="s">
        <v>1253</v>
      </c>
      <c r="C264" s="47" t="s">
        <v>1053</v>
      </c>
      <c r="D264" s="190" t="s">
        <v>1254</v>
      </c>
      <c r="E264" s="191"/>
      <c r="F264" s="47" t="s">
        <v>1222</v>
      </c>
      <c r="G264" s="192"/>
      <c r="H264" s="193"/>
      <c r="I264" s="194"/>
      <c r="J264" s="195" t="s">
        <v>1079</v>
      </c>
      <c r="K264" s="196"/>
      <c r="L264" s="50">
        <v>1</v>
      </c>
      <c r="M264" s="236">
        <v>1369.34</v>
      </c>
      <c r="N264" s="237"/>
      <c r="O264" s="64">
        <f>SUM(O265:O272)</f>
        <v>1169.4709010946149</v>
      </c>
      <c r="P264" s="64">
        <f>SUM(P265:P272)</f>
        <v>1300.1509830507828</v>
      </c>
      <c r="Q264" s="228"/>
      <c r="R264" s="179"/>
      <c r="T264" s="88">
        <v>5.05306435E-2</v>
      </c>
    </row>
    <row r="265" spans="1:20" ht="15" customHeight="1">
      <c r="A265" s="52" t="s">
        <v>1057</v>
      </c>
      <c r="B265" s="53">
        <v>88315</v>
      </c>
      <c r="C265" s="52" t="s">
        <v>1058</v>
      </c>
      <c r="D265" s="199" t="s">
        <v>1249</v>
      </c>
      <c r="E265" s="200"/>
      <c r="F265" s="52" t="s">
        <v>1158</v>
      </c>
      <c r="G265" s="201"/>
      <c r="H265" s="202"/>
      <c r="I265" s="203"/>
      <c r="J265" s="204" t="s">
        <v>1061</v>
      </c>
      <c r="K265" s="205"/>
      <c r="L265" s="55">
        <v>4.7430000000000003</v>
      </c>
      <c r="M265" s="188">
        <v>26.7</v>
      </c>
      <c r="N265" s="189"/>
      <c r="O265" s="56">
        <f>M265-(M265*T265)</f>
        <v>25.350831818549999</v>
      </c>
      <c r="P265" s="57">
        <f t="shared" ref="P265:P270" si="35">O265*L265</f>
        <v>120.23899531538265</v>
      </c>
      <c r="Q265" s="228"/>
      <c r="R265" s="179"/>
      <c r="T265" s="88">
        <v>5.05306435E-2</v>
      </c>
    </row>
    <row r="266" spans="1:20" ht="15" customHeight="1">
      <c r="A266" s="52" t="s">
        <v>1057</v>
      </c>
      <c r="B266" s="53">
        <v>88251</v>
      </c>
      <c r="C266" s="52" t="s">
        <v>1058</v>
      </c>
      <c r="D266" s="199" t="s">
        <v>1248</v>
      </c>
      <c r="E266" s="200"/>
      <c r="F266" s="52" t="s">
        <v>1158</v>
      </c>
      <c r="G266" s="201"/>
      <c r="H266" s="202"/>
      <c r="I266" s="203"/>
      <c r="J266" s="204" t="s">
        <v>1061</v>
      </c>
      <c r="K266" s="205"/>
      <c r="L266" s="55">
        <v>4.7430000000000003</v>
      </c>
      <c r="M266" s="188">
        <v>22.17</v>
      </c>
      <c r="N266" s="189"/>
      <c r="O266" s="56">
        <f t="shared" ref="O266:O270" si="36">M266-(M266*T266)</f>
        <v>21.049735633605003</v>
      </c>
      <c r="P266" s="57">
        <f t="shared" si="35"/>
        <v>99.838896110188543</v>
      </c>
      <c r="Q266" s="228"/>
      <c r="R266" s="179"/>
      <c r="T266" s="88">
        <v>5.05306435E-2</v>
      </c>
    </row>
    <row r="267" spans="1:20" ht="15" customHeight="1">
      <c r="A267" s="58" t="s">
        <v>1064</v>
      </c>
      <c r="B267" s="62">
        <v>367</v>
      </c>
      <c r="C267" s="58" t="s">
        <v>1058</v>
      </c>
      <c r="D267" s="181" t="s">
        <v>1188</v>
      </c>
      <c r="E267" s="182"/>
      <c r="F267" s="58" t="s">
        <v>1068</v>
      </c>
      <c r="G267" s="183"/>
      <c r="H267" s="184"/>
      <c r="I267" s="185"/>
      <c r="J267" s="186" t="s">
        <v>1164</v>
      </c>
      <c r="K267" s="187"/>
      <c r="L267" s="60">
        <v>5.0000000000000001E-3</v>
      </c>
      <c r="M267" s="247">
        <v>146.88999999999999</v>
      </c>
      <c r="N267" s="248"/>
      <c r="O267" s="56">
        <f t="shared" si="36"/>
        <v>139.467553776285</v>
      </c>
      <c r="P267" s="57">
        <f t="shared" si="35"/>
        <v>0.69733776888142507</v>
      </c>
      <c r="Q267" s="228"/>
      <c r="R267" s="179"/>
      <c r="T267" s="88">
        <v>5.05306435E-2</v>
      </c>
    </row>
    <row r="268" spans="1:20" ht="15.95" customHeight="1">
      <c r="A268" s="58" t="s">
        <v>1064</v>
      </c>
      <c r="B268" s="62">
        <v>13284</v>
      </c>
      <c r="C268" s="58" t="s">
        <v>1058</v>
      </c>
      <c r="D268" s="181" t="s">
        <v>1225</v>
      </c>
      <c r="E268" s="182"/>
      <c r="F268" s="58" t="s">
        <v>1068</v>
      </c>
      <c r="G268" s="183"/>
      <c r="H268" s="184"/>
      <c r="I268" s="185"/>
      <c r="J268" s="186" t="s">
        <v>1109</v>
      </c>
      <c r="K268" s="187"/>
      <c r="L268" s="60">
        <v>2.4</v>
      </c>
      <c r="M268" s="188">
        <v>0.65</v>
      </c>
      <c r="N268" s="189"/>
      <c r="O268" s="56">
        <f t="shared" si="36"/>
        <v>0.617155081725</v>
      </c>
      <c r="P268" s="57">
        <f t="shared" si="35"/>
        <v>1.48117219614</v>
      </c>
      <c r="Q268" s="228"/>
      <c r="R268" s="179"/>
      <c r="T268" s="88">
        <v>5.05306435E-2</v>
      </c>
    </row>
    <row r="269" spans="1:20" ht="15" customHeight="1">
      <c r="A269" s="58" t="s">
        <v>1064</v>
      </c>
      <c r="B269" s="62">
        <v>87329</v>
      </c>
      <c r="C269" s="58" t="s">
        <v>1150</v>
      </c>
      <c r="D269" s="181" t="s">
        <v>1254</v>
      </c>
      <c r="E269" s="182"/>
      <c r="F269" s="58" t="s">
        <v>1068</v>
      </c>
      <c r="G269" s="183"/>
      <c r="H269" s="184"/>
      <c r="I269" s="185"/>
      <c r="J269" s="186" t="s">
        <v>1079</v>
      </c>
      <c r="K269" s="187"/>
      <c r="L269" s="60">
        <v>1</v>
      </c>
      <c r="M269" s="247">
        <v>952</v>
      </c>
      <c r="N269" s="248"/>
      <c r="O269" s="56">
        <f t="shared" si="36"/>
        <v>903.89482738799995</v>
      </c>
      <c r="P269" s="57">
        <f t="shared" si="35"/>
        <v>903.89482738799995</v>
      </c>
      <c r="Q269" s="228"/>
      <c r="R269" s="179"/>
      <c r="T269" s="88">
        <v>5.05306435E-2</v>
      </c>
    </row>
    <row r="270" spans="1:20" ht="15.6" customHeight="1">
      <c r="A270" s="58" t="s">
        <v>1064</v>
      </c>
      <c r="B270" s="62">
        <v>8644</v>
      </c>
      <c r="C270" s="58" t="s">
        <v>1150</v>
      </c>
      <c r="D270" s="181" t="s">
        <v>1255</v>
      </c>
      <c r="E270" s="182"/>
      <c r="F270" s="58" t="s">
        <v>1068</v>
      </c>
      <c r="G270" s="183"/>
      <c r="H270" s="184"/>
      <c r="I270" s="185"/>
      <c r="J270" s="186" t="s">
        <v>1107</v>
      </c>
      <c r="K270" s="187"/>
      <c r="L270" s="60">
        <v>2.2000000000000002</v>
      </c>
      <c r="M270" s="188">
        <v>83.3</v>
      </c>
      <c r="N270" s="189"/>
      <c r="O270" s="56">
        <f t="shared" si="36"/>
        <v>79.09079739645</v>
      </c>
      <c r="P270" s="57">
        <f t="shared" si="35"/>
        <v>173.99975427219002</v>
      </c>
      <c r="Q270" s="228"/>
      <c r="R270" s="179"/>
      <c r="T270" s="88">
        <v>5.05306435E-2</v>
      </c>
    </row>
    <row r="271" spans="1:20" ht="14.25" customHeight="1">
      <c r="A271" s="246" t="s">
        <v>1256</v>
      </c>
      <c r="B271" s="246"/>
      <c r="C271" s="246"/>
      <c r="D271" s="246"/>
      <c r="E271" s="246"/>
      <c r="F271" s="246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246"/>
      <c r="T271" s="88">
        <v>5.05306435E-2</v>
      </c>
    </row>
    <row r="272" spans="1:20" ht="15.6" customHeight="1">
      <c r="A272" s="68"/>
      <c r="B272" s="68"/>
      <c r="C272" s="68"/>
      <c r="D272" s="179"/>
      <c r="E272" s="179"/>
      <c r="F272" s="68"/>
      <c r="G272" s="68"/>
      <c r="H272" s="179"/>
      <c r="I272" s="179"/>
      <c r="J272" s="179"/>
      <c r="K272" s="179"/>
      <c r="L272" s="68"/>
      <c r="M272" s="68"/>
      <c r="N272" s="68"/>
      <c r="O272" s="68"/>
      <c r="P272" s="68"/>
      <c r="Q272" s="179"/>
      <c r="R272" s="179"/>
      <c r="T272" s="88">
        <v>5.05306435E-2</v>
      </c>
    </row>
    <row r="273" spans="1:20" ht="45.95" customHeight="1">
      <c r="A273" s="233" t="s">
        <v>1257</v>
      </c>
      <c r="B273" s="233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T273" s="88">
        <v>5.05306435E-2</v>
      </c>
    </row>
    <row r="274" spans="1:20" ht="14.45" customHeight="1">
      <c r="A274" s="180" t="s">
        <v>1258</v>
      </c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T274" s="88">
        <v>5.05306435E-2</v>
      </c>
    </row>
    <row r="275" spans="1:20" ht="15" customHeight="1">
      <c r="A275" s="207"/>
      <c r="B275" s="207"/>
      <c r="C275" s="207"/>
      <c r="D275" s="207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179"/>
      <c r="R275" s="179"/>
      <c r="T275" s="88">
        <v>5.05306435E-2</v>
      </c>
    </row>
    <row r="276" spans="1:20" ht="15.75" customHeight="1">
      <c r="A276" s="43" t="s">
        <v>1259</v>
      </c>
      <c r="B276" s="44" t="s">
        <v>3</v>
      </c>
      <c r="C276" s="43" t="s">
        <v>4</v>
      </c>
      <c r="D276" s="208" t="s">
        <v>5</v>
      </c>
      <c r="E276" s="209"/>
      <c r="F276" s="43" t="s">
        <v>1049</v>
      </c>
      <c r="G276" s="210"/>
      <c r="H276" s="211"/>
      <c r="I276" s="212"/>
      <c r="J276" s="215" t="s">
        <v>6</v>
      </c>
      <c r="K276" s="217"/>
      <c r="L276" s="44" t="s">
        <v>7</v>
      </c>
      <c r="M276" s="213" t="s">
        <v>8</v>
      </c>
      <c r="N276" s="214"/>
      <c r="O276" s="66"/>
      <c r="P276" s="44" t="s">
        <v>11</v>
      </c>
      <c r="Q276" s="228"/>
      <c r="R276" s="179"/>
      <c r="T276" s="88">
        <v>5.05306435E-2</v>
      </c>
    </row>
    <row r="277" spans="1:20" ht="15" customHeight="1">
      <c r="A277" s="47" t="s">
        <v>1051</v>
      </c>
      <c r="B277" s="48" t="s">
        <v>1260</v>
      </c>
      <c r="C277" s="47" t="s">
        <v>1053</v>
      </c>
      <c r="D277" s="190" t="s">
        <v>1261</v>
      </c>
      <c r="E277" s="191"/>
      <c r="F277" s="47" t="s">
        <v>1222</v>
      </c>
      <c r="G277" s="192"/>
      <c r="H277" s="193"/>
      <c r="I277" s="194"/>
      <c r="J277" s="195" t="s">
        <v>1079</v>
      </c>
      <c r="K277" s="196"/>
      <c r="L277" s="50">
        <v>1</v>
      </c>
      <c r="M277" s="231">
        <v>924.91</v>
      </c>
      <c r="N277" s="232"/>
      <c r="O277" s="64">
        <f>SUM(O278:O285)</f>
        <v>884.67756761244004</v>
      </c>
      <c r="P277" s="64">
        <f>SUM(P278:P285)</f>
        <v>1511.1533051693934</v>
      </c>
      <c r="Q277" s="228"/>
      <c r="R277" s="179"/>
      <c r="T277" s="88">
        <v>5.05306435E-2</v>
      </c>
    </row>
    <row r="278" spans="1:20" ht="15" customHeight="1">
      <c r="A278" s="52" t="s">
        <v>1057</v>
      </c>
      <c r="B278" s="53">
        <v>88316</v>
      </c>
      <c r="C278" s="52" t="s">
        <v>1058</v>
      </c>
      <c r="D278" s="199" t="s">
        <v>1059</v>
      </c>
      <c r="E278" s="200"/>
      <c r="F278" s="52" t="s">
        <v>1158</v>
      </c>
      <c r="G278" s="201"/>
      <c r="H278" s="202"/>
      <c r="I278" s="203"/>
      <c r="J278" s="204" t="s">
        <v>1061</v>
      </c>
      <c r="K278" s="205"/>
      <c r="L278" s="55">
        <v>3</v>
      </c>
      <c r="M278" s="188">
        <v>21.32</v>
      </c>
      <c r="N278" s="189"/>
      <c r="O278" s="56">
        <f>M278-(M278*T278)</f>
        <v>20.24268668058</v>
      </c>
      <c r="P278" s="57">
        <f t="shared" ref="P278:P280" si="37">O278*L278</f>
        <v>60.728060041740001</v>
      </c>
      <c r="Q278" s="228"/>
      <c r="R278" s="179"/>
      <c r="T278" s="88">
        <v>5.05306435E-2</v>
      </c>
    </row>
    <row r="279" spans="1:20" ht="15" customHeight="1">
      <c r="A279" s="52" t="s">
        <v>1057</v>
      </c>
      <c r="B279" s="53">
        <v>88315</v>
      </c>
      <c r="C279" s="52" t="s">
        <v>1058</v>
      </c>
      <c r="D279" s="199" t="s">
        <v>1249</v>
      </c>
      <c r="E279" s="200"/>
      <c r="F279" s="52" t="s">
        <v>1158</v>
      </c>
      <c r="G279" s="201"/>
      <c r="H279" s="202"/>
      <c r="I279" s="203"/>
      <c r="J279" s="204" t="s">
        <v>1061</v>
      </c>
      <c r="K279" s="205"/>
      <c r="L279" s="55">
        <v>3</v>
      </c>
      <c r="M279" s="188">
        <v>26.7</v>
      </c>
      <c r="N279" s="189"/>
      <c r="O279" s="56">
        <f t="shared" ref="O279:O280" si="38">M279-(M279*T279)</f>
        <v>25.350831818549999</v>
      </c>
      <c r="P279" s="57">
        <f t="shared" si="37"/>
        <v>76.052495455649989</v>
      </c>
      <c r="Q279" s="228"/>
      <c r="R279" s="179"/>
      <c r="T279" s="88">
        <v>5.05306435E-2</v>
      </c>
    </row>
    <row r="280" spans="1:20" ht="15.95" customHeight="1">
      <c r="A280" s="58" t="s">
        <v>1064</v>
      </c>
      <c r="B280" s="62">
        <v>22</v>
      </c>
      <c r="C280" s="58" t="s">
        <v>1262</v>
      </c>
      <c r="D280" s="181" t="s">
        <v>1263</v>
      </c>
      <c r="E280" s="182"/>
      <c r="F280" s="58" t="s">
        <v>1068</v>
      </c>
      <c r="G280" s="183"/>
      <c r="H280" s="184"/>
      <c r="I280" s="185"/>
      <c r="J280" s="186" t="s">
        <v>1109</v>
      </c>
      <c r="K280" s="187"/>
      <c r="L280" s="60">
        <v>23</v>
      </c>
      <c r="M280" s="188">
        <v>33.950000000000003</v>
      </c>
      <c r="N280" s="189"/>
      <c r="O280" s="56">
        <f t="shared" si="38"/>
        <v>32.234484653175002</v>
      </c>
      <c r="P280" s="57">
        <f t="shared" si="37"/>
        <v>741.39314702302499</v>
      </c>
      <c r="Q280" s="228"/>
      <c r="R280" s="179"/>
      <c r="T280" s="88">
        <v>5.05306435E-2</v>
      </c>
    </row>
    <row r="281" spans="1:20" ht="14.25" customHeight="1">
      <c r="A281" s="174" t="s">
        <v>1070</v>
      </c>
      <c r="B281" s="174"/>
      <c r="C281" s="174"/>
      <c r="D281" s="174"/>
      <c r="E281" s="174"/>
      <c r="F281" s="174"/>
      <c r="G281" s="174"/>
      <c r="H281" s="175" t="s">
        <v>1071</v>
      </c>
      <c r="I281" s="175"/>
      <c r="J281" s="175"/>
      <c r="K281" s="175"/>
      <c r="L281" s="176">
        <v>0</v>
      </c>
      <c r="M281" s="176"/>
      <c r="N281" s="177" t="s">
        <v>1072</v>
      </c>
      <c r="O281" s="177"/>
      <c r="P281" s="177"/>
      <c r="Q281" s="179"/>
      <c r="R281" s="179"/>
      <c r="T281" s="88">
        <v>5.05306435E-2</v>
      </c>
    </row>
    <row r="282" spans="1:20" ht="30.95" customHeight="1">
      <c r="A282" s="226" t="s">
        <v>1073</v>
      </c>
      <c r="B282" s="226"/>
      <c r="C282" s="226"/>
      <c r="D282" s="226"/>
      <c r="E282" s="226"/>
      <c r="F282" s="226"/>
      <c r="G282" s="226"/>
      <c r="H282" s="263"/>
      <c r="I282" s="263"/>
      <c r="J282" s="263"/>
      <c r="K282" s="263"/>
      <c r="L282" s="206" t="s">
        <v>1074</v>
      </c>
      <c r="M282" s="206"/>
      <c r="N282" s="263"/>
      <c r="O282" s="263"/>
      <c r="P282" s="263"/>
      <c r="Q282" s="264"/>
      <c r="R282" s="264"/>
      <c r="T282" s="88">
        <v>5.05306435E-2</v>
      </c>
    </row>
    <row r="283" spans="1:20" ht="15" customHeight="1">
      <c r="A283" s="207"/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179"/>
      <c r="R283" s="179"/>
      <c r="T283" s="88">
        <v>5.05306435E-2</v>
      </c>
    </row>
    <row r="284" spans="1:20" ht="15.75" customHeight="1">
      <c r="A284" s="43" t="s">
        <v>1264</v>
      </c>
      <c r="B284" s="44" t="s">
        <v>3</v>
      </c>
      <c r="C284" s="43" t="s">
        <v>4</v>
      </c>
      <c r="D284" s="208" t="s">
        <v>5</v>
      </c>
      <c r="E284" s="209"/>
      <c r="F284" s="43" t="s">
        <v>1049</v>
      </c>
      <c r="G284" s="210"/>
      <c r="H284" s="211"/>
      <c r="I284" s="212"/>
      <c r="J284" s="215" t="s">
        <v>6</v>
      </c>
      <c r="K284" s="217"/>
      <c r="L284" s="44" t="s">
        <v>7</v>
      </c>
      <c r="M284" s="213" t="s">
        <v>8</v>
      </c>
      <c r="N284" s="214"/>
      <c r="O284" s="66"/>
      <c r="P284" s="44" t="s">
        <v>11</v>
      </c>
      <c r="Q284" s="228"/>
      <c r="R284" s="179"/>
      <c r="T284" s="88">
        <v>5.05306435E-2</v>
      </c>
    </row>
    <row r="285" spans="1:20" ht="15.95" customHeight="1">
      <c r="A285" s="47" t="s">
        <v>1051</v>
      </c>
      <c r="B285" s="48" t="s">
        <v>1265</v>
      </c>
      <c r="C285" s="47" t="s">
        <v>1053</v>
      </c>
      <c r="D285" s="190" t="s">
        <v>1266</v>
      </c>
      <c r="E285" s="191"/>
      <c r="F285" s="47" t="s">
        <v>1222</v>
      </c>
      <c r="G285" s="192"/>
      <c r="H285" s="193"/>
      <c r="I285" s="194"/>
      <c r="J285" s="195" t="s">
        <v>1079</v>
      </c>
      <c r="K285" s="196"/>
      <c r="L285" s="50">
        <v>1</v>
      </c>
      <c r="M285" s="231">
        <v>666.67</v>
      </c>
      <c r="N285" s="232"/>
      <c r="O285" s="64">
        <f>SUM(O286:O293)</f>
        <v>806.84956446013507</v>
      </c>
      <c r="P285" s="64">
        <f>SUM(P286:P293)</f>
        <v>632.97960264897847</v>
      </c>
      <c r="Q285" s="228"/>
      <c r="R285" s="179"/>
      <c r="T285" s="88">
        <v>5.05306435E-2</v>
      </c>
    </row>
    <row r="286" spans="1:20" ht="15" customHeight="1">
      <c r="A286" s="52" t="s">
        <v>1057</v>
      </c>
      <c r="B286" s="53">
        <v>88309</v>
      </c>
      <c r="C286" s="52" t="s">
        <v>1058</v>
      </c>
      <c r="D286" s="199" t="s">
        <v>1162</v>
      </c>
      <c r="E286" s="200"/>
      <c r="F286" s="52" t="s">
        <v>1158</v>
      </c>
      <c r="G286" s="201"/>
      <c r="H286" s="202"/>
      <c r="I286" s="203"/>
      <c r="J286" s="204" t="s">
        <v>1061</v>
      </c>
      <c r="K286" s="205"/>
      <c r="L286" s="55">
        <v>2.38</v>
      </c>
      <c r="M286" s="188">
        <v>26.9</v>
      </c>
      <c r="N286" s="189"/>
      <c r="O286" s="56">
        <f>M286-(M286*T286)</f>
        <v>25.540725689849999</v>
      </c>
      <c r="P286" s="57">
        <f t="shared" ref="P286:P291" si="39">O286*L286</f>
        <v>60.786927141842995</v>
      </c>
      <c r="Q286" s="228"/>
      <c r="R286" s="179"/>
      <c r="T286" s="88">
        <v>5.05306435E-2</v>
      </c>
    </row>
    <row r="287" spans="1:20" ht="15" customHeight="1">
      <c r="A287" s="52" t="s">
        <v>1057</v>
      </c>
      <c r="B287" s="53">
        <v>88316</v>
      </c>
      <c r="C287" s="52" t="s">
        <v>1058</v>
      </c>
      <c r="D287" s="199" t="s">
        <v>1059</v>
      </c>
      <c r="E287" s="200"/>
      <c r="F287" s="52" t="s">
        <v>1158</v>
      </c>
      <c r="G287" s="201"/>
      <c r="H287" s="202"/>
      <c r="I287" s="203"/>
      <c r="J287" s="204" t="s">
        <v>1061</v>
      </c>
      <c r="K287" s="205"/>
      <c r="L287" s="55">
        <v>1.9</v>
      </c>
      <c r="M287" s="188">
        <v>21.32</v>
      </c>
      <c r="N287" s="189"/>
      <c r="O287" s="56">
        <f t="shared" ref="O287:O291" si="40">M287-(M287*T287)</f>
        <v>20.24268668058</v>
      </c>
      <c r="P287" s="57">
        <f t="shared" si="39"/>
        <v>38.461104693102001</v>
      </c>
      <c r="Q287" s="228"/>
      <c r="R287" s="179"/>
      <c r="T287" s="88">
        <v>5.05306435E-2</v>
      </c>
    </row>
    <row r="288" spans="1:20" ht="15" customHeight="1">
      <c r="A288" s="58" t="s">
        <v>1064</v>
      </c>
      <c r="B288" s="62">
        <v>1379</v>
      </c>
      <c r="C288" s="58" t="s">
        <v>1058</v>
      </c>
      <c r="D288" s="181" t="s">
        <v>1189</v>
      </c>
      <c r="E288" s="182"/>
      <c r="F288" s="58" t="s">
        <v>1068</v>
      </c>
      <c r="G288" s="183"/>
      <c r="H288" s="184"/>
      <c r="I288" s="185"/>
      <c r="J288" s="186" t="s">
        <v>1109</v>
      </c>
      <c r="K288" s="187"/>
      <c r="L288" s="60">
        <v>4.5999999999999996</v>
      </c>
      <c r="M288" s="188">
        <v>0.72</v>
      </c>
      <c r="N288" s="189"/>
      <c r="O288" s="56">
        <f t="shared" si="40"/>
        <v>0.68361793667999993</v>
      </c>
      <c r="P288" s="57">
        <f t="shared" si="39"/>
        <v>3.1446425087279994</v>
      </c>
      <c r="Q288" s="228"/>
      <c r="R288" s="179"/>
      <c r="T288" s="88">
        <v>5.05306435E-2</v>
      </c>
    </row>
    <row r="289" spans="1:20" ht="15" customHeight="1">
      <c r="A289" s="58" t="s">
        <v>1064</v>
      </c>
      <c r="B289" s="62">
        <v>12929</v>
      </c>
      <c r="C289" s="58" t="s">
        <v>1180</v>
      </c>
      <c r="D289" s="181" t="s">
        <v>1267</v>
      </c>
      <c r="E289" s="182"/>
      <c r="F289" s="58" t="s">
        <v>1068</v>
      </c>
      <c r="G289" s="183"/>
      <c r="H289" s="184"/>
      <c r="I289" s="185"/>
      <c r="J289" s="186" t="s">
        <v>1079</v>
      </c>
      <c r="K289" s="187"/>
      <c r="L289" s="60">
        <v>1</v>
      </c>
      <c r="M289" s="247">
        <v>556.38</v>
      </c>
      <c r="N289" s="248"/>
      <c r="O289" s="56">
        <f t="shared" si="40"/>
        <v>528.26576056946999</v>
      </c>
      <c r="P289" s="57">
        <f t="shared" si="39"/>
        <v>528.26576056946999</v>
      </c>
      <c r="Q289" s="228"/>
      <c r="R289" s="179"/>
      <c r="T289" s="88">
        <v>5.05306435E-2</v>
      </c>
    </row>
    <row r="290" spans="1:20" ht="15" customHeight="1">
      <c r="A290" s="58" t="s">
        <v>1064</v>
      </c>
      <c r="B290" s="62">
        <v>370</v>
      </c>
      <c r="C290" s="58" t="s">
        <v>1058</v>
      </c>
      <c r="D290" s="181" t="s">
        <v>1229</v>
      </c>
      <c r="E290" s="182"/>
      <c r="F290" s="58" t="s">
        <v>1068</v>
      </c>
      <c r="G290" s="183"/>
      <c r="H290" s="184"/>
      <c r="I290" s="185"/>
      <c r="J290" s="186" t="s">
        <v>1164</v>
      </c>
      <c r="K290" s="187"/>
      <c r="L290" s="60">
        <v>0.01</v>
      </c>
      <c r="M290" s="247">
        <v>145</v>
      </c>
      <c r="N290" s="248"/>
      <c r="O290" s="56">
        <f t="shared" si="40"/>
        <v>137.67305669250001</v>
      </c>
      <c r="P290" s="57">
        <f t="shared" si="39"/>
        <v>1.3767305669250001</v>
      </c>
      <c r="Q290" s="228"/>
      <c r="R290" s="179"/>
      <c r="T290" s="88">
        <v>5.05306435E-2</v>
      </c>
    </row>
    <row r="291" spans="1:20" ht="15.95" customHeight="1">
      <c r="A291" s="58" t="s">
        <v>1064</v>
      </c>
      <c r="B291" s="62">
        <v>4721</v>
      </c>
      <c r="C291" s="58" t="s">
        <v>1058</v>
      </c>
      <c r="D291" s="181" t="s">
        <v>1268</v>
      </c>
      <c r="E291" s="182"/>
      <c r="F291" s="58" t="s">
        <v>1068</v>
      </c>
      <c r="G291" s="183"/>
      <c r="H291" s="184"/>
      <c r="I291" s="185"/>
      <c r="J291" s="186" t="s">
        <v>1164</v>
      </c>
      <c r="K291" s="187"/>
      <c r="L291" s="60">
        <v>0.01</v>
      </c>
      <c r="M291" s="188">
        <v>99.47</v>
      </c>
      <c r="N291" s="189"/>
      <c r="O291" s="56">
        <f t="shared" si="40"/>
        <v>94.443716891055004</v>
      </c>
      <c r="P291" s="57">
        <f t="shared" si="39"/>
        <v>0.94443716891055007</v>
      </c>
      <c r="Q291" s="228"/>
      <c r="R291" s="179"/>
      <c r="T291" s="88">
        <v>5.05306435E-2</v>
      </c>
    </row>
    <row r="292" spans="1:20" ht="14.25" customHeight="1">
      <c r="A292" s="174" t="s">
        <v>1070</v>
      </c>
      <c r="B292" s="174"/>
      <c r="C292" s="174"/>
      <c r="D292" s="174"/>
      <c r="E292" s="174"/>
      <c r="F292" s="174"/>
      <c r="G292" s="174"/>
      <c r="H292" s="175" t="s">
        <v>1071</v>
      </c>
      <c r="I292" s="175"/>
      <c r="J292" s="175"/>
      <c r="K292" s="175"/>
      <c r="L292" s="176">
        <v>0</v>
      </c>
      <c r="M292" s="176"/>
      <c r="N292" s="177" t="s">
        <v>1072</v>
      </c>
      <c r="O292" s="177"/>
      <c r="P292" s="177"/>
      <c r="Q292" s="179"/>
      <c r="R292" s="179"/>
      <c r="T292" s="88">
        <v>5.05306435E-2</v>
      </c>
    </row>
    <row r="293" spans="1:20" ht="17.45" customHeight="1">
      <c r="A293" s="178" t="s">
        <v>1073</v>
      </c>
      <c r="B293" s="178"/>
      <c r="C293" s="178"/>
      <c r="D293" s="178"/>
      <c r="E293" s="178"/>
      <c r="F293" s="178"/>
      <c r="G293" s="178"/>
      <c r="H293" s="179"/>
      <c r="I293" s="179"/>
      <c r="J293" s="179"/>
      <c r="K293" s="179"/>
      <c r="L293" s="180" t="s">
        <v>1074</v>
      </c>
      <c r="M293" s="180"/>
      <c r="N293" s="179"/>
      <c r="O293" s="179"/>
      <c r="P293" s="179"/>
      <c r="Q293" s="179"/>
      <c r="R293" s="179"/>
      <c r="T293" s="88">
        <v>5.05306435E-2</v>
      </c>
    </row>
    <row r="294" spans="1:20" ht="28.5" customHeight="1">
      <c r="A294" s="233" t="s">
        <v>1269</v>
      </c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T294" s="88">
        <v>5.05306435E-2</v>
      </c>
    </row>
    <row r="295" spans="1:20" ht="15" customHeight="1">
      <c r="A295" s="207"/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179"/>
      <c r="R295" s="179"/>
      <c r="T295" s="88">
        <v>5.05306435E-2</v>
      </c>
    </row>
    <row r="296" spans="1:20" ht="15.95" customHeight="1">
      <c r="A296" s="43" t="s">
        <v>1270</v>
      </c>
      <c r="B296" s="44" t="s">
        <v>3</v>
      </c>
      <c r="C296" s="43" t="s">
        <v>4</v>
      </c>
      <c r="D296" s="208" t="s">
        <v>5</v>
      </c>
      <c r="E296" s="209"/>
      <c r="F296" s="43" t="s">
        <v>1049</v>
      </c>
      <c r="G296" s="210"/>
      <c r="H296" s="211"/>
      <c r="I296" s="212"/>
      <c r="J296" s="215" t="s">
        <v>6</v>
      </c>
      <c r="K296" s="217"/>
      <c r="L296" s="44" t="s">
        <v>7</v>
      </c>
      <c r="M296" s="213" t="s">
        <v>8</v>
      </c>
      <c r="N296" s="214"/>
      <c r="O296" s="66"/>
      <c r="P296" s="44" t="s">
        <v>11</v>
      </c>
      <c r="Q296" s="228"/>
      <c r="R296" s="179"/>
      <c r="T296" s="88">
        <v>5.05306435E-2</v>
      </c>
    </row>
    <row r="297" spans="1:20" ht="15" customHeight="1">
      <c r="A297" s="47" t="s">
        <v>1051</v>
      </c>
      <c r="B297" s="48" t="s">
        <v>1271</v>
      </c>
      <c r="C297" s="47" t="s">
        <v>1053</v>
      </c>
      <c r="D297" s="190" t="s">
        <v>1272</v>
      </c>
      <c r="E297" s="191"/>
      <c r="F297" s="47" t="s">
        <v>1222</v>
      </c>
      <c r="G297" s="192"/>
      <c r="H297" s="193"/>
      <c r="I297" s="194"/>
      <c r="J297" s="195" t="s">
        <v>1085</v>
      </c>
      <c r="K297" s="196"/>
      <c r="L297" s="50">
        <v>1</v>
      </c>
      <c r="M297" s="231">
        <v>479.12</v>
      </c>
      <c r="N297" s="232"/>
      <c r="O297" s="64">
        <f>SUM(O298:O305)</f>
        <v>431.70472701341998</v>
      </c>
      <c r="P297" s="64">
        <f>SUM(P298:P305)</f>
        <v>454.90501073949753</v>
      </c>
      <c r="Q297" s="228"/>
      <c r="R297" s="179"/>
      <c r="T297" s="88">
        <v>5.05306435E-2</v>
      </c>
    </row>
    <row r="298" spans="1:20" ht="15" customHeight="1">
      <c r="A298" s="52" t="s">
        <v>1057</v>
      </c>
      <c r="B298" s="53">
        <v>88315</v>
      </c>
      <c r="C298" s="52" t="s">
        <v>1058</v>
      </c>
      <c r="D298" s="199" t="s">
        <v>1249</v>
      </c>
      <c r="E298" s="200"/>
      <c r="F298" s="52" t="s">
        <v>1158</v>
      </c>
      <c r="G298" s="201"/>
      <c r="H298" s="202"/>
      <c r="I298" s="203"/>
      <c r="J298" s="204" t="s">
        <v>1061</v>
      </c>
      <c r="K298" s="205"/>
      <c r="L298" s="55">
        <v>1.5</v>
      </c>
      <c r="M298" s="188">
        <v>26.7</v>
      </c>
      <c r="N298" s="189"/>
      <c r="O298" s="56">
        <f>M298-(M298*T298)</f>
        <v>25.350831818549999</v>
      </c>
      <c r="P298" s="57">
        <f t="shared" ref="P298:P300" si="41">O298*L298</f>
        <v>38.026247727824995</v>
      </c>
      <c r="Q298" s="228"/>
      <c r="R298" s="179"/>
      <c r="T298" s="88">
        <v>5.05306435E-2</v>
      </c>
    </row>
    <row r="299" spans="1:20" ht="15" customHeight="1">
      <c r="A299" s="52" t="s">
        <v>1057</v>
      </c>
      <c r="B299" s="53">
        <v>88251</v>
      </c>
      <c r="C299" s="52" t="s">
        <v>1058</v>
      </c>
      <c r="D299" s="199" t="s">
        <v>1248</v>
      </c>
      <c r="E299" s="200"/>
      <c r="F299" s="52" t="s">
        <v>1158</v>
      </c>
      <c r="G299" s="201"/>
      <c r="H299" s="202"/>
      <c r="I299" s="203"/>
      <c r="J299" s="204" t="s">
        <v>1061</v>
      </c>
      <c r="K299" s="205"/>
      <c r="L299" s="55">
        <v>1.5</v>
      </c>
      <c r="M299" s="188">
        <v>22.17</v>
      </c>
      <c r="N299" s="189"/>
      <c r="O299" s="56">
        <f t="shared" ref="O299:O300" si="42">M299-(M299*T299)</f>
        <v>21.049735633605003</v>
      </c>
      <c r="P299" s="57">
        <f t="shared" si="41"/>
        <v>31.574603450407505</v>
      </c>
      <c r="Q299" s="228"/>
      <c r="R299" s="179"/>
      <c r="T299" s="88">
        <v>5.05306435E-2</v>
      </c>
    </row>
    <row r="300" spans="1:20" ht="15.6" customHeight="1">
      <c r="A300" s="58" t="s">
        <v>1064</v>
      </c>
      <c r="B300" s="59" t="s">
        <v>1273</v>
      </c>
      <c r="C300" s="58" t="s">
        <v>1066</v>
      </c>
      <c r="D300" s="181" t="s">
        <v>1274</v>
      </c>
      <c r="E300" s="182"/>
      <c r="F300" s="58" t="s">
        <v>1068</v>
      </c>
      <c r="G300" s="183"/>
      <c r="H300" s="184"/>
      <c r="I300" s="185"/>
      <c r="J300" s="186" t="s">
        <v>1187</v>
      </c>
      <c r="K300" s="187"/>
      <c r="L300" s="60">
        <v>1</v>
      </c>
      <c r="M300" s="247">
        <v>405.81</v>
      </c>
      <c r="N300" s="248"/>
      <c r="O300" s="56">
        <f t="shared" si="42"/>
        <v>385.30415956126501</v>
      </c>
      <c r="P300" s="57">
        <f t="shared" si="41"/>
        <v>385.30415956126501</v>
      </c>
      <c r="Q300" s="228"/>
      <c r="R300" s="179"/>
      <c r="T300" s="88">
        <v>5.05306435E-2</v>
      </c>
    </row>
    <row r="301" spans="1:20" ht="14.25" customHeight="1">
      <c r="A301" s="174" t="s">
        <v>1070</v>
      </c>
      <c r="B301" s="174"/>
      <c r="C301" s="174"/>
      <c r="D301" s="174"/>
      <c r="E301" s="174"/>
      <c r="F301" s="174"/>
      <c r="G301" s="174"/>
      <c r="H301" s="175" t="s">
        <v>1071</v>
      </c>
      <c r="I301" s="175"/>
      <c r="J301" s="175"/>
      <c r="K301" s="175"/>
      <c r="L301" s="176">
        <v>0</v>
      </c>
      <c r="M301" s="176"/>
      <c r="N301" s="177" t="s">
        <v>1072</v>
      </c>
      <c r="O301" s="177"/>
      <c r="P301" s="177"/>
      <c r="Q301" s="179"/>
      <c r="R301" s="179"/>
      <c r="T301" s="88">
        <v>5.05306435E-2</v>
      </c>
    </row>
    <row r="302" spans="1:20" ht="18.600000000000001" customHeight="1">
      <c r="A302" s="178" t="s">
        <v>1073</v>
      </c>
      <c r="B302" s="178"/>
      <c r="C302" s="178"/>
      <c r="D302" s="178"/>
      <c r="E302" s="178"/>
      <c r="F302" s="178"/>
      <c r="G302" s="178"/>
      <c r="H302" s="179"/>
      <c r="I302" s="179"/>
      <c r="J302" s="179"/>
      <c r="K302" s="179"/>
      <c r="L302" s="180" t="s">
        <v>1074</v>
      </c>
      <c r="M302" s="180"/>
      <c r="N302" s="179"/>
      <c r="O302" s="179"/>
      <c r="P302" s="179"/>
      <c r="Q302" s="179"/>
      <c r="R302" s="179"/>
      <c r="T302" s="88">
        <v>5.05306435E-2</v>
      </c>
    </row>
    <row r="303" spans="1:20" ht="28.5" customHeight="1">
      <c r="A303" s="233" t="s">
        <v>1275</v>
      </c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T303" s="88">
        <v>5.05306435E-2</v>
      </c>
    </row>
    <row r="304" spans="1:20" ht="15" customHeight="1">
      <c r="A304" s="207"/>
      <c r="B304" s="207"/>
      <c r="C304" s="207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179"/>
      <c r="R304" s="179"/>
      <c r="T304" s="88">
        <v>5.05306435E-2</v>
      </c>
    </row>
    <row r="305" spans="1:20" ht="15.75" customHeight="1">
      <c r="A305" s="43" t="s">
        <v>1276</v>
      </c>
      <c r="B305" s="44" t="s">
        <v>3</v>
      </c>
      <c r="C305" s="43" t="s">
        <v>4</v>
      </c>
      <c r="D305" s="208" t="s">
        <v>5</v>
      </c>
      <c r="E305" s="209"/>
      <c r="F305" s="43" t="s">
        <v>1049</v>
      </c>
      <c r="G305" s="210"/>
      <c r="H305" s="211"/>
      <c r="I305" s="212"/>
      <c r="J305" s="215" t="s">
        <v>6</v>
      </c>
      <c r="K305" s="217"/>
      <c r="L305" s="44" t="s">
        <v>7</v>
      </c>
      <c r="M305" s="213" t="s">
        <v>8</v>
      </c>
      <c r="N305" s="214"/>
      <c r="O305" s="66"/>
      <c r="P305" s="44" t="s">
        <v>11</v>
      </c>
      <c r="Q305" s="228"/>
      <c r="R305" s="179"/>
      <c r="T305" s="88">
        <v>5.05306435E-2</v>
      </c>
    </row>
    <row r="306" spans="1:20" ht="15" customHeight="1">
      <c r="A306" s="47" t="s">
        <v>1051</v>
      </c>
      <c r="B306" s="48" t="s">
        <v>1277</v>
      </c>
      <c r="C306" s="47" t="s">
        <v>1053</v>
      </c>
      <c r="D306" s="190" t="s">
        <v>1278</v>
      </c>
      <c r="E306" s="191"/>
      <c r="F306" s="47" t="s">
        <v>1222</v>
      </c>
      <c r="G306" s="192"/>
      <c r="H306" s="193"/>
      <c r="I306" s="194"/>
      <c r="J306" s="195" t="s">
        <v>1107</v>
      </c>
      <c r="K306" s="196"/>
      <c r="L306" s="50">
        <v>1</v>
      </c>
      <c r="M306" s="231">
        <v>113.64</v>
      </c>
      <c r="N306" s="232"/>
      <c r="O306" s="64">
        <f>SUM(O307:O314)</f>
        <v>70.498099720124998</v>
      </c>
      <c r="P306" s="64">
        <f>SUM(P307:P314)</f>
        <v>107.89388080584688</v>
      </c>
      <c r="Q306" s="228"/>
      <c r="R306" s="179"/>
      <c r="T306" s="88">
        <v>5.05306435E-2</v>
      </c>
    </row>
    <row r="307" spans="1:20" ht="15" customHeight="1">
      <c r="A307" s="52" t="s">
        <v>1057</v>
      </c>
      <c r="B307" s="53">
        <v>88251</v>
      </c>
      <c r="C307" s="52" t="s">
        <v>1058</v>
      </c>
      <c r="D307" s="199" t="s">
        <v>1248</v>
      </c>
      <c r="E307" s="200"/>
      <c r="F307" s="52" t="s">
        <v>1158</v>
      </c>
      <c r="G307" s="201"/>
      <c r="H307" s="202"/>
      <c r="I307" s="203"/>
      <c r="J307" s="204" t="s">
        <v>1061</v>
      </c>
      <c r="K307" s="205"/>
      <c r="L307" s="55">
        <v>1.754</v>
      </c>
      <c r="M307" s="188">
        <v>22.17</v>
      </c>
      <c r="N307" s="189"/>
      <c r="O307" s="56">
        <f>M307-(M307*T307)</f>
        <v>21.049735633605003</v>
      </c>
      <c r="P307" s="57">
        <f t="shared" ref="P307:P309" si="43">O307*L307</f>
        <v>36.921236301343178</v>
      </c>
      <c r="Q307" s="228"/>
      <c r="R307" s="179"/>
      <c r="T307" s="88">
        <v>5.05306435E-2</v>
      </c>
    </row>
    <row r="308" spans="1:20" ht="15.95" customHeight="1">
      <c r="A308" s="52" t="s">
        <v>1057</v>
      </c>
      <c r="B308" s="53">
        <v>88315</v>
      </c>
      <c r="C308" s="52" t="s">
        <v>1058</v>
      </c>
      <c r="D308" s="199" t="s">
        <v>1249</v>
      </c>
      <c r="E308" s="200"/>
      <c r="F308" s="52" t="s">
        <v>1158</v>
      </c>
      <c r="G308" s="201"/>
      <c r="H308" s="202"/>
      <c r="I308" s="203"/>
      <c r="J308" s="204" t="s">
        <v>1061</v>
      </c>
      <c r="K308" s="205"/>
      <c r="L308" s="55">
        <v>1.754</v>
      </c>
      <c r="M308" s="188">
        <v>26.7</v>
      </c>
      <c r="N308" s="189"/>
      <c r="O308" s="56">
        <f t="shared" ref="O308:O309" si="44">M308-(M308*T308)</f>
        <v>25.350831818549999</v>
      </c>
      <c r="P308" s="57">
        <f t="shared" si="43"/>
        <v>44.465359009736694</v>
      </c>
      <c r="Q308" s="228"/>
      <c r="R308" s="179"/>
      <c r="T308" s="88">
        <v>5.05306435E-2</v>
      </c>
    </row>
    <row r="309" spans="1:20" ht="14.85" customHeight="1">
      <c r="A309" s="58" t="s">
        <v>1064</v>
      </c>
      <c r="B309" s="62">
        <v>1609</v>
      </c>
      <c r="C309" s="58" t="s">
        <v>1150</v>
      </c>
      <c r="D309" s="181" t="s">
        <v>1279</v>
      </c>
      <c r="E309" s="182"/>
      <c r="F309" s="58" t="s">
        <v>1068</v>
      </c>
      <c r="G309" s="183"/>
      <c r="H309" s="184"/>
      <c r="I309" s="185"/>
      <c r="J309" s="186" t="s">
        <v>1107</v>
      </c>
      <c r="K309" s="187"/>
      <c r="L309" s="60">
        <v>1.1000000000000001</v>
      </c>
      <c r="M309" s="188">
        <v>25.38</v>
      </c>
      <c r="N309" s="189"/>
      <c r="O309" s="56">
        <f t="shared" si="44"/>
        <v>24.097532267969999</v>
      </c>
      <c r="P309" s="57">
        <f t="shared" si="43"/>
        <v>26.507285494767</v>
      </c>
      <c r="Q309" s="228"/>
      <c r="R309" s="179"/>
      <c r="T309" s="88">
        <v>5.05306435E-2</v>
      </c>
    </row>
    <row r="310" spans="1:20" ht="14.25" customHeight="1">
      <c r="A310" s="174" t="s">
        <v>1070</v>
      </c>
      <c r="B310" s="174"/>
      <c r="C310" s="174"/>
      <c r="D310" s="174"/>
      <c r="E310" s="174"/>
      <c r="F310" s="174"/>
      <c r="G310" s="174"/>
      <c r="H310" s="175" t="s">
        <v>1071</v>
      </c>
      <c r="I310" s="175"/>
      <c r="J310" s="175"/>
      <c r="K310" s="175"/>
      <c r="L310" s="176">
        <v>0</v>
      </c>
      <c r="M310" s="176"/>
      <c r="N310" s="177" t="s">
        <v>1072</v>
      </c>
      <c r="O310" s="177"/>
      <c r="P310" s="177"/>
      <c r="Q310" s="179"/>
      <c r="R310" s="179"/>
      <c r="T310" s="88">
        <v>5.05306435E-2</v>
      </c>
    </row>
    <row r="311" spans="1:20" ht="17.45" customHeight="1">
      <c r="A311" s="178" t="s">
        <v>1073</v>
      </c>
      <c r="B311" s="178"/>
      <c r="C311" s="178"/>
      <c r="D311" s="178"/>
      <c r="E311" s="178"/>
      <c r="F311" s="178"/>
      <c r="G311" s="178"/>
      <c r="H311" s="179"/>
      <c r="I311" s="179"/>
      <c r="J311" s="179"/>
      <c r="K311" s="179"/>
      <c r="L311" s="180" t="s">
        <v>1074</v>
      </c>
      <c r="M311" s="180"/>
      <c r="N311" s="179"/>
      <c r="O311" s="179"/>
      <c r="P311" s="179"/>
      <c r="Q311" s="179"/>
      <c r="R311" s="179"/>
      <c r="T311" s="88">
        <v>5.05306435E-2</v>
      </c>
    </row>
    <row r="312" spans="1:20" ht="28.5" customHeight="1">
      <c r="A312" s="233" t="s">
        <v>1280</v>
      </c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T312" s="88">
        <v>5.05306435E-2</v>
      </c>
    </row>
    <row r="313" spans="1:20" ht="15.95" customHeight="1">
      <c r="A313" s="207"/>
      <c r="B313" s="207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179"/>
      <c r="R313" s="179"/>
      <c r="T313" s="88">
        <v>5.05306435E-2</v>
      </c>
    </row>
    <row r="314" spans="1:20" ht="15.75" customHeight="1">
      <c r="A314" s="43" t="s">
        <v>1281</v>
      </c>
      <c r="B314" s="44" t="s">
        <v>3</v>
      </c>
      <c r="C314" s="43" t="s">
        <v>4</v>
      </c>
      <c r="D314" s="208" t="s">
        <v>5</v>
      </c>
      <c r="E314" s="209"/>
      <c r="F314" s="43" t="s">
        <v>1049</v>
      </c>
      <c r="G314" s="210"/>
      <c r="H314" s="211"/>
      <c r="I314" s="212"/>
      <c r="J314" s="215" t="s">
        <v>6</v>
      </c>
      <c r="K314" s="217"/>
      <c r="L314" s="44" t="s">
        <v>7</v>
      </c>
      <c r="M314" s="213" t="s">
        <v>8</v>
      </c>
      <c r="N314" s="214"/>
      <c r="O314" s="66"/>
      <c r="P314" s="44" t="s">
        <v>11</v>
      </c>
      <c r="Q314" s="228"/>
      <c r="R314" s="179"/>
      <c r="T314" s="88">
        <v>5.05306435E-2</v>
      </c>
    </row>
    <row r="315" spans="1:20" ht="15" customHeight="1">
      <c r="A315" s="47" t="s">
        <v>1051</v>
      </c>
      <c r="B315" s="48" t="s">
        <v>1282</v>
      </c>
      <c r="C315" s="47" t="s">
        <v>1053</v>
      </c>
      <c r="D315" s="190" t="s">
        <v>1283</v>
      </c>
      <c r="E315" s="191"/>
      <c r="F315" s="47" t="s">
        <v>1222</v>
      </c>
      <c r="G315" s="192"/>
      <c r="H315" s="193"/>
      <c r="I315" s="194"/>
      <c r="J315" s="195" t="s">
        <v>1085</v>
      </c>
      <c r="K315" s="196"/>
      <c r="L315" s="50">
        <v>1</v>
      </c>
      <c r="M315" s="236">
        <v>1822.21</v>
      </c>
      <c r="N315" s="237"/>
      <c r="O315" s="64">
        <f>SUM(O316:O323)</f>
        <v>1738.0321411539448</v>
      </c>
      <c r="P315" s="64">
        <f>SUM(P316:P323)</f>
        <v>1730.134692413917</v>
      </c>
      <c r="Q315" s="228"/>
      <c r="R315" s="179"/>
      <c r="T315" s="88">
        <v>5.05306435E-2</v>
      </c>
    </row>
    <row r="316" spans="1:20" ht="15" customHeight="1">
      <c r="A316" s="52" t="s">
        <v>1057</v>
      </c>
      <c r="B316" s="53">
        <v>88239</v>
      </c>
      <c r="C316" s="52" t="s">
        <v>1058</v>
      </c>
      <c r="D316" s="199" t="s">
        <v>1104</v>
      </c>
      <c r="E316" s="200"/>
      <c r="F316" s="52" t="s">
        <v>1158</v>
      </c>
      <c r="G316" s="201"/>
      <c r="H316" s="202"/>
      <c r="I316" s="203"/>
      <c r="J316" s="204" t="s">
        <v>1061</v>
      </c>
      <c r="K316" s="205"/>
      <c r="L316" s="55">
        <v>0.82499999999999996</v>
      </c>
      <c r="M316" s="188">
        <v>22</v>
      </c>
      <c r="N316" s="189"/>
      <c r="O316" s="56">
        <f>M316-(M316*T316)</f>
        <v>20.888325843000001</v>
      </c>
      <c r="P316" s="57">
        <f t="shared" ref="P316:P318" si="45">O316*L316</f>
        <v>17.232868820474998</v>
      </c>
      <c r="Q316" s="228"/>
      <c r="R316" s="179"/>
      <c r="T316" s="88">
        <v>5.05306435E-2</v>
      </c>
    </row>
    <row r="317" spans="1:20" ht="15" customHeight="1">
      <c r="A317" s="52" t="s">
        <v>1057</v>
      </c>
      <c r="B317" s="53">
        <v>88261</v>
      </c>
      <c r="C317" s="52" t="s">
        <v>1058</v>
      </c>
      <c r="D317" s="199" t="s">
        <v>1132</v>
      </c>
      <c r="E317" s="200"/>
      <c r="F317" s="52" t="s">
        <v>1158</v>
      </c>
      <c r="G317" s="201"/>
      <c r="H317" s="202"/>
      <c r="I317" s="203"/>
      <c r="J317" s="204" t="s">
        <v>1061</v>
      </c>
      <c r="K317" s="205"/>
      <c r="L317" s="55">
        <v>0.82499999999999996</v>
      </c>
      <c r="M317" s="188">
        <v>25.53</v>
      </c>
      <c r="N317" s="189"/>
      <c r="O317" s="56">
        <f t="shared" ref="O317:O318" si="46">M317-(M317*T317)</f>
        <v>24.239952671445</v>
      </c>
      <c r="P317" s="57">
        <f t="shared" si="45"/>
        <v>19.997960953942123</v>
      </c>
      <c r="Q317" s="228"/>
      <c r="R317" s="179"/>
      <c r="T317" s="88">
        <v>5.05306435E-2</v>
      </c>
    </row>
    <row r="318" spans="1:20" ht="15.75" customHeight="1">
      <c r="A318" s="58" t="s">
        <v>1064</v>
      </c>
      <c r="B318" s="62">
        <v>36546</v>
      </c>
      <c r="C318" s="58" t="s">
        <v>1150</v>
      </c>
      <c r="D318" s="181" t="s">
        <v>1284</v>
      </c>
      <c r="E318" s="182"/>
      <c r="F318" s="58" t="s">
        <v>1068</v>
      </c>
      <c r="G318" s="183"/>
      <c r="H318" s="184"/>
      <c r="I318" s="185"/>
      <c r="J318" s="186" t="s">
        <v>1085</v>
      </c>
      <c r="K318" s="187"/>
      <c r="L318" s="60">
        <v>1</v>
      </c>
      <c r="M318" s="252">
        <v>1783</v>
      </c>
      <c r="N318" s="253"/>
      <c r="O318" s="56">
        <f t="shared" si="46"/>
        <v>1692.9038626394999</v>
      </c>
      <c r="P318" s="57">
        <f t="shared" si="45"/>
        <v>1692.9038626394999</v>
      </c>
      <c r="Q318" s="228"/>
      <c r="R318" s="179"/>
      <c r="T318" s="88">
        <v>5.05306435E-2</v>
      </c>
    </row>
    <row r="319" spans="1:20" ht="14.25" customHeight="1">
      <c r="A319" s="174" t="s">
        <v>1070</v>
      </c>
      <c r="B319" s="174"/>
      <c r="C319" s="174"/>
      <c r="D319" s="174"/>
      <c r="E319" s="174"/>
      <c r="F319" s="174"/>
      <c r="G319" s="174"/>
      <c r="H319" s="175" t="s">
        <v>1071</v>
      </c>
      <c r="I319" s="175"/>
      <c r="J319" s="175"/>
      <c r="K319" s="175"/>
      <c r="L319" s="176">
        <v>0</v>
      </c>
      <c r="M319" s="176"/>
      <c r="N319" s="177" t="s">
        <v>1072</v>
      </c>
      <c r="O319" s="177"/>
      <c r="P319" s="177"/>
      <c r="Q319" s="179"/>
      <c r="R319" s="179"/>
      <c r="T319" s="88">
        <v>5.05306435E-2</v>
      </c>
    </row>
    <row r="320" spans="1:20" ht="18.600000000000001" customHeight="1">
      <c r="A320" s="178" t="s">
        <v>1073</v>
      </c>
      <c r="B320" s="178"/>
      <c r="C320" s="178"/>
      <c r="D320" s="178"/>
      <c r="E320" s="178"/>
      <c r="F320" s="178"/>
      <c r="G320" s="178"/>
      <c r="H320" s="179"/>
      <c r="I320" s="179"/>
      <c r="J320" s="179"/>
      <c r="K320" s="179"/>
      <c r="L320" s="180" t="s">
        <v>1074</v>
      </c>
      <c r="M320" s="180"/>
      <c r="N320" s="179"/>
      <c r="O320" s="179"/>
      <c r="P320" s="179"/>
      <c r="Q320" s="179"/>
      <c r="R320" s="179"/>
      <c r="T320" s="88">
        <v>5.05306435E-2</v>
      </c>
    </row>
    <row r="321" spans="1:20" ht="28.5" customHeight="1">
      <c r="A321" s="233" t="s">
        <v>1285</v>
      </c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T321" s="88">
        <v>5.05306435E-2</v>
      </c>
    </row>
    <row r="322" spans="1:20" ht="15" customHeight="1">
      <c r="A322" s="207"/>
      <c r="B322" s="207"/>
      <c r="C322" s="207"/>
      <c r="D322" s="207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179"/>
      <c r="R322" s="179"/>
      <c r="T322" s="88">
        <v>5.05306435E-2</v>
      </c>
    </row>
    <row r="323" spans="1:20" ht="15.75" customHeight="1">
      <c r="A323" s="43" t="s">
        <v>1286</v>
      </c>
      <c r="B323" s="44" t="s">
        <v>3</v>
      </c>
      <c r="C323" s="43" t="s">
        <v>4</v>
      </c>
      <c r="D323" s="208" t="s">
        <v>5</v>
      </c>
      <c r="E323" s="209"/>
      <c r="F323" s="43" t="s">
        <v>1049</v>
      </c>
      <c r="G323" s="210"/>
      <c r="H323" s="211"/>
      <c r="I323" s="212"/>
      <c r="J323" s="215" t="s">
        <v>6</v>
      </c>
      <c r="K323" s="217"/>
      <c r="L323" s="44" t="s">
        <v>7</v>
      </c>
      <c r="M323" s="213" t="s">
        <v>8</v>
      </c>
      <c r="N323" s="214"/>
      <c r="O323" s="66"/>
      <c r="P323" s="44" t="s">
        <v>11</v>
      </c>
      <c r="Q323" s="228"/>
      <c r="R323" s="179"/>
      <c r="T323" s="88">
        <v>5.05306435E-2</v>
      </c>
    </row>
    <row r="324" spans="1:20" ht="15" customHeight="1">
      <c r="A324" s="47" t="s">
        <v>1051</v>
      </c>
      <c r="B324" s="48" t="s">
        <v>1287</v>
      </c>
      <c r="C324" s="47" t="s">
        <v>1053</v>
      </c>
      <c r="D324" s="190" t="s">
        <v>1288</v>
      </c>
      <c r="E324" s="191"/>
      <c r="F324" s="47" t="s">
        <v>1222</v>
      </c>
      <c r="G324" s="192"/>
      <c r="H324" s="193"/>
      <c r="I324" s="194"/>
      <c r="J324" s="195" t="s">
        <v>1085</v>
      </c>
      <c r="K324" s="196"/>
      <c r="L324" s="50">
        <v>1</v>
      </c>
      <c r="M324" s="231">
        <v>307.27999999999997</v>
      </c>
      <c r="N324" s="232"/>
      <c r="O324" s="64">
        <f>SUM(O325:O332)</f>
        <v>269.18405726131499</v>
      </c>
      <c r="P324" s="64">
        <f>SUM(P325:P332)</f>
        <v>291.7481965185375</v>
      </c>
      <c r="Q324" s="228"/>
      <c r="R324" s="179"/>
      <c r="T324" s="88">
        <v>5.05306435E-2</v>
      </c>
    </row>
    <row r="325" spans="1:20" ht="15.95" customHeight="1">
      <c r="A325" s="52" t="s">
        <v>1057</v>
      </c>
      <c r="B325" s="53">
        <v>88239</v>
      </c>
      <c r="C325" s="52" t="s">
        <v>1058</v>
      </c>
      <c r="D325" s="199" t="s">
        <v>1104</v>
      </c>
      <c r="E325" s="200"/>
      <c r="F325" s="52" t="s">
        <v>1158</v>
      </c>
      <c r="G325" s="201"/>
      <c r="H325" s="202"/>
      <c r="I325" s="203"/>
      <c r="J325" s="204" t="s">
        <v>1061</v>
      </c>
      <c r="K325" s="205"/>
      <c r="L325" s="55">
        <v>1.5</v>
      </c>
      <c r="M325" s="188">
        <v>22</v>
      </c>
      <c r="N325" s="189"/>
      <c r="O325" s="56">
        <f>M325-(M325*T325)</f>
        <v>20.888325843000001</v>
      </c>
      <c r="P325" s="57">
        <f t="shared" ref="P325:P327" si="47">O325*L325</f>
        <v>31.332488764499999</v>
      </c>
      <c r="Q325" s="228"/>
      <c r="R325" s="179"/>
      <c r="T325" s="88">
        <v>5.05306435E-2</v>
      </c>
    </row>
    <row r="326" spans="1:20" ht="15" customHeight="1">
      <c r="A326" s="52" t="s">
        <v>1057</v>
      </c>
      <c r="B326" s="53">
        <v>88261</v>
      </c>
      <c r="C326" s="52" t="s">
        <v>1058</v>
      </c>
      <c r="D326" s="199" t="s">
        <v>1132</v>
      </c>
      <c r="E326" s="200"/>
      <c r="F326" s="52" t="s">
        <v>1158</v>
      </c>
      <c r="G326" s="201"/>
      <c r="H326" s="202"/>
      <c r="I326" s="203"/>
      <c r="J326" s="204" t="s">
        <v>1061</v>
      </c>
      <c r="K326" s="205"/>
      <c r="L326" s="55">
        <v>1.5</v>
      </c>
      <c r="M326" s="188">
        <v>25.53</v>
      </c>
      <c r="N326" s="189"/>
      <c r="O326" s="56">
        <f t="shared" ref="O326:O327" si="48">M326-(M326*T326)</f>
        <v>24.239952671445</v>
      </c>
      <c r="P326" s="57">
        <f t="shared" si="47"/>
        <v>36.359929007167501</v>
      </c>
      <c r="Q326" s="228"/>
      <c r="R326" s="179"/>
      <c r="T326" s="88">
        <v>5.05306435E-2</v>
      </c>
    </row>
    <row r="327" spans="1:20" ht="15" customHeight="1">
      <c r="A327" s="58" t="s">
        <v>1064</v>
      </c>
      <c r="B327" s="59" t="s">
        <v>1289</v>
      </c>
      <c r="C327" s="58" t="s">
        <v>1066</v>
      </c>
      <c r="D327" s="181" t="s">
        <v>1290</v>
      </c>
      <c r="E327" s="182"/>
      <c r="F327" s="58" t="s">
        <v>1068</v>
      </c>
      <c r="G327" s="183"/>
      <c r="H327" s="184"/>
      <c r="I327" s="185"/>
      <c r="J327" s="186" t="s">
        <v>1187</v>
      </c>
      <c r="K327" s="187"/>
      <c r="L327" s="60">
        <v>1</v>
      </c>
      <c r="M327" s="247">
        <v>235.98</v>
      </c>
      <c r="N327" s="248"/>
      <c r="O327" s="56">
        <f t="shared" si="48"/>
        <v>224.05577874686998</v>
      </c>
      <c r="P327" s="57">
        <f t="shared" si="47"/>
        <v>224.05577874686998</v>
      </c>
      <c r="Q327" s="228"/>
      <c r="R327" s="179"/>
      <c r="T327" s="88">
        <v>5.05306435E-2</v>
      </c>
    </row>
    <row r="328" spans="1:20" ht="14.25" customHeight="1">
      <c r="A328" s="174" t="s">
        <v>1070</v>
      </c>
      <c r="B328" s="174"/>
      <c r="C328" s="174"/>
      <c r="D328" s="174"/>
      <c r="E328" s="174"/>
      <c r="F328" s="174"/>
      <c r="G328" s="174"/>
      <c r="H328" s="175" t="s">
        <v>1071</v>
      </c>
      <c r="I328" s="175"/>
      <c r="J328" s="175"/>
      <c r="K328" s="175"/>
      <c r="L328" s="176">
        <v>0</v>
      </c>
      <c r="M328" s="176"/>
      <c r="N328" s="177" t="s">
        <v>1072</v>
      </c>
      <c r="O328" s="177"/>
      <c r="P328" s="177"/>
      <c r="Q328" s="179"/>
      <c r="R328" s="179"/>
      <c r="T328" s="88">
        <v>5.05306435E-2</v>
      </c>
    </row>
    <row r="329" spans="1:20" ht="17.45" customHeight="1">
      <c r="A329" s="178" t="s">
        <v>1073</v>
      </c>
      <c r="B329" s="178"/>
      <c r="C329" s="178"/>
      <c r="D329" s="178"/>
      <c r="E329" s="178"/>
      <c r="F329" s="178"/>
      <c r="G329" s="178"/>
      <c r="H329" s="179"/>
      <c r="I329" s="179"/>
      <c r="J329" s="179"/>
      <c r="K329" s="179"/>
      <c r="L329" s="180" t="s">
        <v>1074</v>
      </c>
      <c r="M329" s="180"/>
      <c r="N329" s="179"/>
      <c r="O329" s="179"/>
      <c r="P329" s="179"/>
      <c r="Q329" s="179"/>
      <c r="R329" s="179"/>
      <c r="T329" s="88">
        <v>5.05306435E-2</v>
      </c>
    </row>
    <row r="330" spans="1:20" ht="29.45" customHeight="1">
      <c r="A330" s="233" t="s">
        <v>1291</v>
      </c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T330" s="88">
        <v>5.05306435E-2</v>
      </c>
    </row>
    <row r="331" spans="1:20" ht="15" customHeight="1">
      <c r="A331" s="207"/>
      <c r="B331" s="207"/>
      <c r="C331" s="207"/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179"/>
      <c r="R331" s="179"/>
      <c r="T331" s="88">
        <v>5.05306435E-2</v>
      </c>
    </row>
    <row r="332" spans="1:20" ht="15.75" customHeight="1">
      <c r="A332" s="43" t="s">
        <v>1292</v>
      </c>
      <c r="B332" s="44" t="s">
        <v>3</v>
      </c>
      <c r="C332" s="43" t="s">
        <v>4</v>
      </c>
      <c r="D332" s="208" t="s">
        <v>5</v>
      </c>
      <c r="E332" s="209"/>
      <c r="F332" s="43" t="s">
        <v>1049</v>
      </c>
      <c r="G332" s="210"/>
      <c r="H332" s="211"/>
      <c r="I332" s="212"/>
      <c r="J332" s="215" t="s">
        <v>6</v>
      </c>
      <c r="K332" s="217"/>
      <c r="L332" s="44" t="s">
        <v>7</v>
      </c>
      <c r="M332" s="213" t="s">
        <v>8</v>
      </c>
      <c r="N332" s="214"/>
      <c r="O332" s="66"/>
      <c r="P332" s="44" t="s">
        <v>11</v>
      </c>
      <c r="Q332" s="228"/>
      <c r="R332" s="179"/>
      <c r="T332" s="88">
        <v>5.05306435E-2</v>
      </c>
    </row>
    <row r="333" spans="1:20" ht="15" customHeight="1">
      <c r="A333" s="47" t="s">
        <v>1051</v>
      </c>
      <c r="B333" s="48" t="s">
        <v>1293</v>
      </c>
      <c r="C333" s="47" t="s">
        <v>1053</v>
      </c>
      <c r="D333" s="190" t="s">
        <v>1294</v>
      </c>
      <c r="E333" s="191"/>
      <c r="F333" s="47" t="s">
        <v>1222</v>
      </c>
      <c r="G333" s="192"/>
      <c r="H333" s="193"/>
      <c r="I333" s="194"/>
      <c r="J333" s="195" t="s">
        <v>1079</v>
      </c>
      <c r="K333" s="196"/>
      <c r="L333" s="50">
        <v>1</v>
      </c>
      <c r="M333" s="231">
        <v>694.78</v>
      </c>
      <c r="N333" s="232"/>
      <c r="O333" s="64">
        <f>SUM(O334:O341)</f>
        <v>343.48952910100502</v>
      </c>
      <c r="P333" s="64">
        <f>SUM(P334:P341)</f>
        <v>657.14932307212325</v>
      </c>
      <c r="Q333" s="228"/>
      <c r="R333" s="179"/>
      <c r="T333" s="88">
        <v>5.05306435E-2</v>
      </c>
    </row>
    <row r="334" spans="1:20" ht="15" customHeight="1">
      <c r="A334" s="52" t="s">
        <v>1057</v>
      </c>
      <c r="B334" s="53">
        <v>88239</v>
      </c>
      <c r="C334" s="52" t="s">
        <v>1058</v>
      </c>
      <c r="D334" s="199" t="s">
        <v>1104</v>
      </c>
      <c r="E334" s="200"/>
      <c r="F334" s="52" t="s">
        <v>1158</v>
      </c>
      <c r="G334" s="201"/>
      <c r="H334" s="202"/>
      <c r="I334" s="203"/>
      <c r="J334" s="204" t="s">
        <v>1061</v>
      </c>
      <c r="K334" s="205"/>
      <c r="L334" s="55">
        <v>3.2989999999999999</v>
      </c>
      <c r="M334" s="188">
        <v>22</v>
      </c>
      <c r="N334" s="189"/>
      <c r="O334" s="56">
        <f>M334-(M334*T334)</f>
        <v>20.888325843000001</v>
      </c>
      <c r="P334" s="57">
        <f t="shared" ref="P334:P343" si="49">O334*L334</f>
        <v>68.910586956057003</v>
      </c>
      <c r="Q334" s="228"/>
      <c r="R334" s="179"/>
      <c r="T334" s="88">
        <v>5.05306435E-2</v>
      </c>
    </row>
    <row r="335" spans="1:20" ht="15" customHeight="1">
      <c r="A335" s="52" t="s">
        <v>1057</v>
      </c>
      <c r="B335" s="53">
        <v>88316</v>
      </c>
      <c r="C335" s="52" t="s">
        <v>1058</v>
      </c>
      <c r="D335" s="199" t="s">
        <v>1059</v>
      </c>
      <c r="E335" s="200"/>
      <c r="F335" s="52" t="s">
        <v>1158</v>
      </c>
      <c r="G335" s="201"/>
      <c r="H335" s="202"/>
      <c r="I335" s="203"/>
      <c r="J335" s="204" t="s">
        <v>1061</v>
      </c>
      <c r="K335" s="205"/>
      <c r="L335" s="55">
        <v>2.165</v>
      </c>
      <c r="M335" s="188">
        <v>21.32</v>
      </c>
      <c r="N335" s="189"/>
      <c r="O335" s="56">
        <f t="shared" ref="O335:O343" si="50">M335-(M335*T335)</f>
        <v>20.24268668058</v>
      </c>
      <c r="P335" s="57">
        <f t="shared" si="49"/>
        <v>43.825416663455698</v>
      </c>
      <c r="Q335" s="228"/>
      <c r="R335" s="179"/>
      <c r="T335" s="88">
        <v>5.05306435E-2</v>
      </c>
    </row>
    <row r="336" spans="1:20" ht="15.95" customHeight="1">
      <c r="A336" s="52" t="s">
        <v>1057</v>
      </c>
      <c r="B336" s="53">
        <v>88309</v>
      </c>
      <c r="C336" s="52" t="s">
        <v>1058</v>
      </c>
      <c r="D336" s="199" t="s">
        <v>1162</v>
      </c>
      <c r="E336" s="200"/>
      <c r="F336" s="52" t="s">
        <v>1158</v>
      </c>
      <c r="G336" s="201"/>
      <c r="H336" s="202"/>
      <c r="I336" s="203"/>
      <c r="J336" s="204" t="s">
        <v>1061</v>
      </c>
      <c r="K336" s="205"/>
      <c r="L336" s="55">
        <v>2.165</v>
      </c>
      <c r="M336" s="188">
        <v>26.9</v>
      </c>
      <c r="N336" s="189"/>
      <c r="O336" s="56">
        <f t="shared" si="50"/>
        <v>25.540725689849999</v>
      </c>
      <c r="P336" s="57">
        <f t="shared" si="49"/>
        <v>55.295671118525249</v>
      </c>
      <c r="Q336" s="228"/>
      <c r="R336" s="179"/>
      <c r="T336" s="88">
        <v>5.05306435E-2</v>
      </c>
    </row>
    <row r="337" spans="1:20" ht="15" customHeight="1">
      <c r="A337" s="52" t="s">
        <v>1057</v>
      </c>
      <c r="B337" s="53">
        <v>88261</v>
      </c>
      <c r="C337" s="52" t="s">
        <v>1058</v>
      </c>
      <c r="D337" s="199" t="s">
        <v>1132</v>
      </c>
      <c r="E337" s="200"/>
      <c r="F337" s="52" t="s">
        <v>1158</v>
      </c>
      <c r="G337" s="201"/>
      <c r="H337" s="202"/>
      <c r="I337" s="203"/>
      <c r="J337" s="204" t="s">
        <v>1061</v>
      </c>
      <c r="K337" s="205"/>
      <c r="L337" s="55">
        <v>3.9180000000000001</v>
      </c>
      <c r="M337" s="188">
        <v>25.53</v>
      </c>
      <c r="N337" s="189"/>
      <c r="O337" s="56">
        <f t="shared" si="50"/>
        <v>24.239952671445</v>
      </c>
      <c r="P337" s="57">
        <f t="shared" si="49"/>
        <v>94.972134566721508</v>
      </c>
      <c r="Q337" s="228"/>
      <c r="R337" s="179"/>
      <c r="T337" s="88">
        <v>5.05306435E-2</v>
      </c>
    </row>
    <row r="338" spans="1:20" ht="15" customHeight="1">
      <c r="A338" s="58" t="s">
        <v>1064</v>
      </c>
      <c r="B338" s="62">
        <v>367</v>
      </c>
      <c r="C338" s="58" t="s">
        <v>1058</v>
      </c>
      <c r="D338" s="181" t="s">
        <v>1188</v>
      </c>
      <c r="E338" s="182"/>
      <c r="F338" s="58" t="s">
        <v>1068</v>
      </c>
      <c r="G338" s="183"/>
      <c r="H338" s="184"/>
      <c r="I338" s="185"/>
      <c r="J338" s="186" t="s">
        <v>1164</v>
      </c>
      <c r="K338" s="187"/>
      <c r="L338" s="60">
        <v>4.0000000000000001E-3</v>
      </c>
      <c r="M338" s="247">
        <v>146.88999999999999</v>
      </c>
      <c r="N338" s="248"/>
      <c r="O338" s="56">
        <f t="shared" si="50"/>
        <v>139.467553776285</v>
      </c>
      <c r="P338" s="57">
        <f t="shared" si="49"/>
        <v>0.55787021510514001</v>
      </c>
      <c r="Q338" s="228"/>
      <c r="R338" s="179"/>
      <c r="T338" s="88">
        <v>5.05306435E-2</v>
      </c>
    </row>
    <row r="339" spans="1:20" ht="15" customHeight="1">
      <c r="A339" s="58" t="s">
        <v>1064</v>
      </c>
      <c r="B339" s="62">
        <v>1450</v>
      </c>
      <c r="C339" s="58" t="s">
        <v>1150</v>
      </c>
      <c r="D339" s="181" t="s">
        <v>1295</v>
      </c>
      <c r="E339" s="182"/>
      <c r="F339" s="58" t="s">
        <v>1068</v>
      </c>
      <c r="G339" s="183"/>
      <c r="H339" s="184"/>
      <c r="I339" s="185"/>
      <c r="J339" s="186" t="s">
        <v>1109</v>
      </c>
      <c r="K339" s="187"/>
      <c r="L339" s="60">
        <v>3.6999999999999998E-2</v>
      </c>
      <c r="M339" s="188">
        <v>25</v>
      </c>
      <c r="N339" s="189"/>
      <c r="O339" s="56">
        <f t="shared" si="50"/>
        <v>23.7367339125</v>
      </c>
      <c r="P339" s="57">
        <f t="shared" si="49"/>
        <v>0.87825915476249994</v>
      </c>
      <c r="Q339" s="228"/>
      <c r="R339" s="179"/>
      <c r="T339" s="88">
        <v>5.05306435E-2</v>
      </c>
    </row>
    <row r="340" spans="1:20" ht="15" customHeight="1">
      <c r="A340" s="58" t="s">
        <v>1064</v>
      </c>
      <c r="B340" s="62">
        <v>8624</v>
      </c>
      <c r="C340" s="58" t="s">
        <v>1150</v>
      </c>
      <c r="D340" s="181" t="s">
        <v>1296</v>
      </c>
      <c r="E340" s="182"/>
      <c r="F340" s="58" t="s">
        <v>1068</v>
      </c>
      <c r="G340" s="183"/>
      <c r="H340" s="184"/>
      <c r="I340" s="185"/>
      <c r="J340" s="186" t="s">
        <v>1107</v>
      </c>
      <c r="K340" s="187"/>
      <c r="L340" s="60">
        <v>2.9769999999999999</v>
      </c>
      <c r="M340" s="188">
        <v>49.31</v>
      </c>
      <c r="N340" s="189"/>
      <c r="O340" s="56">
        <f t="shared" si="50"/>
        <v>46.818333969015001</v>
      </c>
      <c r="P340" s="57">
        <f t="shared" si="49"/>
        <v>139.37818022575766</v>
      </c>
      <c r="Q340" s="228"/>
      <c r="R340" s="179"/>
      <c r="T340" s="88">
        <v>5.05306435E-2</v>
      </c>
    </row>
    <row r="341" spans="1:20" ht="15" customHeight="1">
      <c r="A341" s="58" t="s">
        <v>1064</v>
      </c>
      <c r="B341" s="62">
        <v>1349</v>
      </c>
      <c r="C341" s="58" t="s">
        <v>1150</v>
      </c>
      <c r="D341" s="181" t="s">
        <v>1297</v>
      </c>
      <c r="E341" s="182"/>
      <c r="F341" s="58" t="s">
        <v>1068</v>
      </c>
      <c r="G341" s="183"/>
      <c r="H341" s="184"/>
      <c r="I341" s="185"/>
      <c r="J341" s="186" t="s">
        <v>1107</v>
      </c>
      <c r="K341" s="187"/>
      <c r="L341" s="60">
        <v>5.9530000000000003</v>
      </c>
      <c r="M341" s="188">
        <v>44.82</v>
      </c>
      <c r="N341" s="189"/>
      <c r="O341" s="56">
        <f t="shared" si="50"/>
        <v>42.555216558330002</v>
      </c>
      <c r="P341" s="57">
        <f t="shared" si="49"/>
        <v>253.33120417173851</v>
      </c>
      <c r="Q341" s="228"/>
      <c r="R341" s="179"/>
      <c r="T341" s="88">
        <v>5.05306435E-2</v>
      </c>
    </row>
    <row r="342" spans="1:20" ht="15.95" customHeight="1">
      <c r="A342" s="58" t="s">
        <v>1064</v>
      </c>
      <c r="B342" s="62">
        <v>2203</v>
      </c>
      <c r="C342" s="58" t="s">
        <v>1150</v>
      </c>
      <c r="D342" s="181" t="s">
        <v>1298</v>
      </c>
      <c r="E342" s="182"/>
      <c r="F342" s="58" t="s">
        <v>1068</v>
      </c>
      <c r="G342" s="183"/>
      <c r="H342" s="184"/>
      <c r="I342" s="185"/>
      <c r="J342" s="186" t="s">
        <v>1085</v>
      </c>
      <c r="K342" s="187"/>
      <c r="L342" s="60">
        <v>1.86</v>
      </c>
      <c r="M342" s="188">
        <v>0.8</v>
      </c>
      <c r="N342" s="189"/>
      <c r="O342" s="56">
        <f t="shared" si="50"/>
        <v>0.75957548520000007</v>
      </c>
      <c r="P342" s="57">
        <f t="shared" si="49"/>
        <v>1.4128104024720003</v>
      </c>
      <c r="Q342" s="228"/>
      <c r="R342" s="179"/>
      <c r="T342" s="88">
        <v>5.05306435E-2</v>
      </c>
    </row>
    <row r="343" spans="1:20" ht="15" customHeight="1">
      <c r="A343" s="58" t="s">
        <v>1064</v>
      </c>
      <c r="B343" s="62">
        <v>13284</v>
      </c>
      <c r="C343" s="58" t="s">
        <v>1058</v>
      </c>
      <c r="D343" s="181" t="s">
        <v>1225</v>
      </c>
      <c r="E343" s="182"/>
      <c r="F343" s="58" t="s">
        <v>1068</v>
      </c>
      <c r="G343" s="183"/>
      <c r="H343" s="184"/>
      <c r="I343" s="185"/>
      <c r="J343" s="186" t="s">
        <v>1109</v>
      </c>
      <c r="K343" s="187"/>
      <c r="L343" s="60">
        <v>1.7929999999999999</v>
      </c>
      <c r="M343" s="188">
        <v>0.65</v>
      </c>
      <c r="N343" s="189"/>
      <c r="O343" s="56">
        <f t="shared" si="50"/>
        <v>0.617155081725</v>
      </c>
      <c r="P343" s="57">
        <f t="shared" si="49"/>
        <v>1.106559061532925</v>
      </c>
      <c r="Q343" s="228"/>
      <c r="R343" s="179"/>
      <c r="T343" s="88">
        <v>5.05306435E-2</v>
      </c>
    </row>
    <row r="344" spans="1:20" ht="14.25" customHeight="1">
      <c r="A344" s="174" t="s">
        <v>1070</v>
      </c>
      <c r="B344" s="174"/>
      <c r="C344" s="174"/>
      <c r="D344" s="174"/>
      <c r="E344" s="174"/>
      <c r="F344" s="174"/>
      <c r="G344" s="174"/>
      <c r="H344" s="175" t="s">
        <v>1071</v>
      </c>
      <c r="I344" s="175"/>
      <c r="J344" s="175"/>
      <c r="K344" s="175"/>
      <c r="L344" s="176">
        <v>0</v>
      </c>
      <c r="M344" s="176"/>
      <c r="N344" s="177" t="s">
        <v>1072</v>
      </c>
      <c r="O344" s="177"/>
      <c r="P344" s="177"/>
      <c r="Q344" s="179"/>
      <c r="R344" s="179"/>
      <c r="T344" s="88">
        <v>5.05306435E-2</v>
      </c>
    </row>
    <row r="345" spans="1:20" ht="15.95" customHeight="1">
      <c r="A345" s="226" t="s">
        <v>1073</v>
      </c>
      <c r="B345" s="226"/>
      <c r="C345" s="226"/>
      <c r="D345" s="226"/>
      <c r="E345" s="226"/>
      <c r="F345" s="226"/>
      <c r="G345" s="226"/>
      <c r="H345" s="227"/>
      <c r="I345" s="227"/>
      <c r="J345" s="227"/>
      <c r="K345" s="227"/>
      <c r="L345" s="206" t="s">
        <v>1074</v>
      </c>
      <c r="M345" s="206"/>
      <c r="N345" s="227"/>
      <c r="O345" s="227"/>
      <c r="P345" s="227"/>
      <c r="Q345" s="179"/>
      <c r="R345" s="179"/>
      <c r="T345" s="88">
        <v>5.05306435E-2</v>
      </c>
    </row>
    <row r="346" spans="1:20" ht="15" customHeight="1">
      <c r="A346" s="207"/>
      <c r="B346" s="207"/>
      <c r="C346" s="207"/>
      <c r="D346" s="207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179"/>
      <c r="R346" s="179"/>
      <c r="T346" s="88">
        <v>5.05306435E-2</v>
      </c>
    </row>
    <row r="347" spans="1:20" ht="15.75" customHeight="1">
      <c r="A347" s="43" t="s">
        <v>1299</v>
      </c>
      <c r="B347" s="44" t="s">
        <v>3</v>
      </c>
      <c r="C347" s="43" t="s">
        <v>4</v>
      </c>
      <c r="D347" s="208" t="s">
        <v>5</v>
      </c>
      <c r="E347" s="209"/>
      <c r="F347" s="43" t="s">
        <v>1049</v>
      </c>
      <c r="G347" s="210"/>
      <c r="H347" s="211"/>
      <c r="I347" s="212"/>
      <c r="J347" s="215" t="s">
        <v>6</v>
      </c>
      <c r="K347" s="217"/>
      <c r="L347" s="44" t="s">
        <v>7</v>
      </c>
      <c r="M347" s="213" t="s">
        <v>8</v>
      </c>
      <c r="N347" s="214"/>
      <c r="O347" s="66"/>
      <c r="P347" s="44" t="s">
        <v>11</v>
      </c>
      <c r="Q347" s="228"/>
      <c r="R347" s="179"/>
      <c r="T347" s="88">
        <v>5.05306435E-2</v>
      </c>
    </row>
    <row r="348" spans="1:20" ht="15" customHeight="1">
      <c r="A348" s="47" t="s">
        <v>1051</v>
      </c>
      <c r="B348" s="48" t="s">
        <v>1300</v>
      </c>
      <c r="C348" s="47" t="s">
        <v>1053</v>
      </c>
      <c r="D348" s="190" t="s">
        <v>1301</v>
      </c>
      <c r="E348" s="191"/>
      <c r="F348" s="47" t="s">
        <v>1222</v>
      </c>
      <c r="G348" s="192"/>
      <c r="H348" s="193"/>
      <c r="I348" s="194"/>
      <c r="J348" s="195" t="s">
        <v>1085</v>
      </c>
      <c r="K348" s="196"/>
      <c r="L348" s="50">
        <v>1</v>
      </c>
      <c r="M348" s="231">
        <v>123.9</v>
      </c>
      <c r="N348" s="232"/>
      <c r="O348" s="64">
        <f>SUM(O349:O356)</f>
        <v>108.970598045505</v>
      </c>
      <c r="P348" s="64">
        <f>SUM(P349:P356)</f>
        <v>117.63746569679677</v>
      </c>
      <c r="Q348" s="228"/>
      <c r="R348" s="179"/>
      <c r="T348" s="88">
        <v>5.05306435E-2</v>
      </c>
    </row>
    <row r="349" spans="1:20" ht="14.25" customHeight="1">
      <c r="A349" s="52" t="s">
        <v>1057</v>
      </c>
      <c r="B349" s="53">
        <v>88251</v>
      </c>
      <c r="C349" s="52" t="s">
        <v>1058</v>
      </c>
      <c r="D349" s="199" t="s">
        <v>1248</v>
      </c>
      <c r="E349" s="200"/>
      <c r="F349" s="52" t="s">
        <v>1158</v>
      </c>
      <c r="G349" s="201"/>
      <c r="H349" s="202"/>
      <c r="I349" s="203"/>
      <c r="J349" s="204" t="s">
        <v>1061</v>
      </c>
      <c r="K349" s="205"/>
      <c r="L349" s="55">
        <v>0.2291666</v>
      </c>
      <c r="M349" s="188">
        <v>22.17</v>
      </c>
      <c r="N349" s="189"/>
      <c r="O349" s="56">
        <f>M349-(M349*T349)</f>
        <v>21.049735633605003</v>
      </c>
      <c r="P349" s="57">
        <f t="shared" ref="P349:P352" si="51">O349*L349</f>
        <v>4.8238963460521047</v>
      </c>
      <c r="Q349" s="228"/>
      <c r="R349" s="179"/>
      <c r="T349" s="88">
        <v>5.05306435E-2</v>
      </c>
    </row>
    <row r="350" spans="1:20" ht="15" customHeight="1">
      <c r="A350" s="52" t="s">
        <v>1057</v>
      </c>
      <c r="B350" s="53">
        <v>88315</v>
      </c>
      <c r="C350" s="52" t="s">
        <v>1058</v>
      </c>
      <c r="D350" s="199" t="s">
        <v>1249</v>
      </c>
      <c r="E350" s="200"/>
      <c r="F350" s="52" t="s">
        <v>1158</v>
      </c>
      <c r="G350" s="201"/>
      <c r="H350" s="202"/>
      <c r="I350" s="203"/>
      <c r="J350" s="204" t="s">
        <v>1061</v>
      </c>
      <c r="K350" s="205"/>
      <c r="L350" s="55">
        <v>0.45833309999999999</v>
      </c>
      <c r="M350" s="188">
        <v>26.7</v>
      </c>
      <c r="N350" s="189"/>
      <c r="O350" s="56">
        <f t="shared" ref="O350:O352" si="52">M350-(M350*T350)</f>
        <v>25.350831818549999</v>
      </c>
      <c r="P350" s="57">
        <f t="shared" si="51"/>
        <v>11.619125334974658</v>
      </c>
      <c r="Q350" s="228"/>
      <c r="R350" s="179"/>
      <c r="T350" s="88">
        <v>5.05306435E-2</v>
      </c>
    </row>
    <row r="351" spans="1:20" ht="14.25" customHeight="1">
      <c r="A351" s="58" t="s">
        <v>1064</v>
      </c>
      <c r="B351" s="59" t="s">
        <v>1302</v>
      </c>
      <c r="C351" s="58" t="s">
        <v>1303</v>
      </c>
      <c r="D351" s="181" t="s">
        <v>1304</v>
      </c>
      <c r="E351" s="182"/>
      <c r="F351" s="58" t="s">
        <v>1068</v>
      </c>
      <c r="G351" s="183"/>
      <c r="H351" s="184"/>
      <c r="I351" s="185"/>
      <c r="J351" s="186" t="s">
        <v>1187</v>
      </c>
      <c r="K351" s="187"/>
      <c r="L351" s="60">
        <v>1</v>
      </c>
      <c r="M351" s="188">
        <v>25.22</v>
      </c>
      <c r="N351" s="189"/>
      <c r="O351" s="56">
        <f t="shared" si="52"/>
        <v>23.945617170929999</v>
      </c>
      <c r="P351" s="57">
        <f t="shared" si="51"/>
        <v>23.945617170929999</v>
      </c>
      <c r="Q351" s="228"/>
      <c r="R351" s="179"/>
      <c r="T351" s="88">
        <v>5.05306435E-2</v>
      </c>
    </row>
    <row r="352" spans="1:20" ht="14.85" customHeight="1">
      <c r="A352" s="58" t="s">
        <v>1064</v>
      </c>
      <c r="B352" s="59" t="s">
        <v>1305</v>
      </c>
      <c r="C352" s="58" t="s">
        <v>1303</v>
      </c>
      <c r="D352" s="181" t="s">
        <v>1306</v>
      </c>
      <c r="E352" s="182"/>
      <c r="F352" s="58" t="s">
        <v>1068</v>
      </c>
      <c r="G352" s="183"/>
      <c r="H352" s="184"/>
      <c r="I352" s="185"/>
      <c r="J352" s="186" t="s">
        <v>1187</v>
      </c>
      <c r="K352" s="187"/>
      <c r="L352" s="60">
        <v>2</v>
      </c>
      <c r="M352" s="188">
        <v>40.68</v>
      </c>
      <c r="N352" s="189"/>
      <c r="O352" s="56">
        <f t="shared" si="52"/>
        <v>38.624413422419998</v>
      </c>
      <c r="P352" s="57">
        <f t="shared" si="51"/>
        <v>77.248826844839996</v>
      </c>
      <c r="Q352" s="228"/>
      <c r="R352" s="179"/>
      <c r="T352" s="88">
        <v>5.05306435E-2</v>
      </c>
    </row>
    <row r="353" spans="1:20" ht="14.25" customHeight="1">
      <c r="A353" s="174" t="s">
        <v>1070</v>
      </c>
      <c r="B353" s="174"/>
      <c r="C353" s="174"/>
      <c r="D353" s="174"/>
      <c r="E353" s="174"/>
      <c r="F353" s="174"/>
      <c r="G353" s="174"/>
      <c r="H353" s="175" t="s">
        <v>1071</v>
      </c>
      <c r="I353" s="175"/>
      <c r="J353" s="175"/>
      <c r="K353" s="175"/>
      <c r="L353" s="176">
        <v>0</v>
      </c>
      <c r="M353" s="176"/>
      <c r="N353" s="177" t="s">
        <v>1072</v>
      </c>
      <c r="O353" s="177"/>
      <c r="P353" s="177"/>
      <c r="Q353" s="179"/>
      <c r="R353" s="179"/>
      <c r="T353" s="88">
        <v>5.05306435E-2</v>
      </c>
    </row>
    <row r="354" spans="1:20" ht="15.95" customHeight="1">
      <c r="A354" s="226" t="s">
        <v>1073</v>
      </c>
      <c r="B354" s="226"/>
      <c r="C354" s="226"/>
      <c r="D354" s="226"/>
      <c r="E354" s="226"/>
      <c r="F354" s="226"/>
      <c r="G354" s="226"/>
      <c r="H354" s="227"/>
      <c r="I354" s="227"/>
      <c r="J354" s="227"/>
      <c r="K354" s="227"/>
      <c r="L354" s="206" t="s">
        <v>1074</v>
      </c>
      <c r="M354" s="206"/>
      <c r="N354" s="227"/>
      <c r="O354" s="227"/>
      <c r="P354" s="227"/>
      <c r="Q354" s="179"/>
      <c r="R354" s="179"/>
      <c r="T354" s="88">
        <v>5.05306435E-2</v>
      </c>
    </row>
    <row r="355" spans="1:20" ht="14.25" customHeight="1">
      <c r="A355" s="207"/>
      <c r="B355" s="207"/>
      <c r="C355" s="207"/>
      <c r="D355" s="207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179"/>
      <c r="R355" s="179"/>
      <c r="T355" s="88">
        <v>5.05306435E-2</v>
      </c>
    </row>
    <row r="356" spans="1:20" ht="15.75" customHeight="1">
      <c r="A356" s="43" t="s">
        <v>1307</v>
      </c>
      <c r="B356" s="44" t="s">
        <v>3</v>
      </c>
      <c r="C356" s="43" t="s">
        <v>4</v>
      </c>
      <c r="D356" s="208" t="s">
        <v>5</v>
      </c>
      <c r="E356" s="209"/>
      <c r="F356" s="43" t="s">
        <v>1049</v>
      </c>
      <c r="G356" s="210"/>
      <c r="H356" s="211"/>
      <c r="I356" s="212"/>
      <c r="J356" s="215" t="s">
        <v>6</v>
      </c>
      <c r="K356" s="217"/>
      <c r="L356" s="44" t="s">
        <v>7</v>
      </c>
      <c r="M356" s="213" t="s">
        <v>8</v>
      </c>
      <c r="N356" s="214"/>
      <c r="O356" s="66"/>
      <c r="P356" s="44" t="s">
        <v>11</v>
      </c>
      <c r="Q356" s="228"/>
      <c r="R356" s="179"/>
      <c r="T356" s="88">
        <v>5.05306435E-2</v>
      </c>
    </row>
    <row r="357" spans="1:20" ht="14.25" customHeight="1">
      <c r="A357" s="47" t="s">
        <v>1051</v>
      </c>
      <c r="B357" s="48" t="s">
        <v>1308</v>
      </c>
      <c r="C357" s="47" t="s">
        <v>1053</v>
      </c>
      <c r="D357" s="190" t="s">
        <v>1309</v>
      </c>
      <c r="E357" s="191"/>
      <c r="F357" s="47" t="s">
        <v>1083</v>
      </c>
      <c r="G357" s="192"/>
      <c r="H357" s="193"/>
      <c r="I357" s="194"/>
      <c r="J357" s="195" t="s">
        <v>1079</v>
      </c>
      <c r="K357" s="196"/>
      <c r="L357" s="50">
        <v>1</v>
      </c>
      <c r="M357" s="197">
        <v>32.090000000000003</v>
      </c>
      <c r="N357" s="198"/>
      <c r="O357" s="64">
        <f>SUM(O358:O365)</f>
        <v>531.94970167268991</v>
      </c>
      <c r="P357" s="64">
        <f>SUM(P358:P365)</f>
        <v>30.467522180728501</v>
      </c>
      <c r="Q357" s="228"/>
      <c r="R357" s="179"/>
      <c r="T357" s="88">
        <v>5.05306435E-2</v>
      </c>
    </row>
    <row r="358" spans="1:20" ht="15" customHeight="1">
      <c r="A358" s="52" t="s">
        <v>1057</v>
      </c>
      <c r="B358" s="53">
        <v>100490</v>
      </c>
      <c r="C358" s="52" t="s">
        <v>1058</v>
      </c>
      <c r="D358" s="199" t="s">
        <v>1310</v>
      </c>
      <c r="E358" s="200"/>
      <c r="F358" s="52" t="s">
        <v>1158</v>
      </c>
      <c r="G358" s="201"/>
      <c r="H358" s="202"/>
      <c r="I358" s="203"/>
      <c r="J358" s="204" t="s">
        <v>1121</v>
      </c>
      <c r="K358" s="205"/>
      <c r="L358" s="55">
        <v>2.5000000000000001E-2</v>
      </c>
      <c r="M358" s="247">
        <v>512.04</v>
      </c>
      <c r="N358" s="248"/>
      <c r="O358" s="56">
        <f>M358-(M358*T358)</f>
        <v>486.16628930225994</v>
      </c>
      <c r="P358" s="57">
        <f t="shared" ref="P358:P360" si="53">O358*L358</f>
        <v>12.1541572325565</v>
      </c>
      <c r="Q358" s="228"/>
      <c r="R358" s="179"/>
      <c r="T358" s="88">
        <v>5.05306435E-2</v>
      </c>
    </row>
    <row r="359" spans="1:20" ht="14.25" customHeight="1">
      <c r="A359" s="52" t="s">
        <v>1057</v>
      </c>
      <c r="B359" s="53">
        <v>88309</v>
      </c>
      <c r="C359" s="52" t="s">
        <v>1058</v>
      </c>
      <c r="D359" s="199" t="s">
        <v>1162</v>
      </c>
      <c r="E359" s="200"/>
      <c r="F359" s="52" t="s">
        <v>1158</v>
      </c>
      <c r="G359" s="201"/>
      <c r="H359" s="202"/>
      <c r="I359" s="203"/>
      <c r="J359" s="204" t="s">
        <v>1061</v>
      </c>
      <c r="K359" s="205"/>
      <c r="L359" s="55">
        <v>0.4</v>
      </c>
      <c r="M359" s="188">
        <v>26.9</v>
      </c>
      <c r="N359" s="189"/>
      <c r="O359" s="56">
        <f t="shared" ref="O359:O360" si="54">M359-(M359*T359)</f>
        <v>25.540725689849999</v>
      </c>
      <c r="P359" s="57">
        <f t="shared" si="53"/>
        <v>10.21629027594</v>
      </c>
      <c r="Q359" s="228"/>
      <c r="R359" s="179"/>
      <c r="T359" s="88">
        <v>5.05306435E-2</v>
      </c>
    </row>
    <row r="360" spans="1:20" ht="15" customHeight="1">
      <c r="A360" s="52" t="s">
        <v>1057</v>
      </c>
      <c r="B360" s="53">
        <v>88316</v>
      </c>
      <c r="C360" s="52" t="s">
        <v>1058</v>
      </c>
      <c r="D360" s="199" t="s">
        <v>1059</v>
      </c>
      <c r="E360" s="200"/>
      <c r="F360" s="52" t="s">
        <v>1158</v>
      </c>
      <c r="G360" s="201"/>
      <c r="H360" s="202"/>
      <c r="I360" s="203"/>
      <c r="J360" s="204" t="s">
        <v>1061</v>
      </c>
      <c r="K360" s="205"/>
      <c r="L360" s="55">
        <v>0.4</v>
      </c>
      <c r="M360" s="188">
        <v>21.32</v>
      </c>
      <c r="N360" s="189"/>
      <c r="O360" s="56">
        <f t="shared" si="54"/>
        <v>20.24268668058</v>
      </c>
      <c r="P360" s="57">
        <f t="shared" si="53"/>
        <v>8.0970746722320008</v>
      </c>
      <c r="Q360" s="228"/>
      <c r="R360" s="179"/>
      <c r="T360" s="88">
        <v>5.05306435E-2</v>
      </c>
    </row>
    <row r="361" spans="1:20" ht="14.25" customHeight="1">
      <c r="A361" s="174" t="s">
        <v>1070</v>
      </c>
      <c r="B361" s="174"/>
      <c r="C361" s="174"/>
      <c r="D361" s="174"/>
      <c r="E361" s="174"/>
      <c r="F361" s="174"/>
      <c r="G361" s="174"/>
      <c r="H361" s="175" t="s">
        <v>1071</v>
      </c>
      <c r="I361" s="175"/>
      <c r="J361" s="175"/>
      <c r="K361" s="175"/>
      <c r="L361" s="176">
        <v>0</v>
      </c>
      <c r="M361" s="176"/>
      <c r="N361" s="177" t="s">
        <v>1072</v>
      </c>
      <c r="O361" s="177"/>
      <c r="P361" s="177"/>
      <c r="Q361" s="179"/>
      <c r="R361" s="179"/>
      <c r="T361" s="88">
        <v>5.05306435E-2</v>
      </c>
    </row>
    <row r="362" spans="1:20" ht="16.5" customHeight="1">
      <c r="A362" s="178" t="s">
        <v>1073</v>
      </c>
      <c r="B362" s="178"/>
      <c r="C362" s="178"/>
      <c r="D362" s="178"/>
      <c r="E362" s="178"/>
      <c r="F362" s="178"/>
      <c r="G362" s="178"/>
      <c r="H362" s="179"/>
      <c r="I362" s="179"/>
      <c r="J362" s="179"/>
      <c r="K362" s="179"/>
      <c r="L362" s="180" t="s">
        <v>1074</v>
      </c>
      <c r="M362" s="180"/>
      <c r="N362" s="179"/>
      <c r="O362" s="179"/>
      <c r="P362" s="179"/>
      <c r="Q362" s="179"/>
      <c r="R362" s="179"/>
      <c r="T362" s="88">
        <v>5.05306435E-2</v>
      </c>
    </row>
    <row r="363" spans="1:20" ht="28.5" customHeight="1">
      <c r="A363" s="233" t="s">
        <v>1311</v>
      </c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T363" s="88">
        <v>5.05306435E-2</v>
      </c>
    </row>
    <row r="364" spans="1:20" ht="15" customHeight="1">
      <c r="A364" s="207"/>
      <c r="B364" s="207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179"/>
      <c r="R364" s="179"/>
      <c r="T364" s="88">
        <v>5.05306435E-2</v>
      </c>
    </row>
    <row r="365" spans="1:20" ht="15.75" customHeight="1">
      <c r="A365" s="43" t="s">
        <v>1312</v>
      </c>
      <c r="B365" s="44" t="s">
        <v>3</v>
      </c>
      <c r="C365" s="43" t="s">
        <v>4</v>
      </c>
      <c r="D365" s="208" t="s">
        <v>5</v>
      </c>
      <c r="E365" s="209"/>
      <c r="F365" s="43" t="s">
        <v>1049</v>
      </c>
      <c r="G365" s="210"/>
      <c r="H365" s="211"/>
      <c r="I365" s="212"/>
      <c r="J365" s="215" t="s">
        <v>6</v>
      </c>
      <c r="K365" s="217"/>
      <c r="L365" s="44" t="s">
        <v>7</v>
      </c>
      <c r="M365" s="213" t="s">
        <v>8</v>
      </c>
      <c r="N365" s="214"/>
      <c r="O365" s="66"/>
      <c r="P365" s="44" t="s">
        <v>11</v>
      </c>
      <c r="Q365" s="228"/>
      <c r="R365" s="179"/>
      <c r="T365" s="88">
        <v>5.05306435E-2</v>
      </c>
    </row>
    <row r="366" spans="1:20" ht="15" customHeight="1">
      <c r="A366" s="47" t="s">
        <v>1051</v>
      </c>
      <c r="B366" s="48" t="s">
        <v>1313</v>
      </c>
      <c r="C366" s="47" t="s">
        <v>1053</v>
      </c>
      <c r="D366" s="190" t="s">
        <v>1314</v>
      </c>
      <c r="E366" s="191"/>
      <c r="F366" s="47" t="s">
        <v>1083</v>
      </c>
      <c r="G366" s="192"/>
      <c r="H366" s="193"/>
      <c r="I366" s="194"/>
      <c r="J366" s="195" t="s">
        <v>1079</v>
      </c>
      <c r="K366" s="196"/>
      <c r="L366" s="50">
        <v>1</v>
      </c>
      <c r="M366" s="197">
        <v>77.2</v>
      </c>
      <c r="N366" s="198"/>
      <c r="O366" s="64">
        <f>SUM(O367:O374)</f>
        <v>101.06151830585999</v>
      </c>
      <c r="P366" s="64">
        <f>SUM(P367:P374)</f>
        <v>113.093193991428</v>
      </c>
      <c r="Q366" s="228"/>
      <c r="R366" s="179"/>
      <c r="T366" s="88">
        <v>5.05306435E-2</v>
      </c>
    </row>
    <row r="367" spans="1:20" ht="14.25" customHeight="1">
      <c r="A367" s="58" t="s">
        <v>1064</v>
      </c>
      <c r="B367" s="62">
        <v>3077</v>
      </c>
      <c r="C367" s="58" t="s">
        <v>1180</v>
      </c>
      <c r="D367" s="181" t="s">
        <v>1315</v>
      </c>
      <c r="E367" s="182"/>
      <c r="F367" s="58" t="s">
        <v>1316</v>
      </c>
      <c r="G367" s="183"/>
      <c r="H367" s="184"/>
      <c r="I367" s="185"/>
      <c r="J367" s="186" t="s">
        <v>1079</v>
      </c>
      <c r="K367" s="187"/>
      <c r="L367" s="60">
        <v>1</v>
      </c>
      <c r="M367" s="188">
        <v>70</v>
      </c>
      <c r="N367" s="189"/>
      <c r="O367" s="56">
        <f>M367-(M367*T367)</f>
        <v>66.462854954999997</v>
      </c>
      <c r="P367" s="57">
        <f t="shared" ref="P367:P368" si="55">O367*L367</f>
        <v>66.462854954999997</v>
      </c>
      <c r="Q367" s="228"/>
      <c r="R367" s="179"/>
      <c r="T367" s="88">
        <v>5.05306435E-2</v>
      </c>
    </row>
    <row r="368" spans="1:20" ht="15" customHeight="1">
      <c r="A368" s="58" t="s">
        <v>1064</v>
      </c>
      <c r="B368" s="62">
        <v>1379</v>
      </c>
      <c r="C368" s="58" t="s">
        <v>1058</v>
      </c>
      <c r="D368" s="181" t="s">
        <v>1189</v>
      </c>
      <c r="E368" s="182"/>
      <c r="F368" s="58" t="s">
        <v>1068</v>
      </c>
      <c r="G368" s="183"/>
      <c r="H368" s="184"/>
      <c r="I368" s="185"/>
      <c r="J368" s="186" t="s">
        <v>1109</v>
      </c>
      <c r="K368" s="187"/>
      <c r="L368" s="60">
        <v>10</v>
      </c>
      <c r="M368" s="188">
        <v>0.72</v>
      </c>
      <c r="N368" s="189"/>
      <c r="O368" s="56">
        <f t="shared" ref="O368" si="56">M368-(M368*T368)</f>
        <v>0.68361793667999993</v>
      </c>
      <c r="P368" s="57">
        <f t="shared" si="55"/>
        <v>6.8361793667999997</v>
      </c>
      <c r="Q368" s="228"/>
      <c r="R368" s="179"/>
      <c r="T368" s="88">
        <v>5.05306435E-2</v>
      </c>
    </row>
    <row r="369" spans="1:20" ht="14.25" customHeight="1">
      <c r="A369" s="174" t="s">
        <v>1070</v>
      </c>
      <c r="B369" s="174"/>
      <c r="C369" s="174"/>
      <c r="D369" s="174"/>
      <c r="E369" s="174"/>
      <c r="F369" s="174"/>
      <c r="G369" s="174"/>
      <c r="H369" s="175" t="s">
        <v>1071</v>
      </c>
      <c r="I369" s="175"/>
      <c r="J369" s="175"/>
      <c r="K369" s="175"/>
      <c r="L369" s="176">
        <v>0</v>
      </c>
      <c r="M369" s="176"/>
      <c r="N369" s="177" t="s">
        <v>1072</v>
      </c>
      <c r="O369" s="177"/>
      <c r="P369" s="177"/>
      <c r="Q369" s="179"/>
      <c r="R369" s="179"/>
      <c r="T369" s="88">
        <v>5.05306435E-2</v>
      </c>
    </row>
    <row r="370" spans="1:20" ht="17.45" customHeight="1">
      <c r="A370" s="178" t="s">
        <v>1073</v>
      </c>
      <c r="B370" s="178"/>
      <c r="C370" s="178"/>
      <c r="D370" s="178"/>
      <c r="E370" s="178"/>
      <c r="F370" s="178"/>
      <c r="G370" s="178"/>
      <c r="H370" s="179"/>
      <c r="I370" s="179"/>
      <c r="J370" s="179"/>
      <c r="K370" s="179"/>
      <c r="L370" s="180" t="s">
        <v>1074</v>
      </c>
      <c r="M370" s="180"/>
      <c r="N370" s="179"/>
      <c r="O370" s="179"/>
      <c r="P370" s="179"/>
      <c r="Q370" s="179"/>
      <c r="R370" s="179"/>
      <c r="T370" s="88">
        <v>5.05306435E-2</v>
      </c>
    </row>
    <row r="371" spans="1:20" ht="28.5" customHeight="1">
      <c r="A371" s="233" t="s">
        <v>1317</v>
      </c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T371" s="88">
        <v>5.05306435E-2</v>
      </c>
    </row>
    <row r="372" spans="1:20" ht="14.25" customHeight="1">
      <c r="A372" s="207"/>
      <c r="B372" s="207"/>
      <c r="C372" s="207"/>
      <c r="D372" s="207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179"/>
      <c r="R372" s="179"/>
      <c r="T372" s="88">
        <v>5.05306435E-2</v>
      </c>
    </row>
    <row r="373" spans="1:20" ht="15.75" customHeight="1">
      <c r="A373" s="43" t="s">
        <v>1318</v>
      </c>
      <c r="B373" s="44" t="s">
        <v>3</v>
      </c>
      <c r="C373" s="43" t="s">
        <v>4</v>
      </c>
      <c r="D373" s="208" t="s">
        <v>5</v>
      </c>
      <c r="E373" s="209"/>
      <c r="F373" s="43" t="s">
        <v>1049</v>
      </c>
      <c r="G373" s="210"/>
      <c r="H373" s="211"/>
      <c r="I373" s="212"/>
      <c r="J373" s="215" t="s">
        <v>6</v>
      </c>
      <c r="K373" s="217"/>
      <c r="L373" s="44" t="s">
        <v>7</v>
      </c>
      <c r="M373" s="213" t="s">
        <v>8</v>
      </c>
      <c r="N373" s="214"/>
      <c r="O373" s="66"/>
      <c r="P373" s="44" t="s">
        <v>11</v>
      </c>
      <c r="Q373" s="228"/>
      <c r="R373" s="179"/>
      <c r="T373" s="88">
        <v>5.05306435E-2</v>
      </c>
    </row>
    <row r="374" spans="1:20" ht="14.25" customHeight="1">
      <c r="A374" s="47" t="s">
        <v>1051</v>
      </c>
      <c r="B374" s="48" t="s">
        <v>1319</v>
      </c>
      <c r="C374" s="47" t="s">
        <v>1053</v>
      </c>
      <c r="D374" s="190" t="s">
        <v>1320</v>
      </c>
      <c r="E374" s="191"/>
      <c r="F374" s="47" t="s">
        <v>1083</v>
      </c>
      <c r="G374" s="192"/>
      <c r="H374" s="193"/>
      <c r="I374" s="194"/>
      <c r="J374" s="195" t="s">
        <v>1079</v>
      </c>
      <c r="K374" s="196"/>
      <c r="L374" s="50">
        <v>1</v>
      </c>
      <c r="M374" s="197">
        <v>41.91</v>
      </c>
      <c r="N374" s="198"/>
      <c r="O374" s="64">
        <f>SUM(O375:O382)</f>
        <v>33.91504541418</v>
      </c>
      <c r="P374" s="64">
        <f>SUM(P375:P382)</f>
        <v>39.794159669628002</v>
      </c>
      <c r="Q374" s="228"/>
      <c r="R374" s="179"/>
      <c r="T374" s="88">
        <v>5.05306435E-2</v>
      </c>
    </row>
    <row r="375" spans="1:20" ht="15" customHeight="1">
      <c r="A375" s="58" t="s">
        <v>1064</v>
      </c>
      <c r="B375" s="62">
        <v>1379</v>
      </c>
      <c r="C375" s="58" t="s">
        <v>1058</v>
      </c>
      <c r="D375" s="181" t="s">
        <v>1189</v>
      </c>
      <c r="E375" s="182"/>
      <c r="F375" s="58" t="s">
        <v>1068</v>
      </c>
      <c r="G375" s="183"/>
      <c r="H375" s="184"/>
      <c r="I375" s="185"/>
      <c r="J375" s="186" t="s">
        <v>1109</v>
      </c>
      <c r="K375" s="187"/>
      <c r="L375" s="60">
        <v>9.6</v>
      </c>
      <c r="M375" s="188">
        <v>0.72</v>
      </c>
      <c r="N375" s="189"/>
      <c r="O375" s="56">
        <f>M375-(M375*T375)</f>
        <v>0.68361793667999993</v>
      </c>
      <c r="P375" s="57">
        <f t="shared" ref="P375:P376" si="57">O375*L375</f>
        <v>6.5627321921279993</v>
      </c>
      <c r="Q375" s="228"/>
      <c r="R375" s="179"/>
      <c r="T375" s="88">
        <v>5.05306435E-2</v>
      </c>
    </row>
    <row r="376" spans="1:20" ht="15" customHeight="1">
      <c r="A376" s="58" t="s">
        <v>1064</v>
      </c>
      <c r="B376" s="62">
        <v>8428</v>
      </c>
      <c r="C376" s="58" t="s">
        <v>1180</v>
      </c>
      <c r="D376" s="181" t="s">
        <v>1321</v>
      </c>
      <c r="E376" s="182"/>
      <c r="F376" s="58" t="s">
        <v>1316</v>
      </c>
      <c r="G376" s="183"/>
      <c r="H376" s="184"/>
      <c r="I376" s="185"/>
      <c r="J376" s="186" t="s">
        <v>1079</v>
      </c>
      <c r="K376" s="187"/>
      <c r="L376" s="60">
        <v>1</v>
      </c>
      <c r="M376" s="188">
        <v>35</v>
      </c>
      <c r="N376" s="189"/>
      <c r="O376" s="56">
        <f t="shared" ref="O376" si="58">M376-(M376*T376)</f>
        <v>33.231427477499999</v>
      </c>
      <c r="P376" s="57">
        <f t="shared" si="57"/>
        <v>33.231427477499999</v>
      </c>
      <c r="Q376" s="228"/>
      <c r="R376" s="179"/>
      <c r="T376" s="88">
        <v>5.05306435E-2</v>
      </c>
    </row>
    <row r="377" spans="1:20" ht="15" customHeight="1">
      <c r="A377" s="68"/>
      <c r="B377" s="68"/>
      <c r="C377" s="68"/>
      <c r="D377" s="262"/>
      <c r="E377" s="262"/>
      <c r="F377" s="68"/>
      <c r="G377" s="68"/>
      <c r="H377" s="262"/>
      <c r="I377" s="262"/>
      <c r="J377" s="262"/>
      <c r="K377" s="262"/>
      <c r="L377" s="68"/>
      <c r="M377" s="68"/>
      <c r="N377" s="68"/>
      <c r="O377" s="68"/>
      <c r="P377" s="68"/>
      <c r="Q377" s="179"/>
      <c r="R377" s="179"/>
      <c r="T377" s="88">
        <v>5.05306435E-2</v>
      </c>
    </row>
    <row r="378" spans="1:20" ht="14.25" customHeight="1">
      <c r="A378" s="259" t="s">
        <v>1070</v>
      </c>
      <c r="B378" s="259"/>
      <c r="C378" s="259"/>
      <c r="D378" s="259"/>
      <c r="E378" s="259"/>
      <c r="F378" s="259"/>
      <c r="G378" s="259"/>
      <c r="H378" s="260" t="s">
        <v>1071</v>
      </c>
      <c r="I378" s="260"/>
      <c r="J378" s="260"/>
      <c r="K378" s="260"/>
      <c r="L378" s="69">
        <v>0</v>
      </c>
      <c r="M378" s="261" t="s">
        <v>1072</v>
      </c>
      <c r="N378" s="261"/>
      <c r="O378" s="261"/>
      <c r="P378" s="261"/>
      <c r="Q378" s="179"/>
      <c r="R378" s="179"/>
      <c r="T378" s="88">
        <v>5.05306435E-2</v>
      </c>
    </row>
    <row r="379" spans="1:20" ht="16.5" customHeight="1">
      <c r="A379" s="178" t="s">
        <v>1073</v>
      </c>
      <c r="B379" s="178"/>
      <c r="C379" s="178"/>
      <c r="D379" s="178"/>
      <c r="E379" s="178"/>
      <c r="F379" s="178"/>
      <c r="G379" s="178"/>
      <c r="H379" s="179"/>
      <c r="I379" s="179"/>
      <c r="J379" s="179"/>
      <c r="K379" s="179"/>
      <c r="L379" s="70" t="s">
        <v>1074</v>
      </c>
      <c r="M379" s="179"/>
      <c r="N379" s="179"/>
      <c r="O379" s="179"/>
      <c r="P379" s="179"/>
      <c r="Q379" s="179"/>
      <c r="R379" s="179"/>
      <c r="T379" s="88">
        <v>5.05306435E-2</v>
      </c>
    </row>
    <row r="380" spans="1:20" ht="28.5" customHeight="1">
      <c r="A380" s="233" t="s">
        <v>1322</v>
      </c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T380" s="88">
        <v>5.05306435E-2</v>
      </c>
    </row>
    <row r="381" spans="1:20" ht="15" customHeight="1">
      <c r="A381" s="207"/>
      <c r="B381" s="207"/>
      <c r="C381" s="207"/>
      <c r="D381" s="207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179"/>
      <c r="R381" s="179"/>
      <c r="T381" s="88">
        <v>5.05306435E-2</v>
      </c>
    </row>
    <row r="382" spans="1:20" ht="15.75" customHeight="1">
      <c r="A382" s="43" t="s">
        <v>1323</v>
      </c>
      <c r="B382" s="44" t="s">
        <v>3</v>
      </c>
      <c r="C382" s="43" t="s">
        <v>4</v>
      </c>
      <c r="D382" s="208" t="s">
        <v>5</v>
      </c>
      <c r="E382" s="209"/>
      <c r="F382" s="43" t="s">
        <v>1049</v>
      </c>
      <c r="G382" s="210"/>
      <c r="H382" s="211"/>
      <c r="I382" s="212"/>
      <c r="J382" s="215" t="s">
        <v>6</v>
      </c>
      <c r="K382" s="217"/>
      <c r="L382" s="44" t="s">
        <v>7</v>
      </c>
      <c r="M382" s="213" t="s">
        <v>8</v>
      </c>
      <c r="N382" s="214"/>
      <c r="O382" s="66"/>
      <c r="P382" s="44" t="s">
        <v>11</v>
      </c>
      <c r="Q382" s="228"/>
      <c r="R382" s="179"/>
      <c r="T382" s="88">
        <v>5.05306435E-2</v>
      </c>
    </row>
    <row r="383" spans="1:20" ht="15" customHeight="1">
      <c r="A383" s="47" t="s">
        <v>1051</v>
      </c>
      <c r="B383" s="48" t="s">
        <v>1324</v>
      </c>
      <c r="C383" s="47" t="s">
        <v>1053</v>
      </c>
      <c r="D383" s="190" t="s">
        <v>1325</v>
      </c>
      <c r="E383" s="191"/>
      <c r="F383" s="47" t="s">
        <v>1083</v>
      </c>
      <c r="G383" s="192"/>
      <c r="H383" s="193"/>
      <c r="I383" s="194"/>
      <c r="J383" s="195" t="s">
        <v>1107</v>
      </c>
      <c r="K383" s="196"/>
      <c r="L383" s="50">
        <v>1</v>
      </c>
      <c r="M383" s="197">
        <v>20.239999999999998</v>
      </c>
      <c r="N383" s="198"/>
      <c r="O383" s="64">
        <f>SUM(O384:O391)</f>
        <v>119.633138919</v>
      </c>
      <c r="P383" s="64">
        <f>SUM(P384:P391)</f>
        <v>98.022077001832201</v>
      </c>
      <c r="Q383" s="228"/>
      <c r="R383" s="179"/>
      <c r="T383" s="88">
        <v>5.05306435E-2</v>
      </c>
    </row>
    <row r="384" spans="1:20" ht="14.25" customHeight="1">
      <c r="A384" s="58" t="s">
        <v>1064</v>
      </c>
      <c r="B384" s="62">
        <v>12112</v>
      </c>
      <c r="C384" s="58" t="s">
        <v>1180</v>
      </c>
      <c r="D384" s="181" t="s">
        <v>1326</v>
      </c>
      <c r="E384" s="182"/>
      <c r="F384" s="58" t="s">
        <v>1316</v>
      </c>
      <c r="G384" s="183"/>
      <c r="H384" s="184"/>
      <c r="I384" s="185"/>
      <c r="J384" s="186" t="s">
        <v>1327</v>
      </c>
      <c r="K384" s="187"/>
      <c r="L384" s="60">
        <v>1</v>
      </c>
      <c r="M384" s="188">
        <v>18.079999999999998</v>
      </c>
      <c r="N384" s="189"/>
      <c r="O384" s="56">
        <f>M384-(M384*T384)</f>
        <v>17.166405965519999</v>
      </c>
      <c r="P384" s="57">
        <f t="shared" ref="P384:P385" si="59">O384*L384</f>
        <v>17.166405965519999</v>
      </c>
      <c r="Q384" s="228"/>
      <c r="R384" s="179"/>
      <c r="T384" s="88">
        <v>5.05306435E-2</v>
      </c>
    </row>
    <row r="385" spans="1:20" ht="15" customHeight="1">
      <c r="A385" s="58" t="s">
        <v>1064</v>
      </c>
      <c r="B385" s="62">
        <v>1379</v>
      </c>
      <c r="C385" s="58" t="s">
        <v>1058</v>
      </c>
      <c r="D385" s="181" t="s">
        <v>1189</v>
      </c>
      <c r="E385" s="182"/>
      <c r="F385" s="58" t="s">
        <v>1068</v>
      </c>
      <c r="G385" s="183"/>
      <c r="H385" s="184"/>
      <c r="I385" s="185"/>
      <c r="J385" s="186" t="s">
        <v>1109</v>
      </c>
      <c r="K385" s="187"/>
      <c r="L385" s="60">
        <v>3</v>
      </c>
      <c r="M385" s="188">
        <v>0.72</v>
      </c>
      <c r="N385" s="189"/>
      <c r="O385" s="56">
        <f t="shared" ref="O385" si="60">M385-(M385*T385)</f>
        <v>0.68361793667999993</v>
      </c>
      <c r="P385" s="57">
        <f t="shared" si="59"/>
        <v>2.0508538100399996</v>
      </c>
      <c r="Q385" s="228"/>
      <c r="R385" s="179"/>
      <c r="T385" s="88">
        <v>5.05306435E-2</v>
      </c>
    </row>
    <row r="386" spans="1:20" ht="14.25" customHeight="1">
      <c r="A386" s="174" t="s">
        <v>1070</v>
      </c>
      <c r="B386" s="174"/>
      <c r="C386" s="174"/>
      <c r="D386" s="174"/>
      <c r="E386" s="174"/>
      <c r="F386" s="174"/>
      <c r="G386" s="174"/>
      <c r="H386" s="175" t="s">
        <v>1071</v>
      </c>
      <c r="I386" s="175"/>
      <c r="J386" s="175"/>
      <c r="K386" s="175"/>
      <c r="L386" s="176">
        <v>0</v>
      </c>
      <c r="M386" s="176"/>
      <c r="N386" s="177" t="s">
        <v>1072</v>
      </c>
      <c r="O386" s="177"/>
      <c r="P386" s="177"/>
      <c r="Q386" s="179"/>
      <c r="R386" s="179"/>
      <c r="T386" s="88">
        <v>5.05306435E-2</v>
      </c>
    </row>
    <row r="387" spans="1:20" ht="15" customHeight="1">
      <c r="A387" s="226" t="s">
        <v>1073</v>
      </c>
      <c r="B387" s="226"/>
      <c r="C387" s="226"/>
      <c r="D387" s="226"/>
      <c r="E387" s="226"/>
      <c r="F387" s="226"/>
      <c r="G387" s="226"/>
      <c r="H387" s="227"/>
      <c r="I387" s="227"/>
      <c r="J387" s="227"/>
      <c r="K387" s="227"/>
      <c r="L387" s="206" t="s">
        <v>1074</v>
      </c>
      <c r="M387" s="206"/>
      <c r="N387" s="227"/>
      <c r="O387" s="227"/>
      <c r="P387" s="227"/>
      <c r="Q387" s="179"/>
      <c r="R387" s="179"/>
      <c r="T387" s="88">
        <v>5.05306435E-2</v>
      </c>
    </row>
    <row r="388" spans="1:20" ht="15" customHeight="1">
      <c r="A388" s="207"/>
      <c r="B388" s="207"/>
      <c r="C388" s="207"/>
      <c r="D388" s="207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179"/>
      <c r="R388" s="179"/>
      <c r="T388" s="88">
        <v>5.05306435E-2</v>
      </c>
    </row>
    <row r="389" spans="1:20" ht="15.75" customHeight="1">
      <c r="A389" s="43" t="s">
        <v>1328</v>
      </c>
      <c r="B389" s="44" t="s">
        <v>3</v>
      </c>
      <c r="C389" s="43" t="s">
        <v>4</v>
      </c>
      <c r="D389" s="208" t="s">
        <v>5</v>
      </c>
      <c r="E389" s="209"/>
      <c r="F389" s="43" t="s">
        <v>1049</v>
      </c>
      <c r="G389" s="210"/>
      <c r="H389" s="211"/>
      <c r="I389" s="212"/>
      <c r="J389" s="215" t="s">
        <v>6</v>
      </c>
      <c r="K389" s="217"/>
      <c r="L389" s="44" t="s">
        <v>7</v>
      </c>
      <c r="M389" s="213" t="s">
        <v>8</v>
      </c>
      <c r="N389" s="214"/>
      <c r="O389" s="66"/>
      <c r="P389" s="44" t="s">
        <v>11</v>
      </c>
      <c r="Q389" s="228"/>
      <c r="R389" s="179"/>
      <c r="T389" s="88">
        <v>5.05306435E-2</v>
      </c>
    </row>
    <row r="390" spans="1:20" ht="15" customHeight="1">
      <c r="A390" s="47" t="s">
        <v>1051</v>
      </c>
      <c r="B390" s="48" t="s">
        <v>1329</v>
      </c>
      <c r="C390" s="47" t="s">
        <v>1053</v>
      </c>
      <c r="D390" s="190" t="s">
        <v>1330</v>
      </c>
      <c r="E390" s="191"/>
      <c r="F390" s="47" t="s">
        <v>1158</v>
      </c>
      <c r="G390" s="192"/>
      <c r="H390" s="193"/>
      <c r="I390" s="194"/>
      <c r="J390" s="195" t="s">
        <v>1079</v>
      </c>
      <c r="K390" s="196"/>
      <c r="L390" s="50">
        <v>1</v>
      </c>
      <c r="M390" s="197">
        <v>65.510000000000005</v>
      </c>
      <c r="N390" s="198"/>
      <c r="O390" s="64">
        <f>SUM(O391:O398)</f>
        <v>76.24238932694999</v>
      </c>
      <c r="P390" s="64">
        <f>SUM(P391:P398)</f>
        <v>62.203345527869693</v>
      </c>
      <c r="Q390" s="228"/>
      <c r="R390" s="179"/>
      <c r="T390" s="88">
        <v>5.05306435E-2</v>
      </c>
    </row>
    <row r="391" spans="1:20" ht="14.25" customHeight="1">
      <c r="A391" s="52" t="s">
        <v>1057</v>
      </c>
      <c r="B391" s="53">
        <v>88309</v>
      </c>
      <c r="C391" s="52" t="s">
        <v>1058</v>
      </c>
      <c r="D391" s="199" t="s">
        <v>1162</v>
      </c>
      <c r="E391" s="200"/>
      <c r="F391" s="52" t="s">
        <v>1158</v>
      </c>
      <c r="G391" s="201"/>
      <c r="H391" s="202"/>
      <c r="I391" s="203"/>
      <c r="J391" s="204" t="s">
        <v>1061</v>
      </c>
      <c r="K391" s="205"/>
      <c r="L391" s="55">
        <v>0.65</v>
      </c>
      <c r="M391" s="188">
        <v>26.9</v>
      </c>
      <c r="N391" s="189"/>
      <c r="O391" s="56">
        <f>M391-(M391*T391)</f>
        <v>25.540725689849999</v>
      </c>
      <c r="P391" s="57">
        <f t="shared" ref="P391:P394" si="61">O391*L391</f>
        <v>16.601471698402499</v>
      </c>
      <c r="Q391" s="228"/>
      <c r="R391" s="179"/>
      <c r="T391" s="88">
        <v>5.05306435E-2</v>
      </c>
    </row>
    <row r="392" spans="1:20" ht="15" customHeight="1">
      <c r="A392" s="52" t="s">
        <v>1057</v>
      </c>
      <c r="B392" s="53">
        <v>88316</v>
      </c>
      <c r="C392" s="52" t="s">
        <v>1058</v>
      </c>
      <c r="D392" s="199" t="s">
        <v>1059</v>
      </c>
      <c r="E392" s="200"/>
      <c r="F392" s="52" t="s">
        <v>1158</v>
      </c>
      <c r="G392" s="201"/>
      <c r="H392" s="202"/>
      <c r="I392" s="203"/>
      <c r="J392" s="204" t="s">
        <v>1061</v>
      </c>
      <c r="K392" s="205"/>
      <c r="L392" s="55">
        <v>1.1399999999999999</v>
      </c>
      <c r="M392" s="188">
        <v>21.32</v>
      </c>
      <c r="N392" s="189"/>
      <c r="O392" s="56">
        <f t="shared" ref="O392:O394" si="62">M392-(M392*T392)</f>
        <v>20.24268668058</v>
      </c>
      <c r="P392" s="57">
        <f t="shared" si="61"/>
        <v>23.076662815861198</v>
      </c>
      <c r="Q392" s="228"/>
      <c r="R392" s="179"/>
      <c r="T392" s="88">
        <v>5.05306435E-2</v>
      </c>
    </row>
    <row r="393" spans="1:20" ht="14.25" customHeight="1">
      <c r="A393" s="58" t="s">
        <v>1064</v>
      </c>
      <c r="B393" s="62">
        <v>9964</v>
      </c>
      <c r="C393" s="58" t="s">
        <v>1180</v>
      </c>
      <c r="D393" s="181" t="s">
        <v>1331</v>
      </c>
      <c r="E393" s="182"/>
      <c r="F393" s="58" t="s">
        <v>1068</v>
      </c>
      <c r="G393" s="183"/>
      <c r="H393" s="184"/>
      <c r="I393" s="185"/>
      <c r="J393" s="186" t="s">
        <v>1327</v>
      </c>
      <c r="K393" s="187"/>
      <c r="L393" s="60">
        <v>0.6</v>
      </c>
      <c r="M393" s="188">
        <v>20.89</v>
      </c>
      <c r="N393" s="189"/>
      <c r="O393" s="56">
        <f t="shared" si="62"/>
        <v>19.834414857285001</v>
      </c>
      <c r="P393" s="57">
        <f t="shared" si="61"/>
        <v>11.900648914371001</v>
      </c>
      <c r="Q393" s="228"/>
      <c r="R393" s="179"/>
      <c r="T393" s="88">
        <v>5.05306435E-2</v>
      </c>
    </row>
    <row r="394" spans="1:20" ht="14.85" customHeight="1">
      <c r="A394" s="58" t="s">
        <v>1064</v>
      </c>
      <c r="B394" s="62">
        <v>7119</v>
      </c>
      <c r="C394" s="58" t="s">
        <v>1180</v>
      </c>
      <c r="D394" s="181" t="s">
        <v>1332</v>
      </c>
      <c r="E394" s="182"/>
      <c r="F394" s="58" t="s">
        <v>1068</v>
      </c>
      <c r="G394" s="183"/>
      <c r="H394" s="184"/>
      <c r="I394" s="185"/>
      <c r="J394" s="186" t="s">
        <v>1079</v>
      </c>
      <c r="K394" s="187"/>
      <c r="L394" s="60">
        <v>1</v>
      </c>
      <c r="M394" s="188">
        <v>11.19</v>
      </c>
      <c r="N394" s="189"/>
      <c r="O394" s="56">
        <f t="shared" si="62"/>
        <v>10.624562099235</v>
      </c>
      <c r="P394" s="57">
        <f t="shared" si="61"/>
        <v>10.624562099235</v>
      </c>
      <c r="Q394" s="228"/>
      <c r="R394" s="179"/>
      <c r="T394" s="88">
        <v>5.05306435E-2</v>
      </c>
    </row>
    <row r="395" spans="1:20" ht="14.25" customHeight="1">
      <c r="A395" s="174" t="s">
        <v>1070</v>
      </c>
      <c r="B395" s="174"/>
      <c r="C395" s="174"/>
      <c r="D395" s="174"/>
      <c r="E395" s="174"/>
      <c r="F395" s="174"/>
      <c r="G395" s="174"/>
      <c r="H395" s="175" t="s">
        <v>1071</v>
      </c>
      <c r="I395" s="175"/>
      <c r="J395" s="175"/>
      <c r="K395" s="175"/>
      <c r="L395" s="176">
        <v>0</v>
      </c>
      <c r="M395" s="176"/>
      <c r="N395" s="177" t="s">
        <v>1072</v>
      </c>
      <c r="O395" s="177"/>
      <c r="P395" s="177"/>
      <c r="Q395" s="179"/>
      <c r="R395" s="179"/>
      <c r="T395" s="88">
        <v>5.05306435E-2</v>
      </c>
    </row>
    <row r="396" spans="1:20" ht="15.95" customHeight="1">
      <c r="A396" s="226" t="s">
        <v>1073</v>
      </c>
      <c r="B396" s="226"/>
      <c r="C396" s="226"/>
      <c r="D396" s="226"/>
      <c r="E396" s="226"/>
      <c r="F396" s="226"/>
      <c r="G396" s="226"/>
      <c r="H396" s="227"/>
      <c r="I396" s="227"/>
      <c r="J396" s="227"/>
      <c r="K396" s="227"/>
      <c r="L396" s="206" t="s">
        <v>1074</v>
      </c>
      <c r="M396" s="206"/>
      <c r="N396" s="227"/>
      <c r="O396" s="227"/>
      <c r="P396" s="227"/>
      <c r="Q396" s="179"/>
      <c r="R396" s="179"/>
      <c r="T396" s="88">
        <v>5.05306435E-2</v>
      </c>
    </row>
    <row r="397" spans="1:20" ht="14.25" customHeight="1">
      <c r="A397" s="207"/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179"/>
      <c r="R397" s="179"/>
      <c r="T397" s="88">
        <v>5.05306435E-2</v>
      </c>
    </row>
    <row r="398" spans="1:20" ht="15.75" customHeight="1">
      <c r="A398" s="43" t="s">
        <v>1333</v>
      </c>
      <c r="B398" s="44" t="s">
        <v>3</v>
      </c>
      <c r="C398" s="43" t="s">
        <v>4</v>
      </c>
      <c r="D398" s="208" t="s">
        <v>5</v>
      </c>
      <c r="E398" s="209"/>
      <c r="F398" s="43" t="s">
        <v>1049</v>
      </c>
      <c r="G398" s="210"/>
      <c r="H398" s="211"/>
      <c r="I398" s="212"/>
      <c r="J398" s="215" t="s">
        <v>6</v>
      </c>
      <c r="K398" s="217"/>
      <c r="L398" s="44" t="s">
        <v>7</v>
      </c>
      <c r="M398" s="213" t="s">
        <v>8</v>
      </c>
      <c r="N398" s="214"/>
      <c r="O398" s="66"/>
      <c r="P398" s="44" t="s">
        <v>11</v>
      </c>
      <c r="Q398" s="228"/>
      <c r="R398" s="179"/>
      <c r="T398" s="88">
        <v>5.05306435E-2</v>
      </c>
    </row>
    <row r="399" spans="1:20" ht="14.25" customHeight="1">
      <c r="A399" s="47" t="s">
        <v>1051</v>
      </c>
      <c r="B399" s="48" t="s">
        <v>1334</v>
      </c>
      <c r="C399" s="47" t="s">
        <v>1053</v>
      </c>
      <c r="D399" s="190" t="s">
        <v>1335</v>
      </c>
      <c r="E399" s="191"/>
      <c r="F399" s="47" t="s">
        <v>1158</v>
      </c>
      <c r="G399" s="192"/>
      <c r="H399" s="193"/>
      <c r="I399" s="194"/>
      <c r="J399" s="195" t="s">
        <v>1085</v>
      </c>
      <c r="K399" s="196"/>
      <c r="L399" s="50">
        <v>1</v>
      </c>
      <c r="M399" s="231">
        <v>576.22</v>
      </c>
      <c r="N399" s="232"/>
      <c r="O399" s="64">
        <f>SUM(O400:O407)</f>
        <v>485.16934647793505</v>
      </c>
      <c r="P399" s="64">
        <f>SUM(P400:P407)</f>
        <v>546.91428820048645</v>
      </c>
      <c r="Q399" s="228"/>
      <c r="R399" s="179"/>
      <c r="T399" s="88">
        <v>5.05306435E-2</v>
      </c>
    </row>
    <row r="400" spans="1:20" ht="15" customHeight="1">
      <c r="A400" s="52" t="s">
        <v>1057</v>
      </c>
      <c r="B400" s="53">
        <v>88267</v>
      </c>
      <c r="C400" s="52" t="s">
        <v>1058</v>
      </c>
      <c r="D400" s="199" t="s">
        <v>1133</v>
      </c>
      <c r="E400" s="200"/>
      <c r="F400" s="52" t="s">
        <v>1158</v>
      </c>
      <c r="G400" s="201"/>
      <c r="H400" s="202"/>
      <c r="I400" s="203"/>
      <c r="J400" s="204" t="s">
        <v>1061</v>
      </c>
      <c r="K400" s="205"/>
      <c r="L400" s="55">
        <v>2.1</v>
      </c>
      <c r="M400" s="188">
        <v>26.19</v>
      </c>
      <c r="N400" s="189"/>
      <c r="O400" s="56">
        <f>M400-(M400*T400)</f>
        <v>24.866602446735001</v>
      </c>
      <c r="P400" s="57">
        <f t="shared" ref="P400:P408" si="63">O400*L400</f>
        <v>52.219865138143504</v>
      </c>
      <c r="Q400" s="228"/>
      <c r="R400" s="179"/>
      <c r="T400" s="88">
        <v>5.05306435E-2</v>
      </c>
    </row>
    <row r="401" spans="1:20" ht="14.25" customHeight="1">
      <c r="A401" s="52" t="s">
        <v>1057</v>
      </c>
      <c r="B401" s="53">
        <v>88248</v>
      </c>
      <c r="C401" s="52" t="s">
        <v>1058</v>
      </c>
      <c r="D401" s="199" t="s">
        <v>1336</v>
      </c>
      <c r="E401" s="200"/>
      <c r="F401" s="52" t="s">
        <v>1158</v>
      </c>
      <c r="G401" s="201"/>
      <c r="H401" s="202"/>
      <c r="I401" s="203"/>
      <c r="J401" s="204" t="s">
        <v>1061</v>
      </c>
      <c r="K401" s="205"/>
      <c r="L401" s="55">
        <v>2.1</v>
      </c>
      <c r="M401" s="188">
        <v>21.62</v>
      </c>
      <c r="N401" s="189"/>
      <c r="O401" s="56">
        <f t="shared" ref="O401:O408" si="64">M401-(M401*T401)</f>
        <v>20.527527487530001</v>
      </c>
      <c r="P401" s="57">
        <f t="shared" si="63"/>
        <v>43.107807723813004</v>
      </c>
      <c r="Q401" s="228"/>
      <c r="R401" s="179"/>
      <c r="T401" s="88">
        <v>5.05306435E-2</v>
      </c>
    </row>
    <row r="402" spans="1:20" ht="15" customHeight="1">
      <c r="A402" s="58" t="s">
        <v>1064</v>
      </c>
      <c r="B402" s="62">
        <v>69506</v>
      </c>
      <c r="C402" s="58" t="s">
        <v>1337</v>
      </c>
      <c r="D402" s="181" t="s">
        <v>1338</v>
      </c>
      <c r="E402" s="182"/>
      <c r="F402" s="58" t="s">
        <v>1068</v>
      </c>
      <c r="G402" s="183"/>
      <c r="H402" s="184"/>
      <c r="I402" s="185"/>
      <c r="J402" s="186" t="s">
        <v>1085</v>
      </c>
      <c r="K402" s="187"/>
      <c r="L402" s="60">
        <v>1</v>
      </c>
      <c r="M402" s="188">
        <v>37.06</v>
      </c>
      <c r="N402" s="189"/>
      <c r="O402" s="56">
        <f t="shared" si="64"/>
        <v>35.187334351890001</v>
      </c>
      <c r="P402" s="57">
        <f t="shared" si="63"/>
        <v>35.187334351890001</v>
      </c>
      <c r="Q402" s="228"/>
      <c r="R402" s="179"/>
      <c r="T402" s="88">
        <v>5.05306435E-2</v>
      </c>
    </row>
    <row r="403" spans="1:20" ht="14.25" customHeight="1">
      <c r="A403" s="58" t="s">
        <v>1064</v>
      </c>
      <c r="B403" s="62">
        <v>36521</v>
      </c>
      <c r="C403" s="58" t="s">
        <v>1058</v>
      </c>
      <c r="D403" s="181" t="s">
        <v>1339</v>
      </c>
      <c r="E403" s="182"/>
      <c r="F403" s="58" t="s">
        <v>1068</v>
      </c>
      <c r="G403" s="183"/>
      <c r="H403" s="184"/>
      <c r="I403" s="185"/>
      <c r="J403" s="186" t="s">
        <v>1085</v>
      </c>
      <c r="K403" s="187"/>
      <c r="L403" s="60">
        <v>1</v>
      </c>
      <c r="M403" s="247">
        <v>166.19</v>
      </c>
      <c r="N403" s="248"/>
      <c r="O403" s="56">
        <f t="shared" si="64"/>
        <v>157.79231235673501</v>
      </c>
      <c r="P403" s="57">
        <f t="shared" si="63"/>
        <v>157.79231235673501</v>
      </c>
      <c r="Q403" s="228"/>
      <c r="R403" s="179"/>
      <c r="T403" s="88">
        <v>5.05306435E-2</v>
      </c>
    </row>
    <row r="404" spans="1:20" ht="15" customHeight="1">
      <c r="A404" s="58" t="s">
        <v>1064</v>
      </c>
      <c r="B404" s="62">
        <v>38643</v>
      </c>
      <c r="C404" s="58" t="s">
        <v>1058</v>
      </c>
      <c r="D404" s="181" t="s">
        <v>1340</v>
      </c>
      <c r="E404" s="182"/>
      <c r="F404" s="58" t="s">
        <v>1068</v>
      </c>
      <c r="G404" s="183"/>
      <c r="H404" s="184"/>
      <c r="I404" s="185"/>
      <c r="J404" s="186" t="s">
        <v>1085</v>
      </c>
      <c r="K404" s="187"/>
      <c r="L404" s="60">
        <v>1</v>
      </c>
      <c r="M404" s="188">
        <v>0</v>
      </c>
      <c r="N404" s="189"/>
      <c r="O404" s="56">
        <f t="shared" si="64"/>
        <v>0</v>
      </c>
      <c r="P404" s="57">
        <f t="shared" si="63"/>
        <v>0</v>
      </c>
      <c r="Q404" s="228"/>
      <c r="R404" s="179"/>
      <c r="T404" s="88">
        <v>5.05306435E-2</v>
      </c>
    </row>
    <row r="405" spans="1:20" ht="15" customHeight="1">
      <c r="A405" s="58" t="s">
        <v>1064</v>
      </c>
      <c r="B405" s="62">
        <v>6136</v>
      </c>
      <c r="C405" s="58" t="s">
        <v>1058</v>
      </c>
      <c r="D405" s="181" t="s">
        <v>1341</v>
      </c>
      <c r="E405" s="182"/>
      <c r="F405" s="58" t="s">
        <v>1068</v>
      </c>
      <c r="G405" s="183"/>
      <c r="H405" s="184"/>
      <c r="I405" s="185"/>
      <c r="J405" s="186" t="s">
        <v>1085</v>
      </c>
      <c r="K405" s="187"/>
      <c r="L405" s="60">
        <v>1</v>
      </c>
      <c r="M405" s="247">
        <v>247.49</v>
      </c>
      <c r="N405" s="248"/>
      <c r="O405" s="56">
        <f t="shared" si="64"/>
        <v>234.984171040185</v>
      </c>
      <c r="P405" s="57">
        <f t="shared" si="63"/>
        <v>234.984171040185</v>
      </c>
      <c r="Q405" s="228"/>
      <c r="R405" s="179"/>
      <c r="T405" s="88">
        <v>5.05306435E-2</v>
      </c>
    </row>
    <row r="406" spans="1:20" ht="14.25" customHeight="1">
      <c r="A406" s="58" t="s">
        <v>1064</v>
      </c>
      <c r="B406" s="62">
        <v>26550</v>
      </c>
      <c r="C406" s="58" t="s">
        <v>1337</v>
      </c>
      <c r="D406" s="181" t="s">
        <v>1342</v>
      </c>
      <c r="E406" s="182"/>
      <c r="F406" s="58" t="s">
        <v>1068</v>
      </c>
      <c r="G406" s="183"/>
      <c r="H406" s="184"/>
      <c r="I406" s="185"/>
      <c r="J406" s="186" t="s">
        <v>1085</v>
      </c>
      <c r="K406" s="187"/>
      <c r="L406" s="60">
        <v>2</v>
      </c>
      <c r="M406" s="188">
        <v>12.23</v>
      </c>
      <c r="N406" s="189"/>
      <c r="O406" s="56">
        <f t="shared" si="64"/>
        <v>11.612010229995001</v>
      </c>
      <c r="P406" s="57">
        <f t="shared" si="63"/>
        <v>23.224020459990001</v>
      </c>
      <c r="Q406" s="228"/>
      <c r="R406" s="179"/>
      <c r="T406" s="88">
        <v>5.05306435E-2</v>
      </c>
    </row>
    <row r="407" spans="1:20" ht="15" customHeight="1">
      <c r="A407" s="58" t="s">
        <v>1064</v>
      </c>
      <c r="B407" s="62">
        <v>4376</v>
      </c>
      <c r="C407" s="58" t="s">
        <v>1058</v>
      </c>
      <c r="D407" s="181" t="s">
        <v>1343</v>
      </c>
      <c r="E407" s="182"/>
      <c r="F407" s="58" t="s">
        <v>1068</v>
      </c>
      <c r="G407" s="183"/>
      <c r="H407" s="184"/>
      <c r="I407" s="185"/>
      <c r="J407" s="186" t="s">
        <v>1085</v>
      </c>
      <c r="K407" s="187"/>
      <c r="L407" s="60">
        <v>2</v>
      </c>
      <c r="M407" s="188">
        <v>0.21</v>
      </c>
      <c r="N407" s="189"/>
      <c r="O407" s="56">
        <f t="shared" si="64"/>
        <v>0.19938856486500001</v>
      </c>
      <c r="P407" s="57">
        <f t="shared" si="63"/>
        <v>0.39877712973000001</v>
      </c>
      <c r="Q407" s="228"/>
      <c r="R407" s="179"/>
      <c r="T407" s="88">
        <v>5.05306435E-2</v>
      </c>
    </row>
    <row r="408" spans="1:20" ht="14.45" customHeight="1">
      <c r="A408" s="58" t="s">
        <v>1064</v>
      </c>
      <c r="B408" s="62">
        <v>69512</v>
      </c>
      <c r="C408" s="58" t="s">
        <v>1337</v>
      </c>
      <c r="D408" s="181" t="s">
        <v>1344</v>
      </c>
      <c r="E408" s="182"/>
      <c r="F408" s="58" t="s">
        <v>1068</v>
      </c>
      <c r="G408" s="183"/>
      <c r="H408" s="184"/>
      <c r="I408" s="185"/>
      <c r="J408" s="186" t="s">
        <v>1107</v>
      </c>
      <c r="K408" s="187"/>
      <c r="L408" s="60">
        <v>0.84</v>
      </c>
      <c r="M408" s="188">
        <v>0.24</v>
      </c>
      <c r="N408" s="189"/>
      <c r="O408" s="56">
        <f t="shared" si="64"/>
        <v>0.22787264556</v>
      </c>
      <c r="P408" s="57">
        <f t="shared" si="63"/>
        <v>0.1914130222704</v>
      </c>
      <c r="Q408" s="228"/>
      <c r="R408" s="179"/>
      <c r="T408" s="88">
        <v>5.05306435E-2</v>
      </c>
    </row>
    <row r="409" spans="1:20" ht="14.25" customHeight="1">
      <c r="A409" s="174" t="s">
        <v>1070</v>
      </c>
      <c r="B409" s="174"/>
      <c r="C409" s="174"/>
      <c r="D409" s="174"/>
      <c r="E409" s="174"/>
      <c r="F409" s="174"/>
      <c r="G409" s="174"/>
      <c r="H409" s="175" t="s">
        <v>1071</v>
      </c>
      <c r="I409" s="175"/>
      <c r="J409" s="175"/>
      <c r="K409" s="175"/>
      <c r="L409" s="176">
        <v>0</v>
      </c>
      <c r="M409" s="176"/>
      <c r="N409" s="177" t="s">
        <v>1072</v>
      </c>
      <c r="O409" s="177"/>
      <c r="P409" s="177"/>
      <c r="Q409" s="179"/>
      <c r="R409" s="179"/>
      <c r="T409" s="88">
        <v>5.05306435E-2</v>
      </c>
    </row>
    <row r="410" spans="1:20" ht="15" customHeight="1">
      <c r="A410" s="226" t="s">
        <v>1073</v>
      </c>
      <c r="B410" s="226"/>
      <c r="C410" s="226"/>
      <c r="D410" s="226"/>
      <c r="E410" s="226"/>
      <c r="F410" s="226"/>
      <c r="G410" s="226"/>
      <c r="H410" s="227"/>
      <c r="I410" s="227"/>
      <c r="J410" s="227"/>
      <c r="K410" s="227"/>
      <c r="L410" s="206" t="s">
        <v>1074</v>
      </c>
      <c r="M410" s="206"/>
      <c r="N410" s="227"/>
      <c r="O410" s="227"/>
      <c r="P410" s="227"/>
      <c r="Q410" s="179"/>
      <c r="R410" s="179"/>
      <c r="T410" s="88">
        <v>5.05306435E-2</v>
      </c>
    </row>
    <row r="411" spans="1:20" ht="15" customHeight="1">
      <c r="A411" s="207"/>
      <c r="B411" s="207"/>
      <c r="C411" s="207"/>
      <c r="D411" s="207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179"/>
      <c r="R411" s="179"/>
      <c r="T411" s="88">
        <v>5.05306435E-2</v>
      </c>
    </row>
    <row r="412" spans="1:20" ht="15.75" customHeight="1">
      <c r="A412" s="43" t="s">
        <v>1345</v>
      </c>
      <c r="B412" s="44" t="s">
        <v>3</v>
      </c>
      <c r="C412" s="43" t="s">
        <v>4</v>
      </c>
      <c r="D412" s="208" t="s">
        <v>5</v>
      </c>
      <c r="E412" s="209"/>
      <c r="F412" s="43" t="s">
        <v>1049</v>
      </c>
      <c r="G412" s="210"/>
      <c r="H412" s="211"/>
      <c r="I412" s="212"/>
      <c r="J412" s="215" t="s">
        <v>6</v>
      </c>
      <c r="K412" s="217"/>
      <c r="L412" s="44" t="s">
        <v>7</v>
      </c>
      <c r="M412" s="213" t="s">
        <v>8</v>
      </c>
      <c r="N412" s="214"/>
      <c r="O412" s="66"/>
      <c r="P412" s="44" t="s">
        <v>11</v>
      </c>
      <c r="Q412" s="228"/>
      <c r="R412" s="179"/>
      <c r="T412" s="88">
        <v>5.05306435E-2</v>
      </c>
    </row>
    <row r="413" spans="1:20" ht="15" customHeight="1">
      <c r="A413" s="47" t="s">
        <v>1051</v>
      </c>
      <c r="B413" s="48" t="s">
        <v>1346</v>
      </c>
      <c r="C413" s="47" t="s">
        <v>1053</v>
      </c>
      <c r="D413" s="190" t="s">
        <v>1347</v>
      </c>
      <c r="E413" s="191"/>
      <c r="F413" s="47" t="s">
        <v>1158</v>
      </c>
      <c r="G413" s="192"/>
      <c r="H413" s="193"/>
      <c r="I413" s="194"/>
      <c r="J413" s="195" t="s">
        <v>1079</v>
      </c>
      <c r="K413" s="196"/>
      <c r="L413" s="50">
        <v>1</v>
      </c>
      <c r="M413" s="236">
        <v>1561.64</v>
      </c>
      <c r="N413" s="237"/>
      <c r="O413" s="64">
        <f>M413-(M413*T413)</f>
        <v>1482.7293258846601</v>
      </c>
      <c r="P413" s="64">
        <f>SUM(P414:P421)</f>
        <v>1435.1727794909664</v>
      </c>
      <c r="Q413" s="228"/>
      <c r="R413" s="179"/>
      <c r="T413" s="88">
        <v>5.05306435E-2</v>
      </c>
    </row>
    <row r="414" spans="1:20" ht="14.25" customHeight="1">
      <c r="A414" s="52" t="s">
        <v>1057</v>
      </c>
      <c r="B414" s="53">
        <v>88238</v>
      </c>
      <c r="C414" s="52" t="s">
        <v>1058</v>
      </c>
      <c r="D414" s="199" t="s">
        <v>1348</v>
      </c>
      <c r="E414" s="200"/>
      <c r="F414" s="52" t="s">
        <v>1158</v>
      </c>
      <c r="G414" s="201"/>
      <c r="H414" s="202"/>
      <c r="I414" s="203"/>
      <c r="J414" s="204" t="s">
        <v>1061</v>
      </c>
      <c r="K414" s="205"/>
      <c r="L414" s="55">
        <v>0.1</v>
      </c>
      <c r="M414" s="188">
        <v>22.17</v>
      </c>
      <c r="N414" s="189"/>
      <c r="O414" s="56">
        <f>M414-(M414*T414)</f>
        <v>21.049735633605003</v>
      </c>
      <c r="P414" s="57">
        <f t="shared" ref="P414:P426" si="65">O414*L414</f>
        <v>2.1049735633605002</v>
      </c>
      <c r="Q414" s="228"/>
      <c r="R414" s="179"/>
      <c r="T414" s="88">
        <v>5.05306435E-2</v>
      </c>
    </row>
    <row r="415" spans="1:20" ht="15" customHeight="1">
      <c r="A415" s="52" t="s">
        <v>1057</v>
      </c>
      <c r="B415" s="53">
        <v>88262</v>
      </c>
      <c r="C415" s="52" t="s">
        <v>1058</v>
      </c>
      <c r="D415" s="199" t="s">
        <v>1105</v>
      </c>
      <c r="E415" s="200"/>
      <c r="F415" s="52" t="s">
        <v>1158</v>
      </c>
      <c r="G415" s="201"/>
      <c r="H415" s="202"/>
      <c r="I415" s="203"/>
      <c r="J415" s="204" t="s">
        <v>1061</v>
      </c>
      <c r="K415" s="205"/>
      <c r="L415" s="55">
        <v>1.5</v>
      </c>
      <c r="M415" s="188">
        <v>26.48</v>
      </c>
      <c r="N415" s="189"/>
      <c r="O415" s="56">
        <f t="shared" ref="O415:O426" si="66">M415-(M415*T415)</f>
        <v>25.141948560119999</v>
      </c>
      <c r="P415" s="57">
        <f t="shared" si="65"/>
        <v>37.712922840179999</v>
      </c>
      <c r="Q415" s="228"/>
      <c r="R415" s="179"/>
      <c r="T415" s="88">
        <v>5.05306435E-2</v>
      </c>
    </row>
    <row r="416" spans="1:20" ht="14.25" customHeight="1">
      <c r="A416" s="52" t="s">
        <v>1057</v>
      </c>
      <c r="B416" s="53">
        <v>88239</v>
      </c>
      <c r="C416" s="52" t="s">
        <v>1058</v>
      </c>
      <c r="D416" s="199" t="s">
        <v>1104</v>
      </c>
      <c r="E416" s="200"/>
      <c r="F416" s="52" t="s">
        <v>1158</v>
      </c>
      <c r="G416" s="201"/>
      <c r="H416" s="202"/>
      <c r="I416" s="203"/>
      <c r="J416" s="204" t="s">
        <v>1061</v>
      </c>
      <c r="K416" s="205"/>
      <c r="L416" s="55">
        <v>1.5</v>
      </c>
      <c r="M416" s="188">
        <v>22</v>
      </c>
      <c r="N416" s="189"/>
      <c r="O416" s="56">
        <f t="shared" si="66"/>
        <v>20.888325843000001</v>
      </c>
      <c r="P416" s="57">
        <f t="shared" si="65"/>
        <v>31.332488764499999</v>
      </c>
      <c r="Q416" s="228"/>
      <c r="R416" s="179"/>
      <c r="T416" s="88">
        <v>5.05306435E-2</v>
      </c>
    </row>
    <row r="417" spans="1:20" ht="15" customHeight="1">
      <c r="A417" s="52" t="s">
        <v>1057</v>
      </c>
      <c r="B417" s="53">
        <v>88309</v>
      </c>
      <c r="C417" s="52" t="s">
        <v>1058</v>
      </c>
      <c r="D417" s="199" t="s">
        <v>1162</v>
      </c>
      <c r="E417" s="200"/>
      <c r="F417" s="52" t="s">
        <v>1158</v>
      </c>
      <c r="G417" s="201"/>
      <c r="H417" s="202"/>
      <c r="I417" s="203"/>
      <c r="J417" s="204" t="s">
        <v>1061</v>
      </c>
      <c r="K417" s="205"/>
      <c r="L417" s="55">
        <v>2</v>
      </c>
      <c r="M417" s="188">
        <v>26.9</v>
      </c>
      <c r="N417" s="189"/>
      <c r="O417" s="56">
        <f t="shared" si="66"/>
        <v>25.540725689849999</v>
      </c>
      <c r="P417" s="57">
        <f t="shared" si="65"/>
        <v>51.081451379699999</v>
      </c>
      <c r="Q417" s="228"/>
      <c r="R417" s="179"/>
      <c r="T417" s="88">
        <v>5.05306435E-2</v>
      </c>
    </row>
    <row r="418" spans="1:20" ht="14.25" customHeight="1">
      <c r="A418" s="52" t="s">
        <v>1057</v>
      </c>
      <c r="B418" s="53">
        <v>88245</v>
      </c>
      <c r="C418" s="52" t="s">
        <v>1058</v>
      </c>
      <c r="D418" s="199" t="s">
        <v>1179</v>
      </c>
      <c r="E418" s="200"/>
      <c r="F418" s="52" t="s">
        <v>1158</v>
      </c>
      <c r="G418" s="201"/>
      <c r="H418" s="202"/>
      <c r="I418" s="203"/>
      <c r="J418" s="204" t="s">
        <v>1061</v>
      </c>
      <c r="K418" s="205"/>
      <c r="L418" s="55">
        <v>0.1</v>
      </c>
      <c r="M418" s="188">
        <v>26.7</v>
      </c>
      <c r="N418" s="189"/>
      <c r="O418" s="56">
        <f t="shared" si="66"/>
        <v>25.350831818549999</v>
      </c>
      <c r="P418" s="57">
        <f t="shared" si="65"/>
        <v>2.5350831818550001</v>
      </c>
      <c r="Q418" s="228"/>
      <c r="R418" s="179"/>
      <c r="T418" s="88">
        <v>5.05306435E-2</v>
      </c>
    </row>
    <row r="419" spans="1:20" ht="15" customHeight="1">
      <c r="A419" s="52" t="s">
        <v>1057</v>
      </c>
      <c r="B419" s="53">
        <v>88316</v>
      </c>
      <c r="C419" s="52" t="s">
        <v>1058</v>
      </c>
      <c r="D419" s="199" t="s">
        <v>1059</v>
      </c>
      <c r="E419" s="200"/>
      <c r="F419" s="52" t="s">
        <v>1158</v>
      </c>
      <c r="G419" s="201"/>
      <c r="H419" s="202"/>
      <c r="I419" s="203"/>
      <c r="J419" s="204" t="s">
        <v>1061</v>
      </c>
      <c r="K419" s="205"/>
      <c r="L419" s="55">
        <v>3</v>
      </c>
      <c r="M419" s="188">
        <v>21.32</v>
      </c>
      <c r="N419" s="189"/>
      <c r="O419" s="56">
        <f t="shared" si="66"/>
        <v>20.24268668058</v>
      </c>
      <c r="P419" s="57">
        <f t="shared" si="65"/>
        <v>60.728060041740001</v>
      </c>
      <c r="Q419" s="228"/>
      <c r="R419" s="179"/>
      <c r="T419" s="88">
        <v>5.05306435E-2</v>
      </c>
    </row>
    <row r="420" spans="1:20" ht="14.25" customHeight="1">
      <c r="A420" s="58" t="s">
        <v>1064</v>
      </c>
      <c r="B420" s="62">
        <v>43681</v>
      </c>
      <c r="C420" s="58" t="s">
        <v>1058</v>
      </c>
      <c r="D420" s="181" t="s">
        <v>1349</v>
      </c>
      <c r="E420" s="182"/>
      <c r="F420" s="58" t="s">
        <v>1068</v>
      </c>
      <c r="G420" s="183"/>
      <c r="H420" s="184"/>
      <c r="I420" s="185"/>
      <c r="J420" s="186" t="s">
        <v>1079</v>
      </c>
      <c r="K420" s="187"/>
      <c r="L420" s="60">
        <v>0.33</v>
      </c>
      <c r="M420" s="188">
        <v>17.350000000000001</v>
      </c>
      <c r="N420" s="189"/>
      <c r="O420" s="56">
        <f t="shared" si="66"/>
        <v>16.473293335275002</v>
      </c>
      <c r="P420" s="57">
        <f t="shared" si="65"/>
        <v>5.4361868006407512</v>
      </c>
      <c r="Q420" s="228"/>
      <c r="R420" s="179"/>
      <c r="T420" s="88">
        <v>5.05306435E-2</v>
      </c>
    </row>
    <row r="421" spans="1:20" ht="15" customHeight="1">
      <c r="A421" s="58" t="s">
        <v>1064</v>
      </c>
      <c r="B421" s="59" t="s">
        <v>1350</v>
      </c>
      <c r="C421" s="58" t="s">
        <v>1066</v>
      </c>
      <c r="D421" s="181" t="s">
        <v>1351</v>
      </c>
      <c r="E421" s="182"/>
      <c r="F421" s="58" t="s">
        <v>1068</v>
      </c>
      <c r="G421" s="183"/>
      <c r="H421" s="184"/>
      <c r="I421" s="185"/>
      <c r="J421" s="186" t="s">
        <v>1079</v>
      </c>
      <c r="K421" s="187"/>
      <c r="L421" s="60">
        <v>1</v>
      </c>
      <c r="M421" s="252">
        <v>1310.46</v>
      </c>
      <c r="N421" s="253"/>
      <c r="O421" s="56">
        <f t="shared" si="66"/>
        <v>1244.2416129189901</v>
      </c>
      <c r="P421" s="57">
        <f t="shared" si="65"/>
        <v>1244.2416129189901</v>
      </c>
      <c r="Q421" s="228"/>
      <c r="R421" s="179"/>
      <c r="T421" s="88">
        <v>5.05306435E-2</v>
      </c>
    </row>
    <row r="422" spans="1:20" ht="15" customHeight="1">
      <c r="A422" s="58" t="s">
        <v>1064</v>
      </c>
      <c r="B422" s="59" t="s">
        <v>1352</v>
      </c>
      <c r="C422" s="58" t="s">
        <v>1066</v>
      </c>
      <c r="D422" s="181" t="s">
        <v>1353</v>
      </c>
      <c r="E422" s="182"/>
      <c r="F422" s="58" t="s">
        <v>1068</v>
      </c>
      <c r="G422" s="183"/>
      <c r="H422" s="184"/>
      <c r="I422" s="185"/>
      <c r="J422" s="186" t="s">
        <v>1121</v>
      </c>
      <c r="K422" s="187"/>
      <c r="L422" s="60">
        <v>0.05</v>
      </c>
      <c r="M422" s="247">
        <v>443.94</v>
      </c>
      <c r="N422" s="248"/>
      <c r="O422" s="56">
        <f t="shared" si="66"/>
        <v>421.50742612460999</v>
      </c>
      <c r="P422" s="57">
        <f t="shared" si="65"/>
        <v>21.075371306230501</v>
      </c>
      <c r="Q422" s="228"/>
      <c r="R422" s="179"/>
      <c r="T422" s="88">
        <v>5.05306435E-2</v>
      </c>
    </row>
    <row r="423" spans="1:20" ht="14.25" customHeight="1">
      <c r="A423" s="58" t="s">
        <v>1064</v>
      </c>
      <c r="B423" s="62">
        <v>4415</v>
      </c>
      <c r="C423" s="58" t="s">
        <v>1058</v>
      </c>
      <c r="D423" s="181" t="s">
        <v>1354</v>
      </c>
      <c r="E423" s="182"/>
      <c r="F423" s="58" t="s">
        <v>1068</v>
      </c>
      <c r="G423" s="183"/>
      <c r="H423" s="184"/>
      <c r="I423" s="185"/>
      <c r="J423" s="186" t="s">
        <v>1107</v>
      </c>
      <c r="K423" s="187"/>
      <c r="L423" s="60">
        <v>5</v>
      </c>
      <c r="M423" s="188">
        <v>4.3099999999999996</v>
      </c>
      <c r="N423" s="189"/>
      <c r="O423" s="56">
        <f t="shared" si="66"/>
        <v>4.0922129265149998</v>
      </c>
      <c r="P423" s="57">
        <f t="shared" si="65"/>
        <v>20.461064632574999</v>
      </c>
      <c r="Q423" s="228"/>
      <c r="R423" s="179"/>
      <c r="T423" s="88">
        <v>5.05306435E-2</v>
      </c>
    </row>
    <row r="424" spans="1:20" ht="15" customHeight="1">
      <c r="A424" s="58" t="s">
        <v>1064</v>
      </c>
      <c r="B424" s="62">
        <v>39397</v>
      </c>
      <c r="C424" s="58" t="s">
        <v>1058</v>
      </c>
      <c r="D424" s="181" t="s">
        <v>1355</v>
      </c>
      <c r="E424" s="182"/>
      <c r="F424" s="58" t="s">
        <v>1068</v>
      </c>
      <c r="G424" s="183"/>
      <c r="H424" s="184"/>
      <c r="I424" s="185"/>
      <c r="J424" s="186" t="s">
        <v>1356</v>
      </c>
      <c r="K424" s="187"/>
      <c r="L424" s="60">
        <v>0.1</v>
      </c>
      <c r="M424" s="188">
        <v>21.41</v>
      </c>
      <c r="N424" s="189"/>
      <c r="O424" s="56">
        <f t="shared" si="66"/>
        <v>20.328138922665001</v>
      </c>
      <c r="P424" s="57">
        <f t="shared" si="65"/>
        <v>2.0328138922665002</v>
      </c>
      <c r="Q424" s="228"/>
      <c r="R424" s="179"/>
      <c r="T424" s="88">
        <v>5.05306435E-2</v>
      </c>
    </row>
    <row r="425" spans="1:20" ht="14.25" customHeight="1">
      <c r="A425" s="58" t="s">
        <v>1064</v>
      </c>
      <c r="B425" s="62">
        <v>5061</v>
      </c>
      <c r="C425" s="58" t="s">
        <v>1058</v>
      </c>
      <c r="D425" s="181" t="s">
        <v>1357</v>
      </c>
      <c r="E425" s="182"/>
      <c r="F425" s="58" t="s">
        <v>1068</v>
      </c>
      <c r="G425" s="183"/>
      <c r="H425" s="184"/>
      <c r="I425" s="185"/>
      <c r="J425" s="186" t="s">
        <v>1109</v>
      </c>
      <c r="K425" s="187"/>
      <c r="L425" s="60">
        <v>0.2</v>
      </c>
      <c r="M425" s="188">
        <v>21</v>
      </c>
      <c r="N425" s="189"/>
      <c r="O425" s="56">
        <f t="shared" si="66"/>
        <v>19.938856486500001</v>
      </c>
      <c r="P425" s="57">
        <f t="shared" si="65"/>
        <v>3.9877712973000001</v>
      </c>
      <c r="Q425" s="228"/>
      <c r="R425" s="179"/>
      <c r="T425" s="88">
        <v>5.05306435E-2</v>
      </c>
    </row>
    <row r="426" spans="1:20" ht="15" customHeight="1">
      <c r="A426" s="58" t="s">
        <v>1064</v>
      </c>
      <c r="B426" s="62">
        <v>10917</v>
      </c>
      <c r="C426" s="58" t="s">
        <v>1058</v>
      </c>
      <c r="D426" s="181" t="s">
        <v>1358</v>
      </c>
      <c r="E426" s="182"/>
      <c r="F426" s="58" t="s">
        <v>1068</v>
      </c>
      <c r="G426" s="183"/>
      <c r="H426" s="184"/>
      <c r="I426" s="185"/>
      <c r="J426" s="186" t="s">
        <v>1115</v>
      </c>
      <c r="K426" s="187"/>
      <c r="L426" s="60">
        <v>1.05</v>
      </c>
      <c r="M426" s="188">
        <v>0</v>
      </c>
      <c r="N426" s="189"/>
      <c r="O426" s="56">
        <f t="shared" si="66"/>
        <v>0</v>
      </c>
      <c r="P426" s="57">
        <f t="shared" si="65"/>
        <v>0</v>
      </c>
      <c r="Q426" s="228"/>
      <c r="R426" s="179"/>
      <c r="T426" s="88">
        <v>5.05306435E-2</v>
      </c>
    </row>
    <row r="427" spans="1:20" ht="14.25" customHeight="1">
      <c r="A427" s="174" t="s">
        <v>1070</v>
      </c>
      <c r="B427" s="174"/>
      <c r="C427" s="174"/>
      <c r="D427" s="174"/>
      <c r="E427" s="174"/>
      <c r="F427" s="174"/>
      <c r="G427" s="174"/>
      <c r="H427" s="175" t="s">
        <v>1071</v>
      </c>
      <c r="I427" s="175"/>
      <c r="J427" s="175"/>
      <c r="K427" s="175"/>
      <c r="L427" s="176">
        <v>0</v>
      </c>
      <c r="M427" s="176"/>
      <c r="N427" s="177" t="s">
        <v>1072</v>
      </c>
      <c r="O427" s="177"/>
      <c r="P427" s="177"/>
      <c r="Q427" s="179"/>
      <c r="R427" s="179"/>
      <c r="T427" s="88">
        <v>5.05306435E-2</v>
      </c>
    </row>
    <row r="428" spans="1:20" ht="17.45" customHeight="1">
      <c r="A428" s="178" t="s">
        <v>1073</v>
      </c>
      <c r="B428" s="178"/>
      <c r="C428" s="178"/>
      <c r="D428" s="178"/>
      <c r="E428" s="178"/>
      <c r="F428" s="178"/>
      <c r="G428" s="178"/>
      <c r="H428" s="179"/>
      <c r="I428" s="179"/>
      <c r="J428" s="179"/>
      <c r="K428" s="179"/>
      <c r="L428" s="180" t="s">
        <v>1074</v>
      </c>
      <c r="M428" s="180"/>
      <c r="N428" s="179"/>
      <c r="O428" s="179"/>
      <c r="P428" s="179"/>
      <c r="Q428" s="179"/>
      <c r="R428" s="179"/>
      <c r="T428" s="88">
        <v>5.05306435E-2</v>
      </c>
    </row>
    <row r="429" spans="1:20" ht="28.5" customHeight="1">
      <c r="A429" s="233" t="s">
        <v>1359</v>
      </c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T429" s="88">
        <v>5.05306435E-2</v>
      </c>
    </row>
    <row r="430" spans="1:20" ht="14.25" customHeight="1">
      <c r="A430" s="207"/>
      <c r="B430" s="207"/>
      <c r="C430" s="207"/>
      <c r="D430" s="207"/>
      <c r="E430" s="207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179"/>
      <c r="R430" s="179"/>
      <c r="T430" s="88">
        <v>5.05306435E-2</v>
      </c>
    </row>
    <row r="431" spans="1:20" ht="15.75" customHeight="1">
      <c r="A431" s="43" t="s">
        <v>1360</v>
      </c>
      <c r="B431" s="44" t="s">
        <v>3</v>
      </c>
      <c r="C431" s="43" t="s">
        <v>4</v>
      </c>
      <c r="D431" s="208" t="s">
        <v>5</v>
      </c>
      <c r="E431" s="209"/>
      <c r="F431" s="43" t="s">
        <v>1049</v>
      </c>
      <c r="G431" s="210"/>
      <c r="H431" s="211"/>
      <c r="I431" s="212"/>
      <c r="J431" s="215" t="s">
        <v>6</v>
      </c>
      <c r="K431" s="217"/>
      <c r="L431" s="44" t="s">
        <v>7</v>
      </c>
      <c r="M431" s="213" t="s">
        <v>8</v>
      </c>
      <c r="N431" s="214"/>
      <c r="O431" s="66"/>
      <c r="P431" s="44" t="s">
        <v>11</v>
      </c>
      <c r="Q431" s="228"/>
      <c r="R431" s="179"/>
      <c r="T431" s="88">
        <v>5.05306435E-2</v>
      </c>
    </row>
    <row r="432" spans="1:20" ht="14.25" customHeight="1">
      <c r="A432" s="47" t="s">
        <v>1051</v>
      </c>
      <c r="B432" s="48" t="s">
        <v>1361</v>
      </c>
      <c r="C432" s="47" t="s">
        <v>1053</v>
      </c>
      <c r="D432" s="190" t="s">
        <v>1362</v>
      </c>
      <c r="E432" s="191"/>
      <c r="F432" s="47" t="s">
        <v>1158</v>
      </c>
      <c r="G432" s="192"/>
      <c r="H432" s="193"/>
      <c r="I432" s="194"/>
      <c r="J432" s="195" t="s">
        <v>1085</v>
      </c>
      <c r="K432" s="196"/>
      <c r="L432" s="50">
        <v>1</v>
      </c>
      <c r="M432" s="236">
        <v>2467.96</v>
      </c>
      <c r="N432" s="237"/>
      <c r="O432" s="64">
        <f>M432-(M432*T432)</f>
        <v>2343.2523930677398</v>
      </c>
      <c r="P432" s="64">
        <f>SUM(P433:P435)</f>
        <v>2343.2542920064534</v>
      </c>
      <c r="Q432" s="228"/>
      <c r="R432" s="179"/>
      <c r="T432" s="88">
        <v>5.05306435E-2</v>
      </c>
    </row>
    <row r="433" spans="1:20" ht="15" customHeight="1">
      <c r="A433" s="52" t="s">
        <v>1057</v>
      </c>
      <c r="B433" s="53">
        <v>88267</v>
      </c>
      <c r="C433" s="52" t="s">
        <v>1058</v>
      </c>
      <c r="D433" s="199" t="s">
        <v>1133</v>
      </c>
      <c r="E433" s="200"/>
      <c r="F433" s="52" t="s">
        <v>1158</v>
      </c>
      <c r="G433" s="201"/>
      <c r="H433" s="202"/>
      <c r="I433" s="203"/>
      <c r="J433" s="204" t="s">
        <v>1061</v>
      </c>
      <c r="K433" s="205"/>
      <c r="L433" s="55">
        <v>0.2</v>
      </c>
      <c r="M433" s="188">
        <v>26.19</v>
      </c>
      <c r="N433" s="189"/>
      <c r="O433" s="56">
        <f>M433-(M433*T433)</f>
        <v>24.866602446735001</v>
      </c>
      <c r="P433" s="57">
        <f t="shared" ref="P433:P435" si="67">O433*L433</f>
        <v>4.9733204893470004</v>
      </c>
      <c r="Q433" s="228"/>
      <c r="R433" s="179"/>
      <c r="T433" s="88">
        <v>5.05306435E-2</v>
      </c>
    </row>
    <row r="434" spans="1:20" ht="14.25" customHeight="1">
      <c r="A434" s="52" t="s">
        <v>1057</v>
      </c>
      <c r="B434" s="53">
        <v>88248</v>
      </c>
      <c r="C434" s="52" t="s">
        <v>1058</v>
      </c>
      <c r="D434" s="199" t="s">
        <v>1336</v>
      </c>
      <c r="E434" s="200"/>
      <c r="F434" s="52" t="s">
        <v>1158</v>
      </c>
      <c r="G434" s="201"/>
      <c r="H434" s="202"/>
      <c r="I434" s="203"/>
      <c r="J434" s="204" t="s">
        <v>1061</v>
      </c>
      <c r="K434" s="205"/>
      <c r="L434" s="55">
        <v>0.2</v>
      </c>
      <c r="M434" s="188">
        <v>21.62</v>
      </c>
      <c r="N434" s="189"/>
      <c r="O434" s="56">
        <f t="shared" ref="O434:O435" si="68">M434-(M434*T434)</f>
        <v>20.527527487530001</v>
      </c>
      <c r="P434" s="57">
        <f t="shared" si="67"/>
        <v>4.1055054975060008</v>
      </c>
      <c r="Q434" s="228"/>
      <c r="R434" s="179"/>
      <c r="T434" s="88">
        <v>5.05306435E-2</v>
      </c>
    </row>
    <row r="435" spans="1:20" ht="15" customHeight="1">
      <c r="A435" s="58" t="s">
        <v>1064</v>
      </c>
      <c r="B435" s="62">
        <v>13989</v>
      </c>
      <c r="C435" s="58" t="s">
        <v>1180</v>
      </c>
      <c r="D435" s="181" t="s">
        <v>1363</v>
      </c>
      <c r="E435" s="182"/>
      <c r="F435" s="58" t="s">
        <v>1068</v>
      </c>
      <c r="G435" s="183"/>
      <c r="H435" s="184"/>
      <c r="I435" s="185"/>
      <c r="J435" s="186" t="s">
        <v>1187</v>
      </c>
      <c r="K435" s="187"/>
      <c r="L435" s="60">
        <v>1</v>
      </c>
      <c r="M435" s="252">
        <v>2458.4</v>
      </c>
      <c r="N435" s="253"/>
      <c r="O435" s="56">
        <f t="shared" si="68"/>
        <v>2334.1754660196002</v>
      </c>
      <c r="P435" s="57">
        <f t="shared" si="67"/>
        <v>2334.1754660196002</v>
      </c>
      <c r="Q435" s="228"/>
      <c r="R435" s="179"/>
      <c r="T435" s="88">
        <v>5.05306435E-2</v>
      </c>
    </row>
    <row r="436" spans="1:20" ht="14.25" customHeight="1">
      <c r="A436" s="174" t="s">
        <v>1070</v>
      </c>
      <c r="B436" s="174"/>
      <c r="C436" s="174"/>
      <c r="D436" s="174"/>
      <c r="E436" s="174"/>
      <c r="F436" s="174"/>
      <c r="G436" s="174"/>
      <c r="H436" s="175" t="s">
        <v>1071</v>
      </c>
      <c r="I436" s="175"/>
      <c r="J436" s="175"/>
      <c r="K436" s="175"/>
      <c r="L436" s="176">
        <v>0</v>
      </c>
      <c r="M436" s="176"/>
      <c r="N436" s="177" t="s">
        <v>1072</v>
      </c>
      <c r="O436" s="177"/>
      <c r="P436" s="177"/>
      <c r="Q436" s="179"/>
      <c r="R436" s="179"/>
      <c r="T436" s="88">
        <v>5.05306435E-2</v>
      </c>
    </row>
    <row r="437" spans="1:20" ht="15" customHeight="1">
      <c r="A437" s="226" t="s">
        <v>1073</v>
      </c>
      <c r="B437" s="226"/>
      <c r="C437" s="226"/>
      <c r="D437" s="226"/>
      <c r="E437" s="226"/>
      <c r="F437" s="226"/>
      <c r="G437" s="226"/>
      <c r="H437" s="227"/>
      <c r="I437" s="227"/>
      <c r="J437" s="227"/>
      <c r="K437" s="227"/>
      <c r="L437" s="206" t="s">
        <v>1074</v>
      </c>
      <c r="M437" s="206"/>
      <c r="N437" s="227"/>
      <c r="O437" s="227"/>
      <c r="P437" s="227"/>
      <c r="Q437" s="179"/>
      <c r="R437" s="179"/>
      <c r="T437" s="88">
        <v>5.05306435E-2</v>
      </c>
    </row>
    <row r="438" spans="1:20" ht="15" customHeight="1">
      <c r="A438" s="207"/>
      <c r="B438" s="207"/>
      <c r="C438" s="207"/>
      <c r="D438" s="207"/>
      <c r="E438" s="207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179"/>
      <c r="R438" s="179"/>
      <c r="T438" s="88">
        <v>5.05306435E-2</v>
      </c>
    </row>
    <row r="439" spans="1:20" ht="15.75" customHeight="1">
      <c r="A439" s="43" t="s">
        <v>1364</v>
      </c>
      <c r="B439" s="44" t="s">
        <v>3</v>
      </c>
      <c r="C439" s="43" t="s">
        <v>4</v>
      </c>
      <c r="D439" s="208" t="s">
        <v>5</v>
      </c>
      <c r="E439" s="209"/>
      <c r="F439" s="43" t="s">
        <v>1049</v>
      </c>
      <c r="G439" s="210"/>
      <c r="H439" s="211"/>
      <c r="I439" s="212"/>
      <c r="J439" s="215" t="s">
        <v>6</v>
      </c>
      <c r="K439" s="217"/>
      <c r="L439" s="44" t="s">
        <v>7</v>
      </c>
      <c r="M439" s="213" t="s">
        <v>8</v>
      </c>
      <c r="N439" s="214"/>
      <c r="O439" s="66"/>
      <c r="P439" s="44" t="s">
        <v>11</v>
      </c>
      <c r="Q439" s="228"/>
      <c r="R439" s="179"/>
      <c r="T439" s="88">
        <v>5.05306435E-2</v>
      </c>
    </row>
    <row r="440" spans="1:20" ht="15" customHeight="1">
      <c r="A440" s="47" t="s">
        <v>1051</v>
      </c>
      <c r="B440" s="48" t="s">
        <v>1365</v>
      </c>
      <c r="C440" s="47" t="s">
        <v>1053</v>
      </c>
      <c r="D440" s="190" t="s">
        <v>1366</v>
      </c>
      <c r="E440" s="191"/>
      <c r="F440" s="47" t="s">
        <v>1367</v>
      </c>
      <c r="G440" s="192"/>
      <c r="H440" s="193"/>
      <c r="I440" s="194"/>
      <c r="J440" s="195" t="s">
        <v>1085</v>
      </c>
      <c r="K440" s="196"/>
      <c r="L440" s="50">
        <v>1</v>
      </c>
      <c r="M440" s="231">
        <v>376.77</v>
      </c>
      <c r="N440" s="232"/>
      <c r="O440" s="64">
        <f>M440-(M440*T440)</f>
        <v>357.73156944850496</v>
      </c>
      <c r="P440" s="64">
        <f>SUM(P441:P444)</f>
        <v>357.7291008281781</v>
      </c>
      <c r="Q440" s="228"/>
      <c r="R440" s="179"/>
      <c r="T440" s="88">
        <v>5.05306435E-2</v>
      </c>
    </row>
    <row r="441" spans="1:20" ht="14.25" customHeight="1">
      <c r="A441" s="52" t="s">
        <v>1057</v>
      </c>
      <c r="B441" s="53">
        <v>88267</v>
      </c>
      <c r="C441" s="52" t="s">
        <v>1058</v>
      </c>
      <c r="D441" s="199" t="s">
        <v>1133</v>
      </c>
      <c r="E441" s="200"/>
      <c r="F441" s="52" t="s">
        <v>1158</v>
      </c>
      <c r="G441" s="201"/>
      <c r="H441" s="202"/>
      <c r="I441" s="203"/>
      <c r="J441" s="204" t="s">
        <v>1061</v>
      </c>
      <c r="K441" s="205"/>
      <c r="L441" s="55">
        <v>0.3</v>
      </c>
      <c r="M441" s="188">
        <v>26.19</v>
      </c>
      <c r="N441" s="189"/>
      <c r="O441" s="56">
        <f>M441-(M441*T441)</f>
        <v>24.866602446735001</v>
      </c>
      <c r="P441" s="57">
        <f t="shared" ref="P441:P444" si="69">O441*L441</f>
        <v>7.4599807340205002</v>
      </c>
      <c r="Q441" s="228"/>
      <c r="R441" s="179"/>
      <c r="T441" s="88">
        <v>5.05306435E-2</v>
      </c>
    </row>
    <row r="442" spans="1:20" ht="15" customHeight="1">
      <c r="A442" s="52" t="s">
        <v>1057</v>
      </c>
      <c r="B442" s="53">
        <v>88248</v>
      </c>
      <c r="C442" s="52" t="s">
        <v>1058</v>
      </c>
      <c r="D442" s="199" t="s">
        <v>1336</v>
      </c>
      <c r="E442" s="200"/>
      <c r="F442" s="52" t="s">
        <v>1158</v>
      </c>
      <c r="G442" s="201"/>
      <c r="H442" s="202"/>
      <c r="I442" s="203"/>
      <c r="J442" s="204" t="s">
        <v>1061</v>
      </c>
      <c r="K442" s="205"/>
      <c r="L442" s="55">
        <v>0.5</v>
      </c>
      <c r="M442" s="188">
        <v>21.62</v>
      </c>
      <c r="N442" s="189"/>
      <c r="O442" s="56">
        <f t="shared" ref="O442:O444" si="70">M442-(M442*T442)</f>
        <v>20.527527487530001</v>
      </c>
      <c r="P442" s="57">
        <f t="shared" si="69"/>
        <v>10.263763743765001</v>
      </c>
      <c r="Q442" s="228"/>
      <c r="R442" s="179"/>
      <c r="T442" s="88">
        <v>5.05306435E-2</v>
      </c>
    </row>
    <row r="443" spans="1:20" ht="14.25" customHeight="1">
      <c r="A443" s="58" t="s">
        <v>1064</v>
      </c>
      <c r="B443" s="59" t="s">
        <v>1368</v>
      </c>
      <c r="C443" s="58" t="s">
        <v>1066</v>
      </c>
      <c r="D443" s="181" t="s">
        <v>1369</v>
      </c>
      <c r="E443" s="182"/>
      <c r="F443" s="58" t="s">
        <v>1068</v>
      </c>
      <c r="G443" s="183"/>
      <c r="H443" s="184"/>
      <c r="I443" s="185"/>
      <c r="J443" s="186" t="s">
        <v>1187</v>
      </c>
      <c r="K443" s="187"/>
      <c r="L443" s="60">
        <v>1</v>
      </c>
      <c r="M443" s="247">
        <v>358.05</v>
      </c>
      <c r="N443" s="248"/>
      <c r="O443" s="56">
        <f t="shared" si="70"/>
        <v>339.95750309482503</v>
      </c>
      <c r="P443" s="57">
        <f t="shared" si="69"/>
        <v>339.95750309482503</v>
      </c>
      <c r="Q443" s="228"/>
      <c r="R443" s="179"/>
      <c r="T443" s="88">
        <v>5.05306435E-2</v>
      </c>
    </row>
    <row r="444" spans="1:20" ht="15" customHeight="1">
      <c r="A444" s="58" t="s">
        <v>1064</v>
      </c>
      <c r="B444" s="59" t="s">
        <v>1370</v>
      </c>
      <c r="C444" s="58" t="s">
        <v>1066</v>
      </c>
      <c r="D444" s="181" t="s">
        <v>1371</v>
      </c>
      <c r="E444" s="182"/>
      <c r="F444" s="58" t="s">
        <v>1068</v>
      </c>
      <c r="G444" s="183"/>
      <c r="H444" s="184"/>
      <c r="I444" s="185"/>
      <c r="J444" s="186" t="s">
        <v>1327</v>
      </c>
      <c r="K444" s="187"/>
      <c r="L444" s="60">
        <v>0.28000000000000003</v>
      </c>
      <c r="M444" s="188">
        <v>0.18</v>
      </c>
      <c r="N444" s="189"/>
      <c r="O444" s="56">
        <f t="shared" si="70"/>
        <v>0.17090448416999998</v>
      </c>
      <c r="P444" s="57">
        <f t="shared" si="69"/>
        <v>4.7853255567599999E-2</v>
      </c>
      <c r="Q444" s="228"/>
      <c r="R444" s="179"/>
      <c r="T444" s="88">
        <v>5.05306435E-2</v>
      </c>
    </row>
    <row r="445" spans="1:20" ht="14.25" customHeight="1">
      <c r="A445" s="174" t="s">
        <v>1070</v>
      </c>
      <c r="B445" s="174"/>
      <c r="C445" s="174"/>
      <c r="D445" s="174"/>
      <c r="E445" s="174"/>
      <c r="F445" s="174"/>
      <c r="G445" s="174"/>
      <c r="H445" s="175" t="s">
        <v>1071</v>
      </c>
      <c r="I445" s="175"/>
      <c r="J445" s="175"/>
      <c r="K445" s="175"/>
      <c r="L445" s="176">
        <v>0</v>
      </c>
      <c r="M445" s="176"/>
      <c r="N445" s="177" t="s">
        <v>1072</v>
      </c>
      <c r="O445" s="177"/>
      <c r="P445" s="177"/>
      <c r="Q445" s="179"/>
      <c r="R445" s="179"/>
      <c r="T445" s="88">
        <v>5.05306435E-2</v>
      </c>
    </row>
    <row r="446" spans="1:20" ht="17.45" customHeight="1">
      <c r="A446" s="178" t="s">
        <v>1073</v>
      </c>
      <c r="B446" s="178"/>
      <c r="C446" s="178"/>
      <c r="D446" s="178"/>
      <c r="E446" s="178"/>
      <c r="F446" s="178"/>
      <c r="G446" s="178"/>
      <c r="H446" s="179"/>
      <c r="I446" s="179"/>
      <c r="J446" s="179"/>
      <c r="K446" s="179"/>
      <c r="L446" s="180" t="s">
        <v>1074</v>
      </c>
      <c r="M446" s="180"/>
      <c r="N446" s="179"/>
      <c r="O446" s="179"/>
      <c r="P446" s="179"/>
      <c r="Q446" s="179"/>
      <c r="R446" s="179"/>
      <c r="T446" s="88">
        <v>5.05306435E-2</v>
      </c>
    </row>
    <row r="447" spans="1:20" ht="28.5" customHeight="1">
      <c r="A447" s="233" t="s">
        <v>1372</v>
      </c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T447" s="88">
        <v>5.05306435E-2</v>
      </c>
    </row>
    <row r="448" spans="1:20" ht="14.25" customHeight="1">
      <c r="A448" s="207"/>
      <c r="B448" s="207"/>
      <c r="C448" s="207"/>
      <c r="D448" s="207"/>
      <c r="E448" s="207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179"/>
      <c r="R448" s="179"/>
      <c r="T448" s="88">
        <v>5.05306435E-2</v>
      </c>
    </row>
    <row r="449" spans="1:20" ht="15.75" customHeight="1">
      <c r="A449" s="43" t="s">
        <v>1373</v>
      </c>
      <c r="B449" s="44" t="s">
        <v>3</v>
      </c>
      <c r="C449" s="43" t="s">
        <v>4</v>
      </c>
      <c r="D449" s="208" t="s">
        <v>5</v>
      </c>
      <c r="E449" s="209"/>
      <c r="F449" s="43" t="s">
        <v>1049</v>
      </c>
      <c r="G449" s="210"/>
      <c r="H449" s="211"/>
      <c r="I449" s="212"/>
      <c r="J449" s="215" t="s">
        <v>6</v>
      </c>
      <c r="K449" s="217"/>
      <c r="L449" s="44" t="s">
        <v>7</v>
      </c>
      <c r="M449" s="213" t="s">
        <v>8</v>
      </c>
      <c r="N449" s="214"/>
      <c r="O449" s="66"/>
      <c r="P449" s="44" t="s">
        <v>11</v>
      </c>
      <c r="Q449" s="228"/>
      <c r="R449" s="179"/>
      <c r="T449" s="88">
        <v>5.05306435E-2</v>
      </c>
    </row>
    <row r="450" spans="1:20" ht="14.25" customHeight="1">
      <c r="A450" s="47" t="s">
        <v>1051</v>
      </c>
      <c r="B450" s="48" t="s">
        <v>1374</v>
      </c>
      <c r="C450" s="47" t="s">
        <v>1053</v>
      </c>
      <c r="D450" s="190" t="s">
        <v>1375</v>
      </c>
      <c r="E450" s="191"/>
      <c r="F450" s="47" t="s">
        <v>1367</v>
      </c>
      <c r="G450" s="192"/>
      <c r="H450" s="193"/>
      <c r="I450" s="194"/>
      <c r="J450" s="195" t="s">
        <v>1085</v>
      </c>
      <c r="K450" s="196"/>
      <c r="L450" s="50">
        <v>1</v>
      </c>
      <c r="M450" s="231">
        <v>366.58</v>
      </c>
      <c r="N450" s="232"/>
      <c r="O450" s="64">
        <f>M450-(M450*T450)</f>
        <v>348.05647670576997</v>
      </c>
      <c r="P450" s="64">
        <f>SUM(P451:P454)</f>
        <v>348.05951500771084</v>
      </c>
      <c r="Q450" s="228"/>
      <c r="R450" s="179"/>
      <c r="T450" s="88">
        <v>5.05306435E-2</v>
      </c>
    </row>
    <row r="451" spans="1:20" ht="15" customHeight="1">
      <c r="A451" s="52" t="s">
        <v>1057</v>
      </c>
      <c r="B451" s="53">
        <v>88248</v>
      </c>
      <c r="C451" s="52" t="s">
        <v>1058</v>
      </c>
      <c r="D451" s="199" t="s">
        <v>1336</v>
      </c>
      <c r="E451" s="200"/>
      <c r="F451" s="52" t="s">
        <v>1158</v>
      </c>
      <c r="G451" s="201"/>
      <c r="H451" s="202"/>
      <c r="I451" s="203"/>
      <c r="J451" s="204" t="s">
        <v>1061</v>
      </c>
      <c r="K451" s="205"/>
      <c r="L451" s="55">
        <v>1.4</v>
      </c>
      <c r="M451" s="188">
        <v>21.62</v>
      </c>
      <c r="N451" s="189"/>
      <c r="O451" s="56">
        <f>M451-(M451*T451)</f>
        <v>20.527527487530001</v>
      </c>
      <c r="P451" s="57">
        <f t="shared" ref="P451:P454" si="71">O451*L451</f>
        <v>28.738538482542001</v>
      </c>
      <c r="Q451" s="228"/>
      <c r="R451" s="179"/>
      <c r="T451" s="88">
        <v>5.05306435E-2</v>
      </c>
    </row>
    <row r="452" spans="1:20" ht="14.25" customHeight="1">
      <c r="A452" s="52" t="s">
        <v>1057</v>
      </c>
      <c r="B452" s="53">
        <v>88267</v>
      </c>
      <c r="C452" s="52" t="s">
        <v>1058</v>
      </c>
      <c r="D452" s="199" t="s">
        <v>1133</v>
      </c>
      <c r="E452" s="200"/>
      <c r="F452" s="52" t="s">
        <v>1158</v>
      </c>
      <c r="G452" s="201"/>
      <c r="H452" s="202"/>
      <c r="I452" s="203"/>
      <c r="J452" s="204" t="s">
        <v>1061</v>
      </c>
      <c r="K452" s="205"/>
      <c r="L452" s="55">
        <v>1.4</v>
      </c>
      <c r="M452" s="188">
        <v>26.19</v>
      </c>
      <c r="N452" s="189"/>
      <c r="O452" s="56">
        <f t="shared" ref="O452:O454" si="72">M452-(M452*T452)</f>
        <v>24.866602446735001</v>
      </c>
      <c r="P452" s="57">
        <f t="shared" si="71"/>
        <v>34.813243425429</v>
      </c>
      <c r="Q452" s="228"/>
      <c r="R452" s="179"/>
      <c r="T452" s="88">
        <v>5.05306435E-2</v>
      </c>
    </row>
    <row r="453" spans="1:20" ht="15" customHeight="1">
      <c r="A453" s="58" t="s">
        <v>1064</v>
      </c>
      <c r="B453" s="59" t="s">
        <v>1376</v>
      </c>
      <c r="C453" s="58" t="s">
        <v>1066</v>
      </c>
      <c r="D453" s="181" t="s">
        <v>1377</v>
      </c>
      <c r="E453" s="182"/>
      <c r="F453" s="58" t="s">
        <v>1068</v>
      </c>
      <c r="G453" s="183"/>
      <c r="H453" s="184"/>
      <c r="I453" s="185"/>
      <c r="J453" s="186" t="s">
        <v>1085</v>
      </c>
      <c r="K453" s="187"/>
      <c r="L453" s="60">
        <v>1</v>
      </c>
      <c r="M453" s="247">
        <v>299.48</v>
      </c>
      <c r="N453" s="248"/>
      <c r="O453" s="56">
        <f t="shared" si="72"/>
        <v>284.34708288462002</v>
      </c>
      <c r="P453" s="57">
        <f t="shared" si="71"/>
        <v>284.34708288462002</v>
      </c>
      <c r="Q453" s="228"/>
      <c r="R453" s="179"/>
      <c r="T453" s="88">
        <v>5.05306435E-2</v>
      </c>
    </row>
    <row r="454" spans="1:20" ht="14.85" customHeight="1">
      <c r="A454" s="58" t="s">
        <v>1064</v>
      </c>
      <c r="B454" s="59" t="s">
        <v>1370</v>
      </c>
      <c r="C454" s="58" t="s">
        <v>1066</v>
      </c>
      <c r="D454" s="181" t="s">
        <v>1371</v>
      </c>
      <c r="E454" s="182"/>
      <c r="F454" s="58" t="s">
        <v>1068</v>
      </c>
      <c r="G454" s="183"/>
      <c r="H454" s="184"/>
      <c r="I454" s="185"/>
      <c r="J454" s="186" t="s">
        <v>1327</v>
      </c>
      <c r="K454" s="187"/>
      <c r="L454" s="60">
        <v>0.94</v>
      </c>
      <c r="M454" s="188">
        <v>0.18</v>
      </c>
      <c r="N454" s="189"/>
      <c r="O454" s="56">
        <f t="shared" si="72"/>
        <v>0.17090448416999998</v>
      </c>
      <c r="P454" s="57">
        <f t="shared" si="71"/>
        <v>0.16065021511979996</v>
      </c>
      <c r="Q454" s="228"/>
      <c r="R454" s="179"/>
      <c r="T454" s="88">
        <v>5.05306435E-2</v>
      </c>
    </row>
    <row r="455" spans="1:20" ht="14.25" customHeight="1">
      <c r="A455" s="174" t="s">
        <v>1070</v>
      </c>
      <c r="B455" s="174"/>
      <c r="C455" s="174"/>
      <c r="D455" s="174"/>
      <c r="E455" s="174"/>
      <c r="F455" s="174"/>
      <c r="G455" s="174"/>
      <c r="H455" s="175" t="s">
        <v>1071</v>
      </c>
      <c r="I455" s="175"/>
      <c r="J455" s="175"/>
      <c r="K455" s="175"/>
      <c r="L455" s="176">
        <v>0</v>
      </c>
      <c r="M455" s="176"/>
      <c r="N455" s="177" t="s">
        <v>1072</v>
      </c>
      <c r="O455" s="177"/>
      <c r="P455" s="177"/>
      <c r="Q455" s="179"/>
      <c r="R455" s="179"/>
      <c r="T455" s="88">
        <v>5.05306435E-2</v>
      </c>
    </row>
    <row r="456" spans="1:20" ht="17.45" customHeight="1">
      <c r="A456" s="178" t="s">
        <v>1073</v>
      </c>
      <c r="B456" s="178"/>
      <c r="C456" s="178"/>
      <c r="D456" s="178"/>
      <c r="E456" s="178"/>
      <c r="F456" s="178"/>
      <c r="G456" s="178"/>
      <c r="H456" s="179"/>
      <c r="I456" s="179"/>
      <c r="J456" s="179"/>
      <c r="K456" s="179"/>
      <c r="L456" s="180" t="s">
        <v>1074</v>
      </c>
      <c r="M456" s="180"/>
      <c r="N456" s="179"/>
      <c r="O456" s="179"/>
      <c r="P456" s="179"/>
      <c r="Q456" s="179"/>
      <c r="R456" s="179"/>
      <c r="T456" s="88">
        <v>5.05306435E-2</v>
      </c>
    </row>
    <row r="457" spans="1:20" ht="28.5" customHeight="1">
      <c r="A457" s="233" t="s">
        <v>1378</v>
      </c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T457" s="88">
        <v>5.05306435E-2</v>
      </c>
    </row>
    <row r="458" spans="1:20" ht="14.25" customHeight="1">
      <c r="A458" s="207"/>
      <c r="B458" s="207"/>
      <c r="C458" s="207"/>
      <c r="D458" s="207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179"/>
      <c r="R458" s="179"/>
      <c r="T458" s="88">
        <v>5.05306435E-2</v>
      </c>
    </row>
    <row r="459" spans="1:20" ht="15.75" customHeight="1">
      <c r="A459" s="43" t="s">
        <v>1379</v>
      </c>
      <c r="B459" s="44" t="s">
        <v>3</v>
      </c>
      <c r="C459" s="43" t="s">
        <v>4</v>
      </c>
      <c r="D459" s="208" t="s">
        <v>5</v>
      </c>
      <c r="E459" s="209"/>
      <c r="F459" s="43" t="s">
        <v>1049</v>
      </c>
      <c r="G459" s="210"/>
      <c r="H459" s="211"/>
      <c r="I459" s="212"/>
      <c r="J459" s="215" t="s">
        <v>6</v>
      </c>
      <c r="K459" s="217"/>
      <c r="L459" s="44" t="s">
        <v>7</v>
      </c>
      <c r="M459" s="213" t="s">
        <v>8</v>
      </c>
      <c r="N459" s="214"/>
      <c r="O459" s="66"/>
      <c r="P459" s="44" t="s">
        <v>11</v>
      </c>
      <c r="Q459" s="228"/>
      <c r="R459" s="179"/>
      <c r="T459" s="88">
        <v>5.05306435E-2</v>
      </c>
    </row>
    <row r="460" spans="1:20" ht="14.25" customHeight="1">
      <c r="A460" s="47" t="s">
        <v>1051</v>
      </c>
      <c r="B460" s="48" t="s">
        <v>1380</v>
      </c>
      <c r="C460" s="47" t="s">
        <v>1053</v>
      </c>
      <c r="D460" s="190" t="s">
        <v>1381</v>
      </c>
      <c r="E460" s="191"/>
      <c r="F460" s="47" t="s">
        <v>1367</v>
      </c>
      <c r="G460" s="192"/>
      <c r="H460" s="193"/>
      <c r="I460" s="194"/>
      <c r="J460" s="195" t="s">
        <v>1085</v>
      </c>
      <c r="K460" s="196"/>
      <c r="L460" s="50">
        <v>1</v>
      </c>
      <c r="M460" s="231">
        <v>273.81</v>
      </c>
      <c r="N460" s="232"/>
      <c r="O460" s="64">
        <f>M460-(M460*T460)</f>
        <v>259.97420450326501</v>
      </c>
      <c r="P460" s="64">
        <f>SUM(P461:P464)</f>
        <v>259.96945715648252</v>
      </c>
      <c r="Q460" s="228"/>
      <c r="R460" s="179"/>
      <c r="T460" s="88">
        <v>5.05306435E-2</v>
      </c>
    </row>
    <row r="461" spans="1:20" ht="15" customHeight="1">
      <c r="A461" s="52" t="s">
        <v>1057</v>
      </c>
      <c r="B461" s="53">
        <v>88316</v>
      </c>
      <c r="C461" s="52" t="s">
        <v>1058</v>
      </c>
      <c r="D461" s="199" t="s">
        <v>1059</v>
      </c>
      <c r="E461" s="200"/>
      <c r="F461" s="52" t="s">
        <v>1158</v>
      </c>
      <c r="G461" s="201"/>
      <c r="H461" s="202"/>
      <c r="I461" s="203"/>
      <c r="J461" s="204" t="s">
        <v>1061</v>
      </c>
      <c r="K461" s="205"/>
      <c r="L461" s="55">
        <v>0.5</v>
      </c>
      <c r="M461" s="188">
        <v>21.32</v>
      </c>
      <c r="N461" s="189"/>
      <c r="O461" s="56">
        <f>M461-(M461*T461)</f>
        <v>20.24268668058</v>
      </c>
      <c r="P461" s="57">
        <f t="shared" ref="P461:P464" si="73">O461*L461</f>
        <v>10.12134334029</v>
      </c>
      <c r="Q461" s="228"/>
      <c r="R461" s="179"/>
      <c r="T461" s="88">
        <v>5.05306435E-2</v>
      </c>
    </row>
    <row r="462" spans="1:20" ht="14.25" customHeight="1">
      <c r="A462" s="52" t="s">
        <v>1057</v>
      </c>
      <c r="B462" s="53">
        <v>88267</v>
      </c>
      <c r="C462" s="52" t="s">
        <v>1058</v>
      </c>
      <c r="D462" s="199" t="s">
        <v>1133</v>
      </c>
      <c r="E462" s="200"/>
      <c r="F462" s="52" t="s">
        <v>1158</v>
      </c>
      <c r="G462" s="201"/>
      <c r="H462" s="202"/>
      <c r="I462" s="203"/>
      <c r="J462" s="204" t="s">
        <v>1061</v>
      </c>
      <c r="K462" s="205"/>
      <c r="L462" s="55">
        <v>0.5</v>
      </c>
      <c r="M462" s="188">
        <v>26.19</v>
      </c>
      <c r="N462" s="189"/>
      <c r="O462" s="56">
        <f t="shared" ref="O462:O464" si="74">M462-(M462*T462)</f>
        <v>24.866602446735001</v>
      </c>
      <c r="P462" s="57">
        <f t="shared" si="73"/>
        <v>12.433301223367501</v>
      </c>
      <c r="Q462" s="228"/>
      <c r="R462" s="179"/>
      <c r="T462" s="88">
        <v>5.05306435E-2</v>
      </c>
    </row>
    <row r="463" spans="1:20" ht="15" customHeight="1">
      <c r="A463" s="58" t="s">
        <v>1064</v>
      </c>
      <c r="B463" s="62">
        <v>981</v>
      </c>
      <c r="C463" s="58" t="s">
        <v>1180</v>
      </c>
      <c r="D463" s="181" t="s">
        <v>1382</v>
      </c>
      <c r="E463" s="182"/>
      <c r="F463" s="58" t="s">
        <v>1068</v>
      </c>
      <c r="G463" s="183"/>
      <c r="H463" s="184"/>
      <c r="I463" s="185"/>
      <c r="J463" s="186" t="s">
        <v>1327</v>
      </c>
      <c r="K463" s="187"/>
      <c r="L463" s="60">
        <v>0.5</v>
      </c>
      <c r="M463" s="188">
        <v>0.3</v>
      </c>
      <c r="N463" s="189"/>
      <c r="O463" s="56">
        <f t="shared" si="74"/>
        <v>0.28484080694999997</v>
      </c>
      <c r="P463" s="57">
        <f t="shared" si="73"/>
        <v>0.14242040347499998</v>
      </c>
      <c r="Q463" s="228"/>
      <c r="R463" s="179"/>
      <c r="T463" s="88">
        <v>5.05306435E-2</v>
      </c>
    </row>
    <row r="464" spans="1:20" ht="14.45" customHeight="1">
      <c r="A464" s="58" t="s">
        <v>1064</v>
      </c>
      <c r="B464" s="62">
        <v>10053</v>
      </c>
      <c r="C464" s="58" t="s">
        <v>1180</v>
      </c>
      <c r="D464" s="181" t="s">
        <v>1383</v>
      </c>
      <c r="E464" s="182"/>
      <c r="F464" s="58" t="s">
        <v>1068</v>
      </c>
      <c r="G464" s="183"/>
      <c r="H464" s="184"/>
      <c r="I464" s="185"/>
      <c r="J464" s="186" t="s">
        <v>1187</v>
      </c>
      <c r="K464" s="187"/>
      <c r="L464" s="60">
        <v>1</v>
      </c>
      <c r="M464" s="247">
        <v>249.9</v>
      </c>
      <c r="N464" s="248"/>
      <c r="O464" s="56">
        <f t="shared" si="74"/>
        <v>237.27239218935</v>
      </c>
      <c r="P464" s="57">
        <f t="shared" si="73"/>
        <v>237.27239218935</v>
      </c>
      <c r="Q464" s="228"/>
      <c r="R464" s="179"/>
      <c r="T464" s="88">
        <v>5.05306435E-2</v>
      </c>
    </row>
    <row r="465" spans="1:20" ht="14.25" customHeight="1">
      <c r="A465" s="174" t="s">
        <v>1070</v>
      </c>
      <c r="B465" s="174"/>
      <c r="C465" s="174"/>
      <c r="D465" s="174"/>
      <c r="E465" s="174"/>
      <c r="F465" s="174"/>
      <c r="G465" s="174"/>
      <c r="H465" s="175" t="s">
        <v>1071</v>
      </c>
      <c r="I465" s="175"/>
      <c r="J465" s="175"/>
      <c r="K465" s="175"/>
      <c r="L465" s="176">
        <v>0</v>
      </c>
      <c r="M465" s="176"/>
      <c r="N465" s="177" t="s">
        <v>1072</v>
      </c>
      <c r="O465" s="177"/>
      <c r="P465" s="177"/>
      <c r="Q465" s="179"/>
      <c r="R465" s="179"/>
      <c r="T465" s="88">
        <v>5.05306435E-2</v>
      </c>
    </row>
    <row r="466" spans="1:20" ht="16.5" customHeight="1">
      <c r="A466" s="178" t="s">
        <v>1073</v>
      </c>
      <c r="B466" s="178"/>
      <c r="C466" s="178"/>
      <c r="D466" s="178"/>
      <c r="E466" s="178"/>
      <c r="F466" s="178"/>
      <c r="G466" s="178"/>
      <c r="H466" s="179"/>
      <c r="I466" s="179"/>
      <c r="J466" s="179"/>
      <c r="K466" s="179"/>
      <c r="L466" s="180" t="s">
        <v>1074</v>
      </c>
      <c r="M466" s="180"/>
      <c r="N466" s="179"/>
      <c r="O466" s="179"/>
      <c r="P466" s="179"/>
      <c r="Q466" s="179"/>
      <c r="R466" s="179"/>
      <c r="T466" s="88">
        <v>5.05306435E-2</v>
      </c>
    </row>
    <row r="467" spans="1:20" ht="28.5" customHeight="1">
      <c r="A467" s="233" t="s">
        <v>1384</v>
      </c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T467" s="88">
        <v>5.05306435E-2</v>
      </c>
    </row>
    <row r="468" spans="1:20" ht="15" customHeight="1">
      <c r="A468" s="207"/>
      <c r="B468" s="207"/>
      <c r="C468" s="207"/>
      <c r="D468" s="207"/>
      <c r="E468" s="207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179"/>
      <c r="R468" s="179"/>
      <c r="T468" s="88">
        <v>5.05306435E-2</v>
      </c>
    </row>
    <row r="469" spans="1:20" ht="15.75" customHeight="1">
      <c r="A469" s="43" t="s">
        <v>1385</v>
      </c>
      <c r="B469" s="44" t="s">
        <v>3</v>
      </c>
      <c r="C469" s="43" t="s">
        <v>4</v>
      </c>
      <c r="D469" s="208" t="s">
        <v>5</v>
      </c>
      <c r="E469" s="209"/>
      <c r="F469" s="43" t="s">
        <v>1049</v>
      </c>
      <c r="G469" s="210"/>
      <c r="H469" s="211"/>
      <c r="I469" s="212"/>
      <c r="J469" s="215" t="s">
        <v>6</v>
      </c>
      <c r="K469" s="217"/>
      <c r="L469" s="44" t="s">
        <v>7</v>
      </c>
      <c r="M469" s="213" t="s">
        <v>8</v>
      </c>
      <c r="N469" s="214"/>
      <c r="O469" s="66"/>
      <c r="P469" s="44" t="s">
        <v>11</v>
      </c>
      <c r="Q469" s="228"/>
      <c r="R469" s="179"/>
      <c r="T469" s="88">
        <v>5.05306435E-2</v>
      </c>
    </row>
    <row r="470" spans="1:20" ht="15" customHeight="1">
      <c r="A470" s="47" t="s">
        <v>1051</v>
      </c>
      <c r="B470" s="48" t="s">
        <v>1386</v>
      </c>
      <c r="C470" s="47" t="s">
        <v>1053</v>
      </c>
      <c r="D470" s="190" t="s">
        <v>1387</v>
      </c>
      <c r="E470" s="191"/>
      <c r="F470" s="47" t="s">
        <v>1367</v>
      </c>
      <c r="G470" s="192"/>
      <c r="H470" s="193"/>
      <c r="I470" s="194"/>
      <c r="J470" s="195" t="s">
        <v>1085</v>
      </c>
      <c r="K470" s="196"/>
      <c r="L470" s="50">
        <v>1</v>
      </c>
      <c r="M470" s="231">
        <v>406.23</v>
      </c>
      <c r="N470" s="232"/>
      <c r="O470" s="64">
        <f>M470-(M470*T470)</f>
        <v>385.70293669099499</v>
      </c>
      <c r="P470" s="64">
        <f>SUM(P471:P475)</f>
        <v>385.70274679712367</v>
      </c>
      <c r="Q470" s="228"/>
      <c r="R470" s="179"/>
      <c r="T470" s="88">
        <v>5.05306435E-2</v>
      </c>
    </row>
    <row r="471" spans="1:20" ht="15" customHeight="1">
      <c r="A471" s="52" t="s">
        <v>1057</v>
      </c>
      <c r="B471" s="53">
        <v>88316</v>
      </c>
      <c r="C471" s="52" t="s">
        <v>1058</v>
      </c>
      <c r="D471" s="199" t="s">
        <v>1059</v>
      </c>
      <c r="E471" s="200"/>
      <c r="F471" s="52" t="s">
        <v>1158</v>
      </c>
      <c r="G471" s="201"/>
      <c r="H471" s="202"/>
      <c r="I471" s="203"/>
      <c r="J471" s="204" t="s">
        <v>1061</v>
      </c>
      <c r="K471" s="205"/>
      <c r="L471" s="55">
        <v>3.89</v>
      </c>
      <c r="M471" s="188">
        <v>21.32</v>
      </c>
      <c r="N471" s="189"/>
      <c r="O471" s="56">
        <f>M471-(M471*T471)</f>
        <v>20.24268668058</v>
      </c>
      <c r="P471" s="57">
        <f t="shared" ref="P471:P475" si="75">O471*L471</f>
        <v>78.744051187456208</v>
      </c>
      <c r="Q471" s="228"/>
      <c r="R471" s="179"/>
      <c r="T471" s="88">
        <v>5.05306435E-2</v>
      </c>
    </row>
    <row r="472" spans="1:20" ht="14.25" customHeight="1">
      <c r="A472" s="52" t="s">
        <v>1057</v>
      </c>
      <c r="B472" s="53">
        <v>88267</v>
      </c>
      <c r="C472" s="52" t="s">
        <v>1058</v>
      </c>
      <c r="D472" s="199" t="s">
        <v>1133</v>
      </c>
      <c r="E472" s="200"/>
      <c r="F472" s="52" t="s">
        <v>1158</v>
      </c>
      <c r="G472" s="201"/>
      <c r="H472" s="202"/>
      <c r="I472" s="203"/>
      <c r="J472" s="204" t="s">
        <v>1061</v>
      </c>
      <c r="K472" s="205"/>
      <c r="L472" s="55">
        <v>0.5</v>
      </c>
      <c r="M472" s="188">
        <v>26.19</v>
      </c>
      <c r="N472" s="189"/>
      <c r="O472" s="56">
        <f t="shared" ref="O472:O475" si="76">M472-(M472*T472)</f>
        <v>24.866602446735001</v>
      </c>
      <c r="P472" s="57">
        <f t="shared" si="75"/>
        <v>12.433301223367501</v>
      </c>
      <c r="Q472" s="228"/>
      <c r="R472" s="179"/>
      <c r="T472" s="88">
        <v>5.05306435E-2</v>
      </c>
    </row>
    <row r="473" spans="1:20" ht="15" customHeight="1">
      <c r="A473" s="58" t="s">
        <v>1064</v>
      </c>
      <c r="B473" s="62">
        <v>12610</v>
      </c>
      <c r="C473" s="58" t="s">
        <v>1180</v>
      </c>
      <c r="D473" s="181" t="s">
        <v>1388</v>
      </c>
      <c r="E473" s="182"/>
      <c r="F473" s="58" t="s">
        <v>1068</v>
      </c>
      <c r="G473" s="183"/>
      <c r="H473" s="184"/>
      <c r="I473" s="185"/>
      <c r="J473" s="186" t="s">
        <v>1187</v>
      </c>
      <c r="K473" s="187"/>
      <c r="L473" s="60">
        <v>1</v>
      </c>
      <c r="M473" s="247">
        <v>286.07</v>
      </c>
      <c r="N473" s="248"/>
      <c r="O473" s="56">
        <f t="shared" si="76"/>
        <v>271.61469881395499</v>
      </c>
      <c r="P473" s="57">
        <f t="shared" si="75"/>
        <v>271.61469881395499</v>
      </c>
      <c r="Q473" s="228"/>
      <c r="R473" s="179"/>
      <c r="T473" s="88">
        <v>5.05306435E-2</v>
      </c>
    </row>
    <row r="474" spans="1:20" ht="14.25" customHeight="1">
      <c r="A474" s="58" t="s">
        <v>1064</v>
      </c>
      <c r="B474" s="62">
        <v>45334</v>
      </c>
      <c r="C474" s="58" t="s">
        <v>1058</v>
      </c>
      <c r="D474" s="181" t="s">
        <v>1389</v>
      </c>
      <c r="E474" s="182"/>
      <c r="F474" s="58" t="s">
        <v>1068</v>
      </c>
      <c r="G474" s="183"/>
      <c r="H474" s="184"/>
      <c r="I474" s="185"/>
      <c r="J474" s="186" t="s">
        <v>1085</v>
      </c>
      <c r="K474" s="187"/>
      <c r="L474" s="60">
        <v>1</v>
      </c>
      <c r="M474" s="188">
        <v>23.98</v>
      </c>
      <c r="N474" s="189"/>
      <c r="O474" s="56">
        <f t="shared" si="76"/>
        <v>22.768275168870002</v>
      </c>
      <c r="P474" s="57">
        <f t="shared" si="75"/>
        <v>22.768275168870002</v>
      </c>
      <c r="Q474" s="228"/>
      <c r="R474" s="179"/>
      <c r="T474" s="88">
        <v>5.05306435E-2</v>
      </c>
    </row>
    <row r="475" spans="1:20" ht="15" customHeight="1">
      <c r="A475" s="58" t="s">
        <v>1064</v>
      </c>
      <c r="B475" s="62">
        <v>981</v>
      </c>
      <c r="C475" s="58" t="s">
        <v>1180</v>
      </c>
      <c r="D475" s="181" t="s">
        <v>1382</v>
      </c>
      <c r="E475" s="182"/>
      <c r="F475" s="58" t="s">
        <v>1068</v>
      </c>
      <c r="G475" s="183"/>
      <c r="H475" s="184"/>
      <c r="I475" s="185"/>
      <c r="J475" s="186" t="s">
        <v>1327</v>
      </c>
      <c r="K475" s="187"/>
      <c r="L475" s="60">
        <v>0.5</v>
      </c>
      <c r="M475" s="188">
        <v>0.3</v>
      </c>
      <c r="N475" s="189"/>
      <c r="O475" s="56">
        <f t="shared" si="76"/>
        <v>0.28484080694999997</v>
      </c>
      <c r="P475" s="57">
        <f t="shared" si="75"/>
        <v>0.14242040347499998</v>
      </c>
      <c r="Q475" s="228"/>
      <c r="R475" s="179"/>
      <c r="T475" s="88">
        <v>5.05306435E-2</v>
      </c>
    </row>
    <row r="476" spans="1:20" ht="14.25" customHeight="1">
      <c r="A476" s="174" t="s">
        <v>1070</v>
      </c>
      <c r="B476" s="174"/>
      <c r="C476" s="174"/>
      <c r="D476" s="174"/>
      <c r="E476" s="174"/>
      <c r="F476" s="174"/>
      <c r="G476" s="174"/>
      <c r="H476" s="175" t="s">
        <v>1071</v>
      </c>
      <c r="I476" s="175"/>
      <c r="J476" s="175"/>
      <c r="K476" s="175"/>
      <c r="L476" s="176">
        <v>0</v>
      </c>
      <c r="M476" s="176"/>
      <c r="N476" s="177" t="s">
        <v>1072</v>
      </c>
      <c r="O476" s="177"/>
      <c r="P476" s="177"/>
      <c r="Q476" s="179"/>
      <c r="R476" s="179"/>
      <c r="T476" s="88">
        <v>5.05306435E-2</v>
      </c>
    </row>
    <row r="477" spans="1:20" ht="17.45" customHeight="1">
      <c r="A477" s="178" t="s">
        <v>1073</v>
      </c>
      <c r="B477" s="178"/>
      <c r="C477" s="178"/>
      <c r="D477" s="178"/>
      <c r="E477" s="178"/>
      <c r="F477" s="178"/>
      <c r="G477" s="178"/>
      <c r="H477" s="179"/>
      <c r="I477" s="179"/>
      <c r="J477" s="179"/>
      <c r="K477" s="179"/>
      <c r="L477" s="180" t="s">
        <v>1074</v>
      </c>
      <c r="M477" s="180"/>
      <c r="N477" s="179"/>
      <c r="O477" s="179"/>
      <c r="P477" s="179"/>
      <c r="Q477" s="179"/>
      <c r="R477" s="179"/>
      <c r="T477" s="88">
        <v>5.05306435E-2</v>
      </c>
    </row>
    <row r="478" spans="1:20" ht="28.5" customHeight="1">
      <c r="A478" s="233" t="s">
        <v>1390</v>
      </c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T478" s="88">
        <v>5.05306435E-2</v>
      </c>
    </row>
    <row r="479" spans="1:20" ht="14.25" customHeight="1">
      <c r="A479" s="207"/>
      <c r="B479" s="207"/>
      <c r="C479" s="207"/>
      <c r="D479" s="207"/>
      <c r="E479" s="207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179"/>
      <c r="R479" s="179"/>
      <c r="T479" s="88">
        <v>5.05306435E-2</v>
      </c>
    </row>
    <row r="480" spans="1:20" ht="15.75" customHeight="1">
      <c r="A480" s="71">
        <v>40251</v>
      </c>
      <c r="B480" s="44" t="s">
        <v>3</v>
      </c>
      <c r="C480" s="43" t="s">
        <v>4</v>
      </c>
      <c r="D480" s="208" t="s">
        <v>5</v>
      </c>
      <c r="E480" s="209"/>
      <c r="F480" s="43" t="s">
        <v>1049</v>
      </c>
      <c r="G480" s="210"/>
      <c r="H480" s="211"/>
      <c r="I480" s="212"/>
      <c r="J480" s="215" t="s">
        <v>6</v>
      </c>
      <c r="K480" s="217"/>
      <c r="L480" s="44" t="s">
        <v>7</v>
      </c>
      <c r="M480" s="213" t="s">
        <v>8</v>
      </c>
      <c r="N480" s="214"/>
      <c r="O480" s="66"/>
      <c r="P480" s="44" t="s">
        <v>11</v>
      </c>
      <c r="Q480" s="228"/>
      <c r="R480" s="179"/>
      <c r="T480" s="88">
        <v>5.05306435E-2</v>
      </c>
    </row>
    <row r="481" spans="1:20" ht="14.25" customHeight="1">
      <c r="A481" s="47" t="s">
        <v>1051</v>
      </c>
      <c r="B481" s="48" t="s">
        <v>1391</v>
      </c>
      <c r="C481" s="47" t="s">
        <v>1053</v>
      </c>
      <c r="D481" s="190" t="s">
        <v>1392</v>
      </c>
      <c r="E481" s="191"/>
      <c r="F481" s="47" t="s">
        <v>1367</v>
      </c>
      <c r="G481" s="192"/>
      <c r="H481" s="193"/>
      <c r="I481" s="194"/>
      <c r="J481" s="195" t="s">
        <v>1085</v>
      </c>
      <c r="K481" s="196"/>
      <c r="L481" s="50">
        <v>1</v>
      </c>
      <c r="M481" s="231">
        <v>814.65</v>
      </c>
      <c r="N481" s="232"/>
      <c r="O481" s="64">
        <f>M481-(M481*T481)</f>
        <v>773.485211272725</v>
      </c>
      <c r="P481" s="64">
        <f>SUM(P482:P484)</f>
        <v>773.48616074208144</v>
      </c>
      <c r="Q481" s="228"/>
      <c r="R481" s="179"/>
      <c r="T481" s="88">
        <v>5.05306435E-2</v>
      </c>
    </row>
    <row r="482" spans="1:20" ht="15" customHeight="1">
      <c r="A482" s="52" t="s">
        <v>1057</v>
      </c>
      <c r="B482" s="53">
        <v>88267</v>
      </c>
      <c r="C482" s="52" t="s">
        <v>1058</v>
      </c>
      <c r="D482" s="199" t="s">
        <v>1133</v>
      </c>
      <c r="E482" s="200"/>
      <c r="F482" s="52" t="s">
        <v>1158</v>
      </c>
      <c r="G482" s="201"/>
      <c r="H482" s="202"/>
      <c r="I482" s="203"/>
      <c r="J482" s="204" t="s">
        <v>1061</v>
      </c>
      <c r="K482" s="205"/>
      <c r="L482" s="55">
        <v>0.5</v>
      </c>
      <c r="M482" s="188">
        <v>26.19</v>
      </c>
      <c r="N482" s="189"/>
      <c r="O482" s="56">
        <f>M482-(M482*T482)</f>
        <v>24.866602446735001</v>
      </c>
      <c r="P482" s="57">
        <f t="shared" ref="P482:P484" si="77">O482*L482</f>
        <v>12.433301223367501</v>
      </c>
      <c r="Q482" s="228"/>
      <c r="R482" s="179"/>
      <c r="T482" s="88">
        <v>5.05306435E-2</v>
      </c>
    </row>
    <row r="483" spans="1:20" ht="14.25" customHeight="1">
      <c r="A483" s="58" t="s">
        <v>1064</v>
      </c>
      <c r="B483" s="62">
        <v>9833</v>
      </c>
      <c r="C483" s="58" t="s">
        <v>1180</v>
      </c>
      <c r="D483" s="181" t="s">
        <v>1393</v>
      </c>
      <c r="E483" s="182"/>
      <c r="F483" s="58" t="s">
        <v>1068</v>
      </c>
      <c r="G483" s="183"/>
      <c r="H483" s="184"/>
      <c r="I483" s="185"/>
      <c r="J483" s="186" t="s">
        <v>1187</v>
      </c>
      <c r="K483" s="187"/>
      <c r="L483" s="60">
        <v>1</v>
      </c>
      <c r="M483" s="247">
        <v>801.43</v>
      </c>
      <c r="N483" s="248"/>
      <c r="O483" s="56">
        <f t="shared" ref="O483:O484" si="78">M483-(M483*T483)</f>
        <v>760.93322637979497</v>
      </c>
      <c r="P483" s="57">
        <f t="shared" si="77"/>
        <v>760.93322637979497</v>
      </c>
      <c r="Q483" s="228"/>
      <c r="R483" s="179"/>
      <c r="T483" s="88">
        <v>5.05306435E-2</v>
      </c>
    </row>
    <row r="484" spans="1:20" ht="15" customHeight="1">
      <c r="A484" s="58" t="s">
        <v>1064</v>
      </c>
      <c r="B484" s="62">
        <v>981</v>
      </c>
      <c r="C484" s="58" t="s">
        <v>1180</v>
      </c>
      <c r="D484" s="181" t="s">
        <v>1382</v>
      </c>
      <c r="E484" s="182"/>
      <c r="F484" s="58" t="s">
        <v>1068</v>
      </c>
      <c r="G484" s="183"/>
      <c r="H484" s="184"/>
      <c r="I484" s="185"/>
      <c r="J484" s="186" t="s">
        <v>1327</v>
      </c>
      <c r="K484" s="187"/>
      <c r="L484" s="60">
        <v>0.42</v>
      </c>
      <c r="M484" s="188">
        <v>0.3</v>
      </c>
      <c r="N484" s="189"/>
      <c r="O484" s="56">
        <f t="shared" si="78"/>
        <v>0.28484080694999997</v>
      </c>
      <c r="P484" s="57">
        <f t="shared" si="77"/>
        <v>0.11963313891899999</v>
      </c>
      <c r="Q484" s="228"/>
      <c r="R484" s="179"/>
      <c r="T484" s="88">
        <v>5.05306435E-2</v>
      </c>
    </row>
    <row r="485" spans="1:20" ht="14.25" customHeight="1">
      <c r="A485" s="174" t="s">
        <v>1070</v>
      </c>
      <c r="B485" s="174"/>
      <c r="C485" s="174"/>
      <c r="D485" s="174"/>
      <c r="E485" s="174"/>
      <c r="F485" s="174"/>
      <c r="G485" s="174"/>
      <c r="H485" s="175" t="s">
        <v>1071</v>
      </c>
      <c r="I485" s="175"/>
      <c r="J485" s="175"/>
      <c r="K485" s="175"/>
      <c r="L485" s="176">
        <v>0</v>
      </c>
      <c r="M485" s="176"/>
      <c r="N485" s="177" t="s">
        <v>1072</v>
      </c>
      <c r="O485" s="177"/>
      <c r="P485" s="177"/>
      <c r="Q485" s="179"/>
      <c r="R485" s="179"/>
      <c r="T485" s="88">
        <v>5.05306435E-2</v>
      </c>
    </row>
    <row r="486" spans="1:20" ht="15" customHeight="1">
      <c r="A486" s="226" t="s">
        <v>1073</v>
      </c>
      <c r="B486" s="226"/>
      <c r="C486" s="226"/>
      <c r="D486" s="226"/>
      <c r="E486" s="226"/>
      <c r="F486" s="226"/>
      <c r="G486" s="226"/>
      <c r="H486" s="227"/>
      <c r="I486" s="227"/>
      <c r="J486" s="227"/>
      <c r="K486" s="227"/>
      <c r="L486" s="206" t="s">
        <v>1074</v>
      </c>
      <c r="M486" s="206"/>
      <c r="N486" s="227"/>
      <c r="O486" s="227"/>
      <c r="P486" s="227"/>
      <c r="Q486" s="179"/>
      <c r="R486" s="179"/>
      <c r="T486" s="88">
        <v>5.05306435E-2</v>
      </c>
    </row>
    <row r="487" spans="1:20" ht="15.2" customHeight="1">
      <c r="A487" s="173"/>
      <c r="B487" s="173"/>
      <c r="C487" s="173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9"/>
      <c r="R487" s="179"/>
      <c r="T487" s="88">
        <v>5.05306435E-2</v>
      </c>
    </row>
    <row r="488" spans="1:20" ht="15" customHeight="1">
      <c r="A488" s="68"/>
      <c r="B488" s="68"/>
      <c r="C488" s="68"/>
      <c r="D488" s="258"/>
      <c r="E488" s="258"/>
      <c r="F488" s="68"/>
      <c r="G488" s="68"/>
      <c r="H488" s="258"/>
      <c r="I488" s="258"/>
      <c r="J488" s="258"/>
      <c r="K488" s="258"/>
      <c r="L488" s="68"/>
      <c r="M488" s="68"/>
      <c r="N488" s="68"/>
      <c r="O488" s="68"/>
      <c r="P488" s="68"/>
      <c r="Q488" s="179"/>
      <c r="R488" s="179"/>
      <c r="T488" s="88">
        <v>5.05306435E-2</v>
      </c>
    </row>
    <row r="489" spans="1:20" ht="15.75" customHeight="1">
      <c r="A489" s="71">
        <v>40982</v>
      </c>
      <c r="B489" s="44" t="s">
        <v>3</v>
      </c>
      <c r="C489" s="43" t="s">
        <v>4</v>
      </c>
      <c r="D489" s="208" t="s">
        <v>5</v>
      </c>
      <c r="E489" s="209"/>
      <c r="F489" s="43" t="s">
        <v>1049</v>
      </c>
      <c r="G489" s="210"/>
      <c r="H489" s="211"/>
      <c r="I489" s="212"/>
      <c r="J489" s="215" t="s">
        <v>6</v>
      </c>
      <c r="K489" s="217"/>
      <c r="L489" s="44" t="s">
        <v>7</v>
      </c>
      <c r="M489" s="213" t="s">
        <v>8</v>
      </c>
      <c r="N489" s="214"/>
      <c r="O489" s="66"/>
      <c r="P489" s="44" t="s">
        <v>11</v>
      </c>
      <c r="Q489" s="228"/>
      <c r="R489" s="179"/>
      <c r="T489" s="88">
        <v>5.05306435E-2</v>
      </c>
    </row>
    <row r="490" spans="1:20" ht="14.25" customHeight="1">
      <c r="A490" s="47" t="s">
        <v>1051</v>
      </c>
      <c r="B490" s="48" t="s">
        <v>1394</v>
      </c>
      <c r="C490" s="47" t="s">
        <v>1053</v>
      </c>
      <c r="D490" s="190" t="s">
        <v>1395</v>
      </c>
      <c r="E490" s="191"/>
      <c r="F490" s="47" t="s">
        <v>1396</v>
      </c>
      <c r="G490" s="192"/>
      <c r="H490" s="193"/>
      <c r="I490" s="194"/>
      <c r="J490" s="195" t="s">
        <v>1085</v>
      </c>
      <c r="K490" s="196"/>
      <c r="L490" s="50">
        <v>1</v>
      </c>
      <c r="M490" s="231">
        <v>111.75</v>
      </c>
      <c r="N490" s="232"/>
      <c r="O490" s="64">
        <f>M490-(M490*T490)</f>
        <v>106.103200588875</v>
      </c>
      <c r="P490" s="64">
        <f>SUM(P491:P493)</f>
        <v>106.10320058887501</v>
      </c>
      <c r="Q490" s="228"/>
      <c r="R490" s="179"/>
      <c r="T490" s="88">
        <v>5.05306435E-2</v>
      </c>
    </row>
    <row r="491" spans="1:20" ht="15" customHeight="1">
      <c r="A491" s="52" t="s">
        <v>1057</v>
      </c>
      <c r="B491" s="53">
        <v>88309</v>
      </c>
      <c r="C491" s="52" t="s">
        <v>1058</v>
      </c>
      <c r="D491" s="199" t="s">
        <v>1162</v>
      </c>
      <c r="E491" s="200"/>
      <c r="F491" s="52" t="s">
        <v>1158</v>
      </c>
      <c r="G491" s="201"/>
      <c r="H491" s="202"/>
      <c r="I491" s="203"/>
      <c r="J491" s="204" t="s">
        <v>1061</v>
      </c>
      <c r="K491" s="205"/>
      <c r="L491" s="55">
        <v>0.3</v>
      </c>
      <c r="M491" s="188">
        <v>26.9</v>
      </c>
      <c r="N491" s="189"/>
      <c r="O491" s="56">
        <f>M491-(M491*T491)</f>
        <v>25.540725689849999</v>
      </c>
      <c r="P491" s="57">
        <f t="shared" ref="P491:P492" si="79">O491*L491</f>
        <v>7.6622177069549995</v>
      </c>
      <c r="Q491" s="228"/>
      <c r="R491" s="179"/>
      <c r="T491" s="88">
        <v>5.05306435E-2</v>
      </c>
    </row>
    <row r="492" spans="1:20" ht="14.85" customHeight="1">
      <c r="A492" s="58" t="s">
        <v>1064</v>
      </c>
      <c r="B492" s="62">
        <v>2062</v>
      </c>
      <c r="C492" s="58" t="s">
        <v>1180</v>
      </c>
      <c r="D492" s="181" t="s">
        <v>1397</v>
      </c>
      <c r="E492" s="182"/>
      <c r="F492" s="58" t="s">
        <v>1068</v>
      </c>
      <c r="G492" s="183"/>
      <c r="H492" s="184"/>
      <c r="I492" s="185"/>
      <c r="J492" s="186" t="s">
        <v>1187</v>
      </c>
      <c r="K492" s="187"/>
      <c r="L492" s="60">
        <v>1</v>
      </c>
      <c r="M492" s="247">
        <v>103.68</v>
      </c>
      <c r="N492" s="248"/>
      <c r="O492" s="56">
        <f t="shared" ref="O492" si="80">M492-(M492*T492)</f>
        <v>98.440982881920007</v>
      </c>
      <c r="P492" s="57">
        <f t="shared" si="79"/>
        <v>98.440982881920007</v>
      </c>
      <c r="Q492" s="228"/>
      <c r="R492" s="179"/>
      <c r="T492" s="88">
        <v>5.05306435E-2</v>
      </c>
    </row>
    <row r="493" spans="1:20" ht="14.25" customHeight="1">
      <c r="A493" s="174" t="s">
        <v>1070</v>
      </c>
      <c r="B493" s="174"/>
      <c r="C493" s="174"/>
      <c r="D493" s="174"/>
      <c r="E493" s="174"/>
      <c r="F493" s="174"/>
      <c r="G493" s="174"/>
      <c r="H493" s="175" t="s">
        <v>1071</v>
      </c>
      <c r="I493" s="175"/>
      <c r="J493" s="175"/>
      <c r="K493" s="175"/>
      <c r="L493" s="176">
        <v>0</v>
      </c>
      <c r="M493" s="176"/>
      <c r="N493" s="177" t="s">
        <v>1072</v>
      </c>
      <c r="O493" s="177"/>
      <c r="P493" s="177"/>
      <c r="Q493" s="179"/>
      <c r="R493" s="179"/>
      <c r="T493" s="88">
        <v>5.05306435E-2</v>
      </c>
    </row>
    <row r="494" spans="1:20" ht="15" customHeight="1">
      <c r="A494" s="226" t="s">
        <v>1073</v>
      </c>
      <c r="B494" s="226"/>
      <c r="C494" s="226"/>
      <c r="D494" s="226"/>
      <c r="E494" s="226"/>
      <c r="F494" s="226"/>
      <c r="G494" s="226"/>
      <c r="H494" s="227"/>
      <c r="I494" s="227"/>
      <c r="J494" s="227"/>
      <c r="K494" s="227"/>
      <c r="L494" s="206" t="s">
        <v>1074</v>
      </c>
      <c r="M494" s="206"/>
      <c r="N494" s="227"/>
      <c r="O494" s="227"/>
      <c r="P494" s="227"/>
      <c r="Q494" s="179"/>
      <c r="R494" s="179"/>
      <c r="T494" s="88">
        <v>5.05306435E-2</v>
      </c>
    </row>
    <row r="495" spans="1:20" ht="15" customHeight="1">
      <c r="A495" s="207"/>
      <c r="B495" s="207"/>
      <c r="C495" s="207"/>
      <c r="D495" s="207"/>
      <c r="E495" s="207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179"/>
      <c r="R495" s="179"/>
      <c r="T495" s="88">
        <v>5.05306435E-2</v>
      </c>
    </row>
    <row r="496" spans="1:20" ht="15.75" customHeight="1">
      <c r="A496" s="71">
        <v>42077</v>
      </c>
      <c r="B496" s="44" t="s">
        <v>3</v>
      </c>
      <c r="C496" s="43" t="s">
        <v>4</v>
      </c>
      <c r="D496" s="208" t="s">
        <v>5</v>
      </c>
      <c r="E496" s="209"/>
      <c r="F496" s="43" t="s">
        <v>1049</v>
      </c>
      <c r="G496" s="210"/>
      <c r="H496" s="211"/>
      <c r="I496" s="212"/>
      <c r="J496" s="215" t="s">
        <v>6</v>
      </c>
      <c r="K496" s="217"/>
      <c r="L496" s="44" t="s">
        <v>7</v>
      </c>
      <c r="M496" s="213" t="s">
        <v>8</v>
      </c>
      <c r="N496" s="214"/>
      <c r="O496" s="66"/>
      <c r="P496" s="44" t="s">
        <v>11</v>
      </c>
      <c r="Q496" s="228"/>
      <c r="R496" s="179"/>
      <c r="T496" s="88">
        <v>5.05306435E-2</v>
      </c>
    </row>
    <row r="497" spans="1:20" ht="15" customHeight="1">
      <c r="A497" s="47" t="s">
        <v>1051</v>
      </c>
      <c r="B497" s="48" t="s">
        <v>1398</v>
      </c>
      <c r="C497" s="47" t="s">
        <v>1053</v>
      </c>
      <c r="D497" s="190" t="s">
        <v>1399</v>
      </c>
      <c r="E497" s="191"/>
      <c r="F497" s="72">
        <v>53</v>
      </c>
      <c r="G497" s="192"/>
      <c r="H497" s="193"/>
      <c r="I497" s="194"/>
      <c r="J497" s="195" t="s">
        <v>1085</v>
      </c>
      <c r="K497" s="196"/>
      <c r="L497" s="50">
        <v>1</v>
      </c>
      <c r="M497" s="197">
        <v>56.03</v>
      </c>
      <c r="N497" s="198"/>
      <c r="O497" s="64">
        <f>M497-(M497*T497)</f>
        <v>53.198768044695001</v>
      </c>
      <c r="P497" s="64">
        <f>SUM(P498:P503)</f>
        <v>53.194818252171963</v>
      </c>
      <c r="Q497" s="228"/>
      <c r="R497" s="179"/>
      <c r="T497" s="88">
        <v>5.05306435E-2</v>
      </c>
    </row>
    <row r="498" spans="1:20" ht="14.25" customHeight="1">
      <c r="A498" s="52" t="s">
        <v>1057</v>
      </c>
      <c r="B498" s="53">
        <v>88267</v>
      </c>
      <c r="C498" s="52" t="s">
        <v>1058</v>
      </c>
      <c r="D498" s="199" t="s">
        <v>1133</v>
      </c>
      <c r="E498" s="200"/>
      <c r="F498" s="52" t="s">
        <v>1158</v>
      </c>
      <c r="G498" s="201"/>
      <c r="H498" s="202"/>
      <c r="I498" s="203"/>
      <c r="J498" s="204" t="s">
        <v>1061</v>
      </c>
      <c r="K498" s="205"/>
      <c r="L498" s="55">
        <v>0.86399999999999999</v>
      </c>
      <c r="M498" s="188">
        <v>26.19</v>
      </c>
      <c r="N498" s="189"/>
      <c r="O498" s="56">
        <f>M498-(M498*T498)</f>
        <v>24.866602446735001</v>
      </c>
      <c r="P498" s="57">
        <f t="shared" ref="P498:P503" si="81">O498*L498</f>
        <v>21.484744513979042</v>
      </c>
      <c r="Q498" s="228"/>
      <c r="R498" s="179"/>
      <c r="T498" s="88">
        <v>5.05306435E-2</v>
      </c>
    </row>
    <row r="499" spans="1:20" ht="15" customHeight="1">
      <c r="A499" s="52" t="s">
        <v>1057</v>
      </c>
      <c r="B499" s="53">
        <v>88248</v>
      </c>
      <c r="C499" s="52" t="s">
        <v>1058</v>
      </c>
      <c r="D499" s="199" t="s">
        <v>1336</v>
      </c>
      <c r="E499" s="200"/>
      <c r="F499" s="52" t="s">
        <v>1158</v>
      </c>
      <c r="G499" s="201"/>
      <c r="H499" s="202"/>
      <c r="I499" s="203"/>
      <c r="J499" s="204" t="s">
        <v>1061</v>
      </c>
      <c r="K499" s="205"/>
      <c r="L499" s="55">
        <v>0.86399999999999999</v>
      </c>
      <c r="M499" s="188">
        <v>21.62</v>
      </c>
      <c r="N499" s="189"/>
      <c r="O499" s="56">
        <f t="shared" ref="O499:O503" si="82">M499-(M499*T499)</f>
        <v>20.527527487530001</v>
      </c>
      <c r="P499" s="57">
        <f t="shared" si="81"/>
        <v>17.73578374922592</v>
      </c>
      <c r="Q499" s="228"/>
      <c r="R499" s="179"/>
      <c r="T499" s="88">
        <v>5.05306435E-2</v>
      </c>
    </row>
    <row r="500" spans="1:20" ht="15" customHeight="1">
      <c r="A500" s="58" t="s">
        <v>1064</v>
      </c>
      <c r="B500" s="62">
        <v>3389</v>
      </c>
      <c r="C500" s="58" t="s">
        <v>1150</v>
      </c>
      <c r="D500" s="181" t="s">
        <v>1400</v>
      </c>
      <c r="E500" s="182"/>
      <c r="F500" s="58" t="s">
        <v>1068</v>
      </c>
      <c r="G500" s="183"/>
      <c r="H500" s="184"/>
      <c r="I500" s="185"/>
      <c r="J500" s="186" t="s">
        <v>1085</v>
      </c>
      <c r="K500" s="187"/>
      <c r="L500" s="60">
        <v>0.1</v>
      </c>
      <c r="M500" s="188">
        <v>11.9</v>
      </c>
      <c r="N500" s="189"/>
      <c r="O500" s="56">
        <f t="shared" si="82"/>
        <v>11.29868534235</v>
      </c>
      <c r="P500" s="57">
        <f t="shared" si="81"/>
        <v>1.1298685342350001</v>
      </c>
      <c r="Q500" s="228"/>
      <c r="R500" s="179"/>
      <c r="T500" s="88">
        <v>5.05306435E-2</v>
      </c>
    </row>
    <row r="501" spans="1:20" ht="14.25" customHeight="1">
      <c r="A501" s="58" t="s">
        <v>1064</v>
      </c>
      <c r="B501" s="62">
        <v>21059</v>
      </c>
      <c r="C501" s="58" t="s">
        <v>1058</v>
      </c>
      <c r="D501" s="181" t="s">
        <v>1401</v>
      </c>
      <c r="E501" s="182"/>
      <c r="F501" s="58" t="s">
        <v>1068</v>
      </c>
      <c r="G501" s="183"/>
      <c r="H501" s="184"/>
      <c r="I501" s="185"/>
      <c r="J501" s="186" t="s">
        <v>1085</v>
      </c>
      <c r="K501" s="187"/>
      <c r="L501" s="60">
        <v>1</v>
      </c>
      <c r="M501" s="188">
        <v>0</v>
      </c>
      <c r="N501" s="189"/>
      <c r="O501" s="56">
        <f t="shared" si="82"/>
        <v>0</v>
      </c>
      <c r="P501" s="57">
        <f t="shared" si="81"/>
        <v>0</v>
      </c>
      <c r="Q501" s="228"/>
      <c r="R501" s="179"/>
      <c r="T501" s="88">
        <v>5.05306435E-2</v>
      </c>
    </row>
    <row r="502" spans="1:20" ht="15" customHeight="1">
      <c r="A502" s="58" t="s">
        <v>1064</v>
      </c>
      <c r="B502" s="62">
        <v>386</v>
      </c>
      <c r="C502" s="58" t="s">
        <v>1150</v>
      </c>
      <c r="D502" s="181" t="s">
        <v>1402</v>
      </c>
      <c r="E502" s="182"/>
      <c r="F502" s="58" t="s">
        <v>1068</v>
      </c>
      <c r="G502" s="183"/>
      <c r="H502" s="184"/>
      <c r="I502" s="185"/>
      <c r="J502" s="186" t="s">
        <v>1085</v>
      </c>
      <c r="K502" s="187"/>
      <c r="L502" s="60">
        <v>0.2</v>
      </c>
      <c r="M502" s="188">
        <v>26.59</v>
      </c>
      <c r="N502" s="189"/>
      <c r="O502" s="56">
        <f t="shared" si="82"/>
        <v>25.246390189334999</v>
      </c>
      <c r="P502" s="57">
        <f t="shared" si="81"/>
        <v>5.0492780378670004</v>
      </c>
      <c r="Q502" s="228"/>
      <c r="R502" s="179"/>
      <c r="T502" s="88">
        <v>5.05306435E-2</v>
      </c>
    </row>
    <row r="503" spans="1:20" ht="14.45" customHeight="1">
      <c r="A503" s="58" t="s">
        <v>1064</v>
      </c>
      <c r="B503" s="62">
        <v>11731</v>
      </c>
      <c r="C503" s="58" t="s">
        <v>1058</v>
      </c>
      <c r="D503" s="181" t="s">
        <v>1403</v>
      </c>
      <c r="E503" s="182"/>
      <c r="F503" s="58" t="s">
        <v>1068</v>
      </c>
      <c r="G503" s="183"/>
      <c r="H503" s="184"/>
      <c r="I503" s="185"/>
      <c r="J503" s="186" t="s">
        <v>1085</v>
      </c>
      <c r="K503" s="187"/>
      <c r="L503" s="60">
        <v>1</v>
      </c>
      <c r="M503" s="188">
        <v>8.2100000000000009</v>
      </c>
      <c r="N503" s="189"/>
      <c r="O503" s="56">
        <f t="shared" si="82"/>
        <v>7.7951434168650007</v>
      </c>
      <c r="P503" s="57">
        <f t="shared" si="81"/>
        <v>7.7951434168650007</v>
      </c>
      <c r="Q503" s="228"/>
      <c r="R503" s="179"/>
      <c r="T503" s="88">
        <v>5.05306435E-2</v>
      </c>
    </row>
    <row r="504" spans="1:20" ht="57.6" customHeight="1">
      <c r="A504" s="233" t="s">
        <v>1404</v>
      </c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T504" s="88">
        <v>5.05306435E-2</v>
      </c>
    </row>
    <row r="505" spans="1:20" ht="15" customHeight="1">
      <c r="A505" s="207"/>
      <c r="B505" s="207"/>
      <c r="C505" s="207"/>
      <c r="D505" s="207"/>
      <c r="E505" s="207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179"/>
      <c r="R505" s="179"/>
      <c r="T505" s="88">
        <v>5.05306435E-2</v>
      </c>
    </row>
    <row r="506" spans="1:20" ht="15.75" customHeight="1">
      <c r="A506" s="71">
        <v>42443</v>
      </c>
      <c r="B506" s="44" t="s">
        <v>3</v>
      </c>
      <c r="C506" s="43" t="s">
        <v>4</v>
      </c>
      <c r="D506" s="208" t="s">
        <v>5</v>
      </c>
      <c r="E506" s="209"/>
      <c r="F506" s="43" t="s">
        <v>1049</v>
      </c>
      <c r="G506" s="210"/>
      <c r="H506" s="211"/>
      <c r="I506" s="212"/>
      <c r="J506" s="215" t="s">
        <v>6</v>
      </c>
      <c r="K506" s="217"/>
      <c r="L506" s="44" t="s">
        <v>7</v>
      </c>
      <c r="M506" s="213" t="s">
        <v>8</v>
      </c>
      <c r="N506" s="214"/>
      <c r="O506" s="66"/>
      <c r="P506" s="44" t="s">
        <v>11</v>
      </c>
      <c r="Q506" s="228"/>
      <c r="R506" s="179"/>
      <c r="T506" s="88">
        <v>5.05306435E-2</v>
      </c>
    </row>
    <row r="507" spans="1:20" ht="15" customHeight="1">
      <c r="A507" s="47" t="s">
        <v>1051</v>
      </c>
      <c r="B507" s="48" t="s">
        <v>1405</v>
      </c>
      <c r="C507" s="47" t="s">
        <v>1053</v>
      </c>
      <c r="D507" s="190" t="s">
        <v>1406</v>
      </c>
      <c r="E507" s="191"/>
      <c r="F507" s="47" t="s">
        <v>1158</v>
      </c>
      <c r="G507" s="192"/>
      <c r="H507" s="193"/>
      <c r="I507" s="194"/>
      <c r="J507" s="195" t="s">
        <v>1085</v>
      </c>
      <c r="K507" s="196"/>
      <c r="L507" s="50">
        <v>1</v>
      </c>
      <c r="M507" s="231">
        <v>240.6</v>
      </c>
      <c r="N507" s="232"/>
      <c r="O507" s="64">
        <f>M507-(M507*T507)</f>
        <v>228.4423271739</v>
      </c>
      <c r="P507" s="64">
        <f>SUM(P508:P510)</f>
        <v>228.4375798271175</v>
      </c>
      <c r="Q507" s="228"/>
      <c r="R507" s="179"/>
      <c r="T507" s="88">
        <v>5.05306435E-2</v>
      </c>
    </row>
    <row r="508" spans="1:20" ht="14.25" customHeight="1">
      <c r="A508" s="52" t="s">
        <v>1057</v>
      </c>
      <c r="B508" s="53">
        <v>88264</v>
      </c>
      <c r="C508" s="52" t="s">
        <v>1058</v>
      </c>
      <c r="D508" s="199" t="s">
        <v>1063</v>
      </c>
      <c r="E508" s="200"/>
      <c r="F508" s="52" t="s">
        <v>1158</v>
      </c>
      <c r="G508" s="201"/>
      <c r="H508" s="202"/>
      <c r="I508" s="203"/>
      <c r="J508" s="204" t="s">
        <v>1061</v>
      </c>
      <c r="K508" s="205"/>
      <c r="L508" s="55">
        <v>0.5</v>
      </c>
      <c r="M508" s="188">
        <v>27.27</v>
      </c>
      <c r="N508" s="189"/>
      <c r="O508" s="56">
        <f>M508-(M508*T508)</f>
        <v>25.892029351754999</v>
      </c>
      <c r="P508" s="57">
        <f t="shared" ref="P508:P510" si="83">O508*L508</f>
        <v>12.9460146758775</v>
      </c>
      <c r="Q508" s="228"/>
      <c r="R508" s="179"/>
      <c r="T508" s="88">
        <v>5.05306435E-2</v>
      </c>
    </row>
    <row r="509" spans="1:20" ht="15" customHeight="1">
      <c r="A509" s="52" t="s">
        <v>1057</v>
      </c>
      <c r="B509" s="53">
        <v>88316</v>
      </c>
      <c r="C509" s="52" t="s">
        <v>1058</v>
      </c>
      <c r="D509" s="199" t="s">
        <v>1059</v>
      </c>
      <c r="E509" s="200"/>
      <c r="F509" s="52" t="s">
        <v>1158</v>
      </c>
      <c r="G509" s="201"/>
      <c r="H509" s="202"/>
      <c r="I509" s="203"/>
      <c r="J509" s="204" t="s">
        <v>1061</v>
      </c>
      <c r="K509" s="205"/>
      <c r="L509" s="55">
        <v>0.5</v>
      </c>
      <c r="M509" s="188">
        <v>21.32</v>
      </c>
      <c r="N509" s="189"/>
      <c r="O509" s="56">
        <f t="shared" ref="O509:O510" si="84">M509-(M509*T509)</f>
        <v>20.24268668058</v>
      </c>
      <c r="P509" s="57">
        <f t="shared" si="83"/>
        <v>10.12134334029</v>
      </c>
      <c r="Q509" s="228"/>
      <c r="R509" s="179"/>
      <c r="T509" s="88">
        <v>5.05306435E-2</v>
      </c>
    </row>
    <row r="510" spans="1:20" ht="14.85" customHeight="1">
      <c r="A510" s="58" t="s">
        <v>1064</v>
      </c>
      <c r="B510" s="62">
        <v>13301</v>
      </c>
      <c r="C510" s="58" t="s">
        <v>1262</v>
      </c>
      <c r="D510" s="181" t="s">
        <v>1407</v>
      </c>
      <c r="E510" s="182"/>
      <c r="F510" s="58" t="s">
        <v>1068</v>
      </c>
      <c r="G510" s="183"/>
      <c r="H510" s="184"/>
      <c r="I510" s="185"/>
      <c r="J510" s="186" t="s">
        <v>1085</v>
      </c>
      <c r="K510" s="187"/>
      <c r="L510" s="60">
        <v>1</v>
      </c>
      <c r="M510" s="247">
        <v>216.3</v>
      </c>
      <c r="N510" s="248"/>
      <c r="O510" s="56">
        <f t="shared" si="84"/>
        <v>205.37022181095</v>
      </c>
      <c r="P510" s="57">
        <f t="shared" si="83"/>
        <v>205.37022181095</v>
      </c>
      <c r="Q510" s="228"/>
      <c r="R510" s="179"/>
      <c r="T510" s="88">
        <v>5.05306435E-2</v>
      </c>
    </row>
    <row r="511" spans="1:20" ht="14.25" customHeight="1">
      <c r="A511" s="174" t="s">
        <v>1070</v>
      </c>
      <c r="B511" s="174"/>
      <c r="C511" s="174"/>
      <c r="D511" s="174"/>
      <c r="E511" s="174"/>
      <c r="F511" s="174"/>
      <c r="G511" s="174"/>
      <c r="H511" s="175" t="s">
        <v>1071</v>
      </c>
      <c r="I511" s="175"/>
      <c r="J511" s="175"/>
      <c r="K511" s="175"/>
      <c r="L511" s="176">
        <v>0</v>
      </c>
      <c r="M511" s="176"/>
      <c r="N511" s="177" t="s">
        <v>1072</v>
      </c>
      <c r="O511" s="177"/>
      <c r="P511" s="177"/>
      <c r="Q511" s="179"/>
      <c r="R511" s="179"/>
      <c r="T511" s="88">
        <v>5.05306435E-2</v>
      </c>
    </row>
    <row r="512" spans="1:20" ht="17.45" customHeight="1">
      <c r="A512" s="178" t="s">
        <v>1073</v>
      </c>
      <c r="B512" s="178"/>
      <c r="C512" s="178"/>
      <c r="D512" s="178"/>
      <c r="E512" s="178"/>
      <c r="F512" s="178"/>
      <c r="G512" s="178"/>
      <c r="H512" s="179"/>
      <c r="I512" s="179"/>
      <c r="J512" s="179"/>
      <c r="K512" s="179"/>
      <c r="L512" s="180" t="s">
        <v>1074</v>
      </c>
      <c r="M512" s="180"/>
      <c r="N512" s="179"/>
      <c r="O512" s="179"/>
      <c r="P512" s="179"/>
      <c r="Q512" s="179"/>
      <c r="R512" s="179"/>
      <c r="T512" s="88">
        <v>5.05306435E-2</v>
      </c>
    </row>
    <row r="513" spans="1:20" ht="28.5" customHeight="1">
      <c r="A513" s="233" t="s">
        <v>1408</v>
      </c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T513" s="88">
        <v>5.05306435E-2</v>
      </c>
    </row>
    <row r="514" spans="1:20" ht="14.25" customHeight="1">
      <c r="A514" s="207"/>
      <c r="B514" s="207"/>
      <c r="C514" s="207"/>
      <c r="D514" s="207"/>
      <c r="E514" s="207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179"/>
      <c r="R514" s="179"/>
      <c r="T514" s="88">
        <v>5.05306435E-2</v>
      </c>
    </row>
    <row r="515" spans="1:20" ht="15.75" customHeight="1">
      <c r="A515" s="43" t="s">
        <v>1409</v>
      </c>
      <c r="B515" s="44" t="s">
        <v>3</v>
      </c>
      <c r="C515" s="43" t="s">
        <v>4</v>
      </c>
      <c r="D515" s="208" t="s">
        <v>5</v>
      </c>
      <c r="E515" s="209"/>
      <c r="F515" s="43" t="s">
        <v>1049</v>
      </c>
      <c r="G515" s="210"/>
      <c r="H515" s="211"/>
      <c r="I515" s="212"/>
      <c r="J515" s="215" t="s">
        <v>6</v>
      </c>
      <c r="K515" s="217"/>
      <c r="L515" s="44" t="s">
        <v>7</v>
      </c>
      <c r="M515" s="213" t="s">
        <v>8</v>
      </c>
      <c r="N515" s="214"/>
      <c r="O515" s="66"/>
      <c r="P515" s="44" t="s">
        <v>11</v>
      </c>
      <c r="Q515" s="228"/>
      <c r="R515" s="179"/>
      <c r="T515" s="88">
        <v>5.05306435E-2</v>
      </c>
    </row>
    <row r="516" spans="1:20" ht="14.25" customHeight="1">
      <c r="A516" s="47" t="s">
        <v>1051</v>
      </c>
      <c r="B516" s="48" t="s">
        <v>1410</v>
      </c>
      <c r="C516" s="47" t="s">
        <v>1053</v>
      </c>
      <c r="D516" s="190" t="s">
        <v>1411</v>
      </c>
      <c r="E516" s="191"/>
      <c r="F516" s="47" t="s">
        <v>1367</v>
      </c>
      <c r="G516" s="192"/>
      <c r="H516" s="193"/>
      <c r="I516" s="194"/>
      <c r="J516" s="195" t="s">
        <v>1085</v>
      </c>
      <c r="K516" s="196"/>
      <c r="L516" s="50">
        <v>1</v>
      </c>
      <c r="M516" s="197">
        <v>90.3</v>
      </c>
      <c r="N516" s="198"/>
      <c r="O516" s="64">
        <f>M516-(M516*T516)</f>
        <v>85.737082891949996</v>
      </c>
      <c r="P516" s="64">
        <f>SUM(P517:P520)</f>
        <v>85.738307707419878</v>
      </c>
      <c r="Q516" s="228"/>
      <c r="R516" s="179"/>
      <c r="T516" s="88">
        <v>5.05306435E-2</v>
      </c>
    </row>
    <row r="517" spans="1:20" ht="15" customHeight="1">
      <c r="A517" s="52" t="s">
        <v>1057</v>
      </c>
      <c r="B517" s="53">
        <v>88248</v>
      </c>
      <c r="C517" s="52" t="s">
        <v>1058</v>
      </c>
      <c r="D517" s="199" t="s">
        <v>1336</v>
      </c>
      <c r="E517" s="200"/>
      <c r="F517" s="52" t="s">
        <v>1158</v>
      </c>
      <c r="G517" s="201"/>
      <c r="H517" s="202"/>
      <c r="I517" s="203"/>
      <c r="J517" s="204" t="s">
        <v>1061</v>
      </c>
      <c r="K517" s="205"/>
      <c r="L517" s="55">
        <v>0.109</v>
      </c>
      <c r="M517" s="188">
        <v>21.62</v>
      </c>
      <c r="N517" s="189"/>
      <c r="O517" s="56">
        <f>M517-(M517*T517)</f>
        <v>20.527527487530001</v>
      </c>
      <c r="P517" s="57">
        <f t="shared" ref="P517:P520" si="85">O517*L517</f>
        <v>2.2375004961407701</v>
      </c>
      <c r="Q517" s="228"/>
      <c r="R517" s="179"/>
      <c r="T517" s="88">
        <v>5.05306435E-2</v>
      </c>
    </row>
    <row r="518" spans="1:20" ht="14.25" customHeight="1">
      <c r="A518" s="52" t="s">
        <v>1057</v>
      </c>
      <c r="B518" s="53">
        <v>88267</v>
      </c>
      <c r="C518" s="52" t="s">
        <v>1058</v>
      </c>
      <c r="D518" s="199" t="s">
        <v>1133</v>
      </c>
      <c r="E518" s="200"/>
      <c r="F518" s="52" t="s">
        <v>1158</v>
      </c>
      <c r="G518" s="201"/>
      <c r="H518" s="202"/>
      <c r="I518" s="203"/>
      <c r="J518" s="204" t="s">
        <v>1061</v>
      </c>
      <c r="K518" s="205"/>
      <c r="L518" s="55">
        <v>0.109</v>
      </c>
      <c r="M518" s="188">
        <v>26.19</v>
      </c>
      <c r="N518" s="189"/>
      <c r="O518" s="56">
        <f t="shared" ref="O518:O520" si="86">M518-(M518*T518)</f>
        <v>24.866602446735001</v>
      </c>
      <c r="P518" s="57">
        <f t="shared" si="85"/>
        <v>2.7104596666941152</v>
      </c>
      <c r="Q518" s="228"/>
      <c r="R518" s="179"/>
      <c r="T518" s="88">
        <v>5.05306435E-2</v>
      </c>
    </row>
    <row r="519" spans="1:20" ht="15" customHeight="1">
      <c r="A519" s="58" t="s">
        <v>1064</v>
      </c>
      <c r="B519" s="62">
        <v>62090</v>
      </c>
      <c r="C519" s="58" t="s">
        <v>1150</v>
      </c>
      <c r="D519" s="181" t="s">
        <v>1412</v>
      </c>
      <c r="E519" s="182"/>
      <c r="F519" s="58" t="s">
        <v>1068</v>
      </c>
      <c r="G519" s="183"/>
      <c r="H519" s="184"/>
      <c r="I519" s="185"/>
      <c r="J519" s="186" t="s">
        <v>1085</v>
      </c>
      <c r="K519" s="187"/>
      <c r="L519" s="60">
        <v>1</v>
      </c>
      <c r="M519" s="188">
        <v>64.599999999999994</v>
      </c>
      <c r="N519" s="189"/>
      <c r="O519" s="56">
        <f t="shared" si="86"/>
        <v>61.335720429899993</v>
      </c>
      <c r="P519" s="57">
        <f t="shared" si="85"/>
        <v>61.335720429899993</v>
      </c>
      <c r="Q519" s="228"/>
      <c r="R519" s="179"/>
      <c r="T519" s="88">
        <v>5.05306435E-2</v>
      </c>
    </row>
    <row r="520" spans="1:20" ht="14.45" customHeight="1">
      <c r="A520" s="58" t="s">
        <v>1064</v>
      </c>
      <c r="B520" s="62">
        <v>62248</v>
      </c>
      <c r="C520" s="58" t="s">
        <v>1150</v>
      </c>
      <c r="D520" s="181" t="s">
        <v>1413</v>
      </c>
      <c r="E520" s="182"/>
      <c r="F520" s="58" t="s">
        <v>1068</v>
      </c>
      <c r="G520" s="183"/>
      <c r="H520" s="184"/>
      <c r="I520" s="185"/>
      <c r="J520" s="186" t="s">
        <v>1085</v>
      </c>
      <c r="K520" s="187"/>
      <c r="L520" s="60">
        <v>1</v>
      </c>
      <c r="M520" s="188">
        <v>20.49</v>
      </c>
      <c r="N520" s="189"/>
      <c r="O520" s="56">
        <f t="shared" si="86"/>
        <v>19.454627114685</v>
      </c>
      <c r="P520" s="57">
        <f t="shared" si="85"/>
        <v>19.454627114685</v>
      </c>
      <c r="Q520" s="228"/>
      <c r="R520" s="179"/>
      <c r="T520" s="88">
        <v>5.05306435E-2</v>
      </c>
    </row>
    <row r="521" spans="1:20" ht="14.25" customHeight="1">
      <c r="A521" s="174" t="s">
        <v>1070</v>
      </c>
      <c r="B521" s="174"/>
      <c r="C521" s="174"/>
      <c r="D521" s="174"/>
      <c r="E521" s="174"/>
      <c r="F521" s="174"/>
      <c r="G521" s="174"/>
      <c r="H521" s="175" t="s">
        <v>1071</v>
      </c>
      <c r="I521" s="175"/>
      <c r="J521" s="175"/>
      <c r="K521" s="175"/>
      <c r="L521" s="176">
        <v>0</v>
      </c>
      <c r="M521" s="176"/>
      <c r="N521" s="177" t="s">
        <v>1072</v>
      </c>
      <c r="O521" s="177"/>
      <c r="P521" s="177"/>
      <c r="Q521" s="179"/>
      <c r="R521" s="179"/>
      <c r="T521" s="88">
        <v>5.05306435E-2</v>
      </c>
    </row>
    <row r="522" spans="1:20" ht="16.5" customHeight="1">
      <c r="A522" s="178" t="s">
        <v>1073</v>
      </c>
      <c r="B522" s="178"/>
      <c r="C522" s="178"/>
      <c r="D522" s="178"/>
      <c r="E522" s="178"/>
      <c r="F522" s="178"/>
      <c r="G522" s="178"/>
      <c r="H522" s="179"/>
      <c r="I522" s="179"/>
      <c r="J522" s="179"/>
      <c r="K522" s="179"/>
      <c r="L522" s="180" t="s">
        <v>1074</v>
      </c>
      <c r="M522" s="180"/>
      <c r="N522" s="179"/>
      <c r="O522" s="179"/>
      <c r="P522" s="179"/>
      <c r="Q522" s="179"/>
      <c r="R522" s="179"/>
      <c r="T522" s="88">
        <v>5.05306435E-2</v>
      </c>
    </row>
    <row r="523" spans="1:20" ht="28.5" customHeight="1">
      <c r="A523" s="233" t="s">
        <v>1414</v>
      </c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T523" s="88">
        <v>5.05306435E-2</v>
      </c>
    </row>
    <row r="524" spans="1:20" ht="15" customHeight="1">
      <c r="A524" s="207"/>
      <c r="B524" s="207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179"/>
      <c r="R524" s="179"/>
      <c r="T524" s="88">
        <v>5.05306435E-2</v>
      </c>
    </row>
    <row r="525" spans="1:20" ht="15.75" customHeight="1">
      <c r="A525" s="43" t="s">
        <v>1415</v>
      </c>
      <c r="B525" s="44" t="s">
        <v>3</v>
      </c>
      <c r="C525" s="43" t="s">
        <v>4</v>
      </c>
      <c r="D525" s="208" t="s">
        <v>5</v>
      </c>
      <c r="E525" s="209"/>
      <c r="F525" s="43" t="s">
        <v>1049</v>
      </c>
      <c r="G525" s="210"/>
      <c r="H525" s="211"/>
      <c r="I525" s="212"/>
      <c r="J525" s="215" t="s">
        <v>6</v>
      </c>
      <c r="K525" s="217"/>
      <c r="L525" s="44" t="s">
        <v>7</v>
      </c>
      <c r="M525" s="213" t="s">
        <v>8</v>
      </c>
      <c r="N525" s="214"/>
      <c r="O525" s="66"/>
      <c r="P525" s="44" t="s">
        <v>11</v>
      </c>
      <c r="Q525" s="228"/>
      <c r="R525" s="179"/>
      <c r="T525" s="88">
        <v>5.05306435E-2</v>
      </c>
    </row>
    <row r="526" spans="1:20" ht="15" customHeight="1">
      <c r="A526" s="47" t="s">
        <v>1051</v>
      </c>
      <c r="B526" s="48" t="s">
        <v>1416</v>
      </c>
      <c r="C526" s="47" t="s">
        <v>1053</v>
      </c>
      <c r="D526" s="190" t="s">
        <v>1417</v>
      </c>
      <c r="E526" s="191"/>
      <c r="F526" s="47" t="s">
        <v>1367</v>
      </c>
      <c r="G526" s="192"/>
      <c r="H526" s="193"/>
      <c r="I526" s="194"/>
      <c r="J526" s="195" t="s">
        <v>1085</v>
      </c>
      <c r="K526" s="196"/>
      <c r="L526" s="50">
        <v>1</v>
      </c>
      <c r="M526" s="236">
        <v>1085.83</v>
      </c>
      <c r="N526" s="237"/>
      <c r="O526" s="64">
        <f>M526-(M526*T526)</f>
        <v>1030.9623113683949</v>
      </c>
      <c r="P526" s="64">
        <f>SUM(P527:P529)</f>
        <v>1030.964210307108</v>
      </c>
      <c r="Q526" s="228"/>
      <c r="R526" s="179"/>
      <c r="T526" s="88">
        <v>5.05306435E-2</v>
      </c>
    </row>
    <row r="527" spans="1:20" ht="14.25" customHeight="1">
      <c r="A527" s="52" t="s">
        <v>1057</v>
      </c>
      <c r="B527" s="53">
        <v>88248</v>
      </c>
      <c r="C527" s="52" t="s">
        <v>1058</v>
      </c>
      <c r="D527" s="199" t="s">
        <v>1336</v>
      </c>
      <c r="E527" s="200"/>
      <c r="F527" s="52" t="s">
        <v>1158</v>
      </c>
      <c r="G527" s="201"/>
      <c r="H527" s="202"/>
      <c r="I527" s="203"/>
      <c r="J527" s="204" t="s">
        <v>1061</v>
      </c>
      <c r="K527" s="205"/>
      <c r="L527" s="55">
        <v>1.2</v>
      </c>
      <c r="M527" s="188">
        <v>21.62</v>
      </c>
      <c r="N527" s="189"/>
      <c r="O527" s="56">
        <f>M527-(M527*T527)</f>
        <v>20.527527487530001</v>
      </c>
      <c r="P527" s="57">
        <f t="shared" ref="P527:P529" si="87">O527*L527</f>
        <v>24.633032985035999</v>
      </c>
      <c r="Q527" s="228"/>
      <c r="R527" s="179"/>
      <c r="T527" s="88">
        <v>5.05306435E-2</v>
      </c>
    </row>
    <row r="528" spans="1:20" ht="15" customHeight="1">
      <c r="A528" s="52" t="s">
        <v>1057</v>
      </c>
      <c r="B528" s="53">
        <v>88267</v>
      </c>
      <c r="C528" s="52" t="s">
        <v>1058</v>
      </c>
      <c r="D528" s="199" t="s">
        <v>1133</v>
      </c>
      <c r="E528" s="200"/>
      <c r="F528" s="52" t="s">
        <v>1158</v>
      </c>
      <c r="G528" s="201"/>
      <c r="H528" s="202"/>
      <c r="I528" s="203"/>
      <c r="J528" s="204" t="s">
        <v>1061</v>
      </c>
      <c r="K528" s="205"/>
      <c r="L528" s="55">
        <v>1.2</v>
      </c>
      <c r="M528" s="188">
        <v>26.19</v>
      </c>
      <c r="N528" s="189"/>
      <c r="O528" s="56">
        <f t="shared" ref="O528:O529" si="88">M528-(M528*T528)</f>
        <v>24.866602446735001</v>
      </c>
      <c r="P528" s="57">
        <f t="shared" si="87"/>
        <v>29.839922936082001</v>
      </c>
      <c r="Q528" s="228"/>
      <c r="R528" s="179"/>
      <c r="T528" s="88">
        <v>5.05306435E-2</v>
      </c>
    </row>
    <row r="529" spans="1:20" ht="15" customHeight="1">
      <c r="A529" s="58" t="s">
        <v>1064</v>
      </c>
      <c r="B529" s="59" t="s">
        <v>1418</v>
      </c>
      <c r="C529" s="58" t="s">
        <v>1066</v>
      </c>
      <c r="D529" s="181" t="s">
        <v>1419</v>
      </c>
      <c r="E529" s="182"/>
      <c r="F529" s="58" t="s">
        <v>1068</v>
      </c>
      <c r="G529" s="183"/>
      <c r="H529" s="184"/>
      <c r="I529" s="185"/>
      <c r="J529" s="186" t="s">
        <v>1187</v>
      </c>
      <c r="K529" s="187"/>
      <c r="L529" s="60">
        <v>1</v>
      </c>
      <c r="M529" s="252">
        <v>1028.46</v>
      </c>
      <c r="N529" s="253"/>
      <c r="O529" s="56">
        <f t="shared" si="88"/>
        <v>976.49125438599003</v>
      </c>
      <c r="P529" s="57">
        <f t="shared" si="87"/>
        <v>976.49125438599003</v>
      </c>
      <c r="Q529" s="228"/>
      <c r="R529" s="179"/>
      <c r="T529" s="88">
        <v>5.05306435E-2</v>
      </c>
    </row>
    <row r="530" spans="1:20" ht="14.25" customHeight="1">
      <c r="A530" s="174" t="s">
        <v>1070</v>
      </c>
      <c r="B530" s="174"/>
      <c r="C530" s="174"/>
      <c r="D530" s="174"/>
      <c r="E530" s="174"/>
      <c r="F530" s="174"/>
      <c r="G530" s="174"/>
      <c r="H530" s="175" t="s">
        <v>1071</v>
      </c>
      <c r="I530" s="175"/>
      <c r="J530" s="175"/>
      <c r="K530" s="175"/>
      <c r="L530" s="176">
        <v>0</v>
      </c>
      <c r="M530" s="176"/>
      <c r="N530" s="177" t="s">
        <v>1072</v>
      </c>
      <c r="O530" s="177"/>
      <c r="P530" s="177"/>
      <c r="Q530" s="179"/>
      <c r="R530" s="179"/>
      <c r="T530" s="88">
        <v>5.05306435E-2</v>
      </c>
    </row>
    <row r="531" spans="1:20" ht="15.95" customHeight="1">
      <c r="A531" s="226" t="s">
        <v>1073</v>
      </c>
      <c r="B531" s="226"/>
      <c r="C531" s="226"/>
      <c r="D531" s="226"/>
      <c r="E531" s="226"/>
      <c r="F531" s="226"/>
      <c r="G531" s="226"/>
      <c r="H531" s="227"/>
      <c r="I531" s="227"/>
      <c r="J531" s="227"/>
      <c r="K531" s="227"/>
      <c r="L531" s="206" t="s">
        <v>1074</v>
      </c>
      <c r="M531" s="206"/>
      <c r="N531" s="227"/>
      <c r="O531" s="227"/>
      <c r="P531" s="227"/>
      <c r="Q531" s="179"/>
      <c r="R531" s="179"/>
      <c r="T531" s="88">
        <v>5.05306435E-2</v>
      </c>
    </row>
    <row r="532" spans="1:20" ht="14.25" customHeight="1">
      <c r="A532" s="207"/>
      <c r="B532" s="207"/>
      <c r="C532" s="207"/>
      <c r="D532" s="207"/>
      <c r="E532" s="207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179"/>
      <c r="R532" s="179"/>
      <c r="T532" s="88">
        <v>5.05306435E-2</v>
      </c>
    </row>
    <row r="533" spans="1:20" ht="15.75" customHeight="1">
      <c r="A533" s="71">
        <v>48959</v>
      </c>
      <c r="B533" s="44" t="s">
        <v>3</v>
      </c>
      <c r="C533" s="43" t="s">
        <v>4</v>
      </c>
      <c r="D533" s="208" t="s">
        <v>5</v>
      </c>
      <c r="E533" s="209"/>
      <c r="F533" s="43" t="s">
        <v>1049</v>
      </c>
      <c r="G533" s="210"/>
      <c r="H533" s="211"/>
      <c r="I533" s="212"/>
      <c r="J533" s="215" t="s">
        <v>6</v>
      </c>
      <c r="K533" s="217"/>
      <c r="L533" s="44" t="s">
        <v>7</v>
      </c>
      <c r="M533" s="213" t="s">
        <v>8</v>
      </c>
      <c r="N533" s="214"/>
      <c r="O533" s="66"/>
      <c r="P533" s="44" t="s">
        <v>11</v>
      </c>
      <c r="Q533" s="228"/>
      <c r="R533" s="179"/>
      <c r="T533" s="88">
        <v>5.05306435E-2</v>
      </c>
    </row>
    <row r="534" spans="1:20" ht="14.25" customHeight="1">
      <c r="A534" s="47" t="s">
        <v>1051</v>
      </c>
      <c r="B534" s="48" t="s">
        <v>1420</v>
      </c>
      <c r="C534" s="47" t="s">
        <v>1053</v>
      </c>
      <c r="D534" s="190" t="s">
        <v>1421</v>
      </c>
      <c r="E534" s="191"/>
      <c r="F534" s="47" t="s">
        <v>1422</v>
      </c>
      <c r="G534" s="192"/>
      <c r="H534" s="193"/>
      <c r="I534" s="194"/>
      <c r="J534" s="195" t="s">
        <v>1085</v>
      </c>
      <c r="K534" s="196"/>
      <c r="L534" s="50">
        <v>1</v>
      </c>
      <c r="M534" s="236">
        <v>1285.6600000000001</v>
      </c>
      <c r="N534" s="237"/>
      <c r="O534" s="64">
        <f>M534-(M534*T534)</f>
        <v>1220.69477287779</v>
      </c>
      <c r="P534" s="64">
        <f>SUM(P535:P537)</f>
        <v>1220.6979441054407</v>
      </c>
      <c r="Q534" s="228"/>
      <c r="R534" s="179"/>
      <c r="T534" s="88">
        <v>5.05306435E-2</v>
      </c>
    </row>
    <row r="535" spans="1:20" ht="15" customHeight="1">
      <c r="A535" s="52" t="s">
        <v>1057</v>
      </c>
      <c r="B535" s="53">
        <v>88248</v>
      </c>
      <c r="C535" s="52" t="s">
        <v>1058</v>
      </c>
      <c r="D535" s="199" t="s">
        <v>1336</v>
      </c>
      <c r="E535" s="200"/>
      <c r="F535" s="52" t="s">
        <v>1158</v>
      </c>
      <c r="G535" s="201"/>
      <c r="H535" s="202"/>
      <c r="I535" s="203"/>
      <c r="J535" s="204" t="s">
        <v>1061</v>
      </c>
      <c r="K535" s="205"/>
      <c r="L535" s="55">
        <v>5.26</v>
      </c>
      <c r="M535" s="188">
        <v>21.62</v>
      </c>
      <c r="N535" s="189"/>
      <c r="O535" s="56">
        <f>M535-(M535*T535)</f>
        <v>20.527527487530001</v>
      </c>
      <c r="P535" s="57">
        <f t="shared" ref="P535:P537" si="89">O535*L535</f>
        <v>107.9747945844078</v>
      </c>
      <c r="Q535" s="228"/>
      <c r="R535" s="179"/>
      <c r="T535" s="88">
        <v>5.05306435E-2</v>
      </c>
    </row>
    <row r="536" spans="1:20" ht="14.25" customHeight="1">
      <c r="A536" s="52" t="s">
        <v>1057</v>
      </c>
      <c r="B536" s="53">
        <v>88267</v>
      </c>
      <c r="C536" s="52" t="s">
        <v>1058</v>
      </c>
      <c r="D536" s="199" t="s">
        <v>1133</v>
      </c>
      <c r="E536" s="200"/>
      <c r="F536" s="52" t="s">
        <v>1158</v>
      </c>
      <c r="G536" s="201"/>
      <c r="H536" s="202"/>
      <c r="I536" s="203"/>
      <c r="J536" s="204" t="s">
        <v>1061</v>
      </c>
      <c r="K536" s="205"/>
      <c r="L536" s="55">
        <v>3.5059999999999998</v>
      </c>
      <c r="M536" s="188">
        <v>26.19</v>
      </c>
      <c r="N536" s="189"/>
      <c r="O536" s="56">
        <f t="shared" ref="O536:O537" si="90">M536-(M536*T536)</f>
        <v>24.866602446735001</v>
      </c>
      <c r="P536" s="57">
        <f t="shared" si="89"/>
        <v>87.18230817825291</v>
      </c>
      <c r="Q536" s="228"/>
      <c r="R536" s="179"/>
      <c r="T536" s="88">
        <v>5.05306435E-2</v>
      </c>
    </row>
    <row r="537" spans="1:20" ht="15.2" customHeight="1">
      <c r="A537" s="58" t="s">
        <v>1064</v>
      </c>
      <c r="B537" s="62">
        <v>57266</v>
      </c>
      <c r="C537" s="58" t="s">
        <v>1150</v>
      </c>
      <c r="D537" s="181" t="s">
        <v>1423</v>
      </c>
      <c r="E537" s="182"/>
      <c r="F537" s="58" t="s">
        <v>1068</v>
      </c>
      <c r="G537" s="183"/>
      <c r="H537" s="184"/>
      <c r="I537" s="185"/>
      <c r="J537" s="186" t="s">
        <v>1085</v>
      </c>
      <c r="K537" s="187"/>
      <c r="L537" s="60">
        <v>1</v>
      </c>
      <c r="M537" s="252">
        <v>1080.1199999999999</v>
      </c>
      <c r="N537" s="253"/>
      <c r="O537" s="56">
        <f t="shared" si="90"/>
        <v>1025.5408413427799</v>
      </c>
      <c r="P537" s="57">
        <f t="shared" si="89"/>
        <v>1025.5408413427799</v>
      </c>
      <c r="Q537" s="228"/>
      <c r="R537" s="179"/>
      <c r="T537" s="88">
        <v>5.05306435E-2</v>
      </c>
    </row>
    <row r="538" spans="1:20" ht="57.6" customHeight="1">
      <c r="A538" s="233" t="s">
        <v>1424</v>
      </c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T538" s="88">
        <v>5.05306435E-2</v>
      </c>
    </row>
    <row r="539" spans="1:20" ht="14.25" customHeight="1">
      <c r="A539" s="207"/>
      <c r="B539" s="207"/>
      <c r="C539" s="207"/>
      <c r="D539" s="207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179"/>
      <c r="R539" s="179"/>
      <c r="T539" s="88">
        <v>5.05306435E-2</v>
      </c>
    </row>
    <row r="540" spans="1:20" ht="15.75" customHeight="1">
      <c r="A540" s="71">
        <v>49324</v>
      </c>
      <c r="B540" s="44" t="s">
        <v>3</v>
      </c>
      <c r="C540" s="43" t="s">
        <v>4</v>
      </c>
      <c r="D540" s="208" t="s">
        <v>5</v>
      </c>
      <c r="E540" s="209"/>
      <c r="F540" s="43" t="s">
        <v>1049</v>
      </c>
      <c r="G540" s="210"/>
      <c r="H540" s="211"/>
      <c r="I540" s="212"/>
      <c r="J540" s="215" t="s">
        <v>6</v>
      </c>
      <c r="K540" s="217"/>
      <c r="L540" s="44" t="s">
        <v>7</v>
      </c>
      <c r="M540" s="213" t="s">
        <v>8</v>
      </c>
      <c r="N540" s="214"/>
      <c r="O540" s="66"/>
      <c r="P540" s="44" t="s">
        <v>11</v>
      </c>
      <c r="Q540" s="228"/>
      <c r="R540" s="179"/>
      <c r="T540" s="88">
        <v>5.05306435E-2</v>
      </c>
    </row>
    <row r="541" spans="1:20" ht="14.25" customHeight="1">
      <c r="A541" s="47" t="s">
        <v>1051</v>
      </c>
      <c r="B541" s="48" t="s">
        <v>1425</v>
      </c>
      <c r="C541" s="47" t="s">
        <v>1053</v>
      </c>
      <c r="D541" s="190" t="s">
        <v>1426</v>
      </c>
      <c r="E541" s="191"/>
      <c r="F541" s="47" t="s">
        <v>1422</v>
      </c>
      <c r="G541" s="192"/>
      <c r="H541" s="193"/>
      <c r="I541" s="194"/>
      <c r="J541" s="195" t="s">
        <v>1085</v>
      </c>
      <c r="K541" s="196"/>
      <c r="L541" s="50">
        <v>1</v>
      </c>
      <c r="M541" s="256">
        <v>21239.27</v>
      </c>
      <c r="N541" s="257"/>
      <c r="O541" s="64">
        <f>M541-(M541*T541)</f>
        <v>20166.036019429754</v>
      </c>
      <c r="P541" s="64">
        <f>SUM(P542:P544)</f>
        <v>20166.036019429754</v>
      </c>
      <c r="Q541" s="228"/>
      <c r="R541" s="179"/>
      <c r="T541" s="88">
        <v>5.05306435E-2</v>
      </c>
    </row>
    <row r="542" spans="1:20" ht="15" customHeight="1">
      <c r="A542" s="52" t="s">
        <v>1057</v>
      </c>
      <c r="B542" s="53">
        <v>88248</v>
      </c>
      <c r="C542" s="52" t="s">
        <v>1058</v>
      </c>
      <c r="D542" s="199" t="s">
        <v>1336</v>
      </c>
      <c r="E542" s="200"/>
      <c r="F542" s="52" t="s">
        <v>1158</v>
      </c>
      <c r="G542" s="201"/>
      <c r="H542" s="202"/>
      <c r="I542" s="203"/>
      <c r="J542" s="204" t="s">
        <v>1061</v>
      </c>
      <c r="K542" s="205"/>
      <c r="L542" s="55">
        <v>2</v>
      </c>
      <c r="M542" s="188">
        <v>21.62</v>
      </c>
      <c r="N542" s="189"/>
      <c r="O542" s="56">
        <f>M542-(M542*T542)</f>
        <v>20.527527487530001</v>
      </c>
      <c r="P542" s="57">
        <f t="shared" ref="P542:P544" si="91">O542*L542</f>
        <v>41.055054975060003</v>
      </c>
      <c r="Q542" s="228"/>
      <c r="R542" s="179"/>
      <c r="T542" s="88">
        <v>5.05306435E-2</v>
      </c>
    </row>
    <row r="543" spans="1:20" ht="15" customHeight="1">
      <c r="A543" s="52" t="s">
        <v>1057</v>
      </c>
      <c r="B543" s="53">
        <v>88267</v>
      </c>
      <c r="C543" s="52" t="s">
        <v>1058</v>
      </c>
      <c r="D543" s="199" t="s">
        <v>1133</v>
      </c>
      <c r="E543" s="200"/>
      <c r="F543" s="52" t="s">
        <v>1158</v>
      </c>
      <c r="G543" s="201"/>
      <c r="H543" s="202"/>
      <c r="I543" s="203"/>
      <c r="J543" s="204" t="s">
        <v>1061</v>
      </c>
      <c r="K543" s="205"/>
      <c r="L543" s="55">
        <v>1</v>
      </c>
      <c r="M543" s="188">
        <v>26.19</v>
      </c>
      <c r="N543" s="189"/>
      <c r="O543" s="56">
        <f t="shared" ref="O543:O544" si="92">M543-(M543*T543)</f>
        <v>24.866602446735001</v>
      </c>
      <c r="P543" s="57">
        <f t="shared" si="91"/>
        <v>24.866602446735001</v>
      </c>
      <c r="Q543" s="228"/>
      <c r="R543" s="179"/>
      <c r="T543" s="88">
        <v>5.05306435E-2</v>
      </c>
    </row>
    <row r="544" spans="1:20" ht="14.45" customHeight="1">
      <c r="A544" s="58" t="s">
        <v>1064</v>
      </c>
      <c r="B544" s="59" t="s">
        <v>1427</v>
      </c>
      <c r="C544" s="58" t="s">
        <v>1428</v>
      </c>
      <c r="D544" s="181" t="s">
        <v>1429</v>
      </c>
      <c r="E544" s="182"/>
      <c r="F544" s="58" t="s">
        <v>1068</v>
      </c>
      <c r="G544" s="183"/>
      <c r="H544" s="184"/>
      <c r="I544" s="185"/>
      <c r="J544" s="186" t="s">
        <v>1085</v>
      </c>
      <c r="K544" s="187"/>
      <c r="L544" s="60">
        <v>1</v>
      </c>
      <c r="M544" s="254">
        <v>21169.84</v>
      </c>
      <c r="N544" s="255"/>
      <c r="O544" s="56">
        <f t="shared" si="92"/>
        <v>20100.11436200796</v>
      </c>
      <c r="P544" s="57">
        <f t="shared" si="91"/>
        <v>20100.11436200796</v>
      </c>
      <c r="Q544" s="228"/>
      <c r="R544" s="179"/>
      <c r="T544" s="88">
        <v>5.05306435E-2</v>
      </c>
    </row>
    <row r="545" spans="1:20" ht="14.25" customHeight="1">
      <c r="A545" s="174" t="s">
        <v>1070</v>
      </c>
      <c r="B545" s="174"/>
      <c r="C545" s="174"/>
      <c r="D545" s="174"/>
      <c r="E545" s="174"/>
      <c r="F545" s="174"/>
      <c r="G545" s="174"/>
      <c r="H545" s="175" t="s">
        <v>1071</v>
      </c>
      <c r="I545" s="175"/>
      <c r="J545" s="175"/>
      <c r="K545" s="175"/>
      <c r="L545" s="176">
        <v>0</v>
      </c>
      <c r="M545" s="176"/>
      <c r="N545" s="177" t="s">
        <v>1072</v>
      </c>
      <c r="O545" s="177"/>
      <c r="P545" s="177"/>
      <c r="Q545" s="179"/>
      <c r="R545" s="179"/>
      <c r="T545" s="88">
        <v>5.05306435E-2</v>
      </c>
    </row>
    <row r="546" spans="1:20" ht="15" customHeight="1">
      <c r="A546" s="226" t="s">
        <v>1073</v>
      </c>
      <c r="B546" s="226"/>
      <c r="C546" s="226"/>
      <c r="D546" s="226"/>
      <c r="E546" s="226"/>
      <c r="F546" s="226"/>
      <c r="G546" s="226"/>
      <c r="H546" s="227"/>
      <c r="I546" s="227"/>
      <c r="J546" s="227"/>
      <c r="K546" s="227"/>
      <c r="L546" s="206" t="s">
        <v>1074</v>
      </c>
      <c r="M546" s="206"/>
      <c r="N546" s="227"/>
      <c r="O546" s="227"/>
      <c r="P546" s="227"/>
      <c r="Q546" s="179"/>
      <c r="R546" s="179"/>
      <c r="T546" s="88">
        <v>5.05306435E-2</v>
      </c>
    </row>
    <row r="547" spans="1:20" ht="15" customHeight="1">
      <c r="A547" s="207"/>
      <c r="B547" s="207"/>
      <c r="C547" s="207"/>
      <c r="D547" s="207"/>
      <c r="E547" s="207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179"/>
      <c r="R547" s="179"/>
      <c r="T547" s="88">
        <v>5.05306435E-2</v>
      </c>
    </row>
    <row r="548" spans="1:20" ht="15.75" customHeight="1">
      <c r="A548" s="71">
        <v>50420</v>
      </c>
      <c r="B548" s="44" t="s">
        <v>3</v>
      </c>
      <c r="C548" s="43" t="s">
        <v>4</v>
      </c>
      <c r="D548" s="208" t="s">
        <v>5</v>
      </c>
      <c r="E548" s="209"/>
      <c r="F548" s="43" t="s">
        <v>1049</v>
      </c>
      <c r="G548" s="210"/>
      <c r="H548" s="211"/>
      <c r="I548" s="212"/>
      <c r="J548" s="215" t="s">
        <v>6</v>
      </c>
      <c r="K548" s="217"/>
      <c r="L548" s="44" t="s">
        <v>7</v>
      </c>
      <c r="M548" s="213" t="s">
        <v>8</v>
      </c>
      <c r="N548" s="214"/>
      <c r="O548" s="66"/>
      <c r="P548" s="44" t="s">
        <v>11</v>
      </c>
      <c r="Q548" s="228"/>
      <c r="R548" s="179"/>
      <c r="T548" s="88">
        <v>5.05306435E-2</v>
      </c>
    </row>
    <row r="549" spans="1:20" ht="15" customHeight="1">
      <c r="A549" s="47" t="s">
        <v>1051</v>
      </c>
      <c r="B549" s="48" t="s">
        <v>1430</v>
      </c>
      <c r="C549" s="47" t="s">
        <v>1053</v>
      </c>
      <c r="D549" s="190" t="s">
        <v>1431</v>
      </c>
      <c r="E549" s="191"/>
      <c r="F549" s="47" t="s">
        <v>1367</v>
      </c>
      <c r="G549" s="192"/>
      <c r="H549" s="193"/>
      <c r="I549" s="194"/>
      <c r="J549" s="195" t="s">
        <v>1085</v>
      </c>
      <c r="K549" s="196"/>
      <c r="L549" s="50">
        <v>1</v>
      </c>
      <c r="M549" s="236">
        <v>1285.6600000000001</v>
      </c>
      <c r="N549" s="237"/>
      <c r="O549" s="64">
        <f>M549-(M549*T549)</f>
        <v>1220.69477287779</v>
      </c>
      <c r="P549" s="64">
        <f>SUM(P550:P552)</f>
        <v>1220.6979441054407</v>
      </c>
      <c r="Q549" s="228"/>
      <c r="R549" s="179"/>
      <c r="T549" s="88">
        <v>5.05306435E-2</v>
      </c>
    </row>
    <row r="550" spans="1:20" ht="14.25" customHeight="1">
      <c r="A550" s="52" t="s">
        <v>1057</v>
      </c>
      <c r="B550" s="53">
        <v>88248</v>
      </c>
      <c r="C550" s="52" t="s">
        <v>1058</v>
      </c>
      <c r="D550" s="199" t="s">
        <v>1336</v>
      </c>
      <c r="E550" s="200"/>
      <c r="F550" s="52" t="s">
        <v>1158</v>
      </c>
      <c r="G550" s="201"/>
      <c r="H550" s="202"/>
      <c r="I550" s="203"/>
      <c r="J550" s="204" t="s">
        <v>1061</v>
      </c>
      <c r="K550" s="205"/>
      <c r="L550" s="55">
        <v>5.26</v>
      </c>
      <c r="M550" s="188">
        <v>21.62</v>
      </c>
      <c r="N550" s="189"/>
      <c r="O550" s="56">
        <f>M550-(M550*T550)</f>
        <v>20.527527487530001</v>
      </c>
      <c r="P550" s="57">
        <f t="shared" ref="P550:P552" si="93">O550*L550</f>
        <v>107.9747945844078</v>
      </c>
      <c r="Q550" s="228"/>
      <c r="R550" s="179"/>
      <c r="T550" s="88">
        <v>5.05306435E-2</v>
      </c>
    </row>
    <row r="551" spans="1:20" ht="15" customHeight="1">
      <c r="A551" s="52" t="s">
        <v>1057</v>
      </c>
      <c r="B551" s="53">
        <v>88267</v>
      </c>
      <c r="C551" s="52" t="s">
        <v>1058</v>
      </c>
      <c r="D551" s="199" t="s">
        <v>1133</v>
      </c>
      <c r="E551" s="200"/>
      <c r="F551" s="52" t="s">
        <v>1158</v>
      </c>
      <c r="G551" s="201"/>
      <c r="H551" s="202"/>
      <c r="I551" s="203"/>
      <c r="J551" s="204" t="s">
        <v>1061</v>
      </c>
      <c r="K551" s="205"/>
      <c r="L551" s="55">
        <v>3.5059999999999998</v>
      </c>
      <c r="M551" s="188">
        <v>26.19</v>
      </c>
      <c r="N551" s="189"/>
      <c r="O551" s="56">
        <f t="shared" ref="O551:O552" si="94">M551-(M551*T551)</f>
        <v>24.866602446735001</v>
      </c>
      <c r="P551" s="57">
        <f t="shared" si="93"/>
        <v>87.18230817825291</v>
      </c>
      <c r="Q551" s="228"/>
      <c r="R551" s="179"/>
      <c r="T551" s="88">
        <v>5.05306435E-2</v>
      </c>
    </row>
    <row r="552" spans="1:20" ht="14.45" customHeight="1">
      <c r="A552" s="58" t="s">
        <v>1064</v>
      </c>
      <c r="B552" s="62">
        <v>57266</v>
      </c>
      <c r="C552" s="58" t="s">
        <v>1150</v>
      </c>
      <c r="D552" s="181" t="s">
        <v>1423</v>
      </c>
      <c r="E552" s="182"/>
      <c r="F552" s="58" t="s">
        <v>1068</v>
      </c>
      <c r="G552" s="183"/>
      <c r="H552" s="184"/>
      <c r="I552" s="185"/>
      <c r="J552" s="186" t="s">
        <v>1085</v>
      </c>
      <c r="K552" s="187"/>
      <c r="L552" s="60">
        <v>1</v>
      </c>
      <c r="M552" s="252">
        <v>1080.1199999999999</v>
      </c>
      <c r="N552" s="253"/>
      <c r="O552" s="56">
        <f t="shared" si="94"/>
        <v>1025.5408413427799</v>
      </c>
      <c r="P552" s="57">
        <f t="shared" si="93"/>
        <v>1025.5408413427799</v>
      </c>
      <c r="Q552" s="228"/>
      <c r="R552" s="179"/>
      <c r="T552" s="88">
        <v>5.05306435E-2</v>
      </c>
    </row>
    <row r="553" spans="1:20" ht="57.2" customHeight="1">
      <c r="A553" s="233" t="s">
        <v>1432</v>
      </c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T553" s="88">
        <v>5.05306435E-2</v>
      </c>
    </row>
    <row r="554" spans="1:20" ht="15" customHeight="1">
      <c r="A554" s="207"/>
      <c r="B554" s="207"/>
      <c r="C554" s="207"/>
      <c r="D554" s="207"/>
      <c r="E554" s="207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179"/>
      <c r="R554" s="179"/>
      <c r="T554" s="88">
        <v>5.05306435E-2</v>
      </c>
    </row>
    <row r="555" spans="1:20" ht="15.75" customHeight="1">
      <c r="A555" s="71">
        <v>50785</v>
      </c>
      <c r="B555" s="44" t="s">
        <v>3</v>
      </c>
      <c r="C555" s="43" t="s">
        <v>4</v>
      </c>
      <c r="D555" s="208" t="s">
        <v>5</v>
      </c>
      <c r="E555" s="209"/>
      <c r="F555" s="43" t="s">
        <v>1049</v>
      </c>
      <c r="G555" s="210"/>
      <c r="H555" s="211"/>
      <c r="I555" s="212"/>
      <c r="J555" s="215" t="s">
        <v>6</v>
      </c>
      <c r="K555" s="217"/>
      <c r="L555" s="44" t="s">
        <v>7</v>
      </c>
      <c r="M555" s="213" t="s">
        <v>8</v>
      </c>
      <c r="N555" s="214"/>
      <c r="O555" s="66"/>
      <c r="P555" s="44" t="s">
        <v>11</v>
      </c>
      <c r="Q555" s="228"/>
      <c r="R555" s="179"/>
      <c r="T555" s="88">
        <v>5.05306435E-2</v>
      </c>
    </row>
    <row r="556" spans="1:20" ht="15" customHeight="1">
      <c r="A556" s="47" t="s">
        <v>1051</v>
      </c>
      <c r="B556" s="48" t="s">
        <v>1433</v>
      </c>
      <c r="C556" s="47" t="s">
        <v>1053</v>
      </c>
      <c r="D556" s="190" t="s">
        <v>1434</v>
      </c>
      <c r="E556" s="191"/>
      <c r="F556" s="47" t="s">
        <v>1367</v>
      </c>
      <c r="G556" s="192"/>
      <c r="H556" s="193"/>
      <c r="I556" s="194"/>
      <c r="J556" s="195" t="s">
        <v>1435</v>
      </c>
      <c r="K556" s="196"/>
      <c r="L556" s="50">
        <v>1</v>
      </c>
      <c r="M556" s="236">
        <v>7013.7</v>
      </c>
      <c r="N556" s="237"/>
      <c r="O556" s="64">
        <f>M556-(M556*T556)</f>
        <v>6659.2932256840495</v>
      </c>
      <c r="P556" s="64">
        <f>SUM(P557:P559)</f>
        <v>6659.2932256840504</v>
      </c>
      <c r="Q556" s="228"/>
      <c r="R556" s="179"/>
      <c r="T556" s="88">
        <v>5.05306435E-2</v>
      </c>
    </row>
    <row r="557" spans="1:20" ht="14.25" customHeight="1">
      <c r="A557" s="52" t="s">
        <v>1057</v>
      </c>
      <c r="B557" s="53">
        <v>88267</v>
      </c>
      <c r="C557" s="52" t="s">
        <v>1058</v>
      </c>
      <c r="D557" s="199" t="s">
        <v>1133</v>
      </c>
      <c r="E557" s="200"/>
      <c r="F557" s="52" t="s">
        <v>1158</v>
      </c>
      <c r="G557" s="201"/>
      <c r="H557" s="202"/>
      <c r="I557" s="203"/>
      <c r="J557" s="204" t="s">
        <v>1061</v>
      </c>
      <c r="K557" s="205"/>
      <c r="L557" s="55">
        <v>1</v>
      </c>
      <c r="M557" s="188">
        <v>26.19</v>
      </c>
      <c r="N557" s="189"/>
      <c r="O557" s="56">
        <f>M557-(M557*T557)</f>
        <v>24.866602446735001</v>
      </c>
      <c r="P557" s="57">
        <f t="shared" ref="P557:P559" si="95">O557*L557</f>
        <v>24.866602446735001</v>
      </c>
      <c r="Q557" s="228"/>
      <c r="R557" s="179"/>
      <c r="T557" s="88">
        <v>5.05306435E-2</v>
      </c>
    </row>
    <row r="558" spans="1:20" ht="15" customHeight="1">
      <c r="A558" s="52" t="s">
        <v>1057</v>
      </c>
      <c r="B558" s="53">
        <v>88248</v>
      </c>
      <c r="C558" s="52" t="s">
        <v>1058</v>
      </c>
      <c r="D558" s="199" t="s">
        <v>1336</v>
      </c>
      <c r="E558" s="200"/>
      <c r="F558" s="52" t="s">
        <v>1158</v>
      </c>
      <c r="G558" s="201"/>
      <c r="H558" s="202"/>
      <c r="I558" s="203"/>
      <c r="J558" s="204" t="s">
        <v>1061</v>
      </c>
      <c r="K558" s="205"/>
      <c r="L558" s="55">
        <v>2.5</v>
      </c>
      <c r="M558" s="188">
        <v>21.62</v>
      </c>
      <c r="N558" s="189"/>
      <c r="O558" s="56">
        <f t="shared" ref="O558:O559" si="96">M558-(M558*T558)</f>
        <v>20.527527487530001</v>
      </c>
      <c r="P558" s="57">
        <f t="shared" si="95"/>
        <v>51.318818718825</v>
      </c>
      <c r="Q558" s="228"/>
      <c r="R558" s="179"/>
      <c r="T558" s="88">
        <v>5.05306435E-2</v>
      </c>
    </row>
    <row r="559" spans="1:20" ht="15" customHeight="1">
      <c r="A559" s="58" t="s">
        <v>1064</v>
      </c>
      <c r="B559" s="59" t="s">
        <v>1436</v>
      </c>
      <c r="C559" s="58" t="s">
        <v>1066</v>
      </c>
      <c r="D559" s="181" t="s">
        <v>1437</v>
      </c>
      <c r="E559" s="182"/>
      <c r="F559" s="58" t="s">
        <v>1068</v>
      </c>
      <c r="G559" s="183"/>
      <c r="H559" s="184"/>
      <c r="I559" s="185"/>
      <c r="J559" s="186" t="s">
        <v>1187</v>
      </c>
      <c r="K559" s="187"/>
      <c r="L559" s="60">
        <v>1</v>
      </c>
      <c r="M559" s="252">
        <v>6933.46</v>
      </c>
      <c r="N559" s="253"/>
      <c r="O559" s="56">
        <f t="shared" si="96"/>
        <v>6583.1078045184904</v>
      </c>
      <c r="P559" s="57">
        <f t="shared" si="95"/>
        <v>6583.1078045184904</v>
      </c>
      <c r="Q559" s="228"/>
      <c r="R559" s="179"/>
      <c r="T559" s="88">
        <v>5.05306435E-2</v>
      </c>
    </row>
    <row r="560" spans="1:20" ht="14.25" customHeight="1">
      <c r="A560" s="174" t="s">
        <v>1070</v>
      </c>
      <c r="B560" s="174"/>
      <c r="C560" s="174"/>
      <c r="D560" s="174"/>
      <c r="E560" s="174"/>
      <c r="F560" s="174"/>
      <c r="G560" s="174"/>
      <c r="H560" s="175" t="s">
        <v>1071</v>
      </c>
      <c r="I560" s="175"/>
      <c r="J560" s="175"/>
      <c r="K560" s="175"/>
      <c r="L560" s="176">
        <v>0</v>
      </c>
      <c r="M560" s="176"/>
      <c r="N560" s="177" t="s">
        <v>1072</v>
      </c>
      <c r="O560" s="177"/>
      <c r="P560" s="177"/>
      <c r="Q560" s="179"/>
      <c r="R560" s="179"/>
      <c r="T560" s="88">
        <v>5.05306435E-2</v>
      </c>
    </row>
    <row r="561" spans="1:20" ht="17.45" customHeight="1">
      <c r="A561" s="178" t="s">
        <v>1073</v>
      </c>
      <c r="B561" s="178"/>
      <c r="C561" s="178"/>
      <c r="D561" s="178"/>
      <c r="E561" s="178"/>
      <c r="F561" s="178"/>
      <c r="G561" s="178"/>
      <c r="H561" s="179"/>
      <c r="I561" s="179"/>
      <c r="J561" s="179"/>
      <c r="K561" s="179"/>
      <c r="L561" s="180" t="s">
        <v>1074</v>
      </c>
      <c r="M561" s="180"/>
      <c r="N561" s="179"/>
      <c r="O561" s="179"/>
      <c r="P561" s="179"/>
      <c r="Q561" s="179"/>
      <c r="R561" s="179"/>
      <c r="T561" s="88">
        <v>5.05306435E-2</v>
      </c>
    </row>
    <row r="562" spans="1:20" ht="28.5" customHeight="1">
      <c r="A562" s="233" t="s">
        <v>1438</v>
      </c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T562" s="88">
        <v>5.05306435E-2</v>
      </c>
    </row>
    <row r="563" spans="1:20" ht="14.25" customHeight="1">
      <c r="A563" s="207"/>
      <c r="B563" s="207"/>
      <c r="C563" s="207"/>
      <c r="D563" s="207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179"/>
      <c r="R563" s="179"/>
      <c r="T563" s="88">
        <v>5.05306435E-2</v>
      </c>
    </row>
    <row r="564" spans="1:20" ht="15.75" customHeight="1">
      <c r="A564" s="43" t="s">
        <v>1439</v>
      </c>
      <c r="B564" s="44" t="s">
        <v>3</v>
      </c>
      <c r="C564" s="43" t="s">
        <v>4</v>
      </c>
      <c r="D564" s="208" t="s">
        <v>5</v>
      </c>
      <c r="E564" s="209"/>
      <c r="F564" s="43" t="s">
        <v>1049</v>
      </c>
      <c r="G564" s="210"/>
      <c r="H564" s="211"/>
      <c r="I564" s="212"/>
      <c r="J564" s="215" t="s">
        <v>6</v>
      </c>
      <c r="K564" s="217"/>
      <c r="L564" s="44" t="s">
        <v>7</v>
      </c>
      <c r="M564" s="213" t="s">
        <v>8</v>
      </c>
      <c r="N564" s="214"/>
      <c r="O564" s="66"/>
      <c r="P564" s="44" t="s">
        <v>11</v>
      </c>
      <c r="Q564" s="228"/>
      <c r="R564" s="179"/>
      <c r="T564" s="88">
        <v>5.05306435E-2</v>
      </c>
    </row>
    <row r="565" spans="1:20" ht="14.25" customHeight="1">
      <c r="A565" s="47" t="s">
        <v>1051</v>
      </c>
      <c r="B565" s="48" t="s">
        <v>1440</v>
      </c>
      <c r="C565" s="47" t="s">
        <v>1053</v>
      </c>
      <c r="D565" s="190" t="s">
        <v>1441</v>
      </c>
      <c r="E565" s="191"/>
      <c r="F565" s="47" t="s">
        <v>1367</v>
      </c>
      <c r="G565" s="192"/>
      <c r="H565" s="193"/>
      <c r="I565" s="194"/>
      <c r="J565" s="195" t="s">
        <v>1085</v>
      </c>
      <c r="K565" s="196"/>
      <c r="L565" s="50">
        <v>1</v>
      </c>
      <c r="M565" s="231">
        <v>213.04</v>
      </c>
      <c r="N565" s="232"/>
      <c r="O565" s="64">
        <f>M565-(M565*T565)</f>
        <v>202.27495170876</v>
      </c>
      <c r="P565" s="64">
        <f>SUM(P566:P569)</f>
        <v>202.27903442699295</v>
      </c>
      <c r="Q565" s="228"/>
      <c r="R565" s="179"/>
      <c r="T565" s="88">
        <v>5.05306435E-2</v>
      </c>
    </row>
    <row r="566" spans="1:20" ht="15" customHeight="1">
      <c r="A566" s="52" t="s">
        <v>1057</v>
      </c>
      <c r="B566" s="53">
        <v>88248</v>
      </c>
      <c r="C566" s="52" t="s">
        <v>1058</v>
      </c>
      <c r="D566" s="199" t="s">
        <v>1336</v>
      </c>
      <c r="E566" s="200"/>
      <c r="F566" s="52" t="s">
        <v>1158</v>
      </c>
      <c r="G566" s="201"/>
      <c r="H566" s="202"/>
      <c r="I566" s="203"/>
      <c r="J566" s="204" t="s">
        <v>1061</v>
      </c>
      <c r="K566" s="205"/>
      <c r="L566" s="55">
        <v>1</v>
      </c>
      <c r="M566" s="188">
        <v>21.62</v>
      </c>
      <c r="N566" s="189"/>
      <c r="O566" s="56">
        <f>M566-(M566*T566)</f>
        <v>20.527527487530001</v>
      </c>
      <c r="P566" s="57">
        <f t="shared" ref="P566:P569" si="97">O566*L566</f>
        <v>20.527527487530001</v>
      </c>
      <c r="Q566" s="228"/>
      <c r="R566" s="179"/>
      <c r="T566" s="88">
        <v>5.05306435E-2</v>
      </c>
    </row>
    <row r="567" spans="1:20" ht="14.25" customHeight="1">
      <c r="A567" s="52" t="s">
        <v>1057</v>
      </c>
      <c r="B567" s="53">
        <v>88267</v>
      </c>
      <c r="C567" s="52" t="s">
        <v>1058</v>
      </c>
      <c r="D567" s="199" t="s">
        <v>1133</v>
      </c>
      <c r="E567" s="200"/>
      <c r="F567" s="52" t="s">
        <v>1158</v>
      </c>
      <c r="G567" s="201"/>
      <c r="H567" s="202"/>
      <c r="I567" s="203"/>
      <c r="J567" s="204" t="s">
        <v>1061</v>
      </c>
      <c r="K567" s="205"/>
      <c r="L567" s="55">
        <v>0.65</v>
      </c>
      <c r="M567" s="188">
        <v>26.19</v>
      </c>
      <c r="N567" s="189"/>
      <c r="O567" s="56">
        <f t="shared" ref="O567:O569" si="98">M567-(M567*T567)</f>
        <v>24.866602446735001</v>
      </c>
      <c r="P567" s="57">
        <f t="shared" si="97"/>
        <v>16.163291590377753</v>
      </c>
      <c r="Q567" s="228"/>
      <c r="R567" s="179"/>
      <c r="T567" s="88">
        <v>5.05306435E-2</v>
      </c>
    </row>
    <row r="568" spans="1:20" ht="15" customHeight="1">
      <c r="A568" s="58" t="s">
        <v>1064</v>
      </c>
      <c r="B568" s="59" t="s">
        <v>1442</v>
      </c>
      <c r="C568" s="58" t="s">
        <v>1443</v>
      </c>
      <c r="D568" s="181" t="s">
        <v>1444</v>
      </c>
      <c r="E568" s="182"/>
      <c r="F568" s="58" t="s">
        <v>1068</v>
      </c>
      <c r="G568" s="183"/>
      <c r="H568" s="184"/>
      <c r="I568" s="185"/>
      <c r="J568" s="186" t="s">
        <v>1085</v>
      </c>
      <c r="K568" s="187"/>
      <c r="L568" s="60">
        <v>1</v>
      </c>
      <c r="M568" s="247">
        <v>174.3</v>
      </c>
      <c r="N568" s="248"/>
      <c r="O568" s="56">
        <f t="shared" si="98"/>
        <v>165.49250883795</v>
      </c>
      <c r="P568" s="57">
        <f t="shared" si="97"/>
        <v>165.49250883795</v>
      </c>
      <c r="Q568" s="228"/>
      <c r="R568" s="179"/>
      <c r="T568" s="88">
        <v>5.05306435E-2</v>
      </c>
    </row>
    <row r="569" spans="1:20" ht="14.85" customHeight="1">
      <c r="A569" s="58" t="s">
        <v>1064</v>
      </c>
      <c r="B569" s="59" t="s">
        <v>1445</v>
      </c>
      <c r="C569" s="58" t="s">
        <v>1443</v>
      </c>
      <c r="D569" s="181" t="s">
        <v>1446</v>
      </c>
      <c r="E569" s="182"/>
      <c r="F569" s="58" t="s">
        <v>1068</v>
      </c>
      <c r="G569" s="183"/>
      <c r="H569" s="184"/>
      <c r="I569" s="185"/>
      <c r="J569" s="186" t="s">
        <v>1107</v>
      </c>
      <c r="K569" s="187"/>
      <c r="L569" s="60">
        <v>0.28000000000000003</v>
      </c>
      <c r="M569" s="188">
        <v>0.36</v>
      </c>
      <c r="N569" s="189"/>
      <c r="O569" s="56">
        <f t="shared" si="98"/>
        <v>0.34180896833999996</v>
      </c>
      <c r="P569" s="57">
        <f t="shared" si="97"/>
        <v>9.5706511135199998E-2</v>
      </c>
      <c r="Q569" s="228"/>
      <c r="R569" s="179"/>
      <c r="T569" s="88">
        <v>5.05306435E-2</v>
      </c>
    </row>
    <row r="570" spans="1:20" ht="14.25" customHeight="1">
      <c r="A570" s="174" t="s">
        <v>1070</v>
      </c>
      <c r="B570" s="174"/>
      <c r="C570" s="174"/>
      <c r="D570" s="174"/>
      <c r="E570" s="174"/>
      <c r="F570" s="174"/>
      <c r="G570" s="174"/>
      <c r="H570" s="175" t="s">
        <v>1071</v>
      </c>
      <c r="I570" s="175"/>
      <c r="J570" s="175"/>
      <c r="K570" s="175"/>
      <c r="L570" s="176">
        <v>0</v>
      </c>
      <c r="M570" s="176"/>
      <c r="N570" s="177" t="s">
        <v>1072</v>
      </c>
      <c r="O570" s="177"/>
      <c r="P570" s="177"/>
      <c r="Q570" s="179"/>
      <c r="R570" s="179"/>
      <c r="T570" s="88">
        <v>5.05306435E-2</v>
      </c>
    </row>
    <row r="571" spans="1:20" ht="17.45" customHeight="1">
      <c r="A571" s="178" t="s">
        <v>1073</v>
      </c>
      <c r="B571" s="178"/>
      <c r="C571" s="178"/>
      <c r="D571" s="178"/>
      <c r="E571" s="178"/>
      <c r="F571" s="178"/>
      <c r="G571" s="178"/>
      <c r="H571" s="179"/>
      <c r="I571" s="179"/>
      <c r="J571" s="179"/>
      <c r="K571" s="179"/>
      <c r="L571" s="180" t="s">
        <v>1074</v>
      </c>
      <c r="M571" s="180"/>
      <c r="N571" s="179"/>
      <c r="O571" s="179"/>
      <c r="P571" s="179"/>
      <c r="Q571" s="179"/>
      <c r="R571" s="179"/>
      <c r="T571" s="88">
        <v>5.05306435E-2</v>
      </c>
    </row>
    <row r="572" spans="1:20" ht="28.5" customHeight="1">
      <c r="A572" s="233" t="s">
        <v>1447</v>
      </c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T572" s="88">
        <v>5.05306435E-2</v>
      </c>
    </row>
    <row r="573" spans="1:20" ht="15" customHeight="1">
      <c r="A573" s="207"/>
      <c r="B573" s="207"/>
      <c r="C573" s="207"/>
      <c r="D573" s="207"/>
      <c r="E573" s="207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179"/>
      <c r="R573" s="179"/>
      <c r="T573" s="88">
        <v>5.05306435E-2</v>
      </c>
    </row>
    <row r="574" spans="1:20" ht="15.75" customHeight="1">
      <c r="A574" s="71">
        <v>46433</v>
      </c>
      <c r="B574" s="44" t="s">
        <v>3</v>
      </c>
      <c r="C574" s="43" t="s">
        <v>4</v>
      </c>
      <c r="D574" s="208" t="s">
        <v>5</v>
      </c>
      <c r="E574" s="209"/>
      <c r="F574" s="43" t="s">
        <v>1049</v>
      </c>
      <c r="G574" s="210"/>
      <c r="H574" s="211"/>
      <c r="I574" s="212"/>
      <c r="J574" s="215" t="s">
        <v>6</v>
      </c>
      <c r="K574" s="217"/>
      <c r="L574" s="44" t="s">
        <v>7</v>
      </c>
      <c r="M574" s="213" t="s">
        <v>8</v>
      </c>
      <c r="N574" s="214"/>
      <c r="O574" s="66"/>
      <c r="P574" s="44" t="s">
        <v>11</v>
      </c>
      <c r="Q574" s="228"/>
      <c r="R574" s="179"/>
      <c r="T574" s="88">
        <v>5.05306435E-2</v>
      </c>
    </row>
    <row r="575" spans="1:20" ht="14.25" customHeight="1">
      <c r="A575" s="47" t="s">
        <v>1051</v>
      </c>
      <c r="B575" s="48" t="s">
        <v>1448</v>
      </c>
      <c r="C575" s="47" t="s">
        <v>1053</v>
      </c>
      <c r="D575" s="190" t="s">
        <v>1449</v>
      </c>
      <c r="E575" s="191"/>
      <c r="F575" s="47" t="s">
        <v>1367</v>
      </c>
      <c r="G575" s="192"/>
      <c r="H575" s="193"/>
      <c r="I575" s="194"/>
      <c r="J575" s="195" t="s">
        <v>1107</v>
      </c>
      <c r="K575" s="196"/>
      <c r="L575" s="50">
        <v>1</v>
      </c>
      <c r="M575" s="231">
        <v>108.58</v>
      </c>
      <c r="N575" s="232"/>
      <c r="O575" s="64">
        <f>M575-(M575*T575)</f>
        <v>103.09338272877</v>
      </c>
      <c r="P575" s="64">
        <f>SUM(P576:P581)</f>
        <v>103.09689576538905</v>
      </c>
      <c r="Q575" s="228"/>
      <c r="R575" s="179"/>
      <c r="T575" s="88">
        <v>5.05306435E-2</v>
      </c>
    </row>
    <row r="576" spans="1:20" ht="15" customHeight="1">
      <c r="A576" s="52" t="s">
        <v>1057</v>
      </c>
      <c r="B576" s="53">
        <v>88267</v>
      </c>
      <c r="C576" s="52" t="s">
        <v>1058</v>
      </c>
      <c r="D576" s="199" t="s">
        <v>1133</v>
      </c>
      <c r="E576" s="200"/>
      <c r="F576" s="52" t="s">
        <v>1158</v>
      </c>
      <c r="G576" s="201"/>
      <c r="H576" s="202"/>
      <c r="I576" s="203"/>
      <c r="J576" s="204" t="s">
        <v>1061</v>
      </c>
      <c r="K576" s="205"/>
      <c r="L576" s="55">
        <v>1.1000000000000001</v>
      </c>
      <c r="M576" s="188">
        <v>26.19</v>
      </c>
      <c r="N576" s="189"/>
      <c r="O576" s="56">
        <f>M576-(M576*T576)</f>
        <v>24.866602446735001</v>
      </c>
      <c r="P576" s="57">
        <f t="shared" ref="P576:P581" si="99">O576*L576</f>
        <v>27.353262691408503</v>
      </c>
      <c r="Q576" s="228"/>
      <c r="R576" s="179"/>
      <c r="T576" s="88">
        <v>5.05306435E-2</v>
      </c>
    </row>
    <row r="577" spans="1:20" ht="14.25" customHeight="1">
      <c r="A577" s="52" t="s">
        <v>1057</v>
      </c>
      <c r="B577" s="53">
        <v>88248</v>
      </c>
      <c r="C577" s="52" t="s">
        <v>1058</v>
      </c>
      <c r="D577" s="199" t="s">
        <v>1336</v>
      </c>
      <c r="E577" s="200"/>
      <c r="F577" s="52" t="s">
        <v>1158</v>
      </c>
      <c r="G577" s="201"/>
      <c r="H577" s="202"/>
      <c r="I577" s="203"/>
      <c r="J577" s="204" t="s">
        <v>1061</v>
      </c>
      <c r="K577" s="205"/>
      <c r="L577" s="55">
        <v>1.1000000000000001</v>
      </c>
      <c r="M577" s="188">
        <v>21.62</v>
      </c>
      <c r="N577" s="189"/>
      <c r="O577" s="56">
        <f t="shared" ref="O577:O581" si="100">M577-(M577*T577)</f>
        <v>20.527527487530001</v>
      </c>
      <c r="P577" s="57">
        <f t="shared" si="99"/>
        <v>22.580280236283002</v>
      </c>
      <c r="Q577" s="228"/>
      <c r="R577" s="179"/>
      <c r="T577" s="88">
        <v>5.05306435E-2</v>
      </c>
    </row>
    <row r="578" spans="1:20" ht="15" customHeight="1">
      <c r="A578" s="58" t="s">
        <v>1064</v>
      </c>
      <c r="B578" s="59" t="s">
        <v>1450</v>
      </c>
      <c r="C578" s="58" t="s">
        <v>1066</v>
      </c>
      <c r="D578" s="181" t="s">
        <v>1451</v>
      </c>
      <c r="E578" s="182"/>
      <c r="F578" s="58" t="s">
        <v>1068</v>
      </c>
      <c r="G578" s="183"/>
      <c r="H578" s="184"/>
      <c r="I578" s="185"/>
      <c r="J578" s="186" t="s">
        <v>1327</v>
      </c>
      <c r="K578" s="187"/>
      <c r="L578" s="60">
        <v>1.3</v>
      </c>
      <c r="M578" s="188">
        <v>37.92</v>
      </c>
      <c r="N578" s="189"/>
      <c r="O578" s="56">
        <f t="shared" si="100"/>
        <v>36.00387799848</v>
      </c>
      <c r="P578" s="57">
        <f t="shared" si="99"/>
        <v>46.805041398024002</v>
      </c>
      <c r="Q578" s="228"/>
      <c r="R578" s="179"/>
      <c r="T578" s="88">
        <v>5.05306435E-2</v>
      </c>
    </row>
    <row r="579" spans="1:20" ht="14.25" customHeight="1">
      <c r="A579" s="58" t="s">
        <v>1064</v>
      </c>
      <c r="B579" s="59" t="s">
        <v>1452</v>
      </c>
      <c r="C579" s="58" t="s">
        <v>1066</v>
      </c>
      <c r="D579" s="181" t="s">
        <v>1453</v>
      </c>
      <c r="E579" s="182"/>
      <c r="F579" s="58" t="s">
        <v>1068</v>
      </c>
      <c r="G579" s="183"/>
      <c r="H579" s="184"/>
      <c r="I579" s="185"/>
      <c r="J579" s="186" t="s">
        <v>1454</v>
      </c>
      <c r="K579" s="187"/>
      <c r="L579" s="60">
        <v>2.3E-2</v>
      </c>
      <c r="M579" s="188">
        <v>17.940000000000001</v>
      </c>
      <c r="N579" s="189"/>
      <c r="O579" s="56">
        <f t="shared" si="100"/>
        <v>17.033480255610002</v>
      </c>
      <c r="P579" s="57">
        <f t="shared" si="99"/>
        <v>0.39177004587903003</v>
      </c>
      <c r="Q579" s="228"/>
      <c r="R579" s="179"/>
      <c r="T579" s="88">
        <v>5.05306435E-2</v>
      </c>
    </row>
    <row r="580" spans="1:20" ht="15" customHeight="1">
      <c r="A580" s="58" t="s">
        <v>1064</v>
      </c>
      <c r="B580" s="59" t="s">
        <v>1455</v>
      </c>
      <c r="C580" s="58" t="s">
        <v>1066</v>
      </c>
      <c r="D580" s="181" t="s">
        <v>1456</v>
      </c>
      <c r="E580" s="182"/>
      <c r="F580" s="58" t="s">
        <v>1068</v>
      </c>
      <c r="G580" s="183"/>
      <c r="H580" s="184"/>
      <c r="I580" s="185"/>
      <c r="J580" s="186" t="s">
        <v>1457</v>
      </c>
      <c r="K580" s="187"/>
      <c r="L580" s="60">
        <v>4.5999999999999999E-2</v>
      </c>
      <c r="M580" s="188">
        <v>47.48</v>
      </c>
      <c r="N580" s="189"/>
      <c r="O580" s="56">
        <f t="shared" si="100"/>
        <v>45.08080504662</v>
      </c>
      <c r="P580" s="57">
        <f t="shared" si="99"/>
        <v>2.0737170321445202</v>
      </c>
      <c r="Q580" s="228"/>
      <c r="R580" s="179"/>
      <c r="T580" s="88">
        <v>5.05306435E-2</v>
      </c>
    </row>
    <row r="581" spans="1:20" ht="14.45" customHeight="1">
      <c r="A581" s="58" t="s">
        <v>1064</v>
      </c>
      <c r="B581" s="62">
        <v>299</v>
      </c>
      <c r="C581" s="58" t="s">
        <v>1058</v>
      </c>
      <c r="D581" s="181" t="s">
        <v>1458</v>
      </c>
      <c r="E581" s="182"/>
      <c r="F581" s="58" t="s">
        <v>1068</v>
      </c>
      <c r="G581" s="183"/>
      <c r="H581" s="184"/>
      <c r="I581" s="185"/>
      <c r="J581" s="186" t="s">
        <v>1085</v>
      </c>
      <c r="K581" s="187"/>
      <c r="L581" s="60">
        <v>1</v>
      </c>
      <c r="M581" s="188">
        <v>4.0999999999999996</v>
      </c>
      <c r="N581" s="189"/>
      <c r="O581" s="56">
        <f t="shared" si="100"/>
        <v>3.8928243616499998</v>
      </c>
      <c r="P581" s="57">
        <f t="shared" si="99"/>
        <v>3.8928243616499998</v>
      </c>
      <c r="Q581" s="228"/>
      <c r="R581" s="179"/>
      <c r="T581" s="88">
        <v>5.05306435E-2</v>
      </c>
    </row>
    <row r="582" spans="1:20" ht="14.25" customHeight="1">
      <c r="A582" s="174" t="s">
        <v>1070</v>
      </c>
      <c r="B582" s="174"/>
      <c r="C582" s="174"/>
      <c r="D582" s="174"/>
      <c r="E582" s="174"/>
      <c r="F582" s="174"/>
      <c r="G582" s="174"/>
      <c r="H582" s="175" t="s">
        <v>1071</v>
      </c>
      <c r="I582" s="175"/>
      <c r="J582" s="175"/>
      <c r="K582" s="175"/>
      <c r="L582" s="176">
        <v>0</v>
      </c>
      <c r="M582" s="176"/>
      <c r="N582" s="177" t="s">
        <v>1072</v>
      </c>
      <c r="O582" s="177"/>
      <c r="P582" s="177"/>
      <c r="Q582" s="179"/>
      <c r="R582" s="179"/>
      <c r="T582" s="88">
        <v>5.05306435E-2</v>
      </c>
    </row>
    <row r="583" spans="1:20" ht="16.5" customHeight="1">
      <c r="A583" s="178" t="s">
        <v>1073</v>
      </c>
      <c r="B583" s="178"/>
      <c r="C583" s="178"/>
      <c r="D583" s="178"/>
      <c r="E583" s="178"/>
      <c r="F583" s="178"/>
      <c r="G583" s="178"/>
      <c r="H583" s="179"/>
      <c r="I583" s="179"/>
      <c r="J583" s="179"/>
      <c r="K583" s="179"/>
      <c r="L583" s="180" t="s">
        <v>1074</v>
      </c>
      <c r="M583" s="180"/>
      <c r="N583" s="179"/>
      <c r="O583" s="179"/>
      <c r="P583" s="179"/>
      <c r="Q583" s="179"/>
      <c r="R583" s="179"/>
      <c r="T583" s="88">
        <v>5.05306435E-2</v>
      </c>
    </row>
    <row r="584" spans="1:20" ht="28.5" customHeight="1">
      <c r="A584" s="233" t="s">
        <v>1459</v>
      </c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T584" s="88">
        <v>5.05306435E-2</v>
      </c>
    </row>
    <row r="585" spans="1:20" ht="15" customHeight="1">
      <c r="A585" s="207"/>
      <c r="B585" s="207"/>
      <c r="C585" s="207"/>
      <c r="D585" s="207"/>
      <c r="E585" s="207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179"/>
      <c r="R585" s="179"/>
      <c r="T585" s="88">
        <v>5.05306435E-2</v>
      </c>
    </row>
    <row r="586" spans="1:20" ht="15.75" customHeight="1">
      <c r="A586" s="71">
        <v>46798</v>
      </c>
      <c r="B586" s="44" t="s">
        <v>3</v>
      </c>
      <c r="C586" s="43" t="s">
        <v>4</v>
      </c>
      <c r="D586" s="208" t="s">
        <v>5</v>
      </c>
      <c r="E586" s="209"/>
      <c r="F586" s="43" t="s">
        <v>1049</v>
      </c>
      <c r="G586" s="210"/>
      <c r="H586" s="211"/>
      <c r="I586" s="212"/>
      <c r="J586" s="215" t="s">
        <v>6</v>
      </c>
      <c r="K586" s="217"/>
      <c r="L586" s="44" t="s">
        <v>7</v>
      </c>
      <c r="M586" s="213" t="s">
        <v>8</v>
      </c>
      <c r="N586" s="214"/>
      <c r="O586" s="66"/>
      <c r="P586" s="44" t="s">
        <v>11</v>
      </c>
      <c r="Q586" s="228"/>
      <c r="R586" s="179"/>
      <c r="T586" s="88">
        <v>5.05306435E-2</v>
      </c>
    </row>
    <row r="587" spans="1:20" ht="15" customHeight="1">
      <c r="A587" s="47" t="s">
        <v>1051</v>
      </c>
      <c r="B587" s="48" t="s">
        <v>1460</v>
      </c>
      <c r="C587" s="47" t="s">
        <v>1053</v>
      </c>
      <c r="D587" s="190" t="s">
        <v>1461</v>
      </c>
      <c r="E587" s="191"/>
      <c r="F587" s="47" t="s">
        <v>1367</v>
      </c>
      <c r="G587" s="192"/>
      <c r="H587" s="193"/>
      <c r="I587" s="194"/>
      <c r="J587" s="195" t="s">
        <v>1107</v>
      </c>
      <c r="K587" s="196"/>
      <c r="L587" s="50">
        <v>1</v>
      </c>
      <c r="M587" s="197">
        <v>54.02</v>
      </c>
      <c r="N587" s="198"/>
      <c r="O587" s="64">
        <f>M587-(M587*T587)</f>
        <v>51.290334638130005</v>
      </c>
      <c r="P587" s="64">
        <f>SUM(P588:P593)</f>
        <v>51.293638791490622</v>
      </c>
      <c r="Q587" s="228"/>
      <c r="R587" s="179"/>
      <c r="T587" s="88">
        <v>5.05306435E-2</v>
      </c>
    </row>
    <row r="588" spans="1:20" ht="14.25" customHeight="1">
      <c r="A588" s="52" t="s">
        <v>1057</v>
      </c>
      <c r="B588" s="53">
        <v>88267</v>
      </c>
      <c r="C588" s="52" t="s">
        <v>1058</v>
      </c>
      <c r="D588" s="199" t="s">
        <v>1133</v>
      </c>
      <c r="E588" s="200"/>
      <c r="F588" s="52" t="s">
        <v>1158</v>
      </c>
      <c r="G588" s="201"/>
      <c r="H588" s="202"/>
      <c r="I588" s="203"/>
      <c r="J588" s="204" t="s">
        <v>1061</v>
      </c>
      <c r="K588" s="205"/>
      <c r="L588" s="55">
        <v>0.6</v>
      </c>
      <c r="M588" s="188">
        <v>26.19</v>
      </c>
      <c r="N588" s="189"/>
      <c r="O588" s="56">
        <f>M588-(M588*T588)</f>
        <v>24.866602446735001</v>
      </c>
      <c r="P588" s="57">
        <f t="shared" ref="P588:P593" si="101">O588*L588</f>
        <v>14.919961468041</v>
      </c>
      <c r="Q588" s="228"/>
      <c r="R588" s="179"/>
      <c r="T588" s="88">
        <v>5.05306435E-2</v>
      </c>
    </row>
    <row r="589" spans="1:20" ht="15" customHeight="1">
      <c r="A589" s="52" t="s">
        <v>1057</v>
      </c>
      <c r="B589" s="53">
        <v>88248</v>
      </c>
      <c r="C589" s="52" t="s">
        <v>1058</v>
      </c>
      <c r="D589" s="199" t="s">
        <v>1336</v>
      </c>
      <c r="E589" s="200"/>
      <c r="F589" s="52" t="s">
        <v>1158</v>
      </c>
      <c r="G589" s="201"/>
      <c r="H589" s="202"/>
      <c r="I589" s="203"/>
      <c r="J589" s="204" t="s">
        <v>1061</v>
      </c>
      <c r="K589" s="205"/>
      <c r="L589" s="55">
        <v>0.6</v>
      </c>
      <c r="M589" s="188">
        <v>21.62</v>
      </c>
      <c r="N589" s="189"/>
      <c r="O589" s="56">
        <f t="shared" ref="O589:O593" si="102">M589-(M589*T589)</f>
        <v>20.527527487530001</v>
      </c>
      <c r="P589" s="57">
        <f t="shared" si="101"/>
        <v>12.316516492518</v>
      </c>
      <c r="Q589" s="228"/>
      <c r="R589" s="179"/>
      <c r="T589" s="88">
        <v>5.05306435E-2</v>
      </c>
    </row>
    <row r="590" spans="1:20" ht="15" customHeight="1">
      <c r="A590" s="58" t="s">
        <v>1064</v>
      </c>
      <c r="B590" s="59" t="s">
        <v>1462</v>
      </c>
      <c r="C590" s="58" t="s">
        <v>1066</v>
      </c>
      <c r="D590" s="181" t="s">
        <v>1463</v>
      </c>
      <c r="E590" s="182"/>
      <c r="F590" s="58" t="s">
        <v>1068</v>
      </c>
      <c r="G590" s="183"/>
      <c r="H590" s="184"/>
      <c r="I590" s="185"/>
      <c r="J590" s="186" t="s">
        <v>1327</v>
      </c>
      <c r="K590" s="187"/>
      <c r="L590" s="60">
        <v>1.4</v>
      </c>
      <c r="M590" s="188">
        <v>14.56</v>
      </c>
      <c r="N590" s="189"/>
      <c r="O590" s="56">
        <f t="shared" si="102"/>
        <v>13.824273830640001</v>
      </c>
      <c r="P590" s="57">
        <f t="shared" si="101"/>
        <v>19.353983362895999</v>
      </c>
      <c r="Q590" s="228"/>
      <c r="R590" s="179"/>
      <c r="T590" s="88">
        <v>5.05306435E-2</v>
      </c>
    </row>
    <row r="591" spans="1:20" ht="14.45" customHeight="1">
      <c r="A591" s="58" t="s">
        <v>1064</v>
      </c>
      <c r="B591" s="62">
        <v>20085</v>
      </c>
      <c r="C591" s="58" t="s">
        <v>1058</v>
      </c>
      <c r="D591" s="181" t="s">
        <v>1464</v>
      </c>
      <c r="E591" s="182"/>
      <c r="F591" s="58" t="s">
        <v>1068</v>
      </c>
      <c r="G591" s="183"/>
      <c r="H591" s="184"/>
      <c r="I591" s="185"/>
      <c r="J591" s="186" t="s">
        <v>1085</v>
      </c>
      <c r="K591" s="187"/>
      <c r="L591" s="60">
        <v>1</v>
      </c>
      <c r="M591" s="188">
        <v>2.59</v>
      </c>
      <c r="N591" s="189"/>
      <c r="O591" s="56">
        <f t="shared" si="102"/>
        <v>2.4591256333349998</v>
      </c>
      <c r="P591" s="57">
        <f t="shared" si="101"/>
        <v>2.4591256333349998</v>
      </c>
      <c r="Q591" s="228"/>
      <c r="R591" s="179"/>
      <c r="T591" s="88">
        <v>5.05306435E-2</v>
      </c>
    </row>
    <row r="592" spans="1:20" ht="14.25" customHeight="1">
      <c r="A592" s="58" t="s">
        <v>1064</v>
      </c>
      <c r="B592" s="59" t="s">
        <v>1455</v>
      </c>
      <c r="C592" s="58" t="s">
        <v>1066</v>
      </c>
      <c r="D592" s="181" t="s">
        <v>1456</v>
      </c>
      <c r="E592" s="182"/>
      <c r="F592" s="58" t="s">
        <v>1068</v>
      </c>
      <c r="G592" s="183"/>
      <c r="H592" s="184"/>
      <c r="I592" s="185"/>
      <c r="J592" s="186" t="s">
        <v>1457</v>
      </c>
      <c r="K592" s="187"/>
      <c r="L592" s="60">
        <v>4.5999999999999999E-2</v>
      </c>
      <c r="M592" s="188">
        <v>47.48</v>
      </c>
      <c r="N592" s="189"/>
      <c r="O592" s="56">
        <f t="shared" si="102"/>
        <v>45.08080504662</v>
      </c>
      <c r="P592" s="57">
        <f t="shared" si="101"/>
        <v>2.0737170321445202</v>
      </c>
      <c r="Q592" s="228"/>
      <c r="R592" s="179"/>
      <c r="T592" s="88">
        <v>5.05306435E-2</v>
      </c>
    </row>
    <row r="593" spans="1:20" ht="15" customHeight="1">
      <c r="A593" s="58" t="s">
        <v>1064</v>
      </c>
      <c r="B593" s="59" t="s">
        <v>1452</v>
      </c>
      <c r="C593" s="58" t="s">
        <v>1066</v>
      </c>
      <c r="D593" s="181" t="s">
        <v>1453</v>
      </c>
      <c r="E593" s="182"/>
      <c r="F593" s="58" t="s">
        <v>1068</v>
      </c>
      <c r="G593" s="183"/>
      <c r="H593" s="184"/>
      <c r="I593" s="185"/>
      <c r="J593" s="186" t="s">
        <v>1454</v>
      </c>
      <c r="K593" s="187"/>
      <c r="L593" s="60">
        <v>0.01</v>
      </c>
      <c r="M593" s="188">
        <v>17.940000000000001</v>
      </c>
      <c r="N593" s="189"/>
      <c r="O593" s="56">
        <f t="shared" si="102"/>
        <v>17.033480255610002</v>
      </c>
      <c r="P593" s="57">
        <f t="shared" si="101"/>
        <v>0.17033480255610001</v>
      </c>
      <c r="Q593" s="228"/>
      <c r="R593" s="179"/>
      <c r="T593" s="88">
        <v>5.05306435E-2</v>
      </c>
    </row>
    <row r="594" spans="1:20" ht="14.25" customHeight="1">
      <c r="A594" s="174" t="s">
        <v>1070</v>
      </c>
      <c r="B594" s="174"/>
      <c r="C594" s="174"/>
      <c r="D594" s="174"/>
      <c r="E594" s="174"/>
      <c r="F594" s="174"/>
      <c r="G594" s="174"/>
      <c r="H594" s="175" t="s">
        <v>1071</v>
      </c>
      <c r="I594" s="175"/>
      <c r="J594" s="175"/>
      <c r="K594" s="175"/>
      <c r="L594" s="176">
        <v>0</v>
      </c>
      <c r="M594" s="176"/>
      <c r="N594" s="177" t="s">
        <v>1072</v>
      </c>
      <c r="O594" s="177"/>
      <c r="P594" s="177"/>
      <c r="Q594" s="179"/>
      <c r="R594" s="179"/>
      <c r="T594" s="88">
        <v>5.05306435E-2</v>
      </c>
    </row>
    <row r="595" spans="1:20" ht="16.5" customHeight="1">
      <c r="A595" s="178" t="s">
        <v>1073</v>
      </c>
      <c r="B595" s="178"/>
      <c r="C595" s="178"/>
      <c r="D595" s="178"/>
      <c r="E595" s="178"/>
      <c r="F595" s="178"/>
      <c r="G595" s="178"/>
      <c r="H595" s="179"/>
      <c r="I595" s="179"/>
      <c r="J595" s="179"/>
      <c r="K595" s="179"/>
      <c r="L595" s="180" t="s">
        <v>1074</v>
      </c>
      <c r="M595" s="180"/>
      <c r="N595" s="179"/>
      <c r="O595" s="179"/>
      <c r="P595" s="179"/>
      <c r="Q595" s="179"/>
      <c r="R595" s="179"/>
      <c r="T595" s="88">
        <v>5.05306435E-2</v>
      </c>
    </row>
    <row r="596" spans="1:20" ht="28.5" customHeight="1">
      <c r="A596" s="233" t="s">
        <v>1465</v>
      </c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T596" s="88">
        <v>5.05306435E-2</v>
      </c>
    </row>
    <row r="597" spans="1:20" ht="14.25" customHeight="1">
      <c r="A597" s="207"/>
      <c r="B597" s="207"/>
      <c r="C597" s="207"/>
      <c r="D597" s="207"/>
      <c r="E597" s="207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179"/>
      <c r="R597" s="179"/>
      <c r="T597" s="88">
        <v>5.05306435E-2</v>
      </c>
    </row>
    <row r="598" spans="1:20" ht="15.75" customHeight="1">
      <c r="A598" s="71">
        <v>47164</v>
      </c>
      <c r="B598" s="44" t="s">
        <v>3</v>
      </c>
      <c r="C598" s="43" t="s">
        <v>4</v>
      </c>
      <c r="D598" s="208" t="s">
        <v>5</v>
      </c>
      <c r="E598" s="209"/>
      <c r="F598" s="43" t="s">
        <v>1049</v>
      </c>
      <c r="G598" s="210"/>
      <c r="H598" s="211"/>
      <c r="I598" s="212"/>
      <c r="J598" s="215" t="s">
        <v>6</v>
      </c>
      <c r="K598" s="217"/>
      <c r="L598" s="44" t="s">
        <v>7</v>
      </c>
      <c r="M598" s="213" t="s">
        <v>8</v>
      </c>
      <c r="N598" s="214"/>
      <c r="O598" s="66"/>
      <c r="P598" s="44" t="s">
        <v>11</v>
      </c>
      <c r="Q598" s="228"/>
      <c r="R598" s="179"/>
      <c r="T598" s="88">
        <v>5.05306435E-2</v>
      </c>
    </row>
    <row r="599" spans="1:20" ht="14.25" customHeight="1">
      <c r="A599" s="47" t="s">
        <v>1051</v>
      </c>
      <c r="B599" s="48" t="s">
        <v>1466</v>
      </c>
      <c r="C599" s="47" t="s">
        <v>1053</v>
      </c>
      <c r="D599" s="190" t="s">
        <v>1467</v>
      </c>
      <c r="E599" s="191"/>
      <c r="F599" s="47" t="s">
        <v>1367</v>
      </c>
      <c r="G599" s="192"/>
      <c r="H599" s="193"/>
      <c r="I599" s="194"/>
      <c r="J599" s="195" t="s">
        <v>1107</v>
      </c>
      <c r="K599" s="196"/>
      <c r="L599" s="50">
        <v>1</v>
      </c>
      <c r="M599" s="197">
        <v>98.07</v>
      </c>
      <c r="N599" s="198"/>
      <c r="O599" s="64">
        <f>M599-(M599*T599)</f>
        <v>93.114459791954999</v>
      </c>
      <c r="P599" s="64">
        <f>SUM(P600:P605)</f>
        <v>93.117498093895804</v>
      </c>
      <c r="Q599" s="228"/>
      <c r="R599" s="179"/>
      <c r="T599" s="88">
        <v>5.05306435E-2</v>
      </c>
    </row>
    <row r="600" spans="1:20" ht="15" customHeight="1">
      <c r="A600" s="52" t="s">
        <v>1057</v>
      </c>
      <c r="B600" s="53">
        <v>88248</v>
      </c>
      <c r="C600" s="52" t="s">
        <v>1058</v>
      </c>
      <c r="D600" s="199" t="s">
        <v>1336</v>
      </c>
      <c r="E600" s="200"/>
      <c r="F600" s="52" t="s">
        <v>1158</v>
      </c>
      <c r="G600" s="201"/>
      <c r="H600" s="202"/>
      <c r="I600" s="203"/>
      <c r="J600" s="204" t="s">
        <v>1061</v>
      </c>
      <c r="K600" s="205"/>
      <c r="L600" s="55">
        <v>1.1000000000000001</v>
      </c>
      <c r="M600" s="188">
        <v>21.62</v>
      </c>
      <c r="N600" s="189"/>
      <c r="O600" s="56">
        <f>M600-(M600*T600)</f>
        <v>20.527527487530001</v>
      </c>
      <c r="P600" s="57">
        <f t="shared" ref="P600:P605" si="103">O600*L600</f>
        <v>22.580280236283002</v>
      </c>
      <c r="Q600" s="228"/>
      <c r="R600" s="179"/>
      <c r="T600" s="88">
        <v>5.05306435E-2</v>
      </c>
    </row>
    <row r="601" spans="1:20" ht="15" customHeight="1">
      <c r="A601" s="52" t="s">
        <v>1057</v>
      </c>
      <c r="B601" s="53">
        <v>88267</v>
      </c>
      <c r="C601" s="52" t="s">
        <v>1058</v>
      </c>
      <c r="D601" s="199" t="s">
        <v>1133</v>
      </c>
      <c r="E601" s="200"/>
      <c r="F601" s="52" t="s">
        <v>1158</v>
      </c>
      <c r="G601" s="201"/>
      <c r="H601" s="202"/>
      <c r="I601" s="203"/>
      <c r="J601" s="204" t="s">
        <v>1061</v>
      </c>
      <c r="K601" s="205"/>
      <c r="L601" s="55">
        <v>1.1000000000000001</v>
      </c>
      <c r="M601" s="188">
        <v>26.19</v>
      </c>
      <c r="N601" s="189"/>
      <c r="O601" s="56">
        <f t="shared" ref="O601:O605" si="104">M601-(M601*T601)</f>
        <v>24.866602446735001</v>
      </c>
      <c r="P601" s="57">
        <f t="shared" si="103"/>
        <v>27.353262691408503</v>
      </c>
      <c r="Q601" s="228"/>
      <c r="R601" s="179"/>
      <c r="T601" s="88">
        <v>5.05306435E-2</v>
      </c>
    </row>
    <row r="602" spans="1:20" ht="14.25" customHeight="1">
      <c r="A602" s="58" t="s">
        <v>1064</v>
      </c>
      <c r="B602" s="62">
        <v>298</v>
      </c>
      <c r="C602" s="58" t="s">
        <v>1058</v>
      </c>
      <c r="D602" s="181" t="s">
        <v>1468</v>
      </c>
      <c r="E602" s="182"/>
      <c r="F602" s="58" t="s">
        <v>1068</v>
      </c>
      <c r="G602" s="183"/>
      <c r="H602" s="184"/>
      <c r="I602" s="185"/>
      <c r="J602" s="186" t="s">
        <v>1085</v>
      </c>
      <c r="K602" s="187"/>
      <c r="L602" s="60">
        <v>2.33</v>
      </c>
      <c r="M602" s="188">
        <v>3.15</v>
      </c>
      <c r="N602" s="189"/>
      <c r="O602" s="56">
        <f t="shared" si="104"/>
        <v>2.9908284729750001</v>
      </c>
      <c r="P602" s="57">
        <f t="shared" si="103"/>
        <v>6.9686303420317506</v>
      </c>
      <c r="Q602" s="228"/>
      <c r="R602" s="179"/>
      <c r="T602" s="88">
        <v>5.05306435E-2</v>
      </c>
    </row>
    <row r="603" spans="1:20" ht="15" customHeight="1">
      <c r="A603" s="58" t="s">
        <v>1064</v>
      </c>
      <c r="B603" s="59" t="s">
        <v>1469</v>
      </c>
      <c r="C603" s="58" t="s">
        <v>1066</v>
      </c>
      <c r="D603" s="181" t="s">
        <v>1470</v>
      </c>
      <c r="E603" s="182"/>
      <c r="F603" s="58" t="s">
        <v>1068</v>
      </c>
      <c r="G603" s="183"/>
      <c r="H603" s="184"/>
      <c r="I603" s="185"/>
      <c r="J603" s="186" t="s">
        <v>1327</v>
      </c>
      <c r="K603" s="187"/>
      <c r="L603" s="60">
        <v>1.4</v>
      </c>
      <c r="M603" s="188">
        <v>25.39</v>
      </c>
      <c r="N603" s="189"/>
      <c r="O603" s="56">
        <f t="shared" si="104"/>
        <v>24.107026961535002</v>
      </c>
      <c r="P603" s="57">
        <f t="shared" si="103"/>
        <v>33.749837746148998</v>
      </c>
      <c r="Q603" s="228"/>
      <c r="R603" s="179"/>
      <c r="T603" s="88">
        <v>5.05306435E-2</v>
      </c>
    </row>
    <row r="604" spans="1:20" ht="14.25" customHeight="1">
      <c r="A604" s="58" t="s">
        <v>1064</v>
      </c>
      <c r="B604" s="59" t="s">
        <v>1455</v>
      </c>
      <c r="C604" s="58" t="s">
        <v>1066</v>
      </c>
      <c r="D604" s="181" t="s">
        <v>1456</v>
      </c>
      <c r="E604" s="182"/>
      <c r="F604" s="58" t="s">
        <v>1068</v>
      </c>
      <c r="G604" s="183"/>
      <c r="H604" s="184"/>
      <c r="I604" s="185"/>
      <c r="J604" s="186" t="s">
        <v>1457</v>
      </c>
      <c r="K604" s="187"/>
      <c r="L604" s="60">
        <v>4.5999999999999999E-2</v>
      </c>
      <c r="M604" s="188">
        <v>47.48</v>
      </c>
      <c r="N604" s="189"/>
      <c r="O604" s="56">
        <f t="shared" si="104"/>
        <v>45.08080504662</v>
      </c>
      <c r="P604" s="57">
        <f t="shared" si="103"/>
        <v>2.0737170321445202</v>
      </c>
      <c r="Q604" s="228"/>
      <c r="R604" s="179"/>
      <c r="T604" s="88">
        <v>5.05306435E-2</v>
      </c>
    </row>
    <row r="605" spans="1:20" ht="15" customHeight="1">
      <c r="A605" s="58" t="s">
        <v>1064</v>
      </c>
      <c r="B605" s="59" t="s">
        <v>1452</v>
      </c>
      <c r="C605" s="58" t="s">
        <v>1066</v>
      </c>
      <c r="D605" s="181" t="s">
        <v>1453</v>
      </c>
      <c r="E605" s="182"/>
      <c r="F605" s="58" t="s">
        <v>1068</v>
      </c>
      <c r="G605" s="183"/>
      <c r="H605" s="184"/>
      <c r="I605" s="185"/>
      <c r="J605" s="186" t="s">
        <v>1454</v>
      </c>
      <c r="K605" s="187"/>
      <c r="L605" s="60">
        <v>2.3E-2</v>
      </c>
      <c r="M605" s="188">
        <v>17.940000000000001</v>
      </c>
      <c r="N605" s="189"/>
      <c r="O605" s="56">
        <f t="shared" si="104"/>
        <v>17.033480255610002</v>
      </c>
      <c r="P605" s="57">
        <f t="shared" si="103"/>
        <v>0.39177004587903003</v>
      </c>
      <c r="Q605" s="228"/>
      <c r="R605" s="179"/>
      <c r="T605" s="88">
        <v>5.05306435E-2</v>
      </c>
    </row>
    <row r="606" spans="1:20" ht="14.25" customHeight="1">
      <c r="A606" s="174" t="s">
        <v>1070</v>
      </c>
      <c r="B606" s="174"/>
      <c r="C606" s="174"/>
      <c r="D606" s="174"/>
      <c r="E606" s="174"/>
      <c r="F606" s="174"/>
      <c r="G606" s="174"/>
      <c r="H606" s="175" t="s">
        <v>1071</v>
      </c>
      <c r="I606" s="175"/>
      <c r="J606" s="175"/>
      <c r="K606" s="175"/>
      <c r="L606" s="176">
        <v>0</v>
      </c>
      <c r="M606" s="176"/>
      <c r="N606" s="177" t="s">
        <v>1072</v>
      </c>
      <c r="O606" s="177"/>
      <c r="P606" s="177"/>
      <c r="Q606" s="179"/>
      <c r="R606" s="179"/>
      <c r="T606" s="88">
        <v>5.05306435E-2</v>
      </c>
    </row>
    <row r="607" spans="1:20" ht="17.45" customHeight="1">
      <c r="A607" s="178" t="s">
        <v>1073</v>
      </c>
      <c r="B607" s="178"/>
      <c r="C607" s="178"/>
      <c r="D607" s="178"/>
      <c r="E607" s="178"/>
      <c r="F607" s="178"/>
      <c r="G607" s="178"/>
      <c r="H607" s="179"/>
      <c r="I607" s="179"/>
      <c r="J607" s="179"/>
      <c r="K607" s="179"/>
      <c r="L607" s="180" t="s">
        <v>1074</v>
      </c>
      <c r="M607" s="180"/>
      <c r="N607" s="179"/>
      <c r="O607" s="179"/>
      <c r="P607" s="179"/>
      <c r="Q607" s="179"/>
      <c r="R607" s="179"/>
      <c r="T607" s="88">
        <v>5.05306435E-2</v>
      </c>
    </row>
    <row r="608" spans="1:20" ht="28.5" customHeight="1">
      <c r="A608" s="233" t="s">
        <v>1471</v>
      </c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T608" s="88">
        <v>5.05306435E-2</v>
      </c>
    </row>
    <row r="609" spans="1:20" ht="14.25" customHeight="1">
      <c r="A609" s="207"/>
      <c r="B609" s="207"/>
      <c r="C609" s="207"/>
      <c r="D609" s="207"/>
      <c r="E609" s="207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179"/>
      <c r="R609" s="179"/>
      <c r="T609" s="88">
        <v>5.05306435E-2</v>
      </c>
    </row>
    <row r="610" spans="1:20" ht="15.75" customHeight="1">
      <c r="A610" s="71">
        <v>47529</v>
      </c>
      <c r="B610" s="44" t="s">
        <v>3</v>
      </c>
      <c r="C610" s="43" t="s">
        <v>4</v>
      </c>
      <c r="D610" s="208" t="s">
        <v>5</v>
      </c>
      <c r="E610" s="209"/>
      <c r="F610" s="43" t="s">
        <v>1049</v>
      </c>
      <c r="G610" s="210"/>
      <c r="H610" s="211"/>
      <c r="I610" s="212"/>
      <c r="J610" s="215" t="s">
        <v>6</v>
      </c>
      <c r="K610" s="217"/>
      <c r="L610" s="44" t="s">
        <v>7</v>
      </c>
      <c r="M610" s="213" t="s">
        <v>8</v>
      </c>
      <c r="N610" s="214"/>
      <c r="O610" s="66"/>
      <c r="P610" s="44" t="s">
        <v>11</v>
      </c>
      <c r="Q610" s="228"/>
      <c r="R610" s="179"/>
      <c r="T610" s="88">
        <v>5.05306435E-2</v>
      </c>
    </row>
    <row r="611" spans="1:20" ht="14.25" customHeight="1">
      <c r="A611" s="47" t="s">
        <v>1051</v>
      </c>
      <c r="B611" s="48" t="s">
        <v>1472</v>
      </c>
      <c r="C611" s="47" t="s">
        <v>1053</v>
      </c>
      <c r="D611" s="190" t="s">
        <v>1473</v>
      </c>
      <c r="E611" s="191"/>
      <c r="F611" s="47" t="s">
        <v>1367</v>
      </c>
      <c r="G611" s="192"/>
      <c r="H611" s="193"/>
      <c r="I611" s="194"/>
      <c r="J611" s="195" t="s">
        <v>1107</v>
      </c>
      <c r="K611" s="196"/>
      <c r="L611" s="50">
        <v>1</v>
      </c>
      <c r="M611" s="197">
        <v>46.74</v>
      </c>
      <c r="N611" s="198"/>
      <c r="O611" s="64">
        <f>M611-(M611*T611)</f>
        <v>44.37819772281</v>
      </c>
      <c r="P611" s="64">
        <f>SUM(P612:P617)</f>
        <v>44.379156686860064</v>
      </c>
      <c r="Q611" s="228"/>
      <c r="R611" s="179"/>
      <c r="T611" s="88">
        <v>5.05306435E-2</v>
      </c>
    </row>
    <row r="612" spans="1:20" ht="15" customHeight="1">
      <c r="A612" s="52" t="s">
        <v>1057</v>
      </c>
      <c r="B612" s="53">
        <v>88267</v>
      </c>
      <c r="C612" s="52" t="s">
        <v>1058</v>
      </c>
      <c r="D612" s="199" t="s">
        <v>1133</v>
      </c>
      <c r="E612" s="200"/>
      <c r="F612" s="52" t="s">
        <v>1158</v>
      </c>
      <c r="G612" s="201"/>
      <c r="H612" s="202"/>
      <c r="I612" s="203"/>
      <c r="J612" s="204" t="s">
        <v>1061</v>
      </c>
      <c r="K612" s="205"/>
      <c r="L612" s="55">
        <v>0.5</v>
      </c>
      <c r="M612" s="188">
        <v>26.19</v>
      </c>
      <c r="N612" s="189"/>
      <c r="O612" s="56">
        <f>M612-(M612*T612)</f>
        <v>24.866602446735001</v>
      </c>
      <c r="P612" s="57">
        <f t="shared" ref="P612:P617" si="105">O612*L612</f>
        <v>12.433301223367501</v>
      </c>
      <c r="Q612" s="228"/>
      <c r="R612" s="179"/>
      <c r="T612" s="88">
        <v>5.05306435E-2</v>
      </c>
    </row>
    <row r="613" spans="1:20" ht="14.25" customHeight="1">
      <c r="A613" s="52" t="s">
        <v>1057</v>
      </c>
      <c r="B613" s="53">
        <v>88248</v>
      </c>
      <c r="C613" s="52" t="s">
        <v>1058</v>
      </c>
      <c r="D613" s="199" t="s">
        <v>1336</v>
      </c>
      <c r="E613" s="200"/>
      <c r="F613" s="52" t="s">
        <v>1158</v>
      </c>
      <c r="G613" s="201"/>
      <c r="H613" s="202"/>
      <c r="I613" s="203"/>
      <c r="J613" s="204" t="s">
        <v>1061</v>
      </c>
      <c r="K613" s="205"/>
      <c r="L613" s="55">
        <v>0.5</v>
      </c>
      <c r="M613" s="188">
        <v>21.62</v>
      </c>
      <c r="N613" s="189"/>
      <c r="O613" s="56">
        <f t="shared" ref="O613:O617" si="106">M613-(M613*T613)</f>
        <v>20.527527487530001</v>
      </c>
      <c r="P613" s="57">
        <f t="shared" si="105"/>
        <v>10.263763743765001</v>
      </c>
      <c r="Q613" s="228"/>
      <c r="R613" s="179"/>
      <c r="T613" s="88">
        <v>5.05306435E-2</v>
      </c>
    </row>
    <row r="614" spans="1:20" ht="15" customHeight="1">
      <c r="A614" s="58" t="s">
        <v>1064</v>
      </c>
      <c r="B614" s="59" t="s">
        <v>1474</v>
      </c>
      <c r="C614" s="58" t="s">
        <v>1066</v>
      </c>
      <c r="D614" s="181" t="s">
        <v>1475</v>
      </c>
      <c r="E614" s="182"/>
      <c r="F614" s="58" t="s">
        <v>1068</v>
      </c>
      <c r="G614" s="183"/>
      <c r="H614" s="184"/>
      <c r="I614" s="185"/>
      <c r="J614" s="186" t="s">
        <v>1327</v>
      </c>
      <c r="K614" s="187"/>
      <c r="L614" s="60">
        <v>1.5</v>
      </c>
      <c r="M614" s="188">
        <v>14.66</v>
      </c>
      <c r="N614" s="189"/>
      <c r="O614" s="56">
        <f t="shared" si="106"/>
        <v>13.91922076629</v>
      </c>
      <c r="P614" s="57">
        <f t="shared" si="105"/>
        <v>20.878831149435001</v>
      </c>
      <c r="Q614" s="228"/>
      <c r="R614" s="179"/>
      <c r="T614" s="88">
        <v>5.05306435E-2</v>
      </c>
    </row>
    <row r="615" spans="1:20" ht="14.25" customHeight="1">
      <c r="A615" s="58" t="s">
        <v>1064</v>
      </c>
      <c r="B615" s="59" t="s">
        <v>1476</v>
      </c>
      <c r="C615" s="58" t="s">
        <v>1066</v>
      </c>
      <c r="D615" s="181" t="s">
        <v>1477</v>
      </c>
      <c r="E615" s="182"/>
      <c r="F615" s="58" t="s">
        <v>1068</v>
      </c>
      <c r="G615" s="183"/>
      <c r="H615" s="184"/>
      <c r="I615" s="185"/>
      <c r="J615" s="186" t="s">
        <v>1454</v>
      </c>
      <c r="K615" s="187"/>
      <c r="L615" s="60">
        <v>5.0000000000000001E-3</v>
      </c>
      <c r="M615" s="188">
        <v>77.53</v>
      </c>
      <c r="N615" s="189"/>
      <c r="O615" s="56">
        <f t="shared" si="106"/>
        <v>73.612359209445003</v>
      </c>
      <c r="P615" s="57">
        <f t="shared" si="105"/>
        <v>0.368061796047225</v>
      </c>
      <c r="Q615" s="228"/>
      <c r="R615" s="179"/>
      <c r="T615" s="88">
        <v>5.05306435E-2</v>
      </c>
    </row>
    <row r="616" spans="1:20" ht="15" customHeight="1">
      <c r="A616" s="58" t="s">
        <v>1064</v>
      </c>
      <c r="B616" s="59" t="s">
        <v>1455</v>
      </c>
      <c r="C616" s="58" t="s">
        <v>1066</v>
      </c>
      <c r="D616" s="181" t="s">
        <v>1456</v>
      </c>
      <c r="E616" s="182"/>
      <c r="F616" s="58" t="s">
        <v>1068</v>
      </c>
      <c r="G616" s="183"/>
      <c r="H616" s="184"/>
      <c r="I616" s="185"/>
      <c r="J616" s="186" t="s">
        <v>1457</v>
      </c>
      <c r="K616" s="187"/>
      <c r="L616" s="60">
        <v>7.0000000000000001E-3</v>
      </c>
      <c r="M616" s="188">
        <v>47.48</v>
      </c>
      <c r="N616" s="189"/>
      <c r="O616" s="56">
        <f t="shared" si="106"/>
        <v>45.08080504662</v>
      </c>
      <c r="P616" s="57">
        <f t="shared" si="105"/>
        <v>0.31556563532634002</v>
      </c>
      <c r="Q616" s="228"/>
      <c r="R616" s="179"/>
      <c r="T616" s="88">
        <v>5.05306435E-2</v>
      </c>
    </row>
    <row r="617" spans="1:20" ht="15" customHeight="1">
      <c r="A617" s="58" t="s">
        <v>1064</v>
      </c>
      <c r="B617" s="62">
        <v>38383</v>
      </c>
      <c r="C617" s="58" t="s">
        <v>1058</v>
      </c>
      <c r="D617" s="181" t="s">
        <v>1478</v>
      </c>
      <c r="E617" s="182"/>
      <c r="F617" s="58" t="s">
        <v>1068</v>
      </c>
      <c r="G617" s="183"/>
      <c r="H617" s="184"/>
      <c r="I617" s="185"/>
      <c r="J617" s="186" t="s">
        <v>1085</v>
      </c>
      <c r="K617" s="187"/>
      <c r="L617" s="60">
        <v>7.0000000000000007E-2</v>
      </c>
      <c r="M617" s="188">
        <v>1.8</v>
      </c>
      <c r="N617" s="189"/>
      <c r="O617" s="56">
        <f t="shared" si="106"/>
        <v>1.7090448416999999</v>
      </c>
      <c r="P617" s="57">
        <f t="shared" si="105"/>
        <v>0.119633138919</v>
      </c>
      <c r="Q617" s="228"/>
      <c r="R617" s="179"/>
      <c r="T617" s="88">
        <v>5.05306435E-2</v>
      </c>
    </row>
    <row r="618" spans="1:20" ht="14.25" customHeight="1">
      <c r="A618" s="174" t="s">
        <v>1070</v>
      </c>
      <c r="B618" s="174"/>
      <c r="C618" s="174"/>
      <c r="D618" s="174"/>
      <c r="E618" s="174"/>
      <c r="F618" s="174"/>
      <c r="G618" s="174"/>
      <c r="H618" s="175" t="s">
        <v>1071</v>
      </c>
      <c r="I618" s="175"/>
      <c r="J618" s="175"/>
      <c r="K618" s="175"/>
      <c r="L618" s="176">
        <v>0</v>
      </c>
      <c r="M618" s="176"/>
      <c r="N618" s="177" t="s">
        <v>1072</v>
      </c>
      <c r="O618" s="177"/>
      <c r="P618" s="177"/>
      <c r="Q618" s="179"/>
      <c r="R618" s="179"/>
      <c r="T618" s="88">
        <v>5.05306435E-2</v>
      </c>
    </row>
    <row r="619" spans="1:20" ht="17.45" customHeight="1">
      <c r="A619" s="178" t="s">
        <v>1073</v>
      </c>
      <c r="B619" s="178"/>
      <c r="C619" s="178"/>
      <c r="D619" s="178"/>
      <c r="E619" s="178"/>
      <c r="F619" s="178"/>
      <c r="G619" s="178"/>
      <c r="H619" s="179"/>
      <c r="I619" s="179"/>
      <c r="J619" s="179"/>
      <c r="K619" s="179"/>
      <c r="L619" s="180" t="s">
        <v>1074</v>
      </c>
      <c r="M619" s="180"/>
      <c r="N619" s="179"/>
      <c r="O619" s="179"/>
      <c r="P619" s="179"/>
      <c r="Q619" s="179"/>
      <c r="R619" s="179"/>
      <c r="T619" s="88">
        <v>5.05306435E-2</v>
      </c>
    </row>
    <row r="620" spans="1:20" ht="28.5" customHeight="1">
      <c r="A620" s="233" t="s">
        <v>1479</v>
      </c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T620" s="88">
        <v>5.05306435E-2</v>
      </c>
    </row>
    <row r="621" spans="1:20" ht="14.25" customHeight="1">
      <c r="A621" s="207"/>
      <c r="B621" s="207"/>
      <c r="C621" s="207"/>
      <c r="D621" s="207"/>
      <c r="E621" s="207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179"/>
      <c r="R621" s="179"/>
      <c r="T621" s="88">
        <v>5.05306435E-2</v>
      </c>
    </row>
    <row r="622" spans="1:20" ht="15.75" customHeight="1">
      <c r="A622" s="71">
        <v>47894</v>
      </c>
      <c r="B622" s="44" t="s">
        <v>3</v>
      </c>
      <c r="C622" s="43" t="s">
        <v>4</v>
      </c>
      <c r="D622" s="208" t="s">
        <v>5</v>
      </c>
      <c r="E622" s="209"/>
      <c r="F622" s="43" t="s">
        <v>1049</v>
      </c>
      <c r="G622" s="210"/>
      <c r="H622" s="211"/>
      <c r="I622" s="212"/>
      <c r="J622" s="215" t="s">
        <v>6</v>
      </c>
      <c r="K622" s="217"/>
      <c r="L622" s="44" t="s">
        <v>7</v>
      </c>
      <c r="M622" s="213" t="s">
        <v>8</v>
      </c>
      <c r="N622" s="214"/>
      <c r="O622" s="66"/>
      <c r="P622" s="44" t="s">
        <v>11</v>
      </c>
      <c r="Q622" s="228"/>
      <c r="R622" s="179"/>
      <c r="T622" s="88">
        <v>5.05306435E-2</v>
      </c>
    </row>
    <row r="623" spans="1:20" ht="14.25" customHeight="1">
      <c r="A623" s="47" t="s">
        <v>1051</v>
      </c>
      <c r="B623" s="48" t="s">
        <v>1480</v>
      </c>
      <c r="C623" s="47" t="s">
        <v>1053</v>
      </c>
      <c r="D623" s="190" t="s">
        <v>1481</v>
      </c>
      <c r="E623" s="191"/>
      <c r="F623" s="47" t="s">
        <v>1367</v>
      </c>
      <c r="G623" s="192"/>
      <c r="H623" s="193"/>
      <c r="I623" s="194"/>
      <c r="J623" s="195" t="s">
        <v>1107</v>
      </c>
      <c r="K623" s="196"/>
      <c r="L623" s="50">
        <v>1</v>
      </c>
      <c r="M623" s="197">
        <v>36.24</v>
      </c>
      <c r="N623" s="198"/>
      <c r="O623" s="64">
        <f>M623-(M623*T623)</f>
        <v>34.40876947956</v>
      </c>
      <c r="P623" s="64">
        <f>SUM(P624:P630)</f>
        <v>34.409728443610064</v>
      </c>
      <c r="Q623" s="228"/>
      <c r="R623" s="179"/>
      <c r="T623" s="88">
        <v>5.05306435E-2</v>
      </c>
    </row>
    <row r="624" spans="1:20" ht="15" customHeight="1">
      <c r="A624" s="52" t="s">
        <v>1057</v>
      </c>
      <c r="B624" s="53">
        <v>88248</v>
      </c>
      <c r="C624" s="52" t="s">
        <v>1058</v>
      </c>
      <c r="D624" s="199" t="s">
        <v>1336</v>
      </c>
      <c r="E624" s="200"/>
      <c r="F624" s="52" t="s">
        <v>1158</v>
      </c>
      <c r="G624" s="201"/>
      <c r="H624" s="202"/>
      <c r="I624" s="203"/>
      <c r="J624" s="204" t="s">
        <v>1061</v>
      </c>
      <c r="K624" s="205"/>
      <c r="L624" s="55">
        <v>0.5</v>
      </c>
      <c r="M624" s="188">
        <v>21.62</v>
      </c>
      <c r="N624" s="189"/>
      <c r="O624" s="56">
        <f>M624-(M624*T624)</f>
        <v>20.527527487530001</v>
      </c>
      <c r="P624" s="57">
        <f t="shared" ref="P624:P630" si="107">O624*L624</f>
        <v>10.263763743765001</v>
      </c>
      <c r="Q624" s="228"/>
      <c r="R624" s="179"/>
      <c r="T624" s="88">
        <v>5.05306435E-2</v>
      </c>
    </row>
    <row r="625" spans="1:20" ht="14.25" customHeight="1">
      <c r="A625" s="52" t="s">
        <v>1057</v>
      </c>
      <c r="B625" s="53">
        <v>88267</v>
      </c>
      <c r="C625" s="52" t="s">
        <v>1058</v>
      </c>
      <c r="D625" s="199" t="s">
        <v>1133</v>
      </c>
      <c r="E625" s="200"/>
      <c r="F625" s="52" t="s">
        <v>1158</v>
      </c>
      <c r="G625" s="201"/>
      <c r="H625" s="202"/>
      <c r="I625" s="203"/>
      <c r="J625" s="204" t="s">
        <v>1061</v>
      </c>
      <c r="K625" s="205"/>
      <c r="L625" s="55">
        <v>0.5</v>
      </c>
      <c r="M625" s="188">
        <v>26.19</v>
      </c>
      <c r="N625" s="189"/>
      <c r="O625" s="56">
        <f t="shared" ref="O625:O630" si="108">M625-(M625*T625)</f>
        <v>24.866602446735001</v>
      </c>
      <c r="P625" s="57">
        <f t="shared" si="107"/>
        <v>12.433301223367501</v>
      </c>
      <c r="Q625" s="228"/>
      <c r="R625" s="179"/>
      <c r="T625" s="88">
        <v>5.05306435E-2</v>
      </c>
    </row>
    <row r="626" spans="1:20" ht="15" customHeight="1">
      <c r="A626" s="58" t="s">
        <v>1064</v>
      </c>
      <c r="B626" s="59" t="s">
        <v>1455</v>
      </c>
      <c r="C626" s="58" t="s">
        <v>1066</v>
      </c>
      <c r="D626" s="181" t="s">
        <v>1456</v>
      </c>
      <c r="E626" s="182"/>
      <c r="F626" s="58" t="s">
        <v>1068</v>
      </c>
      <c r="G626" s="183"/>
      <c r="H626" s="184"/>
      <c r="I626" s="185"/>
      <c r="J626" s="186" t="s">
        <v>1457</v>
      </c>
      <c r="K626" s="187"/>
      <c r="L626" s="60">
        <v>7.0000000000000001E-3</v>
      </c>
      <c r="M626" s="188">
        <v>47.48</v>
      </c>
      <c r="N626" s="189"/>
      <c r="O626" s="56">
        <f t="shared" si="108"/>
        <v>45.08080504662</v>
      </c>
      <c r="P626" s="57">
        <f t="shared" si="107"/>
        <v>0.31556563532634002</v>
      </c>
      <c r="Q626" s="228"/>
      <c r="R626" s="179"/>
      <c r="T626" s="88">
        <v>5.05306435E-2</v>
      </c>
    </row>
    <row r="627" spans="1:20" ht="14.25" customHeight="1">
      <c r="A627" s="58" t="s">
        <v>1064</v>
      </c>
      <c r="B627" s="59" t="s">
        <v>1482</v>
      </c>
      <c r="C627" s="58" t="s">
        <v>1066</v>
      </c>
      <c r="D627" s="181" t="s">
        <v>1483</v>
      </c>
      <c r="E627" s="182"/>
      <c r="F627" s="58" t="s">
        <v>1068</v>
      </c>
      <c r="G627" s="183"/>
      <c r="H627" s="184"/>
      <c r="I627" s="185"/>
      <c r="J627" s="186" t="s">
        <v>1327</v>
      </c>
      <c r="K627" s="187"/>
      <c r="L627" s="60">
        <v>1.5</v>
      </c>
      <c r="M627" s="188">
        <v>6.34</v>
      </c>
      <c r="N627" s="189"/>
      <c r="O627" s="56">
        <f t="shared" si="108"/>
        <v>6.0196357202100002</v>
      </c>
      <c r="P627" s="57">
        <f t="shared" si="107"/>
        <v>9.0294535803149998</v>
      </c>
      <c r="Q627" s="228"/>
      <c r="R627" s="179"/>
      <c r="T627" s="88">
        <v>5.05306435E-2</v>
      </c>
    </row>
    <row r="628" spans="1:20" ht="15" customHeight="1">
      <c r="A628" s="58" t="s">
        <v>1064</v>
      </c>
      <c r="B628" s="62">
        <v>296</v>
      </c>
      <c r="C628" s="58" t="s">
        <v>1058</v>
      </c>
      <c r="D628" s="181" t="s">
        <v>1484</v>
      </c>
      <c r="E628" s="182"/>
      <c r="F628" s="58" t="s">
        <v>1068</v>
      </c>
      <c r="G628" s="183"/>
      <c r="H628" s="184"/>
      <c r="I628" s="185"/>
      <c r="J628" s="186" t="s">
        <v>1085</v>
      </c>
      <c r="K628" s="187"/>
      <c r="L628" s="60">
        <v>1</v>
      </c>
      <c r="M628" s="188">
        <v>1.98</v>
      </c>
      <c r="N628" s="189"/>
      <c r="O628" s="56">
        <f t="shared" si="108"/>
        <v>1.87994932587</v>
      </c>
      <c r="P628" s="57">
        <f t="shared" si="107"/>
        <v>1.87994932587</v>
      </c>
      <c r="Q628" s="228"/>
      <c r="R628" s="179"/>
      <c r="T628" s="88">
        <v>5.05306435E-2</v>
      </c>
    </row>
    <row r="629" spans="1:20" ht="14.25" customHeight="1">
      <c r="A629" s="58" t="s">
        <v>1064</v>
      </c>
      <c r="B629" s="59" t="s">
        <v>1476</v>
      </c>
      <c r="C629" s="58" t="s">
        <v>1066</v>
      </c>
      <c r="D629" s="181" t="s">
        <v>1477</v>
      </c>
      <c r="E629" s="182"/>
      <c r="F629" s="58" t="s">
        <v>1068</v>
      </c>
      <c r="G629" s="183"/>
      <c r="H629" s="184"/>
      <c r="I629" s="185"/>
      <c r="J629" s="186" t="s">
        <v>1454</v>
      </c>
      <c r="K629" s="187"/>
      <c r="L629" s="60">
        <v>5.0000000000000001E-3</v>
      </c>
      <c r="M629" s="188">
        <v>77.53</v>
      </c>
      <c r="N629" s="189"/>
      <c r="O629" s="56">
        <f t="shared" si="108"/>
        <v>73.612359209445003</v>
      </c>
      <c r="P629" s="57">
        <f t="shared" si="107"/>
        <v>0.368061796047225</v>
      </c>
      <c r="Q629" s="228"/>
      <c r="R629" s="179"/>
      <c r="T629" s="88">
        <v>5.05306435E-2</v>
      </c>
    </row>
    <row r="630" spans="1:20" ht="15" customHeight="1">
      <c r="A630" s="58" t="s">
        <v>1064</v>
      </c>
      <c r="B630" s="62">
        <v>38383</v>
      </c>
      <c r="C630" s="58" t="s">
        <v>1058</v>
      </c>
      <c r="D630" s="181" t="s">
        <v>1478</v>
      </c>
      <c r="E630" s="182"/>
      <c r="F630" s="58" t="s">
        <v>1068</v>
      </c>
      <c r="G630" s="183"/>
      <c r="H630" s="184"/>
      <c r="I630" s="185"/>
      <c r="J630" s="186" t="s">
        <v>1085</v>
      </c>
      <c r="K630" s="187"/>
      <c r="L630" s="60">
        <v>7.0000000000000007E-2</v>
      </c>
      <c r="M630" s="188">
        <v>1.8</v>
      </c>
      <c r="N630" s="189"/>
      <c r="O630" s="56">
        <f t="shared" si="108"/>
        <v>1.7090448416999999</v>
      </c>
      <c r="P630" s="57">
        <f t="shared" si="107"/>
        <v>0.119633138919</v>
      </c>
      <c r="Q630" s="228"/>
      <c r="R630" s="179"/>
      <c r="T630" s="88">
        <v>5.05306435E-2</v>
      </c>
    </row>
    <row r="631" spans="1:20" ht="14.25" customHeight="1">
      <c r="A631" s="174" t="s">
        <v>1070</v>
      </c>
      <c r="B631" s="174"/>
      <c r="C631" s="174"/>
      <c r="D631" s="174"/>
      <c r="E631" s="174"/>
      <c r="F631" s="174"/>
      <c r="G631" s="174"/>
      <c r="H631" s="175" t="s">
        <v>1071</v>
      </c>
      <c r="I631" s="175"/>
      <c r="J631" s="175"/>
      <c r="K631" s="175"/>
      <c r="L631" s="176">
        <v>0</v>
      </c>
      <c r="M631" s="176"/>
      <c r="N631" s="177" t="s">
        <v>1072</v>
      </c>
      <c r="O631" s="177"/>
      <c r="P631" s="177"/>
      <c r="Q631" s="179"/>
      <c r="R631" s="179"/>
      <c r="T631" s="88">
        <v>5.05306435E-2</v>
      </c>
    </row>
    <row r="632" spans="1:20" ht="16.5" customHeight="1">
      <c r="A632" s="178" t="s">
        <v>1073</v>
      </c>
      <c r="B632" s="178"/>
      <c r="C632" s="178"/>
      <c r="D632" s="178"/>
      <c r="E632" s="178"/>
      <c r="F632" s="178"/>
      <c r="G632" s="178"/>
      <c r="H632" s="179"/>
      <c r="I632" s="179"/>
      <c r="J632" s="179"/>
      <c r="K632" s="179"/>
      <c r="L632" s="180" t="s">
        <v>1074</v>
      </c>
      <c r="M632" s="180"/>
      <c r="N632" s="179"/>
      <c r="O632" s="179"/>
      <c r="P632" s="179"/>
      <c r="Q632" s="179"/>
      <c r="R632" s="179"/>
      <c r="T632" s="88">
        <v>5.05306435E-2</v>
      </c>
    </row>
    <row r="633" spans="1:20" ht="28.5" customHeight="1">
      <c r="A633" s="233" t="s">
        <v>1485</v>
      </c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T633" s="88">
        <v>5.05306435E-2</v>
      </c>
    </row>
    <row r="634" spans="1:20" ht="15" customHeight="1">
      <c r="A634" s="207"/>
      <c r="B634" s="207"/>
      <c r="C634" s="207"/>
      <c r="D634" s="207"/>
      <c r="E634" s="207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179"/>
      <c r="R634" s="179"/>
      <c r="T634" s="88">
        <v>5.05306435E-2</v>
      </c>
    </row>
    <row r="635" spans="1:20" ht="15.75" customHeight="1">
      <c r="A635" s="71">
        <v>48259</v>
      </c>
      <c r="B635" s="44" t="s">
        <v>3</v>
      </c>
      <c r="C635" s="43" t="s">
        <v>4</v>
      </c>
      <c r="D635" s="208" t="s">
        <v>5</v>
      </c>
      <c r="E635" s="209"/>
      <c r="F635" s="43" t="s">
        <v>1049</v>
      </c>
      <c r="G635" s="210"/>
      <c r="H635" s="211"/>
      <c r="I635" s="212"/>
      <c r="J635" s="215" t="s">
        <v>6</v>
      </c>
      <c r="K635" s="217"/>
      <c r="L635" s="44" t="s">
        <v>7</v>
      </c>
      <c r="M635" s="213" t="s">
        <v>8</v>
      </c>
      <c r="N635" s="214"/>
      <c r="O635" s="66"/>
      <c r="P635" s="44" t="s">
        <v>11</v>
      </c>
      <c r="Q635" s="228"/>
      <c r="R635" s="179"/>
      <c r="T635" s="88">
        <v>5.05306435E-2</v>
      </c>
    </row>
    <row r="636" spans="1:20" ht="15" customHeight="1">
      <c r="A636" s="47" t="s">
        <v>1051</v>
      </c>
      <c r="B636" s="48" t="s">
        <v>1486</v>
      </c>
      <c r="C636" s="47" t="s">
        <v>1053</v>
      </c>
      <c r="D636" s="190" t="s">
        <v>1487</v>
      </c>
      <c r="E636" s="191"/>
      <c r="F636" s="47" t="s">
        <v>1422</v>
      </c>
      <c r="G636" s="192"/>
      <c r="H636" s="193"/>
      <c r="I636" s="194"/>
      <c r="J636" s="195" t="s">
        <v>1107</v>
      </c>
      <c r="K636" s="196"/>
      <c r="L636" s="50">
        <v>1</v>
      </c>
      <c r="M636" s="197">
        <v>44.15</v>
      </c>
      <c r="N636" s="198"/>
      <c r="O636" s="64">
        <f>M636-(M636*T636)</f>
        <v>41.919072089475002</v>
      </c>
      <c r="P636" s="64">
        <f>SUM(P637:P643)</f>
        <v>41.915283706742564</v>
      </c>
      <c r="Q636" s="228"/>
      <c r="R636" s="179"/>
      <c r="T636" s="88">
        <v>5.05306435E-2</v>
      </c>
    </row>
    <row r="637" spans="1:20" ht="14.25" customHeight="1">
      <c r="A637" s="52" t="s">
        <v>1057</v>
      </c>
      <c r="B637" s="53">
        <v>88248</v>
      </c>
      <c r="C637" s="52" t="s">
        <v>1058</v>
      </c>
      <c r="D637" s="199" t="s">
        <v>1336</v>
      </c>
      <c r="E637" s="200"/>
      <c r="F637" s="52" t="s">
        <v>1158</v>
      </c>
      <c r="G637" s="201"/>
      <c r="H637" s="202"/>
      <c r="I637" s="203"/>
      <c r="J637" s="204" t="s">
        <v>1061</v>
      </c>
      <c r="K637" s="205"/>
      <c r="L637" s="55">
        <v>0.5</v>
      </c>
      <c r="M637" s="188">
        <v>21.62</v>
      </c>
      <c r="N637" s="189"/>
      <c r="O637" s="56">
        <f>M637-(M637*T637)</f>
        <v>20.527527487530001</v>
      </c>
      <c r="P637" s="57">
        <f t="shared" ref="P637:P643" si="109">O637*L637</f>
        <v>10.263763743765001</v>
      </c>
      <c r="Q637" s="228"/>
      <c r="R637" s="179"/>
      <c r="T637" s="88">
        <v>5.05306435E-2</v>
      </c>
    </row>
    <row r="638" spans="1:20" ht="15" customHeight="1">
      <c r="A638" s="52" t="s">
        <v>1057</v>
      </c>
      <c r="B638" s="53">
        <v>88267</v>
      </c>
      <c r="C638" s="52" t="s">
        <v>1058</v>
      </c>
      <c r="D638" s="199" t="s">
        <v>1133</v>
      </c>
      <c r="E638" s="200"/>
      <c r="F638" s="52" t="s">
        <v>1158</v>
      </c>
      <c r="G638" s="201"/>
      <c r="H638" s="202"/>
      <c r="I638" s="203"/>
      <c r="J638" s="204" t="s">
        <v>1061</v>
      </c>
      <c r="K638" s="205"/>
      <c r="L638" s="55">
        <v>0.5</v>
      </c>
      <c r="M638" s="188">
        <v>26.19</v>
      </c>
      <c r="N638" s="189"/>
      <c r="O638" s="56">
        <f t="shared" ref="O638:O643" si="110">M638-(M638*T638)</f>
        <v>24.866602446735001</v>
      </c>
      <c r="P638" s="57">
        <f t="shared" si="109"/>
        <v>12.433301223367501</v>
      </c>
      <c r="Q638" s="228"/>
      <c r="R638" s="179"/>
      <c r="T638" s="88">
        <v>5.05306435E-2</v>
      </c>
    </row>
    <row r="639" spans="1:20" ht="14.25" customHeight="1">
      <c r="A639" s="58" t="s">
        <v>1064</v>
      </c>
      <c r="B639" s="59" t="s">
        <v>1488</v>
      </c>
      <c r="C639" s="58" t="s">
        <v>1066</v>
      </c>
      <c r="D639" s="181" t="s">
        <v>1489</v>
      </c>
      <c r="E639" s="182"/>
      <c r="F639" s="58" t="s">
        <v>1068</v>
      </c>
      <c r="G639" s="183"/>
      <c r="H639" s="184"/>
      <c r="I639" s="185"/>
      <c r="J639" s="186" t="s">
        <v>1327</v>
      </c>
      <c r="K639" s="187"/>
      <c r="L639" s="60">
        <v>1.5</v>
      </c>
      <c r="M639" s="221">
        <v>11.61</v>
      </c>
      <c r="N639" s="222"/>
      <c r="O639" s="56">
        <f t="shared" si="110"/>
        <v>11.023339228965</v>
      </c>
      <c r="P639" s="57">
        <f t="shared" si="109"/>
        <v>16.5350088434475</v>
      </c>
      <c r="Q639" s="228"/>
      <c r="R639" s="179"/>
      <c r="T639" s="88">
        <v>5.05306435E-2</v>
      </c>
    </row>
    <row r="640" spans="1:20" ht="15" customHeight="1">
      <c r="A640" s="58" t="s">
        <v>1064</v>
      </c>
      <c r="B640" s="62">
        <v>296</v>
      </c>
      <c r="C640" s="58" t="s">
        <v>1058</v>
      </c>
      <c r="D640" s="181" t="s">
        <v>1484</v>
      </c>
      <c r="E640" s="182"/>
      <c r="F640" s="58" t="s">
        <v>1068</v>
      </c>
      <c r="G640" s="183"/>
      <c r="H640" s="184"/>
      <c r="I640" s="185"/>
      <c r="J640" s="186" t="s">
        <v>1085</v>
      </c>
      <c r="K640" s="187"/>
      <c r="L640" s="60">
        <v>1</v>
      </c>
      <c r="M640" s="188">
        <v>1.98</v>
      </c>
      <c r="N640" s="189"/>
      <c r="O640" s="56">
        <f t="shared" si="110"/>
        <v>1.87994932587</v>
      </c>
      <c r="P640" s="57">
        <f t="shared" si="109"/>
        <v>1.87994932587</v>
      </c>
      <c r="Q640" s="228"/>
      <c r="R640" s="179"/>
      <c r="T640" s="88">
        <v>5.05306435E-2</v>
      </c>
    </row>
    <row r="641" spans="1:20" ht="14.25" customHeight="1">
      <c r="A641" s="58" t="s">
        <v>1064</v>
      </c>
      <c r="B641" s="59" t="s">
        <v>1476</v>
      </c>
      <c r="C641" s="58" t="s">
        <v>1066</v>
      </c>
      <c r="D641" s="181" t="s">
        <v>1477</v>
      </c>
      <c r="E641" s="182"/>
      <c r="F641" s="58" t="s">
        <v>1068</v>
      </c>
      <c r="G641" s="183"/>
      <c r="H641" s="184"/>
      <c r="I641" s="185"/>
      <c r="J641" s="186" t="s">
        <v>1454</v>
      </c>
      <c r="K641" s="187"/>
      <c r="L641" s="60">
        <v>5.0000000000000001E-3</v>
      </c>
      <c r="M641" s="188">
        <v>77.53</v>
      </c>
      <c r="N641" s="189"/>
      <c r="O641" s="56">
        <f t="shared" si="110"/>
        <v>73.612359209445003</v>
      </c>
      <c r="P641" s="57">
        <f t="shared" si="109"/>
        <v>0.368061796047225</v>
      </c>
      <c r="Q641" s="228"/>
      <c r="R641" s="179"/>
      <c r="T641" s="88">
        <v>5.05306435E-2</v>
      </c>
    </row>
    <row r="642" spans="1:20" ht="15" customHeight="1">
      <c r="A642" s="58" t="s">
        <v>1064</v>
      </c>
      <c r="B642" s="62">
        <v>38383</v>
      </c>
      <c r="C642" s="58" t="s">
        <v>1058</v>
      </c>
      <c r="D642" s="181" t="s">
        <v>1478</v>
      </c>
      <c r="E642" s="182"/>
      <c r="F642" s="58" t="s">
        <v>1068</v>
      </c>
      <c r="G642" s="183"/>
      <c r="H642" s="184"/>
      <c r="I642" s="185"/>
      <c r="J642" s="186" t="s">
        <v>1085</v>
      </c>
      <c r="K642" s="187"/>
      <c r="L642" s="60">
        <v>7.0000000000000007E-2</v>
      </c>
      <c r="M642" s="188">
        <v>1.8</v>
      </c>
      <c r="N642" s="189"/>
      <c r="O642" s="56">
        <f t="shared" si="110"/>
        <v>1.7090448416999999</v>
      </c>
      <c r="P642" s="57">
        <f t="shared" si="109"/>
        <v>0.119633138919</v>
      </c>
      <c r="Q642" s="228"/>
      <c r="R642" s="179"/>
      <c r="T642" s="88">
        <v>5.05306435E-2</v>
      </c>
    </row>
    <row r="643" spans="1:20" ht="14.85" customHeight="1">
      <c r="A643" s="58" t="s">
        <v>1064</v>
      </c>
      <c r="B643" s="59" t="s">
        <v>1455</v>
      </c>
      <c r="C643" s="58" t="s">
        <v>1066</v>
      </c>
      <c r="D643" s="181" t="s">
        <v>1456</v>
      </c>
      <c r="E643" s="182"/>
      <c r="F643" s="58" t="s">
        <v>1068</v>
      </c>
      <c r="G643" s="183"/>
      <c r="H643" s="184"/>
      <c r="I643" s="185"/>
      <c r="J643" s="186" t="s">
        <v>1457</v>
      </c>
      <c r="K643" s="187"/>
      <c r="L643" s="60">
        <v>7.0000000000000001E-3</v>
      </c>
      <c r="M643" s="188">
        <v>47.48</v>
      </c>
      <c r="N643" s="189"/>
      <c r="O643" s="56">
        <f t="shared" si="110"/>
        <v>45.08080504662</v>
      </c>
      <c r="P643" s="57">
        <f t="shared" si="109"/>
        <v>0.31556563532634002</v>
      </c>
      <c r="Q643" s="228"/>
      <c r="R643" s="179"/>
      <c r="T643" s="88">
        <v>5.05306435E-2</v>
      </c>
    </row>
    <row r="644" spans="1:20" ht="14.25" customHeight="1">
      <c r="A644" s="174" t="s">
        <v>1070</v>
      </c>
      <c r="B644" s="174"/>
      <c r="C644" s="174"/>
      <c r="D644" s="174"/>
      <c r="E644" s="174"/>
      <c r="F644" s="174"/>
      <c r="G644" s="174"/>
      <c r="H644" s="175" t="s">
        <v>1071</v>
      </c>
      <c r="I644" s="175"/>
      <c r="J644" s="175"/>
      <c r="K644" s="175"/>
      <c r="L644" s="176">
        <v>0</v>
      </c>
      <c r="M644" s="176"/>
      <c r="N644" s="177" t="s">
        <v>1072</v>
      </c>
      <c r="O644" s="177"/>
      <c r="P644" s="177"/>
      <c r="Q644" s="179"/>
      <c r="R644" s="179"/>
      <c r="T644" s="88">
        <v>5.05306435E-2</v>
      </c>
    </row>
    <row r="645" spans="1:20" ht="16.5" customHeight="1">
      <c r="A645" s="178" t="s">
        <v>1073</v>
      </c>
      <c r="B645" s="178"/>
      <c r="C645" s="178"/>
      <c r="D645" s="178"/>
      <c r="E645" s="178"/>
      <c r="F645" s="178"/>
      <c r="G645" s="178"/>
      <c r="H645" s="179"/>
      <c r="I645" s="179"/>
      <c r="J645" s="179"/>
      <c r="K645" s="179"/>
      <c r="L645" s="180" t="s">
        <v>1074</v>
      </c>
      <c r="M645" s="180"/>
      <c r="N645" s="179"/>
      <c r="O645" s="179"/>
      <c r="P645" s="179"/>
      <c r="Q645" s="179"/>
      <c r="R645" s="179"/>
      <c r="T645" s="88">
        <v>5.05306435E-2</v>
      </c>
    </row>
    <row r="646" spans="1:20" ht="28.5" customHeight="1">
      <c r="A646" s="233" t="s">
        <v>1490</v>
      </c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T646" s="88">
        <v>5.05306435E-2</v>
      </c>
    </row>
    <row r="647" spans="1:20" ht="15" customHeight="1">
      <c r="A647" s="207"/>
      <c r="B647" s="207"/>
      <c r="C647" s="207"/>
      <c r="D647" s="207"/>
      <c r="E647" s="207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179"/>
      <c r="R647" s="179"/>
      <c r="T647" s="88">
        <v>5.05306435E-2</v>
      </c>
    </row>
    <row r="648" spans="1:20" ht="15.75" customHeight="1">
      <c r="A648" s="71">
        <v>49720</v>
      </c>
      <c r="B648" s="44" t="s">
        <v>3</v>
      </c>
      <c r="C648" s="43" t="s">
        <v>4</v>
      </c>
      <c r="D648" s="208" t="s">
        <v>5</v>
      </c>
      <c r="E648" s="209"/>
      <c r="F648" s="43" t="s">
        <v>1049</v>
      </c>
      <c r="G648" s="210"/>
      <c r="H648" s="211"/>
      <c r="I648" s="212"/>
      <c r="J648" s="215" t="s">
        <v>6</v>
      </c>
      <c r="K648" s="217"/>
      <c r="L648" s="44" t="s">
        <v>7</v>
      </c>
      <c r="M648" s="213" t="s">
        <v>8</v>
      </c>
      <c r="N648" s="214"/>
      <c r="O648" s="66"/>
      <c r="P648" s="44" t="s">
        <v>11</v>
      </c>
      <c r="Q648" s="228"/>
      <c r="R648" s="179"/>
      <c r="T648" s="88">
        <v>5.05306435E-2</v>
      </c>
    </row>
    <row r="649" spans="1:20" ht="14.25" customHeight="1">
      <c r="A649" s="47" t="s">
        <v>1051</v>
      </c>
      <c r="B649" s="48" t="s">
        <v>1491</v>
      </c>
      <c r="C649" s="47" t="s">
        <v>1053</v>
      </c>
      <c r="D649" s="190" t="s">
        <v>1492</v>
      </c>
      <c r="E649" s="191"/>
      <c r="F649" s="47" t="s">
        <v>1367</v>
      </c>
      <c r="G649" s="192"/>
      <c r="H649" s="193"/>
      <c r="I649" s="194"/>
      <c r="J649" s="195" t="s">
        <v>1085</v>
      </c>
      <c r="K649" s="196"/>
      <c r="L649" s="50">
        <v>1</v>
      </c>
      <c r="M649" s="197">
        <v>63.93</v>
      </c>
      <c r="N649" s="198"/>
      <c r="O649" s="64">
        <f>M649-(M649*T649)</f>
        <v>60.699575961044999</v>
      </c>
      <c r="P649" s="64">
        <f>SUM(P650:P654)</f>
        <v>60.700724818966371</v>
      </c>
      <c r="Q649" s="228"/>
      <c r="R649" s="179"/>
      <c r="T649" s="88">
        <v>5.05306435E-2</v>
      </c>
    </row>
    <row r="650" spans="1:20" ht="15" customHeight="1">
      <c r="A650" s="52" t="s">
        <v>1057</v>
      </c>
      <c r="B650" s="53">
        <v>88267</v>
      </c>
      <c r="C650" s="52" t="s">
        <v>1058</v>
      </c>
      <c r="D650" s="199" t="s">
        <v>1133</v>
      </c>
      <c r="E650" s="200"/>
      <c r="F650" s="52" t="s">
        <v>1158</v>
      </c>
      <c r="G650" s="201"/>
      <c r="H650" s="202"/>
      <c r="I650" s="203"/>
      <c r="J650" s="204" t="s">
        <v>1061</v>
      </c>
      <c r="K650" s="205"/>
      <c r="L650" s="55">
        <v>1.0209999999999999</v>
      </c>
      <c r="M650" s="188">
        <v>26.19</v>
      </c>
      <c r="N650" s="189"/>
      <c r="O650" s="56">
        <f>M650-(M650*T650)</f>
        <v>24.866602446735001</v>
      </c>
      <c r="P650" s="57">
        <f t="shared" ref="P650:P654" si="111">O650*L650</f>
        <v>25.388801098116435</v>
      </c>
      <c r="Q650" s="228"/>
      <c r="R650" s="179"/>
      <c r="T650" s="88">
        <v>5.05306435E-2</v>
      </c>
    </row>
    <row r="651" spans="1:20" ht="14.25" customHeight="1">
      <c r="A651" s="52" t="s">
        <v>1057</v>
      </c>
      <c r="B651" s="53">
        <v>88248</v>
      </c>
      <c r="C651" s="52" t="s">
        <v>1058</v>
      </c>
      <c r="D651" s="199" t="s">
        <v>1336</v>
      </c>
      <c r="E651" s="200"/>
      <c r="F651" s="52" t="s">
        <v>1158</v>
      </c>
      <c r="G651" s="201"/>
      <c r="H651" s="202"/>
      <c r="I651" s="203"/>
      <c r="J651" s="204" t="s">
        <v>1061</v>
      </c>
      <c r="K651" s="205"/>
      <c r="L651" s="55">
        <v>1.0209999999999999</v>
      </c>
      <c r="M651" s="188">
        <v>21.62</v>
      </c>
      <c r="N651" s="189"/>
      <c r="O651" s="56">
        <f t="shared" ref="O651:O654" si="112">M651-(M651*T651)</f>
        <v>20.527527487530001</v>
      </c>
      <c r="P651" s="57">
        <f t="shared" si="111"/>
        <v>20.958605564768128</v>
      </c>
      <c r="Q651" s="228"/>
      <c r="R651" s="179"/>
      <c r="T651" s="88">
        <v>5.05306435E-2</v>
      </c>
    </row>
    <row r="652" spans="1:20" ht="15" customHeight="1">
      <c r="A652" s="58" t="s">
        <v>1064</v>
      </c>
      <c r="B652" s="62">
        <v>2644</v>
      </c>
      <c r="C652" s="58" t="s">
        <v>1150</v>
      </c>
      <c r="D652" s="181" t="s">
        <v>1493</v>
      </c>
      <c r="E652" s="182"/>
      <c r="F652" s="58" t="s">
        <v>1068</v>
      </c>
      <c r="G652" s="183"/>
      <c r="H652" s="184"/>
      <c r="I652" s="185"/>
      <c r="J652" s="186" t="s">
        <v>1085</v>
      </c>
      <c r="K652" s="187"/>
      <c r="L652" s="60">
        <v>1</v>
      </c>
      <c r="M652" s="221">
        <v>9.35</v>
      </c>
      <c r="N652" s="222"/>
      <c r="O652" s="56">
        <f t="shared" si="112"/>
        <v>8.8775384832749999</v>
      </c>
      <c r="P652" s="57">
        <f t="shared" si="111"/>
        <v>8.8775384832749999</v>
      </c>
      <c r="Q652" s="228"/>
      <c r="R652" s="179"/>
      <c r="T652" s="88">
        <v>5.05306435E-2</v>
      </c>
    </row>
    <row r="653" spans="1:20" ht="14.25" customHeight="1">
      <c r="A653" s="58" t="s">
        <v>1064</v>
      </c>
      <c r="B653" s="62">
        <v>119</v>
      </c>
      <c r="C653" s="58" t="s">
        <v>1058</v>
      </c>
      <c r="D653" s="181" t="s">
        <v>1494</v>
      </c>
      <c r="E653" s="182"/>
      <c r="F653" s="58" t="s">
        <v>1068</v>
      </c>
      <c r="G653" s="183"/>
      <c r="H653" s="184"/>
      <c r="I653" s="185"/>
      <c r="J653" s="186" t="s">
        <v>1085</v>
      </c>
      <c r="K653" s="187"/>
      <c r="L653" s="60">
        <v>0.56000000000000005</v>
      </c>
      <c r="M653" s="188">
        <v>6.5</v>
      </c>
      <c r="N653" s="189"/>
      <c r="O653" s="56">
        <f t="shared" si="112"/>
        <v>6.17155081725</v>
      </c>
      <c r="P653" s="57">
        <f t="shared" si="111"/>
        <v>3.4560684576600003</v>
      </c>
      <c r="Q653" s="228"/>
      <c r="R653" s="179"/>
      <c r="T653" s="88">
        <v>5.05306435E-2</v>
      </c>
    </row>
    <row r="654" spans="1:20" ht="15" customHeight="1">
      <c r="A654" s="58" t="s">
        <v>1064</v>
      </c>
      <c r="B654" s="62">
        <v>386</v>
      </c>
      <c r="C654" s="58" t="s">
        <v>1150</v>
      </c>
      <c r="D654" s="181" t="s">
        <v>1402</v>
      </c>
      <c r="E654" s="182"/>
      <c r="F654" s="58" t="s">
        <v>1068</v>
      </c>
      <c r="G654" s="183"/>
      <c r="H654" s="184"/>
      <c r="I654" s="185"/>
      <c r="J654" s="186" t="s">
        <v>1085</v>
      </c>
      <c r="K654" s="187"/>
      <c r="L654" s="60">
        <v>0.08</v>
      </c>
      <c r="M654" s="221">
        <v>26.59</v>
      </c>
      <c r="N654" s="222"/>
      <c r="O654" s="56">
        <f t="shared" si="112"/>
        <v>25.246390189334999</v>
      </c>
      <c r="P654" s="57">
        <f t="shared" si="111"/>
        <v>2.0197112151468</v>
      </c>
      <c r="Q654" s="228"/>
      <c r="R654" s="179"/>
      <c r="T654" s="88">
        <v>5.05306435E-2</v>
      </c>
    </row>
    <row r="655" spans="1:20" ht="14.25" customHeight="1">
      <c r="A655" s="174" t="s">
        <v>1070</v>
      </c>
      <c r="B655" s="174"/>
      <c r="C655" s="174"/>
      <c r="D655" s="174"/>
      <c r="E655" s="174"/>
      <c r="F655" s="174"/>
      <c r="G655" s="174"/>
      <c r="H655" s="175" t="s">
        <v>1071</v>
      </c>
      <c r="I655" s="175"/>
      <c r="J655" s="175"/>
      <c r="K655" s="175"/>
      <c r="L655" s="176">
        <v>0</v>
      </c>
      <c r="M655" s="176"/>
      <c r="N655" s="177" t="s">
        <v>1072</v>
      </c>
      <c r="O655" s="177"/>
      <c r="P655" s="177"/>
      <c r="Q655" s="179"/>
      <c r="R655" s="179"/>
      <c r="T655" s="88">
        <v>5.05306435E-2</v>
      </c>
    </row>
    <row r="656" spans="1:20" ht="17.45" customHeight="1">
      <c r="A656" s="178" t="s">
        <v>1073</v>
      </c>
      <c r="B656" s="178"/>
      <c r="C656" s="178"/>
      <c r="D656" s="178"/>
      <c r="E656" s="178"/>
      <c r="F656" s="178"/>
      <c r="G656" s="178"/>
      <c r="H656" s="179"/>
      <c r="I656" s="179"/>
      <c r="J656" s="179"/>
      <c r="K656" s="179"/>
      <c r="L656" s="180" t="s">
        <v>1074</v>
      </c>
      <c r="M656" s="180"/>
      <c r="N656" s="179"/>
      <c r="O656" s="179"/>
      <c r="P656" s="179"/>
      <c r="Q656" s="179"/>
      <c r="R656" s="179"/>
      <c r="T656" s="88">
        <v>5.05306435E-2</v>
      </c>
    </row>
    <row r="657" spans="1:20" ht="28.5" customHeight="1">
      <c r="A657" s="233" t="s">
        <v>1495</v>
      </c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T657" s="88">
        <v>5.05306435E-2</v>
      </c>
    </row>
    <row r="658" spans="1:20" ht="14.25" customHeight="1">
      <c r="A658" s="207"/>
      <c r="B658" s="207"/>
      <c r="C658" s="207"/>
      <c r="D658" s="207"/>
      <c r="E658" s="207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179"/>
      <c r="R658" s="179"/>
      <c r="T658" s="88">
        <v>5.05306435E-2</v>
      </c>
    </row>
    <row r="659" spans="1:20" ht="15.75" customHeight="1">
      <c r="A659" s="71">
        <v>50086</v>
      </c>
      <c r="B659" s="44" t="s">
        <v>3</v>
      </c>
      <c r="C659" s="43" t="s">
        <v>4</v>
      </c>
      <c r="D659" s="208" t="s">
        <v>5</v>
      </c>
      <c r="E659" s="209"/>
      <c r="F659" s="43" t="s">
        <v>1049</v>
      </c>
      <c r="G659" s="210"/>
      <c r="H659" s="211"/>
      <c r="I659" s="212"/>
      <c r="J659" s="215" t="s">
        <v>6</v>
      </c>
      <c r="K659" s="217"/>
      <c r="L659" s="44" t="s">
        <v>7</v>
      </c>
      <c r="M659" s="213" t="s">
        <v>8</v>
      </c>
      <c r="N659" s="214"/>
      <c r="O659" s="66"/>
      <c r="P659" s="44" t="s">
        <v>11</v>
      </c>
      <c r="Q659" s="228"/>
      <c r="R659" s="179"/>
      <c r="T659" s="88">
        <v>5.05306435E-2</v>
      </c>
    </row>
    <row r="660" spans="1:20" ht="14.25" customHeight="1">
      <c r="A660" s="47" t="s">
        <v>1051</v>
      </c>
      <c r="B660" s="48" t="s">
        <v>1496</v>
      </c>
      <c r="C660" s="47" t="s">
        <v>1053</v>
      </c>
      <c r="D660" s="190" t="s">
        <v>1497</v>
      </c>
      <c r="E660" s="191"/>
      <c r="F660" s="47" t="s">
        <v>1367</v>
      </c>
      <c r="G660" s="192"/>
      <c r="H660" s="193"/>
      <c r="I660" s="194"/>
      <c r="J660" s="195" t="s">
        <v>1085</v>
      </c>
      <c r="K660" s="196"/>
      <c r="L660" s="50">
        <v>1</v>
      </c>
      <c r="M660" s="197">
        <v>4.5999999999999996</v>
      </c>
      <c r="N660" s="198"/>
      <c r="O660" s="64">
        <f>M660-(M660*T660)</f>
        <v>4.3675590398999997</v>
      </c>
      <c r="P660" s="64">
        <f>SUM(P661:P665)</f>
        <v>4.3666095705435</v>
      </c>
      <c r="Q660" s="228"/>
      <c r="R660" s="179"/>
      <c r="T660" s="88">
        <v>5.05306435E-2</v>
      </c>
    </row>
    <row r="661" spans="1:20" ht="15" customHeight="1">
      <c r="A661" s="52" t="s">
        <v>1057</v>
      </c>
      <c r="B661" s="53">
        <v>88267</v>
      </c>
      <c r="C661" s="52" t="s">
        <v>1058</v>
      </c>
      <c r="D661" s="199" t="s">
        <v>1133</v>
      </c>
      <c r="E661" s="200"/>
      <c r="F661" s="52" t="s">
        <v>1158</v>
      </c>
      <c r="G661" s="201"/>
      <c r="H661" s="202"/>
      <c r="I661" s="203"/>
      <c r="J661" s="204" t="s">
        <v>1061</v>
      </c>
      <c r="K661" s="205"/>
      <c r="L661" s="55">
        <v>0.1</v>
      </c>
      <c r="M661" s="188">
        <v>26.19</v>
      </c>
      <c r="N661" s="189"/>
      <c r="O661" s="56">
        <f>M661-(M661*T661)</f>
        <v>24.866602446735001</v>
      </c>
      <c r="P661" s="57">
        <f t="shared" ref="P661:P662" si="113">O661*L661</f>
        <v>2.4866602446735002</v>
      </c>
      <c r="Q661" s="228"/>
      <c r="R661" s="179"/>
      <c r="T661" s="88">
        <v>5.05306435E-2</v>
      </c>
    </row>
    <row r="662" spans="1:20" ht="14.85" customHeight="1">
      <c r="A662" s="58" t="s">
        <v>1064</v>
      </c>
      <c r="B662" s="62">
        <v>296</v>
      </c>
      <c r="C662" s="58" t="s">
        <v>1058</v>
      </c>
      <c r="D662" s="181" t="s">
        <v>1498</v>
      </c>
      <c r="E662" s="182"/>
      <c r="F662" s="58" t="s">
        <v>1068</v>
      </c>
      <c r="G662" s="183"/>
      <c r="H662" s="184"/>
      <c r="I662" s="185"/>
      <c r="J662" s="186" t="s">
        <v>1085</v>
      </c>
      <c r="K662" s="187"/>
      <c r="L662" s="60">
        <v>1</v>
      </c>
      <c r="M662" s="188">
        <v>1.98</v>
      </c>
      <c r="N662" s="189"/>
      <c r="O662" s="56">
        <f t="shared" ref="O662" si="114">M662-(M662*T662)</f>
        <v>1.87994932587</v>
      </c>
      <c r="P662" s="57">
        <f t="shared" si="113"/>
        <v>1.87994932587</v>
      </c>
      <c r="Q662" s="228"/>
      <c r="R662" s="179"/>
      <c r="T662" s="88">
        <v>5.05306435E-2</v>
      </c>
    </row>
    <row r="663" spans="1:20" ht="14.25" customHeight="1">
      <c r="A663" s="174" t="s">
        <v>1070</v>
      </c>
      <c r="B663" s="174"/>
      <c r="C663" s="174"/>
      <c r="D663" s="174"/>
      <c r="E663" s="174"/>
      <c r="F663" s="174"/>
      <c r="G663" s="174"/>
      <c r="H663" s="175" t="s">
        <v>1071</v>
      </c>
      <c r="I663" s="175"/>
      <c r="J663" s="175"/>
      <c r="K663" s="175"/>
      <c r="L663" s="176">
        <v>0</v>
      </c>
      <c r="M663" s="176"/>
      <c r="N663" s="177" t="s">
        <v>1072</v>
      </c>
      <c r="O663" s="177"/>
      <c r="P663" s="177"/>
      <c r="Q663" s="179"/>
      <c r="R663" s="179"/>
      <c r="T663" s="88">
        <v>5.05306435E-2</v>
      </c>
    </row>
    <row r="664" spans="1:20" ht="17.45" customHeight="1">
      <c r="A664" s="178" t="s">
        <v>1073</v>
      </c>
      <c r="B664" s="178"/>
      <c r="C664" s="178"/>
      <c r="D664" s="178"/>
      <c r="E664" s="178"/>
      <c r="F664" s="178"/>
      <c r="G664" s="178"/>
      <c r="H664" s="179"/>
      <c r="I664" s="179"/>
      <c r="J664" s="179"/>
      <c r="K664" s="179"/>
      <c r="L664" s="180" t="s">
        <v>1074</v>
      </c>
      <c r="M664" s="180"/>
      <c r="N664" s="179"/>
      <c r="O664" s="179"/>
      <c r="P664" s="179"/>
      <c r="Q664" s="179"/>
      <c r="R664" s="179"/>
      <c r="T664" s="88">
        <v>5.05306435E-2</v>
      </c>
    </row>
    <row r="665" spans="1:20" ht="28.5" customHeight="1">
      <c r="A665" s="233" t="s">
        <v>1499</v>
      </c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T665" s="88">
        <v>5.05306435E-2</v>
      </c>
    </row>
    <row r="666" spans="1:20" ht="14.25" customHeight="1">
      <c r="A666" s="207"/>
      <c r="B666" s="207"/>
      <c r="C666" s="207"/>
      <c r="D666" s="207"/>
      <c r="E666" s="207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179"/>
      <c r="R666" s="179"/>
      <c r="T666" s="88">
        <v>5.05306435E-2</v>
      </c>
    </row>
    <row r="667" spans="1:20" ht="15.75" customHeight="1">
      <c r="A667" s="71">
        <v>50451</v>
      </c>
      <c r="B667" s="44" t="s">
        <v>3</v>
      </c>
      <c r="C667" s="43" t="s">
        <v>4</v>
      </c>
      <c r="D667" s="208" t="s">
        <v>5</v>
      </c>
      <c r="E667" s="209"/>
      <c r="F667" s="43" t="s">
        <v>1049</v>
      </c>
      <c r="G667" s="210"/>
      <c r="H667" s="211"/>
      <c r="I667" s="212"/>
      <c r="J667" s="215" t="s">
        <v>6</v>
      </c>
      <c r="K667" s="217"/>
      <c r="L667" s="44" t="s">
        <v>7</v>
      </c>
      <c r="M667" s="213" t="s">
        <v>8</v>
      </c>
      <c r="N667" s="214"/>
      <c r="O667" s="66"/>
      <c r="P667" s="44" t="s">
        <v>11</v>
      </c>
      <c r="Q667" s="228"/>
      <c r="R667" s="179"/>
      <c r="T667" s="88">
        <v>5.05306435E-2</v>
      </c>
    </row>
    <row r="668" spans="1:20" ht="14.25" customHeight="1">
      <c r="A668" s="47" t="s">
        <v>1051</v>
      </c>
      <c r="B668" s="48" t="s">
        <v>1500</v>
      </c>
      <c r="C668" s="47" t="s">
        <v>1053</v>
      </c>
      <c r="D668" s="190" t="s">
        <v>1501</v>
      </c>
      <c r="E668" s="191"/>
      <c r="F668" s="47" t="s">
        <v>1367</v>
      </c>
      <c r="G668" s="192"/>
      <c r="H668" s="193"/>
      <c r="I668" s="194"/>
      <c r="J668" s="195" t="s">
        <v>1085</v>
      </c>
      <c r="K668" s="196"/>
      <c r="L668" s="50">
        <v>1</v>
      </c>
      <c r="M668" s="197">
        <v>21.25</v>
      </c>
      <c r="N668" s="198"/>
      <c r="O668" s="64">
        <f>M668-(M668*T668)</f>
        <v>20.176223825625001</v>
      </c>
      <c r="P668" s="64">
        <f>SUM(P669:P673)</f>
        <v>20.18095218302037</v>
      </c>
      <c r="Q668" s="228"/>
      <c r="R668" s="179"/>
      <c r="T668" s="88">
        <v>5.05306435E-2</v>
      </c>
    </row>
    <row r="669" spans="1:20" ht="15" customHeight="1">
      <c r="A669" s="52" t="s">
        <v>1057</v>
      </c>
      <c r="B669" s="53">
        <v>88316</v>
      </c>
      <c r="C669" s="52" t="s">
        <v>1058</v>
      </c>
      <c r="D669" s="199" t="s">
        <v>1059</v>
      </c>
      <c r="E669" s="200"/>
      <c r="F669" s="52" t="s">
        <v>1158</v>
      </c>
      <c r="G669" s="201"/>
      <c r="H669" s="202"/>
      <c r="I669" s="203"/>
      <c r="J669" s="204" t="s">
        <v>1061</v>
      </c>
      <c r="K669" s="205"/>
      <c r="L669" s="55">
        <v>0.28000000000000003</v>
      </c>
      <c r="M669" s="188">
        <v>21.32</v>
      </c>
      <c r="N669" s="189"/>
      <c r="O669" s="56">
        <f>M669-(M669*T669)</f>
        <v>20.24268668058</v>
      </c>
      <c r="P669" s="57">
        <f t="shared" ref="P669:P673" si="115">O669*L669</f>
        <v>5.6679522705624006</v>
      </c>
      <c r="Q669" s="228"/>
      <c r="R669" s="179"/>
      <c r="T669" s="88">
        <v>5.05306435E-2</v>
      </c>
    </row>
    <row r="670" spans="1:20" ht="14.25" customHeight="1">
      <c r="A670" s="52" t="s">
        <v>1057</v>
      </c>
      <c r="B670" s="53">
        <v>88267</v>
      </c>
      <c r="C670" s="52" t="s">
        <v>1058</v>
      </c>
      <c r="D670" s="199" t="s">
        <v>1133</v>
      </c>
      <c r="E670" s="200"/>
      <c r="F670" s="52" t="s">
        <v>1158</v>
      </c>
      <c r="G670" s="201"/>
      <c r="H670" s="202"/>
      <c r="I670" s="203"/>
      <c r="J670" s="204" t="s">
        <v>1061</v>
      </c>
      <c r="K670" s="205"/>
      <c r="L670" s="55">
        <v>0.28000000000000003</v>
      </c>
      <c r="M670" s="188">
        <v>26.19</v>
      </c>
      <c r="N670" s="189"/>
      <c r="O670" s="56">
        <f t="shared" ref="O670:O673" si="116">M670-(M670*T670)</f>
        <v>24.866602446735001</v>
      </c>
      <c r="P670" s="57">
        <f t="shared" si="115"/>
        <v>6.9626486850858011</v>
      </c>
      <c r="Q670" s="228"/>
      <c r="R670" s="179"/>
      <c r="T670" s="88">
        <v>5.05306435E-2</v>
      </c>
    </row>
    <row r="671" spans="1:20" ht="15" customHeight="1">
      <c r="A671" s="58" t="s">
        <v>1064</v>
      </c>
      <c r="B671" s="62">
        <v>2036</v>
      </c>
      <c r="C671" s="58" t="s">
        <v>1180</v>
      </c>
      <c r="D671" s="181" t="s">
        <v>1502</v>
      </c>
      <c r="E671" s="182"/>
      <c r="F671" s="58" t="s">
        <v>1068</v>
      </c>
      <c r="G671" s="183"/>
      <c r="H671" s="184"/>
      <c r="I671" s="185"/>
      <c r="J671" s="186" t="s">
        <v>1457</v>
      </c>
      <c r="K671" s="187"/>
      <c r="L671" s="60">
        <v>6.0000000000000001E-3</v>
      </c>
      <c r="M671" s="221">
        <v>69.739999999999995</v>
      </c>
      <c r="N671" s="222"/>
      <c r="O671" s="56">
        <f t="shared" si="116"/>
        <v>66.215992922309994</v>
      </c>
      <c r="P671" s="57">
        <f t="shared" si="115"/>
        <v>0.39729595753385999</v>
      </c>
      <c r="Q671" s="228"/>
      <c r="R671" s="179"/>
      <c r="T671" s="88">
        <v>5.05306435E-2</v>
      </c>
    </row>
    <row r="672" spans="1:20" ht="14.25" customHeight="1">
      <c r="A672" s="58" t="s">
        <v>1064</v>
      </c>
      <c r="B672" s="62">
        <v>20149</v>
      </c>
      <c r="C672" s="58" t="s">
        <v>1058</v>
      </c>
      <c r="D672" s="181" t="s">
        <v>1503</v>
      </c>
      <c r="E672" s="182"/>
      <c r="F672" s="58" t="s">
        <v>1068</v>
      </c>
      <c r="G672" s="183"/>
      <c r="H672" s="184"/>
      <c r="I672" s="185"/>
      <c r="J672" s="186" t="s">
        <v>1085</v>
      </c>
      <c r="K672" s="187"/>
      <c r="L672" s="60">
        <v>1</v>
      </c>
      <c r="M672" s="188">
        <v>6.52</v>
      </c>
      <c r="N672" s="189"/>
      <c r="O672" s="56">
        <f t="shared" si="116"/>
        <v>6.1905402043799995</v>
      </c>
      <c r="P672" s="57">
        <f t="shared" si="115"/>
        <v>6.1905402043799995</v>
      </c>
      <c r="Q672" s="228"/>
      <c r="R672" s="179"/>
      <c r="T672" s="88">
        <v>5.05306435E-2</v>
      </c>
    </row>
    <row r="673" spans="1:20" ht="14.85" customHeight="1">
      <c r="A673" s="58" t="s">
        <v>1064</v>
      </c>
      <c r="B673" s="62">
        <v>138</v>
      </c>
      <c r="C673" s="58" t="s">
        <v>1180</v>
      </c>
      <c r="D673" s="181" t="s">
        <v>1504</v>
      </c>
      <c r="E673" s="182"/>
      <c r="F673" s="58" t="s">
        <v>1068</v>
      </c>
      <c r="G673" s="183"/>
      <c r="H673" s="184"/>
      <c r="I673" s="185"/>
      <c r="J673" s="186" t="s">
        <v>1454</v>
      </c>
      <c r="K673" s="187"/>
      <c r="L673" s="60">
        <v>1.4E-2</v>
      </c>
      <c r="M673" s="221">
        <v>72.41</v>
      </c>
      <c r="N673" s="222"/>
      <c r="O673" s="56">
        <f t="shared" si="116"/>
        <v>68.751076104164994</v>
      </c>
      <c r="P673" s="57">
        <f t="shared" si="115"/>
        <v>0.96251506545830989</v>
      </c>
      <c r="Q673" s="228"/>
      <c r="R673" s="179"/>
      <c r="T673" s="88">
        <v>5.05306435E-2</v>
      </c>
    </row>
    <row r="674" spans="1:20" ht="14.25" customHeight="1">
      <c r="A674" s="174" t="s">
        <v>1070</v>
      </c>
      <c r="B674" s="174"/>
      <c r="C674" s="174"/>
      <c r="D674" s="174"/>
      <c r="E674" s="174"/>
      <c r="F674" s="174"/>
      <c r="G674" s="174"/>
      <c r="H674" s="175" t="s">
        <v>1071</v>
      </c>
      <c r="I674" s="175"/>
      <c r="J674" s="175"/>
      <c r="K674" s="175"/>
      <c r="L674" s="176">
        <v>0</v>
      </c>
      <c r="M674" s="176"/>
      <c r="N674" s="177" t="s">
        <v>1072</v>
      </c>
      <c r="O674" s="177"/>
      <c r="P674" s="177"/>
      <c r="Q674" s="179"/>
      <c r="R674" s="179"/>
      <c r="T674" s="88">
        <v>5.05306435E-2</v>
      </c>
    </row>
    <row r="675" spans="1:20" ht="17.45" customHeight="1">
      <c r="A675" s="178" t="s">
        <v>1073</v>
      </c>
      <c r="B675" s="178"/>
      <c r="C675" s="178"/>
      <c r="D675" s="178"/>
      <c r="E675" s="178"/>
      <c r="F675" s="178"/>
      <c r="G675" s="178"/>
      <c r="H675" s="179"/>
      <c r="I675" s="179"/>
      <c r="J675" s="179"/>
      <c r="K675" s="179"/>
      <c r="L675" s="180" t="s">
        <v>1074</v>
      </c>
      <c r="M675" s="180"/>
      <c r="N675" s="179"/>
      <c r="O675" s="179"/>
      <c r="P675" s="179"/>
      <c r="Q675" s="179"/>
      <c r="R675" s="179"/>
      <c r="T675" s="88">
        <v>5.05306435E-2</v>
      </c>
    </row>
    <row r="676" spans="1:20" ht="28.5" customHeight="1">
      <c r="A676" s="233" t="s">
        <v>1505</v>
      </c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T676" s="88">
        <v>5.05306435E-2</v>
      </c>
    </row>
    <row r="677" spans="1:20" ht="14.25" customHeight="1">
      <c r="A677" s="207"/>
      <c r="B677" s="207"/>
      <c r="C677" s="207"/>
      <c r="D677" s="207"/>
      <c r="E677" s="207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179"/>
      <c r="R677" s="179"/>
      <c r="T677" s="88">
        <v>5.05306435E-2</v>
      </c>
    </row>
    <row r="678" spans="1:20" ht="15.75" customHeight="1">
      <c r="A678" s="71">
        <v>50816</v>
      </c>
      <c r="B678" s="44" t="s">
        <v>3</v>
      </c>
      <c r="C678" s="43" t="s">
        <v>4</v>
      </c>
      <c r="D678" s="208" t="s">
        <v>5</v>
      </c>
      <c r="E678" s="209"/>
      <c r="F678" s="43" t="s">
        <v>1049</v>
      </c>
      <c r="G678" s="210"/>
      <c r="H678" s="211"/>
      <c r="I678" s="212"/>
      <c r="J678" s="215" t="s">
        <v>6</v>
      </c>
      <c r="K678" s="217"/>
      <c r="L678" s="44" t="s">
        <v>7</v>
      </c>
      <c r="M678" s="213" t="s">
        <v>8</v>
      </c>
      <c r="N678" s="214"/>
      <c r="O678" s="66"/>
      <c r="P678" s="44" t="s">
        <v>11</v>
      </c>
      <c r="Q678" s="228"/>
      <c r="R678" s="179"/>
      <c r="T678" s="88">
        <v>5.05306435E-2</v>
      </c>
    </row>
    <row r="679" spans="1:20" ht="14.25" customHeight="1">
      <c r="A679" s="47" t="s">
        <v>1051</v>
      </c>
      <c r="B679" s="48" t="s">
        <v>1506</v>
      </c>
      <c r="C679" s="47" t="s">
        <v>1053</v>
      </c>
      <c r="D679" s="190" t="s">
        <v>1507</v>
      </c>
      <c r="E679" s="191"/>
      <c r="F679" s="47" t="s">
        <v>1422</v>
      </c>
      <c r="G679" s="192"/>
      <c r="H679" s="193"/>
      <c r="I679" s="194"/>
      <c r="J679" s="195" t="s">
        <v>1085</v>
      </c>
      <c r="K679" s="196"/>
      <c r="L679" s="50">
        <v>1</v>
      </c>
      <c r="M679" s="236">
        <v>4203.6000000000004</v>
      </c>
      <c r="N679" s="237"/>
      <c r="O679" s="64">
        <f>M679-(M679*T679)</f>
        <v>3991.1893869834003</v>
      </c>
      <c r="P679" s="64">
        <f>SUM(P680:P684)</f>
        <v>3991.1897667711432</v>
      </c>
      <c r="Q679" s="228"/>
      <c r="R679" s="179"/>
      <c r="T679" s="88">
        <v>5.05306435E-2</v>
      </c>
    </row>
    <row r="680" spans="1:20" ht="15" customHeight="1">
      <c r="A680" s="52" t="s">
        <v>1057</v>
      </c>
      <c r="B680" s="53">
        <v>103801</v>
      </c>
      <c r="C680" s="52" t="s">
        <v>1058</v>
      </c>
      <c r="D680" s="199" t="s">
        <v>1508</v>
      </c>
      <c r="E680" s="200"/>
      <c r="F680" s="52" t="s">
        <v>1168</v>
      </c>
      <c r="G680" s="201"/>
      <c r="H680" s="202"/>
      <c r="I680" s="203"/>
      <c r="J680" s="204" t="s">
        <v>1121</v>
      </c>
      <c r="K680" s="205"/>
      <c r="L680" s="55">
        <v>2.16</v>
      </c>
      <c r="M680" s="247">
        <v>652.09</v>
      </c>
      <c r="N680" s="248"/>
      <c r="O680" s="56">
        <f>M680-(M680*T680)</f>
        <v>619.13947268008508</v>
      </c>
      <c r="P680" s="57">
        <f t="shared" ref="P680:P683" si="117">O680*L680</f>
        <v>1337.3412609889838</v>
      </c>
      <c r="Q680" s="228"/>
      <c r="R680" s="179"/>
      <c r="T680" s="88">
        <v>5.05306435E-2</v>
      </c>
    </row>
    <row r="681" spans="1:20" ht="15" customHeight="1">
      <c r="A681" s="52" t="s">
        <v>1057</v>
      </c>
      <c r="B681" s="53">
        <v>93358</v>
      </c>
      <c r="C681" s="52" t="s">
        <v>1058</v>
      </c>
      <c r="D681" s="199" t="s">
        <v>1509</v>
      </c>
      <c r="E681" s="200"/>
      <c r="F681" s="52" t="s">
        <v>1510</v>
      </c>
      <c r="G681" s="201"/>
      <c r="H681" s="202"/>
      <c r="I681" s="203"/>
      <c r="J681" s="204" t="s">
        <v>1121</v>
      </c>
      <c r="K681" s="205"/>
      <c r="L681" s="55">
        <v>15</v>
      </c>
      <c r="M681" s="188">
        <v>84.33</v>
      </c>
      <c r="N681" s="189"/>
      <c r="O681" s="56">
        <f t="shared" ref="O681:O683" si="118">M681-(M681*T681)</f>
        <v>80.068750833644998</v>
      </c>
      <c r="P681" s="57">
        <f t="shared" si="117"/>
        <v>1201.0312625046749</v>
      </c>
      <c r="Q681" s="228"/>
      <c r="R681" s="179"/>
      <c r="T681" s="88">
        <v>5.05306435E-2</v>
      </c>
    </row>
    <row r="682" spans="1:20" ht="14.25" customHeight="1">
      <c r="A682" s="52" t="s">
        <v>1057</v>
      </c>
      <c r="B682" s="53">
        <v>96536</v>
      </c>
      <c r="C682" s="52" t="s">
        <v>1058</v>
      </c>
      <c r="D682" s="199" t="s">
        <v>1511</v>
      </c>
      <c r="E682" s="200"/>
      <c r="F682" s="52" t="s">
        <v>1168</v>
      </c>
      <c r="G682" s="201"/>
      <c r="H682" s="202"/>
      <c r="I682" s="203"/>
      <c r="J682" s="204" t="s">
        <v>1079</v>
      </c>
      <c r="K682" s="205"/>
      <c r="L682" s="55">
        <v>20.3</v>
      </c>
      <c r="M682" s="188">
        <v>74.62</v>
      </c>
      <c r="N682" s="189"/>
      <c r="O682" s="56">
        <f t="shared" si="118"/>
        <v>70.849403382030005</v>
      </c>
      <c r="P682" s="57">
        <f t="shared" si="117"/>
        <v>1438.2428886552091</v>
      </c>
      <c r="Q682" s="228"/>
      <c r="R682" s="179"/>
      <c r="T682" s="88">
        <v>5.05306435E-2</v>
      </c>
    </row>
    <row r="683" spans="1:20" ht="15" customHeight="1">
      <c r="A683" s="52" t="s">
        <v>1057</v>
      </c>
      <c r="B683" s="53">
        <v>101617</v>
      </c>
      <c r="C683" s="52" t="s">
        <v>1058</v>
      </c>
      <c r="D683" s="199" t="s">
        <v>1512</v>
      </c>
      <c r="E683" s="200"/>
      <c r="F683" s="52" t="s">
        <v>1510</v>
      </c>
      <c r="G683" s="201"/>
      <c r="H683" s="202"/>
      <c r="I683" s="203"/>
      <c r="J683" s="204" t="s">
        <v>1079</v>
      </c>
      <c r="K683" s="205"/>
      <c r="L683" s="55">
        <v>5</v>
      </c>
      <c r="M683" s="188">
        <v>3.07</v>
      </c>
      <c r="N683" s="189"/>
      <c r="O683" s="56">
        <f t="shared" si="118"/>
        <v>2.9148709244549997</v>
      </c>
      <c r="P683" s="57">
        <f t="shared" si="117"/>
        <v>14.574354622274999</v>
      </c>
      <c r="Q683" s="228"/>
      <c r="R683" s="179"/>
      <c r="T683" s="88">
        <v>5.05306435E-2</v>
      </c>
    </row>
    <row r="684" spans="1:20" ht="14.25" customHeight="1">
      <c r="A684" s="174" t="s">
        <v>1070</v>
      </c>
      <c r="B684" s="174"/>
      <c r="C684" s="174"/>
      <c r="D684" s="174"/>
      <c r="E684" s="174"/>
      <c r="F684" s="174"/>
      <c r="G684" s="174"/>
      <c r="H684" s="175" t="s">
        <v>1071</v>
      </c>
      <c r="I684" s="175"/>
      <c r="J684" s="175"/>
      <c r="K684" s="175"/>
      <c r="L684" s="176">
        <v>0</v>
      </c>
      <c r="M684" s="176"/>
      <c r="N684" s="177" t="s">
        <v>1072</v>
      </c>
      <c r="O684" s="177"/>
      <c r="P684" s="177"/>
      <c r="Q684" s="179"/>
      <c r="R684" s="179"/>
      <c r="T684" s="88">
        <v>5.05306435E-2</v>
      </c>
    </row>
    <row r="685" spans="1:20" ht="17.45" customHeight="1">
      <c r="A685" s="178" t="s">
        <v>1073</v>
      </c>
      <c r="B685" s="178"/>
      <c r="C685" s="178"/>
      <c r="D685" s="178"/>
      <c r="E685" s="178"/>
      <c r="F685" s="178"/>
      <c r="G685" s="178"/>
      <c r="H685" s="179"/>
      <c r="I685" s="179"/>
      <c r="J685" s="179"/>
      <c r="K685" s="179"/>
      <c r="L685" s="180" t="s">
        <v>1074</v>
      </c>
      <c r="M685" s="180"/>
      <c r="N685" s="179"/>
      <c r="O685" s="179"/>
      <c r="P685" s="179"/>
      <c r="Q685" s="179"/>
      <c r="R685" s="179"/>
      <c r="T685" s="88">
        <v>5.05306435E-2</v>
      </c>
    </row>
    <row r="686" spans="1:20" ht="28.5" customHeight="1">
      <c r="A686" s="233" t="s">
        <v>1513</v>
      </c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T686" s="88">
        <v>5.05306435E-2</v>
      </c>
    </row>
    <row r="687" spans="1:20" ht="14.25" customHeight="1">
      <c r="A687" s="207"/>
      <c r="B687" s="207"/>
      <c r="C687" s="207"/>
      <c r="D687" s="207"/>
      <c r="E687" s="207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179"/>
      <c r="R687" s="179"/>
      <c r="T687" s="88">
        <v>5.05306435E-2</v>
      </c>
    </row>
    <row r="688" spans="1:20" ht="15.75" customHeight="1">
      <c r="A688" s="43" t="s">
        <v>1514</v>
      </c>
      <c r="B688" s="44" t="s">
        <v>3</v>
      </c>
      <c r="C688" s="43" t="s">
        <v>4</v>
      </c>
      <c r="D688" s="208" t="s">
        <v>5</v>
      </c>
      <c r="E688" s="209"/>
      <c r="F688" s="43" t="s">
        <v>1049</v>
      </c>
      <c r="G688" s="210"/>
      <c r="H688" s="211"/>
      <c r="I688" s="212"/>
      <c r="J688" s="215" t="s">
        <v>6</v>
      </c>
      <c r="K688" s="217"/>
      <c r="L688" s="44" t="s">
        <v>7</v>
      </c>
      <c r="M688" s="213" t="s">
        <v>8</v>
      </c>
      <c r="N688" s="214"/>
      <c r="O688" s="66"/>
      <c r="P688" s="44" t="s">
        <v>11</v>
      </c>
      <c r="Q688" s="228"/>
      <c r="R688" s="179"/>
      <c r="T688" s="88">
        <v>5.05306435E-2</v>
      </c>
    </row>
    <row r="689" spans="1:20" ht="14.25" customHeight="1">
      <c r="A689" s="47" t="s">
        <v>1051</v>
      </c>
      <c r="B689" s="48" t="s">
        <v>1515</v>
      </c>
      <c r="C689" s="47" t="s">
        <v>1053</v>
      </c>
      <c r="D689" s="190" t="s">
        <v>1516</v>
      </c>
      <c r="E689" s="191"/>
      <c r="F689" s="47" t="s">
        <v>1367</v>
      </c>
      <c r="G689" s="192"/>
      <c r="H689" s="193"/>
      <c r="I689" s="194"/>
      <c r="J689" s="195" t="s">
        <v>1187</v>
      </c>
      <c r="K689" s="196"/>
      <c r="L689" s="50">
        <v>1</v>
      </c>
      <c r="M689" s="231">
        <v>711.59</v>
      </c>
      <c r="N689" s="232"/>
      <c r="O689" s="64">
        <f>M689-(M689*T689)</f>
        <v>675.63289939183505</v>
      </c>
      <c r="P689" s="64">
        <f>SUM(P690:P694)</f>
        <v>675.63289939183505</v>
      </c>
      <c r="Q689" s="228"/>
      <c r="R689" s="179"/>
      <c r="T689" s="88">
        <v>5.05306435E-2</v>
      </c>
    </row>
    <row r="690" spans="1:20" ht="15" customHeight="1">
      <c r="A690" s="52" t="s">
        <v>1057</v>
      </c>
      <c r="B690" s="53">
        <v>99253</v>
      </c>
      <c r="C690" s="52" t="s">
        <v>1058</v>
      </c>
      <c r="D690" s="199" t="s">
        <v>1517</v>
      </c>
      <c r="E690" s="200"/>
      <c r="F690" s="52" t="s">
        <v>1367</v>
      </c>
      <c r="G690" s="201"/>
      <c r="H690" s="202"/>
      <c r="I690" s="203"/>
      <c r="J690" s="204" t="s">
        <v>1085</v>
      </c>
      <c r="K690" s="205"/>
      <c r="L690" s="55">
        <v>1</v>
      </c>
      <c r="M690" s="247">
        <v>530.20000000000005</v>
      </c>
      <c r="N690" s="248"/>
      <c r="O690" s="56">
        <f>M690-(M690*T690)</f>
        <v>503.40865281630005</v>
      </c>
      <c r="P690" s="57">
        <f t="shared" ref="P690:P691" si="119">O690*L690</f>
        <v>503.40865281630005</v>
      </c>
      <c r="Q690" s="228"/>
      <c r="R690" s="179"/>
      <c r="T690" s="88">
        <v>5.05306435E-2</v>
      </c>
    </row>
    <row r="691" spans="1:20" ht="14.85" customHeight="1">
      <c r="A691" s="58" t="s">
        <v>1064</v>
      </c>
      <c r="B691" s="62">
        <v>2602</v>
      </c>
      <c r="C691" s="58" t="s">
        <v>1180</v>
      </c>
      <c r="D691" s="181" t="s">
        <v>1518</v>
      </c>
      <c r="E691" s="182"/>
      <c r="F691" s="58" t="s">
        <v>1068</v>
      </c>
      <c r="G691" s="183"/>
      <c r="H691" s="184"/>
      <c r="I691" s="185"/>
      <c r="J691" s="186" t="s">
        <v>1187</v>
      </c>
      <c r="K691" s="187"/>
      <c r="L691" s="60">
        <v>1</v>
      </c>
      <c r="M691" s="229">
        <v>181.39</v>
      </c>
      <c r="N691" s="230"/>
      <c r="O691" s="56">
        <f t="shared" ref="O691" si="120">M691-(M691*T691)</f>
        <v>172.22424657553498</v>
      </c>
      <c r="P691" s="57">
        <f t="shared" si="119"/>
        <v>172.22424657553498</v>
      </c>
      <c r="Q691" s="228"/>
      <c r="R691" s="179"/>
      <c r="T691" s="88">
        <v>5.05306435E-2</v>
      </c>
    </row>
    <row r="692" spans="1:20" ht="57.2" customHeight="1">
      <c r="A692" s="233" t="s">
        <v>1519</v>
      </c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T692" s="88">
        <v>5.05306435E-2</v>
      </c>
    </row>
    <row r="693" spans="1:20" ht="15" customHeight="1">
      <c r="A693" s="207"/>
      <c r="B693" s="207"/>
      <c r="C693" s="207"/>
      <c r="D693" s="207"/>
      <c r="E693" s="207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179"/>
      <c r="R693" s="179"/>
      <c r="T693" s="88">
        <v>5.05306435E-2</v>
      </c>
    </row>
    <row r="694" spans="1:20" ht="15.75" customHeight="1">
      <c r="A694" s="43" t="s">
        <v>1520</v>
      </c>
      <c r="B694" s="44" t="s">
        <v>3</v>
      </c>
      <c r="C694" s="43" t="s">
        <v>4</v>
      </c>
      <c r="D694" s="208" t="s">
        <v>5</v>
      </c>
      <c r="E694" s="209"/>
      <c r="F694" s="43" t="s">
        <v>1049</v>
      </c>
      <c r="G694" s="210"/>
      <c r="H694" s="211"/>
      <c r="I694" s="212"/>
      <c r="J694" s="215" t="s">
        <v>6</v>
      </c>
      <c r="K694" s="217"/>
      <c r="L694" s="44" t="s">
        <v>7</v>
      </c>
      <c r="M694" s="213" t="s">
        <v>8</v>
      </c>
      <c r="N694" s="214"/>
      <c r="O694" s="66"/>
      <c r="P694" s="44" t="s">
        <v>11</v>
      </c>
      <c r="Q694" s="228"/>
      <c r="R694" s="179"/>
      <c r="T694" s="88">
        <v>5.05306435E-2</v>
      </c>
    </row>
    <row r="695" spans="1:20" ht="14.45" customHeight="1">
      <c r="A695" s="47" t="s">
        <v>1051</v>
      </c>
      <c r="B695" s="48" t="s">
        <v>1521</v>
      </c>
      <c r="C695" s="47" t="s">
        <v>1053</v>
      </c>
      <c r="D695" s="190" t="s">
        <v>1522</v>
      </c>
      <c r="E695" s="191"/>
      <c r="F695" s="47" t="s">
        <v>1367</v>
      </c>
      <c r="G695" s="192"/>
      <c r="H695" s="193"/>
      <c r="I695" s="194"/>
      <c r="J695" s="195" t="s">
        <v>1085</v>
      </c>
      <c r="K695" s="196"/>
      <c r="L695" s="50">
        <v>1</v>
      </c>
      <c r="M695" s="197">
        <v>519.67999999999995</v>
      </c>
      <c r="N695" s="198"/>
      <c r="O695" s="64">
        <f>M695-(M695*T695)</f>
        <v>493.42023518591998</v>
      </c>
      <c r="P695" s="64">
        <f>SUM(P696:P700)</f>
        <v>493.41691963892708</v>
      </c>
      <c r="T695" s="88">
        <v>5.05306435E-2</v>
      </c>
    </row>
    <row r="696" spans="1:20" ht="14.45" customHeight="1">
      <c r="A696" s="52" t="s">
        <v>1057</v>
      </c>
      <c r="B696" s="53">
        <v>94975</v>
      </c>
      <c r="C696" s="52" t="s">
        <v>1058</v>
      </c>
      <c r="D696" s="199" t="s">
        <v>1523</v>
      </c>
      <c r="E696" s="200"/>
      <c r="F696" s="52" t="s">
        <v>1168</v>
      </c>
      <c r="G696" s="201"/>
      <c r="H696" s="202"/>
      <c r="I696" s="203"/>
      <c r="J696" s="204" t="s">
        <v>1121</v>
      </c>
      <c r="K696" s="205"/>
      <c r="L696" s="55">
        <v>2.52E-2</v>
      </c>
      <c r="M696" s="188">
        <v>509.69</v>
      </c>
      <c r="N696" s="189"/>
      <c r="O696" s="56">
        <f>M696-(M696*T696)</f>
        <v>483.93503631448499</v>
      </c>
      <c r="P696" s="57">
        <f t="shared" ref="P696:P700" si="121">O696*L696</f>
        <v>12.195162915125021</v>
      </c>
      <c r="T696" s="88">
        <v>5.05306435E-2</v>
      </c>
    </row>
    <row r="697" spans="1:20" ht="14.45" customHeight="1">
      <c r="A697" s="52" t="s">
        <v>1057</v>
      </c>
      <c r="B697" s="53">
        <v>101159</v>
      </c>
      <c r="C697" s="52" t="s">
        <v>1058</v>
      </c>
      <c r="D697" s="199" t="s">
        <v>1524</v>
      </c>
      <c r="E697" s="200"/>
      <c r="F697" s="52" t="s">
        <v>1185</v>
      </c>
      <c r="G697" s="201"/>
      <c r="H697" s="202"/>
      <c r="I697" s="203"/>
      <c r="J697" s="204" t="s">
        <v>1079</v>
      </c>
      <c r="K697" s="205"/>
      <c r="L697" s="55">
        <v>2.8</v>
      </c>
      <c r="M697" s="188">
        <v>133.34</v>
      </c>
      <c r="N697" s="189"/>
      <c r="O697" s="56">
        <f t="shared" ref="O697:O700" si="122">M697-(M697*T697)</f>
        <v>126.60224399571</v>
      </c>
      <c r="P697" s="57">
        <f t="shared" si="121"/>
        <v>354.48628318798796</v>
      </c>
      <c r="T697" s="88">
        <v>5.05306435E-2</v>
      </c>
    </row>
    <row r="698" spans="1:20" ht="14.45" customHeight="1">
      <c r="A698" s="52" t="s">
        <v>1057</v>
      </c>
      <c r="B698" s="53">
        <v>104958</v>
      </c>
      <c r="C698" s="52" t="s">
        <v>1058</v>
      </c>
      <c r="D698" s="199" t="s">
        <v>1525</v>
      </c>
      <c r="E698" s="200"/>
      <c r="F698" s="52" t="s">
        <v>1526</v>
      </c>
      <c r="G698" s="201"/>
      <c r="H698" s="202"/>
      <c r="I698" s="203"/>
      <c r="J698" s="204" t="s">
        <v>1079</v>
      </c>
      <c r="K698" s="205"/>
      <c r="L698" s="55">
        <v>2.4</v>
      </c>
      <c r="M698" s="188">
        <v>22.53</v>
      </c>
      <c r="N698" s="189"/>
      <c r="O698" s="56">
        <f t="shared" si="122"/>
        <v>21.391544601945</v>
      </c>
      <c r="P698" s="57">
        <f t="shared" si="121"/>
        <v>51.339707044667996</v>
      </c>
      <c r="T698" s="88">
        <v>5.05306435E-2</v>
      </c>
    </row>
    <row r="699" spans="1:20" ht="14.45" customHeight="1">
      <c r="A699" s="52" t="s">
        <v>1057</v>
      </c>
      <c r="B699" s="53">
        <v>87904</v>
      </c>
      <c r="C699" s="52" t="s">
        <v>1058</v>
      </c>
      <c r="D699" s="199" t="s">
        <v>1527</v>
      </c>
      <c r="E699" s="200"/>
      <c r="F699" s="52" t="s">
        <v>1526</v>
      </c>
      <c r="G699" s="201"/>
      <c r="H699" s="202"/>
      <c r="I699" s="203"/>
      <c r="J699" s="204" t="s">
        <v>1079</v>
      </c>
      <c r="K699" s="205"/>
      <c r="L699" s="55">
        <v>2.4</v>
      </c>
      <c r="M699" s="188">
        <v>8.35</v>
      </c>
      <c r="N699" s="189"/>
      <c r="O699" s="56">
        <f t="shared" si="122"/>
        <v>7.9280691267750001</v>
      </c>
      <c r="P699" s="57">
        <f t="shared" si="121"/>
        <v>19.027365904259998</v>
      </c>
      <c r="T699" s="88">
        <v>5.05306435E-2</v>
      </c>
    </row>
    <row r="700" spans="1:20" ht="14.45" customHeight="1">
      <c r="A700" s="52" t="s">
        <v>1057</v>
      </c>
      <c r="B700" s="53">
        <v>93358</v>
      </c>
      <c r="C700" s="52" t="s">
        <v>1058</v>
      </c>
      <c r="D700" s="199" t="s">
        <v>1509</v>
      </c>
      <c r="E700" s="200"/>
      <c r="F700" s="52" t="s">
        <v>1510</v>
      </c>
      <c r="G700" s="201"/>
      <c r="H700" s="202"/>
      <c r="I700" s="203"/>
      <c r="J700" s="204" t="s">
        <v>1121</v>
      </c>
      <c r="K700" s="205"/>
      <c r="L700" s="55">
        <v>0.70399999999999996</v>
      </c>
      <c r="M700" s="188">
        <v>84.33</v>
      </c>
      <c r="N700" s="189"/>
      <c r="O700" s="56">
        <f t="shared" si="122"/>
        <v>80.068750833644998</v>
      </c>
      <c r="P700" s="57">
        <f t="shared" si="121"/>
        <v>56.368400586886075</v>
      </c>
      <c r="T700" s="88">
        <v>5.05306435E-2</v>
      </c>
    </row>
    <row r="701" spans="1:20" ht="14.25" customHeight="1">
      <c r="A701" s="73"/>
      <c r="B701" s="73"/>
      <c r="C701" s="73"/>
      <c r="D701" s="218"/>
      <c r="E701" s="218"/>
      <c r="F701" s="74" t="s">
        <v>1070</v>
      </c>
      <c r="G701" s="218"/>
      <c r="H701" s="218"/>
      <c r="I701" s="218"/>
      <c r="J701" s="175" t="s">
        <v>1071</v>
      </c>
      <c r="K701" s="175"/>
      <c r="L701" s="75">
        <v>0</v>
      </c>
      <c r="M701" s="175" t="s">
        <v>1072</v>
      </c>
      <c r="N701" s="175"/>
      <c r="O701" s="74"/>
      <c r="P701" s="73"/>
      <c r="T701" s="88">
        <v>5.05306435E-2</v>
      </c>
    </row>
    <row r="702" spans="1:20" ht="14.85" customHeight="1">
      <c r="A702" s="68"/>
      <c r="B702" s="68"/>
      <c r="C702" s="68"/>
      <c r="D702" s="179"/>
      <c r="E702" s="179"/>
      <c r="F702" s="76" t="s">
        <v>1073</v>
      </c>
      <c r="G702" s="179"/>
      <c r="H702" s="179"/>
      <c r="I702" s="179"/>
      <c r="J702" s="179"/>
      <c r="K702" s="179"/>
      <c r="L702" s="70" t="s">
        <v>1074</v>
      </c>
      <c r="M702" s="179"/>
      <c r="N702" s="179"/>
      <c r="O702" s="68"/>
      <c r="P702" s="68"/>
      <c r="T702" s="88">
        <v>5.05306435E-2</v>
      </c>
    </row>
    <row r="703" spans="1:20" ht="14.45" customHeight="1">
      <c r="A703" s="77" t="s">
        <v>1089</v>
      </c>
      <c r="B703" s="68"/>
      <c r="C703" s="68"/>
      <c r="D703" s="179"/>
      <c r="E703" s="179"/>
      <c r="F703" s="68"/>
      <c r="G703" s="179"/>
      <c r="H703" s="179"/>
      <c r="I703" s="179"/>
      <c r="J703" s="179"/>
      <c r="K703" s="179"/>
      <c r="L703" s="68"/>
      <c r="M703" s="179"/>
      <c r="N703" s="179"/>
      <c r="O703" s="68"/>
      <c r="P703" s="68"/>
      <c r="T703" s="88">
        <v>5.05306435E-2</v>
      </c>
    </row>
    <row r="704" spans="1:20" ht="15.2" customHeight="1">
      <c r="A704" s="206" t="s">
        <v>1528</v>
      </c>
      <c r="B704" s="206"/>
      <c r="C704" s="206"/>
      <c r="D704" s="206"/>
      <c r="E704" s="206"/>
      <c r="F704" s="206"/>
      <c r="G704" s="206"/>
      <c r="H704" s="206"/>
      <c r="I704" s="206"/>
      <c r="J704" s="206"/>
      <c r="K704" s="206"/>
      <c r="L704" s="206"/>
      <c r="M704" s="206"/>
      <c r="N704" s="206"/>
      <c r="O704" s="206"/>
      <c r="P704" s="206"/>
      <c r="T704" s="88">
        <v>5.05306435E-2</v>
      </c>
    </row>
    <row r="705" spans="1:20" ht="14.45" customHeight="1">
      <c r="A705" s="207"/>
      <c r="B705" s="207"/>
      <c r="C705" s="207"/>
      <c r="D705" s="207"/>
      <c r="E705" s="207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T705" s="88">
        <v>5.05306435E-2</v>
      </c>
    </row>
    <row r="706" spans="1:20" ht="15.75" customHeight="1">
      <c r="A706" s="43" t="s">
        <v>1529</v>
      </c>
      <c r="B706" s="44" t="s">
        <v>3</v>
      </c>
      <c r="C706" s="43" t="s">
        <v>4</v>
      </c>
      <c r="D706" s="208" t="s">
        <v>5</v>
      </c>
      <c r="E706" s="209"/>
      <c r="F706" s="43" t="s">
        <v>1049</v>
      </c>
      <c r="G706" s="210"/>
      <c r="H706" s="211"/>
      <c r="I706" s="212"/>
      <c r="J706" s="215" t="s">
        <v>6</v>
      </c>
      <c r="K706" s="217"/>
      <c r="L706" s="44" t="s">
        <v>7</v>
      </c>
      <c r="M706" s="219" t="s">
        <v>8</v>
      </c>
      <c r="N706" s="220"/>
      <c r="O706" s="63"/>
      <c r="P706" s="44" t="s">
        <v>11</v>
      </c>
      <c r="T706" s="88">
        <v>5.05306435E-2</v>
      </c>
    </row>
    <row r="707" spans="1:20" ht="14.45" customHeight="1">
      <c r="A707" s="47" t="s">
        <v>1051</v>
      </c>
      <c r="B707" s="48" t="s">
        <v>1530</v>
      </c>
      <c r="C707" s="47" t="s">
        <v>1053</v>
      </c>
      <c r="D707" s="190" t="s">
        <v>1531</v>
      </c>
      <c r="E707" s="191"/>
      <c r="F707" s="47" t="s">
        <v>1367</v>
      </c>
      <c r="G707" s="192"/>
      <c r="H707" s="193"/>
      <c r="I707" s="194"/>
      <c r="J707" s="195" t="s">
        <v>1085</v>
      </c>
      <c r="K707" s="196"/>
      <c r="L707" s="50">
        <v>1</v>
      </c>
      <c r="M707" s="197">
        <v>109.81</v>
      </c>
      <c r="N707" s="198"/>
      <c r="O707" s="64">
        <f>M707-(M707*T707)</f>
        <v>104.26123003726501</v>
      </c>
      <c r="P707" s="64">
        <f>SUM(P708:P713)</f>
        <v>104.25876141693809</v>
      </c>
      <c r="T707" s="88">
        <v>5.05306435E-2</v>
      </c>
    </row>
    <row r="708" spans="1:20" ht="14.45" customHeight="1">
      <c r="A708" s="52" t="s">
        <v>1057</v>
      </c>
      <c r="B708" s="53">
        <v>88316</v>
      </c>
      <c r="C708" s="52" t="s">
        <v>1058</v>
      </c>
      <c r="D708" s="199" t="s">
        <v>1059</v>
      </c>
      <c r="E708" s="200"/>
      <c r="F708" s="52" t="s">
        <v>1158</v>
      </c>
      <c r="G708" s="201"/>
      <c r="H708" s="202"/>
      <c r="I708" s="203"/>
      <c r="J708" s="204" t="s">
        <v>1061</v>
      </c>
      <c r="K708" s="205"/>
      <c r="L708" s="55">
        <v>0.27</v>
      </c>
      <c r="M708" s="188">
        <v>21.32</v>
      </c>
      <c r="N708" s="189"/>
      <c r="O708" s="56">
        <f>M708-(M708*T708)</f>
        <v>20.24268668058</v>
      </c>
      <c r="P708" s="57">
        <f t="shared" ref="P708:P713" si="123">O708*L708</f>
        <v>5.4655254037566001</v>
      </c>
      <c r="T708" s="88">
        <v>5.05306435E-2</v>
      </c>
    </row>
    <row r="709" spans="1:20" ht="14.45" customHeight="1">
      <c r="A709" s="52" t="s">
        <v>1057</v>
      </c>
      <c r="B709" s="53">
        <v>88267</v>
      </c>
      <c r="C709" s="52" t="s">
        <v>1058</v>
      </c>
      <c r="D709" s="199" t="s">
        <v>1133</v>
      </c>
      <c r="E709" s="200"/>
      <c r="F709" s="52" t="s">
        <v>1158</v>
      </c>
      <c r="G709" s="201"/>
      <c r="H709" s="202"/>
      <c r="I709" s="203"/>
      <c r="J709" s="204" t="s">
        <v>1061</v>
      </c>
      <c r="K709" s="205"/>
      <c r="L709" s="55">
        <v>0.27</v>
      </c>
      <c r="M709" s="188">
        <v>26.19</v>
      </c>
      <c r="N709" s="189"/>
      <c r="O709" s="56">
        <f t="shared" ref="O709:O713" si="124">M709-(M709*T709)</f>
        <v>24.866602446735001</v>
      </c>
      <c r="P709" s="57">
        <f t="shared" si="123"/>
        <v>6.7139826606184512</v>
      </c>
      <c r="T709" s="88">
        <v>5.05306435E-2</v>
      </c>
    </row>
    <row r="710" spans="1:20" ht="14.45" customHeight="1">
      <c r="A710" s="58" t="s">
        <v>1064</v>
      </c>
      <c r="B710" s="62">
        <v>138</v>
      </c>
      <c r="C710" s="58" t="s">
        <v>1180</v>
      </c>
      <c r="D710" s="181" t="s">
        <v>1504</v>
      </c>
      <c r="E710" s="182"/>
      <c r="F710" s="58" t="s">
        <v>1068</v>
      </c>
      <c r="G710" s="183"/>
      <c r="H710" s="184"/>
      <c r="I710" s="185"/>
      <c r="J710" s="186" t="s">
        <v>1454</v>
      </c>
      <c r="K710" s="187"/>
      <c r="L710" s="60">
        <v>0.05</v>
      </c>
      <c r="M710" s="221">
        <v>72.41</v>
      </c>
      <c r="N710" s="222"/>
      <c r="O710" s="56">
        <f t="shared" si="124"/>
        <v>68.751076104164994</v>
      </c>
      <c r="P710" s="57">
        <f t="shared" si="123"/>
        <v>3.4375538052082497</v>
      </c>
      <c r="T710" s="88">
        <v>5.05306435E-2</v>
      </c>
    </row>
    <row r="711" spans="1:20" ht="14.45" customHeight="1">
      <c r="A711" s="58" t="s">
        <v>1064</v>
      </c>
      <c r="B711" s="62">
        <v>8021</v>
      </c>
      <c r="C711" s="58" t="s">
        <v>1180</v>
      </c>
      <c r="D711" s="181" t="s">
        <v>1532</v>
      </c>
      <c r="E711" s="182"/>
      <c r="F711" s="58" t="s">
        <v>1068</v>
      </c>
      <c r="G711" s="183"/>
      <c r="H711" s="184"/>
      <c r="I711" s="185"/>
      <c r="J711" s="186" t="s">
        <v>1187</v>
      </c>
      <c r="K711" s="187"/>
      <c r="L711" s="60">
        <v>1</v>
      </c>
      <c r="M711" s="221">
        <v>69.28</v>
      </c>
      <c r="N711" s="222"/>
      <c r="O711" s="56">
        <f t="shared" si="124"/>
        <v>65.779237018320003</v>
      </c>
      <c r="P711" s="57">
        <f t="shared" si="123"/>
        <v>65.779237018320003</v>
      </c>
      <c r="T711" s="88">
        <v>5.05306435E-2</v>
      </c>
    </row>
    <row r="712" spans="1:20" ht="14.45" customHeight="1">
      <c r="A712" s="58" t="s">
        <v>1064</v>
      </c>
      <c r="B712" s="62">
        <v>2036</v>
      </c>
      <c r="C712" s="58" t="s">
        <v>1180</v>
      </c>
      <c r="D712" s="181" t="s">
        <v>1502</v>
      </c>
      <c r="E712" s="182"/>
      <c r="F712" s="58" t="s">
        <v>1068</v>
      </c>
      <c r="G712" s="183"/>
      <c r="H712" s="184"/>
      <c r="I712" s="185"/>
      <c r="J712" s="186" t="s">
        <v>1457</v>
      </c>
      <c r="K712" s="187"/>
      <c r="L712" s="60">
        <v>0.08</v>
      </c>
      <c r="M712" s="221">
        <v>69.739999999999995</v>
      </c>
      <c r="N712" s="222"/>
      <c r="O712" s="56">
        <f t="shared" si="124"/>
        <v>66.215992922309994</v>
      </c>
      <c r="P712" s="57">
        <f t="shared" si="123"/>
        <v>5.2972794337847997</v>
      </c>
      <c r="T712" s="88">
        <v>5.05306435E-2</v>
      </c>
    </row>
    <row r="713" spans="1:20" ht="14.45" customHeight="1">
      <c r="A713" s="58" t="s">
        <v>1064</v>
      </c>
      <c r="B713" s="62">
        <v>306</v>
      </c>
      <c r="C713" s="58" t="s">
        <v>1058</v>
      </c>
      <c r="D713" s="181" t="s">
        <v>1533</v>
      </c>
      <c r="E713" s="182"/>
      <c r="F713" s="58" t="s">
        <v>1068</v>
      </c>
      <c r="G713" s="183"/>
      <c r="H713" s="184"/>
      <c r="I713" s="185"/>
      <c r="J713" s="186" t="s">
        <v>1085</v>
      </c>
      <c r="K713" s="187"/>
      <c r="L713" s="60">
        <v>1</v>
      </c>
      <c r="M713" s="188">
        <v>18.5</v>
      </c>
      <c r="N713" s="189"/>
      <c r="O713" s="56">
        <f t="shared" si="124"/>
        <v>17.565183095249999</v>
      </c>
      <c r="P713" s="57">
        <f t="shared" si="123"/>
        <v>17.565183095249999</v>
      </c>
      <c r="T713" s="88">
        <v>5.05306435E-2</v>
      </c>
    </row>
    <row r="714" spans="1:20" ht="14.25" customHeight="1">
      <c r="A714" s="174" t="s">
        <v>1070</v>
      </c>
      <c r="B714" s="174"/>
      <c r="C714" s="174"/>
      <c r="D714" s="174"/>
      <c r="E714" s="174"/>
      <c r="F714" s="174"/>
      <c r="G714" s="174"/>
      <c r="H714" s="175" t="s">
        <v>1071</v>
      </c>
      <c r="I714" s="175"/>
      <c r="J714" s="175"/>
      <c r="K714" s="175"/>
      <c r="L714" s="176">
        <v>0</v>
      </c>
      <c r="M714" s="176"/>
      <c r="N714" s="177" t="s">
        <v>1072</v>
      </c>
      <c r="O714" s="177"/>
      <c r="P714" s="177"/>
      <c r="T714" s="88">
        <v>5.05306435E-2</v>
      </c>
    </row>
    <row r="715" spans="1:20" ht="14.25" customHeight="1">
      <c r="A715" s="178" t="s">
        <v>1073</v>
      </c>
      <c r="B715" s="178"/>
      <c r="C715" s="178"/>
      <c r="D715" s="178"/>
      <c r="E715" s="178"/>
      <c r="F715" s="178"/>
      <c r="G715" s="178"/>
      <c r="H715" s="179"/>
      <c r="I715" s="179"/>
      <c r="J715" s="179"/>
      <c r="K715" s="179"/>
      <c r="L715" s="180" t="s">
        <v>1074</v>
      </c>
      <c r="M715" s="180"/>
      <c r="N715" s="179"/>
      <c r="O715" s="179"/>
      <c r="P715" s="179"/>
      <c r="T715" s="88">
        <v>5.05306435E-2</v>
      </c>
    </row>
    <row r="716" spans="1:20" ht="28.5" customHeight="1">
      <c r="A716" s="172" t="s">
        <v>1534</v>
      </c>
      <c r="B716" s="172"/>
      <c r="C716" s="172"/>
      <c r="D716" s="172"/>
      <c r="E716" s="172"/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  <c r="Q716" s="172"/>
      <c r="T716" s="88">
        <v>5.05306435E-2</v>
      </c>
    </row>
    <row r="717" spans="1:20" ht="14.45" customHeight="1">
      <c r="A717" s="207"/>
      <c r="B717" s="207"/>
      <c r="C717" s="207"/>
      <c r="D717" s="207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T717" s="88">
        <v>5.05306435E-2</v>
      </c>
    </row>
    <row r="718" spans="1:20" ht="15.75" customHeight="1">
      <c r="A718" s="71">
        <v>40252</v>
      </c>
      <c r="B718" s="44" t="s">
        <v>3</v>
      </c>
      <c r="C718" s="43" t="s">
        <v>4</v>
      </c>
      <c r="D718" s="208" t="s">
        <v>5</v>
      </c>
      <c r="E718" s="209"/>
      <c r="F718" s="43" t="s">
        <v>1049</v>
      </c>
      <c r="G718" s="210"/>
      <c r="H718" s="211"/>
      <c r="I718" s="212"/>
      <c r="J718" s="213" t="s">
        <v>6</v>
      </c>
      <c r="K718" s="214"/>
      <c r="L718" s="44" t="s">
        <v>7</v>
      </c>
      <c r="M718" s="219" t="s">
        <v>8</v>
      </c>
      <c r="N718" s="220"/>
      <c r="O718" s="63"/>
      <c r="P718" s="44" t="s">
        <v>11</v>
      </c>
      <c r="T718" s="88">
        <v>5.05306435E-2</v>
      </c>
    </row>
    <row r="719" spans="1:20" ht="14.45" customHeight="1">
      <c r="A719" s="47" t="s">
        <v>1051</v>
      </c>
      <c r="B719" s="48" t="s">
        <v>1535</v>
      </c>
      <c r="C719" s="47" t="s">
        <v>1053</v>
      </c>
      <c r="D719" s="190" t="s">
        <v>1536</v>
      </c>
      <c r="E719" s="191"/>
      <c r="F719" s="47" t="s">
        <v>1367</v>
      </c>
      <c r="G719" s="192"/>
      <c r="H719" s="193"/>
      <c r="I719" s="194"/>
      <c r="J719" s="195" t="s">
        <v>1107</v>
      </c>
      <c r="K719" s="196"/>
      <c r="L719" s="50">
        <v>1</v>
      </c>
      <c r="M719" s="197">
        <v>156.71</v>
      </c>
      <c r="N719" s="198"/>
      <c r="O719" s="64">
        <f>M719-(M719*T719)</f>
        <v>148.79134285711501</v>
      </c>
      <c r="P719" s="64">
        <f>SUM(P720:P725)</f>
        <v>148.78726013888206</v>
      </c>
      <c r="T719" s="88">
        <v>5.05306435E-2</v>
      </c>
    </row>
    <row r="720" spans="1:20" ht="14.45" customHeight="1">
      <c r="A720" s="52" t="s">
        <v>1057</v>
      </c>
      <c r="B720" s="53">
        <v>88248</v>
      </c>
      <c r="C720" s="52" t="s">
        <v>1058</v>
      </c>
      <c r="D720" s="199" t="s">
        <v>1336</v>
      </c>
      <c r="E720" s="200"/>
      <c r="F720" s="52" t="s">
        <v>1158</v>
      </c>
      <c r="G720" s="201"/>
      <c r="H720" s="202"/>
      <c r="I720" s="203"/>
      <c r="J720" s="204" t="s">
        <v>1061</v>
      </c>
      <c r="K720" s="205"/>
      <c r="L720" s="55">
        <v>1.1000000000000001</v>
      </c>
      <c r="M720" s="188">
        <v>21.62</v>
      </c>
      <c r="N720" s="189"/>
      <c r="O720" s="56">
        <f>M720-(M720*T720)</f>
        <v>20.527527487530001</v>
      </c>
      <c r="P720" s="57">
        <f t="shared" ref="P720:P725" si="125">O720*L720</f>
        <v>22.580280236283002</v>
      </c>
      <c r="T720" s="88">
        <v>5.05306435E-2</v>
      </c>
    </row>
    <row r="721" spans="1:20" ht="14.45" customHeight="1">
      <c r="A721" s="52" t="s">
        <v>1057</v>
      </c>
      <c r="B721" s="53">
        <v>88267</v>
      </c>
      <c r="C721" s="52" t="s">
        <v>1058</v>
      </c>
      <c r="D721" s="199" t="s">
        <v>1133</v>
      </c>
      <c r="E721" s="200"/>
      <c r="F721" s="52" t="s">
        <v>1158</v>
      </c>
      <c r="G721" s="201"/>
      <c r="H721" s="202"/>
      <c r="I721" s="203"/>
      <c r="J721" s="204" t="s">
        <v>1061</v>
      </c>
      <c r="K721" s="205"/>
      <c r="L721" s="55">
        <v>1.1000000000000001</v>
      </c>
      <c r="M721" s="188">
        <v>26.19</v>
      </c>
      <c r="N721" s="189"/>
      <c r="O721" s="56">
        <f t="shared" ref="O721:O725" si="126">M721-(M721*T721)</f>
        <v>24.866602446735001</v>
      </c>
      <c r="P721" s="57">
        <f t="shared" si="125"/>
        <v>27.353262691408503</v>
      </c>
      <c r="T721" s="88">
        <v>5.05306435E-2</v>
      </c>
    </row>
    <row r="722" spans="1:20" ht="14.45" customHeight="1">
      <c r="A722" s="58" t="s">
        <v>1064</v>
      </c>
      <c r="B722" s="59" t="s">
        <v>1452</v>
      </c>
      <c r="C722" s="58" t="s">
        <v>1066</v>
      </c>
      <c r="D722" s="181" t="s">
        <v>1453</v>
      </c>
      <c r="E722" s="182"/>
      <c r="F722" s="58" t="s">
        <v>1068</v>
      </c>
      <c r="G722" s="183"/>
      <c r="H722" s="184"/>
      <c r="I722" s="185"/>
      <c r="J722" s="186" t="s">
        <v>1454</v>
      </c>
      <c r="K722" s="187"/>
      <c r="L722" s="60">
        <v>2.3E-2</v>
      </c>
      <c r="M722" s="221">
        <v>17.940000000000001</v>
      </c>
      <c r="N722" s="222"/>
      <c r="O722" s="56">
        <f t="shared" si="126"/>
        <v>17.033480255610002</v>
      </c>
      <c r="P722" s="57">
        <f t="shared" si="125"/>
        <v>0.39177004587903003</v>
      </c>
      <c r="T722" s="88">
        <v>5.05306435E-2</v>
      </c>
    </row>
    <row r="723" spans="1:20" ht="14.45" customHeight="1">
      <c r="A723" s="58" t="s">
        <v>1064</v>
      </c>
      <c r="B723" s="59" t="s">
        <v>1455</v>
      </c>
      <c r="C723" s="58" t="s">
        <v>1066</v>
      </c>
      <c r="D723" s="181" t="s">
        <v>1456</v>
      </c>
      <c r="E723" s="182"/>
      <c r="F723" s="58" t="s">
        <v>1068</v>
      </c>
      <c r="G723" s="183"/>
      <c r="H723" s="184"/>
      <c r="I723" s="185"/>
      <c r="J723" s="186" t="s">
        <v>1457</v>
      </c>
      <c r="K723" s="187"/>
      <c r="L723" s="60">
        <v>4.5999999999999999E-2</v>
      </c>
      <c r="M723" s="221">
        <v>47.48</v>
      </c>
      <c r="N723" s="222"/>
      <c r="O723" s="56">
        <f t="shared" si="126"/>
        <v>45.08080504662</v>
      </c>
      <c r="P723" s="57">
        <f t="shared" si="125"/>
        <v>2.0737170321445202</v>
      </c>
      <c r="T723" s="88">
        <v>5.05306435E-2</v>
      </c>
    </row>
    <row r="724" spans="1:20" ht="14.45" customHeight="1">
      <c r="A724" s="58" t="s">
        <v>1064</v>
      </c>
      <c r="B724" s="62">
        <v>300</v>
      </c>
      <c r="C724" s="58" t="s">
        <v>1058</v>
      </c>
      <c r="D724" s="181" t="s">
        <v>1537</v>
      </c>
      <c r="E724" s="182"/>
      <c r="F724" s="58" t="s">
        <v>1068</v>
      </c>
      <c r="G724" s="183"/>
      <c r="H724" s="184"/>
      <c r="I724" s="185"/>
      <c r="J724" s="186" t="s">
        <v>1085</v>
      </c>
      <c r="K724" s="187"/>
      <c r="L724" s="60">
        <v>1</v>
      </c>
      <c r="M724" s="188">
        <v>14.21</v>
      </c>
      <c r="N724" s="189"/>
      <c r="O724" s="56">
        <f t="shared" si="126"/>
        <v>13.491959555865002</v>
      </c>
      <c r="P724" s="57">
        <f t="shared" si="125"/>
        <v>13.491959555865002</v>
      </c>
      <c r="T724" s="88">
        <v>5.05306435E-2</v>
      </c>
    </row>
    <row r="725" spans="1:20" ht="14.45" customHeight="1">
      <c r="A725" s="58" t="s">
        <v>1064</v>
      </c>
      <c r="B725" s="59" t="s">
        <v>1538</v>
      </c>
      <c r="C725" s="58" t="s">
        <v>1066</v>
      </c>
      <c r="D725" s="181" t="s">
        <v>1539</v>
      </c>
      <c r="E725" s="182"/>
      <c r="F725" s="58" t="s">
        <v>1068</v>
      </c>
      <c r="G725" s="183"/>
      <c r="H725" s="184"/>
      <c r="I725" s="185"/>
      <c r="J725" s="186" t="s">
        <v>1327</v>
      </c>
      <c r="K725" s="187"/>
      <c r="L725" s="60">
        <v>1.3</v>
      </c>
      <c r="M725" s="221">
        <v>67.16</v>
      </c>
      <c r="N725" s="222"/>
      <c r="O725" s="56">
        <f t="shared" si="126"/>
        <v>63.766361982539998</v>
      </c>
      <c r="P725" s="57">
        <f t="shared" si="125"/>
        <v>82.896270577302005</v>
      </c>
      <c r="T725" s="88">
        <v>5.05306435E-2</v>
      </c>
    </row>
    <row r="726" spans="1:20" ht="14.25" customHeight="1">
      <c r="A726" s="73"/>
      <c r="B726" s="73"/>
      <c r="C726" s="73"/>
      <c r="D726" s="218"/>
      <c r="E726" s="218"/>
      <c r="F726" s="74" t="s">
        <v>1070</v>
      </c>
      <c r="G726" s="218"/>
      <c r="H726" s="218"/>
      <c r="I726" s="218"/>
      <c r="J726" s="175" t="s">
        <v>1071</v>
      </c>
      <c r="K726" s="175"/>
      <c r="L726" s="75">
        <v>0</v>
      </c>
      <c r="M726" s="175" t="s">
        <v>1072</v>
      </c>
      <c r="N726" s="175"/>
      <c r="O726" s="74"/>
      <c r="P726" s="73"/>
      <c r="T726" s="88">
        <v>5.05306435E-2</v>
      </c>
    </row>
    <row r="727" spans="1:20" ht="14.85" customHeight="1">
      <c r="A727" s="68"/>
      <c r="B727" s="68"/>
      <c r="C727" s="68"/>
      <c r="D727" s="179"/>
      <c r="E727" s="179"/>
      <c r="F727" s="76" t="s">
        <v>1073</v>
      </c>
      <c r="G727" s="179"/>
      <c r="H727" s="179"/>
      <c r="I727" s="179"/>
      <c r="J727" s="179"/>
      <c r="K727" s="179"/>
      <c r="L727" s="70" t="s">
        <v>1074</v>
      </c>
      <c r="M727" s="179"/>
      <c r="N727" s="179"/>
      <c r="O727" s="68"/>
      <c r="P727" s="68"/>
      <c r="T727" s="88">
        <v>5.05306435E-2</v>
      </c>
    </row>
    <row r="728" spans="1:20" ht="14.45" customHeight="1">
      <c r="A728" s="77" t="s">
        <v>1089</v>
      </c>
      <c r="B728" s="68"/>
      <c r="C728" s="68"/>
      <c r="D728" s="179"/>
      <c r="E728" s="179"/>
      <c r="F728" s="68"/>
      <c r="G728" s="179"/>
      <c r="H728" s="179"/>
      <c r="I728" s="179"/>
      <c r="J728" s="179"/>
      <c r="K728" s="179"/>
      <c r="L728" s="68"/>
      <c r="M728" s="179"/>
      <c r="N728" s="179"/>
      <c r="O728" s="68"/>
      <c r="P728" s="68"/>
      <c r="T728" s="88">
        <v>5.05306435E-2</v>
      </c>
    </row>
    <row r="729" spans="1:20" ht="15.2" customHeight="1">
      <c r="A729" s="206" t="s">
        <v>1540</v>
      </c>
      <c r="B729" s="206"/>
      <c r="C729" s="206"/>
      <c r="D729" s="206"/>
      <c r="E729" s="206"/>
      <c r="F729" s="206"/>
      <c r="G729" s="206"/>
      <c r="H729" s="206"/>
      <c r="I729" s="206"/>
      <c r="J729" s="206"/>
      <c r="K729" s="206"/>
      <c r="L729" s="206"/>
      <c r="M729" s="206"/>
      <c r="N729" s="206"/>
      <c r="O729" s="206"/>
      <c r="P729" s="206"/>
      <c r="T729" s="88">
        <v>5.05306435E-2</v>
      </c>
    </row>
    <row r="730" spans="1:20" ht="14.45" customHeight="1">
      <c r="A730" s="207"/>
      <c r="B730" s="207"/>
      <c r="C730" s="207"/>
      <c r="D730" s="207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T730" s="88">
        <v>5.05306435E-2</v>
      </c>
    </row>
    <row r="731" spans="1:20" ht="15.75" customHeight="1">
      <c r="A731" s="43" t="s">
        <v>1541</v>
      </c>
      <c r="B731" s="44" t="s">
        <v>3</v>
      </c>
      <c r="C731" s="43" t="s">
        <v>4</v>
      </c>
      <c r="D731" s="208" t="s">
        <v>5</v>
      </c>
      <c r="E731" s="209"/>
      <c r="F731" s="43" t="s">
        <v>1049</v>
      </c>
      <c r="G731" s="210"/>
      <c r="H731" s="211"/>
      <c r="I731" s="212"/>
      <c r="J731" s="213" t="s">
        <v>6</v>
      </c>
      <c r="K731" s="214"/>
      <c r="L731" s="44" t="s">
        <v>7</v>
      </c>
      <c r="M731" s="219" t="s">
        <v>8</v>
      </c>
      <c r="N731" s="220"/>
      <c r="O731" s="63"/>
      <c r="P731" s="44" t="s">
        <v>11</v>
      </c>
      <c r="T731" s="88">
        <v>5.05306435E-2</v>
      </c>
    </row>
    <row r="732" spans="1:20" ht="14.45" customHeight="1">
      <c r="A732" s="47" t="s">
        <v>1051</v>
      </c>
      <c r="B732" s="48" t="s">
        <v>1542</v>
      </c>
      <c r="C732" s="47" t="s">
        <v>1053</v>
      </c>
      <c r="D732" s="190" t="s">
        <v>1543</v>
      </c>
      <c r="E732" s="191"/>
      <c r="F732" s="47" t="s">
        <v>1367</v>
      </c>
      <c r="G732" s="192"/>
      <c r="H732" s="193"/>
      <c r="I732" s="194"/>
      <c r="J732" s="195" t="s">
        <v>1085</v>
      </c>
      <c r="K732" s="196"/>
      <c r="L732" s="50">
        <v>1</v>
      </c>
      <c r="M732" s="197">
        <v>18.670000000000002</v>
      </c>
      <c r="N732" s="198"/>
      <c r="O732" s="64">
        <f>M732-(M732*T732)</f>
        <v>17.726592885855002</v>
      </c>
      <c r="P732" s="64">
        <f>SUM(P733:P738)</f>
        <v>17.730390763281001</v>
      </c>
      <c r="T732" s="88">
        <v>5.05306435E-2</v>
      </c>
    </row>
    <row r="733" spans="1:20" ht="14.45" customHeight="1">
      <c r="A733" s="52" t="s">
        <v>1057</v>
      </c>
      <c r="B733" s="53">
        <v>88316</v>
      </c>
      <c r="C733" s="52" t="s">
        <v>1058</v>
      </c>
      <c r="D733" s="199" t="s">
        <v>1059</v>
      </c>
      <c r="E733" s="200"/>
      <c r="F733" s="52" t="s">
        <v>1158</v>
      </c>
      <c r="G733" s="201"/>
      <c r="H733" s="202"/>
      <c r="I733" s="203"/>
      <c r="J733" s="204" t="s">
        <v>1061</v>
      </c>
      <c r="K733" s="205"/>
      <c r="L733" s="55">
        <v>0.2</v>
      </c>
      <c r="M733" s="188">
        <v>21.32</v>
      </c>
      <c r="N733" s="189"/>
      <c r="O733" s="56">
        <f>M733-(M733*T733)</f>
        <v>20.24268668058</v>
      </c>
      <c r="P733" s="57">
        <f t="shared" ref="P733:P734" si="127">O733*L733</f>
        <v>4.0485373361160004</v>
      </c>
      <c r="T733" s="88">
        <v>5.05306435E-2</v>
      </c>
    </row>
    <row r="734" spans="1:20" ht="14.45" customHeight="1">
      <c r="A734" s="58" t="s">
        <v>1064</v>
      </c>
      <c r="B734" s="62">
        <v>13656</v>
      </c>
      <c r="C734" s="58" t="s">
        <v>1180</v>
      </c>
      <c r="D734" s="181" t="s">
        <v>1544</v>
      </c>
      <c r="E734" s="182"/>
      <c r="F734" s="58" t="s">
        <v>1068</v>
      </c>
      <c r="G734" s="183"/>
      <c r="H734" s="184"/>
      <c r="I734" s="185"/>
      <c r="J734" s="186" t="s">
        <v>1187</v>
      </c>
      <c r="K734" s="187"/>
      <c r="L734" s="60">
        <v>1</v>
      </c>
      <c r="M734" s="221">
        <v>14.41</v>
      </c>
      <c r="N734" s="222"/>
      <c r="O734" s="56">
        <f t="shared" ref="O734" si="128">M734-(M734*T734)</f>
        <v>13.681853427165001</v>
      </c>
      <c r="P734" s="57">
        <f t="shared" si="127"/>
        <v>13.681853427165001</v>
      </c>
      <c r="T734" s="88">
        <v>5.05306435E-2</v>
      </c>
    </row>
    <row r="735" spans="1:20" ht="14.25" customHeight="1">
      <c r="A735" s="174" t="s">
        <v>1070</v>
      </c>
      <c r="B735" s="174"/>
      <c r="C735" s="174"/>
      <c r="D735" s="174"/>
      <c r="E735" s="174"/>
      <c r="F735" s="174"/>
      <c r="G735" s="174"/>
      <c r="H735" s="175" t="s">
        <v>1071</v>
      </c>
      <c r="I735" s="175"/>
      <c r="J735" s="175"/>
      <c r="K735" s="175"/>
      <c r="L735" s="176">
        <v>0</v>
      </c>
      <c r="M735" s="176"/>
      <c r="N735" s="177" t="s">
        <v>1072</v>
      </c>
      <c r="O735" s="177"/>
      <c r="P735" s="177"/>
      <c r="T735" s="88">
        <v>5.05306435E-2</v>
      </c>
    </row>
    <row r="736" spans="1:20" ht="14.25" customHeight="1">
      <c r="A736" s="178" t="s">
        <v>1073</v>
      </c>
      <c r="B736" s="178"/>
      <c r="C736" s="178"/>
      <c r="D736" s="178"/>
      <c r="E736" s="178"/>
      <c r="F736" s="178"/>
      <c r="G736" s="178"/>
      <c r="H736" s="179"/>
      <c r="I736" s="179"/>
      <c r="J736" s="179"/>
      <c r="K736" s="179"/>
      <c r="L736" s="180" t="s">
        <v>1074</v>
      </c>
      <c r="M736" s="180"/>
      <c r="N736" s="179"/>
      <c r="O736" s="179"/>
      <c r="P736" s="179"/>
      <c r="T736" s="88">
        <v>5.05306435E-2</v>
      </c>
    </row>
    <row r="737" spans="1:20" ht="28.5" customHeight="1">
      <c r="A737" s="172" t="s">
        <v>1545</v>
      </c>
      <c r="B737" s="172"/>
      <c r="C737" s="172"/>
      <c r="D737" s="172"/>
      <c r="E737" s="172"/>
      <c r="F737" s="172"/>
      <c r="G737" s="172"/>
      <c r="H737" s="172"/>
      <c r="I737" s="172"/>
      <c r="J737" s="172"/>
      <c r="K737" s="172"/>
      <c r="L737" s="172"/>
      <c r="M737" s="172"/>
      <c r="N737" s="172"/>
      <c r="O737" s="172"/>
      <c r="P737" s="172"/>
      <c r="Q737" s="172"/>
      <c r="T737" s="88">
        <v>5.05306435E-2</v>
      </c>
    </row>
    <row r="738" spans="1:20" ht="14.45" customHeight="1">
      <c r="A738" s="207"/>
      <c r="B738" s="207"/>
      <c r="C738" s="207"/>
      <c r="D738" s="207"/>
      <c r="E738" s="207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T738" s="88">
        <v>5.05306435E-2</v>
      </c>
    </row>
    <row r="739" spans="1:20" ht="15.75" customHeight="1">
      <c r="A739" s="43" t="s">
        <v>1546</v>
      </c>
      <c r="B739" s="44" t="s">
        <v>3</v>
      </c>
      <c r="C739" s="43" t="s">
        <v>4</v>
      </c>
      <c r="D739" s="208" t="s">
        <v>5</v>
      </c>
      <c r="E739" s="209"/>
      <c r="F739" s="43" t="s">
        <v>1049</v>
      </c>
      <c r="G739" s="210"/>
      <c r="H739" s="211"/>
      <c r="I739" s="212"/>
      <c r="J739" s="213" t="s">
        <v>6</v>
      </c>
      <c r="K739" s="214"/>
      <c r="L739" s="44" t="s">
        <v>7</v>
      </c>
      <c r="M739" s="219" t="s">
        <v>8</v>
      </c>
      <c r="N739" s="220"/>
      <c r="O739" s="63"/>
      <c r="P739" s="44" t="s">
        <v>11</v>
      </c>
      <c r="T739" s="88">
        <v>5.05306435E-2</v>
      </c>
    </row>
    <row r="740" spans="1:20" ht="14.45" customHeight="1">
      <c r="A740" s="47" t="s">
        <v>1051</v>
      </c>
      <c r="B740" s="48" t="s">
        <v>1547</v>
      </c>
      <c r="C740" s="47" t="s">
        <v>1053</v>
      </c>
      <c r="D740" s="190" t="s">
        <v>1548</v>
      </c>
      <c r="E740" s="191"/>
      <c r="F740" s="47" t="s">
        <v>1422</v>
      </c>
      <c r="G740" s="192"/>
      <c r="H740" s="193"/>
      <c r="I740" s="194"/>
      <c r="J740" s="195" t="s">
        <v>1085</v>
      </c>
      <c r="K740" s="196"/>
      <c r="L740" s="50">
        <v>1</v>
      </c>
      <c r="M740" s="197">
        <v>17.309999999999999</v>
      </c>
      <c r="N740" s="198"/>
      <c r="O740" s="64">
        <f>M740-(M740*T740)</f>
        <v>16.435314561014998</v>
      </c>
      <c r="P740" s="64">
        <f>SUM(P741:P746)</f>
        <v>16.439112438441001</v>
      </c>
      <c r="T740" s="88">
        <v>5.05306435E-2</v>
      </c>
    </row>
    <row r="741" spans="1:20" ht="14.45" customHeight="1">
      <c r="A741" s="52" t="s">
        <v>1057</v>
      </c>
      <c r="B741" s="53">
        <v>88316</v>
      </c>
      <c r="C741" s="52" t="s">
        <v>1058</v>
      </c>
      <c r="D741" s="199" t="s">
        <v>1059</v>
      </c>
      <c r="E741" s="200"/>
      <c r="F741" s="52" t="s">
        <v>1158</v>
      </c>
      <c r="G741" s="201"/>
      <c r="H741" s="202"/>
      <c r="I741" s="203"/>
      <c r="J741" s="204" t="s">
        <v>1061</v>
      </c>
      <c r="K741" s="205"/>
      <c r="L741" s="55">
        <v>0.2</v>
      </c>
      <c r="M741" s="188">
        <v>21.32</v>
      </c>
      <c r="N741" s="189"/>
      <c r="O741" s="56">
        <f>M741-(M741*T741)</f>
        <v>20.24268668058</v>
      </c>
      <c r="P741" s="57">
        <f t="shared" ref="P741:P742" si="129">O741*L741</f>
        <v>4.0485373361160004</v>
      </c>
      <c r="T741" s="88">
        <v>5.05306435E-2</v>
      </c>
    </row>
    <row r="742" spans="1:20" ht="14.45" customHeight="1">
      <c r="A742" s="58" t="s">
        <v>1064</v>
      </c>
      <c r="B742" s="62">
        <v>13655</v>
      </c>
      <c r="C742" s="58" t="s">
        <v>1180</v>
      </c>
      <c r="D742" s="181" t="s">
        <v>1549</v>
      </c>
      <c r="E742" s="182"/>
      <c r="F742" s="58" t="s">
        <v>1068</v>
      </c>
      <c r="G742" s="183"/>
      <c r="H742" s="184"/>
      <c r="I742" s="185"/>
      <c r="J742" s="186" t="s">
        <v>1187</v>
      </c>
      <c r="K742" s="187"/>
      <c r="L742" s="60">
        <v>1</v>
      </c>
      <c r="M742" s="221">
        <v>13.05</v>
      </c>
      <c r="N742" s="222"/>
      <c r="O742" s="56">
        <f t="shared" ref="O742" si="130">M742-(M742*T742)</f>
        <v>12.390575102325</v>
      </c>
      <c r="P742" s="57">
        <f t="shared" si="129"/>
        <v>12.390575102325</v>
      </c>
      <c r="T742" s="88">
        <v>5.05306435E-2</v>
      </c>
    </row>
    <row r="743" spans="1:20" ht="14.25" customHeight="1">
      <c r="A743" s="73"/>
      <c r="B743" s="73"/>
      <c r="C743" s="73"/>
      <c r="D743" s="218"/>
      <c r="E743" s="218"/>
      <c r="F743" s="74" t="s">
        <v>1070</v>
      </c>
      <c r="G743" s="218"/>
      <c r="H743" s="218"/>
      <c r="I743" s="218"/>
      <c r="J743" s="175" t="s">
        <v>1071</v>
      </c>
      <c r="K743" s="175"/>
      <c r="L743" s="75">
        <v>0</v>
      </c>
      <c r="M743" s="175" t="s">
        <v>1072</v>
      </c>
      <c r="N743" s="175"/>
      <c r="O743" s="74"/>
      <c r="P743" s="73"/>
      <c r="T743" s="88">
        <v>5.05306435E-2</v>
      </c>
    </row>
    <row r="744" spans="1:20" ht="14.85" customHeight="1">
      <c r="A744" s="68"/>
      <c r="B744" s="68"/>
      <c r="C744" s="68"/>
      <c r="D744" s="179"/>
      <c r="E744" s="179"/>
      <c r="F744" s="76" t="s">
        <v>1073</v>
      </c>
      <c r="G744" s="179"/>
      <c r="H744" s="179"/>
      <c r="I744" s="179"/>
      <c r="J744" s="179"/>
      <c r="K744" s="179"/>
      <c r="L744" s="70" t="s">
        <v>1074</v>
      </c>
      <c r="M744" s="179"/>
      <c r="N744" s="179"/>
      <c r="O744" s="68"/>
      <c r="P744" s="68"/>
      <c r="T744" s="88">
        <v>5.05306435E-2</v>
      </c>
    </row>
    <row r="745" spans="1:20" ht="14.45" customHeight="1">
      <c r="A745" s="77" t="s">
        <v>1089</v>
      </c>
      <c r="B745" s="68"/>
      <c r="C745" s="68"/>
      <c r="D745" s="179"/>
      <c r="E745" s="179"/>
      <c r="F745" s="68"/>
      <c r="G745" s="179"/>
      <c r="H745" s="179"/>
      <c r="I745" s="179"/>
      <c r="J745" s="179"/>
      <c r="K745" s="179"/>
      <c r="L745" s="68"/>
      <c r="M745" s="179"/>
      <c r="N745" s="179"/>
      <c r="O745" s="68"/>
      <c r="P745" s="68"/>
      <c r="T745" s="88">
        <v>5.05306435E-2</v>
      </c>
    </row>
    <row r="746" spans="1:20" ht="15.2" customHeight="1">
      <c r="A746" s="206" t="s">
        <v>1550</v>
      </c>
      <c r="B746" s="206"/>
      <c r="C746" s="206"/>
      <c r="D746" s="206"/>
      <c r="E746" s="206"/>
      <c r="F746" s="206"/>
      <c r="G746" s="206"/>
      <c r="H746" s="206"/>
      <c r="I746" s="206"/>
      <c r="J746" s="206"/>
      <c r="K746" s="206"/>
      <c r="L746" s="206"/>
      <c r="M746" s="206"/>
      <c r="N746" s="206"/>
      <c r="O746" s="206"/>
      <c r="P746" s="206"/>
      <c r="T746" s="88">
        <v>5.05306435E-2</v>
      </c>
    </row>
    <row r="747" spans="1:20" ht="14.45" customHeight="1">
      <c r="A747" s="207"/>
      <c r="B747" s="207"/>
      <c r="C747" s="207"/>
      <c r="D747" s="207"/>
      <c r="E747" s="207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T747" s="88">
        <v>5.05306435E-2</v>
      </c>
    </row>
    <row r="748" spans="1:20" ht="15.75" customHeight="1">
      <c r="A748" s="43" t="s">
        <v>1551</v>
      </c>
      <c r="B748" s="44" t="s">
        <v>3</v>
      </c>
      <c r="C748" s="43" t="s">
        <v>4</v>
      </c>
      <c r="D748" s="208" t="s">
        <v>5</v>
      </c>
      <c r="E748" s="209"/>
      <c r="F748" s="43" t="s">
        <v>1049</v>
      </c>
      <c r="G748" s="210"/>
      <c r="H748" s="211"/>
      <c r="I748" s="212"/>
      <c r="J748" s="213" t="s">
        <v>6</v>
      </c>
      <c r="K748" s="214"/>
      <c r="L748" s="44" t="s">
        <v>7</v>
      </c>
      <c r="M748" s="219" t="s">
        <v>8</v>
      </c>
      <c r="N748" s="220"/>
      <c r="O748" s="63"/>
      <c r="P748" s="44" t="s">
        <v>11</v>
      </c>
      <c r="T748" s="88">
        <v>5.05306435E-2</v>
      </c>
    </row>
    <row r="749" spans="1:20" ht="14.45" customHeight="1">
      <c r="A749" s="47" t="s">
        <v>1051</v>
      </c>
      <c r="B749" s="48" t="s">
        <v>1552</v>
      </c>
      <c r="C749" s="47" t="s">
        <v>1053</v>
      </c>
      <c r="D749" s="190" t="s">
        <v>1553</v>
      </c>
      <c r="E749" s="191"/>
      <c r="F749" s="47" t="s">
        <v>1422</v>
      </c>
      <c r="G749" s="192"/>
      <c r="H749" s="193"/>
      <c r="I749" s="194"/>
      <c r="J749" s="195" t="s">
        <v>1085</v>
      </c>
      <c r="K749" s="196"/>
      <c r="L749" s="50">
        <v>1</v>
      </c>
      <c r="M749" s="197">
        <v>213.84</v>
      </c>
      <c r="N749" s="198"/>
      <c r="O749" s="64">
        <f>M749-(M749*T749)</f>
        <v>203.03452719396</v>
      </c>
      <c r="P749" s="64">
        <f>SUM(P750:P755)</f>
        <v>203.02977984717751</v>
      </c>
      <c r="T749" s="88">
        <v>5.05306435E-2</v>
      </c>
    </row>
    <row r="750" spans="1:20" ht="14.45" customHeight="1">
      <c r="A750" s="52" t="s">
        <v>1057</v>
      </c>
      <c r="B750" s="53">
        <v>88309</v>
      </c>
      <c r="C750" s="52" t="s">
        <v>1058</v>
      </c>
      <c r="D750" s="199" t="s">
        <v>1162</v>
      </c>
      <c r="E750" s="200"/>
      <c r="F750" s="52" t="s">
        <v>1158</v>
      </c>
      <c r="G750" s="201"/>
      <c r="H750" s="202"/>
      <c r="I750" s="203"/>
      <c r="J750" s="204" t="s">
        <v>1061</v>
      </c>
      <c r="K750" s="205"/>
      <c r="L750" s="55">
        <v>0.15</v>
      </c>
      <c r="M750" s="188">
        <v>26.9</v>
      </c>
      <c r="N750" s="189"/>
      <c r="O750" s="56">
        <f>M750-(M750*T750)</f>
        <v>25.540725689849999</v>
      </c>
      <c r="P750" s="57">
        <f t="shared" ref="P750:P752" si="131">O750*L750</f>
        <v>3.8311088534774997</v>
      </c>
      <c r="T750" s="88">
        <v>5.05306435E-2</v>
      </c>
    </row>
    <row r="751" spans="1:20" ht="14.45" customHeight="1">
      <c r="A751" s="58" t="s">
        <v>1064</v>
      </c>
      <c r="B751" s="59" t="s">
        <v>1554</v>
      </c>
      <c r="C751" s="58" t="s">
        <v>1066</v>
      </c>
      <c r="D751" s="181" t="s">
        <v>1555</v>
      </c>
      <c r="E751" s="182"/>
      <c r="F751" s="58" t="s">
        <v>1068</v>
      </c>
      <c r="G751" s="183"/>
      <c r="H751" s="184"/>
      <c r="I751" s="185"/>
      <c r="J751" s="186" t="s">
        <v>1187</v>
      </c>
      <c r="K751" s="187"/>
      <c r="L751" s="60">
        <v>1</v>
      </c>
      <c r="M751" s="221">
        <v>209.5</v>
      </c>
      <c r="N751" s="222"/>
      <c r="O751" s="56">
        <f t="shared" ref="O751:O752" si="132">M751-(M751*T751)</f>
        <v>198.91383018675</v>
      </c>
      <c r="P751" s="57">
        <f t="shared" si="131"/>
        <v>198.91383018675</v>
      </c>
      <c r="T751" s="88">
        <v>5.05306435E-2</v>
      </c>
    </row>
    <row r="752" spans="1:20" ht="14.45" customHeight="1">
      <c r="A752" s="58" t="s">
        <v>1064</v>
      </c>
      <c r="B752" s="59" t="s">
        <v>1556</v>
      </c>
      <c r="C752" s="58" t="s">
        <v>1066</v>
      </c>
      <c r="D752" s="181" t="s">
        <v>1557</v>
      </c>
      <c r="E752" s="182"/>
      <c r="F752" s="58" t="s">
        <v>1068</v>
      </c>
      <c r="G752" s="183"/>
      <c r="H752" s="184"/>
      <c r="I752" s="185"/>
      <c r="J752" s="186" t="s">
        <v>1187</v>
      </c>
      <c r="K752" s="187"/>
      <c r="L752" s="60">
        <v>6</v>
      </c>
      <c r="M752" s="221">
        <v>0.05</v>
      </c>
      <c r="N752" s="222"/>
      <c r="O752" s="56">
        <f t="shared" si="132"/>
        <v>4.7473467825000004E-2</v>
      </c>
      <c r="P752" s="57">
        <f t="shared" si="131"/>
        <v>0.28484080695000003</v>
      </c>
      <c r="T752" s="88">
        <v>5.05306435E-2</v>
      </c>
    </row>
    <row r="753" spans="1:20" ht="14.25" customHeight="1">
      <c r="A753" s="174" t="s">
        <v>1070</v>
      </c>
      <c r="B753" s="174"/>
      <c r="C753" s="174"/>
      <c r="D753" s="174"/>
      <c r="E753" s="174"/>
      <c r="F753" s="174"/>
      <c r="G753" s="174"/>
      <c r="H753" s="175" t="s">
        <v>1071</v>
      </c>
      <c r="I753" s="175"/>
      <c r="J753" s="175"/>
      <c r="K753" s="175"/>
      <c r="L753" s="176">
        <v>0</v>
      </c>
      <c r="M753" s="176"/>
      <c r="N753" s="177" t="s">
        <v>1072</v>
      </c>
      <c r="O753" s="177"/>
      <c r="P753" s="177"/>
      <c r="T753" s="88">
        <v>5.05306435E-2</v>
      </c>
    </row>
    <row r="754" spans="1:20" ht="14.25" customHeight="1">
      <c r="A754" s="178" t="s">
        <v>1073</v>
      </c>
      <c r="B754" s="178"/>
      <c r="C754" s="178"/>
      <c r="D754" s="178"/>
      <c r="E754" s="178"/>
      <c r="F754" s="178"/>
      <c r="G754" s="178"/>
      <c r="H754" s="179"/>
      <c r="I754" s="179"/>
      <c r="J754" s="179"/>
      <c r="K754" s="179"/>
      <c r="L754" s="180" t="s">
        <v>1074</v>
      </c>
      <c r="M754" s="180"/>
      <c r="N754" s="179"/>
      <c r="O754" s="179"/>
      <c r="P754" s="179"/>
      <c r="T754" s="88">
        <v>5.05306435E-2</v>
      </c>
    </row>
    <row r="755" spans="1:20" ht="28.5" customHeight="1">
      <c r="A755" s="172" t="s">
        <v>1558</v>
      </c>
      <c r="B755" s="172"/>
      <c r="C755" s="172"/>
      <c r="D755" s="172"/>
      <c r="E755" s="172"/>
      <c r="F755" s="172"/>
      <c r="G755" s="172"/>
      <c r="H755" s="172"/>
      <c r="I755" s="172"/>
      <c r="J755" s="172"/>
      <c r="K755" s="172"/>
      <c r="L755" s="172"/>
      <c r="M755" s="172"/>
      <c r="N755" s="172"/>
      <c r="O755" s="172"/>
      <c r="P755" s="172"/>
      <c r="Q755" s="172"/>
      <c r="T755" s="88">
        <v>5.05306435E-2</v>
      </c>
    </row>
    <row r="756" spans="1:20" ht="14.45" customHeight="1">
      <c r="A756" s="207"/>
      <c r="B756" s="207"/>
      <c r="C756" s="207"/>
      <c r="D756" s="207"/>
      <c r="E756" s="207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T756" s="88">
        <v>5.05306435E-2</v>
      </c>
    </row>
    <row r="757" spans="1:20" ht="15.75" customHeight="1">
      <c r="A757" s="43" t="s">
        <v>1559</v>
      </c>
      <c r="B757" s="44" t="s">
        <v>3</v>
      </c>
      <c r="C757" s="43" t="s">
        <v>4</v>
      </c>
      <c r="D757" s="208" t="s">
        <v>5</v>
      </c>
      <c r="E757" s="209"/>
      <c r="F757" s="43" t="s">
        <v>1049</v>
      </c>
      <c r="G757" s="210"/>
      <c r="H757" s="211"/>
      <c r="I757" s="212"/>
      <c r="J757" s="213" t="s">
        <v>6</v>
      </c>
      <c r="K757" s="214"/>
      <c r="L757" s="44" t="s">
        <v>7</v>
      </c>
      <c r="M757" s="219" t="s">
        <v>8</v>
      </c>
      <c r="N757" s="220"/>
      <c r="O757" s="63"/>
      <c r="P757" s="44" t="s">
        <v>11</v>
      </c>
      <c r="T757" s="88">
        <v>5.05306435E-2</v>
      </c>
    </row>
    <row r="758" spans="1:20" ht="14.45" customHeight="1">
      <c r="A758" s="47" t="s">
        <v>1051</v>
      </c>
      <c r="B758" s="48" t="s">
        <v>1560</v>
      </c>
      <c r="C758" s="47" t="s">
        <v>1053</v>
      </c>
      <c r="D758" s="190" t="s">
        <v>1561</v>
      </c>
      <c r="E758" s="191"/>
      <c r="F758" s="47" t="s">
        <v>1158</v>
      </c>
      <c r="G758" s="192"/>
      <c r="H758" s="193"/>
      <c r="I758" s="194"/>
      <c r="J758" s="223" t="s">
        <v>1085</v>
      </c>
      <c r="K758" s="224"/>
      <c r="L758" s="50">
        <v>1</v>
      </c>
      <c r="M758" s="197">
        <v>37.29</v>
      </c>
      <c r="N758" s="198"/>
      <c r="O758" s="64">
        <f>M758-(M758*T758)</f>
        <v>35.405712303884997</v>
      </c>
      <c r="P758" s="64">
        <f>SUM(P759:P764)</f>
        <v>35.405712303884997</v>
      </c>
      <c r="T758" s="88">
        <v>5.05306435E-2</v>
      </c>
    </row>
    <row r="759" spans="1:20" ht="14.45" customHeight="1">
      <c r="A759" s="58" t="s">
        <v>1064</v>
      </c>
      <c r="B759" s="62">
        <v>37558</v>
      </c>
      <c r="C759" s="58" t="s">
        <v>1058</v>
      </c>
      <c r="D759" s="181" t="s">
        <v>1561</v>
      </c>
      <c r="E759" s="182"/>
      <c r="F759" s="58" t="s">
        <v>1068</v>
      </c>
      <c r="G759" s="183"/>
      <c r="H759" s="184"/>
      <c r="I759" s="185"/>
      <c r="J759" s="240" t="s">
        <v>1085</v>
      </c>
      <c r="K759" s="241"/>
      <c r="L759" s="60">
        <v>1</v>
      </c>
      <c r="M759" s="188">
        <v>37.29</v>
      </c>
      <c r="N759" s="189"/>
      <c r="O759" s="56">
        <f>M759-(M759*T759)</f>
        <v>35.405712303884997</v>
      </c>
      <c r="P759" s="57">
        <f t="shared" ref="P759" si="133">O759*L759</f>
        <v>35.405712303884997</v>
      </c>
      <c r="T759" s="88">
        <v>5.05306435E-2</v>
      </c>
    </row>
    <row r="760" spans="1:20" ht="14.25" customHeight="1">
      <c r="A760" s="73"/>
      <c r="B760" s="73"/>
      <c r="C760" s="73"/>
      <c r="D760" s="218"/>
      <c r="E760" s="218"/>
      <c r="F760" s="74" t="s">
        <v>1070</v>
      </c>
      <c r="G760" s="218"/>
      <c r="H760" s="218"/>
      <c r="I760" s="218"/>
      <c r="J760" s="175" t="s">
        <v>1071</v>
      </c>
      <c r="K760" s="175"/>
      <c r="L760" s="75">
        <v>0</v>
      </c>
      <c r="M760" s="175" t="s">
        <v>1072</v>
      </c>
      <c r="N760" s="175"/>
      <c r="O760" s="74"/>
      <c r="P760" s="73"/>
      <c r="T760" s="88">
        <v>5.05306435E-2</v>
      </c>
    </row>
    <row r="761" spans="1:20" ht="14.85" customHeight="1">
      <c r="A761" s="68"/>
      <c r="B761" s="68"/>
      <c r="C761" s="68"/>
      <c r="D761" s="179"/>
      <c r="E761" s="179"/>
      <c r="F761" s="76" t="s">
        <v>1073</v>
      </c>
      <c r="G761" s="179"/>
      <c r="H761" s="179"/>
      <c r="I761" s="179"/>
      <c r="J761" s="179"/>
      <c r="K761" s="179"/>
      <c r="L761" s="70" t="s">
        <v>1074</v>
      </c>
      <c r="M761" s="179"/>
      <c r="N761" s="179"/>
      <c r="O761" s="68"/>
      <c r="P761" s="68"/>
      <c r="T761" s="88">
        <v>5.05306435E-2</v>
      </c>
    </row>
    <row r="762" spans="1:20" ht="14.45" customHeight="1">
      <c r="A762" s="77" t="s">
        <v>1089</v>
      </c>
      <c r="B762" s="68"/>
      <c r="C762" s="68"/>
      <c r="D762" s="179"/>
      <c r="E762" s="179"/>
      <c r="F762" s="68"/>
      <c r="G762" s="179"/>
      <c r="H762" s="179"/>
      <c r="I762" s="179"/>
      <c r="J762" s="179"/>
      <c r="K762" s="179"/>
      <c r="L762" s="68"/>
      <c r="M762" s="179"/>
      <c r="N762" s="179"/>
      <c r="O762" s="68"/>
      <c r="P762" s="68"/>
      <c r="T762" s="88">
        <v>5.05306435E-2</v>
      </c>
    </row>
    <row r="763" spans="1:20" ht="15.2" customHeight="1">
      <c r="A763" s="206" t="s">
        <v>1562</v>
      </c>
      <c r="B763" s="206"/>
      <c r="C763" s="206"/>
      <c r="D763" s="206"/>
      <c r="E763" s="206"/>
      <c r="F763" s="206"/>
      <c r="G763" s="206"/>
      <c r="H763" s="206"/>
      <c r="I763" s="206"/>
      <c r="J763" s="206"/>
      <c r="K763" s="206"/>
      <c r="L763" s="206"/>
      <c r="M763" s="206"/>
      <c r="N763" s="206"/>
      <c r="O763" s="206"/>
      <c r="P763" s="206"/>
      <c r="T763" s="88">
        <v>5.05306435E-2</v>
      </c>
    </row>
    <row r="764" spans="1:20" ht="14.45" customHeight="1">
      <c r="A764" s="207"/>
      <c r="B764" s="207"/>
      <c r="C764" s="207"/>
      <c r="D764" s="207"/>
      <c r="E764" s="207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T764" s="88">
        <v>5.05306435E-2</v>
      </c>
    </row>
    <row r="765" spans="1:20" ht="15.75" customHeight="1">
      <c r="A765" s="43" t="s">
        <v>1563</v>
      </c>
      <c r="B765" s="44" t="s">
        <v>3</v>
      </c>
      <c r="C765" s="43" t="s">
        <v>4</v>
      </c>
      <c r="D765" s="208" t="s">
        <v>5</v>
      </c>
      <c r="E765" s="209"/>
      <c r="F765" s="43" t="s">
        <v>1049</v>
      </c>
      <c r="G765" s="210"/>
      <c r="H765" s="211"/>
      <c r="I765" s="212"/>
      <c r="J765" s="213" t="s">
        <v>6</v>
      </c>
      <c r="K765" s="214"/>
      <c r="L765" s="44" t="s">
        <v>7</v>
      </c>
      <c r="M765" s="219" t="s">
        <v>8</v>
      </c>
      <c r="N765" s="220"/>
      <c r="O765" s="63"/>
      <c r="P765" s="44" t="s">
        <v>11</v>
      </c>
      <c r="T765" s="88">
        <v>5.05306435E-2</v>
      </c>
    </row>
    <row r="766" spans="1:20" ht="14.45" customHeight="1">
      <c r="A766" s="47" t="s">
        <v>1051</v>
      </c>
      <c r="B766" s="48" t="s">
        <v>1564</v>
      </c>
      <c r="C766" s="47" t="s">
        <v>1053</v>
      </c>
      <c r="D766" s="190" t="s">
        <v>1565</v>
      </c>
      <c r="E766" s="191"/>
      <c r="F766" s="47" t="s">
        <v>1422</v>
      </c>
      <c r="G766" s="192"/>
      <c r="H766" s="193"/>
      <c r="I766" s="194"/>
      <c r="J766" s="223" t="s">
        <v>1085</v>
      </c>
      <c r="K766" s="224"/>
      <c r="L766" s="50">
        <v>1</v>
      </c>
      <c r="M766" s="197">
        <v>15.45</v>
      </c>
      <c r="N766" s="198"/>
      <c r="O766" s="64">
        <f>M766-(M766*T766)</f>
        <v>14.669301557924999</v>
      </c>
      <c r="P766" s="64">
        <f>SUM(P767:P772)</f>
        <v>14.673099435351002</v>
      </c>
      <c r="T766" s="88">
        <v>5.05306435E-2</v>
      </c>
    </row>
    <row r="767" spans="1:20" ht="14.45" customHeight="1">
      <c r="A767" s="52" t="s">
        <v>1057</v>
      </c>
      <c r="B767" s="53">
        <v>88316</v>
      </c>
      <c r="C767" s="52" t="s">
        <v>1058</v>
      </c>
      <c r="D767" s="199" t="s">
        <v>1059</v>
      </c>
      <c r="E767" s="200"/>
      <c r="F767" s="52" t="s">
        <v>1158</v>
      </c>
      <c r="G767" s="201"/>
      <c r="H767" s="202"/>
      <c r="I767" s="203"/>
      <c r="J767" s="204" t="s">
        <v>1061</v>
      </c>
      <c r="K767" s="205"/>
      <c r="L767" s="55">
        <v>0.2</v>
      </c>
      <c r="M767" s="188">
        <v>21.32</v>
      </c>
      <c r="N767" s="189"/>
      <c r="O767" s="56">
        <f>M767-(M767*T767)</f>
        <v>20.24268668058</v>
      </c>
      <c r="P767" s="57">
        <f t="shared" ref="P767:P769" si="134">O767*L767</f>
        <v>4.0485373361160004</v>
      </c>
      <c r="T767" s="88">
        <v>5.05306435E-2</v>
      </c>
    </row>
    <row r="768" spans="1:20" ht="14.45" customHeight="1">
      <c r="A768" s="52" t="s">
        <v>1057</v>
      </c>
      <c r="B768" s="53">
        <v>88309</v>
      </c>
      <c r="C768" s="52" t="s">
        <v>1058</v>
      </c>
      <c r="D768" s="199" t="s">
        <v>1162</v>
      </c>
      <c r="E768" s="200"/>
      <c r="F768" s="52" t="s">
        <v>1158</v>
      </c>
      <c r="G768" s="201"/>
      <c r="H768" s="202"/>
      <c r="I768" s="203"/>
      <c r="J768" s="204" t="s">
        <v>1061</v>
      </c>
      <c r="K768" s="205"/>
      <c r="L768" s="55">
        <v>0.1</v>
      </c>
      <c r="M768" s="188">
        <v>26.9</v>
      </c>
      <c r="N768" s="189"/>
      <c r="O768" s="56">
        <f t="shared" ref="O768:O769" si="135">M768-(M768*T768)</f>
        <v>25.540725689849999</v>
      </c>
      <c r="P768" s="57">
        <f t="shared" si="134"/>
        <v>2.5540725689850001</v>
      </c>
      <c r="T768" s="88">
        <v>5.05306435E-2</v>
      </c>
    </row>
    <row r="769" spans="1:20" ht="14.45" customHeight="1">
      <c r="A769" s="58" t="s">
        <v>1064</v>
      </c>
      <c r="B769" s="59" t="s">
        <v>1566</v>
      </c>
      <c r="C769" s="58" t="s">
        <v>1066</v>
      </c>
      <c r="D769" s="181" t="s">
        <v>1567</v>
      </c>
      <c r="E769" s="182"/>
      <c r="F769" s="58" t="s">
        <v>1068</v>
      </c>
      <c r="G769" s="183"/>
      <c r="H769" s="184"/>
      <c r="I769" s="185"/>
      <c r="J769" s="186" t="s">
        <v>1187</v>
      </c>
      <c r="K769" s="187"/>
      <c r="L769" s="60">
        <v>1</v>
      </c>
      <c r="M769" s="221">
        <v>8.5</v>
      </c>
      <c r="N769" s="222"/>
      <c r="O769" s="56">
        <f t="shared" si="135"/>
        <v>8.0704895302500006</v>
      </c>
      <c r="P769" s="57">
        <f t="shared" si="134"/>
        <v>8.0704895302500006</v>
      </c>
      <c r="T769" s="88">
        <v>5.05306435E-2</v>
      </c>
    </row>
    <row r="770" spans="1:20" ht="14.25" customHeight="1">
      <c r="A770" s="174" t="s">
        <v>1070</v>
      </c>
      <c r="B770" s="174"/>
      <c r="C770" s="174"/>
      <c r="D770" s="174"/>
      <c r="E770" s="174"/>
      <c r="F770" s="174"/>
      <c r="G770" s="174"/>
      <c r="H770" s="175" t="s">
        <v>1071</v>
      </c>
      <c r="I770" s="175"/>
      <c r="J770" s="175"/>
      <c r="K770" s="175"/>
      <c r="L770" s="176">
        <v>0</v>
      </c>
      <c r="M770" s="176"/>
      <c r="N770" s="177" t="s">
        <v>1072</v>
      </c>
      <c r="O770" s="177"/>
      <c r="P770" s="177"/>
      <c r="T770" s="88">
        <v>5.05306435E-2</v>
      </c>
    </row>
    <row r="771" spans="1:20" ht="14.25" customHeight="1">
      <c r="A771" s="178" t="s">
        <v>1073</v>
      </c>
      <c r="B771" s="178"/>
      <c r="C771" s="178"/>
      <c r="D771" s="178"/>
      <c r="E771" s="178"/>
      <c r="F771" s="178"/>
      <c r="G771" s="178"/>
      <c r="H771" s="179"/>
      <c r="I771" s="179"/>
      <c r="J771" s="179"/>
      <c r="K771" s="179"/>
      <c r="L771" s="180" t="s">
        <v>1074</v>
      </c>
      <c r="M771" s="180"/>
      <c r="N771" s="179"/>
      <c r="O771" s="179"/>
      <c r="P771" s="179"/>
      <c r="T771" s="88">
        <v>5.05306435E-2</v>
      </c>
    </row>
    <row r="772" spans="1:20" ht="28.5" customHeight="1">
      <c r="A772" s="172" t="s">
        <v>1568</v>
      </c>
      <c r="B772" s="172"/>
      <c r="C772" s="172"/>
      <c r="D772" s="172"/>
      <c r="E772" s="172"/>
      <c r="F772" s="172"/>
      <c r="G772" s="172"/>
      <c r="H772" s="172"/>
      <c r="I772" s="172"/>
      <c r="J772" s="172"/>
      <c r="K772" s="172"/>
      <c r="L772" s="172"/>
      <c r="M772" s="172"/>
      <c r="N772" s="172"/>
      <c r="O772" s="172"/>
      <c r="P772" s="172"/>
      <c r="Q772" s="172"/>
      <c r="T772" s="88">
        <v>5.05306435E-2</v>
      </c>
    </row>
    <row r="773" spans="1:20" ht="14.45" customHeight="1">
      <c r="A773" s="207"/>
      <c r="B773" s="207"/>
      <c r="C773" s="207"/>
      <c r="D773" s="207"/>
      <c r="E773" s="207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T773" s="88">
        <v>5.05306435E-2</v>
      </c>
    </row>
    <row r="774" spans="1:20" ht="15.75" customHeight="1">
      <c r="A774" s="43" t="s">
        <v>1569</v>
      </c>
      <c r="B774" s="44" t="s">
        <v>3</v>
      </c>
      <c r="C774" s="43" t="s">
        <v>4</v>
      </c>
      <c r="D774" s="208" t="s">
        <v>5</v>
      </c>
      <c r="E774" s="209"/>
      <c r="F774" s="43" t="s">
        <v>1049</v>
      </c>
      <c r="G774" s="210"/>
      <c r="H774" s="211"/>
      <c r="I774" s="212"/>
      <c r="J774" s="213" t="s">
        <v>6</v>
      </c>
      <c r="K774" s="214"/>
      <c r="L774" s="44" t="s">
        <v>7</v>
      </c>
      <c r="M774" s="219" t="s">
        <v>8</v>
      </c>
      <c r="N774" s="220"/>
      <c r="O774" s="63"/>
      <c r="P774" s="44" t="s">
        <v>11</v>
      </c>
      <c r="T774" s="88">
        <v>5.05306435E-2</v>
      </c>
    </row>
    <row r="775" spans="1:20" ht="14.45" customHeight="1">
      <c r="A775" s="47" t="s">
        <v>1051</v>
      </c>
      <c r="B775" s="48" t="s">
        <v>1570</v>
      </c>
      <c r="C775" s="47" t="s">
        <v>1053</v>
      </c>
      <c r="D775" s="190" t="s">
        <v>1571</v>
      </c>
      <c r="E775" s="191"/>
      <c r="F775" s="47" t="s">
        <v>1422</v>
      </c>
      <c r="G775" s="192"/>
      <c r="H775" s="193"/>
      <c r="I775" s="194"/>
      <c r="J775" s="195" t="s">
        <v>1085</v>
      </c>
      <c r="K775" s="196"/>
      <c r="L775" s="50">
        <v>1</v>
      </c>
      <c r="M775" s="197">
        <v>52.89</v>
      </c>
      <c r="N775" s="198"/>
      <c r="O775" s="64">
        <f>M775-(M775*T775)</f>
        <v>50.217434265285</v>
      </c>
      <c r="P775" s="64">
        <f>SUM(P776:P781)</f>
        <v>50.214417801139398</v>
      </c>
      <c r="T775" s="88">
        <v>5.05306435E-2</v>
      </c>
    </row>
    <row r="776" spans="1:20" ht="14.45" customHeight="1">
      <c r="A776" s="52" t="s">
        <v>1057</v>
      </c>
      <c r="B776" s="53">
        <v>88248</v>
      </c>
      <c r="C776" s="52" t="s">
        <v>1058</v>
      </c>
      <c r="D776" s="199" t="s">
        <v>1336</v>
      </c>
      <c r="E776" s="200"/>
      <c r="F776" s="52" t="s">
        <v>1158</v>
      </c>
      <c r="G776" s="201"/>
      <c r="H776" s="202"/>
      <c r="I776" s="203"/>
      <c r="J776" s="204" t="s">
        <v>1061</v>
      </c>
      <c r="K776" s="205"/>
      <c r="L776" s="55">
        <v>8.3000000000000001E-3</v>
      </c>
      <c r="M776" s="188">
        <v>21.62</v>
      </c>
      <c r="N776" s="189"/>
      <c r="O776" s="56">
        <f>M776-(M776*T776)</f>
        <v>20.527527487530001</v>
      </c>
      <c r="P776" s="57">
        <f t="shared" ref="P776:P778" si="136">O776*L776</f>
        <v>0.17037847814649901</v>
      </c>
      <c r="T776" s="88">
        <v>5.05306435E-2</v>
      </c>
    </row>
    <row r="777" spans="1:20" ht="14.45" customHeight="1">
      <c r="A777" s="52" t="s">
        <v>1057</v>
      </c>
      <c r="B777" s="53">
        <v>88267</v>
      </c>
      <c r="C777" s="52" t="s">
        <v>1058</v>
      </c>
      <c r="D777" s="199" t="s">
        <v>1133</v>
      </c>
      <c r="E777" s="200"/>
      <c r="F777" s="52" t="s">
        <v>1158</v>
      </c>
      <c r="G777" s="201"/>
      <c r="H777" s="202"/>
      <c r="I777" s="203"/>
      <c r="J777" s="204" t="s">
        <v>1061</v>
      </c>
      <c r="K777" s="205"/>
      <c r="L777" s="55">
        <v>8.3000000000000001E-3</v>
      </c>
      <c r="M777" s="188">
        <v>26.19</v>
      </c>
      <c r="N777" s="189"/>
      <c r="O777" s="56">
        <f t="shared" ref="O777:O778" si="137">M777-(M777*T777)</f>
        <v>24.866602446735001</v>
      </c>
      <c r="P777" s="57">
        <f t="shared" si="136"/>
        <v>0.20639280030790053</v>
      </c>
      <c r="T777" s="88">
        <v>5.05306435E-2</v>
      </c>
    </row>
    <row r="778" spans="1:20" ht="14.45" customHeight="1">
      <c r="A778" s="58" t="s">
        <v>1064</v>
      </c>
      <c r="B778" s="59" t="s">
        <v>1572</v>
      </c>
      <c r="C778" s="58" t="s">
        <v>1573</v>
      </c>
      <c r="D778" s="181" t="s">
        <v>1571</v>
      </c>
      <c r="E778" s="182"/>
      <c r="F778" s="58" t="s">
        <v>1068</v>
      </c>
      <c r="G778" s="183"/>
      <c r="H778" s="184"/>
      <c r="I778" s="185"/>
      <c r="J778" s="186" t="s">
        <v>1187</v>
      </c>
      <c r="K778" s="187"/>
      <c r="L778" s="60">
        <v>1</v>
      </c>
      <c r="M778" s="221">
        <v>52.49</v>
      </c>
      <c r="N778" s="222"/>
      <c r="O778" s="56">
        <f t="shared" si="137"/>
        <v>49.837646522684999</v>
      </c>
      <c r="P778" s="57">
        <f t="shared" si="136"/>
        <v>49.837646522684999</v>
      </c>
      <c r="T778" s="88">
        <v>5.05306435E-2</v>
      </c>
    </row>
    <row r="779" spans="1:20" ht="14.25" customHeight="1">
      <c r="A779" s="73"/>
      <c r="B779" s="73"/>
      <c r="C779" s="73"/>
      <c r="D779" s="218"/>
      <c r="E779" s="218"/>
      <c r="F779" s="74" t="s">
        <v>1070</v>
      </c>
      <c r="G779" s="218"/>
      <c r="H779" s="218"/>
      <c r="I779" s="218"/>
      <c r="J779" s="175" t="s">
        <v>1071</v>
      </c>
      <c r="K779" s="175"/>
      <c r="L779" s="75">
        <v>0</v>
      </c>
      <c r="M779" s="175" t="s">
        <v>1072</v>
      </c>
      <c r="N779" s="175"/>
      <c r="O779" s="74"/>
      <c r="P779" s="73"/>
      <c r="T779" s="88">
        <v>5.05306435E-2</v>
      </c>
    </row>
    <row r="780" spans="1:20" ht="14.85" customHeight="1">
      <c r="A780" s="68"/>
      <c r="B780" s="68"/>
      <c r="C780" s="68"/>
      <c r="D780" s="179"/>
      <c r="E780" s="179"/>
      <c r="F780" s="76" t="s">
        <v>1073</v>
      </c>
      <c r="G780" s="179"/>
      <c r="H780" s="179"/>
      <c r="I780" s="179"/>
      <c r="J780" s="179"/>
      <c r="K780" s="179"/>
      <c r="L780" s="70" t="s">
        <v>1074</v>
      </c>
      <c r="M780" s="179"/>
      <c r="N780" s="179"/>
      <c r="O780" s="68"/>
      <c r="P780" s="68"/>
      <c r="T780" s="88">
        <v>5.05306435E-2</v>
      </c>
    </row>
    <row r="781" spans="1:20" ht="14.45" customHeight="1">
      <c r="A781" s="77" t="s">
        <v>1089</v>
      </c>
      <c r="B781" s="68"/>
      <c r="C781" s="68"/>
      <c r="D781" s="179"/>
      <c r="E781" s="179"/>
      <c r="F781" s="68"/>
      <c r="G781" s="179"/>
      <c r="H781" s="179"/>
      <c r="I781" s="179"/>
      <c r="J781" s="179"/>
      <c r="K781" s="179"/>
      <c r="L781" s="68"/>
      <c r="M781" s="179"/>
      <c r="N781" s="179"/>
      <c r="O781" s="68"/>
      <c r="P781" s="68"/>
      <c r="T781" s="88">
        <v>5.05306435E-2</v>
      </c>
    </row>
    <row r="782" spans="1:20" ht="15.2" customHeight="1">
      <c r="A782" s="206" t="s">
        <v>1574</v>
      </c>
      <c r="B782" s="206"/>
      <c r="C782" s="206"/>
      <c r="D782" s="206"/>
      <c r="E782" s="206"/>
      <c r="F782" s="206"/>
      <c r="G782" s="206"/>
      <c r="H782" s="206"/>
      <c r="I782" s="206"/>
      <c r="J782" s="206"/>
      <c r="K782" s="206"/>
      <c r="L782" s="206"/>
      <c r="M782" s="206"/>
      <c r="N782" s="206"/>
      <c r="O782" s="206"/>
      <c r="P782" s="206"/>
      <c r="T782" s="88">
        <v>5.05306435E-2</v>
      </c>
    </row>
    <row r="783" spans="1:20" ht="14.45" customHeight="1">
      <c r="A783" s="207"/>
      <c r="B783" s="207"/>
      <c r="C783" s="207"/>
      <c r="D783" s="207"/>
      <c r="E783" s="207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T783" s="88">
        <v>5.05306435E-2</v>
      </c>
    </row>
    <row r="784" spans="1:20" ht="15.75" customHeight="1">
      <c r="A784" s="43" t="s">
        <v>1575</v>
      </c>
      <c r="B784" s="44" t="s">
        <v>3</v>
      </c>
      <c r="C784" s="43" t="s">
        <v>4</v>
      </c>
      <c r="D784" s="208" t="s">
        <v>5</v>
      </c>
      <c r="E784" s="209"/>
      <c r="F784" s="43" t="s">
        <v>1049</v>
      </c>
      <c r="G784" s="210"/>
      <c r="H784" s="211"/>
      <c r="I784" s="212"/>
      <c r="J784" s="213" t="s">
        <v>6</v>
      </c>
      <c r="K784" s="214"/>
      <c r="L784" s="44" t="s">
        <v>7</v>
      </c>
      <c r="M784" s="219" t="s">
        <v>8</v>
      </c>
      <c r="N784" s="220"/>
      <c r="O784" s="63"/>
      <c r="P784" s="44" t="s">
        <v>11</v>
      </c>
      <c r="T784" s="88">
        <v>5.05306435E-2</v>
      </c>
    </row>
    <row r="785" spans="1:20" ht="14.45" customHeight="1">
      <c r="A785" s="47" t="s">
        <v>1051</v>
      </c>
      <c r="B785" s="48" t="s">
        <v>1576</v>
      </c>
      <c r="C785" s="47" t="s">
        <v>1053</v>
      </c>
      <c r="D785" s="190" t="s">
        <v>1577</v>
      </c>
      <c r="E785" s="191"/>
      <c r="F785" s="47" t="s">
        <v>1158</v>
      </c>
      <c r="G785" s="192"/>
      <c r="H785" s="193"/>
      <c r="I785" s="194"/>
      <c r="J785" s="195" t="s">
        <v>1085</v>
      </c>
      <c r="K785" s="196"/>
      <c r="L785" s="50">
        <v>1</v>
      </c>
      <c r="M785" s="197">
        <v>24.45</v>
      </c>
      <c r="N785" s="198"/>
      <c r="O785" s="64">
        <f>M785-(M785*T785)</f>
        <v>23.214525766424998</v>
      </c>
      <c r="P785" s="64">
        <f>SUM(P786:P791)</f>
        <v>23.218323643851001</v>
      </c>
      <c r="T785" s="88">
        <v>5.05306435E-2</v>
      </c>
    </row>
    <row r="786" spans="1:20" ht="14.45" customHeight="1">
      <c r="A786" s="52" t="s">
        <v>1057</v>
      </c>
      <c r="B786" s="53">
        <v>88316</v>
      </c>
      <c r="C786" s="52" t="s">
        <v>1058</v>
      </c>
      <c r="D786" s="199" t="s">
        <v>1059</v>
      </c>
      <c r="E786" s="200"/>
      <c r="F786" s="52" t="s">
        <v>1158</v>
      </c>
      <c r="G786" s="201"/>
      <c r="H786" s="202"/>
      <c r="I786" s="203"/>
      <c r="J786" s="204" t="s">
        <v>1061</v>
      </c>
      <c r="K786" s="205"/>
      <c r="L786" s="55">
        <v>0.2</v>
      </c>
      <c r="M786" s="188">
        <v>21.32</v>
      </c>
      <c r="N786" s="189"/>
      <c r="O786" s="56">
        <f>M786-(M786*T786)</f>
        <v>20.24268668058</v>
      </c>
      <c r="P786" s="57">
        <f t="shared" ref="P786:P787" si="138">O786*L786</f>
        <v>4.0485373361160004</v>
      </c>
      <c r="T786" s="88">
        <v>5.05306435E-2</v>
      </c>
    </row>
    <row r="787" spans="1:20" ht="14.45" customHeight="1">
      <c r="A787" s="58" t="s">
        <v>1064</v>
      </c>
      <c r="B787" s="62">
        <v>13651</v>
      </c>
      <c r="C787" s="58" t="s">
        <v>1180</v>
      </c>
      <c r="D787" s="181" t="s">
        <v>1578</v>
      </c>
      <c r="E787" s="182"/>
      <c r="F787" s="58" t="s">
        <v>1068</v>
      </c>
      <c r="G787" s="183"/>
      <c r="H787" s="184"/>
      <c r="I787" s="185"/>
      <c r="J787" s="186" t="s">
        <v>1187</v>
      </c>
      <c r="K787" s="187"/>
      <c r="L787" s="60">
        <v>1</v>
      </c>
      <c r="M787" s="188">
        <v>20.190000000000001</v>
      </c>
      <c r="N787" s="189"/>
      <c r="O787" s="56">
        <f t="shared" ref="O787" si="139">M787-(M787*T787)</f>
        <v>19.169786307735002</v>
      </c>
      <c r="P787" s="57">
        <f t="shared" si="138"/>
        <v>19.169786307735002</v>
      </c>
      <c r="T787" s="88">
        <v>5.05306435E-2</v>
      </c>
    </row>
    <row r="788" spans="1:20" ht="14.25" customHeight="1">
      <c r="A788" s="174" t="s">
        <v>1070</v>
      </c>
      <c r="B788" s="174"/>
      <c r="C788" s="174"/>
      <c r="D788" s="174"/>
      <c r="E788" s="174"/>
      <c r="F788" s="174"/>
      <c r="G788" s="174"/>
      <c r="H788" s="175" t="s">
        <v>1071</v>
      </c>
      <c r="I788" s="175"/>
      <c r="J788" s="175"/>
      <c r="K788" s="175"/>
      <c r="L788" s="176">
        <v>0</v>
      </c>
      <c r="M788" s="176"/>
      <c r="N788" s="177" t="s">
        <v>1072</v>
      </c>
      <c r="O788" s="177"/>
      <c r="P788" s="177"/>
      <c r="T788" s="88">
        <v>5.05306435E-2</v>
      </c>
    </row>
    <row r="789" spans="1:20" ht="14.25" customHeight="1">
      <c r="A789" s="178" t="s">
        <v>1073</v>
      </c>
      <c r="B789" s="178"/>
      <c r="C789" s="178"/>
      <c r="D789" s="178"/>
      <c r="E789" s="178"/>
      <c r="F789" s="178"/>
      <c r="G789" s="178"/>
      <c r="H789" s="179"/>
      <c r="I789" s="179"/>
      <c r="J789" s="179"/>
      <c r="K789" s="179"/>
      <c r="L789" s="180" t="s">
        <v>1074</v>
      </c>
      <c r="M789" s="180"/>
      <c r="N789" s="179"/>
      <c r="O789" s="179"/>
      <c r="P789" s="179"/>
      <c r="T789" s="88">
        <v>5.05306435E-2</v>
      </c>
    </row>
    <row r="790" spans="1:20" ht="28.5" customHeight="1">
      <c r="A790" s="172" t="s">
        <v>1579</v>
      </c>
      <c r="B790" s="172"/>
      <c r="C790" s="172"/>
      <c r="D790" s="172"/>
      <c r="E790" s="172"/>
      <c r="F790" s="172"/>
      <c r="G790" s="172"/>
      <c r="H790" s="172"/>
      <c r="I790" s="172"/>
      <c r="J790" s="172"/>
      <c r="K790" s="172"/>
      <c r="L790" s="172"/>
      <c r="M790" s="172"/>
      <c r="N790" s="172"/>
      <c r="O790" s="172"/>
      <c r="P790" s="172"/>
      <c r="Q790" s="172"/>
      <c r="T790" s="88">
        <v>5.05306435E-2</v>
      </c>
    </row>
    <row r="791" spans="1:20" ht="14.45" customHeight="1">
      <c r="A791" s="207"/>
      <c r="B791" s="207"/>
      <c r="C791" s="207"/>
      <c r="D791" s="207"/>
      <c r="E791" s="207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T791" s="88">
        <v>5.05306435E-2</v>
      </c>
    </row>
    <row r="792" spans="1:20" ht="15.75" customHeight="1">
      <c r="A792" s="43" t="s">
        <v>1580</v>
      </c>
      <c r="B792" s="44" t="s">
        <v>3</v>
      </c>
      <c r="C792" s="43" t="s">
        <v>4</v>
      </c>
      <c r="D792" s="208" t="s">
        <v>5</v>
      </c>
      <c r="E792" s="209"/>
      <c r="F792" s="43" t="s">
        <v>1049</v>
      </c>
      <c r="G792" s="210"/>
      <c r="H792" s="211"/>
      <c r="I792" s="212"/>
      <c r="J792" s="213" t="s">
        <v>6</v>
      </c>
      <c r="K792" s="214"/>
      <c r="L792" s="44" t="s">
        <v>7</v>
      </c>
      <c r="M792" s="219" t="s">
        <v>8</v>
      </c>
      <c r="N792" s="220"/>
      <c r="O792" s="63"/>
      <c r="P792" s="44" t="s">
        <v>11</v>
      </c>
      <c r="T792" s="88">
        <v>5.05306435E-2</v>
      </c>
    </row>
    <row r="793" spans="1:20" ht="14.45" customHeight="1">
      <c r="A793" s="47" t="s">
        <v>1051</v>
      </c>
      <c r="B793" s="48" t="s">
        <v>1581</v>
      </c>
      <c r="C793" s="47" t="s">
        <v>1053</v>
      </c>
      <c r="D793" s="190" t="s">
        <v>1582</v>
      </c>
      <c r="E793" s="191"/>
      <c r="F793" s="47" t="s">
        <v>1158</v>
      </c>
      <c r="G793" s="192"/>
      <c r="H793" s="193"/>
      <c r="I793" s="194"/>
      <c r="J793" s="223" t="s">
        <v>1085</v>
      </c>
      <c r="K793" s="224"/>
      <c r="L793" s="50">
        <v>1</v>
      </c>
      <c r="M793" s="197">
        <v>470.68</v>
      </c>
      <c r="N793" s="198"/>
      <c r="O793" s="64">
        <f>M793-(M793*T793)</f>
        <v>446.89623671741998</v>
      </c>
      <c r="P793" s="64">
        <f>SUM(P794:P799)</f>
        <v>446.89623671742004</v>
      </c>
      <c r="T793" s="88">
        <v>5.05306435E-2</v>
      </c>
    </row>
    <row r="794" spans="1:20" ht="14.45" customHeight="1">
      <c r="A794" s="52" t="s">
        <v>1057</v>
      </c>
      <c r="B794" s="53">
        <v>88316</v>
      </c>
      <c r="C794" s="52" t="s">
        <v>1058</v>
      </c>
      <c r="D794" s="199" t="s">
        <v>1059</v>
      </c>
      <c r="E794" s="200"/>
      <c r="F794" s="52" t="s">
        <v>1158</v>
      </c>
      <c r="G794" s="201"/>
      <c r="H794" s="202"/>
      <c r="I794" s="203"/>
      <c r="J794" s="204" t="s">
        <v>1061</v>
      </c>
      <c r="K794" s="205"/>
      <c r="L794" s="55">
        <v>1</v>
      </c>
      <c r="M794" s="188">
        <v>21.32</v>
      </c>
      <c r="N794" s="189"/>
      <c r="O794" s="56">
        <f>M794-(M794*T794)</f>
        <v>20.24268668058</v>
      </c>
      <c r="P794" s="57">
        <f t="shared" ref="P794:P796" si="140">O794*L794</f>
        <v>20.24268668058</v>
      </c>
      <c r="T794" s="88">
        <v>5.05306435E-2</v>
      </c>
    </row>
    <row r="795" spans="1:20" ht="14.45" customHeight="1">
      <c r="A795" s="52" t="s">
        <v>1057</v>
      </c>
      <c r="B795" s="53">
        <v>88309</v>
      </c>
      <c r="C795" s="52" t="s">
        <v>1058</v>
      </c>
      <c r="D795" s="199" t="s">
        <v>1162</v>
      </c>
      <c r="E795" s="200"/>
      <c r="F795" s="52" t="s">
        <v>1158</v>
      </c>
      <c r="G795" s="201"/>
      <c r="H795" s="202"/>
      <c r="I795" s="203"/>
      <c r="J795" s="204" t="s">
        <v>1061</v>
      </c>
      <c r="K795" s="205"/>
      <c r="L795" s="55">
        <v>1</v>
      </c>
      <c r="M795" s="188">
        <v>26.9</v>
      </c>
      <c r="N795" s="189"/>
      <c r="O795" s="56">
        <f t="shared" ref="O795:O796" si="141">M795-(M795*T795)</f>
        <v>25.540725689849999</v>
      </c>
      <c r="P795" s="57">
        <f t="shared" si="140"/>
        <v>25.540725689849999</v>
      </c>
      <c r="T795" s="88">
        <v>5.05306435E-2</v>
      </c>
    </row>
    <row r="796" spans="1:20" ht="14.45" customHeight="1">
      <c r="A796" s="58" t="s">
        <v>1064</v>
      </c>
      <c r="B796" s="62">
        <v>11641</v>
      </c>
      <c r="C796" s="58" t="s">
        <v>1180</v>
      </c>
      <c r="D796" s="181" t="s">
        <v>1583</v>
      </c>
      <c r="E796" s="182"/>
      <c r="F796" s="58" t="s">
        <v>1068</v>
      </c>
      <c r="G796" s="183"/>
      <c r="H796" s="184"/>
      <c r="I796" s="185"/>
      <c r="J796" s="186" t="s">
        <v>1187</v>
      </c>
      <c r="K796" s="187"/>
      <c r="L796" s="60">
        <v>1</v>
      </c>
      <c r="M796" s="221">
        <v>422.46</v>
      </c>
      <c r="N796" s="222"/>
      <c r="O796" s="56">
        <f t="shared" si="141"/>
        <v>401.11282434699001</v>
      </c>
      <c r="P796" s="57">
        <f t="shared" si="140"/>
        <v>401.11282434699001</v>
      </c>
      <c r="T796" s="88">
        <v>5.05306435E-2</v>
      </c>
    </row>
    <row r="797" spans="1:20" ht="14.25" customHeight="1">
      <c r="A797" s="73"/>
      <c r="B797" s="73"/>
      <c r="C797" s="73"/>
      <c r="D797" s="218"/>
      <c r="E797" s="218"/>
      <c r="F797" s="74" t="s">
        <v>1070</v>
      </c>
      <c r="G797" s="218"/>
      <c r="H797" s="218"/>
      <c r="I797" s="218"/>
      <c r="J797" s="175" t="s">
        <v>1071</v>
      </c>
      <c r="K797" s="175"/>
      <c r="L797" s="75">
        <v>0</v>
      </c>
      <c r="M797" s="175" t="s">
        <v>1072</v>
      </c>
      <c r="N797" s="175"/>
      <c r="O797" s="74"/>
      <c r="P797" s="73"/>
      <c r="T797" s="88">
        <v>5.05306435E-2</v>
      </c>
    </row>
    <row r="798" spans="1:20" ht="14.85" customHeight="1">
      <c r="A798" s="68"/>
      <c r="B798" s="68"/>
      <c r="C798" s="68"/>
      <c r="D798" s="179"/>
      <c r="E798" s="179"/>
      <c r="F798" s="76" t="s">
        <v>1073</v>
      </c>
      <c r="G798" s="179"/>
      <c r="H798" s="179"/>
      <c r="I798" s="179"/>
      <c r="J798" s="179"/>
      <c r="K798" s="179"/>
      <c r="L798" s="70" t="s">
        <v>1074</v>
      </c>
      <c r="M798" s="179"/>
      <c r="N798" s="179"/>
      <c r="O798" s="68"/>
      <c r="P798" s="68"/>
      <c r="T798" s="88">
        <v>5.05306435E-2</v>
      </c>
    </row>
    <row r="799" spans="1:20" ht="14.45" customHeight="1">
      <c r="A799" s="77" t="s">
        <v>1089</v>
      </c>
      <c r="B799" s="68"/>
      <c r="C799" s="68"/>
      <c r="D799" s="179"/>
      <c r="E799" s="179"/>
      <c r="F799" s="68"/>
      <c r="G799" s="179"/>
      <c r="H799" s="179"/>
      <c r="I799" s="179"/>
      <c r="J799" s="179"/>
      <c r="K799" s="179"/>
      <c r="L799" s="68"/>
      <c r="M799" s="179"/>
      <c r="N799" s="179"/>
      <c r="O799" s="68"/>
      <c r="P799" s="68"/>
      <c r="T799" s="88">
        <v>5.05306435E-2</v>
      </c>
    </row>
    <row r="800" spans="1:20" ht="15.2" customHeight="1">
      <c r="A800" s="206" t="s">
        <v>1584</v>
      </c>
      <c r="B800" s="206"/>
      <c r="C800" s="206"/>
      <c r="D800" s="206"/>
      <c r="E800" s="206"/>
      <c r="F800" s="206"/>
      <c r="G800" s="206"/>
      <c r="H800" s="206"/>
      <c r="I800" s="206"/>
      <c r="J800" s="206"/>
      <c r="K800" s="206"/>
      <c r="L800" s="206"/>
      <c r="M800" s="206"/>
      <c r="N800" s="206"/>
      <c r="O800" s="206"/>
      <c r="P800" s="206"/>
      <c r="T800" s="88">
        <v>5.05306435E-2</v>
      </c>
    </row>
    <row r="801" spans="1:20" ht="14.45" customHeight="1">
      <c r="A801" s="207"/>
      <c r="B801" s="207"/>
      <c r="C801" s="207"/>
      <c r="D801" s="207"/>
      <c r="E801" s="207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T801" s="88">
        <v>5.05306435E-2</v>
      </c>
    </row>
    <row r="802" spans="1:20" ht="15.75" customHeight="1">
      <c r="A802" s="71">
        <v>40283</v>
      </c>
      <c r="B802" s="44" t="s">
        <v>3</v>
      </c>
      <c r="C802" s="43" t="s">
        <v>4</v>
      </c>
      <c r="D802" s="208" t="s">
        <v>5</v>
      </c>
      <c r="E802" s="209"/>
      <c r="F802" s="43" t="s">
        <v>1049</v>
      </c>
      <c r="G802" s="210"/>
      <c r="H802" s="211"/>
      <c r="I802" s="212"/>
      <c r="J802" s="213" t="s">
        <v>6</v>
      </c>
      <c r="K802" s="214"/>
      <c r="L802" s="44" t="s">
        <v>7</v>
      </c>
      <c r="M802" s="219" t="s">
        <v>8</v>
      </c>
      <c r="N802" s="220"/>
      <c r="O802" s="63"/>
      <c r="P802" s="44" t="s">
        <v>11</v>
      </c>
      <c r="T802" s="88">
        <v>5.05306435E-2</v>
      </c>
    </row>
    <row r="803" spans="1:20" ht="14.45" customHeight="1">
      <c r="A803" s="47" t="s">
        <v>1051</v>
      </c>
      <c r="B803" s="48" t="s">
        <v>1585</v>
      </c>
      <c r="C803" s="47" t="s">
        <v>1053</v>
      </c>
      <c r="D803" s="190" t="s">
        <v>1586</v>
      </c>
      <c r="E803" s="191"/>
      <c r="F803" s="47" t="s">
        <v>1158</v>
      </c>
      <c r="G803" s="192"/>
      <c r="H803" s="193"/>
      <c r="I803" s="194"/>
      <c r="J803" s="223" t="s">
        <v>1085</v>
      </c>
      <c r="K803" s="224"/>
      <c r="L803" s="50">
        <v>1</v>
      </c>
      <c r="M803" s="197">
        <v>29.21</v>
      </c>
      <c r="N803" s="198"/>
      <c r="O803" s="64">
        <f>M803-(M803*T803)</f>
        <v>27.733999903365</v>
      </c>
      <c r="P803" s="64">
        <f>SUM(P804:P809)</f>
        <v>27.730202025939001</v>
      </c>
      <c r="T803" s="88">
        <v>5.05306435E-2</v>
      </c>
    </row>
    <row r="804" spans="1:20" ht="14.45" customHeight="1">
      <c r="A804" s="52" t="s">
        <v>1057</v>
      </c>
      <c r="B804" s="53">
        <v>88316</v>
      </c>
      <c r="C804" s="52" t="s">
        <v>1058</v>
      </c>
      <c r="D804" s="199" t="s">
        <v>1059</v>
      </c>
      <c r="E804" s="200"/>
      <c r="F804" s="52" t="s">
        <v>1158</v>
      </c>
      <c r="G804" s="201"/>
      <c r="H804" s="202"/>
      <c r="I804" s="203"/>
      <c r="J804" s="204" t="s">
        <v>1061</v>
      </c>
      <c r="K804" s="205"/>
      <c r="L804" s="55">
        <v>0.3</v>
      </c>
      <c r="M804" s="188">
        <v>21.32</v>
      </c>
      <c r="N804" s="189"/>
      <c r="O804" s="56">
        <f>M804-(M804*T804)</f>
        <v>20.24268668058</v>
      </c>
      <c r="P804" s="57">
        <f t="shared" ref="P804:P807" si="142">O804*L804</f>
        <v>6.0728060041739997</v>
      </c>
      <c r="T804" s="88">
        <v>5.05306435E-2</v>
      </c>
    </row>
    <row r="805" spans="1:20" ht="14.45" customHeight="1">
      <c r="A805" s="52" t="s">
        <v>1057</v>
      </c>
      <c r="B805" s="53">
        <v>88309</v>
      </c>
      <c r="C805" s="52" t="s">
        <v>1058</v>
      </c>
      <c r="D805" s="199" t="s">
        <v>1162</v>
      </c>
      <c r="E805" s="200"/>
      <c r="F805" s="52" t="s">
        <v>1158</v>
      </c>
      <c r="G805" s="201"/>
      <c r="H805" s="202"/>
      <c r="I805" s="203"/>
      <c r="J805" s="204" t="s">
        <v>1061</v>
      </c>
      <c r="K805" s="205"/>
      <c r="L805" s="55">
        <v>0.3</v>
      </c>
      <c r="M805" s="188">
        <v>26.9</v>
      </c>
      <c r="N805" s="189"/>
      <c r="O805" s="56">
        <f t="shared" ref="O805:O807" si="143">M805-(M805*T805)</f>
        <v>25.540725689849999</v>
      </c>
      <c r="P805" s="57">
        <f t="shared" si="142"/>
        <v>7.6622177069549995</v>
      </c>
      <c r="T805" s="88">
        <v>5.05306435E-2</v>
      </c>
    </row>
    <row r="806" spans="1:20" ht="14.45" customHeight="1">
      <c r="A806" s="58" t="s">
        <v>1064</v>
      </c>
      <c r="B806" s="62">
        <v>67090</v>
      </c>
      <c r="C806" s="58" t="s">
        <v>1337</v>
      </c>
      <c r="D806" s="181" t="s">
        <v>1587</v>
      </c>
      <c r="E806" s="182"/>
      <c r="F806" s="58" t="s">
        <v>1068</v>
      </c>
      <c r="G806" s="183"/>
      <c r="H806" s="184"/>
      <c r="I806" s="185"/>
      <c r="J806" s="186" t="s">
        <v>1085</v>
      </c>
      <c r="K806" s="187"/>
      <c r="L806" s="60">
        <v>1</v>
      </c>
      <c r="M806" s="221">
        <v>14.22</v>
      </c>
      <c r="N806" s="222"/>
      <c r="O806" s="56">
        <f t="shared" si="143"/>
        <v>13.501454249430001</v>
      </c>
      <c r="P806" s="57">
        <f t="shared" si="142"/>
        <v>13.501454249430001</v>
      </c>
      <c r="Q806" s="228"/>
      <c r="R806" s="179"/>
      <c r="T806" s="88">
        <v>5.05306435E-2</v>
      </c>
    </row>
    <row r="807" spans="1:20" ht="14.45" customHeight="1">
      <c r="A807" s="58" t="s">
        <v>1064</v>
      </c>
      <c r="B807" s="62">
        <v>26664</v>
      </c>
      <c r="C807" s="58" t="s">
        <v>1337</v>
      </c>
      <c r="D807" s="181" t="s">
        <v>1588</v>
      </c>
      <c r="E807" s="182"/>
      <c r="F807" s="58" t="s">
        <v>1068</v>
      </c>
      <c r="G807" s="183"/>
      <c r="H807" s="184"/>
      <c r="I807" s="185"/>
      <c r="J807" s="186" t="s">
        <v>1085</v>
      </c>
      <c r="K807" s="187"/>
      <c r="L807" s="60">
        <v>2</v>
      </c>
      <c r="M807" s="221">
        <v>0.26</v>
      </c>
      <c r="N807" s="222"/>
      <c r="O807" s="56">
        <f t="shared" si="143"/>
        <v>0.24686203269000001</v>
      </c>
      <c r="P807" s="57">
        <f t="shared" si="142"/>
        <v>0.49372406538000002</v>
      </c>
      <c r="Q807" s="228"/>
      <c r="R807" s="179"/>
      <c r="T807" s="88">
        <v>5.05306435E-2</v>
      </c>
    </row>
    <row r="808" spans="1:20" ht="14.25" customHeight="1">
      <c r="A808" s="174" t="s">
        <v>1070</v>
      </c>
      <c r="B808" s="174"/>
      <c r="C808" s="174"/>
      <c r="D808" s="174"/>
      <c r="E808" s="174"/>
      <c r="F808" s="174"/>
      <c r="G808" s="174"/>
      <c r="H808" s="175" t="s">
        <v>1071</v>
      </c>
      <c r="I808" s="175"/>
      <c r="J808" s="175"/>
      <c r="K808" s="175"/>
      <c r="L808" s="176">
        <v>0</v>
      </c>
      <c r="M808" s="176"/>
      <c r="N808" s="177" t="s">
        <v>1072</v>
      </c>
      <c r="O808" s="177"/>
      <c r="P808" s="177"/>
      <c r="Q808" s="179"/>
      <c r="R808" s="179"/>
      <c r="T808" s="88">
        <v>5.05306435E-2</v>
      </c>
    </row>
    <row r="809" spans="1:20" ht="16.5" customHeight="1">
      <c r="A809" s="178" t="s">
        <v>1073</v>
      </c>
      <c r="B809" s="178"/>
      <c r="C809" s="178"/>
      <c r="D809" s="178"/>
      <c r="E809" s="178"/>
      <c r="F809" s="178"/>
      <c r="G809" s="178"/>
      <c r="H809" s="179"/>
      <c r="I809" s="179"/>
      <c r="J809" s="179"/>
      <c r="K809" s="179"/>
      <c r="L809" s="180" t="s">
        <v>1074</v>
      </c>
      <c r="M809" s="180"/>
      <c r="N809" s="179"/>
      <c r="O809" s="179"/>
      <c r="P809" s="179"/>
      <c r="Q809" s="179"/>
      <c r="R809" s="179"/>
      <c r="T809" s="88">
        <v>5.05306435E-2</v>
      </c>
    </row>
    <row r="810" spans="1:20" ht="28.5" customHeight="1">
      <c r="A810" s="233" t="s">
        <v>1589</v>
      </c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T810" s="88">
        <v>5.05306435E-2</v>
      </c>
    </row>
    <row r="811" spans="1:20" ht="15" customHeight="1">
      <c r="A811" s="207"/>
      <c r="B811" s="207"/>
      <c r="C811" s="207"/>
      <c r="D811" s="207"/>
      <c r="E811" s="207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179"/>
      <c r="R811" s="179"/>
      <c r="T811" s="88">
        <v>5.05306435E-2</v>
      </c>
    </row>
    <row r="812" spans="1:20" ht="15.75" customHeight="1">
      <c r="A812" s="71">
        <v>40648</v>
      </c>
      <c r="B812" s="44" t="s">
        <v>3</v>
      </c>
      <c r="C812" s="43" t="s">
        <v>4</v>
      </c>
      <c r="D812" s="208" t="s">
        <v>5</v>
      </c>
      <c r="E812" s="209"/>
      <c r="F812" s="43" t="s">
        <v>1049</v>
      </c>
      <c r="G812" s="210"/>
      <c r="H812" s="211"/>
      <c r="I812" s="212"/>
      <c r="J812" s="215" t="s">
        <v>6</v>
      </c>
      <c r="K812" s="217"/>
      <c r="L812" s="44" t="s">
        <v>7</v>
      </c>
      <c r="M812" s="213" t="s">
        <v>8</v>
      </c>
      <c r="N812" s="214"/>
      <c r="O812" s="66"/>
      <c r="P812" s="44" t="s">
        <v>11</v>
      </c>
      <c r="Q812" s="228"/>
      <c r="R812" s="179"/>
      <c r="T812" s="88">
        <v>5.05306435E-2</v>
      </c>
    </row>
    <row r="813" spans="1:20" ht="15" customHeight="1">
      <c r="A813" s="47" t="s">
        <v>1051</v>
      </c>
      <c r="B813" s="48" t="s">
        <v>1590</v>
      </c>
      <c r="C813" s="47" t="s">
        <v>1053</v>
      </c>
      <c r="D813" s="190" t="s">
        <v>1591</v>
      </c>
      <c r="E813" s="191"/>
      <c r="F813" s="47" t="s">
        <v>1422</v>
      </c>
      <c r="G813" s="192"/>
      <c r="H813" s="193"/>
      <c r="I813" s="194"/>
      <c r="J813" s="195" t="s">
        <v>1085</v>
      </c>
      <c r="K813" s="196"/>
      <c r="L813" s="50">
        <v>1</v>
      </c>
      <c r="M813" s="197">
        <v>11.79</v>
      </c>
      <c r="N813" s="198"/>
      <c r="O813" s="64">
        <f>M813-(M813*T813)</f>
        <v>11.194243713134998</v>
      </c>
      <c r="P813" s="64">
        <f>SUM(P814:P819)</f>
        <v>11.194243713135</v>
      </c>
      <c r="Q813" s="228"/>
      <c r="R813" s="179"/>
      <c r="T813" s="88">
        <v>5.05306435E-2</v>
      </c>
    </row>
    <row r="814" spans="1:20" ht="14.25" customHeight="1">
      <c r="A814" s="52" t="s">
        <v>1057</v>
      </c>
      <c r="B814" s="53">
        <v>88309</v>
      </c>
      <c r="C814" s="52" t="s">
        <v>1058</v>
      </c>
      <c r="D814" s="199" t="s">
        <v>1162</v>
      </c>
      <c r="E814" s="200"/>
      <c r="F814" s="52" t="s">
        <v>1158</v>
      </c>
      <c r="G814" s="201"/>
      <c r="H814" s="202"/>
      <c r="I814" s="203"/>
      <c r="J814" s="204" t="s">
        <v>1061</v>
      </c>
      <c r="K814" s="205"/>
      <c r="L814" s="55">
        <v>0.2</v>
      </c>
      <c r="M814" s="188">
        <v>26.9</v>
      </c>
      <c r="N814" s="189"/>
      <c r="O814" s="56">
        <f>M814-(M814*T814)</f>
        <v>25.540725689849999</v>
      </c>
      <c r="P814" s="57">
        <f t="shared" ref="P814:P815" si="144">O814*L814</f>
        <v>5.1081451379700002</v>
      </c>
      <c r="Q814" s="228"/>
      <c r="R814" s="179"/>
      <c r="T814" s="88">
        <v>5.05306435E-2</v>
      </c>
    </row>
    <row r="815" spans="1:20" ht="15.6" customHeight="1">
      <c r="A815" s="58" t="s">
        <v>1064</v>
      </c>
      <c r="B815" s="62">
        <v>14735</v>
      </c>
      <c r="C815" s="58" t="s">
        <v>1262</v>
      </c>
      <c r="D815" s="181" t="s">
        <v>1592</v>
      </c>
      <c r="E815" s="182"/>
      <c r="F815" s="58" t="s">
        <v>1068</v>
      </c>
      <c r="G815" s="183"/>
      <c r="H815" s="184"/>
      <c r="I815" s="185"/>
      <c r="J815" s="186" t="s">
        <v>1085</v>
      </c>
      <c r="K815" s="187"/>
      <c r="L815" s="60">
        <v>1</v>
      </c>
      <c r="M815" s="221">
        <v>6.41</v>
      </c>
      <c r="N815" s="222"/>
      <c r="O815" s="56">
        <f t="shared" ref="O815" si="145">M815-(M815*T815)</f>
        <v>6.0860985751649999</v>
      </c>
      <c r="P815" s="57">
        <f t="shared" si="144"/>
        <v>6.0860985751649999</v>
      </c>
      <c r="Q815" s="228"/>
      <c r="R815" s="179"/>
      <c r="T815" s="88">
        <v>5.05306435E-2</v>
      </c>
    </row>
    <row r="816" spans="1:20" ht="14.25" customHeight="1">
      <c r="A816" s="174" t="s">
        <v>1070</v>
      </c>
      <c r="B816" s="174"/>
      <c r="C816" s="174"/>
      <c r="D816" s="174"/>
      <c r="E816" s="174"/>
      <c r="F816" s="174"/>
      <c r="G816" s="174"/>
      <c r="H816" s="175" t="s">
        <v>1071</v>
      </c>
      <c r="I816" s="175"/>
      <c r="J816" s="175"/>
      <c r="K816" s="175"/>
      <c r="L816" s="176">
        <v>0</v>
      </c>
      <c r="M816" s="176"/>
      <c r="N816" s="177" t="s">
        <v>1072</v>
      </c>
      <c r="O816" s="177"/>
      <c r="P816" s="177"/>
      <c r="Q816" s="179"/>
      <c r="R816" s="179"/>
      <c r="T816" s="88">
        <v>5.05306435E-2</v>
      </c>
    </row>
    <row r="817" spans="1:20" ht="16.5" customHeight="1">
      <c r="A817" s="178" t="s">
        <v>1073</v>
      </c>
      <c r="B817" s="178"/>
      <c r="C817" s="178"/>
      <c r="D817" s="178"/>
      <c r="E817" s="178"/>
      <c r="F817" s="178"/>
      <c r="G817" s="178"/>
      <c r="H817" s="179"/>
      <c r="I817" s="179"/>
      <c r="J817" s="179"/>
      <c r="K817" s="179"/>
      <c r="L817" s="180" t="s">
        <v>1074</v>
      </c>
      <c r="M817" s="180"/>
      <c r="N817" s="179"/>
      <c r="O817" s="179"/>
      <c r="P817" s="179"/>
      <c r="Q817" s="179"/>
      <c r="R817" s="179"/>
      <c r="T817" s="88">
        <v>5.05306435E-2</v>
      </c>
    </row>
    <row r="818" spans="1:20" ht="28.5" customHeight="1">
      <c r="A818" s="233" t="s">
        <v>1593</v>
      </c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T818" s="88">
        <v>5.05306435E-2</v>
      </c>
    </row>
    <row r="819" spans="1:20" ht="15" customHeight="1">
      <c r="A819" s="207"/>
      <c r="B819" s="207"/>
      <c r="C819" s="207"/>
      <c r="D819" s="207"/>
      <c r="E819" s="207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179"/>
      <c r="R819" s="179"/>
      <c r="T819" s="88">
        <v>5.05306435E-2</v>
      </c>
    </row>
    <row r="820" spans="1:20" ht="15.75" customHeight="1">
      <c r="A820" s="43" t="s">
        <v>1594</v>
      </c>
      <c r="B820" s="44" t="s">
        <v>3</v>
      </c>
      <c r="C820" s="43" t="s">
        <v>4</v>
      </c>
      <c r="D820" s="208" t="s">
        <v>5</v>
      </c>
      <c r="E820" s="209"/>
      <c r="F820" s="43" t="s">
        <v>1049</v>
      </c>
      <c r="G820" s="210"/>
      <c r="H820" s="211"/>
      <c r="I820" s="212"/>
      <c r="J820" s="215" t="s">
        <v>6</v>
      </c>
      <c r="K820" s="217"/>
      <c r="L820" s="44" t="s">
        <v>7</v>
      </c>
      <c r="M820" s="213" t="s">
        <v>8</v>
      </c>
      <c r="N820" s="214"/>
      <c r="O820" s="66"/>
      <c r="P820" s="44" t="s">
        <v>11</v>
      </c>
      <c r="Q820" s="228"/>
      <c r="R820" s="179"/>
      <c r="T820" s="88">
        <v>5.05306435E-2</v>
      </c>
    </row>
    <row r="821" spans="1:20" ht="15" customHeight="1">
      <c r="A821" s="47" t="s">
        <v>1051</v>
      </c>
      <c r="B821" s="48" t="s">
        <v>1595</v>
      </c>
      <c r="C821" s="47" t="s">
        <v>1053</v>
      </c>
      <c r="D821" s="190" t="s">
        <v>1596</v>
      </c>
      <c r="E821" s="191"/>
      <c r="F821" s="47" t="s">
        <v>1422</v>
      </c>
      <c r="G821" s="192"/>
      <c r="H821" s="193"/>
      <c r="I821" s="194"/>
      <c r="J821" s="195" t="s">
        <v>1085</v>
      </c>
      <c r="K821" s="196"/>
      <c r="L821" s="50">
        <v>1</v>
      </c>
      <c r="M821" s="197">
        <v>2.08</v>
      </c>
      <c r="N821" s="198"/>
      <c r="O821" s="64">
        <f>M821-(M821*T821)</f>
        <v>1.9748962615200001</v>
      </c>
      <c r="P821" s="64">
        <f>SUM(P822:P827)</f>
        <v>1.97100343715835</v>
      </c>
      <c r="Q821" s="228"/>
      <c r="R821" s="179"/>
      <c r="T821" s="88">
        <v>5.05306435E-2</v>
      </c>
    </row>
    <row r="822" spans="1:20" ht="14.25" customHeight="1">
      <c r="A822" s="52" t="s">
        <v>1057</v>
      </c>
      <c r="B822" s="53">
        <v>88316</v>
      </c>
      <c r="C822" s="52" t="s">
        <v>1058</v>
      </c>
      <c r="D822" s="199" t="s">
        <v>1059</v>
      </c>
      <c r="E822" s="200"/>
      <c r="F822" s="52" t="s">
        <v>1158</v>
      </c>
      <c r="G822" s="201"/>
      <c r="H822" s="202"/>
      <c r="I822" s="203"/>
      <c r="J822" s="204" t="s">
        <v>1061</v>
      </c>
      <c r="K822" s="205"/>
      <c r="L822" s="55">
        <v>0.01</v>
      </c>
      <c r="M822" s="188">
        <v>21.32</v>
      </c>
      <c r="N822" s="189"/>
      <c r="O822" s="56">
        <f>M822-(M822*T822)</f>
        <v>20.24268668058</v>
      </c>
      <c r="P822" s="57">
        <f t="shared" ref="P822:P825" si="146">O822*L822</f>
        <v>0.20242686680580002</v>
      </c>
      <c r="Q822" s="228"/>
      <c r="R822" s="179"/>
      <c r="T822" s="88">
        <v>5.05306435E-2</v>
      </c>
    </row>
    <row r="823" spans="1:20" ht="15" customHeight="1">
      <c r="A823" s="52" t="s">
        <v>1057</v>
      </c>
      <c r="B823" s="53">
        <v>88264</v>
      </c>
      <c r="C823" s="52" t="s">
        <v>1058</v>
      </c>
      <c r="D823" s="199" t="s">
        <v>1063</v>
      </c>
      <c r="E823" s="200"/>
      <c r="F823" s="52" t="s">
        <v>1158</v>
      </c>
      <c r="G823" s="201"/>
      <c r="H823" s="202"/>
      <c r="I823" s="203"/>
      <c r="J823" s="204" t="s">
        <v>1061</v>
      </c>
      <c r="K823" s="205"/>
      <c r="L823" s="55">
        <v>0.01</v>
      </c>
      <c r="M823" s="188">
        <v>27.27</v>
      </c>
      <c r="N823" s="189"/>
      <c r="O823" s="56">
        <f t="shared" ref="O823:O825" si="147">M823-(M823*T823)</f>
        <v>25.892029351754999</v>
      </c>
      <c r="P823" s="57">
        <f t="shared" si="146"/>
        <v>0.25892029351754997</v>
      </c>
      <c r="Q823" s="228"/>
      <c r="R823" s="179"/>
      <c r="T823" s="88">
        <v>5.05306435E-2</v>
      </c>
    </row>
    <row r="824" spans="1:20" ht="14.25" customHeight="1">
      <c r="A824" s="58" t="s">
        <v>1064</v>
      </c>
      <c r="B824" s="62">
        <v>10364</v>
      </c>
      <c r="C824" s="58" t="s">
        <v>1180</v>
      </c>
      <c r="D824" s="181" t="s">
        <v>1597</v>
      </c>
      <c r="E824" s="182"/>
      <c r="F824" s="58" t="s">
        <v>1068</v>
      </c>
      <c r="G824" s="183"/>
      <c r="H824" s="184"/>
      <c r="I824" s="185"/>
      <c r="J824" s="186" t="s">
        <v>1187</v>
      </c>
      <c r="K824" s="187"/>
      <c r="L824" s="60">
        <v>1</v>
      </c>
      <c r="M824" s="221">
        <v>0.79</v>
      </c>
      <c r="N824" s="222"/>
      <c r="O824" s="56">
        <f t="shared" si="147"/>
        <v>0.75008079163500008</v>
      </c>
      <c r="P824" s="57">
        <f t="shared" si="146"/>
        <v>0.75008079163500008</v>
      </c>
      <c r="Q824" s="228"/>
      <c r="R824" s="179"/>
      <c r="T824" s="88">
        <v>5.05306435E-2</v>
      </c>
    </row>
    <row r="825" spans="1:20" ht="15" customHeight="1">
      <c r="A825" s="58" t="s">
        <v>1064</v>
      </c>
      <c r="B825" s="62">
        <v>10366</v>
      </c>
      <c r="C825" s="58" t="s">
        <v>1180</v>
      </c>
      <c r="D825" s="181" t="s">
        <v>1598</v>
      </c>
      <c r="E825" s="182"/>
      <c r="F825" s="58" t="s">
        <v>1068</v>
      </c>
      <c r="G825" s="183"/>
      <c r="H825" s="184"/>
      <c r="I825" s="185"/>
      <c r="J825" s="186" t="s">
        <v>1187</v>
      </c>
      <c r="K825" s="187"/>
      <c r="L825" s="60">
        <v>1</v>
      </c>
      <c r="M825" s="221">
        <v>0.8</v>
      </c>
      <c r="N825" s="222"/>
      <c r="O825" s="56">
        <f t="shared" si="147"/>
        <v>0.75957548520000007</v>
      </c>
      <c r="P825" s="57">
        <f t="shared" si="146"/>
        <v>0.75957548520000007</v>
      </c>
      <c r="Q825" s="228"/>
      <c r="R825" s="179"/>
      <c r="T825" s="88">
        <v>5.05306435E-2</v>
      </c>
    </row>
    <row r="826" spans="1:20" ht="14.25" customHeight="1">
      <c r="A826" s="174" t="s">
        <v>1070</v>
      </c>
      <c r="B826" s="174"/>
      <c r="C826" s="174"/>
      <c r="D826" s="174"/>
      <c r="E826" s="174"/>
      <c r="F826" s="174"/>
      <c r="G826" s="174"/>
      <c r="H826" s="175" t="s">
        <v>1071</v>
      </c>
      <c r="I826" s="175"/>
      <c r="J826" s="175"/>
      <c r="K826" s="175"/>
      <c r="L826" s="176">
        <v>0</v>
      </c>
      <c r="M826" s="176"/>
      <c r="N826" s="177" t="s">
        <v>1072</v>
      </c>
      <c r="O826" s="177"/>
      <c r="P826" s="177"/>
      <c r="Q826" s="179"/>
      <c r="R826" s="179"/>
      <c r="T826" s="88">
        <v>5.05306435E-2</v>
      </c>
    </row>
    <row r="827" spans="1:20" ht="16.5" customHeight="1">
      <c r="A827" s="178" t="s">
        <v>1073</v>
      </c>
      <c r="B827" s="178"/>
      <c r="C827" s="178"/>
      <c r="D827" s="178"/>
      <c r="E827" s="178"/>
      <c r="F827" s="178"/>
      <c r="G827" s="178"/>
      <c r="H827" s="179"/>
      <c r="I827" s="179"/>
      <c r="J827" s="179"/>
      <c r="K827" s="179"/>
      <c r="L827" s="180" t="s">
        <v>1074</v>
      </c>
      <c r="M827" s="180"/>
      <c r="N827" s="179"/>
      <c r="O827" s="179"/>
      <c r="P827" s="179"/>
      <c r="Q827" s="179"/>
      <c r="R827" s="179"/>
      <c r="T827" s="88">
        <v>5.05306435E-2</v>
      </c>
    </row>
    <row r="828" spans="1:20" ht="28.5" customHeight="1">
      <c r="A828" s="233" t="s">
        <v>1599</v>
      </c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T828" s="88">
        <v>5.05306435E-2</v>
      </c>
    </row>
    <row r="829" spans="1:20" ht="14.25" customHeight="1">
      <c r="A829" s="178" t="s">
        <v>1070</v>
      </c>
      <c r="B829" s="178"/>
      <c r="C829" s="178"/>
      <c r="D829" s="178"/>
      <c r="E829" s="178"/>
      <c r="F829" s="178"/>
      <c r="G829" s="178"/>
      <c r="H829" s="249" t="s">
        <v>1071</v>
      </c>
      <c r="I829" s="249"/>
      <c r="J829" s="249"/>
      <c r="K829" s="249"/>
      <c r="L829" s="250">
        <v>0</v>
      </c>
      <c r="M829" s="250"/>
      <c r="N829" s="251" t="s">
        <v>1072</v>
      </c>
      <c r="O829" s="251"/>
      <c r="P829" s="251"/>
      <c r="Q829" s="179"/>
      <c r="R829" s="179"/>
      <c r="T829" s="88">
        <v>5.05306435E-2</v>
      </c>
    </row>
    <row r="830" spans="1:20" ht="15" customHeight="1">
      <c r="A830" s="226" t="s">
        <v>1073</v>
      </c>
      <c r="B830" s="226"/>
      <c r="C830" s="226"/>
      <c r="D830" s="226"/>
      <c r="E830" s="226"/>
      <c r="F830" s="226"/>
      <c r="G830" s="226"/>
      <c r="H830" s="227"/>
      <c r="I830" s="227"/>
      <c r="J830" s="227"/>
      <c r="K830" s="227"/>
      <c r="L830" s="206" t="s">
        <v>1074</v>
      </c>
      <c r="M830" s="206"/>
      <c r="N830" s="227"/>
      <c r="O830" s="227"/>
      <c r="P830" s="227"/>
      <c r="Q830" s="179"/>
      <c r="R830" s="179"/>
      <c r="T830" s="88">
        <v>5.05306435E-2</v>
      </c>
    </row>
    <row r="831" spans="1:20" ht="15" customHeight="1">
      <c r="A831" s="207"/>
      <c r="B831" s="207"/>
      <c r="C831" s="207"/>
      <c r="D831" s="207"/>
      <c r="E831" s="207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179"/>
      <c r="R831" s="179"/>
      <c r="T831" s="88">
        <v>5.05306435E-2</v>
      </c>
    </row>
    <row r="832" spans="1:20" ht="15.75" customHeight="1">
      <c r="A832" s="43" t="s">
        <v>1600</v>
      </c>
      <c r="B832" s="44" t="s">
        <v>3</v>
      </c>
      <c r="C832" s="43" t="s">
        <v>4</v>
      </c>
      <c r="D832" s="208" t="s">
        <v>5</v>
      </c>
      <c r="E832" s="209"/>
      <c r="F832" s="43" t="s">
        <v>1049</v>
      </c>
      <c r="G832" s="210"/>
      <c r="H832" s="211"/>
      <c r="I832" s="212"/>
      <c r="J832" s="215" t="s">
        <v>6</v>
      </c>
      <c r="K832" s="217"/>
      <c r="L832" s="44" t="s">
        <v>7</v>
      </c>
      <c r="M832" s="213" t="s">
        <v>8</v>
      </c>
      <c r="N832" s="214"/>
      <c r="O832" s="66"/>
      <c r="P832" s="44" t="s">
        <v>11</v>
      </c>
      <c r="Q832" s="228"/>
      <c r="R832" s="179"/>
      <c r="T832" s="88">
        <v>5.05306435E-2</v>
      </c>
    </row>
    <row r="833" spans="1:20" ht="15" customHeight="1">
      <c r="A833" s="47" t="s">
        <v>1051</v>
      </c>
      <c r="B833" s="48" t="s">
        <v>1601</v>
      </c>
      <c r="C833" s="47" t="s">
        <v>1053</v>
      </c>
      <c r="D833" s="190" t="s">
        <v>1602</v>
      </c>
      <c r="E833" s="191"/>
      <c r="F833" s="47" t="s">
        <v>1422</v>
      </c>
      <c r="G833" s="192"/>
      <c r="H833" s="193"/>
      <c r="I833" s="194"/>
      <c r="J833" s="195" t="s">
        <v>1435</v>
      </c>
      <c r="K833" s="196"/>
      <c r="L833" s="50">
        <v>1</v>
      </c>
      <c r="M833" s="197">
        <v>4.34</v>
      </c>
      <c r="N833" s="198"/>
      <c r="O833" s="64">
        <f>M833-(M833*T833)</f>
        <v>4.1206970072099995</v>
      </c>
      <c r="P833" s="64">
        <f>SUM(P834:P839)</f>
        <v>4.1161015755245405</v>
      </c>
      <c r="Q833" s="228"/>
      <c r="R833" s="179"/>
      <c r="T833" s="88">
        <v>5.05306435E-2</v>
      </c>
    </row>
    <row r="834" spans="1:20" ht="14.25" customHeight="1">
      <c r="A834" s="52" t="s">
        <v>1057</v>
      </c>
      <c r="B834" s="53">
        <v>88264</v>
      </c>
      <c r="C834" s="52" t="s">
        <v>1058</v>
      </c>
      <c r="D834" s="199" t="s">
        <v>1063</v>
      </c>
      <c r="E834" s="200"/>
      <c r="F834" s="52" t="s">
        <v>1158</v>
      </c>
      <c r="G834" s="201"/>
      <c r="H834" s="202"/>
      <c r="I834" s="203"/>
      <c r="J834" s="204" t="s">
        <v>1061</v>
      </c>
      <c r="K834" s="205"/>
      <c r="L834" s="55">
        <v>0.108</v>
      </c>
      <c r="M834" s="188">
        <v>27.27</v>
      </c>
      <c r="N834" s="189"/>
      <c r="O834" s="56">
        <f>M834-(M834*T834)</f>
        <v>25.892029351754999</v>
      </c>
      <c r="P834" s="57">
        <f t="shared" ref="P834:P836" si="148">O834*L834</f>
        <v>2.7963391699895399</v>
      </c>
      <c r="Q834" s="228"/>
      <c r="R834" s="179"/>
      <c r="T834" s="88">
        <v>5.05306435E-2</v>
      </c>
    </row>
    <row r="835" spans="1:20" ht="15" customHeight="1">
      <c r="A835" s="58" t="s">
        <v>1064</v>
      </c>
      <c r="B835" s="62">
        <v>49818</v>
      </c>
      <c r="C835" s="58" t="s">
        <v>1337</v>
      </c>
      <c r="D835" s="181" t="s">
        <v>1603</v>
      </c>
      <c r="E835" s="182"/>
      <c r="F835" s="58" t="s">
        <v>1068</v>
      </c>
      <c r="G835" s="183"/>
      <c r="H835" s="184"/>
      <c r="I835" s="185"/>
      <c r="J835" s="186" t="s">
        <v>1085</v>
      </c>
      <c r="K835" s="187"/>
      <c r="L835" s="60">
        <v>1</v>
      </c>
      <c r="M835" s="221">
        <v>1.25</v>
      </c>
      <c r="N835" s="222"/>
      <c r="O835" s="56">
        <f t="shared" ref="O835:O836" si="149">M835-(M835*T835)</f>
        <v>1.186836695625</v>
      </c>
      <c r="P835" s="57">
        <f t="shared" si="148"/>
        <v>1.186836695625</v>
      </c>
      <c r="Q835" s="228"/>
      <c r="R835" s="179"/>
      <c r="T835" s="88">
        <v>5.05306435E-2</v>
      </c>
    </row>
    <row r="836" spans="1:20" ht="14.45" customHeight="1">
      <c r="A836" s="58" t="s">
        <v>1064</v>
      </c>
      <c r="B836" s="62">
        <v>26554</v>
      </c>
      <c r="C836" s="58" t="s">
        <v>1337</v>
      </c>
      <c r="D836" s="181" t="s">
        <v>1604</v>
      </c>
      <c r="E836" s="182"/>
      <c r="F836" s="58" t="s">
        <v>1068</v>
      </c>
      <c r="G836" s="183"/>
      <c r="H836" s="184"/>
      <c r="I836" s="185"/>
      <c r="J836" s="186" t="s">
        <v>1085</v>
      </c>
      <c r="K836" s="187"/>
      <c r="L836" s="60">
        <v>1</v>
      </c>
      <c r="M836" s="221">
        <v>0.14000000000000001</v>
      </c>
      <c r="N836" s="222"/>
      <c r="O836" s="56">
        <f t="shared" si="149"/>
        <v>0.13292570991000002</v>
      </c>
      <c r="P836" s="57">
        <f t="shared" si="148"/>
        <v>0.13292570991000002</v>
      </c>
      <c r="Q836" s="228"/>
      <c r="R836" s="179"/>
      <c r="T836" s="88">
        <v>5.05306435E-2</v>
      </c>
    </row>
    <row r="837" spans="1:20" ht="57.6" customHeight="1">
      <c r="A837" s="233" t="s">
        <v>1605</v>
      </c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T837" s="88">
        <v>5.05306435E-2</v>
      </c>
    </row>
    <row r="838" spans="1:20" ht="15" customHeight="1">
      <c r="A838" s="207"/>
      <c r="B838" s="207"/>
      <c r="C838" s="207"/>
      <c r="D838" s="207"/>
      <c r="E838" s="207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179"/>
      <c r="R838" s="179"/>
      <c r="T838" s="88">
        <v>5.05306435E-2</v>
      </c>
    </row>
    <row r="839" spans="1:20" ht="15.75" customHeight="1">
      <c r="A839" s="43" t="s">
        <v>1606</v>
      </c>
      <c r="B839" s="44" t="s">
        <v>3</v>
      </c>
      <c r="C839" s="43" t="s">
        <v>4</v>
      </c>
      <c r="D839" s="208" t="s">
        <v>5</v>
      </c>
      <c r="E839" s="209"/>
      <c r="F839" s="43" t="s">
        <v>1049</v>
      </c>
      <c r="G839" s="210"/>
      <c r="H839" s="211"/>
      <c r="I839" s="212"/>
      <c r="J839" s="215" t="s">
        <v>6</v>
      </c>
      <c r="K839" s="217"/>
      <c r="L839" s="44" t="s">
        <v>7</v>
      </c>
      <c r="M839" s="213" t="s">
        <v>8</v>
      </c>
      <c r="N839" s="214"/>
      <c r="O839" s="66"/>
      <c r="P839" s="44" t="s">
        <v>11</v>
      </c>
      <c r="Q839" s="228"/>
      <c r="R839" s="179"/>
      <c r="T839" s="88">
        <v>5.05306435E-2</v>
      </c>
    </row>
    <row r="840" spans="1:20" ht="15" customHeight="1">
      <c r="A840" s="47" t="s">
        <v>1051</v>
      </c>
      <c r="B840" s="48" t="s">
        <v>1607</v>
      </c>
      <c r="C840" s="47" t="s">
        <v>1053</v>
      </c>
      <c r="D840" s="190" t="s">
        <v>1608</v>
      </c>
      <c r="E840" s="191"/>
      <c r="F840" s="47" t="s">
        <v>1422</v>
      </c>
      <c r="G840" s="192"/>
      <c r="H840" s="193"/>
      <c r="I840" s="194"/>
      <c r="J840" s="195" t="s">
        <v>1435</v>
      </c>
      <c r="K840" s="196"/>
      <c r="L840" s="50">
        <v>1</v>
      </c>
      <c r="M840" s="197">
        <v>5.85</v>
      </c>
      <c r="N840" s="198"/>
      <c r="O840" s="64">
        <f>M840-(M840*T840)</f>
        <v>5.5543957355249995</v>
      </c>
      <c r="P840" s="64">
        <f>SUM(P841:P846)</f>
        <v>5.5535412131041495</v>
      </c>
      <c r="Q840" s="228"/>
      <c r="R840" s="179"/>
      <c r="T840" s="88">
        <v>5.05306435E-2</v>
      </c>
    </row>
    <row r="841" spans="1:20" ht="14.25" customHeight="1">
      <c r="A841" s="52" t="s">
        <v>1057</v>
      </c>
      <c r="B841" s="53">
        <v>88264</v>
      </c>
      <c r="C841" s="52" t="s">
        <v>1058</v>
      </c>
      <c r="D841" s="199" t="s">
        <v>1063</v>
      </c>
      <c r="E841" s="200"/>
      <c r="F841" s="52" t="s">
        <v>1158</v>
      </c>
      <c r="G841" s="201"/>
      <c r="H841" s="202"/>
      <c r="I841" s="203"/>
      <c r="J841" s="204" t="s">
        <v>1061</v>
      </c>
      <c r="K841" s="205"/>
      <c r="L841" s="55">
        <v>0.109</v>
      </c>
      <c r="M841" s="188">
        <v>27.27</v>
      </c>
      <c r="N841" s="189"/>
      <c r="O841" s="56">
        <f>M841-(M841*T841)</f>
        <v>25.892029351754999</v>
      </c>
      <c r="P841" s="57">
        <f t="shared" ref="P841:P844" si="150">O841*L841</f>
        <v>2.822231199341295</v>
      </c>
      <c r="Q841" s="228"/>
      <c r="R841" s="179"/>
      <c r="T841" s="88">
        <v>5.05306435E-2</v>
      </c>
    </row>
    <row r="842" spans="1:20" ht="15" customHeight="1">
      <c r="A842" s="52" t="s">
        <v>1057</v>
      </c>
      <c r="B842" s="53">
        <v>88247</v>
      </c>
      <c r="C842" s="52" t="s">
        <v>1058</v>
      </c>
      <c r="D842" s="199" t="s">
        <v>1062</v>
      </c>
      <c r="E842" s="200"/>
      <c r="F842" s="52" t="s">
        <v>1158</v>
      </c>
      <c r="G842" s="201"/>
      <c r="H842" s="202"/>
      <c r="I842" s="203"/>
      <c r="J842" s="204" t="s">
        <v>1061</v>
      </c>
      <c r="K842" s="205"/>
      <c r="L842" s="55">
        <v>0.109</v>
      </c>
      <c r="M842" s="188">
        <v>22.63</v>
      </c>
      <c r="N842" s="189"/>
      <c r="O842" s="56">
        <f t="shared" ref="O842:O844" si="151">M842-(M842*T842)</f>
        <v>21.486491537595001</v>
      </c>
      <c r="P842" s="57">
        <f t="shared" si="150"/>
        <v>2.3420275775978552</v>
      </c>
      <c r="Q842" s="228"/>
      <c r="R842" s="179"/>
      <c r="T842" s="88">
        <v>5.05306435E-2</v>
      </c>
    </row>
    <row r="843" spans="1:20" ht="14.25" customHeight="1">
      <c r="A843" s="58" t="s">
        <v>1064</v>
      </c>
      <c r="B843" s="62">
        <v>28055</v>
      </c>
      <c r="C843" s="58" t="s">
        <v>1150</v>
      </c>
      <c r="D843" s="181" t="s">
        <v>1609</v>
      </c>
      <c r="E843" s="182"/>
      <c r="F843" s="58" t="s">
        <v>1068</v>
      </c>
      <c r="G843" s="183"/>
      <c r="H843" s="184"/>
      <c r="I843" s="185"/>
      <c r="J843" s="186" t="s">
        <v>1085</v>
      </c>
      <c r="K843" s="187"/>
      <c r="L843" s="60">
        <v>1</v>
      </c>
      <c r="M843" s="221">
        <v>0.15</v>
      </c>
      <c r="N843" s="222"/>
      <c r="O843" s="56">
        <f t="shared" si="151"/>
        <v>0.14242040347499998</v>
      </c>
      <c r="P843" s="57">
        <f t="shared" si="150"/>
        <v>0.14242040347499998</v>
      </c>
      <c r="Q843" s="228"/>
      <c r="R843" s="179"/>
      <c r="T843" s="88">
        <v>5.05306435E-2</v>
      </c>
    </row>
    <row r="844" spans="1:20" ht="15" customHeight="1">
      <c r="A844" s="58" t="s">
        <v>1064</v>
      </c>
      <c r="B844" s="62">
        <v>4342</v>
      </c>
      <c r="C844" s="58" t="s">
        <v>1058</v>
      </c>
      <c r="D844" s="181" t="s">
        <v>1610</v>
      </c>
      <c r="E844" s="182"/>
      <c r="F844" s="58" t="s">
        <v>1068</v>
      </c>
      <c r="G844" s="183"/>
      <c r="H844" s="184"/>
      <c r="I844" s="185"/>
      <c r="J844" s="186" t="s">
        <v>1085</v>
      </c>
      <c r="K844" s="187"/>
      <c r="L844" s="60">
        <v>1</v>
      </c>
      <c r="M844" s="188">
        <v>0.26</v>
      </c>
      <c r="N844" s="189"/>
      <c r="O844" s="56">
        <f t="shared" si="151"/>
        <v>0.24686203269000001</v>
      </c>
      <c r="P844" s="57">
        <f t="shared" si="150"/>
        <v>0.24686203269000001</v>
      </c>
      <c r="Q844" s="228"/>
      <c r="R844" s="179"/>
      <c r="T844" s="88">
        <v>5.05306435E-2</v>
      </c>
    </row>
    <row r="845" spans="1:20" ht="14.25" customHeight="1">
      <c r="A845" s="174" t="s">
        <v>1070</v>
      </c>
      <c r="B845" s="174"/>
      <c r="C845" s="174"/>
      <c r="D845" s="174"/>
      <c r="E845" s="174"/>
      <c r="F845" s="174"/>
      <c r="G845" s="174"/>
      <c r="H845" s="175" t="s">
        <v>1071</v>
      </c>
      <c r="I845" s="175"/>
      <c r="J845" s="175"/>
      <c r="K845" s="175"/>
      <c r="L845" s="176">
        <v>0</v>
      </c>
      <c r="M845" s="176"/>
      <c r="N845" s="177" t="s">
        <v>1072</v>
      </c>
      <c r="O845" s="177"/>
      <c r="P845" s="177"/>
      <c r="Q845" s="179"/>
      <c r="R845" s="179"/>
      <c r="T845" s="88">
        <v>5.05306435E-2</v>
      </c>
    </row>
    <row r="846" spans="1:20" ht="16.5" customHeight="1">
      <c r="A846" s="178" t="s">
        <v>1073</v>
      </c>
      <c r="B846" s="178"/>
      <c r="C846" s="178"/>
      <c r="D846" s="178"/>
      <c r="E846" s="178"/>
      <c r="F846" s="178"/>
      <c r="G846" s="178"/>
      <c r="H846" s="179"/>
      <c r="I846" s="179"/>
      <c r="J846" s="179"/>
      <c r="K846" s="179"/>
      <c r="L846" s="180" t="s">
        <v>1074</v>
      </c>
      <c r="M846" s="180"/>
      <c r="N846" s="179"/>
      <c r="O846" s="179"/>
      <c r="P846" s="179"/>
      <c r="Q846" s="179"/>
      <c r="R846" s="179"/>
      <c r="T846" s="88">
        <v>5.05306435E-2</v>
      </c>
    </row>
    <row r="847" spans="1:20" ht="28.5" customHeight="1">
      <c r="A847" s="233" t="s">
        <v>1611</v>
      </c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T847" s="88">
        <v>5.05306435E-2</v>
      </c>
    </row>
    <row r="848" spans="1:20" ht="15" customHeight="1">
      <c r="A848" s="207"/>
      <c r="B848" s="207"/>
      <c r="C848" s="207"/>
      <c r="D848" s="207"/>
      <c r="E848" s="207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179"/>
      <c r="R848" s="179"/>
      <c r="T848" s="88">
        <v>5.05306435E-2</v>
      </c>
    </row>
    <row r="849" spans="1:20" ht="15.75" customHeight="1">
      <c r="A849" s="43" t="s">
        <v>1612</v>
      </c>
      <c r="B849" s="44" t="s">
        <v>3</v>
      </c>
      <c r="C849" s="43" t="s">
        <v>4</v>
      </c>
      <c r="D849" s="208" t="s">
        <v>5</v>
      </c>
      <c r="E849" s="209"/>
      <c r="F849" s="43" t="s">
        <v>1049</v>
      </c>
      <c r="G849" s="210"/>
      <c r="H849" s="211"/>
      <c r="I849" s="212"/>
      <c r="J849" s="215" t="s">
        <v>6</v>
      </c>
      <c r="K849" s="217"/>
      <c r="L849" s="44" t="s">
        <v>7</v>
      </c>
      <c r="M849" s="213" t="s">
        <v>8</v>
      </c>
      <c r="N849" s="214"/>
      <c r="O849" s="66"/>
      <c r="P849" s="44" t="s">
        <v>11</v>
      </c>
      <c r="Q849" s="228"/>
      <c r="R849" s="179"/>
      <c r="T849" s="88">
        <v>5.05306435E-2</v>
      </c>
    </row>
    <row r="850" spans="1:20" ht="15" customHeight="1">
      <c r="A850" s="47" t="s">
        <v>1051</v>
      </c>
      <c r="B850" s="48" t="s">
        <v>1613</v>
      </c>
      <c r="C850" s="47" t="s">
        <v>1053</v>
      </c>
      <c r="D850" s="190" t="s">
        <v>1614</v>
      </c>
      <c r="E850" s="191"/>
      <c r="F850" s="47" t="s">
        <v>1422</v>
      </c>
      <c r="G850" s="192"/>
      <c r="H850" s="193"/>
      <c r="I850" s="194"/>
      <c r="J850" s="195" t="s">
        <v>1085</v>
      </c>
      <c r="K850" s="196"/>
      <c r="L850" s="50">
        <v>1</v>
      </c>
      <c r="M850" s="197">
        <v>11.73</v>
      </c>
      <c r="N850" s="198"/>
      <c r="O850" s="64">
        <f>M850-(M850*T850)</f>
        <v>11.137275551745001</v>
      </c>
      <c r="P850" s="64">
        <f>SUM(P851:P856)</f>
        <v>11.135860842403813</v>
      </c>
      <c r="Q850" s="228"/>
      <c r="R850" s="179"/>
      <c r="T850" s="88">
        <v>5.05306435E-2</v>
      </c>
    </row>
    <row r="851" spans="1:20" ht="14.25" customHeight="1">
      <c r="A851" s="52" t="s">
        <v>1057</v>
      </c>
      <c r="B851" s="53">
        <v>88247</v>
      </c>
      <c r="C851" s="52" t="s">
        <v>1058</v>
      </c>
      <c r="D851" s="199" t="s">
        <v>1062</v>
      </c>
      <c r="E851" s="200"/>
      <c r="F851" s="52" t="s">
        <v>1158</v>
      </c>
      <c r="G851" s="201"/>
      <c r="H851" s="202"/>
      <c r="I851" s="203"/>
      <c r="J851" s="204" t="s">
        <v>1061</v>
      </c>
      <c r="K851" s="205"/>
      <c r="L851" s="55">
        <v>0.10299999999999999</v>
      </c>
      <c r="M851" s="188">
        <v>22.63</v>
      </c>
      <c r="N851" s="189"/>
      <c r="O851" s="56">
        <f>M851-(M851*T851)</f>
        <v>21.486491537595001</v>
      </c>
      <c r="P851" s="57">
        <f t="shared" ref="P851:P853" si="152">O851*L851</f>
        <v>2.2131086283722849</v>
      </c>
      <c r="Q851" s="228"/>
      <c r="R851" s="179"/>
      <c r="T851" s="88">
        <v>5.05306435E-2</v>
      </c>
    </row>
    <row r="852" spans="1:20" ht="15" customHeight="1">
      <c r="A852" s="52" t="s">
        <v>1057</v>
      </c>
      <c r="B852" s="53">
        <v>88264</v>
      </c>
      <c r="C852" s="52" t="s">
        <v>1058</v>
      </c>
      <c r="D852" s="199" t="s">
        <v>1063</v>
      </c>
      <c r="E852" s="200"/>
      <c r="F852" s="52" t="s">
        <v>1158</v>
      </c>
      <c r="G852" s="201"/>
      <c r="H852" s="202"/>
      <c r="I852" s="203"/>
      <c r="J852" s="204" t="s">
        <v>1061</v>
      </c>
      <c r="K852" s="205"/>
      <c r="L852" s="55">
        <v>0.20599999999999999</v>
      </c>
      <c r="M852" s="188">
        <v>27.27</v>
      </c>
      <c r="N852" s="189"/>
      <c r="O852" s="56">
        <f t="shared" ref="O852:O853" si="153">M852-(M852*T852)</f>
        <v>25.892029351754999</v>
      </c>
      <c r="P852" s="57">
        <f t="shared" si="152"/>
        <v>5.3337580464615293</v>
      </c>
      <c r="Q852" s="228"/>
      <c r="R852" s="179"/>
      <c r="T852" s="88">
        <v>5.05306435E-2</v>
      </c>
    </row>
    <row r="853" spans="1:20" ht="14.45" customHeight="1">
      <c r="A853" s="58" t="s">
        <v>1064</v>
      </c>
      <c r="B853" s="62">
        <v>2375</v>
      </c>
      <c r="C853" s="58" t="s">
        <v>1150</v>
      </c>
      <c r="D853" s="181" t="s">
        <v>1615</v>
      </c>
      <c r="E853" s="182"/>
      <c r="F853" s="58" t="s">
        <v>1068</v>
      </c>
      <c r="G853" s="183"/>
      <c r="H853" s="184"/>
      <c r="I853" s="185"/>
      <c r="J853" s="186" t="s">
        <v>1085</v>
      </c>
      <c r="K853" s="187"/>
      <c r="L853" s="60">
        <v>1</v>
      </c>
      <c r="M853" s="221">
        <v>3.78</v>
      </c>
      <c r="N853" s="222"/>
      <c r="O853" s="56">
        <f t="shared" si="153"/>
        <v>3.5889941675699997</v>
      </c>
      <c r="P853" s="57">
        <f t="shared" si="152"/>
        <v>3.5889941675699997</v>
      </c>
      <c r="Q853" s="228"/>
      <c r="R853" s="179"/>
      <c r="T853" s="88">
        <v>5.05306435E-2</v>
      </c>
    </row>
    <row r="854" spans="1:20" ht="14.25" customHeight="1">
      <c r="A854" s="174" t="s">
        <v>1070</v>
      </c>
      <c r="B854" s="174"/>
      <c r="C854" s="174"/>
      <c r="D854" s="174"/>
      <c r="E854" s="174"/>
      <c r="F854" s="174"/>
      <c r="G854" s="174"/>
      <c r="H854" s="175" t="s">
        <v>1071</v>
      </c>
      <c r="I854" s="175"/>
      <c r="J854" s="175"/>
      <c r="K854" s="175"/>
      <c r="L854" s="176">
        <v>0</v>
      </c>
      <c r="M854" s="176"/>
      <c r="N854" s="177" t="s">
        <v>1072</v>
      </c>
      <c r="O854" s="177"/>
      <c r="P854" s="177"/>
      <c r="Q854" s="179"/>
      <c r="R854" s="179"/>
      <c r="T854" s="88">
        <v>5.05306435E-2</v>
      </c>
    </row>
    <row r="855" spans="1:20" ht="16.5" customHeight="1">
      <c r="A855" s="178" t="s">
        <v>1073</v>
      </c>
      <c r="B855" s="178"/>
      <c r="C855" s="178"/>
      <c r="D855" s="178"/>
      <c r="E855" s="178"/>
      <c r="F855" s="178"/>
      <c r="G855" s="178"/>
      <c r="H855" s="179"/>
      <c r="I855" s="179"/>
      <c r="J855" s="179"/>
      <c r="K855" s="179"/>
      <c r="L855" s="180" t="s">
        <v>1074</v>
      </c>
      <c r="M855" s="180"/>
      <c r="N855" s="179"/>
      <c r="O855" s="179"/>
      <c r="P855" s="179"/>
      <c r="Q855" s="179"/>
      <c r="R855" s="179"/>
      <c r="T855" s="88">
        <v>5.05306435E-2</v>
      </c>
    </row>
    <row r="856" spans="1:20" ht="28.5" customHeight="1">
      <c r="A856" s="233" t="s">
        <v>1616</v>
      </c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T856" s="88">
        <v>5.05306435E-2</v>
      </c>
    </row>
    <row r="857" spans="1:20" ht="15" customHeight="1">
      <c r="A857" s="207"/>
      <c r="B857" s="207"/>
      <c r="C857" s="207"/>
      <c r="D857" s="207"/>
      <c r="E857" s="207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179"/>
      <c r="R857" s="179"/>
      <c r="T857" s="88">
        <v>5.05306435E-2</v>
      </c>
    </row>
    <row r="858" spans="1:20" ht="15.75" customHeight="1">
      <c r="A858" s="43" t="s">
        <v>1617</v>
      </c>
      <c r="B858" s="44" t="s">
        <v>3</v>
      </c>
      <c r="C858" s="43" t="s">
        <v>4</v>
      </c>
      <c r="D858" s="208" t="s">
        <v>5</v>
      </c>
      <c r="E858" s="209"/>
      <c r="F858" s="43" t="s">
        <v>1049</v>
      </c>
      <c r="G858" s="210"/>
      <c r="H858" s="211"/>
      <c r="I858" s="212"/>
      <c r="J858" s="215" t="s">
        <v>6</v>
      </c>
      <c r="K858" s="217"/>
      <c r="L858" s="44" t="s">
        <v>7</v>
      </c>
      <c r="M858" s="213" t="s">
        <v>8</v>
      </c>
      <c r="N858" s="214"/>
      <c r="O858" s="66"/>
      <c r="P858" s="44" t="s">
        <v>11</v>
      </c>
      <c r="Q858" s="228"/>
      <c r="R858" s="179"/>
      <c r="T858" s="88">
        <v>5.05306435E-2</v>
      </c>
    </row>
    <row r="859" spans="1:20" ht="15" customHeight="1">
      <c r="A859" s="47" t="s">
        <v>1051</v>
      </c>
      <c r="B859" s="48" t="s">
        <v>1618</v>
      </c>
      <c r="C859" s="47" t="s">
        <v>1053</v>
      </c>
      <c r="D859" s="190" t="s">
        <v>1619</v>
      </c>
      <c r="E859" s="191"/>
      <c r="F859" s="47" t="s">
        <v>1422</v>
      </c>
      <c r="G859" s="192"/>
      <c r="H859" s="193"/>
      <c r="I859" s="194"/>
      <c r="J859" s="195" t="s">
        <v>1085</v>
      </c>
      <c r="K859" s="196"/>
      <c r="L859" s="50">
        <v>1</v>
      </c>
      <c r="M859" s="197">
        <v>2.82</v>
      </c>
      <c r="N859" s="198"/>
      <c r="O859" s="64">
        <f>M859-(M859*T859)</f>
        <v>2.6775035853299998</v>
      </c>
      <c r="P859" s="64">
        <f>SUM(P860:P865)</f>
        <v>2.6762692751665496</v>
      </c>
      <c r="Q859" s="228"/>
      <c r="R859" s="179"/>
      <c r="T859" s="88">
        <v>5.05306435E-2</v>
      </c>
    </row>
    <row r="860" spans="1:20" ht="15" customHeight="1">
      <c r="A860" s="52" t="s">
        <v>1057</v>
      </c>
      <c r="B860" s="53">
        <v>88247</v>
      </c>
      <c r="C860" s="52" t="s">
        <v>1058</v>
      </c>
      <c r="D860" s="199" t="s">
        <v>1062</v>
      </c>
      <c r="E860" s="200"/>
      <c r="F860" s="52" t="s">
        <v>1158</v>
      </c>
      <c r="G860" s="201"/>
      <c r="H860" s="202"/>
      <c r="I860" s="203"/>
      <c r="J860" s="204" t="s">
        <v>1061</v>
      </c>
      <c r="K860" s="205"/>
      <c r="L860" s="55">
        <v>1.2999999999999999E-2</v>
      </c>
      <c r="M860" s="188">
        <v>22.63</v>
      </c>
      <c r="N860" s="189"/>
      <c r="O860" s="56">
        <f>M860-(M860*T860)</f>
        <v>21.486491537595001</v>
      </c>
      <c r="P860" s="57">
        <f t="shared" ref="P860:P862" si="154">O860*L860</f>
        <v>0.27932438998873499</v>
      </c>
      <c r="Q860" s="228"/>
      <c r="R860" s="179"/>
      <c r="T860" s="88">
        <v>5.05306435E-2</v>
      </c>
    </row>
    <row r="861" spans="1:20" ht="14.25" customHeight="1">
      <c r="A861" s="52" t="s">
        <v>1057</v>
      </c>
      <c r="B861" s="53">
        <v>88264</v>
      </c>
      <c r="C861" s="52" t="s">
        <v>1058</v>
      </c>
      <c r="D861" s="199" t="s">
        <v>1063</v>
      </c>
      <c r="E861" s="200"/>
      <c r="F861" s="52" t="s">
        <v>1158</v>
      </c>
      <c r="G861" s="201"/>
      <c r="H861" s="202"/>
      <c r="I861" s="203"/>
      <c r="J861" s="204" t="s">
        <v>1061</v>
      </c>
      <c r="K861" s="205"/>
      <c r="L861" s="55">
        <v>1.2999999999999999E-2</v>
      </c>
      <c r="M861" s="188">
        <v>27.27</v>
      </c>
      <c r="N861" s="189"/>
      <c r="O861" s="56">
        <f t="shared" ref="O861:O862" si="155">M861-(M861*T861)</f>
        <v>25.892029351754999</v>
      </c>
      <c r="P861" s="57">
        <f t="shared" si="154"/>
        <v>0.33659638157281496</v>
      </c>
      <c r="Q861" s="228"/>
      <c r="R861" s="179"/>
      <c r="T861" s="88">
        <v>5.05306435E-2</v>
      </c>
    </row>
    <row r="862" spans="1:20" ht="15" customHeight="1">
      <c r="A862" s="58" t="s">
        <v>1064</v>
      </c>
      <c r="B862" s="62">
        <v>3563</v>
      </c>
      <c r="C862" s="58" t="s">
        <v>1150</v>
      </c>
      <c r="D862" s="181" t="s">
        <v>1620</v>
      </c>
      <c r="E862" s="182"/>
      <c r="F862" s="58" t="s">
        <v>1068</v>
      </c>
      <c r="G862" s="183"/>
      <c r="H862" s="184"/>
      <c r="I862" s="185"/>
      <c r="J862" s="186" t="s">
        <v>1085</v>
      </c>
      <c r="K862" s="187"/>
      <c r="L862" s="60">
        <v>1</v>
      </c>
      <c r="M862" s="221">
        <v>2.17</v>
      </c>
      <c r="N862" s="222"/>
      <c r="O862" s="56">
        <f t="shared" si="155"/>
        <v>2.0603485036049998</v>
      </c>
      <c r="P862" s="57">
        <f t="shared" si="154"/>
        <v>2.0603485036049998</v>
      </c>
      <c r="Q862" s="228"/>
      <c r="R862" s="179"/>
      <c r="T862" s="88">
        <v>5.05306435E-2</v>
      </c>
    </row>
    <row r="863" spans="1:20" ht="14.25" customHeight="1">
      <c r="A863" s="174" t="s">
        <v>1070</v>
      </c>
      <c r="B863" s="174"/>
      <c r="C863" s="174"/>
      <c r="D863" s="174"/>
      <c r="E863" s="174"/>
      <c r="F863" s="174"/>
      <c r="G863" s="174"/>
      <c r="H863" s="175" t="s">
        <v>1071</v>
      </c>
      <c r="I863" s="175"/>
      <c r="J863" s="175"/>
      <c r="K863" s="175"/>
      <c r="L863" s="176">
        <v>0</v>
      </c>
      <c r="M863" s="176"/>
      <c r="N863" s="177" t="s">
        <v>1072</v>
      </c>
      <c r="O863" s="177"/>
      <c r="P863" s="177"/>
      <c r="Q863" s="179"/>
      <c r="R863" s="179"/>
      <c r="T863" s="88">
        <v>5.05306435E-2</v>
      </c>
    </row>
    <row r="864" spans="1:20" ht="17.45" customHeight="1">
      <c r="A864" s="178" t="s">
        <v>1073</v>
      </c>
      <c r="B864" s="178"/>
      <c r="C864" s="178"/>
      <c r="D864" s="178"/>
      <c r="E864" s="178"/>
      <c r="F864" s="178"/>
      <c r="G864" s="178"/>
      <c r="H864" s="179"/>
      <c r="I864" s="179"/>
      <c r="J864" s="179"/>
      <c r="K864" s="179"/>
      <c r="L864" s="180" t="s">
        <v>1074</v>
      </c>
      <c r="M864" s="180"/>
      <c r="N864" s="179"/>
      <c r="O864" s="179"/>
      <c r="P864" s="179"/>
      <c r="Q864" s="179"/>
      <c r="R864" s="179"/>
      <c r="T864" s="88">
        <v>5.05306435E-2</v>
      </c>
    </row>
    <row r="865" spans="1:20" ht="28.5" customHeight="1">
      <c r="A865" s="233" t="s">
        <v>1621</v>
      </c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T865" s="88">
        <v>5.05306435E-2</v>
      </c>
    </row>
    <row r="866" spans="1:20" ht="14.25" customHeight="1">
      <c r="A866" s="207"/>
      <c r="B866" s="207"/>
      <c r="C866" s="207"/>
      <c r="D866" s="207"/>
      <c r="E866" s="207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179"/>
      <c r="R866" s="179"/>
      <c r="T866" s="88">
        <v>5.05306435E-2</v>
      </c>
    </row>
    <row r="867" spans="1:20" ht="15.75" customHeight="1">
      <c r="A867" s="71">
        <v>40194</v>
      </c>
      <c r="B867" s="44" t="s">
        <v>3</v>
      </c>
      <c r="C867" s="43" t="s">
        <v>4</v>
      </c>
      <c r="D867" s="208" t="s">
        <v>5</v>
      </c>
      <c r="E867" s="209"/>
      <c r="F867" s="43" t="s">
        <v>1049</v>
      </c>
      <c r="G867" s="210"/>
      <c r="H867" s="211"/>
      <c r="I867" s="212"/>
      <c r="J867" s="215" t="s">
        <v>6</v>
      </c>
      <c r="K867" s="217"/>
      <c r="L867" s="44" t="s">
        <v>7</v>
      </c>
      <c r="M867" s="213" t="s">
        <v>8</v>
      </c>
      <c r="N867" s="214"/>
      <c r="O867" s="66"/>
      <c r="P867" s="44" t="s">
        <v>11</v>
      </c>
      <c r="Q867" s="228"/>
      <c r="R867" s="179"/>
      <c r="T867" s="88">
        <v>5.05306435E-2</v>
      </c>
    </row>
    <row r="868" spans="1:20" ht="14.25" customHeight="1">
      <c r="A868" s="47" t="s">
        <v>1051</v>
      </c>
      <c r="B868" s="48" t="s">
        <v>1622</v>
      </c>
      <c r="C868" s="47" t="s">
        <v>1053</v>
      </c>
      <c r="D868" s="190" t="s">
        <v>1623</v>
      </c>
      <c r="E868" s="191"/>
      <c r="F868" s="47" t="s">
        <v>1158</v>
      </c>
      <c r="G868" s="192"/>
      <c r="H868" s="193"/>
      <c r="I868" s="194"/>
      <c r="J868" s="195" t="s">
        <v>1085</v>
      </c>
      <c r="K868" s="196"/>
      <c r="L868" s="50">
        <v>1</v>
      </c>
      <c r="M868" s="197">
        <v>5.36</v>
      </c>
      <c r="N868" s="198"/>
      <c r="O868" s="64">
        <f>M868-(M868*T868)</f>
        <v>5.0891557508400007</v>
      </c>
      <c r="P868" s="64">
        <f>SUM(P869:P874)</f>
        <v>5.0871618651913497</v>
      </c>
      <c r="Q868" s="228"/>
      <c r="R868" s="179"/>
      <c r="T868" s="88">
        <v>5.05306435E-2</v>
      </c>
    </row>
    <row r="869" spans="1:20" ht="15" customHeight="1">
      <c r="A869" s="52" t="s">
        <v>1057</v>
      </c>
      <c r="B869" s="53">
        <v>88264</v>
      </c>
      <c r="C869" s="52" t="s">
        <v>1058</v>
      </c>
      <c r="D869" s="199" t="s">
        <v>1063</v>
      </c>
      <c r="E869" s="200"/>
      <c r="F869" s="52" t="s">
        <v>1158</v>
      </c>
      <c r="G869" s="201"/>
      <c r="H869" s="202"/>
      <c r="I869" s="203"/>
      <c r="J869" s="204" t="s">
        <v>1061</v>
      </c>
      <c r="K869" s="205"/>
      <c r="L869" s="55">
        <v>2.1000000000000001E-2</v>
      </c>
      <c r="M869" s="188">
        <v>27.27</v>
      </c>
      <c r="N869" s="189"/>
      <c r="O869" s="56">
        <f>M869-(M869*T869)</f>
        <v>25.892029351754999</v>
      </c>
      <c r="P869" s="57">
        <f t="shared" ref="P869:P871" si="156">O869*L869</f>
        <v>0.54373261638685499</v>
      </c>
      <c r="Q869" s="228"/>
      <c r="R869" s="179"/>
      <c r="T869" s="88">
        <v>5.05306435E-2</v>
      </c>
    </row>
    <row r="870" spans="1:20" ht="14.25" customHeight="1">
      <c r="A870" s="52" t="s">
        <v>1057</v>
      </c>
      <c r="B870" s="53">
        <v>88247</v>
      </c>
      <c r="C870" s="52" t="s">
        <v>1058</v>
      </c>
      <c r="D870" s="199" t="s">
        <v>1062</v>
      </c>
      <c r="E870" s="200"/>
      <c r="F870" s="52" t="s">
        <v>1158</v>
      </c>
      <c r="G870" s="201"/>
      <c r="H870" s="202"/>
      <c r="I870" s="203"/>
      <c r="J870" s="204" t="s">
        <v>1061</v>
      </c>
      <c r="K870" s="205"/>
      <c r="L870" s="55">
        <v>2.1000000000000001E-2</v>
      </c>
      <c r="M870" s="188">
        <v>22.63</v>
      </c>
      <c r="N870" s="189"/>
      <c r="O870" s="56">
        <f t="shared" ref="O870:O871" si="157">M870-(M870*T870)</f>
        <v>21.486491537595001</v>
      </c>
      <c r="P870" s="57">
        <f t="shared" si="156"/>
        <v>0.45121632228949504</v>
      </c>
      <c r="Q870" s="228"/>
      <c r="R870" s="179"/>
      <c r="T870" s="88">
        <v>5.05306435E-2</v>
      </c>
    </row>
    <row r="871" spans="1:20" ht="15" customHeight="1">
      <c r="A871" s="58" t="s">
        <v>1064</v>
      </c>
      <c r="B871" s="62">
        <v>36580</v>
      </c>
      <c r="C871" s="58" t="s">
        <v>1150</v>
      </c>
      <c r="D871" s="181" t="s">
        <v>1624</v>
      </c>
      <c r="E871" s="182"/>
      <c r="F871" s="58" t="s">
        <v>1068</v>
      </c>
      <c r="G871" s="183"/>
      <c r="H871" s="184"/>
      <c r="I871" s="185"/>
      <c r="J871" s="186" t="s">
        <v>1085</v>
      </c>
      <c r="K871" s="187"/>
      <c r="L871" s="60">
        <v>1</v>
      </c>
      <c r="M871" s="221">
        <v>4.3099999999999996</v>
      </c>
      <c r="N871" s="222"/>
      <c r="O871" s="56">
        <f t="shared" si="157"/>
        <v>4.0922129265149998</v>
      </c>
      <c r="P871" s="57">
        <f t="shared" si="156"/>
        <v>4.0922129265149998</v>
      </c>
      <c r="Q871" s="228"/>
      <c r="R871" s="179"/>
      <c r="T871" s="88">
        <v>5.05306435E-2</v>
      </c>
    </row>
    <row r="872" spans="1:20" ht="14.25" customHeight="1">
      <c r="A872" s="174" t="s">
        <v>1070</v>
      </c>
      <c r="B872" s="174"/>
      <c r="C872" s="174"/>
      <c r="D872" s="174"/>
      <c r="E872" s="174"/>
      <c r="F872" s="174"/>
      <c r="G872" s="174"/>
      <c r="H872" s="175" t="s">
        <v>1071</v>
      </c>
      <c r="I872" s="175"/>
      <c r="J872" s="175"/>
      <c r="K872" s="175"/>
      <c r="L872" s="176">
        <v>0</v>
      </c>
      <c r="M872" s="176"/>
      <c r="N872" s="177" t="s">
        <v>1072</v>
      </c>
      <c r="O872" s="177"/>
      <c r="P872" s="177"/>
      <c r="Q872" s="179"/>
      <c r="R872" s="179"/>
      <c r="T872" s="88">
        <v>5.05306435E-2</v>
      </c>
    </row>
    <row r="873" spans="1:20" ht="16.5" customHeight="1">
      <c r="A873" s="178" t="s">
        <v>1073</v>
      </c>
      <c r="B873" s="178"/>
      <c r="C873" s="178"/>
      <c r="D873" s="178"/>
      <c r="E873" s="178"/>
      <c r="F873" s="178"/>
      <c r="G873" s="178"/>
      <c r="H873" s="179"/>
      <c r="I873" s="179"/>
      <c r="J873" s="179"/>
      <c r="K873" s="179"/>
      <c r="L873" s="180" t="s">
        <v>1074</v>
      </c>
      <c r="M873" s="180"/>
      <c r="N873" s="179"/>
      <c r="O873" s="179"/>
      <c r="P873" s="179"/>
      <c r="Q873" s="179"/>
      <c r="R873" s="179"/>
      <c r="T873" s="88">
        <v>5.05306435E-2</v>
      </c>
    </row>
    <row r="874" spans="1:20" ht="28.5" customHeight="1">
      <c r="A874" s="233" t="s">
        <v>1625</v>
      </c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T874" s="88">
        <v>5.05306435E-2</v>
      </c>
    </row>
    <row r="875" spans="1:20" ht="14.25" customHeight="1">
      <c r="A875" s="207"/>
      <c r="B875" s="207"/>
      <c r="C875" s="207"/>
      <c r="D875" s="207"/>
      <c r="E875" s="207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179"/>
      <c r="R875" s="179"/>
      <c r="T875" s="88">
        <v>5.05306435E-2</v>
      </c>
    </row>
    <row r="876" spans="1:20" ht="15.75" customHeight="1">
      <c r="A876" s="71">
        <v>40559</v>
      </c>
      <c r="B876" s="44" t="s">
        <v>3</v>
      </c>
      <c r="C876" s="43" t="s">
        <v>4</v>
      </c>
      <c r="D876" s="208" t="s">
        <v>5</v>
      </c>
      <c r="E876" s="209"/>
      <c r="F876" s="43" t="s">
        <v>1049</v>
      </c>
      <c r="G876" s="210"/>
      <c r="H876" s="211"/>
      <c r="I876" s="212"/>
      <c r="J876" s="215" t="s">
        <v>6</v>
      </c>
      <c r="K876" s="217"/>
      <c r="L876" s="44" t="s">
        <v>7</v>
      </c>
      <c r="M876" s="213" t="s">
        <v>8</v>
      </c>
      <c r="N876" s="214"/>
      <c r="O876" s="66"/>
      <c r="P876" s="44" t="s">
        <v>11</v>
      </c>
      <c r="Q876" s="228"/>
      <c r="R876" s="179"/>
      <c r="T876" s="88">
        <v>5.05306435E-2</v>
      </c>
    </row>
    <row r="877" spans="1:20" ht="15" customHeight="1">
      <c r="A877" s="47" t="s">
        <v>1051</v>
      </c>
      <c r="B877" s="48" t="s">
        <v>1626</v>
      </c>
      <c r="C877" s="47" t="s">
        <v>1053</v>
      </c>
      <c r="D877" s="190" t="s">
        <v>1627</v>
      </c>
      <c r="E877" s="191"/>
      <c r="F877" s="47" t="s">
        <v>1628</v>
      </c>
      <c r="G877" s="192"/>
      <c r="H877" s="193"/>
      <c r="I877" s="194"/>
      <c r="J877" s="195" t="s">
        <v>1107</v>
      </c>
      <c r="K877" s="196"/>
      <c r="L877" s="50">
        <v>1</v>
      </c>
      <c r="M877" s="197">
        <v>19.71</v>
      </c>
      <c r="N877" s="198"/>
      <c r="O877" s="64">
        <f>M877-(M877*T877)</f>
        <v>18.714041016614999</v>
      </c>
      <c r="P877" s="64">
        <f>SUM(P878:P883)</f>
        <v>18.713186494194151</v>
      </c>
      <c r="Q877" s="228"/>
      <c r="R877" s="179"/>
      <c r="T877" s="88">
        <v>5.05306435E-2</v>
      </c>
    </row>
    <row r="878" spans="1:20" ht="14.25" customHeight="1">
      <c r="A878" s="52" t="s">
        <v>1057</v>
      </c>
      <c r="B878" s="53">
        <v>88264</v>
      </c>
      <c r="C878" s="52" t="s">
        <v>1058</v>
      </c>
      <c r="D878" s="199" t="s">
        <v>1063</v>
      </c>
      <c r="E878" s="200"/>
      <c r="F878" s="52" t="s">
        <v>1158</v>
      </c>
      <c r="G878" s="201"/>
      <c r="H878" s="202"/>
      <c r="I878" s="203"/>
      <c r="J878" s="204" t="s">
        <v>1061</v>
      </c>
      <c r="K878" s="205"/>
      <c r="L878" s="55">
        <v>0.309</v>
      </c>
      <c r="M878" s="188">
        <v>27.27</v>
      </c>
      <c r="N878" s="189"/>
      <c r="O878" s="56">
        <f>M878-(M878*T878)</f>
        <v>25.892029351754999</v>
      </c>
      <c r="P878" s="57">
        <f t="shared" ref="P878:P880" si="158">O878*L878</f>
        <v>8.0006370696922939</v>
      </c>
      <c r="Q878" s="228"/>
      <c r="R878" s="179"/>
      <c r="T878" s="88">
        <v>5.05306435E-2</v>
      </c>
    </row>
    <row r="879" spans="1:20" ht="15" customHeight="1">
      <c r="A879" s="52" t="s">
        <v>1057</v>
      </c>
      <c r="B879" s="53">
        <v>88247</v>
      </c>
      <c r="C879" s="52" t="s">
        <v>1058</v>
      </c>
      <c r="D879" s="199" t="s">
        <v>1062</v>
      </c>
      <c r="E879" s="200"/>
      <c r="F879" s="52" t="s">
        <v>1158</v>
      </c>
      <c r="G879" s="201"/>
      <c r="H879" s="202"/>
      <c r="I879" s="203"/>
      <c r="J879" s="204" t="s">
        <v>1061</v>
      </c>
      <c r="K879" s="205"/>
      <c r="L879" s="55">
        <v>0.309</v>
      </c>
      <c r="M879" s="188">
        <v>22.63</v>
      </c>
      <c r="N879" s="189"/>
      <c r="O879" s="56">
        <f t="shared" ref="O879:O880" si="159">M879-(M879*T879)</f>
        <v>21.486491537595001</v>
      </c>
      <c r="P879" s="57">
        <f t="shared" si="158"/>
        <v>6.6393258851168548</v>
      </c>
      <c r="Q879" s="228"/>
      <c r="R879" s="179"/>
      <c r="T879" s="88">
        <v>5.05306435E-2</v>
      </c>
    </row>
    <row r="880" spans="1:20" ht="14.45" customHeight="1">
      <c r="A880" s="58" t="s">
        <v>1064</v>
      </c>
      <c r="B880" s="62">
        <v>39996</v>
      </c>
      <c r="C880" s="58" t="s">
        <v>1058</v>
      </c>
      <c r="D880" s="181" t="s">
        <v>1629</v>
      </c>
      <c r="E880" s="182"/>
      <c r="F880" s="58" t="s">
        <v>1068</v>
      </c>
      <c r="G880" s="183"/>
      <c r="H880" s="184"/>
      <c r="I880" s="185"/>
      <c r="J880" s="186" t="s">
        <v>1107</v>
      </c>
      <c r="K880" s="187"/>
      <c r="L880" s="60">
        <v>1</v>
      </c>
      <c r="M880" s="188">
        <v>4.29</v>
      </c>
      <c r="N880" s="189"/>
      <c r="O880" s="56">
        <f t="shared" si="159"/>
        <v>4.0732235393850003</v>
      </c>
      <c r="P880" s="57">
        <f t="shared" si="158"/>
        <v>4.0732235393850003</v>
      </c>
      <c r="Q880" s="228"/>
      <c r="R880" s="179"/>
      <c r="T880" s="88">
        <v>5.05306435E-2</v>
      </c>
    </row>
    <row r="881" spans="1:20" ht="14.25" customHeight="1">
      <c r="A881" s="174" t="s">
        <v>1070</v>
      </c>
      <c r="B881" s="174"/>
      <c r="C881" s="174"/>
      <c r="D881" s="174"/>
      <c r="E881" s="174"/>
      <c r="F881" s="174"/>
      <c r="G881" s="174"/>
      <c r="H881" s="175" t="s">
        <v>1071</v>
      </c>
      <c r="I881" s="175"/>
      <c r="J881" s="175"/>
      <c r="K881" s="175"/>
      <c r="L881" s="176">
        <v>0</v>
      </c>
      <c r="M881" s="176"/>
      <c r="N881" s="177" t="s">
        <v>1072</v>
      </c>
      <c r="O881" s="177"/>
      <c r="P881" s="177"/>
      <c r="Q881" s="179"/>
      <c r="R881" s="179"/>
      <c r="T881" s="88">
        <v>5.05306435E-2</v>
      </c>
    </row>
    <row r="882" spans="1:20" ht="16.5" customHeight="1">
      <c r="A882" s="178" t="s">
        <v>1073</v>
      </c>
      <c r="B882" s="178"/>
      <c r="C882" s="178"/>
      <c r="D882" s="178"/>
      <c r="E882" s="178"/>
      <c r="F882" s="178"/>
      <c r="G882" s="178"/>
      <c r="H882" s="179"/>
      <c r="I882" s="179"/>
      <c r="J882" s="179"/>
      <c r="K882" s="179"/>
      <c r="L882" s="180" t="s">
        <v>1074</v>
      </c>
      <c r="M882" s="180"/>
      <c r="N882" s="179"/>
      <c r="O882" s="179"/>
      <c r="P882" s="179"/>
      <c r="Q882" s="179"/>
      <c r="R882" s="179"/>
      <c r="T882" s="88">
        <v>5.05306435E-2</v>
      </c>
    </row>
    <row r="883" spans="1:20" ht="28.5" customHeight="1">
      <c r="A883" s="233" t="s">
        <v>1630</v>
      </c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T883" s="88">
        <v>5.05306435E-2</v>
      </c>
    </row>
    <row r="884" spans="1:20" ht="15" customHeight="1">
      <c r="A884" s="207"/>
      <c r="B884" s="207"/>
      <c r="C884" s="207"/>
      <c r="D884" s="207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179"/>
      <c r="R884" s="179"/>
      <c r="T884" s="88">
        <v>5.05306435E-2</v>
      </c>
    </row>
    <row r="885" spans="1:20" ht="15.75" customHeight="1">
      <c r="A885" s="71">
        <v>44212</v>
      </c>
      <c r="B885" s="44" t="s">
        <v>3</v>
      </c>
      <c r="C885" s="43" t="s">
        <v>4</v>
      </c>
      <c r="D885" s="208" t="s">
        <v>5</v>
      </c>
      <c r="E885" s="209"/>
      <c r="F885" s="43" t="s">
        <v>1049</v>
      </c>
      <c r="G885" s="210"/>
      <c r="H885" s="211"/>
      <c r="I885" s="212"/>
      <c r="J885" s="215" t="s">
        <v>6</v>
      </c>
      <c r="K885" s="217"/>
      <c r="L885" s="44" t="s">
        <v>7</v>
      </c>
      <c r="M885" s="213" t="s">
        <v>8</v>
      </c>
      <c r="N885" s="214"/>
      <c r="O885" s="66"/>
      <c r="P885" s="44" t="s">
        <v>11</v>
      </c>
      <c r="Q885" s="228"/>
      <c r="R885" s="179"/>
      <c r="T885" s="88">
        <v>5.05306435E-2</v>
      </c>
    </row>
    <row r="886" spans="1:20" ht="15" customHeight="1">
      <c r="A886" s="47" t="s">
        <v>1051</v>
      </c>
      <c r="B886" s="48" t="s">
        <v>1631</v>
      </c>
      <c r="C886" s="47" t="s">
        <v>1053</v>
      </c>
      <c r="D886" s="190" t="s">
        <v>1632</v>
      </c>
      <c r="E886" s="191"/>
      <c r="F886" s="47" t="s">
        <v>1628</v>
      </c>
      <c r="G886" s="192"/>
      <c r="H886" s="193"/>
      <c r="I886" s="194"/>
      <c r="J886" s="195" t="s">
        <v>1085</v>
      </c>
      <c r="K886" s="196"/>
      <c r="L886" s="50">
        <v>1</v>
      </c>
      <c r="M886" s="231">
        <v>115.96</v>
      </c>
      <c r="N886" s="232"/>
      <c r="O886" s="64">
        <f>M886-(M886*T886)</f>
        <v>110.10046657973999</v>
      </c>
      <c r="P886" s="64">
        <f>SUM(P887:P892)</f>
        <v>110.09818785328439</v>
      </c>
      <c r="Q886" s="228"/>
      <c r="R886" s="179"/>
      <c r="T886" s="88">
        <v>5.05306435E-2</v>
      </c>
    </row>
    <row r="887" spans="1:20" ht="14.25" customHeight="1">
      <c r="A887" s="52" t="s">
        <v>1057</v>
      </c>
      <c r="B887" s="53">
        <v>88264</v>
      </c>
      <c r="C887" s="52" t="s">
        <v>1058</v>
      </c>
      <c r="D887" s="199" t="s">
        <v>1063</v>
      </c>
      <c r="E887" s="200"/>
      <c r="F887" s="52" t="s">
        <v>1158</v>
      </c>
      <c r="G887" s="201"/>
      <c r="H887" s="202"/>
      <c r="I887" s="203"/>
      <c r="J887" s="204" t="s">
        <v>1061</v>
      </c>
      <c r="K887" s="205"/>
      <c r="L887" s="55">
        <v>1.4239999999999999</v>
      </c>
      <c r="M887" s="188">
        <v>27.27</v>
      </c>
      <c r="N887" s="189"/>
      <c r="O887" s="56">
        <f>M887-(M887*T887)</f>
        <v>25.892029351754999</v>
      </c>
      <c r="P887" s="57">
        <f t="shared" ref="P887:P889" si="160">O887*L887</f>
        <v>36.870249796899117</v>
      </c>
      <c r="Q887" s="228"/>
      <c r="R887" s="179"/>
      <c r="T887" s="88">
        <v>5.05306435E-2</v>
      </c>
    </row>
    <row r="888" spans="1:20" ht="15" customHeight="1">
      <c r="A888" s="52" t="s">
        <v>1057</v>
      </c>
      <c r="B888" s="53">
        <v>88247</v>
      </c>
      <c r="C888" s="52" t="s">
        <v>1058</v>
      </c>
      <c r="D888" s="199" t="s">
        <v>1062</v>
      </c>
      <c r="E888" s="200"/>
      <c r="F888" s="52" t="s">
        <v>1158</v>
      </c>
      <c r="G888" s="201"/>
      <c r="H888" s="202"/>
      <c r="I888" s="203"/>
      <c r="J888" s="204" t="s">
        <v>1061</v>
      </c>
      <c r="K888" s="205"/>
      <c r="L888" s="55">
        <v>1.4239999999999999</v>
      </c>
      <c r="M888" s="188">
        <v>22.63</v>
      </c>
      <c r="N888" s="189"/>
      <c r="O888" s="56">
        <f t="shared" ref="O888:O889" si="161">M888-(M888*T888)</f>
        <v>21.486491537595001</v>
      </c>
      <c r="P888" s="57">
        <f t="shared" si="160"/>
        <v>30.59676394953528</v>
      </c>
      <c r="Q888" s="228"/>
      <c r="R888" s="179"/>
      <c r="T888" s="88">
        <v>5.05306435E-2</v>
      </c>
    </row>
    <row r="889" spans="1:20" ht="14.85" customHeight="1">
      <c r="A889" s="58" t="s">
        <v>1064</v>
      </c>
      <c r="B889" s="62">
        <v>4949</v>
      </c>
      <c r="C889" s="58" t="s">
        <v>1150</v>
      </c>
      <c r="D889" s="181" t="s">
        <v>1633</v>
      </c>
      <c r="E889" s="182"/>
      <c r="F889" s="58" t="s">
        <v>1068</v>
      </c>
      <c r="G889" s="183"/>
      <c r="H889" s="184"/>
      <c r="I889" s="185"/>
      <c r="J889" s="186" t="s">
        <v>1085</v>
      </c>
      <c r="K889" s="187"/>
      <c r="L889" s="60">
        <v>1</v>
      </c>
      <c r="M889" s="221">
        <v>44.9</v>
      </c>
      <c r="N889" s="222"/>
      <c r="O889" s="56">
        <f t="shared" si="161"/>
        <v>42.631174106849997</v>
      </c>
      <c r="P889" s="57">
        <f t="shared" si="160"/>
        <v>42.631174106849997</v>
      </c>
      <c r="Q889" s="228"/>
      <c r="R889" s="179"/>
      <c r="T889" s="88">
        <v>5.05306435E-2</v>
      </c>
    </row>
    <row r="890" spans="1:20" ht="14.25" customHeight="1">
      <c r="A890" s="174" t="s">
        <v>1070</v>
      </c>
      <c r="B890" s="174"/>
      <c r="C890" s="174"/>
      <c r="D890" s="174"/>
      <c r="E890" s="174"/>
      <c r="F890" s="174"/>
      <c r="G890" s="174"/>
      <c r="H890" s="175" t="s">
        <v>1071</v>
      </c>
      <c r="I890" s="175"/>
      <c r="J890" s="175"/>
      <c r="K890" s="175"/>
      <c r="L890" s="176">
        <v>0</v>
      </c>
      <c r="M890" s="176"/>
      <c r="N890" s="177" t="s">
        <v>1072</v>
      </c>
      <c r="O890" s="177"/>
      <c r="P890" s="177"/>
      <c r="Q890" s="179"/>
      <c r="R890" s="179"/>
      <c r="T890" s="88">
        <v>5.05306435E-2</v>
      </c>
    </row>
    <row r="891" spans="1:20" ht="17.45" customHeight="1">
      <c r="A891" s="178" t="s">
        <v>1073</v>
      </c>
      <c r="B891" s="178"/>
      <c r="C891" s="178"/>
      <c r="D891" s="178"/>
      <c r="E891" s="178"/>
      <c r="F891" s="178"/>
      <c r="G891" s="178"/>
      <c r="H891" s="179"/>
      <c r="I891" s="179"/>
      <c r="J891" s="179"/>
      <c r="K891" s="179"/>
      <c r="L891" s="180" t="s">
        <v>1074</v>
      </c>
      <c r="M891" s="180"/>
      <c r="N891" s="179"/>
      <c r="O891" s="179"/>
      <c r="P891" s="179"/>
      <c r="Q891" s="179"/>
      <c r="R891" s="179"/>
      <c r="T891" s="88">
        <v>5.05306435E-2</v>
      </c>
    </row>
    <row r="892" spans="1:20" ht="28.5" customHeight="1">
      <c r="A892" s="233" t="s">
        <v>1634</v>
      </c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T892" s="88">
        <v>5.05306435E-2</v>
      </c>
    </row>
    <row r="893" spans="1:20" ht="14.25" customHeight="1">
      <c r="A893" s="207"/>
      <c r="B893" s="207"/>
      <c r="C893" s="207"/>
      <c r="D893" s="207"/>
      <c r="E893" s="207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179"/>
      <c r="R893" s="179"/>
      <c r="T893" s="88">
        <v>5.05306435E-2</v>
      </c>
    </row>
    <row r="894" spans="1:20" ht="15.75" customHeight="1">
      <c r="A894" s="71">
        <v>44577</v>
      </c>
      <c r="B894" s="44" t="s">
        <v>3</v>
      </c>
      <c r="C894" s="43" t="s">
        <v>4</v>
      </c>
      <c r="D894" s="208" t="s">
        <v>5</v>
      </c>
      <c r="E894" s="209"/>
      <c r="F894" s="43" t="s">
        <v>1049</v>
      </c>
      <c r="G894" s="210"/>
      <c r="H894" s="211"/>
      <c r="I894" s="212"/>
      <c r="J894" s="215" t="s">
        <v>6</v>
      </c>
      <c r="K894" s="217"/>
      <c r="L894" s="44" t="s">
        <v>7</v>
      </c>
      <c r="M894" s="213" t="s">
        <v>8</v>
      </c>
      <c r="N894" s="214"/>
      <c r="O894" s="66"/>
      <c r="P894" s="44" t="s">
        <v>11</v>
      </c>
      <c r="Q894" s="228"/>
      <c r="R894" s="179"/>
      <c r="T894" s="88">
        <v>5.05306435E-2</v>
      </c>
    </row>
    <row r="895" spans="1:20" ht="14.25" customHeight="1">
      <c r="A895" s="47" t="s">
        <v>1051</v>
      </c>
      <c r="B895" s="48" t="s">
        <v>1635</v>
      </c>
      <c r="C895" s="47" t="s">
        <v>1053</v>
      </c>
      <c r="D895" s="190" t="s">
        <v>1636</v>
      </c>
      <c r="E895" s="191"/>
      <c r="F895" s="47" t="s">
        <v>1628</v>
      </c>
      <c r="G895" s="192"/>
      <c r="H895" s="193"/>
      <c r="I895" s="194"/>
      <c r="J895" s="195" t="s">
        <v>1085</v>
      </c>
      <c r="K895" s="196"/>
      <c r="L895" s="50">
        <v>1</v>
      </c>
      <c r="M895" s="231">
        <v>245.18</v>
      </c>
      <c r="N895" s="232"/>
      <c r="O895" s="64">
        <f>M895-(M895*T895)</f>
        <v>232.79089682667001</v>
      </c>
      <c r="P895" s="64">
        <f>SUM(P896:P901)</f>
        <v>232.78643432069444</v>
      </c>
      <c r="Q895" s="228"/>
      <c r="R895" s="179"/>
      <c r="T895" s="88">
        <v>5.05306435E-2</v>
      </c>
    </row>
    <row r="896" spans="1:20" ht="15" customHeight="1">
      <c r="A896" s="52" t="s">
        <v>1057</v>
      </c>
      <c r="B896" s="53">
        <v>88264</v>
      </c>
      <c r="C896" s="52" t="s">
        <v>1058</v>
      </c>
      <c r="D896" s="199" t="s">
        <v>1063</v>
      </c>
      <c r="E896" s="200"/>
      <c r="F896" s="52" t="s">
        <v>1158</v>
      </c>
      <c r="G896" s="201"/>
      <c r="H896" s="202"/>
      <c r="I896" s="203"/>
      <c r="J896" s="204" t="s">
        <v>1061</v>
      </c>
      <c r="K896" s="205"/>
      <c r="L896" s="55">
        <v>1.5469999999999999</v>
      </c>
      <c r="M896" s="188">
        <v>27.27</v>
      </c>
      <c r="N896" s="189"/>
      <c r="O896" s="56">
        <f>M896-(M896*T896)</f>
        <v>25.892029351754999</v>
      </c>
      <c r="P896" s="57">
        <f t="shared" ref="P896:P898" si="162">O896*L896</f>
        <v>40.054969407164982</v>
      </c>
      <c r="Q896" s="228"/>
      <c r="R896" s="179"/>
      <c r="T896" s="88">
        <v>5.05306435E-2</v>
      </c>
    </row>
    <row r="897" spans="1:20" ht="14.25" customHeight="1">
      <c r="A897" s="52" t="s">
        <v>1057</v>
      </c>
      <c r="B897" s="53">
        <v>88247</v>
      </c>
      <c r="C897" s="52" t="s">
        <v>1058</v>
      </c>
      <c r="D897" s="199" t="s">
        <v>1062</v>
      </c>
      <c r="E897" s="200"/>
      <c r="F897" s="52" t="s">
        <v>1158</v>
      </c>
      <c r="G897" s="201"/>
      <c r="H897" s="202"/>
      <c r="I897" s="203"/>
      <c r="J897" s="204" t="s">
        <v>1061</v>
      </c>
      <c r="K897" s="205"/>
      <c r="L897" s="55">
        <v>1.5469999999999999</v>
      </c>
      <c r="M897" s="188">
        <v>22.63</v>
      </c>
      <c r="N897" s="189"/>
      <c r="O897" s="56">
        <f t="shared" ref="O897:O898" si="163">M897-(M897*T897)</f>
        <v>21.486491537595001</v>
      </c>
      <c r="P897" s="57">
        <f t="shared" si="162"/>
        <v>33.239602408659465</v>
      </c>
      <c r="Q897" s="228"/>
      <c r="R897" s="179"/>
      <c r="T897" s="88">
        <v>5.05306435E-2</v>
      </c>
    </row>
    <row r="898" spans="1:20" ht="15" customHeight="1">
      <c r="A898" s="58" t="s">
        <v>1064</v>
      </c>
      <c r="B898" s="62">
        <v>4948</v>
      </c>
      <c r="C898" s="58" t="s">
        <v>1150</v>
      </c>
      <c r="D898" s="181" t="s">
        <v>1637</v>
      </c>
      <c r="E898" s="182"/>
      <c r="F898" s="58" t="s">
        <v>1068</v>
      </c>
      <c r="G898" s="183"/>
      <c r="H898" s="184"/>
      <c r="I898" s="185"/>
      <c r="J898" s="186" t="s">
        <v>1085</v>
      </c>
      <c r="K898" s="187"/>
      <c r="L898" s="60">
        <v>1</v>
      </c>
      <c r="M898" s="229">
        <v>167.98</v>
      </c>
      <c r="N898" s="230"/>
      <c r="O898" s="56">
        <f t="shared" si="163"/>
        <v>159.49186250487</v>
      </c>
      <c r="P898" s="57">
        <f t="shared" si="162"/>
        <v>159.49186250487</v>
      </c>
      <c r="Q898" s="228"/>
      <c r="R898" s="179"/>
      <c r="T898" s="88">
        <v>5.05306435E-2</v>
      </c>
    </row>
    <row r="899" spans="1:20" ht="14.25" customHeight="1">
      <c r="A899" s="174" t="s">
        <v>1070</v>
      </c>
      <c r="B899" s="174"/>
      <c r="C899" s="174"/>
      <c r="D899" s="174"/>
      <c r="E899" s="174"/>
      <c r="F899" s="174"/>
      <c r="G899" s="174"/>
      <c r="H899" s="175" t="s">
        <v>1071</v>
      </c>
      <c r="I899" s="175"/>
      <c r="J899" s="175"/>
      <c r="K899" s="175"/>
      <c r="L899" s="176">
        <v>0</v>
      </c>
      <c r="M899" s="176"/>
      <c r="N899" s="177" t="s">
        <v>1072</v>
      </c>
      <c r="O899" s="177"/>
      <c r="P899" s="177"/>
      <c r="Q899" s="179"/>
      <c r="R899" s="179"/>
      <c r="T899" s="88">
        <v>5.05306435E-2</v>
      </c>
    </row>
    <row r="900" spans="1:20" ht="17.45" customHeight="1">
      <c r="A900" s="178" t="s">
        <v>1073</v>
      </c>
      <c r="B900" s="178"/>
      <c r="C900" s="178"/>
      <c r="D900" s="178"/>
      <c r="E900" s="178"/>
      <c r="F900" s="178"/>
      <c r="G900" s="178"/>
      <c r="H900" s="179"/>
      <c r="I900" s="179"/>
      <c r="J900" s="179"/>
      <c r="K900" s="179"/>
      <c r="L900" s="180" t="s">
        <v>1074</v>
      </c>
      <c r="M900" s="180"/>
      <c r="N900" s="179"/>
      <c r="O900" s="179"/>
      <c r="P900" s="179"/>
      <c r="Q900" s="179"/>
      <c r="R900" s="179"/>
      <c r="T900" s="88">
        <v>5.05306435E-2</v>
      </c>
    </row>
    <row r="901" spans="1:20" ht="28.5" customHeight="1">
      <c r="A901" s="233" t="s">
        <v>1638</v>
      </c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T901" s="88">
        <v>5.05306435E-2</v>
      </c>
    </row>
    <row r="902" spans="1:20" ht="14.25" customHeight="1">
      <c r="A902" s="207"/>
      <c r="B902" s="207"/>
      <c r="C902" s="207"/>
      <c r="D902" s="207"/>
      <c r="E902" s="207"/>
      <c r="F902" s="207"/>
      <c r="G902" s="207"/>
      <c r="H902" s="207"/>
      <c r="I902" s="207"/>
      <c r="J902" s="207"/>
      <c r="K902" s="207"/>
      <c r="L902" s="207"/>
      <c r="M902" s="207"/>
      <c r="N902" s="207"/>
      <c r="O902" s="207"/>
      <c r="P902" s="207"/>
      <c r="Q902" s="179"/>
      <c r="R902" s="179"/>
      <c r="T902" s="88">
        <v>5.05306435E-2</v>
      </c>
    </row>
    <row r="903" spans="1:20" ht="15.75" customHeight="1">
      <c r="A903" s="71">
        <v>46403</v>
      </c>
      <c r="B903" s="44" t="s">
        <v>3</v>
      </c>
      <c r="C903" s="43" t="s">
        <v>4</v>
      </c>
      <c r="D903" s="208" t="s">
        <v>5</v>
      </c>
      <c r="E903" s="209"/>
      <c r="F903" s="43" t="s">
        <v>1049</v>
      </c>
      <c r="G903" s="210"/>
      <c r="H903" s="211"/>
      <c r="I903" s="212"/>
      <c r="J903" s="215" t="s">
        <v>6</v>
      </c>
      <c r="K903" s="217"/>
      <c r="L903" s="44" t="s">
        <v>7</v>
      </c>
      <c r="M903" s="213" t="s">
        <v>8</v>
      </c>
      <c r="N903" s="214"/>
      <c r="O903" s="66"/>
      <c r="P903" s="44" t="s">
        <v>11</v>
      </c>
      <c r="Q903" s="228"/>
      <c r="R903" s="179"/>
      <c r="T903" s="88">
        <v>5.05306435E-2</v>
      </c>
    </row>
    <row r="904" spans="1:20" ht="14.25" customHeight="1">
      <c r="A904" s="47" t="s">
        <v>1051</v>
      </c>
      <c r="B904" s="48" t="s">
        <v>1639</v>
      </c>
      <c r="C904" s="47" t="s">
        <v>1053</v>
      </c>
      <c r="D904" s="190" t="s">
        <v>1640</v>
      </c>
      <c r="E904" s="191"/>
      <c r="F904" s="47" t="s">
        <v>1628</v>
      </c>
      <c r="G904" s="192"/>
      <c r="H904" s="193"/>
      <c r="I904" s="194"/>
      <c r="J904" s="195" t="s">
        <v>1085</v>
      </c>
      <c r="K904" s="196"/>
      <c r="L904" s="50">
        <v>1</v>
      </c>
      <c r="M904" s="197">
        <v>15.18</v>
      </c>
      <c r="N904" s="198"/>
      <c r="O904" s="64">
        <f>M904-(M904*T904)</f>
        <v>14.41294483167</v>
      </c>
      <c r="P904" s="64">
        <f>SUM(P905:P910)</f>
        <v>14.412565043927398</v>
      </c>
      <c r="Q904" s="228"/>
      <c r="R904" s="179"/>
      <c r="T904" s="88">
        <v>5.05306435E-2</v>
      </c>
    </row>
    <row r="905" spans="1:20" ht="15" customHeight="1">
      <c r="A905" s="52" t="s">
        <v>1057</v>
      </c>
      <c r="B905" s="53">
        <v>88247</v>
      </c>
      <c r="C905" s="52" t="s">
        <v>1058</v>
      </c>
      <c r="D905" s="199" t="s">
        <v>1062</v>
      </c>
      <c r="E905" s="200"/>
      <c r="F905" s="52" t="s">
        <v>1158</v>
      </c>
      <c r="G905" s="201"/>
      <c r="H905" s="202"/>
      <c r="I905" s="203"/>
      <c r="J905" s="204" t="s">
        <v>1061</v>
      </c>
      <c r="K905" s="205"/>
      <c r="L905" s="55">
        <v>0.20399999999999999</v>
      </c>
      <c r="M905" s="188">
        <v>22.63</v>
      </c>
      <c r="N905" s="189"/>
      <c r="O905" s="56">
        <f>M905-(M905*T905)</f>
        <v>21.486491537595001</v>
      </c>
      <c r="P905" s="57">
        <f t="shared" ref="P905:P907" si="164">O905*L905</f>
        <v>4.38324427366938</v>
      </c>
      <c r="Q905" s="228"/>
      <c r="R905" s="179"/>
      <c r="T905" s="88">
        <v>5.05306435E-2</v>
      </c>
    </row>
    <row r="906" spans="1:20" ht="14.25" customHeight="1">
      <c r="A906" s="52" t="s">
        <v>1057</v>
      </c>
      <c r="B906" s="53">
        <v>88264</v>
      </c>
      <c r="C906" s="52" t="s">
        <v>1058</v>
      </c>
      <c r="D906" s="199" t="s">
        <v>1063</v>
      </c>
      <c r="E906" s="200"/>
      <c r="F906" s="52" t="s">
        <v>1158</v>
      </c>
      <c r="G906" s="201"/>
      <c r="H906" s="202"/>
      <c r="I906" s="203"/>
      <c r="J906" s="204" t="s">
        <v>1061</v>
      </c>
      <c r="K906" s="205"/>
      <c r="L906" s="55">
        <v>0.20399999999999999</v>
      </c>
      <c r="M906" s="188">
        <v>27.27</v>
      </c>
      <c r="N906" s="189"/>
      <c r="O906" s="56">
        <f t="shared" ref="O906:O907" si="165">M906-(M906*T906)</f>
        <v>25.892029351754999</v>
      </c>
      <c r="P906" s="57">
        <f t="shared" si="164"/>
        <v>5.2819739877580192</v>
      </c>
      <c r="Q906" s="228"/>
      <c r="R906" s="179"/>
      <c r="T906" s="88">
        <v>5.05306435E-2</v>
      </c>
    </row>
    <row r="907" spans="1:20" ht="15.6" customHeight="1">
      <c r="A907" s="58" t="s">
        <v>1064</v>
      </c>
      <c r="B907" s="62">
        <v>3595</v>
      </c>
      <c r="C907" s="58" t="s">
        <v>1150</v>
      </c>
      <c r="D907" s="181" t="s">
        <v>1641</v>
      </c>
      <c r="E907" s="182"/>
      <c r="F907" s="58" t="s">
        <v>1068</v>
      </c>
      <c r="G907" s="183"/>
      <c r="H907" s="184"/>
      <c r="I907" s="185"/>
      <c r="J907" s="186" t="s">
        <v>1085</v>
      </c>
      <c r="K907" s="187"/>
      <c r="L907" s="60">
        <v>1</v>
      </c>
      <c r="M907" s="221">
        <v>5</v>
      </c>
      <c r="N907" s="222"/>
      <c r="O907" s="56">
        <f t="shared" si="165"/>
        <v>4.7473467825000002</v>
      </c>
      <c r="P907" s="57">
        <f t="shared" si="164"/>
        <v>4.7473467825000002</v>
      </c>
      <c r="Q907" s="228"/>
      <c r="R907" s="179"/>
      <c r="T907" s="88">
        <v>5.05306435E-2</v>
      </c>
    </row>
    <row r="908" spans="1:20" ht="14.25" customHeight="1">
      <c r="A908" s="246" t="s">
        <v>1256</v>
      </c>
      <c r="B908" s="246"/>
      <c r="C908" s="246"/>
      <c r="D908" s="246"/>
      <c r="E908" s="246"/>
      <c r="F908" s="246"/>
      <c r="G908" s="246"/>
      <c r="H908" s="246"/>
      <c r="I908" s="246"/>
      <c r="J908" s="246"/>
      <c r="K908" s="246"/>
      <c r="L908" s="246"/>
      <c r="M908" s="246"/>
      <c r="N908" s="246"/>
      <c r="O908" s="246"/>
      <c r="P908" s="246"/>
      <c r="Q908" s="246"/>
      <c r="R908" s="246"/>
      <c r="T908" s="88">
        <v>5.05306435E-2</v>
      </c>
    </row>
    <row r="909" spans="1:20" ht="45" customHeight="1">
      <c r="A909" s="233" t="s">
        <v>1257</v>
      </c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T909" s="88">
        <v>5.05306435E-2</v>
      </c>
    </row>
    <row r="910" spans="1:20" ht="14.25" customHeight="1">
      <c r="A910" s="180" t="s">
        <v>1642</v>
      </c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T910" s="88">
        <v>5.05306435E-2</v>
      </c>
    </row>
    <row r="911" spans="1:20" ht="14.25" customHeight="1">
      <c r="A911" s="207"/>
      <c r="B911" s="207"/>
      <c r="C911" s="207"/>
      <c r="D911" s="207"/>
      <c r="E911" s="207"/>
      <c r="F911" s="207"/>
      <c r="G911" s="207"/>
      <c r="H911" s="207"/>
      <c r="I911" s="207"/>
      <c r="J911" s="207"/>
      <c r="K911" s="207"/>
      <c r="L911" s="207"/>
      <c r="M911" s="207"/>
      <c r="N911" s="207"/>
      <c r="O911" s="207"/>
      <c r="P911" s="207"/>
      <c r="Q911" s="179"/>
      <c r="R911" s="179"/>
      <c r="T911" s="88">
        <v>5.05306435E-2</v>
      </c>
    </row>
    <row r="912" spans="1:20" ht="15.75" customHeight="1">
      <c r="A912" s="71">
        <v>46768</v>
      </c>
      <c r="B912" s="44" t="s">
        <v>3</v>
      </c>
      <c r="C912" s="43" t="s">
        <v>4</v>
      </c>
      <c r="D912" s="208" t="s">
        <v>5</v>
      </c>
      <c r="E912" s="209"/>
      <c r="F912" s="43" t="s">
        <v>1049</v>
      </c>
      <c r="G912" s="210"/>
      <c r="H912" s="211"/>
      <c r="I912" s="212"/>
      <c r="J912" s="215" t="s">
        <v>6</v>
      </c>
      <c r="K912" s="217"/>
      <c r="L912" s="44" t="s">
        <v>7</v>
      </c>
      <c r="M912" s="213" t="s">
        <v>8</v>
      </c>
      <c r="N912" s="214"/>
      <c r="O912" s="66"/>
      <c r="P912" s="44" t="s">
        <v>11</v>
      </c>
      <c r="Q912" s="228"/>
      <c r="R912" s="179"/>
      <c r="T912" s="88">
        <v>5.05306435E-2</v>
      </c>
    </row>
    <row r="913" spans="1:20" ht="14.25" customHeight="1">
      <c r="A913" s="47" t="s">
        <v>1051</v>
      </c>
      <c r="B913" s="48" t="s">
        <v>1643</v>
      </c>
      <c r="C913" s="47" t="s">
        <v>1053</v>
      </c>
      <c r="D913" s="190" t="s">
        <v>1644</v>
      </c>
      <c r="E913" s="191"/>
      <c r="F913" s="47" t="s">
        <v>1628</v>
      </c>
      <c r="G913" s="192"/>
      <c r="H913" s="193"/>
      <c r="I913" s="194"/>
      <c r="J913" s="195" t="s">
        <v>1085</v>
      </c>
      <c r="K913" s="196"/>
      <c r="L913" s="50">
        <v>1</v>
      </c>
      <c r="M913" s="197">
        <v>9.74</v>
      </c>
      <c r="N913" s="198"/>
      <c r="O913" s="64">
        <f>M913-(M913*T913)</f>
        <v>9.2478315323100002</v>
      </c>
      <c r="P913" s="64">
        <f>SUM(P914:P919)</f>
        <v>9.2431791324631494</v>
      </c>
      <c r="Q913" s="228"/>
      <c r="R913" s="179"/>
      <c r="T913" s="88">
        <v>5.05306435E-2</v>
      </c>
    </row>
    <row r="914" spans="1:20" ht="15" customHeight="1">
      <c r="A914" s="52" t="s">
        <v>1057</v>
      </c>
      <c r="B914" s="53">
        <v>88264</v>
      </c>
      <c r="C914" s="52" t="s">
        <v>1058</v>
      </c>
      <c r="D914" s="199" t="s">
        <v>1063</v>
      </c>
      <c r="E914" s="200"/>
      <c r="F914" s="52" t="s">
        <v>1158</v>
      </c>
      <c r="G914" s="201"/>
      <c r="H914" s="202"/>
      <c r="I914" s="203"/>
      <c r="J914" s="204" t="s">
        <v>1061</v>
      </c>
      <c r="K914" s="205"/>
      <c r="L914" s="55">
        <v>4.9000000000000002E-2</v>
      </c>
      <c r="M914" s="188">
        <v>27.27</v>
      </c>
      <c r="N914" s="189"/>
      <c r="O914" s="56">
        <f>M914-(M914*T914)</f>
        <v>25.892029351754999</v>
      </c>
      <c r="P914" s="57">
        <f t="shared" ref="P914:P916" si="166">O914*L914</f>
        <v>1.2687094382359949</v>
      </c>
      <c r="Q914" s="228"/>
      <c r="R914" s="179"/>
      <c r="T914" s="88">
        <v>5.05306435E-2</v>
      </c>
    </row>
    <row r="915" spans="1:20" ht="14.25" customHeight="1">
      <c r="A915" s="52" t="s">
        <v>1057</v>
      </c>
      <c r="B915" s="53">
        <v>88247</v>
      </c>
      <c r="C915" s="52" t="s">
        <v>1058</v>
      </c>
      <c r="D915" s="199" t="s">
        <v>1062</v>
      </c>
      <c r="E915" s="200"/>
      <c r="F915" s="52" t="s">
        <v>1158</v>
      </c>
      <c r="G915" s="201"/>
      <c r="H915" s="202"/>
      <c r="I915" s="203"/>
      <c r="J915" s="204" t="s">
        <v>1061</v>
      </c>
      <c r="K915" s="205"/>
      <c r="L915" s="55">
        <v>4.9000000000000002E-2</v>
      </c>
      <c r="M915" s="188">
        <v>22.63</v>
      </c>
      <c r="N915" s="189"/>
      <c r="O915" s="56">
        <f t="shared" ref="O915:O916" si="167">M915-(M915*T915)</f>
        <v>21.486491537595001</v>
      </c>
      <c r="P915" s="57">
        <f t="shared" si="166"/>
        <v>1.0528380853421551</v>
      </c>
      <c r="Q915" s="228"/>
      <c r="R915" s="179"/>
      <c r="T915" s="88">
        <v>5.05306435E-2</v>
      </c>
    </row>
    <row r="916" spans="1:20" ht="15" customHeight="1">
      <c r="A916" s="58" t="s">
        <v>1064</v>
      </c>
      <c r="B916" s="62">
        <v>34530</v>
      </c>
      <c r="C916" s="58" t="s">
        <v>1150</v>
      </c>
      <c r="D916" s="181" t="s">
        <v>1645</v>
      </c>
      <c r="E916" s="182"/>
      <c r="F916" s="58" t="s">
        <v>1068</v>
      </c>
      <c r="G916" s="183"/>
      <c r="H916" s="184"/>
      <c r="I916" s="185"/>
      <c r="J916" s="186" t="s">
        <v>1085</v>
      </c>
      <c r="K916" s="187"/>
      <c r="L916" s="60">
        <v>1</v>
      </c>
      <c r="M916" s="221">
        <v>7.29</v>
      </c>
      <c r="N916" s="222"/>
      <c r="O916" s="56">
        <f t="shared" si="167"/>
        <v>6.9216316088849998</v>
      </c>
      <c r="P916" s="57">
        <f t="shared" si="166"/>
        <v>6.9216316088849998</v>
      </c>
      <c r="Q916" s="228"/>
      <c r="R916" s="179"/>
      <c r="T916" s="88">
        <v>5.05306435E-2</v>
      </c>
    </row>
    <row r="917" spans="1:20" ht="14.25" customHeight="1">
      <c r="A917" s="174" t="s">
        <v>1070</v>
      </c>
      <c r="B917" s="174"/>
      <c r="C917" s="174"/>
      <c r="D917" s="174"/>
      <c r="E917" s="174"/>
      <c r="F917" s="174"/>
      <c r="G917" s="174"/>
      <c r="H917" s="175" t="s">
        <v>1071</v>
      </c>
      <c r="I917" s="175"/>
      <c r="J917" s="175"/>
      <c r="K917" s="175"/>
      <c r="L917" s="176">
        <v>0</v>
      </c>
      <c r="M917" s="176"/>
      <c r="N917" s="177" t="s">
        <v>1072</v>
      </c>
      <c r="O917" s="177"/>
      <c r="P917" s="177"/>
      <c r="Q917" s="179"/>
      <c r="R917" s="179"/>
      <c r="T917" s="88">
        <v>5.05306435E-2</v>
      </c>
    </row>
    <row r="918" spans="1:20" ht="16.5" customHeight="1">
      <c r="A918" s="178" t="s">
        <v>1073</v>
      </c>
      <c r="B918" s="178"/>
      <c r="C918" s="178"/>
      <c r="D918" s="178"/>
      <c r="E918" s="178"/>
      <c r="F918" s="178"/>
      <c r="G918" s="178"/>
      <c r="H918" s="179"/>
      <c r="I918" s="179"/>
      <c r="J918" s="179"/>
      <c r="K918" s="179"/>
      <c r="L918" s="180" t="s">
        <v>1074</v>
      </c>
      <c r="M918" s="180"/>
      <c r="N918" s="179"/>
      <c r="O918" s="179"/>
      <c r="P918" s="179"/>
      <c r="Q918" s="179"/>
      <c r="R918" s="179"/>
      <c r="T918" s="88">
        <v>5.05306435E-2</v>
      </c>
    </row>
    <row r="919" spans="1:20" ht="28.5" customHeight="1">
      <c r="A919" s="233" t="s">
        <v>1646</v>
      </c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T919" s="88">
        <v>5.05306435E-2</v>
      </c>
    </row>
    <row r="920" spans="1:20" ht="15" customHeight="1">
      <c r="A920" s="207"/>
      <c r="B920" s="207"/>
      <c r="C920" s="207"/>
      <c r="D920" s="207"/>
      <c r="E920" s="207"/>
      <c r="F920" s="207"/>
      <c r="G920" s="207"/>
      <c r="H920" s="207"/>
      <c r="I920" s="207"/>
      <c r="J920" s="207"/>
      <c r="K920" s="207"/>
      <c r="L920" s="207"/>
      <c r="M920" s="207"/>
      <c r="N920" s="207"/>
      <c r="O920" s="207"/>
      <c r="P920" s="207"/>
      <c r="Q920" s="179"/>
      <c r="R920" s="179"/>
      <c r="T920" s="88">
        <v>5.05306435E-2</v>
      </c>
    </row>
    <row r="921" spans="1:20" ht="15.75" customHeight="1">
      <c r="A921" s="71">
        <v>50786</v>
      </c>
      <c r="B921" s="44" t="s">
        <v>3</v>
      </c>
      <c r="C921" s="43" t="s">
        <v>4</v>
      </c>
      <c r="D921" s="208" t="s">
        <v>5</v>
      </c>
      <c r="E921" s="209"/>
      <c r="F921" s="43" t="s">
        <v>1049</v>
      </c>
      <c r="G921" s="210"/>
      <c r="H921" s="211"/>
      <c r="I921" s="212"/>
      <c r="J921" s="215" t="s">
        <v>6</v>
      </c>
      <c r="K921" s="217"/>
      <c r="L921" s="44" t="s">
        <v>7</v>
      </c>
      <c r="M921" s="213" t="s">
        <v>8</v>
      </c>
      <c r="N921" s="214"/>
      <c r="O921" s="66"/>
      <c r="P921" s="44" t="s">
        <v>11</v>
      </c>
      <c r="Q921" s="228"/>
      <c r="R921" s="179"/>
      <c r="T921" s="88">
        <v>5.05306435E-2</v>
      </c>
    </row>
    <row r="922" spans="1:20" ht="15" customHeight="1">
      <c r="A922" s="47" t="s">
        <v>1051</v>
      </c>
      <c r="B922" s="48" t="s">
        <v>1647</v>
      </c>
      <c r="C922" s="47" t="s">
        <v>1053</v>
      </c>
      <c r="D922" s="190" t="s">
        <v>1648</v>
      </c>
      <c r="E922" s="191"/>
      <c r="F922" s="47" t="s">
        <v>1628</v>
      </c>
      <c r="G922" s="192"/>
      <c r="H922" s="193"/>
      <c r="I922" s="194"/>
      <c r="J922" s="195" t="s">
        <v>1085</v>
      </c>
      <c r="K922" s="196"/>
      <c r="L922" s="50">
        <v>1</v>
      </c>
      <c r="M922" s="231">
        <v>243.44</v>
      </c>
      <c r="N922" s="232"/>
      <c r="O922" s="64">
        <f>M922-(M922*T922)</f>
        <v>231.13882014635999</v>
      </c>
      <c r="P922" s="64">
        <f>SUM(P923:P931)</f>
        <v>231.13502226893402</v>
      </c>
      <c r="Q922" s="228"/>
      <c r="R922" s="179"/>
      <c r="T922" s="88">
        <v>5.05306435E-2</v>
      </c>
    </row>
    <row r="923" spans="1:20" ht="14.25" customHeight="1">
      <c r="A923" s="52" t="s">
        <v>1057</v>
      </c>
      <c r="B923" s="53">
        <v>88264</v>
      </c>
      <c r="C923" s="52" t="s">
        <v>1058</v>
      </c>
      <c r="D923" s="199" t="s">
        <v>1063</v>
      </c>
      <c r="E923" s="200"/>
      <c r="F923" s="52" t="s">
        <v>1158</v>
      </c>
      <c r="G923" s="201"/>
      <c r="H923" s="202"/>
      <c r="I923" s="203"/>
      <c r="J923" s="204" t="s">
        <v>1061</v>
      </c>
      <c r="K923" s="205"/>
      <c r="L923" s="55">
        <v>3.0680000000000001</v>
      </c>
      <c r="M923" s="188">
        <v>27.27</v>
      </c>
      <c r="N923" s="189"/>
      <c r="O923" s="56">
        <f>M923-(M923*T923)</f>
        <v>25.892029351754999</v>
      </c>
      <c r="P923" s="57">
        <f t="shared" ref="P923:P931" si="168">O923*L923</f>
        <v>79.436746051184343</v>
      </c>
      <c r="Q923" s="228"/>
      <c r="R923" s="179"/>
      <c r="T923" s="88">
        <v>5.05306435E-2</v>
      </c>
    </row>
    <row r="924" spans="1:20" ht="15" customHeight="1">
      <c r="A924" s="52" t="s">
        <v>1057</v>
      </c>
      <c r="B924" s="53">
        <v>88247</v>
      </c>
      <c r="C924" s="52" t="s">
        <v>1058</v>
      </c>
      <c r="D924" s="199" t="s">
        <v>1062</v>
      </c>
      <c r="E924" s="200"/>
      <c r="F924" s="52" t="s">
        <v>1158</v>
      </c>
      <c r="G924" s="201"/>
      <c r="H924" s="202"/>
      <c r="I924" s="203"/>
      <c r="J924" s="204" t="s">
        <v>1061</v>
      </c>
      <c r="K924" s="205"/>
      <c r="L924" s="55">
        <v>3.0680000000000001</v>
      </c>
      <c r="M924" s="188">
        <v>22.63</v>
      </c>
      <c r="N924" s="189"/>
      <c r="O924" s="56">
        <f t="shared" ref="O924:O931" si="169">M924-(M924*T924)</f>
        <v>21.486491537595001</v>
      </c>
      <c r="P924" s="57">
        <f t="shared" si="168"/>
        <v>65.92055603734147</v>
      </c>
      <c r="Q924" s="228"/>
      <c r="R924" s="179"/>
      <c r="T924" s="88">
        <v>5.05306435E-2</v>
      </c>
    </row>
    <row r="925" spans="1:20" ht="14.25" customHeight="1">
      <c r="A925" s="58" t="s">
        <v>1064</v>
      </c>
      <c r="B925" s="62">
        <v>2673</v>
      </c>
      <c r="C925" s="58" t="s">
        <v>1058</v>
      </c>
      <c r="D925" s="181" t="s">
        <v>1649</v>
      </c>
      <c r="E925" s="182"/>
      <c r="F925" s="58" t="s">
        <v>1068</v>
      </c>
      <c r="G925" s="183"/>
      <c r="H925" s="184"/>
      <c r="I925" s="185"/>
      <c r="J925" s="186" t="s">
        <v>1107</v>
      </c>
      <c r="K925" s="187"/>
      <c r="L925" s="60">
        <v>1.2</v>
      </c>
      <c r="M925" s="188">
        <v>4.17</v>
      </c>
      <c r="N925" s="189"/>
      <c r="O925" s="56">
        <f t="shared" si="169"/>
        <v>3.9592872166049999</v>
      </c>
      <c r="P925" s="57">
        <f t="shared" si="168"/>
        <v>4.7511446599260001</v>
      </c>
      <c r="Q925" s="228"/>
      <c r="R925" s="179"/>
      <c r="T925" s="88">
        <v>5.05306435E-2</v>
      </c>
    </row>
    <row r="926" spans="1:20" ht="15" customHeight="1">
      <c r="A926" s="58" t="s">
        <v>1064</v>
      </c>
      <c r="B926" s="62">
        <v>993</v>
      </c>
      <c r="C926" s="58" t="s">
        <v>1058</v>
      </c>
      <c r="D926" s="181" t="s">
        <v>1650</v>
      </c>
      <c r="E926" s="182"/>
      <c r="F926" s="58" t="s">
        <v>1068</v>
      </c>
      <c r="G926" s="183"/>
      <c r="H926" s="184"/>
      <c r="I926" s="185"/>
      <c r="J926" s="186" t="s">
        <v>1107</v>
      </c>
      <c r="K926" s="187"/>
      <c r="L926" s="60">
        <v>8.6</v>
      </c>
      <c r="M926" s="188">
        <v>2.23</v>
      </c>
      <c r="N926" s="189"/>
      <c r="O926" s="56">
        <f t="shared" si="169"/>
        <v>2.1173166649950002</v>
      </c>
      <c r="P926" s="57">
        <f t="shared" si="168"/>
        <v>18.208923318957002</v>
      </c>
      <c r="Q926" s="228"/>
      <c r="R926" s="179"/>
      <c r="T926" s="88">
        <v>5.05306435E-2</v>
      </c>
    </row>
    <row r="927" spans="1:20" ht="14.25" customHeight="1">
      <c r="A927" s="58" t="s">
        <v>1064</v>
      </c>
      <c r="B927" s="62">
        <v>39174</v>
      </c>
      <c r="C927" s="58" t="s">
        <v>1058</v>
      </c>
      <c r="D927" s="181" t="s">
        <v>1651</v>
      </c>
      <c r="E927" s="182"/>
      <c r="F927" s="58" t="s">
        <v>1068</v>
      </c>
      <c r="G927" s="183"/>
      <c r="H927" s="184"/>
      <c r="I927" s="185"/>
      <c r="J927" s="186" t="s">
        <v>1085</v>
      </c>
      <c r="K927" s="187"/>
      <c r="L927" s="60">
        <v>2</v>
      </c>
      <c r="M927" s="188">
        <v>0.87</v>
      </c>
      <c r="N927" s="189"/>
      <c r="O927" s="56">
        <f t="shared" si="169"/>
        <v>0.82603834015499999</v>
      </c>
      <c r="P927" s="57">
        <f t="shared" si="168"/>
        <v>1.65207668031</v>
      </c>
      <c r="Q927" s="228"/>
      <c r="R927" s="179"/>
      <c r="T927" s="88">
        <v>5.05306435E-2</v>
      </c>
    </row>
    <row r="928" spans="1:20" ht="15" customHeight="1">
      <c r="A928" s="58" t="s">
        <v>1064</v>
      </c>
      <c r="B928" s="62">
        <v>1872</v>
      </c>
      <c r="C928" s="58" t="s">
        <v>1058</v>
      </c>
      <c r="D928" s="181" t="s">
        <v>1652</v>
      </c>
      <c r="E928" s="182"/>
      <c r="F928" s="58" t="s">
        <v>1068</v>
      </c>
      <c r="G928" s="183"/>
      <c r="H928" s="184"/>
      <c r="I928" s="185"/>
      <c r="J928" s="186" t="s">
        <v>1085</v>
      </c>
      <c r="K928" s="187"/>
      <c r="L928" s="60">
        <v>1</v>
      </c>
      <c r="M928" s="188">
        <v>1.34</v>
      </c>
      <c r="N928" s="189"/>
      <c r="O928" s="56">
        <f t="shared" si="169"/>
        <v>1.2722889377100002</v>
      </c>
      <c r="P928" s="57">
        <f t="shared" si="168"/>
        <v>1.2722889377100002</v>
      </c>
      <c r="Q928" s="228"/>
      <c r="R928" s="179"/>
      <c r="T928" s="88">
        <v>5.05306435E-2</v>
      </c>
    </row>
    <row r="929" spans="1:20" ht="14.25" customHeight="1">
      <c r="A929" s="58" t="s">
        <v>1064</v>
      </c>
      <c r="B929" s="62">
        <v>20111</v>
      </c>
      <c r="C929" s="58" t="s">
        <v>1058</v>
      </c>
      <c r="D929" s="181" t="s">
        <v>1653</v>
      </c>
      <c r="E929" s="182"/>
      <c r="F929" s="58" t="s">
        <v>1068</v>
      </c>
      <c r="G929" s="183"/>
      <c r="H929" s="184"/>
      <c r="I929" s="185"/>
      <c r="J929" s="186" t="s">
        <v>1085</v>
      </c>
      <c r="K929" s="187"/>
      <c r="L929" s="60">
        <v>0.08</v>
      </c>
      <c r="M929" s="188">
        <v>8.51</v>
      </c>
      <c r="N929" s="189"/>
      <c r="O929" s="56">
        <f t="shared" si="169"/>
        <v>8.0799842238149999</v>
      </c>
      <c r="P929" s="57">
        <f t="shared" si="168"/>
        <v>0.64639873790519997</v>
      </c>
      <c r="Q929" s="228"/>
      <c r="R929" s="179"/>
      <c r="T929" s="88">
        <v>5.05306435E-2</v>
      </c>
    </row>
    <row r="930" spans="1:20" ht="15" customHeight="1">
      <c r="A930" s="58" t="s">
        <v>1064</v>
      </c>
      <c r="B930" s="62">
        <v>44340</v>
      </c>
      <c r="C930" s="58" t="s">
        <v>1150</v>
      </c>
      <c r="D930" s="181" t="s">
        <v>1654</v>
      </c>
      <c r="E930" s="182"/>
      <c r="F930" s="58" t="s">
        <v>1068</v>
      </c>
      <c r="G930" s="183"/>
      <c r="H930" s="184"/>
      <c r="I930" s="185"/>
      <c r="J930" s="186" t="s">
        <v>1085</v>
      </c>
      <c r="K930" s="187"/>
      <c r="L930" s="60">
        <v>1</v>
      </c>
      <c r="M930" s="188">
        <v>59</v>
      </c>
      <c r="N930" s="189"/>
      <c r="O930" s="56">
        <f t="shared" si="169"/>
        <v>56.018692033500002</v>
      </c>
      <c r="P930" s="57">
        <f t="shared" si="168"/>
        <v>56.018692033500002</v>
      </c>
      <c r="Q930" s="228"/>
      <c r="R930" s="179"/>
      <c r="T930" s="88">
        <v>5.05306435E-2</v>
      </c>
    </row>
    <row r="931" spans="1:20" ht="14.85" customHeight="1">
      <c r="A931" s="58" t="s">
        <v>1064</v>
      </c>
      <c r="B931" s="62">
        <v>39212</v>
      </c>
      <c r="C931" s="58" t="s">
        <v>1058</v>
      </c>
      <c r="D931" s="181" t="s">
        <v>1655</v>
      </c>
      <c r="E931" s="182"/>
      <c r="F931" s="58" t="s">
        <v>1068</v>
      </c>
      <c r="G931" s="183"/>
      <c r="H931" s="184"/>
      <c r="I931" s="185"/>
      <c r="J931" s="186" t="s">
        <v>1085</v>
      </c>
      <c r="K931" s="187"/>
      <c r="L931" s="60">
        <v>2</v>
      </c>
      <c r="M931" s="188">
        <v>1.7</v>
      </c>
      <c r="N931" s="189"/>
      <c r="O931" s="56">
        <f t="shared" si="169"/>
        <v>1.61409790605</v>
      </c>
      <c r="P931" s="57">
        <f t="shared" si="168"/>
        <v>3.2281958121000001</v>
      </c>
      <c r="Q931" s="228"/>
      <c r="R931" s="179"/>
      <c r="T931" s="88">
        <v>5.05306435E-2</v>
      </c>
    </row>
    <row r="932" spans="1:20" ht="14.25" customHeight="1">
      <c r="A932" s="174" t="s">
        <v>1070</v>
      </c>
      <c r="B932" s="174"/>
      <c r="C932" s="174"/>
      <c r="D932" s="174"/>
      <c r="E932" s="174"/>
      <c r="F932" s="174"/>
      <c r="G932" s="174"/>
      <c r="H932" s="175" t="s">
        <v>1071</v>
      </c>
      <c r="I932" s="175"/>
      <c r="J932" s="175"/>
      <c r="K932" s="175"/>
      <c r="L932" s="176">
        <v>0</v>
      </c>
      <c r="M932" s="176"/>
      <c r="N932" s="177" t="s">
        <v>1072</v>
      </c>
      <c r="O932" s="177"/>
      <c r="P932" s="177"/>
      <c r="Q932" s="179"/>
      <c r="R932" s="179"/>
      <c r="T932" s="88">
        <v>5.05306435E-2</v>
      </c>
    </row>
    <row r="933" spans="1:20" ht="17.45" customHeight="1">
      <c r="A933" s="178" t="s">
        <v>1073</v>
      </c>
      <c r="B933" s="178"/>
      <c r="C933" s="178"/>
      <c r="D933" s="178"/>
      <c r="E933" s="178"/>
      <c r="F933" s="178"/>
      <c r="G933" s="178"/>
      <c r="H933" s="179"/>
      <c r="I933" s="179"/>
      <c r="J933" s="179"/>
      <c r="K933" s="179"/>
      <c r="L933" s="180" t="s">
        <v>1074</v>
      </c>
      <c r="M933" s="180"/>
      <c r="N933" s="179"/>
      <c r="O933" s="179"/>
      <c r="P933" s="179"/>
      <c r="Q933" s="179"/>
      <c r="R933" s="179"/>
      <c r="T933" s="88">
        <v>5.05306435E-2</v>
      </c>
    </row>
    <row r="934" spans="1:20" ht="28.5" customHeight="1">
      <c r="A934" s="233" t="s">
        <v>1656</v>
      </c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T934" s="88">
        <v>5.05306435E-2</v>
      </c>
    </row>
    <row r="935" spans="1:20" ht="14.25" customHeight="1">
      <c r="A935" s="207"/>
      <c r="B935" s="207"/>
      <c r="C935" s="207"/>
      <c r="D935" s="207"/>
      <c r="E935" s="207"/>
      <c r="F935" s="207"/>
      <c r="G935" s="207"/>
      <c r="H935" s="207"/>
      <c r="I935" s="207"/>
      <c r="J935" s="207"/>
      <c r="K935" s="207"/>
      <c r="L935" s="207"/>
      <c r="M935" s="207"/>
      <c r="N935" s="207"/>
      <c r="O935" s="207"/>
      <c r="P935" s="207"/>
      <c r="Q935" s="179"/>
      <c r="R935" s="179"/>
      <c r="T935" s="88">
        <v>5.05306435E-2</v>
      </c>
    </row>
    <row r="936" spans="1:20" ht="15.75" customHeight="1">
      <c r="A936" s="71">
        <v>51517</v>
      </c>
      <c r="B936" s="44" t="s">
        <v>3</v>
      </c>
      <c r="C936" s="43" t="s">
        <v>4</v>
      </c>
      <c r="D936" s="208" t="s">
        <v>5</v>
      </c>
      <c r="E936" s="209"/>
      <c r="F936" s="43" t="s">
        <v>1049</v>
      </c>
      <c r="G936" s="210"/>
      <c r="H936" s="211"/>
      <c r="I936" s="212"/>
      <c r="J936" s="215" t="s">
        <v>6</v>
      </c>
      <c r="K936" s="217"/>
      <c r="L936" s="44" t="s">
        <v>7</v>
      </c>
      <c r="M936" s="213" t="s">
        <v>8</v>
      </c>
      <c r="N936" s="214"/>
      <c r="O936" s="66"/>
      <c r="P936" s="44" t="s">
        <v>11</v>
      </c>
      <c r="Q936" s="228"/>
      <c r="R936" s="179"/>
      <c r="T936" s="88">
        <v>5.05306435E-2</v>
      </c>
    </row>
    <row r="937" spans="1:20" ht="14.25" customHeight="1">
      <c r="A937" s="47" t="s">
        <v>1051</v>
      </c>
      <c r="B937" s="48" t="s">
        <v>1657</v>
      </c>
      <c r="C937" s="47" t="s">
        <v>1053</v>
      </c>
      <c r="D937" s="190" t="s">
        <v>1658</v>
      </c>
      <c r="E937" s="191"/>
      <c r="F937" s="47" t="s">
        <v>1628</v>
      </c>
      <c r="G937" s="192"/>
      <c r="H937" s="193"/>
      <c r="I937" s="194"/>
      <c r="J937" s="195" t="s">
        <v>1085</v>
      </c>
      <c r="K937" s="196"/>
      <c r="L937" s="50">
        <v>1</v>
      </c>
      <c r="M937" s="231">
        <v>171.38</v>
      </c>
      <c r="N937" s="232"/>
      <c r="O937" s="64">
        <f>M937-(M937*T937)</f>
        <v>162.72005831696998</v>
      </c>
      <c r="P937" s="64">
        <f>SUM(P938:P943)</f>
        <v>162.72005831697001</v>
      </c>
      <c r="Q937" s="228"/>
      <c r="R937" s="179"/>
      <c r="T937" s="88">
        <v>5.05306435E-2</v>
      </c>
    </row>
    <row r="938" spans="1:20" ht="15" customHeight="1">
      <c r="A938" s="52" t="s">
        <v>1057</v>
      </c>
      <c r="B938" s="53">
        <v>88264</v>
      </c>
      <c r="C938" s="52" t="s">
        <v>1058</v>
      </c>
      <c r="D938" s="199" t="s">
        <v>1063</v>
      </c>
      <c r="E938" s="200"/>
      <c r="F938" s="52" t="s">
        <v>1158</v>
      </c>
      <c r="G938" s="201"/>
      <c r="H938" s="202"/>
      <c r="I938" s="203"/>
      <c r="J938" s="204" t="s">
        <v>1061</v>
      </c>
      <c r="K938" s="205"/>
      <c r="L938" s="55">
        <v>1</v>
      </c>
      <c r="M938" s="188">
        <v>27.27</v>
      </c>
      <c r="N938" s="189"/>
      <c r="O938" s="56">
        <f>M938-(M938*T938)</f>
        <v>25.892029351754999</v>
      </c>
      <c r="P938" s="57">
        <f t="shared" ref="P938:P940" si="170">O938*L938</f>
        <v>25.892029351754999</v>
      </c>
      <c r="Q938" s="228"/>
      <c r="R938" s="179"/>
      <c r="T938" s="88">
        <v>5.05306435E-2</v>
      </c>
    </row>
    <row r="939" spans="1:20" ht="14.25" customHeight="1">
      <c r="A939" s="52" t="s">
        <v>1057</v>
      </c>
      <c r="B939" s="53">
        <v>88247</v>
      </c>
      <c r="C939" s="52" t="s">
        <v>1058</v>
      </c>
      <c r="D939" s="199" t="s">
        <v>1062</v>
      </c>
      <c r="E939" s="200"/>
      <c r="F939" s="52" t="s">
        <v>1158</v>
      </c>
      <c r="G939" s="201"/>
      <c r="H939" s="202"/>
      <c r="I939" s="203"/>
      <c r="J939" s="204" t="s">
        <v>1061</v>
      </c>
      <c r="K939" s="205"/>
      <c r="L939" s="55">
        <v>1</v>
      </c>
      <c r="M939" s="188">
        <v>22.63</v>
      </c>
      <c r="N939" s="189"/>
      <c r="O939" s="56">
        <f t="shared" ref="O939:O940" si="171">M939-(M939*T939)</f>
        <v>21.486491537595001</v>
      </c>
      <c r="P939" s="57">
        <f t="shared" si="170"/>
        <v>21.486491537595001</v>
      </c>
      <c r="Q939" s="228"/>
      <c r="R939" s="179"/>
      <c r="T939" s="88">
        <v>5.05306435E-2</v>
      </c>
    </row>
    <row r="940" spans="1:20" ht="14.85" customHeight="1">
      <c r="A940" s="58" t="s">
        <v>1064</v>
      </c>
      <c r="B940" s="59" t="s">
        <v>1659</v>
      </c>
      <c r="C940" s="58" t="s">
        <v>1066</v>
      </c>
      <c r="D940" s="181" t="s">
        <v>1660</v>
      </c>
      <c r="E940" s="182"/>
      <c r="F940" s="58" t="s">
        <v>1068</v>
      </c>
      <c r="G940" s="183"/>
      <c r="H940" s="184"/>
      <c r="I940" s="185"/>
      <c r="J940" s="186" t="s">
        <v>1187</v>
      </c>
      <c r="K940" s="187"/>
      <c r="L940" s="60">
        <v>1</v>
      </c>
      <c r="M940" s="229">
        <v>121.48</v>
      </c>
      <c r="N940" s="230"/>
      <c r="O940" s="56">
        <f t="shared" si="171"/>
        <v>115.34153742762001</v>
      </c>
      <c r="P940" s="57">
        <f t="shared" si="170"/>
        <v>115.34153742762001</v>
      </c>
      <c r="Q940" s="228"/>
      <c r="R940" s="179"/>
      <c r="T940" s="88">
        <v>5.05306435E-2</v>
      </c>
    </row>
    <row r="941" spans="1:20" ht="14.25" customHeight="1">
      <c r="A941" s="174" t="s">
        <v>1070</v>
      </c>
      <c r="B941" s="174"/>
      <c r="C941" s="174"/>
      <c r="D941" s="174"/>
      <c r="E941" s="174"/>
      <c r="F941" s="174"/>
      <c r="G941" s="174"/>
      <c r="H941" s="175" t="s">
        <v>1071</v>
      </c>
      <c r="I941" s="175"/>
      <c r="J941" s="175"/>
      <c r="K941" s="175"/>
      <c r="L941" s="176">
        <v>0</v>
      </c>
      <c r="M941" s="176"/>
      <c r="N941" s="177" t="s">
        <v>1072</v>
      </c>
      <c r="O941" s="177"/>
      <c r="P941" s="177"/>
      <c r="Q941" s="179"/>
      <c r="R941" s="179"/>
      <c r="T941" s="88">
        <v>5.05306435E-2</v>
      </c>
    </row>
    <row r="942" spans="1:20" ht="17.45" customHeight="1">
      <c r="A942" s="178" t="s">
        <v>1073</v>
      </c>
      <c r="B942" s="178"/>
      <c r="C942" s="178"/>
      <c r="D942" s="178"/>
      <c r="E942" s="178"/>
      <c r="F942" s="178"/>
      <c r="G942" s="178"/>
      <c r="H942" s="179"/>
      <c r="I942" s="179"/>
      <c r="J942" s="179"/>
      <c r="K942" s="179"/>
      <c r="L942" s="180" t="s">
        <v>1074</v>
      </c>
      <c r="M942" s="180"/>
      <c r="N942" s="179"/>
      <c r="O942" s="179"/>
      <c r="P942" s="179"/>
      <c r="Q942" s="179"/>
      <c r="R942" s="179"/>
      <c r="T942" s="88">
        <v>5.05306435E-2</v>
      </c>
    </row>
    <row r="943" spans="1:20" ht="28.5" customHeight="1">
      <c r="A943" s="233" t="s">
        <v>1661</v>
      </c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T943" s="88">
        <v>5.05306435E-2</v>
      </c>
    </row>
    <row r="944" spans="1:20" ht="14.25" customHeight="1">
      <c r="A944" s="207"/>
      <c r="B944" s="207"/>
      <c r="C944" s="207"/>
      <c r="D944" s="207"/>
      <c r="E944" s="207"/>
      <c r="F944" s="207"/>
      <c r="G944" s="207"/>
      <c r="H944" s="207"/>
      <c r="I944" s="207"/>
      <c r="J944" s="207"/>
      <c r="K944" s="207"/>
      <c r="L944" s="207"/>
      <c r="M944" s="207"/>
      <c r="N944" s="207"/>
      <c r="O944" s="207"/>
      <c r="P944" s="207"/>
      <c r="Q944" s="179"/>
      <c r="R944" s="179"/>
      <c r="T944" s="88">
        <v>5.05306435E-2</v>
      </c>
    </row>
    <row r="945" spans="1:20" ht="15.75" customHeight="1">
      <c r="A945" s="71">
        <v>52247</v>
      </c>
      <c r="B945" s="44" t="s">
        <v>3</v>
      </c>
      <c r="C945" s="43" t="s">
        <v>4</v>
      </c>
      <c r="D945" s="208" t="s">
        <v>5</v>
      </c>
      <c r="E945" s="209"/>
      <c r="F945" s="43" t="s">
        <v>1049</v>
      </c>
      <c r="G945" s="210"/>
      <c r="H945" s="211"/>
      <c r="I945" s="212"/>
      <c r="J945" s="215" t="s">
        <v>6</v>
      </c>
      <c r="K945" s="217"/>
      <c r="L945" s="44" t="s">
        <v>7</v>
      </c>
      <c r="M945" s="213" t="s">
        <v>8</v>
      </c>
      <c r="N945" s="214"/>
      <c r="O945" s="66"/>
      <c r="P945" s="44" t="s">
        <v>11</v>
      </c>
      <c r="Q945" s="228"/>
      <c r="R945" s="179"/>
      <c r="T945" s="88">
        <v>5.05306435E-2</v>
      </c>
    </row>
    <row r="946" spans="1:20" ht="14.25" customHeight="1">
      <c r="A946" s="47" t="s">
        <v>1051</v>
      </c>
      <c r="B946" s="48" t="s">
        <v>1662</v>
      </c>
      <c r="C946" s="47" t="s">
        <v>1053</v>
      </c>
      <c r="D946" s="190" t="s">
        <v>1663</v>
      </c>
      <c r="E946" s="191"/>
      <c r="F946" s="47" t="s">
        <v>1628</v>
      </c>
      <c r="G946" s="192"/>
      <c r="H946" s="193"/>
      <c r="I946" s="194"/>
      <c r="J946" s="195" t="s">
        <v>1085</v>
      </c>
      <c r="K946" s="196"/>
      <c r="L946" s="50">
        <v>1</v>
      </c>
      <c r="M946" s="231">
        <v>209.01</v>
      </c>
      <c r="N946" s="232"/>
      <c r="O946" s="64">
        <f>M946-(M946*T946)</f>
        <v>198.44859020206499</v>
      </c>
      <c r="P946" s="64">
        <f>SUM(P947:P952)</f>
        <v>198.44859020206499</v>
      </c>
      <c r="Q946" s="228"/>
      <c r="R946" s="179"/>
      <c r="T946" s="88">
        <v>5.05306435E-2</v>
      </c>
    </row>
    <row r="947" spans="1:20" ht="15" customHeight="1">
      <c r="A947" s="52" t="s">
        <v>1057</v>
      </c>
      <c r="B947" s="53">
        <v>88247</v>
      </c>
      <c r="C947" s="52" t="s">
        <v>1058</v>
      </c>
      <c r="D947" s="199" t="s">
        <v>1062</v>
      </c>
      <c r="E947" s="200"/>
      <c r="F947" s="52" t="s">
        <v>1158</v>
      </c>
      <c r="G947" s="201"/>
      <c r="H947" s="202"/>
      <c r="I947" s="203"/>
      <c r="J947" s="204" t="s">
        <v>1061</v>
      </c>
      <c r="K947" s="205"/>
      <c r="L947" s="55">
        <v>0.6</v>
      </c>
      <c r="M947" s="188">
        <v>22.63</v>
      </c>
      <c r="N947" s="189"/>
      <c r="O947" s="56">
        <f>M947-(M947*T947)</f>
        <v>21.486491537595001</v>
      </c>
      <c r="P947" s="57">
        <f t="shared" ref="P947:P949" si="172">O947*L947</f>
        <v>12.891894922557</v>
      </c>
      <c r="Q947" s="228"/>
      <c r="R947" s="179"/>
      <c r="T947" s="88">
        <v>5.05306435E-2</v>
      </c>
    </row>
    <row r="948" spans="1:20" ht="14.25" customHeight="1">
      <c r="A948" s="52" t="s">
        <v>1057</v>
      </c>
      <c r="B948" s="53">
        <v>88264</v>
      </c>
      <c r="C948" s="52" t="s">
        <v>1058</v>
      </c>
      <c r="D948" s="199" t="s">
        <v>1063</v>
      </c>
      <c r="E948" s="200"/>
      <c r="F948" s="52" t="s">
        <v>1158</v>
      </c>
      <c r="G948" s="201"/>
      <c r="H948" s="202"/>
      <c r="I948" s="203"/>
      <c r="J948" s="204" t="s">
        <v>1061</v>
      </c>
      <c r="K948" s="205"/>
      <c r="L948" s="55">
        <v>0.6</v>
      </c>
      <c r="M948" s="188">
        <v>27.27</v>
      </c>
      <c r="N948" s="189"/>
      <c r="O948" s="56">
        <f t="shared" ref="O948:O949" si="173">M948-(M948*T948)</f>
        <v>25.892029351754999</v>
      </c>
      <c r="P948" s="57">
        <f t="shared" si="172"/>
        <v>15.535217611053</v>
      </c>
      <c r="Q948" s="228"/>
      <c r="R948" s="179"/>
      <c r="T948" s="88">
        <v>5.05306435E-2</v>
      </c>
    </row>
    <row r="949" spans="1:20" ht="15" customHeight="1">
      <c r="A949" s="58" t="s">
        <v>1064</v>
      </c>
      <c r="B949" s="59" t="s">
        <v>1664</v>
      </c>
      <c r="C949" s="58" t="s">
        <v>1066</v>
      </c>
      <c r="D949" s="181" t="s">
        <v>1665</v>
      </c>
      <c r="E949" s="182"/>
      <c r="F949" s="58" t="s">
        <v>1068</v>
      </c>
      <c r="G949" s="183"/>
      <c r="H949" s="184"/>
      <c r="I949" s="185"/>
      <c r="J949" s="186" t="s">
        <v>1187</v>
      </c>
      <c r="K949" s="187"/>
      <c r="L949" s="60">
        <v>1</v>
      </c>
      <c r="M949" s="229">
        <v>179.07</v>
      </c>
      <c r="N949" s="230"/>
      <c r="O949" s="56">
        <f t="shared" si="173"/>
        <v>170.02147766845499</v>
      </c>
      <c r="P949" s="57">
        <f t="shared" si="172"/>
        <v>170.02147766845499</v>
      </c>
      <c r="Q949" s="228"/>
      <c r="R949" s="179"/>
      <c r="T949" s="88">
        <v>5.05306435E-2</v>
      </c>
    </row>
    <row r="950" spans="1:20" ht="14.25" customHeight="1">
      <c r="A950" s="174" t="s">
        <v>1070</v>
      </c>
      <c r="B950" s="174"/>
      <c r="C950" s="174"/>
      <c r="D950" s="174"/>
      <c r="E950" s="174"/>
      <c r="F950" s="174"/>
      <c r="G950" s="174"/>
      <c r="H950" s="175" t="s">
        <v>1071</v>
      </c>
      <c r="I950" s="175"/>
      <c r="J950" s="175"/>
      <c r="K950" s="175"/>
      <c r="L950" s="176">
        <v>0</v>
      </c>
      <c r="M950" s="176"/>
      <c r="N950" s="177" t="s">
        <v>1072</v>
      </c>
      <c r="O950" s="177"/>
      <c r="P950" s="177"/>
      <c r="Q950" s="179"/>
      <c r="R950" s="179"/>
      <c r="T950" s="88">
        <v>5.05306435E-2</v>
      </c>
    </row>
    <row r="951" spans="1:20" ht="16.5" customHeight="1">
      <c r="A951" s="178" t="s">
        <v>1073</v>
      </c>
      <c r="B951" s="178"/>
      <c r="C951" s="178"/>
      <c r="D951" s="178"/>
      <c r="E951" s="178"/>
      <c r="F951" s="178"/>
      <c r="G951" s="178"/>
      <c r="H951" s="179"/>
      <c r="I951" s="179"/>
      <c r="J951" s="179"/>
      <c r="K951" s="179"/>
      <c r="L951" s="180" t="s">
        <v>1074</v>
      </c>
      <c r="M951" s="180"/>
      <c r="N951" s="179"/>
      <c r="O951" s="179"/>
      <c r="P951" s="179"/>
      <c r="Q951" s="179"/>
      <c r="R951" s="179"/>
      <c r="T951" s="88">
        <v>5.05306435E-2</v>
      </c>
    </row>
    <row r="952" spans="1:20" ht="28.5" customHeight="1">
      <c r="A952" s="233" t="s">
        <v>1666</v>
      </c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T952" s="88">
        <v>5.05306435E-2</v>
      </c>
    </row>
    <row r="953" spans="1:20" ht="15" customHeight="1">
      <c r="A953" s="207"/>
      <c r="B953" s="207"/>
      <c r="C953" s="207"/>
      <c r="D953" s="207"/>
      <c r="E953" s="207"/>
      <c r="F953" s="207"/>
      <c r="G953" s="207"/>
      <c r="H953" s="207"/>
      <c r="I953" s="207"/>
      <c r="J953" s="207"/>
      <c r="K953" s="207"/>
      <c r="L953" s="207"/>
      <c r="M953" s="207"/>
      <c r="N953" s="207"/>
      <c r="O953" s="207"/>
      <c r="P953" s="207"/>
      <c r="Q953" s="179"/>
      <c r="R953" s="179"/>
      <c r="T953" s="88">
        <v>5.05306435E-2</v>
      </c>
    </row>
    <row r="954" spans="1:20" ht="15.75" customHeight="1">
      <c r="A954" s="71">
        <v>52612</v>
      </c>
      <c r="B954" s="44" t="s">
        <v>3</v>
      </c>
      <c r="C954" s="43" t="s">
        <v>4</v>
      </c>
      <c r="D954" s="208" t="s">
        <v>5</v>
      </c>
      <c r="E954" s="209"/>
      <c r="F954" s="43" t="s">
        <v>1049</v>
      </c>
      <c r="G954" s="210"/>
      <c r="H954" s="211"/>
      <c r="I954" s="212"/>
      <c r="J954" s="215" t="s">
        <v>6</v>
      </c>
      <c r="K954" s="217"/>
      <c r="L954" s="44" t="s">
        <v>7</v>
      </c>
      <c r="M954" s="213" t="s">
        <v>8</v>
      </c>
      <c r="N954" s="214"/>
      <c r="O954" s="66"/>
      <c r="P954" s="44" t="s">
        <v>11</v>
      </c>
      <c r="Q954" s="228"/>
      <c r="R954" s="179"/>
      <c r="T954" s="88">
        <v>5.05306435E-2</v>
      </c>
    </row>
    <row r="955" spans="1:20" ht="15" customHeight="1">
      <c r="A955" s="47" t="s">
        <v>1051</v>
      </c>
      <c r="B955" s="48" t="s">
        <v>1667</v>
      </c>
      <c r="C955" s="47" t="s">
        <v>1053</v>
      </c>
      <c r="D955" s="190" t="s">
        <v>1668</v>
      </c>
      <c r="E955" s="191"/>
      <c r="F955" s="47" t="s">
        <v>1628</v>
      </c>
      <c r="G955" s="192"/>
      <c r="H955" s="193"/>
      <c r="I955" s="194"/>
      <c r="J955" s="195" t="s">
        <v>1085</v>
      </c>
      <c r="K955" s="196"/>
      <c r="L955" s="50">
        <v>1</v>
      </c>
      <c r="M955" s="231">
        <v>231.45</v>
      </c>
      <c r="N955" s="232"/>
      <c r="O955" s="64">
        <f>M955-(M955*T955)</f>
        <v>219.75468256192499</v>
      </c>
      <c r="P955" s="64">
        <f>SUM(P956:P961)</f>
        <v>219.75230888853372</v>
      </c>
      <c r="Q955" s="228"/>
      <c r="R955" s="179"/>
      <c r="T955" s="88">
        <v>5.05306435E-2</v>
      </c>
    </row>
    <row r="956" spans="1:20" ht="14.25" customHeight="1">
      <c r="A956" s="52" t="s">
        <v>1057</v>
      </c>
      <c r="B956" s="53">
        <v>88264</v>
      </c>
      <c r="C956" s="52" t="s">
        <v>1058</v>
      </c>
      <c r="D956" s="199" t="s">
        <v>1063</v>
      </c>
      <c r="E956" s="200"/>
      <c r="F956" s="52" t="s">
        <v>1158</v>
      </c>
      <c r="G956" s="201"/>
      <c r="H956" s="202"/>
      <c r="I956" s="203"/>
      <c r="J956" s="204" t="s">
        <v>1061</v>
      </c>
      <c r="K956" s="205"/>
      <c r="L956" s="55">
        <v>0.82499999999999996</v>
      </c>
      <c r="M956" s="188">
        <v>27.27</v>
      </c>
      <c r="N956" s="189"/>
      <c r="O956" s="56">
        <f>M956-(M956*T956)</f>
        <v>25.892029351754999</v>
      </c>
      <c r="P956" s="57">
        <f t="shared" ref="P956:P958" si="174">O956*L956</f>
        <v>21.360924215197873</v>
      </c>
      <c r="Q956" s="228"/>
      <c r="R956" s="179"/>
      <c r="T956" s="88">
        <v>5.05306435E-2</v>
      </c>
    </row>
    <row r="957" spans="1:20" ht="15" customHeight="1">
      <c r="A957" s="52" t="s">
        <v>1057</v>
      </c>
      <c r="B957" s="53">
        <v>88247</v>
      </c>
      <c r="C957" s="52" t="s">
        <v>1058</v>
      </c>
      <c r="D957" s="199" t="s">
        <v>1062</v>
      </c>
      <c r="E957" s="200"/>
      <c r="F957" s="52" t="s">
        <v>1158</v>
      </c>
      <c r="G957" s="201"/>
      <c r="H957" s="202"/>
      <c r="I957" s="203"/>
      <c r="J957" s="204" t="s">
        <v>1061</v>
      </c>
      <c r="K957" s="205"/>
      <c r="L957" s="55">
        <v>0.82499999999999996</v>
      </c>
      <c r="M957" s="188">
        <v>22.63</v>
      </c>
      <c r="N957" s="189"/>
      <c r="O957" s="56">
        <f t="shared" ref="O957:O958" si="175">M957-(M957*T957)</f>
        <v>21.486491537595001</v>
      </c>
      <c r="P957" s="57">
        <f t="shared" si="174"/>
        <v>17.726355518515874</v>
      </c>
      <c r="Q957" s="228"/>
      <c r="R957" s="179"/>
      <c r="T957" s="88">
        <v>5.05306435E-2</v>
      </c>
    </row>
    <row r="958" spans="1:20" ht="14.45" customHeight="1">
      <c r="A958" s="58" t="s">
        <v>1064</v>
      </c>
      <c r="B958" s="62">
        <v>4892</v>
      </c>
      <c r="C958" s="58" t="s">
        <v>1150</v>
      </c>
      <c r="D958" s="181" t="s">
        <v>1669</v>
      </c>
      <c r="E958" s="182"/>
      <c r="F958" s="58" t="s">
        <v>1068</v>
      </c>
      <c r="G958" s="183"/>
      <c r="H958" s="184"/>
      <c r="I958" s="185"/>
      <c r="J958" s="186" t="s">
        <v>1085</v>
      </c>
      <c r="K958" s="187"/>
      <c r="L958" s="60">
        <v>1</v>
      </c>
      <c r="M958" s="229">
        <v>190.28</v>
      </c>
      <c r="N958" s="230"/>
      <c r="O958" s="56">
        <f t="shared" si="175"/>
        <v>180.66502915481999</v>
      </c>
      <c r="P958" s="57">
        <f t="shared" si="174"/>
        <v>180.66502915481999</v>
      </c>
      <c r="Q958" s="228"/>
      <c r="R958" s="179"/>
      <c r="T958" s="88">
        <v>5.05306435E-2</v>
      </c>
    </row>
    <row r="959" spans="1:20" ht="14.25" customHeight="1">
      <c r="A959" s="174" t="s">
        <v>1070</v>
      </c>
      <c r="B959" s="174"/>
      <c r="C959" s="174"/>
      <c r="D959" s="174"/>
      <c r="E959" s="174"/>
      <c r="F959" s="174"/>
      <c r="G959" s="174"/>
      <c r="H959" s="175" t="s">
        <v>1071</v>
      </c>
      <c r="I959" s="175"/>
      <c r="J959" s="175"/>
      <c r="K959" s="175"/>
      <c r="L959" s="176">
        <v>0</v>
      </c>
      <c r="M959" s="176"/>
      <c r="N959" s="177" t="s">
        <v>1072</v>
      </c>
      <c r="O959" s="177"/>
      <c r="P959" s="177"/>
      <c r="Q959" s="179"/>
      <c r="R959" s="179"/>
      <c r="T959" s="88">
        <v>5.05306435E-2</v>
      </c>
    </row>
    <row r="960" spans="1:20" ht="16.5" customHeight="1">
      <c r="A960" s="178" t="s">
        <v>1073</v>
      </c>
      <c r="B960" s="178"/>
      <c r="C960" s="178"/>
      <c r="D960" s="178"/>
      <c r="E960" s="178"/>
      <c r="F960" s="178"/>
      <c r="G960" s="178"/>
      <c r="H960" s="179"/>
      <c r="I960" s="179"/>
      <c r="J960" s="179"/>
      <c r="K960" s="179"/>
      <c r="L960" s="180" t="s">
        <v>1074</v>
      </c>
      <c r="M960" s="180"/>
      <c r="N960" s="179"/>
      <c r="O960" s="179"/>
      <c r="P960" s="179"/>
      <c r="Q960" s="179"/>
      <c r="R960" s="179"/>
      <c r="T960" s="88">
        <v>5.05306435E-2</v>
      </c>
    </row>
    <row r="961" spans="1:20" ht="28.5" customHeight="1">
      <c r="A961" s="233" t="s">
        <v>1670</v>
      </c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T961" s="88">
        <v>5.05306435E-2</v>
      </c>
    </row>
    <row r="962" spans="1:20" ht="15" customHeight="1">
      <c r="A962" s="207"/>
      <c r="B962" s="207"/>
      <c r="C962" s="207"/>
      <c r="D962" s="207"/>
      <c r="E962" s="207"/>
      <c r="F962" s="207"/>
      <c r="G962" s="207"/>
      <c r="H962" s="207"/>
      <c r="I962" s="207"/>
      <c r="J962" s="207"/>
      <c r="K962" s="207"/>
      <c r="L962" s="207"/>
      <c r="M962" s="207"/>
      <c r="N962" s="207"/>
      <c r="O962" s="207"/>
      <c r="P962" s="207"/>
      <c r="Q962" s="179"/>
      <c r="R962" s="179"/>
      <c r="T962" s="88">
        <v>5.05306435E-2</v>
      </c>
    </row>
    <row r="963" spans="1:20" ht="15.75" customHeight="1">
      <c r="A963" s="71">
        <v>55534</v>
      </c>
      <c r="B963" s="44" t="s">
        <v>3</v>
      </c>
      <c r="C963" s="43" t="s">
        <v>4</v>
      </c>
      <c r="D963" s="208" t="s">
        <v>5</v>
      </c>
      <c r="E963" s="209"/>
      <c r="F963" s="43" t="s">
        <v>1049</v>
      </c>
      <c r="G963" s="210"/>
      <c r="H963" s="211"/>
      <c r="I963" s="212"/>
      <c r="J963" s="215" t="s">
        <v>6</v>
      </c>
      <c r="K963" s="217"/>
      <c r="L963" s="44" t="s">
        <v>7</v>
      </c>
      <c r="M963" s="213" t="s">
        <v>8</v>
      </c>
      <c r="N963" s="214"/>
      <c r="O963" s="66"/>
      <c r="P963" s="44" t="s">
        <v>11</v>
      </c>
      <c r="Q963" s="228"/>
      <c r="R963" s="179"/>
      <c r="T963" s="88">
        <v>5.05306435E-2</v>
      </c>
    </row>
    <row r="964" spans="1:20" ht="15" customHeight="1">
      <c r="A964" s="47" t="s">
        <v>1051</v>
      </c>
      <c r="B964" s="48" t="s">
        <v>1671</v>
      </c>
      <c r="C964" s="47" t="s">
        <v>1053</v>
      </c>
      <c r="D964" s="190" t="s">
        <v>1672</v>
      </c>
      <c r="E964" s="191"/>
      <c r="F964" s="47" t="s">
        <v>1628</v>
      </c>
      <c r="G964" s="192"/>
      <c r="H964" s="193"/>
      <c r="I964" s="194"/>
      <c r="J964" s="195" t="s">
        <v>1085</v>
      </c>
      <c r="K964" s="196"/>
      <c r="L964" s="50">
        <v>1</v>
      </c>
      <c r="M964" s="231">
        <v>516.65</v>
      </c>
      <c r="N964" s="232"/>
      <c r="O964" s="64">
        <f>M964-(M964*T964)</f>
        <v>490.543343035725</v>
      </c>
      <c r="P964" s="64">
        <f>SUM(P965:P970)</f>
        <v>490.543343035725</v>
      </c>
      <c r="Q964" s="228"/>
      <c r="R964" s="179"/>
      <c r="T964" s="88">
        <v>5.05306435E-2</v>
      </c>
    </row>
    <row r="965" spans="1:20" ht="15" customHeight="1">
      <c r="A965" s="52" t="s">
        <v>1057</v>
      </c>
      <c r="B965" s="53">
        <v>88264</v>
      </c>
      <c r="C965" s="52" t="s">
        <v>1058</v>
      </c>
      <c r="D965" s="199" t="s">
        <v>1063</v>
      </c>
      <c r="E965" s="200"/>
      <c r="F965" s="52" t="s">
        <v>1158</v>
      </c>
      <c r="G965" s="201"/>
      <c r="H965" s="202"/>
      <c r="I965" s="203"/>
      <c r="J965" s="204" t="s">
        <v>1061</v>
      </c>
      <c r="K965" s="205"/>
      <c r="L965" s="55">
        <v>1.5</v>
      </c>
      <c r="M965" s="188">
        <v>27.27</v>
      </c>
      <c r="N965" s="189"/>
      <c r="O965" s="56">
        <f>M965-(M965*T965)</f>
        <v>25.892029351754999</v>
      </c>
      <c r="P965" s="57">
        <f t="shared" ref="P965:P967" si="176">O965*L965</f>
        <v>38.838044027632499</v>
      </c>
      <c r="Q965" s="228"/>
      <c r="R965" s="179"/>
      <c r="T965" s="88">
        <v>5.05306435E-2</v>
      </c>
    </row>
    <row r="966" spans="1:20" ht="14.25" customHeight="1">
      <c r="A966" s="52" t="s">
        <v>1057</v>
      </c>
      <c r="B966" s="53">
        <v>88247</v>
      </c>
      <c r="C966" s="52" t="s">
        <v>1058</v>
      </c>
      <c r="D966" s="199" t="s">
        <v>1062</v>
      </c>
      <c r="E966" s="200"/>
      <c r="F966" s="52" t="s">
        <v>1158</v>
      </c>
      <c r="G966" s="201"/>
      <c r="H966" s="202"/>
      <c r="I966" s="203"/>
      <c r="J966" s="204" t="s">
        <v>1061</v>
      </c>
      <c r="K966" s="205"/>
      <c r="L966" s="55">
        <v>1.5</v>
      </c>
      <c r="M966" s="188">
        <v>22.63</v>
      </c>
      <c r="N966" s="189"/>
      <c r="O966" s="56">
        <f t="shared" ref="O966:O967" si="177">M966-(M966*T966)</f>
        <v>21.486491537595001</v>
      </c>
      <c r="P966" s="57">
        <f t="shared" si="176"/>
        <v>32.229737306392501</v>
      </c>
      <c r="Q966" s="228"/>
      <c r="R966" s="179"/>
      <c r="T966" s="88">
        <v>5.05306435E-2</v>
      </c>
    </row>
    <row r="967" spans="1:20" ht="15" customHeight="1">
      <c r="A967" s="58" t="s">
        <v>1064</v>
      </c>
      <c r="B967" s="62">
        <v>44793</v>
      </c>
      <c r="C967" s="58" t="s">
        <v>1337</v>
      </c>
      <c r="D967" s="181" t="s">
        <v>1673</v>
      </c>
      <c r="E967" s="182"/>
      <c r="F967" s="58" t="s">
        <v>1068</v>
      </c>
      <c r="G967" s="183"/>
      <c r="H967" s="184"/>
      <c r="I967" s="185"/>
      <c r="J967" s="186" t="s">
        <v>1085</v>
      </c>
      <c r="K967" s="187"/>
      <c r="L967" s="60">
        <v>1</v>
      </c>
      <c r="M967" s="229">
        <v>441.8</v>
      </c>
      <c r="N967" s="230"/>
      <c r="O967" s="56">
        <f t="shared" si="177"/>
        <v>419.47556170170003</v>
      </c>
      <c r="P967" s="57">
        <f t="shared" si="176"/>
        <v>419.47556170170003</v>
      </c>
      <c r="Q967" s="228"/>
      <c r="R967" s="179"/>
      <c r="T967" s="88">
        <v>5.05306435E-2</v>
      </c>
    </row>
    <row r="968" spans="1:20" ht="14.25" customHeight="1">
      <c r="A968" s="174" t="s">
        <v>1070</v>
      </c>
      <c r="B968" s="174"/>
      <c r="C968" s="174"/>
      <c r="D968" s="174"/>
      <c r="E968" s="174"/>
      <c r="F968" s="174"/>
      <c r="G968" s="174"/>
      <c r="H968" s="175" t="s">
        <v>1071</v>
      </c>
      <c r="I968" s="175"/>
      <c r="J968" s="175"/>
      <c r="K968" s="175"/>
      <c r="L968" s="176">
        <v>0</v>
      </c>
      <c r="M968" s="176"/>
      <c r="N968" s="177" t="s">
        <v>1072</v>
      </c>
      <c r="O968" s="177"/>
      <c r="P968" s="177"/>
      <c r="Q968" s="179"/>
      <c r="R968" s="179"/>
      <c r="T968" s="88">
        <v>5.05306435E-2</v>
      </c>
    </row>
    <row r="969" spans="1:20" ht="17.45" customHeight="1">
      <c r="A969" s="178" t="s">
        <v>1073</v>
      </c>
      <c r="B969" s="178"/>
      <c r="C969" s="178"/>
      <c r="D969" s="178"/>
      <c r="E969" s="178"/>
      <c r="F969" s="178"/>
      <c r="G969" s="178"/>
      <c r="H969" s="179"/>
      <c r="I969" s="179"/>
      <c r="J969" s="179"/>
      <c r="K969" s="179"/>
      <c r="L969" s="180" t="s">
        <v>1074</v>
      </c>
      <c r="M969" s="180"/>
      <c r="N969" s="179"/>
      <c r="O969" s="179"/>
      <c r="P969" s="179"/>
      <c r="Q969" s="179"/>
      <c r="R969" s="179"/>
      <c r="T969" s="88">
        <v>5.05306435E-2</v>
      </c>
    </row>
    <row r="970" spans="1:20" ht="28.5" customHeight="1">
      <c r="A970" s="233" t="s">
        <v>1674</v>
      </c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T970" s="88">
        <v>5.05306435E-2</v>
      </c>
    </row>
    <row r="971" spans="1:20" ht="14.25" customHeight="1">
      <c r="A971" s="207"/>
      <c r="B971" s="207"/>
      <c r="C971" s="207"/>
      <c r="D971" s="207"/>
      <c r="E971" s="207"/>
      <c r="F971" s="207"/>
      <c r="G971" s="207"/>
      <c r="H971" s="207"/>
      <c r="I971" s="207"/>
      <c r="J971" s="207"/>
      <c r="K971" s="207"/>
      <c r="L971" s="207"/>
      <c r="M971" s="207"/>
      <c r="N971" s="207"/>
      <c r="O971" s="207"/>
      <c r="P971" s="207"/>
      <c r="Q971" s="179"/>
      <c r="R971" s="179"/>
      <c r="T971" s="88">
        <v>5.05306435E-2</v>
      </c>
    </row>
    <row r="972" spans="1:20" ht="15.75" customHeight="1">
      <c r="A972" s="71">
        <v>55900</v>
      </c>
      <c r="B972" s="44" t="s">
        <v>3</v>
      </c>
      <c r="C972" s="43" t="s">
        <v>4</v>
      </c>
      <c r="D972" s="208" t="s">
        <v>5</v>
      </c>
      <c r="E972" s="209"/>
      <c r="F972" s="43" t="s">
        <v>1049</v>
      </c>
      <c r="G972" s="210"/>
      <c r="H972" s="211"/>
      <c r="I972" s="212"/>
      <c r="J972" s="215" t="s">
        <v>6</v>
      </c>
      <c r="K972" s="217"/>
      <c r="L972" s="44" t="s">
        <v>7</v>
      </c>
      <c r="M972" s="213" t="s">
        <v>8</v>
      </c>
      <c r="N972" s="214"/>
      <c r="O972" s="66"/>
      <c r="P972" s="44" t="s">
        <v>11</v>
      </c>
      <c r="Q972" s="228"/>
      <c r="R972" s="179"/>
      <c r="T972" s="88">
        <v>5.05306435E-2</v>
      </c>
    </row>
    <row r="973" spans="1:20" ht="14.25" customHeight="1">
      <c r="A973" s="47" t="s">
        <v>1051</v>
      </c>
      <c r="B973" s="48" t="s">
        <v>1675</v>
      </c>
      <c r="C973" s="47" t="s">
        <v>1053</v>
      </c>
      <c r="D973" s="190" t="s">
        <v>1676</v>
      </c>
      <c r="E973" s="191"/>
      <c r="F973" s="47" t="s">
        <v>1628</v>
      </c>
      <c r="G973" s="192"/>
      <c r="H973" s="193"/>
      <c r="I973" s="194"/>
      <c r="J973" s="195" t="s">
        <v>1085</v>
      </c>
      <c r="K973" s="196"/>
      <c r="L973" s="50">
        <v>1</v>
      </c>
      <c r="M973" s="231">
        <v>336.31</v>
      </c>
      <c r="N973" s="232"/>
      <c r="O973" s="64">
        <f>M973-(M973*T973)</f>
        <v>319.316039284515</v>
      </c>
      <c r="P973" s="64">
        <f>SUM(P974:P979)</f>
        <v>319.31452013354465</v>
      </c>
      <c r="Q973" s="228"/>
      <c r="R973" s="179"/>
      <c r="T973" s="88">
        <v>5.05306435E-2</v>
      </c>
    </row>
    <row r="974" spans="1:20" ht="15" customHeight="1">
      <c r="A974" s="52" t="s">
        <v>1057</v>
      </c>
      <c r="B974" s="53">
        <v>88247</v>
      </c>
      <c r="C974" s="52" t="s">
        <v>1058</v>
      </c>
      <c r="D974" s="199" t="s">
        <v>1062</v>
      </c>
      <c r="E974" s="200"/>
      <c r="F974" s="52" t="s">
        <v>1158</v>
      </c>
      <c r="G974" s="201"/>
      <c r="H974" s="202"/>
      <c r="I974" s="203"/>
      <c r="J974" s="204" t="s">
        <v>1061</v>
      </c>
      <c r="K974" s="205"/>
      <c r="L974" s="55">
        <v>0.51600000000000001</v>
      </c>
      <c r="M974" s="188">
        <v>22.63</v>
      </c>
      <c r="N974" s="189"/>
      <c r="O974" s="56">
        <f>M974-(M974*T974)</f>
        <v>21.486491537595001</v>
      </c>
      <c r="P974" s="57">
        <f t="shared" ref="P974:P976" si="178">O974*L974</f>
        <v>11.08702963339902</v>
      </c>
      <c r="Q974" s="228"/>
      <c r="R974" s="179"/>
      <c r="T974" s="88">
        <v>5.05306435E-2</v>
      </c>
    </row>
    <row r="975" spans="1:20" ht="14.25" customHeight="1">
      <c r="A975" s="52" t="s">
        <v>1057</v>
      </c>
      <c r="B975" s="53">
        <v>88264</v>
      </c>
      <c r="C975" s="52" t="s">
        <v>1058</v>
      </c>
      <c r="D975" s="199" t="s">
        <v>1063</v>
      </c>
      <c r="E975" s="200"/>
      <c r="F975" s="52" t="s">
        <v>1158</v>
      </c>
      <c r="G975" s="201"/>
      <c r="H975" s="202"/>
      <c r="I975" s="203"/>
      <c r="J975" s="204" t="s">
        <v>1061</v>
      </c>
      <c r="K975" s="205"/>
      <c r="L975" s="55">
        <v>0.51600000000000001</v>
      </c>
      <c r="M975" s="188">
        <v>27.27</v>
      </c>
      <c r="N975" s="189"/>
      <c r="O975" s="56">
        <f t="shared" ref="O975:O976" si="179">M975-(M975*T975)</f>
        <v>25.892029351754999</v>
      </c>
      <c r="P975" s="57">
        <f t="shared" si="178"/>
        <v>13.36028714550558</v>
      </c>
      <c r="Q975" s="228"/>
      <c r="R975" s="179"/>
      <c r="T975" s="88">
        <v>5.05306435E-2</v>
      </c>
    </row>
    <row r="976" spans="1:20" ht="15" customHeight="1">
      <c r="A976" s="58" t="s">
        <v>1064</v>
      </c>
      <c r="B976" s="62">
        <v>36570</v>
      </c>
      <c r="C976" s="58" t="s">
        <v>1150</v>
      </c>
      <c r="D976" s="181" t="s">
        <v>1677</v>
      </c>
      <c r="E976" s="182"/>
      <c r="F976" s="58" t="s">
        <v>1068</v>
      </c>
      <c r="G976" s="183"/>
      <c r="H976" s="184"/>
      <c r="I976" s="185"/>
      <c r="J976" s="186" t="s">
        <v>1085</v>
      </c>
      <c r="K976" s="187"/>
      <c r="L976" s="60">
        <v>1</v>
      </c>
      <c r="M976" s="229">
        <v>310.56</v>
      </c>
      <c r="N976" s="230"/>
      <c r="O976" s="56">
        <f t="shared" si="179"/>
        <v>294.86720335464003</v>
      </c>
      <c r="P976" s="57">
        <f t="shared" si="178"/>
        <v>294.86720335464003</v>
      </c>
      <c r="Q976" s="228"/>
      <c r="R976" s="179"/>
      <c r="T976" s="88">
        <v>5.05306435E-2</v>
      </c>
    </row>
    <row r="977" spans="1:20" ht="14.25" customHeight="1">
      <c r="A977" s="174" t="s">
        <v>1070</v>
      </c>
      <c r="B977" s="174"/>
      <c r="C977" s="174"/>
      <c r="D977" s="174"/>
      <c r="E977" s="174"/>
      <c r="F977" s="174"/>
      <c r="G977" s="174"/>
      <c r="H977" s="175" t="s">
        <v>1071</v>
      </c>
      <c r="I977" s="175"/>
      <c r="J977" s="175"/>
      <c r="K977" s="175"/>
      <c r="L977" s="176">
        <v>0</v>
      </c>
      <c r="M977" s="176"/>
      <c r="N977" s="177" t="s">
        <v>1072</v>
      </c>
      <c r="O977" s="177"/>
      <c r="P977" s="177"/>
      <c r="Q977" s="179"/>
      <c r="R977" s="179"/>
      <c r="T977" s="88">
        <v>5.05306435E-2</v>
      </c>
    </row>
    <row r="978" spans="1:20" ht="16.5" customHeight="1">
      <c r="A978" s="178" t="s">
        <v>1073</v>
      </c>
      <c r="B978" s="178"/>
      <c r="C978" s="178"/>
      <c r="D978" s="178"/>
      <c r="E978" s="178"/>
      <c r="F978" s="178"/>
      <c r="G978" s="178"/>
      <c r="H978" s="179"/>
      <c r="I978" s="179"/>
      <c r="J978" s="179"/>
      <c r="K978" s="179"/>
      <c r="L978" s="180" t="s">
        <v>1074</v>
      </c>
      <c r="M978" s="180"/>
      <c r="N978" s="179"/>
      <c r="O978" s="179"/>
      <c r="P978" s="179"/>
      <c r="Q978" s="179"/>
      <c r="R978" s="179"/>
      <c r="T978" s="88">
        <v>5.05306435E-2</v>
      </c>
    </row>
    <row r="979" spans="1:20" ht="28.5" customHeight="1">
      <c r="A979" s="233" t="s">
        <v>1678</v>
      </c>
      <c r="B979" s="233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T979" s="88">
        <v>5.05306435E-2</v>
      </c>
    </row>
    <row r="980" spans="1:20" ht="14.25" customHeight="1">
      <c r="A980" s="207"/>
      <c r="B980" s="207"/>
      <c r="C980" s="207"/>
      <c r="D980" s="207"/>
      <c r="E980" s="207"/>
      <c r="F980" s="207"/>
      <c r="G980" s="207"/>
      <c r="H980" s="207"/>
      <c r="I980" s="207"/>
      <c r="J980" s="207"/>
      <c r="K980" s="207"/>
      <c r="L980" s="207"/>
      <c r="M980" s="207"/>
      <c r="N980" s="207"/>
      <c r="O980" s="207"/>
      <c r="P980" s="207"/>
      <c r="Q980" s="179"/>
      <c r="R980" s="179"/>
      <c r="T980" s="88">
        <v>5.05306435E-2</v>
      </c>
    </row>
    <row r="981" spans="1:20" ht="15.75" customHeight="1">
      <c r="A981" s="71">
        <v>56265</v>
      </c>
      <c r="B981" s="44" t="s">
        <v>3</v>
      </c>
      <c r="C981" s="43" t="s">
        <v>4</v>
      </c>
      <c r="D981" s="208" t="s">
        <v>5</v>
      </c>
      <c r="E981" s="209"/>
      <c r="F981" s="43" t="s">
        <v>1049</v>
      </c>
      <c r="G981" s="210"/>
      <c r="H981" s="211"/>
      <c r="I981" s="212"/>
      <c r="J981" s="215" t="s">
        <v>6</v>
      </c>
      <c r="K981" s="217"/>
      <c r="L981" s="44" t="s">
        <v>7</v>
      </c>
      <c r="M981" s="213" t="s">
        <v>8</v>
      </c>
      <c r="N981" s="214"/>
      <c r="O981" s="66"/>
      <c r="P981" s="44" t="s">
        <v>11</v>
      </c>
      <c r="Q981" s="228"/>
      <c r="R981" s="179"/>
      <c r="T981" s="88">
        <v>5.05306435E-2</v>
      </c>
    </row>
    <row r="982" spans="1:20" ht="15" customHeight="1">
      <c r="A982" s="47" t="s">
        <v>1051</v>
      </c>
      <c r="B982" s="48" t="s">
        <v>1679</v>
      </c>
      <c r="C982" s="47" t="s">
        <v>1053</v>
      </c>
      <c r="D982" s="190" t="s">
        <v>1680</v>
      </c>
      <c r="E982" s="191"/>
      <c r="F982" s="47" t="s">
        <v>1628</v>
      </c>
      <c r="G982" s="192"/>
      <c r="H982" s="193"/>
      <c r="I982" s="194"/>
      <c r="J982" s="195" t="s">
        <v>1085</v>
      </c>
      <c r="K982" s="196"/>
      <c r="L982" s="50">
        <v>1</v>
      </c>
      <c r="M982" s="231">
        <v>526.26</v>
      </c>
      <c r="N982" s="232"/>
      <c r="O982" s="64">
        <f>M982-(M982*T982)</f>
        <v>499.66774355168997</v>
      </c>
      <c r="P982" s="64">
        <f>SUM(P983:P988)</f>
        <v>499.67226492476567</v>
      </c>
      <c r="Q982" s="228"/>
      <c r="R982" s="179"/>
      <c r="T982" s="88">
        <v>5.05306435E-2</v>
      </c>
    </row>
    <row r="983" spans="1:20" ht="14.25" customHeight="1">
      <c r="A983" s="52" t="s">
        <v>1057</v>
      </c>
      <c r="B983" s="53">
        <v>88264</v>
      </c>
      <c r="C983" s="52" t="s">
        <v>1058</v>
      </c>
      <c r="D983" s="199" t="s">
        <v>1063</v>
      </c>
      <c r="E983" s="200"/>
      <c r="F983" s="52" t="s">
        <v>1158</v>
      </c>
      <c r="G983" s="201"/>
      <c r="H983" s="202"/>
      <c r="I983" s="203"/>
      <c r="J983" s="204" t="s">
        <v>1061</v>
      </c>
      <c r="K983" s="205"/>
      <c r="L983" s="55">
        <v>0.33329999999999999</v>
      </c>
      <c r="M983" s="188">
        <v>27.27</v>
      </c>
      <c r="N983" s="189"/>
      <c r="O983" s="56">
        <f>M983-(M983*T983)</f>
        <v>25.892029351754999</v>
      </c>
      <c r="P983" s="57">
        <f t="shared" ref="P983:P985" si="180">O983*L983</f>
        <v>8.6298133829399415</v>
      </c>
      <c r="Q983" s="228"/>
      <c r="R983" s="179"/>
      <c r="T983" s="88">
        <v>5.05306435E-2</v>
      </c>
    </row>
    <row r="984" spans="1:20" ht="15" customHeight="1">
      <c r="A984" s="52" t="s">
        <v>1057</v>
      </c>
      <c r="B984" s="53">
        <v>88266</v>
      </c>
      <c r="C984" s="52" t="s">
        <v>1058</v>
      </c>
      <c r="D984" s="199" t="s">
        <v>1681</v>
      </c>
      <c r="E984" s="200"/>
      <c r="F984" s="52" t="s">
        <v>1158</v>
      </c>
      <c r="G984" s="201"/>
      <c r="H984" s="202"/>
      <c r="I984" s="203"/>
      <c r="J984" s="204" t="s">
        <v>1061</v>
      </c>
      <c r="K984" s="205"/>
      <c r="L984" s="55">
        <v>0.33329999999999999</v>
      </c>
      <c r="M984" s="188">
        <v>29.87</v>
      </c>
      <c r="N984" s="189"/>
      <c r="O984" s="56">
        <f t="shared" ref="O984:O985" si="181">M984-(M984*T984)</f>
        <v>28.360649678655001</v>
      </c>
      <c r="P984" s="57">
        <f t="shared" si="180"/>
        <v>9.4526045378957111</v>
      </c>
      <c r="Q984" s="228"/>
      <c r="R984" s="179"/>
      <c r="T984" s="88">
        <v>5.05306435E-2</v>
      </c>
    </row>
    <row r="985" spans="1:20" ht="14.45" customHeight="1">
      <c r="A985" s="58" t="s">
        <v>1064</v>
      </c>
      <c r="B985" s="59" t="s">
        <v>1682</v>
      </c>
      <c r="C985" s="58" t="s">
        <v>1066</v>
      </c>
      <c r="D985" s="181" t="s">
        <v>1683</v>
      </c>
      <c r="E985" s="182"/>
      <c r="F985" s="58" t="s">
        <v>1068</v>
      </c>
      <c r="G985" s="183"/>
      <c r="H985" s="184"/>
      <c r="I985" s="185"/>
      <c r="J985" s="186" t="s">
        <v>1187</v>
      </c>
      <c r="K985" s="187"/>
      <c r="L985" s="60">
        <v>1</v>
      </c>
      <c r="M985" s="229">
        <v>507.22</v>
      </c>
      <c r="N985" s="230"/>
      <c r="O985" s="56">
        <f t="shared" si="181"/>
        <v>481.58984700393</v>
      </c>
      <c r="P985" s="57">
        <f t="shared" si="180"/>
        <v>481.58984700393</v>
      </c>
      <c r="Q985" s="228"/>
      <c r="R985" s="179"/>
      <c r="T985" s="88">
        <v>5.05306435E-2</v>
      </c>
    </row>
    <row r="986" spans="1:20" ht="14.25" customHeight="1">
      <c r="A986" s="174" t="s">
        <v>1070</v>
      </c>
      <c r="B986" s="174"/>
      <c r="C986" s="174"/>
      <c r="D986" s="174"/>
      <c r="E986" s="174"/>
      <c r="F986" s="174"/>
      <c r="G986" s="174"/>
      <c r="H986" s="175" t="s">
        <v>1071</v>
      </c>
      <c r="I986" s="175"/>
      <c r="J986" s="175"/>
      <c r="K986" s="175"/>
      <c r="L986" s="176">
        <v>0</v>
      </c>
      <c r="M986" s="176"/>
      <c r="N986" s="177" t="s">
        <v>1072</v>
      </c>
      <c r="O986" s="177"/>
      <c r="P986" s="177"/>
      <c r="Q986" s="179"/>
      <c r="R986" s="179"/>
      <c r="T986" s="88">
        <v>5.05306435E-2</v>
      </c>
    </row>
    <row r="987" spans="1:20" ht="16.5" customHeight="1">
      <c r="A987" s="178" t="s">
        <v>1073</v>
      </c>
      <c r="B987" s="178"/>
      <c r="C987" s="178"/>
      <c r="D987" s="178"/>
      <c r="E987" s="178"/>
      <c r="F987" s="178"/>
      <c r="G987" s="178"/>
      <c r="H987" s="179"/>
      <c r="I987" s="179"/>
      <c r="J987" s="179"/>
      <c r="K987" s="179"/>
      <c r="L987" s="180" t="s">
        <v>1074</v>
      </c>
      <c r="M987" s="180"/>
      <c r="N987" s="179"/>
      <c r="O987" s="179"/>
      <c r="P987" s="179"/>
      <c r="Q987" s="179"/>
      <c r="R987" s="179"/>
      <c r="T987" s="88">
        <v>5.05306435E-2</v>
      </c>
    </row>
    <row r="988" spans="1:20" ht="28.5" customHeight="1">
      <c r="A988" s="233" t="s">
        <v>1684</v>
      </c>
      <c r="B988" s="233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T988" s="88">
        <v>5.05306435E-2</v>
      </c>
    </row>
    <row r="989" spans="1:20" ht="15" customHeight="1">
      <c r="A989" s="207"/>
      <c r="B989" s="207"/>
      <c r="C989" s="207"/>
      <c r="D989" s="207"/>
      <c r="E989" s="207"/>
      <c r="F989" s="207"/>
      <c r="G989" s="207"/>
      <c r="H989" s="207"/>
      <c r="I989" s="207"/>
      <c r="J989" s="207"/>
      <c r="K989" s="207"/>
      <c r="L989" s="207"/>
      <c r="M989" s="207"/>
      <c r="N989" s="207"/>
      <c r="O989" s="207"/>
      <c r="P989" s="207"/>
      <c r="Q989" s="179"/>
      <c r="R989" s="179"/>
      <c r="T989" s="88">
        <v>5.05306435E-2</v>
      </c>
    </row>
    <row r="990" spans="1:20" ht="15.75" customHeight="1">
      <c r="A990" s="71">
        <v>56630</v>
      </c>
      <c r="B990" s="44" t="s">
        <v>3</v>
      </c>
      <c r="C990" s="43" t="s">
        <v>4</v>
      </c>
      <c r="D990" s="208" t="s">
        <v>5</v>
      </c>
      <c r="E990" s="209"/>
      <c r="F990" s="43" t="s">
        <v>1049</v>
      </c>
      <c r="G990" s="210"/>
      <c r="H990" s="211"/>
      <c r="I990" s="212"/>
      <c r="J990" s="215" t="s">
        <v>6</v>
      </c>
      <c r="K990" s="217"/>
      <c r="L990" s="44" t="s">
        <v>7</v>
      </c>
      <c r="M990" s="213" t="s">
        <v>8</v>
      </c>
      <c r="N990" s="214"/>
      <c r="O990" s="66"/>
      <c r="P990" s="44" t="s">
        <v>11</v>
      </c>
      <c r="Q990" s="228"/>
      <c r="R990" s="179"/>
      <c r="T990" s="88">
        <v>5.05306435E-2</v>
      </c>
    </row>
    <row r="991" spans="1:20" ht="15" customHeight="1">
      <c r="A991" s="47" t="s">
        <v>1051</v>
      </c>
      <c r="B991" s="48" t="s">
        <v>1685</v>
      </c>
      <c r="C991" s="47" t="s">
        <v>1053</v>
      </c>
      <c r="D991" s="190" t="s">
        <v>1686</v>
      </c>
      <c r="E991" s="191"/>
      <c r="F991" s="47" t="s">
        <v>1628</v>
      </c>
      <c r="G991" s="192"/>
      <c r="H991" s="193"/>
      <c r="I991" s="194"/>
      <c r="J991" s="195" t="s">
        <v>1085</v>
      </c>
      <c r="K991" s="196"/>
      <c r="L991" s="50">
        <v>1</v>
      </c>
      <c r="M991" s="231">
        <v>167.14</v>
      </c>
      <c r="N991" s="232"/>
      <c r="O991" s="64">
        <f>M991-(M991*T991)</f>
        <v>158.69430824540999</v>
      </c>
      <c r="P991" s="64">
        <f>SUM(P992:P997)</f>
        <v>158.69278909443958</v>
      </c>
      <c r="Q991" s="228"/>
      <c r="R991" s="179"/>
      <c r="T991" s="88">
        <v>5.05306435E-2</v>
      </c>
    </row>
    <row r="992" spans="1:20" ht="14.25" customHeight="1">
      <c r="A992" s="52" t="s">
        <v>1057</v>
      </c>
      <c r="B992" s="53">
        <v>88247</v>
      </c>
      <c r="C992" s="52" t="s">
        <v>1058</v>
      </c>
      <c r="D992" s="199" t="s">
        <v>1062</v>
      </c>
      <c r="E992" s="200"/>
      <c r="F992" s="52" t="s">
        <v>1158</v>
      </c>
      <c r="G992" s="201"/>
      <c r="H992" s="202"/>
      <c r="I992" s="203"/>
      <c r="J992" s="204" t="s">
        <v>1061</v>
      </c>
      <c r="K992" s="205"/>
      <c r="L992" s="55">
        <v>0.51600000000000001</v>
      </c>
      <c r="M992" s="188">
        <v>22.63</v>
      </c>
      <c r="N992" s="189"/>
      <c r="O992" s="56">
        <f>M992-(M992*T992)</f>
        <v>21.486491537595001</v>
      </c>
      <c r="P992" s="57">
        <f t="shared" ref="P992:P994" si="182">O992*L992</f>
        <v>11.08702963339902</v>
      </c>
      <c r="Q992" s="228"/>
      <c r="R992" s="179"/>
      <c r="T992" s="88">
        <v>5.05306435E-2</v>
      </c>
    </row>
    <row r="993" spans="1:20" ht="15" customHeight="1">
      <c r="A993" s="52" t="s">
        <v>1057</v>
      </c>
      <c r="B993" s="53">
        <v>88264</v>
      </c>
      <c r="C993" s="52" t="s">
        <v>1058</v>
      </c>
      <c r="D993" s="199" t="s">
        <v>1063</v>
      </c>
      <c r="E993" s="200"/>
      <c r="F993" s="52" t="s">
        <v>1158</v>
      </c>
      <c r="G993" s="201"/>
      <c r="H993" s="202"/>
      <c r="I993" s="203"/>
      <c r="J993" s="204" t="s">
        <v>1061</v>
      </c>
      <c r="K993" s="205"/>
      <c r="L993" s="55">
        <v>0.51600000000000001</v>
      </c>
      <c r="M993" s="188">
        <v>27.27</v>
      </c>
      <c r="N993" s="189"/>
      <c r="O993" s="56">
        <f t="shared" ref="O993:O994" si="183">M993-(M993*T993)</f>
        <v>25.892029351754999</v>
      </c>
      <c r="P993" s="57">
        <f t="shared" si="182"/>
        <v>13.36028714550558</v>
      </c>
      <c r="Q993" s="228"/>
      <c r="R993" s="179"/>
      <c r="T993" s="88">
        <v>5.05306435E-2</v>
      </c>
    </row>
    <row r="994" spans="1:20" ht="14.85" customHeight="1">
      <c r="A994" s="58" t="s">
        <v>1064</v>
      </c>
      <c r="B994" s="62">
        <v>2415</v>
      </c>
      <c r="C994" s="58" t="s">
        <v>1150</v>
      </c>
      <c r="D994" s="181" t="s">
        <v>1687</v>
      </c>
      <c r="E994" s="182"/>
      <c r="F994" s="58" t="s">
        <v>1068</v>
      </c>
      <c r="G994" s="183"/>
      <c r="H994" s="184"/>
      <c r="I994" s="185"/>
      <c r="J994" s="186" t="s">
        <v>1085</v>
      </c>
      <c r="K994" s="187"/>
      <c r="L994" s="60">
        <v>1</v>
      </c>
      <c r="M994" s="229">
        <v>141.38999999999999</v>
      </c>
      <c r="N994" s="230"/>
      <c r="O994" s="56">
        <f t="shared" si="183"/>
        <v>134.24547231553498</v>
      </c>
      <c r="P994" s="57">
        <f t="shared" si="182"/>
        <v>134.24547231553498</v>
      </c>
      <c r="Q994" s="228"/>
      <c r="R994" s="179"/>
      <c r="T994" s="88">
        <v>5.05306435E-2</v>
      </c>
    </row>
    <row r="995" spans="1:20" ht="14.25" customHeight="1">
      <c r="A995" s="174" t="s">
        <v>1070</v>
      </c>
      <c r="B995" s="174"/>
      <c r="C995" s="174"/>
      <c r="D995" s="174"/>
      <c r="E995" s="174"/>
      <c r="F995" s="174"/>
      <c r="G995" s="174"/>
      <c r="H995" s="175" t="s">
        <v>1071</v>
      </c>
      <c r="I995" s="175"/>
      <c r="J995" s="175"/>
      <c r="K995" s="175"/>
      <c r="L995" s="176">
        <v>0</v>
      </c>
      <c r="M995" s="176"/>
      <c r="N995" s="177" t="s">
        <v>1072</v>
      </c>
      <c r="O995" s="177"/>
      <c r="P995" s="177"/>
      <c r="Q995" s="179"/>
      <c r="R995" s="179"/>
      <c r="T995" s="88">
        <v>5.05306435E-2</v>
      </c>
    </row>
    <row r="996" spans="1:20" ht="17.45" customHeight="1">
      <c r="A996" s="178" t="s">
        <v>1073</v>
      </c>
      <c r="B996" s="178"/>
      <c r="C996" s="178"/>
      <c r="D996" s="178"/>
      <c r="E996" s="178"/>
      <c r="F996" s="178"/>
      <c r="G996" s="178"/>
      <c r="H996" s="179"/>
      <c r="I996" s="179"/>
      <c r="J996" s="179"/>
      <c r="K996" s="179"/>
      <c r="L996" s="180" t="s">
        <v>1074</v>
      </c>
      <c r="M996" s="180"/>
      <c r="N996" s="179"/>
      <c r="O996" s="179"/>
      <c r="P996" s="179"/>
      <c r="Q996" s="179"/>
      <c r="R996" s="179"/>
      <c r="T996" s="88">
        <v>5.05306435E-2</v>
      </c>
    </row>
    <row r="997" spans="1:20" ht="28.5" customHeight="1">
      <c r="A997" s="233" t="s">
        <v>1688</v>
      </c>
      <c r="B997" s="233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T997" s="88">
        <v>5.05306435E-2</v>
      </c>
    </row>
    <row r="998" spans="1:20" ht="14.25" customHeight="1">
      <c r="A998" s="207"/>
      <c r="B998" s="207"/>
      <c r="C998" s="207"/>
      <c r="D998" s="207"/>
      <c r="E998" s="207"/>
      <c r="F998" s="207"/>
      <c r="G998" s="207"/>
      <c r="H998" s="207"/>
      <c r="I998" s="207"/>
      <c r="J998" s="207"/>
      <c r="K998" s="207"/>
      <c r="L998" s="207"/>
      <c r="M998" s="207"/>
      <c r="N998" s="207"/>
      <c r="O998" s="207"/>
      <c r="P998" s="207"/>
      <c r="Q998" s="179"/>
      <c r="R998" s="179"/>
      <c r="T998" s="88">
        <v>5.05306435E-2</v>
      </c>
    </row>
    <row r="999" spans="1:20" ht="15.75" customHeight="1">
      <c r="A999" s="71">
        <v>56995</v>
      </c>
      <c r="B999" s="44" t="s">
        <v>3</v>
      </c>
      <c r="C999" s="43" t="s">
        <v>4</v>
      </c>
      <c r="D999" s="208" t="s">
        <v>5</v>
      </c>
      <c r="E999" s="209"/>
      <c r="F999" s="43" t="s">
        <v>1049</v>
      </c>
      <c r="G999" s="210"/>
      <c r="H999" s="211"/>
      <c r="I999" s="212"/>
      <c r="J999" s="215" t="s">
        <v>6</v>
      </c>
      <c r="K999" s="217"/>
      <c r="L999" s="44" t="s">
        <v>7</v>
      </c>
      <c r="M999" s="213" t="s">
        <v>8</v>
      </c>
      <c r="N999" s="214"/>
      <c r="O999" s="66"/>
      <c r="P999" s="44" t="s">
        <v>11</v>
      </c>
      <c r="Q999" s="228"/>
      <c r="R999" s="179"/>
      <c r="T999" s="88">
        <v>5.05306435E-2</v>
      </c>
    </row>
    <row r="1000" spans="1:20" ht="14.25" customHeight="1">
      <c r="A1000" s="47" t="s">
        <v>1051</v>
      </c>
      <c r="B1000" s="48" t="s">
        <v>1689</v>
      </c>
      <c r="C1000" s="47" t="s">
        <v>1053</v>
      </c>
      <c r="D1000" s="190" t="s">
        <v>1690</v>
      </c>
      <c r="E1000" s="191"/>
      <c r="F1000" s="47" t="s">
        <v>1628</v>
      </c>
      <c r="G1000" s="192"/>
      <c r="H1000" s="193"/>
      <c r="I1000" s="194"/>
      <c r="J1000" s="195" t="s">
        <v>1085</v>
      </c>
      <c r="K1000" s="196"/>
      <c r="L1000" s="50">
        <v>1</v>
      </c>
      <c r="M1000" s="231">
        <v>300.14999999999998</v>
      </c>
      <c r="N1000" s="232"/>
      <c r="O1000" s="64">
        <f>M1000-(M1000*T1000)</f>
        <v>284.983227353475</v>
      </c>
      <c r="P1000" s="64">
        <f>SUM(P1001:P1006)</f>
        <v>284.987025230901</v>
      </c>
      <c r="Q1000" s="228"/>
      <c r="R1000" s="179"/>
      <c r="T1000" s="88">
        <v>5.05306435E-2</v>
      </c>
    </row>
    <row r="1001" spans="1:20" ht="15" customHeight="1">
      <c r="A1001" s="52" t="s">
        <v>1057</v>
      </c>
      <c r="B1001" s="53">
        <v>88316</v>
      </c>
      <c r="C1001" s="52" t="s">
        <v>1058</v>
      </c>
      <c r="D1001" s="199" t="s">
        <v>1059</v>
      </c>
      <c r="E1001" s="200"/>
      <c r="F1001" s="52" t="s">
        <v>1158</v>
      </c>
      <c r="G1001" s="201"/>
      <c r="H1001" s="202"/>
      <c r="I1001" s="203"/>
      <c r="J1001" s="204" t="s">
        <v>1061</v>
      </c>
      <c r="K1001" s="205"/>
      <c r="L1001" s="55">
        <v>0.6</v>
      </c>
      <c r="M1001" s="188">
        <v>21.32</v>
      </c>
      <c r="N1001" s="189"/>
      <c r="O1001" s="56">
        <f>M1001-(M1001*T1001)</f>
        <v>20.24268668058</v>
      </c>
      <c r="P1001" s="57">
        <f t="shared" ref="P1001:P1003" si="184">O1001*L1001</f>
        <v>12.145612008347999</v>
      </c>
      <c r="Q1001" s="228"/>
      <c r="R1001" s="179"/>
      <c r="T1001" s="88">
        <v>5.05306435E-2</v>
      </c>
    </row>
    <row r="1002" spans="1:20" ht="14.25" customHeight="1">
      <c r="A1002" s="52" t="s">
        <v>1057</v>
      </c>
      <c r="B1002" s="53">
        <v>88264</v>
      </c>
      <c r="C1002" s="52" t="s">
        <v>1058</v>
      </c>
      <c r="D1002" s="199" t="s">
        <v>1063</v>
      </c>
      <c r="E1002" s="200"/>
      <c r="F1002" s="52" t="s">
        <v>1158</v>
      </c>
      <c r="G1002" s="201"/>
      <c r="H1002" s="202"/>
      <c r="I1002" s="203"/>
      <c r="J1002" s="204" t="s">
        <v>1061</v>
      </c>
      <c r="K1002" s="205"/>
      <c r="L1002" s="55">
        <v>0.6</v>
      </c>
      <c r="M1002" s="188">
        <v>27.27</v>
      </c>
      <c r="N1002" s="189"/>
      <c r="O1002" s="56">
        <f t="shared" ref="O1002:O1003" si="185">M1002-(M1002*T1002)</f>
        <v>25.892029351754999</v>
      </c>
      <c r="P1002" s="57">
        <f t="shared" si="184"/>
        <v>15.535217611053</v>
      </c>
      <c r="Q1002" s="228"/>
      <c r="R1002" s="179"/>
      <c r="T1002" s="88">
        <v>5.05306435E-2</v>
      </c>
    </row>
    <row r="1003" spans="1:20" ht="15" customHeight="1">
      <c r="A1003" s="58" t="s">
        <v>1064</v>
      </c>
      <c r="B1003" s="62">
        <v>39449</v>
      </c>
      <c r="C1003" s="58" t="s">
        <v>1058</v>
      </c>
      <c r="D1003" s="181" t="s">
        <v>1691</v>
      </c>
      <c r="E1003" s="182"/>
      <c r="F1003" s="58" t="s">
        <v>1068</v>
      </c>
      <c r="G1003" s="183"/>
      <c r="H1003" s="184"/>
      <c r="I1003" s="185"/>
      <c r="J1003" s="186" t="s">
        <v>1085</v>
      </c>
      <c r="K1003" s="187"/>
      <c r="L1003" s="60">
        <v>1</v>
      </c>
      <c r="M1003" s="247">
        <v>271</v>
      </c>
      <c r="N1003" s="248"/>
      <c r="O1003" s="56">
        <f t="shared" si="185"/>
        <v>257.30619561150002</v>
      </c>
      <c r="P1003" s="57">
        <f t="shared" si="184"/>
        <v>257.30619561150002</v>
      </c>
      <c r="Q1003" s="228"/>
      <c r="R1003" s="179"/>
      <c r="T1003" s="88">
        <v>5.05306435E-2</v>
      </c>
    </row>
    <row r="1004" spans="1:20" ht="14.25" customHeight="1">
      <c r="A1004" s="174" t="s">
        <v>1070</v>
      </c>
      <c r="B1004" s="174"/>
      <c r="C1004" s="174"/>
      <c r="D1004" s="174"/>
      <c r="E1004" s="174"/>
      <c r="F1004" s="174"/>
      <c r="G1004" s="174"/>
      <c r="H1004" s="175" t="s">
        <v>1071</v>
      </c>
      <c r="I1004" s="175"/>
      <c r="J1004" s="175"/>
      <c r="K1004" s="175"/>
      <c r="L1004" s="176">
        <v>0</v>
      </c>
      <c r="M1004" s="176"/>
      <c r="N1004" s="177" t="s">
        <v>1072</v>
      </c>
      <c r="O1004" s="177"/>
      <c r="P1004" s="177"/>
      <c r="Q1004" s="179"/>
      <c r="R1004" s="179"/>
      <c r="T1004" s="88">
        <v>5.05306435E-2</v>
      </c>
    </row>
    <row r="1005" spans="1:20" ht="17.45" customHeight="1">
      <c r="A1005" s="178" t="s">
        <v>1073</v>
      </c>
      <c r="B1005" s="178"/>
      <c r="C1005" s="178"/>
      <c r="D1005" s="178"/>
      <c r="E1005" s="178"/>
      <c r="F1005" s="178"/>
      <c r="G1005" s="178"/>
      <c r="H1005" s="179"/>
      <c r="I1005" s="179"/>
      <c r="J1005" s="179"/>
      <c r="K1005" s="179"/>
      <c r="L1005" s="180" t="s">
        <v>1074</v>
      </c>
      <c r="M1005" s="180"/>
      <c r="N1005" s="179"/>
      <c r="O1005" s="179"/>
      <c r="P1005" s="179"/>
      <c r="Q1005" s="179"/>
      <c r="R1005" s="179"/>
      <c r="T1005" s="88">
        <v>5.05306435E-2</v>
      </c>
    </row>
    <row r="1006" spans="1:20" ht="28.5" customHeight="1">
      <c r="A1006" s="233" t="s">
        <v>1692</v>
      </c>
      <c r="B1006" s="233"/>
      <c r="C1006" s="233"/>
      <c r="D1006" s="233"/>
      <c r="E1006" s="233"/>
      <c r="F1006" s="233"/>
      <c r="G1006" s="233"/>
      <c r="H1006" s="233"/>
      <c r="I1006" s="233"/>
      <c r="J1006" s="233"/>
      <c r="K1006" s="233"/>
      <c r="L1006" s="233"/>
      <c r="M1006" s="233"/>
      <c r="N1006" s="233"/>
      <c r="O1006" s="233"/>
      <c r="P1006" s="233"/>
      <c r="Q1006" s="233"/>
      <c r="R1006" s="233"/>
      <c r="T1006" s="88">
        <v>5.05306435E-2</v>
      </c>
    </row>
    <row r="1007" spans="1:20" ht="14.25" customHeight="1">
      <c r="A1007" s="207"/>
      <c r="B1007" s="207"/>
      <c r="C1007" s="207"/>
      <c r="D1007" s="207"/>
      <c r="E1007" s="207"/>
      <c r="F1007" s="207"/>
      <c r="G1007" s="207"/>
      <c r="H1007" s="207"/>
      <c r="I1007" s="207"/>
      <c r="J1007" s="207"/>
      <c r="K1007" s="207"/>
      <c r="L1007" s="207"/>
      <c r="M1007" s="207"/>
      <c r="N1007" s="207"/>
      <c r="O1007" s="207"/>
      <c r="P1007" s="207"/>
      <c r="Q1007" s="179"/>
      <c r="R1007" s="179"/>
      <c r="T1007" s="88">
        <v>5.05306435E-2</v>
      </c>
    </row>
    <row r="1008" spans="1:20" ht="15.75" customHeight="1">
      <c r="A1008" s="71">
        <v>57361</v>
      </c>
      <c r="B1008" s="44" t="s">
        <v>3</v>
      </c>
      <c r="C1008" s="43" t="s">
        <v>4</v>
      </c>
      <c r="D1008" s="208" t="s">
        <v>5</v>
      </c>
      <c r="E1008" s="209"/>
      <c r="F1008" s="43" t="s">
        <v>1049</v>
      </c>
      <c r="G1008" s="210"/>
      <c r="H1008" s="211"/>
      <c r="I1008" s="212"/>
      <c r="J1008" s="215" t="s">
        <v>6</v>
      </c>
      <c r="K1008" s="217"/>
      <c r="L1008" s="44" t="s">
        <v>7</v>
      </c>
      <c r="M1008" s="213" t="s">
        <v>8</v>
      </c>
      <c r="N1008" s="214"/>
      <c r="O1008" s="66"/>
      <c r="P1008" s="44" t="s">
        <v>11</v>
      </c>
      <c r="Q1008" s="228"/>
      <c r="R1008" s="179"/>
      <c r="T1008" s="88">
        <v>5.05306435E-2</v>
      </c>
    </row>
    <row r="1009" spans="1:20" ht="14.25" customHeight="1">
      <c r="A1009" s="47" t="s">
        <v>1051</v>
      </c>
      <c r="B1009" s="48" t="s">
        <v>1693</v>
      </c>
      <c r="C1009" s="47" t="s">
        <v>1053</v>
      </c>
      <c r="D1009" s="190" t="s">
        <v>1694</v>
      </c>
      <c r="E1009" s="191"/>
      <c r="F1009" s="47" t="s">
        <v>1628</v>
      </c>
      <c r="G1009" s="192"/>
      <c r="H1009" s="193"/>
      <c r="I1009" s="194"/>
      <c r="J1009" s="195" t="s">
        <v>1085</v>
      </c>
      <c r="K1009" s="196"/>
      <c r="L1009" s="50">
        <v>1</v>
      </c>
      <c r="M1009" s="197">
        <v>13.73</v>
      </c>
      <c r="N1009" s="198"/>
      <c r="O1009" s="64">
        <f>M1009-(M1009*T1009)</f>
        <v>13.036214264745</v>
      </c>
      <c r="P1009" s="64">
        <f>SUM(P1010:P1015)</f>
        <v>13.040486876849251</v>
      </c>
      <c r="Q1009" s="228"/>
      <c r="R1009" s="179"/>
      <c r="T1009" s="88">
        <v>5.05306435E-2</v>
      </c>
    </row>
    <row r="1010" spans="1:20" ht="15" customHeight="1">
      <c r="A1010" s="52" t="s">
        <v>1057</v>
      </c>
      <c r="B1010" s="53">
        <v>88264</v>
      </c>
      <c r="C1010" s="52" t="s">
        <v>1058</v>
      </c>
      <c r="D1010" s="199" t="s">
        <v>1063</v>
      </c>
      <c r="E1010" s="200"/>
      <c r="F1010" s="52" t="s">
        <v>1158</v>
      </c>
      <c r="G1010" s="201"/>
      <c r="H1010" s="202"/>
      <c r="I1010" s="203"/>
      <c r="J1010" s="204" t="s">
        <v>1061</v>
      </c>
      <c r="K1010" s="205"/>
      <c r="L1010" s="55">
        <v>0.155</v>
      </c>
      <c r="M1010" s="188">
        <v>27.27</v>
      </c>
      <c r="N1010" s="189"/>
      <c r="O1010" s="56">
        <f>M1010-(M1010*T1010)</f>
        <v>25.892029351754999</v>
      </c>
      <c r="P1010" s="57">
        <f t="shared" ref="P1010:P1012" si="186">O1010*L1010</f>
        <v>4.0132645495220247</v>
      </c>
      <c r="Q1010" s="228"/>
      <c r="R1010" s="179"/>
      <c r="T1010" s="88">
        <v>5.05306435E-2</v>
      </c>
    </row>
    <row r="1011" spans="1:20" ht="14.25" customHeight="1">
      <c r="A1011" s="52" t="s">
        <v>1057</v>
      </c>
      <c r="B1011" s="53">
        <v>88247</v>
      </c>
      <c r="C1011" s="52" t="s">
        <v>1058</v>
      </c>
      <c r="D1011" s="199" t="s">
        <v>1062</v>
      </c>
      <c r="E1011" s="200"/>
      <c r="F1011" s="52" t="s">
        <v>1158</v>
      </c>
      <c r="G1011" s="201"/>
      <c r="H1011" s="202"/>
      <c r="I1011" s="203"/>
      <c r="J1011" s="204" t="s">
        <v>1061</v>
      </c>
      <c r="K1011" s="205"/>
      <c r="L1011" s="55">
        <v>0.155</v>
      </c>
      <c r="M1011" s="188">
        <v>22.63</v>
      </c>
      <c r="N1011" s="189"/>
      <c r="O1011" s="56">
        <f t="shared" ref="O1011:O1012" si="187">M1011-(M1011*T1011)</f>
        <v>21.486491537595001</v>
      </c>
      <c r="P1011" s="57">
        <f t="shared" si="186"/>
        <v>3.3304061883272249</v>
      </c>
      <c r="Q1011" s="228"/>
      <c r="R1011" s="179"/>
      <c r="T1011" s="88">
        <v>5.05306435E-2</v>
      </c>
    </row>
    <row r="1012" spans="1:20" ht="15.6" customHeight="1">
      <c r="A1012" s="58" t="s">
        <v>1064</v>
      </c>
      <c r="B1012" s="62">
        <v>34533</v>
      </c>
      <c r="C1012" s="58" t="s">
        <v>1150</v>
      </c>
      <c r="D1012" s="181" t="s">
        <v>1695</v>
      </c>
      <c r="E1012" s="182"/>
      <c r="F1012" s="58" t="s">
        <v>1068</v>
      </c>
      <c r="G1012" s="183"/>
      <c r="H1012" s="184"/>
      <c r="I1012" s="185"/>
      <c r="J1012" s="186" t="s">
        <v>1085</v>
      </c>
      <c r="K1012" s="187"/>
      <c r="L1012" s="60">
        <v>1</v>
      </c>
      <c r="M1012" s="188">
        <v>6</v>
      </c>
      <c r="N1012" s="189"/>
      <c r="O1012" s="56">
        <f t="shared" si="187"/>
        <v>5.6968161390000001</v>
      </c>
      <c r="P1012" s="57">
        <f t="shared" si="186"/>
        <v>5.6968161390000001</v>
      </c>
      <c r="Q1012" s="228"/>
      <c r="R1012" s="179"/>
      <c r="T1012" s="88">
        <v>5.05306435E-2</v>
      </c>
    </row>
    <row r="1013" spans="1:20" ht="14.25" customHeight="1">
      <c r="A1013" s="246" t="s">
        <v>1256</v>
      </c>
      <c r="B1013" s="246"/>
      <c r="C1013" s="246"/>
      <c r="D1013" s="246"/>
      <c r="E1013" s="246"/>
      <c r="F1013" s="246"/>
      <c r="G1013" s="246"/>
      <c r="H1013" s="246"/>
      <c r="I1013" s="246"/>
      <c r="J1013" s="246"/>
      <c r="K1013" s="246"/>
      <c r="L1013" s="246"/>
      <c r="M1013" s="246"/>
      <c r="N1013" s="246"/>
      <c r="O1013" s="246"/>
      <c r="P1013" s="246"/>
      <c r="Q1013" s="246"/>
      <c r="R1013" s="246"/>
      <c r="T1013" s="88">
        <v>5.05306435E-2</v>
      </c>
    </row>
    <row r="1014" spans="1:20" ht="14.25" customHeight="1">
      <c r="A1014" s="78"/>
      <c r="B1014" s="78"/>
      <c r="C1014" s="78"/>
      <c r="D1014" s="225"/>
      <c r="E1014" s="225"/>
      <c r="F1014" s="79" t="s">
        <v>1073</v>
      </c>
      <c r="G1014" s="225"/>
      <c r="H1014" s="225"/>
      <c r="I1014" s="225"/>
      <c r="J1014" s="225"/>
      <c r="K1014" s="225"/>
      <c r="L1014" s="80" t="s">
        <v>1074</v>
      </c>
      <c r="M1014" s="179"/>
      <c r="N1014" s="179"/>
      <c r="O1014" s="68"/>
      <c r="P1014" s="68"/>
      <c r="Q1014" s="68"/>
      <c r="T1014" s="88">
        <v>5.05306435E-2</v>
      </c>
    </row>
    <row r="1015" spans="1:20" ht="14.45" customHeight="1">
      <c r="A1015" s="77" t="s">
        <v>1089</v>
      </c>
      <c r="B1015" s="68"/>
      <c r="C1015" s="68"/>
      <c r="D1015" s="179"/>
      <c r="E1015" s="179"/>
      <c r="F1015" s="68"/>
      <c r="G1015" s="179"/>
      <c r="H1015" s="179"/>
      <c r="I1015" s="179"/>
      <c r="J1015" s="179"/>
      <c r="K1015" s="179"/>
      <c r="L1015" s="68"/>
      <c r="M1015" s="179"/>
      <c r="N1015" s="179"/>
      <c r="O1015" s="68"/>
      <c r="P1015" s="68"/>
      <c r="Q1015" s="68"/>
      <c r="T1015" s="88">
        <v>5.05306435E-2</v>
      </c>
    </row>
    <row r="1016" spans="1:20" ht="15.2" customHeight="1">
      <c r="A1016" s="206" t="s">
        <v>1696</v>
      </c>
      <c r="B1016" s="206"/>
      <c r="C1016" s="206"/>
      <c r="D1016" s="206"/>
      <c r="E1016" s="206"/>
      <c r="F1016" s="206"/>
      <c r="G1016" s="206"/>
      <c r="H1016" s="206"/>
      <c r="I1016" s="206"/>
      <c r="J1016" s="206"/>
      <c r="K1016" s="206"/>
      <c r="L1016" s="206"/>
      <c r="M1016" s="206"/>
      <c r="N1016" s="206"/>
      <c r="O1016" s="206"/>
      <c r="P1016" s="206"/>
      <c r="T1016" s="88">
        <v>5.05306435E-2</v>
      </c>
    </row>
    <row r="1017" spans="1:20" ht="14.45" customHeight="1">
      <c r="A1017" s="207"/>
      <c r="B1017" s="207"/>
      <c r="C1017" s="207"/>
      <c r="D1017" s="207"/>
      <c r="E1017" s="207"/>
      <c r="F1017" s="207"/>
      <c r="G1017" s="207"/>
      <c r="H1017" s="207"/>
      <c r="I1017" s="207"/>
      <c r="J1017" s="207"/>
      <c r="K1017" s="207"/>
      <c r="L1017" s="207"/>
      <c r="M1017" s="207"/>
      <c r="N1017" s="207"/>
      <c r="O1017" s="207"/>
      <c r="P1017" s="207"/>
      <c r="Q1017" s="81"/>
      <c r="T1017" s="88">
        <v>5.05306435E-2</v>
      </c>
    </row>
    <row r="1018" spans="1:20" ht="15.75" customHeight="1">
      <c r="A1018" s="71">
        <v>57726</v>
      </c>
      <c r="B1018" s="44" t="s">
        <v>3</v>
      </c>
      <c r="C1018" s="43" t="s">
        <v>4</v>
      </c>
      <c r="D1018" s="208" t="s">
        <v>5</v>
      </c>
      <c r="E1018" s="209"/>
      <c r="F1018" s="43" t="s">
        <v>1049</v>
      </c>
      <c r="G1018" s="210"/>
      <c r="H1018" s="211"/>
      <c r="I1018" s="212"/>
      <c r="J1018" s="215" t="s">
        <v>6</v>
      </c>
      <c r="K1018" s="217"/>
      <c r="L1018" s="44" t="s">
        <v>7</v>
      </c>
      <c r="M1018" s="219" t="s">
        <v>8</v>
      </c>
      <c r="N1018" s="220"/>
      <c r="O1018" s="63"/>
      <c r="P1018" s="44" t="s">
        <v>11</v>
      </c>
      <c r="Q1018" s="81"/>
      <c r="T1018" s="88">
        <v>5.05306435E-2</v>
      </c>
    </row>
    <row r="1019" spans="1:20" ht="14.45" customHeight="1">
      <c r="A1019" s="47" t="s">
        <v>1051</v>
      </c>
      <c r="B1019" s="48" t="s">
        <v>1697</v>
      </c>
      <c r="C1019" s="47" t="s">
        <v>1053</v>
      </c>
      <c r="D1019" s="190" t="s">
        <v>1698</v>
      </c>
      <c r="E1019" s="191"/>
      <c r="F1019" s="47" t="s">
        <v>1422</v>
      </c>
      <c r="G1019" s="192"/>
      <c r="H1019" s="193"/>
      <c r="I1019" s="194"/>
      <c r="J1019" s="195" t="s">
        <v>1085</v>
      </c>
      <c r="K1019" s="196"/>
      <c r="L1019" s="50">
        <v>1</v>
      </c>
      <c r="M1019" s="197">
        <v>11.73</v>
      </c>
      <c r="N1019" s="198"/>
      <c r="O1019" s="64">
        <f>M1019-(M1019*T1019)</f>
        <v>11.137275551745001</v>
      </c>
      <c r="P1019" s="64">
        <f>SUM(P1020:P1025)</f>
        <v>11.1414532169136</v>
      </c>
      <c r="Q1019" s="81"/>
      <c r="T1019" s="88">
        <v>5.05306435E-2</v>
      </c>
    </row>
    <row r="1020" spans="1:20" ht="14.45" customHeight="1">
      <c r="A1020" s="52" t="s">
        <v>1057</v>
      </c>
      <c r="B1020" s="53">
        <v>88264</v>
      </c>
      <c r="C1020" s="52" t="s">
        <v>1058</v>
      </c>
      <c r="D1020" s="199" t="s">
        <v>1063</v>
      </c>
      <c r="E1020" s="200"/>
      <c r="F1020" s="52" t="s">
        <v>1158</v>
      </c>
      <c r="G1020" s="201"/>
      <c r="H1020" s="202"/>
      <c r="I1020" s="203"/>
      <c r="J1020" s="204" t="s">
        <v>1061</v>
      </c>
      <c r="K1020" s="205"/>
      <c r="L1020" s="55">
        <v>0.156</v>
      </c>
      <c r="M1020" s="188">
        <v>27.27</v>
      </c>
      <c r="N1020" s="189"/>
      <c r="O1020" s="56">
        <f>M1020-(M1020*T1020)</f>
        <v>25.892029351754999</v>
      </c>
      <c r="P1020" s="57">
        <f t="shared" ref="P1020:P1022" si="188">O1020*L1020</f>
        <v>4.0391565788737802</v>
      </c>
      <c r="Q1020" s="81"/>
      <c r="T1020" s="88">
        <v>5.05306435E-2</v>
      </c>
    </row>
    <row r="1021" spans="1:20" ht="14.45" customHeight="1">
      <c r="A1021" s="52" t="s">
        <v>1057</v>
      </c>
      <c r="B1021" s="53">
        <v>88247</v>
      </c>
      <c r="C1021" s="52" t="s">
        <v>1058</v>
      </c>
      <c r="D1021" s="199" t="s">
        <v>1062</v>
      </c>
      <c r="E1021" s="200"/>
      <c r="F1021" s="52" t="s">
        <v>1158</v>
      </c>
      <c r="G1021" s="201"/>
      <c r="H1021" s="202"/>
      <c r="I1021" s="203"/>
      <c r="J1021" s="204" t="s">
        <v>1061</v>
      </c>
      <c r="K1021" s="205"/>
      <c r="L1021" s="55">
        <v>0.156</v>
      </c>
      <c r="M1021" s="188">
        <v>22.63</v>
      </c>
      <c r="N1021" s="189"/>
      <c r="O1021" s="56">
        <f t="shared" ref="O1021:O1022" si="189">M1021-(M1021*T1021)</f>
        <v>21.486491537595001</v>
      </c>
      <c r="P1021" s="57">
        <f t="shared" si="188"/>
        <v>3.3518926798648199</v>
      </c>
      <c r="Q1021" s="81"/>
      <c r="T1021" s="88">
        <v>5.05306435E-2</v>
      </c>
    </row>
    <row r="1022" spans="1:20" ht="14.45" customHeight="1">
      <c r="A1022" s="58" t="s">
        <v>1064</v>
      </c>
      <c r="B1022" s="62">
        <v>35753</v>
      </c>
      <c r="C1022" s="58" t="s">
        <v>1150</v>
      </c>
      <c r="D1022" s="181" t="s">
        <v>1699</v>
      </c>
      <c r="E1022" s="182"/>
      <c r="F1022" s="58" t="s">
        <v>1068</v>
      </c>
      <c r="G1022" s="183"/>
      <c r="H1022" s="184"/>
      <c r="I1022" s="185"/>
      <c r="J1022" s="186" t="s">
        <v>1085</v>
      </c>
      <c r="K1022" s="187"/>
      <c r="L1022" s="60">
        <v>1</v>
      </c>
      <c r="M1022" s="188">
        <v>3.95</v>
      </c>
      <c r="N1022" s="189"/>
      <c r="O1022" s="56">
        <f t="shared" si="189"/>
        <v>3.7504039581750002</v>
      </c>
      <c r="P1022" s="57">
        <f t="shared" si="188"/>
        <v>3.7504039581750002</v>
      </c>
      <c r="Q1022" s="81"/>
      <c r="T1022" s="88">
        <v>5.05306435E-2</v>
      </c>
    </row>
    <row r="1023" spans="1:20" ht="14.25" customHeight="1">
      <c r="A1023" s="174" t="s">
        <v>1070</v>
      </c>
      <c r="B1023" s="174"/>
      <c r="C1023" s="174"/>
      <c r="D1023" s="174"/>
      <c r="E1023" s="174"/>
      <c r="F1023" s="174"/>
      <c r="G1023" s="174"/>
      <c r="H1023" s="175" t="s">
        <v>1071</v>
      </c>
      <c r="I1023" s="175"/>
      <c r="J1023" s="175"/>
      <c r="K1023" s="175"/>
      <c r="L1023" s="176">
        <v>0</v>
      </c>
      <c r="M1023" s="176"/>
      <c r="N1023" s="177" t="s">
        <v>1072</v>
      </c>
      <c r="O1023" s="177"/>
      <c r="P1023" s="177"/>
      <c r="T1023" s="88">
        <v>5.05306435E-2</v>
      </c>
    </row>
    <row r="1024" spans="1:20" ht="14.25" customHeight="1">
      <c r="A1024" s="178" t="s">
        <v>1073</v>
      </c>
      <c r="B1024" s="178"/>
      <c r="C1024" s="178"/>
      <c r="D1024" s="178"/>
      <c r="E1024" s="178"/>
      <c r="F1024" s="178"/>
      <c r="G1024" s="178"/>
      <c r="H1024" s="179"/>
      <c r="I1024" s="179"/>
      <c r="J1024" s="179"/>
      <c r="K1024" s="179"/>
      <c r="L1024" s="180" t="s">
        <v>1074</v>
      </c>
      <c r="M1024" s="180"/>
      <c r="N1024" s="179"/>
      <c r="O1024" s="179"/>
      <c r="P1024" s="179"/>
      <c r="T1024" s="88">
        <v>5.05306435E-2</v>
      </c>
    </row>
    <row r="1025" spans="1:20" ht="28.5" customHeight="1">
      <c r="A1025" s="172" t="s">
        <v>1700</v>
      </c>
      <c r="B1025" s="172"/>
      <c r="C1025" s="172"/>
      <c r="D1025" s="172"/>
      <c r="E1025" s="172"/>
      <c r="F1025" s="172"/>
      <c r="G1025" s="172"/>
      <c r="H1025" s="172"/>
      <c r="I1025" s="172"/>
      <c r="J1025" s="172"/>
      <c r="K1025" s="172"/>
      <c r="L1025" s="172"/>
      <c r="M1025" s="172"/>
      <c r="N1025" s="172"/>
      <c r="O1025" s="172"/>
      <c r="P1025" s="172"/>
      <c r="Q1025" s="172"/>
      <c r="T1025" s="88">
        <v>5.05306435E-2</v>
      </c>
    </row>
    <row r="1026" spans="1:20" ht="14.45" customHeight="1">
      <c r="A1026" s="207"/>
      <c r="B1026" s="207"/>
      <c r="C1026" s="207"/>
      <c r="D1026" s="207"/>
      <c r="E1026" s="207"/>
      <c r="F1026" s="207"/>
      <c r="G1026" s="207"/>
      <c r="H1026" s="207"/>
      <c r="I1026" s="207"/>
      <c r="J1026" s="207"/>
      <c r="K1026" s="207"/>
      <c r="L1026" s="207"/>
      <c r="M1026" s="207"/>
      <c r="N1026" s="207"/>
      <c r="O1026" s="207"/>
      <c r="P1026" s="207"/>
      <c r="Q1026" s="81"/>
      <c r="T1026" s="88">
        <v>5.05306435E-2</v>
      </c>
    </row>
    <row r="1027" spans="1:20" ht="15.75" customHeight="1">
      <c r="A1027" s="71">
        <v>58091</v>
      </c>
      <c r="B1027" s="44" t="s">
        <v>3</v>
      </c>
      <c r="C1027" s="43" t="s">
        <v>4</v>
      </c>
      <c r="D1027" s="208" t="s">
        <v>5</v>
      </c>
      <c r="E1027" s="209"/>
      <c r="F1027" s="43" t="s">
        <v>1049</v>
      </c>
      <c r="G1027" s="210"/>
      <c r="H1027" s="211"/>
      <c r="I1027" s="212"/>
      <c r="J1027" s="213" t="s">
        <v>6</v>
      </c>
      <c r="K1027" s="214"/>
      <c r="L1027" s="44" t="s">
        <v>7</v>
      </c>
      <c r="M1027" s="219" t="s">
        <v>8</v>
      </c>
      <c r="N1027" s="220"/>
      <c r="O1027" s="63"/>
      <c r="P1027" s="44" t="s">
        <v>11</v>
      </c>
      <c r="Q1027" s="81"/>
      <c r="T1027" s="88">
        <v>5.05306435E-2</v>
      </c>
    </row>
    <row r="1028" spans="1:20" ht="14.45" customHeight="1">
      <c r="A1028" s="47" t="s">
        <v>1051</v>
      </c>
      <c r="B1028" s="48" t="s">
        <v>1701</v>
      </c>
      <c r="C1028" s="47" t="s">
        <v>1053</v>
      </c>
      <c r="D1028" s="190" t="s">
        <v>1702</v>
      </c>
      <c r="E1028" s="191"/>
      <c r="F1028" s="47" t="s">
        <v>1628</v>
      </c>
      <c r="G1028" s="192"/>
      <c r="H1028" s="193"/>
      <c r="I1028" s="194"/>
      <c r="J1028" s="223" t="s">
        <v>1085</v>
      </c>
      <c r="K1028" s="224"/>
      <c r="L1028" s="50">
        <v>1</v>
      </c>
      <c r="M1028" s="197">
        <v>50.76</v>
      </c>
      <c r="N1028" s="198"/>
      <c r="O1028" s="64">
        <f>M1028-(M1028*T1028)</f>
        <v>48.195064535939999</v>
      </c>
      <c r="P1028" s="64">
        <f>SUM(P1029:P1034)</f>
        <v>48.191456552385297</v>
      </c>
      <c r="Q1028" s="81"/>
      <c r="T1028" s="88">
        <v>5.05306435E-2</v>
      </c>
    </row>
    <row r="1029" spans="1:20" ht="14.45" customHeight="1">
      <c r="A1029" s="52" t="s">
        <v>1057</v>
      </c>
      <c r="B1029" s="53">
        <v>88264</v>
      </c>
      <c r="C1029" s="52" t="s">
        <v>1058</v>
      </c>
      <c r="D1029" s="199" t="s">
        <v>1063</v>
      </c>
      <c r="E1029" s="200"/>
      <c r="F1029" s="52" t="s">
        <v>1158</v>
      </c>
      <c r="G1029" s="201"/>
      <c r="H1029" s="202"/>
      <c r="I1029" s="203"/>
      <c r="J1029" s="204" t="s">
        <v>1061</v>
      </c>
      <c r="K1029" s="205"/>
      <c r="L1029" s="55">
        <v>0.438</v>
      </c>
      <c r="M1029" s="188">
        <v>27.27</v>
      </c>
      <c r="N1029" s="189"/>
      <c r="O1029" s="56">
        <f>M1029-(M1029*T1029)</f>
        <v>25.892029351754999</v>
      </c>
      <c r="P1029" s="57">
        <f t="shared" ref="P1029:P1031" si="190">O1029*L1029</f>
        <v>11.340708856068689</v>
      </c>
      <c r="Q1029" s="81"/>
      <c r="T1029" s="88">
        <v>5.05306435E-2</v>
      </c>
    </row>
    <row r="1030" spans="1:20" ht="14.45" customHeight="1">
      <c r="A1030" s="52" t="s">
        <v>1057</v>
      </c>
      <c r="B1030" s="53">
        <v>88247</v>
      </c>
      <c r="C1030" s="52" t="s">
        <v>1058</v>
      </c>
      <c r="D1030" s="199" t="s">
        <v>1062</v>
      </c>
      <c r="E1030" s="200"/>
      <c r="F1030" s="52" t="s">
        <v>1158</v>
      </c>
      <c r="G1030" s="201"/>
      <c r="H1030" s="202"/>
      <c r="I1030" s="203"/>
      <c r="J1030" s="204" t="s">
        <v>1061</v>
      </c>
      <c r="K1030" s="205"/>
      <c r="L1030" s="55">
        <v>0.438</v>
      </c>
      <c r="M1030" s="188">
        <v>22.63</v>
      </c>
      <c r="N1030" s="189"/>
      <c r="O1030" s="56">
        <f t="shared" ref="O1030:O1031" si="191">M1030-(M1030*T1030)</f>
        <v>21.486491537595001</v>
      </c>
      <c r="P1030" s="57">
        <f t="shared" si="190"/>
        <v>9.4110832934666107</v>
      </c>
      <c r="Q1030" s="81"/>
      <c r="T1030" s="88">
        <v>5.05306435E-2</v>
      </c>
    </row>
    <row r="1031" spans="1:20" ht="14.45" customHeight="1">
      <c r="A1031" s="58" t="s">
        <v>1064</v>
      </c>
      <c r="B1031" s="62">
        <v>4559</v>
      </c>
      <c r="C1031" s="58" t="s">
        <v>1150</v>
      </c>
      <c r="D1031" s="181" t="s">
        <v>1703</v>
      </c>
      <c r="E1031" s="182"/>
      <c r="F1031" s="58" t="s">
        <v>1068</v>
      </c>
      <c r="G1031" s="183"/>
      <c r="H1031" s="184"/>
      <c r="I1031" s="185"/>
      <c r="J1031" s="240" t="s">
        <v>1085</v>
      </c>
      <c r="K1031" s="241"/>
      <c r="L1031" s="60">
        <v>1</v>
      </c>
      <c r="M1031" s="188">
        <v>28.9</v>
      </c>
      <c r="N1031" s="189"/>
      <c r="O1031" s="56">
        <f t="shared" si="191"/>
        <v>27.439664402849999</v>
      </c>
      <c r="P1031" s="57">
        <f t="shared" si="190"/>
        <v>27.439664402849999</v>
      </c>
      <c r="Q1031" s="81"/>
      <c r="T1031" s="88">
        <v>5.05306435E-2</v>
      </c>
    </row>
    <row r="1032" spans="1:20" ht="14.25" customHeight="1">
      <c r="A1032" s="73"/>
      <c r="B1032" s="73"/>
      <c r="C1032" s="73"/>
      <c r="D1032" s="218"/>
      <c r="E1032" s="218"/>
      <c r="F1032" s="74" t="s">
        <v>1070</v>
      </c>
      <c r="G1032" s="218"/>
      <c r="H1032" s="218"/>
      <c r="I1032" s="218"/>
      <c r="J1032" s="175" t="s">
        <v>1071</v>
      </c>
      <c r="K1032" s="175"/>
      <c r="L1032" s="75">
        <v>0</v>
      </c>
      <c r="M1032" s="175" t="s">
        <v>1072</v>
      </c>
      <c r="N1032" s="175"/>
      <c r="O1032" s="74"/>
      <c r="P1032" s="73"/>
      <c r="Q1032" s="68"/>
      <c r="T1032" s="88">
        <v>5.05306435E-2</v>
      </c>
    </row>
    <row r="1033" spans="1:20" ht="14.85" customHeight="1">
      <c r="A1033" s="68"/>
      <c r="B1033" s="68"/>
      <c r="C1033" s="68"/>
      <c r="D1033" s="179"/>
      <c r="E1033" s="179"/>
      <c r="F1033" s="76" t="s">
        <v>1073</v>
      </c>
      <c r="G1033" s="179"/>
      <c r="H1033" s="179"/>
      <c r="I1033" s="179"/>
      <c r="J1033" s="179"/>
      <c r="K1033" s="179"/>
      <c r="L1033" s="70" t="s">
        <v>1074</v>
      </c>
      <c r="M1033" s="179"/>
      <c r="N1033" s="179"/>
      <c r="O1033" s="68"/>
      <c r="P1033" s="68"/>
      <c r="Q1033" s="68"/>
      <c r="T1033" s="88">
        <v>5.05306435E-2</v>
      </c>
    </row>
    <row r="1034" spans="1:20" ht="14.45" customHeight="1">
      <c r="A1034" s="77" t="s">
        <v>1089</v>
      </c>
      <c r="B1034" s="68"/>
      <c r="C1034" s="68"/>
      <c r="D1034" s="179"/>
      <c r="E1034" s="179"/>
      <c r="F1034" s="68"/>
      <c r="G1034" s="179"/>
      <c r="H1034" s="179"/>
      <c r="I1034" s="179"/>
      <c r="J1034" s="179"/>
      <c r="K1034" s="179"/>
      <c r="L1034" s="68"/>
      <c r="M1034" s="179"/>
      <c r="N1034" s="179"/>
      <c r="O1034" s="68"/>
      <c r="P1034" s="68"/>
      <c r="Q1034" s="68"/>
      <c r="T1034" s="88">
        <v>5.05306435E-2</v>
      </c>
    </row>
    <row r="1035" spans="1:20" ht="15.2" customHeight="1">
      <c r="A1035" s="206" t="s">
        <v>1704</v>
      </c>
      <c r="B1035" s="206"/>
      <c r="C1035" s="206"/>
      <c r="D1035" s="206"/>
      <c r="E1035" s="206"/>
      <c r="F1035" s="206"/>
      <c r="G1035" s="206"/>
      <c r="H1035" s="206"/>
      <c r="I1035" s="206"/>
      <c r="J1035" s="206"/>
      <c r="K1035" s="206"/>
      <c r="L1035" s="206"/>
      <c r="M1035" s="206"/>
      <c r="N1035" s="206"/>
      <c r="O1035" s="206"/>
      <c r="P1035" s="206"/>
      <c r="T1035" s="88">
        <v>5.05306435E-2</v>
      </c>
    </row>
    <row r="1036" spans="1:20" ht="14.45" customHeight="1">
      <c r="A1036" s="207"/>
      <c r="B1036" s="207"/>
      <c r="C1036" s="207"/>
      <c r="D1036" s="207"/>
      <c r="E1036" s="207"/>
      <c r="F1036" s="207"/>
      <c r="G1036" s="207"/>
      <c r="H1036" s="207"/>
      <c r="I1036" s="207"/>
      <c r="J1036" s="207"/>
      <c r="K1036" s="207"/>
      <c r="L1036" s="207"/>
      <c r="M1036" s="207"/>
      <c r="N1036" s="207"/>
      <c r="O1036" s="207"/>
      <c r="P1036" s="207"/>
      <c r="Q1036" s="81"/>
      <c r="T1036" s="88">
        <v>5.05306435E-2</v>
      </c>
    </row>
    <row r="1037" spans="1:20" ht="15.75" customHeight="1">
      <c r="A1037" s="71">
        <v>58456</v>
      </c>
      <c r="B1037" s="44" t="s">
        <v>3</v>
      </c>
      <c r="C1037" s="43" t="s">
        <v>4</v>
      </c>
      <c r="D1037" s="208" t="s">
        <v>5</v>
      </c>
      <c r="E1037" s="209"/>
      <c r="F1037" s="43" t="s">
        <v>1049</v>
      </c>
      <c r="G1037" s="210"/>
      <c r="H1037" s="211"/>
      <c r="I1037" s="212"/>
      <c r="J1037" s="213" t="s">
        <v>6</v>
      </c>
      <c r="K1037" s="214"/>
      <c r="L1037" s="44" t="s">
        <v>7</v>
      </c>
      <c r="M1037" s="219" t="s">
        <v>8</v>
      </c>
      <c r="N1037" s="220"/>
      <c r="O1037" s="63"/>
      <c r="P1037" s="44" t="s">
        <v>11</v>
      </c>
      <c r="Q1037" s="81"/>
      <c r="T1037" s="88">
        <v>5.05306435E-2</v>
      </c>
    </row>
    <row r="1038" spans="1:20" ht="14.45" customHeight="1">
      <c r="A1038" s="47" t="s">
        <v>1051</v>
      </c>
      <c r="B1038" s="48" t="s">
        <v>1705</v>
      </c>
      <c r="C1038" s="47" t="s">
        <v>1053</v>
      </c>
      <c r="D1038" s="190" t="s">
        <v>1706</v>
      </c>
      <c r="E1038" s="191"/>
      <c r="F1038" s="47" t="s">
        <v>1628</v>
      </c>
      <c r="G1038" s="192"/>
      <c r="H1038" s="193"/>
      <c r="I1038" s="194"/>
      <c r="J1038" s="195" t="s">
        <v>1107</v>
      </c>
      <c r="K1038" s="196"/>
      <c r="L1038" s="50">
        <v>1</v>
      </c>
      <c r="M1038" s="197">
        <v>52.15</v>
      </c>
      <c r="N1038" s="198"/>
      <c r="O1038" s="64">
        <f>M1038-(M1038*T1038)</f>
        <v>49.514826941475</v>
      </c>
      <c r="P1038" s="64">
        <f>SUM(P1039:P1044)</f>
        <v>49.513307790504598</v>
      </c>
      <c r="Q1038" s="81"/>
      <c r="T1038" s="88">
        <v>5.05306435E-2</v>
      </c>
    </row>
    <row r="1039" spans="1:20" ht="14.45" customHeight="1">
      <c r="A1039" s="52" t="s">
        <v>1057</v>
      </c>
      <c r="B1039" s="53">
        <v>88264</v>
      </c>
      <c r="C1039" s="52" t="s">
        <v>1058</v>
      </c>
      <c r="D1039" s="199" t="s">
        <v>1063</v>
      </c>
      <c r="E1039" s="200"/>
      <c r="F1039" s="52" t="s">
        <v>1158</v>
      </c>
      <c r="G1039" s="201"/>
      <c r="H1039" s="202"/>
      <c r="I1039" s="203"/>
      <c r="J1039" s="204" t="s">
        <v>1061</v>
      </c>
      <c r="K1039" s="205"/>
      <c r="L1039" s="55">
        <v>0.51600000000000001</v>
      </c>
      <c r="M1039" s="188">
        <v>27.27</v>
      </c>
      <c r="N1039" s="189"/>
      <c r="O1039" s="56">
        <f>M1039-(M1039*T1039)</f>
        <v>25.892029351754999</v>
      </c>
      <c r="P1039" s="57">
        <f t="shared" ref="P1039:P1041" si="192">O1039*L1039</f>
        <v>13.36028714550558</v>
      </c>
      <c r="Q1039" s="81"/>
      <c r="T1039" s="88">
        <v>5.05306435E-2</v>
      </c>
    </row>
    <row r="1040" spans="1:20" ht="14.45" customHeight="1">
      <c r="A1040" s="52" t="s">
        <v>1057</v>
      </c>
      <c r="B1040" s="53">
        <v>88247</v>
      </c>
      <c r="C1040" s="52" t="s">
        <v>1058</v>
      </c>
      <c r="D1040" s="199" t="s">
        <v>1062</v>
      </c>
      <c r="E1040" s="200"/>
      <c r="F1040" s="52" t="s">
        <v>1158</v>
      </c>
      <c r="G1040" s="201"/>
      <c r="H1040" s="202"/>
      <c r="I1040" s="203"/>
      <c r="J1040" s="204" t="s">
        <v>1061</v>
      </c>
      <c r="K1040" s="205"/>
      <c r="L1040" s="55">
        <v>0.51600000000000001</v>
      </c>
      <c r="M1040" s="188">
        <v>22.63</v>
      </c>
      <c r="N1040" s="189"/>
      <c r="O1040" s="56">
        <f t="shared" ref="O1040:O1041" si="193">M1040-(M1040*T1040)</f>
        <v>21.486491537595001</v>
      </c>
      <c r="P1040" s="57">
        <f t="shared" si="192"/>
        <v>11.08702963339902</v>
      </c>
      <c r="Q1040" s="81"/>
      <c r="T1040" s="88">
        <v>5.05306435E-2</v>
      </c>
    </row>
    <row r="1041" spans="1:20" ht="14.45" customHeight="1">
      <c r="A1041" s="58" t="s">
        <v>1064</v>
      </c>
      <c r="B1041" s="62">
        <v>703</v>
      </c>
      <c r="C1041" s="58" t="s">
        <v>1150</v>
      </c>
      <c r="D1041" s="181" t="s">
        <v>1707</v>
      </c>
      <c r="E1041" s="182"/>
      <c r="F1041" s="58" t="s">
        <v>1068</v>
      </c>
      <c r="G1041" s="183"/>
      <c r="H1041" s="184"/>
      <c r="I1041" s="185"/>
      <c r="J1041" s="186" t="s">
        <v>1107</v>
      </c>
      <c r="K1041" s="187"/>
      <c r="L1041" s="60">
        <v>1.1000000000000001</v>
      </c>
      <c r="M1041" s="188">
        <v>24</v>
      </c>
      <c r="N1041" s="189"/>
      <c r="O1041" s="56">
        <f t="shared" si="193"/>
        <v>22.787264556</v>
      </c>
      <c r="P1041" s="57">
        <f t="shared" si="192"/>
        <v>25.065991011600001</v>
      </c>
      <c r="Q1041" s="81"/>
      <c r="T1041" s="88">
        <v>5.05306435E-2</v>
      </c>
    </row>
    <row r="1042" spans="1:20" ht="14.25" customHeight="1">
      <c r="A1042" s="174" t="s">
        <v>1070</v>
      </c>
      <c r="B1042" s="174"/>
      <c r="C1042" s="174"/>
      <c r="D1042" s="174"/>
      <c r="E1042" s="174"/>
      <c r="F1042" s="174"/>
      <c r="G1042" s="174"/>
      <c r="H1042" s="175" t="s">
        <v>1071</v>
      </c>
      <c r="I1042" s="175"/>
      <c r="J1042" s="175"/>
      <c r="K1042" s="175"/>
      <c r="L1042" s="176">
        <v>0</v>
      </c>
      <c r="M1042" s="176"/>
      <c r="N1042" s="177" t="s">
        <v>1072</v>
      </c>
      <c r="O1042" s="177"/>
      <c r="P1042" s="177"/>
      <c r="T1042" s="88">
        <v>5.05306435E-2</v>
      </c>
    </row>
    <row r="1043" spans="1:20" ht="14.25" customHeight="1">
      <c r="A1043" s="178" t="s">
        <v>1073</v>
      </c>
      <c r="B1043" s="178"/>
      <c r="C1043" s="178"/>
      <c r="D1043" s="178"/>
      <c r="E1043" s="178"/>
      <c r="F1043" s="178"/>
      <c r="G1043" s="178"/>
      <c r="H1043" s="179"/>
      <c r="I1043" s="179"/>
      <c r="J1043" s="179"/>
      <c r="K1043" s="179"/>
      <c r="L1043" s="180" t="s">
        <v>1074</v>
      </c>
      <c r="M1043" s="180"/>
      <c r="N1043" s="179"/>
      <c r="O1043" s="179"/>
      <c r="P1043" s="179"/>
      <c r="T1043" s="88">
        <v>5.05306435E-2</v>
      </c>
    </row>
    <row r="1044" spans="1:20" ht="28.5" customHeight="1">
      <c r="A1044" s="172" t="s">
        <v>1708</v>
      </c>
      <c r="B1044" s="172"/>
      <c r="C1044" s="172"/>
      <c r="D1044" s="172"/>
      <c r="E1044" s="172"/>
      <c r="F1044" s="172"/>
      <c r="G1044" s="172"/>
      <c r="H1044" s="172"/>
      <c r="I1044" s="172"/>
      <c r="J1044" s="172"/>
      <c r="K1044" s="172"/>
      <c r="L1044" s="172"/>
      <c r="M1044" s="172"/>
      <c r="N1044" s="172"/>
      <c r="O1044" s="172"/>
      <c r="P1044" s="172"/>
      <c r="Q1044" s="172"/>
      <c r="T1044" s="88">
        <v>5.05306435E-2</v>
      </c>
    </row>
    <row r="1045" spans="1:20" ht="14.45" customHeight="1">
      <c r="A1045" s="207"/>
      <c r="B1045" s="207"/>
      <c r="C1045" s="207"/>
      <c r="D1045" s="207"/>
      <c r="E1045" s="207"/>
      <c r="F1045" s="207"/>
      <c r="G1045" s="207"/>
      <c r="H1045" s="207"/>
      <c r="I1045" s="207"/>
      <c r="J1045" s="207"/>
      <c r="K1045" s="207"/>
      <c r="L1045" s="207"/>
      <c r="M1045" s="207"/>
      <c r="N1045" s="207"/>
      <c r="O1045" s="207"/>
      <c r="P1045" s="207"/>
      <c r="T1045" s="88">
        <v>5.05306435E-2</v>
      </c>
    </row>
    <row r="1046" spans="1:20" ht="15.75" customHeight="1">
      <c r="A1046" s="71">
        <v>58822</v>
      </c>
      <c r="B1046" s="44" t="s">
        <v>3</v>
      </c>
      <c r="C1046" s="43" t="s">
        <v>4</v>
      </c>
      <c r="D1046" s="208" t="s">
        <v>5</v>
      </c>
      <c r="E1046" s="209"/>
      <c r="F1046" s="43" t="s">
        <v>1049</v>
      </c>
      <c r="G1046" s="210"/>
      <c r="H1046" s="211"/>
      <c r="I1046" s="212"/>
      <c r="J1046" s="213" t="s">
        <v>6</v>
      </c>
      <c r="K1046" s="214"/>
      <c r="L1046" s="44" t="s">
        <v>7</v>
      </c>
      <c r="M1046" s="219" t="s">
        <v>8</v>
      </c>
      <c r="N1046" s="220"/>
      <c r="O1046" s="63"/>
      <c r="P1046" s="44" t="s">
        <v>11</v>
      </c>
      <c r="T1046" s="88">
        <v>5.05306435E-2</v>
      </c>
    </row>
    <row r="1047" spans="1:20" ht="14.45" customHeight="1">
      <c r="A1047" s="47" t="s">
        <v>1051</v>
      </c>
      <c r="B1047" s="48" t="s">
        <v>1709</v>
      </c>
      <c r="C1047" s="47" t="s">
        <v>1053</v>
      </c>
      <c r="D1047" s="190" t="s">
        <v>1710</v>
      </c>
      <c r="E1047" s="191"/>
      <c r="F1047" s="47" t="s">
        <v>1422</v>
      </c>
      <c r="G1047" s="192"/>
      <c r="H1047" s="193"/>
      <c r="I1047" s="194"/>
      <c r="J1047" s="223" t="s">
        <v>1085</v>
      </c>
      <c r="K1047" s="224"/>
      <c r="L1047" s="50">
        <v>1</v>
      </c>
      <c r="M1047" s="197">
        <v>33.72</v>
      </c>
      <c r="N1047" s="198"/>
      <c r="O1047" s="64">
        <f>M1047-(M1047*T1047)</f>
        <v>32.01610670118</v>
      </c>
      <c r="P1047" s="64">
        <f>SUM(P1048:P1053)</f>
        <v>32.014207762467002</v>
      </c>
      <c r="T1047" s="88">
        <v>5.05306435E-2</v>
      </c>
    </row>
    <row r="1048" spans="1:20" ht="14.45" customHeight="1">
      <c r="A1048" s="52" t="s">
        <v>1057</v>
      </c>
      <c r="B1048" s="53">
        <v>88316</v>
      </c>
      <c r="C1048" s="52" t="s">
        <v>1058</v>
      </c>
      <c r="D1048" s="199" t="s">
        <v>1059</v>
      </c>
      <c r="E1048" s="200"/>
      <c r="F1048" s="52" t="s">
        <v>1158</v>
      </c>
      <c r="G1048" s="201"/>
      <c r="H1048" s="202"/>
      <c r="I1048" s="203"/>
      <c r="J1048" s="204" t="s">
        <v>1061</v>
      </c>
      <c r="K1048" s="205"/>
      <c r="L1048" s="55">
        <v>0.2</v>
      </c>
      <c r="M1048" s="188">
        <v>21.32</v>
      </c>
      <c r="N1048" s="189"/>
      <c r="O1048" s="56">
        <f>M1048-(M1048*T1048)</f>
        <v>20.24268668058</v>
      </c>
      <c r="P1048" s="57">
        <f t="shared" ref="P1048:P1050" si="194">O1048*L1048</f>
        <v>4.0485373361160004</v>
      </c>
      <c r="T1048" s="88">
        <v>5.05306435E-2</v>
      </c>
    </row>
    <row r="1049" spans="1:20" ht="14.45" customHeight="1">
      <c r="A1049" s="52" t="s">
        <v>1057</v>
      </c>
      <c r="B1049" s="53">
        <v>88264</v>
      </c>
      <c r="C1049" s="52" t="s">
        <v>1058</v>
      </c>
      <c r="D1049" s="199" t="s">
        <v>1063</v>
      </c>
      <c r="E1049" s="200"/>
      <c r="F1049" s="52" t="s">
        <v>1158</v>
      </c>
      <c r="G1049" s="201"/>
      <c r="H1049" s="202"/>
      <c r="I1049" s="203"/>
      <c r="J1049" s="204" t="s">
        <v>1061</v>
      </c>
      <c r="K1049" s="205"/>
      <c r="L1049" s="55">
        <v>0.2</v>
      </c>
      <c r="M1049" s="188">
        <v>27.27</v>
      </c>
      <c r="N1049" s="189"/>
      <c r="O1049" s="56">
        <f t="shared" ref="O1049:O1050" si="195">M1049-(M1049*T1049)</f>
        <v>25.892029351754999</v>
      </c>
      <c r="P1049" s="57">
        <f t="shared" si="194"/>
        <v>5.1784058703509999</v>
      </c>
      <c r="T1049" s="88">
        <v>5.05306435E-2</v>
      </c>
    </row>
    <row r="1050" spans="1:20" ht="14.45" customHeight="1">
      <c r="A1050" s="58" t="s">
        <v>1064</v>
      </c>
      <c r="B1050" s="62">
        <v>13318</v>
      </c>
      <c r="C1050" s="58" t="s">
        <v>1180</v>
      </c>
      <c r="D1050" s="181" t="s">
        <v>1711</v>
      </c>
      <c r="E1050" s="182"/>
      <c r="F1050" s="58" t="s">
        <v>1068</v>
      </c>
      <c r="G1050" s="183"/>
      <c r="H1050" s="184"/>
      <c r="I1050" s="185"/>
      <c r="J1050" s="186" t="s">
        <v>1187</v>
      </c>
      <c r="K1050" s="187"/>
      <c r="L1050" s="60">
        <v>1</v>
      </c>
      <c r="M1050" s="188">
        <v>24</v>
      </c>
      <c r="N1050" s="189"/>
      <c r="O1050" s="56">
        <f t="shared" si="195"/>
        <v>22.787264556</v>
      </c>
      <c r="P1050" s="57">
        <f t="shared" si="194"/>
        <v>22.787264556</v>
      </c>
      <c r="T1050" s="88">
        <v>5.05306435E-2</v>
      </c>
    </row>
    <row r="1051" spans="1:20" ht="14.25" customHeight="1">
      <c r="A1051" s="73"/>
      <c r="B1051" s="73"/>
      <c r="C1051" s="73"/>
      <c r="D1051" s="218"/>
      <c r="E1051" s="218"/>
      <c r="F1051" s="74" t="s">
        <v>1070</v>
      </c>
      <c r="G1051" s="218"/>
      <c r="H1051" s="218"/>
      <c r="I1051" s="218"/>
      <c r="J1051" s="175" t="s">
        <v>1071</v>
      </c>
      <c r="K1051" s="175"/>
      <c r="L1051" s="75">
        <v>0</v>
      </c>
      <c r="M1051" s="175" t="s">
        <v>1072</v>
      </c>
      <c r="N1051" s="175"/>
      <c r="O1051" s="74"/>
      <c r="P1051" s="73"/>
      <c r="T1051" s="88">
        <v>5.05306435E-2</v>
      </c>
    </row>
    <row r="1052" spans="1:20" ht="14.85" customHeight="1">
      <c r="A1052" s="68"/>
      <c r="B1052" s="68"/>
      <c r="C1052" s="68"/>
      <c r="D1052" s="179"/>
      <c r="E1052" s="179"/>
      <c r="F1052" s="76" t="s">
        <v>1073</v>
      </c>
      <c r="G1052" s="179"/>
      <c r="H1052" s="179"/>
      <c r="I1052" s="179"/>
      <c r="J1052" s="179"/>
      <c r="K1052" s="179"/>
      <c r="L1052" s="70" t="s">
        <v>1074</v>
      </c>
      <c r="M1052" s="179"/>
      <c r="N1052" s="179"/>
      <c r="O1052" s="68"/>
      <c r="P1052" s="68"/>
      <c r="T1052" s="88">
        <v>5.05306435E-2</v>
      </c>
    </row>
    <row r="1053" spans="1:20" ht="14.45" customHeight="1">
      <c r="A1053" s="77" t="s">
        <v>1089</v>
      </c>
      <c r="B1053" s="68"/>
      <c r="C1053" s="68"/>
      <c r="D1053" s="179"/>
      <c r="E1053" s="179"/>
      <c r="F1053" s="68"/>
      <c r="G1053" s="179"/>
      <c r="H1053" s="179"/>
      <c r="I1053" s="179"/>
      <c r="J1053" s="179"/>
      <c r="K1053" s="179"/>
      <c r="L1053" s="68"/>
      <c r="M1053" s="179"/>
      <c r="N1053" s="179"/>
      <c r="O1053" s="68"/>
      <c r="P1053" s="68"/>
      <c r="T1053" s="88">
        <v>5.05306435E-2</v>
      </c>
    </row>
    <row r="1054" spans="1:20" ht="15.2" customHeight="1">
      <c r="A1054" s="206" t="s">
        <v>1712</v>
      </c>
      <c r="B1054" s="206"/>
      <c r="C1054" s="206"/>
      <c r="D1054" s="206"/>
      <c r="E1054" s="206"/>
      <c r="F1054" s="206"/>
      <c r="G1054" s="206"/>
      <c r="H1054" s="206"/>
      <c r="I1054" s="206"/>
      <c r="J1054" s="206"/>
      <c r="K1054" s="206"/>
      <c r="L1054" s="206"/>
      <c r="M1054" s="206"/>
      <c r="N1054" s="206"/>
      <c r="O1054" s="206"/>
      <c r="P1054" s="206"/>
      <c r="T1054" s="88">
        <v>5.05306435E-2</v>
      </c>
    </row>
    <row r="1055" spans="1:20" ht="14.45" customHeight="1">
      <c r="A1055" s="207"/>
      <c r="B1055" s="207"/>
      <c r="C1055" s="207"/>
      <c r="D1055" s="207"/>
      <c r="E1055" s="207"/>
      <c r="F1055" s="207"/>
      <c r="G1055" s="207"/>
      <c r="H1055" s="207"/>
      <c r="I1055" s="207"/>
      <c r="J1055" s="207"/>
      <c r="K1055" s="207"/>
      <c r="L1055" s="207"/>
      <c r="M1055" s="207"/>
      <c r="N1055" s="207"/>
      <c r="O1055" s="207"/>
      <c r="P1055" s="207"/>
      <c r="T1055" s="88">
        <v>5.05306435E-2</v>
      </c>
    </row>
    <row r="1056" spans="1:20" ht="15.75" customHeight="1">
      <c r="A1056" s="71">
        <v>59187</v>
      </c>
      <c r="B1056" s="44" t="s">
        <v>3</v>
      </c>
      <c r="C1056" s="43" t="s">
        <v>4</v>
      </c>
      <c r="D1056" s="208" t="s">
        <v>5</v>
      </c>
      <c r="E1056" s="209"/>
      <c r="F1056" s="43" t="s">
        <v>1049</v>
      </c>
      <c r="G1056" s="210"/>
      <c r="H1056" s="211"/>
      <c r="I1056" s="212"/>
      <c r="J1056" s="213" t="s">
        <v>6</v>
      </c>
      <c r="K1056" s="214"/>
      <c r="L1056" s="44" t="s">
        <v>7</v>
      </c>
      <c r="M1056" s="219" t="s">
        <v>8</v>
      </c>
      <c r="N1056" s="220"/>
      <c r="O1056" s="63"/>
      <c r="P1056" s="44" t="s">
        <v>11</v>
      </c>
      <c r="T1056" s="88">
        <v>5.05306435E-2</v>
      </c>
    </row>
    <row r="1057" spans="1:20" ht="14.45" customHeight="1">
      <c r="A1057" s="47" t="s">
        <v>1051</v>
      </c>
      <c r="B1057" s="48" t="s">
        <v>1713</v>
      </c>
      <c r="C1057" s="47" t="s">
        <v>1053</v>
      </c>
      <c r="D1057" s="190" t="s">
        <v>1714</v>
      </c>
      <c r="E1057" s="191"/>
      <c r="F1057" s="47" t="s">
        <v>1422</v>
      </c>
      <c r="G1057" s="192"/>
      <c r="H1057" s="193"/>
      <c r="I1057" s="194"/>
      <c r="J1057" s="223" t="s">
        <v>1085</v>
      </c>
      <c r="K1057" s="224"/>
      <c r="L1057" s="50">
        <v>1</v>
      </c>
      <c r="M1057" s="197">
        <v>90.7</v>
      </c>
      <c r="N1057" s="198"/>
      <c r="O1057" s="64">
        <f>M1057-(M1057*T1057)</f>
        <v>86.116870634549997</v>
      </c>
      <c r="P1057" s="64">
        <f>SUM(P1058:P1063)</f>
        <v>86.112977810188355</v>
      </c>
      <c r="T1057" s="88">
        <v>5.05306435E-2</v>
      </c>
    </row>
    <row r="1058" spans="1:20" ht="14.45" customHeight="1">
      <c r="A1058" s="52" t="s">
        <v>1057</v>
      </c>
      <c r="B1058" s="53">
        <v>88247</v>
      </c>
      <c r="C1058" s="52" t="s">
        <v>1058</v>
      </c>
      <c r="D1058" s="199" t="s">
        <v>1062</v>
      </c>
      <c r="E1058" s="200"/>
      <c r="F1058" s="52" t="s">
        <v>1158</v>
      </c>
      <c r="G1058" s="201"/>
      <c r="H1058" s="202"/>
      <c r="I1058" s="203"/>
      <c r="J1058" s="204" t="s">
        <v>1061</v>
      </c>
      <c r="K1058" s="205"/>
      <c r="L1058" s="55">
        <v>0.54100000000000004</v>
      </c>
      <c r="M1058" s="188">
        <v>22.63</v>
      </c>
      <c r="N1058" s="189"/>
      <c r="O1058" s="56">
        <f>M1058-(M1058*T1058)</f>
        <v>21.486491537595001</v>
      </c>
      <c r="P1058" s="57">
        <f t="shared" ref="P1058:P1060" si="196">O1058*L1058</f>
        <v>11.624191921838896</v>
      </c>
      <c r="T1058" s="88">
        <v>5.05306435E-2</v>
      </c>
    </row>
    <row r="1059" spans="1:20" ht="14.45" customHeight="1">
      <c r="A1059" s="52" t="s">
        <v>1057</v>
      </c>
      <c r="B1059" s="53">
        <v>88264</v>
      </c>
      <c r="C1059" s="52" t="s">
        <v>1058</v>
      </c>
      <c r="D1059" s="199" t="s">
        <v>1063</v>
      </c>
      <c r="E1059" s="200"/>
      <c r="F1059" s="52" t="s">
        <v>1158</v>
      </c>
      <c r="G1059" s="201"/>
      <c r="H1059" s="202"/>
      <c r="I1059" s="203"/>
      <c r="J1059" s="204" t="s">
        <v>1061</v>
      </c>
      <c r="K1059" s="205"/>
      <c r="L1059" s="55">
        <v>0.54100000000000004</v>
      </c>
      <c r="M1059" s="188">
        <v>27.27</v>
      </c>
      <c r="N1059" s="189"/>
      <c r="O1059" s="56">
        <f t="shared" ref="O1059:O1060" si="197">M1059-(M1059*T1059)</f>
        <v>25.892029351754999</v>
      </c>
      <c r="P1059" s="57">
        <f t="shared" si="196"/>
        <v>14.007587879299455</v>
      </c>
      <c r="T1059" s="88">
        <v>5.05306435E-2</v>
      </c>
    </row>
    <row r="1060" spans="1:20" ht="14.45" customHeight="1">
      <c r="A1060" s="58" t="s">
        <v>1064</v>
      </c>
      <c r="B1060" s="62">
        <v>47575</v>
      </c>
      <c r="C1060" s="58" t="s">
        <v>1150</v>
      </c>
      <c r="D1060" s="181" t="s">
        <v>1715</v>
      </c>
      <c r="E1060" s="182"/>
      <c r="F1060" s="58" t="s">
        <v>1068</v>
      </c>
      <c r="G1060" s="183"/>
      <c r="H1060" s="184"/>
      <c r="I1060" s="185"/>
      <c r="J1060" s="240" t="s">
        <v>1085</v>
      </c>
      <c r="K1060" s="241"/>
      <c r="L1060" s="60">
        <v>1</v>
      </c>
      <c r="M1060" s="188">
        <v>63.7</v>
      </c>
      <c r="N1060" s="189"/>
      <c r="O1060" s="56">
        <f t="shared" si="197"/>
        <v>60.481198009050004</v>
      </c>
      <c r="P1060" s="57">
        <f t="shared" si="196"/>
        <v>60.481198009050004</v>
      </c>
      <c r="T1060" s="88">
        <v>5.05306435E-2</v>
      </c>
    </row>
    <row r="1061" spans="1:20" ht="14.25" customHeight="1">
      <c r="A1061" s="174" t="s">
        <v>1070</v>
      </c>
      <c r="B1061" s="174"/>
      <c r="C1061" s="174"/>
      <c r="D1061" s="174"/>
      <c r="E1061" s="174"/>
      <c r="F1061" s="174"/>
      <c r="G1061" s="174"/>
      <c r="H1061" s="175" t="s">
        <v>1071</v>
      </c>
      <c r="I1061" s="175"/>
      <c r="J1061" s="175"/>
      <c r="K1061" s="175"/>
      <c r="L1061" s="176">
        <v>0</v>
      </c>
      <c r="M1061" s="176"/>
      <c r="N1061" s="177" t="s">
        <v>1072</v>
      </c>
      <c r="O1061" s="177"/>
      <c r="P1061" s="177"/>
      <c r="T1061" s="88">
        <v>5.05306435E-2</v>
      </c>
    </row>
    <row r="1062" spans="1:20" ht="14.25" customHeight="1">
      <c r="A1062" s="178" t="s">
        <v>1073</v>
      </c>
      <c r="B1062" s="178"/>
      <c r="C1062" s="178"/>
      <c r="D1062" s="178"/>
      <c r="E1062" s="178"/>
      <c r="F1062" s="178"/>
      <c r="G1062" s="178"/>
      <c r="H1062" s="179"/>
      <c r="I1062" s="179"/>
      <c r="J1062" s="179"/>
      <c r="K1062" s="179"/>
      <c r="L1062" s="180" t="s">
        <v>1074</v>
      </c>
      <c r="M1062" s="180"/>
      <c r="N1062" s="179"/>
      <c r="O1062" s="179"/>
      <c r="P1062" s="179"/>
      <c r="T1062" s="88">
        <v>5.05306435E-2</v>
      </c>
    </row>
    <row r="1063" spans="1:20" ht="28.5" customHeight="1">
      <c r="A1063" s="172" t="s">
        <v>1716</v>
      </c>
      <c r="B1063" s="172"/>
      <c r="C1063" s="172"/>
      <c r="D1063" s="172"/>
      <c r="E1063" s="172"/>
      <c r="F1063" s="172"/>
      <c r="G1063" s="172"/>
      <c r="H1063" s="172"/>
      <c r="I1063" s="172"/>
      <c r="J1063" s="172"/>
      <c r="K1063" s="172"/>
      <c r="L1063" s="172"/>
      <c r="M1063" s="172"/>
      <c r="N1063" s="172"/>
      <c r="O1063" s="172"/>
      <c r="P1063" s="172"/>
      <c r="Q1063" s="172"/>
      <c r="T1063" s="88">
        <v>5.05306435E-2</v>
      </c>
    </row>
    <row r="1064" spans="1:20" ht="14.45" customHeight="1">
      <c r="A1064" s="207"/>
      <c r="B1064" s="207"/>
      <c r="C1064" s="207"/>
      <c r="D1064" s="207"/>
      <c r="E1064" s="207"/>
      <c r="F1064" s="207"/>
      <c r="G1064" s="207"/>
      <c r="H1064" s="207"/>
      <c r="I1064" s="207"/>
      <c r="J1064" s="207"/>
      <c r="K1064" s="207"/>
      <c r="L1064" s="207"/>
      <c r="M1064" s="207"/>
      <c r="N1064" s="207"/>
      <c r="O1064" s="207"/>
      <c r="P1064" s="207"/>
      <c r="Q1064" s="81"/>
      <c r="T1064" s="88">
        <v>5.05306435E-2</v>
      </c>
    </row>
    <row r="1065" spans="1:20" ht="15.75" customHeight="1">
      <c r="A1065" s="71">
        <v>59552</v>
      </c>
      <c r="B1065" s="44" t="s">
        <v>3</v>
      </c>
      <c r="C1065" s="43" t="s">
        <v>4</v>
      </c>
      <c r="D1065" s="208" t="s">
        <v>5</v>
      </c>
      <c r="E1065" s="209"/>
      <c r="F1065" s="43" t="s">
        <v>1049</v>
      </c>
      <c r="G1065" s="210"/>
      <c r="H1065" s="211"/>
      <c r="I1065" s="212"/>
      <c r="J1065" s="213" t="s">
        <v>6</v>
      </c>
      <c r="K1065" s="214"/>
      <c r="L1065" s="44" t="s">
        <v>7</v>
      </c>
      <c r="M1065" s="219" t="s">
        <v>8</v>
      </c>
      <c r="N1065" s="220"/>
      <c r="O1065" s="63"/>
      <c r="P1065" s="44" t="s">
        <v>11</v>
      </c>
      <c r="Q1065" s="81"/>
      <c r="T1065" s="88">
        <v>5.05306435E-2</v>
      </c>
    </row>
    <row r="1066" spans="1:20" ht="14.45" customHeight="1">
      <c r="A1066" s="47" t="s">
        <v>1051</v>
      </c>
      <c r="B1066" s="48" t="s">
        <v>1717</v>
      </c>
      <c r="C1066" s="47" t="s">
        <v>1053</v>
      </c>
      <c r="D1066" s="190" t="s">
        <v>1718</v>
      </c>
      <c r="E1066" s="191"/>
      <c r="F1066" s="47" t="s">
        <v>1628</v>
      </c>
      <c r="G1066" s="192"/>
      <c r="H1066" s="193"/>
      <c r="I1066" s="194"/>
      <c r="J1066" s="223" t="s">
        <v>1085</v>
      </c>
      <c r="K1066" s="224"/>
      <c r="L1066" s="50">
        <v>1</v>
      </c>
      <c r="M1066" s="197">
        <v>11.37</v>
      </c>
      <c r="N1066" s="198"/>
      <c r="O1066" s="64">
        <f>M1066-(M1066*T1066)</f>
        <v>10.795466583404998</v>
      </c>
      <c r="P1066" s="64">
        <f>SUM(P1067:P1072)</f>
        <v>10.791288918236399</v>
      </c>
      <c r="Q1066" s="81"/>
      <c r="T1066" s="88">
        <v>5.05306435E-2</v>
      </c>
    </row>
    <row r="1067" spans="1:20" ht="14.45" customHeight="1">
      <c r="A1067" s="52" t="s">
        <v>1057</v>
      </c>
      <c r="B1067" s="53">
        <v>88247</v>
      </c>
      <c r="C1067" s="52" t="s">
        <v>1058</v>
      </c>
      <c r="D1067" s="199" t="s">
        <v>1062</v>
      </c>
      <c r="E1067" s="200"/>
      <c r="F1067" s="52" t="s">
        <v>1158</v>
      </c>
      <c r="G1067" s="201"/>
      <c r="H1067" s="202"/>
      <c r="I1067" s="203"/>
      <c r="J1067" s="204" t="s">
        <v>1061</v>
      </c>
      <c r="K1067" s="205"/>
      <c r="L1067" s="55">
        <v>0.14399999999999999</v>
      </c>
      <c r="M1067" s="188">
        <v>22.63</v>
      </c>
      <c r="N1067" s="189"/>
      <c r="O1067" s="56">
        <f>M1067-(M1067*T1067)</f>
        <v>21.486491537595001</v>
      </c>
      <c r="P1067" s="57">
        <f t="shared" ref="P1067:P1069" si="198">O1067*L1067</f>
        <v>3.0940547814136798</v>
      </c>
      <c r="Q1067" s="81"/>
      <c r="T1067" s="88">
        <v>5.05306435E-2</v>
      </c>
    </row>
    <row r="1068" spans="1:20" ht="14.45" customHeight="1">
      <c r="A1068" s="52" t="s">
        <v>1057</v>
      </c>
      <c r="B1068" s="53">
        <v>88264</v>
      </c>
      <c r="C1068" s="52" t="s">
        <v>1058</v>
      </c>
      <c r="D1068" s="199" t="s">
        <v>1063</v>
      </c>
      <c r="E1068" s="200"/>
      <c r="F1068" s="52" t="s">
        <v>1158</v>
      </c>
      <c r="G1068" s="201"/>
      <c r="H1068" s="202"/>
      <c r="I1068" s="203"/>
      <c r="J1068" s="204" t="s">
        <v>1061</v>
      </c>
      <c r="K1068" s="205"/>
      <c r="L1068" s="55">
        <v>0.14399999999999999</v>
      </c>
      <c r="M1068" s="188">
        <v>27.27</v>
      </c>
      <c r="N1068" s="189"/>
      <c r="O1068" s="56">
        <f t="shared" ref="O1068:O1069" si="199">M1068-(M1068*T1068)</f>
        <v>25.892029351754999</v>
      </c>
      <c r="P1068" s="57">
        <f t="shared" si="198"/>
        <v>3.7284522266527196</v>
      </c>
      <c r="Q1068" s="81"/>
      <c r="T1068" s="88">
        <v>5.05306435E-2</v>
      </c>
    </row>
    <row r="1069" spans="1:20" ht="14.45" customHeight="1">
      <c r="A1069" s="58" t="s">
        <v>1064</v>
      </c>
      <c r="B1069" s="62">
        <v>35758</v>
      </c>
      <c r="C1069" s="58" t="s">
        <v>1150</v>
      </c>
      <c r="D1069" s="181" t="s">
        <v>1719</v>
      </c>
      <c r="E1069" s="182"/>
      <c r="F1069" s="58" t="s">
        <v>1068</v>
      </c>
      <c r="G1069" s="183"/>
      <c r="H1069" s="184"/>
      <c r="I1069" s="185"/>
      <c r="J1069" s="240" t="s">
        <v>1085</v>
      </c>
      <c r="K1069" s="241"/>
      <c r="L1069" s="60">
        <v>1</v>
      </c>
      <c r="M1069" s="188">
        <v>4.18</v>
      </c>
      <c r="N1069" s="189"/>
      <c r="O1069" s="56">
        <f t="shared" si="199"/>
        <v>3.9687819101699997</v>
      </c>
      <c r="P1069" s="57">
        <f t="shared" si="198"/>
        <v>3.9687819101699997</v>
      </c>
      <c r="Q1069" s="81"/>
      <c r="T1069" s="88">
        <v>5.05306435E-2</v>
      </c>
    </row>
    <row r="1070" spans="1:20" ht="14.25" customHeight="1">
      <c r="A1070" s="73"/>
      <c r="B1070" s="73"/>
      <c r="C1070" s="73"/>
      <c r="D1070" s="218"/>
      <c r="E1070" s="218"/>
      <c r="F1070" s="74" t="s">
        <v>1070</v>
      </c>
      <c r="G1070" s="218"/>
      <c r="H1070" s="218"/>
      <c r="I1070" s="218"/>
      <c r="J1070" s="175" t="s">
        <v>1071</v>
      </c>
      <c r="K1070" s="175"/>
      <c r="L1070" s="75">
        <v>0</v>
      </c>
      <c r="M1070" s="175" t="s">
        <v>1072</v>
      </c>
      <c r="N1070" s="175"/>
      <c r="O1070" s="74"/>
      <c r="P1070" s="73"/>
      <c r="Q1070" s="68"/>
      <c r="T1070" s="88">
        <v>5.05306435E-2</v>
      </c>
    </row>
    <row r="1071" spans="1:20" ht="14.85" customHeight="1">
      <c r="A1071" s="68"/>
      <c r="B1071" s="68"/>
      <c r="C1071" s="68"/>
      <c r="D1071" s="179"/>
      <c r="E1071" s="179"/>
      <c r="F1071" s="76" t="s">
        <v>1073</v>
      </c>
      <c r="G1071" s="179"/>
      <c r="H1071" s="179"/>
      <c r="I1071" s="179"/>
      <c r="J1071" s="179"/>
      <c r="K1071" s="179"/>
      <c r="L1071" s="70" t="s">
        <v>1074</v>
      </c>
      <c r="M1071" s="179"/>
      <c r="N1071" s="179"/>
      <c r="O1071" s="68"/>
      <c r="P1071" s="68"/>
      <c r="Q1071" s="68"/>
      <c r="T1071" s="88">
        <v>5.05306435E-2</v>
      </c>
    </row>
    <row r="1072" spans="1:20" ht="14.45" customHeight="1">
      <c r="A1072" s="77" t="s">
        <v>1089</v>
      </c>
      <c r="B1072" s="68"/>
      <c r="C1072" s="68"/>
      <c r="D1072" s="179"/>
      <c r="E1072" s="179"/>
      <c r="F1072" s="68"/>
      <c r="G1072" s="179"/>
      <c r="H1072" s="179"/>
      <c r="I1072" s="179"/>
      <c r="J1072" s="179"/>
      <c r="K1072" s="179"/>
      <c r="L1072" s="68"/>
      <c r="M1072" s="179"/>
      <c r="N1072" s="179"/>
      <c r="O1072" s="68"/>
      <c r="P1072" s="68"/>
      <c r="Q1072" s="68"/>
      <c r="T1072" s="88">
        <v>5.05306435E-2</v>
      </c>
    </row>
    <row r="1073" spans="1:20" ht="15.2" customHeight="1">
      <c r="A1073" s="206" t="s">
        <v>1720</v>
      </c>
      <c r="B1073" s="206"/>
      <c r="C1073" s="206"/>
      <c r="D1073" s="206"/>
      <c r="E1073" s="206"/>
      <c r="F1073" s="206"/>
      <c r="G1073" s="206"/>
      <c r="H1073" s="206"/>
      <c r="I1073" s="206"/>
      <c r="J1073" s="206"/>
      <c r="K1073" s="206"/>
      <c r="L1073" s="206"/>
      <c r="M1073" s="206"/>
      <c r="N1073" s="206"/>
      <c r="O1073" s="206"/>
      <c r="P1073" s="206"/>
      <c r="T1073" s="88">
        <v>5.05306435E-2</v>
      </c>
    </row>
    <row r="1074" spans="1:20" ht="14.45" customHeight="1">
      <c r="A1074" s="207"/>
      <c r="B1074" s="207"/>
      <c r="C1074" s="207"/>
      <c r="D1074" s="207"/>
      <c r="E1074" s="207"/>
      <c r="F1074" s="207"/>
      <c r="G1074" s="207"/>
      <c r="H1074" s="207"/>
      <c r="I1074" s="207"/>
      <c r="J1074" s="207"/>
      <c r="K1074" s="207"/>
      <c r="L1074" s="207"/>
      <c r="M1074" s="207"/>
      <c r="N1074" s="207"/>
      <c r="O1074" s="207"/>
      <c r="P1074" s="207"/>
      <c r="Q1074" s="81"/>
      <c r="T1074" s="88">
        <v>5.05306435E-2</v>
      </c>
    </row>
    <row r="1075" spans="1:20" ht="15.75" customHeight="1">
      <c r="A1075" s="71">
        <v>59917</v>
      </c>
      <c r="B1075" s="44" t="s">
        <v>3</v>
      </c>
      <c r="C1075" s="43" t="s">
        <v>4</v>
      </c>
      <c r="D1075" s="208" t="s">
        <v>5</v>
      </c>
      <c r="E1075" s="209"/>
      <c r="F1075" s="43" t="s">
        <v>1049</v>
      </c>
      <c r="G1075" s="210"/>
      <c r="H1075" s="211"/>
      <c r="I1075" s="212"/>
      <c r="J1075" s="213" t="s">
        <v>6</v>
      </c>
      <c r="K1075" s="214"/>
      <c r="L1075" s="44" t="s">
        <v>7</v>
      </c>
      <c r="M1075" s="219" t="s">
        <v>8</v>
      </c>
      <c r="N1075" s="220"/>
      <c r="O1075" s="63"/>
      <c r="P1075" s="44" t="s">
        <v>11</v>
      </c>
      <c r="Q1075" s="81"/>
      <c r="T1075" s="88">
        <v>5.05306435E-2</v>
      </c>
    </row>
    <row r="1076" spans="1:20" ht="14.45" customHeight="1">
      <c r="A1076" s="47" t="s">
        <v>1051</v>
      </c>
      <c r="B1076" s="48" t="s">
        <v>1721</v>
      </c>
      <c r="C1076" s="47" t="s">
        <v>1053</v>
      </c>
      <c r="D1076" s="190" t="s">
        <v>1722</v>
      </c>
      <c r="E1076" s="191"/>
      <c r="F1076" s="47" t="s">
        <v>1628</v>
      </c>
      <c r="G1076" s="192"/>
      <c r="H1076" s="193"/>
      <c r="I1076" s="194"/>
      <c r="J1076" s="223" t="s">
        <v>1085</v>
      </c>
      <c r="K1076" s="224"/>
      <c r="L1076" s="50">
        <v>1</v>
      </c>
      <c r="M1076" s="197">
        <v>13.05</v>
      </c>
      <c r="N1076" s="198"/>
      <c r="O1076" s="64">
        <f>M1076-(M1076*T1076)</f>
        <v>12.390575102325</v>
      </c>
      <c r="P1076" s="64">
        <f>SUM(P1077:P1082)</f>
        <v>12.388676163612001</v>
      </c>
      <c r="Q1076" s="81"/>
      <c r="T1076" s="88">
        <v>5.05306435E-2</v>
      </c>
    </row>
    <row r="1077" spans="1:20" ht="14.45" customHeight="1">
      <c r="A1077" s="52" t="s">
        <v>1057</v>
      </c>
      <c r="B1077" s="53">
        <v>88316</v>
      </c>
      <c r="C1077" s="52" t="s">
        <v>1058</v>
      </c>
      <c r="D1077" s="199" t="s">
        <v>1059</v>
      </c>
      <c r="E1077" s="200"/>
      <c r="F1077" s="52" t="s">
        <v>1158</v>
      </c>
      <c r="G1077" s="201"/>
      <c r="H1077" s="202"/>
      <c r="I1077" s="203"/>
      <c r="J1077" s="204" t="s">
        <v>1061</v>
      </c>
      <c r="K1077" s="205"/>
      <c r="L1077" s="55">
        <v>0.2</v>
      </c>
      <c r="M1077" s="188">
        <v>21.32</v>
      </c>
      <c r="N1077" s="189"/>
      <c r="O1077" s="56">
        <f>M1077-(M1077*T1077)</f>
        <v>20.24268668058</v>
      </c>
      <c r="P1077" s="57">
        <f t="shared" ref="P1077:P1079" si="200">O1077*L1077</f>
        <v>4.0485373361160004</v>
      </c>
      <c r="Q1077" s="81"/>
      <c r="T1077" s="88">
        <v>5.05306435E-2</v>
      </c>
    </row>
    <row r="1078" spans="1:20" ht="14.45" customHeight="1">
      <c r="A1078" s="52" t="s">
        <v>1057</v>
      </c>
      <c r="B1078" s="53">
        <v>88264</v>
      </c>
      <c r="C1078" s="52" t="s">
        <v>1058</v>
      </c>
      <c r="D1078" s="199" t="s">
        <v>1063</v>
      </c>
      <c r="E1078" s="200"/>
      <c r="F1078" s="52" t="s">
        <v>1158</v>
      </c>
      <c r="G1078" s="201"/>
      <c r="H1078" s="202"/>
      <c r="I1078" s="203"/>
      <c r="J1078" s="204" t="s">
        <v>1061</v>
      </c>
      <c r="K1078" s="205"/>
      <c r="L1078" s="55">
        <v>0.2</v>
      </c>
      <c r="M1078" s="188">
        <v>27.27</v>
      </c>
      <c r="N1078" s="189"/>
      <c r="O1078" s="56">
        <f t="shared" ref="O1078:O1079" si="201">M1078-(M1078*T1078)</f>
        <v>25.892029351754999</v>
      </c>
      <c r="P1078" s="57">
        <f t="shared" si="200"/>
        <v>5.1784058703509999</v>
      </c>
      <c r="Q1078" s="81"/>
      <c r="T1078" s="88">
        <v>5.05306435E-2</v>
      </c>
    </row>
    <row r="1079" spans="1:20" ht="14.45" customHeight="1">
      <c r="A1079" s="58" t="s">
        <v>1064</v>
      </c>
      <c r="B1079" s="62">
        <v>12302</v>
      </c>
      <c r="C1079" s="58" t="s">
        <v>1262</v>
      </c>
      <c r="D1079" s="181" t="s">
        <v>1723</v>
      </c>
      <c r="E1079" s="182"/>
      <c r="F1079" s="58" t="s">
        <v>1068</v>
      </c>
      <c r="G1079" s="183"/>
      <c r="H1079" s="184"/>
      <c r="I1079" s="185"/>
      <c r="J1079" s="240" t="s">
        <v>1085</v>
      </c>
      <c r="K1079" s="241"/>
      <c r="L1079" s="60">
        <v>1</v>
      </c>
      <c r="M1079" s="188">
        <v>3.33</v>
      </c>
      <c r="N1079" s="189"/>
      <c r="O1079" s="56">
        <f t="shared" si="201"/>
        <v>3.1617329571449999</v>
      </c>
      <c r="P1079" s="57">
        <f t="shared" si="200"/>
        <v>3.1617329571449999</v>
      </c>
      <c r="Q1079" s="81"/>
      <c r="T1079" s="88">
        <v>5.05306435E-2</v>
      </c>
    </row>
    <row r="1080" spans="1:20" ht="14.25" customHeight="1">
      <c r="A1080" s="174" t="s">
        <v>1070</v>
      </c>
      <c r="B1080" s="174"/>
      <c r="C1080" s="174"/>
      <c r="D1080" s="174"/>
      <c r="E1080" s="174"/>
      <c r="F1080" s="174"/>
      <c r="G1080" s="174"/>
      <c r="H1080" s="175" t="s">
        <v>1071</v>
      </c>
      <c r="I1080" s="175"/>
      <c r="J1080" s="175"/>
      <c r="K1080" s="175"/>
      <c r="L1080" s="176">
        <v>0</v>
      </c>
      <c r="M1080" s="176"/>
      <c r="N1080" s="177" t="s">
        <v>1072</v>
      </c>
      <c r="O1080" s="177"/>
      <c r="P1080" s="177"/>
      <c r="T1080" s="88">
        <v>5.05306435E-2</v>
      </c>
    </row>
    <row r="1081" spans="1:20" ht="14.25" customHeight="1">
      <c r="A1081" s="178" t="s">
        <v>1073</v>
      </c>
      <c r="B1081" s="178"/>
      <c r="C1081" s="178"/>
      <c r="D1081" s="178"/>
      <c r="E1081" s="178"/>
      <c r="F1081" s="178"/>
      <c r="G1081" s="178"/>
      <c r="H1081" s="179"/>
      <c r="I1081" s="179"/>
      <c r="J1081" s="179"/>
      <c r="K1081" s="179"/>
      <c r="L1081" s="180" t="s">
        <v>1074</v>
      </c>
      <c r="M1081" s="180"/>
      <c r="N1081" s="179"/>
      <c r="O1081" s="179"/>
      <c r="P1081" s="179"/>
      <c r="T1081" s="88">
        <v>5.05306435E-2</v>
      </c>
    </row>
    <row r="1082" spans="1:20" ht="28.5" customHeight="1">
      <c r="A1082" s="172" t="s">
        <v>1724</v>
      </c>
      <c r="B1082" s="172"/>
      <c r="C1082" s="172"/>
      <c r="D1082" s="172"/>
      <c r="E1082" s="172"/>
      <c r="F1082" s="172"/>
      <c r="G1082" s="172"/>
      <c r="H1082" s="172"/>
      <c r="I1082" s="172"/>
      <c r="J1082" s="172"/>
      <c r="K1082" s="172"/>
      <c r="L1082" s="172"/>
      <c r="M1082" s="172"/>
      <c r="N1082" s="172"/>
      <c r="O1082" s="172"/>
      <c r="P1082" s="172"/>
      <c r="Q1082" s="172"/>
      <c r="T1082" s="88">
        <v>5.05306435E-2</v>
      </c>
    </row>
    <row r="1083" spans="1:20" ht="14.45" customHeight="1">
      <c r="A1083" s="207"/>
      <c r="B1083" s="207"/>
      <c r="C1083" s="207"/>
      <c r="D1083" s="207"/>
      <c r="E1083" s="207"/>
      <c r="F1083" s="207"/>
      <c r="G1083" s="207"/>
      <c r="H1083" s="207"/>
      <c r="I1083" s="207"/>
      <c r="J1083" s="207"/>
      <c r="K1083" s="207"/>
      <c r="L1083" s="207"/>
      <c r="M1083" s="207"/>
      <c r="N1083" s="207"/>
      <c r="O1083" s="207"/>
      <c r="P1083" s="207"/>
      <c r="T1083" s="88">
        <v>5.05306435E-2</v>
      </c>
    </row>
    <row r="1084" spans="1:20" ht="15.75" customHeight="1">
      <c r="A1084" s="71">
        <v>62839</v>
      </c>
      <c r="B1084" s="44" t="s">
        <v>3</v>
      </c>
      <c r="C1084" s="43" t="s">
        <v>4</v>
      </c>
      <c r="D1084" s="208" t="s">
        <v>5</v>
      </c>
      <c r="E1084" s="209"/>
      <c r="F1084" s="43" t="s">
        <v>1049</v>
      </c>
      <c r="G1084" s="210"/>
      <c r="H1084" s="211"/>
      <c r="I1084" s="212"/>
      <c r="J1084" s="213" t="s">
        <v>6</v>
      </c>
      <c r="K1084" s="214"/>
      <c r="L1084" s="44" t="s">
        <v>7</v>
      </c>
      <c r="M1084" s="219" t="s">
        <v>8</v>
      </c>
      <c r="N1084" s="220"/>
      <c r="O1084" s="63"/>
      <c r="P1084" s="44" t="s">
        <v>11</v>
      </c>
      <c r="T1084" s="88">
        <v>5.05306435E-2</v>
      </c>
    </row>
    <row r="1085" spans="1:20" ht="14.45" customHeight="1">
      <c r="A1085" s="47" t="s">
        <v>1051</v>
      </c>
      <c r="B1085" s="48" t="s">
        <v>1725</v>
      </c>
      <c r="C1085" s="47" t="s">
        <v>1053</v>
      </c>
      <c r="D1085" s="190" t="s">
        <v>1726</v>
      </c>
      <c r="E1085" s="191"/>
      <c r="F1085" s="47" t="s">
        <v>1422</v>
      </c>
      <c r="G1085" s="192"/>
      <c r="H1085" s="193"/>
      <c r="I1085" s="194"/>
      <c r="J1085" s="195" t="s">
        <v>1107</v>
      </c>
      <c r="K1085" s="196"/>
      <c r="L1085" s="50">
        <v>1</v>
      </c>
      <c r="M1085" s="197">
        <v>68.510000000000005</v>
      </c>
      <c r="N1085" s="198"/>
      <c r="O1085" s="64">
        <f>M1085-(M1085*T1085)</f>
        <v>65.048145613815009</v>
      </c>
      <c r="P1085" s="64">
        <f>SUM(P1086:P1091)</f>
        <v>65.049569817849758</v>
      </c>
      <c r="T1085" s="88">
        <v>5.05306435E-2</v>
      </c>
    </row>
    <row r="1086" spans="1:20" ht="14.45" customHeight="1">
      <c r="A1086" s="52" t="s">
        <v>1057</v>
      </c>
      <c r="B1086" s="53">
        <v>88264</v>
      </c>
      <c r="C1086" s="52" t="s">
        <v>1058</v>
      </c>
      <c r="D1086" s="199" t="s">
        <v>1063</v>
      </c>
      <c r="E1086" s="200"/>
      <c r="F1086" s="52" t="s">
        <v>1158</v>
      </c>
      <c r="G1086" s="201"/>
      <c r="H1086" s="202"/>
      <c r="I1086" s="203"/>
      <c r="J1086" s="204" t="s">
        <v>1061</v>
      </c>
      <c r="K1086" s="205"/>
      <c r="L1086" s="55">
        <v>0.8</v>
      </c>
      <c r="M1086" s="188">
        <v>27.27</v>
      </c>
      <c r="N1086" s="189"/>
      <c r="O1086" s="56">
        <f>M1086-(M1086*T1086)</f>
        <v>25.892029351754999</v>
      </c>
      <c r="P1086" s="57">
        <f t="shared" ref="P1086:P1088" si="202">O1086*L1086</f>
        <v>20.713623481403999</v>
      </c>
      <c r="T1086" s="88">
        <v>5.05306435E-2</v>
      </c>
    </row>
    <row r="1087" spans="1:20" ht="14.45" customHeight="1">
      <c r="A1087" s="52" t="s">
        <v>1057</v>
      </c>
      <c r="B1087" s="53">
        <v>88247</v>
      </c>
      <c r="C1087" s="52" t="s">
        <v>1058</v>
      </c>
      <c r="D1087" s="199" t="s">
        <v>1062</v>
      </c>
      <c r="E1087" s="200"/>
      <c r="F1087" s="52" t="s">
        <v>1158</v>
      </c>
      <c r="G1087" s="201"/>
      <c r="H1087" s="202"/>
      <c r="I1087" s="203"/>
      <c r="J1087" s="204" t="s">
        <v>1061</v>
      </c>
      <c r="K1087" s="205"/>
      <c r="L1087" s="55">
        <v>0.8</v>
      </c>
      <c r="M1087" s="188">
        <v>22.63</v>
      </c>
      <c r="N1087" s="189"/>
      <c r="O1087" s="56">
        <f t="shared" ref="O1087:O1088" si="203">M1087-(M1087*T1087)</f>
        <v>21.486491537595001</v>
      </c>
      <c r="P1087" s="57">
        <f t="shared" si="202"/>
        <v>17.189193230076</v>
      </c>
      <c r="T1087" s="88">
        <v>5.05306435E-2</v>
      </c>
    </row>
    <row r="1088" spans="1:20" ht="14.45" customHeight="1">
      <c r="A1088" s="58" t="s">
        <v>1064</v>
      </c>
      <c r="B1088" s="59" t="s">
        <v>1727</v>
      </c>
      <c r="C1088" s="58" t="s">
        <v>1066</v>
      </c>
      <c r="D1088" s="181" t="s">
        <v>1728</v>
      </c>
      <c r="E1088" s="182"/>
      <c r="F1088" s="58" t="s">
        <v>1068</v>
      </c>
      <c r="G1088" s="183"/>
      <c r="H1088" s="184"/>
      <c r="I1088" s="185"/>
      <c r="J1088" s="186" t="s">
        <v>1327</v>
      </c>
      <c r="K1088" s="187"/>
      <c r="L1088" s="60">
        <v>1.05</v>
      </c>
      <c r="M1088" s="188">
        <v>27.23</v>
      </c>
      <c r="N1088" s="189"/>
      <c r="O1088" s="56">
        <f t="shared" si="203"/>
        <v>25.854050577495002</v>
      </c>
      <c r="P1088" s="57">
        <f t="shared" si="202"/>
        <v>27.146753106369754</v>
      </c>
      <c r="T1088" s="88">
        <v>5.05306435E-2</v>
      </c>
    </row>
    <row r="1089" spans="1:20" ht="14.25" customHeight="1">
      <c r="A1089" s="73"/>
      <c r="B1089" s="73"/>
      <c r="C1089" s="73"/>
      <c r="D1089" s="218"/>
      <c r="E1089" s="218"/>
      <c r="F1089" s="74" t="s">
        <v>1070</v>
      </c>
      <c r="G1089" s="218"/>
      <c r="H1089" s="218"/>
      <c r="I1089" s="218"/>
      <c r="J1089" s="175" t="s">
        <v>1071</v>
      </c>
      <c r="K1089" s="175"/>
      <c r="L1089" s="75">
        <v>0</v>
      </c>
      <c r="M1089" s="175" t="s">
        <v>1072</v>
      </c>
      <c r="N1089" s="175"/>
      <c r="O1089" s="74"/>
      <c r="P1089" s="73"/>
      <c r="T1089" s="88">
        <v>5.05306435E-2</v>
      </c>
    </row>
    <row r="1090" spans="1:20" ht="14.85" customHeight="1">
      <c r="A1090" s="68"/>
      <c r="B1090" s="68"/>
      <c r="C1090" s="68"/>
      <c r="D1090" s="179"/>
      <c r="E1090" s="179"/>
      <c r="F1090" s="76" t="s">
        <v>1073</v>
      </c>
      <c r="G1090" s="179"/>
      <c r="H1090" s="179"/>
      <c r="I1090" s="179"/>
      <c r="J1090" s="179"/>
      <c r="K1090" s="179"/>
      <c r="L1090" s="70" t="s">
        <v>1074</v>
      </c>
      <c r="M1090" s="179"/>
      <c r="N1090" s="179"/>
      <c r="O1090" s="68"/>
      <c r="P1090" s="68"/>
      <c r="T1090" s="88">
        <v>5.05306435E-2</v>
      </c>
    </row>
    <row r="1091" spans="1:20" ht="14.45" customHeight="1">
      <c r="A1091" s="77" t="s">
        <v>1089</v>
      </c>
      <c r="B1091" s="68"/>
      <c r="C1091" s="68"/>
      <c r="D1091" s="179"/>
      <c r="E1091" s="179"/>
      <c r="F1091" s="68"/>
      <c r="G1091" s="179"/>
      <c r="H1091" s="179"/>
      <c r="I1091" s="179"/>
      <c r="J1091" s="179"/>
      <c r="K1091" s="179"/>
      <c r="L1091" s="68"/>
      <c r="M1091" s="179"/>
      <c r="N1091" s="179"/>
      <c r="O1091" s="68"/>
      <c r="P1091" s="68"/>
      <c r="T1091" s="88">
        <v>5.05306435E-2</v>
      </c>
    </row>
    <row r="1092" spans="1:20" ht="15.2" customHeight="1">
      <c r="A1092" s="206" t="s">
        <v>1729</v>
      </c>
      <c r="B1092" s="206"/>
      <c r="C1092" s="206"/>
      <c r="D1092" s="206"/>
      <c r="E1092" s="206"/>
      <c r="F1092" s="206"/>
      <c r="G1092" s="206"/>
      <c r="H1092" s="206"/>
      <c r="I1092" s="206"/>
      <c r="J1092" s="206"/>
      <c r="K1092" s="206"/>
      <c r="L1092" s="206"/>
      <c r="M1092" s="206"/>
      <c r="N1092" s="206"/>
      <c r="O1092" s="206"/>
      <c r="P1092" s="206"/>
      <c r="T1092" s="88">
        <v>5.05306435E-2</v>
      </c>
    </row>
    <row r="1093" spans="1:20" ht="14.45" customHeight="1">
      <c r="A1093" s="207"/>
      <c r="B1093" s="207"/>
      <c r="C1093" s="207"/>
      <c r="D1093" s="207"/>
      <c r="E1093" s="207"/>
      <c r="F1093" s="207"/>
      <c r="G1093" s="207"/>
      <c r="H1093" s="207"/>
      <c r="I1093" s="207"/>
      <c r="J1093" s="207"/>
      <c r="K1093" s="207"/>
      <c r="L1093" s="207"/>
      <c r="M1093" s="207"/>
      <c r="N1093" s="207"/>
      <c r="O1093" s="207"/>
      <c r="P1093" s="207"/>
      <c r="T1093" s="88">
        <v>5.05306435E-2</v>
      </c>
    </row>
    <row r="1094" spans="1:20" ht="15.75" customHeight="1">
      <c r="A1094" s="71">
        <v>63205</v>
      </c>
      <c r="B1094" s="44" t="s">
        <v>3</v>
      </c>
      <c r="C1094" s="43" t="s">
        <v>4</v>
      </c>
      <c r="D1094" s="208" t="s">
        <v>5</v>
      </c>
      <c r="E1094" s="209"/>
      <c r="F1094" s="43" t="s">
        <v>1049</v>
      </c>
      <c r="G1094" s="210"/>
      <c r="H1094" s="211"/>
      <c r="I1094" s="212"/>
      <c r="J1094" s="213" t="s">
        <v>6</v>
      </c>
      <c r="K1094" s="214"/>
      <c r="L1094" s="44" t="s">
        <v>7</v>
      </c>
      <c r="M1094" s="219" t="s">
        <v>8</v>
      </c>
      <c r="N1094" s="220"/>
      <c r="O1094" s="63"/>
      <c r="P1094" s="44" t="s">
        <v>11</v>
      </c>
      <c r="T1094" s="88">
        <v>5.05306435E-2</v>
      </c>
    </row>
    <row r="1095" spans="1:20" ht="14.45" customHeight="1">
      <c r="A1095" s="47" t="s">
        <v>1051</v>
      </c>
      <c r="B1095" s="48" t="s">
        <v>1730</v>
      </c>
      <c r="C1095" s="47" t="s">
        <v>1053</v>
      </c>
      <c r="D1095" s="190" t="s">
        <v>1731</v>
      </c>
      <c r="E1095" s="191"/>
      <c r="F1095" s="47" t="s">
        <v>1422</v>
      </c>
      <c r="G1095" s="192"/>
      <c r="H1095" s="193"/>
      <c r="I1095" s="194"/>
      <c r="J1095" s="223" t="s">
        <v>1085</v>
      </c>
      <c r="K1095" s="224"/>
      <c r="L1095" s="50">
        <v>1</v>
      </c>
      <c r="M1095" s="197">
        <v>172.42</v>
      </c>
      <c r="N1095" s="198"/>
      <c r="O1095" s="64">
        <f>M1095-(M1095*T1095)</f>
        <v>163.70750644773</v>
      </c>
      <c r="P1095" s="64">
        <f>SUM(P1096:P1101)</f>
        <v>163.7027591009475</v>
      </c>
      <c r="T1095" s="88">
        <v>5.05306435E-2</v>
      </c>
    </row>
    <row r="1096" spans="1:20" ht="14.45" customHeight="1">
      <c r="A1096" s="52" t="s">
        <v>1057</v>
      </c>
      <c r="B1096" s="53">
        <v>88316</v>
      </c>
      <c r="C1096" s="52" t="s">
        <v>1058</v>
      </c>
      <c r="D1096" s="199" t="s">
        <v>1059</v>
      </c>
      <c r="E1096" s="200"/>
      <c r="F1096" s="52" t="s">
        <v>1158</v>
      </c>
      <c r="G1096" s="201"/>
      <c r="H1096" s="202"/>
      <c r="I1096" s="203"/>
      <c r="J1096" s="204" t="s">
        <v>1061</v>
      </c>
      <c r="K1096" s="205"/>
      <c r="L1096" s="55">
        <v>0.5</v>
      </c>
      <c r="M1096" s="188">
        <v>21.32</v>
      </c>
      <c r="N1096" s="189"/>
      <c r="O1096" s="56">
        <f>M1096-(M1096*T1096)</f>
        <v>20.24268668058</v>
      </c>
      <c r="P1096" s="57">
        <f t="shared" ref="P1096:P1098" si="204">O1096*L1096</f>
        <v>10.12134334029</v>
      </c>
      <c r="T1096" s="88">
        <v>5.05306435E-2</v>
      </c>
    </row>
    <row r="1097" spans="1:20" ht="14.45" customHeight="1">
      <c r="A1097" s="52" t="s">
        <v>1057</v>
      </c>
      <c r="B1097" s="53">
        <v>88264</v>
      </c>
      <c r="C1097" s="52" t="s">
        <v>1058</v>
      </c>
      <c r="D1097" s="199" t="s">
        <v>1063</v>
      </c>
      <c r="E1097" s="200"/>
      <c r="F1097" s="52" t="s">
        <v>1158</v>
      </c>
      <c r="G1097" s="201"/>
      <c r="H1097" s="202"/>
      <c r="I1097" s="203"/>
      <c r="J1097" s="204" t="s">
        <v>1061</v>
      </c>
      <c r="K1097" s="205"/>
      <c r="L1097" s="55">
        <v>0.5</v>
      </c>
      <c r="M1097" s="188">
        <v>27.27</v>
      </c>
      <c r="N1097" s="189"/>
      <c r="O1097" s="56">
        <f t="shared" ref="O1097:O1098" si="205">M1097-(M1097*T1097)</f>
        <v>25.892029351754999</v>
      </c>
      <c r="P1097" s="57">
        <f t="shared" si="204"/>
        <v>12.9460146758775</v>
      </c>
      <c r="T1097" s="88">
        <v>5.05306435E-2</v>
      </c>
    </row>
    <row r="1098" spans="1:20" ht="14.45" customHeight="1">
      <c r="A1098" s="58" t="s">
        <v>1064</v>
      </c>
      <c r="B1098" s="62">
        <v>12700</v>
      </c>
      <c r="C1098" s="58" t="s">
        <v>1180</v>
      </c>
      <c r="D1098" s="181" t="s">
        <v>1732</v>
      </c>
      <c r="E1098" s="182"/>
      <c r="F1098" s="58" t="s">
        <v>1068</v>
      </c>
      <c r="G1098" s="183"/>
      <c r="H1098" s="184"/>
      <c r="I1098" s="185"/>
      <c r="J1098" s="186" t="s">
        <v>1187</v>
      </c>
      <c r="K1098" s="187"/>
      <c r="L1098" s="60">
        <v>1</v>
      </c>
      <c r="M1098" s="188">
        <v>148.12</v>
      </c>
      <c r="N1098" s="189"/>
      <c r="O1098" s="56">
        <f t="shared" si="205"/>
        <v>140.63540108478</v>
      </c>
      <c r="P1098" s="57">
        <f t="shared" si="204"/>
        <v>140.63540108478</v>
      </c>
      <c r="T1098" s="88">
        <v>5.05306435E-2</v>
      </c>
    </row>
    <row r="1099" spans="1:20" ht="14.25" customHeight="1">
      <c r="A1099" s="174" t="s">
        <v>1070</v>
      </c>
      <c r="B1099" s="174"/>
      <c r="C1099" s="174"/>
      <c r="D1099" s="174"/>
      <c r="E1099" s="174"/>
      <c r="F1099" s="174"/>
      <c r="G1099" s="174"/>
      <c r="H1099" s="175" t="s">
        <v>1071</v>
      </c>
      <c r="I1099" s="175"/>
      <c r="J1099" s="175"/>
      <c r="K1099" s="175"/>
      <c r="L1099" s="176">
        <v>0</v>
      </c>
      <c r="M1099" s="176"/>
      <c r="N1099" s="177" t="s">
        <v>1072</v>
      </c>
      <c r="O1099" s="177"/>
      <c r="P1099" s="177"/>
      <c r="T1099" s="88">
        <v>5.05306435E-2</v>
      </c>
    </row>
    <row r="1100" spans="1:20" ht="14.25" customHeight="1">
      <c r="A1100" s="178" t="s">
        <v>1073</v>
      </c>
      <c r="B1100" s="178"/>
      <c r="C1100" s="178"/>
      <c r="D1100" s="178"/>
      <c r="E1100" s="178"/>
      <c r="F1100" s="178"/>
      <c r="G1100" s="178"/>
      <c r="H1100" s="179"/>
      <c r="I1100" s="179"/>
      <c r="J1100" s="179"/>
      <c r="K1100" s="179"/>
      <c r="L1100" s="180" t="s">
        <v>1074</v>
      </c>
      <c r="M1100" s="180"/>
      <c r="N1100" s="179"/>
      <c r="O1100" s="179"/>
      <c r="P1100" s="179"/>
      <c r="T1100" s="88">
        <v>5.05306435E-2</v>
      </c>
    </row>
    <row r="1101" spans="1:20" ht="28.5" customHeight="1">
      <c r="A1101" s="172" t="s">
        <v>1733</v>
      </c>
      <c r="B1101" s="172"/>
      <c r="C1101" s="172"/>
      <c r="D1101" s="172"/>
      <c r="E1101" s="172"/>
      <c r="F1101" s="172"/>
      <c r="G1101" s="172"/>
      <c r="H1101" s="172"/>
      <c r="I1101" s="172"/>
      <c r="J1101" s="172"/>
      <c r="K1101" s="172"/>
      <c r="L1101" s="172"/>
      <c r="M1101" s="172"/>
      <c r="N1101" s="172"/>
      <c r="O1101" s="172"/>
      <c r="P1101" s="172"/>
      <c r="Q1101" s="172"/>
      <c r="T1101" s="88">
        <v>5.05306435E-2</v>
      </c>
    </row>
    <row r="1102" spans="1:20" ht="14.45" customHeight="1">
      <c r="A1102" s="207"/>
      <c r="B1102" s="207"/>
      <c r="C1102" s="207"/>
      <c r="D1102" s="207"/>
      <c r="E1102" s="207"/>
      <c r="F1102" s="207"/>
      <c r="G1102" s="207"/>
      <c r="H1102" s="207"/>
      <c r="I1102" s="207"/>
      <c r="J1102" s="207"/>
      <c r="K1102" s="207"/>
      <c r="L1102" s="207"/>
      <c r="M1102" s="207"/>
      <c r="N1102" s="207"/>
      <c r="O1102" s="207"/>
      <c r="P1102" s="207"/>
      <c r="T1102" s="88">
        <v>5.05306435E-2</v>
      </c>
    </row>
    <row r="1103" spans="1:20" ht="15.75" customHeight="1">
      <c r="A1103" s="71">
        <v>63570</v>
      </c>
      <c r="B1103" s="44" t="s">
        <v>3</v>
      </c>
      <c r="C1103" s="43" t="s">
        <v>4</v>
      </c>
      <c r="D1103" s="208" t="s">
        <v>5</v>
      </c>
      <c r="E1103" s="209"/>
      <c r="F1103" s="43" t="s">
        <v>1049</v>
      </c>
      <c r="G1103" s="210"/>
      <c r="H1103" s="211"/>
      <c r="I1103" s="212"/>
      <c r="J1103" s="213" t="s">
        <v>6</v>
      </c>
      <c r="K1103" s="214"/>
      <c r="L1103" s="44" t="s">
        <v>7</v>
      </c>
      <c r="M1103" s="219" t="s">
        <v>8</v>
      </c>
      <c r="N1103" s="220"/>
      <c r="O1103" s="63"/>
      <c r="P1103" s="44" t="s">
        <v>11</v>
      </c>
      <c r="T1103" s="88">
        <v>5.05306435E-2</v>
      </c>
    </row>
    <row r="1104" spans="1:20" ht="14.45" customHeight="1">
      <c r="A1104" s="47" t="s">
        <v>1051</v>
      </c>
      <c r="B1104" s="48" t="s">
        <v>1734</v>
      </c>
      <c r="C1104" s="47" t="s">
        <v>1053</v>
      </c>
      <c r="D1104" s="190" t="s">
        <v>1726</v>
      </c>
      <c r="E1104" s="191"/>
      <c r="F1104" s="47" t="s">
        <v>1422</v>
      </c>
      <c r="G1104" s="192"/>
      <c r="H1104" s="193"/>
      <c r="I1104" s="194"/>
      <c r="J1104" s="195" t="s">
        <v>1107</v>
      </c>
      <c r="K1104" s="196"/>
      <c r="L1104" s="50">
        <v>1</v>
      </c>
      <c r="M1104" s="197">
        <v>226.17</v>
      </c>
      <c r="N1104" s="198"/>
      <c r="O1104" s="64">
        <f>M1104-(M1104*T1104)</f>
        <v>214.74148435960498</v>
      </c>
      <c r="P1104" s="64">
        <f>SUM(P1105:P1110)</f>
        <v>214.74528223703101</v>
      </c>
      <c r="T1104" s="88">
        <v>5.05306435E-2</v>
      </c>
    </row>
    <row r="1105" spans="1:20" ht="14.45" customHeight="1">
      <c r="A1105" s="52" t="s">
        <v>1057</v>
      </c>
      <c r="B1105" s="53">
        <v>88264</v>
      </c>
      <c r="C1105" s="52" t="s">
        <v>1058</v>
      </c>
      <c r="D1105" s="199" t="s">
        <v>1063</v>
      </c>
      <c r="E1105" s="200"/>
      <c r="F1105" s="52" t="s">
        <v>1158</v>
      </c>
      <c r="G1105" s="201"/>
      <c r="H1105" s="202"/>
      <c r="I1105" s="203"/>
      <c r="J1105" s="204" t="s">
        <v>1061</v>
      </c>
      <c r="K1105" s="205"/>
      <c r="L1105" s="55">
        <v>0.4</v>
      </c>
      <c r="M1105" s="188">
        <v>27.27</v>
      </c>
      <c r="N1105" s="189"/>
      <c r="O1105" s="56">
        <f>M1105-(M1105*T1105)</f>
        <v>25.892029351754999</v>
      </c>
      <c r="P1105" s="57">
        <f t="shared" ref="P1105:P1107" si="206">O1105*L1105</f>
        <v>10.356811740702</v>
      </c>
      <c r="T1105" s="88">
        <v>5.05306435E-2</v>
      </c>
    </row>
    <row r="1106" spans="1:20" ht="14.45" customHeight="1">
      <c r="A1106" s="52" t="s">
        <v>1057</v>
      </c>
      <c r="B1106" s="53">
        <v>88247</v>
      </c>
      <c r="C1106" s="52" t="s">
        <v>1058</v>
      </c>
      <c r="D1106" s="199" t="s">
        <v>1062</v>
      </c>
      <c r="E1106" s="200"/>
      <c r="F1106" s="52" t="s">
        <v>1158</v>
      </c>
      <c r="G1106" s="201"/>
      <c r="H1106" s="202"/>
      <c r="I1106" s="203"/>
      <c r="J1106" s="204" t="s">
        <v>1061</v>
      </c>
      <c r="K1106" s="205"/>
      <c r="L1106" s="55">
        <v>0.2</v>
      </c>
      <c r="M1106" s="188">
        <v>22.63</v>
      </c>
      <c r="N1106" s="189"/>
      <c r="O1106" s="56">
        <f t="shared" ref="O1106:O1107" si="207">M1106-(M1106*T1106)</f>
        <v>21.486491537595001</v>
      </c>
      <c r="P1106" s="57">
        <f t="shared" si="206"/>
        <v>4.2972983075190001</v>
      </c>
      <c r="T1106" s="88">
        <v>5.05306435E-2</v>
      </c>
    </row>
    <row r="1107" spans="1:20" ht="14.45" customHeight="1">
      <c r="A1107" s="58" t="s">
        <v>1064</v>
      </c>
      <c r="B1107" s="59" t="s">
        <v>1735</v>
      </c>
      <c r="C1107" s="58" t="s">
        <v>1066</v>
      </c>
      <c r="D1107" s="181" t="s">
        <v>1736</v>
      </c>
      <c r="E1107" s="182"/>
      <c r="F1107" s="58" t="s">
        <v>1068</v>
      </c>
      <c r="G1107" s="183"/>
      <c r="H1107" s="184"/>
      <c r="I1107" s="185"/>
      <c r="J1107" s="186" t="s">
        <v>1187</v>
      </c>
      <c r="K1107" s="187"/>
      <c r="L1107" s="60">
        <v>1</v>
      </c>
      <c r="M1107" s="188">
        <v>210.74</v>
      </c>
      <c r="N1107" s="189"/>
      <c r="O1107" s="56">
        <f t="shared" si="207"/>
        <v>200.09117218881002</v>
      </c>
      <c r="P1107" s="57">
        <f t="shared" si="206"/>
        <v>200.09117218881002</v>
      </c>
      <c r="T1107" s="88">
        <v>5.05306435E-2</v>
      </c>
    </row>
    <row r="1108" spans="1:20" ht="14.25" customHeight="1">
      <c r="A1108" s="73"/>
      <c r="B1108" s="73"/>
      <c r="C1108" s="73"/>
      <c r="D1108" s="218"/>
      <c r="E1108" s="218"/>
      <c r="F1108" s="74" t="s">
        <v>1070</v>
      </c>
      <c r="G1108" s="218"/>
      <c r="H1108" s="218"/>
      <c r="I1108" s="218"/>
      <c r="J1108" s="175" t="s">
        <v>1071</v>
      </c>
      <c r="K1108" s="175"/>
      <c r="L1108" s="75">
        <v>0</v>
      </c>
      <c r="M1108" s="175" t="s">
        <v>1072</v>
      </c>
      <c r="N1108" s="175"/>
      <c r="O1108" s="74"/>
      <c r="P1108" s="73"/>
      <c r="T1108" s="88">
        <v>5.05306435E-2</v>
      </c>
    </row>
    <row r="1109" spans="1:20" ht="14.85" customHeight="1">
      <c r="A1109" s="68"/>
      <c r="B1109" s="68"/>
      <c r="C1109" s="68"/>
      <c r="D1109" s="179"/>
      <c r="E1109" s="179"/>
      <c r="F1109" s="76" t="s">
        <v>1073</v>
      </c>
      <c r="G1109" s="179"/>
      <c r="H1109" s="179"/>
      <c r="I1109" s="179"/>
      <c r="J1109" s="179"/>
      <c r="K1109" s="179"/>
      <c r="L1109" s="70" t="s">
        <v>1074</v>
      </c>
      <c r="M1109" s="179"/>
      <c r="N1109" s="179"/>
      <c r="O1109" s="68"/>
      <c r="P1109" s="68"/>
      <c r="T1109" s="88">
        <v>5.05306435E-2</v>
      </c>
    </row>
    <row r="1110" spans="1:20" ht="14.45" customHeight="1">
      <c r="A1110" s="77" t="s">
        <v>1089</v>
      </c>
      <c r="B1110" s="68"/>
      <c r="C1110" s="68"/>
      <c r="D1110" s="179"/>
      <c r="E1110" s="179"/>
      <c r="F1110" s="68"/>
      <c r="G1110" s="179"/>
      <c r="H1110" s="179"/>
      <c r="I1110" s="179"/>
      <c r="J1110" s="179"/>
      <c r="K1110" s="179"/>
      <c r="L1110" s="68"/>
      <c r="M1110" s="179"/>
      <c r="N1110" s="179"/>
      <c r="O1110" s="68"/>
      <c r="P1110" s="68"/>
      <c r="T1110" s="88">
        <v>5.05306435E-2</v>
      </c>
    </row>
    <row r="1111" spans="1:20" ht="15.2" customHeight="1">
      <c r="A1111" s="206" t="s">
        <v>1737</v>
      </c>
      <c r="B1111" s="206"/>
      <c r="C1111" s="206"/>
      <c r="D1111" s="206"/>
      <c r="E1111" s="206"/>
      <c r="F1111" s="206"/>
      <c r="G1111" s="206"/>
      <c r="H1111" s="206"/>
      <c r="I1111" s="206"/>
      <c r="J1111" s="206"/>
      <c r="K1111" s="206"/>
      <c r="L1111" s="206"/>
      <c r="M1111" s="206"/>
      <c r="N1111" s="206"/>
      <c r="O1111" s="206"/>
      <c r="P1111" s="206"/>
      <c r="T1111" s="88">
        <v>5.05306435E-2</v>
      </c>
    </row>
    <row r="1112" spans="1:20" ht="14.45" customHeight="1">
      <c r="A1112" s="207"/>
      <c r="B1112" s="207"/>
      <c r="C1112" s="207"/>
      <c r="D1112" s="207"/>
      <c r="E1112" s="207"/>
      <c r="F1112" s="207"/>
      <c r="G1112" s="207"/>
      <c r="H1112" s="207"/>
      <c r="I1112" s="207"/>
      <c r="J1112" s="207"/>
      <c r="K1112" s="207"/>
      <c r="L1112" s="207"/>
      <c r="M1112" s="207"/>
      <c r="N1112" s="207"/>
      <c r="O1112" s="207"/>
      <c r="P1112" s="207"/>
      <c r="T1112" s="88">
        <v>5.05306435E-2</v>
      </c>
    </row>
    <row r="1113" spans="1:20" ht="15.75" customHeight="1">
      <c r="A1113" s="71">
        <v>63935</v>
      </c>
      <c r="B1113" s="44" t="s">
        <v>3</v>
      </c>
      <c r="C1113" s="43" t="s">
        <v>4</v>
      </c>
      <c r="D1113" s="208" t="s">
        <v>5</v>
      </c>
      <c r="E1113" s="209"/>
      <c r="F1113" s="43" t="s">
        <v>1049</v>
      </c>
      <c r="G1113" s="210"/>
      <c r="H1113" s="211"/>
      <c r="I1113" s="212"/>
      <c r="J1113" s="213" t="s">
        <v>6</v>
      </c>
      <c r="K1113" s="214"/>
      <c r="L1113" s="44" t="s">
        <v>7</v>
      </c>
      <c r="M1113" s="219" t="s">
        <v>8</v>
      </c>
      <c r="N1113" s="220"/>
      <c r="O1113" s="63"/>
      <c r="P1113" s="44" t="s">
        <v>11</v>
      </c>
      <c r="T1113" s="88">
        <v>5.05306435E-2</v>
      </c>
    </row>
    <row r="1114" spans="1:20" ht="14.45" customHeight="1">
      <c r="A1114" s="47" t="s">
        <v>1051</v>
      </c>
      <c r="B1114" s="48" t="s">
        <v>1738</v>
      </c>
      <c r="C1114" s="47" t="s">
        <v>1053</v>
      </c>
      <c r="D1114" s="190" t="s">
        <v>1739</v>
      </c>
      <c r="E1114" s="191"/>
      <c r="F1114" s="47" t="s">
        <v>1422</v>
      </c>
      <c r="G1114" s="192"/>
      <c r="H1114" s="193"/>
      <c r="I1114" s="194"/>
      <c r="J1114" s="195" t="s">
        <v>1085</v>
      </c>
      <c r="K1114" s="196"/>
      <c r="L1114" s="50">
        <v>1</v>
      </c>
      <c r="M1114" s="197">
        <v>13.74</v>
      </c>
      <c r="N1114" s="198"/>
      <c r="O1114" s="64">
        <f>M1114-(M1114*T1114)</f>
        <v>13.04570895831</v>
      </c>
      <c r="P1114" s="64">
        <f>SUM(P1115:P1120)</f>
        <v>13.04428475427525</v>
      </c>
      <c r="T1114" s="88">
        <v>5.05306435E-2</v>
      </c>
    </row>
    <row r="1115" spans="1:20" ht="14.45" customHeight="1">
      <c r="A1115" s="52" t="s">
        <v>1057</v>
      </c>
      <c r="B1115" s="53">
        <v>88316</v>
      </c>
      <c r="C1115" s="52" t="s">
        <v>1058</v>
      </c>
      <c r="D1115" s="199" t="s">
        <v>1059</v>
      </c>
      <c r="E1115" s="200"/>
      <c r="F1115" s="52" t="s">
        <v>1158</v>
      </c>
      <c r="G1115" s="201"/>
      <c r="H1115" s="202"/>
      <c r="I1115" s="203"/>
      <c r="J1115" s="204" t="s">
        <v>1061</v>
      </c>
      <c r="K1115" s="205"/>
      <c r="L1115" s="55">
        <v>0.15</v>
      </c>
      <c r="M1115" s="188">
        <v>21.32</v>
      </c>
      <c r="N1115" s="189"/>
      <c r="O1115" s="56">
        <f>M1115-(M1115*T1115)</f>
        <v>20.24268668058</v>
      </c>
      <c r="P1115" s="57">
        <f t="shared" ref="P1115:P1117" si="208">O1115*L1115</f>
        <v>3.0364030020869999</v>
      </c>
      <c r="T1115" s="88">
        <v>5.05306435E-2</v>
      </c>
    </row>
    <row r="1116" spans="1:20" ht="14.45" customHeight="1">
      <c r="A1116" s="52" t="s">
        <v>1057</v>
      </c>
      <c r="B1116" s="53">
        <v>88264</v>
      </c>
      <c r="C1116" s="52" t="s">
        <v>1058</v>
      </c>
      <c r="D1116" s="199" t="s">
        <v>1063</v>
      </c>
      <c r="E1116" s="200"/>
      <c r="F1116" s="52" t="s">
        <v>1158</v>
      </c>
      <c r="G1116" s="201"/>
      <c r="H1116" s="202"/>
      <c r="I1116" s="203"/>
      <c r="J1116" s="204" t="s">
        <v>1061</v>
      </c>
      <c r="K1116" s="205"/>
      <c r="L1116" s="55">
        <v>0.15</v>
      </c>
      <c r="M1116" s="188">
        <v>27.27</v>
      </c>
      <c r="N1116" s="189"/>
      <c r="O1116" s="56">
        <f t="shared" ref="O1116:O1117" si="209">M1116-(M1116*T1116)</f>
        <v>25.892029351754999</v>
      </c>
      <c r="P1116" s="57">
        <f t="shared" si="208"/>
        <v>3.8838044027632499</v>
      </c>
      <c r="T1116" s="88">
        <v>5.05306435E-2</v>
      </c>
    </row>
    <row r="1117" spans="1:20" ht="14.45" customHeight="1">
      <c r="A1117" s="58" t="s">
        <v>1064</v>
      </c>
      <c r="B1117" s="62">
        <v>8928</v>
      </c>
      <c r="C1117" s="58" t="s">
        <v>1180</v>
      </c>
      <c r="D1117" s="181" t="s">
        <v>1740</v>
      </c>
      <c r="E1117" s="182"/>
      <c r="F1117" s="58" t="s">
        <v>1068</v>
      </c>
      <c r="G1117" s="183"/>
      <c r="H1117" s="184"/>
      <c r="I1117" s="185"/>
      <c r="J1117" s="186" t="s">
        <v>1187</v>
      </c>
      <c r="K1117" s="187"/>
      <c r="L1117" s="60">
        <v>1</v>
      </c>
      <c r="M1117" s="188">
        <v>6.45</v>
      </c>
      <c r="N1117" s="189"/>
      <c r="O1117" s="56">
        <f t="shared" si="209"/>
        <v>6.1240773494249998</v>
      </c>
      <c r="P1117" s="57">
        <f t="shared" si="208"/>
        <v>6.1240773494249998</v>
      </c>
      <c r="T1117" s="88">
        <v>5.05306435E-2</v>
      </c>
    </row>
    <row r="1118" spans="1:20" ht="14.25" customHeight="1">
      <c r="A1118" s="174" t="s">
        <v>1070</v>
      </c>
      <c r="B1118" s="174"/>
      <c r="C1118" s="174"/>
      <c r="D1118" s="174"/>
      <c r="E1118" s="174"/>
      <c r="F1118" s="174"/>
      <c r="G1118" s="174"/>
      <c r="H1118" s="175" t="s">
        <v>1071</v>
      </c>
      <c r="I1118" s="175"/>
      <c r="J1118" s="175"/>
      <c r="K1118" s="175"/>
      <c r="L1118" s="176">
        <v>0</v>
      </c>
      <c r="M1118" s="176"/>
      <c r="N1118" s="177" t="s">
        <v>1072</v>
      </c>
      <c r="O1118" s="177"/>
      <c r="P1118" s="177"/>
      <c r="T1118" s="88">
        <v>5.05306435E-2</v>
      </c>
    </row>
    <row r="1119" spans="1:20" ht="14.25" customHeight="1">
      <c r="A1119" s="178" t="s">
        <v>1073</v>
      </c>
      <c r="B1119" s="178"/>
      <c r="C1119" s="178"/>
      <c r="D1119" s="178"/>
      <c r="E1119" s="178"/>
      <c r="F1119" s="178"/>
      <c r="G1119" s="178"/>
      <c r="H1119" s="179"/>
      <c r="I1119" s="179"/>
      <c r="J1119" s="179"/>
      <c r="K1119" s="179"/>
      <c r="L1119" s="180" t="s">
        <v>1074</v>
      </c>
      <c r="M1119" s="180"/>
      <c r="N1119" s="179"/>
      <c r="O1119" s="179"/>
      <c r="P1119" s="179"/>
      <c r="T1119" s="88">
        <v>5.05306435E-2</v>
      </c>
    </row>
    <row r="1120" spans="1:20" ht="28.5" customHeight="1">
      <c r="A1120" s="172" t="s">
        <v>1741</v>
      </c>
      <c r="B1120" s="172"/>
      <c r="C1120" s="172"/>
      <c r="D1120" s="172"/>
      <c r="E1120" s="172"/>
      <c r="F1120" s="172"/>
      <c r="G1120" s="172"/>
      <c r="H1120" s="172"/>
      <c r="I1120" s="172"/>
      <c r="J1120" s="172"/>
      <c r="K1120" s="172"/>
      <c r="L1120" s="172"/>
      <c r="M1120" s="172"/>
      <c r="N1120" s="172"/>
      <c r="O1120" s="172"/>
      <c r="P1120" s="172"/>
      <c r="Q1120" s="172"/>
      <c r="T1120" s="88">
        <v>5.05306435E-2</v>
      </c>
    </row>
    <row r="1121" spans="1:20" ht="14.45" customHeight="1">
      <c r="A1121" s="207"/>
      <c r="B1121" s="207"/>
      <c r="C1121" s="207"/>
      <c r="D1121" s="207"/>
      <c r="E1121" s="207"/>
      <c r="F1121" s="207"/>
      <c r="G1121" s="207"/>
      <c r="H1121" s="207"/>
      <c r="I1121" s="207"/>
      <c r="J1121" s="207"/>
      <c r="K1121" s="207"/>
      <c r="L1121" s="207"/>
      <c r="M1121" s="207"/>
      <c r="N1121" s="207"/>
      <c r="O1121" s="207"/>
      <c r="P1121" s="207"/>
      <c r="T1121" s="88">
        <v>5.05306435E-2</v>
      </c>
    </row>
    <row r="1122" spans="1:20" ht="15.75" customHeight="1">
      <c r="A1122" s="71">
        <v>65031</v>
      </c>
      <c r="B1122" s="44" t="s">
        <v>3</v>
      </c>
      <c r="C1122" s="43" t="s">
        <v>4</v>
      </c>
      <c r="D1122" s="208" t="s">
        <v>5</v>
      </c>
      <c r="E1122" s="209"/>
      <c r="F1122" s="43" t="s">
        <v>1049</v>
      </c>
      <c r="G1122" s="210"/>
      <c r="H1122" s="211"/>
      <c r="I1122" s="212"/>
      <c r="J1122" s="215" t="s">
        <v>6</v>
      </c>
      <c r="K1122" s="217"/>
      <c r="L1122" s="44" t="s">
        <v>7</v>
      </c>
      <c r="M1122" s="219" t="s">
        <v>8</v>
      </c>
      <c r="N1122" s="220"/>
      <c r="O1122" s="63"/>
      <c r="P1122" s="44" t="s">
        <v>11</v>
      </c>
      <c r="T1122" s="88">
        <v>5.05306435E-2</v>
      </c>
    </row>
    <row r="1123" spans="1:20" ht="14.45" customHeight="1">
      <c r="A1123" s="47" t="s">
        <v>1051</v>
      </c>
      <c r="B1123" s="48" t="s">
        <v>1742</v>
      </c>
      <c r="C1123" s="47" t="s">
        <v>1053</v>
      </c>
      <c r="D1123" s="190" t="s">
        <v>1743</v>
      </c>
      <c r="E1123" s="191"/>
      <c r="F1123" s="47" t="s">
        <v>1628</v>
      </c>
      <c r="G1123" s="192"/>
      <c r="H1123" s="193"/>
      <c r="I1123" s="194"/>
      <c r="J1123" s="195" t="s">
        <v>1085</v>
      </c>
      <c r="K1123" s="196"/>
      <c r="L1123" s="50">
        <v>1</v>
      </c>
      <c r="M1123" s="238">
        <v>2450.11</v>
      </c>
      <c r="N1123" s="239"/>
      <c r="O1123" s="64">
        <f>M1123-(M1123*T1123)</f>
        <v>2326.3043650542149</v>
      </c>
      <c r="P1123" s="64">
        <f>SUM(P1124:P1129)</f>
        <v>2326.3004152616918</v>
      </c>
      <c r="T1123" s="88">
        <v>5.05306435E-2</v>
      </c>
    </row>
    <row r="1124" spans="1:20" ht="14.45" customHeight="1">
      <c r="A1124" s="52" t="s">
        <v>1057</v>
      </c>
      <c r="B1124" s="53">
        <v>87296</v>
      </c>
      <c r="C1124" s="52" t="s">
        <v>1058</v>
      </c>
      <c r="D1124" s="199" t="s">
        <v>1744</v>
      </c>
      <c r="E1124" s="200"/>
      <c r="F1124" s="52" t="s">
        <v>1158</v>
      </c>
      <c r="G1124" s="201"/>
      <c r="H1124" s="202"/>
      <c r="I1124" s="203"/>
      <c r="J1124" s="204" t="s">
        <v>1121</v>
      </c>
      <c r="K1124" s="205"/>
      <c r="L1124" s="55">
        <v>2.4E-2</v>
      </c>
      <c r="M1124" s="188">
        <v>554.66</v>
      </c>
      <c r="N1124" s="189"/>
      <c r="O1124" s="56">
        <f>M1124-(M1124*T1124)</f>
        <v>526.63267327629001</v>
      </c>
      <c r="P1124" s="57">
        <f t="shared" ref="P1124:P1128" si="210">O1124*L1124</f>
        <v>12.639184158630961</v>
      </c>
      <c r="T1124" s="88">
        <v>5.05306435E-2</v>
      </c>
    </row>
    <row r="1125" spans="1:20" ht="14.45" customHeight="1">
      <c r="A1125" s="52" t="s">
        <v>1057</v>
      </c>
      <c r="B1125" s="53">
        <v>88309</v>
      </c>
      <c r="C1125" s="52" t="s">
        <v>1058</v>
      </c>
      <c r="D1125" s="199" t="s">
        <v>1162</v>
      </c>
      <c r="E1125" s="200"/>
      <c r="F1125" s="52" t="s">
        <v>1158</v>
      </c>
      <c r="G1125" s="201"/>
      <c r="H1125" s="202"/>
      <c r="I1125" s="203"/>
      <c r="J1125" s="204" t="s">
        <v>1061</v>
      </c>
      <c r="K1125" s="205"/>
      <c r="L1125" s="55">
        <v>3.5</v>
      </c>
      <c r="M1125" s="188">
        <v>26.9</v>
      </c>
      <c r="N1125" s="189"/>
      <c r="O1125" s="56">
        <f t="shared" ref="O1125:O1128" si="211">M1125-(M1125*T1125)</f>
        <v>25.540725689849999</v>
      </c>
      <c r="P1125" s="57">
        <f t="shared" si="210"/>
        <v>89.392539914474995</v>
      </c>
      <c r="T1125" s="88">
        <v>5.05306435E-2</v>
      </c>
    </row>
    <row r="1126" spans="1:20" ht="14.45" customHeight="1">
      <c r="A1126" s="52" t="s">
        <v>1057</v>
      </c>
      <c r="B1126" s="53">
        <v>88264</v>
      </c>
      <c r="C1126" s="52" t="s">
        <v>1058</v>
      </c>
      <c r="D1126" s="199" t="s">
        <v>1063</v>
      </c>
      <c r="E1126" s="200"/>
      <c r="F1126" s="52" t="s">
        <v>1158</v>
      </c>
      <c r="G1126" s="201"/>
      <c r="H1126" s="202"/>
      <c r="I1126" s="203"/>
      <c r="J1126" s="204" t="s">
        <v>1061</v>
      </c>
      <c r="K1126" s="205"/>
      <c r="L1126" s="55">
        <v>14</v>
      </c>
      <c r="M1126" s="188">
        <v>27.27</v>
      </c>
      <c r="N1126" s="189"/>
      <c r="O1126" s="56">
        <f t="shared" si="211"/>
        <v>25.892029351754999</v>
      </c>
      <c r="P1126" s="57">
        <f t="shared" si="210"/>
        <v>362.48841092456996</v>
      </c>
      <c r="T1126" s="88">
        <v>5.05306435E-2</v>
      </c>
    </row>
    <row r="1127" spans="1:20" ht="14.45" customHeight="1">
      <c r="A1127" s="52" t="s">
        <v>1057</v>
      </c>
      <c r="B1127" s="53">
        <v>88316</v>
      </c>
      <c r="C1127" s="52" t="s">
        <v>1058</v>
      </c>
      <c r="D1127" s="199" t="s">
        <v>1059</v>
      </c>
      <c r="E1127" s="200"/>
      <c r="F1127" s="52" t="s">
        <v>1158</v>
      </c>
      <c r="G1127" s="201"/>
      <c r="H1127" s="202"/>
      <c r="I1127" s="203"/>
      <c r="J1127" s="204" t="s">
        <v>1061</v>
      </c>
      <c r="K1127" s="205"/>
      <c r="L1127" s="55">
        <v>5.2</v>
      </c>
      <c r="M1127" s="188">
        <v>21.32</v>
      </c>
      <c r="N1127" s="189"/>
      <c r="O1127" s="56">
        <f t="shared" si="211"/>
        <v>20.24268668058</v>
      </c>
      <c r="P1127" s="57">
        <f t="shared" si="210"/>
        <v>105.26197073901601</v>
      </c>
      <c r="T1127" s="88">
        <v>5.05306435E-2</v>
      </c>
    </row>
    <row r="1128" spans="1:20" ht="14.45" customHeight="1">
      <c r="A1128" s="58" t="s">
        <v>1064</v>
      </c>
      <c r="B1128" s="62">
        <v>8261</v>
      </c>
      <c r="C1128" s="58" t="s">
        <v>1180</v>
      </c>
      <c r="D1128" s="181" t="s">
        <v>1745</v>
      </c>
      <c r="E1128" s="182"/>
      <c r="F1128" s="58" t="s">
        <v>1068</v>
      </c>
      <c r="G1128" s="183"/>
      <c r="H1128" s="184"/>
      <c r="I1128" s="185"/>
      <c r="J1128" s="186" t="s">
        <v>1187</v>
      </c>
      <c r="K1128" s="187"/>
      <c r="L1128" s="60">
        <v>1</v>
      </c>
      <c r="M1128" s="244">
        <v>1850</v>
      </c>
      <c r="N1128" s="245"/>
      <c r="O1128" s="56">
        <f t="shared" si="211"/>
        <v>1756.5183095249999</v>
      </c>
      <c r="P1128" s="57">
        <f t="shared" si="210"/>
        <v>1756.5183095249999</v>
      </c>
      <c r="T1128" s="88">
        <v>5.05306435E-2</v>
      </c>
    </row>
    <row r="1129" spans="1:20" ht="14.25" customHeight="1">
      <c r="A1129" s="73"/>
      <c r="B1129" s="73"/>
      <c r="C1129" s="73"/>
      <c r="D1129" s="218"/>
      <c r="E1129" s="218"/>
      <c r="F1129" s="74" t="s">
        <v>1070</v>
      </c>
      <c r="G1129" s="218"/>
      <c r="H1129" s="218"/>
      <c r="I1129" s="218"/>
      <c r="J1129" s="175" t="s">
        <v>1071</v>
      </c>
      <c r="K1129" s="175"/>
      <c r="L1129" s="75">
        <v>0</v>
      </c>
      <c r="M1129" s="175" t="s">
        <v>1072</v>
      </c>
      <c r="N1129" s="175"/>
      <c r="O1129" s="74"/>
      <c r="P1129" s="73"/>
      <c r="T1129" s="88">
        <v>5.05306435E-2</v>
      </c>
    </row>
    <row r="1130" spans="1:20" ht="14.85" customHeight="1">
      <c r="A1130" s="68"/>
      <c r="B1130" s="68"/>
      <c r="C1130" s="68"/>
      <c r="D1130" s="179"/>
      <c r="E1130" s="179"/>
      <c r="F1130" s="76" t="s">
        <v>1073</v>
      </c>
      <c r="G1130" s="179"/>
      <c r="H1130" s="179"/>
      <c r="I1130" s="179"/>
      <c r="J1130" s="179"/>
      <c r="K1130" s="179"/>
      <c r="L1130" s="70" t="s">
        <v>1074</v>
      </c>
      <c r="M1130" s="179"/>
      <c r="N1130" s="179"/>
      <c r="O1130" s="68"/>
      <c r="P1130" s="68"/>
      <c r="T1130" s="88">
        <v>5.05306435E-2</v>
      </c>
    </row>
    <row r="1131" spans="1:20" ht="14.45" customHeight="1">
      <c r="A1131" s="77" t="s">
        <v>1089</v>
      </c>
      <c r="B1131" s="68"/>
      <c r="C1131" s="68"/>
      <c r="D1131" s="179"/>
      <c r="E1131" s="179"/>
      <c r="F1131" s="68"/>
      <c r="G1131" s="179"/>
      <c r="H1131" s="179"/>
      <c r="I1131" s="179"/>
      <c r="J1131" s="179"/>
      <c r="K1131" s="179"/>
      <c r="L1131" s="68"/>
      <c r="M1131" s="179"/>
      <c r="N1131" s="179"/>
      <c r="O1131" s="68"/>
      <c r="P1131" s="68"/>
      <c r="T1131" s="88">
        <v>5.05306435E-2</v>
      </c>
    </row>
    <row r="1132" spans="1:20" ht="15.2" customHeight="1">
      <c r="A1132" s="206" t="s">
        <v>1746</v>
      </c>
      <c r="B1132" s="206"/>
      <c r="C1132" s="206"/>
      <c r="D1132" s="206"/>
      <c r="E1132" s="206"/>
      <c r="F1132" s="206"/>
      <c r="G1132" s="206"/>
      <c r="H1132" s="206"/>
      <c r="I1132" s="206"/>
      <c r="J1132" s="206"/>
      <c r="K1132" s="206"/>
      <c r="L1132" s="206"/>
      <c r="M1132" s="206"/>
      <c r="N1132" s="206"/>
      <c r="O1132" s="206"/>
      <c r="P1132" s="206"/>
      <c r="T1132" s="88">
        <v>5.05306435E-2</v>
      </c>
    </row>
    <row r="1133" spans="1:20" ht="14.45" customHeight="1">
      <c r="A1133" s="207"/>
      <c r="B1133" s="207"/>
      <c r="C1133" s="207"/>
      <c r="D1133" s="207"/>
      <c r="E1133" s="207"/>
      <c r="F1133" s="207"/>
      <c r="G1133" s="207"/>
      <c r="H1133" s="207"/>
      <c r="I1133" s="207"/>
      <c r="J1133" s="207"/>
      <c r="K1133" s="207"/>
      <c r="L1133" s="207"/>
      <c r="M1133" s="207"/>
      <c r="N1133" s="207"/>
      <c r="O1133" s="207"/>
      <c r="P1133" s="207"/>
      <c r="T1133" s="88">
        <v>5.05306435E-2</v>
      </c>
    </row>
    <row r="1134" spans="1:20" ht="15.75" customHeight="1">
      <c r="A1134" s="71">
        <v>65396</v>
      </c>
      <c r="B1134" s="44" t="s">
        <v>3</v>
      </c>
      <c r="C1134" s="43" t="s">
        <v>4</v>
      </c>
      <c r="D1134" s="208" t="s">
        <v>5</v>
      </c>
      <c r="E1134" s="209"/>
      <c r="F1134" s="43" t="s">
        <v>1049</v>
      </c>
      <c r="G1134" s="210"/>
      <c r="H1134" s="211"/>
      <c r="I1134" s="212"/>
      <c r="J1134" s="215" t="s">
        <v>6</v>
      </c>
      <c r="K1134" s="217"/>
      <c r="L1134" s="44" t="s">
        <v>7</v>
      </c>
      <c r="M1134" s="219" t="s">
        <v>8</v>
      </c>
      <c r="N1134" s="220"/>
      <c r="O1134" s="63"/>
      <c r="P1134" s="44" t="s">
        <v>11</v>
      </c>
      <c r="T1134" s="88">
        <v>5.05306435E-2</v>
      </c>
    </row>
    <row r="1135" spans="1:20" ht="14.45" customHeight="1">
      <c r="A1135" s="47" t="s">
        <v>1051</v>
      </c>
      <c r="B1135" s="48" t="s">
        <v>1747</v>
      </c>
      <c r="C1135" s="47" t="s">
        <v>1053</v>
      </c>
      <c r="D1135" s="190" t="s">
        <v>1748</v>
      </c>
      <c r="E1135" s="191"/>
      <c r="F1135" s="47" t="s">
        <v>1422</v>
      </c>
      <c r="G1135" s="192"/>
      <c r="H1135" s="193"/>
      <c r="I1135" s="194"/>
      <c r="J1135" s="195" t="s">
        <v>1085</v>
      </c>
      <c r="K1135" s="196"/>
      <c r="L1135" s="50">
        <v>1</v>
      </c>
      <c r="M1135" s="197">
        <v>566.87</v>
      </c>
      <c r="N1135" s="198"/>
      <c r="O1135" s="64">
        <f>M1135-(M1135*T1135)</f>
        <v>538.22569411915504</v>
      </c>
      <c r="P1135" s="64">
        <f>SUM(P1136:P1141)</f>
        <v>538.22115565563081</v>
      </c>
      <c r="T1135" s="88">
        <v>5.05306435E-2</v>
      </c>
    </row>
    <row r="1136" spans="1:20" ht="14.45" customHeight="1">
      <c r="A1136" s="52" t="s">
        <v>1057</v>
      </c>
      <c r="B1136" s="53">
        <v>88309</v>
      </c>
      <c r="C1136" s="52" t="s">
        <v>1058</v>
      </c>
      <c r="D1136" s="199" t="s">
        <v>1162</v>
      </c>
      <c r="E1136" s="200"/>
      <c r="F1136" s="52" t="s">
        <v>1158</v>
      </c>
      <c r="G1136" s="201"/>
      <c r="H1136" s="202"/>
      <c r="I1136" s="203"/>
      <c r="J1136" s="204" t="s">
        <v>1061</v>
      </c>
      <c r="K1136" s="205"/>
      <c r="L1136" s="55">
        <v>1.6</v>
      </c>
      <c r="M1136" s="188">
        <v>26.9</v>
      </c>
      <c r="N1136" s="189"/>
      <c r="O1136" s="56">
        <f>M1136-(M1136*T1136)</f>
        <v>25.540725689849999</v>
      </c>
      <c r="P1136" s="57">
        <f t="shared" ref="P1136:P1140" si="212">O1136*L1136</f>
        <v>40.865161103760002</v>
      </c>
      <c r="T1136" s="88">
        <v>5.05306435E-2</v>
      </c>
    </row>
    <row r="1137" spans="1:20" ht="14.45" customHeight="1">
      <c r="A1137" s="52" t="s">
        <v>1057</v>
      </c>
      <c r="B1137" s="53">
        <v>87296</v>
      </c>
      <c r="C1137" s="52" t="s">
        <v>1058</v>
      </c>
      <c r="D1137" s="199" t="s">
        <v>1744</v>
      </c>
      <c r="E1137" s="200"/>
      <c r="F1137" s="52" t="s">
        <v>1158</v>
      </c>
      <c r="G1137" s="201"/>
      <c r="H1137" s="202"/>
      <c r="I1137" s="203"/>
      <c r="J1137" s="204" t="s">
        <v>1121</v>
      </c>
      <c r="K1137" s="205"/>
      <c r="L1137" s="55">
        <v>1.7000000000000001E-2</v>
      </c>
      <c r="M1137" s="188">
        <v>554.66</v>
      </c>
      <c r="N1137" s="189"/>
      <c r="O1137" s="56">
        <f t="shared" ref="O1137:O1140" si="213">M1137-(M1137*T1137)</f>
        <v>526.63267327629001</v>
      </c>
      <c r="P1137" s="57">
        <f t="shared" si="212"/>
        <v>8.9527554456969316</v>
      </c>
      <c r="T1137" s="88">
        <v>5.05306435E-2</v>
      </c>
    </row>
    <row r="1138" spans="1:20" ht="14.45" customHeight="1">
      <c r="A1138" s="52" t="s">
        <v>1057</v>
      </c>
      <c r="B1138" s="53">
        <v>88264</v>
      </c>
      <c r="C1138" s="52" t="s">
        <v>1058</v>
      </c>
      <c r="D1138" s="199" t="s">
        <v>1063</v>
      </c>
      <c r="E1138" s="200"/>
      <c r="F1138" s="52" t="s">
        <v>1158</v>
      </c>
      <c r="G1138" s="201"/>
      <c r="H1138" s="202"/>
      <c r="I1138" s="203"/>
      <c r="J1138" s="204" t="s">
        <v>1061</v>
      </c>
      <c r="K1138" s="205"/>
      <c r="L1138" s="55">
        <v>6.4</v>
      </c>
      <c r="M1138" s="188">
        <v>27.27</v>
      </c>
      <c r="N1138" s="189"/>
      <c r="O1138" s="56">
        <f t="shared" si="213"/>
        <v>25.892029351754999</v>
      </c>
      <c r="P1138" s="57">
        <f t="shared" si="212"/>
        <v>165.708987851232</v>
      </c>
      <c r="T1138" s="88">
        <v>5.05306435E-2</v>
      </c>
    </row>
    <row r="1139" spans="1:20" ht="14.45" customHeight="1">
      <c r="A1139" s="52" t="s">
        <v>1057</v>
      </c>
      <c r="B1139" s="53">
        <v>88316</v>
      </c>
      <c r="C1139" s="52" t="s">
        <v>1058</v>
      </c>
      <c r="D1139" s="199" t="s">
        <v>1059</v>
      </c>
      <c r="E1139" s="200"/>
      <c r="F1139" s="52" t="s">
        <v>1158</v>
      </c>
      <c r="G1139" s="201"/>
      <c r="H1139" s="202"/>
      <c r="I1139" s="203"/>
      <c r="J1139" s="204" t="s">
        <v>1061</v>
      </c>
      <c r="K1139" s="205"/>
      <c r="L1139" s="55">
        <v>2.4</v>
      </c>
      <c r="M1139" s="188">
        <v>21.32</v>
      </c>
      <c r="N1139" s="189"/>
      <c r="O1139" s="56">
        <f t="shared" si="213"/>
        <v>20.24268668058</v>
      </c>
      <c r="P1139" s="57">
        <f t="shared" si="212"/>
        <v>48.582448033391998</v>
      </c>
      <c r="T1139" s="88">
        <v>5.05306435E-2</v>
      </c>
    </row>
    <row r="1140" spans="1:20" ht="14.45" customHeight="1">
      <c r="A1140" s="58" t="s">
        <v>1064</v>
      </c>
      <c r="B1140" s="62">
        <v>9334</v>
      </c>
      <c r="C1140" s="58" t="s">
        <v>1180</v>
      </c>
      <c r="D1140" s="181" t="s">
        <v>1749</v>
      </c>
      <c r="E1140" s="182"/>
      <c r="F1140" s="58" t="s">
        <v>1068</v>
      </c>
      <c r="G1140" s="183"/>
      <c r="H1140" s="184"/>
      <c r="I1140" s="185"/>
      <c r="J1140" s="186" t="s">
        <v>1187</v>
      </c>
      <c r="K1140" s="187"/>
      <c r="L1140" s="60">
        <v>1</v>
      </c>
      <c r="M1140" s="188">
        <v>288.7</v>
      </c>
      <c r="N1140" s="189"/>
      <c r="O1140" s="56">
        <f t="shared" si="213"/>
        <v>274.11180322154996</v>
      </c>
      <c r="P1140" s="57">
        <f t="shared" si="212"/>
        <v>274.11180322154996</v>
      </c>
      <c r="T1140" s="88">
        <v>5.05306435E-2</v>
      </c>
    </row>
    <row r="1141" spans="1:20" ht="14.25" customHeight="1">
      <c r="A1141" s="174" t="s">
        <v>1070</v>
      </c>
      <c r="B1141" s="174"/>
      <c r="C1141" s="174"/>
      <c r="D1141" s="174"/>
      <c r="E1141" s="174"/>
      <c r="F1141" s="174"/>
      <c r="G1141" s="174"/>
      <c r="H1141" s="175" t="s">
        <v>1071</v>
      </c>
      <c r="I1141" s="175"/>
      <c r="J1141" s="175"/>
      <c r="K1141" s="175"/>
      <c r="L1141" s="176">
        <v>0</v>
      </c>
      <c r="M1141" s="176"/>
      <c r="N1141" s="177" t="s">
        <v>1072</v>
      </c>
      <c r="O1141" s="177"/>
      <c r="P1141" s="177"/>
      <c r="T1141" s="88">
        <v>5.05306435E-2</v>
      </c>
    </row>
    <row r="1142" spans="1:20" ht="14.25" customHeight="1">
      <c r="A1142" s="178" t="s">
        <v>1073</v>
      </c>
      <c r="B1142" s="178"/>
      <c r="C1142" s="178"/>
      <c r="D1142" s="178"/>
      <c r="E1142" s="178"/>
      <c r="F1142" s="178"/>
      <c r="G1142" s="178"/>
      <c r="H1142" s="179"/>
      <c r="I1142" s="179"/>
      <c r="J1142" s="179"/>
      <c r="K1142" s="179"/>
      <c r="L1142" s="180" t="s">
        <v>1074</v>
      </c>
      <c r="M1142" s="180"/>
      <c r="N1142" s="179"/>
      <c r="O1142" s="179"/>
      <c r="P1142" s="179"/>
      <c r="T1142" s="88">
        <v>5.05306435E-2</v>
      </c>
    </row>
    <row r="1143" spans="1:20" ht="28.5" customHeight="1">
      <c r="A1143" s="172" t="s">
        <v>1750</v>
      </c>
      <c r="B1143" s="172"/>
      <c r="C1143" s="172"/>
      <c r="D1143" s="172"/>
      <c r="E1143" s="172"/>
      <c r="F1143" s="172"/>
      <c r="G1143" s="172"/>
      <c r="H1143" s="172"/>
      <c r="I1143" s="172"/>
      <c r="J1143" s="172"/>
      <c r="K1143" s="172"/>
      <c r="L1143" s="172"/>
      <c r="M1143" s="172"/>
      <c r="N1143" s="172"/>
      <c r="O1143" s="172"/>
      <c r="P1143" s="172"/>
      <c r="Q1143" s="172"/>
      <c r="T1143" s="88">
        <v>5.05306435E-2</v>
      </c>
    </row>
    <row r="1144" spans="1:20" ht="14.45" customHeight="1">
      <c r="A1144" s="207"/>
      <c r="B1144" s="207"/>
      <c r="C1144" s="207"/>
      <c r="D1144" s="207"/>
      <c r="E1144" s="207"/>
      <c r="F1144" s="207"/>
      <c r="G1144" s="207"/>
      <c r="H1144" s="207"/>
      <c r="I1144" s="207"/>
      <c r="J1144" s="207"/>
      <c r="K1144" s="207"/>
      <c r="L1144" s="207"/>
      <c r="M1144" s="207"/>
      <c r="N1144" s="207"/>
      <c r="O1144" s="207"/>
      <c r="P1144" s="207"/>
      <c r="T1144" s="88">
        <v>5.05306435E-2</v>
      </c>
    </row>
    <row r="1145" spans="1:20" ht="15.75" customHeight="1">
      <c r="A1145" s="71">
        <v>66127</v>
      </c>
      <c r="B1145" s="44" t="s">
        <v>3</v>
      </c>
      <c r="C1145" s="43" t="s">
        <v>4</v>
      </c>
      <c r="D1145" s="208" t="s">
        <v>5</v>
      </c>
      <c r="E1145" s="209"/>
      <c r="F1145" s="43" t="s">
        <v>1049</v>
      </c>
      <c r="G1145" s="210"/>
      <c r="H1145" s="211"/>
      <c r="I1145" s="212"/>
      <c r="J1145" s="213" t="s">
        <v>6</v>
      </c>
      <c r="K1145" s="214"/>
      <c r="L1145" s="44" t="s">
        <v>7</v>
      </c>
      <c r="M1145" s="219" t="s">
        <v>8</v>
      </c>
      <c r="N1145" s="220"/>
      <c r="O1145" s="63"/>
      <c r="P1145" s="44" t="s">
        <v>11</v>
      </c>
      <c r="T1145" s="88">
        <v>5.05306435E-2</v>
      </c>
    </row>
    <row r="1146" spans="1:20" ht="14.45" customHeight="1">
      <c r="A1146" s="47" t="s">
        <v>1051</v>
      </c>
      <c r="B1146" s="48" t="s">
        <v>1751</v>
      </c>
      <c r="C1146" s="47" t="s">
        <v>1053</v>
      </c>
      <c r="D1146" s="190" t="s">
        <v>1752</v>
      </c>
      <c r="E1146" s="191"/>
      <c r="F1146" s="47" t="s">
        <v>1628</v>
      </c>
      <c r="G1146" s="192"/>
      <c r="H1146" s="193"/>
      <c r="I1146" s="194"/>
      <c r="J1146" s="223" t="s">
        <v>1085</v>
      </c>
      <c r="K1146" s="224"/>
      <c r="L1146" s="50">
        <v>1</v>
      </c>
      <c r="M1146" s="238">
        <v>10381</v>
      </c>
      <c r="N1146" s="239"/>
      <c r="O1146" s="64">
        <f>M1146-(M1146*T1146)</f>
        <v>9856.4413898264993</v>
      </c>
      <c r="P1146" s="64">
        <f>SUM(P1147:P1152)</f>
        <v>9856.4413898265011</v>
      </c>
      <c r="T1146" s="88">
        <v>5.05306435E-2</v>
      </c>
    </row>
    <row r="1147" spans="1:20" ht="14.45" customHeight="1">
      <c r="A1147" s="52" t="s">
        <v>1057</v>
      </c>
      <c r="B1147" s="53">
        <v>88316</v>
      </c>
      <c r="C1147" s="52" t="s">
        <v>1058</v>
      </c>
      <c r="D1147" s="199" t="s">
        <v>1059</v>
      </c>
      <c r="E1147" s="200"/>
      <c r="F1147" s="52" t="s">
        <v>1158</v>
      </c>
      <c r="G1147" s="201"/>
      <c r="H1147" s="202"/>
      <c r="I1147" s="203"/>
      <c r="J1147" s="204" t="s">
        <v>1061</v>
      </c>
      <c r="K1147" s="205"/>
      <c r="L1147" s="55">
        <v>8</v>
      </c>
      <c r="M1147" s="188">
        <v>21.32</v>
      </c>
      <c r="N1147" s="189"/>
      <c r="O1147" s="56">
        <f>M1147-(M1147*T1147)</f>
        <v>20.24268668058</v>
      </c>
      <c r="P1147" s="57">
        <f t="shared" ref="P1147:P1149" si="214">O1147*L1147</f>
        <v>161.94149344464</v>
      </c>
      <c r="T1147" s="88">
        <v>5.05306435E-2</v>
      </c>
    </row>
    <row r="1148" spans="1:20" ht="14.45" customHeight="1">
      <c r="A1148" s="52" t="s">
        <v>1057</v>
      </c>
      <c r="B1148" s="53">
        <v>88264</v>
      </c>
      <c r="C1148" s="52" t="s">
        <v>1058</v>
      </c>
      <c r="D1148" s="199" t="s">
        <v>1063</v>
      </c>
      <c r="E1148" s="200"/>
      <c r="F1148" s="52" t="s">
        <v>1158</v>
      </c>
      <c r="G1148" s="201"/>
      <c r="H1148" s="202"/>
      <c r="I1148" s="203"/>
      <c r="J1148" s="204" t="s">
        <v>1061</v>
      </c>
      <c r="K1148" s="205"/>
      <c r="L1148" s="55">
        <v>8</v>
      </c>
      <c r="M1148" s="188">
        <v>27.27</v>
      </c>
      <c r="N1148" s="189"/>
      <c r="O1148" s="56">
        <f t="shared" ref="O1148:O1149" si="215">M1148-(M1148*T1148)</f>
        <v>25.892029351754999</v>
      </c>
      <c r="P1148" s="57">
        <f t="shared" si="214"/>
        <v>207.13623481403999</v>
      </c>
      <c r="T1148" s="88">
        <v>5.05306435E-2</v>
      </c>
    </row>
    <row r="1149" spans="1:20" ht="14.45" customHeight="1">
      <c r="A1149" s="58" t="s">
        <v>1064</v>
      </c>
      <c r="B1149" s="62">
        <v>11971</v>
      </c>
      <c r="C1149" s="58" t="s">
        <v>1180</v>
      </c>
      <c r="D1149" s="181" t="s">
        <v>1753</v>
      </c>
      <c r="E1149" s="182"/>
      <c r="F1149" s="58" t="s">
        <v>1068</v>
      </c>
      <c r="G1149" s="183"/>
      <c r="H1149" s="184"/>
      <c r="I1149" s="185"/>
      <c r="J1149" s="186" t="s">
        <v>1187</v>
      </c>
      <c r="K1149" s="187"/>
      <c r="L1149" s="60">
        <v>1</v>
      </c>
      <c r="M1149" s="244">
        <v>9992.2800000000007</v>
      </c>
      <c r="N1149" s="245"/>
      <c r="O1149" s="56">
        <f t="shared" si="215"/>
        <v>9487.3636615678206</v>
      </c>
      <c r="P1149" s="57">
        <f t="shared" si="214"/>
        <v>9487.3636615678206</v>
      </c>
      <c r="T1149" s="88">
        <v>5.05306435E-2</v>
      </c>
    </row>
    <row r="1150" spans="1:20" ht="14.25" customHeight="1">
      <c r="A1150" s="73"/>
      <c r="B1150" s="73"/>
      <c r="C1150" s="73"/>
      <c r="D1150" s="218"/>
      <c r="E1150" s="218"/>
      <c r="F1150" s="74" t="s">
        <v>1070</v>
      </c>
      <c r="G1150" s="218"/>
      <c r="H1150" s="218"/>
      <c r="I1150" s="218"/>
      <c r="J1150" s="175" t="s">
        <v>1071</v>
      </c>
      <c r="K1150" s="175"/>
      <c r="L1150" s="75">
        <v>0</v>
      </c>
      <c r="M1150" s="175" t="s">
        <v>1072</v>
      </c>
      <c r="N1150" s="175"/>
      <c r="O1150" s="74"/>
      <c r="P1150" s="73"/>
      <c r="T1150" s="88">
        <v>5.05306435E-2</v>
      </c>
    </row>
    <row r="1151" spans="1:20" ht="14.85" customHeight="1">
      <c r="A1151" s="68"/>
      <c r="B1151" s="68"/>
      <c r="C1151" s="68"/>
      <c r="D1151" s="179"/>
      <c r="E1151" s="179"/>
      <c r="F1151" s="76" t="s">
        <v>1073</v>
      </c>
      <c r="G1151" s="179"/>
      <c r="H1151" s="179"/>
      <c r="I1151" s="179"/>
      <c r="J1151" s="179"/>
      <c r="K1151" s="179"/>
      <c r="L1151" s="70" t="s">
        <v>1074</v>
      </c>
      <c r="M1151" s="179"/>
      <c r="N1151" s="179"/>
      <c r="O1151" s="68"/>
      <c r="P1151" s="68"/>
      <c r="T1151" s="88">
        <v>5.05306435E-2</v>
      </c>
    </row>
    <row r="1152" spans="1:20" ht="14.45" customHeight="1">
      <c r="A1152" s="77" t="s">
        <v>1089</v>
      </c>
      <c r="B1152" s="68"/>
      <c r="C1152" s="68"/>
      <c r="D1152" s="179"/>
      <c r="E1152" s="179"/>
      <c r="F1152" s="68"/>
      <c r="G1152" s="179"/>
      <c r="H1152" s="179"/>
      <c r="I1152" s="179"/>
      <c r="J1152" s="179"/>
      <c r="K1152" s="179"/>
      <c r="L1152" s="68"/>
      <c r="M1152" s="179"/>
      <c r="N1152" s="179"/>
      <c r="O1152" s="68"/>
      <c r="P1152" s="68"/>
      <c r="T1152" s="88">
        <v>5.05306435E-2</v>
      </c>
    </row>
    <row r="1153" spans="1:20" ht="15.2" customHeight="1">
      <c r="A1153" s="206" t="s">
        <v>1754</v>
      </c>
      <c r="B1153" s="206"/>
      <c r="C1153" s="206"/>
      <c r="D1153" s="206"/>
      <c r="E1153" s="206"/>
      <c r="F1153" s="206"/>
      <c r="G1153" s="206"/>
      <c r="H1153" s="206"/>
      <c r="I1153" s="206"/>
      <c r="J1153" s="206"/>
      <c r="K1153" s="206"/>
      <c r="L1153" s="206"/>
      <c r="M1153" s="206"/>
      <c r="N1153" s="206"/>
      <c r="O1153" s="206"/>
      <c r="P1153" s="206"/>
      <c r="T1153" s="88">
        <v>5.05306435E-2</v>
      </c>
    </row>
    <row r="1154" spans="1:20" ht="14.45" customHeight="1">
      <c r="A1154" s="207"/>
      <c r="B1154" s="207"/>
      <c r="C1154" s="207"/>
      <c r="D1154" s="207"/>
      <c r="E1154" s="207"/>
      <c r="F1154" s="207"/>
      <c r="G1154" s="207"/>
      <c r="H1154" s="207"/>
      <c r="I1154" s="207"/>
      <c r="J1154" s="207"/>
      <c r="K1154" s="207"/>
      <c r="L1154" s="207"/>
      <c r="M1154" s="207"/>
      <c r="N1154" s="207"/>
      <c r="O1154" s="207"/>
      <c r="P1154" s="207"/>
      <c r="T1154" s="88">
        <v>5.05306435E-2</v>
      </c>
    </row>
    <row r="1155" spans="1:20" ht="15.75" customHeight="1">
      <c r="A1155" s="43" t="s">
        <v>1755</v>
      </c>
      <c r="B1155" s="44" t="s">
        <v>3</v>
      </c>
      <c r="C1155" s="43" t="s">
        <v>4</v>
      </c>
      <c r="D1155" s="208" t="s">
        <v>5</v>
      </c>
      <c r="E1155" s="209"/>
      <c r="F1155" s="43" t="s">
        <v>1049</v>
      </c>
      <c r="G1155" s="210"/>
      <c r="H1155" s="211"/>
      <c r="I1155" s="212"/>
      <c r="J1155" s="213" t="s">
        <v>6</v>
      </c>
      <c r="K1155" s="214"/>
      <c r="L1155" s="44" t="s">
        <v>7</v>
      </c>
      <c r="M1155" s="219" t="s">
        <v>8</v>
      </c>
      <c r="N1155" s="220"/>
      <c r="O1155" s="63"/>
      <c r="P1155" s="44" t="s">
        <v>11</v>
      </c>
      <c r="T1155" s="88">
        <v>5.05306435E-2</v>
      </c>
    </row>
    <row r="1156" spans="1:20" ht="14.45" customHeight="1">
      <c r="A1156" s="47" t="s">
        <v>1051</v>
      </c>
      <c r="B1156" s="48" t="s">
        <v>1756</v>
      </c>
      <c r="C1156" s="47" t="s">
        <v>1053</v>
      </c>
      <c r="D1156" s="190" t="s">
        <v>1757</v>
      </c>
      <c r="E1156" s="191"/>
      <c r="F1156" s="47" t="s">
        <v>1628</v>
      </c>
      <c r="G1156" s="192"/>
      <c r="H1156" s="193"/>
      <c r="I1156" s="194"/>
      <c r="J1156" s="223" t="s">
        <v>1085</v>
      </c>
      <c r="K1156" s="224"/>
      <c r="L1156" s="50">
        <v>1</v>
      </c>
      <c r="M1156" s="197">
        <v>103.46</v>
      </c>
      <c r="N1156" s="198"/>
      <c r="O1156" s="64">
        <f>M1156-(M1156*T1156)</f>
        <v>98.232099623490001</v>
      </c>
      <c r="P1156" s="64">
        <f>SUM(P1157:P1162)</f>
        <v>98.228206799128344</v>
      </c>
      <c r="T1156" s="88">
        <v>5.05306435E-2</v>
      </c>
    </row>
    <row r="1157" spans="1:20" ht="14.45" customHeight="1">
      <c r="A1157" s="52" t="s">
        <v>1057</v>
      </c>
      <c r="B1157" s="53">
        <v>88247</v>
      </c>
      <c r="C1157" s="52" t="s">
        <v>1058</v>
      </c>
      <c r="D1157" s="199" t="s">
        <v>1062</v>
      </c>
      <c r="E1157" s="200"/>
      <c r="F1157" s="52" t="s">
        <v>1158</v>
      </c>
      <c r="G1157" s="201"/>
      <c r="H1157" s="202"/>
      <c r="I1157" s="203"/>
      <c r="J1157" s="204" t="s">
        <v>1061</v>
      </c>
      <c r="K1157" s="205"/>
      <c r="L1157" s="55">
        <v>1.0309999999999999</v>
      </c>
      <c r="M1157" s="188">
        <v>22.63</v>
      </c>
      <c r="N1157" s="189"/>
      <c r="O1157" s="56">
        <f>M1157-(M1157*T1157)</f>
        <v>21.486491537595001</v>
      </c>
      <c r="P1157" s="57">
        <f t="shared" ref="P1157:P1160" si="216">O1157*L1157</f>
        <v>22.152572775260445</v>
      </c>
      <c r="T1157" s="88">
        <v>5.05306435E-2</v>
      </c>
    </row>
    <row r="1158" spans="1:20" ht="14.45" customHeight="1">
      <c r="A1158" s="52" t="s">
        <v>1057</v>
      </c>
      <c r="B1158" s="53">
        <v>88264</v>
      </c>
      <c r="C1158" s="52" t="s">
        <v>1058</v>
      </c>
      <c r="D1158" s="199" t="s">
        <v>1063</v>
      </c>
      <c r="E1158" s="200"/>
      <c r="F1158" s="52" t="s">
        <v>1158</v>
      </c>
      <c r="G1158" s="201"/>
      <c r="H1158" s="202"/>
      <c r="I1158" s="203"/>
      <c r="J1158" s="204" t="s">
        <v>1061</v>
      </c>
      <c r="K1158" s="205"/>
      <c r="L1158" s="55">
        <v>1.0309999999999999</v>
      </c>
      <c r="M1158" s="188">
        <v>27.27</v>
      </c>
      <c r="N1158" s="189"/>
      <c r="O1158" s="56">
        <f t="shared" ref="O1158:O1160" si="217">M1158-(M1158*T1158)</f>
        <v>25.892029351754999</v>
      </c>
      <c r="P1158" s="57">
        <f t="shared" si="216"/>
        <v>26.694682261659402</v>
      </c>
      <c r="T1158" s="88">
        <v>5.05306435E-2</v>
      </c>
    </row>
    <row r="1159" spans="1:20" ht="14.45" customHeight="1">
      <c r="A1159" s="58" t="s">
        <v>1064</v>
      </c>
      <c r="B1159" s="62">
        <v>3420</v>
      </c>
      <c r="C1159" s="58" t="s">
        <v>1150</v>
      </c>
      <c r="D1159" s="181" t="s">
        <v>1758</v>
      </c>
      <c r="E1159" s="182"/>
      <c r="F1159" s="58" t="s">
        <v>1068</v>
      </c>
      <c r="G1159" s="183"/>
      <c r="H1159" s="184"/>
      <c r="I1159" s="185"/>
      <c r="J1159" s="186" t="s">
        <v>1107</v>
      </c>
      <c r="K1159" s="187"/>
      <c r="L1159" s="60">
        <v>0.1</v>
      </c>
      <c r="M1159" s="188">
        <v>1.0900000000000001</v>
      </c>
      <c r="N1159" s="189"/>
      <c r="O1159" s="56">
        <f t="shared" si="217"/>
        <v>1.034921598585</v>
      </c>
      <c r="P1159" s="57">
        <f t="shared" si="216"/>
        <v>0.10349215985850001</v>
      </c>
      <c r="T1159" s="88">
        <v>5.05306435E-2</v>
      </c>
    </row>
    <row r="1160" spans="1:20" ht="14.45" customHeight="1">
      <c r="A1160" s="58" t="s">
        <v>1064</v>
      </c>
      <c r="B1160" s="62">
        <v>50372</v>
      </c>
      <c r="C1160" s="58" t="s">
        <v>1150</v>
      </c>
      <c r="D1160" s="181" t="s">
        <v>1757</v>
      </c>
      <c r="E1160" s="182"/>
      <c r="F1160" s="58" t="s">
        <v>1068</v>
      </c>
      <c r="G1160" s="183"/>
      <c r="H1160" s="184"/>
      <c r="I1160" s="185"/>
      <c r="J1160" s="240" t="s">
        <v>1085</v>
      </c>
      <c r="K1160" s="241"/>
      <c r="L1160" s="60">
        <v>1</v>
      </c>
      <c r="M1160" s="221">
        <v>51.9</v>
      </c>
      <c r="N1160" s="222"/>
      <c r="O1160" s="56">
        <f t="shared" si="217"/>
        <v>49.27745960235</v>
      </c>
      <c r="P1160" s="57">
        <f t="shared" si="216"/>
        <v>49.27745960235</v>
      </c>
      <c r="T1160" s="88">
        <v>5.05306435E-2</v>
      </c>
    </row>
    <row r="1161" spans="1:20" ht="14.25" customHeight="1">
      <c r="A1161" s="174" t="s">
        <v>1070</v>
      </c>
      <c r="B1161" s="174"/>
      <c r="C1161" s="174"/>
      <c r="D1161" s="174"/>
      <c r="E1161" s="174"/>
      <c r="F1161" s="174"/>
      <c r="G1161" s="174"/>
      <c r="H1161" s="175" t="s">
        <v>1071</v>
      </c>
      <c r="I1161" s="175"/>
      <c r="J1161" s="175"/>
      <c r="K1161" s="175"/>
      <c r="L1161" s="176">
        <v>0</v>
      </c>
      <c r="M1161" s="176"/>
      <c r="N1161" s="177" t="s">
        <v>1072</v>
      </c>
      <c r="O1161" s="177"/>
      <c r="P1161" s="177"/>
      <c r="T1161" s="88">
        <v>5.05306435E-2</v>
      </c>
    </row>
    <row r="1162" spans="1:20" ht="14.25" customHeight="1">
      <c r="A1162" s="178" t="s">
        <v>1073</v>
      </c>
      <c r="B1162" s="178"/>
      <c r="C1162" s="178"/>
      <c r="D1162" s="178"/>
      <c r="E1162" s="178"/>
      <c r="F1162" s="178"/>
      <c r="G1162" s="178"/>
      <c r="H1162" s="179"/>
      <c r="I1162" s="179"/>
      <c r="J1162" s="179"/>
      <c r="K1162" s="179"/>
      <c r="L1162" s="180" t="s">
        <v>1074</v>
      </c>
      <c r="M1162" s="180"/>
      <c r="N1162" s="179"/>
      <c r="O1162" s="179"/>
      <c r="P1162" s="179"/>
      <c r="T1162" s="88">
        <v>5.05306435E-2</v>
      </c>
    </row>
    <row r="1163" spans="1:20" ht="28.5" customHeight="1">
      <c r="A1163" s="172" t="s">
        <v>1759</v>
      </c>
      <c r="B1163" s="172"/>
      <c r="C1163" s="172"/>
      <c r="D1163" s="172"/>
      <c r="E1163" s="172"/>
      <c r="F1163" s="172"/>
      <c r="G1163" s="172"/>
      <c r="H1163" s="172"/>
      <c r="I1163" s="172"/>
      <c r="J1163" s="172"/>
      <c r="K1163" s="172"/>
      <c r="L1163" s="172"/>
      <c r="M1163" s="172"/>
      <c r="N1163" s="172"/>
      <c r="O1163" s="172"/>
      <c r="P1163" s="172"/>
      <c r="Q1163" s="172"/>
      <c r="T1163" s="88">
        <v>5.05306435E-2</v>
      </c>
    </row>
    <row r="1164" spans="1:20" ht="14.45" customHeight="1">
      <c r="A1164" s="207"/>
      <c r="B1164" s="207"/>
      <c r="C1164" s="207"/>
      <c r="D1164" s="207"/>
      <c r="E1164" s="207"/>
      <c r="F1164" s="207"/>
      <c r="G1164" s="207"/>
      <c r="H1164" s="207"/>
      <c r="I1164" s="207"/>
      <c r="J1164" s="207"/>
      <c r="K1164" s="207"/>
      <c r="L1164" s="207"/>
      <c r="M1164" s="207"/>
      <c r="N1164" s="207"/>
      <c r="O1164" s="207"/>
      <c r="P1164" s="207"/>
      <c r="T1164" s="88">
        <v>5.05306435E-2</v>
      </c>
    </row>
    <row r="1165" spans="1:20" ht="15.75" customHeight="1">
      <c r="A1165" s="43" t="s">
        <v>1760</v>
      </c>
      <c r="B1165" s="44" t="s">
        <v>3</v>
      </c>
      <c r="C1165" s="43" t="s">
        <v>4</v>
      </c>
      <c r="D1165" s="208" t="s">
        <v>5</v>
      </c>
      <c r="E1165" s="209"/>
      <c r="F1165" s="43" t="s">
        <v>1049</v>
      </c>
      <c r="G1165" s="210"/>
      <c r="H1165" s="211"/>
      <c r="I1165" s="212"/>
      <c r="J1165" s="213" t="s">
        <v>6</v>
      </c>
      <c r="K1165" s="214"/>
      <c r="L1165" s="44" t="s">
        <v>7</v>
      </c>
      <c r="M1165" s="219" t="s">
        <v>8</v>
      </c>
      <c r="N1165" s="220"/>
      <c r="O1165" s="63"/>
      <c r="P1165" s="44" t="s">
        <v>11</v>
      </c>
      <c r="T1165" s="88">
        <v>5.05306435E-2</v>
      </c>
    </row>
    <row r="1166" spans="1:20" ht="14.45" customHeight="1">
      <c r="A1166" s="47" t="s">
        <v>1051</v>
      </c>
      <c r="B1166" s="48" t="s">
        <v>1761</v>
      </c>
      <c r="C1166" s="47" t="s">
        <v>1053</v>
      </c>
      <c r="D1166" s="190" t="s">
        <v>1762</v>
      </c>
      <c r="E1166" s="191"/>
      <c r="F1166" s="47" t="s">
        <v>1628</v>
      </c>
      <c r="G1166" s="192"/>
      <c r="H1166" s="193"/>
      <c r="I1166" s="194"/>
      <c r="J1166" s="223" t="s">
        <v>1085</v>
      </c>
      <c r="K1166" s="224"/>
      <c r="L1166" s="50">
        <v>1</v>
      </c>
      <c r="M1166" s="197">
        <v>219.08</v>
      </c>
      <c r="N1166" s="198"/>
      <c r="O1166" s="64">
        <f>M1166-(M1166*T1166)</f>
        <v>208.00974662202</v>
      </c>
      <c r="P1166" s="64">
        <f>SUM(P1167:P1172)</f>
        <v>208.01321218517123</v>
      </c>
      <c r="T1166" s="88">
        <v>5.05306435E-2</v>
      </c>
    </row>
    <row r="1167" spans="1:20" ht="14.45" customHeight="1">
      <c r="A1167" s="52" t="s">
        <v>1057</v>
      </c>
      <c r="B1167" s="53">
        <v>88264</v>
      </c>
      <c r="C1167" s="52" t="s">
        <v>1058</v>
      </c>
      <c r="D1167" s="199" t="s">
        <v>1063</v>
      </c>
      <c r="E1167" s="200"/>
      <c r="F1167" s="52" t="s">
        <v>1158</v>
      </c>
      <c r="G1167" s="201"/>
      <c r="H1167" s="202"/>
      <c r="I1167" s="203"/>
      <c r="J1167" s="204" t="s">
        <v>1061</v>
      </c>
      <c r="K1167" s="205"/>
      <c r="L1167" s="55">
        <v>0.47320000000000001</v>
      </c>
      <c r="M1167" s="188">
        <v>27.27</v>
      </c>
      <c r="N1167" s="189"/>
      <c r="O1167" s="56">
        <f>M1167-(M1167*T1167)</f>
        <v>25.892029351754999</v>
      </c>
      <c r="P1167" s="57">
        <f t="shared" ref="P1167:P1169" si="218">O1167*L1167</f>
        <v>12.252108289250465</v>
      </c>
      <c r="T1167" s="88">
        <v>5.05306435E-2</v>
      </c>
    </row>
    <row r="1168" spans="1:20" ht="14.45" customHeight="1">
      <c r="A1168" s="52" t="s">
        <v>1057</v>
      </c>
      <c r="B1168" s="53">
        <v>88247</v>
      </c>
      <c r="C1168" s="52" t="s">
        <v>1058</v>
      </c>
      <c r="D1168" s="199" t="s">
        <v>1062</v>
      </c>
      <c r="E1168" s="200"/>
      <c r="F1168" s="52" t="s">
        <v>1158</v>
      </c>
      <c r="G1168" s="201"/>
      <c r="H1168" s="202"/>
      <c r="I1168" s="203"/>
      <c r="J1168" s="204" t="s">
        <v>1061</v>
      </c>
      <c r="K1168" s="205"/>
      <c r="L1168" s="55">
        <v>0.19220000000000001</v>
      </c>
      <c r="M1168" s="188">
        <v>22.63</v>
      </c>
      <c r="N1168" s="189"/>
      <c r="O1168" s="56">
        <f t="shared" ref="O1168:O1169" si="219">M1168-(M1168*T1168)</f>
        <v>21.486491537595001</v>
      </c>
      <c r="P1168" s="57">
        <f t="shared" si="218"/>
        <v>4.1297036735257597</v>
      </c>
      <c r="T1168" s="88">
        <v>5.05306435E-2</v>
      </c>
    </row>
    <row r="1169" spans="1:20" ht="14.45" customHeight="1">
      <c r="A1169" s="58" t="s">
        <v>1064</v>
      </c>
      <c r="B1169" s="62">
        <v>1716</v>
      </c>
      <c r="C1169" s="58" t="s">
        <v>1763</v>
      </c>
      <c r="D1169" s="181" t="s">
        <v>1764</v>
      </c>
      <c r="E1169" s="182"/>
      <c r="F1169" s="58" t="s">
        <v>1068</v>
      </c>
      <c r="G1169" s="183"/>
      <c r="H1169" s="184"/>
      <c r="I1169" s="185"/>
      <c r="J1169" s="240" t="s">
        <v>1085</v>
      </c>
      <c r="K1169" s="241"/>
      <c r="L1169" s="60">
        <v>1</v>
      </c>
      <c r="M1169" s="188">
        <v>201.83</v>
      </c>
      <c r="N1169" s="189"/>
      <c r="O1169" s="56">
        <f t="shared" si="219"/>
        <v>191.631400222395</v>
      </c>
      <c r="P1169" s="57">
        <f t="shared" si="218"/>
        <v>191.631400222395</v>
      </c>
      <c r="T1169" s="88">
        <v>5.05306435E-2</v>
      </c>
    </row>
    <row r="1170" spans="1:20" ht="14.25" customHeight="1">
      <c r="A1170" s="73"/>
      <c r="B1170" s="73"/>
      <c r="C1170" s="73"/>
      <c r="D1170" s="218"/>
      <c r="E1170" s="218"/>
      <c r="F1170" s="74" t="s">
        <v>1070</v>
      </c>
      <c r="G1170" s="218"/>
      <c r="H1170" s="218"/>
      <c r="I1170" s="218"/>
      <c r="J1170" s="175" t="s">
        <v>1071</v>
      </c>
      <c r="K1170" s="175"/>
      <c r="L1170" s="75">
        <v>0</v>
      </c>
      <c r="M1170" s="175" t="s">
        <v>1072</v>
      </c>
      <c r="N1170" s="175"/>
      <c r="O1170" s="74"/>
      <c r="P1170" s="73"/>
      <c r="T1170" s="88">
        <v>5.05306435E-2</v>
      </c>
    </row>
    <row r="1171" spans="1:20" ht="14.85" customHeight="1">
      <c r="A1171" s="68"/>
      <c r="B1171" s="68"/>
      <c r="C1171" s="68"/>
      <c r="D1171" s="179"/>
      <c r="E1171" s="179"/>
      <c r="F1171" s="76" t="s">
        <v>1073</v>
      </c>
      <c r="G1171" s="179"/>
      <c r="H1171" s="179"/>
      <c r="I1171" s="179"/>
      <c r="J1171" s="179"/>
      <c r="K1171" s="179"/>
      <c r="L1171" s="70" t="s">
        <v>1074</v>
      </c>
      <c r="M1171" s="179"/>
      <c r="N1171" s="179"/>
      <c r="O1171" s="68"/>
      <c r="P1171" s="68"/>
      <c r="T1171" s="88">
        <v>5.05306435E-2</v>
      </c>
    </row>
    <row r="1172" spans="1:20" ht="14.45" customHeight="1">
      <c r="A1172" s="77" t="s">
        <v>1089</v>
      </c>
      <c r="B1172" s="68"/>
      <c r="C1172" s="68"/>
      <c r="D1172" s="179"/>
      <c r="E1172" s="179"/>
      <c r="F1172" s="68"/>
      <c r="G1172" s="179"/>
      <c r="H1172" s="179"/>
      <c r="I1172" s="179"/>
      <c r="J1172" s="179"/>
      <c r="K1172" s="179"/>
      <c r="L1172" s="68"/>
      <c r="M1172" s="179"/>
      <c r="N1172" s="179"/>
      <c r="O1172" s="68"/>
      <c r="P1172" s="68"/>
      <c r="T1172" s="88">
        <v>5.05306435E-2</v>
      </c>
    </row>
    <row r="1173" spans="1:20" ht="15.2" customHeight="1">
      <c r="A1173" s="206" t="s">
        <v>1765</v>
      </c>
      <c r="B1173" s="206"/>
      <c r="C1173" s="206"/>
      <c r="D1173" s="206"/>
      <c r="E1173" s="206"/>
      <c r="F1173" s="206"/>
      <c r="G1173" s="206"/>
      <c r="H1173" s="206"/>
      <c r="I1173" s="206"/>
      <c r="J1173" s="206"/>
      <c r="K1173" s="206"/>
      <c r="L1173" s="206"/>
      <c r="M1173" s="206"/>
      <c r="N1173" s="206"/>
      <c r="O1173" s="206"/>
      <c r="P1173" s="206"/>
      <c r="T1173" s="88">
        <v>5.05306435E-2</v>
      </c>
    </row>
    <row r="1174" spans="1:20" ht="14.45" customHeight="1">
      <c r="A1174" s="207"/>
      <c r="B1174" s="207"/>
      <c r="C1174" s="207"/>
      <c r="D1174" s="207"/>
      <c r="E1174" s="207"/>
      <c r="F1174" s="207"/>
      <c r="G1174" s="207"/>
      <c r="H1174" s="207"/>
      <c r="I1174" s="207"/>
      <c r="J1174" s="207"/>
      <c r="K1174" s="207"/>
      <c r="L1174" s="207"/>
      <c r="M1174" s="207"/>
      <c r="N1174" s="207"/>
      <c r="O1174" s="207"/>
      <c r="P1174" s="207"/>
      <c r="T1174" s="88">
        <v>5.05306435E-2</v>
      </c>
    </row>
    <row r="1175" spans="1:20" ht="15.75" customHeight="1">
      <c r="A1175" s="43" t="s">
        <v>1766</v>
      </c>
      <c r="B1175" s="44" t="s">
        <v>3</v>
      </c>
      <c r="C1175" s="43" t="s">
        <v>4</v>
      </c>
      <c r="D1175" s="208" t="s">
        <v>5</v>
      </c>
      <c r="E1175" s="209"/>
      <c r="F1175" s="43" t="s">
        <v>1049</v>
      </c>
      <c r="G1175" s="210"/>
      <c r="H1175" s="211"/>
      <c r="I1175" s="212"/>
      <c r="J1175" s="213" t="s">
        <v>6</v>
      </c>
      <c r="K1175" s="214"/>
      <c r="L1175" s="44" t="s">
        <v>7</v>
      </c>
      <c r="M1175" s="219" t="s">
        <v>8</v>
      </c>
      <c r="N1175" s="220"/>
      <c r="O1175" s="63"/>
      <c r="P1175" s="44" t="s">
        <v>11</v>
      </c>
      <c r="T1175" s="88">
        <v>5.05306435E-2</v>
      </c>
    </row>
    <row r="1176" spans="1:20" ht="14.45" customHeight="1">
      <c r="A1176" s="47" t="s">
        <v>1051</v>
      </c>
      <c r="B1176" s="48" t="s">
        <v>1767</v>
      </c>
      <c r="C1176" s="47" t="s">
        <v>1053</v>
      </c>
      <c r="D1176" s="190" t="s">
        <v>1768</v>
      </c>
      <c r="E1176" s="191"/>
      <c r="F1176" s="47" t="s">
        <v>1628</v>
      </c>
      <c r="G1176" s="192"/>
      <c r="H1176" s="193"/>
      <c r="I1176" s="194"/>
      <c r="J1176" s="223" t="s">
        <v>1085</v>
      </c>
      <c r="K1176" s="224"/>
      <c r="L1176" s="50">
        <v>1</v>
      </c>
      <c r="M1176" s="197">
        <v>185.69</v>
      </c>
      <c r="N1176" s="198"/>
      <c r="O1176" s="64">
        <f>M1176-(M1176*T1176)</f>
        <v>176.30696480848499</v>
      </c>
      <c r="P1176" s="64">
        <f>SUM(P1177:P1182)</f>
        <v>176.31043037163622</v>
      </c>
      <c r="T1176" s="88">
        <v>5.05306435E-2</v>
      </c>
    </row>
    <row r="1177" spans="1:20" ht="14.45" customHeight="1">
      <c r="A1177" s="52" t="s">
        <v>1057</v>
      </c>
      <c r="B1177" s="53">
        <v>88247</v>
      </c>
      <c r="C1177" s="52" t="s">
        <v>1058</v>
      </c>
      <c r="D1177" s="199" t="s">
        <v>1062</v>
      </c>
      <c r="E1177" s="200"/>
      <c r="F1177" s="52" t="s">
        <v>1158</v>
      </c>
      <c r="G1177" s="201"/>
      <c r="H1177" s="202"/>
      <c r="I1177" s="203"/>
      <c r="J1177" s="204" t="s">
        <v>1061</v>
      </c>
      <c r="K1177" s="205"/>
      <c r="L1177" s="55">
        <v>0.19220000000000001</v>
      </c>
      <c r="M1177" s="188">
        <v>22.63</v>
      </c>
      <c r="N1177" s="189"/>
      <c r="O1177" s="56">
        <f>M1177-(M1177*T1177)</f>
        <v>21.486491537595001</v>
      </c>
      <c r="P1177" s="57">
        <f t="shared" ref="P1177:P1179" si="220">O1177*L1177</f>
        <v>4.1297036735257597</v>
      </c>
      <c r="T1177" s="88">
        <v>5.05306435E-2</v>
      </c>
    </row>
    <row r="1178" spans="1:20" ht="14.45" customHeight="1">
      <c r="A1178" s="52" t="s">
        <v>1057</v>
      </c>
      <c r="B1178" s="53">
        <v>88264</v>
      </c>
      <c r="C1178" s="52" t="s">
        <v>1058</v>
      </c>
      <c r="D1178" s="199" t="s">
        <v>1063</v>
      </c>
      <c r="E1178" s="200"/>
      <c r="F1178" s="52" t="s">
        <v>1158</v>
      </c>
      <c r="G1178" s="201"/>
      <c r="H1178" s="202"/>
      <c r="I1178" s="203"/>
      <c r="J1178" s="204" t="s">
        <v>1061</v>
      </c>
      <c r="K1178" s="205"/>
      <c r="L1178" s="55">
        <v>0.47320000000000001</v>
      </c>
      <c r="M1178" s="188">
        <v>27.27</v>
      </c>
      <c r="N1178" s="189"/>
      <c r="O1178" s="56">
        <f t="shared" ref="O1178:O1179" si="221">M1178-(M1178*T1178)</f>
        <v>25.892029351754999</v>
      </c>
      <c r="P1178" s="57">
        <f t="shared" si="220"/>
        <v>12.252108289250465</v>
      </c>
      <c r="T1178" s="88">
        <v>5.05306435E-2</v>
      </c>
    </row>
    <row r="1179" spans="1:20" ht="14.45" customHeight="1">
      <c r="A1179" s="58" t="s">
        <v>1064</v>
      </c>
      <c r="B1179" s="62">
        <v>1715</v>
      </c>
      <c r="C1179" s="58" t="s">
        <v>1763</v>
      </c>
      <c r="D1179" s="181" t="s">
        <v>1768</v>
      </c>
      <c r="E1179" s="182"/>
      <c r="F1179" s="58" t="s">
        <v>1068</v>
      </c>
      <c r="G1179" s="183"/>
      <c r="H1179" s="184"/>
      <c r="I1179" s="185"/>
      <c r="J1179" s="240" t="s">
        <v>1085</v>
      </c>
      <c r="K1179" s="241"/>
      <c r="L1179" s="60">
        <v>1</v>
      </c>
      <c r="M1179" s="188">
        <v>168.44</v>
      </c>
      <c r="N1179" s="189"/>
      <c r="O1179" s="56">
        <f t="shared" si="221"/>
        <v>159.92861840885999</v>
      </c>
      <c r="P1179" s="57">
        <f t="shared" si="220"/>
        <v>159.92861840885999</v>
      </c>
      <c r="T1179" s="88">
        <v>5.05306435E-2</v>
      </c>
    </row>
    <row r="1180" spans="1:20" ht="14.25" customHeight="1">
      <c r="A1180" s="174" t="s">
        <v>1070</v>
      </c>
      <c r="B1180" s="174"/>
      <c r="C1180" s="174"/>
      <c r="D1180" s="174"/>
      <c r="E1180" s="174"/>
      <c r="F1180" s="174"/>
      <c r="G1180" s="174"/>
      <c r="H1180" s="175" t="s">
        <v>1071</v>
      </c>
      <c r="I1180" s="175"/>
      <c r="J1180" s="175"/>
      <c r="K1180" s="175"/>
      <c r="L1180" s="176">
        <v>0</v>
      </c>
      <c r="M1180" s="176"/>
      <c r="N1180" s="177" t="s">
        <v>1072</v>
      </c>
      <c r="O1180" s="177"/>
      <c r="P1180" s="177"/>
      <c r="T1180" s="88">
        <v>5.05306435E-2</v>
      </c>
    </row>
    <row r="1181" spans="1:20" ht="14.25" customHeight="1">
      <c r="A1181" s="178" t="s">
        <v>1073</v>
      </c>
      <c r="B1181" s="178"/>
      <c r="C1181" s="178"/>
      <c r="D1181" s="178"/>
      <c r="E1181" s="178"/>
      <c r="F1181" s="178"/>
      <c r="G1181" s="178"/>
      <c r="H1181" s="179"/>
      <c r="I1181" s="179"/>
      <c r="J1181" s="179"/>
      <c r="K1181" s="179"/>
      <c r="L1181" s="180" t="s">
        <v>1074</v>
      </c>
      <c r="M1181" s="180"/>
      <c r="N1181" s="179"/>
      <c r="O1181" s="179"/>
      <c r="P1181" s="179"/>
      <c r="T1181" s="88">
        <v>5.05306435E-2</v>
      </c>
    </row>
    <row r="1182" spans="1:20" ht="28.5" customHeight="1">
      <c r="A1182" s="172" t="s">
        <v>1769</v>
      </c>
      <c r="B1182" s="172"/>
      <c r="C1182" s="172"/>
      <c r="D1182" s="172"/>
      <c r="E1182" s="172"/>
      <c r="F1182" s="172"/>
      <c r="G1182" s="172"/>
      <c r="H1182" s="172"/>
      <c r="I1182" s="172"/>
      <c r="J1182" s="172"/>
      <c r="K1182" s="172"/>
      <c r="L1182" s="172"/>
      <c r="M1182" s="172"/>
      <c r="N1182" s="172"/>
      <c r="O1182" s="172"/>
      <c r="P1182" s="172"/>
      <c r="Q1182" s="172"/>
      <c r="T1182" s="88">
        <v>5.05306435E-2</v>
      </c>
    </row>
    <row r="1183" spans="1:20" ht="14.45" customHeight="1">
      <c r="A1183" s="207"/>
      <c r="B1183" s="207"/>
      <c r="C1183" s="207"/>
      <c r="D1183" s="207"/>
      <c r="E1183" s="207"/>
      <c r="F1183" s="207"/>
      <c r="G1183" s="207"/>
      <c r="H1183" s="207"/>
      <c r="I1183" s="207"/>
      <c r="J1183" s="207"/>
      <c r="K1183" s="207"/>
      <c r="L1183" s="207"/>
      <c r="M1183" s="207"/>
      <c r="N1183" s="207"/>
      <c r="O1183" s="207"/>
      <c r="P1183" s="207"/>
      <c r="T1183" s="88">
        <v>5.05306435E-2</v>
      </c>
    </row>
    <row r="1184" spans="1:20" ht="15.75" customHeight="1">
      <c r="A1184" s="43" t="s">
        <v>1770</v>
      </c>
      <c r="B1184" s="44" t="s">
        <v>3</v>
      </c>
      <c r="C1184" s="43" t="s">
        <v>4</v>
      </c>
      <c r="D1184" s="208" t="s">
        <v>5</v>
      </c>
      <c r="E1184" s="209"/>
      <c r="F1184" s="43" t="s">
        <v>1049</v>
      </c>
      <c r="G1184" s="210"/>
      <c r="H1184" s="211"/>
      <c r="I1184" s="212"/>
      <c r="J1184" s="213" t="s">
        <v>6</v>
      </c>
      <c r="K1184" s="214"/>
      <c r="L1184" s="44" t="s">
        <v>7</v>
      </c>
      <c r="M1184" s="219" t="s">
        <v>8</v>
      </c>
      <c r="N1184" s="220"/>
      <c r="O1184" s="63"/>
      <c r="P1184" s="44" t="s">
        <v>11</v>
      </c>
      <c r="T1184" s="88">
        <v>5.05306435E-2</v>
      </c>
    </row>
    <row r="1185" spans="1:20" ht="14.45" customHeight="1">
      <c r="A1185" s="47" t="s">
        <v>1051</v>
      </c>
      <c r="B1185" s="48" t="s">
        <v>1771</v>
      </c>
      <c r="C1185" s="47" t="s">
        <v>1053</v>
      </c>
      <c r="D1185" s="190" t="s">
        <v>1772</v>
      </c>
      <c r="E1185" s="191"/>
      <c r="F1185" s="47" t="s">
        <v>1628</v>
      </c>
      <c r="G1185" s="192"/>
      <c r="H1185" s="193"/>
      <c r="I1185" s="194"/>
      <c r="J1185" s="223" t="s">
        <v>1085</v>
      </c>
      <c r="K1185" s="224"/>
      <c r="L1185" s="50">
        <v>1</v>
      </c>
      <c r="M1185" s="197">
        <v>161.16</v>
      </c>
      <c r="N1185" s="198"/>
      <c r="O1185" s="64">
        <f>M1185-(M1185*T1185)</f>
        <v>153.01648149354</v>
      </c>
      <c r="P1185" s="64">
        <f>SUM(P1186:P1191)</f>
        <v>153.012683616114</v>
      </c>
      <c r="T1185" s="88">
        <v>5.05306435E-2</v>
      </c>
    </row>
    <row r="1186" spans="1:20" ht="14.45" customHeight="1">
      <c r="A1186" s="52" t="s">
        <v>1057</v>
      </c>
      <c r="B1186" s="53">
        <v>88316</v>
      </c>
      <c r="C1186" s="52" t="s">
        <v>1058</v>
      </c>
      <c r="D1186" s="199" t="s">
        <v>1059</v>
      </c>
      <c r="E1186" s="200"/>
      <c r="F1186" s="52" t="s">
        <v>1158</v>
      </c>
      <c r="G1186" s="201"/>
      <c r="H1186" s="202"/>
      <c r="I1186" s="203"/>
      <c r="J1186" s="204" t="s">
        <v>1061</v>
      </c>
      <c r="K1186" s="205"/>
      <c r="L1186" s="55">
        <v>2.4</v>
      </c>
      <c r="M1186" s="188">
        <v>21.32</v>
      </c>
      <c r="N1186" s="189"/>
      <c r="O1186" s="56">
        <f>M1186-(M1186*T1186)</f>
        <v>20.24268668058</v>
      </c>
      <c r="P1186" s="57">
        <f t="shared" ref="P1186:P1188" si="222">O1186*L1186</f>
        <v>48.582448033391998</v>
      </c>
      <c r="T1186" s="88">
        <v>5.05306435E-2</v>
      </c>
    </row>
    <row r="1187" spans="1:20" ht="14.45" customHeight="1">
      <c r="A1187" s="52" t="s">
        <v>1057</v>
      </c>
      <c r="B1187" s="53">
        <v>88264</v>
      </c>
      <c r="C1187" s="52" t="s">
        <v>1058</v>
      </c>
      <c r="D1187" s="199" t="s">
        <v>1063</v>
      </c>
      <c r="E1187" s="200"/>
      <c r="F1187" s="52" t="s">
        <v>1158</v>
      </c>
      <c r="G1187" s="201"/>
      <c r="H1187" s="202"/>
      <c r="I1187" s="203"/>
      <c r="J1187" s="204" t="s">
        <v>1061</v>
      </c>
      <c r="K1187" s="205"/>
      <c r="L1187" s="55">
        <v>2.4</v>
      </c>
      <c r="M1187" s="188">
        <v>27.27</v>
      </c>
      <c r="N1187" s="189"/>
      <c r="O1187" s="56">
        <f t="shared" ref="O1187:O1188" si="223">M1187-(M1187*T1187)</f>
        <v>25.892029351754999</v>
      </c>
      <c r="P1187" s="57">
        <f t="shared" si="222"/>
        <v>62.140870444211998</v>
      </c>
      <c r="T1187" s="88">
        <v>5.05306435E-2</v>
      </c>
    </row>
    <row r="1188" spans="1:20" ht="14.45" customHeight="1">
      <c r="A1188" s="58" t="s">
        <v>1064</v>
      </c>
      <c r="B1188" s="62">
        <v>13241</v>
      </c>
      <c r="C1188" s="58" t="s">
        <v>1262</v>
      </c>
      <c r="D1188" s="181" t="s">
        <v>1773</v>
      </c>
      <c r="E1188" s="182"/>
      <c r="F1188" s="58" t="s">
        <v>1068</v>
      </c>
      <c r="G1188" s="183"/>
      <c r="H1188" s="184"/>
      <c r="I1188" s="185"/>
      <c r="J1188" s="240" t="s">
        <v>1085</v>
      </c>
      <c r="K1188" s="241"/>
      <c r="L1188" s="60">
        <v>1</v>
      </c>
      <c r="M1188" s="188">
        <v>44.54</v>
      </c>
      <c r="N1188" s="189"/>
      <c r="O1188" s="56">
        <f t="shared" si="223"/>
        <v>42.28936513851</v>
      </c>
      <c r="P1188" s="57">
        <f t="shared" si="222"/>
        <v>42.28936513851</v>
      </c>
      <c r="T1188" s="88">
        <v>5.05306435E-2</v>
      </c>
    </row>
    <row r="1189" spans="1:20" ht="14.25" customHeight="1">
      <c r="A1189" s="73"/>
      <c r="B1189" s="73"/>
      <c r="C1189" s="73"/>
      <c r="D1189" s="218"/>
      <c r="E1189" s="218"/>
      <c r="F1189" s="74" t="s">
        <v>1070</v>
      </c>
      <c r="G1189" s="218"/>
      <c r="H1189" s="218"/>
      <c r="I1189" s="218"/>
      <c r="J1189" s="175" t="s">
        <v>1071</v>
      </c>
      <c r="K1189" s="175"/>
      <c r="L1189" s="75">
        <v>0</v>
      </c>
      <c r="M1189" s="175" t="s">
        <v>1072</v>
      </c>
      <c r="N1189" s="175"/>
      <c r="O1189" s="74"/>
      <c r="P1189" s="73"/>
      <c r="T1189" s="88">
        <v>5.05306435E-2</v>
      </c>
    </row>
    <row r="1190" spans="1:20" ht="14.85" customHeight="1">
      <c r="A1190" s="68"/>
      <c r="B1190" s="68"/>
      <c r="C1190" s="68"/>
      <c r="D1190" s="179"/>
      <c r="E1190" s="179"/>
      <c r="F1190" s="76" t="s">
        <v>1073</v>
      </c>
      <c r="G1190" s="179"/>
      <c r="H1190" s="179"/>
      <c r="I1190" s="179"/>
      <c r="J1190" s="179"/>
      <c r="K1190" s="179"/>
      <c r="L1190" s="70" t="s">
        <v>1074</v>
      </c>
      <c r="M1190" s="179"/>
      <c r="N1190" s="179"/>
      <c r="O1190" s="68"/>
      <c r="P1190" s="68"/>
      <c r="T1190" s="88">
        <v>5.05306435E-2</v>
      </c>
    </row>
    <row r="1191" spans="1:20" ht="14.45" customHeight="1">
      <c r="A1191" s="77" t="s">
        <v>1089</v>
      </c>
      <c r="B1191" s="68"/>
      <c r="C1191" s="68"/>
      <c r="D1191" s="179"/>
      <c r="E1191" s="179"/>
      <c r="F1191" s="68"/>
      <c r="G1191" s="179"/>
      <c r="H1191" s="179"/>
      <c r="I1191" s="179"/>
      <c r="J1191" s="179"/>
      <c r="K1191" s="179"/>
      <c r="L1191" s="68"/>
      <c r="M1191" s="179"/>
      <c r="N1191" s="179"/>
      <c r="O1191" s="68"/>
      <c r="P1191" s="68"/>
      <c r="T1191" s="88">
        <v>5.05306435E-2</v>
      </c>
    </row>
    <row r="1192" spans="1:20" ht="15.2" customHeight="1">
      <c r="A1192" s="206" t="s">
        <v>1774</v>
      </c>
      <c r="B1192" s="206"/>
      <c r="C1192" s="206"/>
      <c r="D1192" s="206"/>
      <c r="E1192" s="206"/>
      <c r="F1192" s="206"/>
      <c r="G1192" s="206"/>
      <c r="H1192" s="206"/>
      <c r="I1192" s="206"/>
      <c r="J1192" s="206"/>
      <c r="K1192" s="206"/>
      <c r="L1192" s="206"/>
      <c r="M1192" s="206"/>
      <c r="N1192" s="206"/>
      <c r="O1192" s="206"/>
      <c r="P1192" s="206"/>
      <c r="T1192" s="88">
        <v>5.05306435E-2</v>
      </c>
    </row>
    <row r="1193" spans="1:20" ht="14.45" customHeight="1">
      <c r="A1193" s="207"/>
      <c r="B1193" s="207"/>
      <c r="C1193" s="207"/>
      <c r="D1193" s="207"/>
      <c r="E1193" s="207"/>
      <c r="F1193" s="207"/>
      <c r="G1193" s="207"/>
      <c r="H1193" s="207"/>
      <c r="I1193" s="207"/>
      <c r="J1193" s="207"/>
      <c r="K1193" s="207"/>
      <c r="L1193" s="207"/>
      <c r="M1193" s="207"/>
      <c r="N1193" s="207"/>
      <c r="O1193" s="207"/>
      <c r="P1193" s="207"/>
      <c r="T1193" s="88">
        <v>5.05306435E-2</v>
      </c>
    </row>
    <row r="1194" spans="1:20" ht="15.75" customHeight="1">
      <c r="A1194" s="43" t="s">
        <v>1775</v>
      </c>
      <c r="B1194" s="44" t="s">
        <v>3</v>
      </c>
      <c r="C1194" s="43" t="s">
        <v>4</v>
      </c>
      <c r="D1194" s="208" t="s">
        <v>5</v>
      </c>
      <c r="E1194" s="209"/>
      <c r="F1194" s="43" t="s">
        <v>1049</v>
      </c>
      <c r="G1194" s="210"/>
      <c r="H1194" s="211"/>
      <c r="I1194" s="212"/>
      <c r="J1194" s="213" t="s">
        <v>6</v>
      </c>
      <c r="K1194" s="214"/>
      <c r="L1194" s="44" t="s">
        <v>7</v>
      </c>
      <c r="M1194" s="219" t="s">
        <v>8</v>
      </c>
      <c r="N1194" s="220"/>
      <c r="O1194" s="63"/>
      <c r="P1194" s="44" t="s">
        <v>11</v>
      </c>
      <c r="T1194" s="88">
        <v>5.05306435E-2</v>
      </c>
    </row>
    <row r="1195" spans="1:20" ht="14.45" customHeight="1">
      <c r="A1195" s="47" t="s">
        <v>1051</v>
      </c>
      <c r="B1195" s="48" t="s">
        <v>1776</v>
      </c>
      <c r="C1195" s="47" t="s">
        <v>1053</v>
      </c>
      <c r="D1195" s="190" t="s">
        <v>1777</v>
      </c>
      <c r="E1195" s="191"/>
      <c r="F1195" s="47" t="s">
        <v>1628</v>
      </c>
      <c r="G1195" s="192"/>
      <c r="H1195" s="193"/>
      <c r="I1195" s="194"/>
      <c r="J1195" s="223" t="s">
        <v>1085</v>
      </c>
      <c r="K1195" s="224"/>
      <c r="L1195" s="50">
        <v>1</v>
      </c>
      <c r="M1195" s="197">
        <v>74.83</v>
      </c>
      <c r="N1195" s="198"/>
      <c r="O1195" s="64">
        <f>M1195-(M1195*T1195)</f>
        <v>71.048791946894994</v>
      </c>
      <c r="P1195" s="64">
        <f>SUM(P1196:P1201)</f>
        <v>71.048791946894994</v>
      </c>
      <c r="T1195" s="88">
        <v>5.05306435E-2</v>
      </c>
    </row>
    <row r="1196" spans="1:20" ht="14.45" customHeight="1">
      <c r="A1196" s="52" t="s">
        <v>1057</v>
      </c>
      <c r="B1196" s="53">
        <v>88264</v>
      </c>
      <c r="C1196" s="52" t="s">
        <v>1058</v>
      </c>
      <c r="D1196" s="199" t="s">
        <v>1063</v>
      </c>
      <c r="E1196" s="200"/>
      <c r="F1196" s="52" t="s">
        <v>1158</v>
      </c>
      <c r="G1196" s="201"/>
      <c r="H1196" s="202"/>
      <c r="I1196" s="203"/>
      <c r="J1196" s="204" t="s">
        <v>1061</v>
      </c>
      <c r="K1196" s="205"/>
      <c r="L1196" s="55">
        <v>1</v>
      </c>
      <c r="M1196" s="188">
        <v>27.27</v>
      </c>
      <c r="N1196" s="189"/>
      <c r="O1196" s="56">
        <f>M1196-(M1196*T1196)</f>
        <v>25.892029351754999</v>
      </c>
      <c r="P1196" s="57">
        <f t="shared" ref="P1196:P1198" si="224">O1196*L1196</f>
        <v>25.892029351754999</v>
      </c>
      <c r="T1196" s="88">
        <v>5.05306435E-2</v>
      </c>
    </row>
    <row r="1197" spans="1:20" ht="14.45" customHeight="1">
      <c r="A1197" s="52" t="s">
        <v>1057</v>
      </c>
      <c r="B1197" s="53">
        <v>88316</v>
      </c>
      <c r="C1197" s="52" t="s">
        <v>1058</v>
      </c>
      <c r="D1197" s="199" t="s">
        <v>1059</v>
      </c>
      <c r="E1197" s="200"/>
      <c r="F1197" s="52" t="s">
        <v>1158</v>
      </c>
      <c r="G1197" s="201"/>
      <c r="H1197" s="202"/>
      <c r="I1197" s="203"/>
      <c r="J1197" s="204" t="s">
        <v>1061</v>
      </c>
      <c r="K1197" s="205"/>
      <c r="L1197" s="55">
        <v>0.5</v>
      </c>
      <c r="M1197" s="188">
        <v>21.32</v>
      </c>
      <c r="N1197" s="189"/>
      <c r="O1197" s="56">
        <f t="shared" ref="O1197:O1198" si="225">M1197-(M1197*T1197)</f>
        <v>20.24268668058</v>
      </c>
      <c r="P1197" s="57">
        <f t="shared" si="224"/>
        <v>10.12134334029</v>
      </c>
      <c r="T1197" s="88">
        <v>5.05306435E-2</v>
      </c>
    </row>
    <row r="1198" spans="1:20" ht="14.45" customHeight="1">
      <c r="A1198" s="58" t="s">
        <v>1064</v>
      </c>
      <c r="B1198" s="62">
        <v>13946</v>
      </c>
      <c r="C1198" s="58" t="s">
        <v>1180</v>
      </c>
      <c r="D1198" s="181" t="s">
        <v>1778</v>
      </c>
      <c r="E1198" s="182"/>
      <c r="F1198" s="58" t="s">
        <v>1068</v>
      </c>
      <c r="G1198" s="183"/>
      <c r="H1198" s="184"/>
      <c r="I1198" s="185"/>
      <c r="J1198" s="186" t="s">
        <v>1187</v>
      </c>
      <c r="K1198" s="187"/>
      <c r="L1198" s="60">
        <v>1</v>
      </c>
      <c r="M1198" s="188">
        <v>36.9</v>
      </c>
      <c r="N1198" s="189"/>
      <c r="O1198" s="56">
        <f t="shared" si="225"/>
        <v>35.035419254849998</v>
      </c>
      <c r="P1198" s="57">
        <f t="shared" si="224"/>
        <v>35.035419254849998</v>
      </c>
      <c r="T1198" s="88">
        <v>5.05306435E-2</v>
      </c>
    </row>
    <row r="1199" spans="1:20" ht="14.25" customHeight="1">
      <c r="A1199" s="174" t="s">
        <v>1070</v>
      </c>
      <c r="B1199" s="174"/>
      <c r="C1199" s="174"/>
      <c r="D1199" s="174"/>
      <c r="E1199" s="174"/>
      <c r="F1199" s="174"/>
      <c r="G1199" s="174"/>
      <c r="H1199" s="175" t="s">
        <v>1071</v>
      </c>
      <c r="I1199" s="175"/>
      <c r="J1199" s="175"/>
      <c r="K1199" s="175"/>
      <c r="L1199" s="176">
        <v>0</v>
      </c>
      <c r="M1199" s="176"/>
      <c r="N1199" s="177" t="s">
        <v>1072</v>
      </c>
      <c r="O1199" s="177"/>
      <c r="P1199" s="177"/>
      <c r="T1199" s="88">
        <v>5.05306435E-2</v>
      </c>
    </row>
    <row r="1200" spans="1:20" ht="14.25" customHeight="1">
      <c r="A1200" s="178" t="s">
        <v>1073</v>
      </c>
      <c r="B1200" s="178"/>
      <c r="C1200" s="178"/>
      <c r="D1200" s="178"/>
      <c r="E1200" s="178"/>
      <c r="F1200" s="178"/>
      <c r="G1200" s="178"/>
      <c r="H1200" s="179"/>
      <c r="I1200" s="179"/>
      <c r="J1200" s="179"/>
      <c r="K1200" s="179"/>
      <c r="L1200" s="180" t="s">
        <v>1074</v>
      </c>
      <c r="M1200" s="180"/>
      <c r="N1200" s="179"/>
      <c r="O1200" s="179"/>
      <c r="P1200" s="179"/>
      <c r="T1200" s="88">
        <v>5.05306435E-2</v>
      </c>
    </row>
    <row r="1201" spans="1:20" ht="28.5" customHeight="1">
      <c r="A1201" s="172" t="s">
        <v>1779</v>
      </c>
      <c r="B1201" s="172"/>
      <c r="C1201" s="172"/>
      <c r="D1201" s="172"/>
      <c r="E1201" s="172"/>
      <c r="F1201" s="172"/>
      <c r="G1201" s="172"/>
      <c r="H1201" s="172"/>
      <c r="I1201" s="172"/>
      <c r="J1201" s="172"/>
      <c r="K1201" s="172"/>
      <c r="L1201" s="172"/>
      <c r="M1201" s="172"/>
      <c r="N1201" s="172"/>
      <c r="O1201" s="172"/>
      <c r="P1201" s="172"/>
      <c r="Q1201" s="172"/>
      <c r="T1201" s="88">
        <v>5.05306435E-2</v>
      </c>
    </row>
    <row r="1202" spans="1:20" ht="14.45" customHeight="1">
      <c r="A1202" s="207"/>
      <c r="B1202" s="207"/>
      <c r="C1202" s="207"/>
      <c r="D1202" s="207"/>
      <c r="E1202" s="207"/>
      <c r="F1202" s="207"/>
      <c r="G1202" s="207"/>
      <c r="H1202" s="207"/>
      <c r="I1202" s="207"/>
      <c r="J1202" s="207"/>
      <c r="K1202" s="207"/>
      <c r="L1202" s="207"/>
      <c r="M1202" s="207"/>
      <c r="N1202" s="207"/>
      <c r="O1202" s="207"/>
      <c r="P1202" s="207"/>
      <c r="T1202" s="88">
        <v>5.05306435E-2</v>
      </c>
    </row>
    <row r="1203" spans="1:20" ht="15.75" customHeight="1">
      <c r="A1203" s="43" t="s">
        <v>1780</v>
      </c>
      <c r="B1203" s="44" t="s">
        <v>3</v>
      </c>
      <c r="C1203" s="43" t="s">
        <v>4</v>
      </c>
      <c r="D1203" s="208" t="s">
        <v>5</v>
      </c>
      <c r="E1203" s="209"/>
      <c r="F1203" s="43" t="s">
        <v>1049</v>
      </c>
      <c r="G1203" s="210"/>
      <c r="H1203" s="211"/>
      <c r="I1203" s="212"/>
      <c r="J1203" s="213" t="s">
        <v>6</v>
      </c>
      <c r="K1203" s="214"/>
      <c r="L1203" s="44" t="s">
        <v>7</v>
      </c>
      <c r="M1203" s="219" t="s">
        <v>8</v>
      </c>
      <c r="N1203" s="220"/>
      <c r="O1203" s="63"/>
      <c r="P1203" s="44" t="s">
        <v>11</v>
      </c>
      <c r="T1203" s="88">
        <v>5.05306435E-2</v>
      </c>
    </row>
    <row r="1204" spans="1:20" ht="14.45" customHeight="1">
      <c r="A1204" s="47" t="s">
        <v>1051</v>
      </c>
      <c r="B1204" s="48" t="s">
        <v>1781</v>
      </c>
      <c r="C1204" s="47" t="s">
        <v>1053</v>
      </c>
      <c r="D1204" s="190" t="s">
        <v>1782</v>
      </c>
      <c r="E1204" s="191"/>
      <c r="F1204" s="47" t="s">
        <v>1628</v>
      </c>
      <c r="G1204" s="192"/>
      <c r="H1204" s="193"/>
      <c r="I1204" s="194"/>
      <c r="J1204" s="223" t="s">
        <v>1085</v>
      </c>
      <c r="K1204" s="224"/>
      <c r="L1204" s="50">
        <v>1</v>
      </c>
      <c r="M1204" s="197">
        <v>221.16</v>
      </c>
      <c r="N1204" s="198"/>
      <c r="O1204" s="64">
        <f>M1204-(M1204*T1204)</f>
        <v>209.98464288354</v>
      </c>
      <c r="P1204" s="64">
        <f>SUM(P1205:P1210)</f>
        <v>209.98915191351401</v>
      </c>
      <c r="T1204" s="88">
        <v>5.05306435E-2</v>
      </c>
    </row>
    <row r="1205" spans="1:20" ht="14.45" customHeight="1">
      <c r="A1205" s="52" t="s">
        <v>1057</v>
      </c>
      <c r="B1205" s="53">
        <v>88247</v>
      </c>
      <c r="C1205" s="52" t="s">
        <v>1058</v>
      </c>
      <c r="D1205" s="199" t="s">
        <v>1062</v>
      </c>
      <c r="E1205" s="200"/>
      <c r="F1205" s="52" t="s">
        <v>1158</v>
      </c>
      <c r="G1205" s="201"/>
      <c r="H1205" s="202"/>
      <c r="I1205" s="203"/>
      <c r="J1205" s="204" t="s">
        <v>1061</v>
      </c>
      <c r="K1205" s="205"/>
      <c r="L1205" s="55">
        <v>0.51690000000000003</v>
      </c>
      <c r="M1205" s="188">
        <v>22.63</v>
      </c>
      <c r="N1205" s="189"/>
      <c r="O1205" s="56">
        <f>M1205-(M1205*T1205)</f>
        <v>21.486491537595001</v>
      </c>
      <c r="P1205" s="57">
        <f t="shared" ref="P1205:P1207" si="226">O1205*L1205</f>
        <v>11.106367475782857</v>
      </c>
      <c r="T1205" s="88">
        <v>5.05306435E-2</v>
      </c>
    </row>
    <row r="1206" spans="1:20" ht="14.45" customHeight="1">
      <c r="A1206" s="52" t="s">
        <v>1057</v>
      </c>
      <c r="B1206" s="53">
        <v>88264</v>
      </c>
      <c r="C1206" s="52" t="s">
        <v>1058</v>
      </c>
      <c r="D1206" s="199" t="s">
        <v>1063</v>
      </c>
      <c r="E1206" s="200"/>
      <c r="F1206" s="52" t="s">
        <v>1158</v>
      </c>
      <c r="G1206" s="201"/>
      <c r="H1206" s="202"/>
      <c r="I1206" s="203"/>
      <c r="J1206" s="204" t="s">
        <v>1061</v>
      </c>
      <c r="K1206" s="205"/>
      <c r="L1206" s="55">
        <v>0.3226</v>
      </c>
      <c r="M1206" s="188">
        <v>27.27</v>
      </c>
      <c r="N1206" s="189"/>
      <c r="O1206" s="56">
        <f t="shared" ref="O1206:O1207" si="227">M1206-(M1206*T1206)</f>
        <v>25.892029351754999</v>
      </c>
      <c r="P1206" s="57">
        <f t="shared" si="226"/>
        <v>8.3527686688761626</v>
      </c>
      <c r="T1206" s="88">
        <v>5.05306435E-2</v>
      </c>
    </row>
    <row r="1207" spans="1:20" ht="14.45" customHeight="1">
      <c r="A1207" s="58" t="s">
        <v>1064</v>
      </c>
      <c r="B1207" s="62">
        <v>4063</v>
      </c>
      <c r="C1207" s="58" t="s">
        <v>1573</v>
      </c>
      <c r="D1207" s="181" t="s">
        <v>1783</v>
      </c>
      <c r="E1207" s="182"/>
      <c r="F1207" s="58" t="s">
        <v>1068</v>
      </c>
      <c r="G1207" s="183"/>
      <c r="H1207" s="184"/>
      <c r="I1207" s="185"/>
      <c r="J1207" s="186" t="s">
        <v>1187</v>
      </c>
      <c r="K1207" s="187"/>
      <c r="L1207" s="60">
        <v>1</v>
      </c>
      <c r="M1207" s="188">
        <v>200.67</v>
      </c>
      <c r="N1207" s="189"/>
      <c r="O1207" s="56">
        <f t="shared" si="227"/>
        <v>190.53001576885498</v>
      </c>
      <c r="P1207" s="57">
        <f t="shared" si="226"/>
        <v>190.53001576885498</v>
      </c>
      <c r="T1207" s="88">
        <v>5.05306435E-2</v>
      </c>
    </row>
    <row r="1208" spans="1:20" ht="14.25" customHeight="1">
      <c r="A1208" s="73"/>
      <c r="B1208" s="73"/>
      <c r="C1208" s="73"/>
      <c r="D1208" s="218"/>
      <c r="E1208" s="218"/>
      <c r="F1208" s="74" t="s">
        <v>1070</v>
      </c>
      <c r="G1208" s="218"/>
      <c r="H1208" s="218"/>
      <c r="I1208" s="218"/>
      <c r="J1208" s="175" t="s">
        <v>1071</v>
      </c>
      <c r="K1208" s="175"/>
      <c r="L1208" s="75">
        <v>0</v>
      </c>
      <c r="M1208" s="175" t="s">
        <v>1072</v>
      </c>
      <c r="N1208" s="175"/>
      <c r="O1208" s="74"/>
      <c r="P1208" s="73"/>
      <c r="T1208" s="88">
        <v>5.05306435E-2</v>
      </c>
    </row>
    <row r="1209" spans="1:20" ht="14.85" customHeight="1">
      <c r="A1209" s="68"/>
      <c r="B1209" s="68"/>
      <c r="C1209" s="68"/>
      <c r="D1209" s="179"/>
      <c r="E1209" s="179"/>
      <c r="F1209" s="76" t="s">
        <v>1073</v>
      </c>
      <c r="G1209" s="179"/>
      <c r="H1209" s="179"/>
      <c r="I1209" s="179"/>
      <c r="J1209" s="179"/>
      <c r="K1209" s="179"/>
      <c r="L1209" s="70" t="s">
        <v>1074</v>
      </c>
      <c r="M1209" s="179"/>
      <c r="N1209" s="179"/>
      <c r="O1209" s="68"/>
      <c r="P1209" s="68"/>
      <c r="T1209" s="88">
        <v>5.05306435E-2</v>
      </c>
    </row>
    <row r="1210" spans="1:20" ht="14.45" customHeight="1">
      <c r="A1210" s="77" t="s">
        <v>1089</v>
      </c>
      <c r="B1210" s="68"/>
      <c r="C1210" s="68"/>
      <c r="D1210" s="179"/>
      <c r="E1210" s="179"/>
      <c r="F1210" s="68"/>
      <c r="G1210" s="179"/>
      <c r="H1210" s="179"/>
      <c r="I1210" s="179"/>
      <c r="J1210" s="179"/>
      <c r="K1210" s="179"/>
      <c r="L1210" s="68"/>
      <c r="M1210" s="179"/>
      <c r="N1210" s="179"/>
      <c r="O1210" s="68"/>
      <c r="P1210" s="68"/>
      <c r="T1210" s="88">
        <v>5.05306435E-2</v>
      </c>
    </row>
    <row r="1211" spans="1:20" ht="15.2" customHeight="1">
      <c r="A1211" s="206" t="s">
        <v>1784</v>
      </c>
      <c r="B1211" s="206"/>
      <c r="C1211" s="206"/>
      <c r="D1211" s="206"/>
      <c r="E1211" s="206"/>
      <c r="F1211" s="206"/>
      <c r="G1211" s="206"/>
      <c r="H1211" s="206"/>
      <c r="I1211" s="206"/>
      <c r="J1211" s="206"/>
      <c r="K1211" s="206"/>
      <c r="L1211" s="206"/>
      <c r="M1211" s="206"/>
      <c r="N1211" s="206"/>
      <c r="O1211" s="206"/>
      <c r="P1211" s="206"/>
      <c r="T1211" s="88">
        <v>5.05306435E-2</v>
      </c>
    </row>
    <row r="1212" spans="1:20" ht="14.45" customHeight="1">
      <c r="A1212" s="207"/>
      <c r="B1212" s="207"/>
      <c r="C1212" s="207"/>
      <c r="D1212" s="207"/>
      <c r="E1212" s="207"/>
      <c r="F1212" s="207"/>
      <c r="G1212" s="207"/>
      <c r="H1212" s="207"/>
      <c r="I1212" s="207"/>
      <c r="J1212" s="207"/>
      <c r="K1212" s="207"/>
      <c r="L1212" s="207"/>
      <c r="M1212" s="207"/>
      <c r="N1212" s="207"/>
      <c r="O1212" s="207"/>
      <c r="P1212" s="207"/>
      <c r="T1212" s="88">
        <v>5.05306435E-2</v>
      </c>
    </row>
    <row r="1213" spans="1:20" ht="15.75" customHeight="1">
      <c r="A1213" s="43" t="s">
        <v>1785</v>
      </c>
      <c r="B1213" s="44" t="s">
        <v>3</v>
      </c>
      <c r="C1213" s="43" t="s">
        <v>4</v>
      </c>
      <c r="D1213" s="208" t="s">
        <v>5</v>
      </c>
      <c r="E1213" s="209"/>
      <c r="F1213" s="43" t="s">
        <v>1049</v>
      </c>
      <c r="G1213" s="210"/>
      <c r="H1213" s="211"/>
      <c r="I1213" s="212"/>
      <c r="J1213" s="213" t="s">
        <v>6</v>
      </c>
      <c r="K1213" s="214"/>
      <c r="L1213" s="44" t="s">
        <v>7</v>
      </c>
      <c r="M1213" s="219" t="s">
        <v>8</v>
      </c>
      <c r="N1213" s="220"/>
      <c r="O1213" s="63"/>
      <c r="P1213" s="44" t="s">
        <v>11</v>
      </c>
      <c r="T1213" s="88">
        <v>5.05306435E-2</v>
      </c>
    </row>
    <row r="1214" spans="1:20" ht="14.45" customHeight="1">
      <c r="A1214" s="47" t="s">
        <v>1051</v>
      </c>
      <c r="B1214" s="48" t="s">
        <v>1786</v>
      </c>
      <c r="C1214" s="47" t="s">
        <v>1053</v>
      </c>
      <c r="D1214" s="190" t="s">
        <v>1787</v>
      </c>
      <c r="E1214" s="191"/>
      <c r="F1214" s="47" t="s">
        <v>1628</v>
      </c>
      <c r="G1214" s="192"/>
      <c r="H1214" s="193"/>
      <c r="I1214" s="194"/>
      <c r="J1214" s="223" t="s">
        <v>1085</v>
      </c>
      <c r="K1214" s="224"/>
      <c r="L1214" s="50">
        <v>1</v>
      </c>
      <c r="M1214" s="197">
        <v>101.63</v>
      </c>
      <c r="N1214" s="198"/>
      <c r="O1214" s="64">
        <f>M1214-(M1214*T1214)</f>
        <v>96.494570701095</v>
      </c>
      <c r="P1214" s="64">
        <f>SUM(P1215:P1220)</f>
        <v>96.497485572019457</v>
      </c>
      <c r="T1214" s="88">
        <v>5.05306435E-2</v>
      </c>
    </row>
    <row r="1215" spans="1:20" ht="14.45" customHeight="1">
      <c r="A1215" s="52" t="s">
        <v>1057</v>
      </c>
      <c r="B1215" s="53">
        <v>88264</v>
      </c>
      <c r="C1215" s="52" t="s">
        <v>1058</v>
      </c>
      <c r="D1215" s="199" t="s">
        <v>1063</v>
      </c>
      <c r="E1215" s="200"/>
      <c r="F1215" s="52" t="s">
        <v>1158</v>
      </c>
      <c r="G1215" s="201"/>
      <c r="H1215" s="202"/>
      <c r="I1215" s="203"/>
      <c r="J1215" s="204" t="s">
        <v>1061</v>
      </c>
      <c r="K1215" s="205"/>
      <c r="L1215" s="55">
        <v>1.3149999999999999</v>
      </c>
      <c r="M1215" s="188">
        <v>27.27</v>
      </c>
      <c r="N1215" s="189"/>
      <c r="O1215" s="56">
        <f>M1215-(M1215*T1215)</f>
        <v>25.892029351754999</v>
      </c>
      <c r="P1215" s="57">
        <f t="shared" ref="P1215:P1217" si="228">O1215*L1215</f>
        <v>34.048018597557821</v>
      </c>
      <c r="T1215" s="88">
        <v>5.05306435E-2</v>
      </c>
    </row>
    <row r="1216" spans="1:20" ht="14.45" customHeight="1">
      <c r="A1216" s="52" t="s">
        <v>1057</v>
      </c>
      <c r="B1216" s="53">
        <v>88247</v>
      </c>
      <c r="C1216" s="52" t="s">
        <v>1058</v>
      </c>
      <c r="D1216" s="199" t="s">
        <v>1062</v>
      </c>
      <c r="E1216" s="200"/>
      <c r="F1216" s="52" t="s">
        <v>1158</v>
      </c>
      <c r="G1216" s="201"/>
      <c r="H1216" s="202"/>
      <c r="I1216" s="203"/>
      <c r="J1216" s="204" t="s">
        <v>1061</v>
      </c>
      <c r="K1216" s="205"/>
      <c r="L1216" s="55">
        <v>1.754</v>
      </c>
      <c r="M1216" s="188">
        <v>22.63</v>
      </c>
      <c r="N1216" s="189"/>
      <c r="O1216" s="56">
        <f t="shared" ref="O1216:O1217" si="229">M1216-(M1216*T1216)</f>
        <v>21.486491537595001</v>
      </c>
      <c r="P1216" s="57">
        <f t="shared" si="228"/>
        <v>37.687306156941631</v>
      </c>
      <c r="T1216" s="88">
        <v>5.05306435E-2</v>
      </c>
    </row>
    <row r="1217" spans="1:20" ht="14.45" customHeight="1">
      <c r="A1217" s="58" t="s">
        <v>1064</v>
      </c>
      <c r="B1217" s="62">
        <v>9551</v>
      </c>
      <c r="C1217" s="58" t="s">
        <v>1150</v>
      </c>
      <c r="D1217" s="181" t="s">
        <v>1787</v>
      </c>
      <c r="E1217" s="182"/>
      <c r="F1217" s="58" t="s">
        <v>1068</v>
      </c>
      <c r="G1217" s="183"/>
      <c r="H1217" s="184"/>
      <c r="I1217" s="185"/>
      <c r="J1217" s="240" t="s">
        <v>1085</v>
      </c>
      <c r="K1217" s="241"/>
      <c r="L1217" s="60">
        <v>1</v>
      </c>
      <c r="M1217" s="188">
        <v>26.08</v>
      </c>
      <c r="N1217" s="189"/>
      <c r="O1217" s="56">
        <f t="shared" si="229"/>
        <v>24.762160817519998</v>
      </c>
      <c r="P1217" s="57">
        <f t="shared" si="228"/>
        <v>24.762160817519998</v>
      </c>
      <c r="T1217" s="88">
        <v>5.05306435E-2</v>
      </c>
    </row>
    <row r="1218" spans="1:20" ht="14.25" customHeight="1">
      <c r="A1218" s="174" t="s">
        <v>1070</v>
      </c>
      <c r="B1218" s="174"/>
      <c r="C1218" s="174"/>
      <c r="D1218" s="174"/>
      <c r="E1218" s="174"/>
      <c r="F1218" s="174"/>
      <c r="G1218" s="174"/>
      <c r="H1218" s="175" t="s">
        <v>1071</v>
      </c>
      <c r="I1218" s="175"/>
      <c r="J1218" s="175"/>
      <c r="K1218" s="175"/>
      <c r="L1218" s="176">
        <v>0</v>
      </c>
      <c r="M1218" s="176"/>
      <c r="N1218" s="177" t="s">
        <v>1072</v>
      </c>
      <c r="O1218" s="177"/>
      <c r="P1218" s="177"/>
      <c r="T1218" s="88">
        <v>5.05306435E-2</v>
      </c>
    </row>
    <row r="1219" spans="1:20" ht="14.25" customHeight="1">
      <c r="A1219" s="178" t="s">
        <v>1073</v>
      </c>
      <c r="B1219" s="178"/>
      <c r="C1219" s="178"/>
      <c r="D1219" s="178"/>
      <c r="E1219" s="178"/>
      <c r="F1219" s="178"/>
      <c r="G1219" s="178"/>
      <c r="H1219" s="179"/>
      <c r="I1219" s="179"/>
      <c r="J1219" s="179"/>
      <c r="K1219" s="179"/>
      <c r="L1219" s="180" t="s">
        <v>1074</v>
      </c>
      <c r="M1219" s="180"/>
      <c r="N1219" s="179"/>
      <c r="O1219" s="179"/>
      <c r="P1219" s="179"/>
      <c r="T1219" s="88">
        <v>5.05306435E-2</v>
      </c>
    </row>
    <row r="1220" spans="1:20" ht="28.5" customHeight="1">
      <c r="A1220" s="172" t="s">
        <v>1788</v>
      </c>
      <c r="B1220" s="172"/>
      <c r="C1220" s="172"/>
      <c r="D1220" s="172"/>
      <c r="E1220" s="172"/>
      <c r="F1220" s="172"/>
      <c r="G1220" s="172"/>
      <c r="H1220" s="172"/>
      <c r="I1220" s="172"/>
      <c r="J1220" s="172"/>
      <c r="K1220" s="172"/>
      <c r="L1220" s="172"/>
      <c r="M1220" s="172"/>
      <c r="N1220" s="172"/>
      <c r="O1220" s="172"/>
      <c r="P1220" s="172"/>
      <c r="Q1220" s="172"/>
      <c r="T1220" s="88">
        <v>5.05306435E-2</v>
      </c>
    </row>
    <row r="1221" spans="1:20" ht="14.45" customHeight="1">
      <c r="A1221" s="207"/>
      <c r="B1221" s="207"/>
      <c r="C1221" s="207"/>
      <c r="D1221" s="207"/>
      <c r="E1221" s="207"/>
      <c r="F1221" s="207"/>
      <c r="G1221" s="207"/>
      <c r="H1221" s="207"/>
      <c r="I1221" s="207"/>
      <c r="J1221" s="207"/>
      <c r="K1221" s="207"/>
      <c r="L1221" s="207"/>
      <c r="M1221" s="207"/>
      <c r="N1221" s="207"/>
      <c r="O1221" s="207"/>
      <c r="P1221" s="207"/>
      <c r="T1221" s="88">
        <v>5.05306435E-2</v>
      </c>
    </row>
    <row r="1222" spans="1:20" ht="15.75" customHeight="1">
      <c r="A1222" s="43" t="s">
        <v>1789</v>
      </c>
      <c r="B1222" s="44" t="s">
        <v>3</v>
      </c>
      <c r="C1222" s="43" t="s">
        <v>4</v>
      </c>
      <c r="D1222" s="208" t="s">
        <v>5</v>
      </c>
      <c r="E1222" s="209"/>
      <c r="F1222" s="43" t="s">
        <v>1049</v>
      </c>
      <c r="G1222" s="210"/>
      <c r="H1222" s="211"/>
      <c r="I1222" s="212"/>
      <c r="J1222" s="213" t="s">
        <v>6</v>
      </c>
      <c r="K1222" s="214"/>
      <c r="L1222" s="44" t="s">
        <v>7</v>
      </c>
      <c r="M1222" s="219" t="s">
        <v>8</v>
      </c>
      <c r="N1222" s="220"/>
      <c r="O1222" s="63"/>
      <c r="P1222" s="44" t="s">
        <v>11</v>
      </c>
      <c r="T1222" s="88">
        <v>5.05306435E-2</v>
      </c>
    </row>
    <row r="1223" spans="1:20" ht="14.45" customHeight="1">
      <c r="A1223" s="47" t="s">
        <v>1051</v>
      </c>
      <c r="B1223" s="48" t="s">
        <v>1790</v>
      </c>
      <c r="C1223" s="47" t="s">
        <v>1053</v>
      </c>
      <c r="D1223" s="190" t="s">
        <v>1791</v>
      </c>
      <c r="E1223" s="191"/>
      <c r="F1223" s="47" t="s">
        <v>1628</v>
      </c>
      <c r="G1223" s="192"/>
      <c r="H1223" s="193"/>
      <c r="I1223" s="194"/>
      <c r="J1223" s="223" t="s">
        <v>1085</v>
      </c>
      <c r="K1223" s="224"/>
      <c r="L1223" s="50">
        <v>1</v>
      </c>
      <c r="M1223" s="197">
        <v>97.8</v>
      </c>
      <c r="N1223" s="198"/>
      <c r="O1223" s="64">
        <f>M1223-(M1223*T1223)</f>
        <v>92.858103065699993</v>
      </c>
      <c r="P1223" s="64">
        <f>SUM(P1224:P1229)</f>
        <v>92.859622216670402</v>
      </c>
      <c r="T1223" s="88">
        <v>5.05306435E-2</v>
      </c>
    </row>
    <row r="1224" spans="1:20" ht="14.45" customHeight="1">
      <c r="A1224" s="52" t="s">
        <v>1057</v>
      </c>
      <c r="B1224" s="53">
        <v>88264</v>
      </c>
      <c r="C1224" s="52" t="s">
        <v>1058</v>
      </c>
      <c r="D1224" s="199" t="s">
        <v>1063</v>
      </c>
      <c r="E1224" s="200"/>
      <c r="F1224" s="52" t="s">
        <v>1158</v>
      </c>
      <c r="G1224" s="201"/>
      <c r="H1224" s="202"/>
      <c r="I1224" s="203"/>
      <c r="J1224" s="204" t="s">
        <v>1061</v>
      </c>
      <c r="K1224" s="205"/>
      <c r="L1224" s="55">
        <v>0.5</v>
      </c>
      <c r="M1224" s="188">
        <v>27.27</v>
      </c>
      <c r="N1224" s="189"/>
      <c r="O1224" s="56">
        <f>M1224-(M1224*T1224)</f>
        <v>25.892029351754999</v>
      </c>
      <c r="P1224" s="57">
        <f t="shared" ref="P1224:P1227" si="230">O1224*L1224</f>
        <v>12.9460146758775</v>
      </c>
      <c r="T1224" s="88">
        <v>5.05306435E-2</v>
      </c>
    </row>
    <row r="1225" spans="1:20" ht="14.45" customHeight="1">
      <c r="A1225" s="52" t="s">
        <v>1057</v>
      </c>
      <c r="B1225" s="53">
        <v>88247</v>
      </c>
      <c r="C1225" s="52" t="s">
        <v>1058</v>
      </c>
      <c r="D1225" s="199" t="s">
        <v>1062</v>
      </c>
      <c r="E1225" s="200"/>
      <c r="F1225" s="52" t="s">
        <v>1158</v>
      </c>
      <c r="G1225" s="201"/>
      <c r="H1225" s="202"/>
      <c r="I1225" s="203"/>
      <c r="J1225" s="204" t="s">
        <v>1061</v>
      </c>
      <c r="K1225" s="205"/>
      <c r="L1225" s="55">
        <v>1</v>
      </c>
      <c r="M1225" s="188">
        <v>22.63</v>
      </c>
      <c r="N1225" s="189"/>
      <c r="O1225" s="56">
        <f t="shared" ref="O1225:O1227" si="231">M1225-(M1225*T1225)</f>
        <v>21.486491537595001</v>
      </c>
      <c r="P1225" s="57">
        <f t="shared" si="230"/>
        <v>21.486491537595001</v>
      </c>
      <c r="T1225" s="88">
        <v>5.05306435E-2</v>
      </c>
    </row>
    <row r="1226" spans="1:20" ht="14.45" customHeight="1">
      <c r="A1226" s="58" t="s">
        <v>1064</v>
      </c>
      <c r="B1226" s="59" t="s">
        <v>1792</v>
      </c>
      <c r="C1226" s="58" t="s">
        <v>1066</v>
      </c>
      <c r="D1226" s="181" t="s">
        <v>1793</v>
      </c>
      <c r="E1226" s="182"/>
      <c r="F1226" s="58" t="s">
        <v>1068</v>
      </c>
      <c r="G1226" s="183"/>
      <c r="H1226" s="184"/>
      <c r="I1226" s="185"/>
      <c r="J1226" s="186" t="s">
        <v>1187</v>
      </c>
      <c r="K1226" s="187"/>
      <c r="L1226" s="60">
        <v>0.01</v>
      </c>
      <c r="M1226" s="188">
        <v>31.66</v>
      </c>
      <c r="N1226" s="189"/>
      <c r="O1226" s="56">
        <f t="shared" si="231"/>
        <v>30.060199826790001</v>
      </c>
      <c r="P1226" s="57">
        <f t="shared" si="230"/>
        <v>0.30060199826790002</v>
      </c>
      <c r="T1226" s="88">
        <v>5.05306435E-2</v>
      </c>
    </row>
    <row r="1227" spans="1:20" ht="14.45" customHeight="1">
      <c r="A1227" s="58" t="s">
        <v>1064</v>
      </c>
      <c r="B1227" s="59" t="s">
        <v>1794</v>
      </c>
      <c r="C1227" s="58" t="s">
        <v>1066</v>
      </c>
      <c r="D1227" s="181" t="s">
        <v>1795</v>
      </c>
      <c r="E1227" s="182"/>
      <c r="F1227" s="58" t="s">
        <v>1068</v>
      </c>
      <c r="G1227" s="183"/>
      <c r="H1227" s="184"/>
      <c r="I1227" s="185"/>
      <c r="J1227" s="240" t="s">
        <v>1085</v>
      </c>
      <c r="K1227" s="241"/>
      <c r="L1227" s="60">
        <v>1</v>
      </c>
      <c r="M1227" s="221">
        <v>61.22</v>
      </c>
      <c r="N1227" s="222"/>
      <c r="O1227" s="56">
        <f t="shared" si="231"/>
        <v>58.126514004930002</v>
      </c>
      <c r="P1227" s="57">
        <f t="shared" si="230"/>
        <v>58.126514004930002</v>
      </c>
      <c r="T1227" s="88">
        <v>5.05306435E-2</v>
      </c>
    </row>
    <row r="1228" spans="1:20" ht="14.25" customHeight="1">
      <c r="A1228" s="73"/>
      <c r="B1228" s="73"/>
      <c r="C1228" s="73"/>
      <c r="D1228" s="218"/>
      <c r="E1228" s="218"/>
      <c r="F1228" s="74" t="s">
        <v>1070</v>
      </c>
      <c r="G1228" s="218"/>
      <c r="H1228" s="218"/>
      <c r="I1228" s="218"/>
      <c r="J1228" s="175" t="s">
        <v>1071</v>
      </c>
      <c r="K1228" s="175"/>
      <c r="L1228" s="75">
        <v>0</v>
      </c>
      <c r="M1228" s="175" t="s">
        <v>1072</v>
      </c>
      <c r="N1228" s="175"/>
      <c r="O1228" s="74"/>
      <c r="P1228" s="73"/>
      <c r="T1228" s="88">
        <v>5.05306435E-2</v>
      </c>
    </row>
    <row r="1229" spans="1:20" ht="14.85" customHeight="1">
      <c r="A1229" s="68"/>
      <c r="B1229" s="68"/>
      <c r="C1229" s="68"/>
      <c r="D1229" s="179"/>
      <c r="E1229" s="179"/>
      <c r="F1229" s="76" t="s">
        <v>1073</v>
      </c>
      <c r="G1229" s="179"/>
      <c r="H1229" s="179"/>
      <c r="I1229" s="179"/>
      <c r="J1229" s="179"/>
      <c r="K1229" s="179"/>
      <c r="L1229" s="70" t="s">
        <v>1074</v>
      </c>
      <c r="M1229" s="179"/>
      <c r="N1229" s="179"/>
      <c r="O1229" s="68"/>
      <c r="P1229" s="68"/>
      <c r="T1229" s="88">
        <v>5.05306435E-2</v>
      </c>
    </row>
    <row r="1230" spans="1:20" ht="14.45" customHeight="1">
      <c r="A1230" s="77" t="s">
        <v>1089</v>
      </c>
      <c r="B1230" s="68"/>
      <c r="C1230" s="68"/>
      <c r="D1230" s="179"/>
      <c r="E1230" s="179"/>
      <c r="F1230" s="68"/>
      <c r="G1230" s="179"/>
      <c r="H1230" s="179"/>
      <c r="I1230" s="179"/>
      <c r="J1230" s="179"/>
      <c r="K1230" s="179"/>
      <c r="L1230" s="68"/>
      <c r="M1230" s="179"/>
      <c r="N1230" s="179"/>
      <c r="O1230" s="68"/>
      <c r="P1230" s="68"/>
      <c r="T1230" s="88">
        <v>5.05306435E-2</v>
      </c>
    </row>
    <row r="1231" spans="1:20" ht="15.2" customHeight="1">
      <c r="A1231" s="206" t="s">
        <v>1796</v>
      </c>
      <c r="B1231" s="206"/>
      <c r="C1231" s="206"/>
      <c r="D1231" s="206"/>
      <c r="E1231" s="206"/>
      <c r="F1231" s="206"/>
      <c r="G1231" s="206"/>
      <c r="H1231" s="206"/>
      <c r="I1231" s="206"/>
      <c r="J1231" s="206"/>
      <c r="K1231" s="206"/>
      <c r="L1231" s="206"/>
      <c r="M1231" s="206"/>
      <c r="N1231" s="206"/>
      <c r="O1231" s="206"/>
      <c r="P1231" s="206"/>
      <c r="T1231" s="88">
        <v>5.05306435E-2</v>
      </c>
    </row>
    <row r="1232" spans="1:20" ht="14.45" customHeight="1">
      <c r="A1232" s="207"/>
      <c r="B1232" s="207"/>
      <c r="C1232" s="207"/>
      <c r="D1232" s="207"/>
      <c r="E1232" s="207"/>
      <c r="F1232" s="207"/>
      <c r="G1232" s="207"/>
      <c r="H1232" s="207"/>
      <c r="I1232" s="207"/>
      <c r="J1232" s="207"/>
      <c r="K1232" s="207"/>
      <c r="L1232" s="207"/>
      <c r="M1232" s="207"/>
      <c r="N1232" s="207"/>
      <c r="O1232" s="207"/>
      <c r="P1232" s="207"/>
      <c r="T1232" s="88">
        <v>5.05306435E-2</v>
      </c>
    </row>
    <row r="1233" spans="1:20" ht="15.75" customHeight="1">
      <c r="A1233" s="43" t="s">
        <v>1797</v>
      </c>
      <c r="B1233" s="44" t="s">
        <v>3</v>
      </c>
      <c r="C1233" s="43" t="s">
        <v>4</v>
      </c>
      <c r="D1233" s="208" t="s">
        <v>5</v>
      </c>
      <c r="E1233" s="209"/>
      <c r="F1233" s="43" t="s">
        <v>1049</v>
      </c>
      <c r="G1233" s="210"/>
      <c r="H1233" s="211"/>
      <c r="I1233" s="212"/>
      <c r="J1233" s="213" t="s">
        <v>6</v>
      </c>
      <c r="K1233" s="214"/>
      <c r="L1233" s="44" t="s">
        <v>7</v>
      </c>
      <c r="M1233" s="219" t="s">
        <v>8</v>
      </c>
      <c r="N1233" s="220"/>
      <c r="O1233" s="63"/>
      <c r="P1233" s="44" t="s">
        <v>11</v>
      </c>
      <c r="T1233" s="88">
        <v>5.05306435E-2</v>
      </c>
    </row>
    <row r="1234" spans="1:20" ht="14.45" customHeight="1">
      <c r="A1234" s="47" t="s">
        <v>1051</v>
      </c>
      <c r="B1234" s="48" t="s">
        <v>1798</v>
      </c>
      <c r="C1234" s="47" t="s">
        <v>1053</v>
      </c>
      <c r="D1234" s="190" t="s">
        <v>1799</v>
      </c>
      <c r="E1234" s="191"/>
      <c r="F1234" s="47" t="s">
        <v>1628</v>
      </c>
      <c r="G1234" s="192"/>
      <c r="H1234" s="193"/>
      <c r="I1234" s="194"/>
      <c r="J1234" s="223" t="s">
        <v>1085</v>
      </c>
      <c r="K1234" s="224"/>
      <c r="L1234" s="50">
        <v>1</v>
      </c>
      <c r="M1234" s="197">
        <v>378.91</v>
      </c>
      <c r="N1234" s="198"/>
      <c r="O1234" s="64">
        <f>M1234-(M1234*T1234)</f>
        <v>359.76343387141503</v>
      </c>
      <c r="P1234" s="64">
        <f>SUM(P1235:P1240)</f>
        <v>359.75868652463254</v>
      </c>
      <c r="T1234" s="88">
        <v>5.05306435E-2</v>
      </c>
    </row>
    <row r="1235" spans="1:20" ht="14.45" customHeight="1">
      <c r="A1235" s="52" t="s">
        <v>1057</v>
      </c>
      <c r="B1235" s="53">
        <v>88264</v>
      </c>
      <c r="C1235" s="52" t="s">
        <v>1058</v>
      </c>
      <c r="D1235" s="199" t="s">
        <v>1063</v>
      </c>
      <c r="E1235" s="200"/>
      <c r="F1235" s="52" t="s">
        <v>1158</v>
      </c>
      <c r="G1235" s="201"/>
      <c r="H1235" s="202"/>
      <c r="I1235" s="203"/>
      <c r="J1235" s="204" t="s">
        <v>1061</v>
      </c>
      <c r="K1235" s="205"/>
      <c r="L1235" s="55">
        <v>1.5</v>
      </c>
      <c r="M1235" s="188">
        <v>27.27</v>
      </c>
      <c r="N1235" s="189"/>
      <c r="O1235" s="56">
        <f>M1235-(M1235*T1235)</f>
        <v>25.892029351754999</v>
      </c>
      <c r="P1235" s="57">
        <f t="shared" ref="P1235:P1236" si="232">O1235*L1235</f>
        <v>38.838044027632499</v>
      </c>
      <c r="T1235" s="88">
        <v>5.05306435E-2</v>
      </c>
    </row>
    <row r="1236" spans="1:20" ht="14.45" customHeight="1">
      <c r="A1236" s="58" t="s">
        <v>1064</v>
      </c>
      <c r="B1236" s="62">
        <v>12141</v>
      </c>
      <c r="C1236" s="58" t="s">
        <v>1180</v>
      </c>
      <c r="D1236" s="181" t="s">
        <v>1800</v>
      </c>
      <c r="E1236" s="182"/>
      <c r="F1236" s="58" t="s">
        <v>1068</v>
      </c>
      <c r="G1236" s="183"/>
      <c r="H1236" s="184"/>
      <c r="I1236" s="185"/>
      <c r="J1236" s="186" t="s">
        <v>1187</v>
      </c>
      <c r="K1236" s="187"/>
      <c r="L1236" s="60">
        <v>1</v>
      </c>
      <c r="M1236" s="221">
        <v>338</v>
      </c>
      <c r="N1236" s="222"/>
      <c r="O1236" s="56">
        <f t="shared" ref="O1236" si="233">M1236-(M1236*T1236)</f>
        <v>320.92064249700002</v>
      </c>
      <c r="P1236" s="57">
        <f t="shared" si="232"/>
        <v>320.92064249700002</v>
      </c>
      <c r="T1236" s="88">
        <v>5.05306435E-2</v>
      </c>
    </row>
    <row r="1237" spans="1:20" ht="14.25" customHeight="1">
      <c r="A1237" s="73"/>
      <c r="B1237" s="73"/>
      <c r="C1237" s="73"/>
      <c r="D1237" s="218"/>
      <c r="E1237" s="218"/>
      <c r="F1237" s="74" t="s">
        <v>1070</v>
      </c>
      <c r="G1237" s="218"/>
      <c r="H1237" s="218"/>
      <c r="I1237" s="218"/>
      <c r="J1237" s="175" t="s">
        <v>1071</v>
      </c>
      <c r="K1237" s="175"/>
      <c r="L1237" s="75">
        <v>0</v>
      </c>
      <c r="M1237" s="175" t="s">
        <v>1072</v>
      </c>
      <c r="N1237" s="175"/>
      <c r="O1237" s="74"/>
      <c r="P1237" s="73"/>
      <c r="T1237" s="88">
        <v>5.05306435E-2</v>
      </c>
    </row>
    <row r="1238" spans="1:20" ht="14.85" customHeight="1">
      <c r="A1238" s="68"/>
      <c r="B1238" s="68"/>
      <c r="C1238" s="68"/>
      <c r="D1238" s="179"/>
      <c r="E1238" s="179"/>
      <c r="F1238" s="76" t="s">
        <v>1073</v>
      </c>
      <c r="G1238" s="179"/>
      <c r="H1238" s="179"/>
      <c r="I1238" s="179"/>
      <c r="J1238" s="179"/>
      <c r="K1238" s="179"/>
      <c r="L1238" s="70" t="s">
        <v>1074</v>
      </c>
      <c r="M1238" s="179"/>
      <c r="N1238" s="179"/>
      <c r="O1238" s="68"/>
      <c r="P1238" s="68"/>
      <c r="T1238" s="88">
        <v>5.05306435E-2</v>
      </c>
    </row>
    <row r="1239" spans="1:20" ht="14.45" customHeight="1">
      <c r="A1239" s="77" t="s">
        <v>1089</v>
      </c>
      <c r="B1239" s="68"/>
      <c r="C1239" s="68"/>
      <c r="D1239" s="179"/>
      <c r="E1239" s="179"/>
      <c r="F1239" s="68"/>
      <c r="G1239" s="179"/>
      <c r="H1239" s="179"/>
      <c r="I1239" s="179"/>
      <c r="J1239" s="179"/>
      <c r="K1239" s="179"/>
      <c r="L1239" s="68"/>
      <c r="M1239" s="179"/>
      <c r="N1239" s="179"/>
      <c r="O1239" s="68"/>
      <c r="P1239" s="68"/>
      <c r="T1239" s="88">
        <v>5.05306435E-2</v>
      </c>
    </row>
    <row r="1240" spans="1:20" ht="15.2" customHeight="1">
      <c r="A1240" s="206" t="s">
        <v>1801</v>
      </c>
      <c r="B1240" s="206"/>
      <c r="C1240" s="206"/>
      <c r="D1240" s="206"/>
      <c r="E1240" s="206"/>
      <c r="F1240" s="206"/>
      <c r="G1240" s="206"/>
      <c r="H1240" s="206"/>
      <c r="I1240" s="206"/>
      <c r="J1240" s="206"/>
      <c r="K1240" s="206"/>
      <c r="L1240" s="206"/>
      <c r="M1240" s="206"/>
      <c r="N1240" s="206"/>
      <c r="O1240" s="206"/>
      <c r="P1240" s="206"/>
      <c r="T1240" s="88">
        <v>5.05306435E-2</v>
      </c>
    </row>
    <row r="1241" spans="1:20" ht="14.45" customHeight="1">
      <c r="A1241" s="207"/>
      <c r="B1241" s="207"/>
      <c r="C1241" s="207"/>
      <c r="D1241" s="207"/>
      <c r="E1241" s="207"/>
      <c r="F1241" s="207"/>
      <c r="G1241" s="207"/>
      <c r="H1241" s="207"/>
      <c r="I1241" s="207"/>
      <c r="J1241" s="207"/>
      <c r="K1241" s="207"/>
      <c r="L1241" s="207"/>
      <c r="M1241" s="207"/>
      <c r="N1241" s="207"/>
      <c r="O1241" s="207"/>
      <c r="P1241" s="207"/>
      <c r="T1241" s="88">
        <v>5.05306435E-2</v>
      </c>
    </row>
    <row r="1242" spans="1:20" ht="15.75" customHeight="1">
      <c r="A1242" s="43" t="s">
        <v>1802</v>
      </c>
      <c r="B1242" s="44" t="s">
        <v>3</v>
      </c>
      <c r="C1242" s="43" t="s">
        <v>4</v>
      </c>
      <c r="D1242" s="208" t="s">
        <v>5</v>
      </c>
      <c r="E1242" s="209"/>
      <c r="F1242" s="43" t="s">
        <v>1049</v>
      </c>
      <c r="G1242" s="210"/>
      <c r="H1242" s="211"/>
      <c r="I1242" s="212"/>
      <c r="J1242" s="215" t="s">
        <v>6</v>
      </c>
      <c r="K1242" s="217"/>
      <c r="L1242" s="44" t="s">
        <v>7</v>
      </c>
      <c r="M1242" s="219" t="s">
        <v>8</v>
      </c>
      <c r="N1242" s="220"/>
      <c r="O1242" s="63"/>
      <c r="P1242" s="44" t="s">
        <v>11</v>
      </c>
      <c r="T1242" s="88">
        <v>5.05306435E-2</v>
      </c>
    </row>
    <row r="1243" spans="1:20" ht="14.45" customHeight="1">
      <c r="A1243" s="47" t="s">
        <v>1051</v>
      </c>
      <c r="B1243" s="48" t="s">
        <v>1803</v>
      </c>
      <c r="C1243" s="47" t="s">
        <v>1053</v>
      </c>
      <c r="D1243" s="190" t="s">
        <v>1804</v>
      </c>
      <c r="E1243" s="191"/>
      <c r="F1243" s="47" t="s">
        <v>1628</v>
      </c>
      <c r="G1243" s="192"/>
      <c r="H1243" s="193"/>
      <c r="I1243" s="194"/>
      <c r="J1243" s="195" t="s">
        <v>1107</v>
      </c>
      <c r="K1243" s="196"/>
      <c r="L1243" s="50">
        <v>1</v>
      </c>
      <c r="M1243" s="197">
        <v>41.2</v>
      </c>
      <c r="N1243" s="198"/>
      <c r="O1243" s="64">
        <f>M1243-(M1243*T1243)</f>
        <v>39.118137487800006</v>
      </c>
      <c r="P1243" s="64">
        <f>SUM(P1244:P1249)</f>
        <v>39.114719398116598</v>
      </c>
      <c r="T1243" s="88">
        <v>5.05306435E-2</v>
      </c>
    </row>
    <row r="1244" spans="1:20" ht="14.45" customHeight="1">
      <c r="A1244" s="52" t="s">
        <v>1057</v>
      </c>
      <c r="B1244" s="53">
        <v>88264</v>
      </c>
      <c r="C1244" s="52" t="s">
        <v>1058</v>
      </c>
      <c r="D1244" s="199" t="s">
        <v>1063</v>
      </c>
      <c r="E1244" s="200"/>
      <c r="F1244" s="52" t="s">
        <v>1158</v>
      </c>
      <c r="G1244" s="201"/>
      <c r="H1244" s="202"/>
      <c r="I1244" s="203"/>
      <c r="J1244" s="204" t="s">
        <v>1061</v>
      </c>
      <c r="K1244" s="205"/>
      <c r="L1244" s="55">
        <v>3.5999999999999997E-2</v>
      </c>
      <c r="M1244" s="188">
        <v>27.27</v>
      </c>
      <c r="N1244" s="189"/>
      <c r="O1244" s="56">
        <f>M1244-(M1244*T1244)</f>
        <v>25.892029351754999</v>
      </c>
      <c r="P1244" s="57">
        <f t="shared" ref="P1244:P1246" si="234">O1244*L1244</f>
        <v>0.9321130566631799</v>
      </c>
      <c r="T1244" s="88">
        <v>5.05306435E-2</v>
      </c>
    </row>
    <row r="1245" spans="1:20" ht="14.45" customHeight="1">
      <c r="A1245" s="52" t="s">
        <v>1057</v>
      </c>
      <c r="B1245" s="53">
        <v>88247</v>
      </c>
      <c r="C1245" s="52" t="s">
        <v>1058</v>
      </c>
      <c r="D1245" s="199" t="s">
        <v>1062</v>
      </c>
      <c r="E1245" s="200"/>
      <c r="F1245" s="52" t="s">
        <v>1158</v>
      </c>
      <c r="G1245" s="201"/>
      <c r="H1245" s="202"/>
      <c r="I1245" s="203"/>
      <c r="J1245" s="204" t="s">
        <v>1061</v>
      </c>
      <c r="K1245" s="205"/>
      <c r="L1245" s="55">
        <v>3.5999999999999997E-2</v>
      </c>
      <c r="M1245" s="188">
        <v>22.63</v>
      </c>
      <c r="N1245" s="189"/>
      <c r="O1245" s="56">
        <f t="shared" ref="O1245:O1246" si="235">M1245-(M1245*T1245)</f>
        <v>21.486491537595001</v>
      </c>
      <c r="P1245" s="57">
        <f t="shared" si="234"/>
        <v>0.77351369535341996</v>
      </c>
      <c r="T1245" s="88">
        <v>5.05306435E-2</v>
      </c>
    </row>
    <row r="1246" spans="1:20" ht="14.45" customHeight="1">
      <c r="A1246" s="58" t="s">
        <v>1064</v>
      </c>
      <c r="B1246" s="62">
        <v>12620</v>
      </c>
      <c r="C1246" s="58" t="s">
        <v>1150</v>
      </c>
      <c r="D1246" s="181" t="s">
        <v>1805</v>
      </c>
      <c r="E1246" s="182"/>
      <c r="F1246" s="58" t="s">
        <v>1068</v>
      </c>
      <c r="G1246" s="183"/>
      <c r="H1246" s="184"/>
      <c r="I1246" s="185"/>
      <c r="J1246" s="186" t="s">
        <v>1107</v>
      </c>
      <c r="K1246" s="187"/>
      <c r="L1246" s="60">
        <v>1</v>
      </c>
      <c r="M1246" s="188">
        <v>39.4</v>
      </c>
      <c r="N1246" s="189"/>
      <c r="O1246" s="56">
        <f t="shared" si="235"/>
        <v>37.4090926461</v>
      </c>
      <c r="P1246" s="57">
        <f t="shared" si="234"/>
        <v>37.4090926461</v>
      </c>
      <c r="T1246" s="88">
        <v>5.05306435E-2</v>
      </c>
    </row>
    <row r="1247" spans="1:20" ht="14.25" customHeight="1">
      <c r="A1247" s="174" t="s">
        <v>1070</v>
      </c>
      <c r="B1247" s="174"/>
      <c r="C1247" s="174"/>
      <c r="D1247" s="174"/>
      <c r="E1247" s="174"/>
      <c r="F1247" s="174"/>
      <c r="G1247" s="174"/>
      <c r="H1247" s="175" t="s">
        <v>1071</v>
      </c>
      <c r="I1247" s="175"/>
      <c r="J1247" s="175"/>
      <c r="K1247" s="175"/>
      <c r="L1247" s="176">
        <v>0</v>
      </c>
      <c r="M1247" s="176"/>
      <c r="N1247" s="177" t="s">
        <v>1072</v>
      </c>
      <c r="O1247" s="177"/>
      <c r="P1247" s="177"/>
      <c r="T1247" s="88">
        <v>5.05306435E-2</v>
      </c>
    </row>
    <row r="1248" spans="1:20" ht="14.25" customHeight="1">
      <c r="A1248" s="178" t="s">
        <v>1073</v>
      </c>
      <c r="B1248" s="178"/>
      <c r="C1248" s="178"/>
      <c r="D1248" s="178"/>
      <c r="E1248" s="178"/>
      <c r="F1248" s="178"/>
      <c r="G1248" s="178"/>
      <c r="H1248" s="179"/>
      <c r="I1248" s="179"/>
      <c r="J1248" s="179"/>
      <c r="K1248" s="179"/>
      <c r="L1248" s="180" t="s">
        <v>1074</v>
      </c>
      <c r="M1248" s="180"/>
      <c r="N1248" s="179"/>
      <c r="O1248" s="179"/>
      <c r="P1248" s="179"/>
      <c r="T1248" s="88">
        <v>5.05306435E-2</v>
      </c>
    </row>
    <row r="1249" spans="1:20" ht="28.5" customHeight="1">
      <c r="A1249" s="172" t="s">
        <v>1806</v>
      </c>
      <c r="B1249" s="172"/>
      <c r="C1249" s="172"/>
      <c r="D1249" s="172"/>
      <c r="E1249" s="172"/>
      <c r="F1249" s="172"/>
      <c r="G1249" s="172"/>
      <c r="H1249" s="172"/>
      <c r="I1249" s="172"/>
      <c r="J1249" s="172"/>
      <c r="K1249" s="172"/>
      <c r="L1249" s="172"/>
      <c r="M1249" s="172"/>
      <c r="N1249" s="172"/>
      <c r="O1249" s="172"/>
      <c r="P1249" s="172"/>
      <c r="Q1249" s="172"/>
      <c r="T1249" s="88">
        <v>5.05306435E-2</v>
      </c>
    </row>
    <row r="1250" spans="1:20" ht="14.45" customHeight="1">
      <c r="A1250" s="207"/>
      <c r="B1250" s="207"/>
      <c r="C1250" s="207"/>
      <c r="D1250" s="207"/>
      <c r="E1250" s="207"/>
      <c r="F1250" s="207"/>
      <c r="G1250" s="207"/>
      <c r="H1250" s="207"/>
      <c r="I1250" s="207"/>
      <c r="J1250" s="207"/>
      <c r="K1250" s="207"/>
      <c r="L1250" s="207"/>
      <c r="M1250" s="207"/>
      <c r="N1250" s="207"/>
      <c r="O1250" s="207"/>
      <c r="P1250" s="207"/>
      <c r="Q1250" s="81"/>
      <c r="T1250" s="88">
        <v>5.05306435E-2</v>
      </c>
    </row>
    <row r="1251" spans="1:20" ht="15.75" customHeight="1">
      <c r="A1251" s="71">
        <v>40253</v>
      </c>
      <c r="B1251" s="44" t="s">
        <v>3</v>
      </c>
      <c r="C1251" s="43" t="s">
        <v>4</v>
      </c>
      <c r="D1251" s="208" t="s">
        <v>5</v>
      </c>
      <c r="E1251" s="209"/>
      <c r="F1251" s="43" t="s">
        <v>1049</v>
      </c>
      <c r="G1251" s="210"/>
      <c r="H1251" s="211"/>
      <c r="I1251" s="212"/>
      <c r="J1251" s="213" t="s">
        <v>6</v>
      </c>
      <c r="K1251" s="214"/>
      <c r="L1251" s="44" t="s">
        <v>7</v>
      </c>
      <c r="M1251" s="219" t="s">
        <v>8</v>
      </c>
      <c r="N1251" s="220"/>
      <c r="O1251" s="63"/>
      <c r="P1251" s="44" t="s">
        <v>11</v>
      </c>
      <c r="Q1251" s="81"/>
      <c r="T1251" s="88">
        <v>5.05306435E-2</v>
      </c>
    </row>
    <row r="1252" spans="1:20" ht="14.45" customHeight="1">
      <c r="A1252" s="47" t="s">
        <v>1051</v>
      </c>
      <c r="B1252" s="48" t="s">
        <v>1807</v>
      </c>
      <c r="C1252" s="47" t="s">
        <v>1053</v>
      </c>
      <c r="D1252" s="190" t="s">
        <v>1808</v>
      </c>
      <c r="E1252" s="191"/>
      <c r="F1252" s="47" t="s">
        <v>1628</v>
      </c>
      <c r="G1252" s="192"/>
      <c r="H1252" s="193"/>
      <c r="I1252" s="194"/>
      <c r="J1252" s="195" t="s">
        <v>1107</v>
      </c>
      <c r="K1252" s="196"/>
      <c r="L1252" s="50">
        <v>1</v>
      </c>
      <c r="M1252" s="197">
        <v>63.62</v>
      </c>
      <c r="N1252" s="198"/>
      <c r="O1252" s="64">
        <f>M1252-(M1252*T1252)</f>
        <v>60.405240460529996</v>
      </c>
      <c r="P1252" s="64">
        <f>SUM(P1253:P1258)</f>
        <v>60.401822370846602</v>
      </c>
      <c r="Q1252" s="81"/>
      <c r="T1252" s="88">
        <v>5.05306435E-2</v>
      </c>
    </row>
    <row r="1253" spans="1:20" ht="14.45" customHeight="1">
      <c r="A1253" s="52" t="s">
        <v>1057</v>
      </c>
      <c r="B1253" s="53">
        <v>88264</v>
      </c>
      <c r="C1253" s="52" t="s">
        <v>1058</v>
      </c>
      <c r="D1253" s="199" t="s">
        <v>1063</v>
      </c>
      <c r="E1253" s="200"/>
      <c r="F1253" s="52" t="s">
        <v>1158</v>
      </c>
      <c r="G1253" s="201"/>
      <c r="H1253" s="202"/>
      <c r="I1253" s="203"/>
      <c r="J1253" s="204" t="s">
        <v>1061</v>
      </c>
      <c r="K1253" s="205"/>
      <c r="L1253" s="55">
        <v>3.5999999999999997E-2</v>
      </c>
      <c r="M1253" s="188">
        <v>27.27</v>
      </c>
      <c r="N1253" s="189"/>
      <c r="O1253" s="56">
        <f>M1253-(M1253*T1253)</f>
        <v>25.892029351754999</v>
      </c>
      <c r="P1253" s="57">
        <f t="shared" ref="P1253:P1255" si="236">O1253*L1253</f>
        <v>0.9321130566631799</v>
      </c>
      <c r="Q1253" s="81"/>
      <c r="T1253" s="88">
        <v>5.05306435E-2</v>
      </c>
    </row>
    <row r="1254" spans="1:20" ht="14.45" customHeight="1">
      <c r="A1254" s="52" t="s">
        <v>1057</v>
      </c>
      <c r="B1254" s="53">
        <v>88247</v>
      </c>
      <c r="C1254" s="52" t="s">
        <v>1058</v>
      </c>
      <c r="D1254" s="199" t="s">
        <v>1062</v>
      </c>
      <c r="E1254" s="200"/>
      <c r="F1254" s="52" t="s">
        <v>1158</v>
      </c>
      <c r="G1254" s="201"/>
      <c r="H1254" s="202"/>
      <c r="I1254" s="203"/>
      <c r="J1254" s="204" t="s">
        <v>1061</v>
      </c>
      <c r="K1254" s="205"/>
      <c r="L1254" s="55">
        <v>3.5999999999999997E-2</v>
      </c>
      <c r="M1254" s="188">
        <v>22.63</v>
      </c>
      <c r="N1254" s="189"/>
      <c r="O1254" s="56">
        <f t="shared" ref="O1254:O1255" si="237">M1254-(M1254*T1254)</f>
        <v>21.486491537595001</v>
      </c>
      <c r="P1254" s="57">
        <f t="shared" si="236"/>
        <v>0.77351369535341996</v>
      </c>
      <c r="Q1254" s="81"/>
      <c r="T1254" s="88">
        <v>5.05306435E-2</v>
      </c>
    </row>
    <row r="1255" spans="1:20" ht="14.45" customHeight="1">
      <c r="A1255" s="58" t="s">
        <v>1064</v>
      </c>
      <c r="B1255" s="62">
        <v>867</v>
      </c>
      <c r="C1255" s="58" t="s">
        <v>1058</v>
      </c>
      <c r="D1255" s="181" t="s">
        <v>1809</v>
      </c>
      <c r="E1255" s="182"/>
      <c r="F1255" s="58" t="s">
        <v>1068</v>
      </c>
      <c r="G1255" s="183"/>
      <c r="H1255" s="184"/>
      <c r="I1255" s="185"/>
      <c r="J1255" s="186" t="s">
        <v>1107</v>
      </c>
      <c r="K1255" s="187"/>
      <c r="L1255" s="60">
        <v>1</v>
      </c>
      <c r="M1255" s="188">
        <v>61.82</v>
      </c>
      <c r="N1255" s="189"/>
      <c r="O1255" s="56">
        <f t="shared" si="237"/>
        <v>58.696195618830004</v>
      </c>
      <c r="P1255" s="57">
        <f t="shared" si="236"/>
        <v>58.696195618830004</v>
      </c>
      <c r="Q1255" s="81"/>
      <c r="T1255" s="88">
        <v>5.05306435E-2</v>
      </c>
    </row>
    <row r="1256" spans="1:20" ht="14.25" customHeight="1">
      <c r="A1256" s="73"/>
      <c r="B1256" s="73"/>
      <c r="C1256" s="73"/>
      <c r="D1256" s="218"/>
      <c r="E1256" s="218"/>
      <c r="F1256" s="74" t="s">
        <v>1070</v>
      </c>
      <c r="G1256" s="218"/>
      <c r="H1256" s="218"/>
      <c r="I1256" s="218"/>
      <c r="J1256" s="175" t="s">
        <v>1071</v>
      </c>
      <c r="K1256" s="175"/>
      <c r="L1256" s="75">
        <v>0</v>
      </c>
      <c r="M1256" s="175" t="s">
        <v>1072</v>
      </c>
      <c r="N1256" s="175"/>
      <c r="O1256" s="74"/>
      <c r="P1256" s="73"/>
      <c r="Q1256" s="68"/>
      <c r="T1256" s="88">
        <v>5.05306435E-2</v>
      </c>
    </row>
    <row r="1257" spans="1:20" ht="14.85" customHeight="1">
      <c r="A1257" s="68"/>
      <c r="B1257" s="68"/>
      <c r="C1257" s="68"/>
      <c r="D1257" s="179"/>
      <c r="E1257" s="179"/>
      <c r="F1257" s="76" t="s">
        <v>1073</v>
      </c>
      <c r="G1257" s="179"/>
      <c r="H1257" s="179"/>
      <c r="I1257" s="179"/>
      <c r="J1257" s="179"/>
      <c r="K1257" s="179"/>
      <c r="L1257" s="70" t="s">
        <v>1074</v>
      </c>
      <c r="M1257" s="179"/>
      <c r="N1257" s="179"/>
      <c r="O1257" s="68"/>
      <c r="P1257" s="68"/>
      <c r="Q1257" s="68"/>
      <c r="T1257" s="88">
        <v>5.05306435E-2</v>
      </c>
    </row>
    <row r="1258" spans="1:20" ht="14.45" customHeight="1">
      <c r="A1258" s="77" t="s">
        <v>1089</v>
      </c>
      <c r="B1258" s="68"/>
      <c r="C1258" s="68"/>
      <c r="D1258" s="179"/>
      <c r="E1258" s="179"/>
      <c r="F1258" s="68"/>
      <c r="G1258" s="179"/>
      <c r="H1258" s="179"/>
      <c r="I1258" s="179"/>
      <c r="J1258" s="179"/>
      <c r="K1258" s="179"/>
      <c r="L1258" s="68"/>
      <c r="M1258" s="179"/>
      <c r="N1258" s="179"/>
      <c r="O1258" s="68"/>
      <c r="P1258" s="68"/>
      <c r="Q1258" s="68"/>
      <c r="T1258" s="88">
        <v>5.05306435E-2</v>
      </c>
    </row>
    <row r="1259" spans="1:20" ht="15.2" customHeight="1">
      <c r="A1259" s="206" t="s">
        <v>1810</v>
      </c>
      <c r="B1259" s="206"/>
      <c r="C1259" s="206"/>
      <c r="D1259" s="206"/>
      <c r="E1259" s="206"/>
      <c r="F1259" s="206"/>
      <c r="G1259" s="206"/>
      <c r="H1259" s="206"/>
      <c r="I1259" s="206"/>
      <c r="J1259" s="206"/>
      <c r="K1259" s="206"/>
      <c r="L1259" s="206"/>
      <c r="M1259" s="206"/>
      <c r="N1259" s="206"/>
      <c r="O1259" s="206"/>
      <c r="P1259" s="206"/>
      <c r="T1259" s="88">
        <v>5.05306435E-2</v>
      </c>
    </row>
    <row r="1260" spans="1:20" ht="14.45" customHeight="1">
      <c r="A1260" s="207"/>
      <c r="B1260" s="207"/>
      <c r="C1260" s="207"/>
      <c r="D1260" s="207"/>
      <c r="E1260" s="207"/>
      <c r="F1260" s="207"/>
      <c r="G1260" s="207"/>
      <c r="H1260" s="207"/>
      <c r="I1260" s="207"/>
      <c r="J1260" s="207"/>
      <c r="K1260" s="207"/>
      <c r="L1260" s="207"/>
      <c r="M1260" s="207"/>
      <c r="N1260" s="207"/>
      <c r="O1260" s="207"/>
      <c r="P1260" s="207"/>
      <c r="Q1260" s="81"/>
      <c r="T1260" s="88">
        <v>5.05306435E-2</v>
      </c>
    </row>
    <row r="1261" spans="1:20" ht="15.75" customHeight="1">
      <c r="A1261" s="43" t="s">
        <v>1811</v>
      </c>
      <c r="B1261" s="44" t="s">
        <v>3</v>
      </c>
      <c r="C1261" s="43" t="s">
        <v>4</v>
      </c>
      <c r="D1261" s="208" t="s">
        <v>5</v>
      </c>
      <c r="E1261" s="209"/>
      <c r="F1261" s="43" t="s">
        <v>1049</v>
      </c>
      <c r="G1261" s="210"/>
      <c r="H1261" s="211"/>
      <c r="I1261" s="212"/>
      <c r="J1261" s="213" t="s">
        <v>6</v>
      </c>
      <c r="K1261" s="214"/>
      <c r="L1261" s="44" t="s">
        <v>7</v>
      </c>
      <c r="M1261" s="219" t="s">
        <v>8</v>
      </c>
      <c r="N1261" s="220"/>
      <c r="O1261" s="63"/>
      <c r="P1261" s="44" t="s">
        <v>11</v>
      </c>
      <c r="Q1261" s="81"/>
      <c r="T1261" s="88">
        <v>5.05306435E-2</v>
      </c>
    </row>
    <row r="1262" spans="1:20" ht="14.45" customHeight="1">
      <c r="A1262" s="47" t="s">
        <v>1051</v>
      </c>
      <c r="B1262" s="48" t="s">
        <v>1812</v>
      </c>
      <c r="C1262" s="47" t="s">
        <v>1053</v>
      </c>
      <c r="D1262" s="190" t="s">
        <v>1813</v>
      </c>
      <c r="E1262" s="191"/>
      <c r="F1262" s="47" t="s">
        <v>1628</v>
      </c>
      <c r="G1262" s="192"/>
      <c r="H1262" s="193"/>
      <c r="I1262" s="194"/>
      <c r="J1262" s="195" t="s">
        <v>1107</v>
      </c>
      <c r="K1262" s="196"/>
      <c r="L1262" s="50">
        <v>1</v>
      </c>
      <c r="M1262" s="197">
        <v>16.36</v>
      </c>
      <c r="N1262" s="198"/>
      <c r="O1262" s="64">
        <f>M1262-(M1262*T1262)</f>
        <v>15.53331867234</v>
      </c>
      <c r="P1262" s="64">
        <f>SUM(P1263:P1268)</f>
        <v>15.534173194760852</v>
      </c>
      <c r="Q1262" s="81"/>
      <c r="T1262" s="88">
        <v>5.05306435E-2</v>
      </c>
    </row>
    <row r="1263" spans="1:20" ht="14.45" customHeight="1">
      <c r="A1263" s="52" t="s">
        <v>1057</v>
      </c>
      <c r="B1263" s="53">
        <v>88316</v>
      </c>
      <c r="C1263" s="52" t="s">
        <v>1058</v>
      </c>
      <c r="D1263" s="199" t="s">
        <v>1059</v>
      </c>
      <c r="E1263" s="200"/>
      <c r="F1263" s="52" t="s">
        <v>1158</v>
      </c>
      <c r="G1263" s="201"/>
      <c r="H1263" s="202"/>
      <c r="I1263" s="203"/>
      <c r="J1263" s="204" t="s">
        <v>1061</v>
      </c>
      <c r="K1263" s="205"/>
      <c r="L1263" s="55">
        <v>0.11</v>
      </c>
      <c r="M1263" s="188">
        <v>21.32</v>
      </c>
      <c r="N1263" s="189"/>
      <c r="O1263" s="56">
        <f>M1263-(M1263*T1263)</f>
        <v>20.24268668058</v>
      </c>
      <c r="P1263" s="57">
        <f t="shared" ref="P1263:P1265" si="238">O1263*L1263</f>
        <v>2.2266955348638002</v>
      </c>
      <c r="Q1263" s="81"/>
      <c r="T1263" s="88">
        <v>5.05306435E-2</v>
      </c>
    </row>
    <row r="1264" spans="1:20" ht="14.45" customHeight="1">
      <c r="A1264" s="52" t="s">
        <v>1057</v>
      </c>
      <c r="B1264" s="53">
        <v>88264</v>
      </c>
      <c r="C1264" s="52" t="s">
        <v>1058</v>
      </c>
      <c r="D1264" s="199" t="s">
        <v>1063</v>
      </c>
      <c r="E1264" s="200"/>
      <c r="F1264" s="52" t="s">
        <v>1158</v>
      </c>
      <c r="G1264" s="201"/>
      <c r="H1264" s="202"/>
      <c r="I1264" s="203"/>
      <c r="J1264" s="204" t="s">
        <v>1061</v>
      </c>
      <c r="K1264" s="205"/>
      <c r="L1264" s="55">
        <v>0.11</v>
      </c>
      <c r="M1264" s="188">
        <v>27.27</v>
      </c>
      <c r="N1264" s="189"/>
      <c r="O1264" s="56">
        <f t="shared" ref="O1264:O1265" si="239">M1264-(M1264*T1264)</f>
        <v>25.892029351754999</v>
      </c>
      <c r="P1264" s="57">
        <f t="shared" si="238"/>
        <v>2.84812322869305</v>
      </c>
      <c r="Q1264" s="81"/>
      <c r="T1264" s="88">
        <v>5.05306435E-2</v>
      </c>
    </row>
    <row r="1265" spans="1:20" ht="14.45" customHeight="1">
      <c r="A1265" s="58" t="s">
        <v>1064</v>
      </c>
      <c r="B1265" s="62">
        <v>3162</v>
      </c>
      <c r="C1265" s="58" t="s">
        <v>1180</v>
      </c>
      <c r="D1265" s="181" t="s">
        <v>1814</v>
      </c>
      <c r="E1265" s="182"/>
      <c r="F1265" s="58" t="s">
        <v>1068</v>
      </c>
      <c r="G1265" s="183"/>
      <c r="H1265" s="184"/>
      <c r="I1265" s="185"/>
      <c r="J1265" s="186" t="s">
        <v>1327</v>
      </c>
      <c r="K1265" s="187"/>
      <c r="L1265" s="60">
        <v>1.02</v>
      </c>
      <c r="M1265" s="188">
        <v>10.8</v>
      </c>
      <c r="N1265" s="189"/>
      <c r="O1265" s="56">
        <f t="shared" si="239"/>
        <v>10.254269050200001</v>
      </c>
      <c r="P1265" s="57">
        <f t="shared" si="238"/>
        <v>10.459354431204002</v>
      </c>
      <c r="Q1265" s="81"/>
      <c r="T1265" s="88">
        <v>5.05306435E-2</v>
      </c>
    </row>
    <row r="1266" spans="1:20" ht="14.25" customHeight="1">
      <c r="A1266" s="174" t="s">
        <v>1070</v>
      </c>
      <c r="B1266" s="174"/>
      <c r="C1266" s="174"/>
      <c r="D1266" s="174"/>
      <c r="E1266" s="174"/>
      <c r="F1266" s="174"/>
      <c r="G1266" s="174"/>
      <c r="H1266" s="175" t="s">
        <v>1071</v>
      </c>
      <c r="I1266" s="175"/>
      <c r="J1266" s="175"/>
      <c r="K1266" s="175"/>
      <c r="L1266" s="176">
        <v>0</v>
      </c>
      <c r="M1266" s="176"/>
      <c r="N1266" s="177" t="s">
        <v>1072</v>
      </c>
      <c r="O1266" s="177"/>
      <c r="P1266" s="177"/>
      <c r="T1266" s="88">
        <v>5.05306435E-2</v>
      </c>
    </row>
    <row r="1267" spans="1:20" ht="14.25" customHeight="1">
      <c r="A1267" s="178" t="s">
        <v>1073</v>
      </c>
      <c r="B1267" s="178"/>
      <c r="C1267" s="178"/>
      <c r="D1267" s="178"/>
      <c r="E1267" s="178"/>
      <c r="F1267" s="178"/>
      <c r="G1267" s="178"/>
      <c r="H1267" s="179"/>
      <c r="I1267" s="179"/>
      <c r="J1267" s="179"/>
      <c r="K1267" s="179"/>
      <c r="L1267" s="180" t="s">
        <v>1074</v>
      </c>
      <c r="M1267" s="180"/>
      <c r="N1267" s="179"/>
      <c r="O1267" s="179"/>
      <c r="P1267" s="179"/>
      <c r="T1267" s="88">
        <v>5.05306435E-2</v>
      </c>
    </row>
    <row r="1268" spans="1:20" ht="28.5" customHeight="1">
      <c r="A1268" s="172" t="s">
        <v>1815</v>
      </c>
      <c r="B1268" s="172"/>
      <c r="C1268" s="172"/>
      <c r="D1268" s="172"/>
      <c r="E1268" s="172"/>
      <c r="F1268" s="172"/>
      <c r="G1268" s="172"/>
      <c r="H1268" s="172"/>
      <c r="I1268" s="172"/>
      <c r="J1268" s="172"/>
      <c r="K1268" s="172"/>
      <c r="L1268" s="172"/>
      <c r="M1268" s="172"/>
      <c r="N1268" s="172"/>
      <c r="O1268" s="172"/>
      <c r="P1268" s="172"/>
      <c r="Q1268" s="172"/>
      <c r="T1268" s="88">
        <v>5.05306435E-2</v>
      </c>
    </row>
    <row r="1269" spans="1:20" ht="14.45" customHeight="1">
      <c r="A1269" s="207"/>
      <c r="B1269" s="207"/>
      <c r="C1269" s="207"/>
      <c r="D1269" s="207"/>
      <c r="E1269" s="207"/>
      <c r="F1269" s="207"/>
      <c r="G1269" s="207"/>
      <c r="H1269" s="207"/>
      <c r="I1269" s="207"/>
      <c r="J1269" s="207"/>
      <c r="K1269" s="207"/>
      <c r="L1269" s="207"/>
      <c r="M1269" s="207"/>
      <c r="N1269" s="207"/>
      <c r="O1269" s="207"/>
      <c r="P1269" s="207"/>
      <c r="Q1269" s="81"/>
      <c r="T1269" s="88">
        <v>5.05306435E-2</v>
      </c>
    </row>
    <row r="1270" spans="1:20" ht="15.75" customHeight="1">
      <c r="A1270" s="43" t="s">
        <v>1816</v>
      </c>
      <c r="B1270" s="44" t="s">
        <v>3</v>
      </c>
      <c r="C1270" s="43" t="s">
        <v>4</v>
      </c>
      <c r="D1270" s="208" t="s">
        <v>5</v>
      </c>
      <c r="E1270" s="209"/>
      <c r="F1270" s="43" t="s">
        <v>1049</v>
      </c>
      <c r="G1270" s="210"/>
      <c r="H1270" s="211"/>
      <c r="I1270" s="212"/>
      <c r="J1270" s="213" t="s">
        <v>6</v>
      </c>
      <c r="K1270" s="214"/>
      <c r="L1270" s="44" t="s">
        <v>7</v>
      </c>
      <c r="M1270" s="219" t="s">
        <v>8</v>
      </c>
      <c r="N1270" s="220"/>
      <c r="O1270" s="63"/>
      <c r="P1270" s="44" t="s">
        <v>11</v>
      </c>
      <c r="Q1270" s="81"/>
      <c r="T1270" s="88">
        <v>5.05306435E-2</v>
      </c>
    </row>
    <row r="1271" spans="1:20" ht="14.45" customHeight="1">
      <c r="A1271" s="47" t="s">
        <v>1051</v>
      </c>
      <c r="B1271" s="48" t="s">
        <v>1817</v>
      </c>
      <c r="C1271" s="47" t="s">
        <v>1053</v>
      </c>
      <c r="D1271" s="190" t="s">
        <v>1818</v>
      </c>
      <c r="E1271" s="191"/>
      <c r="F1271" s="47" t="s">
        <v>1628</v>
      </c>
      <c r="G1271" s="192"/>
      <c r="H1271" s="193"/>
      <c r="I1271" s="194"/>
      <c r="J1271" s="223" t="s">
        <v>1085</v>
      </c>
      <c r="K1271" s="224"/>
      <c r="L1271" s="50">
        <v>1</v>
      </c>
      <c r="M1271" s="197">
        <v>211.79</v>
      </c>
      <c r="N1271" s="198"/>
      <c r="O1271" s="64">
        <f>M1271-(M1271*T1271)</f>
        <v>201.088115013135</v>
      </c>
      <c r="P1271" s="64">
        <f>SUM(P1272:P1277)</f>
        <v>201.08420319938625</v>
      </c>
      <c r="Q1271" s="81"/>
      <c r="T1271" s="88">
        <v>5.05306435E-2</v>
      </c>
    </row>
    <row r="1272" spans="1:20" ht="14.45" customHeight="1">
      <c r="A1272" s="52" t="s">
        <v>1057</v>
      </c>
      <c r="B1272" s="53">
        <v>88261</v>
      </c>
      <c r="C1272" s="52" t="s">
        <v>1058</v>
      </c>
      <c r="D1272" s="199" t="s">
        <v>1132</v>
      </c>
      <c r="E1272" s="200"/>
      <c r="F1272" s="52" t="s">
        <v>1158</v>
      </c>
      <c r="G1272" s="201"/>
      <c r="H1272" s="202"/>
      <c r="I1272" s="203"/>
      <c r="J1272" s="204" t="s">
        <v>1061</v>
      </c>
      <c r="K1272" s="205"/>
      <c r="L1272" s="55">
        <v>1.556</v>
      </c>
      <c r="M1272" s="188">
        <v>25.53</v>
      </c>
      <c r="N1272" s="189"/>
      <c r="O1272" s="56">
        <f>M1272-(M1272*T1272)</f>
        <v>24.239952671445</v>
      </c>
      <c r="P1272" s="57">
        <f t="shared" ref="P1272:P1276" si="240">O1272*L1272</f>
        <v>37.717366356768423</v>
      </c>
      <c r="Q1272" s="81"/>
      <c r="T1272" s="88">
        <v>5.05306435E-2</v>
      </c>
    </row>
    <row r="1273" spans="1:20" ht="14.45" customHeight="1">
      <c r="A1273" s="52" t="s">
        <v>1057</v>
      </c>
      <c r="B1273" s="53">
        <v>88239</v>
      </c>
      <c r="C1273" s="52" t="s">
        <v>1058</v>
      </c>
      <c r="D1273" s="199" t="s">
        <v>1104</v>
      </c>
      <c r="E1273" s="200"/>
      <c r="F1273" s="52" t="s">
        <v>1158</v>
      </c>
      <c r="G1273" s="201"/>
      <c r="H1273" s="202"/>
      <c r="I1273" s="203"/>
      <c r="J1273" s="204" t="s">
        <v>1061</v>
      </c>
      <c r="K1273" s="205"/>
      <c r="L1273" s="55">
        <v>1.3149999999999999</v>
      </c>
      <c r="M1273" s="188">
        <v>22</v>
      </c>
      <c r="N1273" s="189"/>
      <c r="O1273" s="56">
        <f t="shared" ref="O1273:O1276" si="241">M1273-(M1273*T1273)</f>
        <v>20.888325843000001</v>
      </c>
      <c r="P1273" s="57">
        <f t="shared" si="240"/>
        <v>27.468148483545001</v>
      </c>
      <c r="Q1273" s="81"/>
      <c r="T1273" s="88">
        <v>5.05306435E-2</v>
      </c>
    </row>
    <row r="1274" spans="1:20" ht="14.45" customHeight="1">
      <c r="A1274" s="58" t="s">
        <v>1064</v>
      </c>
      <c r="B1274" s="62">
        <v>6178</v>
      </c>
      <c r="C1274" s="58" t="s">
        <v>1058</v>
      </c>
      <c r="D1274" s="181" t="s">
        <v>1819</v>
      </c>
      <c r="E1274" s="182"/>
      <c r="F1274" s="58" t="s">
        <v>1068</v>
      </c>
      <c r="G1274" s="183"/>
      <c r="H1274" s="184"/>
      <c r="I1274" s="185"/>
      <c r="J1274" s="186" t="s">
        <v>1115</v>
      </c>
      <c r="K1274" s="187"/>
      <c r="L1274" s="60">
        <v>1.46</v>
      </c>
      <c r="M1274" s="188">
        <v>0</v>
      </c>
      <c r="N1274" s="189"/>
      <c r="O1274" s="56">
        <f t="shared" si="241"/>
        <v>0</v>
      </c>
      <c r="P1274" s="57">
        <f t="shared" si="240"/>
        <v>0</v>
      </c>
      <c r="Q1274" s="81"/>
      <c r="T1274" s="88">
        <v>5.05306435E-2</v>
      </c>
    </row>
    <row r="1275" spans="1:20" ht="14.45" customHeight="1">
      <c r="A1275" s="58" t="s">
        <v>1064</v>
      </c>
      <c r="B1275" s="62">
        <v>1349</v>
      </c>
      <c r="C1275" s="58" t="s">
        <v>1150</v>
      </c>
      <c r="D1275" s="181" t="s">
        <v>1297</v>
      </c>
      <c r="E1275" s="182"/>
      <c r="F1275" s="58" t="s">
        <v>1068</v>
      </c>
      <c r="G1275" s="183"/>
      <c r="H1275" s="184"/>
      <c r="I1275" s="185"/>
      <c r="J1275" s="186" t="s">
        <v>1107</v>
      </c>
      <c r="K1275" s="187"/>
      <c r="L1275" s="60">
        <v>3.16</v>
      </c>
      <c r="M1275" s="221">
        <v>44.82</v>
      </c>
      <c r="N1275" s="222"/>
      <c r="O1275" s="56">
        <f t="shared" si="241"/>
        <v>42.555216558330002</v>
      </c>
      <c r="P1275" s="57">
        <f t="shared" si="240"/>
        <v>134.47448432432282</v>
      </c>
      <c r="Q1275" s="81"/>
      <c r="T1275" s="88">
        <v>5.05306435E-2</v>
      </c>
    </row>
    <row r="1276" spans="1:20" ht="14.45" customHeight="1">
      <c r="A1276" s="58" t="s">
        <v>1064</v>
      </c>
      <c r="B1276" s="62">
        <v>1450</v>
      </c>
      <c r="C1276" s="58" t="s">
        <v>1150</v>
      </c>
      <c r="D1276" s="181" t="s">
        <v>1295</v>
      </c>
      <c r="E1276" s="182"/>
      <c r="F1276" s="58" t="s">
        <v>1068</v>
      </c>
      <c r="G1276" s="183"/>
      <c r="H1276" s="184"/>
      <c r="I1276" s="185"/>
      <c r="J1276" s="240" t="s">
        <v>1109</v>
      </c>
      <c r="K1276" s="241"/>
      <c r="L1276" s="60">
        <v>0.06</v>
      </c>
      <c r="M1276" s="221">
        <v>25</v>
      </c>
      <c r="N1276" s="222"/>
      <c r="O1276" s="56">
        <f t="shared" si="241"/>
        <v>23.7367339125</v>
      </c>
      <c r="P1276" s="57">
        <f t="shared" si="240"/>
        <v>1.42420403475</v>
      </c>
      <c r="Q1276" s="81"/>
      <c r="T1276" s="88">
        <v>5.05306435E-2</v>
      </c>
    </row>
    <row r="1277" spans="1:20" ht="14.25" customHeight="1">
      <c r="A1277" s="73"/>
      <c r="B1277" s="73"/>
      <c r="C1277" s="73"/>
      <c r="D1277" s="218"/>
      <c r="E1277" s="218"/>
      <c r="F1277" s="74" t="s">
        <v>1070</v>
      </c>
      <c r="G1277" s="218"/>
      <c r="H1277" s="218"/>
      <c r="I1277" s="218"/>
      <c r="J1277" s="175" t="s">
        <v>1071</v>
      </c>
      <c r="K1277" s="175"/>
      <c r="L1277" s="75">
        <v>0</v>
      </c>
      <c r="M1277" s="175" t="s">
        <v>1072</v>
      </c>
      <c r="N1277" s="175"/>
      <c r="O1277" s="56"/>
      <c r="P1277" s="57"/>
      <c r="Q1277" s="68"/>
      <c r="T1277" s="88">
        <v>5.05306435E-2</v>
      </c>
    </row>
    <row r="1278" spans="1:20" ht="14.85" customHeight="1">
      <c r="A1278" s="68"/>
      <c r="B1278" s="68"/>
      <c r="C1278" s="68"/>
      <c r="D1278" s="179"/>
      <c r="E1278" s="179"/>
      <c r="F1278" s="76" t="s">
        <v>1073</v>
      </c>
      <c r="G1278" s="179"/>
      <c r="H1278" s="179"/>
      <c r="I1278" s="179"/>
      <c r="J1278" s="179"/>
      <c r="K1278" s="179"/>
      <c r="L1278" s="70" t="s">
        <v>1074</v>
      </c>
      <c r="M1278" s="179"/>
      <c r="N1278" s="179"/>
      <c r="O1278" s="68"/>
      <c r="P1278" s="68"/>
      <c r="Q1278" s="68"/>
      <c r="T1278" s="88">
        <v>5.05306435E-2</v>
      </c>
    </row>
    <row r="1279" spans="1:20" ht="14.45" customHeight="1">
      <c r="A1279" s="77" t="s">
        <v>1089</v>
      </c>
      <c r="B1279" s="68"/>
      <c r="C1279" s="68"/>
      <c r="D1279" s="179"/>
      <c r="E1279" s="179"/>
      <c r="F1279" s="68"/>
      <c r="G1279" s="179"/>
      <c r="H1279" s="179"/>
      <c r="I1279" s="179"/>
      <c r="J1279" s="179"/>
      <c r="K1279" s="179"/>
      <c r="L1279" s="68"/>
      <c r="M1279" s="179"/>
      <c r="N1279" s="179"/>
      <c r="O1279" s="68"/>
      <c r="P1279" s="68"/>
      <c r="Q1279" s="68"/>
      <c r="T1279" s="88">
        <v>5.05306435E-2</v>
      </c>
    </row>
    <row r="1280" spans="1:20" ht="15.2" customHeight="1">
      <c r="A1280" s="206" t="s">
        <v>1820</v>
      </c>
      <c r="B1280" s="206"/>
      <c r="C1280" s="206"/>
      <c r="D1280" s="206"/>
      <c r="E1280" s="206"/>
      <c r="F1280" s="206"/>
      <c r="G1280" s="206"/>
      <c r="H1280" s="206"/>
      <c r="I1280" s="206"/>
      <c r="J1280" s="206"/>
      <c r="K1280" s="206"/>
      <c r="L1280" s="206"/>
      <c r="M1280" s="206"/>
      <c r="N1280" s="206"/>
      <c r="O1280" s="206"/>
      <c r="P1280" s="206"/>
      <c r="T1280" s="88">
        <v>5.05306435E-2</v>
      </c>
    </row>
    <row r="1281" spans="1:20" ht="14.45" customHeight="1">
      <c r="A1281" s="207"/>
      <c r="B1281" s="207"/>
      <c r="C1281" s="207"/>
      <c r="D1281" s="207"/>
      <c r="E1281" s="207"/>
      <c r="F1281" s="207"/>
      <c r="G1281" s="207"/>
      <c r="H1281" s="207"/>
      <c r="I1281" s="207"/>
      <c r="J1281" s="207"/>
      <c r="K1281" s="207"/>
      <c r="L1281" s="207"/>
      <c r="M1281" s="207"/>
      <c r="N1281" s="207"/>
      <c r="O1281" s="207"/>
      <c r="P1281" s="207"/>
      <c r="Q1281" s="81"/>
      <c r="T1281" s="88">
        <v>5.05306435E-2</v>
      </c>
    </row>
    <row r="1282" spans="1:20" ht="15.75" customHeight="1">
      <c r="A1282" s="43" t="s">
        <v>1821</v>
      </c>
      <c r="B1282" s="44" t="s">
        <v>3</v>
      </c>
      <c r="C1282" s="43" t="s">
        <v>4</v>
      </c>
      <c r="D1282" s="208" t="s">
        <v>5</v>
      </c>
      <c r="E1282" s="209"/>
      <c r="F1282" s="43" t="s">
        <v>1049</v>
      </c>
      <c r="G1282" s="210"/>
      <c r="H1282" s="211"/>
      <c r="I1282" s="212"/>
      <c r="J1282" s="213" t="s">
        <v>6</v>
      </c>
      <c r="K1282" s="214"/>
      <c r="L1282" s="44" t="s">
        <v>7</v>
      </c>
      <c r="M1282" s="219" t="s">
        <v>8</v>
      </c>
      <c r="N1282" s="220"/>
      <c r="O1282" s="63"/>
      <c r="P1282" s="44" t="s">
        <v>11</v>
      </c>
      <c r="Q1282" s="81"/>
      <c r="T1282" s="88">
        <v>5.05306435E-2</v>
      </c>
    </row>
    <row r="1283" spans="1:20" ht="14.45" customHeight="1">
      <c r="A1283" s="47" t="s">
        <v>1051</v>
      </c>
      <c r="B1283" s="48" t="s">
        <v>1822</v>
      </c>
      <c r="C1283" s="47" t="s">
        <v>1053</v>
      </c>
      <c r="D1283" s="190" t="s">
        <v>1823</v>
      </c>
      <c r="E1283" s="191"/>
      <c r="F1283" s="47" t="s">
        <v>1628</v>
      </c>
      <c r="G1283" s="192"/>
      <c r="H1283" s="193"/>
      <c r="I1283" s="194"/>
      <c r="J1283" s="223" t="s">
        <v>1085</v>
      </c>
      <c r="K1283" s="224"/>
      <c r="L1283" s="50">
        <v>1</v>
      </c>
      <c r="M1283" s="197">
        <v>979.17</v>
      </c>
      <c r="N1283" s="198"/>
      <c r="O1283" s="64">
        <f>M1283-(M1283*T1283)</f>
        <v>929.69190980410497</v>
      </c>
      <c r="P1283" s="64">
        <f>SUM(P1284:P1289)</f>
        <v>929.69598302764439</v>
      </c>
      <c r="Q1283" s="81"/>
      <c r="T1283" s="88">
        <v>5.05306435E-2</v>
      </c>
    </row>
    <row r="1284" spans="1:20" ht="14.45" customHeight="1">
      <c r="A1284" s="52" t="s">
        <v>1057</v>
      </c>
      <c r="B1284" s="53">
        <v>100308</v>
      </c>
      <c r="C1284" s="52" t="s">
        <v>1058</v>
      </c>
      <c r="D1284" s="199" t="s">
        <v>1824</v>
      </c>
      <c r="E1284" s="200"/>
      <c r="F1284" s="52" t="s">
        <v>1158</v>
      </c>
      <c r="G1284" s="201"/>
      <c r="H1284" s="202"/>
      <c r="I1284" s="203"/>
      <c r="J1284" s="204" t="s">
        <v>1061</v>
      </c>
      <c r="K1284" s="205"/>
      <c r="L1284" s="55">
        <v>2.371</v>
      </c>
      <c r="M1284" s="188">
        <v>27.01</v>
      </c>
      <c r="N1284" s="189"/>
      <c r="O1284" s="56">
        <f>M1284-(M1284*T1284)</f>
        <v>25.645167319065003</v>
      </c>
      <c r="P1284" s="57">
        <f t="shared" ref="P1284:P1286" si="242">O1284*L1284</f>
        <v>60.804691713503118</v>
      </c>
      <c r="Q1284" s="81"/>
      <c r="T1284" s="88">
        <v>5.05306435E-2</v>
      </c>
    </row>
    <row r="1285" spans="1:20" ht="14.45" customHeight="1">
      <c r="A1285" s="52" t="s">
        <v>1057</v>
      </c>
      <c r="B1285" s="53">
        <v>88250</v>
      </c>
      <c r="C1285" s="52" t="s">
        <v>1058</v>
      </c>
      <c r="D1285" s="199" t="s">
        <v>1825</v>
      </c>
      <c r="E1285" s="200"/>
      <c r="F1285" s="52" t="s">
        <v>1158</v>
      </c>
      <c r="G1285" s="201"/>
      <c r="H1285" s="202"/>
      <c r="I1285" s="203"/>
      <c r="J1285" s="204" t="s">
        <v>1061</v>
      </c>
      <c r="K1285" s="205"/>
      <c r="L1285" s="55">
        <v>2.371</v>
      </c>
      <c r="M1285" s="188">
        <v>20.98</v>
      </c>
      <c r="N1285" s="189"/>
      <c r="O1285" s="56">
        <f t="shared" ref="O1285:O1286" si="243">M1285-(M1285*T1285)</f>
        <v>19.919867099370002</v>
      </c>
      <c r="P1285" s="57">
        <f t="shared" si="242"/>
        <v>47.230004892606274</v>
      </c>
      <c r="Q1285" s="81"/>
      <c r="T1285" s="88">
        <v>5.05306435E-2</v>
      </c>
    </row>
    <row r="1286" spans="1:20" ht="14.45" customHeight="1">
      <c r="A1286" s="58" t="s">
        <v>1064</v>
      </c>
      <c r="B1286" s="62">
        <v>77202</v>
      </c>
      <c r="C1286" s="58" t="s">
        <v>1150</v>
      </c>
      <c r="D1286" s="181" t="s">
        <v>1826</v>
      </c>
      <c r="E1286" s="182"/>
      <c r="F1286" s="58" t="s">
        <v>1068</v>
      </c>
      <c r="G1286" s="183"/>
      <c r="H1286" s="184"/>
      <c r="I1286" s="185"/>
      <c r="J1286" s="240" t="s">
        <v>1085</v>
      </c>
      <c r="K1286" s="241"/>
      <c r="L1286" s="60">
        <v>1</v>
      </c>
      <c r="M1286" s="221">
        <v>865.39</v>
      </c>
      <c r="N1286" s="222"/>
      <c r="O1286" s="56">
        <f t="shared" si="243"/>
        <v>821.66128642153501</v>
      </c>
      <c r="P1286" s="57">
        <f t="shared" si="242"/>
        <v>821.66128642153501</v>
      </c>
      <c r="Q1286" s="81"/>
      <c r="T1286" s="88">
        <v>5.05306435E-2</v>
      </c>
    </row>
    <row r="1287" spans="1:20" ht="14.25" customHeight="1">
      <c r="A1287" s="174" t="s">
        <v>1070</v>
      </c>
      <c r="B1287" s="174"/>
      <c r="C1287" s="174"/>
      <c r="D1287" s="174"/>
      <c r="E1287" s="174"/>
      <c r="F1287" s="174"/>
      <c r="G1287" s="174"/>
      <c r="H1287" s="175" t="s">
        <v>1071</v>
      </c>
      <c r="I1287" s="175"/>
      <c r="J1287" s="175"/>
      <c r="K1287" s="175"/>
      <c r="L1287" s="176">
        <v>0</v>
      </c>
      <c r="M1287" s="176"/>
      <c r="N1287" s="177" t="s">
        <v>1072</v>
      </c>
      <c r="O1287" s="177"/>
      <c r="P1287" s="177"/>
      <c r="T1287" s="88">
        <v>5.05306435E-2</v>
      </c>
    </row>
    <row r="1288" spans="1:20" ht="14.25" customHeight="1">
      <c r="A1288" s="178" t="s">
        <v>1073</v>
      </c>
      <c r="B1288" s="178"/>
      <c r="C1288" s="178"/>
      <c r="D1288" s="178"/>
      <c r="E1288" s="178"/>
      <c r="F1288" s="178"/>
      <c r="G1288" s="178"/>
      <c r="H1288" s="179"/>
      <c r="I1288" s="179"/>
      <c r="J1288" s="179"/>
      <c r="K1288" s="179"/>
      <c r="L1288" s="180" t="s">
        <v>1074</v>
      </c>
      <c r="M1288" s="180"/>
      <c r="N1288" s="179"/>
      <c r="O1288" s="179"/>
      <c r="P1288" s="179"/>
      <c r="T1288" s="88">
        <v>5.05306435E-2</v>
      </c>
    </row>
    <row r="1289" spans="1:20" ht="28.5" customHeight="1">
      <c r="A1289" s="172" t="s">
        <v>1827</v>
      </c>
      <c r="B1289" s="172"/>
      <c r="C1289" s="172"/>
      <c r="D1289" s="172"/>
      <c r="E1289" s="172"/>
      <c r="F1289" s="172"/>
      <c r="G1289" s="172"/>
      <c r="H1289" s="172"/>
      <c r="I1289" s="172"/>
      <c r="J1289" s="172"/>
      <c r="K1289" s="172"/>
      <c r="L1289" s="172"/>
      <c r="M1289" s="172"/>
      <c r="N1289" s="172"/>
      <c r="O1289" s="172"/>
      <c r="P1289" s="172"/>
      <c r="Q1289" s="172"/>
      <c r="T1289" s="88">
        <v>5.05306435E-2</v>
      </c>
    </row>
    <row r="1290" spans="1:20" ht="14.45" customHeight="1">
      <c r="A1290" s="207"/>
      <c r="B1290" s="207"/>
      <c r="C1290" s="207"/>
      <c r="D1290" s="207"/>
      <c r="E1290" s="207"/>
      <c r="F1290" s="207"/>
      <c r="G1290" s="207"/>
      <c r="H1290" s="207"/>
      <c r="I1290" s="207"/>
      <c r="J1290" s="207"/>
      <c r="K1290" s="207"/>
      <c r="L1290" s="207"/>
      <c r="M1290" s="207"/>
      <c r="N1290" s="207"/>
      <c r="O1290" s="207"/>
      <c r="P1290" s="207"/>
      <c r="Q1290" s="81"/>
      <c r="T1290" s="88">
        <v>5.05306435E-2</v>
      </c>
    </row>
    <row r="1291" spans="1:20" ht="15.75" customHeight="1">
      <c r="A1291" s="43" t="s">
        <v>1828</v>
      </c>
      <c r="B1291" s="44" t="s">
        <v>3</v>
      </c>
      <c r="C1291" s="43" t="s">
        <v>4</v>
      </c>
      <c r="D1291" s="208" t="s">
        <v>5</v>
      </c>
      <c r="E1291" s="209"/>
      <c r="F1291" s="43" t="s">
        <v>1049</v>
      </c>
      <c r="G1291" s="210"/>
      <c r="H1291" s="211"/>
      <c r="I1291" s="212"/>
      <c r="J1291" s="215" t="s">
        <v>6</v>
      </c>
      <c r="K1291" s="217"/>
      <c r="L1291" s="44" t="s">
        <v>7</v>
      </c>
      <c r="M1291" s="219" t="s">
        <v>8</v>
      </c>
      <c r="N1291" s="220"/>
      <c r="O1291" s="63"/>
      <c r="P1291" s="44" t="s">
        <v>11</v>
      </c>
      <c r="Q1291" s="81"/>
      <c r="T1291" s="88">
        <v>5.05306435E-2</v>
      </c>
    </row>
    <row r="1292" spans="1:20" ht="14.45" customHeight="1">
      <c r="A1292" s="47" t="s">
        <v>1051</v>
      </c>
      <c r="B1292" s="48" t="s">
        <v>1829</v>
      </c>
      <c r="C1292" s="47" t="s">
        <v>1053</v>
      </c>
      <c r="D1292" s="190" t="s">
        <v>1830</v>
      </c>
      <c r="E1292" s="191"/>
      <c r="F1292" s="47" t="s">
        <v>1628</v>
      </c>
      <c r="G1292" s="192"/>
      <c r="H1292" s="193"/>
      <c r="I1292" s="194"/>
      <c r="J1292" s="195" t="s">
        <v>1085</v>
      </c>
      <c r="K1292" s="196"/>
      <c r="L1292" s="50">
        <v>1</v>
      </c>
      <c r="M1292" s="238">
        <v>1163.03</v>
      </c>
      <c r="N1292" s="239"/>
      <c r="O1292" s="64">
        <f>M1292-(M1292*T1292)</f>
        <v>1104.261345690195</v>
      </c>
      <c r="P1292" s="64">
        <f>SUM(P1293:P1298)</f>
        <v>1104.2622951595515</v>
      </c>
      <c r="Q1292" s="81"/>
      <c r="T1292" s="88">
        <v>5.05306435E-2</v>
      </c>
    </row>
    <row r="1293" spans="1:20" ht="14.45" customHeight="1">
      <c r="A1293" s="52" t="s">
        <v>1057</v>
      </c>
      <c r="B1293" s="53">
        <v>88250</v>
      </c>
      <c r="C1293" s="52" t="s">
        <v>1058</v>
      </c>
      <c r="D1293" s="199" t="s">
        <v>1825</v>
      </c>
      <c r="E1293" s="200"/>
      <c r="F1293" s="52" t="s">
        <v>1158</v>
      </c>
      <c r="G1293" s="201"/>
      <c r="H1293" s="202"/>
      <c r="I1293" s="203"/>
      <c r="J1293" s="204" t="s">
        <v>1061</v>
      </c>
      <c r="K1293" s="205"/>
      <c r="L1293" s="55">
        <v>2.371</v>
      </c>
      <c r="M1293" s="188">
        <v>20.98</v>
      </c>
      <c r="N1293" s="189"/>
      <c r="O1293" s="56">
        <f>M1293-(M1293*T1293)</f>
        <v>19.919867099370002</v>
      </c>
      <c r="P1293" s="57">
        <f t="shared" ref="P1293:P1295" si="244">O1293*L1293</f>
        <v>47.230004892606274</v>
      </c>
      <c r="Q1293" s="81"/>
      <c r="T1293" s="88">
        <v>5.05306435E-2</v>
      </c>
    </row>
    <row r="1294" spans="1:20" ht="14.45" customHeight="1">
      <c r="A1294" s="52" t="s">
        <v>1057</v>
      </c>
      <c r="B1294" s="53">
        <v>100308</v>
      </c>
      <c r="C1294" s="52" t="s">
        <v>1058</v>
      </c>
      <c r="D1294" s="199" t="s">
        <v>1824</v>
      </c>
      <c r="E1294" s="200"/>
      <c r="F1294" s="52" t="s">
        <v>1158</v>
      </c>
      <c r="G1294" s="201"/>
      <c r="H1294" s="202"/>
      <c r="I1294" s="203"/>
      <c r="J1294" s="204" t="s">
        <v>1061</v>
      </c>
      <c r="K1294" s="205"/>
      <c r="L1294" s="55">
        <v>15.342000000000001</v>
      </c>
      <c r="M1294" s="188">
        <v>27.01</v>
      </c>
      <c r="N1294" s="189"/>
      <c r="O1294" s="56">
        <f t="shared" ref="O1294:O1295" si="245">M1294-(M1294*T1294)</f>
        <v>25.645167319065003</v>
      </c>
      <c r="P1294" s="57">
        <f t="shared" si="244"/>
        <v>393.44815700909527</v>
      </c>
      <c r="Q1294" s="81"/>
      <c r="T1294" s="88">
        <v>5.05306435E-2</v>
      </c>
    </row>
    <row r="1295" spans="1:20" ht="14.45" customHeight="1">
      <c r="A1295" s="58" t="s">
        <v>1064</v>
      </c>
      <c r="B1295" s="62">
        <v>253</v>
      </c>
      <c r="C1295" s="58" t="s">
        <v>1150</v>
      </c>
      <c r="D1295" s="181" t="s">
        <v>1831</v>
      </c>
      <c r="E1295" s="182"/>
      <c r="F1295" s="58" t="s">
        <v>1068</v>
      </c>
      <c r="G1295" s="183"/>
      <c r="H1295" s="184"/>
      <c r="I1295" s="185"/>
      <c r="J1295" s="186" t="s">
        <v>1085</v>
      </c>
      <c r="K1295" s="187"/>
      <c r="L1295" s="60">
        <v>1</v>
      </c>
      <c r="M1295" s="221">
        <v>698.9</v>
      </c>
      <c r="N1295" s="222"/>
      <c r="O1295" s="56">
        <f t="shared" si="245"/>
        <v>663.58413325785</v>
      </c>
      <c r="P1295" s="57">
        <f t="shared" si="244"/>
        <v>663.58413325785</v>
      </c>
      <c r="Q1295" s="81"/>
      <c r="T1295" s="88">
        <v>5.05306435E-2</v>
      </c>
    </row>
    <row r="1296" spans="1:20" ht="14.25" customHeight="1">
      <c r="A1296" s="73"/>
      <c r="B1296" s="73"/>
      <c r="C1296" s="73"/>
      <c r="D1296" s="218"/>
      <c r="E1296" s="218"/>
      <c r="F1296" s="74" t="s">
        <v>1070</v>
      </c>
      <c r="G1296" s="218"/>
      <c r="H1296" s="218"/>
      <c r="I1296" s="218"/>
      <c r="J1296" s="175" t="s">
        <v>1071</v>
      </c>
      <c r="K1296" s="175"/>
      <c r="L1296" s="75">
        <v>0</v>
      </c>
      <c r="M1296" s="175" t="s">
        <v>1072</v>
      </c>
      <c r="N1296" s="175"/>
      <c r="O1296" s="74"/>
      <c r="P1296" s="73"/>
      <c r="Q1296" s="68"/>
      <c r="T1296" s="88">
        <v>5.05306435E-2</v>
      </c>
    </row>
    <row r="1297" spans="1:20" ht="14.85" customHeight="1">
      <c r="A1297" s="68"/>
      <c r="B1297" s="68"/>
      <c r="C1297" s="68"/>
      <c r="D1297" s="179"/>
      <c r="E1297" s="179"/>
      <c r="F1297" s="76" t="s">
        <v>1073</v>
      </c>
      <c r="G1297" s="179"/>
      <c r="H1297" s="179"/>
      <c r="I1297" s="179"/>
      <c r="J1297" s="179"/>
      <c r="K1297" s="179"/>
      <c r="L1297" s="70" t="s">
        <v>1074</v>
      </c>
      <c r="M1297" s="179"/>
      <c r="N1297" s="179"/>
      <c r="O1297" s="68"/>
      <c r="P1297" s="68"/>
      <c r="Q1297" s="68"/>
      <c r="T1297" s="88">
        <v>5.05306435E-2</v>
      </c>
    </row>
    <row r="1298" spans="1:20" ht="14.45" customHeight="1">
      <c r="A1298" s="77" t="s">
        <v>1089</v>
      </c>
      <c r="B1298" s="68"/>
      <c r="C1298" s="68"/>
      <c r="D1298" s="179"/>
      <c r="E1298" s="179"/>
      <c r="F1298" s="68"/>
      <c r="G1298" s="179"/>
      <c r="H1298" s="179"/>
      <c r="I1298" s="179"/>
      <c r="J1298" s="179"/>
      <c r="K1298" s="179"/>
      <c r="L1298" s="68"/>
      <c r="M1298" s="179"/>
      <c r="N1298" s="179"/>
      <c r="O1298" s="68"/>
      <c r="P1298" s="68"/>
      <c r="Q1298" s="68"/>
      <c r="T1298" s="88">
        <v>5.05306435E-2</v>
      </c>
    </row>
    <row r="1299" spans="1:20" ht="15.2" customHeight="1">
      <c r="A1299" s="206" t="s">
        <v>1832</v>
      </c>
      <c r="B1299" s="206"/>
      <c r="C1299" s="206"/>
      <c r="D1299" s="206"/>
      <c r="E1299" s="206"/>
      <c r="F1299" s="206"/>
      <c r="G1299" s="206"/>
      <c r="H1299" s="206"/>
      <c r="I1299" s="206"/>
      <c r="J1299" s="206"/>
      <c r="K1299" s="206"/>
      <c r="L1299" s="206"/>
      <c r="M1299" s="206"/>
      <c r="N1299" s="206"/>
      <c r="O1299" s="206"/>
      <c r="P1299" s="206"/>
      <c r="T1299" s="88">
        <v>5.05306435E-2</v>
      </c>
    </row>
    <row r="1300" spans="1:20" ht="14.45" customHeight="1">
      <c r="A1300" s="207"/>
      <c r="B1300" s="207"/>
      <c r="C1300" s="207"/>
      <c r="D1300" s="207"/>
      <c r="E1300" s="207"/>
      <c r="F1300" s="207"/>
      <c r="G1300" s="207"/>
      <c r="H1300" s="207"/>
      <c r="I1300" s="207"/>
      <c r="J1300" s="207"/>
      <c r="K1300" s="207"/>
      <c r="L1300" s="207"/>
      <c r="M1300" s="207"/>
      <c r="N1300" s="207"/>
      <c r="O1300" s="207"/>
      <c r="P1300" s="207"/>
      <c r="Q1300" s="81"/>
      <c r="T1300" s="88">
        <v>5.05306435E-2</v>
      </c>
    </row>
    <row r="1301" spans="1:20" ht="15.75" customHeight="1">
      <c r="A1301" s="71">
        <v>40195</v>
      </c>
      <c r="B1301" s="44" t="s">
        <v>3</v>
      </c>
      <c r="C1301" s="43" t="s">
        <v>4</v>
      </c>
      <c r="D1301" s="208" t="s">
        <v>5</v>
      </c>
      <c r="E1301" s="209"/>
      <c r="F1301" s="43" t="s">
        <v>1049</v>
      </c>
      <c r="G1301" s="210"/>
      <c r="H1301" s="211"/>
      <c r="I1301" s="212"/>
      <c r="J1301" s="215" t="s">
        <v>6</v>
      </c>
      <c r="K1301" s="217"/>
      <c r="L1301" s="44" t="s">
        <v>7</v>
      </c>
      <c r="M1301" s="219" t="s">
        <v>8</v>
      </c>
      <c r="N1301" s="220"/>
      <c r="O1301" s="63"/>
      <c r="P1301" s="44" t="s">
        <v>11</v>
      </c>
      <c r="Q1301" s="81"/>
      <c r="T1301" s="88">
        <v>5.05306435E-2</v>
      </c>
    </row>
    <row r="1302" spans="1:20" ht="14.45" customHeight="1">
      <c r="A1302" s="47" t="s">
        <v>1051</v>
      </c>
      <c r="B1302" s="48" t="s">
        <v>1833</v>
      </c>
      <c r="C1302" s="47" t="s">
        <v>1053</v>
      </c>
      <c r="D1302" s="190" t="s">
        <v>1834</v>
      </c>
      <c r="E1302" s="191"/>
      <c r="F1302" s="47" t="s">
        <v>1158</v>
      </c>
      <c r="G1302" s="192"/>
      <c r="H1302" s="193"/>
      <c r="I1302" s="194"/>
      <c r="J1302" s="195" t="s">
        <v>1109</v>
      </c>
      <c r="K1302" s="196"/>
      <c r="L1302" s="50">
        <v>1</v>
      </c>
      <c r="M1302" s="197">
        <v>59.67</v>
      </c>
      <c r="N1302" s="198"/>
      <c r="O1302" s="64">
        <f>M1302-(M1302*T1302)</f>
        <v>56.654836502355003</v>
      </c>
      <c r="P1302" s="64">
        <f>SUM(P1303:P1310)</f>
        <v>56.653507245255902</v>
      </c>
      <c r="Q1302" s="81"/>
      <c r="T1302" s="88">
        <v>5.05306435E-2</v>
      </c>
    </row>
    <row r="1303" spans="1:20" ht="14.45" customHeight="1">
      <c r="A1303" s="52" t="s">
        <v>1057</v>
      </c>
      <c r="B1303" s="53">
        <v>88316</v>
      </c>
      <c r="C1303" s="52" t="s">
        <v>1058</v>
      </c>
      <c r="D1303" s="199" t="s">
        <v>1059</v>
      </c>
      <c r="E1303" s="200"/>
      <c r="F1303" s="52" t="s">
        <v>1158</v>
      </c>
      <c r="G1303" s="201"/>
      <c r="H1303" s="202"/>
      <c r="I1303" s="203"/>
      <c r="J1303" s="204" t="s">
        <v>1061</v>
      </c>
      <c r="K1303" s="205"/>
      <c r="L1303" s="55">
        <v>0.5</v>
      </c>
      <c r="M1303" s="188">
        <v>21.32</v>
      </c>
      <c r="N1303" s="189"/>
      <c r="O1303" s="56">
        <f>M1303-(M1303*T1303)</f>
        <v>20.24268668058</v>
      </c>
      <c r="P1303" s="57">
        <f t="shared" ref="P1303:P1310" si="246">O1303*L1303</f>
        <v>10.12134334029</v>
      </c>
      <c r="Q1303" s="81"/>
      <c r="T1303" s="88">
        <v>5.05306435E-2</v>
      </c>
    </row>
    <row r="1304" spans="1:20" ht="14.45" customHeight="1">
      <c r="A1304" s="52" t="s">
        <v>1057</v>
      </c>
      <c r="B1304" s="53">
        <v>88310</v>
      </c>
      <c r="C1304" s="52" t="s">
        <v>1058</v>
      </c>
      <c r="D1304" s="199" t="s">
        <v>1134</v>
      </c>
      <c r="E1304" s="200"/>
      <c r="F1304" s="52" t="s">
        <v>1158</v>
      </c>
      <c r="G1304" s="201"/>
      <c r="H1304" s="202"/>
      <c r="I1304" s="203"/>
      <c r="J1304" s="204" t="s">
        <v>1061</v>
      </c>
      <c r="K1304" s="205"/>
      <c r="L1304" s="55">
        <v>0.1</v>
      </c>
      <c r="M1304" s="188">
        <v>28.58</v>
      </c>
      <c r="N1304" s="189"/>
      <c r="O1304" s="56">
        <f t="shared" ref="O1304:O1310" si="247">M1304-(M1304*T1304)</f>
        <v>27.13583420877</v>
      </c>
      <c r="P1304" s="57">
        <f t="shared" si="246"/>
        <v>2.7135834208770002</v>
      </c>
      <c r="Q1304" s="81"/>
      <c r="T1304" s="88">
        <v>5.05306435E-2</v>
      </c>
    </row>
    <row r="1305" spans="1:20" ht="14.45" customHeight="1">
      <c r="A1305" s="52" t="s">
        <v>1057</v>
      </c>
      <c r="B1305" s="53">
        <v>88315</v>
      </c>
      <c r="C1305" s="52" t="s">
        <v>1058</v>
      </c>
      <c r="D1305" s="199" t="s">
        <v>1249</v>
      </c>
      <c r="E1305" s="200"/>
      <c r="F1305" s="52" t="s">
        <v>1158</v>
      </c>
      <c r="G1305" s="201"/>
      <c r="H1305" s="202"/>
      <c r="I1305" s="203"/>
      <c r="J1305" s="204" t="s">
        <v>1061</v>
      </c>
      <c r="K1305" s="205"/>
      <c r="L1305" s="55">
        <v>0.5</v>
      </c>
      <c r="M1305" s="188">
        <v>26.7</v>
      </c>
      <c r="N1305" s="189"/>
      <c r="O1305" s="56">
        <f t="shared" si="247"/>
        <v>25.350831818549999</v>
      </c>
      <c r="P1305" s="57">
        <f t="shared" si="246"/>
        <v>12.675415909274999</v>
      </c>
      <c r="Q1305" s="81"/>
      <c r="T1305" s="88">
        <v>5.05306435E-2</v>
      </c>
    </row>
    <row r="1306" spans="1:20" ht="14.45" customHeight="1">
      <c r="A1306" s="58" t="s">
        <v>1064</v>
      </c>
      <c r="B1306" s="62">
        <v>37394</v>
      </c>
      <c r="C1306" s="58" t="s">
        <v>1058</v>
      </c>
      <c r="D1306" s="181" t="s">
        <v>1835</v>
      </c>
      <c r="E1306" s="182"/>
      <c r="F1306" s="58" t="s">
        <v>1068</v>
      </c>
      <c r="G1306" s="183"/>
      <c r="H1306" s="184"/>
      <c r="I1306" s="185"/>
      <c r="J1306" s="242" t="s">
        <v>1198</v>
      </c>
      <c r="K1306" s="243"/>
      <c r="L1306" s="60">
        <v>3.5000000000000001E-3</v>
      </c>
      <c r="M1306" s="188">
        <v>0</v>
      </c>
      <c r="N1306" s="189"/>
      <c r="O1306" s="56">
        <f t="shared" si="247"/>
        <v>0</v>
      </c>
      <c r="P1306" s="57">
        <f t="shared" si="246"/>
        <v>0</v>
      </c>
      <c r="Q1306" s="81"/>
      <c r="T1306" s="88">
        <v>5.05306435E-2</v>
      </c>
    </row>
    <row r="1307" spans="1:20" ht="14.45" customHeight="1">
      <c r="A1307" s="58" t="s">
        <v>1064</v>
      </c>
      <c r="B1307" s="62">
        <v>14288</v>
      </c>
      <c r="C1307" s="58" t="s">
        <v>1262</v>
      </c>
      <c r="D1307" s="181" t="s">
        <v>1836</v>
      </c>
      <c r="E1307" s="182"/>
      <c r="F1307" s="58" t="s">
        <v>1068</v>
      </c>
      <c r="G1307" s="183"/>
      <c r="H1307" s="184"/>
      <c r="I1307" s="185"/>
      <c r="J1307" s="186" t="s">
        <v>1085</v>
      </c>
      <c r="K1307" s="187"/>
      <c r="L1307" s="60">
        <v>0.06</v>
      </c>
      <c r="M1307" s="221">
        <v>285.08999999999997</v>
      </c>
      <c r="N1307" s="222"/>
      <c r="O1307" s="56">
        <f t="shared" si="247"/>
        <v>270.68421884458496</v>
      </c>
      <c r="P1307" s="57">
        <f t="shared" si="246"/>
        <v>16.241053130675098</v>
      </c>
      <c r="Q1307" s="81"/>
      <c r="T1307" s="88">
        <v>5.05306435E-2</v>
      </c>
    </row>
    <row r="1308" spans="1:20" ht="14.45" customHeight="1">
      <c r="A1308" s="58" t="s">
        <v>1064</v>
      </c>
      <c r="B1308" s="62">
        <v>14289</v>
      </c>
      <c r="C1308" s="58" t="s">
        <v>1262</v>
      </c>
      <c r="D1308" s="181" t="s">
        <v>1837</v>
      </c>
      <c r="E1308" s="182"/>
      <c r="F1308" s="58" t="s">
        <v>1068</v>
      </c>
      <c r="G1308" s="183"/>
      <c r="H1308" s="184"/>
      <c r="I1308" s="185"/>
      <c r="J1308" s="186" t="s">
        <v>1085</v>
      </c>
      <c r="K1308" s="187"/>
      <c r="L1308" s="60">
        <v>0.04</v>
      </c>
      <c r="M1308" s="221">
        <v>110.13</v>
      </c>
      <c r="N1308" s="222"/>
      <c r="O1308" s="56">
        <f t="shared" si="247"/>
        <v>104.565060231345</v>
      </c>
      <c r="P1308" s="57">
        <f t="shared" si="246"/>
        <v>4.1826024092537999</v>
      </c>
      <c r="Q1308" s="81"/>
      <c r="T1308" s="88">
        <v>5.05306435E-2</v>
      </c>
    </row>
    <row r="1309" spans="1:20" ht="14.45" customHeight="1">
      <c r="A1309" s="58" t="s">
        <v>1064</v>
      </c>
      <c r="B1309" s="62">
        <v>7231</v>
      </c>
      <c r="C1309" s="58" t="s">
        <v>1262</v>
      </c>
      <c r="D1309" s="181" t="s">
        <v>1838</v>
      </c>
      <c r="E1309" s="182"/>
      <c r="F1309" s="58" t="s">
        <v>1068</v>
      </c>
      <c r="G1309" s="183"/>
      <c r="H1309" s="184"/>
      <c r="I1309" s="185"/>
      <c r="J1309" s="186" t="s">
        <v>1109</v>
      </c>
      <c r="K1309" s="187"/>
      <c r="L1309" s="60">
        <v>1</v>
      </c>
      <c r="M1309" s="221">
        <v>11.29</v>
      </c>
      <c r="N1309" s="222"/>
      <c r="O1309" s="56">
        <f t="shared" si="247"/>
        <v>10.719509034884998</v>
      </c>
      <c r="P1309" s="57">
        <f t="shared" si="246"/>
        <v>10.719509034884998</v>
      </c>
      <c r="Q1309" s="81"/>
      <c r="T1309" s="88">
        <v>5.05306435E-2</v>
      </c>
    </row>
    <row r="1310" spans="1:20" ht="14.45" customHeight="1">
      <c r="A1310" s="58" t="s">
        <v>1064</v>
      </c>
      <c r="B1310" s="62">
        <v>4777</v>
      </c>
      <c r="C1310" s="58" t="s">
        <v>1058</v>
      </c>
      <c r="D1310" s="181" t="s">
        <v>1839</v>
      </c>
      <c r="E1310" s="182"/>
      <c r="F1310" s="58" t="s">
        <v>1068</v>
      </c>
      <c r="G1310" s="183"/>
      <c r="H1310" s="184"/>
      <c r="I1310" s="185"/>
      <c r="J1310" s="186" t="s">
        <v>1109</v>
      </c>
      <c r="K1310" s="187"/>
      <c r="L1310" s="60">
        <v>2.5000000000000001E-2</v>
      </c>
      <c r="M1310" s="188">
        <v>0</v>
      </c>
      <c r="N1310" s="189"/>
      <c r="O1310" s="56">
        <f t="shared" si="247"/>
        <v>0</v>
      </c>
      <c r="P1310" s="57">
        <f t="shared" si="246"/>
        <v>0</v>
      </c>
      <c r="Q1310" s="81"/>
      <c r="T1310" s="88">
        <v>5.05306435E-2</v>
      </c>
    </row>
    <row r="1311" spans="1:20" ht="14.25" customHeight="1">
      <c r="A1311" s="174" t="s">
        <v>1070</v>
      </c>
      <c r="B1311" s="174"/>
      <c r="C1311" s="174"/>
      <c r="D1311" s="174"/>
      <c r="E1311" s="174"/>
      <c r="F1311" s="174"/>
      <c r="G1311" s="174"/>
      <c r="H1311" s="175" t="s">
        <v>1071</v>
      </c>
      <c r="I1311" s="175"/>
      <c r="J1311" s="175"/>
      <c r="K1311" s="175"/>
      <c r="L1311" s="176">
        <v>0</v>
      </c>
      <c r="M1311" s="176"/>
      <c r="N1311" s="177" t="s">
        <v>1072</v>
      </c>
      <c r="O1311" s="177"/>
      <c r="P1311" s="177"/>
      <c r="T1311" s="88">
        <v>5.05306435E-2</v>
      </c>
    </row>
    <row r="1312" spans="1:20" ht="14.25" customHeight="1">
      <c r="A1312" s="178" t="s">
        <v>1073</v>
      </c>
      <c r="B1312" s="178"/>
      <c r="C1312" s="178"/>
      <c r="D1312" s="178"/>
      <c r="E1312" s="178"/>
      <c r="F1312" s="178"/>
      <c r="G1312" s="178"/>
      <c r="H1312" s="179"/>
      <c r="I1312" s="179"/>
      <c r="J1312" s="179"/>
      <c r="K1312" s="179"/>
      <c r="L1312" s="180" t="s">
        <v>1074</v>
      </c>
      <c r="M1312" s="180"/>
      <c r="N1312" s="179"/>
      <c r="O1312" s="179"/>
      <c r="P1312" s="179"/>
      <c r="T1312" s="88">
        <v>5.05306435E-2</v>
      </c>
    </row>
    <row r="1313" spans="1:20" ht="28.5" customHeight="1">
      <c r="A1313" s="172" t="s">
        <v>1840</v>
      </c>
      <c r="B1313" s="172"/>
      <c r="C1313" s="172"/>
      <c r="D1313" s="172"/>
      <c r="E1313" s="172"/>
      <c r="F1313" s="172"/>
      <c r="G1313" s="172"/>
      <c r="H1313" s="172"/>
      <c r="I1313" s="172"/>
      <c r="J1313" s="172"/>
      <c r="K1313" s="172"/>
      <c r="L1313" s="172"/>
      <c r="M1313" s="172"/>
      <c r="N1313" s="172"/>
      <c r="O1313" s="172"/>
      <c r="P1313" s="172"/>
      <c r="Q1313" s="172"/>
      <c r="T1313" s="88">
        <v>5.05306435E-2</v>
      </c>
    </row>
    <row r="1314" spans="1:20" ht="14.45" customHeight="1">
      <c r="A1314" s="207"/>
      <c r="B1314" s="207"/>
      <c r="C1314" s="207"/>
      <c r="D1314" s="207"/>
      <c r="E1314" s="207"/>
      <c r="F1314" s="207"/>
      <c r="G1314" s="207"/>
      <c r="H1314" s="207"/>
      <c r="I1314" s="207"/>
      <c r="J1314" s="207"/>
      <c r="K1314" s="207"/>
      <c r="L1314" s="207"/>
      <c r="M1314" s="207"/>
      <c r="N1314" s="207"/>
      <c r="O1314" s="207"/>
      <c r="P1314" s="207"/>
      <c r="Q1314" s="81"/>
      <c r="T1314" s="88">
        <v>5.05306435E-2</v>
      </c>
    </row>
    <row r="1315" spans="1:20" ht="15.75" customHeight="1">
      <c r="A1315" s="71">
        <v>40560</v>
      </c>
      <c r="B1315" s="44" t="s">
        <v>3</v>
      </c>
      <c r="C1315" s="43" t="s">
        <v>4</v>
      </c>
      <c r="D1315" s="208" t="s">
        <v>5</v>
      </c>
      <c r="E1315" s="209"/>
      <c r="F1315" s="43" t="s">
        <v>1049</v>
      </c>
      <c r="G1315" s="210"/>
      <c r="H1315" s="211"/>
      <c r="I1315" s="212"/>
      <c r="J1315" s="213" t="s">
        <v>6</v>
      </c>
      <c r="K1315" s="214"/>
      <c r="L1315" s="44" t="s">
        <v>7</v>
      </c>
      <c r="M1315" s="219" t="s">
        <v>8</v>
      </c>
      <c r="N1315" s="220"/>
      <c r="O1315" s="63"/>
      <c r="P1315" s="44" t="s">
        <v>11</v>
      </c>
      <c r="Q1315" s="81"/>
      <c r="T1315" s="88">
        <v>5.05306435E-2</v>
      </c>
    </row>
    <row r="1316" spans="1:20" ht="14.45" customHeight="1">
      <c r="A1316" s="47" t="s">
        <v>1051</v>
      </c>
      <c r="B1316" s="48" t="s">
        <v>1841</v>
      </c>
      <c r="C1316" s="47" t="s">
        <v>1053</v>
      </c>
      <c r="D1316" s="190" t="s">
        <v>1842</v>
      </c>
      <c r="E1316" s="191"/>
      <c r="F1316" s="47" t="s">
        <v>1628</v>
      </c>
      <c r="G1316" s="192"/>
      <c r="H1316" s="193"/>
      <c r="I1316" s="194"/>
      <c r="J1316" s="223" t="s">
        <v>1085</v>
      </c>
      <c r="K1316" s="224"/>
      <c r="L1316" s="50">
        <v>1</v>
      </c>
      <c r="M1316" s="197">
        <v>120.33</v>
      </c>
      <c r="N1316" s="198"/>
      <c r="O1316" s="64">
        <f>M1316-(M1316*T1316)</f>
        <v>114.24964766764499</v>
      </c>
      <c r="P1316" s="64">
        <f>SUM(P1317:P1324)</f>
        <v>114.2490779860311</v>
      </c>
      <c r="Q1316" s="81"/>
      <c r="T1316" s="88">
        <v>5.05306435E-2</v>
      </c>
    </row>
    <row r="1317" spans="1:20" ht="14.45" customHeight="1">
      <c r="A1317" s="52" t="s">
        <v>1057</v>
      </c>
      <c r="B1317" s="53">
        <v>88277</v>
      </c>
      <c r="C1317" s="52" t="s">
        <v>1058</v>
      </c>
      <c r="D1317" s="199" t="s">
        <v>1843</v>
      </c>
      <c r="E1317" s="200"/>
      <c r="F1317" s="52" t="s">
        <v>1158</v>
      </c>
      <c r="G1317" s="201"/>
      <c r="H1317" s="202"/>
      <c r="I1317" s="203"/>
      <c r="J1317" s="204" t="s">
        <v>1061</v>
      </c>
      <c r="K1317" s="205"/>
      <c r="L1317" s="55">
        <v>0.41199999999999998</v>
      </c>
      <c r="M1317" s="188">
        <v>27.66</v>
      </c>
      <c r="N1317" s="189"/>
      <c r="O1317" s="56">
        <f>M1317-(M1317*T1317)</f>
        <v>26.262322400790001</v>
      </c>
      <c r="P1317" s="57">
        <f t="shared" ref="P1317:P1319" si="248">O1317*L1317</f>
        <v>10.82007682912548</v>
      </c>
      <c r="Q1317" s="81"/>
      <c r="T1317" s="88">
        <v>5.05306435E-2</v>
      </c>
    </row>
    <row r="1318" spans="1:20" ht="14.45" customHeight="1">
      <c r="A1318" s="52" t="s">
        <v>1057</v>
      </c>
      <c r="B1318" s="53">
        <v>88243</v>
      </c>
      <c r="C1318" s="52" t="s">
        <v>1058</v>
      </c>
      <c r="D1318" s="199" t="s">
        <v>1844</v>
      </c>
      <c r="E1318" s="200"/>
      <c r="F1318" s="52" t="s">
        <v>1158</v>
      </c>
      <c r="G1318" s="201"/>
      <c r="H1318" s="202"/>
      <c r="I1318" s="203"/>
      <c r="J1318" s="204" t="s">
        <v>1061</v>
      </c>
      <c r="K1318" s="205"/>
      <c r="L1318" s="55">
        <v>0.41199999999999998</v>
      </c>
      <c r="M1318" s="188">
        <v>22.29</v>
      </c>
      <c r="N1318" s="189"/>
      <c r="O1318" s="56">
        <f t="shared" ref="O1318:O1319" si="249">M1318-(M1318*T1318)</f>
        <v>21.163671956384999</v>
      </c>
      <c r="P1318" s="57">
        <f t="shared" si="248"/>
        <v>8.7194328460306192</v>
      </c>
      <c r="Q1318" s="81"/>
      <c r="T1318" s="88">
        <v>5.05306435E-2</v>
      </c>
    </row>
    <row r="1319" spans="1:20" ht="14.45" customHeight="1">
      <c r="A1319" s="58" t="s">
        <v>1064</v>
      </c>
      <c r="B1319" s="62">
        <v>36511</v>
      </c>
      <c r="C1319" s="58" t="s">
        <v>1150</v>
      </c>
      <c r="D1319" s="181" t="s">
        <v>1845</v>
      </c>
      <c r="E1319" s="182"/>
      <c r="F1319" s="58" t="s">
        <v>1068</v>
      </c>
      <c r="G1319" s="183"/>
      <c r="H1319" s="184"/>
      <c r="I1319" s="185"/>
      <c r="J1319" s="186" t="s">
        <v>1107</v>
      </c>
      <c r="K1319" s="187"/>
      <c r="L1319" s="60">
        <v>1.05</v>
      </c>
      <c r="M1319" s="221">
        <v>95</v>
      </c>
      <c r="N1319" s="222"/>
      <c r="O1319" s="56">
        <f t="shared" si="249"/>
        <v>90.199588867499997</v>
      </c>
      <c r="P1319" s="57">
        <f t="shared" si="248"/>
        <v>94.709568310874999</v>
      </c>
      <c r="Q1319" s="81"/>
      <c r="T1319" s="88">
        <v>5.05306435E-2</v>
      </c>
    </row>
    <row r="1320" spans="1:20" ht="14.25" customHeight="1">
      <c r="A1320" s="73"/>
      <c r="B1320" s="73"/>
      <c r="C1320" s="73"/>
      <c r="D1320" s="218"/>
      <c r="E1320" s="218"/>
      <c r="F1320" s="74" t="s">
        <v>1070</v>
      </c>
      <c r="G1320" s="218"/>
      <c r="H1320" s="218"/>
      <c r="I1320" s="218"/>
      <c r="J1320" s="175" t="s">
        <v>1071</v>
      </c>
      <c r="K1320" s="175"/>
      <c r="L1320" s="75">
        <v>0</v>
      </c>
      <c r="M1320" s="175" t="s">
        <v>1072</v>
      </c>
      <c r="N1320" s="175"/>
      <c r="O1320" s="74"/>
      <c r="P1320" s="73"/>
      <c r="Q1320" s="68"/>
      <c r="T1320" s="88">
        <v>5.05306435E-2</v>
      </c>
    </row>
    <row r="1321" spans="1:20" ht="14.85" customHeight="1">
      <c r="A1321" s="68"/>
      <c r="B1321" s="68"/>
      <c r="C1321" s="68"/>
      <c r="D1321" s="179"/>
      <c r="E1321" s="179"/>
      <c r="F1321" s="76" t="s">
        <v>1073</v>
      </c>
      <c r="G1321" s="179"/>
      <c r="H1321" s="179"/>
      <c r="I1321" s="179"/>
      <c r="J1321" s="179"/>
      <c r="K1321" s="179"/>
      <c r="L1321" s="70" t="s">
        <v>1074</v>
      </c>
      <c r="M1321" s="179"/>
      <c r="N1321" s="179"/>
      <c r="O1321" s="68"/>
      <c r="P1321" s="68"/>
      <c r="Q1321" s="68"/>
      <c r="T1321" s="88">
        <v>5.05306435E-2</v>
      </c>
    </row>
    <row r="1322" spans="1:20" ht="14.45" customHeight="1">
      <c r="A1322" s="77" t="s">
        <v>1089</v>
      </c>
      <c r="B1322" s="68"/>
      <c r="C1322" s="68"/>
      <c r="D1322" s="179"/>
      <c r="E1322" s="179"/>
      <c r="F1322" s="68"/>
      <c r="G1322" s="179"/>
      <c r="H1322" s="179"/>
      <c r="I1322" s="179"/>
      <c r="J1322" s="179"/>
      <c r="K1322" s="179"/>
      <c r="L1322" s="68"/>
      <c r="M1322" s="179"/>
      <c r="N1322" s="179"/>
      <c r="O1322" s="68"/>
      <c r="P1322" s="68"/>
      <c r="Q1322" s="68"/>
      <c r="T1322" s="88">
        <v>5.05306435E-2</v>
      </c>
    </row>
    <row r="1323" spans="1:20" ht="15.2" customHeight="1">
      <c r="A1323" s="206" t="s">
        <v>1846</v>
      </c>
      <c r="B1323" s="206"/>
      <c r="C1323" s="206"/>
      <c r="D1323" s="206"/>
      <c r="E1323" s="206"/>
      <c r="F1323" s="206"/>
      <c r="G1323" s="206"/>
      <c r="H1323" s="206"/>
      <c r="I1323" s="206"/>
      <c r="J1323" s="206"/>
      <c r="K1323" s="206"/>
      <c r="L1323" s="206"/>
      <c r="M1323" s="206"/>
      <c r="N1323" s="206"/>
      <c r="O1323" s="206"/>
      <c r="P1323" s="206"/>
      <c r="T1323" s="88">
        <v>5.05306435E-2</v>
      </c>
    </row>
    <row r="1324" spans="1:20" ht="14.45" customHeight="1">
      <c r="A1324" s="207"/>
      <c r="B1324" s="207"/>
      <c r="C1324" s="207"/>
      <c r="D1324" s="207"/>
      <c r="E1324" s="207"/>
      <c r="F1324" s="207"/>
      <c r="G1324" s="207"/>
      <c r="H1324" s="207"/>
      <c r="I1324" s="207"/>
      <c r="J1324" s="207"/>
      <c r="K1324" s="207"/>
      <c r="L1324" s="207"/>
      <c r="M1324" s="207"/>
      <c r="N1324" s="207"/>
      <c r="O1324" s="207"/>
      <c r="P1324" s="207"/>
      <c r="Q1324" s="81"/>
      <c r="T1324" s="88">
        <v>5.05306435E-2</v>
      </c>
    </row>
    <row r="1325" spans="1:20" ht="15.75" customHeight="1">
      <c r="A1325" s="71">
        <v>40925</v>
      </c>
      <c r="B1325" s="44" t="s">
        <v>3</v>
      </c>
      <c r="C1325" s="43" t="s">
        <v>4</v>
      </c>
      <c r="D1325" s="208" t="s">
        <v>5</v>
      </c>
      <c r="E1325" s="209"/>
      <c r="F1325" s="43" t="s">
        <v>1049</v>
      </c>
      <c r="G1325" s="210"/>
      <c r="H1325" s="211"/>
      <c r="I1325" s="212"/>
      <c r="J1325" s="213" t="s">
        <v>6</v>
      </c>
      <c r="K1325" s="214"/>
      <c r="L1325" s="44" t="s">
        <v>7</v>
      </c>
      <c r="M1325" s="219" t="s">
        <v>8</v>
      </c>
      <c r="N1325" s="220"/>
      <c r="O1325" s="63"/>
      <c r="P1325" s="44" t="s">
        <v>11</v>
      </c>
      <c r="Q1325" s="81"/>
      <c r="T1325" s="88">
        <v>5.05306435E-2</v>
      </c>
    </row>
    <row r="1326" spans="1:20" ht="14.45" customHeight="1">
      <c r="A1326" s="47" t="s">
        <v>1051</v>
      </c>
      <c r="B1326" s="48" t="s">
        <v>1847</v>
      </c>
      <c r="C1326" s="47" t="s">
        <v>1053</v>
      </c>
      <c r="D1326" s="190" t="s">
        <v>1848</v>
      </c>
      <c r="E1326" s="191"/>
      <c r="F1326" s="47" t="s">
        <v>1628</v>
      </c>
      <c r="G1326" s="192"/>
      <c r="H1326" s="193"/>
      <c r="I1326" s="194"/>
      <c r="J1326" s="223" t="s">
        <v>1085</v>
      </c>
      <c r="K1326" s="224"/>
      <c r="L1326" s="50">
        <v>1</v>
      </c>
      <c r="M1326" s="197">
        <v>91.24</v>
      </c>
      <c r="N1326" s="198"/>
      <c r="O1326" s="64">
        <f>M1326-(M1326*T1326)</f>
        <v>86.629584087059996</v>
      </c>
      <c r="P1326" s="64">
        <f>SUM(P1327:P1334)</f>
        <v>86.625786209634001</v>
      </c>
      <c r="Q1326" s="81"/>
      <c r="T1326" s="88">
        <v>5.05306435E-2</v>
      </c>
    </row>
    <row r="1327" spans="1:20" ht="14.45" customHeight="1">
      <c r="A1327" s="52" t="s">
        <v>1057</v>
      </c>
      <c r="B1327" s="53">
        <v>88264</v>
      </c>
      <c r="C1327" s="52" t="s">
        <v>1058</v>
      </c>
      <c r="D1327" s="199" t="s">
        <v>1063</v>
      </c>
      <c r="E1327" s="200"/>
      <c r="F1327" s="52" t="s">
        <v>1158</v>
      </c>
      <c r="G1327" s="201"/>
      <c r="H1327" s="202"/>
      <c r="I1327" s="203"/>
      <c r="J1327" s="204" t="s">
        <v>1061</v>
      </c>
      <c r="K1327" s="205"/>
      <c r="L1327" s="55">
        <v>0.4</v>
      </c>
      <c r="M1327" s="188">
        <v>27.27</v>
      </c>
      <c r="N1327" s="189"/>
      <c r="O1327" s="56">
        <f>M1327-(M1327*T1327)</f>
        <v>25.892029351754999</v>
      </c>
      <c r="P1327" s="57">
        <f t="shared" ref="P1327:P1329" si="250">O1327*L1327</f>
        <v>10.356811740702</v>
      </c>
      <c r="Q1327" s="81"/>
      <c r="T1327" s="88">
        <v>5.05306435E-2</v>
      </c>
    </row>
    <row r="1328" spans="1:20" ht="14.45" customHeight="1">
      <c r="A1328" s="52" t="s">
        <v>1057</v>
      </c>
      <c r="B1328" s="53">
        <v>88316</v>
      </c>
      <c r="C1328" s="52" t="s">
        <v>1058</v>
      </c>
      <c r="D1328" s="199" t="s">
        <v>1059</v>
      </c>
      <c r="E1328" s="200"/>
      <c r="F1328" s="52" t="s">
        <v>1158</v>
      </c>
      <c r="G1328" s="201"/>
      <c r="H1328" s="202"/>
      <c r="I1328" s="203"/>
      <c r="J1328" s="204" t="s">
        <v>1061</v>
      </c>
      <c r="K1328" s="205"/>
      <c r="L1328" s="55">
        <v>0.4</v>
      </c>
      <c r="M1328" s="188">
        <v>21.32</v>
      </c>
      <c r="N1328" s="189"/>
      <c r="O1328" s="56">
        <f t="shared" ref="O1328:O1329" si="251">M1328-(M1328*T1328)</f>
        <v>20.24268668058</v>
      </c>
      <c r="P1328" s="57">
        <f t="shared" si="250"/>
        <v>8.0970746722320008</v>
      </c>
      <c r="Q1328" s="81"/>
      <c r="T1328" s="88">
        <v>5.05306435E-2</v>
      </c>
    </row>
    <row r="1329" spans="1:20" ht="14.45" customHeight="1">
      <c r="A1329" s="58" t="s">
        <v>1064</v>
      </c>
      <c r="B1329" s="62">
        <v>13326</v>
      </c>
      <c r="C1329" s="58" t="s">
        <v>1180</v>
      </c>
      <c r="D1329" s="181" t="s">
        <v>1849</v>
      </c>
      <c r="E1329" s="182"/>
      <c r="F1329" s="58" t="s">
        <v>1068</v>
      </c>
      <c r="G1329" s="183"/>
      <c r="H1329" s="184"/>
      <c r="I1329" s="185"/>
      <c r="J1329" s="186" t="s">
        <v>1187</v>
      </c>
      <c r="K1329" s="187"/>
      <c r="L1329" s="60">
        <v>1</v>
      </c>
      <c r="M1329" s="221">
        <v>71.8</v>
      </c>
      <c r="N1329" s="222"/>
      <c r="O1329" s="56">
        <f t="shared" si="251"/>
        <v>68.171899796700004</v>
      </c>
      <c r="P1329" s="57">
        <f t="shared" si="250"/>
        <v>68.171899796700004</v>
      </c>
      <c r="Q1329" s="81"/>
      <c r="T1329" s="88">
        <v>5.05306435E-2</v>
      </c>
    </row>
    <row r="1330" spans="1:20" ht="14.25" customHeight="1">
      <c r="A1330" s="174" t="s">
        <v>1070</v>
      </c>
      <c r="B1330" s="174"/>
      <c r="C1330" s="174"/>
      <c r="D1330" s="174"/>
      <c r="E1330" s="174"/>
      <c r="F1330" s="174"/>
      <c r="G1330" s="174"/>
      <c r="H1330" s="175" t="s">
        <v>1071</v>
      </c>
      <c r="I1330" s="175"/>
      <c r="J1330" s="175"/>
      <c r="K1330" s="175"/>
      <c r="L1330" s="176">
        <v>0</v>
      </c>
      <c r="M1330" s="176"/>
      <c r="N1330" s="177" t="s">
        <v>1072</v>
      </c>
      <c r="O1330" s="177"/>
      <c r="P1330" s="177"/>
      <c r="T1330" s="88">
        <v>5.05306435E-2</v>
      </c>
    </row>
    <row r="1331" spans="1:20" ht="14.25" customHeight="1">
      <c r="A1331" s="178" t="s">
        <v>1073</v>
      </c>
      <c r="B1331" s="178"/>
      <c r="C1331" s="178"/>
      <c r="D1331" s="178"/>
      <c r="E1331" s="178"/>
      <c r="F1331" s="178"/>
      <c r="G1331" s="178"/>
      <c r="H1331" s="179"/>
      <c r="I1331" s="179"/>
      <c r="J1331" s="179"/>
      <c r="K1331" s="179"/>
      <c r="L1331" s="180" t="s">
        <v>1074</v>
      </c>
      <c r="M1331" s="180"/>
      <c r="N1331" s="179"/>
      <c r="O1331" s="179"/>
      <c r="P1331" s="179"/>
      <c r="T1331" s="88">
        <v>5.05306435E-2</v>
      </c>
    </row>
    <row r="1332" spans="1:20" ht="28.5" customHeight="1">
      <c r="A1332" s="172" t="s">
        <v>1850</v>
      </c>
      <c r="B1332" s="172"/>
      <c r="C1332" s="172"/>
      <c r="D1332" s="172"/>
      <c r="E1332" s="172"/>
      <c r="F1332" s="172"/>
      <c r="G1332" s="172"/>
      <c r="H1332" s="172"/>
      <c r="I1332" s="172"/>
      <c r="J1332" s="172"/>
      <c r="K1332" s="172"/>
      <c r="L1332" s="172"/>
      <c r="M1332" s="172"/>
      <c r="N1332" s="172"/>
      <c r="O1332" s="172"/>
      <c r="P1332" s="172"/>
      <c r="Q1332" s="172"/>
      <c r="T1332" s="88">
        <v>5.05306435E-2</v>
      </c>
    </row>
    <row r="1333" spans="1:20" ht="14.45" customHeight="1">
      <c r="A1333" s="207"/>
      <c r="B1333" s="207"/>
      <c r="C1333" s="207"/>
      <c r="D1333" s="207"/>
      <c r="E1333" s="207"/>
      <c r="F1333" s="207"/>
      <c r="G1333" s="207"/>
      <c r="H1333" s="207"/>
      <c r="I1333" s="207"/>
      <c r="J1333" s="207"/>
      <c r="K1333" s="207"/>
      <c r="L1333" s="207"/>
      <c r="M1333" s="207"/>
      <c r="N1333" s="207"/>
      <c r="O1333" s="207"/>
      <c r="P1333" s="207"/>
      <c r="T1333" s="88">
        <v>5.05306435E-2</v>
      </c>
    </row>
    <row r="1334" spans="1:20" ht="15.75" customHeight="1">
      <c r="A1334" s="71">
        <v>41291</v>
      </c>
      <c r="B1334" s="44" t="s">
        <v>3</v>
      </c>
      <c r="C1334" s="43" t="s">
        <v>4</v>
      </c>
      <c r="D1334" s="208" t="s">
        <v>5</v>
      </c>
      <c r="E1334" s="209"/>
      <c r="F1334" s="43" t="s">
        <v>1049</v>
      </c>
      <c r="G1334" s="210"/>
      <c r="H1334" s="211"/>
      <c r="I1334" s="212"/>
      <c r="J1334" s="213" t="s">
        <v>6</v>
      </c>
      <c r="K1334" s="214"/>
      <c r="L1334" s="44" t="s">
        <v>7</v>
      </c>
      <c r="M1334" s="219" t="s">
        <v>8</v>
      </c>
      <c r="N1334" s="220"/>
      <c r="O1334" s="63"/>
      <c r="P1334" s="44" t="s">
        <v>11</v>
      </c>
      <c r="T1334" s="88">
        <v>5.05306435E-2</v>
      </c>
    </row>
    <row r="1335" spans="1:20" ht="14.45" customHeight="1">
      <c r="A1335" s="47" t="s">
        <v>1051</v>
      </c>
      <c r="B1335" s="48" t="s">
        <v>1851</v>
      </c>
      <c r="C1335" s="47" t="s">
        <v>1053</v>
      </c>
      <c r="D1335" s="190" t="s">
        <v>1852</v>
      </c>
      <c r="E1335" s="191"/>
      <c r="F1335" s="47" t="s">
        <v>1628</v>
      </c>
      <c r="G1335" s="192"/>
      <c r="H1335" s="193"/>
      <c r="I1335" s="194"/>
      <c r="J1335" s="223" t="s">
        <v>1085</v>
      </c>
      <c r="K1335" s="224"/>
      <c r="L1335" s="50">
        <v>1</v>
      </c>
      <c r="M1335" s="197">
        <v>2.69</v>
      </c>
      <c r="N1335" s="198"/>
      <c r="O1335" s="64">
        <f>M1335-(M1335*T1335)</f>
        <v>2.5540725689850001</v>
      </c>
      <c r="P1335" s="64">
        <f>SUM(P1336:P1343)</f>
        <v>2.5535978343067502</v>
      </c>
      <c r="T1335" s="88">
        <v>5.05306435E-2</v>
      </c>
    </row>
    <row r="1336" spans="1:20" ht="14.45" customHeight="1">
      <c r="A1336" s="52" t="s">
        <v>1057</v>
      </c>
      <c r="B1336" s="53">
        <v>88316</v>
      </c>
      <c r="C1336" s="52" t="s">
        <v>1058</v>
      </c>
      <c r="D1336" s="199" t="s">
        <v>1059</v>
      </c>
      <c r="E1336" s="200"/>
      <c r="F1336" s="52" t="s">
        <v>1158</v>
      </c>
      <c r="G1336" s="201"/>
      <c r="H1336" s="202"/>
      <c r="I1336" s="203"/>
      <c r="J1336" s="204" t="s">
        <v>1061</v>
      </c>
      <c r="K1336" s="205"/>
      <c r="L1336" s="55">
        <v>0.05</v>
      </c>
      <c r="M1336" s="188">
        <v>21.32</v>
      </c>
      <c r="N1336" s="189"/>
      <c r="O1336" s="56">
        <f>M1336-(M1336*T1336)</f>
        <v>20.24268668058</v>
      </c>
      <c r="P1336" s="57">
        <f t="shared" ref="P1336:P1338" si="252">O1336*L1336</f>
        <v>1.0121343340290001</v>
      </c>
      <c r="T1336" s="88">
        <v>5.05306435E-2</v>
      </c>
    </row>
    <row r="1337" spans="1:20" ht="14.45" customHeight="1">
      <c r="A1337" s="52" t="s">
        <v>1057</v>
      </c>
      <c r="B1337" s="53">
        <v>88264</v>
      </c>
      <c r="C1337" s="52" t="s">
        <v>1058</v>
      </c>
      <c r="D1337" s="199" t="s">
        <v>1063</v>
      </c>
      <c r="E1337" s="200"/>
      <c r="F1337" s="52" t="s">
        <v>1158</v>
      </c>
      <c r="G1337" s="201"/>
      <c r="H1337" s="202"/>
      <c r="I1337" s="203"/>
      <c r="J1337" s="204" t="s">
        <v>1061</v>
      </c>
      <c r="K1337" s="205"/>
      <c r="L1337" s="55">
        <v>0.05</v>
      </c>
      <c r="M1337" s="188">
        <v>27.27</v>
      </c>
      <c r="N1337" s="189"/>
      <c r="O1337" s="56">
        <f t="shared" ref="O1337:O1338" si="253">M1337-(M1337*T1337)</f>
        <v>25.892029351754999</v>
      </c>
      <c r="P1337" s="57">
        <f t="shared" si="252"/>
        <v>1.29460146758775</v>
      </c>
      <c r="T1337" s="88">
        <v>5.05306435E-2</v>
      </c>
    </row>
    <row r="1338" spans="1:20" ht="14.45" customHeight="1">
      <c r="A1338" s="58" t="s">
        <v>1064</v>
      </c>
      <c r="B1338" s="62">
        <v>4342</v>
      </c>
      <c r="C1338" s="58" t="s">
        <v>1058</v>
      </c>
      <c r="D1338" s="181" t="s">
        <v>1610</v>
      </c>
      <c r="E1338" s="182"/>
      <c r="F1338" s="58" t="s">
        <v>1068</v>
      </c>
      <c r="G1338" s="183"/>
      <c r="H1338" s="184"/>
      <c r="I1338" s="185"/>
      <c r="J1338" s="240" t="s">
        <v>1085</v>
      </c>
      <c r="K1338" s="241"/>
      <c r="L1338" s="60">
        <v>1</v>
      </c>
      <c r="M1338" s="188">
        <v>0.26</v>
      </c>
      <c r="N1338" s="189"/>
      <c r="O1338" s="56">
        <f t="shared" si="253"/>
        <v>0.24686203269000001</v>
      </c>
      <c r="P1338" s="57">
        <f t="shared" si="252"/>
        <v>0.24686203269000001</v>
      </c>
      <c r="T1338" s="88">
        <v>5.05306435E-2</v>
      </c>
    </row>
    <row r="1339" spans="1:20" ht="14.25" customHeight="1">
      <c r="A1339" s="73"/>
      <c r="B1339" s="73"/>
      <c r="C1339" s="73"/>
      <c r="D1339" s="218"/>
      <c r="E1339" s="218"/>
      <c r="F1339" s="74" t="s">
        <v>1070</v>
      </c>
      <c r="G1339" s="218"/>
      <c r="H1339" s="218"/>
      <c r="I1339" s="218"/>
      <c r="J1339" s="175" t="s">
        <v>1071</v>
      </c>
      <c r="K1339" s="175"/>
      <c r="L1339" s="75">
        <v>0</v>
      </c>
      <c r="M1339" s="175" t="s">
        <v>1072</v>
      </c>
      <c r="N1339" s="175"/>
      <c r="O1339" s="74"/>
      <c r="P1339" s="73"/>
      <c r="T1339" s="88">
        <v>5.05306435E-2</v>
      </c>
    </row>
    <row r="1340" spans="1:20" ht="14.85" customHeight="1">
      <c r="A1340" s="68"/>
      <c r="B1340" s="68"/>
      <c r="C1340" s="68"/>
      <c r="D1340" s="179"/>
      <c r="E1340" s="179"/>
      <c r="F1340" s="76" t="s">
        <v>1073</v>
      </c>
      <c r="G1340" s="179"/>
      <c r="H1340" s="179"/>
      <c r="I1340" s="179"/>
      <c r="J1340" s="179"/>
      <c r="K1340" s="179"/>
      <c r="L1340" s="70" t="s">
        <v>1074</v>
      </c>
      <c r="M1340" s="179"/>
      <c r="N1340" s="179"/>
      <c r="O1340" s="68"/>
      <c r="P1340" s="68"/>
      <c r="T1340" s="88">
        <v>5.05306435E-2</v>
      </c>
    </row>
    <row r="1341" spans="1:20" ht="14.45" customHeight="1">
      <c r="A1341" s="77" t="s">
        <v>1089</v>
      </c>
      <c r="B1341" s="68"/>
      <c r="C1341" s="68"/>
      <c r="D1341" s="179"/>
      <c r="E1341" s="179"/>
      <c r="F1341" s="68"/>
      <c r="G1341" s="179"/>
      <c r="H1341" s="179"/>
      <c r="I1341" s="179"/>
      <c r="J1341" s="179"/>
      <c r="K1341" s="179"/>
      <c r="L1341" s="68"/>
      <c r="M1341" s="179"/>
      <c r="N1341" s="179"/>
      <c r="O1341" s="68"/>
      <c r="P1341" s="68"/>
      <c r="T1341" s="88">
        <v>5.05306435E-2</v>
      </c>
    </row>
    <row r="1342" spans="1:20" ht="15.2" customHeight="1">
      <c r="A1342" s="206" t="s">
        <v>1853</v>
      </c>
      <c r="B1342" s="206"/>
      <c r="C1342" s="206"/>
      <c r="D1342" s="206"/>
      <c r="E1342" s="206"/>
      <c r="F1342" s="206"/>
      <c r="G1342" s="206"/>
      <c r="H1342" s="206"/>
      <c r="I1342" s="206"/>
      <c r="J1342" s="206"/>
      <c r="K1342" s="206"/>
      <c r="L1342" s="206"/>
      <c r="M1342" s="206"/>
      <c r="N1342" s="206"/>
      <c r="O1342" s="206"/>
      <c r="P1342" s="206"/>
      <c r="T1342" s="88">
        <v>5.05306435E-2</v>
      </c>
    </row>
    <row r="1343" spans="1:20" ht="14.45" customHeight="1">
      <c r="A1343" s="207"/>
      <c r="B1343" s="207"/>
      <c r="C1343" s="207"/>
      <c r="D1343" s="207"/>
      <c r="E1343" s="207"/>
      <c r="F1343" s="207"/>
      <c r="G1343" s="207"/>
      <c r="H1343" s="207"/>
      <c r="I1343" s="207"/>
      <c r="J1343" s="207"/>
      <c r="K1343" s="207"/>
      <c r="L1343" s="207"/>
      <c r="M1343" s="207"/>
      <c r="N1343" s="207"/>
      <c r="O1343" s="207"/>
      <c r="P1343" s="207"/>
      <c r="T1343" s="88">
        <v>5.05306435E-2</v>
      </c>
    </row>
    <row r="1344" spans="1:20" ht="15.75" customHeight="1">
      <c r="A1344" s="43" t="s">
        <v>1854</v>
      </c>
      <c r="B1344" s="44" t="s">
        <v>3</v>
      </c>
      <c r="C1344" s="43" t="s">
        <v>4</v>
      </c>
      <c r="D1344" s="208" t="s">
        <v>5</v>
      </c>
      <c r="E1344" s="209"/>
      <c r="F1344" s="43" t="s">
        <v>1049</v>
      </c>
      <c r="G1344" s="210"/>
      <c r="H1344" s="211"/>
      <c r="I1344" s="212"/>
      <c r="J1344" s="213" t="s">
        <v>6</v>
      </c>
      <c r="K1344" s="214"/>
      <c r="L1344" s="44" t="s">
        <v>7</v>
      </c>
      <c r="M1344" s="219" t="s">
        <v>8</v>
      </c>
      <c r="N1344" s="220"/>
      <c r="O1344" s="63"/>
      <c r="P1344" s="44" t="s">
        <v>11</v>
      </c>
      <c r="T1344" s="88">
        <v>5.05306435E-2</v>
      </c>
    </row>
    <row r="1345" spans="1:20" ht="14.45" customHeight="1">
      <c r="A1345" s="47" t="s">
        <v>1051</v>
      </c>
      <c r="B1345" s="48" t="s">
        <v>1855</v>
      </c>
      <c r="C1345" s="47" t="s">
        <v>1053</v>
      </c>
      <c r="D1345" s="190" t="s">
        <v>1856</v>
      </c>
      <c r="E1345" s="191"/>
      <c r="F1345" s="47" t="s">
        <v>1396</v>
      </c>
      <c r="G1345" s="192"/>
      <c r="H1345" s="193"/>
      <c r="I1345" s="194"/>
      <c r="J1345" s="223" t="s">
        <v>1085</v>
      </c>
      <c r="K1345" s="224"/>
      <c r="L1345" s="50">
        <v>1</v>
      </c>
      <c r="M1345" s="238">
        <v>6348.47</v>
      </c>
      <c r="N1345" s="239"/>
      <c r="O1345" s="64">
        <f>M1345-(M1345*T1345)</f>
        <v>6027.6777256595551</v>
      </c>
      <c r="P1345" s="64">
        <f>SUM(P1346:P1353)</f>
        <v>6027.6734055739826</v>
      </c>
      <c r="T1345" s="88">
        <v>5.05306435E-2</v>
      </c>
    </row>
    <row r="1346" spans="1:20" ht="14.45" customHeight="1">
      <c r="A1346" s="52" t="s">
        <v>1057</v>
      </c>
      <c r="B1346" s="53">
        <v>88277</v>
      </c>
      <c r="C1346" s="52" t="s">
        <v>1058</v>
      </c>
      <c r="D1346" s="199" t="s">
        <v>1843</v>
      </c>
      <c r="E1346" s="200"/>
      <c r="F1346" s="52" t="s">
        <v>1158</v>
      </c>
      <c r="G1346" s="201"/>
      <c r="H1346" s="202"/>
      <c r="I1346" s="203"/>
      <c r="J1346" s="204" t="s">
        <v>1061</v>
      </c>
      <c r="K1346" s="205"/>
      <c r="L1346" s="55">
        <v>1.6910000000000001</v>
      </c>
      <c r="M1346" s="188">
        <v>27.66</v>
      </c>
      <c r="N1346" s="189"/>
      <c r="O1346" s="56">
        <f>M1346-(M1346*T1346)</f>
        <v>26.262322400790001</v>
      </c>
      <c r="P1346" s="57">
        <f t="shared" ref="P1346:P1348" si="254">O1346*L1346</f>
        <v>44.409587179735894</v>
      </c>
      <c r="Q1346" s="228"/>
      <c r="R1346" s="179"/>
      <c r="T1346" s="88">
        <v>5.05306435E-2</v>
      </c>
    </row>
    <row r="1347" spans="1:20" ht="14.25" customHeight="1">
      <c r="A1347" s="52" t="s">
        <v>1057</v>
      </c>
      <c r="B1347" s="53">
        <v>88243</v>
      </c>
      <c r="C1347" s="52" t="s">
        <v>1058</v>
      </c>
      <c r="D1347" s="199" t="s">
        <v>1844</v>
      </c>
      <c r="E1347" s="200"/>
      <c r="F1347" s="52" t="s">
        <v>1158</v>
      </c>
      <c r="G1347" s="201"/>
      <c r="H1347" s="202"/>
      <c r="I1347" s="203"/>
      <c r="J1347" s="204" t="s">
        <v>1061</v>
      </c>
      <c r="K1347" s="205"/>
      <c r="L1347" s="55">
        <v>1.6910000000000001</v>
      </c>
      <c r="M1347" s="188">
        <v>22.29</v>
      </c>
      <c r="N1347" s="189"/>
      <c r="O1347" s="56">
        <f t="shared" ref="O1347:O1348" si="255">M1347-(M1347*T1347)</f>
        <v>21.163671956384999</v>
      </c>
      <c r="P1347" s="57">
        <f t="shared" si="254"/>
        <v>35.787769278247033</v>
      </c>
      <c r="Q1347" s="228"/>
      <c r="R1347" s="179"/>
      <c r="T1347" s="88">
        <v>5.05306435E-2</v>
      </c>
    </row>
    <row r="1348" spans="1:20" ht="15" customHeight="1">
      <c r="A1348" s="58" t="s">
        <v>1064</v>
      </c>
      <c r="B1348" s="62">
        <v>6408</v>
      </c>
      <c r="C1348" s="58" t="s">
        <v>1150</v>
      </c>
      <c r="D1348" s="181" t="s">
        <v>1857</v>
      </c>
      <c r="E1348" s="182"/>
      <c r="F1348" s="58" t="s">
        <v>1068</v>
      </c>
      <c r="G1348" s="183"/>
      <c r="H1348" s="184"/>
      <c r="I1348" s="185"/>
      <c r="J1348" s="186" t="s">
        <v>1085</v>
      </c>
      <c r="K1348" s="187"/>
      <c r="L1348" s="60">
        <v>1</v>
      </c>
      <c r="M1348" s="234">
        <v>6264</v>
      </c>
      <c r="N1348" s="235"/>
      <c r="O1348" s="56">
        <f t="shared" si="255"/>
        <v>5947.4760491159996</v>
      </c>
      <c r="P1348" s="57">
        <f t="shared" si="254"/>
        <v>5947.4760491159996</v>
      </c>
      <c r="Q1348" s="228"/>
      <c r="R1348" s="179"/>
      <c r="T1348" s="88">
        <v>5.05306435E-2</v>
      </c>
    </row>
    <row r="1349" spans="1:20" ht="14.25" customHeight="1">
      <c r="A1349" s="174" t="s">
        <v>1070</v>
      </c>
      <c r="B1349" s="174"/>
      <c r="C1349" s="174"/>
      <c r="D1349" s="174"/>
      <c r="E1349" s="174"/>
      <c r="F1349" s="174"/>
      <c r="G1349" s="174"/>
      <c r="H1349" s="175" t="s">
        <v>1071</v>
      </c>
      <c r="I1349" s="175"/>
      <c r="J1349" s="175"/>
      <c r="K1349" s="175"/>
      <c r="L1349" s="176">
        <v>0</v>
      </c>
      <c r="M1349" s="176"/>
      <c r="N1349" s="177" t="s">
        <v>1072</v>
      </c>
      <c r="O1349" s="177"/>
      <c r="P1349" s="177"/>
      <c r="Q1349" s="179"/>
      <c r="R1349" s="179"/>
      <c r="T1349" s="88">
        <v>5.05306435E-2</v>
      </c>
    </row>
    <row r="1350" spans="1:20" ht="16.5" customHeight="1">
      <c r="A1350" s="178" t="s">
        <v>1073</v>
      </c>
      <c r="B1350" s="178"/>
      <c r="C1350" s="178"/>
      <c r="D1350" s="178"/>
      <c r="E1350" s="178"/>
      <c r="F1350" s="178"/>
      <c r="G1350" s="178"/>
      <c r="H1350" s="179"/>
      <c r="I1350" s="179"/>
      <c r="J1350" s="179"/>
      <c r="K1350" s="179"/>
      <c r="L1350" s="180" t="s">
        <v>1074</v>
      </c>
      <c r="M1350" s="180"/>
      <c r="N1350" s="179"/>
      <c r="O1350" s="179"/>
      <c r="P1350" s="179"/>
      <c r="Q1350" s="179"/>
      <c r="R1350" s="179"/>
      <c r="T1350" s="88">
        <v>5.05306435E-2</v>
      </c>
    </row>
    <row r="1351" spans="1:20" ht="28.5" customHeight="1">
      <c r="A1351" s="233" t="s">
        <v>1858</v>
      </c>
      <c r="B1351" s="233"/>
      <c r="C1351" s="233"/>
      <c r="D1351" s="233"/>
      <c r="E1351" s="233"/>
      <c r="F1351" s="233"/>
      <c r="G1351" s="233"/>
      <c r="H1351" s="233"/>
      <c r="I1351" s="233"/>
      <c r="J1351" s="233"/>
      <c r="K1351" s="233"/>
      <c r="L1351" s="233"/>
      <c r="M1351" s="233"/>
      <c r="N1351" s="233"/>
      <c r="O1351" s="233"/>
      <c r="P1351" s="233"/>
      <c r="Q1351" s="233"/>
      <c r="R1351" s="233"/>
      <c r="T1351" s="88">
        <v>5.05306435E-2</v>
      </c>
    </row>
    <row r="1352" spans="1:20" ht="14.25" customHeight="1">
      <c r="A1352" s="207"/>
      <c r="B1352" s="207"/>
      <c r="C1352" s="207"/>
      <c r="D1352" s="207"/>
      <c r="E1352" s="207"/>
      <c r="F1352" s="207"/>
      <c r="G1352" s="207"/>
      <c r="H1352" s="207"/>
      <c r="I1352" s="207"/>
      <c r="J1352" s="207"/>
      <c r="K1352" s="207"/>
      <c r="L1352" s="207"/>
      <c r="M1352" s="207"/>
      <c r="N1352" s="207"/>
      <c r="O1352" s="207"/>
      <c r="P1352" s="207"/>
      <c r="Q1352" s="179"/>
      <c r="R1352" s="179"/>
      <c r="T1352" s="88">
        <v>5.05306435E-2</v>
      </c>
    </row>
    <row r="1353" spans="1:20" ht="15.75" customHeight="1">
      <c r="A1353" s="43" t="s">
        <v>1859</v>
      </c>
      <c r="B1353" s="44" t="s">
        <v>3</v>
      </c>
      <c r="C1353" s="43" t="s">
        <v>4</v>
      </c>
      <c r="D1353" s="208" t="s">
        <v>5</v>
      </c>
      <c r="E1353" s="209"/>
      <c r="F1353" s="43" t="s">
        <v>1049</v>
      </c>
      <c r="G1353" s="210"/>
      <c r="H1353" s="211"/>
      <c r="I1353" s="212"/>
      <c r="J1353" s="215" t="s">
        <v>6</v>
      </c>
      <c r="K1353" s="217"/>
      <c r="L1353" s="44" t="s">
        <v>7</v>
      </c>
      <c r="M1353" s="213" t="s">
        <v>8</v>
      </c>
      <c r="N1353" s="214"/>
      <c r="O1353" s="66"/>
      <c r="P1353" s="44" t="s">
        <v>11</v>
      </c>
      <c r="Q1353" s="228"/>
      <c r="R1353" s="179"/>
      <c r="T1353" s="88">
        <v>5.05306435E-2</v>
      </c>
    </row>
    <row r="1354" spans="1:20" ht="14.25" customHeight="1">
      <c r="A1354" s="47" t="s">
        <v>1051</v>
      </c>
      <c r="B1354" s="48" t="s">
        <v>1860</v>
      </c>
      <c r="C1354" s="47" t="s">
        <v>1053</v>
      </c>
      <c r="D1354" s="190" t="s">
        <v>1861</v>
      </c>
      <c r="E1354" s="191"/>
      <c r="F1354" s="47" t="s">
        <v>1396</v>
      </c>
      <c r="G1354" s="192"/>
      <c r="H1354" s="193"/>
      <c r="I1354" s="194"/>
      <c r="J1354" s="195" t="s">
        <v>1085</v>
      </c>
      <c r="K1354" s="196"/>
      <c r="L1354" s="50">
        <v>1</v>
      </c>
      <c r="M1354" s="236">
        <v>7574.14</v>
      </c>
      <c r="N1354" s="237"/>
      <c r="O1354" s="64">
        <f>M1354-(M1354*T1354)</f>
        <v>7191.4138318409105</v>
      </c>
      <c r="P1354" s="64">
        <f>SUM(P1355:P1362)</f>
        <v>7191.4144964694588</v>
      </c>
      <c r="Q1354" s="228"/>
      <c r="R1354" s="179"/>
      <c r="T1354" s="88">
        <v>5.05306435E-2</v>
      </c>
    </row>
    <row r="1355" spans="1:20" ht="15" customHeight="1">
      <c r="A1355" s="52" t="s">
        <v>1057</v>
      </c>
      <c r="B1355" s="53">
        <v>88277</v>
      </c>
      <c r="C1355" s="52" t="s">
        <v>1058</v>
      </c>
      <c r="D1355" s="199" t="s">
        <v>1843</v>
      </c>
      <c r="E1355" s="200"/>
      <c r="F1355" s="52" t="s">
        <v>1158</v>
      </c>
      <c r="G1355" s="201"/>
      <c r="H1355" s="202"/>
      <c r="I1355" s="203"/>
      <c r="J1355" s="204" t="s">
        <v>1061</v>
      </c>
      <c r="K1355" s="205"/>
      <c r="L1355" s="55">
        <v>3.1859999999999999</v>
      </c>
      <c r="M1355" s="188">
        <v>27.66</v>
      </c>
      <c r="N1355" s="189"/>
      <c r="O1355" s="56">
        <f>M1355-(M1355*T1355)</f>
        <v>26.262322400790001</v>
      </c>
      <c r="P1355" s="57">
        <f t="shared" ref="P1355:P1357" si="256">O1355*L1355</f>
        <v>83.67175916891695</v>
      </c>
      <c r="Q1355" s="228"/>
      <c r="R1355" s="179"/>
      <c r="T1355" s="88">
        <v>5.05306435E-2</v>
      </c>
    </row>
    <row r="1356" spans="1:20" ht="15" customHeight="1">
      <c r="A1356" s="52" t="s">
        <v>1057</v>
      </c>
      <c r="B1356" s="53">
        <v>88243</v>
      </c>
      <c r="C1356" s="52" t="s">
        <v>1058</v>
      </c>
      <c r="D1356" s="199" t="s">
        <v>1844</v>
      </c>
      <c r="E1356" s="200"/>
      <c r="F1356" s="52" t="s">
        <v>1158</v>
      </c>
      <c r="G1356" s="201"/>
      <c r="H1356" s="202"/>
      <c r="I1356" s="203"/>
      <c r="J1356" s="204" t="s">
        <v>1061</v>
      </c>
      <c r="K1356" s="205"/>
      <c r="L1356" s="55">
        <v>3.1859999999999999</v>
      </c>
      <c r="M1356" s="188">
        <v>22.29</v>
      </c>
      <c r="N1356" s="189"/>
      <c r="O1356" s="56">
        <f t="shared" ref="O1356:O1357" si="257">M1356-(M1356*T1356)</f>
        <v>21.163671956384999</v>
      </c>
      <c r="P1356" s="57">
        <f t="shared" si="256"/>
        <v>67.427458853042609</v>
      </c>
      <c r="Q1356" s="228"/>
      <c r="R1356" s="179"/>
      <c r="T1356" s="88">
        <v>5.05306435E-2</v>
      </c>
    </row>
    <row r="1357" spans="1:20" ht="14.45" customHeight="1">
      <c r="A1357" s="58" t="s">
        <v>1064</v>
      </c>
      <c r="B1357" s="62">
        <v>36691</v>
      </c>
      <c r="C1357" s="58" t="s">
        <v>1150</v>
      </c>
      <c r="D1357" s="181" t="s">
        <v>1862</v>
      </c>
      <c r="E1357" s="182"/>
      <c r="F1357" s="58" t="s">
        <v>1068</v>
      </c>
      <c r="G1357" s="183"/>
      <c r="H1357" s="184"/>
      <c r="I1357" s="185"/>
      <c r="J1357" s="186" t="s">
        <v>1085</v>
      </c>
      <c r="K1357" s="187"/>
      <c r="L1357" s="60">
        <v>1</v>
      </c>
      <c r="M1357" s="234">
        <v>7415</v>
      </c>
      <c r="N1357" s="235"/>
      <c r="O1357" s="56">
        <f t="shared" si="257"/>
        <v>7040.3152784474996</v>
      </c>
      <c r="P1357" s="57">
        <f t="shared" si="256"/>
        <v>7040.3152784474996</v>
      </c>
      <c r="Q1357" s="228"/>
      <c r="R1357" s="179"/>
      <c r="T1357" s="88">
        <v>5.05306435E-2</v>
      </c>
    </row>
    <row r="1358" spans="1:20" ht="14.25" customHeight="1">
      <c r="A1358" s="174" t="s">
        <v>1070</v>
      </c>
      <c r="B1358" s="174"/>
      <c r="C1358" s="174"/>
      <c r="D1358" s="174"/>
      <c r="E1358" s="174"/>
      <c r="F1358" s="174"/>
      <c r="G1358" s="174"/>
      <c r="H1358" s="175" t="s">
        <v>1071</v>
      </c>
      <c r="I1358" s="175"/>
      <c r="J1358" s="175"/>
      <c r="K1358" s="175"/>
      <c r="L1358" s="176">
        <v>0</v>
      </c>
      <c r="M1358" s="176"/>
      <c r="N1358" s="177" t="s">
        <v>1072</v>
      </c>
      <c r="O1358" s="177"/>
      <c r="P1358" s="177"/>
      <c r="Q1358" s="179"/>
      <c r="R1358" s="179"/>
      <c r="T1358" s="88">
        <v>5.05306435E-2</v>
      </c>
    </row>
    <row r="1359" spans="1:20" ht="16.5" customHeight="1">
      <c r="A1359" s="178" t="s">
        <v>1073</v>
      </c>
      <c r="B1359" s="178"/>
      <c r="C1359" s="178"/>
      <c r="D1359" s="178"/>
      <c r="E1359" s="178"/>
      <c r="F1359" s="178"/>
      <c r="G1359" s="178"/>
      <c r="H1359" s="179"/>
      <c r="I1359" s="179"/>
      <c r="J1359" s="179"/>
      <c r="K1359" s="179"/>
      <c r="L1359" s="180" t="s">
        <v>1074</v>
      </c>
      <c r="M1359" s="180"/>
      <c r="N1359" s="179"/>
      <c r="O1359" s="179"/>
      <c r="P1359" s="179"/>
      <c r="Q1359" s="179"/>
      <c r="R1359" s="179"/>
      <c r="T1359" s="88">
        <v>5.05306435E-2</v>
      </c>
    </row>
    <row r="1360" spans="1:20" ht="28.5" customHeight="1">
      <c r="A1360" s="233" t="s">
        <v>1863</v>
      </c>
      <c r="B1360" s="233"/>
      <c r="C1360" s="233"/>
      <c r="D1360" s="233"/>
      <c r="E1360" s="233"/>
      <c r="F1360" s="233"/>
      <c r="G1360" s="233"/>
      <c r="H1360" s="233"/>
      <c r="I1360" s="233"/>
      <c r="J1360" s="233"/>
      <c r="K1360" s="233"/>
      <c r="L1360" s="233"/>
      <c r="M1360" s="233"/>
      <c r="N1360" s="233"/>
      <c r="O1360" s="233"/>
      <c r="P1360" s="233"/>
      <c r="Q1360" s="233"/>
      <c r="R1360" s="233"/>
      <c r="T1360" s="88">
        <v>5.05306435E-2</v>
      </c>
    </row>
    <row r="1361" spans="1:20" ht="15" customHeight="1">
      <c r="A1361" s="207"/>
      <c r="B1361" s="207"/>
      <c r="C1361" s="207"/>
      <c r="D1361" s="207"/>
      <c r="E1361" s="207"/>
      <c r="F1361" s="207"/>
      <c r="G1361" s="207"/>
      <c r="H1361" s="207"/>
      <c r="I1361" s="207"/>
      <c r="J1361" s="207"/>
      <c r="K1361" s="207"/>
      <c r="L1361" s="207"/>
      <c r="M1361" s="207"/>
      <c r="N1361" s="207"/>
      <c r="O1361" s="207"/>
      <c r="P1361" s="207"/>
      <c r="Q1361" s="179"/>
      <c r="R1361" s="179"/>
      <c r="T1361" s="88">
        <v>5.05306435E-2</v>
      </c>
    </row>
    <row r="1362" spans="1:20" ht="15.75" customHeight="1">
      <c r="A1362" s="43" t="s">
        <v>1864</v>
      </c>
      <c r="B1362" s="44" t="s">
        <v>3</v>
      </c>
      <c r="C1362" s="43" t="s">
        <v>4</v>
      </c>
      <c r="D1362" s="208" t="s">
        <v>5</v>
      </c>
      <c r="E1362" s="209"/>
      <c r="F1362" s="43" t="s">
        <v>1049</v>
      </c>
      <c r="G1362" s="210"/>
      <c r="H1362" s="211"/>
      <c r="I1362" s="212"/>
      <c r="J1362" s="215" t="s">
        <v>6</v>
      </c>
      <c r="K1362" s="217"/>
      <c r="L1362" s="44" t="s">
        <v>7</v>
      </c>
      <c r="M1362" s="213" t="s">
        <v>8</v>
      </c>
      <c r="N1362" s="214"/>
      <c r="O1362" s="66"/>
      <c r="P1362" s="44" t="s">
        <v>11</v>
      </c>
      <c r="Q1362" s="228"/>
      <c r="R1362" s="179"/>
      <c r="T1362" s="88">
        <v>5.05306435E-2</v>
      </c>
    </row>
    <row r="1363" spans="1:20" ht="15" customHeight="1">
      <c r="A1363" s="47" t="s">
        <v>1051</v>
      </c>
      <c r="B1363" s="48" t="s">
        <v>1865</v>
      </c>
      <c r="C1363" s="47" t="s">
        <v>1053</v>
      </c>
      <c r="D1363" s="190" t="s">
        <v>1866</v>
      </c>
      <c r="E1363" s="191"/>
      <c r="F1363" s="47" t="s">
        <v>1396</v>
      </c>
      <c r="G1363" s="192"/>
      <c r="H1363" s="193"/>
      <c r="I1363" s="194"/>
      <c r="J1363" s="195" t="s">
        <v>1085</v>
      </c>
      <c r="K1363" s="196"/>
      <c r="L1363" s="50">
        <v>1</v>
      </c>
      <c r="M1363" s="236">
        <v>3154.13</v>
      </c>
      <c r="N1363" s="237"/>
      <c r="O1363" s="64">
        <f>M1363-(M1363*T1363)</f>
        <v>2994.7497814173453</v>
      </c>
      <c r="P1363" s="64">
        <f>SUM(P1364:P1371)</f>
        <v>2994.7512056213795</v>
      </c>
      <c r="Q1363" s="228"/>
      <c r="R1363" s="179"/>
      <c r="T1363" s="88">
        <v>5.05306435E-2</v>
      </c>
    </row>
    <row r="1364" spans="1:20" ht="14.25" customHeight="1">
      <c r="A1364" s="52" t="s">
        <v>1057</v>
      </c>
      <c r="B1364" s="53">
        <v>88243</v>
      </c>
      <c r="C1364" s="52" t="s">
        <v>1058</v>
      </c>
      <c r="D1364" s="199" t="s">
        <v>1844</v>
      </c>
      <c r="E1364" s="200"/>
      <c r="F1364" s="52" t="s">
        <v>1158</v>
      </c>
      <c r="G1364" s="201"/>
      <c r="H1364" s="202"/>
      <c r="I1364" s="203"/>
      <c r="J1364" s="204" t="s">
        <v>1061</v>
      </c>
      <c r="K1364" s="205"/>
      <c r="L1364" s="55">
        <v>5.1550000000000002</v>
      </c>
      <c r="M1364" s="188">
        <v>22.29</v>
      </c>
      <c r="N1364" s="189"/>
      <c r="O1364" s="56">
        <f>M1364-(M1364*T1364)</f>
        <v>21.163671956384999</v>
      </c>
      <c r="P1364" s="57">
        <f t="shared" ref="P1364:P1366" si="258">O1364*L1364</f>
        <v>109.09872893516467</v>
      </c>
      <c r="Q1364" s="228"/>
      <c r="R1364" s="179"/>
      <c r="T1364" s="88">
        <v>5.05306435E-2</v>
      </c>
    </row>
    <row r="1365" spans="1:20" ht="15" customHeight="1">
      <c r="A1365" s="52" t="s">
        <v>1057</v>
      </c>
      <c r="B1365" s="53">
        <v>100308</v>
      </c>
      <c r="C1365" s="52" t="s">
        <v>1058</v>
      </c>
      <c r="D1365" s="199" t="s">
        <v>1824</v>
      </c>
      <c r="E1365" s="200"/>
      <c r="F1365" s="52" t="s">
        <v>1158</v>
      </c>
      <c r="G1365" s="201"/>
      <c r="H1365" s="202"/>
      <c r="I1365" s="203"/>
      <c r="J1365" s="204" t="s">
        <v>1061</v>
      </c>
      <c r="K1365" s="205"/>
      <c r="L1365" s="55">
        <v>5.1550000000000002</v>
      </c>
      <c r="M1365" s="188">
        <v>27.01</v>
      </c>
      <c r="N1365" s="189"/>
      <c r="O1365" s="56">
        <f t="shared" ref="O1365:O1366" si="259">M1365-(M1365*T1365)</f>
        <v>25.645167319065003</v>
      </c>
      <c r="P1365" s="57">
        <f t="shared" si="258"/>
        <v>132.2008375297801</v>
      </c>
      <c r="Q1365" s="228"/>
      <c r="R1365" s="179"/>
      <c r="T1365" s="88">
        <v>5.05306435E-2</v>
      </c>
    </row>
    <row r="1366" spans="1:20" ht="14.85" customHeight="1">
      <c r="A1366" s="58" t="s">
        <v>1064</v>
      </c>
      <c r="B1366" s="62">
        <v>6442</v>
      </c>
      <c r="C1366" s="58" t="s">
        <v>1150</v>
      </c>
      <c r="D1366" s="181" t="s">
        <v>1866</v>
      </c>
      <c r="E1366" s="182"/>
      <c r="F1366" s="58" t="s">
        <v>1068</v>
      </c>
      <c r="G1366" s="183"/>
      <c r="H1366" s="184"/>
      <c r="I1366" s="185"/>
      <c r="J1366" s="186" t="s">
        <v>1085</v>
      </c>
      <c r="K1366" s="187"/>
      <c r="L1366" s="60">
        <v>1</v>
      </c>
      <c r="M1366" s="234">
        <v>2899.99</v>
      </c>
      <c r="N1366" s="235"/>
      <c r="O1366" s="56">
        <f t="shared" si="259"/>
        <v>2753.4516391564348</v>
      </c>
      <c r="P1366" s="57">
        <f t="shared" si="258"/>
        <v>2753.4516391564348</v>
      </c>
      <c r="Q1366" s="228"/>
      <c r="R1366" s="179"/>
      <c r="T1366" s="88">
        <v>5.05306435E-2</v>
      </c>
    </row>
    <row r="1367" spans="1:20" ht="14.25" customHeight="1">
      <c r="A1367" s="174" t="s">
        <v>1070</v>
      </c>
      <c r="B1367" s="174"/>
      <c r="C1367" s="174"/>
      <c r="D1367" s="174"/>
      <c r="E1367" s="174"/>
      <c r="F1367" s="174"/>
      <c r="G1367" s="174"/>
      <c r="H1367" s="175" t="s">
        <v>1071</v>
      </c>
      <c r="I1367" s="175"/>
      <c r="J1367" s="175"/>
      <c r="K1367" s="175"/>
      <c r="L1367" s="176">
        <v>0</v>
      </c>
      <c r="M1367" s="176"/>
      <c r="N1367" s="177" t="s">
        <v>1072</v>
      </c>
      <c r="O1367" s="177"/>
      <c r="P1367" s="177"/>
      <c r="Q1367" s="179"/>
      <c r="R1367" s="179"/>
      <c r="T1367" s="88">
        <v>5.05306435E-2</v>
      </c>
    </row>
    <row r="1368" spans="1:20" ht="17.45" customHeight="1">
      <c r="A1368" s="178" t="s">
        <v>1073</v>
      </c>
      <c r="B1368" s="178"/>
      <c r="C1368" s="178"/>
      <c r="D1368" s="178"/>
      <c r="E1368" s="178"/>
      <c r="F1368" s="178"/>
      <c r="G1368" s="178"/>
      <c r="H1368" s="179"/>
      <c r="I1368" s="179"/>
      <c r="J1368" s="179"/>
      <c r="K1368" s="179"/>
      <c r="L1368" s="180" t="s">
        <v>1074</v>
      </c>
      <c r="M1368" s="180"/>
      <c r="N1368" s="179"/>
      <c r="O1368" s="179"/>
      <c r="P1368" s="179"/>
      <c r="Q1368" s="179"/>
      <c r="R1368" s="179"/>
      <c r="T1368" s="88">
        <v>5.05306435E-2</v>
      </c>
    </row>
    <row r="1369" spans="1:20" ht="28.5" customHeight="1">
      <c r="A1369" s="233" t="s">
        <v>1867</v>
      </c>
      <c r="B1369" s="233"/>
      <c r="C1369" s="233"/>
      <c r="D1369" s="233"/>
      <c r="E1369" s="233"/>
      <c r="F1369" s="233"/>
      <c r="G1369" s="233"/>
      <c r="H1369" s="233"/>
      <c r="I1369" s="233"/>
      <c r="J1369" s="233"/>
      <c r="K1369" s="233"/>
      <c r="L1369" s="233"/>
      <c r="M1369" s="233"/>
      <c r="N1369" s="233"/>
      <c r="O1369" s="233"/>
      <c r="P1369" s="233"/>
      <c r="Q1369" s="233"/>
      <c r="R1369" s="233"/>
      <c r="T1369" s="88">
        <v>5.05306435E-2</v>
      </c>
    </row>
    <row r="1370" spans="1:20" ht="15" customHeight="1">
      <c r="A1370" s="207"/>
      <c r="B1370" s="207"/>
      <c r="C1370" s="207"/>
      <c r="D1370" s="207"/>
      <c r="E1370" s="207"/>
      <c r="F1370" s="207"/>
      <c r="G1370" s="207"/>
      <c r="H1370" s="207"/>
      <c r="I1370" s="207"/>
      <c r="J1370" s="207"/>
      <c r="K1370" s="207"/>
      <c r="L1370" s="207"/>
      <c r="M1370" s="207"/>
      <c r="N1370" s="207"/>
      <c r="O1370" s="207"/>
      <c r="P1370" s="207"/>
      <c r="Q1370" s="179"/>
      <c r="R1370" s="179"/>
      <c r="T1370" s="88">
        <v>5.05306435E-2</v>
      </c>
    </row>
    <row r="1371" spans="1:20" ht="15.75" customHeight="1">
      <c r="A1371" s="43" t="s">
        <v>1868</v>
      </c>
      <c r="B1371" s="44" t="s">
        <v>3</v>
      </c>
      <c r="C1371" s="43" t="s">
        <v>4</v>
      </c>
      <c r="D1371" s="208" t="s">
        <v>5</v>
      </c>
      <c r="E1371" s="209"/>
      <c r="F1371" s="43" t="s">
        <v>1049</v>
      </c>
      <c r="G1371" s="210"/>
      <c r="H1371" s="211"/>
      <c r="I1371" s="212"/>
      <c r="J1371" s="215" t="s">
        <v>6</v>
      </c>
      <c r="K1371" s="217"/>
      <c r="L1371" s="44" t="s">
        <v>7</v>
      </c>
      <c r="M1371" s="213" t="s">
        <v>8</v>
      </c>
      <c r="N1371" s="214"/>
      <c r="O1371" s="66"/>
      <c r="P1371" s="44" t="s">
        <v>11</v>
      </c>
      <c r="Q1371" s="228"/>
      <c r="R1371" s="179"/>
      <c r="T1371" s="88">
        <v>5.05306435E-2</v>
      </c>
    </row>
    <row r="1372" spans="1:20" ht="14.25" customHeight="1">
      <c r="A1372" s="47" t="s">
        <v>1051</v>
      </c>
      <c r="B1372" s="48" t="s">
        <v>1869</v>
      </c>
      <c r="C1372" s="47" t="s">
        <v>1053</v>
      </c>
      <c r="D1372" s="190" t="s">
        <v>1870</v>
      </c>
      <c r="E1372" s="191"/>
      <c r="F1372" s="47" t="s">
        <v>1396</v>
      </c>
      <c r="G1372" s="192"/>
      <c r="H1372" s="193"/>
      <c r="I1372" s="194"/>
      <c r="J1372" s="195" t="s">
        <v>1085</v>
      </c>
      <c r="K1372" s="196"/>
      <c r="L1372" s="50">
        <v>1</v>
      </c>
      <c r="M1372" s="236">
        <v>5998.04</v>
      </c>
      <c r="N1372" s="237"/>
      <c r="O1372" s="64">
        <f>M1372-(M1372*T1372)</f>
        <v>5694.9551790612604</v>
      </c>
      <c r="P1372" s="64">
        <f>SUM(P1373:P1380)</f>
        <v>5694.9587110872662</v>
      </c>
      <c r="Q1372" s="228"/>
      <c r="R1372" s="179"/>
      <c r="T1372" s="88">
        <v>5.05306435E-2</v>
      </c>
    </row>
    <row r="1373" spans="1:20" ht="15" customHeight="1">
      <c r="A1373" s="52" t="s">
        <v>1057</v>
      </c>
      <c r="B1373" s="53">
        <v>88243</v>
      </c>
      <c r="C1373" s="52" t="s">
        <v>1058</v>
      </c>
      <c r="D1373" s="199" t="s">
        <v>1844</v>
      </c>
      <c r="E1373" s="200"/>
      <c r="F1373" s="52" t="s">
        <v>1158</v>
      </c>
      <c r="G1373" s="201"/>
      <c r="H1373" s="202"/>
      <c r="I1373" s="203"/>
      <c r="J1373" s="204" t="s">
        <v>1061</v>
      </c>
      <c r="K1373" s="205"/>
      <c r="L1373" s="55">
        <v>31.782</v>
      </c>
      <c r="M1373" s="188">
        <v>22.29</v>
      </c>
      <c r="N1373" s="189"/>
      <c r="O1373" s="56">
        <f>M1373-(M1373*T1373)</f>
        <v>21.163671956384999</v>
      </c>
      <c r="P1373" s="57">
        <f t="shared" ref="P1373:P1375" si="260">O1373*L1373</f>
        <v>672.62382211782801</v>
      </c>
      <c r="Q1373" s="228"/>
      <c r="R1373" s="179"/>
      <c r="T1373" s="88">
        <v>5.05306435E-2</v>
      </c>
    </row>
    <row r="1374" spans="1:20" ht="14.25" customHeight="1">
      <c r="A1374" s="52" t="s">
        <v>1057</v>
      </c>
      <c r="B1374" s="53">
        <v>100308</v>
      </c>
      <c r="C1374" s="52" t="s">
        <v>1058</v>
      </c>
      <c r="D1374" s="199" t="s">
        <v>1824</v>
      </c>
      <c r="E1374" s="200"/>
      <c r="F1374" s="52" t="s">
        <v>1158</v>
      </c>
      <c r="G1374" s="201"/>
      <c r="H1374" s="202"/>
      <c r="I1374" s="203"/>
      <c r="J1374" s="204" t="s">
        <v>1061</v>
      </c>
      <c r="K1374" s="205"/>
      <c r="L1374" s="55">
        <v>28.494</v>
      </c>
      <c r="M1374" s="188">
        <v>27.01</v>
      </c>
      <c r="N1374" s="189"/>
      <c r="O1374" s="56">
        <f t="shared" ref="O1374:O1375" si="261">M1374-(M1374*T1374)</f>
        <v>25.645167319065003</v>
      </c>
      <c r="P1374" s="57">
        <f t="shared" si="260"/>
        <v>730.73339758943814</v>
      </c>
      <c r="Q1374" s="228"/>
      <c r="R1374" s="179"/>
      <c r="T1374" s="88">
        <v>5.05306435E-2</v>
      </c>
    </row>
    <row r="1375" spans="1:20" ht="15" customHeight="1">
      <c r="A1375" s="58" t="s">
        <v>1064</v>
      </c>
      <c r="B1375" s="62">
        <v>6441</v>
      </c>
      <c r="C1375" s="58" t="s">
        <v>1150</v>
      </c>
      <c r="D1375" s="181" t="s">
        <v>1870</v>
      </c>
      <c r="E1375" s="182"/>
      <c r="F1375" s="58" t="s">
        <v>1068</v>
      </c>
      <c r="G1375" s="183"/>
      <c r="H1375" s="184"/>
      <c r="I1375" s="185"/>
      <c r="J1375" s="186" t="s">
        <v>1085</v>
      </c>
      <c r="K1375" s="187"/>
      <c r="L1375" s="60">
        <v>1</v>
      </c>
      <c r="M1375" s="234">
        <v>4520</v>
      </c>
      <c r="N1375" s="235"/>
      <c r="O1375" s="56">
        <f t="shared" si="261"/>
        <v>4291.60149138</v>
      </c>
      <c r="P1375" s="57">
        <f t="shared" si="260"/>
        <v>4291.60149138</v>
      </c>
      <c r="Q1375" s="228"/>
      <c r="R1375" s="179"/>
      <c r="T1375" s="88">
        <v>5.05306435E-2</v>
      </c>
    </row>
    <row r="1376" spans="1:20" ht="14.25" customHeight="1">
      <c r="A1376" s="174" t="s">
        <v>1070</v>
      </c>
      <c r="B1376" s="174"/>
      <c r="C1376" s="174"/>
      <c r="D1376" s="174"/>
      <c r="E1376" s="174"/>
      <c r="F1376" s="174"/>
      <c r="G1376" s="174"/>
      <c r="H1376" s="175" t="s">
        <v>1071</v>
      </c>
      <c r="I1376" s="175"/>
      <c r="J1376" s="175"/>
      <c r="K1376" s="175"/>
      <c r="L1376" s="176">
        <v>0</v>
      </c>
      <c r="M1376" s="176"/>
      <c r="N1376" s="177" t="s">
        <v>1072</v>
      </c>
      <c r="O1376" s="177"/>
      <c r="P1376" s="177"/>
      <c r="Q1376" s="179"/>
      <c r="R1376" s="179"/>
      <c r="T1376" s="88">
        <v>5.05306435E-2</v>
      </c>
    </row>
    <row r="1377" spans="1:20" ht="17.45" customHeight="1">
      <c r="A1377" s="178" t="s">
        <v>1073</v>
      </c>
      <c r="B1377" s="178"/>
      <c r="C1377" s="178"/>
      <c r="D1377" s="178"/>
      <c r="E1377" s="178"/>
      <c r="F1377" s="178"/>
      <c r="G1377" s="178"/>
      <c r="H1377" s="179"/>
      <c r="I1377" s="179"/>
      <c r="J1377" s="179"/>
      <c r="K1377" s="179"/>
      <c r="L1377" s="180" t="s">
        <v>1074</v>
      </c>
      <c r="M1377" s="180"/>
      <c r="N1377" s="179"/>
      <c r="O1377" s="179"/>
      <c r="P1377" s="179"/>
      <c r="Q1377" s="179"/>
      <c r="R1377" s="179"/>
      <c r="T1377" s="88">
        <v>5.05306435E-2</v>
      </c>
    </row>
    <row r="1378" spans="1:20" ht="28.5" customHeight="1">
      <c r="A1378" s="233" t="s">
        <v>1871</v>
      </c>
      <c r="B1378" s="233"/>
      <c r="C1378" s="233"/>
      <c r="D1378" s="233"/>
      <c r="E1378" s="233"/>
      <c r="F1378" s="233"/>
      <c r="G1378" s="233"/>
      <c r="H1378" s="233"/>
      <c r="I1378" s="233"/>
      <c r="J1378" s="233"/>
      <c r="K1378" s="233"/>
      <c r="L1378" s="233"/>
      <c r="M1378" s="233"/>
      <c r="N1378" s="233"/>
      <c r="O1378" s="233"/>
      <c r="P1378" s="233"/>
      <c r="Q1378" s="233"/>
      <c r="R1378" s="233"/>
      <c r="T1378" s="88">
        <v>5.05306435E-2</v>
      </c>
    </row>
    <row r="1379" spans="1:20" ht="14.25" customHeight="1">
      <c r="A1379" s="207"/>
      <c r="B1379" s="207"/>
      <c r="C1379" s="207"/>
      <c r="D1379" s="207"/>
      <c r="E1379" s="207"/>
      <c r="F1379" s="207"/>
      <c r="G1379" s="207"/>
      <c r="H1379" s="207"/>
      <c r="I1379" s="207"/>
      <c r="J1379" s="207"/>
      <c r="K1379" s="207"/>
      <c r="L1379" s="207"/>
      <c r="M1379" s="207"/>
      <c r="N1379" s="207"/>
      <c r="O1379" s="207"/>
      <c r="P1379" s="207"/>
      <c r="Q1379" s="179"/>
      <c r="R1379" s="179"/>
      <c r="T1379" s="88">
        <v>5.05306435E-2</v>
      </c>
    </row>
    <row r="1380" spans="1:20" ht="15.75" customHeight="1">
      <c r="A1380" s="43" t="s">
        <v>1872</v>
      </c>
      <c r="B1380" s="44" t="s">
        <v>3</v>
      </c>
      <c r="C1380" s="43" t="s">
        <v>4</v>
      </c>
      <c r="D1380" s="208" t="s">
        <v>5</v>
      </c>
      <c r="E1380" s="209"/>
      <c r="F1380" s="43" t="s">
        <v>1049</v>
      </c>
      <c r="G1380" s="210"/>
      <c r="H1380" s="211"/>
      <c r="I1380" s="212"/>
      <c r="J1380" s="215" t="s">
        <v>6</v>
      </c>
      <c r="K1380" s="217"/>
      <c r="L1380" s="44" t="s">
        <v>7</v>
      </c>
      <c r="M1380" s="213" t="s">
        <v>8</v>
      </c>
      <c r="N1380" s="214"/>
      <c r="O1380" s="66"/>
      <c r="P1380" s="44" t="s">
        <v>11</v>
      </c>
      <c r="Q1380" s="228"/>
      <c r="R1380" s="179"/>
      <c r="T1380" s="88">
        <v>5.05306435E-2</v>
      </c>
    </row>
    <row r="1381" spans="1:20" ht="14.25" customHeight="1">
      <c r="A1381" s="47" t="s">
        <v>1051</v>
      </c>
      <c r="B1381" s="48" t="s">
        <v>1873</v>
      </c>
      <c r="C1381" s="47" t="s">
        <v>1053</v>
      </c>
      <c r="D1381" s="190" t="s">
        <v>1874</v>
      </c>
      <c r="E1381" s="191"/>
      <c r="F1381" s="47" t="s">
        <v>1396</v>
      </c>
      <c r="G1381" s="192"/>
      <c r="H1381" s="193"/>
      <c r="I1381" s="194"/>
      <c r="J1381" s="195" t="s">
        <v>1085</v>
      </c>
      <c r="K1381" s="196"/>
      <c r="L1381" s="50">
        <v>1</v>
      </c>
      <c r="M1381" s="236">
        <v>3889.38</v>
      </c>
      <c r="N1381" s="237"/>
      <c r="O1381" s="64">
        <f>M1381-(M1381*T1381)</f>
        <v>3692.8471257839701</v>
      </c>
      <c r="P1381" s="64">
        <f>SUM(P1382:P1389)</f>
        <v>3692.8478853594552</v>
      </c>
      <c r="Q1381" s="228"/>
      <c r="R1381" s="179"/>
      <c r="T1381" s="88">
        <v>5.05306435E-2</v>
      </c>
    </row>
    <row r="1382" spans="1:20" ht="15" customHeight="1">
      <c r="A1382" s="52" t="s">
        <v>1057</v>
      </c>
      <c r="B1382" s="53">
        <v>88247</v>
      </c>
      <c r="C1382" s="52" t="s">
        <v>1058</v>
      </c>
      <c r="D1382" s="199" t="s">
        <v>1062</v>
      </c>
      <c r="E1382" s="200"/>
      <c r="F1382" s="52" t="s">
        <v>1158</v>
      </c>
      <c r="G1382" s="201"/>
      <c r="H1382" s="202"/>
      <c r="I1382" s="203"/>
      <c r="J1382" s="204" t="s">
        <v>1061</v>
      </c>
      <c r="K1382" s="205"/>
      <c r="L1382" s="55">
        <v>2.1920000000000002</v>
      </c>
      <c r="M1382" s="188">
        <v>22.63</v>
      </c>
      <c r="N1382" s="189"/>
      <c r="O1382" s="56">
        <f>M1382-(M1382*T1382)</f>
        <v>21.486491537595001</v>
      </c>
      <c r="P1382" s="57">
        <f t="shared" ref="P1382:P1384" si="262">O1382*L1382</f>
        <v>47.098389450408241</v>
      </c>
      <c r="Q1382" s="228"/>
      <c r="R1382" s="179"/>
      <c r="T1382" s="88">
        <v>5.05306435E-2</v>
      </c>
    </row>
    <row r="1383" spans="1:20" ht="14.25" customHeight="1">
      <c r="A1383" s="52" t="s">
        <v>1057</v>
      </c>
      <c r="B1383" s="53">
        <v>88264</v>
      </c>
      <c r="C1383" s="52" t="s">
        <v>1058</v>
      </c>
      <c r="D1383" s="199" t="s">
        <v>1063</v>
      </c>
      <c r="E1383" s="200"/>
      <c r="F1383" s="52" t="s">
        <v>1158</v>
      </c>
      <c r="G1383" s="201"/>
      <c r="H1383" s="202"/>
      <c r="I1383" s="203"/>
      <c r="J1383" s="204" t="s">
        <v>1061</v>
      </c>
      <c r="K1383" s="205"/>
      <c r="L1383" s="55">
        <v>2.1920000000000002</v>
      </c>
      <c r="M1383" s="188">
        <v>27.27</v>
      </c>
      <c r="N1383" s="189"/>
      <c r="O1383" s="56">
        <f t="shared" ref="O1383:O1384" si="263">M1383-(M1383*T1383)</f>
        <v>25.892029351754999</v>
      </c>
      <c r="P1383" s="57">
        <f t="shared" si="262"/>
        <v>56.755328339046962</v>
      </c>
      <c r="Q1383" s="228"/>
      <c r="R1383" s="179"/>
      <c r="T1383" s="88">
        <v>5.05306435E-2</v>
      </c>
    </row>
    <row r="1384" spans="1:20" ht="15" customHeight="1">
      <c r="A1384" s="58" t="s">
        <v>1064</v>
      </c>
      <c r="B1384" s="62">
        <v>204016</v>
      </c>
      <c r="C1384" s="58" t="s">
        <v>1150</v>
      </c>
      <c r="D1384" s="181" t="s">
        <v>1875</v>
      </c>
      <c r="E1384" s="182"/>
      <c r="F1384" s="58" t="s">
        <v>1068</v>
      </c>
      <c r="G1384" s="183"/>
      <c r="H1384" s="184"/>
      <c r="I1384" s="185"/>
      <c r="J1384" s="186" t="s">
        <v>1085</v>
      </c>
      <c r="K1384" s="187"/>
      <c r="L1384" s="60">
        <v>1</v>
      </c>
      <c r="M1384" s="234">
        <v>3780</v>
      </c>
      <c r="N1384" s="235"/>
      <c r="O1384" s="56">
        <f t="shared" si="263"/>
        <v>3588.9941675700002</v>
      </c>
      <c r="P1384" s="57">
        <f t="shared" si="262"/>
        <v>3588.9941675700002</v>
      </c>
      <c r="Q1384" s="228"/>
      <c r="R1384" s="179"/>
      <c r="T1384" s="88">
        <v>5.05306435E-2</v>
      </c>
    </row>
    <row r="1385" spans="1:20" ht="14.25" customHeight="1">
      <c r="A1385" s="174" t="s">
        <v>1070</v>
      </c>
      <c r="B1385" s="174"/>
      <c r="C1385" s="174"/>
      <c r="D1385" s="174"/>
      <c r="E1385" s="174"/>
      <c r="F1385" s="174"/>
      <c r="G1385" s="174"/>
      <c r="H1385" s="175" t="s">
        <v>1071</v>
      </c>
      <c r="I1385" s="175"/>
      <c r="J1385" s="175"/>
      <c r="K1385" s="175"/>
      <c r="L1385" s="176">
        <v>0</v>
      </c>
      <c r="M1385" s="176"/>
      <c r="N1385" s="177" t="s">
        <v>1072</v>
      </c>
      <c r="O1385" s="177"/>
      <c r="P1385" s="177"/>
      <c r="Q1385" s="179"/>
      <c r="R1385" s="179"/>
      <c r="T1385" s="88">
        <v>5.05306435E-2</v>
      </c>
    </row>
    <row r="1386" spans="1:20" ht="16.5" customHeight="1">
      <c r="A1386" s="178" t="s">
        <v>1073</v>
      </c>
      <c r="B1386" s="178"/>
      <c r="C1386" s="178"/>
      <c r="D1386" s="178"/>
      <c r="E1386" s="178"/>
      <c r="F1386" s="178"/>
      <c r="G1386" s="178"/>
      <c r="H1386" s="179"/>
      <c r="I1386" s="179"/>
      <c r="J1386" s="179"/>
      <c r="K1386" s="179"/>
      <c r="L1386" s="180" t="s">
        <v>1074</v>
      </c>
      <c r="M1386" s="180"/>
      <c r="N1386" s="179"/>
      <c r="O1386" s="179"/>
      <c r="P1386" s="179"/>
      <c r="Q1386" s="179"/>
      <c r="R1386" s="179"/>
      <c r="T1386" s="88">
        <v>5.05306435E-2</v>
      </c>
    </row>
    <row r="1387" spans="1:20" ht="28.5" customHeight="1">
      <c r="A1387" s="233" t="s">
        <v>1876</v>
      </c>
      <c r="B1387" s="233"/>
      <c r="C1387" s="233"/>
      <c r="D1387" s="233"/>
      <c r="E1387" s="233"/>
      <c r="F1387" s="233"/>
      <c r="G1387" s="233"/>
      <c r="H1387" s="233"/>
      <c r="I1387" s="233"/>
      <c r="J1387" s="233"/>
      <c r="K1387" s="233"/>
      <c r="L1387" s="233"/>
      <c r="M1387" s="233"/>
      <c r="N1387" s="233"/>
      <c r="O1387" s="233"/>
      <c r="P1387" s="233"/>
      <c r="Q1387" s="233"/>
      <c r="R1387" s="233"/>
      <c r="T1387" s="88">
        <v>5.05306435E-2</v>
      </c>
    </row>
    <row r="1388" spans="1:20" ht="15" customHeight="1">
      <c r="A1388" s="207"/>
      <c r="B1388" s="207"/>
      <c r="C1388" s="207"/>
      <c r="D1388" s="207"/>
      <c r="E1388" s="207"/>
      <c r="F1388" s="207"/>
      <c r="G1388" s="207"/>
      <c r="H1388" s="207"/>
      <c r="I1388" s="207"/>
      <c r="J1388" s="207"/>
      <c r="K1388" s="207"/>
      <c r="L1388" s="207"/>
      <c r="M1388" s="207"/>
      <c r="N1388" s="207"/>
      <c r="O1388" s="207"/>
      <c r="P1388" s="207"/>
      <c r="Q1388" s="179"/>
      <c r="R1388" s="179"/>
      <c r="T1388" s="88">
        <v>5.05306435E-2</v>
      </c>
    </row>
    <row r="1389" spans="1:20" ht="15.75" customHeight="1">
      <c r="A1389" s="43" t="s">
        <v>1877</v>
      </c>
      <c r="B1389" s="44" t="s">
        <v>3</v>
      </c>
      <c r="C1389" s="43" t="s">
        <v>4</v>
      </c>
      <c r="D1389" s="208" t="s">
        <v>5</v>
      </c>
      <c r="E1389" s="209"/>
      <c r="F1389" s="43" t="s">
        <v>1049</v>
      </c>
      <c r="G1389" s="210"/>
      <c r="H1389" s="211"/>
      <c r="I1389" s="212"/>
      <c r="J1389" s="215" t="s">
        <v>6</v>
      </c>
      <c r="K1389" s="217"/>
      <c r="L1389" s="44" t="s">
        <v>7</v>
      </c>
      <c r="M1389" s="213" t="s">
        <v>8</v>
      </c>
      <c r="N1389" s="214"/>
      <c r="O1389" s="66"/>
      <c r="P1389" s="44" t="s">
        <v>11</v>
      </c>
      <c r="Q1389" s="228"/>
      <c r="R1389" s="179"/>
      <c r="T1389" s="88">
        <v>5.05306435E-2</v>
      </c>
    </row>
    <row r="1390" spans="1:20" ht="15" customHeight="1">
      <c r="A1390" s="47" t="s">
        <v>1051</v>
      </c>
      <c r="B1390" s="48" t="s">
        <v>1878</v>
      </c>
      <c r="C1390" s="47" t="s">
        <v>1053</v>
      </c>
      <c r="D1390" s="190" t="s">
        <v>1879</v>
      </c>
      <c r="E1390" s="191"/>
      <c r="F1390" s="47" t="s">
        <v>1396</v>
      </c>
      <c r="G1390" s="192"/>
      <c r="H1390" s="193"/>
      <c r="I1390" s="194"/>
      <c r="J1390" s="195" t="s">
        <v>1085</v>
      </c>
      <c r="K1390" s="196"/>
      <c r="L1390" s="50">
        <v>1</v>
      </c>
      <c r="M1390" s="231">
        <v>253.33</v>
      </c>
      <c r="N1390" s="232"/>
      <c r="O1390" s="64">
        <f>M1390-(M1390*T1390)</f>
        <v>240.52907208214501</v>
      </c>
      <c r="P1390" s="64">
        <f>SUM(P1391:P1398)</f>
        <v>240.52745798423896</v>
      </c>
      <c r="Q1390" s="228"/>
      <c r="R1390" s="179"/>
      <c r="T1390" s="88">
        <v>5.05306435E-2</v>
      </c>
    </row>
    <row r="1391" spans="1:20" ht="14.25" customHeight="1">
      <c r="A1391" s="52" t="s">
        <v>1057</v>
      </c>
      <c r="B1391" s="53">
        <v>100308</v>
      </c>
      <c r="C1391" s="52" t="s">
        <v>1058</v>
      </c>
      <c r="D1391" s="199" t="s">
        <v>1824</v>
      </c>
      <c r="E1391" s="200"/>
      <c r="F1391" s="52" t="s">
        <v>1158</v>
      </c>
      <c r="G1391" s="201"/>
      <c r="H1391" s="202"/>
      <c r="I1391" s="203"/>
      <c r="J1391" s="204" t="s">
        <v>1061</v>
      </c>
      <c r="K1391" s="205"/>
      <c r="L1391" s="55">
        <v>1.0309999999999999</v>
      </c>
      <c r="M1391" s="188">
        <v>27.01</v>
      </c>
      <c r="N1391" s="189"/>
      <c r="O1391" s="56">
        <f>M1391-(M1391*T1391)</f>
        <v>25.645167319065003</v>
      </c>
      <c r="P1391" s="57">
        <f t="shared" ref="P1391:P1393" si="264">O1391*L1391</f>
        <v>26.440167505956016</v>
      </c>
      <c r="Q1391" s="228"/>
      <c r="R1391" s="179"/>
      <c r="T1391" s="88">
        <v>5.05306435E-2</v>
      </c>
    </row>
    <row r="1392" spans="1:20" ht="15" customHeight="1">
      <c r="A1392" s="52" t="s">
        <v>1057</v>
      </c>
      <c r="B1392" s="53">
        <v>88243</v>
      </c>
      <c r="C1392" s="52" t="s">
        <v>1058</v>
      </c>
      <c r="D1392" s="199" t="s">
        <v>1844</v>
      </c>
      <c r="E1392" s="200"/>
      <c r="F1392" s="52" t="s">
        <v>1158</v>
      </c>
      <c r="G1392" s="201"/>
      <c r="H1392" s="202"/>
      <c r="I1392" s="203"/>
      <c r="J1392" s="204" t="s">
        <v>1061</v>
      </c>
      <c r="K1392" s="205"/>
      <c r="L1392" s="55">
        <v>1.0309999999999999</v>
      </c>
      <c r="M1392" s="188">
        <v>22.29</v>
      </c>
      <c r="N1392" s="189"/>
      <c r="O1392" s="56">
        <f t="shared" ref="O1392:O1393" si="265">M1392-(M1392*T1392)</f>
        <v>21.163671956384999</v>
      </c>
      <c r="P1392" s="57">
        <f t="shared" si="264"/>
        <v>21.819745787032932</v>
      </c>
      <c r="Q1392" s="228"/>
      <c r="R1392" s="179"/>
      <c r="T1392" s="88">
        <v>5.05306435E-2</v>
      </c>
    </row>
    <row r="1393" spans="1:20" ht="14.45" customHeight="1">
      <c r="A1393" s="58" t="s">
        <v>1064</v>
      </c>
      <c r="B1393" s="62">
        <v>60985</v>
      </c>
      <c r="C1393" s="58" t="s">
        <v>1150</v>
      </c>
      <c r="D1393" s="181" t="s">
        <v>1879</v>
      </c>
      <c r="E1393" s="182"/>
      <c r="F1393" s="58" t="s">
        <v>1068</v>
      </c>
      <c r="G1393" s="183"/>
      <c r="H1393" s="184"/>
      <c r="I1393" s="185"/>
      <c r="J1393" s="186" t="s">
        <v>1085</v>
      </c>
      <c r="K1393" s="187"/>
      <c r="L1393" s="60">
        <v>1</v>
      </c>
      <c r="M1393" s="229">
        <v>202.5</v>
      </c>
      <c r="N1393" s="230"/>
      <c r="O1393" s="56">
        <f t="shared" si="265"/>
        <v>192.26754469125001</v>
      </c>
      <c r="P1393" s="57">
        <f t="shared" si="264"/>
        <v>192.26754469125001</v>
      </c>
      <c r="Q1393" s="228"/>
      <c r="R1393" s="179"/>
      <c r="T1393" s="88">
        <v>5.05306435E-2</v>
      </c>
    </row>
    <row r="1394" spans="1:20" ht="14.25" customHeight="1">
      <c r="A1394" s="174" t="s">
        <v>1070</v>
      </c>
      <c r="B1394" s="174"/>
      <c r="C1394" s="174"/>
      <c r="D1394" s="174"/>
      <c r="E1394" s="174"/>
      <c r="F1394" s="174"/>
      <c r="G1394" s="174"/>
      <c r="H1394" s="175" t="s">
        <v>1071</v>
      </c>
      <c r="I1394" s="175"/>
      <c r="J1394" s="175"/>
      <c r="K1394" s="175"/>
      <c r="L1394" s="176">
        <v>0</v>
      </c>
      <c r="M1394" s="176"/>
      <c r="N1394" s="177" t="s">
        <v>1072</v>
      </c>
      <c r="O1394" s="177"/>
      <c r="P1394" s="177"/>
      <c r="Q1394" s="179"/>
      <c r="R1394" s="179"/>
      <c r="T1394" s="88">
        <v>5.05306435E-2</v>
      </c>
    </row>
    <row r="1395" spans="1:20" ht="16.5" customHeight="1">
      <c r="A1395" s="178" t="s">
        <v>1073</v>
      </c>
      <c r="B1395" s="178"/>
      <c r="C1395" s="178"/>
      <c r="D1395" s="178"/>
      <c r="E1395" s="178"/>
      <c r="F1395" s="178"/>
      <c r="G1395" s="178"/>
      <c r="H1395" s="179"/>
      <c r="I1395" s="179"/>
      <c r="J1395" s="179"/>
      <c r="K1395" s="179"/>
      <c r="L1395" s="180" t="s">
        <v>1074</v>
      </c>
      <c r="M1395" s="180"/>
      <c r="N1395" s="179"/>
      <c r="O1395" s="179"/>
      <c r="P1395" s="179"/>
      <c r="Q1395" s="179"/>
      <c r="R1395" s="179"/>
      <c r="T1395" s="88">
        <v>5.05306435E-2</v>
      </c>
    </row>
    <row r="1396" spans="1:20" ht="28.5" customHeight="1">
      <c r="A1396" s="233" t="s">
        <v>1880</v>
      </c>
      <c r="B1396" s="233"/>
      <c r="C1396" s="233"/>
      <c r="D1396" s="233"/>
      <c r="E1396" s="233"/>
      <c r="F1396" s="233"/>
      <c r="G1396" s="233"/>
      <c r="H1396" s="233"/>
      <c r="I1396" s="233"/>
      <c r="J1396" s="233"/>
      <c r="K1396" s="233"/>
      <c r="L1396" s="233"/>
      <c r="M1396" s="233"/>
      <c r="N1396" s="233"/>
      <c r="O1396" s="233"/>
      <c r="P1396" s="233"/>
      <c r="Q1396" s="233"/>
      <c r="R1396" s="233"/>
      <c r="T1396" s="88">
        <v>5.05306435E-2</v>
      </c>
    </row>
    <row r="1397" spans="1:20" ht="15" customHeight="1">
      <c r="A1397" s="207"/>
      <c r="B1397" s="207"/>
      <c r="C1397" s="207"/>
      <c r="D1397" s="207"/>
      <c r="E1397" s="207"/>
      <c r="F1397" s="207"/>
      <c r="G1397" s="207"/>
      <c r="H1397" s="207"/>
      <c r="I1397" s="207"/>
      <c r="J1397" s="207"/>
      <c r="K1397" s="207"/>
      <c r="L1397" s="207"/>
      <c r="M1397" s="207"/>
      <c r="N1397" s="207"/>
      <c r="O1397" s="207"/>
      <c r="P1397" s="207"/>
      <c r="Q1397" s="179"/>
      <c r="R1397" s="179"/>
      <c r="T1397" s="88">
        <v>5.05306435E-2</v>
      </c>
    </row>
    <row r="1398" spans="1:20" ht="15.75" customHeight="1">
      <c r="A1398" s="43" t="s">
        <v>1881</v>
      </c>
      <c r="B1398" s="44" t="s">
        <v>3</v>
      </c>
      <c r="C1398" s="43" t="s">
        <v>4</v>
      </c>
      <c r="D1398" s="208" t="s">
        <v>5</v>
      </c>
      <c r="E1398" s="209"/>
      <c r="F1398" s="43" t="s">
        <v>1049</v>
      </c>
      <c r="G1398" s="210"/>
      <c r="H1398" s="211"/>
      <c r="I1398" s="212"/>
      <c r="J1398" s="215" t="s">
        <v>6</v>
      </c>
      <c r="K1398" s="217"/>
      <c r="L1398" s="44" t="s">
        <v>7</v>
      </c>
      <c r="M1398" s="213" t="s">
        <v>8</v>
      </c>
      <c r="N1398" s="214"/>
      <c r="O1398" s="66"/>
      <c r="P1398" s="44" t="s">
        <v>11</v>
      </c>
      <c r="Q1398" s="228"/>
      <c r="R1398" s="179"/>
      <c r="T1398" s="88">
        <v>5.05306435E-2</v>
      </c>
    </row>
    <row r="1399" spans="1:20" ht="15" customHeight="1">
      <c r="A1399" s="47" t="s">
        <v>1051</v>
      </c>
      <c r="B1399" s="48" t="s">
        <v>1882</v>
      </c>
      <c r="C1399" s="47" t="s">
        <v>1053</v>
      </c>
      <c r="D1399" s="190" t="s">
        <v>1883</v>
      </c>
      <c r="E1399" s="191"/>
      <c r="F1399" s="47" t="s">
        <v>1422</v>
      </c>
      <c r="G1399" s="192"/>
      <c r="H1399" s="193"/>
      <c r="I1399" s="194"/>
      <c r="J1399" s="195" t="s">
        <v>1085</v>
      </c>
      <c r="K1399" s="196"/>
      <c r="L1399" s="50">
        <v>1</v>
      </c>
      <c r="M1399" s="197">
        <v>11.29</v>
      </c>
      <c r="N1399" s="198"/>
      <c r="O1399" s="64">
        <f>M1399-(M1399*T1399)</f>
        <v>10.719509034884998</v>
      </c>
      <c r="P1399" s="64">
        <f>SUM(P1400:P1407)</f>
        <v>10.71574913623326</v>
      </c>
      <c r="Q1399" s="228"/>
      <c r="R1399" s="179"/>
      <c r="T1399" s="88">
        <v>5.05306435E-2</v>
      </c>
    </row>
    <row r="1400" spans="1:20" ht="14.25" customHeight="1">
      <c r="A1400" s="52" t="s">
        <v>1057</v>
      </c>
      <c r="B1400" s="53">
        <v>88243</v>
      </c>
      <c r="C1400" s="52" t="s">
        <v>1058</v>
      </c>
      <c r="D1400" s="199" t="s">
        <v>1844</v>
      </c>
      <c r="E1400" s="200"/>
      <c r="F1400" s="52" t="s">
        <v>1158</v>
      </c>
      <c r="G1400" s="201"/>
      <c r="H1400" s="202"/>
      <c r="I1400" s="203"/>
      <c r="J1400" s="204" t="s">
        <v>1061</v>
      </c>
      <c r="K1400" s="205"/>
      <c r="L1400" s="55">
        <v>0.128</v>
      </c>
      <c r="M1400" s="188">
        <v>22.29</v>
      </c>
      <c r="N1400" s="189"/>
      <c r="O1400" s="56">
        <f>M1400-(M1400*T1400)</f>
        <v>21.163671956384999</v>
      </c>
      <c r="P1400" s="57">
        <f t="shared" ref="P1400:P1402" si="266">O1400*L1400</f>
        <v>2.7089500104172797</v>
      </c>
      <c r="Q1400" s="228"/>
      <c r="R1400" s="179"/>
      <c r="T1400" s="88">
        <v>5.05306435E-2</v>
      </c>
    </row>
    <row r="1401" spans="1:20" ht="15" customHeight="1">
      <c r="A1401" s="52" t="s">
        <v>1057</v>
      </c>
      <c r="B1401" s="53">
        <v>88278</v>
      </c>
      <c r="C1401" s="52" t="s">
        <v>1058</v>
      </c>
      <c r="D1401" s="199" t="s">
        <v>1193</v>
      </c>
      <c r="E1401" s="200"/>
      <c r="F1401" s="52" t="s">
        <v>1158</v>
      </c>
      <c r="G1401" s="201"/>
      <c r="H1401" s="202"/>
      <c r="I1401" s="203"/>
      <c r="J1401" s="204" t="s">
        <v>1061</v>
      </c>
      <c r="K1401" s="205"/>
      <c r="L1401" s="55">
        <v>0.27600000000000002</v>
      </c>
      <c r="M1401" s="188">
        <v>21.17</v>
      </c>
      <c r="N1401" s="189"/>
      <c r="O1401" s="56">
        <f t="shared" ref="O1401:O1402" si="267">M1401-(M1401*T1401)</f>
        <v>20.100266277105</v>
      </c>
      <c r="P1401" s="57">
        <f t="shared" si="266"/>
        <v>5.5476734924809801</v>
      </c>
      <c r="Q1401" s="228"/>
      <c r="R1401" s="179"/>
      <c r="T1401" s="88">
        <v>5.05306435E-2</v>
      </c>
    </row>
    <row r="1402" spans="1:20" ht="15" customHeight="1">
      <c r="A1402" s="58" t="s">
        <v>1064</v>
      </c>
      <c r="B1402" s="62">
        <v>2380</v>
      </c>
      <c r="C1402" s="58" t="s">
        <v>1150</v>
      </c>
      <c r="D1402" s="181" t="s">
        <v>1884</v>
      </c>
      <c r="E1402" s="182"/>
      <c r="F1402" s="58" t="s">
        <v>1068</v>
      </c>
      <c r="G1402" s="183"/>
      <c r="H1402" s="184"/>
      <c r="I1402" s="185"/>
      <c r="J1402" s="186" t="s">
        <v>1085</v>
      </c>
      <c r="K1402" s="187"/>
      <c r="L1402" s="60">
        <v>1</v>
      </c>
      <c r="M1402" s="221">
        <v>2.59</v>
      </c>
      <c r="N1402" s="222"/>
      <c r="O1402" s="56">
        <f t="shared" si="267"/>
        <v>2.4591256333349998</v>
      </c>
      <c r="P1402" s="57">
        <f t="shared" si="266"/>
        <v>2.4591256333349998</v>
      </c>
      <c r="Q1402" s="228"/>
      <c r="R1402" s="179"/>
      <c r="T1402" s="88">
        <v>5.05306435E-2</v>
      </c>
    </row>
    <row r="1403" spans="1:20" ht="14.25" customHeight="1">
      <c r="A1403" s="174" t="s">
        <v>1070</v>
      </c>
      <c r="B1403" s="174"/>
      <c r="C1403" s="174"/>
      <c r="D1403" s="174"/>
      <c r="E1403" s="174"/>
      <c r="F1403" s="174"/>
      <c r="G1403" s="174"/>
      <c r="H1403" s="175" t="s">
        <v>1071</v>
      </c>
      <c r="I1403" s="175"/>
      <c r="J1403" s="175"/>
      <c r="K1403" s="175"/>
      <c r="L1403" s="176">
        <v>0</v>
      </c>
      <c r="M1403" s="176"/>
      <c r="N1403" s="177" t="s">
        <v>1072</v>
      </c>
      <c r="O1403" s="177"/>
      <c r="P1403" s="177"/>
      <c r="Q1403" s="179"/>
      <c r="R1403" s="179"/>
      <c r="T1403" s="88">
        <v>5.05306435E-2</v>
      </c>
    </row>
    <row r="1404" spans="1:20" ht="17.45" customHeight="1">
      <c r="A1404" s="178" t="s">
        <v>1073</v>
      </c>
      <c r="B1404" s="178"/>
      <c r="C1404" s="178"/>
      <c r="D1404" s="178"/>
      <c r="E1404" s="178"/>
      <c r="F1404" s="178"/>
      <c r="G1404" s="178"/>
      <c r="H1404" s="179"/>
      <c r="I1404" s="179"/>
      <c r="J1404" s="179"/>
      <c r="K1404" s="179"/>
      <c r="L1404" s="180" t="s">
        <v>1074</v>
      </c>
      <c r="M1404" s="180"/>
      <c r="N1404" s="179"/>
      <c r="O1404" s="179"/>
      <c r="P1404" s="179"/>
      <c r="Q1404" s="179"/>
      <c r="R1404" s="179"/>
      <c r="T1404" s="88">
        <v>5.05306435E-2</v>
      </c>
    </row>
    <row r="1405" spans="1:20" ht="28.5" customHeight="1">
      <c r="A1405" s="233" t="s">
        <v>1885</v>
      </c>
      <c r="B1405" s="233"/>
      <c r="C1405" s="233"/>
      <c r="D1405" s="233"/>
      <c r="E1405" s="233"/>
      <c r="F1405" s="233"/>
      <c r="G1405" s="233"/>
      <c r="H1405" s="233"/>
      <c r="I1405" s="233"/>
      <c r="J1405" s="233"/>
      <c r="K1405" s="233"/>
      <c r="L1405" s="233"/>
      <c r="M1405" s="233"/>
      <c r="N1405" s="233"/>
      <c r="O1405" s="233"/>
      <c r="P1405" s="233"/>
      <c r="Q1405" s="233"/>
      <c r="R1405" s="233"/>
      <c r="T1405" s="88">
        <v>5.05306435E-2</v>
      </c>
    </row>
    <row r="1406" spans="1:20" ht="14.25" customHeight="1">
      <c r="A1406" s="207"/>
      <c r="B1406" s="207"/>
      <c r="C1406" s="207"/>
      <c r="D1406" s="207"/>
      <c r="E1406" s="207"/>
      <c r="F1406" s="207"/>
      <c r="G1406" s="207"/>
      <c r="H1406" s="207"/>
      <c r="I1406" s="207"/>
      <c r="J1406" s="207"/>
      <c r="K1406" s="207"/>
      <c r="L1406" s="207"/>
      <c r="M1406" s="207"/>
      <c r="N1406" s="207"/>
      <c r="O1406" s="207"/>
      <c r="P1406" s="207"/>
      <c r="Q1406" s="179"/>
      <c r="R1406" s="179"/>
      <c r="T1406" s="88">
        <v>5.05306435E-2</v>
      </c>
    </row>
    <row r="1407" spans="1:20" ht="15.75" customHeight="1">
      <c r="A1407" s="43" t="s">
        <v>1886</v>
      </c>
      <c r="B1407" s="44" t="s">
        <v>3</v>
      </c>
      <c r="C1407" s="43" t="s">
        <v>4</v>
      </c>
      <c r="D1407" s="208" t="s">
        <v>5</v>
      </c>
      <c r="E1407" s="209"/>
      <c r="F1407" s="43" t="s">
        <v>1049</v>
      </c>
      <c r="G1407" s="210"/>
      <c r="H1407" s="211"/>
      <c r="I1407" s="212"/>
      <c r="J1407" s="215" t="s">
        <v>6</v>
      </c>
      <c r="K1407" s="217"/>
      <c r="L1407" s="44" t="s">
        <v>7</v>
      </c>
      <c r="M1407" s="213" t="s">
        <v>8</v>
      </c>
      <c r="N1407" s="214"/>
      <c r="O1407" s="66"/>
      <c r="P1407" s="44" t="s">
        <v>11</v>
      </c>
      <c r="Q1407" s="228"/>
      <c r="R1407" s="179"/>
      <c r="T1407" s="88">
        <v>5.05306435E-2</v>
      </c>
    </row>
    <row r="1408" spans="1:20" ht="14.25" customHeight="1">
      <c r="A1408" s="47" t="s">
        <v>1051</v>
      </c>
      <c r="B1408" s="48" t="s">
        <v>1887</v>
      </c>
      <c r="C1408" s="47" t="s">
        <v>1053</v>
      </c>
      <c r="D1408" s="190" t="s">
        <v>1888</v>
      </c>
      <c r="E1408" s="191"/>
      <c r="F1408" s="47" t="s">
        <v>1628</v>
      </c>
      <c r="G1408" s="192"/>
      <c r="H1408" s="193"/>
      <c r="I1408" s="194"/>
      <c r="J1408" s="195" t="s">
        <v>1085</v>
      </c>
      <c r="K1408" s="196"/>
      <c r="L1408" s="50">
        <v>1</v>
      </c>
      <c r="M1408" s="197">
        <v>32.119999999999997</v>
      </c>
      <c r="N1408" s="198"/>
      <c r="O1408" s="64">
        <f>M1408-(M1408*T1408)</f>
        <v>30.496955730779998</v>
      </c>
      <c r="P1408" s="64">
        <f>SUM(P1409:P1416)</f>
        <v>30.495056792066997</v>
      </c>
      <c r="Q1408" s="228"/>
      <c r="R1408" s="179"/>
      <c r="T1408" s="88">
        <v>5.05306435E-2</v>
      </c>
    </row>
    <row r="1409" spans="1:20" ht="15" customHeight="1">
      <c r="A1409" s="52" t="s">
        <v>1057</v>
      </c>
      <c r="B1409" s="53">
        <v>88316</v>
      </c>
      <c r="C1409" s="52" t="s">
        <v>1058</v>
      </c>
      <c r="D1409" s="199" t="s">
        <v>1059</v>
      </c>
      <c r="E1409" s="200"/>
      <c r="F1409" s="52" t="s">
        <v>1158</v>
      </c>
      <c r="G1409" s="201"/>
      <c r="H1409" s="202"/>
      <c r="I1409" s="203"/>
      <c r="J1409" s="204" t="s">
        <v>1061</v>
      </c>
      <c r="K1409" s="205"/>
      <c r="L1409" s="55">
        <v>0.2</v>
      </c>
      <c r="M1409" s="188">
        <v>21.32</v>
      </c>
      <c r="N1409" s="189"/>
      <c r="O1409" s="56">
        <f>M1409-(M1409*T1409)</f>
        <v>20.24268668058</v>
      </c>
      <c r="P1409" s="57">
        <f t="shared" ref="P1409:P1411" si="268">O1409*L1409</f>
        <v>4.0485373361160004</v>
      </c>
      <c r="Q1409" s="228"/>
      <c r="R1409" s="179"/>
      <c r="T1409" s="88">
        <v>5.05306435E-2</v>
      </c>
    </row>
    <row r="1410" spans="1:20" ht="14.25" customHeight="1">
      <c r="A1410" s="52" t="s">
        <v>1057</v>
      </c>
      <c r="B1410" s="53">
        <v>88264</v>
      </c>
      <c r="C1410" s="52" t="s">
        <v>1058</v>
      </c>
      <c r="D1410" s="199" t="s">
        <v>1063</v>
      </c>
      <c r="E1410" s="200"/>
      <c r="F1410" s="52" t="s">
        <v>1158</v>
      </c>
      <c r="G1410" s="201"/>
      <c r="H1410" s="202"/>
      <c r="I1410" s="203"/>
      <c r="J1410" s="204" t="s">
        <v>1061</v>
      </c>
      <c r="K1410" s="205"/>
      <c r="L1410" s="55">
        <v>0.2</v>
      </c>
      <c r="M1410" s="188">
        <v>27.27</v>
      </c>
      <c r="N1410" s="189"/>
      <c r="O1410" s="56">
        <f t="shared" ref="O1410:O1411" si="269">M1410-(M1410*T1410)</f>
        <v>25.892029351754999</v>
      </c>
      <c r="P1410" s="57">
        <f t="shared" si="268"/>
        <v>5.1784058703509999</v>
      </c>
      <c r="Q1410" s="228"/>
      <c r="R1410" s="179"/>
      <c r="T1410" s="88">
        <v>5.05306435E-2</v>
      </c>
    </row>
    <row r="1411" spans="1:20" ht="14.85" customHeight="1">
      <c r="A1411" s="58" t="s">
        <v>1064</v>
      </c>
      <c r="B1411" s="62">
        <v>9768</v>
      </c>
      <c r="C1411" s="58" t="s">
        <v>1180</v>
      </c>
      <c r="D1411" s="181" t="s">
        <v>1889</v>
      </c>
      <c r="E1411" s="182"/>
      <c r="F1411" s="58" t="s">
        <v>1068</v>
      </c>
      <c r="G1411" s="183"/>
      <c r="H1411" s="184"/>
      <c r="I1411" s="185"/>
      <c r="J1411" s="186" t="s">
        <v>1187</v>
      </c>
      <c r="K1411" s="187"/>
      <c r="L1411" s="60">
        <v>1</v>
      </c>
      <c r="M1411" s="221">
        <v>22.4</v>
      </c>
      <c r="N1411" s="222"/>
      <c r="O1411" s="56">
        <f t="shared" si="269"/>
        <v>21.268113585599998</v>
      </c>
      <c r="P1411" s="57">
        <f t="shared" si="268"/>
        <v>21.268113585599998</v>
      </c>
      <c r="Q1411" s="228"/>
      <c r="R1411" s="179"/>
      <c r="T1411" s="88">
        <v>5.05306435E-2</v>
      </c>
    </row>
    <row r="1412" spans="1:20" ht="14.25" customHeight="1">
      <c r="A1412" s="174" t="s">
        <v>1070</v>
      </c>
      <c r="B1412" s="174"/>
      <c r="C1412" s="174"/>
      <c r="D1412" s="174"/>
      <c r="E1412" s="174"/>
      <c r="F1412" s="174"/>
      <c r="G1412" s="174"/>
      <c r="H1412" s="175" t="s">
        <v>1071</v>
      </c>
      <c r="I1412" s="175"/>
      <c r="J1412" s="175"/>
      <c r="K1412" s="175"/>
      <c r="L1412" s="176">
        <v>0</v>
      </c>
      <c r="M1412" s="176"/>
      <c r="N1412" s="177" t="s">
        <v>1072</v>
      </c>
      <c r="O1412" s="177"/>
      <c r="P1412" s="177"/>
      <c r="Q1412" s="179"/>
      <c r="R1412" s="179"/>
      <c r="T1412" s="88">
        <v>5.05306435E-2</v>
      </c>
    </row>
    <row r="1413" spans="1:20" ht="16.5" customHeight="1">
      <c r="A1413" s="178" t="s">
        <v>1073</v>
      </c>
      <c r="B1413" s="178"/>
      <c r="C1413" s="178"/>
      <c r="D1413" s="178"/>
      <c r="E1413" s="178"/>
      <c r="F1413" s="178"/>
      <c r="G1413" s="178"/>
      <c r="H1413" s="179"/>
      <c r="I1413" s="179"/>
      <c r="J1413" s="179"/>
      <c r="K1413" s="179"/>
      <c r="L1413" s="180" t="s">
        <v>1074</v>
      </c>
      <c r="M1413" s="180"/>
      <c r="N1413" s="179"/>
      <c r="O1413" s="179"/>
      <c r="P1413" s="179"/>
      <c r="Q1413" s="179"/>
      <c r="R1413" s="179"/>
      <c r="T1413" s="88">
        <v>5.05306435E-2</v>
      </c>
    </row>
    <row r="1414" spans="1:20" ht="28.5" customHeight="1">
      <c r="A1414" s="233" t="s">
        <v>1890</v>
      </c>
      <c r="B1414" s="233"/>
      <c r="C1414" s="233"/>
      <c r="D1414" s="233"/>
      <c r="E1414" s="233"/>
      <c r="F1414" s="233"/>
      <c r="G1414" s="233"/>
      <c r="H1414" s="233"/>
      <c r="I1414" s="233"/>
      <c r="J1414" s="233"/>
      <c r="K1414" s="233"/>
      <c r="L1414" s="233"/>
      <c r="M1414" s="233"/>
      <c r="N1414" s="233"/>
      <c r="O1414" s="233"/>
      <c r="P1414" s="233"/>
      <c r="Q1414" s="233"/>
      <c r="R1414" s="233"/>
      <c r="T1414" s="88">
        <v>5.05306435E-2</v>
      </c>
    </row>
    <row r="1415" spans="1:20" ht="14.25" customHeight="1">
      <c r="A1415" s="207"/>
      <c r="B1415" s="207"/>
      <c r="C1415" s="207"/>
      <c r="D1415" s="207"/>
      <c r="E1415" s="207"/>
      <c r="F1415" s="207"/>
      <c r="G1415" s="207"/>
      <c r="H1415" s="207"/>
      <c r="I1415" s="207"/>
      <c r="J1415" s="207"/>
      <c r="K1415" s="207"/>
      <c r="L1415" s="207"/>
      <c r="M1415" s="207"/>
      <c r="N1415" s="207"/>
      <c r="O1415" s="207"/>
      <c r="P1415" s="207"/>
      <c r="Q1415" s="179"/>
      <c r="R1415" s="179"/>
      <c r="T1415" s="88">
        <v>5.05306435E-2</v>
      </c>
    </row>
    <row r="1416" spans="1:20" ht="15.75" customHeight="1">
      <c r="A1416" s="43" t="s">
        <v>1891</v>
      </c>
      <c r="B1416" s="44" t="s">
        <v>3</v>
      </c>
      <c r="C1416" s="43" t="s">
        <v>4</v>
      </c>
      <c r="D1416" s="208" t="s">
        <v>5</v>
      </c>
      <c r="E1416" s="209"/>
      <c r="F1416" s="43" t="s">
        <v>1049</v>
      </c>
      <c r="G1416" s="210"/>
      <c r="H1416" s="211"/>
      <c r="I1416" s="212"/>
      <c r="J1416" s="215" t="s">
        <v>6</v>
      </c>
      <c r="K1416" s="217"/>
      <c r="L1416" s="44" t="s">
        <v>7</v>
      </c>
      <c r="M1416" s="213" t="s">
        <v>8</v>
      </c>
      <c r="N1416" s="214"/>
      <c r="O1416" s="66"/>
      <c r="P1416" s="44" t="s">
        <v>11</v>
      </c>
      <c r="Q1416" s="228"/>
      <c r="R1416" s="179"/>
      <c r="T1416" s="88">
        <v>5.05306435E-2</v>
      </c>
    </row>
    <row r="1417" spans="1:20" ht="14.25" customHeight="1">
      <c r="A1417" s="47" t="s">
        <v>1051</v>
      </c>
      <c r="B1417" s="48" t="s">
        <v>1892</v>
      </c>
      <c r="C1417" s="47" t="s">
        <v>1053</v>
      </c>
      <c r="D1417" s="190" t="s">
        <v>1893</v>
      </c>
      <c r="E1417" s="191"/>
      <c r="F1417" s="47" t="s">
        <v>1422</v>
      </c>
      <c r="G1417" s="192"/>
      <c r="H1417" s="193"/>
      <c r="I1417" s="194"/>
      <c r="J1417" s="195" t="s">
        <v>1085</v>
      </c>
      <c r="K1417" s="196"/>
      <c r="L1417" s="50">
        <v>1</v>
      </c>
      <c r="M1417" s="197">
        <v>80.099999999999994</v>
      </c>
      <c r="N1417" s="198"/>
      <c r="O1417" s="64">
        <f>M1417-(M1417*T1417)</f>
        <v>76.052495455649989</v>
      </c>
      <c r="P1417" s="64">
        <f>SUM(P1418:P1425)</f>
        <v>76.049647047580507</v>
      </c>
      <c r="Q1417" s="228"/>
      <c r="R1417" s="179"/>
      <c r="T1417" s="88">
        <v>5.05306435E-2</v>
      </c>
    </row>
    <row r="1418" spans="1:20" ht="15" customHeight="1">
      <c r="A1418" s="52" t="s">
        <v>1057</v>
      </c>
      <c r="B1418" s="53">
        <v>88264</v>
      </c>
      <c r="C1418" s="52" t="s">
        <v>1058</v>
      </c>
      <c r="D1418" s="199" t="s">
        <v>1063</v>
      </c>
      <c r="E1418" s="200"/>
      <c r="F1418" s="52" t="s">
        <v>1158</v>
      </c>
      <c r="G1418" s="201"/>
      <c r="H1418" s="202"/>
      <c r="I1418" s="203"/>
      <c r="J1418" s="204" t="s">
        <v>1061</v>
      </c>
      <c r="K1418" s="205"/>
      <c r="L1418" s="55">
        <v>0.3</v>
      </c>
      <c r="M1418" s="188">
        <v>27.27</v>
      </c>
      <c r="N1418" s="189"/>
      <c r="O1418" s="56">
        <f>M1418-(M1418*T1418)</f>
        <v>25.892029351754999</v>
      </c>
      <c r="P1418" s="57">
        <f t="shared" ref="P1418:P1421" si="270">O1418*L1418</f>
        <v>7.7676088055264998</v>
      </c>
      <c r="Q1418" s="228"/>
      <c r="R1418" s="179"/>
      <c r="T1418" s="88">
        <v>5.05306435E-2</v>
      </c>
    </row>
    <row r="1419" spans="1:20" ht="15" customHeight="1">
      <c r="A1419" s="52" t="s">
        <v>1057</v>
      </c>
      <c r="B1419" s="53">
        <v>88316</v>
      </c>
      <c r="C1419" s="52" t="s">
        <v>1058</v>
      </c>
      <c r="D1419" s="199" t="s">
        <v>1059</v>
      </c>
      <c r="E1419" s="200"/>
      <c r="F1419" s="52" t="s">
        <v>1158</v>
      </c>
      <c r="G1419" s="201"/>
      <c r="H1419" s="202"/>
      <c r="I1419" s="203"/>
      <c r="J1419" s="204" t="s">
        <v>1061</v>
      </c>
      <c r="K1419" s="205"/>
      <c r="L1419" s="55">
        <v>0.3</v>
      </c>
      <c r="M1419" s="188">
        <v>21.32</v>
      </c>
      <c r="N1419" s="189"/>
      <c r="O1419" s="56">
        <f t="shared" ref="O1419:O1421" si="271">M1419-(M1419*T1419)</f>
        <v>20.24268668058</v>
      </c>
      <c r="P1419" s="57">
        <f t="shared" si="270"/>
        <v>6.0728060041739997</v>
      </c>
      <c r="Q1419" s="228"/>
      <c r="R1419" s="179"/>
      <c r="T1419" s="88">
        <v>5.05306435E-2</v>
      </c>
    </row>
    <row r="1420" spans="1:20" ht="14.25" customHeight="1">
      <c r="A1420" s="58" t="s">
        <v>1064</v>
      </c>
      <c r="B1420" s="62">
        <v>858</v>
      </c>
      <c r="C1420" s="58" t="s">
        <v>1180</v>
      </c>
      <c r="D1420" s="181" t="s">
        <v>1894</v>
      </c>
      <c r="E1420" s="182"/>
      <c r="F1420" s="58" t="s">
        <v>1068</v>
      </c>
      <c r="G1420" s="183"/>
      <c r="H1420" s="184"/>
      <c r="I1420" s="185"/>
      <c r="J1420" s="186" t="s">
        <v>1187</v>
      </c>
      <c r="K1420" s="187"/>
      <c r="L1420" s="60">
        <v>1</v>
      </c>
      <c r="M1420" s="221">
        <v>62.55</v>
      </c>
      <c r="N1420" s="222"/>
      <c r="O1420" s="56">
        <f t="shared" si="271"/>
        <v>59.389308249075</v>
      </c>
      <c r="P1420" s="57">
        <f t="shared" si="270"/>
        <v>59.389308249075</v>
      </c>
      <c r="Q1420" s="228"/>
      <c r="R1420" s="179"/>
      <c r="T1420" s="88">
        <v>5.05306435E-2</v>
      </c>
    </row>
    <row r="1421" spans="1:20" ht="15" customHeight="1">
      <c r="A1421" s="58" t="s">
        <v>1064</v>
      </c>
      <c r="B1421" s="62">
        <v>3561</v>
      </c>
      <c r="C1421" s="58" t="s">
        <v>1180</v>
      </c>
      <c r="D1421" s="181" t="s">
        <v>1895</v>
      </c>
      <c r="E1421" s="182"/>
      <c r="F1421" s="58" t="s">
        <v>1068</v>
      </c>
      <c r="G1421" s="183"/>
      <c r="H1421" s="184"/>
      <c r="I1421" s="185"/>
      <c r="J1421" s="186" t="s">
        <v>1896</v>
      </c>
      <c r="K1421" s="187"/>
      <c r="L1421" s="60">
        <v>0.6</v>
      </c>
      <c r="M1421" s="221">
        <v>4.95</v>
      </c>
      <c r="N1421" s="222"/>
      <c r="O1421" s="56">
        <f t="shared" si="271"/>
        <v>4.699873314675</v>
      </c>
      <c r="P1421" s="57">
        <f t="shared" si="270"/>
        <v>2.8199239888049998</v>
      </c>
      <c r="Q1421" s="228"/>
      <c r="R1421" s="179"/>
      <c r="T1421" s="88">
        <v>5.05306435E-2</v>
      </c>
    </row>
    <row r="1422" spans="1:20" ht="14.25" customHeight="1">
      <c r="A1422" s="174" t="s">
        <v>1070</v>
      </c>
      <c r="B1422" s="174"/>
      <c r="C1422" s="174"/>
      <c r="D1422" s="174"/>
      <c r="E1422" s="174"/>
      <c r="F1422" s="174"/>
      <c r="G1422" s="174"/>
      <c r="H1422" s="175" t="s">
        <v>1071</v>
      </c>
      <c r="I1422" s="175"/>
      <c r="J1422" s="175"/>
      <c r="K1422" s="175"/>
      <c r="L1422" s="176">
        <v>0</v>
      </c>
      <c r="M1422" s="176"/>
      <c r="N1422" s="177" t="s">
        <v>1072</v>
      </c>
      <c r="O1422" s="177"/>
      <c r="P1422" s="177"/>
      <c r="Q1422" s="179"/>
      <c r="R1422" s="179"/>
      <c r="T1422" s="88">
        <v>5.05306435E-2</v>
      </c>
    </row>
    <row r="1423" spans="1:20" ht="17.45" customHeight="1">
      <c r="A1423" s="178" t="s">
        <v>1073</v>
      </c>
      <c r="B1423" s="178"/>
      <c r="C1423" s="178"/>
      <c r="D1423" s="178"/>
      <c r="E1423" s="178"/>
      <c r="F1423" s="178"/>
      <c r="G1423" s="178"/>
      <c r="H1423" s="179"/>
      <c r="I1423" s="179"/>
      <c r="J1423" s="179"/>
      <c r="K1423" s="179"/>
      <c r="L1423" s="180" t="s">
        <v>1074</v>
      </c>
      <c r="M1423" s="180"/>
      <c r="N1423" s="179"/>
      <c r="O1423" s="179"/>
      <c r="P1423" s="179"/>
      <c r="Q1423" s="179"/>
      <c r="R1423" s="179"/>
      <c r="T1423" s="88">
        <v>5.05306435E-2</v>
      </c>
    </row>
    <row r="1424" spans="1:20" ht="28.5" customHeight="1">
      <c r="A1424" s="233" t="s">
        <v>1897</v>
      </c>
      <c r="B1424" s="233"/>
      <c r="C1424" s="233"/>
      <c r="D1424" s="233"/>
      <c r="E1424" s="233"/>
      <c r="F1424" s="233"/>
      <c r="G1424" s="233"/>
      <c r="H1424" s="233"/>
      <c r="I1424" s="233"/>
      <c r="J1424" s="233"/>
      <c r="K1424" s="233"/>
      <c r="L1424" s="233"/>
      <c r="M1424" s="233"/>
      <c r="N1424" s="233"/>
      <c r="O1424" s="233"/>
      <c r="P1424" s="233"/>
      <c r="Q1424" s="233"/>
      <c r="R1424" s="233"/>
      <c r="T1424" s="88">
        <v>5.05306435E-2</v>
      </c>
    </row>
    <row r="1425" spans="1:20" ht="14.25" customHeight="1">
      <c r="A1425" s="207"/>
      <c r="B1425" s="207"/>
      <c r="C1425" s="207"/>
      <c r="D1425" s="207"/>
      <c r="E1425" s="207"/>
      <c r="F1425" s="207"/>
      <c r="G1425" s="207"/>
      <c r="H1425" s="207"/>
      <c r="I1425" s="207"/>
      <c r="J1425" s="207"/>
      <c r="K1425" s="207"/>
      <c r="L1425" s="207"/>
      <c r="M1425" s="207"/>
      <c r="N1425" s="207"/>
      <c r="O1425" s="207"/>
      <c r="P1425" s="207"/>
      <c r="Q1425" s="179"/>
      <c r="R1425" s="179"/>
      <c r="T1425" s="88">
        <v>5.05306435E-2</v>
      </c>
    </row>
    <row r="1426" spans="1:20" ht="15.75" customHeight="1">
      <c r="A1426" s="43" t="s">
        <v>1898</v>
      </c>
      <c r="B1426" s="44" t="s">
        <v>3</v>
      </c>
      <c r="C1426" s="43" t="s">
        <v>4</v>
      </c>
      <c r="D1426" s="208" t="s">
        <v>5</v>
      </c>
      <c r="E1426" s="209"/>
      <c r="F1426" s="43" t="s">
        <v>1049</v>
      </c>
      <c r="G1426" s="210"/>
      <c r="H1426" s="211"/>
      <c r="I1426" s="212"/>
      <c r="J1426" s="215" t="s">
        <v>6</v>
      </c>
      <c r="K1426" s="217"/>
      <c r="L1426" s="44" t="s">
        <v>7</v>
      </c>
      <c r="M1426" s="213" t="s">
        <v>8</v>
      </c>
      <c r="N1426" s="214"/>
      <c r="O1426" s="66"/>
      <c r="P1426" s="44" t="s">
        <v>11</v>
      </c>
      <c r="Q1426" s="228"/>
      <c r="R1426" s="179"/>
      <c r="T1426" s="88">
        <v>5.05306435E-2</v>
      </c>
    </row>
    <row r="1427" spans="1:20" ht="14.25" customHeight="1">
      <c r="A1427" s="47" t="s">
        <v>1051</v>
      </c>
      <c r="B1427" s="48" t="s">
        <v>1899</v>
      </c>
      <c r="C1427" s="47" t="s">
        <v>1053</v>
      </c>
      <c r="D1427" s="190" t="s">
        <v>1900</v>
      </c>
      <c r="E1427" s="191"/>
      <c r="F1427" s="47" t="s">
        <v>1628</v>
      </c>
      <c r="G1427" s="192"/>
      <c r="H1427" s="193"/>
      <c r="I1427" s="194"/>
      <c r="J1427" s="195" t="s">
        <v>1085</v>
      </c>
      <c r="K1427" s="196"/>
      <c r="L1427" s="50">
        <v>1</v>
      </c>
      <c r="M1427" s="197">
        <v>15.22</v>
      </c>
      <c r="N1427" s="198"/>
      <c r="O1427" s="64">
        <f>M1427-(M1427*T1427)</f>
        <v>14.450923605930001</v>
      </c>
      <c r="P1427" s="64">
        <f>SUM(P1428:P1435)</f>
        <v>14.449024667217</v>
      </c>
      <c r="Q1427" s="228"/>
      <c r="R1427" s="179"/>
      <c r="T1427" s="88">
        <v>5.05306435E-2</v>
      </c>
    </row>
    <row r="1428" spans="1:20" ht="15" customHeight="1">
      <c r="A1428" s="52" t="s">
        <v>1057</v>
      </c>
      <c r="B1428" s="53">
        <v>88264</v>
      </c>
      <c r="C1428" s="52" t="s">
        <v>1058</v>
      </c>
      <c r="D1428" s="199" t="s">
        <v>1063</v>
      </c>
      <c r="E1428" s="200"/>
      <c r="F1428" s="52" t="s">
        <v>1158</v>
      </c>
      <c r="G1428" s="201"/>
      <c r="H1428" s="202"/>
      <c r="I1428" s="203"/>
      <c r="J1428" s="204" t="s">
        <v>1061</v>
      </c>
      <c r="K1428" s="205"/>
      <c r="L1428" s="55">
        <v>0.2</v>
      </c>
      <c r="M1428" s="188">
        <v>27.27</v>
      </c>
      <c r="N1428" s="189"/>
      <c r="O1428" s="56">
        <f>M1428-(M1428*T1428)</f>
        <v>25.892029351754999</v>
      </c>
      <c r="P1428" s="57">
        <f t="shared" ref="P1428:P1430" si="272">O1428*L1428</f>
        <v>5.1784058703509999</v>
      </c>
      <c r="Q1428" s="228"/>
      <c r="R1428" s="179"/>
      <c r="T1428" s="88">
        <v>5.05306435E-2</v>
      </c>
    </row>
    <row r="1429" spans="1:20" ht="14.25" customHeight="1">
      <c r="A1429" s="52" t="s">
        <v>1057</v>
      </c>
      <c r="B1429" s="53">
        <v>88316</v>
      </c>
      <c r="C1429" s="52" t="s">
        <v>1058</v>
      </c>
      <c r="D1429" s="199" t="s">
        <v>1059</v>
      </c>
      <c r="E1429" s="200"/>
      <c r="F1429" s="52" t="s">
        <v>1158</v>
      </c>
      <c r="G1429" s="201"/>
      <c r="H1429" s="202"/>
      <c r="I1429" s="203"/>
      <c r="J1429" s="204" t="s">
        <v>1061</v>
      </c>
      <c r="K1429" s="205"/>
      <c r="L1429" s="55">
        <v>0.2</v>
      </c>
      <c r="M1429" s="188">
        <v>21.32</v>
      </c>
      <c r="N1429" s="189"/>
      <c r="O1429" s="56">
        <f t="shared" ref="O1429:O1430" si="273">M1429-(M1429*T1429)</f>
        <v>20.24268668058</v>
      </c>
      <c r="P1429" s="57">
        <f t="shared" si="272"/>
        <v>4.0485373361160004</v>
      </c>
      <c r="Q1429" s="228"/>
      <c r="R1429" s="179"/>
      <c r="T1429" s="88">
        <v>5.05306435E-2</v>
      </c>
    </row>
    <row r="1430" spans="1:20" ht="15" customHeight="1">
      <c r="A1430" s="58" t="s">
        <v>1064</v>
      </c>
      <c r="B1430" s="62">
        <v>3638</v>
      </c>
      <c r="C1430" s="58" t="s">
        <v>1180</v>
      </c>
      <c r="D1430" s="181" t="s">
        <v>1901</v>
      </c>
      <c r="E1430" s="182"/>
      <c r="F1430" s="58" t="s">
        <v>1068</v>
      </c>
      <c r="G1430" s="183"/>
      <c r="H1430" s="184"/>
      <c r="I1430" s="185"/>
      <c r="J1430" s="186" t="s">
        <v>1187</v>
      </c>
      <c r="K1430" s="187"/>
      <c r="L1430" s="60">
        <v>1</v>
      </c>
      <c r="M1430" s="221">
        <v>5.5</v>
      </c>
      <c r="N1430" s="222"/>
      <c r="O1430" s="56">
        <f t="shared" si="273"/>
        <v>5.2220814607500001</v>
      </c>
      <c r="P1430" s="57">
        <f t="shared" si="272"/>
        <v>5.2220814607500001</v>
      </c>
      <c r="Q1430" s="228"/>
      <c r="R1430" s="179"/>
      <c r="T1430" s="88">
        <v>5.05306435E-2</v>
      </c>
    </row>
    <row r="1431" spans="1:20" ht="14.25" customHeight="1">
      <c r="A1431" s="174" t="s">
        <v>1070</v>
      </c>
      <c r="B1431" s="174"/>
      <c r="C1431" s="174"/>
      <c r="D1431" s="174"/>
      <c r="E1431" s="174"/>
      <c r="F1431" s="174"/>
      <c r="G1431" s="174"/>
      <c r="H1431" s="175" t="s">
        <v>1071</v>
      </c>
      <c r="I1431" s="175"/>
      <c r="J1431" s="175"/>
      <c r="K1431" s="175"/>
      <c r="L1431" s="176">
        <v>0</v>
      </c>
      <c r="M1431" s="176"/>
      <c r="N1431" s="177" t="s">
        <v>1072</v>
      </c>
      <c r="O1431" s="177"/>
      <c r="P1431" s="177"/>
      <c r="Q1431" s="179"/>
      <c r="R1431" s="179"/>
      <c r="T1431" s="88">
        <v>5.05306435E-2</v>
      </c>
    </row>
    <row r="1432" spans="1:20" ht="16.5" customHeight="1">
      <c r="A1432" s="178" t="s">
        <v>1073</v>
      </c>
      <c r="B1432" s="178"/>
      <c r="C1432" s="178"/>
      <c r="D1432" s="178"/>
      <c r="E1432" s="178"/>
      <c r="F1432" s="178"/>
      <c r="G1432" s="178"/>
      <c r="H1432" s="179"/>
      <c r="I1432" s="179"/>
      <c r="J1432" s="179"/>
      <c r="K1432" s="179"/>
      <c r="L1432" s="180" t="s">
        <v>1074</v>
      </c>
      <c r="M1432" s="180"/>
      <c r="N1432" s="179"/>
      <c r="O1432" s="179"/>
      <c r="P1432" s="179"/>
      <c r="Q1432" s="179"/>
      <c r="R1432" s="179"/>
      <c r="T1432" s="88">
        <v>5.05306435E-2</v>
      </c>
    </row>
    <row r="1433" spans="1:20" ht="28.5" customHeight="1">
      <c r="A1433" s="233" t="s">
        <v>1902</v>
      </c>
      <c r="B1433" s="233"/>
      <c r="C1433" s="233"/>
      <c r="D1433" s="233"/>
      <c r="E1433" s="233"/>
      <c r="F1433" s="233"/>
      <c r="G1433" s="233"/>
      <c r="H1433" s="233"/>
      <c r="I1433" s="233"/>
      <c r="J1433" s="233"/>
      <c r="K1433" s="233"/>
      <c r="L1433" s="233"/>
      <c r="M1433" s="233"/>
      <c r="N1433" s="233"/>
      <c r="O1433" s="233"/>
      <c r="P1433" s="233"/>
      <c r="Q1433" s="233"/>
      <c r="R1433" s="233"/>
      <c r="T1433" s="88">
        <v>5.05306435E-2</v>
      </c>
    </row>
    <row r="1434" spans="1:20" ht="15" customHeight="1">
      <c r="A1434" s="207"/>
      <c r="B1434" s="207"/>
      <c r="C1434" s="207"/>
      <c r="D1434" s="207"/>
      <c r="E1434" s="207"/>
      <c r="F1434" s="207"/>
      <c r="G1434" s="207"/>
      <c r="H1434" s="207"/>
      <c r="I1434" s="207"/>
      <c r="J1434" s="207"/>
      <c r="K1434" s="207"/>
      <c r="L1434" s="207"/>
      <c r="M1434" s="207"/>
      <c r="N1434" s="207"/>
      <c r="O1434" s="207"/>
      <c r="P1434" s="207"/>
      <c r="Q1434" s="179"/>
      <c r="R1434" s="179"/>
      <c r="T1434" s="88">
        <v>5.05306435E-2</v>
      </c>
    </row>
    <row r="1435" spans="1:20" ht="15.75" customHeight="1">
      <c r="A1435" s="43" t="s">
        <v>1903</v>
      </c>
      <c r="B1435" s="44" t="s">
        <v>3</v>
      </c>
      <c r="C1435" s="43" t="s">
        <v>4</v>
      </c>
      <c r="D1435" s="208" t="s">
        <v>5</v>
      </c>
      <c r="E1435" s="209"/>
      <c r="F1435" s="43" t="s">
        <v>1049</v>
      </c>
      <c r="G1435" s="210"/>
      <c r="H1435" s="211"/>
      <c r="I1435" s="212"/>
      <c r="J1435" s="215" t="s">
        <v>6</v>
      </c>
      <c r="K1435" s="217"/>
      <c r="L1435" s="44" t="s">
        <v>7</v>
      </c>
      <c r="M1435" s="213" t="s">
        <v>8</v>
      </c>
      <c r="N1435" s="214"/>
      <c r="O1435" s="66"/>
      <c r="P1435" s="44" t="s">
        <v>11</v>
      </c>
      <c r="Q1435" s="228"/>
      <c r="R1435" s="179"/>
      <c r="T1435" s="88">
        <v>5.05306435E-2</v>
      </c>
    </row>
    <row r="1436" spans="1:20" ht="15" customHeight="1">
      <c r="A1436" s="47" t="s">
        <v>1051</v>
      </c>
      <c r="B1436" s="48" t="s">
        <v>1904</v>
      </c>
      <c r="C1436" s="47" t="s">
        <v>1053</v>
      </c>
      <c r="D1436" s="190" t="s">
        <v>1905</v>
      </c>
      <c r="E1436" s="191"/>
      <c r="F1436" s="47" t="s">
        <v>1628</v>
      </c>
      <c r="G1436" s="192"/>
      <c r="H1436" s="193"/>
      <c r="I1436" s="194"/>
      <c r="J1436" s="195" t="s">
        <v>1085</v>
      </c>
      <c r="K1436" s="196"/>
      <c r="L1436" s="50">
        <v>1</v>
      </c>
      <c r="M1436" s="197">
        <v>10.09</v>
      </c>
      <c r="N1436" s="198"/>
      <c r="O1436" s="64">
        <f>M1436-(M1436*T1436)</f>
        <v>9.5801458070849996</v>
      </c>
      <c r="P1436" s="64">
        <f>SUM(P1437:P1444)</f>
        <v>9.5759681419163982</v>
      </c>
      <c r="Q1436" s="228"/>
      <c r="R1436" s="179"/>
      <c r="T1436" s="88">
        <v>5.05306435E-2</v>
      </c>
    </row>
    <row r="1437" spans="1:20" ht="14.25" customHeight="1">
      <c r="A1437" s="52" t="s">
        <v>1057</v>
      </c>
      <c r="B1437" s="53">
        <v>88247</v>
      </c>
      <c r="C1437" s="52" t="s">
        <v>1058</v>
      </c>
      <c r="D1437" s="199" t="s">
        <v>1062</v>
      </c>
      <c r="E1437" s="200"/>
      <c r="F1437" s="52" t="s">
        <v>1158</v>
      </c>
      <c r="G1437" s="201"/>
      <c r="H1437" s="202"/>
      <c r="I1437" s="203"/>
      <c r="J1437" s="204" t="s">
        <v>1061</v>
      </c>
      <c r="K1437" s="205"/>
      <c r="L1437" s="55">
        <v>0.14399999999999999</v>
      </c>
      <c r="M1437" s="188">
        <v>22.63</v>
      </c>
      <c r="N1437" s="189"/>
      <c r="O1437" s="56">
        <f>M1437-(M1437*T1437)</f>
        <v>21.486491537595001</v>
      </c>
      <c r="P1437" s="57">
        <f t="shared" ref="P1437:P1439" si="274">O1437*L1437</f>
        <v>3.0940547814136798</v>
      </c>
      <c r="Q1437" s="228"/>
      <c r="R1437" s="179"/>
      <c r="T1437" s="88">
        <v>5.05306435E-2</v>
      </c>
    </row>
    <row r="1438" spans="1:20" ht="15" customHeight="1">
      <c r="A1438" s="52" t="s">
        <v>1057</v>
      </c>
      <c r="B1438" s="53">
        <v>88264</v>
      </c>
      <c r="C1438" s="52" t="s">
        <v>1058</v>
      </c>
      <c r="D1438" s="199" t="s">
        <v>1063</v>
      </c>
      <c r="E1438" s="200"/>
      <c r="F1438" s="52" t="s">
        <v>1158</v>
      </c>
      <c r="G1438" s="201"/>
      <c r="H1438" s="202"/>
      <c r="I1438" s="203"/>
      <c r="J1438" s="204" t="s">
        <v>1061</v>
      </c>
      <c r="K1438" s="205"/>
      <c r="L1438" s="55">
        <v>0.14399999999999999</v>
      </c>
      <c r="M1438" s="188">
        <v>27.27</v>
      </c>
      <c r="N1438" s="189"/>
      <c r="O1438" s="56">
        <f t="shared" ref="O1438:O1439" si="275">M1438-(M1438*T1438)</f>
        <v>25.892029351754999</v>
      </c>
      <c r="P1438" s="57">
        <f t="shared" si="274"/>
        <v>3.7284522266527196</v>
      </c>
      <c r="Q1438" s="228"/>
      <c r="R1438" s="179"/>
      <c r="T1438" s="88">
        <v>5.05306435E-2</v>
      </c>
    </row>
    <row r="1439" spans="1:20" ht="14.45" customHeight="1">
      <c r="A1439" s="58" t="s">
        <v>1064</v>
      </c>
      <c r="B1439" s="62">
        <v>37484</v>
      </c>
      <c r="C1439" s="58" t="s">
        <v>1150</v>
      </c>
      <c r="D1439" s="181" t="s">
        <v>1906</v>
      </c>
      <c r="E1439" s="182"/>
      <c r="F1439" s="58" t="s">
        <v>1068</v>
      </c>
      <c r="G1439" s="183"/>
      <c r="H1439" s="184"/>
      <c r="I1439" s="185"/>
      <c r="J1439" s="186" t="s">
        <v>1085</v>
      </c>
      <c r="K1439" s="187"/>
      <c r="L1439" s="60">
        <v>1</v>
      </c>
      <c r="M1439" s="221">
        <v>2.9</v>
      </c>
      <c r="N1439" s="222"/>
      <c r="O1439" s="56">
        <f t="shared" si="275"/>
        <v>2.7534611338500001</v>
      </c>
      <c r="P1439" s="57">
        <f t="shared" si="274"/>
        <v>2.7534611338500001</v>
      </c>
      <c r="Q1439" s="228"/>
      <c r="R1439" s="179"/>
      <c r="T1439" s="88">
        <v>5.05306435E-2</v>
      </c>
    </row>
    <row r="1440" spans="1:20" ht="14.25" customHeight="1">
      <c r="A1440" s="174" t="s">
        <v>1070</v>
      </c>
      <c r="B1440" s="174"/>
      <c r="C1440" s="174"/>
      <c r="D1440" s="174"/>
      <c r="E1440" s="174"/>
      <c r="F1440" s="174"/>
      <c r="G1440" s="174"/>
      <c r="H1440" s="175" t="s">
        <v>1071</v>
      </c>
      <c r="I1440" s="175"/>
      <c r="J1440" s="175"/>
      <c r="K1440" s="175"/>
      <c r="L1440" s="176">
        <v>0</v>
      </c>
      <c r="M1440" s="176"/>
      <c r="N1440" s="177" t="s">
        <v>1072</v>
      </c>
      <c r="O1440" s="177"/>
      <c r="P1440" s="177"/>
      <c r="Q1440" s="179"/>
      <c r="R1440" s="179"/>
      <c r="T1440" s="88">
        <v>5.05306435E-2</v>
      </c>
    </row>
    <row r="1441" spans="1:20" ht="16.5" customHeight="1">
      <c r="A1441" s="178" t="s">
        <v>1073</v>
      </c>
      <c r="B1441" s="178"/>
      <c r="C1441" s="178"/>
      <c r="D1441" s="178"/>
      <c r="E1441" s="178"/>
      <c r="F1441" s="178"/>
      <c r="G1441" s="178"/>
      <c r="H1441" s="179"/>
      <c r="I1441" s="179"/>
      <c r="J1441" s="179"/>
      <c r="K1441" s="179"/>
      <c r="L1441" s="180" t="s">
        <v>1074</v>
      </c>
      <c r="M1441" s="180"/>
      <c r="N1441" s="179"/>
      <c r="O1441" s="179"/>
      <c r="P1441" s="179"/>
      <c r="Q1441" s="179"/>
      <c r="R1441" s="179"/>
      <c r="T1441" s="88">
        <v>5.05306435E-2</v>
      </c>
    </row>
    <row r="1442" spans="1:20" ht="28.5" customHeight="1">
      <c r="A1442" s="233" t="s">
        <v>1907</v>
      </c>
      <c r="B1442" s="233"/>
      <c r="C1442" s="233"/>
      <c r="D1442" s="233"/>
      <c r="E1442" s="233"/>
      <c r="F1442" s="233"/>
      <c r="G1442" s="233"/>
      <c r="H1442" s="233"/>
      <c r="I1442" s="233"/>
      <c r="J1442" s="233"/>
      <c r="K1442" s="233"/>
      <c r="L1442" s="233"/>
      <c r="M1442" s="233"/>
      <c r="N1442" s="233"/>
      <c r="O1442" s="233"/>
      <c r="P1442" s="233"/>
      <c r="Q1442" s="233"/>
      <c r="R1442" s="233"/>
      <c r="T1442" s="88">
        <v>5.05306435E-2</v>
      </c>
    </row>
    <row r="1443" spans="1:20" ht="15" customHeight="1">
      <c r="A1443" s="207"/>
      <c r="B1443" s="207"/>
      <c r="C1443" s="207"/>
      <c r="D1443" s="207"/>
      <c r="E1443" s="207"/>
      <c r="F1443" s="207"/>
      <c r="G1443" s="207"/>
      <c r="H1443" s="207"/>
      <c r="I1443" s="207"/>
      <c r="J1443" s="207"/>
      <c r="K1443" s="207"/>
      <c r="L1443" s="207"/>
      <c r="M1443" s="207"/>
      <c r="N1443" s="207"/>
      <c r="O1443" s="207"/>
      <c r="P1443" s="207"/>
      <c r="Q1443" s="179"/>
      <c r="R1443" s="179"/>
      <c r="T1443" s="88">
        <v>5.05306435E-2</v>
      </c>
    </row>
    <row r="1444" spans="1:20" ht="15.75" customHeight="1">
      <c r="A1444" s="43" t="s">
        <v>1908</v>
      </c>
      <c r="B1444" s="44" t="s">
        <v>3</v>
      </c>
      <c r="C1444" s="43" t="s">
        <v>4</v>
      </c>
      <c r="D1444" s="208" t="s">
        <v>5</v>
      </c>
      <c r="E1444" s="209"/>
      <c r="F1444" s="43" t="s">
        <v>1049</v>
      </c>
      <c r="G1444" s="210"/>
      <c r="H1444" s="211"/>
      <c r="I1444" s="212"/>
      <c r="J1444" s="215" t="s">
        <v>6</v>
      </c>
      <c r="K1444" s="217"/>
      <c r="L1444" s="44" t="s">
        <v>7</v>
      </c>
      <c r="M1444" s="213" t="s">
        <v>8</v>
      </c>
      <c r="N1444" s="214"/>
      <c r="O1444" s="66"/>
      <c r="P1444" s="44" t="s">
        <v>11</v>
      </c>
      <c r="Q1444" s="228"/>
      <c r="R1444" s="179"/>
      <c r="T1444" s="88">
        <v>5.05306435E-2</v>
      </c>
    </row>
    <row r="1445" spans="1:20" ht="15" customHeight="1">
      <c r="A1445" s="47" t="s">
        <v>1051</v>
      </c>
      <c r="B1445" s="48" t="s">
        <v>1909</v>
      </c>
      <c r="C1445" s="47" t="s">
        <v>1053</v>
      </c>
      <c r="D1445" s="190" t="s">
        <v>1910</v>
      </c>
      <c r="E1445" s="191"/>
      <c r="F1445" s="47" t="s">
        <v>1628</v>
      </c>
      <c r="G1445" s="192"/>
      <c r="H1445" s="193"/>
      <c r="I1445" s="194"/>
      <c r="J1445" s="195" t="s">
        <v>1085</v>
      </c>
      <c r="K1445" s="196"/>
      <c r="L1445" s="50">
        <v>1</v>
      </c>
      <c r="M1445" s="231">
        <v>174.51</v>
      </c>
      <c r="N1445" s="232"/>
      <c r="O1445" s="64">
        <f>M1445-(M1445*T1445)</f>
        <v>165.69189740281499</v>
      </c>
      <c r="P1445" s="64">
        <f>SUM(P1446:P1453)</f>
        <v>165.68857426006724</v>
      </c>
      <c r="Q1445" s="228"/>
      <c r="R1445" s="179"/>
      <c r="T1445" s="88">
        <v>5.05306435E-2</v>
      </c>
    </row>
    <row r="1446" spans="1:20" ht="14.25" customHeight="1">
      <c r="A1446" s="52" t="s">
        <v>1057</v>
      </c>
      <c r="B1446" s="53">
        <v>88316</v>
      </c>
      <c r="C1446" s="52" t="s">
        <v>1058</v>
      </c>
      <c r="D1446" s="199" t="s">
        <v>1059</v>
      </c>
      <c r="E1446" s="200"/>
      <c r="F1446" s="52" t="s">
        <v>1158</v>
      </c>
      <c r="G1446" s="201"/>
      <c r="H1446" s="202"/>
      <c r="I1446" s="203"/>
      <c r="J1446" s="204" t="s">
        <v>1061</v>
      </c>
      <c r="K1446" s="205"/>
      <c r="L1446" s="55">
        <v>0.35</v>
      </c>
      <c r="M1446" s="188">
        <v>21.32</v>
      </c>
      <c r="N1446" s="189"/>
      <c r="O1446" s="56">
        <f>M1446-(M1446*T1446)</f>
        <v>20.24268668058</v>
      </c>
      <c r="P1446" s="57">
        <f t="shared" ref="P1446:P1448" si="276">O1446*L1446</f>
        <v>7.0849403382029994</v>
      </c>
      <c r="Q1446" s="228"/>
      <c r="R1446" s="179"/>
      <c r="T1446" s="88">
        <v>5.05306435E-2</v>
      </c>
    </row>
    <row r="1447" spans="1:20" ht="15" customHeight="1">
      <c r="A1447" s="52" t="s">
        <v>1057</v>
      </c>
      <c r="B1447" s="53">
        <v>88264</v>
      </c>
      <c r="C1447" s="52" t="s">
        <v>1058</v>
      </c>
      <c r="D1447" s="199" t="s">
        <v>1063</v>
      </c>
      <c r="E1447" s="200"/>
      <c r="F1447" s="52" t="s">
        <v>1158</v>
      </c>
      <c r="G1447" s="201"/>
      <c r="H1447" s="202"/>
      <c r="I1447" s="203"/>
      <c r="J1447" s="204" t="s">
        <v>1061</v>
      </c>
      <c r="K1447" s="205"/>
      <c r="L1447" s="55">
        <v>0.35</v>
      </c>
      <c r="M1447" s="188">
        <v>27.27</v>
      </c>
      <c r="N1447" s="189"/>
      <c r="O1447" s="56">
        <f t="shared" ref="O1447:O1448" si="277">M1447-(M1447*T1447)</f>
        <v>25.892029351754999</v>
      </c>
      <c r="P1447" s="57">
        <f t="shared" si="276"/>
        <v>9.0622102731142498</v>
      </c>
      <c r="Q1447" s="228"/>
      <c r="R1447" s="179"/>
      <c r="T1447" s="88">
        <v>5.05306435E-2</v>
      </c>
    </row>
    <row r="1448" spans="1:20" ht="14.85" customHeight="1">
      <c r="A1448" s="58" t="s">
        <v>1064</v>
      </c>
      <c r="B1448" s="62">
        <v>2206</v>
      </c>
      <c r="C1448" s="58" t="s">
        <v>1180</v>
      </c>
      <c r="D1448" s="181" t="s">
        <v>1911</v>
      </c>
      <c r="E1448" s="182"/>
      <c r="F1448" s="58" t="s">
        <v>1068</v>
      </c>
      <c r="G1448" s="183"/>
      <c r="H1448" s="184"/>
      <c r="I1448" s="185"/>
      <c r="J1448" s="186" t="s">
        <v>1187</v>
      </c>
      <c r="K1448" s="187"/>
      <c r="L1448" s="60">
        <v>1</v>
      </c>
      <c r="M1448" s="229">
        <v>157.5</v>
      </c>
      <c r="N1448" s="230"/>
      <c r="O1448" s="56">
        <f t="shared" si="277"/>
        <v>149.54142364875</v>
      </c>
      <c r="P1448" s="57">
        <f t="shared" si="276"/>
        <v>149.54142364875</v>
      </c>
      <c r="Q1448" s="228"/>
      <c r="R1448" s="179"/>
      <c r="T1448" s="88">
        <v>5.05306435E-2</v>
      </c>
    </row>
    <row r="1449" spans="1:20" ht="14.25" customHeight="1">
      <c r="A1449" s="174" t="s">
        <v>1070</v>
      </c>
      <c r="B1449" s="174"/>
      <c r="C1449" s="174"/>
      <c r="D1449" s="174"/>
      <c r="E1449" s="174"/>
      <c r="F1449" s="174"/>
      <c r="G1449" s="174"/>
      <c r="H1449" s="175" t="s">
        <v>1071</v>
      </c>
      <c r="I1449" s="175"/>
      <c r="J1449" s="175"/>
      <c r="K1449" s="175"/>
      <c r="L1449" s="176">
        <v>0</v>
      </c>
      <c r="M1449" s="176"/>
      <c r="N1449" s="177" t="s">
        <v>1072</v>
      </c>
      <c r="O1449" s="177"/>
      <c r="P1449" s="177"/>
      <c r="Q1449" s="179"/>
      <c r="R1449" s="179"/>
      <c r="T1449" s="88">
        <v>5.05306435E-2</v>
      </c>
    </row>
    <row r="1450" spans="1:20" ht="14.25" customHeight="1">
      <c r="A1450" s="226" t="s">
        <v>1073</v>
      </c>
      <c r="B1450" s="226"/>
      <c r="C1450" s="226"/>
      <c r="D1450" s="226"/>
      <c r="E1450" s="226"/>
      <c r="F1450" s="226"/>
      <c r="G1450" s="226"/>
      <c r="H1450" s="227"/>
      <c r="I1450" s="227"/>
      <c r="J1450" s="227"/>
      <c r="K1450" s="227"/>
      <c r="L1450" s="180" t="s">
        <v>1074</v>
      </c>
      <c r="M1450" s="180"/>
      <c r="N1450" s="179"/>
      <c r="O1450" s="179"/>
      <c r="P1450" s="179"/>
      <c r="Q1450" s="179"/>
      <c r="R1450" s="179"/>
      <c r="T1450" s="88">
        <v>5.05306435E-2</v>
      </c>
    </row>
    <row r="1451" spans="1:20" ht="14.25" customHeight="1">
      <c r="A1451" s="82" t="s">
        <v>1089</v>
      </c>
      <c r="B1451" s="78"/>
      <c r="C1451" s="78"/>
      <c r="D1451" s="225"/>
      <c r="E1451" s="225"/>
      <c r="F1451" s="78"/>
      <c r="G1451" s="225"/>
      <c r="H1451" s="225"/>
      <c r="I1451" s="225"/>
      <c r="J1451" s="225"/>
      <c r="K1451" s="225"/>
      <c r="L1451" s="78"/>
      <c r="M1451" s="179"/>
      <c r="N1451" s="179"/>
      <c r="O1451" s="68"/>
      <c r="P1451" s="68"/>
      <c r="T1451" s="88">
        <v>5.05306435E-2</v>
      </c>
    </row>
    <row r="1452" spans="1:20" ht="15.2" customHeight="1">
      <c r="A1452" s="206" t="s">
        <v>1912</v>
      </c>
      <c r="B1452" s="206"/>
      <c r="C1452" s="206"/>
      <c r="D1452" s="206"/>
      <c r="E1452" s="206"/>
      <c r="F1452" s="206"/>
      <c r="G1452" s="206"/>
      <c r="H1452" s="206"/>
      <c r="I1452" s="206"/>
      <c r="J1452" s="206"/>
      <c r="K1452" s="206"/>
      <c r="L1452" s="206"/>
      <c r="M1452" s="206"/>
      <c r="N1452" s="206"/>
      <c r="O1452" s="206"/>
      <c r="P1452" s="206"/>
      <c r="T1452" s="88">
        <v>5.05306435E-2</v>
      </c>
    </row>
    <row r="1453" spans="1:20" ht="14.45" customHeight="1">
      <c r="A1453" s="207"/>
      <c r="B1453" s="207"/>
      <c r="C1453" s="207"/>
      <c r="D1453" s="207"/>
      <c r="E1453" s="207"/>
      <c r="F1453" s="207"/>
      <c r="G1453" s="207"/>
      <c r="H1453" s="207"/>
      <c r="I1453" s="207"/>
      <c r="J1453" s="207"/>
      <c r="K1453" s="207"/>
      <c r="L1453" s="207"/>
      <c r="M1453" s="207"/>
      <c r="N1453" s="207"/>
      <c r="O1453" s="207"/>
      <c r="P1453" s="207"/>
      <c r="T1453" s="88">
        <v>5.05306435E-2</v>
      </c>
    </row>
    <row r="1454" spans="1:20" ht="15.75" customHeight="1">
      <c r="A1454" s="43" t="s">
        <v>1913</v>
      </c>
      <c r="B1454" s="44" t="s">
        <v>3</v>
      </c>
      <c r="C1454" s="43" t="s">
        <v>4</v>
      </c>
      <c r="D1454" s="208" t="s">
        <v>5</v>
      </c>
      <c r="E1454" s="209"/>
      <c r="F1454" s="43" t="s">
        <v>1049</v>
      </c>
      <c r="G1454" s="210"/>
      <c r="H1454" s="211"/>
      <c r="I1454" s="212"/>
      <c r="J1454" s="215" t="s">
        <v>6</v>
      </c>
      <c r="K1454" s="217"/>
      <c r="L1454" s="44" t="s">
        <v>7</v>
      </c>
      <c r="M1454" s="219" t="s">
        <v>8</v>
      </c>
      <c r="N1454" s="220"/>
      <c r="O1454" s="63"/>
      <c r="P1454" s="44" t="s">
        <v>11</v>
      </c>
      <c r="T1454" s="88">
        <v>5.05306435E-2</v>
      </c>
    </row>
    <row r="1455" spans="1:20" ht="14.45" customHeight="1">
      <c r="A1455" s="47" t="s">
        <v>1051</v>
      </c>
      <c r="B1455" s="48" t="s">
        <v>1914</v>
      </c>
      <c r="C1455" s="47" t="s">
        <v>1053</v>
      </c>
      <c r="D1455" s="190" t="s">
        <v>1915</v>
      </c>
      <c r="E1455" s="191"/>
      <c r="F1455" s="47" t="s">
        <v>1628</v>
      </c>
      <c r="G1455" s="192"/>
      <c r="H1455" s="193"/>
      <c r="I1455" s="194"/>
      <c r="J1455" s="195" t="s">
        <v>1085</v>
      </c>
      <c r="K1455" s="196"/>
      <c r="L1455" s="50">
        <v>1</v>
      </c>
      <c r="M1455" s="197">
        <v>22.97</v>
      </c>
      <c r="N1455" s="198"/>
      <c r="O1455" s="64">
        <f>M1455-(M1455*T1455)</f>
        <v>21.809311118804999</v>
      </c>
      <c r="P1455" s="64">
        <f>SUM(P1456:P1463)</f>
        <v>21.809311118804999</v>
      </c>
      <c r="T1455" s="88">
        <v>5.05306435E-2</v>
      </c>
    </row>
    <row r="1456" spans="1:20" ht="14.45" customHeight="1">
      <c r="A1456" s="52" t="s">
        <v>1057</v>
      </c>
      <c r="B1456" s="53">
        <v>88264</v>
      </c>
      <c r="C1456" s="52" t="s">
        <v>1058</v>
      </c>
      <c r="D1456" s="199" t="s">
        <v>1063</v>
      </c>
      <c r="E1456" s="200"/>
      <c r="F1456" s="52" t="s">
        <v>1158</v>
      </c>
      <c r="G1456" s="201"/>
      <c r="H1456" s="202"/>
      <c r="I1456" s="203"/>
      <c r="J1456" s="204" t="s">
        <v>1061</v>
      </c>
      <c r="K1456" s="205"/>
      <c r="L1456" s="55">
        <v>0.2</v>
      </c>
      <c r="M1456" s="188">
        <v>27.27</v>
      </c>
      <c r="N1456" s="189"/>
      <c r="O1456" s="56">
        <f>M1456-(M1456*T1456)</f>
        <v>25.892029351754999</v>
      </c>
      <c r="P1456" s="57">
        <f t="shared" ref="P1456:P1458" si="278">O1456*L1456</f>
        <v>5.1784058703509999</v>
      </c>
      <c r="T1456" s="88">
        <v>5.05306435E-2</v>
      </c>
    </row>
    <row r="1457" spans="1:20" ht="14.45" customHeight="1">
      <c r="A1457" s="52" t="s">
        <v>1057</v>
      </c>
      <c r="B1457" s="53">
        <v>88247</v>
      </c>
      <c r="C1457" s="52" t="s">
        <v>1058</v>
      </c>
      <c r="D1457" s="199" t="s">
        <v>1062</v>
      </c>
      <c r="E1457" s="200"/>
      <c r="F1457" s="52" t="s">
        <v>1158</v>
      </c>
      <c r="G1457" s="201"/>
      <c r="H1457" s="202"/>
      <c r="I1457" s="203"/>
      <c r="J1457" s="204" t="s">
        <v>1061</v>
      </c>
      <c r="K1457" s="205"/>
      <c r="L1457" s="55">
        <v>0.2</v>
      </c>
      <c r="M1457" s="188">
        <v>22.63</v>
      </c>
      <c r="N1457" s="189"/>
      <c r="O1457" s="56">
        <f t="shared" ref="O1457:O1458" si="279">M1457-(M1457*T1457)</f>
        <v>21.486491537595001</v>
      </c>
      <c r="P1457" s="57">
        <f t="shared" si="278"/>
        <v>4.2972983075190001</v>
      </c>
      <c r="T1457" s="88">
        <v>5.05306435E-2</v>
      </c>
    </row>
    <row r="1458" spans="1:20" ht="14.45" customHeight="1">
      <c r="A1458" s="58" t="s">
        <v>1064</v>
      </c>
      <c r="B1458" s="59" t="s">
        <v>1916</v>
      </c>
      <c r="C1458" s="58" t="s">
        <v>1066</v>
      </c>
      <c r="D1458" s="181" t="s">
        <v>1917</v>
      </c>
      <c r="E1458" s="182"/>
      <c r="F1458" s="58" t="s">
        <v>1068</v>
      </c>
      <c r="G1458" s="183"/>
      <c r="H1458" s="184"/>
      <c r="I1458" s="185"/>
      <c r="J1458" s="186" t="s">
        <v>1187</v>
      </c>
      <c r="K1458" s="187"/>
      <c r="L1458" s="60">
        <v>1</v>
      </c>
      <c r="M1458" s="221">
        <v>12.99</v>
      </c>
      <c r="N1458" s="222"/>
      <c r="O1458" s="56">
        <f t="shared" si="279"/>
        <v>12.333606940935001</v>
      </c>
      <c r="P1458" s="57">
        <f t="shared" si="278"/>
        <v>12.333606940935001</v>
      </c>
      <c r="T1458" s="88">
        <v>5.05306435E-2</v>
      </c>
    </row>
    <row r="1459" spans="1:20" ht="14.25" customHeight="1">
      <c r="A1459" s="174" t="s">
        <v>1070</v>
      </c>
      <c r="B1459" s="174"/>
      <c r="C1459" s="174"/>
      <c r="D1459" s="174"/>
      <c r="E1459" s="174"/>
      <c r="F1459" s="174"/>
      <c r="G1459" s="174"/>
      <c r="H1459" s="175" t="s">
        <v>1071</v>
      </c>
      <c r="I1459" s="175"/>
      <c r="J1459" s="175"/>
      <c r="K1459" s="175"/>
      <c r="L1459" s="176">
        <v>0</v>
      </c>
      <c r="M1459" s="176"/>
      <c r="N1459" s="177" t="s">
        <v>1072</v>
      </c>
      <c r="O1459" s="177"/>
      <c r="P1459" s="177"/>
      <c r="T1459" s="88">
        <v>5.05306435E-2</v>
      </c>
    </row>
    <row r="1460" spans="1:20" ht="14.25" customHeight="1">
      <c r="A1460" s="178" t="s">
        <v>1073</v>
      </c>
      <c r="B1460" s="178"/>
      <c r="C1460" s="178"/>
      <c r="D1460" s="178"/>
      <c r="E1460" s="178"/>
      <c r="F1460" s="178"/>
      <c r="G1460" s="178"/>
      <c r="H1460" s="179"/>
      <c r="I1460" s="179"/>
      <c r="J1460" s="179"/>
      <c r="K1460" s="179"/>
      <c r="L1460" s="180" t="s">
        <v>1074</v>
      </c>
      <c r="M1460" s="180"/>
      <c r="N1460" s="179"/>
      <c r="O1460" s="179"/>
      <c r="P1460" s="179"/>
      <c r="T1460" s="88">
        <v>5.05306435E-2</v>
      </c>
    </row>
    <row r="1461" spans="1:20" ht="28.5" customHeight="1">
      <c r="A1461" s="172" t="s">
        <v>1918</v>
      </c>
      <c r="B1461" s="172"/>
      <c r="C1461" s="172"/>
      <c r="D1461" s="172"/>
      <c r="E1461" s="172"/>
      <c r="F1461" s="172"/>
      <c r="G1461" s="172"/>
      <c r="H1461" s="172"/>
      <c r="I1461" s="172"/>
      <c r="J1461" s="172"/>
      <c r="K1461" s="172"/>
      <c r="L1461" s="172"/>
      <c r="M1461" s="172"/>
      <c r="N1461" s="172"/>
      <c r="O1461" s="172"/>
      <c r="P1461" s="172"/>
      <c r="Q1461" s="172"/>
      <c r="T1461" s="88">
        <v>5.05306435E-2</v>
      </c>
    </row>
    <row r="1462" spans="1:20" ht="14.45" customHeight="1">
      <c r="A1462" s="207"/>
      <c r="B1462" s="207"/>
      <c r="C1462" s="207"/>
      <c r="D1462" s="207"/>
      <c r="E1462" s="207"/>
      <c r="F1462" s="207"/>
      <c r="G1462" s="207"/>
      <c r="H1462" s="207"/>
      <c r="I1462" s="207"/>
      <c r="J1462" s="207"/>
      <c r="K1462" s="207"/>
      <c r="L1462" s="207"/>
      <c r="M1462" s="207"/>
      <c r="N1462" s="207"/>
      <c r="O1462" s="207"/>
      <c r="P1462" s="207"/>
      <c r="T1462" s="88">
        <v>5.05306435E-2</v>
      </c>
    </row>
    <row r="1463" spans="1:20" ht="15.75" customHeight="1">
      <c r="A1463" s="43" t="s">
        <v>1919</v>
      </c>
      <c r="B1463" s="44" t="s">
        <v>3</v>
      </c>
      <c r="C1463" s="43" t="s">
        <v>4</v>
      </c>
      <c r="D1463" s="208" t="s">
        <v>5</v>
      </c>
      <c r="E1463" s="209"/>
      <c r="F1463" s="43" t="s">
        <v>1049</v>
      </c>
      <c r="G1463" s="210"/>
      <c r="H1463" s="211"/>
      <c r="I1463" s="212"/>
      <c r="J1463" s="213" t="s">
        <v>6</v>
      </c>
      <c r="K1463" s="214"/>
      <c r="L1463" s="44" t="s">
        <v>7</v>
      </c>
      <c r="M1463" s="219" t="s">
        <v>8</v>
      </c>
      <c r="N1463" s="220"/>
      <c r="O1463" s="63"/>
      <c r="P1463" s="44" t="s">
        <v>11</v>
      </c>
      <c r="T1463" s="88">
        <v>5.05306435E-2</v>
      </c>
    </row>
    <row r="1464" spans="1:20" ht="14.45" customHeight="1">
      <c r="A1464" s="47" t="s">
        <v>1051</v>
      </c>
      <c r="B1464" s="48" t="s">
        <v>1920</v>
      </c>
      <c r="C1464" s="47" t="s">
        <v>1053</v>
      </c>
      <c r="D1464" s="190" t="s">
        <v>1921</v>
      </c>
      <c r="E1464" s="191"/>
      <c r="F1464" s="47" t="s">
        <v>1158</v>
      </c>
      <c r="G1464" s="192"/>
      <c r="H1464" s="193"/>
      <c r="I1464" s="194"/>
      <c r="J1464" s="223" t="s">
        <v>1085</v>
      </c>
      <c r="K1464" s="224"/>
      <c r="L1464" s="50">
        <v>1</v>
      </c>
      <c r="M1464" s="197">
        <v>100.37</v>
      </c>
      <c r="N1464" s="198"/>
      <c r="O1464" s="64">
        <f>M1464-(M1464*T1464)</f>
        <v>95.298239311905007</v>
      </c>
      <c r="P1464" s="64">
        <f>SUM(P1465:P1472)</f>
        <v>95.293491965122499</v>
      </c>
      <c r="T1464" s="88">
        <v>5.05306435E-2</v>
      </c>
    </row>
    <row r="1465" spans="1:20" ht="14.45" customHeight="1">
      <c r="A1465" s="52" t="s">
        <v>1057</v>
      </c>
      <c r="B1465" s="53">
        <v>88309</v>
      </c>
      <c r="C1465" s="52" t="s">
        <v>1058</v>
      </c>
      <c r="D1465" s="199" t="s">
        <v>1162</v>
      </c>
      <c r="E1465" s="200"/>
      <c r="F1465" s="52" t="s">
        <v>1158</v>
      </c>
      <c r="G1465" s="201"/>
      <c r="H1465" s="202"/>
      <c r="I1465" s="203"/>
      <c r="J1465" s="204" t="s">
        <v>1061</v>
      </c>
      <c r="K1465" s="205"/>
      <c r="L1465" s="55">
        <v>0.25</v>
      </c>
      <c r="M1465" s="188">
        <v>26.9</v>
      </c>
      <c r="N1465" s="189"/>
      <c r="O1465" s="56">
        <f>M1465-(M1465*T1465)</f>
        <v>25.540725689849999</v>
      </c>
      <c r="P1465" s="57">
        <f t="shared" ref="P1465:P1466" si="280">O1465*L1465</f>
        <v>6.3851814224624999</v>
      </c>
      <c r="T1465" s="88">
        <v>5.05306435E-2</v>
      </c>
    </row>
    <row r="1466" spans="1:20" ht="14.45" customHeight="1">
      <c r="A1466" s="58" t="s">
        <v>1064</v>
      </c>
      <c r="B1466" s="62">
        <v>4876</v>
      </c>
      <c r="C1466" s="58" t="s">
        <v>1180</v>
      </c>
      <c r="D1466" s="181" t="s">
        <v>1922</v>
      </c>
      <c r="E1466" s="182"/>
      <c r="F1466" s="58" t="s">
        <v>1068</v>
      </c>
      <c r="G1466" s="183"/>
      <c r="H1466" s="184"/>
      <c r="I1466" s="185"/>
      <c r="J1466" s="186" t="s">
        <v>1187</v>
      </c>
      <c r="K1466" s="187"/>
      <c r="L1466" s="60">
        <v>1</v>
      </c>
      <c r="M1466" s="221">
        <v>93.64</v>
      </c>
      <c r="N1466" s="222"/>
      <c r="O1466" s="56">
        <f t="shared" ref="O1466" si="281">M1466-(M1466*T1466)</f>
        <v>88.908310542660004</v>
      </c>
      <c r="P1466" s="57">
        <f t="shared" si="280"/>
        <v>88.908310542660004</v>
      </c>
      <c r="T1466" s="88">
        <v>5.05306435E-2</v>
      </c>
    </row>
    <row r="1467" spans="1:20" ht="14.25" customHeight="1">
      <c r="A1467" s="73"/>
      <c r="B1467" s="73"/>
      <c r="C1467" s="73"/>
      <c r="D1467" s="218"/>
      <c r="E1467" s="218"/>
      <c r="F1467" s="74" t="s">
        <v>1070</v>
      </c>
      <c r="G1467" s="218"/>
      <c r="H1467" s="218"/>
      <c r="I1467" s="218"/>
      <c r="J1467" s="175" t="s">
        <v>1071</v>
      </c>
      <c r="K1467" s="175"/>
      <c r="L1467" s="75">
        <v>0</v>
      </c>
      <c r="M1467" s="175" t="s">
        <v>1072</v>
      </c>
      <c r="N1467" s="175"/>
      <c r="O1467" s="56"/>
      <c r="P1467" s="57"/>
      <c r="T1467" s="88">
        <v>5.05306435E-2</v>
      </c>
    </row>
    <row r="1468" spans="1:20" ht="14.85" customHeight="1">
      <c r="A1468" s="68"/>
      <c r="B1468" s="68"/>
      <c r="C1468" s="68"/>
      <c r="D1468" s="179"/>
      <c r="E1468" s="179"/>
      <c r="F1468" s="76" t="s">
        <v>1073</v>
      </c>
      <c r="G1468" s="179"/>
      <c r="H1468" s="179"/>
      <c r="I1468" s="179"/>
      <c r="J1468" s="179"/>
      <c r="K1468" s="179"/>
      <c r="L1468" s="70" t="s">
        <v>1074</v>
      </c>
      <c r="M1468" s="179"/>
      <c r="N1468" s="179"/>
      <c r="O1468" s="68"/>
      <c r="P1468" s="68"/>
      <c r="T1468" s="88">
        <v>5.05306435E-2</v>
      </c>
    </row>
    <row r="1469" spans="1:20" ht="14.45" customHeight="1">
      <c r="A1469" s="77" t="s">
        <v>1089</v>
      </c>
      <c r="B1469" s="68"/>
      <c r="C1469" s="68"/>
      <c r="D1469" s="179"/>
      <c r="E1469" s="179"/>
      <c r="F1469" s="68"/>
      <c r="G1469" s="179"/>
      <c r="H1469" s="179"/>
      <c r="I1469" s="179"/>
      <c r="J1469" s="179"/>
      <c r="K1469" s="179"/>
      <c r="L1469" s="68"/>
      <c r="M1469" s="179"/>
      <c r="N1469" s="179"/>
      <c r="O1469" s="68"/>
      <c r="P1469" s="68"/>
      <c r="T1469" s="88">
        <v>5.05306435E-2</v>
      </c>
    </row>
    <row r="1470" spans="1:20" ht="15.2" customHeight="1">
      <c r="A1470" s="206" t="s">
        <v>1923</v>
      </c>
      <c r="B1470" s="206"/>
      <c r="C1470" s="206"/>
      <c r="D1470" s="206"/>
      <c r="E1470" s="206"/>
      <c r="F1470" s="206"/>
      <c r="G1470" s="206"/>
      <c r="H1470" s="206"/>
      <c r="I1470" s="206"/>
      <c r="J1470" s="206"/>
      <c r="K1470" s="206"/>
      <c r="L1470" s="206"/>
      <c r="M1470" s="206"/>
      <c r="N1470" s="206"/>
      <c r="O1470" s="206"/>
      <c r="P1470" s="206"/>
      <c r="T1470" s="88">
        <v>5.05306435E-2</v>
      </c>
    </row>
    <row r="1471" spans="1:20" ht="14.45" customHeight="1">
      <c r="A1471" s="207"/>
      <c r="B1471" s="207"/>
      <c r="C1471" s="207"/>
      <c r="D1471" s="207"/>
      <c r="E1471" s="207"/>
      <c r="F1471" s="207"/>
      <c r="G1471" s="207"/>
      <c r="H1471" s="207"/>
      <c r="I1471" s="207"/>
      <c r="J1471" s="207"/>
      <c r="K1471" s="207"/>
      <c r="L1471" s="207"/>
      <c r="M1471" s="207"/>
      <c r="N1471" s="207"/>
      <c r="O1471" s="207"/>
      <c r="P1471" s="207"/>
      <c r="T1471" s="88">
        <v>5.05306435E-2</v>
      </c>
    </row>
    <row r="1472" spans="1:20" ht="15.75" customHeight="1">
      <c r="A1472" s="43" t="s">
        <v>1924</v>
      </c>
      <c r="B1472" s="44" t="s">
        <v>3</v>
      </c>
      <c r="C1472" s="43" t="s">
        <v>4</v>
      </c>
      <c r="D1472" s="208" t="s">
        <v>5</v>
      </c>
      <c r="E1472" s="209"/>
      <c r="F1472" s="43" t="s">
        <v>1049</v>
      </c>
      <c r="G1472" s="210"/>
      <c r="H1472" s="211"/>
      <c r="I1472" s="212"/>
      <c r="J1472" s="213" t="s">
        <v>6</v>
      </c>
      <c r="K1472" s="214"/>
      <c r="L1472" s="44" t="s">
        <v>7</v>
      </c>
      <c r="M1472" s="219" t="s">
        <v>8</v>
      </c>
      <c r="N1472" s="220"/>
      <c r="O1472" s="63"/>
      <c r="P1472" s="44" t="s">
        <v>11</v>
      </c>
      <c r="T1472" s="88">
        <v>5.05306435E-2</v>
      </c>
    </row>
    <row r="1473" spans="1:20" ht="14.45" customHeight="1">
      <c r="A1473" s="47" t="s">
        <v>1051</v>
      </c>
      <c r="B1473" s="48" t="s">
        <v>1925</v>
      </c>
      <c r="C1473" s="47" t="s">
        <v>1053</v>
      </c>
      <c r="D1473" s="190" t="s">
        <v>1926</v>
      </c>
      <c r="E1473" s="191"/>
      <c r="F1473" s="47" t="s">
        <v>1158</v>
      </c>
      <c r="G1473" s="192"/>
      <c r="H1473" s="193"/>
      <c r="I1473" s="194"/>
      <c r="J1473" s="195" t="s">
        <v>1107</v>
      </c>
      <c r="K1473" s="196"/>
      <c r="L1473" s="50">
        <v>1</v>
      </c>
      <c r="M1473" s="197">
        <v>715.18</v>
      </c>
      <c r="N1473" s="198"/>
      <c r="O1473" s="64">
        <f>M1473-(M1473*T1473)</f>
        <v>679.04149438166996</v>
      </c>
      <c r="P1473" s="64">
        <f>SUM(P1474:P1481)</f>
        <v>698.54653831918506</v>
      </c>
      <c r="T1473" s="88">
        <v>5.05306435E-2</v>
      </c>
    </row>
    <row r="1474" spans="1:20" ht="14.45" customHeight="1">
      <c r="A1474" s="58" t="s">
        <v>1064</v>
      </c>
      <c r="B1474" s="62">
        <v>2683</v>
      </c>
      <c r="C1474" s="58" t="s">
        <v>1573</v>
      </c>
      <c r="D1474" s="181" t="s">
        <v>1927</v>
      </c>
      <c r="E1474" s="182"/>
      <c r="F1474" s="58" t="s">
        <v>1068</v>
      </c>
      <c r="G1474" s="183"/>
      <c r="H1474" s="184"/>
      <c r="I1474" s="185"/>
      <c r="J1474" s="186" t="s">
        <v>1327</v>
      </c>
      <c r="K1474" s="187"/>
      <c r="L1474" s="60">
        <v>1</v>
      </c>
      <c r="M1474" s="188">
        <v>715.18</v>
      </c>
      <c r="N1474" s="189"/>
      <c r="O1474" s="56">
        <f>M1474-(M1474*T1474)</f>
        <v>679.04149438166996</v>
      </c>
      <c r="P1474" s="57">
        <f t="shared" ref="P1474" si="282">O1474*L1474</f>
        <v>679.04149438166996</v>
      </c>
      <c r="T1474" s="88">
        <v>5.05306435E-2</v>
      </c>
    </row>
    <row r="1475" spans="1:20" ht="14.25" customHeight="1">
      <c r="A1475" s="174" t="s">
        <v>1070</v>
      </c>
      <c r="B1475" s="174"/>
      <c r="C1475" s="174"/>
      <c r="D1475" s="174"/>
      <c r="E1475" s="174"/>
      <c r="F1475" s="174"/>
      <c r="G1475" s="174"/>
      <c r="H1475" s="175" t="s">
        <v>1071</v>
      </c>
      <c r="I1475" s="175"/>
      <c r="J1475" s="175"/>
      <c r="K1475" s="175"/>
      <c r="L1475" s="176">
        <v>0</v>
      </c>
      <c r="M1475" s="176"/>
      <c r="N1475" s="177" t="s">
        <v>1072</v>
      </c>
      <c r="O1475" s="177"/>
      <c r="P1475" s="177"/>
      <c r="T1475" s="88">
        <v>5.05306435E-2</v>
      </c>
    </row>
    <row r="1476" spans="1:20" ht="14.25" customHeight="1">
      <c r="A1476" s="178" t="s">
        <v>1073</v>
      </c>
      <c r="B1476" s="178"/>
      <c r="C1476" s="178"/>
      <c r="D1476" s="178"/>
      <c r="E1476" s="178"/>
      <c r="F1476" s="178"/>
      <c r="G1476" s="178"/>
      <c r="H1476" s="179"/>
      <c r="I1476" s="179"/>
      <c r="J1476" s="179"/>
      <c r="K1476" s="179"/>
      <c r="L1476" s="180" t="s">
        <v>1074</v>
      </c>
      <c r="M1476" s="180"/>
      <c r="N1476" s="179"/>
      <c r="O1476" s="179"/>
      <c r="P1476" s="179"/>
      <c r="T1476" s="88">
        <v>5.05306435E-2</v>
      </c>
    </row>
    <row r="1477" spans="1:20" ht="28.5" customHeight="1">
      <c r="A1477" s="172" t="s">
        <v>1928</v>
      </c>
      <c r="B1477" s="172"/>
      <c r="C1477" s="172"/>
      <c r="D1477" s="172"/>
      <c r="E1477" s="172"/>
      <c r="F1477" s="172"/>
      <c r="G1477" s="172"/>
      <c r="H1477" s="172"/>
      <c r="I1477" s="172"/>
      <c r="J1477" s="172"/>
      <c r="K1477" s="172"/>
      <c r="L1477" s="172"/>
      <c r="M1477" s="172"/>
      <c r="N1477" s="172"/>
      <c r="O1477" s="172"/>
      <c r="P1477" s="172"/>
      <c r="Q1477" s="172"/>
      <c r="T1477" s="88">
        <v>5.05306435E-2</v>
      </c>
    </row>
    <row r="1478" spans="1:20" ht="14.45" customHeight="1">
      <c r="A1478" s="207"/>
      <c r="B1478" s="207"/>
      <c r="C1478" s="207"/>
      <c r="D1478" s="207"/>
      <c r="E1478" s="207"/>
      <c r="F1478" s="207"/>
      <c r="G1478" s="207"/>
      <c r="H1478" s="207"/>
      <c r="I1478" s="207"/>
      <c r="J1478" s="207"/>
      <c r="K1478" s="207"/>
      <c r="L1478" s="207"/>
      <c r="M1478" s="207"/>
      <c r="N1478" s="207"/>
      <c r="O1478" s="207"/>
      <c r="P1478" s="207"/>
      <c r="T1478" s="88">
        <v>5.05306435E-2</v>
      </c>
    </row>
    <row r="1479" spans="1:20" ht="15.75" customHeight="1">
      <c r="A1479" s="43" t="s">
        <v>1929</v>
      </c>
      <c r="B1479" s="44" t="s">
        <v>3</v>
      </c>
      <c r="C1479" s="43" t="s">
        <v>4</v>
      </c>
      <c r="D1479" s="208" t="s">
        <v>5</v>
      </c>
      <c r="E1479" s="209"/>
      <c r="F1479" s="43" t="s">
        <v>1049</v>
      </c>
      <c r="G1479" s="210"/>
      <c r="H1479" s="211"/>
      <c r="I1479" s="212"/>
      <c r="J1479" s="213" t="s">
        <v>6</v>
      </c>
      <c r="K1479" s="214"/>
      <c r="L1479" s="44" t="s">
        <v>7</v>
      </c>
      <c r="M1479" s="219" t="s">
        <v>8</v>
      </c>
      <c r="N1479" s="220"/>
      <c r="O1479" s="63"/>
      <c r="P1479" s="44" t="s">
        <v>11</v>
      </c>
      <c r="T1479" s="88">
        <v>5.05306435E-2</v>
      </c>
    </row>
    <row r="1480" spans="1:20" ht="14.45" customHeight="1">
      <c r="A1480" s="47" t="s">
        <v>1051</v>
      </c>
      <c r="B1480" s="48" t="s">
        <v>1930</v>
      </c>
      <c r="C1480" s="47" t="s">
        <v>1053</v>
      </c>
      <c r="D1480" s="190" t="s">
        <v>1931</v>
      </c>
      <c r="E1480" s="191"/>
      <c r="F1480" s="47" t="s">
        <v>1158</v>
      </c>
      <c r="G1480" s="192"/>
      <c r="H1480" s="193"/>
      <c r="I1480" s="194"/>
      <c r="J1480" s="195" t="s">
        <v>1079</v>
      </c>
      <c r="K1480" s="196"/>
      <c r="L1480" s="50">
        <v>1</v>
      </c>
      <c r="M1480" s="197">
        <v>12.02</v>
      </c>
      <c r="N1480" s="198"/>
      <c r="O1480" s="64">
        <f>M1480-(M1480*T1480)</f>
        <v>11.412621665130001</v>
      </c>
      <c r="P1480" s="64">
        <f>SUM(P1481:P1488)</f>
        <v>11.407969265283151</v>
      </c>
      <c r="T1480" s="88">
        <v>5.05306435E-2</v>
      </c>
    </row>
    <row r="1481" spans="1:20" ht="14.45" customHeight="1">
      <c r="A1481" s="52" t="s">
        <v>1057</v>
      </c>
      <c r="B1481" s="53">
        <v>88316</v>
      </c>
      <c r="C1481" s="52" t="s">
        <v>1058</v>
      </c>
      <c r="D1481" s="199" t="s">
        <v>1059</v>
      </c>
      <c r="E1481" s="200"/>
      <c r="F1481" s="52" t="s">
        <v>1158</v>
      </c>
      <c r="G1481" s="201"/>
      <c r="H1481" s="202"/>
      <c r="I1481" s="203"/>
      <c r="J1481" s="204" t="s">
        <v>1061</v>
      </c>
      <c r="K1481" s="205"/>
      <c r="L1481" s="55">
        <v>0.4</v>
      </c>
      <c r="M1481" s="188">
        <v>21.32</v>
      </c>
      <c r="N1481" s="189"/>
      <c r="O1481" s="56">
        <f>M1481-(M1481*T1481)</f>
        <v>20.24268668058</v>
      </c>
      <c r="P1481" s="57">
        <f t="shared" ref="P1481:P1483" si="283">O1481*L1481</f>
        <v>8.0970746722320008</v>
      </c>
      <c r="T1481" s="88">
        <v>5.05306435E-2</v>
      </c>
    </row>
    <row r="1482" spans="1:20" ht="14.45" customHeight="1">
      <c r="A1482" s="58" t="s">
        <v>1064</v>
      </c>
      <c r="B1482" s="62">
        <v>13</v>
      </c>
      <c r="C1482" s="58" t="s">
        <v>1058</v>
      </c>
      <c r="D1482" s="181" t="s">
        <v>1932</v>
      </c>
      <c r="E1482" s="182"/>
      <c r="F1482" s="58" t="s">
        <v>1068</v>
      </c>
      <c r="G1482" s="183"/>
      <c r="H1482" s="184"/>
      <c r="I1482" s="185"/>
      <c r="J1482" s="186" t="s">
        <v>1109</v>
      </c>
      <c r="K1482" s="187"/>
      <c r="L1482" s="60">
        <v>0.05</v>
      </c>
      <c r="M1482" s="188">
        <v>15.45</v>
      </c>
      <c r="N1482" s="189"/>
      <c r="O1482" s="56">
        <f t="shared" ref="O1482:O1483" si="284">M1482-(M1482*T1482)</f>
        <v>14.669301557924999</v>
      </c>
      <c r="P1482" s="57">
        <f t="shared" si="283"/>
        <v>0.73346507789625004</v>
      </c>
      <c r="T1482" s="88">
        <v>5.05306435E-2</v>
      </c>
    </row>
    <row r="1483" spans="1:20" ht="14.45" customHeight="1">
      <c r="A1483" s="58" t="s">
        <v>1064</v>
      </c>
      <c r="B1483" s="62">
        <v>5318</v>
      </c>
      <c r="C1483" s="58" t="s">
        <v>1058</v>
      </c>
      <c r="D1483" s="181" t="s">
        <v>1933</v>
      </c>
      <c r="E1483" s="182"/>
      <c r="F1483" s="58" t="s">
        <v>1068</v>
      </c>
      <c r="G1483" s="183"/>
      <c r="H1483" s="184"/>
      <c r="I1483" s="185"/>
      <c r="J1483" s="186" t="s">
        <v>1356</v>
      </c>
      <c r="K1483" s="187"/>
      <c r="L1483" s="60">
        <v>0.14000000000000001</v>
      </c>
      <c r="M1483" s="188">
        <v>19.39</v>
      </c>
      <c r="N1483" s="189"/>
      <c r="O1483" s="56">
        <f t="shared" si="284"/>
        <v>18.410210822534999</v>
      </c>
      <c r="P1483" s="57">
        <f t="shared" si="283"/>
        <v>2.5774295151549</v>
      </c>
      <c r="T1483" s="88">
        <v>5.05306435E-2</v>
      </c>
    </row>
    <row r="1484" spans="1:20" ht="14.25" customHeight="1">
      <c r="A1484" s="73"/>
      <c r="B1484" s="73"/>
      <c r="C1484" s="73"/>
      <c r="D1484" s="218"/>
      <c r="E1484" s="218"/>
      <c r="F1484" s="74" t="s">
        <v>1070</v>
      </c>
      <c r="G1484" s="218"/>
      <c r="H1484" s="218"/>
      <c r="I1484" s="218"/>
      <c r="J1484" s="175" t="s">
        <v>1071</v>
      </c>
      <c r="K1484" s="175"/>
      <c r="L1484" s="75">
        <v>0</v>
      </c>
      <c r="M1484" s="175" t="s">
        <v>1072</v>
      </c>
      <c r="N1484" s="175"/>
      <c r="O1484" s="74"/>
      <c r="P1484" s="73"/>
      <c r="T1484" s="88">
        <v>5.05306435E-2</v>
      </c>
    </row>
    <row r="1485" spans="1:20" ht="14.85" customHeight="1">
      <c r="A1485" s="68"/>
      <c r="B1485" s="68"/>
      <c r="C1485" s="68"/>
      <c r="D1485" s="179"/>
      <c r="E1485" s="179"/>
      <c r="F1485" s="76" t="s">
        <v>1073</v>
      </c>
      <c r="G1485" s="179"/>
      <c r="H1485" s="179"/>
      <c r="I1485" s="179"/>
      <c r="J1485" s="179"/>
      <c r="K1485" s="179"/>
      <c r="L1485" s="70" t="s">
        <v>1074</v>
      </c>
      <c r="M1485" s="179"/>
      <c r="N1485" s="179"/>
      <c r="O1485" s="68"/>
      <c r="P1485" s="68"/>
      <c r="T1485" s="88">
        <v>5.05306435E-2</v>
      </c>
    </row>
    <row r="1486" spans="1:20" ht="14.45" customHeight="1">
      <c r="A1486" s="77" t="s">
        <v>1089</v>
      </c>
      <c r="B1486" s="68"/>
      <c r="C1486" s="68"/>
      <c r="D1486" s="179"/>
      <c r="E1486" s="179"/>
      <c r="F1486" s="68"/>
      <c r="G1486" s="179"/>
      <c r="H1486" s="179"/>
      <c r="I1486" s="179"/>
      <c r="J1486" s="179"/>
      <c r="K1486" s="179"/>
      <c r="L1486" s="68"/>
      <c r="M1486" s="179"/>
      <c r="N1486" s="179"/>
      <c r="O1486" s="68"/>
      <c r="P1486" s="68"/>
      <c r="T1486" s="88">
        <v>5.05306435E-2</v>
      </c>
    </row>
    <row r="1487" spans="1:20" ht="15.2" customHeight="1">
      <c r="A1487" s="206" t="s">
        <v>1934</v>
      </c>
      <c r="B1487" s="206"/>
      <c r="C1487" s="206"/>
      <c r="D1487" s="206"/>
      <c r="E1487" s="206"/>
      <c r="F1487" s="206"/>
      <c r="G1487" s="206"/>
      <c r="H1487" s="206"/>
      <c r="I1487" s="206"/>
      <c r="J1487" s="206"/>
      <c r="K1487" s="206"/>
      <c r="L1487" s="206"/>
      <c r="M1487" s="206"/>
      <c r="N1487" s="206"/>
      <c r="O1487" s="206"/>
      <c r="P1487" s="206"/>
      <c r="T1487" s="88">
        <v>5.05306435E-2</v>
      </c>
    </row>
    <row r="1488" spans="1:20" ht="14.45" customHeight="1">
      <c r="A1488" s="207"/>
      <c r="B1488" s="207"/>
      <c r="C1488" s="207"/>
      <c r="D1488" s="207"/>
      <c r="E1488" s="207"/>
      <c r="F1488" s="207"/>
      <c r="G1488" s="207"/>
      <c r="H1488" s="207"/>
      <c r="I1488" s="207"/>
      <c r="J1488" s="207"/>
      <c r="K1488" s="207"/>
      <c r="L1488" s="207"/>
      <c r="M1488" s="207"/>
      <c r="N1488" s="207"/>
      <c r="O1488" s="207"/>
      <c r="P1488" s="207"/>
      <c r="T1488" s="88">
        <v>5.05306435E-2</v>
      </c>
    </row>
    <row r="1489" spans="1:20" ht="15.75" customHeight="1">
      <c r="A1489" s="43" t="s">
        <v>1935</v>
      </c>
      <c r="B1489" s="44" t="s">
        <v>3</v>
      </c>
      <c r="C1489" s="43" t="s">
        <v>4</v>
      </c>
      <c r="D1489" s="208" t="s">
        <v>5</v>
      </c>
      <c r="E1489" s="209"/>
      <c r="F1489" s="43" t="s">
        <v>1049</v>
      </c>
      <c r="G1489" s="210"/>
      <c r="H1489" s="211"/>
      <c r="I1489" s="212"/>
      <c r="J1489" s="213" t="s">
        <v>6</v>
      </c>
      <c r="K1489" s="214"/>
      <c r="L1489" s="44" t="s">
        <v>7</v>
      </c>
      <c r="M1489" s="215" t="s">
        <v>8</v>
      </c>
      <c r="N1489" s="216"/>
      <c r="O1489" s="217"/>
      <c r="P1489" s="44" t="s">
        <v>11</v>
      </c>
      <c r="T1489" s="88">
        <v>5.05306435E-2</v>
      </c>
    </row>
    <row r="1490" spans="1:20" ht="14.45" customHeight="1">
      <c r="A1490" s="47" t="s">
        <v>1051</v>
      </c>
      <c r="B1490" s="48" t="s">
        <v>1936</v>
      </c>
      <c r="C1490" s="47" t="s">
        <v>1053</v>
      </c>
      <c r="D1490" s="190" t="s">
        <v>1937</v>
      </c>
      <c r="E1490" s="191"/>
      <c r="F1490" s="47" t="s">
        <v>1158</v>
      </c>
      <c r="G1490" s="192"/>
      <c r="H1490" s="193"/>
      <c r="I1490" s="194"/>
      <c r="J1490" s="195" t="s">
        <v>1079</v>
      </c>
      <c r="K1490" s="196"/>
      <c r="L1490" s="50">
        <v>1</v>
      </c>
      <c r="M1490" s="197">
        <v>4.01</v>
      </c>
      <c r="N1490" s="198"/>
      <c r="O1490" s="64">
        <f>M1490-(M1490*T1490)</f>
        <v>3.8073721195649997</v>
      </c>
      <c r="P1490" s="64">
        <f>SUM(P1491:P1497)</f>
        <v>3.8107902092483998</v>
      </c>
      <c r="T1490" s="88">
        <v>5.05306435E-2</v>
      </c>
    </row>
    <row r="1491" spans="1:20" ht="14.45" customHeight="1">
      <c r="A1491" s="52" t="s">
        <v>1057</v>
      </c>
      <c r="B1491" s="53">
        <v>88316</v>
      </c>
      <c r="C1491" s="52" t="s">
        <v>1058</v>
      </c>
      <c r="D1491" s="199" t="s">
        <v>1059</v>
      </c>
      <c r="E1491" s="200"/>
      <c r="F1491" s="52" t="s">
        <v>1158</v>
      </c>
      <c r="G1491" s="201"/>
      <c r="H1491" s="202"/>
      <c r="I1491" s="203"/>
      <c r="J1491" s="204" t="s">
        <v>1061</v>
      </c>
      <c r="K1491" s="205"/>
      <c r="L1491" s="55">
        <v>0.1</v>
      </c>
      <c r="M1491" s="188">
        <v>21.32</v>
      </c>
      <c r="N1491" s="189"/>
      <c r="O1491" s="56">
        <f>M1491-(M1491*T1491)</f>
        <v>20.24268668058</v>
      </c>
      <c r="P1491" s="57">
        <f t="shared" ref="P1491:P1493" si="285">O1491*L1491</f>
        <v>2.0242686680580002</v>
      </c>
      <c r="T1491" s="88">
        <v>5.05306435E-2</v>
      </c>
    </row>
    <row r="1492" spans="1:20" ht="14.45" customHeight="1">
      <c r="A1492" s="58" t="s">
        <v>1064</v>
      </c>
      <c r="B1492" s="62">
        <v>1997</v>
      </c>
      <c r="C1492" s="58" t="s">
        <v>1180</v>
      </c>
      <c r="D1492" s="181" t="s">
        <v>1938</v>
      </c>
      <c r="E1492" s="182"/>
      <c r="F1492" s="58" t="s">
        <v>1068</v>
      </c>
      <c r="G1492" s="183"/>
      <c r="H1492" s="184"/>
      <c r="I1492" s="185"/>
      <c r="J1492" s="186" t="s">
        <v>1454</v>
      </c>
      <c r="K1492" s="187"/>
      <c r="L1492" s="60">
        <v>5.0000000000000001E-3</v>
      </c>
      <c r="M1492" s="188">
        <v>10.82</v>
      </c>
      <c r="N1492" s="189"/>
      <c r="O1492" s="56">
        <f t="shared" ref="O1492:O1493" si="286">M1492-(M1492*T1492)</f>
        <v>10.27325843733</v>
      </c>
      <c r="P1492" s="57">
        <f t="shared" si="285"/>
        <v>5.1366292186650002E-2</v>
      </c>
      <c r="T1492" s="88">
        <v>5.05306435E-2</v>
      </c>
    </row>
    <row r="1493" spans="1:20" ht="14.45" customHeight="1">
      <c r="A1493" s="58" t="s">
        <v>1064</v>
      </c>
      <c r="B1493" s="62">
        <v>38400</v>
      </c>
      <c r="C1493" s="58" t="s">
        <v>1058</v>
      </c>
      <c r="D1493" s="181" t="s">
        <v>1939</v>
      </c>
      <c r="E1493" s="182"/>
      <c r="F1493" s="58" t="s">
        <v>1068</v>
      </c>
      <c r="G1493" s="183"/>
      <c r="H1493" s="184"/>
      <c r="I1493" s="185"/>
      <c r="J1493" s="186" t="s">
        <v>1085</v>
      </c>
      <c r="K1493" s="187"/>
      <c r="L1493" s="60">
        <v>0.05</v>
      </c>
      <c r="M1493" s="188">
        <v>36.549999999999997</v>
      </c>
      <c r="N1493" s="189"/>
      <c r="O1493" s="56">
        <f t="shared" si="286"/>
        <v>34.703104980074997</v>
      </c>
      <c r="P1493" s="57">
        <f t="shared" si="285"/>
        <v>1.7351552490037498</v>
      </c>
      <c r="T1493" s="88">
        <v>5.05306435E-2</v>
      </c>
    </row>
    <row r="1494" spans="1:20" ht="14.25" customHeight="1">
      <c r="A1494" s="174" t="s">
        <v>1070</v>
      </c>
      <c r="B1494" s="174"/>
      <c r="C1494" s="174"/>
      <c r="D1494" s="174"/>
      <c r="E1494" s="174"/>
      <c r="F1494" s="174"/>
      <c r="G1494" s="174"/>
      <c r="H1494" s="175" t="s">
        <v>1071</v>
      </c>
      <c r="I1494" s="175"/>
      <c r="J1494" s="175"/>
      <c r="K1494" s="175"/>
      <c r="L1494" s="176">
        <v>0</v>
      </c>
      <c r="M1494" s="176"/>
      <c r="N1494" s="177" t="s">
        <v>1072</v>
      </c>
      <c r="O1494" s="177"/>
      <c r="P1494" s="177"/>
      <c r="T1494" s="88">
        <v>5.05306435E-2</v>
      </c>
    </row>
    <row r="1495" spans="1:20" ht="14.25" customHeight="1">
      <c r="A1495" s="178" t="s">
        <v>1073</v>
      </c>
      <c r="B1495" s="178"/>
      <c r="C1495" s="178"/>
      <c r="D1495" s="178"/>
      <c r="E1495" s="178"/>
      <c r="F1495" s="178"/>
      <c r="G1495" s="178"/>
      <c r="H1495" s="179"/>
      <c r="I1495" s="179"/>
      <c r="J1495" s="179"/>
      <c r="K1495" s="179"/>
      <c r="L1495" s="180" t="s">
        <v>1074</v>
      </c>
      <c r="M1495" s="180"/>
      <c r="N1495" s="179"/>
      <c r="O1495" s="179"/>
      <c r="P1495" s="179"/>
      <c r="T1495" s="88">
        <v>5.05306435E-2</v>
      </c>
    </row>
    <row r="1496" spans="1:20" ht="28.5" customHeight="1">
      <c r="A1496" s="172" t="s">
        <v>1940</v>
      </c>
      <c r="B1496" s="172"/>
      <c r="C1496" s="172"/>
      <c r="D1496" s="172"/>
      <c r="E1496" s="172"/>
      <c r="F1496" s="172"/>
      <c r="G1496" s="172"/>
      <c r="H1496" s="172"/>
      <c r="I1496" s="172"/>
      <c r="J1496" s="172"/>
      <c r="K1496" s="172"/>
      <c r="L1496" s="172"/>
      <c r="M1496" s="172"/>
      <c r="N1496" s="172"/>
      <c r="O1496" s="172"/>
      <c r="P1496" s="172"/>
      <c r="Q1496" s="172"/>
    </row>
    <row r="1497" spans="1:20" ht="14.85" customHeight="1">
      <c r="A1497" s="173"/>
      <c r="B1497" s="173"/>
      <c r="C1497" s="173"/>
      <c r="D1497" s="173"/>
      <c r="E1497" s="173"/>
      <c r="F1497" s="173"/>
      <c r="G1497" s="173"/>
      <c r="H1497" s="173"/>
      <c r="I1497" s="173"/>
      <c r="J1497" s="173"/>
      <c r="K1497" s="173"/>
      <c r="L1497" s="173"/>
      <c r="M1497" s="173"/>
      <c r="N1497" s="173"/>
      <c r="O1497" s="173"/>
      <c r="P1497" s="173"/>
    </row>
    <row r="1498" spans="1:20" ht="14.25" customHeight="1">
      <c r="A1498" s="144" t="s">
        <v>1043</v>
      </c>
      <c r="B1498" s="144"/>
      <c r="C1498" s="144"/>
      <c r="D1498" s="144"/>
      <c r="E1498" s="144"/>
      <c r="F1498" s="144"/>
      <c r="G1498" s="144"/>
      <c r="H1498" s="144"/>
      <c r="I1498" s="144"/>
      <c r="J1498" s="144"/>
      <c r="K1498" s="144"/>
      <c r="L1498" s="144"/>
      <c r="M1498" s="144"/>
      <c r="N1498" s="144"/>
      <c r="O1498" s="144"/>
      <c r="P1498" s="40">
        <v>1791839.29</v>
      </c>
    </row>
    <row r="1499" spans="1:20" ht="14.45" customHeight="1">
      <c r="A1499" s="144" t="s">
        <v>1044</v>
      </c>
      <c r="B1499" s="144"/>
      <c r="C1499" s="144"/>
      <c r="D1499" s="144"/>
      <c r="E1499" s="144"/>
      <c r="F1499" s="144"/>
      <c r="G1499" s="144"/>
      <c r="H1499" s="144"/>
      <c r="I1499" s="144"/>
      <c r="J1499" s="144"/>
      <c r="K1499" s="144"/>
      <c r="L1499" s="144"/>
      <c r="M1499" s="144"/>
      <c r="N1499" s="144"/>
      <c r="O1499" s="144"/>
      <c r="P1499" s="40">
        <v>658371.68999999994</v>
      </c>
    </row>
    <row r="1500" spans="1:20" ht="14.25" customHeight="1">
      <c r="A1500" s="144" t="s">
        <v>1045</v>
      </c>
      <c r="B1500" s="144"/>
      <c r="C1500" s="144"/>
      <c r="D1500" s="144"/>
      <c r="E1500" s="144"/>
      <c r="F1500" s="144"/>
      <c r="G1500" s="144"/>
      <c r="H1500" s="144"/>
      <c r="I1500" s="144"/>
      <c r="J1500" s="144"/>
      <c r="K1500" s="144"/>
      <c r="L1500" s="144"/>
      <c r="M1500" s="144"/>
      <c r="N1500" s="144"/>
      <c r="O1500" s="144"/>
      <c r="P1500" s="40">
        <f>P1498+P1499</f>
        <v>2450210.98</v>
      </c>
    </row>
    <row r="1501" spans="1:20" ht="12.75" customHeight="1">
      <c r="A1501" s="145" t="s">
        <v>1046</v>
      </c>
      <c r="B1501" s="145"/>
      <c r="C1501" s="145"/>
      <c r="D1501" s="145"/>
      <c r="E1501" s="145"/>
      <c r="F1501" s="145"/>
      <c r="G1501" s="145"/>
      <c r="H1501" s="145"/>
      <c r="I1501" s="145"/>
      <c r="J1501" s="145"/>
      <c r="K1501" s="145"/>
      <c r="L1501" s="145"/>
      <c r="M1501" s="145"/>
      <c r="N1501" s="145"/>
      <c r="O1501" s="145"/>
      <c r="P1501" s="145"/>
    </row>
    <row r="1502" spans="1:20">
      <c r="A1502" s="145"/>
      <c r="B1502" s="145"/>
      <c r="C1502" s="145"/>
      <c r="D1502" s="145"/>
      <c r="E1502" s="145"/>
      <c r="F1502" s="145"/>
      <c r="G1502" s="145"/>
      <c r="H1502" s="145"/>
      <c r="I1502" s="145"/>
      <c r="J1502" s="145"/>
      <c r="K1502" s="145"/>
      <c r="L1502" s="145"/>
      <c r="M1502" s="145"/>
      <c r="N1502" s="145"/>
      <c r="O1502" s="145"/>
      <c r="P1502" s="145"/>
    </row>
    <row r="1503" spans="1:20" ht="80.25" customHeight="1">
      <c r="A1503" s="145"/>
      <c r="B1503" s="145"/>
      <c r="C1503" s="145"/>
      <c r="D1503" s="145"/>
      <c r="E1503" s="145"/>
      <c r="F1503" s="145"/>
      <c r="G1503" s="145"/>
      <c r="H1503" s="145"/>
      <c r="I1503" s="145"/>
      <c r="J1503" s="145"/>
      <c r="K1503" s="145"/>
      <c r="L1503" s="145"/>
      <c r="M1503" s="145"/>
      <c r="N1503" s="145"/>
      <c r="O1503" s="145"/>
      <c r="P1503" s="145"/>
    </row>
  </sheetData>
  <mergeCells count="5984">
    <mergeCell ref="D7:E7"/>
    <mergeCell ref="G7:I7"/>
    <mergeCell ref="J7:K7"/>
    <mergeCell ref="M7:N7"/>
    <mergeCell ref="D8:E8"/>
    <mergeCell ref="G8:I8"/>
    <mergeCell ref="J8:K8"/>
    <mergeCell ref="M8:N8"/>
    <mergeCell ref="A4:Q4"/>
    <mergeCell ref="D5:E5"/>
    <mergeCell ref="G5:I5"/>
    <mergeCell ref="J5:K5"/>
    <mergeCell ref="M5:N5"/>
    <mergeCell ref="D6:E6"/>
    <mergeCell ref="G6:I6"/>
    <mergeCell ref="J6:K6"/>
    <mergeCell ref="M6:N6"/>
    <mergeCell ref="A14:Q14"/>
    <mergeCell ref="A15:P15"/>
    <mergeCell ref="D16:E16"/>
    <mergeCell ref="G16:I16"/>
    <mergeCell ref="J16:K16"/>
    <mergeCell ref="M16:N16"/>
    <mergeCell ref="A11:Q11"/>
    <mergeCell ref="A12:G12"/>
    <mergeCell ref="H12:K12"/>
    <mergeCell ref="L12:M12"/>
    <mergeCell ref="N12:P12"/>
    <mergeCell ref="A13:G13"/>
    <mergeCell ref="H13:K13"/>
    <mergeCell ref="L13:M13"/>
    <mergeCell ref="N13:P13"/>
    <mergeCell ref="D9:E9"/>
    <mergeCell ref="G9:I9"/>
    <mergeCell ref="J9:K9"/>
    <mergeCell ref="M9:N9"/>
    <mergeCell ref="D10:E10"/>
    <mergeCell ref="G10:I10"/>
    <mergeCell ref="J10:K10"/>
    <mergeCell ref="M10:N10"/>
    <mergeCell ref="D21:E21"/>
    <mergeCell ref="G21:I21"/>
    <mergeCell ref="J21:K21"/>
    <mergeCell ref="M21:N21"/>
    <mergeCell ref="D22:E22"/>
    <mergeCell ref="G22:I22"/>
    <mergeCell ref="J22:K22"/>
    <mergeCell ref="M22:N22"/>
    <mergeCell ref="D19:E19"/>
    <mergeCell ref="G19:I19"/>
    <mergeCell ref="J19:K19"/>
    <mergeCell ref="M19:N19"/>
    <mergeCell ref="D20:E20"/>
    <mergeCell ref="G20:I20"/>
    <mergeCell ref="J20:K20"/>
    <mergeCell ref="M20:N20"/>
    <mergeCell ref="D17:E17"/>
    <mergeCell ref="G17:I17"/>
    <mergeCell ref="J17:K17"/>
    <mergeCell ref="M17:N17"/>
    <mergeCell ref="D18:E18"/>
    <mergeCell ref="G18:I18"/>
    <mergeCell ref="J18:K18"/>
    <mergeCell ref="M18:N18"/>
    <mergeCell ref="D27:E27"/>
    <mergeCell ref="G27:I27"/>
    <mergeCell ref="J27:K27"/>
    <mergeCell ref="M27:N27"/>
    <mergeCell ref="D28:E28"/>
    <mergeCell ref="G28:I28"/>
    <mergeCell ref="J28:K28"/>
    <mergeCell ref="M28:N28"/>
    <mergeCell ref="A23:D23"/>
    <mergeCell ref="E23:H23"/>
    <mergeCell ref="I23:Q23"/>
    <mergeCell ref="A24:Q24"/>
    <mergeCell ref="A25:P25"/>
    <mergeCell ref="D26:E26"/>
    <mergeCell ref="G26:I26"/>
    <mergeCell ref="J26:K26"/>
    <mergeCell ref="M26:N26"/>
    <mergeCell ref="D35:E35"/>
    <mergeCell ref="G35:I35"/>
    <mergeCell ref="J35:K35"/>
    <mergeCell ref="M35:N35"/>
    <mergeCell ref="D36:E36"/>
    <mergeCell ref="G36:I36"/>
    <mergeCell ref="J36:K36"/>
    <mergeCell ref="M36:N36"/>
    <mergeCell ref="D33:E33"/>
    <mergeCell ref="G33:I33"/>
    <mergeCell ref="J33:K33"/>
    <mergeCell ref="M33:N33"/>
    <mergeCell ref="D34:E34"/>
    <mergeCell ref="G34:I34"/>
    <mergeCell ref="J34:K34"/>
    <mergeCell ref="M34:N34"/>
    <mergeCell ref="A29:D29"/>
    <mergeCell ref="E29:H29"/>
    <mergeCell ref="I29:Q29"/>
    <mergeCell ref="A30:Q30"/>
    <mergeCell ref="A31:P31"/>
    <mergeCell ref="D32:E32"/>
    <mergeCell ref="G32:I32"/>
    <mergeCell ref="J32:K32"/>
    <mergeCell ref="M32:N32"/>
    <mergeCell ref="D41:E41"/>
    <mergeCell ref="G41:I41"/>
    <mergeCell ref="J41:K41"/>
    <mergeCell ref="M41:N41"/>
    <mergeCell ref="D42:E42"/>
    <mergeCell ref="G42:I42"/>
    <mergeCell ref="J42:K42"/>
    <mergeCell ref="M42:N42"/>
    <mergeCell ref="D39:E39"/>
    <mergeCell ref="G39:I39"/>
    <mergeCell ref="J39:K39"/>
    <mergeCell ref="M39:N39"/>
    <mergeCell ref="D40:E40"/>
    <mergeCell ref="G40:I40"/>
    <mergeCell ref="J40:K40"/>
    <mergeCell ref="M40:N40"/>
    <mergeCell ref="D37:E37"/>
    <mergeCell ref="G37:I37"/>
    <mergeCell ref="J37:K37"/>
    <mergeCell ref="M37:N37"/>
    <mergeCell ref="D38:E38"/>
    <mergeCell ref="G38:I38"/>
    <mergeCell ref="J38:K38"/>
    <mergeCell ref="M38:N38"/>
    <mergeCell ref="A47:G47"/>
    <mergeCell ref="H47:K47"/>
    <mergeCell ref="L47:M47"/>
    <mergeCell ref="N47:P47"/>
    <mergeCell ref="A48:G48"/>
    <mergeCell ref="H48:K48"/>
    <mergeCell ref="L48:M48"/>
    <mergeCell ref="N48:P48"/>
    <mergeCell ref="A45:G45"/>
    <mergeCell ref="H45:K45"/>
    <mergeCell ref="L45:M45"/>
    <mergeCell ref="N45:P45"/>
    <mergeCell ref="A46:G46"/>
    <mergeCell ref="H46:K46"/>
    <mergeCell ref="L46:M46"/>
    <mergeCell ref="N46:P46"/>
    <mergeCell ref="D43:E43"/>
    <mergeCell ref="G43:I43"/>
    <mergeCell ref="J43:K43"/>
    <mergeCell ref="M43:N43"/>
    <mergeCell ref="A44:G44"/>
    <mergeCell ref="H44:K44"/>
    <mergeCell ref="L44:M44"/>
    <mergeCell ref="N44:P44"/>
    <mergeCell ref="D52:E52"/>
    <mergeCell ref="G52:I52"/>
    <mergeCell ref="J52:K52"/>
    <mergeCell ref="M52:N52"/>
    <mergeCell ref="D53:E53"/>
    <mergeCell ref="G53:I53"/>
    <mergeCell ref="J53:K53"/>
    <mergeCell ref="M53:N53"/>
    <mergeCell ref="A49:G49"/>
    <mergeCell ref="H49:K49"/>
    <mergeCell ref="L49:M49"/>
    <mergeCell ref="N49:P49"/>
    <mergeCell ref="A50:P50"/>
    <mergeCell ref="D51:E51"/>
    <mergeCell ref="G51:I51"/>
    <mergeCell ref="J51:K51"/>
    <mergeCell ref="M51:N51"/>
    <mergeCell ref="A56:G56"/>
    <mergeCell ref="H56:K56"/>
    <mergeCell ref="L56:M56"/>
    <mergeCell ref="N56:P56"/>
    <mergeCell ref="A57:P57"/>
    <mergeCell ref="D58:E58"/>
    <mergeCell ref="G58:I58"/>
    <mergeCell ref="J58:K58"/>
    <mergeCell ref="M58:N58"/>
    <mergeCell ref="D54:E54"/>
    <mergeCell ref="G54:I54"/>
    <mergeCell ref="J54:K54"/>
    <mergeCell ref="M54:N54"/>
    <mergeCell ref="A55:G55"/>
    <mergeCell ref="H55:K55"/>
    <mergeCell ref="L55:M55"/>
    <mergeCell ref="N55:P55"/>
    <mergeCell ref="D63:E63"/>
    <mergeCell ref="G63:I63"/>
    <mergeCell ref="J63:K63"/>
    <mergeCell ref="M63:N63"/>
    <mergeCell ref="D64:E64"/>
    <mergeCell ref="G64:I64"/>
    <mergeCell ref="J64:K64"/>
    <mergeCell ref="M64:N64"/>
    <mergeCell ref="D61:E61"/>
    <mergeCell ref="G61:I61"/>
    <mergeCell ref="J61:K61"/>
    <mergeCell ref="M61:N61"/>
    <mergeCell ref="D62:E62"/>
    <mergeCell ref="G62:I62"/>
    <mergeCell ref="J62:K62"/>
    <mergeCell ref="M62:N62"/>
    <mergeCell ref="D59:E59"/>
    <mergeCell ref="G59:I59"/>
    <mergeCell ref="J59:K59"/>
    <mergeCell ref="M59:N59"/>
    <mergeCell ref="D60:E60"/>
    <mergeCell ref="G60:I60"/>
    <mergeCell ref="J60:K60"/>
    <mergeCell ref="M60:N60"/>
    <mergeCell ref="A69:F69"/>
    <mergeCell ref="H69:I69"/>
    <mergeCell ref="K69:R69"/>
    <mergeCell ref="A70:R70"/>
    <mergeCell ref="A71:R71"/>
    <mergeCell ref="A72:P72"/>
    <mergeCell ref="Q72:R72"/>
    <mergeCell ref="D67:E67"/>
    <mergeCell ref="G67:I67"/>
    <mergeCell ref="J67:K67"/>
    <mergeCell ref="M67:N67"/>
    <mergeCell ref="D68:E68"/>
    <mergeCell ref="G68:I68"/>
    <mergeCell ref="J68:K68"/>
    <mergeCell ref="M68:N68"/>
    <mergeCell ref="D65:E65"/>
    <mergeCell ref="G65:I65"/>
    <mergeCell ref="J65:K65"/>
    <mergeCell ref="M65:N65"/>
    <mergeCell ref="D66:E66"/>
    <mergeCell ref="G66:I66"/>
    <mergeCell ref="J66:K66"/>
    <mergeCell ref="M66:N66"/>
    <mergeCell ref="D75:E75"/>
    <mergeCell ref="G75:I75"/>
    <mergeCell ref="J75:K75"/>
    <mergeCell ref="M75:N75"/>
    <mergeCell ref="Q75:R75"/>
    <mergeCell ref="D76:E76"/>
    <mergeCell ref="G76:I76"/>
    <mergeCell ref="J76:K76"/>
    <mergeCell ref="M76:N76"/>
    <mergeCell ref="Q76:R76"/>
    <mergeCell ref="D73:E73"/>
    <mergeCell ref="G73:I73"/>
    <mergeCell ref="J73:K73"/>
    <mergeCell ref="M73:N73"/>
    <mergeCell ref="Q73:R73"/>
    <mergeCell ref="D74:E74"/>
    <mergeCell ref="G74:I74"/>
    <mergeCell ref="J74:K74"/>
    <mergeCell ref="M74:N74"/>
    <mergeCell ref="Q74:R74"/>
    <mergeCell ref="A79:G79"/>
    <mergeCell ref="H79:K79"/>
    <mergeCell ref="L79:M79"/>
    <mergeCell ref="N79:P79"/>
    <mergeCell ref="Q79:R79"/>
    <mergeCell ref="A80:G80"/>
    <mergeCell ref="H80:K80"/>
    <mergeCell ref="L80:M80"/>
    <mergeCell ref="N80:P80"/>
    <mergeCell ref="Q80:R80"/>
    <mergeCell ref="A77:G77"/>
    <mergeCell ref="H77:K77"/>
    <mergeCell ref="L77:M77"/>
    <mergeCell ref="N77:P77"/>
    <mergeCell ref="Q77:R77"/>
    <mergeCell ref="A78:G78"/>
    <mergeCell ref="H78:K78"/>
    <mergeCell ref="L78:M78"/>
    <mergeCell ref="N78:P78"/>
    <mergeCell ref="Q78:R78"/>
    <mergeCell ref="D83:E83"/>
    <mergeCell ref="G83:I83"/>
    <mergeCell ref="J83:K83"/>
    <mergeCell ref="M83:N83"/>
    <mergeCell ref="Q83:R83"/>
    <mergeCell ref="D84:E84"/>
    <mergeCell ref="G84:I84"/>
    <mergeCell ref="J84:K84"/>
    <mergeCell ref="M84:N84"/>
    <mergeCell ref="Q84:R84"/>
    <mergeCell ref="A81:P81"/>
    <mergeCell ref="Q81:R81"/>
    <mergeCell ref="D82:E82"/>
    <mergeCell ref="G82:I82"/>
    <mergeCell ref="J82:K82"/>
    <mergeCell ref="M82:N82"/>
    <mergeCell ref="Q82:R82"/>
    <mergeCell ref="A87:G87"/>
    <mergeCell ref="H87:K87"/>
    <mergeCell ref="L87:M87"/>
    <mergeCell ref="N87:P87"/>
    <mergeCell ref="Q87:R87"/>
    <mergeCell ref="A88:G88"/>
    <mergeCell ref="H88:K88"/>
    <mergeCell ref="L88:M88"/>
    <mergeCell ref="N88:P88"/>
    <mergeCell ref="Q88:R88"/>
    <mergeCell ref="D85:E85"/>
    <mergeCell ref="G85:I85"/>
    <mergeCell ref="J85:K85"/>
    <mergeCell ref="M85:N85"/>
    <mergeCell ref="Q85:R85"/>
    <mergeCell ref="D86:E86"/>
    <mergeCell ref="G86:I86"/>
    <mergeCell ref="J86:K86"/>
    <mergeCell ref="M86:N86"/>
    <mergeCell ref="Q86:R86"/>
    <mergeCell ref="A91:P91"/>
    <mergeCell ref="Q91:R91"/>
    <mergeCell ref="D92:E92"/>
    <mergeCell ref="G92:I92"/>
    <mergeCell ref="J92:K92"/>
    <mergeCell ref="M92:N92"/>
    <mergeCell ref="Q92:R92"/>
    <mergeCell ref="A89:G89"/>
    <mergeCell ref="H89:K89"/>
    <mergeCell ref="L89:M89"/>
    <mergeCell ref="N89:P89"/>
    <mergeCell ref="Q89:R89"/>
    <mergeCell ref="A90:G90"/>
    <mergeCell ref="H90:K90"/>
    <mergeCell ref="L90:M90"/>
    <mergeCell ref="N90:P90"/>
    <mergeCell ref="Q90:R90"/>
    <mergeCell ref="D95:E95"/>
    <mergeCell ref="G95:I95"/>
    <mergeCell ref="J95:K95"/>
    <mergeCell ref="M95:N95"/>
    <mergeCell ref="Q95:R95"/>
    <mergeCell ref="D96:E96"/>
    <mergeCell ref="G96:I96"/>
    <mergeCell ref="J96:K96"/>
    <mergeCell ref="M96:N96"/>
    <mergeCell ref="Q96:R96"/>
    <mergeCell ref="D93:E93"/>
    <mergeCell ref="G93:I93"/>
    <mergeCell ref="J93:K93"/>
    <mergeCell ref="M93:N93"/>
    <mergeCell ref="Q93:R93"/>
    <mergeCell ref="D94:E94"/>
    <mergeCell ref="G94:I94"/>
    <mergeCell ref="J94:K94"/>
    <mergeCell ref="M94:N94"/>
    <mergeCell ref="Q94:R94"/>
    <mergeCell ref="D99:E99"/>
    <mergeCell ref="G99:I99"/>
    <mergeCell ref="J99:K99"/>
    <mergeCell ref="M99:N99"/>
    <mergeCell ref="Q99:R99"/>
    <mergeCell ref="A100:G100"/>
    <mergeCell ref="H100:K100"/>
    <mergeCell ref="L100:M100"/>
    <mergeCell ref="N100:P100"/>
    <mergeCell ref="Q100:R100"/>
    <mergeCell ref="D97:E97"/>
    <mergeCell ref="G97:I97"/>
    <mergeCell ref="J97:K97"/>
    <mergeCell ref="M97:N97"/>
    <mergeCell ref="Q97:R97"/>
    <mergeCell ref="D98:E98"/>
    <mergeCell ref="G98:I98"/>
    <mergeCell ref="J98:K98"/>
    <mergeCell ref="M98:N98"/>
    <mergeCell ref="Q98:R98"/>
    <mergeCell ref="D103:E103"/>
    <mergeCell ref="G103:I103"/>
    <mergeCell ref="J103:K103"/>
    <mergeCell ref="M103:N103"/>
    <mergeCell ref="Q103:R103"/>
    <mergeCell ref="D104:E104"/>
    <mergeCell ref="G104:I104"/>
    <mergeCell ref="J104:K104"/>
    <mergeCell ref="M104:N104"/>
    <mergeCell ref="Q104:R104"/>
    <mergeCell ref="A101:G101"/>
    <mergeCell ref="H101:K101"/>
    <mergeCell ref="L101:M101"/>
    <mergeCell ref="N101:P101"/>
    <mergeCell ref="Q101:R101"/>
    <mergeCell ref="A102:P102"/>
    <mergeCell ref="Q102:R102"/>
    <mergeCell ref="D107:E107"/>
    <mergeCell ref="G107:I107"/>
    <mergeCell ref="J107:K107"/>
    <mergeCell ref="M107:N107"/>
    <mergeCell ref="Q107:R107"/>
    <mergeCell ref="D108:E108"/>
    <mergeCell ref="G108:I108"/>
    <mergeCell ref="J108:K108"/>
    <mergeCell ref="M108:N108"/>
    <mergeCell ref="Q108:R108"/>
    <mergeCell ref="D105:E105"/>
    <mergeCell ref="G105:I105"/>
    <mergeCell ref="J105:K105"/>
    <mergeCell ref="M105:N105"/>
    <mergeCell ref="Q105:R105"/>
    <mergeCell ref="D106:E106"/>
    <mergeCell ref="G106:I106"/>
    <mergeCell ref="J106:K106"/>
    <mergeCell ref="M106:N106"/>
    <mergeCell ref="Q106:R106"/>
    <mergeCell ref="A111:G111"/>
    <mergeCell ref="H111:K111"/>
    <mergeCell ref="L111:M111"/>
    <mergeCell ref="N111:P111"/>
    <mergeCell ref="Q111:R111"/>
    <mergeCell ref="A112:G112"/>
    <mergeCell ref="H112:K112"/>
    <mergeCell ref="L112:M112"/>
    <mergeCell ref="N112:P112"/>
    <mergeCell ref="Q112:R112"/>
    <mergeCell ref="D109:E109"/>
    <mergeCell ref="G109:I109"/>
    <mergeCell ref="J109:K109"/>
    <mergeCell ref="M109:N109"/>
    <mergeCell ref="Q109:R109"/>
    <mergeCell ref="D110:E110"/>
    <mergeCell ref="G110:I110"/>
    <mergeCell ref="J110:K110"/>
    <mergeCell ref="M110:N110"/>
    <mergeCell ref="Q110:R110"/>
    <mergeCell ref="D115:E115"/>
    <mergeCell ref="G115:I115"/>
    <mergeCell ref="J115:K115"/>
    <mergeCell ref="M115:N115"/>
    <mergeCell ref="Q115:R115"/>
    <mergeCell ref="D116:E116"/>
    <mergeCell ref="G116:I116"/>
    <mergeCell ref="J116:K116"/>
    <mergeCell ref="M116:N116"/>
    <mergeCell ref="Q116:R116"/>
    <mergeCell ref="A113:P113"/>
    <mergeCell ref="Q113:R113"/>
    <mergeCell ref="D114:E114"/>
    <mergeCell ref="G114:I114"/>
    <mergeCell ref="J114:K114"/>
    <mergeCell ref="M114:N114"/>
    <mergeCell ref="Q114:R114"/>
    <mergeCell ref="A119:G119"/>
    <mergeCell ref="H119:K119"/>
    <mergeCell ref="L119:M119"/>
    <mergeCell ref="N119:P119"/>
    <mergeCell ref="Q119:R119"/>
    <mergeCell ref="A120:G120"/>
    <mergeCell ref="H120:K120"/>
    <mergeCell ref="L120:M120"/>
    <mergeCell ref="N120:P120"/>
    <mergeCell ref="Q120:R120"/>
    <mergeCell ref="D117:E117"/>
    <mergeCell ref="G117:I117"/>
    <mergeCell ref="J117:K117"/>
    <mergeCell ref="M117:N117"/>
    <mergeCell ref="Q117:R117"/>
    <mergeCell ref="D118:E118"/>
    <mergeCell ref="G118:I118"/>
    <mergeCell ref="J118:K118"/>
    <mergeCell ref="M118:N118"/>
    <mergeCell ref="Q118:R118"/>
    <mergeCell ref="D124:E124"/>
    <mergeCell ref="G124:I124"/>
    <mergeCell ref="J124:K124"/>
    <mergeCell ref="M124:N124"/>
    <mergeCell ref="Q124:R124"/>
    <mergeCell ref="D125:E125"/>
    <mergeCell ref="G125:I125"/>
    <mergeCell ref="J125:K125"/>
    <mergeCell ref="M125:N125"/>
    <mergeCell ref="Q125:R125"/>
    <mergeCell ref="A121:R121"/>
    <mergeCell ref="A122:P122"/>
    <mergeCell ref="Q122:R122"/>
    <mergeCell ref="D123:E123"/>
    <mergeCell ref="G123:I123"/>
    <mergeCell ref="J123:K123"/>
    <mergeCell ref="M123:N123"/>
    <mergeCell ref="Q123:R123"/>
    <mergeCell ref="A128:G128"/>
    <mergeCell ref="H128:K128"/>
    <mergeCell ref="L128:M128"/>
    <mergeCell ref="N128:P128"/>
    <mergeCell ref="Q128:R128"/>
    <mergeCell ref="A129:P129"/>
    <mergeCell ref="Q129:R129"/>
    <mergeCell ref="D126:E126"/>
    <mergeCell ref="G126:I126"/>
    <mergeCell ref="J126:K126"/>
    <mergeCell ref="M126:N126"/>
    <mergeCell ref="Q126:R126"/>
    <mergeCell ref="A127:G127"/>
    <mergeCell ref="H127:K127"/>
    <mergeCell ref="L127:M127"/>
    <mergeCell ref="N127:P127"/>
    <mergeCell ref="Q127:R127"/>
    <mergeCell ref="D132:E132"/>
    <mergeCell ref="G132:I132"/>
    <mergeCell ref="J132:K132"/>
    <mergeCell ref="M132:N132"/>
    <mergeCell ref="Q132:R132"/>
    <mergeCell ref="D133:E133"/>
    <mergeCell ref="G133:I133"/>
    <mergeCell ref="J133:K133"/>
    <mergeCell ref="M133:N133"/>
    <mergeCell ref="Q133:R133"/>
    <mergeCell ref="D130:E130"/>
    <mergeCell ref="G130:I130"/>
    <mergeCell ref="J130:K130"/>
    <mergeCell ref="M130:N130"/>
    <mergeCell ref="Q130:R130"/>
    <mergeCell ref="D131:E131"/>
    <mergeCell ref="G131:I131"/>
    <mergeCell ref="J131:K131"/>
    <mergeCell ref="M131:N131"/>
    <mergeCell ref="Q131:R131"/>
    <mergeCell ref="D136:E136"/>
    <mergeCell ref="G136:I136"/>
    <mergeCell ref="J136:K136"/>
    <mergeCell ref="M136:N136"/>
    <mergeCell ref="Q136:R136"/>
    <mergeCell ref="A137:G137"/>
    <mergeCell ref="H137:K137"/>
    <mergeCell ref="L137:M137"/>
    <mergeCell ref="N137:P137"/>
    <mergeCell ref="Q137:R137"/>
    <mergeCell ref="D134:E134"/>
    <mergeCell ref="G134:I134"/>
    <mergeCell ref="J134:K134"/>
    <mergeCell ref="M134:N134"/>
    <mergeCell ref="Q134:R134"/>
    <mergeCell ref="D135:E135"/>
    <mergeCell ref="G135:I135"/>
    <mergeCell ref="J135:K135"/>
    <mergeCell ref="M135:N135"/>
    <mergeCell ref="Q135:R135"/>
    <mergeCell ref="D140:E140"/>
    <mergeCell ref="G140:I140"/>
    <mergeCell ref="J140:K140"/>
    <mergeCell ref="M140:N140"/>
    <mergeCell ref="Q140:R140"/>
    <mergeCell ref="D141:E141"/>
    <mergeCell ref="G141:I141"/>
    <mergeCell ref="J141:K141"/>
    <mergeCell ref="M141:N141"/>
    <mergeCell ref="Q141:R141"/>
    <mergeCell ref="A138:G138"/>
    <mergeCell ref="H138:K138"/>
    <mergeCell ref="L138:M138"/>
    <mergeCell ref="N138:P138"/>
    <mergeCell ref="Q138:R138"/>
    <mergeCell ref="A139:P139"/>
    <mergeCell ref="Q139:R139"/>
    <mergeCell ref="D144:E144"/>
    <mergeCell ref="G144:I144"/>
    <mergeCell ref="J144:K144"/>
    <mergeCell ref="M144:N144"/>
    <mergeCell ref="Q144:R144"/>
    <mergeCell ref="D145:E145"/>
    <mergeCell ref="G145:I145"/>
    <mergeCell ref="J145:K145"/>
    <mergeCell ref="M145:N145"/>
    <mergeCell ref="Q145:R145"/>
    <mergeCell ref="D142:E142"/>
    <mergeCell ref="G142:I142"/>
    <mergeCell ref="J142:K142"/>
    <mergeCell ref="M142:N142"/>
    <mergeCell ref="Q142:R142"/>
    <mergeCell ref="D143:E143"/>
    <mergeCell ref="G143:I143"/>
    <mergeCell ref="J143:K143"/>
    <mergeCell ref="M143:N143"/>
    <mergeCell ref="Q143:R143"/>
    <mergeCell ref="D148:E148"/>
    <mergeCell ref="G148:I148"/>
    <mergeCell ref="J148:K148"/>
    <mergeCell ref="M148:N148"/>
    <mergeCell ref="Q148:R148"/>
    <mergeCell ref="D149:E149"/>
    <mergeCell ref="G149:I149"/>
    <mergeCell ref="J149:K149"/>
    <mergeCell ref="M149:N149"/>
    <mergeCell ref="Q149:R149"/>
    <mergeCell ref="D146:E146"/>
    <mergeCell ref="G146:I146"/>
    <mergeCell ref="J146:K146"/>
    <mergeCell ref="M146:N146"/>
    <mergeCell ref="Q146:R146"/>
    <mergeCell ref="D147:E147"/>
    <mergeCell ref="G147:I147"/>
    <mergeCell ref="J147:K147"/>
    <mergeCell ref="M147:N147"/>
    <mergeCell ref="Q147:R147"/>
    <mergeCell ref="A154:G154"/>
    <mergeCell ref="H154:K154"/>
    <mergeCell ref="L154:M154"/>
    <mergeCell ref="N154:P154"/>
    <mergeCell ref="Q154:R154"/>
    <mergeCell ref="A155:R155"/>
    <mergeCell ref="D152:E152"/>
    <mergeCell ref="G152:I152"/>
    <mergeCell ref="J152:K152"/>
    <mergeCell ref="M152:N152"/>
    <mergeCell ref="Q152:R152"/>
    <mergeCell ref="A153:G153"/>
    <mergeCell ref="H153:K153"/>
    <mergeCell ref="L153:M153"/>
    <mergeCell ref="N153:P153"/>
    <mergeCell ref="Q153:R153"/>
    <mergeCell ref="D150:E150"/>
    <mergeCell ref="G150:I150"/>
    <mergeCell ref="J150:K150"/>
    <mergeCell ref="M150:N150"/>
    <mergeCell ref="Q150:R150"/>
    <mergeCell ref="D151:E151"/>
    <mergeCell ref="G151:I151"/>
    <mergeCell ref="J151:K151"/>
    <mergeCell ref="M151:N151"/>
    <mergeCell ref="Q151:R151"/>
    <mergeCell ref="D158:E158"/>
    <mergeCell ref="G158:I158"/>
    <mergeCell ref="J158:K158"/>
    <mergeCell ref="M158:N158"/>
    <mergeCell ref="Q158:R158"/>
    <mergeCell ref="D159:E159"/>
    <mergeCell ref="G159:I159"/>
    <mergeCell ref="J159:K159"/>
    <mergeCell ref="M159:N159"/>
    <mergeCell ref="Q159:R159"/>
    <mergeCell ref="A156:P156"/>
    <mergeCell ref="Q156:R156"/>
    <mergeCell ref="D157:E157"/>
    <mergeCell ref="G157:I157"/>
    <mergeCell ref="J157:K157"/>
    <mergeCell ref="M157:N157"/>
    <mergeCell ref="Q157:R157"/>
    <mergeCell ref="D162:E162"/>
    <mergeCell ref="G162:I162"/>
    <mergeCell ref="J162:K162"/>
    <mergeCell ref="M162:N162"/>
    <mergeCell ref="Q162:R162"/>
    <mergeCell ref="D163:E163"/>
    <mergeCell ref="G163:I163"/>
    <mergeCell ref="J163:K163"/>
    <mergeCell ref="M163:N163"/>
    <mergeCell ref="Q163:R163"/>
    <mergeCell ref="D160:E160"/>
    <mergeCell ref="G160:I160"/>
    <mergeCell ref="J160:K160"/>
    <mergeCell ref="M160:N160"/>
    <mergeCell ref="Q160:R160"/>
    <mergeCell ref="D161:E161"/>
    <mergeCell ref="G161:I161"/>
    <mergeCell ref="J161:K161"/>
    <mergeCell ref="M161:N161"/>
    <mergeCell ref="Q161:R161"/>
    <mergeCell ref="D166:E166"/>
    <mergeCell ref="G166:I166"/>
    <mergeCell ref="J166:K166"/>
    <mergeCell ref="M166:N166"/>
    <mergeCell ref="Q166:R166"/>
    <mergeCell ref="D167:E167"/>
    <mergeCell ref="G167:I167"/>
    <mergeCell ref="J167:K167"/>
    <mergeCell ref="M167:N167"/>
    <mergeCell ref="Q167:R167"/>
    <mergeCell ref="D164:E164"/>
    <mergeCell ref="G164:I164"/>
    <mergeCell ref="J164:K164"/>
    <mergeCell ref="M164:N164"/>
    <mergeCell ref="Q164:R164"/>
    <mergeCell ref="D165:E165"/>
    <mergeCell ref="G165:I165"/>
    <mergeCell ref="J165:K165"/>
    <mergeCell ref="M165:N165"/>
    <mergeCell ref="Q165:R165"/>
    <mergeCell ref="A172:G172"/>
    <mergeCell ref="H172:K172"/>
    <mergeCell ref="L172:M172"/>
    <mergeCell ref="N172:P172"/>
    <mergeCell ref="Q172:R172"/>
    <mergeCell ref="A173:R173"/>
    <mergeCell ref="D170:E170"/>
    <mergeCell ref="G170:I170"/>
    <mergeCell ref="J170:K170"/>
    <mergeCell ref="M170:N170"/>
    <mergeCell ref="Q170:R170"/>
    <mergeCell ref="A171:G171"/>
    <mergeCell ref="H171:K171"/>
    <mergeCell ref="L171:M171"/>
    <mergeCell ref="N171:P171"/>
    <mergeCell ref="Q171:R171"/>
    <mergeCell ref="D168:E168"/>
    <mergeCell ref="G168:I168"/>
    <mergeCell ref="J168:K168"/>
    <mergeCell ref="M168:N168"/>
    <mergeCell ref="Q168:R168"/>
    <mergeCell ref="D169:E169"/>
    <mergeCell ref="G169:I169"/>
    <mergeCell ref="J169:K169"/>
    <mergeCell ref="M169:N169"/>
    <mergeCell ref="Q169:R169"/>
    <mergeCell ref="D176:E176"/>
    <mergeCell ref="G176:I176"/>
    <mergeCell ref="J176:K176"/>
    <mergeCell ref="M176:N176"/>
    <mergeCell ref="Q176:R176"/>
    <mergeCell ref="D177:E177"/>
    <mergeCell ref="G177:I177"/>
    <mergeCell ref="J177:K177"/>
    <mergeCell ref="M177:N177"/>
    <mergeCell ref="Q177:R177"/>
    <mergeCell ref="A174:P174"/>
    <mergeCell ref="Q174:R174"/>
    <mergeCell ref="D175:E175"/>
    <mergeCell ref="G175:I175"/>
    <mergeCell ref="J175:K175"/>
    <mergeCell ref="M175:N175"/>
    <mergeCell ref="Q175:R175"/>
    <mergeCell ref="D180:E180"/>
    <mergeCell ref="G180:I180"/>
    <mergeCell ref="J180:K180"/>
    <mergeCell ref="M180:N180"/>
    <mergeCell ref="Q180:R180"/>
    <mergeCell ref="D181:E181"/>
    <mergeCell ref="G181:I181"/>
    <mergeCell ref="J181:K181"/>
    <mergeCell ref="M181:N181"/>
    <mergeCell ref="Q181:R181"/>
    <mergeCell ref="D178:E178"/>
    <mergeCell ref="G178:I178"/>
    <mergeCell ref="J178:K178"/>
    <mergeCell ref="M178:N178"/>
    <mergeCell ref="Q178:R178"/>
    <mergeCell ref="D179:E179"/>
    <mergeCell ref="G179:I179"/>
    <mergeCell ref="J179:K179"/>
    <mergeCell ref="M179:N179"/>
    <mergeCell ref="Q179:R179"/>
    <mergeCell ref="D184:E184"/>
    <mergeCell ref="G184:I184"/>
    <mergeCell ref="J184:K184"/>
    <mergeCell ref="M184:N184"/>
    <mergeCell ref="Q184:R184"/>
    <mergeCell ref="D185:E185"/>
    <mergeCell ref="G185:I185"/>
    <mergeCell ref="J185:K185"/>
    <mergeCell ref="M185:N185"/>
    <mergeCell ref="Q185:R185"/>
    <mergeCell ref="D182:E182"/>
    <mergeCell ref="G182:I182"/>
    <mergeCell ref="J182:K182"/>
    <mergeCell ref="M182:N182"/>
    <mergeCell ref="Q182:R182"/>
    <mergeCell ref="D183:E183"/>
    <mergeCell ref="G183:I183"/>
    <mergeCell ref="J183:K183"/>
    <mergeCell ref="M183:N183"/>
    <mergeCell ref="Q183:R183"/>
    <mergeCell ref="D188:E188"/>
    <mergeCell ref="G188:I188"/>
    <mergeCell ref="J188:K188"/>
    <mergeCell ref="M188:N188"/>
    <mergeCell ref="Q188:R188"/>
    <mergeCell ref="D189:E189"/>
    <mergeCell ref="G189:I189"/>
    <mergeCell ref="J189:K189"/>
    <mergeCell ref="M189:N189"/>
    <mergeCell ref="Q189:R189"/>
    <mergeCell ref="D186:E186"/>
    <mergeCell ref="G186:I186"/>
    <mergeCell ref="J186:K186"/>
    <mergeCell ref="M186:N186"/>
    <mergeCell ref="Q186:R186"/>
    <mergeCell ref="D187:E187"/>
    <mergeCell ref="G187:I187"/>
    <mergeCell ref="J187:K187"/>
    <mergeCell ref="M187:N187"/>
    <mergeCell ref="Q187:R187"/>
    <mergeCell ref="A192:R192"/>
    <mergeCell ref="A193:P193"/>
    <mergeCell ref="Q193:R193"/>
    <mergeCell ref="D194:E194"/>
    <mergeCell ref="G194:I194"/>
    <mergeCell ref="J194:K194"/>
    <mergeCell ref="M194:N194"/>
    <mergeCell ref="Q194:R194"/>
    <mergeCell ref="A190:G190"/>
    <mergeCell ref="H190:K190"/>
    <mergeCell ref="L190:M190"/>
    <mergeCell ref="N190:P190"/>
    <mergeCell ref="Q190:R190"/>
    <mergeCell ref="A191:G191"/>
    <mergeCell ref="H191:K191"/>
    <mergeCell ref="L191:M191"/>
    <mergeCell ref="N191:P191"/>
    <mergeCell ref="Q191:R191"/>
    <mergeCell ref="D197:E197"/>
    <mergeCell ref="G197:I197"/>
    <mergeCell ref="J197:K197"/>
    <mergeCell ref="M197:N197"/>
    <mergeCell ref="Q197:R197"/>
    <mergeCell ref="D198:E198"/>
    <mergeCell ref="G198:I198"/>
    <mergeCell ref="J198:K198"/>
    <mergeCell ref="M198:N198"/>
    <mergeCell ref="Q198:R198"/>
    <mergeCell ref="D195:E195"/>
    <mergeCell ref="G195:I195"/>
    <mergeCell ref="J195:K195"/>
    <mergeCell ref="M195:N195"/>
    <mergeCell ref="Q195:R195"/>
    <mergeCell ref="D196:E196"/>
    <mergeCell ref="G196:I196"/>
    <mergeCell ref="J196:K196"/>
    <mergeCell ref="M196:N196"/>
    <mergeCell ref="Q196:R196"/>
    <mergeCell ref="D201:E201"/>
    <mergeCell ref="G201:I201"/>
    <mergeCell ref="J201:K201"/>
    <mergeCell ref="M201:N201"/>
    <mergeCell ref="Q201:R201"/>
    <mergeCell ref="D202:E202"/>
    <mergeCell ref="G202:I202"/>
    <mergeCell ref="J202:K202"/>
    <mergeCell ref="M202:N202"/>
    <mergeCell ref="Q202:R202"/>
    <mergeCell ref="D199:E199"/>
    <mergeCell ref="G199:I199"/>
    <mergeCell ref="J199:K199"/>
    <mergeCell ref="M199:N199"/>
    <mergeCell ref="Q199:R199"/>
    <mergeCell ref="D200:E200"/>
    <mergeCell ref="G200:I200"/>
    <mergeCell ref="J200:K200"/>
    <mergeCell ref="M200:N200"/>
    <mergeCell ref="Q200:R200"/>
    <mergeCell ref="D205:E205"/>
    <mergeCell ref="G205:I205"/>
    <mergeCell ref="J205:K205"/>
    <mergeCell ref="M205:N205"/>
    <mergeCell ref="Q205:R205"/>
    <mergeCell ref="D206:E206"/>
    <mergeCell ref="G206:I206"/>
    <mergeCell ref="J206:K206"/>
    <mergeCell ref="M206:N206"/>
    <mergeCell ref="Q206:R206"/>
    <mergeCell ref="D203:E203"/>
    <mergeCell ref="G203:I203"/>
    <mergeCell ref="J203:K203"/>
    <mergeCell ref="M203:N203"/>
    <mergeCell ref="Q203:R203"/>
    <mergeCell ref="D204:E204"/>
    <mergeCell ref="G204:I204"/>
    <mergeCell ref="J204:K204"/>
    <mergeCell ref="M204:N204"/>
    <mergeCell ref="Q204:R204"/>
    <mergeCell ref="A209:G209"/>
    <mergeCell ref="H209:K209"/>
    <mergeCell ref="L209:M209"/>
    <mergeCell ref="N209:P209"/>
    <mergeCell ref="Q209:R209"/>
    <mergeCell ref="A210:G210"/>
    <mergeCell ref="H210:K210"/>
    <mergeCell ref="L210:M210"/>
    <mergeCell ref="N210:P210"/>
    <mergeCell ref="Q210:R210"/>
    <mergeCell ref="D207:E207"/>
    <mergeCell ref="G207:I207"/>
    <mergeCell ref="J207:K207"/>
    <mergeCell ref="M207:N207"/>
    <mergeCell ref="Q207:R207"/>
    <mergeCell ref="D208:E208"/>
    <mergeCell ref="G208:I208"/>
    <mergeCell ref="J208:K208"/>
    <mergeCell ref="M208:N208"/>
    <mergeCell ref="Q208:R208"/>
    <mergeCell ref="D213:E213"/>
    <mergeCell ref="G213:I213"/>
    <mergeCell ref="J213:K213"/>
    <mergeCell ref="M213:N213"/>
    <mergeCell ref="Q213:R213"/>
    <mergeCell ref="D214:E214"/>
    <mergeCell ref="G214:I214"/>
    <mergeCell ref="J214:K214"/>
    <mergeCell ref="M214:N214"/>
    <mergeCell ref="Q214:R214"/>
    <mergeCell ref="A211:G211"/>
    <mergeCell ref="H211:K211"/>
    <mergeCell ref="L211:M211"/>
    <mergeCell ref="N211:P211"/>
    <mergeCell ref="Q211:R211"/>
    <mergeCell ref="A212:P212"/>
    <mergeCell ref="Q212:R212"/>
    <mergeCell ref="D217:E217"/>
    <mergeCell ref="G217:I217"/>
    <mergeCell ref="J217:K217"/>
    <mergeCell ref="M217:N217"/>
    <mergeCell ref="Q217:R217"/>
    <mergeCell ref="D218:E218"/>
    <mergeCell ref="G218:I218"/>
    <mergeCell ref="J218:K218"/>
    <mergeCell ref="M218:N218"/>
    <mergeCell ref="Q218:R218"/>
    <mergeCell ref="D215:E215"/>
    <mergeCell ref="G215:I215"/>
    <mergeCell ref="J215:K215"/>
    <mergeCell ref="M215:N215"/>
    <mergeCell ref="Q215:R215"/>
    <mergeCell ref="D216:E216"/>
    <mergeCell ref="G216:I216"/>
    <mergeCell ref="J216:K216"/>
    <mergeCell ref="M216:N216"/>
    <mergeCell ref="Q216:R216"/>
    <mergeCell ref="D221:E221"/>
    <mergeCell ref="G221:I221"/>
    <mergeCell ref="J221:K221"/>
    <mergeCell ref="M221:N221"/>
    <mergeCell ref="Q221:R221"/>
    <mergeCell ref="D222:E222"/>
    <mergeCell ref="G222:I222"/>
    <mergeCell ref="J222:K222"/>
    <mergeCell ref="M222:N222"/>
    <mergeCell ref="Q222:R222"/>
    <mergeCell ref="D219:E219"/>
    <mergeCell ref="G219:I219"/>
    <mergeCell ref="J219:K219"/>
    <mergeCell ref="M219:N219"/>
    <mergeCell ref="Q219:R219"/>
    <mergeCell ref="D220:E220"/>
    <mergeCell ref="G220:I220"/>
    <mergeCell ref="J220:K220"/>
    <mergeCell ref="M220:N220"/>
    <mergeCell ref="Q220:R220"/>
    <mergeCell ref="A227:G227"/>
    <mergeCell ref="H227:K227"/>
    <mergeCell ref="L227:M227"/>
    <mergeCell ref="N227:P227"/>
    <mergeCell ref="Q227:R227"/>
    <mergeCell ref="A228:R228"/>
    <mergeCell ref="D225:E225"/>
    <mergeCell ref="G225:I225"/>
    <mergeCell ref="J225:K225"/>
    <mergeCell ref="M225:N225"/>
    <mergeCell ref="Q225:R225"/>
    <mergeCell ref="A226:G226"/>
    <mergeCell ref="H226:K226"/>
    <mergeCell ref="L226:M226"/>
    <mergeCell ref="N226:P226"/>
    <mergeCell ref="Q226:R226"/>
    <mergeCell ref="D223:E223"/>
    <mergeCell ref="G223:I223"/>
    <mergeCell ref="J223:K223"/>
    <mergeCell ref="M223:N223"/>
    <mergeCell ref="Q223:R223"/>
    <mergeCell ref="D224:E224"/>
    <mergeCell ref="G224:I224"/>
    <mergeCell ref="J224:K224"/>
    <mergeCell ref="M224:N224"/>
    <mergeCell ref="Q224:R224"/>
    <mergeCell ref="D231:E231"/>
    <mergeCell ref="G231:I231"/>
    <mergeCell ref="J231:K231"/>
    <mergeCell ref="M231:N231"/>
    <mergeCell ref="Q231:R231"/>
    <mergeCell ref="D232:E232"/>
    <mergeCell ref="G232:I232"/>
    <mergeCell ref="J232:K232"/>
    <mergeCell ref="M232:N232"/>
    <mergeCell ref="Q232:R232"/>
    <mergeCell ref="A229:P229"/>
    <mergeCell ref="Q229:R229"/>
    <mergeCell ref="D230:E230"/>
    <mergeCell ref="G230:I230"/>
    <mergeCell ref="J230:K230"/>
    <mergeCell ref="M230:N230"/>
    <mergeCell ref="Q230:R230"/>
    <mergeCell ref="D235:E235"/>
    <mergeCell ref="G235:I235"/>
    <mergeCell ref="J235:K235"/>
    <mergeCell ref="M235:N235"/>
    <mergeCell ref="Q235:R235"/>
    <mergeCell ref="D236:E236"/>
    <mergeCell ref="G236:I236"/>
    <mergeCell ref="J236:K236"/>
    <mergeCell ref="M236:N236"/>
    <mergeCell ref="Q236:R236"/>
    <mergeCell ref="D233:E233"/>
    <mergeCell ref="G233:I233"/>
    <mergeCell ref="J233:K233"/>
    <mergeCell ref="M233:N233"/>
    <mergeCell ref="Q233:R233"/>
    <mergeCell ref="D234:E234"/>
    <mergeCell ref="G234:I234"/>
    <mergeCell ref="J234:K234"/>
    <mergeCell ref="M234:N234"/>
    <mergeCell ref="Q234:R234"/>
    <mergeCell ref="A239:R239"/>
    <mergeCell ref="A240:P240"/>
    <mergeCell ref="Q240:R240"/>
    <mergeCell ref="D241:E241"/>
    <mergeCell ref="G241:I241"/>
    <mergeCell ref="J241:K241"/>
    <mergeCell ref="M241:N241"/>
    <mergeCell ref="Q241:R241"/>
    <mergeCell ref="A237:G237"/>
    <mergeCell ref="H237:K237"/>
    <mergeCell ref="L237:M237"/>
    <mergeCell ref="N237:P237"/>
    <mergeCell ref="Q237:R237"/>
    <mergeCell ref="A238:G238"/>
    <mergeCell ref="H238:K238"/>
    <mergeCell ref="L238:M238"/>
    <mergeCell ref="N238:P238"/>
    <mergeCell ref="Q238:R238"/>
    <mergeCell ref="D244:E244"/>
    <mergeCell ref="G244:I244"/>
    <mergeCell ref="J244:K244"/>
    <mergeCell ref="M244:N244"/>
    <mergeCell ref="Q244:R244"/>
    <mergeCell ref="D245:E245"/>
    <mergeCell ref="G245:I245"/>
    <mergeCell ref="J245:K245"/>
    <mergeCell ref="M245:N245"/>
    <mergeCell ref="Q245:R245"/>
    <mergeCell ref="D242:E242"/>
    <mergeCell ref="G242:I242"/>
    <mergeCell ref="J242:K242"/>
    <mergeCell ref="M242:N242"/>
    <mergeCell ref="Q242:R242"/>
    <mergeCell ref="D243:E243"/>
    <mergeCell ref="G243:I243"/>
    <mergeCell ref="J243:K243"/>
    <mergeCell ref="M243:N243"/>
    <mergeCell ref="Q243:R243"/>
    <mergeCell ref="A248:G248"/>
    <mergeCell ref="H248:K248"/>
    <mergeCell ref="L248:M248"/>
    <mergeCell ref="N248:P248"/>
    <mergeCell ref="Q248:R248"/>
    <mergeCell ref="A249:G249"/>
    <mergeCell ref="H249:K249"/>
    <mergeCell ref="L249:M249"/>
    <mergeCell ref="N249:P249"/>
    <mergeCell ref="Q249:R249"/>
    <mergeCell ref="D246:E246"/>
    <mergeCell ref="G246:I246"/>
    <mergeCell ref="J246:K246"/>
    <mergeCell ref="M246:N246"/>
    <mergeCell ref="Q246:R246"/>
    <mergeCell ref="D247:E247"/>
    <mergeCell ref="G247:I247"/>
    <mergeCell ref="J247:K247"/>
    <mergeCell ref="M247:N247"/>
    <mergeCell ref="Q247:R247"/>
    <mergeCell ref="D253:E253"/>
    <mergeCell ref="G253:I253"/>
    <mergeCell ref="J253:K253"/>
    <mergeCell ref="M253:N253"/>
    <mergeCell ref="Q253:R253"/>
    <mergeCell ref="D254:E254"/>
    <mergeCell ref="G254:I254"/>
    <mergeCell ref="J254:K254"/>
    <mergeCell ref="M254:N254"/>
    <mergeCell ref="Q254:R254"/>
    <mergeCell ref="A250:R250"/>
    <mergeCell ref="A251:P251"/>
    <mergeCell ref="Q251:R251"/>
    <mergeCell ref="D252:E252"/>
    <mergeCell ref="G252:I252"/>
    <mergeCell ref="J252:K252"/>
    <mergeCell ref="M252:N252"/>
    <mergeCell ref="Q252:R252"/>
    <mergeCell ref="D257:E257"/>
    <mergeCell ref="G257:I257"/>
    <mergeCell ref="J257:K257"/>
    <mergeCell ref="M257:N257"/>
    <mergeCell ref="Q257:R257"/>
    <mergeCell ref="D258:E258"/>
    <mergeCell ref="G258:I258"/>
    <mergeCell ref="J258:K258"/>
    <mergeCell ref="M258:N258"/>
    <mergeCell ref="Q258:R258"/>
    <mergeCell ref="D255:E255"/>
    <mergeCell ref="G255:I255"/>
    <mergeCell ref="J255:K255"/>
    <mergeCell ref="M255:N255"/>
    <mergeCell ref="Q255:R255"/>
    <mergeCell ref="D256:E256"/>
    <mergeCell ref="G256:I256"/>
    <mergeCell ref="J256:K256"/>
    <mergeCell ref="M256:N256"/>
    <mergeCell ref="Q256:R256"/>
    <mergeCell ref="A261:R261"/>
    <mergeCell ref="A262:P262"/>
    <mergeCell ref="Q262:R262"/>
    <mergeCell ref="D263:E263"/>
    <mergeCell ref="G263:I263"/>
    <mergeCell ref="J263:K263"/>
    <mergeCell ref="M263:N263"/>
    <mergeCell ref="Q263:R263"/>
    <mergeCell ref="A259:G259"/>
    <mergeCell ref="H259:K259"/>
    <mergeCell ref="L259:M259"/>
    <mergeCell ref="N259:P259"/>
    <mergeCell ref="Q259:R259"/>
    <mergeCell ref="A260:G260"/>
    <mergeCell ref="H260:K260"/>
    <mergeCell ref="L260:M260"/>
    <mergeCell ref="N260:P260"/>
    <mergeCell ref="Q260:R260"/>
    <mergeCell ref="D266:E266"/>
    <mergeCell ref="G266:I266"/>
    <mergeCell ref="J266:K266"/>
    <mergeCell ref="M266:N266"/>
    <mergeCell ref="Q266:R266"/>
    <mergeCell ref="D267:E267"/>
    <mergeCell ref="G267:I267"/>
    <mergeCell ref="J267:K267"/>
    <mergeCell ref="M267:N267"/>
    <mergeCell ref="Q267:R267"/>
    <mergeCell ref="D264:E264"/>
    <mergeCell ref="G264:I264"/>
    <mergeCell ref="J264:K264"/>
    <mergeCell ref="M264:N264"/>
    <mergeCell ref="Q264:R264"/>
    <mergeCell ref="D265:E265"/>
    <mergeCell ref="G265:I265"/>
    <mergeCell ref="J265:K265"/>
    <mergeCell ref="M265:N265"/>
    <mergeCell ref="Q265:R265"/>
    <mergeCell ref="D272:E272"/>
    <mergeCell ref="H272:I272"/>
    <mergeCell ref="J272:K272"/>
    <mergeCell ref="Q272:R272"/>
    <mergeCell ref="A273:R273"/>
    <mergeCell ref="A274:R274"/>
    <mergeCell ref="D270:E270"/>
    <mergeCell ref="G270:I270"/>
    <mergeCell ref="J270:K270"/>
    <mergeCell ref="M270:N270"/>
    <mergeCell ref="Q270:R270"/>
    <mergeCell ref="A271:R271"/>
    <mergeCell ref="D268:E268"/>
    <mergeCell ref="G268:I268"/>
    <mergeCell ref="J268:K268"/>
    <mergeCell ref="M268:N268"/>
    <mergeCell ref="Q268:R268"/>
    <mergeCell ref="D269:E269"/>
    <mergeCell ref="G269:I269"/>
    <mergeCell ref="J269:K269"/>
    <mergeCell ref="M269:N269"/>
    <mergeCell ref="Q269:R269"/>
    <mergeCell ref="D277:E277"/>
    <mergeCell ref="G277:I277"/>
    <mergeCell ref="J277:K277"/>
    <mergeCell ref="M277:N277"/>
    <mergeCell ref="Q277:R277"/>
    <mergeCell ref="D278:E278"/>
    <mergeCell ref="G278:I278"/>
    <mergeCell ref="J278:K278"/>
    <mergeCell ref="M278:N278"/>
    <mergeCell ref="Q278:R278"/>
    <mergeCell ref="A275:P275"/>
    <mergeCell ref="Q275:R275"/>
    <mergeCell ref="D276:E276"/>
    <mergeCell ref="G276:I276"/>
    <mergeCell ref="J276:K276"/>
    <mergeCell ref="M276:N276"/>
    <mergeCell ref="Q276:R276"/>
    <mergeCell ref="A281:G281"/>
    <mergeCell ref="H281:K281"/>
    <mergeCell ref="L281:M281"/>
    <mergeCell ref="N281:P281"/>
    <mergeCell ref="Q281:R281"/>
    <mergeCell ref="A282:G282"/>
    <mergeCell ref="H282:K282"/>
    <mergeCell ref="L282:M282"/>
    <mergeCell ref="N282:P282"/>
    <mergeCell ref="Q282:R282"/>
    <mergeCell ref="D279:E279"/>
    <mergeCell ref="G279:I279"/>
    <mergeCell ref="J279:K279"/>
    <mergeCell ref="M279:N279"/>
    <mergeCell ref="Q279:R279"/>
    <mergeCell ref="D280:E280"/>
    <mergeCell ref="G280:I280"/>
    <mergeCell ref="J280:K280"/>
    <mergeCell ref="M280:N280"/>
    <mergeCell ref="Q280:R280"/>
    <mergeCell ref="D285:E285"/>
    <mergeCell ref="G285:I285"/>
    <mergeCell ref="J285:K285"/>
    <mergeCell ref="M285:N285"/>
    <mergeCell ref="Q285:R285"/>
    <mergeCell ref="D286:E286"/>
    <mergeCell ref="G286:I286"/>
    <mergeCell ref="J286:K286"/>
    <mergeCell ref="M286:N286"/>
    <mergeCell ref="Q286:R286"/>
    <mergeCell ref="A283:P283"/>
    <mergeCell ref="Q283:R283"/>
    <mergeCell ref="D284:E284"/>
    <mergeCell ref="G284:I284"/>
    <mergeCell ref="J284:K284"/>
    <mergeCell ref="M284:N284"/>
    <mergeCell ref="Q284:R284"/>
    <mergeCell ref="D289:E289"/>
    <mergeCell ref="G289:I289"/>
    <mergeCell ref="J289:K289"/>
    <mergeCell ref="M289:N289"/>
    <mergeCell ref="Q289:R289"/>
    <mergeCell ref="D290:E290"/>
    <mergeCell ref="G290:I290"/>
    <mergeCell ref="J290:K290"/>
    <mergeCell ref="M290:N290"/>
    <mergeCell ref="Q290:R290"/>
    <mergeCell ref="D287:E287"/>
    <mergeCell ref="G287:I287"/>
    <mergeCell ref="J287:K287"/>
    <mergeCell ref="M287:N287"/>
    <mergeCell ref="Q287:R287"/>
    <mergeCell ref="D288:E288"/>
    <mergeCell ref="G288:I288"/>
    <mergeCell ref="J288:K288"/>
    <mergeCell ref="M288:N288"/>
    <mergeCell ref="Q288:R288"/>
    <mergeCell ref="A295:P295"/>
    <mergeCell ref="Q295:R295"/>
    <mergeCell ref="D296:E296"/>
    <mergeCell ref="G296:I296"/>
    <mergeCell ref="J296:K296"/>
    <mergeCell ref="M296:N296"/>
    <mergeCell ref="Q296:R296"/>
    <mergeCell ref="A293:G293"/>
    <mergeCell ref="H293:K293"/>
    <mergeCell ref="L293:M293"/>
    <mergeCell ref="N293:P293"/>
    <mergeCell ref="Q293:R293"/>
    <mergeCell ref="A294:R294"/>
    <mergeCell ref="D291:E291"/>
    <mergeCell ref="G291:I291"/>
    <mergeCell ref="J291:K291"/>
    <mergeCell ref="M291:N291"/>
    <mergeCell ref="Q291:R291"/>
    <mergeCell ref="A292:G292"/>
    <mergeCell ref="H292:K292"/>
    <mergeCell ref="L292:M292"/>
    <mergeCell ref="N292:P292"/>
    <mergeCell ref="Q292:R292"/>
    <mergeCell ref="D299:E299"/>
    <mergeCell ref="G299:I299"/>
    <mergeCell ref="J299:K299"/>
    <mergeCell ref="M299:N299"/>
    <mergeCell ref="Q299:R299"/>
    <mergeCell ref="D300:E300"/>
    <mergeCell ref="G300:I300"/>
    <mergeCell ref="J300:K300"/>
    <mergeCell ref="M300:N300"/>
    <mergeCell ref="Q300:R300"/>
    <mergeCell ref="D297:E297"/>
    <mergeCell ref="G297:I297"/>
    <mergeCell ref="J297:K297"/>
    <mergeCell ref="M297:N297"/>
    <mergeCell ref="Q297:R297"/>
    <mergeCell ref="D298:E298"/>
    <mergeCell ref="G298:I298"/>
    <mergeCell ref="J298:K298"/>
    <mergeCell ref="M298:N298"/>
    <mergeCell ref="Q298:R298"/>
    <mergeCell ref="A303:R303"/>
    <mergeCell ref="A304:P304"/>
    <mergeCell ref="Q304:R304"/>
    <mergeCell ref="D305:E305"/>
    <mergeCell ref="G305:I305"/>
    <mergeCell ref="J305:K305"/>
    <mergeCell ref="M305:N305"/>
    <mergeCell ref="Q305:R305"/>
    <mergeCell ref="A301:G301"/>
    <mergeCell ref="H301:K301"/>
    <mergeCell ref="L301:M301"/>
    <mergeCell ref="N301:P301"/>
    <mergeCell ref="Q301:R301"/>
    <mergeCell ref="A302:G302"/>
    <mergeCell ref="H302:K302"/>
    <mergeCell ref="L302:M302"/>
    <mergeCell ref="N302:P302"/>
    <mergeCell ref="Q302:R302"/>
    <mergeCell ref="D308:E308"/>
    <mergeCell ref="G308:I308"/>
    <mergeCell ref="J308:K308"/>
    <mergeCell ref="M308:N308"/>
    <mergeCell ref="Q308:R308"/>
    <mergeCell ref="D309:E309"/>
    <mergeCell ref="G309:I309"/>
    <mergeCell ref="J309:K309"/>
    <mergeCell ref="M309:N309"/>
    <mergeCell ref="Q309:R309"/>
    <mergeCell ref="D306:E306"/>
    <mergeCell ref="G306:I306"/>
    <mergeCell ref="J306:K306"/>
    <mergeCell ref="M306:N306"/>
    <mergeCell ref="Q306:R306"/>
    <mergeCell ref="D307:E307"/>
    <mergeCell ref="G307:I307"/>
    <mergeCell ref="J307:K307"/>
    <mergeCell ref="M307:N307"/>
    <mergeCell ref="Q307:R307"/>
    <mergeCell ref="A312:R312"/>
    <mergeCell ref="A313:P313"/>
    <mergeCell ref="Q313:R313"/>
    <mergeCell ref="D314:E314"/>
    <mergeCell ref="G314:I314"/>
    <mergeCell ref="J314:K314"/>
    <mergeCell ref="M314:N314"/>
    <mergeCell ref="Q314:R314"/>
    <mergeCell ref="A310:G310"/>
    <mergeCell ref="H310:K310"/>
    <mergeCell ref="L310:M310"/>
    <mergeCell ref="N310:P310"/>
    <mergeCell ref="Q310:R310"/>
    <mergeCell ref="A311:G311"/>
    <mergeCell ref="H311:K311"/>
    <mergeCell ref="L311:M311"/>
    <mergeCell ref="N311:P311"/>
    <mergeCell ref="Q311:R311"/>
    <mergeCell ref="D317:E317"/>
    <mergeCell ref="G317:I317"/>
    <mergeCell ref="J317:K317"/>
    <mergeCell ref="M317:N317"/>
    <mergeCell ref="Q317:R317"/>
    <mergeCell ref="D318:E318"/>
    <mergeCell ref="G318:I318"/>
    <mergeCell ref="J318:K318"/>
    <mergeCell ref="M318:N318"/>
    <mergeCell ref="Q318:R318"/>
    <mergeCell ref="D315:E315"/>
    <mergeCell ref="G315:I315"/>
    <mergeCell ref="J315:K315"/>
    <mergeCell ref="M315:N315"/>
    <mergeCell ref="Q315:R315"/>
    <mergeCell ref="D316:E316"/>
    <mergeCell ref="G316:I316"/>
    <mergeCell ref="J316:K316"/>
    <mergeCell ref="M316:N316"/>
    <mergeCell ref="Q316:R316"/>
    <mergeCell ref="A321:R321"/>
    <mergeCell ref="A322:P322"/>
    <mergeCell ref="Q322:R322"/>
    <mergeCell ref="D323:E323"/>
    <mergeCell ref="G323:I323"/>
    <mergeCell ref="J323:K323"/>
    <mergeCell ref="M323:N323"/>
    <mergeCell ref="Q323:R323"/>
    <mergeCell ref="A319:G319"/>
    <mergeCell ref="H319:K319"/>
    <mergeCell ref="L319:M319"/>
    <mergeCell ref="N319:P319"/>
    <mergeCell ref="Q319:R319"/>
    <mergeCell ref="A320:G320"/>
    <mergeCell ref="H320:K320"/>
    <mergeCell ref="L320:M320"/>
    <mergeCell ref="N320:P320"/>
    <mergeCell ref="Q320:R320"/>
    <mergeCell ref="D326:E326"/>
    <mergeCell ref="G326:I326"/>
    <mergeCell ref="J326:K326"/>
    <mergeCell ref="M326:N326"/>
    <mergeCell ref="Q326:R326"/>
    <mergeCell ref="D327:E327"/>
    <mergeCell ref="G327:I327"/>
    <mergeCell ref="J327:K327"/>
    <mergeCell ref="M327:N327"/>
    <mergeCell ref="Q327:R327"/>
    <mergeCell ref="D324:E324"/>
    <mergeCell ref="G324:I324"/>
    <mergeCell ref="J324:K324"/>
    <mergeCell ref="M324:N324"/>
    <mergeCell ref="Q324:R324"/>
    <mergeCell ref="D325:E325"/>
    <mergeCell ref="G325:I325"/>
    <mergeCell ref="J325:K325"/>
    <mergeCell ref="M325:N325"/>
    <mergeCell ref="Q325:R325"/>
    <mergeCell ref="A330:R330"/>
    <mergeCell ref="A331:P331"/>
    <mergeCell ref="Q331:R331"/>
    <mergeCell ref="D332:E332"/>
    <mergeCell ref="G332:I332"/>
    <mergeCell ref="J332:K332"/>
    <mergeCell ref="M332:N332"/>
    <mergeCell ref="Q332:R332"/>
    <mergeCell ref="A328:G328"/>
    <mergeCell ref="H328:K328"/>
    <mergeCell ref="L328:M328"/>
    <mergeCell ref="N328:P328"/>
    <mergeCell ref="Q328:R328"/>
    <mergeCell ref="A329:G329"/>
    <mergeCell ref="H329:K329"/>
    <mergeCell ref="L329:M329"/>
    <mergeCell ref="N329:P329"/>
    <mergeCell ref="Q329:R329"/>
    <mergeCell ref="D335:E335"/>
    <mergeCell ref="G335:I335"/>
    <mergeCell ref="J335:K335"/>
    <mergeCell ref="M335:N335"/>
    <mergeCell ref="Q335:R335"/>
    <mergeCell ref="D336:E336"/>
    <mergeCell ref="G336:I336"/>
    <mergeCell ref="J336:K336"/>
    <mergeCell ref="M336:N336"/>
    <mergeCell ref="Q336:R336"/>
    <mergeCell ref="D333:E333"/>
    <mergeCell ref="G333:I333"/>
    <mergeCell ref="J333:K333"/>
    <mergeCell ref="M333:N333"/>
    <mergeCell ref="Q333:R333"/>
    <mergeCell ref="D334:E334"/>
    <mergeCell ref="G334:I334"/>
    <mergeCell ref="J334:K334"/>
    <mergeCell ref="M334:N334"/>
    <mergeCell ref="Q334:R334"/>
    <mergeCell ref="D339:E339"/>
    <mergeCell ref="G339:I339"/>
    <mergeCell ref="J339:K339"/>
    <mergeCell ref="M339:N339"/>
    <mergeCell ref="Q339:R339"/>
    <mergeCell ref="D340:E340"/>
    <mergeCell ref="G340:I340"/>
    <mergeCell ref="J340:K340"/>
    <mergeCell ref="M340:N340"/>
    <mergeCell ref="Q340:R340"/>
    <mergeCell ref="D337:E337"/>
    <mergeCell ref="G337:I337"/>
    <mergeCell ref="J337:K337"/>
    <mergeCell ref="M337:N337"/>
    <mergeCell ref="Q337:R337"/>
    <mergeCell ref="D338:E338"/>
    <mergeCell ref="G338:I338"/>
    <mergeCell ref="J338:K338"/>
    <mergeCell ref="M338:N338"/>
    <mergeCell ref="Q338:R338"/>
    <mergeCell ref="D343:E343"/>
    <mergeCell ref="G343:I343"/>
    <mergeCell ref="J343:K343"/>
    <mergeCell ref="M343:N343"/>
    <mergeCell ref="Q343:R343"/>
    <mergeCell ref="A344:G344"/>
    <mergeCell ref="H344:K344"/>
    <mergeCell ref="L344:M344"/>
    <mergeCell ref="N344:P344"/>
    <mergeCell ref="Q344:R344"/>
    <mergeCell ref="D341:E341"/>
    <mergeCell ref="G341:I341"/>
    <mergeCell ref="J341:K341"/>
    <mergeCell ref="M341:N341"/>
    <mergeCell ref="Q341:R341"/>
    <mergeCell ref="D342:E342"/>
    <mergeCell ref="G342:I342"/>
    <mergeCell ref="J342:K342"/>
    <mergeCell ref="M342:N342"/>
    <mergeCell ref="Q342:R342"/>
    <mergeCell ref="D347:E347"/>
    <mergeCell ref="G347:I347"/>
    <mergeCell ref="J347:K347"/>
    <mergeCell ref="M347:N347"/>
    <mergeCell ref="Q347:R347"/>
    <mergeCell ref="D348:E348"/>
    <mergeCell ref="G348:I348"/>
    <mergeCell ref="J348:K348"/>
    <mergeCell ref="M348:N348"/>
    <mergeCell ref="Q348:R348"/>
    <mergeCell ref="A345:G345"/>
    <mergeCell ref="H345:K345"/>
    <mergeCell ref="L345:M345"/>
    <mergeCell ref="N345:P345"/>
    <mergeCell ref="Q345:R345"/>
    <mergeCell ref="A346:P346"/>
    <mergeCell ref="Q346:R346"/>
    <mergeCell ref="D351:E351"/>
    <mergeCell ref="G351:I351"/>
    <mergeCell ref="J351:K351"/>
    <mergeCell ref="M351:N351"/>
    <mergeCell ref="Q351:R351"/>
    <mergeCell ref="D352:E352"/>
    <mergeCell ref="G352:I352"/>
    <mergeCell ref="J352:K352"/>
    <mergeCell ref="M352:N352"/>
    <mergeCell ref="Q352:R352"/>
    <mergeCell ref="D349:E349"/>
    <mergeCell ref="G349:I349"/>
    <mergeCell ref="J349:K349"/>
    <mergeCell ref="M349:N349"/>
    <mergeCell ref="Q349:R349"/>
    <mergeCell ref="D350:E350"/>
    <mergeCell ref="G350:I350"/>
    <mergeCell ref="J350:K350"/>
    <mergeCell ref="M350:N350"/>
    <mergeCell ref="Q350:R350"/>
    <mergeCell ref="A355:P355"/>
    <mergeCell ref="Q355:R355"/>
    <mergeCell ref="D356:E356"/>
    <mergeCell ref="G356:I356"/>
    <mergeCell ref="J356:K356"/>
    <mergeCell ref="M356:N356"/>
    <mergeCell ref="Q356:R356"/>
    <mergeCell ref="A353:G353"/>
    <mergeCell ref="H353:K353"/>
    <mergeCell ref="L353:M353"/>
    <mergeCell ref="N353:P353"/>
    <mergeCell ref="Q353:R353"/>
    <mergeCell ref="A354:G354"/>
    <mergeCell ref="H354:K354"/>
    <mergeCell ref="L354:M354"/>
    <mergeCell ref="N354:P354"/>
    <mergeCell ref="Q354:R354"/>
    <mergeCell ref="D359:E359"/>
    <mergeCell ref="G359:I359"/>
    <mergeCell ref="J359:K359"/>
    <mergeCell ref="M359:N359"/>
    <mergeCell ref="Q359:R359"/>
    <mergeCell ref="D360:E360"/>
    <mergeCell ref="G360:I360"/>
    <mergeCell ref="J360:K360"/>
    <mergeCell ref="M360:N360"/>
    <mergeCell ref="Q360:R360"/>
    <mergeCell ref="D357:E357"/>
    <mergeCell ref="G357:I357"/>
    <mergeCell ref="J357:K357"/>
    <mergeCell ref="M357:N357"/>
    <mergeCell ref="Q357:R357"/>
    <mergeCell ref="D358:E358"/>
    <mergeCell ref="G358:I358"/>
    <mergeCell ref="J358:K358"/>
    <mergeCell ref="M358:N358"/>
    <mergeCell ref="Q358:R358"/>
    <mergeCell ref="A363:R363"/>
    <mergeCell ref="A364:P364"/>
    <mergeCell ref="Q364:R364"/>
    <mergeCell ref="D365:E365"/>
    <mergeCell ref="G365:I365"/>
    <mergeCell ref="J365:K365"/>
    <mergeCell ref="M365:N365"/>
    <mergeCell ref="Q365:R365"/>
    <mergeCell ref="A361:G361"/>
    <mergeCell ref="H361:K361"/>
    <mergeCell ref="L361:M361"/>
    <mergeCell ref="N361:P361"/>
    <mergeCell ref="Q361:R361"/>
    <mergeCell ref="A362:G362"/>
    <mergeCell ref="H362:K362"/>
    <mergeCell ref="L362:M362"/>
    <mergeCell ref="N362:P362"/>
    <mergeCell ref="Q362:R362"/>
    <mergeCell ref="A370:G370"/>
    <mergeCell ref="H370:K370"/>
    <mergeCell ref="L370:M370"/>
    <mergeCell ref="N370:P370"/>
    <mergeCell ref="Q370:R370"/>
    <mergeCell ref="A371:R371"/>
    <mergeCell ref="D368:E368"/>
    <mergeCell ref="G368:I368"/>
    <mergeCell ref="J368:K368"/>
    <mergeCell ref="M368:N368"/>
    <mergeCell ref="Q368:R368"/>
    <mergeCell ref="A369:G369"/>
    <mergeCell ref="H369:K369"/>
    <mergeCell ref="L369:M369"/>
    <mergeCell ref="N369:P369"/>
    <mergeCell ref="Q369:R369"/>
    <mergeCell ref="D366:E366"/>
    <mergeCell ref="G366:I366"/>
    <mergeCell ref="J366:K366"/>
    <mergeCell ref="M366:N366"/>
    <mergeCell ref="Q366:R366"/>
    <mergeCell ref="D367:E367"/>
    <mergeCell ref="G367:I367"/>
    <mergeCell ref="J367:K367"/>
    <mergeCell ref="M367:N367"/>
    <mergeCell ref="Q367:R367"/>
    <mergeCell ref="D374:E374"/>
    <mergeCell ref="G374:I374"/>
    <mergeCell ref="J374:K374"/>
    <mergeCell ref="M374:N374"/>
    <mergeCell ref="Q374:R374"/>
    <mergeCell ref="D375:E375"/>
    <mergeCell ref="G375:I375"/>
    <mergeCell ref="J375:K375"/>
    <mergeCell ref="M375:N375"/>
    <mergeCell ref="Q375:R375"/>
    <mergeCell ref="A372:P372"/>
    <mergeCell ref="Q372:R372"/>
    <mergeCell ref="D373:E373"/>
    <mergeCell ref="G373:I373"/>
    <mergeCell ref="J373:K373"/>
    <mergeCell ref="M373:N373"/>
    <mergeCell ref="Q373:R373"/>
    <mergeCell ref="A378:G378"/>
    <mergeCell ref="H378:K378"/>
    <mergeCell ref="M378:P378"/>
    <mergeCell ref="Q378:R378"/>
    <mergeCell ref="A379:G379"/>
    <mergeCell ref="H379:K379"/>
    <mergeCell ref="M379:P379"/>
    <mergeCell ref="Q379:R379"/>
    <mergeCell ref="D376:E376"/>
    <mergeCell ref="G376:I376"/>
    <mergeCell ref="J376:K376"/>
    <mergeCell ref="M376:N376"/>
    <mergeCell ref="Q376:R376"/>
    <mergeCell ref="D377:E377"/>
    <mergeCell ref="H377:I377"/>
    <mergeCell ref="J377:K377"/>
    <mergeCell ref="Q377:R377"/>
    <mergeCell ref="D383:E383"/>
    <mergeCell ref="G383:I383"/>
    <mergeCell ref="J383:K383"/>
    <mergeCell ref="M383:N383"/>
    <mergeCell ref="Q383:R383"/>
    <mergeCell ref="D384:E384"/>
    <mergeCell ref="G384:I384"/>
    <mergeCell ref="J384:K384"/>
    <mergeCell ref="M384:N384"/>
    <mergeCell ref="Q384:R384"/>
    <mergeCell ref="A380:R380"/>
    <mergeCell ref="A381:P381"/>
    <mergeCell ref="Q381:R381"/>
    <mergeCell ref="D382:E382"/>
    <mergeCell ref="G382:I382"/>
    <mergeCell ref="J382:K382"/>
    <mergeCell ref="M382:N382"/>
    <mergeCell ref="Q382:R382"/>
    <mergeCell ref="A387:G387"/>
    <mergeCell ref="H387:K387"/>
    <mergeCell ref="L387:M387"/>
    <mergeCell ref="N387:P387"/>
    <mergeCell ref="Q387:R387"/>
    <mergeCell ref="A388:P388"/>
    <mergeCell ref="Q388:R388"/>
    <mergeCell ref="D385:E385"/>
    <mergeCell ref="G385:I385"/>
    <mergeCell ref="J385:K385"/>
    <mergeCell ref="M385:N385"/>
    <mergeCell ref="Q385:R385"/>
    <mergeCell ref="A386:G386"/>
    <mergeCell ref="H386:K386"/>
    <mergeCell ref="L386:M386"/>
    <mergeCell ref="N386:P386"/>
    <mergeCell ref="Q386:R386"/>
    <mergeCell ref="D391:E391"/>
    <mergeCell ref="G391:I391"/>
    <mergeCell ref="J391:K391"/>
    <mergeCell ref="M391:N391"/>
    <mergeCell ref="Q391:R391"/>
    <mergeCell ref="D392:E392"/>
    <mergeCell ref="G392:I392"/>
    <mergeCell ref="J392:K392"/>
    <mergeCell ref="M392:N392"/>
    <mergeCell ref="Q392:R392"/>
    <mergeCell ref="D389:E389"/>
    <mergeCell ref="G389:I389"/>
    <mergeCell ref="J389:K389"/>
    <mergeCell ref="M389:N389"/>
    <mergeCell ref="Q389:R389"/>
    <mergeCell ref="D390:E390"/>
    <mergeCell ref="G390:I390"/>
    <mergeCell ref="J390:K390"/>
    <mergeCell ref="M390:N390"/>
    <mergeCell ref="Q390:R390"/>
    <mergeCell ref="A395:G395"/>
    <mergeCell ref="H395:K395"/>
    <mergeCell ref="L395:M395"/>
    <mergeCell ref="N395:P395"/>
    <mergeCell ref="Q395:R395"/>
    <mergeCell ref="A396:G396"/>
    <mergeCell ref="H396:K396"/>
    <mergeCell ref="L396:M396"/>
    <mergeCell ref="N396:P396"/>
    <mergeCell ref="Q396:R396"/>
    <mergeCell ref="D393:E393"/>
    <mergeCell ref="G393:I393"/>
    <mergeCell ref="J393:K393"/>
    <mergeCell ref="M393:N393"/>
    <mergeCell ref="Q393:R393"/>
    <mergeCell ref="D394:E394"/>
    <mergeCell ref="G394:I394"/>
    <mergeCell ref="J394:K394"/>
    <mergeCell ref="M394:N394"/>
    <mergeCell ref="Q394:R394"/>
    <mergeCell ref="D399:E399"/>
    <mergeCell ref="G399:I399"/>
    <mergeCell ref="J399:K399"/>
    <mergeCell ref="M399:N399"/>
    <mergeCell ref="Q399:R399"/>
    <mergeCell ref="D400:E400"/>
    <mergeCell ref="G400:I400"/>
    <mergeCell ref="J400:K400"/>
    <mergeCell ref="M400:N400"/>
    <mergeCell ref="Q400:R400"/>
    <mergeCell ref="A397:P397"/>
    <mergeCell ref="Q397:R397"/>
    <mergeCell ref="D398:E398"/>
    <mergeCell ref="G398:I398"/>
    <mergeCell ref="J398:K398"/>
    <mergeCell ref="M398:N398"/>
    <mergeCell ref="Q398:R398"/>
    <mergeCell ref="D403:E403"/>
    <mergeCell ref="G403:I403"/>
    <mergeCell ref="J403:K403"/>
    <mergeCell ref="M403:N403"/>
    <mergeCell ref="Q403:R403"/>
    <mergeCell ref="D404:E404"/>
    <mergeCell ref="G404:I404"/>
    <mergeCell ref="J404:K404"/>
    <mergeCell ref="M404:N404"/>
    <mergeCell ref="Q404:R404"/>
    <mergeCell ref="D401:E401"/>
    <mergeCell ref="G401:I401"/>
    <mergeCell ref="J401:K401"/>
    <mergeCell ref="M401:N401"/>
    <mergeCell ref="Q401:R401"/>
    <mergeCell ref="D402:E402"/>
    <mergeCell ref="G402:I402"/>
    <mergeCell ref="J402:K402"/>
    <mergeCell ref="M402:N402"/>
    <mergeCell ref="Q402:R402"/>
    <mergeCell ref="D407:E407"/>
    <mergeCell ref="G407:I407"/>
    <mergeCell ref="J407:K407"/>
    <mergeCell ref="M407:N407"/>
    <mergeCell ref="Q407:R407"/>
    <mergeCell ref="D408:E408"/>
    <mergeCell ref="G408:I408"/>
    <mergeCell ref="J408:K408"/>
    <mergeCell ref="M408:N408"/>
    <mergeCell ref="Q408:R408"/>
    <mergeCell ref="D405:E405"/>
    <mergeCell ref="G405:I405"/>
    <mergeCell ref="J405:K405"/>
    <mergeCell ref="M405:N405"/>
    <mergeCell ref="Q405:R405"/>
    <mergeCell ref="D406:E406"/>
    <mergeCell ref="G406:I406"/>
    <mergeCell ref="J406:K406"/>
    <mergeCell ref="M406:N406"/>
    <mergeCell ref="Q406:R406"/>
    <mergeCell ref="A411:P411"/>
    <mergeCell ref="Q411:R411"/>
    <mergeCell ref="D412:E412"/>
    <mergeCell ref="G412:I412"/>
    <mergeCell ref="J412:K412"/>
    <mergeCell ref="M412:N412"/>
    <mergeCell ref="Q412:R412"/>
    <mergeCell ref="A409:G409"/>
    <mergeCell ref="H409:K409"/>
    <mergeCell ref="L409:M409"/>
    <mergeCell ref="N409:P409"/>
    <mergeCell ref="Q409:R409"/>
    <mergeCell ref="A410:G410"/>
    <mergeCell ref="H410:K410"/>
    <mergeCell ref="L410:M410"/>
    <mergeCell ref="N410:P410"/>
    <mergeCell ref="Q410:R410"/>
    <mergeCell ref="D415:E415"/>
    <mergeCell ref="G415:I415"/>
    <mergeCell ref="J415:K415"/>
    <mergeCell ref="M415:N415"/>
    <mergeCell ref="Q415:R415"/>
    <mergeCell ref="D416:E416"/>
    <mergeCell ref="G416:I416"/>
    <mergeCell ref="J416:K416"/>
    <mergeCell ref="M416:N416"/>
    <mergeCell ref="Q416:R416"/>
    <mergeCell ref="D413:E413"/>
    <mergeCell ref="G413:I413"/>
    <mergeCell ref="J413:K413"/>
    <mergeCell ref="M413:N413"/>
    <mergeCell ref="Q413:R413"/>
    <mergeCell ref="D414:E414"/>
    <mergeCell ref="G414:I414"/>
    <mergeCell ref="J414:K414"/>
    <mergeCell ref="M414:N414"/>
    <mergeCell ref="Q414:R414"/>
    <mergeCell ref="D419:E419"/>
    <mergeCell ref="G419:I419"/>
    <mergeCell ref="J419:K419"/>
    <mergeCell ref="M419:N419"/>
    <mergeCell ref="Q419:R419"/>
    <mergeCell ref="D420:E420"/>
    <mergeCell ref="G420:I420"/>
    <mergeCell ref="J420:K420"/>
    <mergeCell ref="M420:N420"/>
    <mergeCell ref="Q420:R420"/>
    <mergeCell ref="D417:E417"/>
    <mergeCell ref="G417:I417"/>
    <mergeCell ref="J417:K417"/>
    <mergeCell ref="M417:N417"/>
    <mergeCell ref="Q417:R417"/>
    <mergeCell ref="D418:E418"/>
    <mergeCell ref="G418:I418"/>
    <mergeCell ref="J418:K418"/>
    <mergeCell ref="M418:N418"/>
    <mergeCell ref="Q418:R418"/>
    <mergeCell ref="D423:E423"/>
    <mergeCell ref="G423:I423"/>
    <mergeCell ref="J423:K423"/>
    <mergeCell ref="M423:N423"/>
    <mergeCell ref="Q423:R423"/>
    <mergeCell ref="D424:E424"/>
    <mergeCell ref="G424:I424"/>
    <mergeCell ref="J424:K424"/>
    <mergeCell ref="M424:N424"/>
    <mergeCell ref="Q424:R424"/>
    <mergeCell ref="D421:E421"/>
    <mergeCell ref="G421:I421"/>
    <mergeCell ref="J421:K421"/>
    <mergeCell ref="M421:N421"/>
    <mergeCell ref="Q421:R421"/>
    <mergeCell ref="D422:E422"/>
    <mergeCell ref="G422:I422"/>
    <mergeCell ref="J422:K422"/>
    <mergeCell ref="M422:N422"/>
    <mergeCell ref="Q422:R422"/>
    <mergeCell ref="A427:G427"/>
    <mergeCell ref="H427:K427"/>
    <mergeCell ref="L427:M427"/>
    <mergeCell ref="N427:P427"/>
    <mergeCell ref="Q427:R427"/>
    <mergeCell ref="A428:G428"/>
    <mergeCell ref="H428:K428"/>
    <mergeCell ref="L428:M428"/>
    <mergeCell ref="N428:P428"/>
    <mergeCell ref="Q428:R428"/>
    <mergeCell ref="D425:E425"/>
    <mergeCell ref="G425:I425"/>
    <mergeCell ref="J425:K425"/>
    <mergeCell ref="M425:N425"/>
    <mergeCell ref="Q425:R425"/>
    <mergeCell ref="D426:E426"/>
    <mergeCell ref="G426:I426"/>
    <mergeCell ref="J426:K426"/>
    <mergeCell ref="M426:N426"/>
    <mergeCell ref="Q426:R426"/>
    <mergeCell ref="D432:E432"/>
    <mergeCell ref="G432:I432"/>
    <mergeCell ref="J432:K432"/>
    <mergeCell ref="M432:N432"/>
    <mergeCell ref="Q432:R432"/>
    <mergeCell ref="D433:E433"/>
    <mergeCell ref="G433:I433"/>
    <mergeCell ref="J433:K433"/>
    <mergeCell ref="M433:N433"/>
    <mergeCell ref="Q433:R433"/>
    <mergeCell ref="A429:R429"/>
    <mergeCell ref="A430:P430"/>
    <mergeCell ref="Q430:R430"/>
    <mergeCell ref="D431:E431"/>
    <mergeCell ref="G431:I431"/>
    <mergeCell ref="J431:K431"/>
    <mergeCell ref="M431:N431"/>
    <mergeCell ref="Q431:R431"/>
    <mergeCell ref="A436:G436"/>
    <mergeCell ref="H436:K436"/>
    <mergeCell ref="L436:M436"/>
    <mergeCell ref="N436:P436"/>
    <mergeCell ref="Q436:R436"/>
    <mergeCell ref="A437:G437"/>
    <mergeCell ref="H437:K437"/>
    <mergeCell ref="L437:M437"/>
    <mergeCell ref="N437:P437"/>
    <mergeCell ref="Q437:R437"/>
    <mergeCell ref="D434:E434"/>
    <mergeCell ref="G434:I434"/>
    <mergeCell ref="J434:K434"/>
    <mergeCell ref="M434:N434"/>
    <mergeCell ref="Q434:R434"/>
    <mergeCell ref="D435:E435"/>
    <mergeCell ref="G435:I435"/>
    <mergeCell ref="J435:K435"/>
    <mergeCell ref="M435:N435"/>
    <mergeCell ref="Q435:R435"/>
    <mergeCell ref="D440:E440"/>
    <mergeCell ref="G440:I440"/>
    <mergeCell ref="J440:K440"/>
    <mergeCell ref="M440:N440"/>
    <mergeCell ref="Q440:R440"/>
    <mergeCell ref="D441:E441"/>
    <mergeCell ref="G441:I441"/>
    <mergeCell ref="J441:K441"/>
    <mergeCell ref="M441:N441"/>
    <mergeCell ref="Q441:R441"/>
    <mergeCell ref="A438:P438"/>
    <mergeCell ref="Q438:R438"/>
    <mergeCell ref="D439:E439"/>
    <mergeCell ref="G439:I439"/>
    <mergeCell ref="J439:K439"/>
    <mergeCell ref="M439:N439"/>
    <mergeCell ref="Q439:R439"/>
    <mergeCell ref="A446:G446"/>
    <mergeCell ref="H446:K446"/>
    <mergeCell ref="L446:M446"/>
    <mergeCell ref="N446:P446"/>
    <mergeCell ref="Q446:R446"/>
    <mergeCell ref="A447:R447"/>
    <mergeCell ref="D444:E444"/>
    <mergeCell ref="G444:I444"/>
    <mergeCell ref="J444:K444"/>
    <mergeCell ref="M444:N444"/>
    <mergeCell ref="Q444:R444"/>
    <mergeCell ref="A445:G445"/>
    <mergeCell ref="H445:K445"/>
    <mergeCell ref="L445:M445"/>
    <mergeCell ref="N445:P445"/>
    <mergeCell ref="Q445:R445"/>
    <mergeCell ref="D442:E442"/>
    <mergeCell ref="G442:I442"/>
    <mergeCell ref="J442:K442"/>
    <mergeCell ref="M442:N442"/>
    <mergeCell ref="Q442:R442"/>
    <mergeCell ref="D443:E443"/>
    <mergeCell ref="G443:I443"/>
    <mergeCell ref="J443:K443"/>
    <mergeCell ref="M443:N443"/>
    <mergeCell ref="Q443:R443"/>
    <mergeCell ref="D450:E450"/>
    <mergeCell ref="G450:I450"/>
    <mergeCell ref="J450:K450"/>
    <mergeCell ref="M450:N450"/>
    <mergeCell ref="Q450:R450"/>
    <mergeCell ref="D451:E451"/>
    <mergeCell ref="G451:I451"/>
    <mergeCell ref="J451:K451"/>
    <mergeCell ref="M451:N451"/>
    <mergeCell ref="Q451:R451"/>
    <mergeCell ref="A448:P448"/>
    <mergeCell ref="Q448:R448"/>
    <mergeCell ref="D449:E449"/>
    <mergeCell ref="G449:I449"/>
    <mergeCell ref="J449:K449"/>
    <mergeCell ref="M449:N449"/>
    <mergeCell ref="Q449:R449"/>
    <mergeCell ref="A456:G456"/>
    <mergeCell ref="H456:K456"/>
    <mergeCell ref="L456:M456"/>
    <mergeCell ref="N456:P456"/>
    <mergeCell ref="Q456:R456"/>
    <mergeCell ref="A457:R457"/>
    <mergeCell ref="D454:E454"/>
    <mergeCell ref="G454:I454"/>
    <mergeCell ref="J454:K454"/>
    <mergeCell ref="M454:N454"/>
    <mergeCell ref="Q454:R454"/>
    <mergeCell ref="A455:G455"/>
    <mergeCell ref="H455:K455"/>
    <mergeCell ref="L455:M455"/>
    <mergeCell ref="N455:P455"/>
    <mergeCell ref="Q455:R455"/>
    <mergeCell ref="D452:E452"/>
    <mergeCell ref="G452:I452"/>
    <mergeCell ref="J452:K452"/>
    <mergeCell ref="M452:N452"/>
    <mergeCell ref="Q452:R452"/>
    <mergeCell ref="D453:E453"/>
    <mergeCell ref="G453:I453"/>
    <mergeCell ref="J453:K453"/>
    <mergeCell ref="M453:N453"/>
    <mergeCell ref="Q453:R453"/>
    <mergeCell ref="D460:E460"/>
    <mergeCell ref="G460:I460"/>
    <mergeCell ref="J460:K460"/>
    <mergeCell ref="M460:N460"/>
    <mergeCell ref="Q460:R460"/>
    <mergeCell ref="D461:E461"/>
    <mergeCell ref="G461:I461"/>
    <mergeCell ref="J461:K461"/>
    <mergeCell ref="M461:N461"/>
    <mergeCell ref="Q461:R461"/>
    <mergeCell ref="A458:P458"/>
    <mergeCell ref="Q458:R458"/>
    <mergeCell ref="D459:E459"/>
    <mergeCell ref="G459:I459"/>
    <mergeCell ref="J459:K459"/>
    <mergeCell ref="M459:N459"/>
    <mergeCell ref="Q459:R459"/>
    <mergeCell ref="A466:G466"/>
    <mergeCell ref="H466:K466"/>
    <mergeCell ref="L466:M466"/>
    <mergeCell ref="N466:P466"/>
    <mergeCell ref="Q466:R466"/>
    <mergeCell ref="A467:R467"/>
    <mergeCell ref="D464:E464"/>
    <mergeCell ref="G464:I464"/>
    <mergeCell ref="J464:K464"/>
    <mergeCell ref="M464:N464"/>
    <mergeCell ref="Q464:R464"/>
    <mergeCell ref="A465:G465"/>
    <mergeCell ref="H465:K465"/>
    <mergeCell ref="L465:M465"/>
    <mergeCell ref="N465:P465"/>
    <mergeCell ref="Q465:R465"/>
    <mergeCell ref="D462:E462"/>
    <mergeCell ref="G462:I462"/>
    <mergeCell ref="J462:K462"/>
    <mergeCell ref="M462:N462"/>
    <mergeCell ref="Q462:R462"/>
    <mergeCell ref="D463:E463"/>
    <mergeCell ref="G463:I463"/>
    <mergeCell ref="J463:K463"/>
    <mergeCell ref="M463:N463"/>
    <mergeCell ref="Q463:R463"/>
    <mergeCell ref="D470:E470"/>
    <mergeCell ref="G470:I470"/>
    <mergeCell ref="J470:K470"/>
    <mergeCell ref="M470:N470"/>
    <mergeCell ref="Q470:R470"/>
    <mergeCell ref="D471:E471"/>
    <mergeCell ref="G471:I471"/>
    <mergeCell ref="J471:K471"/>
    <mergeCell ref="M471:N471"/>
    <mergeCell ref="Q471:R471"/>
    <mergeCell ref="A468:P468"/>
    <mergeCell ref="Q468:R468"/>
    <mergeCell ref="D469:E469"/>
    <mergeCell ref="G469:I469"/>
    <mergeCell ref="J469:K469"/>
    <mergeCell ref="M469:N469"/>
    <mergeCell ref="Q469:R469"/>
    <mergeCell ref="D474:E474"/>
    <mergeCell ref="G474:I474"/>
    <mergeCell ref="J474:K474"/>
    <mergeCell ref="M474:N474"/>
    <mergeCell ref="Q474:R474"/>
    <mergeCell ref="D475:E475"/>
    <mergeCell ref="G475:I475"/>
    <mergeCell ref="J475:K475"/>
    <mergeCell ref="M475:N475"/>
    <mergeCell ref="Q475:R475"/>
    <mergeCell ref="D472:E472"/>
    <mergeCell ref="G472:I472"/>
    <mergeCell ref="J472:K472"/>
    <mergeCell ref="M472:N472"/>
    <mergeCell ref="Q472:R472"/>
    <mergeCell ref="D473:E473"/>
    <mergeCell ref="G473:I473"/>
    <mergeCell ref="J473:K473"/>
    <mergeCell ref="M473:N473"/>
    <mergeCell ref="Q473:R473"/>
    <mergeCell ref="A478:R478"/>
    <mergeCell ref="A479:P479"/>
    <mergeCell ref="Q479:R479"/>
    <mergeCell ref="D480:E480"/>
    <mergeCell ref="G480:I480"/>
    <mergeCell ref="J480:K480"/>
    <mergeCell ref="M480:N480"/>
    <mergeCell ref="Q480:R480"/>
    <mergeCell ref="A476:G476"/>
    <mergeCell ref="H476:K476"/>
    <mergeCell ref="L476:M476"/>
    <mergeCell ref="N476:P476"/>
    <mergeCell ref="Q476:R476"/>
    <mergeCell ref="A477:G477"/>
    <mergeCell ref="H477:K477"/>
    <mergeCell ref="L477:M477"/>
    <mergeCell ref="N477:P477"/>
    <mergeCell ref="Q477:R477"/>
    <mergeCell ref="D483:E483"/>
    <mergeCell ref="G483:I483"/>
    <mergeCell ref="J483:K483"/>
    <mergeCell ref="M483:N483"/>
    <mergeCell ref="Q483:R483"/>
    <mergeCell ref="D484:E484"/>
    <mergeCell ref="G484:I484"/>
    <mergeCell ref="J484:K484"/>
    <mergeCell ref="M484:N484"/>
    <mergeCell ref="Q484:R484"/>
    <mergeCell ref="D481:E481"/>
    <mergeCell ref="G481:I481"/>
    <mergeCell ref="J481:K481"/>
    <mergeCell ref="M481:N481"/>
    <mergeCell ref="Q481:R481"/>
    <mergeCell ref="D482:E482"/>
    <mergeCell ref="G482:I482"/>
    <mergeCell ref="J482:K482"/>
    <mergeCell ref="M482:N482"/>
    <mergeCell ref="Q482:R482"/>
    <mergeCell ref="A487:G487"/>
    <mergeCell ref="H487:K487"/>
    <mergeCell ref="L487:M487"/>
    <mergeCell ref="N487:P487"/>
    <mergeCell ref="Q487:R487"/>
    <mergeCell ref="D488:E488"/>
    <mergeCell ref="H488:I488"/>
    <mergeCell ref="J488:K488"/>
    <mergeCell ref="Q488:R488"/>
    <mergeCell ref="A485:G485"/>
    <mergeCell ref="H485:K485"/>
    <mergeCell ref="L485:M485"/>
    <mergeCell ref="N485:P485"/>
    <mergeCell ref="Q485:R485"/>
    <mergeCell ref="A486:G486"/>
    <mergeCell ref="H486:K486"/>
    <mergeCell ref="L486:M486"/>
    <mergeCell ref="N486:P486"/>
    <mergeCell ref="Q486:R486"/>
    <mergeCell ref="D491:E491"/>
    <mergeCell ref="G491:I491"/>
    <mergeCell ref="J491:K491"/>
    <mergeCell ref="M491:N491"/>
    <mergeCell ref="Q491:R491"/>
    <mergeCell ref="D492:E492"/>
    <mergeCell ref="G492:I492"/>
    <mergeCell ref="J492:K492"/>
    <mergeCell ref="M492:N492"/>
    <mergeCell ref="Q492:R492"/>
    <mergeCell ref="D489:E489"/>
    <mergeCell ref="G489:I489"/>
    <mergeCell ref="J489:K489"/>
    <mergeCell ref="M489:N489"/>
    <mergeCell ref="Q489:R489"/>
    <mergeCell ref="D490:E490"/>
    <mergeCell ref="G490:I490"/>
    <mergeCell ref="J490:K490"/>
    <mergeCell ref="M490:N490"/>
    <mergeCell ref="Q490:R490"/>
    <mergeCell ref="A495:P495"/>
    <mergeCell ref="Q495:R495"/>
    <mergeCell ref="D496:E496"/>
    <mergeCell ref="G496:I496"/>
    <mergeCell ref="J496:K496"/>
    <mergeCell ref="M496:N496"/>
    <mergeCell ref="Q496:R496"/>
    <mergeCell ref="A493:G493"/>
    <mergeCell ref="H493:K493"/>
    <mergeCell ref="L493:M493"/>
    <mergeCell ref="N493:P493"/>
    <mergeCell ref="Q493:R493"/>
    <mergeCell ref="A494:G494"/>
    <mergeCell ref="H494:K494"/>
    <mergeCell ref="L494:M494"/>
    <mergeCell ref="N494:P494"/>
    <mergeCell ref="Q494:R494"/>
    <mergeCell ref="D499:E499"/>
    <mergeCell ref="G499:I499"/>
    <mergeCell ref="J499:K499"/>
    <mergeCell ref="M499:N499"/>
    <mergeCell ref="Q499:R499"/>
    <mergeCell ref="D500:E500"/>
    <mergeCell ref="G500:I500"/>
    <mergeCell ref="J500:K500"/>
    <mergeCell ref="M500:N500"/>
    <mergeCell ref="Q500:R500"/>
    <mergeCell ref="D497:E497"/>
    <mergeCell ref="G497:I497"/>
    <mergeCell ref="J497:K497"/>
    <mergeCell ref="M497:N497"/>
    <mergeCell ref="Q497:R497"/>
    <mergeCell ref="D498:E498"/>
    <mergeCell ref="G498:I498"/>
    <mergeCell ref="J498:K498"/>
    <mergeCell ref="M498:N498"/>
    <mergeCell ref="Q498:R498"/>
    <mergeCell ref="A505:P505"/>
    <mergeCell ref="Q505:R505"/>
    <mergeCell ref="D506:E506"/>
    <mergeCell ref="G506:I506"/>
    <mergeCell ref="J506:K506"/>
    <mergeCell ref="M506:N506"/>
    <mergeCell ref="Q506:R506"/>
    <mergeCell ref="D503:E503"/>
    <mergeCell ref="G503:I503"/>
    <mergeCell ref="J503:K503"/>
    <mergeCell ref="M503:N503"/>
    <mergeCell ref="Q503:R503"/>
    <mergeCell ref="A504:R504"/>
    <mergeCell ref="D501:E501"/>
    <mergeCell ref="G501:I501"/>
    <mergeCell ref="J501:K501"/>
    <mergeCell ref="M501:N501"/>
    <mergeCell ref="Q501:R501"/>
    <mergeCell ref="D502:E502"/>
    <mergeCell ref="G502:I502"/>
    <mergeCell ref="J502:K502"/>
    <mergeCell ref="M502:N502"/>
    <mergeCell ref="Q502:R502"/>
    <mergeCell ref="D509:E509"/>
    <mergeCell ref="G509:I509"/>
    <mergeCell ref="J509:K509"/>
    <mergeCell ref="M509:N509"/>
    <mergeCell ref="Q509:R509"/>
    <mergeCell ref="D510:E510"/>
    <mergeCell ref="G510:I510"/>
    <mergeCell ref="J510:K510"/>
    <mergeCell ref="M510:N510"/>
    <mergeCell ref="Q510:R510"/>
    <mergeCell ref="D507:E507"/>
    <mergeCell ref="G507:I507"/>
    <mergeCell ref="J507:K507"/>
    <mergeCell ref="M507:N507"/>
    <mergeCell ref="Q507:R507"/>
    <mergeCell ref="D508:E508"/>
    <mergeCell ref="G508:I508"/>
    <mergeCell ref="J508:K508"/>
    <mergeCell ref="M508:N508"/>
    <mergeCell ref="Q508:R508"/>
    <mergeCell ref="A513:R513"/>
    <mergeCell ref="A514:P514"/>
    <mergeCell ref="Q514:R514"/>
    <mergeCell ref="D515:E515"/>
    <mergeCell ref="G515:I515"/>
    <mergeCell ref="J515:K515"/>
    <mergeCell ref="M515:N515"/>
    <mergeCell ref="Q515:R515"/>
    <mergeCell ref="A511:G511"/>
    <mergeCell ref="H511:K511"/>
    <mergeCell ref="L511:M511"/>
    <mergeCell ref="N511:P511"/>
    <mergeCell ref="Q511:R511"/>
    <mergeCell ref="A512:G512"/>
    <mergeCell ref="H512:K512"/>
    <mergeCell ref="L512:M512"/>
    <mergeCell ref="N512:P512"/>
    <mergeCell ref="Q512:R512"/>
    <mergeCell ref="D518:E518"/>
    <mergeCell ref="G518:I518"/>
    <mergeCell ref="J518:K518"/>
    <mergeCell ref="M518:N518"/>
    <mergeCell ref="Q518:R518"/>
    <mergeCell ref="D519:E519"/>
    <mergeCell ref="G519:I519"/>
    <mergeCell ref="J519:K519"/>
    <mergeCell ref="M519:N519"/>
    <mergeCell ref="Q519:R519"/>
    <mergeCell ref="D516:E516"/>
    <mergeCell ref="G516:I516"/>
    <mergeCell ref="J516:K516"/>
    <mergeCell ref="M516:N516"/>
    <mergeCell ref="Q516:R516"/>
    <mergeCell ref="D517:E517"/>
    <mergeCell ref="G517:I517"/>
    <mergeCell ref="J517:K517"/>
    <mergeCell ref="M517:N517"/>
    <mergeCell ref="Q517:R517"/>
    <mergeCell ref="A524:P524"/>
    <mergeCell ref="Q524:R524"/>
    <mergeCell ref="D525:E525"/>
    <mergeCell ref="G525:I525"/>
    <mergeCell ref="J525:K525"/>
    <mergeCell ref="M525:N525"/>
    <mergeCell ref="Q525:R525"/>
    <mergeCell ref="A522:G522"/>
    <mergeCell ref="H522:K522"/>
    <mergeCell ref="L522:M522"/>
    <mergeCell ref="N522:P522"/>
    <mergeCell ref="Q522:R522"/>
    <mergeCell ref="A523:R523"/>
    <mergeCell ref="D520:E520"/>
    <mergeCell ref="G520:I520"/>
    <mergeCell ref="J520:K520"/>
    <mergeCell ref="M520:N520"/>
    <mergeCell ref="Q520:R520"/>
    <mergeCell ref="A521:G521"/>
    <mergeCell ref="H521:K521"/>
    <mergeCell ref="L521:M521"/>
    <mergeCell ref="N521:P521"/>
    <mergeCell ref="Q521:R521"/>
    <mergeCell ref="D528:E528"/>
    <mergeCell ref="G528:I528"/>
    <mergeCell ref="J528:K528"/>
    <mergeCell ref="M528:N528"/>
    <mergeCell ref="Q528:R528"/>
    <mergeCell ref="D529:E529"/>
    <mergeCell ref="G529:I529"/>
    <mergeCell ref="J529:K529"/>
    <mergeCell ref="M529:N529"/>
    <mergeCell ref="Q529:R529"/>
    <mergeCell ref="D526:E526"/>
    <mergeCell ref="G526:I526"/>
    <mergeCell ref="J526:K526"/>
    <mergeCell ref="M526:N526"/>
    <mergeCell ref="Q526:R526"/>
    <mergeCell ref="D527:E527"/>
    <mergeCell ref="G527:I527"/>
    <mergeCell ref="J527:K527"/>
    <mergeCell ref="M527:N527"/>
    <mergeCell ref="Q527:R527"/>
    <mergeCell ref="A532:P532"/>
    <mergeCell ref="Q532:R532"/>
    <mergeCell ref="D533:E533"/>
    <mergeCell ref="G533:I533"/>
    <mergeCell ref="J533:K533"/>
    <mergeCell ref="M533:N533"/>
    <mergeCell ref="Q533:R533"/>
    <mergeCell ref="A530:G530"/>
    <mergeCell ref="H530:K530"/>
    <mergeCell ref="L530:M530"/>
    <mergeCell ref="N530:P530"/>
    <mergeCell ref="Q530:R530"/>
    <mergeCell ref="A531:G531"/>
    <mergeCell ref="H531:K531"/>
    <mergeCell ref="L531:M531"/>
    <mergeCell ref="N531:P531"/>
    <mergeCell ref="Q531:R531"/>
    <mergeCell ref="D536:E536"/>
    <mergeCell ref="G536:I536"/>
    <mergeCell ref="J536:K536"/>
    <mergeCell ref="M536:N536"/>
    <mergeCell ref="Q536:R536"/>
    <mergeCell ref="D537:E537"/>
    <mergeCell ref="G537:I537"/>
    <mergeCell ref="J537:K537"/>
    <mergeCell ref="M537:N537"/>
    <mergeCell ref="Q537:R537"/>
    <mergeCell ref="D534:E534"/>
    <mergeCell ref="G534:I534"/>
    <mergeCell ref="J534:K534"/>
    <mergeCell ref="M534:N534"/>
    <mergeCell ref="Q534:R534"/>
    <mergeCell ref="D535:E535"/>
    <mergeCell ref="G535:I535"/>
    <mergeCell ref="J535:K535"/>
    <mergeCell ref="M535:N535"/>
    <mergeCell ref="Q535:R535"/>
    <mergeCell ref="D541:E541"/>
    <mergeCell ref="G541:I541"/>
    <mergeCell ref="J541:K541"/>
    <mergeCell ref="M541:N541"/>
    <mergeCell ref="Q541:R541"/>
    <mergeCell ref="D542:E542"/>
    <mergeCell ref="G542:I542"/>
    <mergeCell ref="J542:K542"/>
    <mergeCell ref="M542:N542"/>
    <mergeCell ref="Q542:R542"/>
    <mergeCell ref="A538:R538"/>
    <mergeCell ref="A539:P539"/>
    <mergeCell ref="Q539:R539"/>
    <mergeCell ref="D540:E540"/>
    <mergeCell ref="G540:I540"/>
    <mergeCell ref="J540:K540"/>
    <mergeCell ref="M540:N540"/>
    <mergeCell ref="Q540:R540"/>
    <mergeCell ref="A545:G545"/>
    <mergeCell ref="H545:K545"/>
    <mergeCell ref="L545:M545"/>
    <mergeCell ref="N545:P545"/>
    <mergeCell ref="Q545:R545"/>
    <mergeCell ref="A546:G546"/>
    <mergeCell ref="H546:K546"/>
    <mergeCell ref="L546:M546"/>
    <mergeCell ref="N546:P546"/>
    <mergeCell ref="Q546:R546"/>
    <mergeCell ref="D543:E543"/>
    <mergeCell ref="G543:I543"/>
    <mergeCell ref="J543:K543"/>
    <mergeCell ref="M543:N543"/>
    <mergeCell ref="Q543:R543"/>
    <mergeCell ref="D544:E544"/>
    <mergeCell ref="G544:I544"/>
    <mergeCell ref="J544:K544"/>
    <mergeCell ref="M544:N544"/>
    <mergeCell ref="Q544:R544"/>
    <mergeCell ref="D549:E549"/>
    <mergeCell ref="G549:I549"/>
    <mergeCell ref="J549:K549"/>
    <mergeCell ref="M549:N549"/>
    <mergeCell ref="Q549:R549"/>
    <mergeCell ref="D550:E550"/>
    <mergeCell ref="G550:I550"/>
    <mergeCell ref="J550:K550"/>
    <mergeCell ref="M550:N550"/>
    <mergeCell ref="Q550:R550"/>
    <mergeCell ref="A547:P547"/>
    <mergeCell ref="Q547:R547"/>
    <mergeCell ref="D548:E548"/>
    <mergeCell ref="G548:I548"/>
    <mergeCell ref="J548:K548"/>
    <mergeCell ref="M548:N548"/>
    <mergeCell ref="Q548:R548"/>
    <mergeCell ref="A553:R553"/>
    <mergeCell ref="A554:P554"/>
    <mergeCell ref="Q554:R554"/>
    <mergeCell ref="D555:E555"/>
    <mergeCell ref="G555:I555"/>
    <mergeCell ref="J555:K555"/>
    <mergeCell ref="M555:N555"/>
    <mergeCell ref="Q555:R555"/>
    <mergeCell ref="D551:E551"/>
    <mergeCell ref="G551:I551"/>
    <mergeCell ref="J551:K551"/>
    <mergeCell ref="M551:N551"/>
    <mergeCell ref="Q551:R551"/>
    <mergeCell ref="D552:E552"/>
    <mergeCell ref="G552:I552"/>
    <mergeCell ref="J552:K552"/>
    <mergeCell ref="M552:N552"/>
    <mergeCell ref="Q552:R552"/>
    <mergeCell ref="D558:E558"/>
    <mergeCell ref="G558:I558"/>
    <mergeCell ref="J558:K558"/>
    <mergeCell ref="M558:N558"/>
    <mergeCell ref="Q558:R558"/>
    <mergeCell ref="D559:E559"/>
    <mergeCell ref="G559:I559"/>
    <mergeCell ref="J559:K559"/>
    <mergeCell ref="M559:N559"/>
    <mergeCell ref="Q559:R559"/>
    <mergeCell ref="D556:E556"/>
    <mergeCell ref="G556:I556"/>
    <mergeCell ref="J556:K556"/>
    <mergeCell ref="M556:N556"/>
    <mergeCell ref="Q556:R556"/>
    <mergeCell ref="D557:E557"/>
    <mergeCell ref="G557:I557"/>
    <mergeCell ref="J557:K557"/>
    <mergeCell ref="M557:N557"/>
    <mergeCell ref="Q557:R557"/>
    <mergeCell ref="A562:R562"/>
    <mergeCell ref="A563:P563"/>
    <mergeCell ref="Q563:R563"/>
    <mergeCell ref="D564:E564"/>
    <mergeCell ref="G564:I564"/>
    <mergeCell ref="J564:K564"/>
    <mergeCell ref="M564:N564"/>
    <mergeCell ref="Q564:R564"/>
    <mergeCell ref="A560:G560"/>
    <mergeCell ref="H560:K560"/>
    <mergeCell ref="L560:M560"/>
    <mergeCell ref="N560:P560"/>
    <mergeCell ref="Q560:R560"/>
    <mergeCell ref="A561:G561"/>
    <mergeCell ref="H561:K561"/>
    <mergeCell ref="L561:M561"/>
    <mergeCell ref="N561:P561"/>
    <mergeCell ref="Q561:R561"/>
    <mergeCell ref="D567:E567"/>
    <mergeCell ref="G567:I567"/>
    <mergeCell ref="J567:K567"/>
    <mergeCell ref="M567:N567"/>
    <mergeCell ref="Q567:R567"/>
    <mergeCell ref="D568:E568"/>
    <mergeCell ref="G568:I568"/>
    <mergeCell ref="J568:K568"/>
    <mergeCell ref="M568:N568"/>
    <mergeCell ref="Q568:R568"/>
    <mergeCell ref="D565:E565"/>
    <mergeCell ref="G565:I565"/>
    <mergeCell ref="J565:K565"/>
    <mergeCell ref="M565:N565"/>
    <mergeCell ref="Q565:R565"/>
    <mergeCell ref="D566:E566"/>
    <mergeCell ref="G566:I566"/>
    <mergeCell ref="J566:K566"/>
    <mergeCell ref="M566:N566"/>
    <mergeCell ref="Q566:R566"/>
    <mergeCell ref="A573:P573"/>
    <mergeCell ref="Q573:R573"/>
    <mergeCell ref="D574:E574"/>
    <mergeCell ref="G574:I574"/>
    <mergeCell ref="J574:K574"/>
    <mergeCell ref="M574:N574"/>
    <mergeCell ref="Q574:R574"/>
    <mergeCell ref="A571:G571"/>
    <mergeCell ref="H571:K571"/>
    <mergeCell ref="L571:M571"/>
    <mergeCell ref="N571:P571"/>
    <mergeCell ref="Q571:R571"/>
    <mergeCell ref="A572:R572"/>
    <mergeCell ref="D569:E569"/>
    <mergeCell ref="G569:I569"/>
    <mergeCell ref="J569:K569"/>
    <mergeCell ref="M569:N569"/>
    <mergeCell ref="Q569:R569"/>
    <mergeCell ref="A570:G570"/>
    <mergeCell ref="H570:K570"/>
    <mergeCell ref="L570:M570"/>
    <mergeCell ref="N570:P570"/>
    <mergeCell ref="Q570:R570"/>
    <mergeCell ref="D577:E577"/>
    <mergeCell ref="G577:I577"/>
    <mergeCell ref="J577:K577"/>
    <mergeCell ref="M577:N577"/>
    <mergeCell ref="Q577:R577"/>
    <mergeCell ref="D578:E578"/>
    <mergeCell ref="G578:I578"/>
    <mergeCell ref="J578:K578"/>
    <mergeCell ref="M578:N578"/>
    <mergeCell ref="Q578:R578"/>
    <mergeCell ref="D575:E575"/>
    <mergeCell ref="G575:I575"/>
    <mergeCell ref="J575:K575"/>
    <mergeCell ref="M575:N575"/>
    <mergeCell ref="Q575:R575"/>
    <mergeCell ref="D576:E576"/>
    <mergeCell ref="G576:I576"/>
    <mergeCell ref="J576:K576"/>
    <mergeCell ref="M576:N576"/>
    <mergeCell ref="Q576:R576"/>
    <mergeCell ref="A583:G583"/>
    <mergeCell ref="H583:K583"/>
    <mergeCell ref="L583:M583"/>
    <mergeCell ref="N583:P583"/>
    <mergeCell ref="Q583:R583"/>
    <mergeCell ref="A584:R584"/>
    <mergeCell ref="D581:E581"/>
    <mergeCell ref="G581:I581"/>
    <mergeCell ref="J581:K581"/>
    <mergeCell ref="M581:N581"/>
    <mergeCell ref="Q581:R581"/>
    <mergeCell ref="A582:G582"/>
    <mergeCell ref="H582:K582"/>
    <mergeCell ref="L582:M582"/>
    <mergeCell ref="N582:P582"/>
    <mergeCell ref="Q582:R582"/>
    <mergeCell ref="D579:E579"/>
    <mergeCell ref="G579:I579"/>
    <mergeCell ref="J579:K579"/>
    <mergeCell ref="M579:N579"/>
    <mergeCell ref="Q579:R579"/>
    <mergeCell ref="D580:E580"/>
    <mergeCell ref="G580:I580"/>
    <mergeCell ref="J580:K580"/>
    <mergeCell ref="M580:N580"/>
    <mergeCell ref="Q580:R580"/>
    <mergeCell ref="D587:E587"/>
    <mergeCell ref="G587:I587"/>
    <mergeCell ref="J587:K587"/>
    <mergeCell ref="M587:N587"/>
    <mergeCell ref="Q587:R587"/>
    <mergeCell ref="D588:E588"/>
    <mergeCell ref="G588:I588"/>
    <mergeCell ref="J588:K588"/>
    <mergeCell ref="M588:N588"/>
    <mergeCell ref="Q588:R588"/>
    <mergeCell ref="A585:P585"/>
    <mergeCell ref="Q585:R585"/>
    <mergeCell ref="D586:E586"/>
    <mergeCell ref="G586:I586"/>
    <mergeCell ref="J586:K586"/>
    <mergeCell ref="M586:N586"/>
    <mergeCell ref="Q586:R586"/>
    <mergeCell ref="D591:E591"/>
    <mergeCell ref="G591:I591"/>
    <mergeCell ref="J591:K591"/>
    <mergeCell ref="M591:N591"/>
    <mergeCell ref="Q591:R591"/>
    <mergeCell ref="D592:E592"/>
    <mergeCell ref="G592:I592"/>
    <mergeCell ref="J592:K592"/>
    <mergeCell ref="M592:N592"/>
    <mergeCell ref="Q592:R592"/>
    <mergeCell ref="D589:E589"/>
    <mergeCell ref="G589:I589"/>
    <mergeCell ref="J589:K589"/>
    <mergeCell ref="M589:N589"/>
    <mergeCell ref="Q589:R589"/>
    <mergeCell ref="D590:E590"/>
    <mergeCell ref="G590:I590"/>
    <mergeCell ref="J590:K590"/>
    <mergeCell ref="M590:N590"/>
    <mergeCell ref="Q590:R590"/>
    <mergeCell ref="A597:P597"/>
    <mergeCell ref="Q597:R597"/>
    <mergeCell ref="D598:E598"/>
    <mergeCell ref="G598:I598"/>
    <mergeCell ref="J598:K598"/>
    <mergeCell ref="M598:N598"/>
    <mergeCell ref="Q598:R598"/>
    <mergeCell ref="A595:G595"/>
    <mergeCell ref="H595:K595"/>
    <mergeCell ref="L595:M595"/>
    <mergeCell ref="N595:P595"/>
    <mergeCell ref="Q595:R595"/>
    <mergeCell ref="A596:R596"/>
    <mergeCell ref="D593:E593"/>
    <mergeCell ref="G593:I593"/>
    <mergeCell ref="J593:K593"/>
    <mergeCell ref="M593:N593"/>
    <mergeCell ref="Q593:R593"/>
    <mergeCell ref="A594:G594"/>
    <mergeCell ref="H594:K594"/>
    <mergeCell ref="L594:M594"/>
    <mergeCell ref="N594:P594"/>
    <mergeCell ref="Q594:R594"/>
    <mergeCell ref="D601:E601"/>
    <mergeCell ref="G601:I601"/>
    <mergeCell ref="J601:K601"/>
    <mergeCell ref="M601:N601"/>
    <mergeCell ref="Q601:R601"/>
    <mergeCell ref="D602:E602"/>
    <mergeCell ref="G602:I602"/>
    <mergeCell ref="J602:K602"/>
    <mergeCell ref="M602:N602"/>
    <mergeCell ref="Q602:R602"/>
    <mergeCell ref="D599:E599"/>
    <mergeCell ref="G599:I599"/>
    <mergeCell ref="J599:K599"/>
    <mergeCell ref="M599:N599"/>
    <mergeCell ref="Q599:R599"/>
    <mergeCell ref="D600:E600"/>
    <mergeCell ref="G600:I600"/>
    <mergeCell ref="J600:K600"/>
    <mergeCell ref="M600:N600"/>
    <mergeCell ref="Q600:R600"/>
    <mergeCell ref="A607:G607"/>
    <mergeCell ref="H607:K607"/>
    <mergeCell ref="L607:M607"/>
    <mergeCell ref="N607:P607"/>
    <mergeCell ref="Q607:R607"/>
    <mergeCell ref="A608:R608"/>
    <mergeCell ref="D605:E605"/>
    <mergeCell ref="G605:I605"/>
    <mergeCell ref="J605:K605"/>
    <mergeCell ref="M605:N605"/>
    <mergeCell ref="Q605:R605"/>
    <mergeCell ref="A606:G606"/>
    <mergeCell ref="H606:K606"/>
    <mergeCell ref="L606:M606"/>
    <mergeCell ref="N606:P606"/>
    <mergeCell ref="Q606:R606"/>
    <mergeCell ref="D603:E603"/>
    <mergeCell ref="G603:I603"/>
    <mergeCell ref="J603:K603"/>
    <mergeCell ref="M603:N603"/>
    <mergeCell ref="Q603:R603"/>
    <mergeCell ref="D604:E604"/>
    <mergeCell ref="G604:I604"/>
    <mergeCell ref="J604:K604"/>
    <mergeCell ref="M604:N604"/>
    <mergeCell ref="Q604:R604"/>
    <mergeCell ref="D611:E611"/>
    <mergeCell ref="G611:I611"/>
    <mergeCell ref="J611:K611"/>
    <mergeCell ref="M611:N611"/>
    <mergeCell ref="Q611:R611"/>
    <mergeCell ref="D612:E612"/>
    <mergeCell ref="G612:I612"/>
    <mergeCell ref="J612:K612"/>
    <mergeCell ref="M612:N612"/>
    <mergeCell ref="Q612:R612"/>
    <mergeCell ref="A609:P609"/>
    <mergeCell ref="Q609:R609"/>
    <mergeCell ref="D610:E610"/>
    <mergeCell ref="G610:I610"/>
    <mergeCell ref="J610:K610"/>
    <mergeCell ref="M610:N610"/>
    <mergeCell ref="Q610:R610"/>
    <mergeCell ref="D615:E615"/>
    <mergeCell ref="G615:I615"/>
    <mergeCell ref="J615:K615"/>
    <mergeCell ref="M615:N615"/>
    <mergeCell ref="Q615:R615"/>
    <mergeCell ref="D616:E616"/>
    <mergeCell ref="G616:I616"/>
    <mergeCell ref="J616:K616"/>
    <mergeCell ref="M616:N616"/>
    <mergeCell ref="Q616:R616"/>
    <mergeCell ref="D613:E613"/>
    <mergeCell ref="G613:I613"/>
    <mergeCell ref="J613:K613"/>
    <mergeCell ref="M613:N613"/>
    <mergeCell ref="Q613:R613"/>
    <mergeCell ref="D614:E614"/>
    <mergeCell ref="G614:I614"/>
    <mergeCell ref="J614:K614"/>
    <mergeCell ref="M614:N614"/>
    <mergeCell ref="Q614:R614"/>
    <mergeCell ref="A621:P621"/>
    <mergeCell ref="Q621:R621"/>
    <mergeCell ref="D622:E622"/>
    <mergeCell ref="G622:I622"/>
    <mergeCell ref="J622:K622"/>
    <mergeCell ref="M622:N622"/>
    <mergeCell ref="Q622:R622"/>
    <mergeCell ref="A619:G619"/>
    <mergeCell ref="H619:K619"/>
    <mergeCell ref="L619:M619"/>
    <mergeCell ref="N619:P619"/>
    <mergeCell ref="Q619:R619"/>
    <mergeCell ref="A620:R620"/>
    <mergeCell ref="D617:E617"/>
    <mergeCell ref="G617:I617"/>
    <mergeCell ref="J617:K617"/>
    <mergeCell ref="M617:N617"/>
    <mergeCell ref="Q617:R617"/>
    <mergeCell ref="A618:G618"/>
    <mergeCell ref="H618:K618"/>
    <mergeCell ref="L618:M618"/>
    <mergeCell ref="N618:P618"/>
    <mergeCell ref="Q618:R618"/>
    <mergeCell ref="D625:E625"/>
    <mergeCell ref="G625:I625"/>
    <mergeCell ref="J625:K625"/>
    <mergeCell ref="M625:N625"/>
    <mergeCell ref="Q625:R625"/>
    <mergeCell ref="D626:E626"/>
    <mergeCell ref="G626:I626"/>
    <mergeCell ref="J626:K626"/>
    <mergeCell ref="M626:N626"/>
    <mergeCell ref="Q626:R626"/>
    <mergeCell ref="D623:E623"/>
    <mergeCell ref="G623:I623"/>
    <mergeCell ref="J623:K623"/>
    <mergeCell ref="M623:N623"/>
    <mergeCell ref="Q623:R623"/>
    <mergeCell ref="D624:E624"/>
    <mergeCell ref="G624:I624"/>
    <mergeCell ref="J624:K624"/>
    <mergeCell ref="M624:N624"/>
    <mergeCell ref="Q624:R624"/>
    <mergeCell ref="D629:E629"/>
    <mergeCell ref="G629:I629"/>
    <mergeCell ref="J629:K629"/>
    <mergeCell ref="M629:N629"/>
    <mergeCell ref="Q629:R629"/>
    <mergeCell ref="D630:E630"/>
    <mergeCell ref="G630:I630"/>
    <mergeCell ref="J630:K630"/>
    <mergeCell ref="M630:N630"/>
    <mergeCell ref="Q630:R630"/>
    <mergeCell ref="D627:E627"/>
    <mergeCell ref="G627:I627"/>
    <mergeCell ref="J627:K627"/>
    <mergeCell ref="M627:N627"/>
    <mergeCell ref="Q627:R627"/>
    <mergeCell ref="D628:E628"/>
    <mergeCell ref="G628:I628"/>
    <mergeCell ref="J628:K628"/>
    <mergeCell ref="M628:N628"/>
    <mergeCell ref="Q628:R628"/>
    <mergeCell ref="A633:R633"/>
    <mergeCell ref="A634:P634"/>
    <mergeCell ref="Q634:R634"/>
    <mergeCell ref="D635:E635"/>
    <mergeCell ref="G635:I635"/>
    <mergeCell ref="J635:K635"/>
    <mergeCell ref="M635:N635"/>
    <mergeCell ref="Q635:R635"/>
    <mergeCell ref="A631:G631"/>
    <mergeCell ref="H631:K631"/>
    <mergeCell ref="L631:M631"/>
    <mergeCell ref="N631:P631"/>
    <mergeCell ref="Q631:R631"/>
    <mergeCell ref="A632:G632"/>
    <mergeCell ref="H632:K632"/>
    <mergeCell ref="L632:M632"/>
    <mergeCell ref="N632:P632"/>
    <mergeCell ref="Q632:R632"/>
    <mergeCell ref="D638:E638"/>
    <mergeCell ref="G638:I638"/>
    <mergeCell ref="J638:K638"/>
    <mergeCell ref="M638:N638"/>
    <mergeCell ref="Q638:R638"/>
    <mergeCell ref="D639:E639"/>
    <mergeCell ref="G639:I639"/>
    <mergeCell ref="J639:K639"/>
    <mergeCell ref="M639:N639"/>
    <mergeCell ref="Q639:R639"/>
    <mergeCell ref="D636:E636"/>
    <mergeCell ref="G636:I636"/>
    <mergeCell ref="J636:K636"/>
    <mergeCell ref="M636:N636"/>
    <mergeCell ref="Q636:R636"/>
    <mergeCell ref="D637:E637"/>
    <mergeCell ref="G637:I637"/>
    <mergeCell ref="J637:K637"/>
    <mergeCell ref="M637:N637"/>
    <mergeCell ref="Q637:R637"/>
    <mergeCell ref="D642:E642"/>
    <mergeCell ref="G642:I642"/>
    <mergeCell ref="J642:K642"/>
    <mergeCell ref="M642:N642"/>
    <mergeCell ref="Q642:R642"/>
    <mergeCell ref="D643:E643"/>
    <mergeCell ref="G643:I643"/>
    <mergeCell ref="J643:K643"/>
    <mergeCell ref="M643:N643"/>
    <mergeCell ref="Q643:R643"/>
    <mergeCell ref="D640:E640"/>
    <mergeCell ref="G640:I640"/>
    <mergeCell ref="J640:K640"/>
    <mergeCell ref="M640:N640"/>
    <mergeCell ref="Q640:R640"/>
    <mergeCell ref="D641:E641"/>
    <mergeCell ref="G641:I641"/>
    <mergeCell ref="J641:K641"/>
    <mergeCell ref="M641:N641"/>
    <mergeCell ref="Q641:R641"/>
    <mergeCell ref="A646:R646"/>
    <mergeCell ref="A647:P647"/>
    <mergeCell ref="Q647:R647"/>
    <mergeCell ref="D648:E648"/>
    <mergeCell ref="G648:I648"/>
    <mergeCell ref="J648:K648"/>
    <mergeCell ref="M648:N648"/>
    <mergeCell ref="Q648:R648"/>
    <mergeCell ref="A644:G644"/>
    <mergeCell ref="H644:K644"/>
    <mergeCell ref="L644:M644"/>
    <mergeCell ref="N644:P644"/>
    <mergeCell ref="Q644:R644"/>
    <mergeCell ref="A645:G645"/>
    <mergeCell ref="H645:K645"/>
    <mergeCell ref="L645:M645"/>
    <mergeCell ref="N645:P645"/>
    <mergeCell ref="Q645:R645"/>
    <mergeCell ref="D651:E651"/>
    <mergeCell ref="G651:I651"/>
    <mergeCell ref="J651:K651"/>
    <mergeCell ref="M651:N651"/>
    <mergeCell ref="Q651:R651"/>
    <mergeCell ref="D652:E652"/>
    <mergeCell ref="G652:I652"/>
    <mergeCell ref="J652:K652"/>
    <mergeCell ref="M652:N652"/>
    <mergeCell ref="Q652:R652"/>
    <mergeCell ref="D649:E649"/>
    <mergeCell ref="G649:I649"/>
    <mergeCell ref="J649:K649"/>
    <mergeCell ref="M649:N649"/>
    <mergeCell ref="Q649:R649"/>
    <mergeCell ref="D650:E650"/>
    <mergeCell ref="G650:I650"/>
    <mergeCell ref="J650:K650"/>
    <mergeCell ref="M650:N650"/>
    <mergeCell ref="Q650:R650"/>
    <mergeCell ref="A655:G655"/>
    <mergeCell ref="H655:K655"/>
    <mergeCell ref="L655:M655"/>
    <mergeCell ref="N655:P655"/>
    <mergeCell ref="Q655:R655"/>
    <mergeCell ref="A656:G656"/>
    <mergeCell ref="H656:K656"/>
    <mergeCell ref="L656:M656"/>
    <mergeCell ref="N656:P656"/>
    <mergeCell ref="Q656:R656"/>
    <mergeCell ref="D653:E653"/>
    <mergeCell ref="G653:I653"/>
    <mergeCell ref="J653:K653"/>
    <mergeCell ref="M653:N653"/>
    <mergeCell ref="Q653:R653"/>
    <mergeCell ref="D654:E654"/>
    <mergeCell ref="G654:I654"/>
    <mergeCell ref="J654:K654"/>
    <mergeCell ref="M654:N654"/>
    <mergeCell ref="Q654:R654"/>
    <mergeCell ref="D660:E660"/>
    <mergeCell ref="G660:I660"/>
    <mergeCell ref="J660:K660"/>
    <mergeCell ref="M660:N660"/>
    <mergeCell ref="Q660:R660"/>
    <mergeCell ref="D661:E661"/>
    <mergeCell ref="G661:I661"/>
    <mergeCell ref="J661:K661"/>
    <mergeCell ref="M661:N661"/>
    <mergeCell ref="Q661:R661"/>
    <mergeCell ref="A657:R657"/>
    <mergeCell ref="A658:P658"/>
    <mergeCell ref="Q658:R658"/>
    <mergeCell ref="D659:E659"/>
    <mergeCell ref="G659:I659"/>
    <mergeCell ref="J659:K659"/>
    <mergeCell ref="M659:N659"/>
    <mergeCell ref="Q659:R659"/>
    <mergeCell ref="A666:P666"/>
    <mergeCell ref="Q666:R666"/>
    <mergeCell ref="D667:E667"/>
    <mergeCell ref="G667:I667"/>
    <mergeCell ref="J667:K667"/>
    <mergeCell ref="M667:N667"/>
    <mergeCell ref="Q667:R667"/>
    <mergeCell ref="A664:G664"/>
    <mergeCell ref="H664:K664"/>
    <mergeCell ref="L664:M664"/>
    <mergeCell ref="N664:P664"/>
    <mergeCell ref="Q664:R664"/>
    <mergeCell ref="A665:R665"/>
    <mergeCell ref="D662:E662"/>
    <mergeCell ref="G662:I662"/>
    <mergeCell ref="J662:K662"/>
    <mergeCell ref="M662:N662"/>
    <mergeCell ref="Q662:R662"/>
    <mergeCell ref="A663:G663"/>
    <mergeCell ref="H663:K663"/>
    <mergeCell ref="L663:M663"/>
    <mergeCell ref="N663:P663"/>
    <mergeCell ref="Q663:R663"/>
    <mergeCell ref="D670:E670"/>
    <mergeCell ref="G670:I670"/>
    <mergeCell ref="J670:K670"/>
    <mergeCell ref="M670:N670"/>
    <mergeCell ref="Q670:R670"/>
    <mergeCell ref="D671:E671"/>
    <mergeCell ref="G671:I671"/>
    <mergeCell ref="J671:K671"/>
    <mergeCell ref="M671:N671"/>
    <mergeCell ref="Q671:R671"/>
    <mergeCell ref="D668:E668"/>
    <mergeCell ref="G668:I668"/>
    <mergeCell ref="J668:K668"/>
    <mergeCell ref="M668:N668"/>
    <mergeCell ref="Q668:R668"/>
    <mergeCell ref="D669:E669"/>
    <mergeCell ref="G669:I669"/>
    <mergeCell ref="J669:K669"/>
    <mergeCell ref="M669:N669"/>
    <mergeCell ref="Q669:R669"/>
    <mergeCell ref="A674:G674"/>
    <mergeCell ref="H674:K674"/>
    <mergeCell ref="L674:M674"/>
    <mergeCell ref="N674:P674"/>
    <mergeCell ref="Q674:R674"/>
    <mergeCell ref="A675:G675"/>
    <mergeCell ref="H675:K675"/>
    <mergeCell ref="L675:M675"/>
    <mergeCell ref="N675:P675"/>
    <mergeCell ref="Q675:R675"/>
    <mergeCell ref="D672:E672"/>
    <mergeCell ref="G672:I672"/>
    <mergeCell ref="J672:K672"/>
    <mergeCell ref="M672:N672"/>
    <mergeCell ref="Q672:R672"/>
    <mergeCell ref="D673:E673"/>
    <mergeCell ref="G673:I673"/>
    <mergeCell ref="J673:K673"/>
    <mergeCell ref="M673:N673"/>
    <mergeCell ref="Q673:R673"/>
    <mergeCell ref="D679:E679"/>
    <mergeCell ref="G679:I679"/>
    <mergeCell ref="J679:K679"/>
    <mergeCell ref="M679:N679"/>
    <mergeCell ref="Q679:R679"/>
    <mergeCell ref="D680:E680"/>
    <mergeCell ref="G680:I680"/>
    <mergeCell ref="J680:K680"/>
    <mergeCell ref="M680:N680"/>
    <mergeCell ref="Q680:R680"/>
    <mergeCell ref="A676:R676"/>
    <mergeCell ref="A677:P677"/>
    <mergeCell ref="Q677:R677"/>
    <mergeCell ref="D678:E678"/>
    <mergeCell ref="G678:I678"/>
    <mergeCell ref="J678:K678"/>
    <mergeCell ref="M678:N678"/>
    <mergeCell ref="Q678:R678"/>
    <mergeCell ref="A685:G685"/>
    <mergeCell ref="H685:K685"/>
    <mergeCell ref="L685:M685"/>
    <mergeCell ref="N685:P685"/>
    <mergeCell ref="Q685:R685"/>
    <mergeCell ref="A686:R686"/>
    <mergeCell ref="D683:E683"/>
    <mergeCell ref="G683:I683"/>
    <mergeCell ref="J683:K683"/>
    <mergeCell ref="M683:N683"/>
    <mergeCell ref="Q683:R683"/>
    <mergeCell ref="A684:G684"/>
    <mergeCell ref="H684:K684"/>
    <mergeCell ref="L684:M684"/>
    <mergeCell ref="N684:P684"/>
    <mergeCell ref="Q684:R684"/>
    <mergeCell ref="D681:E681"/>
    <mergeCell ref="G681:I681"/>
    <mergeCell ref="J681:K681"/>
    <mergeCell ref="M681:N681"/>
    <mergeCell ref="Q681:R681"/>
    <mergeCell ref="D682:E682"/>
    <mergeCell ref="G682:I682"/>
    <mergeCell ref="J682:K682"/>
    <mergeCell ref="M682:N682"/>
    <mergeCell ref="Q682:R682"/>
    <mergeCell ref="D689:E689"/>
    <mergeCell ref="G689:I689"/>
    <mergeCell ref="J689:K689"/>
    <mergeCell ref="M689:N689"/>
    <mergeCell ref="Q689:R689"/>
    <mergeCell ref="D690:E690"/>
    <mergeCell ref="G690:I690"/>
    <mergeCell ref="J690:K690"/>
    <mergeCell ref="M690:N690"/>
    <mergeCell ref="Q690:R690"/>
    <mergeCell ref="A687:P687"/>
    <mergeCell ref="Q687:R687"/>
    <mergeCell ref="D688:E688"/>
    <mergeCell ref="G688:I688"/>
    <mergeCell ref="J688:K688"/>
    <mergeCell ref="M688:N688"/>
    <mergeCell ref="Q688:R688"/>
    <mergeCell ref="D695:E695"/>
    <mergeCell ref="G695:I695"/>
    <mergeCell ref="J695:K695"/>
    <mergeCell ref="M695:N695"/>
    <mergeCell ref="D696:E696"/>
    <mergeCell ref="G696:I696"/>
    <mergeCell ref="J696:K696"/>
    <mergeCell ref="M696:N696"/>
    <mergeCell ref="A693:P693"/>
    <mergeCell ref="Q693:R693"/>
    <mergeCell ref="D694:E694"/>
    <mergeCell ref="G694:I694"/>
    <mergeCell ref="J694:K694"/>
    <mergeCell ref="M694:N694"/>
    <mergeCell ref="Q694:R694"/>
    <mergeCell ref="D691:E691"/>
    <mergeCell ref="G691:I691"/>
    <mergeCell ref="J691:K691"/>
    <mergeCell ref="M691:N691"/>
    <mergeCell ref="Q691:R691"/>
    <mergeCell ref="A692:R692"/>
    <mergeCell ref="D701:E701"/>
    <mergeCell ref="G701:I701"/>
    <mergeCell ref="J701:K701"/>
    <mergeCell ref="M701:N701"/>
    <mergeCell ref="D702:E702"/>
    <mergeCell ref="G702:I702"/>
    <mergeCell ref="J702:K702"/>
    <mergeCell ref="M702:N702"/>
    <mergeCell ref="D699:E699"/>
    <mergeCell ref="G699:I699"/>
    <mergeCell ref="J699:K699"/>
    <mergeCell ref="M699:N699"/>
    <mergeCell ref="D700:E700"/>
    <mergeCell ref="G700:I700"/>
    <mergeCell ref="J700:K700"/>
    <mergeCell ref="M700:N700"/>
    <mergeCell ref="D697:E697"/>
    <mergeCell ref="G697:I697"/>
    <mergeCell ref="J697:K697"/>
    <mergeCell ref="M697:N697"/>
    <mergeCell ref="D698:E698"/>
    <mergeCell ref="G698:I698"/>
    <mergeCell ref="J698:K698"/>
    <mergeCell ref="M698:N698"/>
    <mergeCell ref="D708:E708"/>
    <mergeCell ref="G708:I708"/>
    <mergeCell ref="J708:K708"/>
    <mergeCell ref="M708:N708"/>
    <mergeCell ref="D709:E709"/>
    <mergeCell ref="G709:I709"/>
    <mergeCell ref="J709:K709"/>
    <mergeCell ref="M709:N709"/>
    <mergeCell ref="D706:E706"/>
    <mergeCell ref="G706:I706"/>
    <mergeCell ref="J706:K706"/>
    <mergeCell ref="M706:N706"/>
    <mergeCell ref="D707:E707"/>
    <mergeCell ref="G707:I707"/>
    <mergeCell ref="J707:K707"/>
    <mergeCell ref="M707:N707"/>
    <mergeCell ref="D703:E703"/>
    <mergeCell ref="G703:I703"/>
    <mergeCell ref="J703:K703"/>
    <mergeCell ref="M703:N703"/>
    <mergeCell ref="A704:P704"/>
    <mergeCell ref="A705:P705"/>
    <mergeCell ref="A714:G714"/>
    <mergeCell ref="H714:K714"/>
    <mergeCell ref="L714:M714"/>
    <mergeCell ref="N714:P714"/>
    <mergeCell ref="A715:G715"/>
    <mergeCell ref="H715:K715"/>
    <mergeCell ref="L715:M715"/>
    <mergeCell ref="N715:P715"/>
    <mergeCell ref="D712:E712"/>
    <mergeCell ref="G712:I712"/>
    <mergeCell ref="J712:K712"/>
    <mergeCell ref="M712:N712"/>
    <mergeCell ref="D713:E713"/>
    <mergeCell ref="G713:I713"/>
    <mergeCell ref="J713:K713"/>
    <mergeCell ref="M713:N713"/>
    <mergeCell ref="D710:E710"/>
    <mergeCell ref="G710:I710"/>
    <mergeCell ref="J710:K710"/>
    <mergeCell ref="M710:N710"/>
    <mergeCell ref="D711:E711"/>
    <mergeCell ref="G711:I711"/>
    <mergeCell ref="J711:K711"/>
    <mergeCell ref="M711:N711"/>
    <mergeCell ref="D721:E721"/>
    <mergeCell ref="G721:I721"/>
    <mergeCell ref="J721:K721"/>
    <mergeCell ref="M721:N721"/>
    <mergeCell ref="D722:E722"/>
    <mergeCell ref="G722:I722"/>
    <mergeCell ref="J722:K722"/>
    <mergeCell ref="M722:N722"/>
    <mergeCell ref="D719:E719"/>
    <mergeCell ref="G719:I719"/>
    <mergeCell ref="J719:K719"/>
    <mergeCell ref="M719:N719"/>
    <mergeCell ref="D720:E720"/>
    <mergeCell ref="G720:I720"/>
    <mergeCell ref="J720:K720"/>
    <mergeCell ref="M720:N720"/>
    <mergeCell ref="A716:Q716"/>
    <mergeCell ref="A717:P717"/>
    <mergeCell ref="D718:E718"/>
    <mergeCell ref="G718:I718"/>
    <mergeCell ref="J718:K718"/>
    <mergeCell ref="M718:N718"/>
    <mergeCell ref="D727:E727"/>
    <mergeCell ref="G727:I727"/>
    <mergeCell ref="J727:K727"/>
    <mergeCell ref="M727:N727"/>
    <mergeCell ref="D728:E728"/>
    <mergeCell ref="G728:I728"/>
    <mergeCell ref="J728:K728"/>
    <mergeCell ref="M728:N728"/>
    <mergeCell ref="D725:E725"/>
    <mergeCell ref="G725:I725"/>
    <mergeCell ref="J725:K725"/>
    <mergeCell ref="M725:N725"/>
    <mergeCell ref="D726:E726"/>
    <mergeCell ref="G726:I726"/>
    <mergeCell ref="J726:K726"/>
    <mergeCell ref="M726:N726"/>
    <mergeCell ref="D723:E723"/>
    <mergeCell ref="G723:I723"/>
    <mergeCell ref="J723:K723"/>
    <mergeCell ref="M723:N723"/>
    <mergeCell ref="D724:E724"/>
    <mergeCell ref="G724:I724"/>
    <mergeCell ref="J724:K724"/>
    <mergeCell ref="M724:N724"/>
    <mergeCell ref="D734:E734"/>
    <mergeCell ref="G734:I734"/>
    <mergeCell ref="J734:K734"/>
    <mergeCell ref="M734:N734"/>
    <mergeCell ref="A735:G735"/>
    <mergeCell ref="H735:K735"/>
    <mergeCell ref="L735:M735"/>
    <mergeCell ref="N735:P735"/>
    <mergeCell ref="D732:E732"/>
    <mergeCell ref="G732:I732"/>
    <mergeCell ref="J732:K732"/>
    <mergeCell ref="M732:N732"/>
    <mergeCell ref="D733:E733"/>
    <mergeCell ref="G733:I733"/>
    <mergeCell ref="J733:K733"/>
    <mergeCell ref="M733:N733"/>
    <mergeCell ref="A729:P729"/>
    <mergeCell ref="A730:P730"/>
    <mergeCell ref="D731:E731"/>
    <mergeCell ref="G731:I731"/>
    <mergeCell ref="J731:K731"/>
    <mergeCell ref="M731:N731"/>
    <mergeCell ref="D741:E741"/>
    <mergeCell ref="G741:I741"/>
    <mergeCell ref="J741:K741"/>
    <mergeCell ref="M741:N741"/>
    <mergeCell ref="D742:E742"/>
    <mergeCell ref="G742:I742"/>
    <mergeCell ref="J742:K742"/>
    <mergeCell ref="M742:N742"/>
    <mergeCell ref="D739:E739"/>
    <mergeCell ref="G739:I739"/>
    <mergeCell ref="J739:K739"/>
    <mergeCell ref="M739:N739"/>
    <mergeCell ref="D740:E740"/>
    <mergeCell ref="G740:I740"/>
    <mergeCell ref="J740:K740"/>
    <mergeCell ref="M740:N740"/>
    <mergeCell ref="A736:G736"/>
    <mergeCell ref="H736:K736"/>
    <mergeCell ref="L736:M736"/>
    <mergeCell ref="N736:P736"/>
    <mergeCell ref="A737:Q737"/>
    <mergeCell ref="A738:P738"/>
    <mergeCell ref="D748:E748"/>
    <mergeCell ref="G748:I748"/>
    <mergeCell ref="J748:K748"/>
    <mergeCell ref="M748:N748"/>
    <mergeCell ref="D749:E749"/>
    <mergeCell ref="G749:I749"/>
    <mergeCell ref="J749:K749"/>
    <mergeCell ref="M749:N749"/>
    <mergeCell ref="D745:E745"/>
    <mergeCell ref="G745:I745"/>
    <mergeCell ref="J745:K745"/>
    <mergeCell ref="M745:N745"/>
    <mergeCell ref="A746:P746"/>
    <mergeCell ref="A747:P747"/>
    <mergeCell ref="D743:E743"/>
    <mergeCell ref="G743:I743"/>
    <mergeCell ref="J743:K743"/>
    <mergeCell ref="M743:N743"/>
    <mergeCell ref="D744:E744"/>
    <mergeCell ref="G744:I744"/>
    <mergeCell ref="J744:K744"/>
    <mergeCell ref="M744:N744"/>
    <mergeCell ref="A754:G754"/>
    <mergeCell ref="H754:K754"/>
    <mergeCell ref="L754:M754"/>
    <mergeCell ref="N754:P754"/>
    <mergeCell ref="A755:Q755"/>
    <mergeCell ref="A756:P756"/>
    <mergeCell ref="D752:E752"/>
    <mergeCell ref="G752:I752"/>
    <mergeCell ref="J752:K752"/>
    <mergeCell ref="M752:N752"/>
    <mergeCell ref="A753:G753"/>
    <mergeCell ref="H753:K753"/>
    <mergeCell ref="L753:M753"/>
    <mergeCell ref="N753:P753"/>
    <mergeCell ref="D750:E750"/>
    <mergeCell ref="G750:I750"/>
    <mergeCell ref="J750:K750"/>
    <mergeCell ref="M750:N750"/>
    <mergeCell ref="D751:E751"/>
    <mergeCell ref="G751:I751"/>
    <mergeCell ref="J751:K751"/>
    <mergeCell ref="M751:N751"/>
    <mergeCell ref="D761:E761"/>
    <mergeCell ref="G761:I761"/>
    <mergeCell ref="J761:K761"/>
    <mergeCell ref="M761:N761"/>
    <mergeCell ref="D762:E762"/>
    <mergeCell ref="G762:I762"/>
    <mergeCell ref="J762:K762"/>
    <mergeCell ref="M762:N762"/>
    <mergeCell ref="D759:E759"/>
    <mergeCell ref="G759:I759"/>
    <mergeCell ref="J759:K759"/>
    <mergeCell ref="M759:N759"/>
    <mergeCell ref="D760:E760"/>
    <mergeCell ref="G760:I760"/>
    <mergeCell ref="J760:K760"/>
    <mergeCell ref="M760:N760"/>
    <mergeCell ref="D757:E757"/>
    <mergeCell ref="G757:I757"/>
    <mergeCell ref="J757:K757"/>
    <mergeCell ref="M757:N757"/>
    <mergeCell ref="D758:E758"/>
    <mergeCell ref="G758:I758"/>
    <mergeCell ref="J758:K758"/>
    <mergeCell ref="M758:N758"/>
    <mergeCell ref="D768:E768"/>
    <mergeCell ref="G768:I768"/>
    <mergeCell ref="J768:K768"/>
    <mergeCell ref="M768:N768"/>
    <mergeCell ref="D769:E769"/>
    <mergeCell ref="G769:I769"/>
    <mergeCell ref="J769:K769"/>
    <mergeCell ref="M769:N769"/>
    <mergeCell ref="D766:E766"/>
    <mergeCell ref="G766:I766"/>
    <mergeCell ref="J766:K766"/>
    <mergeCell ref="M766:N766"/>
    <mergeCell ref="D767:E767"/>
    <mergeCell ref="G767:I767"/>
    <mergeCell ref="J767:K767"/>
    <mergeCell ref="M767:N767"/>
    <mergeCell ref="A763:P763"/>
    <mergeCell ref="A764:P764"/>
    <mergeCell ref="D765:E765"/>
    <mergeCell ref="G765:I765"/>
    <mergeCell ref="J765:K765"/>
    <mergeCell ref="M765:N765"/>
    <mergeCell ref="D775:E775"/>
    <mergeCell ref="G775:I775"/>
    <mergeCell ref="J775:K775"/>
    <mergeCell ref="M775:N775"/>
    <mergeCell ref="D776:E776"/>
    <mergeCell ref="G776:I776"/>
    <mergeCell ref="J776:K776"/>
    <mergeCell ref="M776:N776"/>
    <mergeCell ref="A772:Q772"/>
    <mergeCell ref="A773:P773"/>
    <mergeCell ref="D774:E774"/>
    <mergeCell ref="G774:I774"/>
    <mergeCell ref="J774:K774"/>
    <mergeCell ref="M774:N774"/>
    <mergeCell ref="A770:G770"/>
    <mergeCell ref="H770:K770"/>
    <mergeCell ref="L770:M770"/>
    <mergeCell ref="N770:P770"/>
    <mergeCell ref="A771:G771"/>
    <mergeCell ref="H771:K771"/>
    <mergeCell ref="L771:M771"/>
    <mergeCell ref="N771:P771"/>
    <mergeCell ref="D781:E781"/>
    <mergeCell ref="G781:I781"/>
    <mergeCell ref="J781:K781"/>
    <mergeCell ref="M781:N781"/>
    <mergeCell ref="A782:P782"/>
    <mergeCell ref="A783:P783"/>
    <mergeCell ref="D779:E779"/>
    <mergeCell ref="G779:I779"/>
    <mergeCell ref="J779:K779"/>
    <mergeCell ref="M779:N779"/>
    <mergeCell ref="D780:E780"/>
    <mergeCell ref="G780:I780"/>
    <mergeCell ref="J780:K780"/>
    <mergeCell ref="M780:N780"/>
    <mergeCell ref="D777:E777"/>
    <mergeCell ref="G777:I777"/>
    <mergeCell ref="J777:K777"/>
    <mergeCell ref="M777:N777"/>
    <mergeCell ref="D778:E778"/>
    <mergeCell ref="G778:I778"/>
    <mergeCell ref="J778:K778"/>
    <mergeCell ref="M778:N778"/>
    <mergeCell ref="A788:G788"/>
    <mergeCell ref="H788:K788"/>
    <mergeCell ref="L788:M788"/>
    <mergeCell ref="N788:P788"/>
    <mergeCell ref="A789:G789"/>
    <mergeCell ref="H789:K789"/>
    <mergeCell ref="L789:M789"/>
    <mergeCell ref="N789:P789"/>
    <mergeCell ref="D786:E786"/>
    <mergeCell ref="G786:I786"/>
    <mergeCell ref="J786:K786"/>
    <mergeCell ref="M786:N786"/>
    <mergeCell ref="D787:E787"/>
    <mergeCell ref="G787:I787"/>
    <mergeCell ref="J787:K787"/>
    <mergeCell ref="M787:N787"/>
    <mergeCell ref="D784:E784"/>
    <mergeCell ref="G784:I784"/>
    <mergeCell ref="J784:K784"/>
    <mergeCell ref="M784:N784"/>
    <mergeCell ref="D785:E785"/>
    <mergeCell ref="G785:I785"/>
    <mergeCell ref="J785:K785"/>
    <mergeCell ref="M785:N785"/>
    <mergeCell ref="D795:E795"/>
    <mergeCell ref="G795:I795"/>
    <mergeCell ref="J795:K795"/>
    <mergeCell ref="M795:N795"/>
    <mergeCell ref="D796:E796"/>
    <mergeCell ref="G796:I796"/>
    <mergeCell ref="J796:K796"/>
    <mergeCell ref="M796:N796"/>
    <mergeCell ref="D793:E793"/>
    <mergeCell ref="G793:I793"/>
    <mergeCell ref="J793:K793"/>
    <mergeCell ref="M793:N793"/>
    <mergeCell ref="D794:E794"/>
    <mergeCell ref="G794:I794"/>
    <mergeCell ref="J794:K794"/>
    <mergeCell ref="M794:N794"/>
    <mergeCell ref="A790:Q790"/>
    <mergeCell ref="A791:P791"/>
    <mergeCell ref="D792:E792"/>
    <mergeCell ref="G792:I792"/>
    <mergeCell ref="J792:K792"/>
    <mergeCell ref="M792:N792"/>
    <mergeCell ref="D802:E802"/>
    <mergeCell ref="G802:I802"/>
    <mergeCell ref="J802:K802"/>
    <mergeCell ref="M802:N802"/>
    <mergeCell ref="D803:E803"/>
    <mergeCell ref="G803:I803"/>
    <mergeCell ref="J803:K803"/>
    <mergeCell ref="M803:N803"/>
    <mergeCell ref="D799:E799"/>
    <mergeCell ref="G799:I799"/>
    <mergeCell ref="J799:K799"/>
    <mergeCell ref="M799:N799"/>
    <mergeCell ref="A800:P800"/>
    <mergeCell ref="A801:P801"/>
    <mergeCell ref="D797:E797"/>
    <mergeCell ref="G797:I797"/>
    <mergeCell ref="J797:K797"/>
    <mergeCell ref="M797:N797"/>
    <mergeCell ref="D798:E798"/>
    <mergeCell ref="G798:I798"/>
    <mergeCell ref="J798:K798"/>
    <mergeCell ref="M798:N798"/>
    <mergeCell ref="D806:E806"/>
    <mergeCell ref="G806:I806"/>
    <mergeCell ref="J806:K806"/>
    <mergeCell ref="M806:N806"/>
    <mergeCell ref="Q806:R806"/>
    <mergeCell ref="D807:E807"/>
    <mergeCell ref="G807:I807"/>
    <mergeCell ref="J807:K807"/>
    <mergeCell ref="M807:N807"/>
    <mergeCell ref="Q807:R807"/>
    <mergeCell ref="D804:E804"/>
    <mergeCell ref="G804:I804"/>
    <mergeCell ref="J804:K804"/>
    <mergeCell ref="M804:N804"/>
    <mergeCell ref="D805:E805"/>
    <mergeCell ref="G805:I805"/>
    <mergeCell ref="J805:K805"/>
    <mergeCell ref="M805:N805"/>
    <mergeCell ref="A810:R810"/>
    <mergeCell ref="A811:P811"/>
    <mergeCell ref="Q811:R811"/>
    <mergeCell ref="D812:E812"/>
    <mergeCell ref="G812:I812"/>
    <mergeCell ref="J812:K812"/>
    <mergeCell ref="M812:N812"/>
    <mergeCell ref="Q812:R812"/>
    <mergeCell ref="A808:G808"/>
    <mergeCell ref="H808:K808"/>
    <mergeCell ref="L808:M808"/>
    <mergeCell ref="N808:P808"/>
    <mergeCell ref="Q808:R808"/>
    <mergeCell ref="A809:G809"/>
    <mergeCell ref="H809:K809"/>
    <mergeCell ref="L809:M809"/>
    <mergeCell ref="N809:P809"/>
    <mergeCell ref="Q809:R809"/>
    <mergeCell ref="A817:G817"/>
    <mergeCell ref="H817:K817"/>
    <mergeCell ref="L817:M817"/>
    <mergeCell ref="N817:P817"/>
    <mergeCell ref="Q817:R817"/>
    <mergeCell ref="A818:R818"/>
    <mergeCell ref="D815:E815"/>
    <mergeCell ref="G815:I815"/>
    <mergeCell ref="J815:K815"/>
    <mergeCell ref="M815:N815"/>
    <mergeCell ref="Q815:R815"/>
    <mergeCell ref="A816:G816"/>
    <mergeCell ref="H816:K816"/>
    <mergeCell ref="L816:M816"/>
    <mergeCell ref="N816:P816"/>
    <mergeCell ref="Q816:R816"/>
    <mergeCell ref="D813:E813"/>
    <mergeCell ref="G813:I813"/>
    <mergeCell ref="J813:K813"/>
    <mergeCell ref="M813:N813"/>
    <mergeCell ref="Q813:R813"/>
    <mergeCell ref="D814:E814"/>
    <mergeCell ref="G814:I814"/>
    <mergeCell ref="J814:K814"/>
    <mergeCell ref="M814:N814"/>
    <mergeCell ref="Q814:R814"/>
    <mergeCell ref="D821:E821"/>
    <mergeCell ref="G821:I821"/>
    <mergeCell ref="J821:K821"/>
    <mergeCell ref="M821:N821"/>
    <mergeCell ref="Q821:R821"/>
    <mergeCell ref="D822:E822"/>
    <mergeCell ref="G822:I822"/>
    <mergeCell ref="J822:K822"/>
    <mergeCell ref="M822:N822"/>
    <mergeCell ref="Q822:R822"/>
    <mergeCell ref="A819:P819"/>
    <mergeCell ref="Q819:R819"/>
    <mergeCell ref="D820:E820"/>
    <mergeCell ref="G820:I820"/>
    <mergeCell ref="J820:K820"/>
    <mergeCell ref="M820:N820"/>
    <mergeCell ref="Q820:R820"/>
    <mergeCell ref="A827:G827"/>
    <mergeCell ref="H827:K827"/>
    <mergeCell ref="L827:M827"/>
    <mergeCell ref="N827:P827"/>
    <mergeCell ref="Q827:R827"/>
    <mergeCell ref="A828:R828"/>
    <mergeCell ref="D825:E825"/>
    <mergeCell ref="G825:I825"/>
    <mergeCell ref="J825:K825"/>
    <mergeCell ref="M825:N825"/>
    <mergeCell ref="Q825:R825"/>
    <mergeCell ref="A826:G826"/>
    <mergeCell ref="H826:K826"/>
    <mergeCell ref="L826:M826"/>
    <mergeCell ref="N826:P826"/>
    <mergeCell ref="Q826:R826"/>
    <mergeCell ref="D823:E823"/>
    <mergeCell ref="G823:I823"/>
    <mergeCell ref="J823:K823"/>
    <mergeCell ref="M823:N823"/>
    <mergeCell ref="Q823:R823"/>
    <mergeCell ref="D824:E824"/>
    <mergeCell ref="G824:I824"/>
    <mergeCell ref="J824:K824"/>
    <mergeCell ref="M824:N824"/>
    <mergeCell ref="Q824:R824"/>
    <mergeCell ref="A831:P831"/>
    <mergeCell ref="Q831:R831"/>
    <mergeCell ref="D832:E832"/>
    <mergeCell ref="G832:I832"/>
    <mergeCell ref="J832:K832"/>
    <mergeCell ref="M832:N832"/>
    <mergeCell ref="Q832:R832"/>
    <mergeCell ref="A829:G829"/>
    <mergeCell ref="H829:K829"/>
    <mergeCell ref="L829:M829"/>
    <mergeCell ref="N829:P829"/>
    <mergeCell ref="Q829:R829"/>
    <mergeCell ref="A830:G830"/>
    <mergeCell ref="H830:K830"/>
    <mergeCell ref="L830:M830"/>
    <mergeCell ref="N830:P830"/>
    <mergeCell ref="Q830:R830"/>
    <mergeCell ref="D835:E835"/>
    <mergeCell ref="G835:I835"/>
    <mergeCell ref="J835:K835"/>
    <mergeCell ref="M835:N835"/>
    <mergeCell ref="Q835:R835"/>
    <mergeCell ref="D836:E836"/>
    <mergeCell ref="G836:I836"/>
    <mergeCell ref="J836:K836"/>
    <mergeCell ref="M836:N836"/>
    <mergeCell ref="Q836:R836"/>
    <mergeCell ref="D833:E833"/>
    <mergeCell ref="G833:I833"/>
    <mergeCell ref="J833:K833"/>
    <mergeCell ref="M833:N833"/>
    <mergeCell ref="Q833:R833"/>
    <mergeCell ref="D834:E834"/>
    <mergeCell ref="G834:I834"/>
    <mergeCell ref="J834:K834"/>
    <mergeCell ref="M834:N834"/>
    <mergeCell ref="Q834:R834"/>
    <mergeCell ref="D840:E840"/>
    <mergeCell ref="G840:I840"/>
    <mergeCell ref="J840:K840"/>
    <mergeCell ref="M840:N840"/>
    <mergeCell ref="Q840:R840"/>
    <mergeCell ref="D841:E841"/>
    <mergeCell ref="G841:I841"/>
    <mergeCell ref="J841:K841"/>
    <mergeCell ref="M841:N841"/>
    <mergeCell ref="Q841:R841"/>
    <mergeCell ref="A837:R837"/>
    <mergeCell ref="A838:P838"/>
    <mergeCell ref="Q838:R838"/>
    <mergeCell ref="D839:E839"/>
    <mergeCell ref="G839:I839"/>
    <mergeCell ref="J839:K839"/>
    <mergeCell ref="M839:N839"/>
    <mergeCell ref="Q839:R839"/>
    <mergeCell ref="A846:G846"/>
    <mergeCell ref="H846:K846"/>
    <mergeCell ref="L846:M846"/>
    <mergeCell ref="N846:P846"/>
    <mergeCell ref="Q846:R846"/>
    <mergeCell ref="A847:R847"/>
    <mergeCell ref="D844:E844"/>
    <mergeCell ref="G844:I844"/>
    <mergeCell ref="J844:K844"/>
    <mergeCell ref="M844:N844"/>
    <mergeCell ref="Q844:R844"/>
    <mergeCell ref="A845:G845"/>
    <mergeCell ref="H845:K845"/>
    <mergeCell ref="L845:M845"/>
    <mergeCell ref="N845:P845"/>
    <mergeCell ref="Q845:R845"/>
    <mergeCell ref="D842:E842"/>
    <mergeCell ref="G842:I842"/>
    <mergeCell ref="J842:K842"/>
    <mergeCell ref="M842:N842"/>
    <mergeCell ref="Q842:R842"/>
    <mergeCell ref="D843:E843"/>
    <mergeCell ref="G843:I843"/>
    <mergeCell ref="J843:K843"/>
    <mergeCell ref="M843:N843"/>
    <mergeCell ref="Q843:R843"/>
    <mergeCell ref="D850:E850"/>
    <mergeCell ref="G850:I850"/>
    <mergeCell ref="J850:K850"/>
    <mergeCell ref="M850:N850"/>
    <mergeCell ref="Q850:R850"/>
    <mergeCell ref="D851:E851"/>
    <mergeCell ref="G851:I851"/>
    <mergeCell ref="J851:K851"/>
    <mergeCell ref="M851:N851"/>
    <mergeCell ref="Q851:R851"/>
    <mergeCell ref="A848:P848"/>
    <mergeCell ref="Q848:R848"/>
    <mergeCell ref="D849:E849"/>
    <mergeCell ref="G849:I849"/>
    <mergeCell ref="J849:K849"/>
    <mergeCell ref="M849:N849"/>
    <mergeCell ref="Q849:R849"/>
    <mergeCell ref="A854:G854"/>
    <mergeCell ref="H854:K854"/>
    <mergeCell ref="L854:M854"/>
    <mergeCell ref="N854:P854"/>
    <mergeCell ref="Q854:R854"/>
    <mergeCell ref="A855:G855"/>
    <mergeCell ref="H855:K855"/>
    <mergeCell ref="L855:M855"/>
    <mergeCell ref="N855:P855"/>
    <mergeCell ref="Q855:R855"/>
    <mergeCell ref="D852:E852"/>
    <mergeCell ref="G852:I852"/>
    <mergeCell ref="J852:K852"/>
    <mergeCell ref="M852:N852"/>
    <mergeCell ref="Q852:R852"/>
    <mergeCell ref="D853:E853"/>
    <mergeCell ref="G853:I853"/>
    <mergeCell ref="J853:K853"/>
    <mergeCell ref="M853:N853"/>
    <mergeCell ref="Q853:R853"/>
    <mergeCell ref="D859:E859"/>
    <mergeCell ref="G859:I859"/>
    <mergeCell ref="J859:K859"/>
    <mergeCell ref="M859:N859"/>
    <mergeCell ref="Q859:R859"/>
    <mergeCell ref="D860:E860"/>
    <mergeCell ref="G860:I860"/>
    <mergeCell ref="J860:K860"/>
    <mergeCell ref="M860:N860"/>
    <mergeCell ref="Q860:R860"/>
    <mergeCell ref="A856:R856"/>
    <mergeCell ref="A857:P857"/>
    <mergeCell ref="Q857:R857"/>
    <mergeCell ref="D858:E858"/>
    <mergeCell ref="G858:I858"/>
    <mergeCell ref="J858:K858"/>
    <mergeCell ref="M858:N858"/>
    <mergeCell ref="Q858:R858"/>
    <mergeCell ref="A863:G863"/>
    <mergeCell ref="H863:K863"/>
    <mergeCell ref="L863:M863"/>
    <mergeCell ref="N863:P863"/>
    <mergeCell ref="Q863:R863"/>
    <mergeCell ref="A864:G864"/>
    <mergeCell ref="H864:K864"/>
    <mergeCell ref="L864:M864"/>
    <mergeCell ref="N864:P864"/>
    <mergeCell ref="Q864:R864"/>
    <mergeCell ref="D861:E861"/>
    <mergeCell ref="G861:I861"/>
    <mergeCell ref="J861:K861"/>
    <mergeCell ref="M861:N861"/>
    <mergeCell ref="Q861:R861"/>
    <mergeCell ref="D862:E862"/>
    <mergeCell ref="G862:I862"/>
    <mergeCell ref="J862:K862"/>
    <mergeCell ref="M862:N862"/>
    <mergeCell ref="Q862:R862"/>
    <mergeCell ref="D868:E868"/>
    <mergeCell ref="G868:I868"/>
    <mergeCell ref="J868:K868"/>
    <mergeCell ref="M868:N868"/>
    <mergeCell ref="Q868:R868"/>
    <mergeCell ref="D869:E869"/>
    <mergeCell ref="G869:I869"/>
    <mergeCell ref="J869:K869"/>
    <mergeCell ref="M869:N869"/>
    <mergeCell ref="Q869:R869"/>
    <mergeCell ref="A865:R865"/>
    <mergeCell ref="A866:P866"/>
    <mergeCell ref="Q866:R866"/>
    <mergeCell ref="D867:E867"/>
    <mergeCell ref="G867:I867"/>
    <mergeCell ref="J867:K867"/>
    <mergeCell ref="M867:N867"/>
    <mergeCell ref="Q867:R867"/>
    <mergeCell ref="A872:G872"/>
    <mergeCell ref="H872:K872"/>
    <mergeCell ref="L872:M872"/>
    <mergeCell ref="N872:P872"/>
    <mergeCell ref="Q872:R872"/>
    <mergeCell ref="A873:G873"/>
    <mergeCell ref="H873:K873"/>
    <mergeCell ref="L873:M873"/>
    <mergeCell ref="N873:P873"/>
    <mergeCell ref="Q873:R873"/>
    <mergeCell ref="D870:E870"/>
    <mergeCell ref="G870:I870"/>
    <mergeCell ref="J870:K870"/>
    <mergeCell ref="M870:N870"/>
    <mergeCell ref="Q870:R870"/>
    <mergeCell ref="D871:E871"/>
    <mergeCell ref="G871:I871"/>
    <mergeCell ref="J871:K871"/>
    <mergeCell ref="M871:N871"/>
    <mergeCell ref="Q871:R871"/>
    <mergeCell ref="D877:E877"/>
    <mergeCell ref="G877:I877"/>
    <mergeCell ref="J877:K877"/>
    <mergeCell ref="M877:N877"/>
    <mergeCell ref="Q877:R877"/>
    <mergeCell ref="D878:E878"/>
    <mergeCell ref="G878:I878"/>
    <mergeCell ref="J878:K878"/>
    <mergeCell ref="M878:N878"/>
    <mergeCell ref="Q878:R878"/>
    <mergeCell ref="A874:R874"/>
    <mergeCell ref="A875:P875"/>
    <mergeCell ref="Q875:R875"/>
    <mergeCell ref="D876:E876"/>
    <mergeCell ref="G876:I876"/>
    <mergeCell ref="J876:K876"/>
    <mergeCell ref="M876:N876"/>
    <mergeCell ref="Q876:R876"/>
    <mergeCell ref="A881:G881"/>
    <mergeCell ref="H881:K881"/>
    <mergeCell ref="L881:M881"/>
    <mergeCell ref="N881:P881"/>
    <mergeCell ref="Q881:R881"/>
    <mergeCell ref="A882:G882"/>
    <mergeCell ref="H882:K882"/>
    <mergeCell ref="L882:M882"/>
    <mergeCell ref="N882:P882"/>
    <mergeCell ref="Q882:R882"/>
    <mergeCell ref="D879:E879"/>
    <mergeCell ref="G879:I879"/>
    <mergeCell ref="J879:K879"/>
    <mergeCell ref="M879:N879"/>
    <mergeCell ref="Q879:R879"/>
    <mergeCell ref="D880:E880"/>
    <mergeCell ref="G880:I880"/>
    <mergeCell ref="J880:K880"/>
    <mergeCell ref="M880:N880"/>
    <mergeCell ref="Q880:R880"/>
    <mergeCell ref="D886:E886"/>
    <mergeCell ref="G886:I886"/>
    <mergeCell ref="J886:K886"/>
    <mergeCell ref="M886:N886"/>
    <mergeCell ref="Q886:R886"/>
    <mergeCell ref="D887:E887"/>
    <mergeCell ref="G887:I887"/>
    <mergeCell ref="J887:K887"/>
    <mergeCell ref="M887:N887"/>
    <mergeCell ref="Q887:R887"/>
    <mergeCell ref="A883:R883"/>
    <mergeCell ref="A884:P884"/>
    <mergeCell ref="Q884:R884"/>
    <mergeCell ref="D885:E885"/>
    <mergeCell ref="G885:I885"/>
    <mergeCell ref="J885:K885"/>
    <mergeCell ref="M885:N885"/>
    <mergeCell ref="Q885:R885"/>
    <mergeCell ref="A890:G890"/>
    <mergeCell ref="H890:K890"/>
    <mergeCell ref="L890:M890"/>
    <mergeCell ref="N890:P890"/>
    <mergeCell ref="Q890:R890"/>
    <mergeCell ref="A891:G891"/>
    <mergeCell ref="H891:K891"/>
    <mergeCell ref="L891:M891"/>
    <mergeCell ref="N891:P891"/>
    <mergeCell ref="Q891:R891"/>
    <mergeCell ref="D888:E888"/>
    <mergeCell ref="G888:I888"/>
    <mergeCell ref="J888:K888"/>
    <mergeCell ref="M888:N888"/>
    <mergeCell ref="Q888:R888"/>
    <mergeCell ref="D889:E889"/>
    <mergeCell ref="G889:I889"/>
    <mergeCell ref="J889:K889"/>
    <mergeCell ref="M889:N889"/>
    <mergeCell ref="Q889:R889"/>
    <mergeCell ref="D895:E895"/>
    <mergeCell ref="G895:I895"/>
    <mergeCell ref="J895:K895"/>
    <mergeCell ref="M895:N895"/>
    <mergeCell ref="Q895:R895"/>
    <mergeCell ref="D896:E896"/>
    <mergeCell ref="G896:I896"/>
    <mergeCell ref="J896:K896"/>
    <mergeCell ref="M896:N896"/>
    <mergeCell ref="Q896:R896"/>
    <mergeCell ref="A892:R892"/>
    <mergeCell ref="A893:P893"/>
    <mergeCell ref="Q893:R893"/>
    <mergeCell ref="D894:E894"/>
    <mergeCell ref="G894:I894"/>
    <mergeCell ref="J894:K894"/>
    <mergeCell ref="M894:N894"/>
    <mergeCell ref="Q894:R894"/>
    <mergeCell ref="A899:G899"/>
    <mergeCell ref="H899:K899"/>
    <mergeCell ref="L899:M899"/>
    <mergeCell ref="N899:P899"/>
    <mergeCell ref="Q899:R899"/>
    <mergeCell ref="A900:G900"/>
    <mergeCell ref="H900:K900"/>
    <mergeCell ref="L900:M900"/>
    <mergeCell ref="N900:P900"/>
    <mergeCell ref="Q900:R900"/>
    <mergeCell ref="D897:E897"/>
    <mergeCell ref="G897:I897"/>
    <mergeCell ref="J897:K897"/>
    <mergeCell ref="M897:N897"/>
    <mergeCell ref="Q897:R897"/>
    <mergeCell ref="D898:E898"/>
    <mergeCell ref="G898:I898"/>
    <mergeCell ref="J898:K898"/>
    <mergeCell ref="M898:N898"/>
    <mergeCell ref="Q898:R898"/>
    <mergeCell ref="D904:E904"/>
    <mergeCell ref="G904:I904"/>
    <mergeCell ref="J904:K904"/>
    <mergeCell ref="M904:N904"/>
    <mergeCell ref="Q904:R904"/>
    <mergeCell ref="D905:E905"/>
    <mergeCell ref="G905:I905"/>
    <mergeCell ref="J905:K905"/>
    <mergeCell ref="M905:N905"/>
    <mergeCell ref="Q905:R905"/>
    <mergeCell ref="A901:R901"/>
    <mergeCell ref="A902:P902"/>
    <mergeCell ref="Q902:R902"/>
    <mergeCell ref="D903:E903"/>
    <mergeCell ref="G903:I903"/>
    <mergeCell ref="J903:K903"/>
    <mergeCell ref="M903:N903"/>
    <mergeCell ref="Q903:R903"/>
    <mergeCell ref="A908:R908"/>
    <mergeCell ref="A909:R909"/>
    <mergeCell ref="A910:R910"/>
    <mergeCell ref="A911:P911"/>
    <mergeCell ref="Q911:R911"/>
    <mergeCell ref="D912:E912"/>
    <mergeCell ref="G912:I912"/>
    <mergeCell ref="J912:K912"/>
    <mergeCell ref="M912:N912"/>
    <mergeCell ref="Q912:R912"/>
    <mergeCell ref="D906:E906"/>
    <mergeCell ref="G906:I906"/>
    <mergeCell ref="J906:K906"/>
    <mergeCell ref="M906:N906"/>
    <mergeCell ref="Q906:R906"/>
    <mergeCell ref="D907:E907"/>
    <mergeCell ref="G907:I907"/>
    <mergeCell ref="J907:K907"/>
    <mergeCell ref="M907:N907"/>
    <mergeCell ref="Q907:R907"/>
    <mergeCell ref="D915:E915"/>
    <mergeCell ref="G915:I915"/>
    <mergeCell ref="J915:K915"/>
    <mergeCell ref="M915:N915"/>
    <mergeCell ref="Q915:R915"/>
    <mergeCell ref="D916:E916"/>
    <mergeCell ref="G916:I916"/>
    <mergeCell ref="J916:K916"/>
    <mergeCell ref="M916:N916"/>
    <mergeCell ref="Q916:R916"/>
    <mergeCell ref="D913:E913"/>
    <mergeCell ref="G913:I913"/>
    <mergeCell ref="J913:K913"/>
    <mergeCell ref="M913:N913"/>
    <mergeCell ref="Q913:R913"/>
    <mergeCell ref="D914:E914"/>
    <mergeCell ref="G914:I914"/>
    <mergeCell ref="J914:K914"/>
    <mergeCell ref="M914:N914"/>
    <mergeCell ref="Q914:R914"/>
    <mergeCell ref="A919:R919"/>
    <mergeCell ref="A920:P920"/>
    <mergeCell ref="Q920:R920"/>
    <mergeCell ref="D921:E921"/>
    <mergeCell ref="G921:I921"/>
    <mergeCell ref="J921:K921"/>
    <mergeCell ref="M921:N921"/>
    <mergeCell ref="Q921:R921"/>
    <mergeCell ref="A917:G917"/>
    <mergeCell ref="H917:K917"/>
    <mergeCell ref="L917:M917"/>
    <mergeCell ref="N917:P917"/>
    <mergeCell ref="Q917:R917"/>
    <mergeCell ref="A918:G918"/>
    <mergeCell ref="H918:K918"/>
    <mergeCell ref="L918:M918"/>
    <mergeCell ref="N918:P918"/>
    <mergeCell ref="Q918:R918"/>
    <mergeCell ref="D924:E924"/>
    <mergeCell ref="G924:I924"/>
    <mergeCell ref="J924:K924"/>
    <mergeCell ref="M924:N924"/>
    <mergeCell ref="Q924:R924"/>
    <mergeCell ref="D925:E925"/>
    <mergeCell ref="G925:I925"/>
    <mergeCell ref="J925:K925"/>
    <mergeCell ref="M925:N925"/>
    <mergeCell ref="Q925:R925"/>
    <mergeCell ref="D922:E922"/>
    <mergeCell ref="G922:I922"/>
    <mergeCell ref="J922:K922"/>
    <mergeCell ref="M922:N922"/>
    <mergeCell ref="Q922:R922"/>
    <mergeCell ref="D923:E923"/>
    <mergeCell ref="G923:I923"/>
    <mergeCell ref="J923:K923"/>
    <mergeCell ref="M923:N923"/>
    <mergeCell ref="Q923:R923"/>
    <mergeCell ref="D928:E928"/>
    <mergeCell ref="G928:I928"/>
    <mergeCell ref="J928:K928"/>
    <mergeCell ref="M928:N928"/>
    <mergeCell ref="Q928:R928"/>
    <mergeCell ref="D929:E929"/>
    <mergeCell ref="G929:I929"/>
    <mergeCell ref="J929:K929"/>
    <mergeCell ref="M929:N929"/>
    <mergeCell ref="Q929:R929"/>
    <mergeCell ref="D926:E926"/>
    <mergeCell ref="G926:I926"/>
    <mergeCell ref="J926:K926"/>
    <mergeCell ref="M926:N926"/>
    <mergeCell ref="Q926:R926"/>
    <mergeCell ref="D927:E927"/>
    <mergeCell ref="G927:I927"/>
    <mergeCell ref="J927:K927"/>
    <mergeCell ref="M927:N927"/>
    <mergeCell ref="Q927:R927"/>
    <mergeCell ref="A932:G932"/>
    <mergeCell ref="H932:K932"/>
    <mergeCell ref="L932:M932"/>
    <mergeCell ref="N932:P932"/>
    <mergeCell ref="Q932:R932"/>
    <mergeCell ref="A933:G933"/>
    <mergeCell ref="H933:K933"/>
    <mergeCell ref="L933:M933"/>
    <mergeCell ref="N933:P933"/>
    <mergeCell ref="Q933:R933"/>
    <mergeCell ref="D930:E930"/>
    <mergeCell ref="G930:I930"/>
    <mergeCell ref="J930:K930"/>
    <mergeCell ref="M930:N930"/>
    <mergeCell ref="Q930:R930"/>
    <mergeCell ref="D931:E931"/>
    <mergeCell ref="G931:I931"/>
    <mergeCell ref="J931:K931"/>
    <mergeCell ref="M931:N931"/>
    <mergeCell ref="Q931:R931"/>
    <mergeCell ref="D937:E937"/>
    <mergeCell ref="G937:I937"/>
    <mergeCell ref="J937:K937"/>
    <mergeCell ref="M937:N937"/>
    <mergeCell ref="Q937:R937"/>
    <mergeCell ref="D938:E938"/>
    <mergeCell ref="G938:I938"/>
    <mergeCell ref="J938:K938"/>
    <mergeCell ref="M938:N938"/>
    <mergeCell ref="Q938:R938"/>
    <mergeCell ref="A934:R934"/>
    <mergeCell ref="A935:P935"/>
    <mergeCell ref="Q935:R935"/>
    <mergeCell ref="D936:E936"/>
    <mergeCell ref="G936:I936"/>
    <mergeCell ref="J936:K936"/>
    <mergeCell ref="M936:N936"/>
    <mergeCell ref="Q936:R936"/>
    <mergeCell ref="A941:G941"/>
    <mergeCell ref="H941:K941"/>
    <mergeCell ref="L941:M941"/>
    <mergeCell ref="N941:P941"/>
    <mergeCell ref="Q941:R941"/>
    <mergeCell ref="A942:G942"/>
    <mergeCell ref="H942:K942"/>
    <mergeCell ref="L942:M942"/>
    <mergeCell ref="N942:P942"/>
    <mergeCell ref="Q942:R942"/>
    <mergeCell ref="D939:E939"/>
    <mergeCell ref="G939:I939"/>
    <mergeCell ref="J939:K939"/>
    <mergeCell ref="M939:N939"/>
    <mergeCell ref="Q939:R939"/>
    <mergeCell ref="D940:E940"/>
    <mergeCell ref="G940:I940"/>
    <mergeCell ref="J940:K940"/>
    <mergeCell ref="M940:N940"/>
    <mergeCell ref="Q940:R940"/>
    <mergeCell ref="D946:E946"/>
    <mergeCell ref="G946:I946"/>
    <mergeCell ref="J946:K946"/>
    <mergeCell ref="M946:N946"/>
    <mergeCell ref="Q946:R946"/>
    <mergeCell ref="D947:E947"/>
    <mergeCell ref="G947:I947"/>
    <mergeCell ref="J947:K947"/>
    <mergeCell ref="M947:N947"/>
    <mergeCell ref="Q947:R947"/>
    <mergeCell ref="A943:R943"/>
    <mergeCell ref="A944:P944"/>
    <mergeCell ref="Q944:R944"/>
    <mergeCell ref="D945:E945"/>
    <mergeCell ref="G945:I945"/>
    <mergeCell ref="J945:K945"/>
    <mergeCell ref="M945:N945"/>
    <mergeCell ref="Q945:R945"/>
    <mergeCell ref="A950:G950"/>
    <mergeCell ref="H950:K950"/>
    <mergeCell ref="L950:M950"/>
    <mergeCell ref="N950:P950"/>
    <mergeCell ref="Q950:R950"/>
    <mergeCell ref="A951:G951"/>
    <mergeCell ref="H951:K951"/>
    <mergeCell ref="L951:M951"/>
    <mergeCell ref="N951:P951"/>
    <mergeCell ref="Q951:R951"/>
    <mergeCell ref="D948:E948"/>
    <mergeCell ref="G948:I948"/>
    <mergeCell ref="J948:K948"/>
    <mergeCell ref="M948:N948"/>
    <mergeCell ref="Q948:R948"/>
    <mergeCell ref="D949:E949"/>
    <mergeCell ref="G949:I949"/>
    <mergeCell ref="J949:K949"/>
    <mergeCell ref="M949:N949"/>
    <mergeCell ref="Q949:R949"/>
    <mergeCell ref="D955:E955"/>
    <mergeCell ref="G955:I955"/>
    <mergeCell ref="J955:K955"/>
    <mergeCell ref="M955:N955"/>
    <mergeCell ref="Q955:R955"/>
    <mergeCell ref="D956:E956"/>
    <mergeCell ref="G956:I956"/>
    <mergeCell ref="J956:K956"/>
    <mergeCell ref="M956:N956"/>
    <mergeCell ref="Q956:R956"/>
    <mergeCell ref="A952:R952"/>
    <mergeCell ref="A953:P953"/>
    <mergeCell ref="Q953:R953"/>
    <mergeCell ref="D954:E954"/>
    <mergeCell ref="G954:I954"/>
    <mergeCell ref="J954:K954"/>
    <mergeCell ref="M954:N954"/>
    <mergeCell ref="Q954:R954"/>
    <mergeCell ref="A959:G959"/>
    <mergeCell ref="H959:K959"/>
    <mergeCell ref="L959:M959"/>
    <mergeCell ref="N959:P959"/>
    <mergeCell ref="Q959:R959"/>
    <mergeCell ref="A960:G960"/>
    <mergeCell ref="H960:K960"/>
    <mergeCell ref="L960:M960"/>
    <mergeCell ref="N960:P960"/>
    <mergeCell ref="Q960:R960"/>
    <mergeCell ref="D957:E957"/>
    <mergeCell ref="G957:I957"/>
    <mergeCell ref="J957:K957"/>
    <mergeCell ref="M957:N957"/>
    <mergeCell ref="Q957:R957"/>
    <mergeCell ref="D958:E958"/>
    <mergeCell ref="G958:I958"/>
    <mergeCell ref="J958:K958"/>
    <mergeCell ref="M958:N958"/>
    <mergeCell ref="Q958:R958"/>
    <mergeCell ref="D964:E964"/>
    <mergeCell ref="G964:I964"/>
    <mergeCell ref="J964:K964"/>
    <mergeCell ref="M964:N964"/>
    <mergeCell ref="Q964:R964"/>
    <mergeCell ref="D965:E965"/>
    <mergeCell ref="G965:I965"/>
    <mergeCell ref="J965:K965"/>
    <mergeCell ref="M965:N965"/>
    <mergeCell ref="Q965:R965"/>
    <mergeCell ref="A961:R961"/>
    <mergeCell ref="A962:P962"/>
    <mergeCell ref="Q962:R962"/>
    <mergeCell ref="D963:E963"/>
    <mergeCell ref="G963:I963"/>
    <mergeCell ref="J963:K963"/>
    <mergeCell ref="M963:N963"/>
    <mergeCell ref="Q963:R963"/>
    <mergeCell ref="A968:G968"/>
    <mergeCell ref="H968:K968"/>
    <mergeCell ref="L968:M968"/>
    <mergeCell ref="N968:P968"/>
    <mergeCell ref="Q968:R968"/>
    <mergeCell ref="A969:G969"/>
    <mergeCell ref="H969:K969"/>
    <mergeCell ref="L969:M969"/>
    <mergeCell ref="N969:P969"/>
    <mergeCell ref="Q969:R969"/>
    <mergeCell ref="D966:E966"/>
    <mergeCell ref="G966:I966"/>
    <mergeCell ref="J966:K966"/>
    <mergeCell ref="M966:N966"/>
    <mergeCell ref="Q966:R966"/>
    <mergeCell ref="D967:E967"/>
    <mergeCell ref="G967:I967"/>
    <mergeCell ref="J967:K967"/>
    <mergeCell ref="M967:N967"/>
    <mergeCell ref="Q967:R967"/>
    <mergeCell ref="D973:E973"/>
    <mergeCell ref="G973:I973"/>
    <mergeCell ref="J973:K973"/>
    <mergeCell ref="M973:N973"/>
    <mergeCell ref="Q973:R973"/>
    <mergeCell ref="D974:E974"/>
    <mergeCell ref="G974:I974"/>
    <mergeCell ref="J974:K974"/>
    <mergeCell ref="M974:N974"/>
    <mergeCell ref="Q974:R974"/>
    <mergeCell ref="A970:R970"/>
    <mergeCell ref="A971:P971"/>
    <mergeCell ref="Q971:R971"/>
    <mergeCell ref="D972:E972"/>
    <mergeCell ref="G972:I972"/>
    <mergeCell ref="J972:K972"/>
    <mergeCell ref="M972:N972"/>
    <mergeCell ref="Q972:R972"/>
    <mergeCell ref="A977:G977"/>
    <mergeCell ref="H977:K977"/>
    <mergeCell ref="L977:M977"/>
    <mergeCell ref="N977:P977"/>
    <mergeCell ref="Q977:R977"/>
    <mergeCell ref="A978:G978"/>
    <mergeCell ref="H978:K978"/>
    <mergeCell ref="L978:M978"/>
    <mergeCell ref="N978:P978"/>
    <mergeCell ref="Q978:R978"/>
    <mergeCell ref="D975:E975"/>
    <mergeCell ref="G975:I975"/>
    <mergeCell ref="J975:K975"/>
    <mergeCell ref="M975:N975"/>
    <mergeCell ref="Q975:R975"/>
    <mergeCell ref="D976:E976"/>
    <mergeCell ref="G976:I976"/>
    <mergeCell ref="J976:K976"/>
    <mergeCell ref="M976:N976"/>
    <mergeCell ref="Q976:R976"/>
    <mergeCell ref="D982:E982"/>
    <mergeCell ref="G982:I982"/>
    <mergeCell ref="J982:K982"/>
    <mergeCell ref="M982:N982"/>
    <mergeCell ref="Q982:R982"/>
    <mergeCell ref="D983:E983"/>
    <mergeCell ref="G983:I983"/>
    <mergeCell ref="J983:K983"/>
    <mergeCell ref="M983:N983"/>
    <mergeCell ref="Q983:R983"/>
    <mergeCell ref="A979:R979"/>
    <mergeCell ref="A980:P980"/>
    <mergeCell ref="Q980:R980"/>
    <mergeCell ref="D981:E981"/>
    <mergeCell ref="G981:I981"/>
    <mergeCell ref="J981:K981"/>
    <mergeCell ref="M981:N981"/>
    <mergeCell ref="Q981:R981"/>
    <mergeCell ref="A986:G986"/>
    <mergeCell ref="H986:K986"/>
    <mergeCell ref="L986:M986"/>
    <mergeCell ref="N986:P986"/>
    <mergeCell ref="Q986:R986"/>
    <mergeCell ref="A987:G987"/>
    <mergeCell ref="H987:K987"/>
    <mergeCell ref="L987:M987"/>
    <mergeCell ref="N987:P987"/>
    <mergeCell ref="Q987:R987"/>
    <mergeCell ref="D984:E984"/>
    <mergeCell ref="G984:I984"/>
    <mergeCell ref="J984:K984"/>
    <mergeCell ref="M984:N984"/>
    <mergeCell ref="Q984:R984"/>
    <mergeCell ref="D985:E985"/>
    <mergeCell ref="G985:I985"/>
    <mergeCell ref="J985:K985"/>
    <mergeCell ref="M985:N985"/>
    <mergeCell ref="Q985:R985"/>
    <mergeCell ref="D991:E991"/>
    <mergeCell ref="G991:I991"/>
    <mergeCell ref="J991:K991"/>
    <mergeCell ref="M991:N991"/>
    <mergeCell ref="Q991:R991"/>
    <mergeCell ref="D992:E992"/>
    <mergeCell ref="G992:I992"/>
    <mergeCell ref="J992:K992"/>
    <mergeCell ref="M992:N992"/>
    <mergeCell ref="Q992:R992"/>
    <mergeCell ref="A988:R988"/>
    <mergeCell ref="A989:P989"/>
    <mergeCell ref="Q989:R989"/>
    <mergeCell ref="D990:E990"/>
    <mergeCell ref="G990:I990"/>
    <mergeCell ref="J990:K990"/>
    <mergeCell ref="M990:N990"/>
    <mergeCell ref="Q990:R990"/>
    <mergeCell ref="A995:G995"/>
    <mergeCell ref="H995:K995"/>
    <mergeCell ref="L995:M995"/>
    <mergeCell ref="N995:P995"/>
    <mergeCell ref="Q995:R995"/>
    <mergeCell ref="A996:G996"/>
    <mergeCell ref="H996:K996"/>
    <mergeCell ref="L996:M996"/>
    <mergeCell ref="N996:P996"/>
    <mergeCell ref="Q996:R996"/>
    <mergeCell ref="D993:E993"/>
    <mergeCell ref="G993:I993"/>
    <mergeCell ref="J993:K993"/>
    <mergeCell ref="M993:N993"/>
    <mergeCell ref="Q993:R993"/>
    <mergeCell ref="D994:E994"/>
    <mergeCell ref="G994:I994"/>
    <mergeCell ref="J994:K994"/>
    <mergeCell ref="M994:N994"/>
    <mergeCell ref="Q994:R994"/>
    <mergeCell ref="D1000:E1000"/>
    <mergeCell ref="G1000:I1000"/>
    <mergeCell ref="J1000:K1000"/>
    <mergeCell ref="M1000:N1000"/>
    <mergeCell ref="Q1000:R1000"/>
    <mergeCell ref="D1001:E1001"/>
    <mergeCell ref="G1001:I1001"/>
    <mergeCell ref="J1001:K1001"/>
    <mergeCell ref="M1001:N1001"/>
    <mergeCell ref="Q1001:R1001"/>
    <mergeCell ref="A997:R997"/>
    <mergeCell ref="A998:P998"/>
    <mergeCell ref="Q998:R998"/>
    <mergeCell ref="D999:E999"/>
    <mergeCell ref="G999:I999"/>
    <mergeCell ref="J999:K999"/>
    <mergeCell ref="M999:N999"/>
    <mergeCell ref="Q999:R999"/>
    <mergeCell ref="A1004:G1004"/>
    <mergeCell ref="H1004:K1004"/>
    <mergeCell ref="L1004:M1004"/>
    <mergeCell ref="N1004:P1004"/>
    <mergeCell ref="Q1004:R1004"/>
    <mergeCell ref="A1005:G1005"/>
    <mergeCell ref="H1005:K1005"/>
    <mergeCell ref="L1005:M1005"/>
    <mergeCell ref="N1005:P1005"/>
    <mergeCell ref="Q1005:R1005"/>
    <mergeCell ref="D1002:E1002"/>
    <mergeCell ref="G1002:I1002"/>
    <mergeCell ref="J1002:K1002"/>
    <mergeCell ref="M1002:N1002"/>
    <mergeCell ref="Q1002:R1002"/>
    <mergeCell ref="D1003:E1003"/>
    <mergeCell ref="G1003:I1003"/>
    <mergeCell ref="J1003:K1003"/>
    <mergeCell ref="M1003:N1003"/>
    <mergeCell ref="Q1003:R1003"/>
    <mergeCell ref="D1009:E1009"/>
    <mergeCell ref="G1009:I1009"/>
    <mergeCell ref="J1009:K1009"/>
    <mergeCell ref="M1009:N1009"/>
    <mergeCell ref="Q1009:R1009"/>
    <mergeCell ref="D1010:E1010"/>
    <mergeCell ref="G1010:I1010"/>
    <mergeCell ref="J1010:K1010"/>
    <mergeCell ref="M1010:N1010"/>
    <mergeCell ref="Q1010:R1010"/>
    <mergeCell ref="A1006:R1006"/>
    <mergeCell ref="A1007:P1007"/>
    <mergeCell ref="Q1007:R1007"/>
    <mergeCell ref="D1008:E1008"/>
    <mergeCell ref="G1008:I1008"/>
    <mergeCell ref="J1008:K1008"/>
    <mergeCell ref="M1008:N1008"/>
    <mergeCell ref="Q1008:R1008"/>
    <mergeCell ref="A1013:R1013"/>
    <mergeCell ref="D1014:E1014"/>
    <mergeCell ref="G1014:I1014"/>
    <mergeCell ref="J1014:K1014"/>
    <mergeCell ref="M1014:N1014"/>
    <mergeCell ref="D1015:E1015"/>
    <mergeCell ref="G1015:I1015"/>
    <mergeCell ref="J1015:K1015"/>
    <mergeCell ref="M1015:N1015"/>
    <mergeCell ref="D1011:E1011"/>
    <mergeCell ref="G1011:I1011"/>
    <mergeCell ref="J1011:K1011"/>
    <mergeCell ref="M1011:N1011"/>
    <mergeCell ref="Q1011:R1011"/>
    <mergeCell ref="D1012:E1012"/>
    <mergeCell ref="G1012:I1012"/>
    <mergeCell ref="J1012:K1012"/>
    <mergeCell ref="M1012:N1012"/>
    <mergeCell ref="Q1012:R1012"/>
    <mergeCell ref="D1021:E1021"/>
    <mergeCell ref="G1021:I1021"/>
    <mergeCell ref="J1021:K1021"/>
    <mergeCell ref="M1021:N1021"/>
    <mergeCell ref="D1022:E1022"/>
    <mergeCell ref="G1022:I1022"/>
    <mergeCell ref="J1022:K1022"/>
    <mergeCell ref="M1022:N1022"/>
    <mergeCell ref="D1019:E1019"/>
    <mergeCell ref="G1019:I1019"/>
    <mergeCell ref="J1019:K1019"/>
    <mergeCell ref="M1019:N1019"/>
    <mergeCell ref="D1020:E1020"/>
    <mergeCell ref="G1020:I1020"/>
    <mergeCell ref="J1020:K1020"/>
    <mergeCell ref="M1020:N1020"/>
    <mergeCell ref="A1016:P1016"/>
    <mergeCell ref="A1017:P1017"/>
    <mergeCell ref="D1018:E1018"/>
    <mergeCell ref="G1018:I1018"/>
    <mergeCell ref="J1018:K1018"/>
    <mergeCell ref="M1018:N1018"/>
    <mergeCell ref="D1028:E1028"/>
    <mergeCell ref="G1028:I1028"/>
    <mergeCell ref="J1028:K1028"/>
    <mergeCell ref="M1028:N1028"/>
    <mergeCell ref="D1029:E1029"/>
    <mergeCell ref="G1029:I1029"/>
    <mergeCell ref="J1029:K1029"/>
    <mergeCell ref="M1029:N1029"/>
    <mergeCell ref="A1025:Q1025"/>
    <mergeCell ref="A1026:P1026"/>
    <mergeCell ref="D1027:E1027"/>
    <mergeCell ref="G1027:I1027"/>
    <mergeCell ref="J1027:K1027"/>
    <mergeCell ref="M1027:N1027"/>
    <mergeCell ref="A1023:G1023"/>
    <mergeCell ref="H1023:K1023"/>
    <mergeCell ref="L1023:M1023"/>
    <mergeCell ref="N1023:P1023"/>
    <mergeCell ref="A1024:G1024"/>
    <mergeCell ref="H1024:K1024"/>
    <mergeCell ref="L1024:M1024"/>
    <mergeCell ref="N1024:P1024"/>
    <mergeCell ref="D1034:E1034"/>
    <mergeCell ref="G1034:I1034"/>
    <mergeCell ref="J1034:K1034"/>
    <mergeCell ref="M1034:N1034"/>
    <mergeCell ref="A1035:P1035"/>
    <mergeCell ref="A1036:P1036"/>
    <mergeCell ref="D1032:E1032"/>
    <mergeCell ref="G1032:I1032"/>
    <mergeCell ref="J1032:K1032"/>
    <mergeCell ref="M1032:N1032"/>
    <mergeCell ref="D1033:E1033"/>
    <mergeCell ref="G1033:I1033"/>
    <mergeCell ref="J1033:K1033"/>
    <mergeCell ref="M1033:N1033"/>
    <mergeCell ref="D1030:E1030"/>
    <mergeCell ref="G1030:I1030"/>
    <mergeCell ref="J1030:K1030"/>
    <mergeCell ref="M1030:N1030"/>
    <mergeCell ref="D1031:E1031"/>
    <mergeCell ref="G1031:I1031"/>
    <mergeCell ref="J1031:K1031"/>
    <mergeCell ref="M1031:N1031"/>
    <mergeCell ref="D1041:E1041"/>
    <mergeCell ref="G1041:I1041"/>
    <mergeCell ref="J1041:K1041"/>
    <mergeCell ref="M1041:N1041"/>
    <mergeCell ref="A1042:G1042"/>
    <mergeCell ref="H1042:K1042"/>
    <mergeCell ref="L1042:M1042"/>
    <mergeCell ref="N1042:P1042"/>
    <mergeCell ref="D1039:E1039"/>
    <mergeCell ref="G1039:I1039"/>
    <mergeCell ref="J1039:K1039"/>
    <mergeCell ref="M1039:N1039"/>
    <mergeCell ref="D1040:E1040"/>
    <mergeCell ref="G1040:I1040"/>
    <mergeCell ref="J1040:K1040"/>
    <mergeCell ref="M1040:N1040"/>
    <mergeCell ref="D1037:E1037"/>
    <mergeCell ref="G1037:I1037"/>
    <mergeCell ref="J1037:K1037"/>
    <mergeCell ref="M1037:N1037"/>
    <mergeCell ref="D1038:E1038"/>
    <mergeCell ref="G1038:I1038"/>
    <mergeCell ref="J1038:K1038"/>
    <mergeCell ref="M1038:N1038"/>
    <mergeCell ref="D1048:E1048"/>
    <mergeCell ref="G1048:I1048"/>
    <mergeCell ref="J1048:K1048"/>
    <mergeCell ref="M1048:N1048"/>
    <mergeCell ref="D1049:E1049"/>
    <mergeCell ref="G1049:I1049"/>
    <mergeCell ref="J1049:K1049"/>
    <mergeCell ref="M1049:N1049"/>
    <mergeCell ref="D1046:E1046"/>
    <mergeCell ref="G1046:I1046"/>
    <mergeCell ref="J1046:K1046"/>
    <mergeCell ref="M1046:N1046"/>
    <mergeCell ref="D1047:E1047"/>
    <mergeCell ref="G1047:I1047"/>
    <mergeCell ref="J1047:K1047"/>
    <mergeCell ref="M1047:N1047"/>
    <mergeCell ref="A1043:G1043"/>
    <mergeCell ref="H1043:K1043"/>
    <mergeCell ref="L1043:M1043"/>
    <mergeCell ref="N1043:P1043"/>
    <mergeCell ref="A1044:Q1044"/>
    <mergeCell ref="A1045:P1045"/>
    <mergeCell ref="A1054:P1054"/>
    <mergeCell ref="A1055:P1055"/>
    <mergeCell ref="D1056:E1056"/>
    <mergeCell ref="G1056:I1056"/>
    <mergeCell ref="J1056:K1056"/>
    <mergeCell ref="M1056:N1056"/>
    <mergeCell ref="D1052:E1052"/>
    <mergeCell ref="G1052:I1052"/>
    <mergeCell ref="J1052:K1052"/>
    <mergeCell ref="M1052:N1052"/>
    <mergeCell ref="D1053:E1053"/>
    <mergeCell ref="G1053:I1053"/>
    <mergeCell ref="J1053:K1053"/>
    <mergeCell ref="M1053:N1053"/>
    <mergeCell ref="D1050:E1050"/>
    <mergeCell ref="G1050:I1050"/>
    <mergeCell ref="J1050:K1050"/>
    <mergeCell ref="M1050:N1050"/>
    <mergeCell ref="D1051:E1051"/>
    <mergeCell ref="G1051:I1051"/>
    <mergeCell ref="J1051:K1051"/>
    <mergeCell ref="M1051:N1051"/>
    <mergeCell ref="A1061:G1061"/>
    <mergeCell ref="H1061:K1061"/>
    <mergeCell ref="L1061:M1061"/>
    <mergeCell ref="N1061:P1061"/>
    <mergeCell ref="A1062:G1062"/>
    <mergeCell ref="H1062:K1062"/>
    <mergeCell ref="L1062:M1062"/>
    <mergeCell ref="N1062:P1062"/>
    <mergeCell ref="D1059:E1059"/>
    <mergeCell ref="G1059:I1059"/>
    <mergeCell ref="J1059:K1059"/>
    <mergeCell ref="M1059:N1059"/>
    <mergeCell ref="D1060:E1060"/>
    <mergeCell ref="G1060:I1060"/>
    <mergeCell ref="J1060:K1060"/>
    <mergeCell ref="M1060:N1060"/>
    <mergeCell ref="D1057:E1057"/>
    <mergeCell ref="G1057:I1057"/>
    <mergeCell ref="J1057:K1057"/>
    <mergeCell ref="M1057:N1057"/>
    <mergeCell ref="D1058:E1058"/>
    <mergeCell ref="G1058:I1058"/>
    <mergeCell ref="J1058:K1058"/>
    <mergeCell ref="M1058:N1058"/>
    <mergeCell ref="D1068:E1068"/>
    <mergeCell ref="G1068:I1068"/>
    <mergeCell ref="J1068:K1068"/>
    <mergeCell ref="M1068:N1068"/>
    <mergeCell ref="D1069:E1069"/>
    <mergeCell ref="G1069:I1069"/>
    <mergeCell ref="J1069:K1069"/>
    <mergeCell ref="M1069:N1069"/>
    <mergeCell ref="D1066:E1066"/>
    <mergeCell ref="G1066:I1066"/>
    <mergeCell ref="J1066:K1066"/>
    <mergeCell ref="M1066:N1066"/>
    <mergeCell ref="D1067:E1067"/>
    <mergeCell ref="G1067:I1067"/>
    <mergeCell ref="J1067:K1067"/>
    <mergeCell ref="M1067:N1067"/>
    <mergeCell ref="A1063:Q1063"/>
    <mergeCell ref="A1064:P1064"/>
    <mergeCell ref="D1065:E1065"/>
    <mergeCell ref="G1065:I1065"/>
    <mergeCell ref="J1065:K1065"/>
    <mergeCell ref="M1065:N1065"/>
    <mergeCell ref="D1075:E1075"/>
    <mergeCell ref="G1075:I1075"/>
    <mergeCell ref="J1075:K1075"/>
    <mergeCell ref="M1075:N1075"/>
    <mergeCell ref="D1076:E1076"/>
    <mergeCell ref="G1076:I1076"/>
    <mergeCell ref="J1076:K1076"/>
    <mergeCell ref="M1076:N1076"/>
    <mergeCell ref="D1072:E1072"/>
    <mergeCell ref="G1072:I1072"/>
    <mergeCell ref="J1072:K1072"/>
    <mergeCell ref="M1072:N1072"/>
    <mergeCell ref="A1073:P1073"/>
    <mergeCell ref="A1074:P1074"/>
    <mergeCell ref="D1070:E1070"/>
    <mergeCell ref="G1070:I1070"/>
    <mergeCell ref="J1070:K1070"/>
    <mergeCell ref="M1070:N1070"/>
    <mergeCell ref="D1071:E1071"/>
    <mergeCell ref="G1071:I1071"/>
    <mergeCell ref="J1071:K1071"/>
    <mergeCell ref="M1071:N1071"/>
    <mergeCell ref="A1081:G1081"/>
    <mergeCell ref="H1081:K1081"/>
    <mergeCell ref="L1081:M1081"/>
    <mergeCell ref="N1081:P1081"/>
    <mergeCell ref="A1082:Q1082"/>
    <mergeCell ref="A1083:P1083"/>
    <mergeCell ref="D1079:E1079"/>
    <mergeCell ref="G1079:I1079"/>
    <mergeCell ref="J1079:K1079"/>
    <mergeCell ref="M1079:N1079"/>
    <mergeCell ref="A1080:G1080"/>
    <mergeCell ref="H1080:K1080"/>
    <mergeCell ref="L1080:M1080"/>
    <mergeCell ref="N1080:P1080"/>
    <mergeCell ref="D1077:E1077"/>
    <mergeCell ref="G1077:I1077"/>
    <mergeCell ref="J1077:K1077"/>
    <mergeCell ref="M1077:N1077"/>
    <mergeCell ref="D1078:E1078"/>
    <mergeCell ref="G1078:I1078"/>
    <mergeCell ref="J1078:K1078"/>
    <mergeCell ref="M1078:N1078"/>
    <mergeCell ref="D1088:E1088"/>
    <mergeCell ref="G1088:I1088"/>
    <mergeCell ref="J1088:K1088"/>
    <mergeCell ref="M1088:N1088"/>
    <mergeCell ref="D1089:E1089"/>
    <mergeCell ref="G1089:I1089"/>
    <mergeCell ref="J1089:K1089"/>
    <mergeCell ref="M1089:N1089"/>
    <mergeCell ref="D1086:E1086"/>
    <mergeCell ref="G1086:I1086"/>
    <mergeCell ref="J1086:K1086"/>
    <mergeCell ref="M1086:N1086"/>
    <mergeCell ref="D1087:E1087"/>
    <mergeCell ref="G1087:I1087"/>
    <mergeCell ref="J1087:K1087"/>
    <mergeCell ref="M1087:N1087"/>
    <mergeCell ref="D1084:E1084"/>
    <mergeCell ref="G1084:I1084"/>
    <mergeCell ref="J1084:K1084"/>
    <mergeCell ref="M1084:N1084"/>
    <mergeCell ref="D1085:E1085"/>
    <mergeCell ref="G1085:I1085"/>
    <mergeCell ref="J1085:K1085"/>
    <mergeCell ref="M1085:N1085"/>
    <mergeCell ref="D1095:E1095"/>
    <mergeCell ref="G1095:I1095"/>
    <mergeCell ref="J1095:K1095"/>
    <mergeCell ref="M1095:N1095"/>
    <mergeCell ref="D1096:E1096"/>
    <mergeCell ref="G1096:I1096"/>
    <mergeCell ref="J1096:K1096"/>
    <mergeCell ref="M1096:N1096"/>
    <mergeCell ref="A1092:P1092"/>
    <mergeCell ref="A1093:P1093"/>
    <mergeCell ref="D1094:E1094"/>
    <mergeCell ref="G1094:I1094"/>
    <mergeCell ref="J1094:K1094"/>
    <mergeCell ref="M1094:N1094"/>
    <mergeCell ref="D1090:E1090"/>
    <mergeCell ref="G1090:I1090"/>
    <mergeCell ref="J1090:K1090"/>
    <mergeCell ref="M1090:N1090"/>
    <mergeCell ref="D1091:E1091"/>
    <mergeCell ref="G1091:I1091"/>
    <mergeCell ref="J1091:K1091"/>
    <mergeCell ref="M1091:N1091"/>
    <mergeCell ref="A1101:Q1101"/>
    <mergeCell ref="A1102:P1102"/>
    <mergeCell ref="D1103:E1103"/>
    <mergeCell ref="G1103:I1103"/>
    <mergeCell ref="J1103:K1103"/>
    <mergeCell ref="M1103:N1103"/>
    <mergeCell ref="A1099:G1099"/>
    <mergeCell ref="H1099:K1099"/>
    <mergeCell ref="L1099:M1099"/>
    <mergeCell ref="N1099:P1099"/>
    <mergeCell ref="A1100:G1100"/>
    <mergeCell ref="H1100:K1100"/>
    <mergeCell ref="L1100:M1100"/>
    <mergeCell ref="N1100:P1100"/>
    <mergeCell ref="D1097:E1097"/>
    <mergeCell ref="G1097:I1097"/>
    <mergeCell ref="J1097:K1097"/>
    <mergeCell ref="M1097:N1097"/>
    <mergeCell ref="D1098:E1098"/>
    <mergeCell ref="G1098:I1098"/>
    <mergeCell ref="J1098:K1098"/>
    <mergeCell ref="M1098:N1098"/>
    <mergeCell ref="D1108:E1108"/>
    <mergeCell ref="G1108:I1108"/>
    <mergeCell ref="J1108:K1108"/>
    <mergeCell ref="M1108:N1108"/>
    <mergeCell ref="D1109:E1109"/>
    <mergeCell ref="G1109:I1109"/>
    <mergeCell ref="J1109:K1109"/>
    <mergeCell ref="M1109:N1109"/>
    <mergeCell ref="D1106:E1106"/>
    <mergeCell ref="G1106:I1106"/>
    <mergeCell ref="J1106:K1106"/>
    <mergeCell ref="M1106:N1106"/>
    <mergeCell ref="D1107:E1107"/>
    <mergeCell ref="G1107:I1107"/>
    <mergeCell ref="J1107:K1107"/>
    <mergeCell ref="M1107:N1107"/>
    <mergeCell ref="D1104:E1104"/>
    <mergeCell ref="G1104:I1104"/>
    <mergeCell ref="J1104:K1104"/>
    <mergeCell ref="M1104:N1104"/>
    <mergeCell ref="D1105:E1105"/>
    <mergeCell ref="G1105:I1105"/>
    <mergeCell ref="J1105:K1105"/>
    <mergeCell ref="M1105:N1105"/>
    <mergeCell ref="D1115:E1115"/>
    <mergeCell ref="G1115:I1115"/>
    <mergeCell ref="J1115:K1115"/>
    <mergeCell ref="M1115:N1115"/>
    <mergeCell ref="D1116:E1116"/>
    <mergeCell ref="G1116:I1116"/>
    <mergeCell ref="J1116:K1116"/>
    <mergeCell ref="M1116:N1116"/>
    <mergeCell ref="D1113:E1113"/>
    <mergeCell ref="G1113:I1113"/>
    <mergeCell ref="J1113:K1113"/>
    <mergeCell ref="M1113:N1113"/>
    <mergeCell ref="D1114:E1114"/>
    <mergeCell ref="G1114:I1114"/>
    <mergeCell ref="J1114:K1114"/>
    <mergeCell ref="M1114:N1114"/>
    <mergeCell ref="D1110:E1110"/>
    <mergeCell ref="G1110:I1110"/>
    <mergeCell ref="J1110:K1110"/>
    <mergeCell ref="M1110:N1110"/>
    <mergeCell ref="A1111:P1111"/>
    <mergeCell ref="A1112:P1112"/>
    <mergeCell ref="D1122:E1122"/>
    <mergeCell ref="G1122:I1122"/>
    <mergeCell ref="J1122:K1122"/>
    <mergeCell ref="M1122:N1122"/>
    <mergeCell ref="D1123:E1123"/>
    <mergeCell ref="G1123:I1123"/>
    <mergeCell ref="J1123:K1123"/>
    <mergeCell ref="M1123:N1123"/>
    <mergeCell ref="A1119:G1119"/>
    <mergeCell ref="H1119:K1119"/>
    <mergeCell ref="L1119:M1119"/>
    <mergeCell ref="N1119:P1119"/>
    <mergeCell ref="A1120:Q1120"/>
    <mergeCell ref="A1121:P1121"/>
    <mergeCell ref="D1117:E1117"/>
    <mergeCell ref="G1117:I1117"/>
    <mergeCell ref="J1117:K1117"/>
    <mergeCell ref="M1117:N1117"/>
    <mergeCell ref="A1118:G1118"/>
    <mergeCell ref="H1118:K1118"/>
    <mergeCell ref="L1118:M1118"/>
    <mergeCell ref="N1118:P1118"/>
    <mergeCell ref="D1128:E1128"/>
    <mergeCell ref="G1128:I1128"/>
    <mergeCell ref="J1128:K1128"/>
    <mergeCell ref="M1128:N1128"/>
    <mergeCell ref="D1129:E1129"/>
    <mergeCell ref="G1129:I1129"/>
    <mergeCell ref="J1129:K1129"/>
    <mergeCell ref="M1129:N1129"/>
    <mergeCell ref="D1126:E1126"/>
    <mergeCell ref="G1126:I1126"/>
    <mergeCell ref="J1126:K1126"/>
    <mergeCell ref="M1126:N1126"/>
    <mergeCell ref="D1127:E1127"/>
    <mergeCell ref="G1127:I1127"/>
    <mergeCell ref="J1127:K1127"/>
    <mergeCell ref="M1127:N1127"/>
    <mergeCell ref="D1124:E1124"/>
    <mergeCell ref="G1124:I1124"/>
    <mergeCell ref="J1124:K1124"/>
    <mergeCell ref="M1124:N1124"/>
    <mergeCell ref="D1125:E1125"/>
    <mergeCell ref="G1125:I1125"/>
    <mergeCell ref="J1125:K1125"/>
    <mergeCell ref="M1125:N1125"/>
    <mergeCell ref="D1135:E1135"/>
    <mergeCell ref="G1135:I1135"/>
    <mergeCell ref="J1135:K1135"/>
    <mergeCell ref="M1135:N1135"/>
    <mergeCell ref="D1136:E1136"/>
    <mergeCell ref="G1136:I1136"/>
    <mergeCell ref="J1136:K1136"/>
    <mergeCell ref="M1136:N1136"/>
    <mergeCell ref="A1132:P1132"/>
    <mergeCell ref="A1133:P1133"/>
    <mergeCell ref="D1134:E1134"/>
    <mergeCell ref="G1134:I1134"/>
    <mergeCell ref="J1134:K1134"/>
    <mergeCell ref="M1134:N1134"/>
    <mergeCell ref="D1130:E1130"/>
    <mergeCell ref="G1130:I1130"/>
    <mergeCell ref="J1130:K1130"/>
    <mergeCell ref="M1130:N1130"/>
    <mergeCell ref="D1131:E1131"/>
    <mergeCell ref="G1131:I1131"/>
    <mergeCell ref="J1131:K1131"/>
    <mergeCell ref="M1131:N1131"/>
    <mergeCell ref="A1141:G1141"/>
    <mergeCell ref="H1141:K1141"/>
    <mergeCell ref="L1141:M1141"/>
    <mergeCell ref="N1141:P1141"/>
    <mergeCell ref="A1142:G1142"/>
    <mergeCell ref="H1142:K1142"/>
    <mergeCell ref="L1142:M1142"/>
    <mergeCell ref="N1142:P1142"/>
    <mergeCell ref="D1139:E1139"/>
    <mergeCell ref="G1139:I1139"/>
    <mergeCell ref="J1139:K1139"/>
    <mergeCell ref="M1139:N1139"/>
    <mergeCell ref="D1140:E1140"/>
    <mergeCell ref="G1140:I1140"/>
    <mergeCell ref="J1140:K1140"/>
    <mergeCell ref="M1140:N1140"/>
    <mergeCell ref="D1137:E1137"/>
    <mergeCell ref="G1137:I1137"/>
    <mergeCell ref="J1137:K1137"/>
    <mergeCell ref="M1137:N1137"/>
    <mergeCell ref="D1138:E1138"/>
    <mergeCell ref="G1138:I1138"/>
    <mergeCell ref="J1138:K1138"/>
    <mergeCell ref="M1138:N1138"/>
    <mergeCell ref="D1148:E1148"/>
    <mergeCell ref="G1148:I1148"/>
    <mergeCell ref="J1148:K1148"/>
    <mergeCell ref="M1148:N1148"/>
    <mergeCell ref="D1149:E1149"/>
    <mergeCell ref="G1149:I1149"/>
    <mergeCell ref="J1149:K1149"/>
    <mergeCell ref="M1149:N1149"/>
    <mergeCell ref="D1146:E1146"/>
    <mergeCell ref="G1146:I1146"/>
    <mergeCell ref="J1146:K1146"/>
    <mergeCell ref="M1146:N1146"/>
    <mergeCell ref="D1147:E1147"/>
    <mergeCell ref="G1147:I1147"/>
    <mergeCell ref="J1147:K1147"/>
    <mergeCell ref="M1147:N1147"/>
    <mergeCell ref="A1143:Q1143"/>
    <mergeCell ref="A1144:P1144"/>
    <mergeCell ref="D1145:E1145"/>
    <mergeCell ref="G1145:I1145"/>
    <mergeCell ref="J1145:K1145"/>
    <mergeCell ref="M1145:N1145"/>
    <mergeCell ref="D1155:E1155"/>
    <mergeCell ref="G1155:I1155"/>
    <mergeCell ref="J1155:K1155"/>
    <mergeCell ref="M1155:N1155"/>
    <mergeCell ref="D1156:E1156"/>
    <mergeCell ref="G1156:I1156"/>
    <mergeCell ref="J1156:K1156"/>
    <mergeCell ref="M1156:N1156"/>
    <mergeCell ref="D1152:E1152"/>
    <mergeCell ref="G1152:I1152"/>
    <mergeCell ref="J1152:K1152"/>
    <mergeCell ref="M1152:N1152"/>
    <mergeCell ref="A1153:P1153"/>
    <mergeCell ref="A1154:P1154"/>
    <mergeCell ref="D1150:E1150"/>
    <mergeCell ref="G1150:I1150"/>
    <mergeCell ref="J1150:K1150"/>
    <mergeCell ref="M1150:N1150"/>
    <mergeCell ref="D1151:E1151"/>
    <mergeCell ref="G1151:I1151"/>
    <mergeCell ref="J1151:K1151"/>
    <mergeCell ref="M1151:N1151"/>
    <mergeCell ref="A1161:G1161"/>
    <mergeCell ref="H1161:K1161"/>
    <mergeCell ref="L1161:M1161"/>
    <mergeCell ref="N1161:P1161"/>
    <mergeCell ref="A1162:G1162"/>
    <mergeCell ref="H1162:K1162"/>
    <mergeCell ref="L1162:M1162"/>
    <mergeCell ref="N1162:P1162"/>
    <mergeCell ref="D1159:E1159"/>
    <mergeCell ref="G1159:I1159"/>
    <mergeCell ref="J1159:K1159"/>
    <mergeCell ref="M1159:N1159"/>
    <mergeCell ref="D1160:E1160"/>
    <mergeCell ref="G1160:I1160"/>
    <mergeCell ref="J1160:K1160"/>
    <mergeCell ref="M1160:N1160"/>
    <mergeCell ref="D1157:E1157"/>
    <mergeCell ref="G1157:I1157"/>
    <mergeCell ref="J1157:K1157"/>
    <mergeCell ref="M1157:N1157"/>
    <mergeCell ref="D1158:E1158"/>
    <mergeCell ref="G1158:I1158"/>
    <mergeCell ref="J1158:K1158"/>
    <mergeCell ref="M1158:N1158"/>
    <mergeCell ref="D1168:E1168"/>
    <mergeCell ref="G1168:I1168"/>
    <mergeCell ref="J1168:K1168"/>
    <mergeCell ref="M1168:N1168"/>
    <mergeCell ref="D1169:E1169"/>
    <mergeCell ref="G1169:I1169"/>
    <mergeCell ref="J1169:K1169"/>
    <mergeCell ref="M1169:N1169"/>
    <mergeCell ref="D1166:E1166"/>
    <mergeCell ref="G1166:I1166"/>
    <mergeCell ref="J1166:K1166"/>
    <mergeCell ref="M1166:N1166"/>
    <mergeCell ref="D1167:E1167"/>
    <mergeCell ref="G1167:I1167"/>
    <mergeCell ref="J1167:K1167"/>
    <mergeCell ref="M1167:N1167"/>
    <mergeCell ref="A1163:Q1163"/>
    <mergeCell ref="A1164:P1164"/>
    <mergeCell ref="D1165:E1165"/>
    <mergeCell ref="G1165:I1165"/>
    <mergeCell ref="J1165:K1165"/>
    <mergeCell ref="M1165:N1165"/>
    <mergeCell ref="D1175:E1175"/>
    <mergeCell ref="G1175:I1175"/>
    <mergeCell ref="J1175:K1175"/>
    <mergeCell ref="M1175:N1175"/>
    <mergeCell ref="D1176:E1176"/>
    <mergeCell ref="G1176:I1176"/>
    <mergeCell ref="J1176:K1176"/>
    <mergeCell ref="M1176:N1176"/>
    <mergeCell ref="D1172:E1172"/>
    <mergeCell ref="G1172:I1172"/>
    <mergeCell ref="J1172:K1172"/>
    <mergeCell ref="M1172:N1172"/>
    <mergeCell ref="A1173:P1173"/>
    <mergeCell ref="A1174:P1174"/>
    <mergeCell ref="D1170:E1170"/>
    <mergeCell ref="G1170:I1170"/>
    <mergeCell ref="J1170:K1170"/>
    <mergeCell ref="M1170:N1170"/>
    <mergeCell ref="D1171:E1171"/>
    <mergeCell ref="G1171:I1171"/>
    <mergeCell ref="J1171:K1171"/>
    <mergeCell ref="M1171:N1171"/>
    <mergeCell ref="A1181:G1181"/>
    <mergeCell ref="H1181:K1181"/>
    <mergeCell ref="L1181:M1181"/>
    <mergeCell ref="N1181:P1181"/>
    <mergeCell ref="A1182:Q1182"/>
    <mergeCell ref="A1183:P1183"/>
    <mergeCell ref="D1179:E1179"/>
    <mergeCell ref="G1179:I1179"/>
    <mergeCell ref="J1179:K1179"/>
    <mergeCell ref="M1179:N1179"/>
    <mergeCell ref="A1180:G1180"/>
    <mergeCell ref="H1180:K1180"/>
    <mergeCell ref="L1180:M1180"/>
    <mergeCell ref="N1180:P1180"/>
    <mergeCell ref="D1177:E1177"/>
    <mergeCell ref="G1177:I1177"/>
    <mergeCell ref="J1177:K1177"/>
    <mergeCell ref="M1177:N1177"/>
    <mergeCell ref="D1178:E1178"/>
    <mergeCell ref="G1178:I1178"/>
    <mergeCell ref="J1178:K1178"/>
    <mergeCell ref="M1178:N1178"/>
    <mergeCell ref="D1188:E1188"/>
    <mergeCell ref="G1188:I1188"/>
    <mergeCell ref="J1188:K1188"/>
    <mergeCell ref="M1188:N1188"/>
    <mergeCell ref="D1189:E1189"/>
    <mergeCell ref="G1189:I1189"/>
    <mergeCell ref="J1189:K1189"/>
    <mergeCell ref="M1189:N1189"/>
    <mergeCell ref="D1186:E1186"/>
    <mergeCell ref="G1186:I1186"/>
    <mergeCell ref="J1186:K1186"/>
    <mergeCell ref="M1186:N1186"/>
    <mergeCell ref="D1187:E1187"/>
    <mergeCell ref="G1187:I1187"/>
    <mergeCell ref="J1187:K1187"/>
    <mergeCell ref="M1187:N1187"/>
    <mergeCell ref="D1184:E1184"/>
    <mergeCell ref="G1184:I1184"/>
    <mergeCell ref="J1184:K1184"/>
    <mergeCell ref="M1184:N1184"/>
    <mergeCell ref="D1185:E1185"/>
    <mergeCell ref="G1185:I1185"/>
    <mergeCell ref="J1185:K1185"/>
    <mergeCell ref="M1185:N1185"/>
    <mergeCell ref="D1195:E1195"/>
    <mergeCell ref="G1195:I1195"/>
    <mergeCell ref="J1195:K1195"/>
    <mergeCell ref="M1195:N1195"/>
    <mergeCell ref="D1196:E1196"/>
    <mergeCell ref="G1196:I1196"/>
    <mergeCell ref="J1196:K1196"/>
    <mergeCell ref="M1196:N1196"/>
    <mergeCell ref="A1192:P1192"/>
    <mergeCell ref="A1193:P1193"/>
    <mergeCell ref="D1194:E1194"/>
    <mergeCell ref="G1194:I1194"/>
    <mergeCell ref="J1194:K1194"/>
    <mergeCell ref="M1194:N1194"/>
    <mergeCell ref="D1190:E1190"/>
    <mergeCell ref="G1190:I1190"/>
    <mergeCell ref="J1190:K1190"/>
    <mergeCell ref="M1190:N1190"/>
    <mergeCell ref="D1191:E1191"/>
    <mergeCell ref="G1191:I1191"/>
    <mergeCell ref="J1191:K1191"/>
    <mergeCell ref="M1191:N1191"/>
    <mergeCell ref="A1201:Q1201"/>
    <mergeCell ref="A1202:P1202"/>
    <mergeCell ref="D1203:E1203"/>
    <mergeCell ref="G1203:I1203"/>
    <mergeCell ref="J1203:K1203"/>
    <mergeCell ref="M1203:N1203"/>
    <mergeCell ref="A1199:G1199"/>
    <mergeCell ref="H1199:K1199"/>
    <mergeCell ref="L1199:M1199"/>
    <mergeCell ref="N1199:P1199"/>
    <mergeCell ref="A1200:G1200"/>
    <mergeCell ref="H1200:K1200"/>
    <mergeCell ref="L1200:M1200"/>
    <mergeCell ref="N1200:P1200"/>
    <mergeCell ref="D1197:E1197"/>
    <mergeCell ref="G1197:I1197"/>
    <mergeCell ref="J1197:K1197"/>
    <mergeCell ref="M1197:N1197"/>
    <mergeCell ref="D1198:E1198"/>
    <mergeCell ref="G1198:I1198"/>
    <mergeCell ref="J1198:K1198"/>
    <mergeCell ref="M1198:N1198"/>
    <mergeCell ref="D1208:E1208"/>
    <mergeCell ref="G1208:I1208"/>
    <mergeCell ref="J1208:K1208"/>
    <mergeCell ref="M1208:N1208"/>
    <mergeCell ref="D1209:E1209"/>
    <mergeCell ref="G1209:I1209"/>
    <mergeCell ref="J1209:K1209"/>
    <mergeCell ref="M1209:N1209"/>
    <mergeCell ref="D1206:E1206"/>
    <mergeCell ref="G1206:I1206"/>
    <mergeCell ref="J1206:K1206"/>
    <mergeCell ref="M1206:N1206"/>
    <mergeCell ref="D1207:E1207"/>
    <mergeCell ref="G1207:I1207"/>
    <mergeCell ref="J1207:K1207"/>
    <mergeCell ref="M1207:N1207"/>
    <mergeCell ref="D1204:E1204"/>
    <mergeCell ref="G1204:I1204"/>
    <mergeCell ref="J1204:K1204"/>
    <mergeCell ref="M1204:N1204"/>
    <mergeCell ref="D1205:E1205"/>
    <mergeCell ref="G1205:I1205"/>
    <mergeCell ref="J1205:K1205"/>
    <mergeCell ref="M1205:N1205"/>
    <mergeCell ref="D1215:E1215"/>
    <mergeCell ref="G1215:I1215"/>
    <mergeCell ref="J1215:K1215"/>
    <mergeCell ref="M1215:N1215"/>
    <mergeCell ref="D1216:E1216"/>
    <mergeCell ref="G1216:I1216"/>
    <mergeCell ref="J1216:K1216"/>
    <mergeCell ref="M1216:N1216"/>
    <mergeCell ref="D1213:E1213"/>
    <mergeCell ref="G1213:I1213"/>
    <mergeCell ref="J1213:K1213"/>
    <mergeCell ref="M1213:N1213"/>
    <mergeCell ref="D1214:E1214"/>
    <mergeCell ref="G1214:I1214"/>
    <mergeCell ref="J1214:K1214"/>
    <mergeCell ref="M1214:N1214"/>
    <mergeCell ref="D1210:E1210"/>
    <mergeCell ref="G1210:I1210"/>
    <mergeCell ref="J1210:K1210"/>
    <mergeCell ref="M1210:N1210"/>
    <mergeCell ref="A1211:P1211"/>
    <mergeCell ref="A1212:P1212"/>
    <mergeCell ref="D1222:E1222"/>
    <mergeCell ref="G1222:I1222"/>
    <mergeCell ref="J1222:K1222"/>
    <mergeCell ref="M1222:N1222"/>
    <mergeCell ref="D1223:E1223"/>
    <mergeCell ref="G1223:I1223"/>
    <mergeCell ref="J1223:K1223"/>
    <mergeCell ref="M1223:N1223"/>
    <mergeCell ref="A1219:G1219"/>
    <mergeCell ref="H1219:K1219"/>
    <mergeCell ref="L1219:M1219"/>
    <mergeCell ref="N1219:P1219"/>
    <mergeCell ref="A1220:Q1220"/>
    <mergeCell ref="A1221:P1221"/>
    <mergeCell ref="D1217:E1217"/>
    <mergeCell ref="G1217:I1217"/>
    <mergeCell ref="J1217:K1217"/>
    <mergeCell ref="M1217:N1217"/>
    <mergeCell ref="A1218:G1218"/>
    <mergeCell ref="H1218:K1218"/>
    <mergeCell ref="L1218:M1218"/>
    <mergeCell ref="N1218:P1218"/>
    <mergeCell ref="D1228:E1228"/>
    <mergeCell ref="G1228:I1228"/>
    <mergeCell ref="J1228:K1228"/>
    <mergeCell ref="M1228:N1228"/>
    <mergeCell ref="D1229:E1229"/>
    <mergeCell ref="G1229:I1229"/>
    <mergeCell ref="J1229:K1229"/>
    <mergeCell ref="M1229:N1229"/>
    <mergeCell ref="D1226:E1226"/>
    <mergeCell ref="G1226:I1226"/>
    <mergeCell ref="J1226:K1226"/>
    <mergeCell ref="M1226:N1226"/>
    <mergeCell ref="D1227:E1227"/>
    <mergeCell ref="G1227:I1227"/>
    <mergeCell ref="J1227:K1227"/>
    <mergeCell ref="M1227:N1227"/>
    <mergeCell ref="D1224:E1224"/>
    <mergeCell ref="G1224:I1224"/>
    <mergeCell ref="J1224:K1224"/>
    <mergeCell ref="M1224:N1224"/>
    <mergeCell ref="D1225:E1225"/>
    <mergeCell ref="G1225:I1225"/>
    <mergeCell ref="J1225:K1225"/>
    <mergeCell ref="M1225:N1225"/>
    <mergeCell ref="D1235:E1235"/>
    <mergeCell ref="G1235:I1235"/>
    <mergeCell ref="J1235:K1235"/>
    <mergeCell ref="M1235:N1235"/>
    <mergeCell ref="D1236:E1236"/>
    <mergeCell ref="G1236:I1236"/>
    <mergeCell ref="J1236:K1236"/>
    <mergeCell ref="M1236:N1236"/>
    <mergeCell ref="D1233:E1233"/>
    <mergeCell ref="G1233:I1233"/>
    <mergeCell ref="J1233:K1233"/>
    <mergeCell ref="M1233:N1233"/>
    <mergeCell ref="D1234:E1234"/>
    <mergeCell ref="G1234:I1234"/>
    <mergeCell ref="J1234:K1234"/>
    <mergeCell ref="M1234:N1234"/>
    <mergeCell ref="D1230:E1230"/>
    <mergeCell ref="G1230:I1230"/>
    <mergeCell ref="J1230:K1230"/>
    <mergeCell ref="M1230:N1230"/>
    <mergeCell ref="A1231:P1231"/>
    <mergeCell ref="A1232:P1232"/>
    <mergeCell ref="D1242:E1242"/>
    <mergeCell ref="G1242:I1242"/>
    <mergeCell ref="J1242:K1242"/>
    <mergeCell ref="M1242:N1242"/>
    <mergeCell ref="D1243:E1243"/>
    <mergeCell ref="G1243:I1243"/>
    <mergeCell ref="J1243:K1243"/>
    <mergeCell ref="M1243:N1243"/>
    <mergeCell ref="D1239:E1239"/>
    <mergeCell ref="G1239:I1239"/>
    <mergeCell ref="J1239:K1239"/>
    <mergeCell ref="M1239:N1239"/>
    <mergeCell ref="A1240:P1240"/>
    <mergeCell ref="A1241:P1241"/>
    <mergeCell ref="D1237:E1237"/>
    <mergeCell ref="G1237:I1237"/>
    <mergeCell ref="J1237:K1237"/>
    <mergeCell ref="M1237:N1237"/>
    <mergeCell ref="D1238:E1238"/>
    <mergeCell ref="G1238:I1238"/>
    <mergeCell ref="J1238:K1238"/>
    <mergeCell ref="M1238:N1238"/>
    <mergeCell ref="A1248:G1248"/>
    <mergeCell ref="H1248:K1248"/>
    <mergeCell ref="L1248:M1248"/>
    <mergeCell ref="N1248:P1248"/>
    <mergeCell ref="A1249:Q1249"/>
    <mergeCell ref="A1250:P1250"/>
    <mergeCell ref="D1246:E1246"/>
    <mergeCell ref="G1246:I1246"/>
    <mergeCell ref="J1246:K1246"/>
    <mergeCell ref="M1246:N1246"/>
    <mergeCell ref="A1247:G1247"/>
    <mergeCell ref="H1247:K1247"/>
    <mergeCell ref="L1247:M1247"/>
    <mergeCell ref="N1247:P1247"/>
    <mergeCell ref="D1244:E1244"/>
    <mergeCell ref="G1244:I1244"/>
    <mergeCell ref="J1244:K1244"/>
    <mergeCell ref="M1244:N1244"/>
    <mergeCell ref="D1245:E1245"/>
    <mergeCell ref="G1245:I1245"/>
    <mergeCell ref="J1245:K1245"/>
    <mergeCell ref="M1245:N1245"/>
    <mergeCell ref="D1255:E1255"/>
    <mergeCell ref="G1255:I1255"/>
    <mergeCell ref="J1255:K1255"/>
    <mergeCell ref="M1255:N1255"/>
    <mergeCell ref="D1256:E1256"/>
    <mergeCell ref="G1256:I1256"/>
    <mergeCell ref="J1256:K1256"/>
    <mergeCell ref="M1256:N1256"/>
    <mergeCell ref="D1253:E1253"/>
    <mergeCell ref="G1253:I1253"/>
    <mergeCell ref="J1253:K1253"/>
    <mergeCell ref="M1253:N1253"/>
    <mergeCell ref="D1254:E1254"/>
    <mergeCell ref="G1254:I1254"/>
    <mergeCell ref="J1254:K1254"/>
    <mergeCell ref="M1254:N1254"/>
    <mergeCell ref="D1251:E1251"/>
    <mergeCell ref="G1251:I1251"/>
    <mergeCell ref="J1251:K1251"/>
    <mergeCell ref="M1251:N1251"/>
    <mergeCell ref="D1252:E1252"/>
    <mergeCell ref="G1252:I1252"/>
    <mergeCell ref="J1252:K1252"/>
    <mergeCell ref="M1252:N1252"/>
    <mergeCell ref="D1262:E1262"/>
    <mergeCell ref="G1262:I1262"/>
    <mergeCell ref="J1262:K1262"/>
    <mergeCell ref="M1262:N1262"/>
    <mergeCell ref="D1263:E1263"/>
    <mergeCell ref="G1263:I1263"/>
    <mergeCell ref="J1263:K1263"/>
    <mergeCell ref="M1263:N1263"/>
    <mergeCell ref="A1259:P1259"/>
    <mergeCell ref="A1260:P1260"/>
    <mergeCell ref="D1261:E1261"/>
    <mergeCell ref="G1261:I1261"/>
    <mergeCell ref="J1261:K1261"/>
    <mergeCell ref="M1261:N1261"/>
    <mergeCell ref="D1257:E1257"/>
    <mergeCell ref="G1257:I1257"/>
    <mergeCell ref="J1257:K1257"/>
    <mergeCell ref="M1257:N1257"/>
    <mergeCell ref="D1258:E1258"/>
    <mergeCell ref="G1258:I1258"/>
    <mergeCell ref="J1258:K1258"/>
    <mergeCell ref="M1258:N1258"/>
    <mergeCell ref="A1268:Q1268"/>
    <mergeCell ref="A1269:P1269"/>
    <mergeCell ref="D1270:E1270"/>
    <mergeCell ref="G1270:I1270"/>
    <mergeCell ref="J1270:K1270"/>
    <mergeCell ref="M1270:N1270"/>
    <mergeCell ref="A1266:G1266"/>
    <mergeCell ref="H1266:K1266"/>
    <mergeCell ref="L1266:M1266"/>
    <mergeCell ref="N1266:P1266"/>
    <mergeCell ref="A1267:G1267"/>
    <mergeCell ref="H1267:K1267"/>
    <mergeCell ref="L1267:M1267"/>
    <mergeCell ref="N1267:P1267"/>
    <mergeCell ref="D1264:E1264"/>
    <mergeCell ref="G1264:I1264"/>
    <mergeCell ref="J1264:K1264"/>
    <mergeCell ref="M1264:N1264"/>
    <mergeCell ref="D1265:E1265"/>
    <mergeCell ref="G1265:I1265"/>
    <mergeCell ref="J1265:K1265"/>
    <mergeCell ref="M1265:N1265"/>
    <mergeCell ref="D1275:E1275"/>
    <mergeCell ref="G1275:I1275"/>
    <mergeCell ref="J1275:K1275"/>
    <mergeCell ref="M1275:N1275"/>
    <mergeCell ref="D1276:E1276"/>
    <mergeCell ref="G1276:I1276"/>
    <mergeCell ref="J1276:K1276"/>
    <mergeCell ref="M1276:N1276"/>
    <mergeCell ref="D1273:E1273"/>
    <mergeCell ref="G1273:I1273"/>
    <mergeCell ref="J1273:K1273"/>
    <mergeCell ref="M1273:N1273"/>
    <mergeCell ref="D1274:E1274"/>
    <mergeCell ref="G1274:I1274"/>
    <mergeCell ref="J1274:K1274"/>
    <mergeCell ref="M1274:N1274"/>
    <mergeCell ref="D1271:E1271"/>
    <mergeCell ref="G1271:I1271"/>
    <mergeCell ref="J1271:K1271"/>
    <mergeCell ref="M1271:N1271"/>
    <mergeCell ref="D1272:E1272"/>
    <mergeCell ref="G1272:I1272"/>
    <mergeCell ref="J1272:K1272"/>
    <mergeCell ref="M1272:N1272"/>
    <mergeCell ref="D1282:E1282"/>
    <mergeCell ref="G1282:I1282"/>
    <mergeCell ref="J1282:K1282"/>
    <mergeCell ref="M1282:N1282"/>
    <mergeCell ref="D1283:E1283"/>
    <mergeCell ref="G1283:I1283"/>
    <mergeCell ref="J1283:K1283"/>
    <mergeCell ref="M1283:N1283"/>
    <mergeCell ref="D1279:E1279"/>
    <mergeCell ref="G1279:I1279"/>
    <mergeCell ref="J1279:K1279"/>
    <mergeCell ref="M1279:N1279"/>
    <mergeCell ref="A1280:P1280"/>
    <mergeCell ref="A1281:P1281"/>
    <mergeCell ref="D1277:E1277"/>
    <mergeCell ref="G1277:I1277"/>
    <mergeCell ref="J1277:K1277"/>
    <mergeCell ref="M1277:N1277"/>
    <mergeCell ref="D1278:E1278"/>
    <mergeCell ref="G1278:I1278"/>
    <mergeCell ref="J1278:K1278"/>
    <mergeCell ref="M1278:N1278"/>
    <mergeCell ref="A1288:G1288"/>
    <mergeCell ref="H1288:K1288"/>
    <mergeCell ref="L1288:M1288"/>
    <mergeCell ref="N1288:P1288"/>
    <mergeCell ref="A1289:Q1289"/>
    <mergeCell ref="A1290:P1290"/>
    <mergeCell ref="D1286:E1286"/>
    <mergeCell ref="G1286:I1286"/>
    <mergeCell ref="J1286:K1286"/>
    <mergeCell ref="M1286:N1286"/>
    <mergeCell ref="A1287:G1287"/>
    <mergeCell ref="H1287:K1287"/>
    <mergeCell ref="L1287:M1287"/>
    <mergeCell ref="N1287:P1287"/>
    <mergeCell ref="D1284:E1284"/>
    <mergeCell ref="G1284:I1284"/>
    <mergeCell ref="J1284:K1284"/>
    <mergeCell ref="M1284:N1284"/>
    <mergeCell ref="D1285:E1285"/>
    <mergeCell ref="G1285:I1285"/>
    <mergeCell ref="J1285:K1285"/>
    <mergeCell ref="M1285:N1285"/>
    <mergeCell ref="D1295:E1295"/>
    <mergeCell ref="G1295:I1295"/>
    <mergeCell ref="J1295:K1295"/>
    <mergeCell ref="M1295:N1295"/>
    <mergeCell ref="D1296:E1296"/>
    <mergeCell ref="G1296:I1296"/>
    <mergeCell ref="J1296:K1296"/>
    <mergeCell ref="M1296:N1296"/>
    <mergeCell ref="D1293:E1293"/>
    <mergeCell ref="G1293:I1293"/>
    <mergeCell ref="J1293:K1293"/>
    <mergeCell ref="M1293:N1293"/>
    <mergeCell ref="D1294:E1294"/>
    <mergeCell ref="G1294:I1294"/>
    <mergeCell ref="J1294:K1294"/>
    <mergeCell ref="M1294:N1294"/>
    <mergeCell ref="D1291:E1291"/>
    <mergeCell ref="G1291:I1291"/>
    <mergeCell ref="J1291:K1291"/>
    <mergeCell ref="M1291:N1291"/>
    <mergeCell ref="D1292:E1292"/>
    <mergeCell ref="G1292:I1292"/>
    <mergeCell ref="J1292:K1292"/>
    <mergeCell ref="M1292:N1292"/>
    <mergeCell ref="D1302:E1302"/>
    <mergeCell ref="G1302:I1302"/>
    <mergeCell ref="J1302:K1302"/>
    <mergeCell ref="M1302:N1302"/>
    <mergeCell ref="D1303:E1303"/>
    <mergeCell ref="G1303:I1303"/>
    <mergeCell ref="J1303:K1303"/>
    <mergeCell ref="M1303:N1303"/>
    <mergeCell ref="A1299:P1299"/>
    <mergeCell ref="A1300:P1300"/>
    <mergeCell ref="D1301:E1301"/>
    <mergeCell ref="G1301:I1301"/>
    <mergeCell ref="J1301:K1301"/>
    <mergeCell ref="M1301:N1301"/>
    <mergeCell ref="D1297:E1297"/>
    <mergeCell ref="G1297:I1297"/>
    <mergeCell ref="J1297:K1297"/>
    <mergeCell ref="M1297:N1297"/>
    <mergeCell ref="D1298:E1298"/>
    <mergeCell ref="G1298:I1298"/>
    <mergeCell ref="J1298:K1298"/>
    <mergeCell ref="M1298:N1298"/>
    <mergeCell ref="D1308:E1308"/>
    <mergeCell ref="G1308:I1308"/>
    <mergeCell ref="J1308:K1308"/>
    <mergeCell ref="M1308:N1308"/>
    <mergeCell ref="D1309:E1309"/>
    <mergeCell ref="G1309:I1309"/>
    <mergeCell ref="J1309:K1309"/>
    <mergeCell ref="M1309:N1309"/>
    <mergeCell ref="D1306:E1306"/>
    <mergeCell ref="G1306:I1306"/>
    <mergeCell ref="J1306:K1306"/>
    <mergeCell ref="M1306:N1306"/>
    <mergeCell ref="D1307:E1307"/>
    <mergeCell ref="G1307:I1307"/>
    <mergeCell ref="J1307:K1307"/>
    <mergeCell ref="M1307:N1307"/>
    <mergeCell ref="D1304:E1304"/>
    <mergeCell ref="G1304:I1304"/>
    <mergeCell ref="J1304:K1304"/>
    <mergeCell ref="M1304:N1304"/>
    <mergeCell ref="D1305:E1305"/>
    <mergeCell ref="G1305:I1305"/>
    <mergeCell ref="J1305:K1305"/>
    <mergeCell ref="M1305:N1305"/>
    <mergeCell ref="D1315:E1315"/>
    <mergeCell ref="G1315:I1315"/>
    <mergeCell ref="J1315:K1315"/>
    <mergeCell ref="M1315:N1315"/>
    <mergeCell ref="D1316:E1316"/>
    <mergeCell ref="G1316:I1316"/>
    <mergeCell ref="J1316:K1316"/>
    <mergeCell ref="M1316:N1316"/>
    <mergeCell ref="A1312:G1312"/>
    <mergeCell ref="H1312:K1312"/>
    <mergeCell ref="L1312:M1312"/>
    <mergeCell ref="N1312:P1312"/>
    <mergeCell ref="A1313:Q1313"/>
    <mergeCell ref="A1314:P1314"/>
    <mergeCell ref="D1310:E1310"/>
    <mergeCell ref="G1310:I1310"/>
    <mergeCell ref="J1310:K1310"/>
    <mergeCell ref="M1310:N1310"/>
    <mergeCell ref="A1311:G1311"/>
    <mergeCell ref="H1311:K1311"/>
    <mergeCell ref="L1311:M1311"/>
    <mergeCell ref="N1311:P1311"/>
    <mergeCell ref="D1321:E1321"/>
    <mergeCell ref="G1321:I1321"/>
    <mergeCell ref="J1321:K1321"/>
    <mergeCell ref="M1321:N1321"/>
    <mergeCell ref="D1322:E1322"/>
    <mergeCell ref="G1322:I1322"/>
    <mergeCell ref="J1322:K1322"/>
    <mergeCell ref="M1322:N1322"/>
    <mergeCell ref="D1319:E1319"/>
    <mergeCell ref="G1319:I1319"/>
    <mergeCell ref="J1319:K1319"/>
    <mergeCell ref="M1319:N1319"/>
    <mergeCell ref="D1320:E1320"/>
    <mergeCell ref="G1320:I1320"/>
    <mergeCell ref="J1320:K1320"/>
    <mergeCell ref="M1320:N1320"/>
    <mergeCell ref="D1317:E1317"/>
    <mergeCell ref="G1317:I1317"/>
    <mergeCell ref="J1317:K1317"/>
    <mergeCell ref="M1317:N1317"/>
    <mergeCell ref="D1318:E1318"/>
    <mergeCell ref="G1318:I1318"/>
    <mergeCell ref="J1318:K1318"/>
    <mergeCell ref="M1318:N1318"/>
    <mergeCell ref="D1328:E1328"/>
    <mergeCell ref="G1328:I1328"/>
    <mergeCell ref="J1328:K1328"/>
    <mergeCell ref="M1328:N1328"/>
    <mergeCell ref="D1329:E1329"/>
    <mergeCell ref="G1329:I1329"/>
    <mergeCell ref="J1329:K1329"/>
    <mergeCell ref="M1329:N1329"/>
    <mergeCell ref="D1326:E1326"/>
    <mergeCell ref="G1326:I1326"/>
    <mergeCell ref="J1326:K1326"/>
    <mergeCell ref="M1326:N1326"/>
    <mergeCell ref="D1327:E1327"/>
    <mergeCell ref="G1327:I1327"/>
    <mergeCell ref="J1327:K1327"/>
    <mergeCell ref="M1327:N1327"/>
    <mergeCell ref="A1323:P1323"/>
    <mergeCell ref="A1324:P1324"/>
    <mergeCell ref="D1325:E1325"/>
    <mergeCell ref="G1325:I1325"/>
    <mergeCell ref="J1325:K1325"/>
    <mergeCell ref="M1325:N1325"/>
    <mergeCell ref="D1335:E1335"/>
    <mergeCell ref="G1335:I1335"/>
    <mergeCell ref="J1335:K1335"/>
    <mergeCell ref="M1335:N1335"/>
    <mergeCell ref="D1336:E1336"/>
    <mergeCell ref="G1336:I1336"/>
    <mergeCell ref="J1336:K1336"/>
    <mergeCell ref="M1336:N1336"/>
    <mergeCell ref="A1332:Q1332"/>
    <mergeCell ref="A1333:P1333"/>
    <mergeCell ref="D1334:E1334"/>
    <mergeCell ref="G1334:I1334"/>
    <mergeCell ref="J1334:K1334"/>
    <mergeCell ref="M1334:N1334"/>
    <mergeCell ref="A1330:G1330"/>
    <mergeCell ref="H1330:K1330"/>
    <mergeCell ref="L1330:M1330"/>
    <mergeCell ref="N1330:P1330"/>
    <mergeCell ref="A1331:G1331"/>
    <mergeCell ref="H1331:K1331"/>
    <mergeCell ref="L1331:M1331"/>
    <mergeCell ref="N1331:P1331"/>
    <mergeCell ref="D1341:E1341"/>
    <mergeCell ref="G1341:I1341"/>
    <mergeCell ref="J1341:K1341"/>
    <mergeCell ref="M1341:N1341"/>
    <mergeCell ref="A1342:P1342"/>
    <mergeCell ref="A1343:P1343"/>
    <mergeCell ref="D1339:E1339"/>
    <mergeCell ref="G1339:I1339"/>
    <mergeCell ref="J1339:K1339"/>
    <mergeCell ref="M1339:N1339"/>
    <mergeCell ref="D1340:E1340"/>
    <mergeCell ref="G1340:I1340"/>
    <mergeCell ref="J1340:K1340"/>
    <mergeCell ref="M1340:N1340"/>
    <mergeCell ref="D1337:E1337"/>
    <mergeCell ref="G1337:I1337"/>
    <mergeCell ref="J1337:K1337"/>
    <mergeCell ref="M1337:N1337"/>
    <mergeCell ref="D1338:E1338"/>
    <mergeCell ref="G1338:I1338"/>
    <mergeCell ref="J1338:K1338"/>
    <mergeCell ref="M1338:N1338"/>
    <mergeCell ref="D1346:E1346"/>
    <mergeCell ref="G1346:I1346"/>
    <mergeCell ref="J1346:K1346"/>
    <mergeCell ref="M1346:N1346"/>
    <mergeCell ref="Q1346:R1346"/>
    <mergeCell ref="D1347:E1347"/>
    <mergeCell ref="G1347:I1347"/>
    <mergeCell ref="J1347:K1347"/>
    <mergeCell ref="M1347:N1347"/>
    <mergeCell ref="Q1347:R1347"/>
    <mergeCell ref="D1344:E1344"/>
    <mergeCell ref="G1344:I1344"/>
    <mergeCell ref="J1344:K1344"/>
    <mergeCell ref="M1344:N1344"/>
    <mergeCell ref="D1345:E1345"/>
    <mergeCell ref="G1345:I1345"/>
    <mergeCell ref="J1345:K1345"/>
    <mergeCell ref="M1345:N1345"/>
    <mergeCell ref="A1352:P1352"/>
    <mergeCell ref="Q1352:R1352"/>
    <mergeCell ref="D1353:E1353"/>
    <mergeCell ref="G1353:I1353"/>
    <mergeCell ref="J1353:K1353"/>
    <mergeCell ref="M1353:N1353"/>
    <mergeCell ref="Q1353:R1353"/>
    <mergeCell ref="A1350:G1350"/>
    <mergeCell ref="H1350:K1350"/>
    <mergeCell ref="L1350:M1350"/>
    <mergeCell ref="N1350:P1350"/>
    <mergeCell ref="Q1350:R1350"/>
    <mergeCell ref="A1351:R1351"/>
    <mergeCell ref="D1348:E1348"/>
    <mergeCell ref="G1348:I1348"/>
    <mergeCell ref="J1348:K1348"/>
    <mergeCell ref="M1348:N1348"/>
    <mergeCell ref="Q1348:R1348"/>
    <mergeCell ref="A1349:G1349"/>
    <mergeCell ref="H1349:K1349"/>
    <mergeCell ref="L1349:M1349"/>
    <mergeCell ref="N1349:P1349"/>
    <mergeCell ref="Q1349:R1349"/>
    <mergeCell ref="D1356:E1356"/>
    <mergeCell ref="G1356:I1356"/>
    <mergeCell ref="J1356:K1356"/>
    <mergeCell ref="M1356:N1356"/>
    <mergeCell ref="Q1356:R1356"/>
    <mergeCell ref="D1357:E1357"/>
    <mergeCell ref="G1357:I1357"/>
    <mergeCell ref="J1357:K1357"/>
    <mergeCell ref="M1357:N1357"/>
    <mergeCell ref="Q1357:R1357"/>
    <mergeCell ref="D1354:E1354"/>
    <mergeCell ref="G1354:I1354"/>
    <mergeCell ref="J1354:K1354"/>
    <mergeCell ref="M1354:N1354"/>
    <mergeCell ref="Q1354:R1354"/>
    <mergeCell ref="D1355:E1355"/>
    <mergeCell ref="G1355:I1355"/>
    <mergeCell ref="J1355:K1355"/>
    <mergeCell ref="M1355:N1355"/>
    <mergeCell ref="Q1355:R1355"/>
    <mergeCell ref="A1360:R1360"/>
    <mergeCell ref="A1361:P1361"/>
    <mergeCell ref="Q1361:R1361"/>
    <mergeCell ref="D1362:E1362"/>
    <mergeCell ref="G1362:I1362"/>
    <mergeCell ref="J1362:K1362"/>
    <mergeCell ref="M1362:N1362"/>
    <mergeCell ref="Q1362:R1362"/>
    <mergeCell ref="A1358:G1358"/>
    <mergeCell ref="H1358:K1358"/>
    <mergeCell ref="L1358:M1358"/>
    <mergeCell ref="N1358:P1358"/>
    <mergeCell ref="Q1358:R1358"/>
    <mergeCell ref="A1359:G1359"/>
    <mergeCell ref="H1359:K1359"/>
    <mergeCell ref="L1359:M1359"/>
    <mergeCell ref="N1359:P1359"/>
    <mergeCell ref="Q1359:R1359"/>
    <mergeCell ref="D1365:E1365"/>
    <mergeCell ref="G1365:I1365"/>
    <mergeCell ref="J1365:K1365"/>
    <mergeCell ref="M1365:N1365"/>
    <mergeCell ref="Q1365:R1365"/>
    <mergeCell ref="D1366:E1366"/>
    <mergeCell ref="G1366:I1366"/>
    <mergeCell ref="J1366:K1366"/>
    <mergeCell ref="M1366:N1366"/>
    <mergeCell ref="Q1366:R1366"/>
    <mergeCell ref="D1363:E1363"/>
    <mergeCell ref="G1363:I1363"/>
    <mergeCell ref="J1363:K1363"/>
    <mergeCell ref="M1363:N1363"/>
    <mergeCell ref="Q1363:R1363"/>
    <mergeCell ref="D1364:E1364"/>
    <mergeCell ref="G1364:I1364"/>
    <mergeCell ref="J1364:K1364"/>
    <mergeCell ref="M1364:N1364"/>
    <mergeCell ref="Q1364:R1364"/>
    <mergeCell ref="A1369:R1369"/>
    <mergeCell ref="A1370:P1370"/>
    <mergeCell ref="Q1370:R1370"/>
    <mergeCell ref="D1371:E1371"/>
    <mergeCell ref="G1371:I1371"/>
    <mergeCell ref="J1371:K1371"/>
    <mergeCell ref="M1371:N1371"/>
    <mergeCell ref="Q1371:R1371"/>
    <mergeCell ref="A1367:G1367"/>
    <mergeCell ref="H1367:K1367"/>
    <mergeCell ref="L1367:M1367"/>
    <mergeCell ref="N1367:P1367"/>
    <mergeCell ref="Q1367:R1367"/>
    <mergeCell ref="A1368:G1368"/>
    <mergeCell ref="H1368:K1368"/>
    <mergeCell ref="L1368:M1368"/>
    <mergeCell ref="N1368:P1368"/>
    <mergeCell ref="Q1368:R1368"/>
    <mergeCell ref="D1374:E1374"/>
    <mergeCell ref="G1374:I1374"/>
    <mergeCell ref="J1374:K1374"/>
    <mergeCell ref="M1374:N1374"/>
    <mergeCell ref="Q1374:R1374"/>
    <mergeCell ref="D1375:E1375"/>
    <mergeCell ref="G1375:I1375"/>
    <mergeCell ref="J1375:K1375"/>
    <mergeCell ref="M1375:N1375"/>
    <mergeCell ref="Q1375:R1375"/>
    <mergeCell ref="D1372:E1372"/>
    <mergeCell ref="G1372:I1372"/>
    <mergeCell ref="J1372:K1372"/>
    <mergeCell ref="M1372:N1372"/>
    <mergeCell ref="Q1372:R1372"/>
    <mergeCell ref="D1373:E1373"/>
    <mergeCell ref="G1373:I1373"/>
    <mergeCell ref="J1373:K1373"/>
    <mergeCell ref="M1373:N1373"/>
    <mergeCell ref="Q1373:R1373"/>
    <mergeCell ref="A1378:R1378"/>
    <mergeCell ref="A1379:P1379"/>
    <mergeCell ref="Q1379:R1379"/>
    <mergeCell ref="D1380:E1380"/>
    <mergeCell ref="G1380:I1380"/>
    <mergeCell ref="J1380:K1380"/>
    <mergeCell ref="M1380:N1380"/>
    <mergeCell ref="Q1380:R1380"/>
    <mergeCell ref="A1376:G1376"/>
    <mergeCell ref="H1376:K1376"/>
    <mergeCell ref="L1376:M1376"/>
    <mergeCell ref="N1376:P1376"/>
    <mergeCell ref="Q1376:R1376"/>
    <mergeCell ref="A1377:G1377"/>
    <mergeCell ref="H1377:K1377"/>
    <mergeCell ref="L1377:M1377"/>
    <mergeCell ref="N1377:P1377"/>
    <mergeCell ref="Q1377:R1377"/>
    <mergeCell ref="D1383:E1383"/>
    <mergeCell ref="G1383:I1383"/>
    <mergeCell ref="J1383:K1383"/>
    <mergeCell ref="M1383:N1383"/>
    <mergeCell ref="Q1383:R1383"/>
    <mergeCell ref="D1384:E1384"/>
    <mergeCell ref="G1384:I1384"/>
    <mergeCell ref="J1384:K1384"/>
    <mergeCell ref="M1384:N1384"/>
    <mergeCell ref="Q1384:R1384"/>
    <mergeCell ref="D1381:E1381"/>
    <mergeCell ref="G1381:I1381"/>
    <mergeCell ref="J1381:K1381"/>
    <mergeCell ref="M1381:N1381"/>
    <mergeCell ref="Q1381:R1381"/>
    <mergeCell ref="D1382:E1382"/>
    <mergeCell ref="G1382:I1382"/>
    <mergeCell ref="J1382:K1382"/>
    <mergeCell ref="M1382:N1382"/>
    <mergeCell ref="Q1382:R1382"/>
    <mergeCell ref="A1387:R1387"/>
    <mergeCell ref="A1388:P1388"/>
    <mergeCell ref="Q1388:R1388"/>
    <mergeCell ref="D1389:E1389"/>
    <mergeCell ref="G1389:I1389"/>
    <mergeCell ref="J1389:K1389"/>
    <mergeCell ref="M1389:N1389"/>
    <mergeCell ref="Q1389:R1389"/>
    <mergeCell ref="A1385:G1385"/>
    <mergeCell ref="H1385:K1385"/>
    <mergeCell ref="L1385:M1385"/>
    <mergeCell ref="N1385:P1385"/>
    <mergeCell ref="Q1385:R1385"/>
    <mergeCell ref="A1386:G1386"/>
    <mergeCell ref="H1386:K1386"/>
    <mergeCell ref="L1386:M1386"/>
    <mergeCell ref="N1386:P1386"/>
    <mergeCell ref="Q1386:R1386"/>
    <mergeCell ref="D1392:E1392"/>
    <mergeCell ref="G1392:I1392"/>
    <mergeCell ref="J1392:K1392"/>
    <mergeCell ref="M1392:N1392"/>
    <mergeCell ref="Q1392:R1392"/>
    <mergeCell ref="D1393:E1393"/>
    <mergeCell ref="G1393:I1393"/>
    <mergeCell ref="J1393:K1393"/>
    <mergeCell ref="M1393:N1393"/>
    <mergeCell ref="Q1393:R1393"/>
    <mergeCell ref="D1390:E1390"/>
    <mergeCell ref="G1390:I1390"/>
    <mergeCell ref="J1390:K1390"/>
    <mergeCell ref="M1390:N1390"/>
    <mergeCell ref="Q1390:R1390"/>
    <mergeCell ref="D1391:E1391"/>
    <mergeCell ref="G1391:I1391"/>
    <mergeCell ref="J1391:K1391"/>
    <mergeCell ref="M1391:N1391"/>
    <mergeCell ref="Q1391:R1391"/>
    <mergeCell ref="A1396:R1396"/>
    <mergeCell ref="A1397:P1397"/>
    <mergeCell ref="Q1397:R1397"/>
    <mergeCell ref="D1398:E1398"/>
    <mergeCell ref="G1398:I1398"/>
    <mergeCell ref="J1398:K1398"/>
    <mergeCell ref="M1398:N1398"/>
    <mergeCell ref="Q1398:R1398"/>
    <mergeCell ref="A1394:G1394"/>
    <mergeCell ref="H1394:K1394"/>
    <mergeCell ref="L1394:M1394"/>
    <mergeCell ref="N1394:P1394"/>
    <mergeCell ref="Q1394:R1394"/>
    <mergeCell ref="A1395:G1395"/>
    <mergeCell ref="H1395:K1395"/>
    <mergeCell ref="L1395:M1395"/>
    <mergeCell ref="N1395:P1395"/>
    <mergeCell ref="Q1395:R1395"/>
    <mergeCell ref="D1401:E1401"/>
    <mergeCell ref="G1401:I1401"/>
    <mergeCell ref="J1401:K1401"/>
    <mergeCell ref="M1401:N1401"/>
    <mergeCell ref="Q1401:R1401"/>
    <mergeCell ref="D1402:E1402"/>
    <mergeCell ref="G1402:I1402"/>
    <mergeCell ref="J1402:K1402"/>
    <mergeCell ref="M1402:N1402"/>
    <mergeCell ref="Q1402:R1402"/>
    <mergeCell ref="D1399:E1399"/>
    <mergeCell ref="G1399:I1399"/>
    <mergeCell ref="J1399:K1399"/>
    <mergeCell ref="M1399:N1399"/>
    <mergeCell ref="Q1399:R1399"/>
    <mergeCell ref="D1400:E1400"/>
    <mergeCell ref="G1400:I1400"/>
    <mergeCell ref="J1400:K1400"/>
    <mergeCell ref="M1400:N1400"/>
    <mergeCell ref="Q1400:R1400"/>
    <mergeCell ref="A1405:R1405"/>
    <mergeCell ref="A1406:P1406"/>
    <mergeCell ref="Q1406:R1406"/>
    <mergeCell ref="D1407:E1407"/>
    <mergeCell ref="G1407:I1407"/>
    <mergeCell ref="J1407:K1407"/>
    <mergeCell ref="M1407:N1407"/>
    <mergeCell ref="Q1407:R1407"/>
    <mergeCell ref="A1403:G1403"/>
    <mergeCell ref="H1403:K1403"/>
    <mergeCell ref="L1403:M1403"/>
    <mergeCell ref="N1403:P1403"/>
    <mergeCell ref="Q1403:R1403"/>
    <mergeCell ref="A1404:G1404"/>
    <mergeCell ref="H1404:K1404"/>
    <mergeCell ref="L1404:M1404"/>
    <mergeCell ref="N1404:P1404"/>
    <mergeCell ref="Q1404:R1404"/>
    <mergeCell ref="D1410:E1410"/>
    <mergeCell ref="G1410:I1410"/>
    <mergeCell ref="J1410:K1410"/>
    <mergeCell ref="M1410:N1410"/>
    <mergeCell ref="Q1410:R1410"/>
    <mergeCell ref="D1411:E1411"/>
    <mergeCell ref="G1411:I1411"/>
    <mergeCell ref="J1411:K1411"/>
    <mergeCell ref="M1411:N1411"/>
    <mergeCell ref="Q1411:R1411"/>
    <mergeCell ref="D1408:E1408"/>
    <mergeCell ref="G1408:I1408"/>
    <mergeCell ref="J1408:K1408"/>
    <mergeCell ref="M1408:N1408"/>
    <mergeCell ref="Q1408:R1408"/>
    <mergeCell ref="D1409:E1409"/>
    <mergeCell ref="G1409:I1409"/>
    <mergeCell ref="J1409:K1409"/>
    <mergeCell ref="M1409:N1409"/>
    <mergeCell ref="Q1409:R1409"/>
    <mergeCell ref="A1414:R1414"/>
    <mergeCell ref="A1415:P1415"/>
    <mergeCell ref="Q1415:R1415"/>
    <mergeCell ref="D1416:E1416"/>
    <mergeCell ref="G1416:I1416"/>
    <mergeCell ref="J1416:K1416"/>
    <mergeCell ref="M1416:N1416"/>
    <mergeCell ref="Q1416:R1416"/>
    <mergeCell ref="A1412:G1412"/>
    <mergeCell ref="H1412:K1412"/>
    <mergeCell ref="L1412:M1412"/>
    <mergeCell ref="N1412:P1412"/>
    <mergeCell ref="Q1412:R1412"/>
    <mergeCell ref="A1413:G1413"/>
    <mergeCell ref="H1413:K1413"/>
    <mergeCell ref="L1413:M1413"/>
    <mergeCell ref="N1413:P1413"/>
    <mergeCell ref="Q1413:R1413"/>
    <mergeCell ref="D1419:E1419"/>
    <mergeCell ref="G1419:I1419"/>
    <mergeCell ref="J1419:K1419"/>
    <mergeCell ref="M1419:N1419"/>
    <mergeCell ref="Q1419:R1419"/>
    <mergeCell ref="D1420:E1420"/>
    <mergeCell ref="G1420:I1420"/>
    <mergeCell ref="J1420:K1420"/>
    <mergeCell ref="M1420:N1420"/>
    <mergeCell ref="Q1420:R1420"/>
    <mergeCell ref="D1417:E1417"/>
    <mergeCell ref="G1417:I1417"/>
    <mergeCell ref="J1417:K1417"/>
    <mergeCell ref="M1417:N1417"/>
    <mergeCell ref="Q1417:R1417"/>
    <mergeCell ref="D1418:E1418"/>
    <mergeCell ref="G1418:I1418"/>
    <mergeCell ref="J1418:K1418"/>
    <mergeCell ref="M1418:N1418"/>
    <mergeCell ref="Q1418:R1418"/>
    <mergeCell ref="A1425:P1425"/>
    <mergeCell ref="Q1425:R1425"/>
    <mergeCell ref="D1426:E1426"/>
    <mergeCell ref="G1426:I1426"/>
    <mergeCell ref="J1426:K1426"/>
    <mergeCell ref="M1426:N1426"/>
    <mergeCell ref="Q1426:R1426"/>
    <mergeCell ref="A1423:G1423"/>
    <mergeCell ref="H1423:K1423"/>
    <mergeCell ref="L1423:M1423"/>
    <mergeCell ref="N1423:P1423"/>
    <mergeCell ref="Q1423:R1423"/>
    <mergeCell ref="A1424:R1424"/>
    <mergeCell ref="D1421:E1421"/>
    <mergeCell ref="G1421:I1421"/>
    <mergeCell ref="J1421:K1421"/>
    <mergeCell ref="M1421:N1421"/>
    <mergeCell ref="Q1421:R1421"/>
    <mergeCell ref="A1422:G1422"/>
    <mergeCell ref="H1422:K1422"/>
    <mergeCell ref="L1422:M1422"/>
    <mergeCell ref="N1422:P1422"/>
    <mergeCell ref="Q1422:R1422"/>
    <mergeCell ref="D1429:E1429"/>
    <mergeCell ref="G1429:I1429"/>
    <mergeCell ref="J1429:K1429"/>
    <mergeCell ref="M1429:N1429"/>
    <mergeCell ref="Q1429:R1429"/>
    <mergeCell ref="D1430:E1430"/>
    <mergeCell ref="G1430:I1430"/>
    <mergeCell ref="J1430:K1430"/>
    <mergeCell ref="M1430:N1430"/>
    <mergeCell ref="Q1430:R1430"/>
    <mergeCell ref="D1427:E1427"/>
    <mergeCell ref="G1427:I1427"/>
    <mergeCell ref="J1427:K1427"/>
    <mergeCell ref="M1427:N1427"/>
    <mergeCell ref="Q1427:R1427"/>
    <mergeCell ref="D1428:E1428"/>
    <mergeCell ref="G1428:I1428"/>
    <mergeCell ref="J1428:K1428"/>
    <mergeCell ref="M1428:N1428"/>
    <mergeCell ref="Q1428:R1428"/>
    <mergeCell ref="A1433:R1433"/>
    <mergeCell ref="A1434:P1434"/>
    <mergeCell ref="Q1434:R1434"/>
    <mergeCell ref="D1435:E1435"/>
    <mergeCell ref="G1435:I1435"/>
    <mergeCell ref="J1435:K1435"/>
    <mergeCell ref="M1435:N1435"/>
    <mergeCell ref="Q1435:R1435"/>
    <mergeCell ref="A1431:G1431"/>
    <mergeCell ref="H1431:K1431"/>
    <mergeCell ref="L1431:M1431"/>
    <mergeCell ref="N1431:P1431"/>
    <mergeCell ref="Q1431:R1431"/>
    <mergeCell ref="A1432:G1432"/>
    <mergeCell ref="H1432:K1432"/>
    <mergeCell ref="L1432:M1432"/>
    <mergeCell ref="N1432:P1432"/>
    <mergeCell ref="Q1432:R1432"/>
    <mergeCell ref="D1438:E1438"/>
    <mergeCell ref="G1438:I1438"/>
    <mergeCell ref="J1438:K1438"/>
    <mergeCell ref="M1438:N1438"/>
    <mergeCell ref="Q1438:R1438"/>
    <mergeCell ref="D1439:E1439"/>
    <mergeCell ref="G1439:I1439"/>
    <mergeCell ref="J1439:K1439"/>
    <mergeCell ref="M1439:N1439"/>
    <mergeCell ref="Q1439:R1439"/>
    <mergeCell ref="D1436:E1436"/>
    <mergeCell ref="G1436:I1436"/>
    <mergeCell ref="J1436:K1436"/>
    <mergeCell ref="M1436:N1436"/>
    <mergeCell ref="Q1436:R1436"/>
    <mergeCell ref="D1437:E1437"/>
    <mergeCell ref="G1437:I1437"/>
    <mergeCell ref="J1437:K1437"/>
    <mergeCell ref="M1437:N1437"/>
    <mergeCell ref="Q1437:R1437"/>
    <mergeCell ref="A1442:R1442"/>
    <mergeCell ref="A1443:P1443"/>
    <mergeCell ref="Q1443:R1443"/>
    <mergeCell ref="D1444:E1444"/>
    <mergeCell ref="G1444:I1444"/>
    <mergeCell ref="J1444:K1444"/>
    <mergeCell ref="M1444:N1444"/>
    <mergeCell ref="Q1444:R1444"/>
    <mergeCell ref="A1440:G1440"/>
    <mergeCell ref="H1440:K1440"/>
    <mergeCell ref="L1440:M1440"/>
    <mergeCell ref="N1440:P1440"/>
    <mergeCell ref="Q1440:R1440"/>
    <mergeCell ref="A1441:G1441"/>
    <mergeCell ref="H1441:K1441"/>
    <mergeCell ref="L1441:M1441"/>
    <mergeCell ref="N1441:P1441"/>
    <mergeCell ref="Q1441:R1441"/>
    <mergeCell ref="Q1449:R1449"/>
    <mergeCell ref="A1450:G1450"/>
    <mergeCell ref="H1450:K1450"/>
    <mergeCell ref="L1450:M1450"/>
    <mergeCell ref="N1450:P1450"/>
    <mergeCell ref="Q1450:R1450"/>
    <mergeCell ref="D1447:E1447"/>
    <mergeCell ref="G1447:I1447"/>
    <mergeCell ref="J1447:K1447"/>
    <mergeCell ref="M1447:N1447"/>
    <mergeCell ref="Q1447:R1447"/>
    <mergeCell ref="D1448:E1448"/>
    <mergeCell ref="G1448:I1448"/>
    <mergeCell ref="J1448:K1448"/>
    <mergeCell ref="M1448:N1448"/>
    <mergeCell ref="Q1448:R1448"/>
    <mergeCell ref="D1445:E1445"/>
    <mergeCell ref="G1445:I1445"/>
    <mergeCell ref="J1445:K1445"/>
    <mergeCell ref="M1445:N1445"/>
    <mergeCell ref="Q1445:R1445"/>
    <mergeCell ref="D1446:E1446"/>
    <mergeCell ref="G1446:I1446"/>
    <mergeCell ref="J1446:K1446"/>
    <mergeCell ref="M1446:N1446"/>
    <mergeCell ref="Q1446:R1446"/>
    <mergeCell ref="D1454:E1454"/>
    <mergeCell ref="G1454:I1454"/>
    <mergeCell ref="J1454:K1454"/>
    <mergeCell ref="M1454:N1454"/>
    <mergeCell ref="D1455:E1455"/>
    <mergeCell ref="G1455:I1455"/>
    <mergeCell ref="J1455:K1455"/>
    <mergeCell ref="M1455:N1455"/>
    <mergeCell ref="D1451:E1451"/>
    <mergeCell ref="G1451:I1451"/>
    <mergeCell ref="J1451:K1451"/>
    <mergeCell ref="M1451:N1451"/>
    <mergeCell ref="A1452:P1452"/>
    <mergeCell ref="A1453:P1453"/>
    <mergeCell ref="A1449:G1449"/>
    <mergeCell ref="H1449:K1449"/>
    <mergeCell ref="L1449:M1449"/>
    <mergeCell ref="N1449:P1449"/>
    <mergeCell ref="A1460:G1460"/>
    <mergeCell ref="H1460:K1460"/>
    <mergeCell ref="L1460:M1460"/>
    <mergeCell ref="N1460:P1460"/>
    <mergeCell ref="A1461:Q1461"/>
    <mergeCell ref="A1462:P1462"/>
    <mergeCell ref="D1458:E1458"/>
    <mergeCell ref="G1458:I1458"/>
    <mergeCell ref="J1458:K1458"/>
    <mergeCell ref="M1458:N1458"/>
    <mergeCell ref="A1459:G1459"/>
    <mergeCell ref="H1459:K1459"/>
    <mergeCell ref="L1459:M1459"/>
    <mergeCell ref="N1459:P1459"/>
    <mergeCell ref="D1456:E1456"/>
    <mergeCell ref="G1456:I1456"/>
    <mergeCell ref="J1456:K1456"/>
    <mergeCell ref="M1456:N1456"/>
    <mergeCell ref="D1457:E1457"/>
    <mergeCell ref="G1457:I1457"/>
    <mergeCell ref="J1457:K1457"/>
    <mergeCell ref="M1457:N1457"/>
    <mergeCell ref="D1467:E1467"/>
    <mergeCell ref="G1467:I1467"/>
    <mergeCell ref="J1467:K1467"/>
    <mergeCell ref="M1467:N1467"/>
    <mergeCell ref="D1468:E1468"/>
    <mergeCell ref="G1468:I1468"/>
    <mergeCell ref="J1468:K1468"/>
    <mergeCell ref="M1468:N1468"/>
    <mergeCell ref="D1465:E1465"/>
    <mergeCell ref="G1465:I1465"/>
    <mergeCell ref="J1465:K1465"/>
    <mergeCell ref="M1465:N1465"/>
    <mergeCell ref="D1466:E1466"/>
    <mergeCell ref="G1466:I1466"/>
    <mergeCell ref="J1466:K1466"/>
    <mergeCell ref="M1466:N1466"/>
    <mergeCell ref="D1463:E1463"/>
    <mergeCell ref="G1463:I1463"/>
    <mergeCell ref="J1463:K1463"/>
    <mergeCell ref="M1463:N1463"/>
    <mergeCell ref="D1464:E1464"/>
    <mergeCell ref="G1464:I1464"/>
    <mergeCell ref="J1464:K1464"/>
    <mergeCell ref="M1464:N1464"/>
    <mergeCell ref="D1474:E1474"/>
    <mergeCell ref="G1474:I1474"/>
    <mergeCell ref="J1474:K1474"/>
    <mergeCell ref="M1474:N1474"/>
    <mergeCell ref="A1475:G1475"/>
    <mergeCell ref="H1475:K1475"/>
    <mergeCell ref="L1475:M1475"/>
    <mergeCell ref="N1475:P1475"/>
    <mergeCell ref="D1472:E1472"/>
    <mergeCell ref="G1472:I1472"/>
    <mergeCell ref="J1472:K1472"/>
    <mergeCell ref="M1472:N1472"/>
    <mergeCell ref="D1473:E1473"/>
    <mergeCell ref="G1473:I1473"/>
    <mergeCell ref="J1473:K1473"/>
    <mergeCell ref="M1473:N1473"/>
    <mergeCell ref="D1469:E1469"/>
    <mergeCell ref="G1469:I1469"/>
    <mergeCell ref="J1469:K1469"/>
    <mergeCell ref="M1469:N1469"/>
    <mergeCell ref="A1470:P1470"/>
    <mergeCell ref="A1471:P1471"/>
    <mergeCell ref="D1481:E1481"/>
    <mergeCell ref="G1481:I1481"/>
    <mergeCell ref="J1481:K1481"/>
    <mergeCell ref="M1481:N1481"/>
    <mergeCell ref="D1482:E1482"/>
    <mergeCell ref="G1482:I1482"/>
    <mergeCell ref="J1482:K1482"/>
    <mergeCell ref="M1482:N1482"/>
    <mergeCell ref="D1479:E1479"/>
    <mergeCell ref="G1479:I1479"/>
    <mergeCell ref="J1479:K1479"/>
    <mergeCell ref="M1479:N1479"/>
    <mergeCell ref="D1480:E1480"/>
    <mergeCell ref="G1480:I1480"/>
    <mergeCell ref="J1480:K1480"/>
    <mergeCell ref="M1480:N1480"/>
    <mergeCell ref="A1476:G1476"/>
    <mergeCell ref="H1476:K1476"/>
    <mergeCell ref="L1476:M1476"/>
    <mergeCell ref="N1476:P1476"/>
    <mergeCell ref="A1477:Q1477"/>
    <mergeCell ref="A1478:P1478"/>
    <mergeCell ref="M1491:N1491"/>
    <mergeCell ref="A1487:P1487"/>
    <mergeCell ref="A1488:P1488"/>
    <mergeCell ref="D1489:E1489"/>
    <mergeCell ref="G1489:I1489"/>
    <mergeCell ref="J1489:K1489"/>
    <mergeCell ref="M1489:O1489"/>
    <mergeCell ref="D1485:E1485"/>
    <mergeCell ref="G1485:I1485"/>
    <mergeCell ref="J1485:K1485"/>
    <mergeCell ref="M1485:N1485"/>
    <mergeCell ref="D1486:E1486"/>
    <mergeCell ref="G1486:I1486"/>
    <mergeCell ref="J1486:K1486"/>
    <mergeCell ref="M1486:N1486"/>
    <mergeCell ref="D1483:E1483"/>
    <mergeCell ref="G1483:I1483"/>
    <mergeCell ref="J1483:K1483"/>
    <mergeCell ref="M1483:N1483"/>
    <mergeCell ref="D1484:E1484"/>
    <mergeCell ref="G1484:I1484"/>
    <mergeCell ref="J1484:K1484"/>
    <mergeCell ref="M1484:N1484"/>
    <mergeCell ref="A1498:O1498"/>
    <mergeCell ref="A1499:O1499"/>
    <mergeCell ref="A1500:O1500"/>
    <mergeCell ref="A1501:P1503"/>
    <mergeCell ref="A1:P1"/>
    <mergeCell ref="A2:P2"/>
    <mergeCell ref="A3:P3"/>
    <mergeCell ref="A1496:Q1496"/>
    <mergeCell ref="A1497:P1497"/>
    <mergeCell ref="A1494:G1494"/>
    <mergeCell ref="H1494:K1494"/>
    <mergeCell ref="L1494:M1494"/>
    <mergeCell ref="N1494:P1494"/>
    <mergeCell ref="A1495:G1495"/>
    <mergeCell ref="H1495:K1495"/>
    <mergeCell ref="L1495:M1495"/>
    <mergeCell ref="N1495:P1495"/>
    <mergeCell ref="D1492:E1492"/>
    <mergeCell ref="G1492:I1492"/>
    <mergeCell ref="J1492:K1492"/>
    <mergeCell ref="M1492:N1492"/>
    <mergeCell ref="D1493:E1493"/>
    <mergeCell ref="G1493:I1493"/>
    <mergeCell ref="J1493:K1493"/>
    <mergeCell ref="M1493:N1493"/>
    <mergeCell ref="D1490:E1490"/>
    <mergeCell ref="G1490:I1490"/>
    <mergeCell ref="J1490:K1490"/>
    <mergeCell ref="M1490:N1490"/>
    <mergeCell ref="D1491:E1491"/>
    <mergeCell ref="G1491:I1491"/>
    <mergeCell ref="J1491:K1491"/>
  </mergeCells>
  <pageMargins left="0.23622047244094491" right="0.23622047244094491" top="0.74803149606299213" bottom="0.74803149606299213" header="0.31496062992125984" footer="0.31496062992125984"/>
  <pageSetup paperSize="9" scale="32" fitToHeight="0" orientation="portrait" r:id="rId1"/>
  <headerFooter>
    <oddFooter>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827D-AA65-42C1-BFD9-9169D4D7AC30}">
  <sheetPr>
    <pageSetUpPr fitToPage="1"/>
  </sheetPr>
  <dimension ref="A1:AG161"/>
  <sheetViews>
    <sheetView topLeftCell="A7" workbookViewId="0">
      <selection activeCell="G21" sqref="G21"/>
    </sheetView>
  </sheetViews>
  <sheetFormatPr defaultRowHeight="12.75"/>
  <cols>
    <col min="1" max="1" width="10.83203125" style="1" customWidth="1"/>
    <col min="2" max="2" width="45.1640625" style="1" customWidth="1"/>
    <col min="3" max="3" width="1.5" style="1" hidden="1" customWidth="1"/>
    <col min="4" max="4" width="18.6640625" style="1" hidden="1" customWidth="1"/>
    <col min="5" max="5" width="7.83203125" style="1" customWidth="1"/>
    <col min="6" max="6" width="15" style="1" customWidth="1"/>
    <col min="7" max="7" width="14.6640625" style="1" customWidth="1"/>
    <col min="8" max="8" width="15.83203125" style="1" customWidth="1"/>
    <col min="9" max="9" width="11.5" style="1" customWidth="1"/>
    <col min="10" max="10" width="3.33203125" style="1" customWidth="1"/>
    <col min="11" max="11" width="12.1640625" style="1" customWidth="1"/>
    <col min="12" max="12" width="11.5" style="1" customWidth="1"/>
    <col min="13" max="13" width="15.1640625" style="1" customWidth="1"/>
    <col min="14" max="14" width="11.5" style="1" customWidth="1"/>
    <col min="15" max="15" width="15.6640625" style="1" customWidth="1"/>
    <col min="16" max="17" width="9.33203125" style="1"/>
    <col min="18" max="18" width="6.1640625" style="1" customWidth="1"/>
    <col min="19" max="19" width="9.33203125" style="1"/>
    <col min="20" max="20" width="15.5" style="1" customWidth="1"/>
    <col min="21" max="21" width="9.33203125" style="1"/>
    <col min="22" max="22" width="15.83203125" style="1" customWidth="1"/>
    <col min="23" max="24" width="9.33203125" style="1"/>
    <col min="25" max="25" width="6.33203125" style="1" customWidth="1"/>
    <col min="26" max="26" width="9.33203125" style="1"/>
    <col min="27" max="27" width="15.1640625" style="1" customWidth="1"/>
    <col min="28" max="28" width="9.33203125" style="1"/>
    <col min="29" max="29" width="15.33203125" style="1" customWidth="1"/>
    <col min="30" max="31" width="9.33203125" style="1"/>
    <col min="32" max="32" width="5.83203125" style="1" customWidth="1"/>
    <col min="33" max="16384" width="9.33203125" style="1"/>
  </cols>
  <sheetData>
    <row r="1" spans="1:33" ht="12.75" customHeight="1">
      <c r="A1" s="170" t="s">
        <v>1996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</row>
    <row r="2" spans="1:33" ht="18.95" customHeight="1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</row>
    <row r="3" spans="1:33" ht="12.75" customHeight="1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</row>
    <row r="4" spans="1:33" ht="15.75" customHeight="1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</row>
    <row r="5" spans="1:33" ht="18.2" customHeight="1">
      <c r="A5" s="306" t="s">
        <v>2113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</row>
    <row r="6" spans="1:33" ht="37.700000000000003" customHeight="1">
      <c r="A6" s="307" t="s">
        <v>2114</v>
      </c>
      <c r="B6" s="307"/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</row>
    <row r="7" spans="1:33" ht="23.25" customHeight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307"/>
      <c r="AF7" s="307"/>
      <c r="AG7" s="307"/>
    </row>
    <row r="8" spans="1:33" ht="12.75" customHeight="1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35"/>
    </row>
    <row r="9" spans="1:33" ht="12.75" customHeight="1">
      <c r="A9" s="314" t="s">
        <v>1989</v>
      </c>
      <c r="B9" s="326" t="s">
        <v>1990</v>
      </c>
      <c r="C9" s="326"/>
      <c r="D9" s="326"/>
      <c r="E9" s="326" t="s">
        <v>1991</v>
      </c>
      <c r="F9" s="326"/>
      <c r="G9" s="308" t="s">
        <v>1992</v>
      </c>
      <c r="H9" s="323" t="s">
        <v>1975</v>
      </c>
      <c r="I9" s="324"/>
      <c r="J9" s="323" t="s">
        <v>1976</v>
      </c>
      <c r="K9" s="325"/>
      <c r="L9" s="324"/>
      <c r="M9" s="323" t="s">
        <v>1977</v>
      </c>
      <c r="N9" s="324"/>
      <c r="O9" s="323" t="s">
        <v>1978</v>
      </c>
      <c r="P9" s="324"/>
      <c r="Q9" s="323" t="s">
        <v>1979</v>
      </c>
      <c r="R9" s="325"/>
      <c r="S9" s="324"/>
      <c r="T9" s="323" t="s">
        <v>1980</v>
      </c>
      <c r="U9" s="324"/>
      <c r="V9" s="323" t="s">
        <v>1981</v>
      </c>
      <c r="W9" s="324"/>
      <c r="X9" s="323" t="s">
        <v>1982</v>
      </c>
      <c r="Y9" s="325"/>
      <c r="Z9" s="324"/>
      <c r="AA9" s="323" t="s">
        <v>1983</v>
      </c>
      <c r="AB9" s="324"/>
      <c r="AC9" s="323" t="s">
        <v>1984</v>
      </c>
      <c r="AD9" s="324"/>
      <c r="AE9" s="323" t="s">
        <v>1985</v>
      </c>
      <c r="AF9" s="325"/>
      <c r="AG9" s="324"/>
    </row>
    <row r="10" spans="1:33" ht="24" customHeight="1">
      <c r="A10" s="314"/>
      <c r="B10" s="314"/>
      <c r="C10" s="314"/>
      <c r="D10" s="314"/>
      <c r="E10" s="314"/>
      <c r="F10" s="314"/>
      <c r="G10" s="309"/>
      <c r="H10" s="124" t="s">
        <v>1986</v>
      </c>
      <c r="I10" s="124" t="s">
        <v>1987</v>
      </c>
      <c r="J10" s="327" t="s">
        <v>1986</v>
      </c>
      <c r="K10" s="328"/>
      <c r="L10" s="124" t="s">
        <v>1987</v>
      </c>
      <c r="M10" s="124" t="s">
        <v>1986</v>
      </c>
      <c r="N10" s="124" t="s">
        <v>1987</v>
      </c>
      <c r="O10" s="124" t="s">
        <v>1986</v>
      </c>
      <c r="P10" s="124" t="s">
        <v>1987</v>
      </c>
      <c r="Q10" s="327" t="s">
        <v>1986</v>
      </c>
      <c r="R10" s="328"/>
      <c r="S10" s="124" t="s">
        <v>1987</v>
      </c>
      <c r="T10" s="124" t="s">
        <v>1986</v>
      </c>
      <c r="U10" s="124" t="s">
        <v>1987</v>
      </c>
      <c r="V10" s="124" t="s">
        <v>1986</v>
      </c>
      <c r="W10" s="124" t="s">
        <v>1987</v>
      </c>
      <c r="X10" s="327" t="s">
        <v>1986</v>
      </c>
      <c r="Y10" s="328"/>
      <c r="Z10" s="124" t="s">
        <v>1987</v>
      </c>
      <c r="AA10" s="124" t="s">
        <v>1986</v>
      </c>
      <c r="AB10" s="124" t="s">
        <v>1987</v>
      </c>
      <c r="AC10" s="125" t="s">
        <v>1986</v>
      </c>
      <c r="AD10" s="125" t="s">
        <v>1987</v>
      </c>
      <c r="AE10" s="329" t="s">
        <v>1986</v>
      </c>
      <c r="AF10" s="330"/>
      <c r="AG10" s="125" t="s">
        <v>1987</v>
      </c>
    </row>
    <row r="11" spans="1:33" ht="12.75" customHeight="1">
      <c r="A11" s="114">
        <v>1</v>
      </c>
      <c r="B11" s="112" t="s">
        <v>12</v>
      </c>
      <c r="C11" s="115"/>
      <c r="D11" s="111"/>
      <c r="E11" s="116" t="s">
        <v>1969</v>
      </c>
      <c r="F11" s="117">
        <f>'SINTÉTICO REV_01'!J6</f>
        <v>162825.52540017513</v>
      </c>
      <c r="G11" s="118">
        <f>F11/F33</f>
        <v>6.6453675444906518E-2</v>
      </c>
      <c r="H11" s="104">
        <f>(F11*I11)</f>
        <v>81412.762700087565</v>
      </c>
      <c r="I11" s="126">
        <v>0.5</v>
      </c>
      <c r="J11" s="312">
        <f>F11*L11</f>
        <v>81412.762700087565</v>
      </c>
      <c r="K11" s="313"/>
      <c r="L11" s="126">
        <v>0.5</v>
      </c>
      <c r="M11" s="105" t="s">
        <v>1988</v>
      </c>
      <c r="N11" s="102"/>
      <c r="O11" s="105" t="s">
        <v>1988</v>
      </c>
      <c r="P11" s="127"/>
      <c r="Q11" s="300" t="s">
        <v>1988</v>
      </c>
      <c r="R11" s="301"/>
      <c r="S11" s="127"/>
      <c r="T11" s="105" t="s">
        <v>1988</v>
      </c>
      <c r="U11" s="127"/>
      <c r="V11" s="105" t="s">
        <v>1988</v>
      </c>
      <c r="W11" s="103"/>
      <c r="X11" s="319"/>
      <c r="Y11" s="320"/>
      <c r="Z11" s="103"/>
      <c r="AA11" s="105" t="s">
        <v>1988</v>
      </c>
      <c r="AB11" s="103"/>
      <c r="AC11" s="105" t="s">
        <v>1988</v>
      </c>
      <c r="AD11" s="103"/>
      <c r="AE11" s="319"/>
      <c r="AF11" s="320"/>
      <c r="AG11" s="103"/>
    </row>
    <row r="12" spans="1:33" ht="12.75" customHeight="1">
      <c r="A12" s="114">
        <v>2</v>
      </c>
      <c r="B12" s="112" t="s">
        <v>62</v>
      </c>
      <c r="C12" s="115"/>
      <c r="D12" s="111"/>
      <c r="E12" s="116" t="s">
        <v>1969</v>
      </c>
      <c r="F12" s="117">
        <f>'SINTÉTICO REV_01'!J24</f>
        <v>207935.32095720471</v>
      </c>
      <c r="G12" s="118">
        <f>F12/F33</f>
        <v>8.4864251464639759E-2</v>
      </c>
      <c r="H12" s="104">
        <f t="shared" ref="H12:H13" si="0">(F12*I12)</f>
        <v>62380.59628716141</v>
      </c>
      <c r="I12" s="107">
        <v>0.3</v>
      </c>
      <c r="J12" s="312">
        <f t="shared" ref="J12:J14" si="1">F12*L12</f>
        <v>62380.59628716141</v>
      </c>
      <c r="K12" s="313"/>
      <c r="L12" s="107">
        <v>0.3</v>
      </c>
      <c r="M12" s="104">
        <f>(F12*N12)</f>
        <v>83174.128382881885</v>
      </c>
      <c r="N12" s="107">
        <v>0.4</v>
      </c>
      <c r="O12" s="105" t="s">
        <v>1988</v>
      </c>
      <c r="P12" s="103"/>
      <c r="Q12" s="300" t="s">
        <v>1988</v>
      </c>
      <c r="R12" s="301"/>
      <c r="S12" s="103"/>
      <c r="T12" s="105" t="s">
        <v>1988</v>
      </c>
      <c r="U12" s="103"/>
      <c r="V12" s="105" t="s">
        <v>1988</v>
      </c>
      <c r="W12" s="103"/>
      <c r="X12" s="319"/>
      <c r="Y12" s="320"/>
      <c r="Z12" s="103"/>
      <c r="AA12" s="105" t="s">
        <v>1988</v>
      </c>
      <c r="AB12" s="103"/>
      <c r="AC12" s="105" t="s">
        <v>1988</v>
      </c>
      <c r="AD12" s="103"/>
      <c r="AE12" s="319"/>
      <c r="AF12" s="320"/>
      <c r="AG12" s="103"/>
    </row>
    <row r="13" spans="1:33" ht="12.75" customHeight="1">
      <c r="A13" s="114">
        <v>3</v>
      </c>
      <c r="B13" s="112" t="s">
        <v>98</v>
      </c>
      <c r="C13" s="115"/>
      <c r="D13" s="111"/>
      <c r="E13" s="116" t="s">
        <v>1969</v>
      </c>
      <c r="F13" s="117">
        <f>'SINTÉTICO REV_01'!J41</f>
        <v>300443.72079463216</v>
      </c>
      <c r="G13" s="118">
        <f>F13/F33</f>
        <v>0.12261953070366155</v>
      </c>
      <c r="H13" s="104">
        <f t="shared" si="0"/>
        <v>75110.930198658039</v>
      </c>
      <c r="I13" s="107">
        <v>0.25</v>
      </c>
      <c r="J13" s="312">
        <f>F13*L13</f>
        <v>75110.930198658039</v>
      </c>
      <c r="K13" s="313"/>
      <c r="L13" s="107">
        <v>0.25</v>
      </c>
      <c r="M13" s="104">
        <f t="shared" ref="M13:M14" si="2">(F13*N13)</f>
        <v>150221.86039731608</v>
      </c>
      <c r="N13" s="107">
        <v>0.5</v>
      </c>
      <c r="O13" s="105" t="s">
        <v>1988</v>
      </c>
      <c r="P13" s="103"/>
      <c r="Q13" s="300" t="s">
        <v>1988</v>
      </c>
      <c r="R13" s="301"/>
      <c r="S13" s="103"/>
      <c r="T13" s="105" t="s">
        <v>1988</v>
      </c>
      <c r="U13" s="103"/>
      <c r="V13" s="105" t="s">
        <v>1988</v>
      </c>
      <c r="W13" s="103"/>
      <c r="X13" s="319"/>
      <c r="Y13" s="320"/>
      <c r="Z13" s="103"/>
      <c r="AA13" s="105" t="s">
        <v>1988</v>
      </c>
      <c r="AB13" s="103"/>
      <c r="AC13" s="105" t="s">
        <v>1988</v>
      </c>
      <c r="AD13" s="103"/>
      <c r="AE13" s="319"/>
      <c r="AF13" s="320"/>
      <c r="AG13" s="103"/>
    </row>
    <row r="14" spans="1:33" ht="12.75" customHeight="1">
      <c r="A14" s="114">
        <v>4</v>
      </c>
      <c r="B14" s="112" t="s">
        <v>153</v>
      </c>
      <c r="C14" s="115"/>
      <c r="D14" s="111"/>
      <c r="E14" s="116" t="s">
        <v>1969</v>
      </c>
      <c r="F14" s="117">
        <f>'SINTÉTICO REV_01'!J72</f>
        <v>195823.08567988186</v>
      </c>
      <c r="G14" s="118">
        <f>F14/F33</f>
        <v>7.9920907661182927E-2</v>
      </c>
      <c r="H14" s="105" t="s">
        <v>1988</v>
      </c>
      <c r="I14" s="103"/>
      <c r="J14" s="312">
        <f t="shared" si="1"/>
        <v>48955.771419970464</v>
      </c>
      <c r="K14" s="313"/>
      <c r="L14" s="107">
        <v>0.25</v>
      </c>
      <c r="M14" s="104">
        <f t="shared" si="2"/>
        <v>48955.771419970464</v>
      </c>
      <c r="N14" s="107">
        <v>0.25</v>
      </c>
      <c r="O14" s="104">
        <f>(F14*P14)</f>
        <v>48955.771419970464</v>
      </c>
      <c r="P14" s="107">
        <v>0.25</v>
      </c>
      <c r="Q14" s="312">
        <f t="shared" ref="Q14:Q18" si="3">(F14*S14)</f>
        <v>48955.771419970464</v>
      </c>
      <c r="R14" s="313">
        <f t="shared" ref="R14:R18" si="4">(I14*S14)</f>
        <v>0</v>
      </c>
      <c r="S14" s="107">
        <v>0.25</v>
      </c>
      <c r="T14" s="105" t="s">
        <v>1988</v>
      </c>
      <c r="U14" s="103"/>
      <c r="V14" s="105" t="s">
        <v>1988</v>
      </c>
      <c r="W14" s="103"/>
      <c r="X14" s="319"/>
      <c r="Y14" s="320"/>
      <c r="Z14" s="103"/>
      <c r="AA14" s="105" t="s">
        <v>1988</v>
      </c>
      <c r="AB14" s="103"/>
      <c r="AC14" s="105" t="s">
        <v>1988</v>
      </c>
      <c r="AD14" s="106"/>
      <c r="AE14" s="321"/>
      <c r="AF14" s="322"/>
      <c r="AG14" s="106"/>
    </row>
    <row r="15" spans="1:33" ht="12.75" customHeight="1">
      <c r="A15" s="114">
        <v>5</v>
      </c>
      <c r="B15" s="112" t="s">
        <v>186</v>
      </c>
      <c r="C15" s="115"/>
      <c r="D15" s="111"/>
      <c r="E15" s="116" t="s">
        <v>1969</v>
      </c>
      <c r="F15" s="117">
        <f>'SINTÉTICO REV_01'!J87</f>
        <v>102452.36160421718</v>
      </c>
      <c r="G15" s="118">
        <f>F15/F33</f>
        <v>4.1813689652639242E-2</v>
      </c>
      <c r="H15" s="105" t="s">
        <v>1988</v>
      </c>
      <c r="I15" s="106"/>
      <c r="J15" s="300" t="s">
        <v>1988</v>
      </c>
      <c r="K15" s="301"/>
      <c r="L15" s="106"/>
      <c r="M15" s="105" t="s">
        <v>1988</v>
      </c>
      <c r="N15" s="106"/>
      <c r="O15" s="104">
        <f>(F15*P15)</f>
        <v>51226.180802108589</v>
      </c>
      <c r="P15" s="107">
        <v>0.5</v>
      </c>
      <c r="Q15" s="312">
        <f t="shared" si="3"/>
        <v>51226.180802108589</v>
      </c>
      <c r="R15" s="313">
        <f t="shared" si="4"/>
        <v>0</v>
      </c>
      <c r="S15" s="107">
        <v>0.5</v>
      </c>
      <c r="T15" s="105" t="s">
        <v>1988</v>
      </c>
      <c r="U15" s="103"/>
      <c r="V15" s="105" t="s">
        <v>1988</v>
      </c>
      <c r="W15" s="106"/>
      <c r="X15" s="321"/>
      <c r="Y15" s="322"/>
      <c r="Z15" s="106"/>
      <c r="AA15" s="105" t="s">
        <v>1988</v>
      </c>
      <c r="AB15" s="106"/>
      <c r="AC15" s="105" t="s">
        <v>1988</v>
      </c>
      <c r="AD15" s="103"/>
      <c r="AE15" s="319"/>
      <c r="AF15" s="320"/>
      <c r="AG15" s="103"/>
    </row>
    <row r="16" spans="1:33" ht="12.75" customHeight="1">
      <c r="A16" s="114">
        <v>6</v>
      </c>
      <c r="B16" s="112" t="s">
        <v>205</v>
      </c>
      <c r="C16" s="115"/>
      <c r="D16" s="111"/>
      <c r="E16" s="116" t="s">
        <v>1969</v>
      </c>
      <c r="F16" s="117">
        <f>'SINTÉTICO REV_01'!J97</f>
        <v>40341.331619648467</v>
      </c>
      <c r="G16" s="118">
        <f>F16/F33</f>
        <v>1.6464431801333411E-2</v>
      </c>
      <c r="H16" s="105" t="s">
        <v>1988</v>
      </c>
      <c r="I16" s="103"/>
      <c r="J16" s="300" t="s">
        <v>1988</v>
      </c>
      <c r="K16" s="301"/>
      <c r="L16" s="103"/>
      <c r="M16" s="105" t="s">
        <v>1988</v>
      </c>
      <c r="N16" s="103"/>
      <c r="O16" s="104">
        <f t="shared" ref="O16:O18" si="5">(F16*P16)</f>
        <v>20170.665809824233</v>
      </c>
      <c r="P16" s="107">
        <v>0.5</v>
      </c>
      <c r="Q16" s="312">
        <f t="shared" si="3"/>
        <v>20170.665809824233</v>
      </c>
      <c r="R16" s="313">
        <f t="shared" si="4"/>
        <v>0</v>
      </c>
      <c r="S16" s="107">
        <v>0.5</v>
      </c>
      <c r="T16" s="105" t="s">
        <v>1988</v>
      </c>
      <c r="U16" s="106"/>
      <c r="V16" s="105" t="s">
        <v>1988</v>
      </c>
      <c r="W16" s="103"/>
      <c r="X16" s="319"/>
      <c r="Y16" s="320"/>
      <c r="Z16" s="103"/>
      <c r="AA16" s="105" t="s">
        <v>1988</v>
      </c>
      <c r="AB16" s="103"/>
      <c r="AC16" s="105" t="s">
        <v>1988</v>
      </c>
      <c r="AD16" s="103"/>
      <c r="AE16" s="319"/>
      <c r="AF16" s="320"/>
      <c r="AG16" s="103"/>
    </row>
    <row r="17" spans="1:33" ht="12.75" customHeight="1">
      <c r="A17" s="114">
        <v>7</v>
      </c>
      <c r="B17" s="112" t="s">
        <v>212</v>
      </c>
      <c r="C17" s="115"/>
      <c r="D17" s="111"/>
      <c r="E17" s="116" t="s">
        <v>1969</v>
      </c>
      <c r="F17" s="117">
        <f>'SINTÉTICO REV_01'!J101</f>
        <v>255123.6986059169</v>
      </c>
      <c r="G17" s="118">
        <f>F17/F33</f>
        <v>0.10412315528412548</v>
      </c>
      <c r="H17" s="105" t="s">
        <v>1988</v>
      </c>
      <c r="I17" s="103"/>
      <c r="J17" s="300" t="s">
        <v>1988</v>
      </c>
      <c r="K17" s="301"/>
      <c r="L17" s="103"/>
      <c r="M17" s="105" t="s">
        <v>1988</v>
      </c>
      <c r="N17" s="103"/>
      <c r="O17" s="104">
        <f t="shared" si="5"/>
        <v>76537.109581775061</v>
      </c>
      <c r="P17" s="107">
        <v>0.3</v>
      </c>
      <c r="Q17" s="312">
        <f t="shared" si="3"/>
        <v>76537.109581775061</v>
      </c>
      <c r="R17" s="313">
        <f t="shared" si="4"/>
        <v>0</v>
      </c>
      <c r="S17" s="107">
        <v>0.3</v>
      </c>
      <c r="T17" s="104">
        <f>F17*U17</f>
        <v>102049.47944236676</v>
      </c>
      <c r="U17" s="107">
        <v>0.4</v>
      </c>
      <c r="V17" s="105" t="s">
        <v>1988</v>
      </c>
      <c r="W17" s="103"/>
      <c r="X17" s="300" t="s">
        <v>1988</v>
      </c>
      <c r="Y17" s="301"/>
      <c r="Z17" s="103"/>
      <c r="AA17" s="105" t="s">
        <v>1988</v>
      </c>
      <c r="AB17" s="103"/>
      <c r="AC17" s="105" t="s">
        <v>1988</v>
      </c>
      <c r="AD17" s="103"/>
      <c r="AE17" s="319"/>
      <c r="AF17" s="320"/>
      <c r="AG17" s="103"/>
    </row>
    <row r="18" spans="1:33" ht="12.75" customHeight="1">
      <c r="A18" s="114">
        <v>8</v>
      </c>
      <c r="B18" s="112" t="s">
        <v>278</v>
      </c>
      <c r="C18" s="115"/>
      <c r="D18" s="111"/>
      <c r="E18" s="116" t="s">
        <v>1969</v>
      </c>
      <c r="F18" s="117">
        <f>'SINTÉTICO REV_01'!J128</f>
        <v>105077.27147250774</v>
      </c>
      <c r="G18" s="118">
        <f>F18/F33</f>
        <v>4.2884989180344162E-2</v>
      </c>
      <c r="H18" s="105" t="s">
        <v>1988</v>
      </c>
      <c r="I18" s="103"/>
      <c r="J18" s="300" t="s">
        <v>1988</v>
      </c>
      <c r="K18" s="301"/>
      <c r="L18" s="103"/>
      <c r="M18" s="105" t="s">
        <v>1988</v>
      </c>
      <c r="N18" s="103"/>
      <c r="O18" s="104">
        <f t="shared" si="5"/>
        <v>52538.635736253869</v>
      </c>
      <c r="P18" s="107">
        <v>0.5</v>
      </c>
      <c r="Q18" s="312">
        <f t="shared" si="3"/>
        <v>52538.635736253869</v>
      </c>
      <c r="R18" s="313">
        <f t="shared" si="4"/>
        <v>0</v>
      </c>
      <c r="S18" s="107">
        <v>0.5</v>
      </c>
      <c r="T18" s="105" t="s">
        <v>1988</v>
      </c>
      <c r="U18" s="103"/>
      <c r="V18" s="105" t="s">
        <v>1988</v>
      </c>
      <c r="W18" s="103"/>
      <c r="X18" s="300" t="s">
        <v>1988</v>
      </c>
      <c r="Y18" s="301"/>
      <c r="Z18" s="103"/>
      <c r="AA18" s="105" t="s">
        <v>1988</v>
      </c>
      <c r="AB18" s="103"/>
      <c r="AC18" s="105" t="s">
        <v>1988</v>
      </c>
      <c r="AD18" s="103"/>
      <c r="AE18" s="300" t="s">
        <v>1988</v>
      </c>
      <c r="AF18" s="301"/>
      <c r="AG18" s="103"/>
    </row>
    <row r="19" spans="1:33" ht="12.75" customHeight="1">
      <c r="A19" s="114">
        <v>9</v>
      </c>
      <c r="B19" s="112" t="s">
        <v>291</v>
      </c>
      <c r="C19" s="115"/>
      <c r="D19" s="111"/>
      <c r="E19" s="116" t="s">
        <v>1969</v>
      </c>
      <c r="F19" s="117">
        <f>'SINTÉTICO REV_01'!J135</f>
        <v>138994.44684988973</v>
      </c>
      <c r="G19" s="118">
        <f>F19/F33</f>
        <v>5.6727542176854218E-2</v>
      </c>
      <c r="H19" s="105" t="s">
        <v>1988</v>
      </c>
      <c r="I19" s="103"/>
      <c r="J19" s="300" t="s">
        <v>1988</v>
      </c>
      <c r="K19" s="301"/>
      <c r="L19" s="103"/>
      <c r="M19" s="105" t="s">
        <v>1988</v>
      </c>
      <c r="N19" s="103"/>
      <c r="O19" s="104">
        <f>(F19*P19)</f>
        <v>41698.334054966916</v>
      </c>
      <c r="P19" s="107">
        <v>0.3</v>
      </c>
      <c r="Q19" s="312">
        <f>(F19*S19)</f>
        <v>41698.334054966916</v>
      </c>
      <c r="R19" s="313">
        <f t="shared" ref="R19" si="6">(I19*S19)</f>
        <v>0</v>
      </c>
      <c r="S19" s="107">
        <v>0.3</v>
      </c>
      <c r="T19" s="104">
        <f t="shared" ref="T19:T22" si="7">F19*U19</f>
        <v>55597.778739955895</v>
      </c>
      <c r="U19" s="107">
        <v>0.4</v>
      </c>
      <c r="V19" s="105" t="s">
        <v>1988</v>
      </c>
      <c r="W19" s="103"/>
      <c r="X19" s="300" t="s">
        <v>1988</v>
      </c>
      <c r="Y19" s="301"/>
      <c r="Z19" s="103"/>
      <c r="AA19" s="105" t="s">
        <v>1988</v>
      </c>
      <c r="AB19" s="103"/>
      <c r="AC19" s="105" t="s">
        <v>1988</v>
      </c>
      <c r="AD19" s="106"/>
      <c r="AE19" s="300" t="s">
        <v>1988</v>
      </c>
      <c r="AF19" s="301"/>
      <c r="AG19" s="106"/>
    </row>
    <row r="20" spans="1:33" ht="12.75" customHeight="1">
      <c r="A20" s="114">
        <v>10</v>
      </c>
      <c r="B20" s="112" t="s">
        <v>311</v>
      </c>
      <c r="C20" s="115"/>
      <c r="D20" s="111"/>
      <c r="E20" s="116" t="s">
        <v>1969</v>
      </c>
      <c r="F20" s="117">
        <f>'SINTÉTICO REV_01'!J144</f>
        <v>37635.54513173498</v>
      </c>
      <c r="G20" s="118">
        <f>F20/F33</f>
        <v>1.5360124250971758E-2</v>
      </c>
      <c r="H20" s="105" t="s">
        <v>1988</v>
      </c>
      <c r="I20" s="106"/>
      <c r="J20" s="300" t="s">
        <v>1988</v>
      </c>
      <c r="K20" s="301"/>
      <c r="L20" s="106"/>
      <c r="M20" s="105" t="s">
        <v>1988</v>
      </c>
      <c r="N20" s="106"/>
      <c r="O20" s="105" t="s">
        <v>1988</v>
      </c>
      <c r="P20" s="103"/>
      <c r="Q20" s="300" t="s">
        <v>1988</v>
      </c>
      <c r="R20" s="301"/>
      <c r="S20" s="103"/>
      <c r="T20" s="104">
        <f t="shared" si="7"/>
        <v>37635.54513173498</v>
      </c>
      <c r="U20" s="107">
        <v>1</v>
      </c>
      <c r="V20" s="105" t="s">
        <v>1988</v>
      </c>
      <c r="W20" s="106"/>
      <c r="X20" s="300" t="s">
        <v>1988</v>
      </c>
      <c r="Y20" s="301"/>
      <c r="Z20" s="106"/>
      <c r="AA20" s="105" t="s">
        <v>1988</v>
      </c>
      <c r="AB20" s="106"/>
      <c r="AC20" s="105" t="s">
        <v>1988</v>
      </c>
      <c r="AD20" s="103"/>
      <c r="AE20" s="300" t="s">
        <v>1988</v>
      </c>
      <c r="AF20" s="301"/>
      <c r="AG20" s="103"/>
    </row>
    <row r="21" spans="1:33" ht="12.75" customHeight="1">
      <c r="A21" s="114">
        <v>11</v>
      </c>
      <c r="B21" s="112" t="s">
        <v>315</v>
      </c>
      <c r="C21" s="115"/>
      <c r="D21" s="111"/>
      <c r="E21" s="116" t="s">
        <v>1969</v>
      </c>
      <c r="F21" s="117">
        <f>'SINTÉTICO REV_01'!J147</f>
        <v>45069.658947824493</v>
      </c>
      <c r="G21" s="118">
        <f>F21/F33</f>
        <v>1.8394195140905928E-2</v>
      </c>
      <c r="H21" s="105" t="s">
        <v>1988</v>
      </c>
      <c r="I21" s="103"/>
      <c r="J21" s="300" t="s">
        <v>1988</v>
      </c>
      <c r="K21" s="301"/>
      <c r="L21" s="103"/>
      <c r="M21" s="105" t="s">
        <v>1988</v>
      </c>
      <c r="N21" s="103"/>
      <c r="O21" s="105" t="s">
        <v>1988</v>
      </c>
      <c r="P21" s="106"/>
      <c r="Q21" s="300" t="s">
        <v>1988</v>
      </c>
      <c r="R21" s="301"/>
      <c r="S21" s="106"/>
      <c r="T21" s="104">
        <f t="shared" si="7"/>
        <v>22534.829473912247</v>
      </c>
      <c r="U21" s="107">
        <v>0.5</v>
      </c>
      <c r="V21" s="104">
        <f>F21*W21</f>
        <v>22534.829473912247</v>
      </c>
      <c r="W21" s="107">
        <v>0.5</v>
      </c>
      <c r="X21" s="300" t="s">
        <v>1988</v>
      </c>
      <c r="Y21" s="301"/>
      <c r="Z21" s="103"/>
      <c r="AA21" s="105" t="s">
        <v>1988</v>
      </c>
      <c r="AB21" s="103"/>
      <c r="AC21" s="105" t="s">
        <v>1988</v>
      </c>
      <c r="AD21" s="103"/>
      <c r="AE21" s="300" t="s">
        <v>1988</v>
      </c>
      <c r="AF21" s="301"/>
      <c r="AG21" s="103"/>
    </row>
    <row r="22" spans="1:33" ht="12.75" customHeight="1">
      <c r="A22" s="114">
        <v>12</v>
      </c>
      <c r="B22" s="112" t="s">
        <v>320</v>
      </c>
      <c r="C22" s="115"/>
      <c r="D22" s="111"/>
      <c r="E22" s="116" t="s">
        <v>1969</v>
      </c>
      <c r="F22" s="117">
        <f>'SINTÉTICO REV_01'!J150</f>
        <v>82409.806808889101</v>
      </c>
      <c r="G22" s="118">
        <f>F22/F33</f>
        <v>3.3633759459372047E-2</v>
      </c>
      <c r="H22" s="105" t="s">
        <v>1988</v>
      </c>
      <c r="I22" s="103"/>
      <c r="J22" s="300" t="s">
        <v>1988</v>
      </c>
      <c r="K22" s="301"/>
      <c r="L22" s="103"/>
      <c r="M22" s="105" t="s">
        <v>1988</v>
      </c>
      <c r="N22" s="103"/>
      <c r="O22" s="105" t="s">
        <v>1988</v>
      </c>
      <c r="P22" s="103"/>
      <c r="Q22" s="300" t="s">
        <v>1988</v>
      </c>
      <c r="R22" s="301"/>
      <c r="S22" s="103"/>
      <c r="T22" s="104">
        <f t="shared" si="7"/>
        <v>41204.903404444551</v>
      </c>
      <c r="U22" s="107">
        <v>0.5</v>
      </c>
      <c r="V22" s="104">
        <f t="shared" ref="V22:V25" si="8">F22*W22</f>
        <v>41204.903404444551</v>
      </c>
      <c r="W22" s="107">
        <v>0.5</v>
      </c>
      <c r="X22" s="300" t="s">
        <v>1988</v>
      </c>
      <c r="Y22" s="301"/>
      <c r="Z22" s="103"/>
      <c r="AA22" s="105" t="s">
        <v>1988</v>
      </c>
      <c r="AB22" s="103"/>
      <c r="AC22" s="105" t="s">
        <v>1988</v>
      </c>
      <c r="AD22" s="103"/>
      <c r="AE22" s="300" t="s">
        <v>1988</v>
      </c>
      <c r="AF22" s="301"/>
      <c r="AG22" s="103"/>
    </row>
    <row r="23" spans="1:33" ht="12.75" customHeight="1">
      <c r="A23" s="114">
        <v>13</v>
      </c>
      <c r="B23" s="112" t="s">
        <v>345</v>
      </c>
      <c r="C23" s="115"/>
      <c r="D23" s="111"/>
      <c r="E23" s="116" t="s">
        <v>1969</v>
      </c>
      <c r="F23" s="117">
        <f>'SINTÉTICO REV_01'!J163</f>
        <v>8379.8121923133749</v>
      </c>
      <c r="G23" s="118">
        <f>F23/F33</f>
        <v>3.4200369895853238E-3</v>
      </c>
      <c r="H23" s="105" t="s">
        <v>1988</v>
      </c>
      <c r="I23" s="103"/>
      <c r="J23" s="300" t="s">
        <v>1988</v>
      </c>
      <c r="K23" s="301"/>
      <c r="L23" s="103"/>
      <c r="M23" s="105" t="s">
        <v>1988</v>
      </c>
      <c r="N23" s="103"/>
      <c r="O23" s="105" t="s">
        <v>1988</v>
      </c>
      <c r="P23" s="103"/>
      <c r="Q23" s="300" t="s">
        <v>1988</v>
      </c>
      <c r="R23" s="301"/>
      <c r="S23" s="103"/>
      <c r="T23" s="105" t="s">
        <v>1988</v>
      </c>
      <c r="U23" s="103"/>
      <c r="V23" s="104">
        <f t="shared" si="8"/>
        <v>8379.8121923133749</v>
      </c>
      <c r="W23" s="107">
        <v>1</v>
      </c>
      <c r="X23" s="300" t="s">
        <v>1988</v>
      </c>
      <c r="Y23" s="301"/>
      <c r="Z23" s="103"/>
      <c r="AA23" s="105" t="s">
        <v>1988</v>
      </c>
      <c r="AB23" s="103"/>
      <c r="AC23" s="105" t="s">
        <v>1988</v>
      </c>
      <c r="AD23" s="103"/>
      <c r="AE23" s="300" t="s">
        <v>1988</v>
      </c>
      <c r="AF23" s="301"/>
      <c r="AG23" s="103"/>
    </row>
    <row r="24" spans="1:33" ht="12.75" customHeight="1">
      <c r="A24" s="114">
        <v>14</v>
      </c>
      <c r="B24" s="112" t="s">
        <v>351</v>
      </c>
      <c r="C24" s="115"/>
      <c r="D24" s="111"/>
      <c r="E24" s="116" t="s">
        <v>1969</v>
      </c>
      <c r="F24" s="117">
        <f>'SINTÉTICO REV_01'!J166</f>
        <v>63864.558169528929</v>
      </c>
      <c r="G24" s="118">
        <f>F24/F33</f>
        <v>2.606492201145794E-2</v>
      </c>
      <c r="H24" s="105" t="s">
        <v>1988</v>
      </c>
      <c r="I24" s="103"/>
      <c r="J24" s="300" t="s">
        <v>1988</v>
      </c>
      <c r="K24" s="301"/>
      <c r="L24" s="103"/>
      <c r="M24" s="105" t="s">
        <v>1988</v>
      </c>
      <c r="N24" s="103"/>
      <c r="O24" s="103"/>
      <c r="P24" s="103"/>
      <c r="Q24" s="319"/>
      <c r="R24" s="320"/>
      <c r="S24" s="103"/>
      <c r="T24" s="103"/>
      <c r="U24" s="103"/>
      <c r="V24" s="104">
        <f t="shared" si="8"/>
        <v>31932.279084764465</v>
      </c>
      <c r="W24" s="107">
        <v>0.5</v>
      </c>
      <c r="X24" s="312">
        <f>F24*Z24</f>
        <v>31932.279084764465</v>
      </c>
      <c r="Y24" s="313">
        <f t="shared" ref="Y24" si="9">I24*Z24</f>
        <v>0</v>
      </c>
      <c r="Z24" s="107">
        <v>0.5</v>
      </c>
      <c r="AA24" s="105" t="s">
        <v>1988</v>
      </c>
      <c r="AB24" s="103"/>
      <c r="AC24" s="105" t="s">
        <v>1988</v>
      </c>
      <c r="AD24" s="106"/>
      <c r="AE24" s="300" t="s">
        <v>1988</v>
      </c>
      <c r="AF24" s="301"/>
      <c r="AG24" s="106"/>
    </row>
    <row r="25" spans="1:33" ht="12.75" customHeight="1">
      <c r="A25" s="114">
        <v>15</v>
      </c>
      <c r="B25" s="112" t="s">
        <v>415</v>
      </c>
      <c r="C25" s="115"/>
      <c r="D25" s="111"/>
      <c r="E25" s="116" t="s">
        <v>1969</v>
      </c>
      <c r="F25" s="117">
        <f>'SINTÉTICO REV_01'!J193</f>
        <v>171422.78163510279</v>
      </c>
      <c r="G25" s="118">
        <f>F25/F33</f>
        <v>6.9962457462642708E-2</v>
      </c>
      <c r="H25" s="105" t="s">
        <v>1988</v>
      </c>
      <c r="I25" s="106"/>
      <c r="J25" s="300" t="s">
        <v>1988</v>
      </c>
      <c r="K25" s="301"/>
      <c r="L25" s="106"/>
      <c r="M25" s="105" t="s">
        <v>1988</v>
      </c>
      <c r="N25" s="106"/>
      <c r="O25" s="103"/>
      <c r="P25" s="103"/>
      <c r="Q25" s="319"/>
      <c r="R25" s="320"/>
      <c r="S25" s="103"/>
      <c r="T25" s="103"/>
      <c r="U25" s="103"/>
      <c r="V25" s="104">
        <f t="shared" si="8"/>
        <v>51426.834490530833</v>
      </c>
      <c r="W25" s="107">
        <v>0.3</v>
      </c>
      <c r="X25" s="312">
        <f t="shared" ref="X25:X27" si="10">F25*Z25</f>
        <v>51426.834490530833</v>
      </c>
      <c r="Y25" s="313">
        <f t="shared" ref="Y25:Y27" si="11">I25*Z25</f>
        <v>0</v>
      </c>
      <c r="Z25" s="107">
        <v>0.3</v>
      </c>
      <c r="AA25" s="104">
        <f>F25*AB25</f>
        <v>68569.112654041121</v>
      </c>
      <c r="AB25" s="107">
        <v>0.4</v>
      </c>
      <c r="AC25" s="105" t="s">
        <v>1988</v>
      </c>
      <c r="AD25" s="106"/>
      <c r="AE25" s="300" t="s">
        <v>1988</v>
      </c>
      <c r="AF25" s="301"/>
      <c r="AG25" s="106"/>
    </row>
    <row r="26" spans="1:33" ht="12.75" customHeight="1">
      <c r="A26" s="114">
        <v>16</v>
      </c>
      <c r="B26" s="112" t="s">
        <v>669</v>
      </c>
      <c r="C26" s="115"/>
      <c r="D26" s="111"/>
      <c r="E26" s="116" t="s">
        <v>1969</v>
      </c>
      <c r="F26" s="117">
        <f>'SINTÉTICO REV_01'!J309</f>
        <v>334017.29471121344</v>
      </c>
      <c r="G26" s="118">
        <f>F26/F33</f>
        <v>0.13632185028220886</v>
      </c>
      <c r="H26" s="105" t="s">
        <v>1988</v>
      </c>
      <c r="I26" s="103"/>
      <c r="J26" s="300" t="s">
        <v>1988</v>
      </c>
      <c r="K26" s="301"/>
      <c r="L26" s="103"/>
      <c r="M26" s="105" t="s">
        <v>1988</v>
      </c>
      <c r="N26" s="103"/>
      <c r="O26" s="106"/>
      <c r="P26" s="106"/>
      <c r="Q26" s="321"/>
      <c r="R26" s="322"/>
      <c r="S26" s="106"/>
      <c r="T26" s="106"/>
      <c r="U26" s="106"/>
      <c r="V26" s="105" t="s">
        <v>1988</v>
      </c>
      <c r="W26" s="103"/>
      <c r="X26" s="312">
        <f t="shared" si="10"/>
        <v>83504.323677803361</v>
      </c>
      <c r="Y26" s="313">
        <f t="shared" si="11"/>
        <v>0</v>
      </c>
      <c r="Z26" s="107">
        <v>0.25</v>
      </c>
      <c r="AA26" s="104">
        <f>F26*AB26</f>
        <v>83504.323677803361</v>
      </c>
      <c r="AB26" s="107">
        <v>0.25</v>
      </c>
      <c r="AC26" s="104">
        <f>F26*AD26</f>
        <v>83504.323677803361</v>
      </c>
      <c r="AD26" s="107">
        <v>0.25</v>
      </c>
      <c r="AE26" s="312">
        <f>F26*AG26</f>
        <v>83504.323677803361</v>
      </c>
      <c r="AF26" s="313"/>
      <c r="AG26" s="107">
        <v>0.25</v>
      </c>
    </row>
    <row r="27" spans="1:33" ht="12.75" customHeight="1">
      <c r="A27" s="114">
        <v>17</v>
      </c>
      <c r="B27" s="112" t="s">
        <v>924</v>
      </c>
      <c r="C27" s="115"/>
      <c r="D27" s="111"/>
      <c r="E27" s="116" t="s">
        <v>1969</v>
      </c>
      <c r="F27" s="117">
        <f>'SINTÉTICO REV_01'!J415</f>
        <v>151556.94105800454</v>
      </c>
      <c r="G27" s="118">
        <f>F27/F33</f>
        <v>6.1854649310903613E-2</v>
      </c>
      <c r="H27" s="105" t="s">
        <v>1988</v>
      </c>
      <c r="I27" s="103"/>
      <c r="J27" s="300" t="s">
        <v>1988</v>
      </c>
      <c r="K27" s="301"/>
      <c r="L27" s="103"/>
      <c r="M27" s="105" t="s">
        <v>1988</v>
      </c>
      <c r="N27" s="103"/>
      <c r="O27" s="103"/>
      <c r="P27" s="103"/>
      <c r="Q27" s="319"/>
      <c r="R27" s="320"/>
      <c r="S27" s="103"/>
      <c r="T27" s="103"/>
      <c r="U27" s="103"/>
      <c r="V27" s="105" t="s">
        <v>1988</v>
      </c>
      <c r="W27" s="103"/>
      <c r="X27" s="312">
        <f t="shared" si="10"/>
        <v>75778.470529002268</v>
      </c>
      <c r="Y27" s="313">
        <f t="shared" si="11"/>
        <v>0</v>
      </c>
      <c r="Z27" s="107">
        <v>0.5</v>
      </c>
      <c r="AA27" s="104">
        <f t="shared" ref="AA27" si="12">F27*AB27</f>
        <v>75778.470529002268</v>
      </c>
      <c r="AB27" s="107">
        <v>0.5</v>
      </c>
      <c r="AC27" s="105" t="s">
        <v>1988</v>
      </c>
      <c r="AD27" s="103"/>
      <c r="AE27" s="300" t="s">
        <v>1988</v>
      </c>
      <c r="AF27" s="301"/>
      <c r="AG27" s="103"/>
    </row>
    <row r="28" spans="1:33" ht="12.75" customHeight="1">
      <c r="A28" s="114">
        <v>18</v>
      </c>
      <c r="B28" s="112" t="s">
        <v>981</v>
      </c>
      <c r="C28" s="115"/>
      <c r="D28" s="111"/>
      <c r="E28" s="116" t="s">
        <v>1969</v>
      </c>
      <c r="F28" s="117">
        <f>'SINTÉTICO REV_01'!J438</f>
        <v>21580.296350812194</v>
      </c>
      <c r="G28" s="118">
        <f>F28/F33</f>
        <v>8.8075257621753177E-3</v>
      </c>
      <c r="H28" s="105" t="s">
        <v>1988</v>
      </c>
      <c r="I28" s="103"/>
      <c r="J28" s="300" t="s">
        <v>1988</v>
      </c>
      <c r="K28" s="301"/>
      <c r="L28" s="103"/>
      <c r="M28" s="105" t="s">
        <v>1988</v>
      </c>
      <c r="N28" s="103"/>
      <c r="O28" s="103"/>
      <c r="P28" s="103"/>
      <c r="Q28" s="319"/>
      <c r="R28" s="320"/>
      <c r="S28" s="103"/>
      <c r="T28" s="103"/>
      <c r="U28" s="103"/>
      <c r="V28" s="105" t="s">
        <v>1988</v>
      </c>
      <c r="W28" s="103"/>
      <c r="X28" s="300" t="s">
        <v>1988</v>
      </c>
      <c r="Y28" s="301"/>
      <c r="Z28" s="103"/>
      <c r="AA28" s="105" t="s">
        <v>1988</v>
      </c>
      <c r="AB28" s="103"/>
      <c r="AC28" s="104">
        <f>F28*AD28</f>
        <v>21580.296350812194</v>
      </c>
      <c r="AD28" s="107">
        <v>1</v>
      </c>
      <c r="AE28" s="300" t="s">
        <v>1988</v>
      </c>
      <c r="AF28" s="301"/>
      <c r="AG28" s="103"/>
    </row>
    <row r="29" spans="1:33" ht="12.75" customHeight="1">
      <c r="A29" s="114">
        <v>19</v>
      </c>
      <c r="B29" s="112" t="s">
        <v>1018</v>
      </c>
      <c r="C29" s="115"/>
      <c r="D29" s="111"/>
      <c r="E29" s="116" t="s">
        <v>1969</v>
      </c>
      <c r="F29" s="117">
        <f>'SINTÉTICO REV_01'!J460</f>
        <v>14283.411322306954</v>
      </c>
      <c r="G29" s="118">
        <f>F29/F33</f>
        <v>5.8294617992227194E-3</v>
      </c>
      <c r="H29" s="105" t="s">
        <v>1988</v>
      </c>
      <c r="I29" s="103"/>
      <c r="J29" s="300" t="s">
        <v>1988</v>
      </c>
      <c r="K29" s="301"/>
      <c r="L29" s="103"/>
      <c r="M29" s="105" t="s">
        <v>1988</v>
      </c>
      <c r="N29" s="103"/>
      <c r="O29" s="103"/>
      <c r="P29" s="103"/>
      <c r="Q29" s="319"/>
      <c r="R29" s="320"/>
      <c r="S29" s="103"/>
      <c r="T29" s="103"/>
      <c r="U29" s="103"/>
      <c r="V29" s="105" t="s">
        <v>1988</v>
      </c>
      <c r="W29" s="103"/>
      <c r="X29" s="300" t="s">
        <v>1988</v>
      </c>
      <c r="Y29" s="301"/>
      <c r="Z29" s="103"/>
      <c r="AA29" s="105" t="s">
        <v>1988</v>
      </c>
      <c r="AB29" s="103"/>
      <c r="AC29" s="104">
        <f>F29*AD29</f>
        <v>14283.411322306954</v>
      </c>
      <c r="AD29" s="107">
        <v>1</v>
      </c>
      <c r="AE29" s="300" t="s">
        <v>1988</v>
      </c>
      <c r="AF29" s="301"/>
      <c r="AG29" s="103"/>
    </row>
    <row r="30" spans="1:33" ht="12.75" customHeight="1">
      <c r="A30" s="114">
        <v>20</v>
      </c>
      <c r="B30" s="112" t="s">
        <v>1035</v>
      </c>
      <c r="C30" s="115"/>
      <c r="D30" s="111"/>
      <c r="E30" s="116" t="s">
        <v>1969</v>
      </c>
      <c r="F30" s="117">
        <f>'SINTÉTICO REV_01'!J468</f>
        <v>10974.113151697502</v>
      </c>
      <c r="G30" s="118">
        <f>F30/F33</f>
        <v>4.4788441608664487E-3</v>
      </c>
      <c r="H30" s="105" t="s">
        <v>1988</v>
      </c>
      <c r="I30" s="106"/>
      <c r="J30" s="300" t="s">
        <v>1988</v>
      </c>
      <c r="K30" s="301"/>
      <c r="L30" s="106"/>
      <c r="M30" s="105" t="s">
        <v>1988</v>
      </c>
      <c r="N30" s="106"/>
      <c r="O30" s="103"/>
      <c r="P30" s="103"/>
      <c r="Q30" s="319"/>
      <c r="R30" s="320"/>
      <c r="S30" s="103"/>
      <c r="T30" s="103"/>
      <c r="U30" s="103"/>
      <c r="V30" s="105" t="s">
        <v>1988</v>
      </c>
      <c r="W30" s="106"/>
      <c r="X30" s="300" t="s">
        <v>1988</v>
      </c>
      <c r="Y30" s="301"/>
      <c r="Z30" s="106"/>
      <c r="AA30" s="105" t="s">
        <v>1988</v>
      </c>
      <c r="AB30" s="106"/>
      <c r="AC30" s="103"/>
      <c r="AD30" s="103"/>
      <c r="AE30" s="312">
        <f>F30*AG30</f>
        <v>10974.113151697502</v>
      </c>
      <c r="AF30" s="313"/>
      <c r="AG30" s="107">
        <v>1</v>
      </c>
    </row>
    <row r="31" spans="1:33" ht="8.25" customHeight="1">
      <c r="H31" s="103"/>
      <c r="I31" s="103"/>
      <c r="J31" s="319"/>
      <c r="K31" s="320"/>
      <c r="L31" s="103"/>
      <c r="M31" s="103"/>
      <c r="N31" s="103"/>
      <c r="O31" s="35"/>
    </row>
    <row r="32" spans="1:33" ht="12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</row>
    <row r="33" spans="1:33" ht="12.75" customHeight="1">
      <c r="A33" s="315" t="s">
        <v>1993</v>
      </c>
      <c r="B33" s="316"/>
      <c r="C33" s="119"/>
      <c r="D33" s="120"/>
      <c r="E33" s="121" t="s">
        <v>1969</v>
      </c>
      <c r="F33" s="122">
        <f>SUM(F11:F30)</f>
        <v>2450210.9824635023</v>
      </c>
      <c r="G33" s="123">
        <f>SUM(G11:G30)</f>
        <v>1</v>
      </c>
      <c r="H33" s="104">
        <f>SUM(H11:H13)</f>
        <v>218904.28918590699</v>
      </c>
      <c r="I33" s="107">
        <f>H33/F33</f>
        <v>8.9340995837760562E-2</v>
      </c>
      <c r="J33" s="312">
        <f>SUM(J11:K14)</f>
        <v>267860.06060587743</v>
      </c>
      <c r="K33" s="313"/>
      <c r="L33" s="107">
        <f>J33/F33</f>
        <v>0.10932122275305628</v>
      </c>
      <c r="M33" s="104">
        <f>SUM(M12:M14)</f>
        <v>282351.76020016847</v>
      </c>
      <c r="N33" s="107">
        <f>M33/F33</f>
        <v>0.11523569285298244</v>
      </c>
      <c r="O33" s="104">
        <f>SUM(O14:O19)</f>
        <v>291126.69740489911</v>
      </c>
      <c r="P33" s="107">
        <f>O33/F33</f>
        <v>0.11881699147074803</v>
      </c>
      <c r="Q33" s="312">
        <f>SUM(Q14:R19)</f>
        <v>291126.69740489911</v>
      </c>
      <c r="R33" s="313"/>
      <c r="S33" s="107">
        <f>Q33/F33</f>
        <v>0.11881699147074803</v>
      </c>
      <c r="T33" s="104">
        <f>SUM(T19:T22,T17)</f>
        <v>259022.53619241441</v>
      </c>
      <c r="U33" s="107">
        <f>T33/F33</f>
        <v>0.10571438053550261</v>
      </c>
      <c r="V33" s="104">
        <f>SUM(V21:V25)</f>
        <v>155478.65864596545</v>
      </c>
      <c r="W33" s="107">
        <f>V33/F33</f>
        <v>6.3455212534246089E-2</v>
      </c>
      <c r="X33" s="310">
        <f>SUM(X24:Y27)</f>
        <v>242641.9077821009</v>
      </c>
      <c r="Y33" s="311"/>
      <c r="Z33" s="107">
        <f>X33/F33</f>
        <v>9.9028985470525799E-2</v>
      </c>
      <c r="AA33" s="104">
        <f>SUM(AA25:AA27)</f>
        <v>227851.90686084674</v>
      </c>
      <c r="AB33" s="107">
        <f>AA33/F33</f>
        <v>9.2992770211061102E-2</v>
      </c>
      <c r="AC33" s="104">
        <f>AC26+AC28+AC29</f>
        <v>119368.03135092251</v>
      </c>
      <c r="AD33" s="107">
        <f>AC33/F33</f>
        <v>4.8717450131950252E-2</v>
      </c>
      <c r="AE33" s="312">
        <f>AE26+AE30</f>
        <v>94478.436829500861</v>
      </c>
      <c r="AF33" s="313"/>
      <c r="AG33" s="107">
        <f>AE33/F33</f>
        <v>3.8559306731418663E-2</v>
      </c>
    </row>
    <row r="34" spans="1:33" ht="12.75" customHeight="1">
      <c r="A34" s="302" t="s">
        <v>1994</v>
      </c>
      <c r="B34" s="303"/>
      <c r="C34" s="303"/>
      <c r="D34" s="303"/>
      <c r="E34" s="303"/>
      <c r="F34" s="303"/>
      <c r="G34" s="303"/>
      <c r="H34" s="304" t="s">
        <v>1995</v>
      </c>
      <c r="I34" s="305"/>
      <c r="J34" s="317">
        <f>H33+J33</f>
        <v>486764.34979178442</v>
      </c>
      <c r="K34" s="318"/>
      <c r="L34" s="108">
        <f>J34/F33</f>
        <v>0.19866221859081684</v>
      </c>
      <c r="M34" s="109">
        <f>J34+M33</f>
        <v>769116.10999195289</v>
      </c>
      <c r="N34" s="108">
        <f>M34/F33</f>
        <v>0.3138979114437993</v>
      </c>
      <c r="O34" s="109">
        <f>M34+O33</f>
        <v>1060242.8073968519</v>
      </c>
      <c r="P34" s="108">
        <f>O34/F33</f>
        <v>0.43271490291454728</v>
      </c>
      <c r="Q34" s="317">
        <f>O34+Q33</f>
        <v>1351369.5048017511</v>
      </c>
      <c r="R34" s="318"/>
      <c r="S34" s="108">
        <f>Q34/F33</f>
        <v>0.55153189438529537</v>
      </c>
      <c r="T34" s="109">
        <f>Q34+T33</f>
        <v>1610392.0409941655</v>
      </c>
      <c r="U34" s="108">
        <f>T34/F33</f>
        <v>0.6572462749207979</v>
      </c>
      <c r="V34" s="109">
        <f>T34+V33</f>
        <v>1765870.6996401309</v>
      </c>
      <c r="W34" s="108">
        <f>V34/F33</f>
        <v>0.72070148745504403</v>
      </c>
      <c r="X34" s="304">
        <f>V34+X33</f>
        <v>2008512.6074222317</v>
      </c>
      <c r="Y34" s="305"/>
      <c r="Z34" s="108">
        <f>X34/F33</f>
        <v>0.81973047292556978</v>
      </c>
      <c r="AA34" s="109">
        <f>X34+AA33</f>
        <v>2236364.5142830783</v>
      </c>
      <c r="AB34" s="108">
        <f>AA34/F33</f>
        <v>0.91272324313663078</v>
      </c>
      <c r="AC34" s="109">
        <f>AA34+AC33</f>
        <v>2355732.5456340006</v>
      </c>
      <c r="AD34" s="107">
        <f>AC34/F33</f>
        <v>0.96144069326858095</v>
      </c>
      <c r="AE34" s="304">
        <f>AC34+AE33</f>
        <v>2450210.9824635014</v>
      </c>
      <c r="AF34" s="305"/>
      <c r="AG34" s="108">
        <f>AE34/F33</f>
        <v>0.99999999999999967</v>
      </c>
    </row>
    <row r="35" spans="1:33" ht="51" customHeight="1">
      <c r="A35" s="151" t="s">
        <v>1046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</row>
    <row r="36" spans="1:33" ht="5.25" customHeight="1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</row>
    <row r="37" spans="1:33" ht="12.75" customHeight="1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</row>
    <row r="38" spans="1:33" ht="3" customHeight="1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</row>
    <row r="39" spans="1:33" ht="12.75" customHeight="1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</row>
    <row r="40" spans="1:33" ht="18.95" customHeight="1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</row>
    <row r="41" spans="1:33" ht="12.95" customHeight="1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</row>
    <row r="42" spans="1:33" ht="14.85" customHeight="1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</row>
    <row r="43" spans="1:33" ht="18.2" customHeight="1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</row>
    <row r="44" spans="1:33" ht="12.75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</row>
    <row r="45" spans="1:33" ht="18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</row>
    <row r="46" spans="1:33" ht="12.7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</row>
    <row r="47" spans="1:33" ht="6.7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</row>
    <row r="48" spans="1:33" ht="12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</row>
    <row r="49" spans="1:27" ht="24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</row>
    <row r="50" spans="1:27" ht="6.9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</row>
    <row r="51" spans="1:27" ht="12.7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</row>
    <row r="52" spans="1:27" ht="12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</row>
    <row r="53" spans="1:27" ht="12.7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</row>
    <row r="54" spans="1:27" ht="12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</row>
    <row r="55" spans="1:27" ht="12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</row>
    <row r="56" spans="1:27" ht="12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</row>
    <row r="57" spans="1:27" ht="12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</row>
    <row r="58" spans="1:27" ht="12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</row>
    <row r="59" spans="1:27" ht="12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</row>
    <row r="60" spans="1:27" ht="12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</row>
    <row r="61" spans="1:27" ht="12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</row>
    <row r="62" spans="1:27" ht="12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</row>
    <row r="63" spans="1:27" ht="12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</row>
    <row r="64" spans="1:27" ht="12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</row>
    <row r="65" spans="1:27" ht="12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</row>
    <row r="66" spans="1:27" ht="12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</row>
    <row r="67" spans="1:27" ht="12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</row>
    <row r="68" spans="1:27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</row>
    <row r="69" spans="1:27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</row>
    <row r="70" spans="1:27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</row>
    <row r="71" spans="1:27" ht="11.1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</row>
    <row r="72" spans="1:27" ht="12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</row>
    <row r="73" spans="1:27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</row>
    <row r="74" spans="1:27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</row>
    <row r="75" spans="1:27" ht="38.2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</row>
    <row r="76" spans="1:27" ht="5.2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</row>
    <row r="77" spans="1:27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</row>
    <row r="78" spans="1:27" ht="138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</row>
    <row r="79" spans="1:27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</row>
    <row r="80" spans="1:27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</row>
    <row r="81" spans="1:27" ht="25.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</row>
    <row r="82" spans="1:27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</row>
    <row r="83" spans="1:27" ht="25.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</row>
    <row r="84" spans="1:27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</row>
    <row r="85" spans="1:27" ht="11.8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</row>
    <row r="86" spans="1:27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</row>
    <row r="87" spans="1:27" ht="24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</row>
    <row r="88" spans="1:27" ht="11.1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</row>
    <row r="89" spans="1:27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</row>
    <row r="90" spans="1:27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</row>
    <row r="91" spans="1:27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</row>
    <row r="92" spans="1:27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</row>
    <row r="93" spans="1:27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</row>
    <row r="94" spans="1:27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</row>
    <row r="95" spans="1:27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</row>
    <row r="96" spans="1:27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</row>
    <row r="97" spans="1:27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</row>
    <row r="98" spans="1:27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</row>
    <row r="99" spans="1:27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</row>
    <row r="100" spans="1:27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</row>
    <row r="101" spans="1:27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</row>
    <row r="102" spans="1:27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</row>
    <row r="103" spans="1:27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</row>
    <row r="104" spans="1:27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</row>
    <row r="105" spans="1:27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</row>
    <row r="106" spans="1:27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</row>
    <row r="107" spans="1:27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</row>
    <row r="108" spans="1:27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</row>
    <row r="109" spans="1:27" ht="12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</row>
    <row r="110" spans="1:27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</row>
    <row r="111" spans="1:27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</row>
    <row r="112" spans="1:27" ht="51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</row>
    <row r="113" spans="1:27" ht="5.2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</row>
    <row r="114" spans="1:27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</row>
    <row r="115" spans="1:27" ht="9.9499999999999993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</row>
    <row r="116" spans="1:27" ht="35.450000000000003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</row>
    <row r="117" spans="1:27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</row>
    <row r="118" spans="1:27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</row>
    <row r="119" spans="1:27" ht="25.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</row>
    <row r="120" spans="1:27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</row>
    <row r="121" spans="1:27" ht="25.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</row>
    <row r="122" spans="1:27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</row>
    <row r="123" spans="1:27" ht="12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</row>
    <row r="124" spans="1:27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</row>
    <row r="125" spans="1:27" ht="23.1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</row>
    <row r="126" spans="1:27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</row>
    <row r="127" spans="1:27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</row>
    <row r="128" spans="1:27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</row>
    <row r="129" spans="1:27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</row>
    <row r="130" spans="1:27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</row>
    <row r="131" spans="1:27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</row>
    <row r="132" spans="1:27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</row>
    <row r="133" spans="1:27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</row>
    <row r="134" spans="1:27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</row>
    <row r="135" spans="1:27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</row>
    <row r="136" spans="1:27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</row>
    <row r="137" spans="1:27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</row>
    <row r="138" spans="1:27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</row>
    <row r="139" spans="1:27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</row>
    <row r="140" spans="1:27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</row>
    <row r="141" spans="1:27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</row>
    <row r="142" spans="1:27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</row>
    <row r="143" spans="1:27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</row>
    <row r="144" spans="1:27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</row>
    <row r="145" spans="1:27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</row>
    <row r="146" spans="1:27" ht="12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</row>
    <row r="147" spans="1:27" ht="12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</row>
    <row r="148" spans="1:27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</row>
    <row r="149" spans="1:27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</row>
    <row r="150" spans="1:27" ht="38.2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</row>
    <row r="151" spans="1:27" ht="5.2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</row>
    <row r="152" spans="1:27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</row>
    <row r="153" spans="1:27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</row>
    <row r="154" spans="1:27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</row>
    <row r="155" spans="1:27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</row>
    <row r="156" spans="1:27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</row>
    <row r="157" spans="1:27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</row>
    <row r="158" spans="1:27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</row>
    <row r="159" spans="1:27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</row>
    <row r="160" spans="1:27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</row>
    <row r="161" spans="1:27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</row>
  </sheetData>
  <mergeCells count="115">
    <mergeCell ref="H9:I9"/>
    <mergeCell ref="J9:L9"/>
    <mergeCell ref="B9:D10"/>
    <mergeCell ref="E9:F10"/>
    <mergeCell ref="AA9:AB9"/>
    <mergeCell ref="AC9:AD9"/>
    <mergeCell ref="AE9:AG9"/>
    <mergeCell ref="J10:K10"/>
    <mergeCell ref="Q10:R10"/>
    <mergeCell ref="X10:Y10"/>
    <mergeCell ref="AE10:AF10"/>
    <mergeCell ref="M9:N9"/>
    <mergeCell ref="O9:P9"/>
    <mergeCell ref="Q9:S9"/>
    <mergeCell ref="T9:U9"/>
    <mergeCell ref="V9:W9"/>
    <mergeCell ref="X9:Z9"/>
    <mergeCell ref="J12:K12"/>
    <mergeCell ref="Q12:R12"/>
    <mergeCell ref="X12:Y12"/>
    <mergeCell ref="AE12:AF12"/>
    <mergeCell ref="J13:K13"/>
    <mergeCell ref="Q13:R13"/>
    <mergeCell ref="X13:Y13"/>
    <mergeCell ref="AE13:AF13"/>
    <mergeCell ref="J11:K11"/>
    <mergeCell ref="Q11:R11"/>
    <mergeCell ref="X11:Y11"/>
    <mergeCell ref="AE11:AF11"/>
    <mergeCell ref="J16:K16"/>
    <mergeCell ref="Q16:R16"/>
    <mergeCell ref="X16:Y16"/>
    <mergeCell ref="AE16:AF16"/>
    <mergeCell ref="J17:K17"/>
    <mergeCell ref="Q17:R17"/>
    <mergeCell ref="X17:Y17"/>
    <mergeCell ref="AE17:AF17"/>
    <mergeCell ref="J14:K14"/>
    <mergeCell ref="Q14:R14"/>
    <mergeCell ref="X14:Y14"/>
    <mergeCell ref="AE14:AF14"/>
    <mergeCell ref="J15:K15"/>
    <mergeCell ref="Q15:R15"/>
    <mergeCell ref="X15:Y15"/>
    <mergeCell ref="AE15:AF15"/>
    <mergeCell ref="J20:K20"/>
    <mergeCell ref="Q20:R20"/>
    <mergeCell ref="X20:Y20"/>
    <mergeCell ref="AE20:AF20"/>
    <mergeCell ref="J21:K21"/>
    <mergeCell ref="Q21:R21"/>
    <mergeCell ref="X21:Y21"/>
    <mergeCell ref="AE21:AF21"/>
    <mergeCell ref="J18:K18"/>
    <mergeCell ref="Q18:R18"/>
    <mergeCell ref="X18:Y18"/>
    <mergeCell ref="AE18:AF18"/>
    <mergeCell ref="J19:K19"/>
    <mergeCell ref="Q19:R19"/>
    <mergeCell ref="X19:Y19"/>
    <mergeCell ref="AE19:AF19"/>
    <mergeCell ref="J24:K24"/>
    <mergeCell ref="Q24:R24"/>
    <mergeCell ref="X24:Y24"/>
    <mergeCell ref="AE24:AF24"/>
    <mergeCell ref="J25:K25"/>
    <mergeCell ref="Q25:R25"/>
    <mergeCell ref="X25:Y25"/>
    <mergeCell ref="AE26:AF26"/>
    <mergeCell ref="J22:K22"/>
    <mergeCell ref="Q22:R22"/>
    <mergeCell ref="X22:Y22"/>
    <mergeCell ref="AE22:AF22"/>
    <mergeCell ref="J23:K23"/>
    <mergeCell ref="Q23:R23"/>
    <mergeCell ref="X23:Y23"/>
    <mergeCell ref="AE23:AF23"/>
    <mergeCell ref="X30:Y30"/>
    <mergeCell ref="J31:K31"/>
    <mergeCell ref="J28:K28"/>
    <mergeCell ref="Q28:R28"/>
    <mergeCell ref="X28:Y28"/>
    <mergeCell ref="J29:K29"/>
    <mergeCell ref="Q29:R29"/>
    <mergeCell ref="X29:Y29"/>
    <mergeCell ref="J26:K26"/>
    <mergeCell ref="Q26:R26"/>
    <mergeCell ref="X26:Y26"/>
    <mergeCell ref="J27:K27"/>
    <mergeCell ref="Q27:R27"/>
    <mergeCell ref="X27:Y27"/>
    <mergeCell ref="A35:AG40"/>
    <mergeCell ref="AE27:AF27"/>
    <mergeCell ref="AE28:AF28"/>
    <mergeCell ref="AE29:AF29"/>
    <mergeCell ref="A34:G34"/>
    <mergeCell ref="H34:I34"/>
    <mergeCell ref="A1:AG4"/>
    <mergeCell ref="A5:AG5"/>
    <mergeCell ref="A6:AG7"/>
    <mergeCell ref="G9:G10"/>
    <mergeCell ref="AE34:AF34"/>
    <mergeCell ref="X34:Y34"/>
    <mergeCell ref="X33:Y33"/>
    <mergeCell ref="AE25:AF25"/>
    <mergeCell ref="AE30:AF30"/>
    <mergeCell ref="A9:A10"/>
    <mergeCell ref="A33:B33"/>
    <mergeCell ref="J33:K33"/>
    <mergeCell ref="Q33:R33"/>
    <mergeCell ref="AE33:AF33"/>
    <mergeCell ref="J34:K34"/>
    <mergeCell ref="Q34:R34"/>
    <mergeCell ref="J30:K30"/>
    <mergeCell ref="Q30:R30"/>
  </mergeCells>
  <pageMargins left="0.23622047244094491" right="0.23622047244094491" top="0.74803149606299213" bottom="0.74803149606299213" header="0.31496062992125984" footer="0.31496062992125984"/>
  <pageSetup paperSize="9" scale="42" orientation="landscape" r:id="rId1"/>
  <headerFooter>
    <oddFooter>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719A-B8DC-4145-9888-208E38F7897D}">
  <sheetPr>
    <pageSetUpPr fitToPage="1"/>
  </sheetPr>
  <dimension ref="A1:J48"/>
  <sheetViews>
    <sheetView topLeftCell="A7" workbookViewId="0">
      <selection activeCell="A45" sqref="A1:F48"/>
    </sheetView>
  </sheetViews>
  <sheetFormatPr defaultRowHeight="12.75"/>
  <cols>
    <col min="1" max="2" width="26.6640625" style="1" customWidth="1"/>
    <col min="3" max="3" width="72.1640625" style="1" customWidth="1"/>
    <col min="4" max="4" width="70" style="1" customWidth="1"/>
    <col min="5" max="5" width="52.5" style="1" customWidth="1"/>
    <col min="6" max="6" width="53.5" style="1" customWidth="1"/>
    <col min="7" max="7" width="11.5" style="1" customWidth="1"/>
    <col min="8" max="16384" width="9.33203125" style="1"/>
  </cols>
  <sheetData>
    <row r="1" spans="1:7" ht="90.75" customHeight="1">
      <c r="A1" s="146" t="s">
        <v>2067</v>
      </c>
      <c r="B1" s="147"/>
      <c r="C1" s="147"/>
      <c r="D1" s="147"/>
      <c r="E1" s="147"/>
      <c r="F1" s="331"/>
    </row>
    <row r="2" spans="1:7" ht="15.75" customHeight="1">
      <c r="A2" s="165" t="s">
        <v>2066</v>
      </c>
      <c r="B2" s="148"/>
      <c r="C2" s="148"/>
      <c r="D2" s="148"/>
      <c r="E2" s="148"/>
      <c r="F2" s="166"/>
    </row>
    <row r="3" spans="1:7" ht="72" customHeight="1">
      <c r="A3" s="167" t="s">
        <v>2109</v>
      </c>
      <c r="B3" s="168"/>
      <c r="C3" s="168"/>
      <c r="D3" s="168"/>
      <c r="E3" s="168"/>
      <c r="F3" s="169"/>
    </row>
    <row r="4" spans="1:7" ht="13.5" customHeight="1">
      <c r="A4" s="113"/>
      <c r="B4" s="113"/>
      <c r="C4" s="113"/>
      <c r="D4" s="113"/>
      <c r="E4" s="113"/>
      <c r="F4" s="113"/>
      <c r="G4" s="113"/>
    </row>
    <row r="5" spans="1:7" ht="19.7" customHeight="1">
      <c r="A5" s="155" t="s">
        <v>2065</v>
      </c>
      <c r="B5" s="335"/>
      <c r="C5" s="335"/>
      <c r="D5" s="335"/>
      <c r="E5" s="335"/>
      <c r="F5" s="335"/>
    </row>
    <row r="6" spans="1:7" ht="19.7" customHeight="1">
      <c r="A6" s="336" t="s">
        <v>2064</v>
      </c>
      <c r="B6" s="338" t="s">
        <v>2063</v>
      </c>
      <c r="C6" s="339"/>
      <c r="D6" s="340"/>
      <c r="E6" s="344" t="s">
        <v>2062</v>
      </c>
      <c r="F6" s="345"/>
    </row>
    <row r="7" spans="1:7" ht="19.7" customHeight="1">
      <c r="A7" s="337"/>
      <c r="B7" s="341"/>
      <c r="C7" s="342"/>
      <c r="D7" s="343"/>
      <c r="E7" s="134" t="s">
        <v>2061</v>
      </c>
      <c r="F7" s="133" t="s">
        <v>2060</v>
      </c>
    </row>
    <row r="8" spans="1:7" ht="19.7" customHeight="1">
      <c r="A8" s="155" t="s">
        <v>2059</v>
      </c>
      <c r="B8" s="335"/>
      <c r="C8" s="335"/>
      <c r="D8" s="335"/>
      <c r="E8" s="335"/>
      <c r="F8" s="335"/>
    </row>
    <row r="9" spans="1:7" ht="19.7" customHeight="1">
      <c r="A9" s="132" t="s">
        <v>2058</v>
      </c>
      <c r="B9" s="332" t="s">
        <v>2057</v>
      </c>
      <c r="C9" s="333"/>
      <c r="D9" s="334"/>
      <c r="E9" s="131">
        <v>0.2</v>
      </c>
      <c r="F9" s="131">
        <v>0.2</v>
      </c>
    </row>
    <row r="10" spans="1:7" ht="19.7" customHeight="1">
      <c r="A10" s="132" t="s">
        <v>2056</v>
      </c>
      <c r="B10" s="332" t="s">
        <v>2055</v>
      </c>
      <c r="C10" s="333"/>
      <c r="D10" s="334"/>
      <c r="E10" s="131">
        <v>1.4999999999999999E-2</v>
      </c>
      <c r="F10" s="131">
        <v>1.4999999999999999E-2</v>
      </c>
    </row>
    <row r="11" spans="1:7" ht="19.7" customHeight="1">
      <c r="A11" s="132" t="s">
        <v>2054</v>
      </c>
      <c r="B11" s="332" t="s">
        <v>2053</v>
      </c>
      <c r="C11" s="333"/>
      <c r="D11" s="334"/>
      <c r="E11" s="131">
        <v>0.01</v>
      </c>
      <c r="F11" s="131">
        <v>0.01</v>
      </c>
    </row>
    <row r="12" spans="1:7" ht="19.7" customHeight="1">
      <c r="A12" s="132" t="s">
        <v>2052</v>
      </c>
      <c r="B12" s="332" t="s">
        <v>2051</v>
      </c>
      <c r="C12" s="333"/>
      <c r="D12" s="334"/>
      <c r="E12" s="131">
        <v>2E-3</v>
      </c>
      <c r="F12" s="131">
        <v>2E-3</v>
      </c>
    </row>
    <row r="13" spans="1:7" ht="19.7" customHeight="1">
      <c r="A13" s="132" t="s">
        <v>2050</v>
      </c>
      <c r="B13" s="332" t="s">
        <v>2049</v>
      </c>
      <c r="C13" s="333"/>
      <c r="D13" s="334"/>
      <c r="E13" s="131">
        <v>6.0000000000000001E-3</v>
      </c>
      <c r="F13" s="131">
        <v>6.0000000000000001E-3</v>
      </c>
    </row>
    <row r="14" spans="1:7" ht="19.7" customHeight="1">
      <c r="A14" s="132" t="s">
        <v>2048</v>
      </c>
      <c r="B14" s="332" t="s">
        <v>2047</v>
      </c>
      <c r="C14" s="333"/>
      <c r="D14" s="334"/>
      <c r="E14" s="131">
        <v>2.5000000000000001E-2</v>
      </c>
      <c r="F14" s="131">
        <v>2.5000000000000001E-2</v>
      </c>
    </row>
    <row r="15" spans="1:7" ht="19.7" customHeight="1">
      <c r="A15" s="132" t="s">
        <v>2046</v>
      </c>
      <c r="B15" s="332" t="s">
        <v>2045</v>
      </c>
      <c r="C15" s="333"/>
      <c r="D15" s="334"/>
      <c r="E15" s="131">
        <v>0.03</v>
      </c>
      <c r="F15" s="131">
        <v>0.03</v>
      </c>
    </row>
    <row r="16" spans="1:7" ht="19.7" customHeight="1">
      <c r="A16" s="132" t="s">
        <v>2044</v>
      </c>
      <c r="B16" s="332" t="s">
        <v>2043</v>
      </c>
      <c r="C16" s="333"/>
      <c r="D16" s="334"/>
      <c r="E16" s="131">
        <v>0.08</v>
      </c>
      <c r="F16" s="131">
        <v>0.08</v>
      </c>
    </row>
    <row r="17" spans="1:6" ht="19.7" customHeight="1">
      <c r="A17" s="132" t="s">
        <v>2042</v>
      </c>
      <c r="B17" s="332" t="s">
        <v>2041</v>
      </c>
      <c r="C17" s="333"/>
      <c r="D17" s="334"/>
      <c r="E17" s="131">
        <v>0</v>
      </c>
      <c r="F17" s="131">
        <v>0</v>
      </c>
    </row>
    <row r="18" spans="1:6" ht="19.7" customHeight="1">
      <c r="A18" s="130" t="s">
        <v>2040</v>
      </c>
      <c r="B18" s="344" t="s">
        <v>1998</v>
      </c>
      <c r="C18" s="346"/>
      <c r="D18" s="345"/>
      <c r="E18" s="129">
        <v>0.36799999999999999</v>
      </c>
      <c r="F18" s="129">
        <v>0.36799999999999999</v>
      </c>
    </row>
    <row r="19" spans="1:6" ht="19.7" customHeight="1">
      <c r="A19" s="155" t="s">
        <v>2039</v>
      </c>
      <c r="B19" s="335"/>
      <c r="C19" s="335"/>
      <c r="D19" s="335"/>
      <c r="E19" s="335"/>
      <c r="F19" s="335"/>
    </row>
    <row r="20" spans="1:6" ht="19.7" customHeight="1">
      <c r="A20" s="132" t="s">
        <v>2038</v>
      </c>
      <c r="B20" s="332" t="s">
        <v>2037</v>
      </c>
      <c r="C20" s="333"/>
      <c r="D20" s="334"/>
      <c r="E20" s="131">
        <v>0.1802</v>
      </c>
      <c r="F20" s="132" t="s">
        <v>2024</v>
      </c>
    </row>
    <row r="21" spans="1:6" ht="19.7" customHeight="1">
      <c r="A21" s="132" t="s">
        <v>2036</v>
      </c>
      <c r="B21" s="332" t="s">
        <v>2035</v>
      </c>
      <c r="C21" s="333"/>
      <c r="D21" s="334"/>
      <c r="E21" s="131">
        <v>4.3099999999999999E-2</v>
      </c>
      <c r="F21" s="132" t="s">
        <v>2024</v>
      </c>
    </row>
    <row r="22" spans="1:6" ht="19.7" customHeight="1">
      <c r="A22" s="132" t="s">
        <v>2034</v>
      </c>
      <c r="B22" s="332" t="s">
        <v>2033</v>
      </c>
      <c r="C22" s="333"/>
      <c r="D22" s="334"/>
      <c r="E22" s="131">
        <v>8.6E-3</v>
      </c>
      <c r="F22" s="131">
        <v>6.4999999999999997E-3</v>
      </c>
    </row>
    <row r="23" spans="1:6" ht="19.7" customHeight="1">
      <c r="A23" s="132" t="s">
        <v>2032</v>
      </c>
      <c r="B23" s="332" t="s">
        <v>2031</v>
      </c>
      <c r="C23" s="333"/>
      <c r="D23" s="334"/>
      <c r="E23" s="131">
        <v>0.1096</v>
      </c>
      <c r="F23" s="131">
        <v>8.3299999999999999E-2</v>
      </c>
    </row>
    <row r="24" spans="1:6" ht="19.7" customHeight="1">
      <c r="A24" s="132" t="s">
        <v>2030</v>
      </c>
      <c r="B24" s="332" t="s">
        <v>2029</v>
      </c>
      <c r="C24" s="333"/>
      <c r="D24" s="334"/>
      <c r="E24" s="131">
        <v>6.9999999999999999E-4</v>
      </c>
      <c r="F24" s="131">
        <v>5.0000000000000001E-4</v>
      </c>
    </row>
    <row r="25" spans="1:6" ht="19.7" customHeight="1">
      <c r="A25" s="132" t="s">
        <v>2028</v>
      </c>
      <c r="B25" s="332" t="s">
        <v>2027</v>
      </c>
      <c r="C25" s="333"/>
      <c r="D25" s="334"/>
      <c r="E25" s="131">
        <v>7.3000000000000001E-3</v>
      </c>
      <c r="F25" s="131">
        <v>5.5999999999999999E-3</v>
      </c>
    </row>
    <row r="26" spans="1:6" ht="19.7" customHeight="1">
      <c r="A26" s="132" t="s">
        <v>2026</v>
      </c>
      <c r="B26" s="332" t="s">
        <v>2025</v>
      </c>
      <c r="C26" s="333"/>
      <c r="D26" s="334"/>
      <c r="E26" s="131">
        <v>2.0400000000000001E-2</v>
      </c>
      <c r="F26" s="132" t="s">
        <v>2024</v>
      </c>
    </row>
    <row r="27" spans="1:6" ht="19.7" customHeight="1">
      <c r="A27" s="132" t="s">
        <v>2023</v>
      </c>
      <c r="B27" s="332" t="s">
        <v>2022</v>
      </c>
      <c r="C27" s="333"/>
      <c r="D27" s="334"/>
      <c r="E27" s="131">
        <v>1E-3</v>
      </c>
      <c r="F27" s="131">
        <v>6.9999999999999999E-4</v>
      </c>
    </row>
    <row r="28" spans="1:6" ht="19.7" customHeight="1">
      <c r="A28" s="132" t="s">
        <v>2021</v>
      </c>
      <c r="B28" s="332" t="s">
        <v>2020</v>
      </c>
      <c r="C28" s="333"/>
      <c r="D28" s="334"/>
      <c r="E28" s="131">
        <v>9.7600000000000006E-2</v>
      </c>
      <c r="F28" s="131">
        <v>7.4200000000000002E-2</v>
      </c>
    </row>
    <row r="29" spans="1:6" ht="19.7" customHeight="1">
      <c r="A29" s="132" t="s">
        <v>2019</v>
      </c>
      <c r="B29" s="332" t="s">
        <v>2018</v>
      </c>
      <c r="C29" s="333"/>
      <c r="D29" s="334"/>
      <c r="E29" s="131">
        <v>2.9999999999999997E-4</v>
      </c>
      <c r="F29" s="131">
        <v>2.9999999999999997E-4</v>
      </c>
    </row>
    <row r="30" spans="1:6" ht="19.7" customHeight="1">
      <c r="A30" s="130" t="s">
        <v>2017</v>
      </c>
      <c r="B30" s="344" t="s">
        <v>1998</v>
      </c>
      <c r="C30" s="346"/>
      <c r="D30" s="345"/>
      <c r="E30" s="129">
        <v>0.46879999999999999</v>
      </c>
      <c r="F30" s="129">
        <v>0.1711</v>
      </c>
    </row>
    <row r="31" spans="1:6" ht="19.7" customHeight="1">
      <c r="A31" s="155" t="s">
        <v>2016</v>
      </c>
      <c r="B31" s="335"/>
      <c r="C31" s="335"/>
      <c r="D31" s="335"/>
      <c r="E31" s="335"/>
      <c r="F31" s="335"/>
    </row>
    <row r="32" spans="1:6" ht="19.7" customHeight="1">
      <c r="A32" s="132" t="s">
        <v>2015</v>
      </c>
      <c r="B32" s="332" t="s">
        <v>2014</v>
      </c>
      <c r="C32" s="333"/>
      <c r="D32" s="334"/>
      <c r="E32" s="131">
        <v>4.53E-2</v>
      </c>
      <c r="F32" s="131">
        <v>3.4500000000000003E-2</v>
      </c>
    </row>
    <row r="33" spans="1:10" ht="19.7" customHeight="1">
      <c r="A33" s="132" t="s">
        <v>2013</v>
      </c>
      <c r="B33" s="332" t="s">
        <v>2012</v>
      </c>
      <c r="C33" s="333"/>
      <c r="D33" s="334"/>
      <c r="E33" s="131">
        <v>1.1000000000000001E-3</v>
      </c>
      <c r="F33" s="131">
        <v>8.0000000000000004E-4</v>
      </c>
    </row>
    <row r="34" spans="1:10" ht="19.7" customHeight="1">
      <c r="A34" s="132" t="s">
        <v>2011</v>
      </c>
      <c r="B34" s="332" t="s">
        <v>2010</v>
      </c>
      <c r="C34" s="333"/>
      <c r="D34" s="334"/>
      <c r="E34" s="131">
        <v>4.2900000000000001E-2</v>
      </c>
      <c r="F34" s="131">
        <v>3.2599999999999997E-2</v>
      </c>
    </row>
    <row r="35" spans="1:10" ht="19.7" customHeight="1">
      <c r="A35" s="132" t="s">
        <v>2009</v>
      </c>
      <c r="B35" s="332" t="s">
        <v>2008</v>
      </c>
      <c r="C35" s="333"/>
      <c r="D35" s="334"/>
      <c r="E35" s="131">
        <v>2.9600000000000001E-2</v>
      </c>
      <c r="F35" s="131">
        <v>2.2499999999999999E-2</v>
      </c>
    </row>
    <row r="36" spans="1:10" ht="19.7" customHeight="1">
      <c r="A36" s="132" t="s">
        <v>2007</v>
      </c>
      <c r="B36" s="332" t="s">
        <v>2006</v>
      </c>
      <c r="C36" s="333"/>
      <c r="D36" s="334"/>
      <c r="E36" s="131">
        <v>3.8E-3</v>
      </c>
      <c r="F36" s="131">
        <v>2.8999999999999998E-3</v>
      </c>
    </row>
    <row r="37" spans="1:10" ht="19.7" customHeight="1">
      <c r="A37" s="130" t="s">
        <v>2005</v>
      </c>
      <c r="B37" s="344" t="s">
        <v>1998</v>
      </c>
      <c r="C37" s="346"/>
      <c r="D37" s="345"/>
      <c r="E37" s="129">
        <v>0.1227</v>
      </c>
      <c r="F37" s="129">
        <v>9.3299999999999994E-2</v>
      </c>
    </row>
    <row r="38" spans="1:10" ht="19.7" customHeight="1">
      <c r="A38" s="155" t="s">
        <v>2004</v>
      </c>
      <c r="B38" s="335"/>
      <c r="C38" s="335"/>
      <c r="D38" s="335"/>
      <c r="E38" s="335"/>
      <c r="F38" s="335"/>
    </row>
    <row r="39" spans="1:10" ht="19.7" customHeight="1">
      <c r="A39" s="132" t="s">
        <v>2003</v>
      </c>
      <c r="B39" s="332" t="s">
        <v>2002</v>
      </c>
      <c r="C39" s="333"/>
      <c r="D39" s="334"/>
      <c r="E39" s="131">
        <v>0.17249999999999999</v>
      </c>
      <c r="F39" s="131">
        <v>6.3E-2</v>
      </c>
    </row>
    <row r="40" spans="1:10" ht="27.75" customHeight="1">
      <c r="A40" s="132" t="s">
        <v>2001</v>
      </c>
      <c r="B40" s="332" t="s">
        <v>2000</v>
      </c>
      <c r="C40" s="333"/>
      <c r="D40" s="334"/>
      <c r="E40" s="131">
        <v>4.0000000000000001E-3</v>
      </c>
      <c r="F40" s="131">
        <v>3.0999999999999999E-3</v>
      </c>
    </row>
    <row r="41" spans="1:10" ht="19.7" customHeight="1">
      <c r="A41" s="130" t="s">
        <v>1999</v>
      </c>
      <c r="B41" s="344" t="s">
        <v>1998</v>
      </c>
      <c r="C41" s="346"/>
      <c r="D41" s="345"/>
      <c r="E41" s="129">
        <v>0.17649999999999999</v>
      </c>
      <c r="F41" s="129">
        <v>6.6100000000000006E-2</v>
      </c>
    </row>
    <row r="42" spans="1:10" ht="25.5" customHeight="1">
      <c r="A42" s="155" t="s">
        <v>1997</v>
      </c>
      <c r="B42" s="335"/>
      <c r="C42" s="335"/>
      <c r="D42" s="156"/>
      <c r="E42" s="128">
        <v>1.1359999999999999</v>
      </c>
      <c r="F42" s="128">
        <v>0.69850000000000001</v>
      </c>
    </row>
    <row r="43" spans="1:10" ht="17.25" customHeight="1">
      <c r="A43" s="349"/>
      <c r="B43" s="349"/>
      <c r="C43" s="113"/>
      <c r="D43" s="113"/>
      <c r="E43" s="113"/>
      <c r="F43" s="113"/>
      <c r="G43" s="113"/>
    </row>
    <row r="44" spans="1:10" ht="153.6" customHeight="1">
      <c r="A44" s="347"/>
      <c r="B44" s="347"/>
      <c r="C44" s="347"/>
      <c r="D44" s="347"/>
      <c r="E44" s="347"/>
      <c r="F44" s="347"/>
    </row>
    <row r="45" spans="1:10" ht="13.5" customHeight="1">
      <c r="A45" s="348" t="s">
        <v>1046</v>
      </c>
      <c r="B45" s="348"/>
      <c r="C45" s="348"/>
      <c r="D45" s="348"/>
      <c r="E45" s="348"/>
      <c r="F45" s="348"/>
      <c r="G45" s="86"/>
      <c r="H45" s="86"/>
      <c r="I45" s="86"/>
      <c r="J45" s="86"/>
    </row>
    <row r="46" spans="1:10" ht="22.5" customHeight="1">
      <c r="A46" s="348"/>
      <c r="B46" s="348"/>
      <c r="C46" s="348"/>
      <c r="D46" s="348"/>
      <c r="E46" s="348"/>
      <c r="F46" s="348"/>
      <c r="G46" s="86"/>
      <c r="H46" s="86"/>
      <c r="I46" s="86"/>
      <c r="J46" s="86"/>
    </row>
    <row r="47" spans="1:10" ht="17.25" customHeight="1">
      <c r="A47" s="348"/>
      <c r="B47" s="348"/>
      <c r="C47" s="348"/>
      <c r="D47" s="348"/>
      <c r="E47" s="348"/>
      <c r="F47" s="348"/>
      <c r="G47" s="86"/>
      <c r="H47" s="86"/>
      <c r="I47" s="86"/>
      <c r="J47" s="86"/>
    </row>
    <row r="48" spans="1:10">
      <c r="A48" s="348"/>
      <c r="B48" s="348"/>
      <c r="C48" s="348"/>
      <c r="D48" s="348"/>
      <c r="E48" s="348"/>
      <c r="F48" s="348"/>
    </row>
  </sheetData>
  <mergeCells count="45">
    <mergeCell ref="A44:F44"/>
    <mergeCell ref="A45:F48"/>
    <mergeCell ref="B39:D39"/>
    <mergeCell ref="B40:D40"/>
    <mergeCell ref="B41:D41"/>
    <mergeCell ref="A42:D42"/>
    <mergeCell ref="A43:B43"/>
    <mergeCell ref="B29:D29"/>
    <mergeCell ref="B30:D30"/>
    <mergeCell ref="A31:F31"/>
    <mergeCell ref="B32:D32"/>
    <mergeCell ref="B33:D33"/>
    <mergeCell ref="B34:D34"/>
    <mergeCell ref="B35:D35"/>
    <mergeCell ref="B36:D36"/>
    <mergeCell ref="B37:D37"/>
    <mergeCell ref="A38:F38"/>
    <mergeCell ref="A19:F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16:D16"/>
    <mergeCell ref="B17:D17"/>
    <mergeCell ref="B18:D18"/>
    <mergeCell ref="B9:D9"/>
    <mergeCell ref="B10:D10"/>
    <mergeCell ref="B11:D11"/>
    <mergeCell ref="B12:D12"/>
    <mergeCell ref="B13:D13"/>
    <mergeCell ref="A1:F1"/>
    <mergeCell ref="A2:F2"/>
    <mergeCell ref="A3:F3"/>
    <mergeCell ref="B14:D14"/>
    <mergeCell ref="B15:D15"/>
    <mergeCell ref="A5:F5"/>
    <mergeCell ref="A6:A7"/>
    <mergeCell ref="B6:D7"/>
    <mergeCell ref="E6:F6"/>
    <mergeCell ref="A8:F8"/>
  </mergeCells>
  <pageMargins left="0.23622047244094491" right="0.23622047244094491" top="0.74803149606299213" bottom="0.74803149606299213" header="0.31496062992125984" footer="0.31496062992125984"/>
  <pageSetup paperSize="9" scale="32" fitToHeight="0" orientation="portrait" r:id="rId1"/>
  <headerFooter>
    <oddFooter>Página 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3CEF-875D-4ACC-8843-CFB818431367}">
  <sheetPr>
    <pageSetUpPr fitToPage="1"/>
  </sheetPr>
  <dimension ref="A1:K22"/>
  <sheetViews>
    <sheetView tabSelected="1" workbookViewId="0">
      <selection activeCell="I20" sqref="I20"/>
    </sheetView>
  </sheetViews>
  <sheetFormatPr defaultRowHeight="12.75"/>
  <cols>
    <col min="1" max="1" width="25.5" style="1" customWidth="1"/>
    <col min="2" max="2" width="88.6640625" style="1" customWidth="1"/>
    <col min="3" max="4" width="12.6640625" style="1" customWidth="1"/>
    <col min="5" max="5" width="46.6640625" style="1" customWidth="1"/>
    <col min="6" max="6" width="42" style="1" customWidth="1"/>
    <col min="7" max="7" width="4.6640625" style="1" customWidth="1"/>
    <col min="8" max="16384" width="9.33203125" style="1"/>
  </cols>
  <sheetData>
    <row r="1" spans="1:11" ht="87.2" customHeight="1">
      <c r="A1" s="146" t="s">
        <v>2068</v>
      </c>
      <c r="B1" s="147"/>
      <c r="C1" s="147"/>
      <c r="D1" s="147"/>
      <c r="E1" s="147"/>
      <c r="F1" s="147"/>
      <c r="G1" s="331"/>
    </row>
    <row r="2" spans="1:11" ht="15.75" customHeight="1">
      <c r="A2" s="165" t="s">
        <v>2069</v>
      </c>
      <c r="B2" s="148"/>
      <c r="C2" s="148"/>
      <c r="D2" s="148"/>
      <c r="E2" s="148"/>
      <c r="F2" s="148"/>
      <c r="G2" s="166"/>
    </row>
    <row r="3" spans="1:11" ht="69" customHeight="1">
      <c r="A3" s="167" t="s">
        <v>2108</v>
      </c>
      <c r="B3" s="168"/>
      <c r="C3" s="168"/>
      <c r="D3" s="168"/>
      <c r="E3" s="168"/>
      <c r="F3" s="168"/>
      <c r="G3" s="169"/>
    </row>
    <row r="4" spans="1:11" ht="131.25" customHeight="1">
      <c r="A4" s="332" t="s">
        <v>2070</v>
      </c>
      <c r="B4" s="333"/>
      <c r="C4" s="333"/>
      <c r="D4" s="333"/>
      <c r="E4" s="333"/>
      <c r="F4" s="333"/>
      <c r="G4" s="334"/>
      <c r="K4" s="1" t="s">
        <v>2112</v>
      </c>
    </row>
    <row r="5" spans="1:11" ht="37.700000000000003" customHeight="1">
      <c r="A5" s="140" t="s">
        <v>1943</v>
      </c>
      <c r="B5" s="140" t="s">
        <v>1944</v>
      </c>
      <c r="C5" s="354" t="s">
        <v>2071</v>
      </c>
      <c r="D5" s="355"/>
      <c r="E5" s="140" t="s">
        <v>2072</v>
      </c>
      <c r="F5" s="354" t="s">
        <v>2073</v>
      </c>
      <c r="G5" s="355"/>
    </row>
    <row r="6" spans="1:11" ht="18.75" customHeight="1">
      <c r="A6" s="135">
        <v>1</v>
      </c>
      <c r="B6" s="136" t="s">
        <v>2074</v>
      </c>
      <c r="C6" s="352" t="s">
        <v>2075</v>
      </c>
      <c r="D6" s="353"/>
      <c r="E6" s="132" t="s">
        <v>2076</v>
      </c>
      <c r="F6" s="352" t="s">
        <v>2077</v>
      </c>
      <c r="G6" s="353"/>
    </row>
    <row r="7" spans="1:11" ht="18.75" customHeight="1">
      <c r="A7" s="135">
        <v>2</v>
      </c>
      <c r="B7" s="136" t="s">
        <v>2078</v>
      </c>
      <c r="C7" s="352" t="s">
        <v>2079</v>
      </c>
      <c r="D7" s="353"/>
      <c r="E7" s="132" t="s">
        <v>2080</v>
      </c>
      <c r="F7" s="352" t="s">
        <v>2081</v>
      </c>
      <c r="G7" s="353"/>
    </row>
    <row r="8" spans="1:11" ht="18.75" customHeight="1">
      <c r="A8" s="135">
        <v>3</v>
      </c>
      <c r="B8" s="136" t="s">
        <v>2082</v>
      </c>
      <c r="C8" s="352" t="s">
        <v>2083</v>
      </c>
      <c r="D8" s="353"/>
      <c r="E8" s="132" t="s">
        <v>2084</v>
      </c>
      <c r="F8" s="352" t="s">
        <v>2085</v>
      </c>
      <c r="G8" s="353"/>
    </row>
    <row r="9" spans="1:11" ht="18.75" customHeight="1">
      <c r="A9" s="135">
        <v>4</v>
      </c>
      <c r="B9" s="136" t="s">
        <v>2086</v>
      </c>
      <c r="C9" s="352" t="s">
        <v>2087</v>
      </c>
      <c r="D9" s="353"/>
      <c r="E9" s="132" t="s">
        <v>2088</v>
      </c>
      <c r="F9" s="352" t="s">
        <v>2081</v>
      </c>
      <c r="G9" s="353"/>
    </row>
    <row r="10" spans="1:11" ht="18.75" customHeight="1">
      <c r="A10" s="135">
        <v>5</v>
      </c>
      <c r="B10" s="136" t="s">
        <v>2089</v>
      </c>
      <c r="C10" s="352" t="s">
        <v>2090</v>
      </c>
      <c r="D10" s="353"/>
      <c r="E10" s="132" t="s">
        <v>2091</v>
      </c>
      <c r="F10" s="352" t="s">
        <v>2092</v>
      </c>
      <c r="G10" s="353"/>
    </row>
    <row r="11" spans="1:11" ht="18.75" customHeight="1">
      <c r="A11" s="135">
        <v>6</v>
      </c>
      <c r="B11" s="136" t="s">
        <v>2093</v>
      </c>
      <c r="C11" s="352" t="s">
        <v>2094</v>
      </c>
      <c r="D11" s="353"/>
      <c r="E11" s="132" t="s">
        <v>2095</v>
      </c>
      <c r="F11" s="352" t="s">
        <v>2096</v>
      </c>
      <c r="G11" s="353"/>
    </row>
    <row r="12" spans="1:11" ht="18.75" customHeight="1">
      <c r="A12" s="137">
        <v>6.1</v>
      </c>
      <c r="B12" s="136" t="s">
        <v>2097</v>
      </c>
      <c r="C12" s="319"/>
      <c r="D12" s="320"/>
      <c r="E12" s="132" t="s">
        <v>2098</v>
      </c>
      <c r="F12" s="352" t="s">
        <v>2098</v>
      </c>
      <c r="G12" s="353"/>
    </row>
    <row r="13" spans="1:11" ht="18.75" customHeight="1">
      <c r="A13" s="137">
        <v>6.2</v>
      </c>
      <c r="B13" s="136" t="s">
        <v>2099</v>
      </c>
      <c r="C13" s="319"/>
      <c r="D13" s="320"/>
      <c r="E13" s="132" t="s">
        <v>2100</v>
      </c>
      <c r="F13" s="352" t="s">
        <v>2100</v>
      </c>
      <c r="G13" s="353"/>
    </row>
    <row r="14" spans="1:11" ht="18.75" customHeight="1">
      <c r="A14" s="137">
        <v>6.3</v>
      </c>
      <c r="B14" s="136" t="s">
        <v>2101</v>
      </c>
      <c r="C14" s="319"/>
      <c r="D14" s="320"/>
      <c r="E14" s="132" t="s">
        <v>2102</v>
      </c>
      <c r="F14" s="352" t="s">
        <v>2103</v>
      </c>
      <c r="G14" s="353"/>
    </row>
    <row r="15" spans="1:11" ht="18.75" customHeight="1">
      <c r="A15" s="137">
        <v>6.4</v>
      </c>
      <c r="B15" s="136" t="s">
        <v>2104</v>
      </c>
      <c r="C15" s="319"/>
      <c r="D15" s="320"/>
      <c r="E15" s="103"/>
      <c r="F15" s="319"/>
      <c r="G15" s="320"/>
    </row>
    <row r="16" spans="1:11" ht="18.75" customHeight="1">
      <c r="A16" s="103"/>
      <c r="B16" s="103"/>
      <c r="C16" s="319"/>
      <c r="D16" s="320"/>
      <c r="E16" s="103"/>
      <c r="F16" s="319"/>
      <c r="G16" s="320"/>
    </row>
    <row r="17" spans="1:7" ht="18.75" customHeight="1">
      <c r="A17" s="155" t="s">
        <v>2105</v>
      </c>
      <c r="B17" s="335"/>
      <c r="C17" s="335"/>
      <c r="D17" s="156"/>
      <c r="E17" s="93" t="s">
        <v>2106</v>
      </c>
      <c r="F17" s="155" t="s">
        <v>2107</v>
      </c>
      <c r="G17" s="156"/>
    </row>
    <row r="18" spans="1:7" ht="17.25" customHeight="1">
      <c r="A18" s="138"/>
      <c r="B18" s="351"/>
      <c r="C18" s="351"/>
      <c r="D18" s="351"/>
      <c r="E18" s="351"/>
      <c r="F18" s="351"/>
    </row>
    <row r="19" spans="1:7" ht="146.1" customHeight="1">
      <c r="A19" s="350" t="s">
        <v>1046</v>
      </c>
      <c r="B19" s="350"/>
      <c r="C19" s="350"/>
      <c r="D19" s="350"/>
      <c r="E19" s="350"/>
      <c r="F19" s="350"/>
      <c r="G19" s="139"/>
    </row>
    <row r="20" spans="1:7" ht="13.5" customHeight="1">
      <c r="A20" s="350"/>
      <c r="B20" s="350"/>
      <c r="C20" s="350"/>
      <c r="D20" s="350"/>
      <c r="E20" s="350"/>
      <c r="F20" s="350"/>
    </row>
    <row r="21" spans="1:7" ht="21.2" customHeight="1">
      <c r="A21" s="350"/>
      <c r="B21" s="350"/>
      <c r="C21" s="350"/>
      <c r="D21" s="350"/>
      <c r="E21" s="350"/>
      <c r="F21" s="350"/>
    </row>
    <row r="22" spans="1:7" ht="17.25" customHeight="1">
      <c r="A22" s="350"/>
      <c r="B22" s="350"/>
      <c r="C22" s="350"/>
      <c r="D22" s="350"/>
      <c r="E22" s="350"/>
      <c r="F22" s="350"/>
    </row>
  </sheetData>
  <mergeCells count="32">
    <mergeCell ref="A1:G1"/>
    <mergeCell ref="A2:G2"/>
    <mergeCell ref="A3:G3"/>
    <mergeCell ref="A4:G4"/>
    <mergeCell ref="C5:D5"/>
    <mergeCell ref="F5:G5"/>
    <mergeCell ref="C6:D6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A19:F22"/>
    <mergeCell ref="B18:F18"/>
    <mergeCell ref="C15:D15"/>
    <mergeCell ref="F15:G15"/>
    <mergeCell ref="C16:D16"/>
    <mergeCell ref="F16:G16"/>
    <mergeCell ref="A17:D17"/>
    <mergeCell ref="F17:G17"/>
  </mergeCells>
  <pageMargins left="0.23622047244094491" right="0.23622047244094491" top="0.74803149606299213" bottom="0.74803149606299213" header="0.31496062992125984" footer="0.31496062992125984"/>
  <pageSetup paperSize="9" scale="41" orientation="portrait" r:id="rId1"/>
  <headerFooter>
    <oddFooter>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 REV_1</vt:lpstr>
      <vt:lpstr>SINTÉTICO REV_01</vt:lpstr>
      <vt:lpstr>CPU REV_1</vt:lpstr>
      <vt:lpstr>CRONOGRAMA REV_1</vt:lpstr>
      <vt:lpstr>ENCARGOS REV_1</vt:lpstr>
      <vt:lpstr>BDI REV_1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 INFO</dc:creator>
  <cp:lastModifiedBy>JONIO SILVA</cp:lastModifiedBy>
  <cp:lastPrinted>2026-04-28T17:28:38Z</cp:lastPrinted>
  <dcterms:created xsi:type="dcterms:W3CDTF">2026-04-13T20:46:17Z</dcterms:created>
  <dcterms:modified xsi:type="dcterms:W3CDTF">2026-05-21T16:52:40Z</dcterms:modified>
</cp:coreProperties>
</file>