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8_{2E8844F3-3B3B-454B-AB1E-DDE16119EE0E}" xr6:coauthVersionLast="47" xr6:coauthVersionMax="47" xr10:uidLastSave="{00000000-0000-0000-0000-000000000000}"/>
  <bookViews>
    <workbookView xWindow="-110" yWindow="-110" windowWidth="19420" windowHeight="10300" activeTab="1" xr2:uid="{114C69F6-8E8C-4017-8F9C-F449FACB7550}"/>
  </bookViews>
  <sheets>
    <sheet name="PLANILHA DE MEDIÇÃO" sheetId="1" r:id="rId1"/>
    <sheet name="MEMORIAL DE CALCULO" sheetId="2" r:id="rId2"/>
  </sheets>
  <definedNames>
    <definedName name="_xlnm.Print_Area" localSheetId="1">'MEMORIAL DE CALCULO'!$A$1:$BL$258</definedName>
    <definedName name="_xlnm.Print_Area" localSheetId="0">'PLANILHA DE MEDIÇÃO'!$A$1:$AH$131</definedName>
    <definedName name="JR_PAGE_ANCHOR_0_1" localSheetId="1">'MEMORIAL DE CALCULO'!#REF!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64" i="2" l="1"/>
  <c r="BA265" i="2" s="1"/>
  <c r="BK254" i="2"/>
  <c r="BK252" i="2"/>
  <c r="BL252" i="2" s="1"/>
  <c r="BI252" i="2"/>
  <c r="BK250" i="2"/>
  <c r="BL250" i="2" s="1"/>
  <c r="BI250" i="2"/>
  <c r="BL249" i="2"/>
  <c r="BK249" i="2"/>
  <c r="BI249" i="2"/>
  <c r="BK248" i="2"/>
  <c r="BL248" i="2" s="1"/>
  <c r="BI248" i="2"/>
  <c r="BK247" i="2"/>
  <c r="BL247" i="2" s="1"/>
  <c r="BI247" i="2"/>
  <c r="BK246" i="2"/>
  <c r="BL246" i="2" s="1"/>
  <c r="BI246" i="2"/>
  <c r="BK245" i="2"/>
  <c r="BL245" i="2" s="1"/>
  <c r="BI245" i="2"/>
  <c r="BK244" i="2"/>
  <c r="BL244" i="2" s="1"/>
  <c r="BI244" i="2"/>
  <c r="BK243" i="2"/>
  <c r="BL243" i="2" s="1"/>
  <c r="BI243" i="2"/>
  <c r="BK241" i="2"/>
  <c r="BL241" i="2" s="1"/>
  <c r="BI241" i="2"/>
  <c r="BL240" i="2"/>
  <c r="BK240" i="2"/>
  <c r="BI240" i="2"/>
  <c r="BK238" i="2"/>
  <c r="BL238" i="2" s="1"/>
  <c r="BI238" i="2"/>
  <c r="BL237" i="2"/>
  <c r="BK237" i="2"/>
  <c r="BI237" i="2"/>
  <c r="BK236" i="2"/>
  <c r="BL236" i="2" s="1"/>
  <c r="BI236" i="2"/>
  <c r="BL235" i="2"/>
  <c r="BK235" i="2"/>
  <c r="BI235" i="2"/>
  <c r="BK234" i="2"/>
  <c r="BL234" i="2" s="1"/>
  <c r="BI234" i="2"/>
  <c r="BK233" i="2"/>
  <c r="BL233" i="2" s="1"/>
  <c r="BI233" i="2"/>
  <c r="BK232" i="2"/>
  <c r="BL232" i="2" s="1"/>
  <c r="BI232" i="2"/>
  <c r="BL231" i="2"/>
  <c r="BK231" i="2"/>
  <c r="BI231" i="2"/>
  <c r="BK230" i="2"/>
  <c r="BL230" i="2" s="1"/>
  <c r="BI230" i="2"/>
  <c r="BL229" i="2"/>
  <c r="BK229" i="2"/>
  <c r="BI229" i="2"/>
  <c r="AW226" i="2"/>
  <c r="AW225" i="2"/>
  <c r="AW224" i="2"/>
  <c r="AW223" i="2"/>
  <c r="AW222" i="2"/>
  <c r="AW221" i="2"/>
  <c r="AW220" i="2"/>
  <c r="AW219" i="2"/>
  <c r="AW218" i="2"/>
  <c r="AW217" i="2"/>
  <c r="AW216" i="2"/>
  <c r="AW215" i="2"/>
  <c r="AW214" i="2"/>
  <c r="AW213" i="2"/>
  <c r="AW212" i="2"/>
  <c r="AW211" i="2"/>
  <c r="AW210" i="2"/>
  <c r="AW209" i="2"/>
  <c r="AW208" i="2"/>
  <c r="AW207" i="2"/>
  <c r="AW206" i="2"/>
  <c r="AW205" i="2"/>
  <c r="AW204" i="2"/>
  <c r="AW203" i="2"/>
  <c r="AW227" i="2" s="1"/>
  <c r="AC97" i="1" s="1"/>
  <c r="AW202" i="2"/>
  <c r="AW201" i="2"/>
  <c r="BL200" i="2"/>
  <c r="BK200" i="2"/>
  <c r="BI200" i="2"/>
  <c r="AW197" i="2"/>
  <c r="AW196" i="2"/>
  <c r="AW195" i="2"/>
  <c r="AW194" i="2"/>
  <c r="AW193" i="2"/>
  <c r="AW192" i="2"/>
  <c r="AW191" i="2"/>
  <c r="AW190" i="2"/>
  <c r="AW189" i="2"/>
  <c r="AW188" i="2"/>
  <c r="AW187" i="2"/>
  <c r="AW186" i="2"/>
  <c r="AW185" i="2"/>
  <c r="AW184" i="2"/>
  <c r="AW183" i="2"/>
  <c r="AW182" i="2"/>
  <c r="AW181" i="2"/>
  <c r="AW180" i="2"/>
  <c r="AW179" i="2"/>
  <c r="AW178" i="2"/>
  <c r="AW177" i="2"/>
  <c r="AW176" i="2"/>
  <c r="AW175" i="2"/>
  <c r="AW174" i="2"/>
  <c r="AW198" i="2" s="1"/>
  <c r="AW173" i="2"/>
  <c r="AW172" i="2"/>
  <c r="AW168" i="2"/>
  <c r="AW167" i="2"/>
  <c r="AW166" i="2"/>
  <c r="AW165" i="2"/>
  <c r="AW169" i="2" s="1"/>
  <c r="AW164" i="2"/>
  <c r="AW163" i="2"/>
  <c r="AW162" i="2"/>
  <c r="AR159" i="2"/>
  <c r="AW159" i="2" s="1"/>
  <c r="AW158" i="2"/>
  <c r="AW157" i="2"/>
  <c r="AW156" i="2"/>
  <c r="BK155" i="2"/>
  <c r="BL155" i="2" s="1"/>
  <c r="BI155" i="2"/>
  <c r="AW152" i="2"/>
  <c r="AW151" i="2"/>
  <c r="AW150" i="2"/>
  <c r="AW149" i="2"/>
  <c r="AW148" i="2"/>
  <c r="AW147" i="2"/>
  <c r="AW146" i="2"/>
  <c r="AW145" i="2"/>
  <c r="AW144" i="2"/>
  <c r="AW143" i="2"/>
  <c r="AW142" i="2"/>
  <c r="AW141" i="2"/>
  <c r="AW140" i="2"/>
  <c r="AW139" i="2"/>
  <c r="AW138" i="2"/>
  <c r="AW137" i="2"/>
  <c r="AW136" i="2"/>
  <c r="AW135" i="2"/>
  <c r="AW134" i="2"/>
  <c r="AW133" i="2"/>
  <c r="AW132" i="2"/>
  <c r="AW131" i="2"/>
  <c r="AW130" i="2"/>
  <c r="AW129" i="2"/>
  <c r="AW128" i="2"/>
  <c r="AW127" i="2"/>
  <c r="AW153" i="2" s="1"/>
  <c r="AW123" i="2"/>
  <c r="AW122" i="2"/>
  <c r="AW121" i="2"/>
  <c r="AW120" i="2"/>
  <c r="AW119" i="2"/>
  <c r="AW118" i="2"/>
  <c r="AW117" i="2"/>
  <c r="AW124" i="2" s="1"/>
  <c r="AR114" i="2"/>
  <c r="AW114" i="2" s="1"/>
  <c r="AW113" i="2"/>
  <c r="AW112" i="2"/>
  <c r="AW115" i="2" s="1"/>
  <c r="AW125" i="2" s="1"/>
  <c r="AW111" i="2"/>
  <c r="BL110" i="2"/>
  <c r="BK110" i="2"/>
  <c r="BI110" i="2"/>
  <c r="BK109" i="2"/>
  <c r="BL109" i="2" s="1"/>
  <c r="BI109" i="2"/>
  <c r="BL108" i="2"/>
  <c r="BK108" i="2"/>
  <c r="BI108" i="2"/>
  <c r="AW105" i="2"/>
  <c r="AW104" i="2"/>
  <c r="AW103" i="2"/>
  <c r="AW102" i="2"/>
  <c r="AW101" i="2"/>
  <c r="AW100" i="2"/>
  <c r="AW99" i="2"/>
  <c r="AW106" i="2" s="1"/>
  <c r="AR96" i="2"/>
  <c r="AW96" i="2" s="1"/>
  <c r="AW95" i="2"/>
  <c r="AW94" i="2"/>
  <c r="AW97" i="2" s="1"/>
  <c r="AW107" i="2" s="1"/>
  <c r="AC92" i="1" s="1"/>
  <c r="AW93" i="2"/>
  <c r="BL92" i="2"/>
  <c r="BK92" i="2"/>
  <c r="BI92" i="2"/>
  <c r="BK90" i="2"/>
  <c r="BL90" i="2" s="1"/>
  <c r="BI90" i="2"/>
  <c r="BF90" i="2"/>
  <c r="BE90" i="2"/>
  <c r="BL89" i="2"/>
  <c r="BK89" i="2"/>
  <c r="BI89" i="2"/>
  <c r="BK88" i="2"/>
  <c r="BL88" i="2" s="1"/>
  <c r="BI88" i="2"/>
  <c r="BL87" i="2"/>
  <c r="BK87" i="2"/>
  <c r="BI87" i="2"/>
  <c r="BL86" i="2"/>
  <c r="BK86" i="2"/>
  <c r="BI86" i="2"/>
  <c r="BL85" i="2"/>
  <c r="BK85" i="2"/>
  <c r="BI85" i="2"/>
  <c r="BK84" i="2"/>
  <c r="BL84" i="2" s="1"/>
  <c r="BI84" i="2"/>
  <c r="BL83" i="2"/>
  <c r="BK83" i="2"/>
  <c r="BI83" i="2"/>
  <c r="BK82" i="2"/>
  <c r="BL82" i="2" s="1"/>
  <c r="BI82" i="2"/>
  <c r="BL81" i="2"/>
  <c r="BK81" i="2"/>
  <c r="BI81" i="2"/>
  <c r="BK80" i="2"/>
  <c r="BL80" i="2" s="1"/>
  <c r="BI80" i="2"/>
  <c r="BL79" i="2"/>
  <c r="BK79" i="2"/>
  <c r="BI79" i="2"/>
  <c r="BL78" i="2"/>
  <c r="BK78" i="2"/>
  <c r="BI78" i="2"/>
  <c r="BL77" i="2"/>
  <c r="BK77" i="2"/>
  <c r="BI77" i="2"/>
  <c r="BK76" i="2"/>
  <c r="BL76" i="2" s="1"/>
  <c r="BI76" i="2"/>
  <c r="BL75" i="2"/>
  <c r="BK75" i="2"/>
  <c r="BI75" i="2"/>
  <c r="BK74" i="2"/>
  <c r="BL74" i="2" s="1"/>
  <c r="BI74" i="2"/>
  <c r="BL73" i="2"/>
  <c r="BK73" i="2"/>
  <c r="BI73" i="2"/>
  <c r="BK72" i="2"/>
  <c r="BL72" i="2" s="1"/>
  <c r="BI72" i="2"/>
  <c r="BK70" i="2"/>
  <c r="BI70" i="2"/>
  <c r="BF70" i="2"/>
  <c r="BE70" i="2"/>
  <c r="BK69" i="2"/>
  <c r="BI69" i="2"/>
  <c r="BF69" i="2"/>
  <c r="BE69" i="2"/>
  <c r="BL68" i="2"/>
  <c r="BK68" i="2"/>
  <c r="BI68" i="2"/>
  <c r="BK67" i="2"/>
  <c r="BI67" i="2"/>
  <c r="BE67" i="2"/>
  <c r="BF67" i="2" s="1"/>
  <c r="BK66" i="2"/>
  <c r="BI66" i="2"/>
  <c r="BE66" i="2"/>
  <c r="BF66" i="2" s="1"/>
  <c r="BK65" i="2"/>
  <c r="BI65" i="2"/>
  <c r="BE65" i="2"/>
  <c r="BF65" i="2" s="1"/>
  <c r="BK64" i="2"/>
  <c r="BI64" i="2"/>
  <c r="BE64" i="2"/>
  <c r="BF64" i="2" s="1"/>
  <c r="BL63" i="2"/>
  <c r="BK63" i="2"/>
  <c r="BI63" i="2"/>
  <c r="BL62" i="2"/>
  <c r="BK62" i="2"/>
  <c r="BI62" i="2"/>
  <c r="BK61" i="2"/>
  <c r="BL61" i="2" s="1"/>
  <c r="BI61" i="2"/>
  <c r="BF61" i="2"/>
  <c r="BE61" i="2"/>
  <c r="BK60" i="2"/>
  <c r="BI60" i="2"/>
  <c r="BF60" i="2"/>
  <c r="BE60" i="2"/>
  <c r="BK59" i="2"/>
  <c r="BI59" i="2"/>
  <c r="BF59" i="2"/>
  <c r="BE59" i="2"/>
  <c r="BL58" i="2"/>
  <c r="BK58" i="2"/>
  <c r="BI58" i="2"/>
  <c r="BK57" i="2"/>
  <c r="BL57" i="2" s="1"/>
  <c r="BI57" i="2"/>
  <c r="BL54" i="2"/>
  <c r="BK54" i="2"/>
  <c r="BI54" i="2"/>
  <c r="BK53" i="2"/>
  <c r="BI53" i="2"/>
  <c r="BK51" i="2"/>
  <c r="BL51" i="2" s="1"/>
  <c r="BI51" i="2"/>
  <c r="BK50" i="2"/>
  <c r="BI50" i="2"/>
  <c r="BF50" i="2"/>
  <c r="BE50" i="2"/>
  <c r="BK49" i="2"/>
  <c r="BI49" i="2"/>
  <c r="BF49" i="2"/>
  <c r="BE49" i="2"/>
  <c r="BK48" i="2"/>
  <c r="BI48" i="2"/>
  <c r="BF48" i="2"/>
  <c r="BE48" i="2"/>
  <c r="BK46" i="2"/>
  <c r="BI46" i="2"/>
  <c r="BC46" i="2"/>
  <c r="BB46" i="2"/>
  <c r="AZ46" i="2"/>
  <c r="AY46" i="2"/>
  <c r="BL44" i="2"/>
  <c r="BK44" i="2"/>
  <c r="BI44" i="2"/>
  <c r="BK43" i="2"/>
  <c r="BL43" i="2" s="1"/>
  <c r="BI43" i="2"/>
  <c r="BL42" i="2"/>
  <c r="BK42" i="2"/>
  <c r="BI42" i="2"/>
  <c r="BK41" i="2"/>
  <c r="BL41" i="2" s="1"/>
  <c r="BI41" i="2"/>
  <c r="BL40" i="2"/>
  <c r="BK40" i="2"/>
  <c r="BI40" i="2"/>
  <c r="BK39" i="2"/>
  <c r="BL39" i="2" s="1"/>
  <c r="BI39" i="2"/>
  <c r="BL37" i="2"/>
  <c r="BK37" i="2"/>
  <c r="BI37" i="2"/>
  <c r="BC37" i="2"/>
  <c r="BB37" i="2"/>
  <c r="BK36" i="2"/>
  <c r="BL36" i="2" s="1"/>
  <c r="BI36" i="2"/>
  <c r="BF36" i="2"/>
  <c r="BE36" i="2"/>
  <c r="BC36" i="2"/>
  <c r="BB36" i="2"/>
  <c r="BL35" i="2"/>
  <c r="BK35" i="2"/>
  <c r="BI35" i="2"/>
  <c r="BE35" i="2"/>
  <c r="BF35" i="2" s="1"/>
  <c r="BB35" i="2"/>
  <c r="BC35" i="2" s="1"/>
  <c r="BL34" i="2"/>
  <c r="BK34" i="2"/>
  <c r="BI34" i="2"/>
  <c r="BF34" i="2"/>
  <c r="BE34" i="2"/>
  <c r="BC34" i="2"/>
  <c r="BB34" i="2"/>
  <c r="BL33" i="2"/>
  <c r="BK33" i="2"/>
  <c r="BI33" i="2"/>
  <c r="BE33" i="2"/>
  <c r="BF33" i="2" s="1"/>
  <c r="BB33" i="2"/>
  <c r="BC33" i="2" s="1"/>
  <c r="BK32" i="2"/>
  <c r="BL32" i="2" s="1"/>
  <c r="BI32" i="2"/>
  <c r="BF32" i="2"/>
  <c r="BE32" i="2"/>
  <c r="BC32" i="2"/>
  <c r="BB32" i="2"/>
  <c r="BL31" i="2"/>
  <c r="BK31" i="2"/>
  <c r="BI31" i="2"/>
  <c r="BF31" i="2"/>
  <c r="BE31" i="2"/>
  <c r="BB31" i="2"/>
  <c r="BC31" i="2" s="1"/>
  <c r="BK29" i="2"/>
  <c r="BI29" i="2"/>
  <c r="BE29" i="2"/>
  <c r="BF29" i="2" s="1"/>
  <c r="BC29" i="2"/>
  <c r="BB29" i="2"/>
  <c r="AY29" i="2"/>
  <c r="AZ29" i="2" s="1"/>
  <c r="BK28" i="2"/>
  <c r="BL28" i="2" s="1"/>
  <c r="BI28" i="2"/>
  <c r="BF28" i="2"/>
  <c r="BE28" i="2"/>
  <c r="AZ28" i="2"/>
  <c r="AY28" i="2"/>
  <c r="BL27" i="2"/>
  <c r="BK27" i="2"/>
  <c r="BI27" i="2"/>
  <c r="BE27" i="2"/>
  <c r="BF27" i="2" s="1"/>
  <c r="AZ27" i="2"/>
  <c r="AY27" i="2"/>
  <c r="BK26" i="2"/>
  <c r="BL26" i="2" s="1"/>
  <c r="BI26" i="2"/>
  <c r="BF26" i="2"/>
  <c r="BE26" i="2"/>
  <c r="AZ26" i="2"/>
  <c r="AY26" i="2"/>
  <c r="BL25" i="2"/>
  <c r="BK25" i="2"/>
  <c r="BI25" i="2"/>
  <c r="BE25" i="2"/>
  <c r="BF25" i="2" s="1"/>
  <c r="BB25" i="2"/>
  <c r="BC25" i="2" s="1"/>
  <c r="AZ25" i="2"/>
  <c r="AY25" i="2"/>
  <c r="BK24" i="2"/>
  <c r="BL24" i="2" s="1"/>
  <c r="BI24" i="2"/>
  <c r="BF24" i="2"/>
  <c r="BE24" i="2"/>
  <c r="BC24" i="2"/>
  <c r="BB24" i="2"/>
  <c r="AZ24" i="2"/>
  <c r="AY24" i="2"/>
  <c r="BL21" i="2"/>
  <c r="BK21" i="2"/>
  <c r="BI21" i="2"/>
  <c r="BB21" i="2"/>
  <c r="BC21" i="2" s="1"/>
  <c r="AZ21" i="2"/>
  <c r="AY21" i="2"/>
  <c r="BK20" i="2"/>
  <c r="BL20" i="2" s="1"/>
  <c r="BI20" i="2"/>
  <c r="BC20" i="2"/>
  <c r="BB20" i="2"/>
  <c r="AZ20" i="2"/>
  <c r="AY20" i="2"/>
  <c r="BL19" i="2"/>
  <c r="BK19" i="2"/>
  <c r="BI19" i="2"/>
  <c r="BB19" i="2"/>
  <c r="BC19" i="2" s="1"/>
  <c r="AY19" i="2"/>
  <c r="AZ19" i="2" s="1"/>
  <c r="BL18" i="2"/>
  <c r="BK18" i="2"/>
  <c r="BI18" i="2"/>
  <c r="BC18" i="2"/>
  <c r="BB18" i="2"/>
  <c r="AZ18" i="2"/>
  <c r="AY18" i="2"/>
  <c r="BL17" i="2"/>
  <c r="BK17" i="2"/>
  <c r="BI17" i="2"/>
  <c r="BB17" i="2"/>
  <c r="BC17" i="2" s="1"/>
  <c r="AY17" i="2"/>
  <c r="AZ17" i="2" s="1"/>
  <c r="BK16" i="2"/>
  <c r="BL16" i="2" s="1"/>
  <c r="BI16" i="2"/>
  <c r="BC16" i="2"/>
  <c r="BB16" i="2"/>
  <c r="AZ16" i="2"/>
  <c r="AY16" i="2"/>
  <c r="BL12" i="2"/>
  <c r="BK12" i="2"/>
  <c r="BI12" i="2"/>
  <c r="AZ12" i="2"/>
  <c r="AY12" i="2"/>
  <c r="BK11" i="2"/>
  <c r="BL11" i="2" s="1"/>
  <c r="BI11" i="2"/>
  <c r="AZ11" i="2"/>
  <c r="AY11" i="2"/>
  <c r="BL10" i="2"/>
  <c r="BK10" i="2"/>
  <c r="BI10" i="2"/>
  <c r="AY10" i="2"/>
  <c r="AZ10" i="2" s="1"/>
  <c r="BK8" i="2"/>
  <c r="BL8" i="2" s="1"/>
  <c r="BI8" i="2"/>
  <c r="AZ8" i="2"/>
  <c r="AY8" i="2"/>
  <c r="BL7" i="2"/>
  <c r="BK7" i="2"/>
  <c r="BI7" i="2"/>
  <c r="BE7" i="2"/>
  <c r="BF7" i="2" s="1"/>
  <c r="BB7" i="2"/>
  <c r="BC7" i="2" s="1"/>
  <c r="AZ7" i="2"/>
  <c r="AY7" i="2"/>
  <c r="BL3" i="2"/>
  <c r="BF3" i="2"/>
  <c r="BC3" i="2"/>
  <c r="AZ3" i="2"/>
  <c r="AW2" i="2"/>
  <c r="H143" i="1"/>
  <c r="H127" i="1"/>
  <c r="H136" i="1" s="1"/>
  <c r="AF124" i="1"/>
  <c r="AD124" i="1"/>
  <c r="AB124" i="1"/>
  <c r="AA124" i="1"/>
  <c r="AG124" i="1" s="1"/>
  <c r="Y124" i="1"/>
  <c r="AE124" i="1" s="1"/>
  <c r="AH124" i="1" s="1"/>
  <c r="W124" i="1"/>
  <c r="H124" i="1"/>
  <c r="H123" i="1" s="1"/>
  <c r="AD122" i="1"/>
  <c r="AB122" i="1"/>
  <c r="AA122" i="1"/>
  <c r="Z122" i="1"/>
  <c r="Y122" i="1"/>
  <c r="AE122" i="1" s="1"/>
  <c r="AH122" i="1" s="1"/>
  <c r="W122" i="1"/>
  <c r="AF122" i="1" s="1"/>
  <c r="U122" i="1"/>
  <c r="H122" i="1"/>
  <c r="H121" i="1" s="1"/>
  <c r="AH120" i="1"/>
  <c r="AE120" i="1"/>
  <c r="AD120" i="1"/>
  <c r="AB120" i="1"/>
  <c r="AA120" i="1"/>
  <c r="Y120" i="1"/>
  <c r="X120" i="1"/>
  <c r="AG120" i="1" s="1"/>
  <c r="W120" i="1"/>
  <c r="AF120" i="1" s="1"/>
  <c r="U120" i="1"/>
  <c r="H120" i="1"/>
  <c r="AD119" i="1"/>
  <c r="AB119" i="1"/>
  <c r="AA119" i="1"/>
  <c r="Y119" i="1"/>
  <c r="AE119" i="1" s="1"/>
  <c r="AH119" i="1" s="1"/>
  <c r="X119" i="1"/>
  <c r="AG119" i="1" s="1"/>
  <c r="W119" i="1"/>
  <c r="AF119" i="1" s="1"/>
  <c r="U119" i="1"/>
  <c r="H119" i="1"/>
  <c r="AH118" i="1"/>
  <c r="AE118" i="1"/>
  <c r="AD118" i="1"/>
  <c r="AB118" i="1"/>
  <c r="AA118" i="1"/>
  <c r="Y118" i="1"/>
  <c r="X118" i="1"/>
  <c r="AG118" i="1" s="1"/>
  <c r="W118" i="1"/>
  <c r="AF118" i="1" s="1"/>
  <c r="U118" i="1"/>
  <c r="H118" i="1"/>
  <c r="AD117" i="1"/>
  <c r="AB117" i="1"/>
  <c r="AA117" i="1"/>
  <c r="Y117" i="1"/>
  <c r="AE117" i="1" s="1"/>
  <c r="AH117" i="1" s="1"/>
  <c r="X117" i="1"/>
  <c r="AG117" i="1" s="1"/>
  <c r="W117" i="1"/>
  <c r="AF117" i="1" s="1"/>
  <c r="U117" i="1"/>
  <c r="H117" i="1"/>
  <c r="AH116" i="1"/>
  <c r="AE116" i="1"/>
  <c r="AD116" i="1"/>
  <c r="AB116" i="1"/>
  <c r="AA116" i="1"/>
  <c r="Y116" i="1"/>
  <c r="X116" i="1"/>
  <c r="AG116" i="1" s="1"/>
  <c r="W116" i="1"/>
  <c r="AF116" i="1" s="1"/>
  <c r="U116" i="1"/>
  <c r="H116" i="1"/>
  <c r="AD115" i="1"/>
  <c r="AB115" i="1"/>
  <c r="AA115" i="1"/>
  <c r="Y115" i="1"/>
  <c r="AE115" i="1" s="1"/>
  <c r="AH115" i="1" s="1"/>
  <c r="X115" i="1"/>
  <c r="AG115" i="1" s="1"/>
  <c r="W115" i="1"/>
  <c r="AF115" i="1" s="1"/>
  <c r="U115" i="1"/>
  <c r="H115" i="1"/>
  <c r="AH114" i="1"/>
  <c r="AE114" i="1"/>
  <c r="AD114" i="1"/>
  <c r="AB114" i="1"/>
  <c r="AA114" i="1"/>
  <c r="Y114" i="1"/>
  <c r="X114" i="1"/>
  <c r="AG114" i="1" s="1"/>
  <c r="W114" i="1"/>
  <c r="AF114" i="1" s="1"/>
  <c r="U114" i="1"/>
  <c r="H114" i="1"/>
  <c r="AD113" i="1"/>
  <c r="AB113" i="1"/>
  <c r="AA113" i="1"/>
  <c r="Y113" i="1"/>
  <c r="AE113" i="1" s="1"/>
  <c r="AH113" i="1" s="1"/>
  <c r="X113" i="1"/>
  <c r="AG113" i="1" s="1"/>
  <c r="W113" i="1"/>
  <c r="AF113" i="1" s="1"/>
  <c r="U113" i="1"/>
  <c r="H113" i="1"/>
  <c r="H112" i="1"/>
  <c r="AF111" i="1"/>
  <c r="AD111" i="1"/>
  <c r="AB111" i="1"/>
  <c r="AA111" i="1"/>
  <c r="Y111" i="1"/>
  <c r="AE111" i="1" s="1"/>
  <c r="AH111" i="1" s="1"/>
  <c r="X111" i="1"/>
  <c r="AG111" i="1" s="1"/>
  <c r="W111" i="1"/>
  <c r="U111" i="1"/>
  <c r="H111" i="1"/>
  <c r="AF110" i="1"/>
  <c r="AE110" i="1"/>
  <c r="AH110" i="1" s="1"/>
  <c r="AD110" i="1"/>
  <c r="AB110" i="1"/>
  <c r="AA110" i="1"/>
  <c r="Y110" i="1"/>
  <c r="X110" i="1"/>
  <c r="AG110" i="1" s="1"/>
  <c r="W110" i="1"/>
  <c r="U110" i="1"/>
  <c r="H110" i="1"/>
  <c r="H109" i="1" s="1"/>
  <c r="AD108" i="1"/>
  <c r="AB108" i="1"/>
  <c r="AA108" i="1"/>
  <c r="Y108" i="1"/>
  <c r="AE108" i="1" s="1"/>
  <c r="AH108" i="1" s="1"/>
  <c r="W108" i="1"/>
  <c r="AF108" i="1" s="1"/>
  <c r="U108" i="1"/>
  <c r="H108" i="1"/>
  <c r="AF107" i="1"/>
  <c r="AE107" i="1"/>
  <c r="AH107" i="1" s="1"/>
  <c r="AD107" i="1"/>
  <c r="AB107" i="1"/>
  <c r="AA107" i="1"/>
  <c r="Y107" i="1"/>
  <c r="W107" i="1"/>
  <c r="X107" i="1" s="1"/>
  <c r="AG107" i="1" s="1"/>
  <c r="U107" i="1"/>
  <c r="H107" i="1"/>
  <c r="AD106" i="1"/>
  <c r="AB106" i="1"/>
  <c r="AA106" i="1"/>
  <c r="Y106" i="1"/>
  <c r="AE106" i="1" s="1"/>
  <c r="AH106" i="1" s="1"/>
  <c r="W106" i="1"/>
  <c r="AF106" i="1" s="1"/>
  <c r="U106" i="1"/>
  <c r="H106" i="1"/>
  <c r="AF105" i="1"/>
  <c r="AE105" i="1"/>
  <c r="AH105" i="1" s="1"/>
  <c r="AD105" i="1"/>
  <c r="AB105" i="1"/>
  <c r="AA105" i="1"/>
  <c r="Y105" i="1"/>
  <c r="W105" i="1"/>
  <c r="X105" i="1" s="1"/>
  <c r="AG105" i="1" s="1"/>
  <c r="U105" i="1"/>
  <c r="H105" i="1"/>
  <c r="AD104" i="1"/>
  <c r="AB104" i="1"/>
  <c r="AA104" i="1"/>
  <c r="Y104" i="1"/>
  <c r="AE104" i="1" s="1"/>
  <c r="AH104" i="1" s="1"/>
  <c r="W104" i="1"/>
  <c r="AF104" i="1" s="1"/>
  <c r="U104" i="1"/>
  <c r="H104" i="1"/>
  <c r="AF103" i="1"/>
  <c r="AD103" i="1"/>
  <c r="AB103" i="1"/>
  <c r="AE103" i="1" s="1"/>
  <c r="AH103" i="1" s="1"/>
  <c r="AA103" i="1"/>
  <c r="Y103" i="1"/>
  <c r="W103" i="1"/>
  <c r="X103" i="1" s="1"/>
  <c r="AG103" i="1" s="1"/>
  <c r="U103" i="1"/>
  <c r="H103" i="1"/>
  <c r="AD102" i="1"/>
  <c r="AB102" i="1"/>
  <c r="AA102" i="1"/>
  <c r="Y102" i="1"/>
  <c r="AE102" i="1" s="1"/>
  <c r="AH102" i="1" s="1"/>
  <c r="W102" i="1"/>
  <c r="AF102" i="1" s="1"/>
  <c r="U102" i="1"/>
  <c r="H102" i="1"/>
  <c r="AF101" i="1"/>
  <c r="AD101" i="1"/>
  <c r="AB101" i="1"/>
  <c r="AE101" i="1" s="1"/>
  <c r="AH101" i="1" s="1"/>
  <c r="AA101" i="1"/>
  <c r="Y101" i="1"/>
  <c r="W101" i="1"/>
  <c r="X101" i="1" s="1"/>
  <c r="AG101" i="1" s="1"/>
  <c r="U101" i="1"/>
  <c r="H101" i="1"/>
  <c r="AD100" i="1"/>
  <c r="AB100" i="1"/>
  <c r="AA100" i="1"/>
  <c r="Y100" i="1"/>
  <c r="AE100" i="1" s="1"/>
  <c r="AH100" i="1" s="1"/>
  <c r="W100" i="1"/>
  <c r="AF100" i="1" s="1"/>
  <c r="U100" i="1"/>
  <c r="H100" i="1"/>
  <c r="AF99" i="1"/>
  <c r="AD99" i="1"/>
  <c r="AB99" i="1"/>
  <c r="AE99" i="1" s="1"/>
  <c r="AH99" i="1" s="1"/>
  <c r="AA99" i="1"/>
  <c r="Y99" i="1"/>
  <c r="W99" i="1"/>
  <c r="X99" i="1" s="1"/>
  <c r="AG99" i="1" s="1"/>
  <c r="U99" i="1"/>
  <c r="H99" i="1"/>
  <c r="H98" i="1" s="1"/>
  <c r="AA97" i="1"/>
  <c r="Y97" i="1"/>
  <c r="W97" i="1"/>
  <c r="AF97" i="1" s="1"/>
  <c r="U97" i="1"/>
  <c r="H97" i="1"/>
  <c r="AA96" i="1"/>
  <c r="Y96" i="1"/>
  <c r="W96" i="1"/>
  <c r="U96" i="1"/>
  <c r="H96" i="1"/>
  <c r="AA95" i="1"/>
  <c r="Y95" i="1"/>
  <c r="X95" i="1"/>
  <c r="W95" i="1"/>
  <c r="U95" i="1"/>
  <c r="H95" i="1"/>
  <c r="AF94" i="1"/>
  <c r="AD94" i="1"/>
  <c r="AB94" i="1"/>
  <c r="AE94" i="1" s="1"/>
  <c r="AA94" i="1"/>
  <c r="Y94" i="1"/>
  <c r="W94" i="1"/>
  <c r="X94" i="1" s="1"/>
  <c r="AG94" i="1" s="1"/>
  <c r="U94" i="1"/>
  <c r="H94" i="1"/>
  <c r="AF93" i="1"/>
  <c r="AD93" i="1"/>
  <c r="AB93" i="1"/>
  <c r="AA93" i="1"/>
  <c r="Y93" i="1"/>
  <c r="AE93" i="1" s="1"/>
  <c r="X93" i="1"/>
  <c r="AG93" i="1" s="1"/>
  <c r="W93" i="1"/>
  <c r="U93" i="1"/>
  <c r="H93" i="1"/>
  <c r="AA92" i="1"/>
  <c r="Y92" i="1"/>
  <c r="X92" i="1"/>
  <c r="W92" i="1"/>
  <c r="U92" i="1"/>
  <c r="H92" i="1"/>
  <c r="H91" i="1" s="1"/>
  <c r="AD90" i="1"/>
  <c r="AB90" i="1"/>
  <c r="AA90" i="1"/>
  <c r="Y90" i="1"/>
  <c r="AE90" i="1" s="1"/>
  <c r="AH90" i="1" s="1"/>
  <c r="W90" i="1"/>
  <c r="AF90" i="1" s="1"/>
  <c r="U90" i="1"/>
  <c r="R90" i="1"/>
  <c r="Q90" i="1"/>
  <c r="H90" i="1"/>
  <c r="AH89" i="1"/>
  <c r="AE89" i="1"/>
  <c r="AD89" i="1"/>
  <c r="AB89" i="1"/>
  <c r="AA89" i="1"/>
  <c r="Y89" i="1"/>
  <c r="X89" i="1"/>
  <c r="AG89" i="1" s="1"/>
  <c r="W89" i="1"/>
  <c r="AF89" i="1" s="1"/>
  <c r="U89" i="1"/>
  <c r="H89" i="1"/>
  <c r="AD88" i="1"/>
  <c r="AB88" i="1"/>
  <c r="AA88" i="1"/>
  <c r="Y88" i="1"/>
  <c r="AE88" i="1" s="1"/>
  <c r="AH88" i="1" s="1"/>
  <c r="X88" i="1"/>
  <c r="AG88" i="1" s="1"/>
  <c r="W88" i="1"/>
  <c r="AF88" i="1" s="1"/>
  <c r="U88" i="1"/>
  <c r="H88" i="1"/>
  <c r="AH87" i="1"/>
  <c r="AE87" i="1"/>
  <c r="AD87" i="1"/>
  <c r="AB87" i="1"/>
  <c r="AA87" i="1"/>
  <c r="Y87" i="1"/>
  <c r="X87" i="1"/>
  <c r="AG87" i="1" s="1"/>
  <c r="W87" i="1"/>
  <c r="AF87" i="1" s="1"/>
  <c r="U87" i="1"/>
  <c r="H87" i="1"/>
  <c r="AD86" i="1"/>
  <c r="AB86" i="1"/>
  <c r="AA86" i="1"/>
  <c r="Y86" i="1"/>
  <c r="AE86" i="1" s="1"/>
  <c r="AH86" i="1" s="1"/>
  <c r="X86" i="1"/>
  <c r="AG86" i="1" s="1"/>
  <c r="W86" i="1"/>
  <c r="AF86" i="1" s="1"/>
  <c r="U86" i="1"/>
  <c r="H86" i="1"/>
  <c r="AH85" i="1"/>
  <c r="AE85" i="1"/>
  <c r="AD85" i="1"/>
  <c r="AB85" i="1"/>
  <c r="AA85" i="1"/>
  <c r="Y85" i="1"/>
  <c r="X85" i="1"/>
  <c r="AG85" i="1" s="1"/>
  <c r="W85" i="1"/>
  <c r="AF85" i="1" s="1"/>
  <c r="U85" i="1"/>
  <c r="H85" i="1"/>
  <c r="AD84" i="1"/>
  <c r="AB84" i="1"/>
  <c r="AA84" i="1"/>
  <c r="Y84" i="1"/>
  <c r="AE84" i="1" s="1"/>
  <c r="AH84" i="1" s="1"/>
  <c r="X84" i="1"/>
  <c r="AG84" i="1" s="1"/>
  <c r="W84" i="1"/>
  <c r="AF84" i="1" s="1"/>
  <c r="U84" i="1"/>
  <c r="H84" i="1"/>
  <c r="AH83" i="1"/>
  <c r="AE83" i="1"/>
  <c r="AD83" i="1"/>
  <c r="AB83" i="1"/>
  <c r="AA83" i="1"/>
  <c r="Y83" i="1"/>
  <c r="X83" i="1"/>
  <c r="AG83" i="1" s="1"/>
  <c r="W83" i="1"/>
  <c r="AF83" i="1" s="1"/>
  <c r="U83" i="1"/>
  <c r="H83" i="1"/>
  <c r="AD82" i="1"/>
  <c r="AB82" i="1"/>
  <c r="AA82" i="1"/>
  <c r="Y82" i="1"/>
  <c r="AE82" i="1" s="1"/>
  <c r="AH82" i="1" s="1"/>
  <c r="W82" i="1"/>
  <c r="X82" i="1" s="1"/>
  <c r="AG82" i="1" s="1"/>
  <c r="U82" i="1"/>
  <c r="H82" i="1"/>
  <c r="AH81" i="1"/>
  <c r="AE81" i="1"/>
  <c r="AD81" i="1"/>
  <c r="AB81" i="1"/>
  <c r="AA81" i="1"/>
  <c r="Y81" i="1"/>
  <c r="X81" i="1"/>
  <c r="AG81" i="1" s="1"/>
  <c r="W81" i="1"/>
  <c r="AF81" i="1" s="1"/>
  <c r="U81" i="1"/>
  <c r="H81" i="1"/>
  <c r="AD80" i="1"/>
  <c r="AB80" i="1"/>
  <c r="AA80" i="1"/>
  <c r="Y80" i="1"/>
  <c r="AE80" i="1" s="1"/>
  <c r="AH80" i="1" s="1"/>
  <c r="W80" i="1"/>
  <c r="X80" i="1" s="1"/>
  <c r="AG80" i="1" s="1"/>
  <c r="U80" i="1"/>
  <c r="H80" i="1"/>
  <c r="AH79" i="1"/>
  <c r="AE79" i="1"/>
  <c r="AD79" i="1"/>
  <c r="AB79" i="1"/>
  <c r="AA79" i="1"/>
  <c r="Y79" i="1"/>
  <c r="X79" i="1"/>
  <c r="AG79" i="1" s="1"/>
  <c r="W79" i="1"/>
  <c r="AF79" i="1" s="1"/>
  <c r="U79" i="1"/>
  <c r="H79" i="1"/>
  <c r="AD78" i="1"/>
  <c r="AB78" i="1"/>
  <c r="AA78" i="1"/>
  <c r="Y78" i="1"/>
  <c r="AE78" i="1" s="1"/>
  <c r="AH78" i="1" s="1"/>
  <c r="W78" i="1"/>
  <c r="X78" i="1" s="1"/>
  <c r="AG78" i="1" s="1"/>
  <c r="U78" i="1"/>
  <c r="H78" i="1"/>
  <c r="AH77" i="1"/>
  <c r="AE77" i="1"/>
  <c r="AD77" i="1"/>
  <c r="AB77" i="1"/>
  <c r="AA77" i="1"/>
  <c r="Y77" i="1"/>
  <c r="X77" i="1"/>
  <c r="AG77" i="1" s="1"/>
  <c r="W77" i="1"/>
  <c r="AF77" i="1" s="1"/>
  <c r="U77" i="1"/>
  <c r="H77" i="1"/>
  <c r="AD76" i="1"/>
  <c r="AB76" i="1"/>
  <c r="AA76" i="1"/>
  <c r="Y76" i="1"/>
  <c r="AE76" i="1" s="1"/>
  <c r="AH76" i="1" s="1"/>
  <c r="W76" i="1"/>
  <c r="X76" i="1" s="1"/>
  <c r="AG76" i="1" s="1"/>
  <c r="U76" i="1"/>
  <c r="H76" i="1"/>
  <c r="AH75" i="1"/>
  <c r="AE75" i="1"/>
  <c r="AD75" i="1"/>
  <c r="AB75" i="1"/>
  <c r="AA75" i="1"/>
  <c r="Y75" i="1"/>
  <c r="X75" i="1"/>
  <c r="AG75" i="1" s="1"/>
  <c r="W75" i="1"/>
  <c r="AF75" i="1" s="1"/>
  <c r="U75" i="1"/>
  <c r="H75" i="1"/>
  <c r="AD74" i="1"/>
  <c r="AB74" i="1"/>
  <c r="AA74" i="1"/>
  <c r="Y74" i="1"/>
  <c r="AE74" i="1" s="1"/>
  <c r="AH74" i="1" s="1"/>
  <c r="W74" i="1"/>
  <c r="X74" i="1" s="1"/>
  <c r="AG74" i="1" s="1"/>
  <c r="U74" i="1"/>
  <c r="H74" i="1"/>
  <c r="AH73" i="1"/>
  <c r="AE73" i="1"/>
  <c r="AD73" i="1"/>
  <c r="AB73" i="1"/>
  <c r="AA73" i="1"/>
  <c r="Y73" i="1"/>
  <c r="X73" i="1"/>
  <c r="AG73" i="1" s="1"/>
  <c r="W73" i="1"/>
  <c r="AF73" i="1" s="1"/>
  <c r="U73" i="1"/>
  <c r="H73" i="1"/>
  <c r="AD72" i="1"/>
  <c r="AB72" i="1"/>
  <c r="AA72" i="1"/>
  <c r="Y72" i="1"/>
  <c r="AE72" i="1" s="1"/>
  <c r="AH72" i="1" s="1"/>
  <c r="W72" i="1"/>
  <c r="X72" i="1" s="1"/>
  <c r="AG72" i="1" s="1"/>
  <c r="U72" i="1"/>
  <c r="H72" i="1"/>
  <c r="H71" i="1"/>
  <c r="AD70" i="1"/>
  <c r="AB70" i="1"/>
  <c r="AA70" i="1"/>
  <c r="Y70" i="1"/>
  <c r="AE70" i="1" s="1"/>
  <c r="AH70" i="1" s="1"/>
  <c r="W70" i="1"/>
  <c r="AF70" i="1" s="1"/>
  <c r="U70" i="1"/>
  <c r="R70" i="1"/>
  <c r="AG70" i="1" s="1"/>
  <c r="Q70" i="1"/>
  <c r="H70" i="1"/>
  <c r="AF69" i="1"/>
  <c r="AE69" i="1"/>
  <c r="AH69" i="1" s="1"/>
  <c r="AD69" i="1"/>
  <c r="AB69" i="1"/>
  <c r="AA69" i="1"/>
  <c r="Y69" i="1"/>
  <c r="W69" i="1"/>
  <c r="U69" i="1"/>
  <c r="R69" i="1"/>
  <c r="AG69" i="1" s="1"/>
  <c r="Q69" i="1"/>
  <c r="H69" i="1"/>
  <c r="AF68" i="1"/>
  <c r="AD68" i="1"/>
  <c r="AB68" i="1"/>
  <c r="AE68" i="1" s="1"/>
  <c r="AH68" i="1" s="1"/>
  <c r="AA68" i="1"/>
  <c r="Y68" i="1"/>
  <c r="X68" i="1"/>
  <c r="AG68" i="1" s="1"/>
  <c r="W68" i="1"/>
  <c r="U68" i="1"/>
  <c r="H68" i="1"/>
  <c r="AG67" i="1"/>
  <c r="AD67" i="1"/>
  <c r="AB67" i="1"/>
  <c r="AA67" i="1"/>
  <c r="Y67" i="1"/>
  <c r="AE67" i="1" s="1"/>
  <c r="AH67" i="1" s="1"/>
  <c r="W67" i="1"/>
  <c r="AF67" i="1" s="1"/>
  <c r="U67" i="1"/>
  <c r="R67" i="1"/>
  <c r="Q67" i="1"/>
  <c r="H67" i="1"/>
  <c r="AE66" i="1"/>
  <c r="AH66" i="1" s="1"/>
  <c r="AD66" i="1"/>
  <c r="AB66" i="1"/>
  <c r="AA66" i="1"/>
  <c r="Y66" i="1"/>
  <c r="W66" i="1"/>
  <c r="U66" i="1"/>
  <c r="Q66" i="1"/>
  <c r="AF66" i="1" s="1"/>
  <c r="H66" i="1"/>
  <c r="AD65" i="1"/>
  <c r="AB65" i="1"/>
  <c r="AA65" i="1"/>
  <c r="Y65" i="1"/>
  <c r="AE65" i="1" s="1"/>
  <c r="AH65" i="1" s="1"/>
  <c r="W65" i="1"/>
  <c r="AF65" i="1" s="1"/>
  <c r="U65" i="1"/>
  <c r="R65" i="1"/>
  <c r="AG65" i="1" s="1"/>
  <c r="Q65" i="1"/>
  <c r="H65" i="1"/>
  <c r="AF64" i="1"/>
  <c r="AE64" i="1"/>
  <c r="AH64" i="1" s="1"/>
  <c r="AD64" i="1"/>
  <c r="AB64" i="1"/>
  <c r="AA64" i="1"/>
  <c r="Y64" i="1"/>
  <c r="W64" i="1"/>
  <c r="U64" i="1"/>
  <c r="R64" i="1"/>
  <c r="AG64" i="1" s="1"/>
  <c r="Q64" i="1"/>
  <c r="H64" i="1"/>
  <c r="AD63" i="1"/>
  <c r="AB63" i="1"/>
  <c r="AA63" i="1"/>
  <c r="Y63" i="1"/>
  <c r="AE63" i="1" s="1"/>
  <c r="AH63" i="1" s="1"/>
  <c r="X63" i="1"/>
  <c r="AG63" i="1" s="1"/>
  <c r="W63" i="1"/>
  <c r="AF63" i="1" s="1"/>
  <c r="U63" i="1"/>
  <c r="H63" i="1"/>
  <c r="AD62" i="1"/>
  <c r="AB62" i="1"/>
  <c r="AA62" i="1"/>
  <c r="Y62" i="1"/>
  <c r="AE62" i="1" s="1"/>
  <c r="AH62" i="1" s="1"/>
  <c r="W62" i="1"/>
  <c r="X62" i="1" s="1"/>
  <c r="AG62" i="1" s="1"/>
  <c r="U62" i="1"/>
  <c r="H62" i="1"/>
  <c r="AD61" i="1"/>
  <c r="AB61" i="1"/>
  <c r="AA61" i="1"/>
  <c r="Y61" i="1"/>
  <c r="AE61" i="1" s="1"/>
  <c r="AH61" i="1" s="1"/>
  <c r="W61" i="1"/>
  <c r="X61" i="1" s="1"/>
  <c r="U61" i="1"/>
  <c r="Q61" i="1"/>
  <c r="AF61" i="1" s="1"/>
  <c r="H61" i="1"/>
  <c r="H56" i="1" s="1"/>
  <c r="H55" i="1" s="1"/>
  <c r="AD60" i="1"/>
  <c r="AB60" i="1"/>
  <c r="AA60" i="1"/>
  <c r="Y60" i="1"/>
  <c r="AE60" i="1" s="1"/>
  <c r="AH60" i="1" s="1"/>
  <c r="W60" i="1"/>
  <c r="U60" i="1"/>
  <c r="Q60" i="1"/>
  <c r="AF60" i="1" s="1"/>
  <c r="H60" i="1"/>
  <c r="AF59" i="1"/>
  <c r="AE59" i="1"/>
  <c r="AH59" i="1" s="1"/>
  <c r="AD59" i="1"/>
  <c r="AB59" i="1"/>
  <c r="AA59" i="1"/>
  <c r="Y59" i="1"/>
  <c r="W59" i="1"/>
  <c r="U59" i="1"/>
  <c r="R59" i="1"/>
  <c r="AG59" i="1" s="1"/>
  <c r="Q59" i="1"/>
  <c r="H59" i="1"/>
  <c r="AD58" i="1"/>
  <c r="AB58" i="1"/>
  <c r="AA58" i="1"/>
  <c r="Y58" i="1"/>
  <c r="AE58" i="1" s="1"/>
  <c r="AH58" i="1" s="1"/>
  <c r="W58" i="1"/>
  <c r="AF58" i="1" s="1"/>
  <c r="U58" i="1"/>
  <c r="H58" i="1"/>
  <c r="AD57" i="1"/>
  <c r="AB57" i="1"/>
  <c r="AE57" i="1" s="1"/>
  <c r="AH57" i="1" s="1"/>
  <c r="AA57" i="1"/>
  <c r="Y57" i="1"/>
  <c r="W57" i="1"/>
  <c r="X57" i="1" s="1"/>
  <c r="AG57" i="1" s="1"/>
  <c r="U57" i="1"/>
  <c r="H57" i="1"/>
  <c r="AE54" i="1"/>
  <c r="AD54" i="1"/>
  <c r="AB54" i="1"/>
  <c r="AA54" i="1"/>
  <c r="Y54" i="1"/>
  <c r="W54" i="1"/>
  <c r="X54" i="1" s="1"/>
  <c r="AG54" i="1" s="1"/>
  <c r="U54" i="1"/>
  <c r="H54" i="1"/>
  <c r="H52" i="1" s="1"/>
  <c r="AD53" i="1"/>
  <c r="AB53" i="1"/>
  <c r="AA53" i="1"/>
  <c r="Y53" i="1"/>
  <c r="AE53" i="1" s="1"/>
  <c r="AH53" i="1" s="1"/>
  <c r="W53" i="1"/>
  <c r="AF53" i="1" s="1"/>
  <c r="U53" i="1"/>
  <c r="AG53" i="1" s="1"/>
  <c r="H53" i="1"/>
  <c r="AE51" i="1"/>
  <c r="AH51" i="1" s="1"/>
  <c r="AD51" i="1"/>
  <c r="AB51" i="1"/>
  <c r="AA51" i="1"/>
  <c r="Y51" i="1"/>
  <c r="W51" i="1"/>
  <c r="X51" i="1" s="1"/>
  <c r="AG51" i="1" s="1"/>
  <c r="U51" i="1"/>
  <c r="H51" i="1"/>
  <c r="AH50" i="1"/>
  <c r="AD50" i="1"/>
  <c r="AB50" i="1"/>
  <c r="AA50" i="1"/>
  <c r="Y50" i="1"/>
  <c r="AE50" i="1" s="1"/>
  <c r="W50" i="1"/>
  <c r="U50" i="1"/>
  <c r="Q50" i="1"/>
  <c r="H50" i="1"/>
  <c r="AE49" i="1"/>
  <c r="AH49" i="1" s="1"/>
  <c r="AD49" i="1"/>
  <c r="AB49" i="1"/>
  <c r="AA49" i="1"/>
  <c r="Y49" i="1"/>
  <c r="W49" i="1"/>
  <c r="U49" i="1"/>
  <c r="Q49" i="1"/>
  <c r="H49" i="1"/>
  <c r="AD48" i="1"/>
  <c r="AB48" i="1"/>
  <c r="AE48" i="1" s="1"/>
  <c r="AH48" i="1" s="1"/>
  <c r="AA48" i="1"/>
  <c r="Y48" i="1"/>
  <c r="W48" i="1"/>
  <c r="U48" i="1"/>
  <c r="Q48" i="1"/>
  <c r="AF48" i="1" s="1"/>
  <c r="H48" i="1"/>
  <c r="H47" i="1"/>
  <c r="AI46" i="1"/>
  <c r="AD46" i="1"/>
  <c r="AB46" i="1"/>
  <c r="AA46" i="1"/>
  <c r="Y46" i="1"/>
  <c r="AE46" i="1" s="1"/>
  <c r="AH46" i="1" s="1"/>
  <c r="W46" i="1"/>
  <c r="U46" i="1"/>
  <c r="O46" i="1"/>
  <c r="N46" i="1"/>
  <c r="AF46" i="1" s="1"/>
  <c r="L46" i="1"/>
  <c r="AG46" i="1" s="1"/>
  <c r="K46" i="1"/>
  <c r="H46" i="1"/>
  <c r="H45" i="1"/>
  <c r="AF44" i="1"/>
  <c r="AD44" i="1"/>
  <c r="AB44" i="1"/>
  <c r="AA44" i="1"/>
  <c r="Y44" i="1"/>
  <c r="AE44" i="1" s="1"/>
  <c r="AH44" i="1" s="1"/>
  <c r="X44" i="1"/>
  <c r="AG44" i="1" s="1"/>
  <c r="W44" i="1"/>
  <c r="U44" i="1"/>
  <c r="H44" i="1"/>
  <c r="AF43" i="1"/>
  <c r="AE43" i="1"/>
  <c r="AH43" i="1" s="1"/>
  <c r="AD43" i="1"/>
  <c r="AB43" i="1"/>
  <c r="AA43" i="1"/>
  <c r="Y43" i="1"/>
  <c r="X43" i="1"/>
  <c r="AG43" i="1" s="1"/>
  <c r="W43" i="1"/>
  <c r="U43" i="1"/>
  <c r="H43" i="1"/>
  <c r="AF42" i="1"/>
  <c r="AD42" i="1"/>
  <c r="AB42" i="1"/>
  <c r="AA42" i="1"/>
  <c r="Y42" i="1"/>
  <c r="AE42" i="1" s="1"/>
  <c r="AH42" i="1" s="1"/>
  <c r="X42" i="1"/>
  <c r="AG42" i="1" s="1"/>
  <c r="W42" i="1"/>
  <c r="U42" i="1"/>
  <c r="H42" i="1"/>
  <c r="AF41" i="1"/>
  <c r="AE41" i="1"/>
  <c r="AH41" i="1" s="1"/>
  <c r="AD41" i="1"/>
  <c r="AB41" i="1"/>
  <c r="AA41" i="1"/>
  <c r="Y41" i="1"/>
  <c r="X41" i="1"/>
  <c r="AG41" i="1" s="1"/>
  <c r="W41" i="1"/>
  <c r="U41" i="1"/>
  <c r="H41" i="1"/>
  <c r="AF40" i="1"/>
  <c r="AD40" i="1"/>
  <c r="AB40" i="1"/>
  <c r="AA40" i="1"/>
  <c r="Y40" i="1"/>
  <c r="AE40" i="1" s="1"/>
  <c r="AH40" i="1" s="1"/>
  <c r="X40" i="1"/>
  <c r="AG40" i="1" s="1"/>
  <c r="W40" i="1"/>
  <c r="U40" i="1"/>
  <c r="H40" i="1"/>
  <c r="AF39" i="1"/>
  <c r="AE39" i="1"/>
  <c r="AH39" i="1" s="1"/>
  <c r="AH38" i="1" s="1"/>
  <c r="AD39" i="1"/>
  <c r="AB39" i="1"/>
  <c r="AA39" i="1"/>
  <c r="Y39" i="1"/>
  <c r="X39" i="1"/>
  <c r="AG39" i="1" s="1"/>
  <c r="W39" i="1"/>
  <c r="U39" i="1"/>
  <c r="H39" i="1"/>
  <c r="AD37" i="1"/>
  <c r="AB37" i="1"/>
  <c r="AA37" i="1"/>
  <c r="Y37" i="1"/>
  <c r="X37" i="1"/>
  <c r="W37" i="1"/>
  <c r="U37" i="1"/>
  <c r="N37" i="1"/>
  <c r="AF37" i="1" s="1"/>
  <c r="H37" i="1"/>
  <c r="AD36" i="1"/>
  <c r="AB36" i="1"/>
  <c r="AA36" i="1"/>
  <c r="Y36" i="1"/>
  <c r="AE36" i="1" s="1"/>
  <c r="AH36" i="1" s="1"/>
  <c r="X36" i="1"/>
  <c r="W36" i="1"/>
  <c r="U36" i="1"/>
  <c r="R36" i="1"/>
  <c r="Q36" i="1"/>
  <c r="N36" i="1"/>
  <c r="O36" i="1" s="1"/>
  <c r="AG36" i="1" s="1"/>
  <c r="H36" i="1"/>
  <c r="AD35" i="1"/>
  <c r="AB35" i="1"/>
  <c r="AA35" i="1"/>
  <c r="Y35" i="1"/>
  <c r="AE35" i="1" s="1"/>
  <c r="AH35" i="1" s="1"/>
  <c r="X35" i="1"/>
  <c r="W35" i="1"/>
  <c r="U35" i="1"/>
  <c r="R35" i="1"/>
  <c r="Q35" i="1"/>
  <c r="N35" i="1"/>
  <c r="O35" i="1" s="1"/>
  <c r="AG35" i="1" s="1"/>
  <c r="H35" i="1"/>
  <c r="AD34" i="1"/>
  <c r="AB34" i="1"/>
  <c r="AA34" i="1"/>
  <c r="Y34" i="1"/>
  <c r="AE34" i="1" s="1"/>
  <c r="AH34" i="1" s="1"/>
  <c r="X34" i="1"/>
  <c r="W34" i="1"/>
  <c r="U34" i="1"/>
  <c r="R34" i="1"/>
  <c r="Q34" i="1"/>
  <c r="N34" i="1"/>
  <c r="O34" i="1" s="1"/>
  <c r="AG34" i="1" s="1"/>
  <c r="H34" i="1"/>
  <c r="AD33" i="1"/>
  <c r="AB33" i="1"/>
  <c r="AA33" i="1"/>
  <c r="Y33" i="1"/>
  <c r="AE33" i="1" s="1"/>
  <c r="AH33" i="1" s="1"/>
  <c r="X33" i="1"/>
  <c r="W33" i="1"/>
  <c r="U33" i="1"/>
  <c r="R33" i="1"/>
  <c r="Q33" i="1"/>
  <c r="N33" i="1"/>
  <c r="O33" i="1" s="1"/>
  <c r="AG33" i="1" s="1"/>
  <c r="H33" i="1"/>
  <c r="AD32" i="1"/>
  <c r="AB32" i="1"/>
  <c r="AA32" i="1"/>
  <c r="Y32" i="1"/>
  <c r="AE32" i="1" s="1"/>
  <c r="AH32" i="1" s="1"/>
  <c r="X32" i="1"/>
  <c r="W32" i="1"/>
  <c r="U32" i="1"/>
  <c r="R32" i="1"/>
  <c r="Q32" i="1"/>
  <c r="N32" i="1"/>
  <c r="O32" i="1" s="1"/>
  <c r="AG32" i="1" s="1"/>
  <c r="H32" i="1"/>
  <c r="AD31" i="1"/>
  <c r="AB31" i="1"/>
  <c r="AA31" i="1"/>
  <c r="Y31" i="1"/>
  <c r="AE31" i="1" s="1"/>
  <c r="AH31" i="1" s="1"/>
  <c r="AH30" i="1" s="1"/>
  <c r="X31" i="1"/>
  <c r="W31" i="1"/>
  <c r="U31" i="1"/>
  <c r="R31" i="1"/>
  <c r="Q31" i="1"/>
  <c r="N31" i="1"/>
  <c r="O31" i="1" s="1"/>
  <c r="AG31" i="1" s="1"/>
  <c r="H31" i="1"/>
  <c r="AD29" i="1"/>
  <c r="AB29" i="1"/>
  <c r="AA29" i="1"/>
  <c r="Y29" i="1"/>
  <c r="W29" i="1"/>
  <c r="U29" i="1"/>
  <c r="R29" i="1"/>
  <c r="Q29" i="1"/>
  <c r="N29" i="1"/>
  <c r="L29" i="1"/>
  <c r="K29" i="1"/>
  <c r="H29" i="1"/>
  <c r="AH28" i="1"/>
  <c r="AE28" i="1"/>
  <c r="AD28" i="1"/>
  <c r="AB28" i="1"/>
  <c r="AA28" i="1"/>
  <c r="Y28" i="1"/>
  <c r="X28" i="1"/>
  <c r="W28" i="1"/>
  <c r="U28" i="1"/>
  <c r="Q28" i="1"/>
  <c r="R28" i="1" s="1"/>
  <c r="AG28" i="1" s="1"/>
  <c r="L28" i="1"/>
  <c r="K28" i="1"/>
  <c r="H28" i="1"/>
  <c r="AD27" i="1"/>
  <c r="AB27" i="1"/>
  <c r="AA27" i="1"/>
  <c r="Y27" i="1"/>
  <c r="AE27" i="1" s="1"/>
  <c r="AH27" i="1" s="1"/>
  <c r="X27" i="1"/>
  <c r="W27" i="1"/>
  <c r="U27" i="1"/>
  <c r="Q27" i="1"/>
  <c r="R27" i="1" s="1"/>
  <c r="L27" i="1"/>
  <c r="K27" i="1"/>
  <c r="AF27" i="1" s="1"/>
  <c r="H27" i="1"/>
  <c r="AD26" i="1"/>
  <c r="AB26" i="1"/>
  <c r="AA26" i="1"/>
  <c r="Y26" i="1"/>
  <c r="AE26" i="1" s="1"/>
  <c r="AH26" i="1" s="1"/>
  <c r="X26" i="1"/>
  <c r="W26" i="1"/>
  <c r="U26" i="1"/>
  <c r="Q26" i="1"/>
  <c r="R26" i="1" s="1"/>
  <c r="AG26" i="1" s="1"/>
  <c r="L26" i="1"/>
  <c r="K26" i="1"/>
  <c r="AF26" i="1" s="1"/>
  <c r="H26" i="1"/>
  <c r="AD25" i="1"/>
  <c r="AB25" i="1"/>
  <c r="AA25" i="1"/>
  <c r="Y25" i="1"/>
  <c r="AE25" i="1" s="1"/>
  <c r="AH25" i="1" s="1"/>
  <c r="X25" i="1"/>
  <c r="W25" i="1"/>
  <c r="U25" i="1"/>
  <c r="Q25" i="1"/>
  <c r="R25" i="1" s="1"/>
  <c r="O25" i="1"/>
  <c r="N25" i="1"/>
  <c r="K25" i="1"/>
  <c r="AF25" i="1" s="1"/>
  <c r="H25" i="1"/>
  <c r="AF24" i="1"/>
  <c r="AD24" i="1"/>
  <c r="AB24" i="1"/>
  <c r="AA24" i="1"/>
  <c r="Y24" i="1"/>
  <c r="AE24" i="1" s="1"/>
  <c r="AH24" i="1" s="1"/>
  <c r="W24" i="1"/>
  <c r="X24" i="1" s="1"/>
  <c r="U24" i="1"/>
  <c r="R24" i="1"/>
  <c r="Q24" i="1"/>
  <c r="N24" i="1"/>
  <c r="O24" i="1" s="1"/>
  <c r="L24" i="1"/>
  <c r="K24" i="1"/>
  <c r="H24" i="1"/>
  <c r="H23" i="1"/>
  <c r="AE21" i="1"/>
  <c r="AH21" i="1" s="1"/>
  <c r="AD21" i="1"/>
  <c r="AB21" i="1"/>
  <c r="AA21" i="1"/>
  <c r="Y21" i="1"/>
  <c r="W21" i="1"/>
  <c r="X21" i="1" s="1"/>
  <c r="U21" i="1"/>
  <c r="O21" i="1"/>
  <c r="N21" i="1"/>
  <c r="K21" i="1"/>
  <c r="H21" i="1"/>
  <c r="AE20" i="1"/>
  <c r="AH20" i="1" s="1"/>
  <c r="AD20" i="1"/>
  <c r="AB20" i="1"/>
  <c r="AA20" i="1"/>
  <c r="Y20" i="1"/>
  <c r="W20" i="1"/>
  <c r="X20" i="1" s="1"/>
  <c r="U20" i="1"/>
  <c r="O20" i="1"/>
  <c r="N20" i="1"/>
  <c r="K20" i="1"/>
  <c r="H20" i="1"/>
  <c r="AE19" i="1"/>
  <c r="AH19" i="1" s="1"/>
  <c r="AD19" i="1"/>
  <c r="AB19" i="1"/>
  <c r="AA19" i="1"/>
  <c r="Y19" i="1"/>
  <c r="W19" i="1"/>
  <c r="X19" i="1" s="1"/>
  <c r="U19" i="1"/>
  <c r="O19" i="1"/>
  <c r="N19" i="1"/>
  <c r="K19" i="1"/>
  <c r="H19" i="1"/>
  <c r="AE18" i="1"/>
  <c r="AH18" i="1" s="1"/>
  <c r="AD18" i="1"/>
  <c r="AB18" i="1"/>
  <c r="AA18" i="1"/>
  <c r="Y18" i="1"/>
  <c r="W18" i="1"/>
  <c r="X18" i="1" s="1"/>
  <c r="U18" i="1"/>
  <c r="O18" i="1"/>
  <c r="N18" i="1"/>
  <c r="K18" i="1"/>
  <c r="H18" i="1"/>
  <c r="AE17" i="1"/>
  <c r="AH17" i="1" s="1"/>
  <c r="AD17" i="1"/>
  <c r="AB17" i="1"/>
  <c r="AA17" i="1"/>
  <c r="Y17" i="1"/>
  <c r="W17" i="1"/>
  <c r="X17" i="1" s="1"/>
  <c r="U17" i="1"/>
  <c r="O17" i="1"/>
  <c r="N17" i="1"/>
  <c r="K17" i="1"/>
  <c r="H17" i="1"/>
  <c r="AE16" i="1"/>
  <c r="AH16" i="1" s="1"/>
  <c r="AD16" i="1"/>
  <c r="AB16" i="1"/>
  <c r="AA16" i="1"/>
  <c r="Y16" i="1"/>
  <c r="W16" i="1"/>
  <c r="X16" i="1" s="1"/>
  <c r="U16" i="1"/>
  <c r="O16" i="1"/>
  <c r="N16" i="1"/>
  <c r="K16" i="1"/>
  <c r="H16" i="1"/>
  <c r="H15" i="1"/>
  <c r="AF12" i="1"/>
  <c r="AE12" i="1"/>
  <c r="AH12" i="1" s="1"/>
  <c r="AD12" i="1"/>
  <c r="AB12" i="1"/>
  <c r="AA12" i="1"/>
  <c r="Y12" i="1"/>
  <c r="X12" i="1"/>
  <c r="W12" i="1"/>
  <c r="U12" i="1"/>
  <c r="L12" i="1"/>
  <c r="AG12" i="1" s="1"/>
  <c r="K12" i="1"/>
  <c r="H12" i="1"/>
  <c r="AD11" i="1"/>
  <c r="AB11" i="1"/>
  <c r="AA11" i="1"/>
  <c r="Y11" i="1"/>
  <c r="W11" i="1"/>
  <c r="AF11" i="1" s="1"/>
  <c r="U11" i="1"/>
  <c r="K11" i="1"/>
  <c r="L11" i="1" s="1"/>
  <c r="H11" i="1"/>
  <c r="H9" i="1" s="1"/>
  <c r="AD10" i="1"/>
  <c r="AB10" i="1"/>
  <c r="AA10" i="1"/>
  <c r="Y10" i="1"/>
  <c r="AE10" i="1" s="1"/>
  <c r="AH10" i="1" s="1"/>
  <c r="W10" i="1"/>
  <c r="X10" i="1" s="1"/>
  <c r="U10" i="1"/>
  <c r="L10" i="1"/>
  <c r="AG10" i="1" s="1"/>
  <c r="K10" i="1"/>
  <c r="AF10" i="1" s="1"/>
  <c r="H10" i="1"/>
  <c r="AH8" i="1"/>
  <c r="AD8" i="1"/>
  <c r="AB8" i="1"/>
  <c r="AE8" i="1" s="1"/>
  <c r="AA8" i="1"/>
  <c r="Y8" i="1"/>
  <c r="X8" i="1"/>
  <c r="W8" i="1"/>
  <c r="U8" i="1"/>
  <c r="K8" i="1"/>
  <c r="AF8" i="1" s="1"/>
  <c r="H8" i="1"/>
  <c r="AF7" i="1"/>
  <c r="AD7" i="1"/>
  <c r="AB7" i="1"/>
  <c r="AA7" i="1"/>
  <c r="Y7" i="1"/>
  <c r="AE7" i="1" s="1"/>
  <c r="AH7" i="1" s="1"/>
  <c r="W7" i="1"/>
  <c r="X7" i="1" s="1"/>
  <c r="U7" i="1"/>
  <c r="Q7" i="1"/>
  <c r="R7" i="1" s="1"/>
  <c r="N7" i="1"/>
  <c r="O7" i="1" s="1"/>
  <c r="L7" i="1"/>
  <c r="K7" i="1"/>
  <c r="H7" i="1"/>
  <c r="H6" i="1"/>
  <c r="L19" i="1" l="1"/>
  <c r="AG19" i="1" s="1"/>
  <c r="AF19" i="1"/>
  <c r="H22" i="1"/>
  <c r="H13" i="1" s="1"/>
  <c r="AG27" i="1"/>
  <c r="AF29" i="1"/>
  <c r="O29" i="1"/>
  <c r="AG29" i="1" s="1"/>
  <c r="AE37" i="1"/>
  <c r="AH37" i="1" s="1"/>
  <c r="AF92" i="1"/>
  <c r="AW154" i="2"/>
  <c r="AC95" i="1" s="1"/>
  <c r="AF95" i="1" s="1"/>
  <c r="AF28" i="1"/>
  <c r="H30" i="1"/>
  <c r="AW199" i="2"/>
  <c r="AC96" i="1" s="1"/>
  <c r="AA127" i="1"/>
  <c r="L17" i="1"/>
  <c r="AG17" i="1" s="1"/>
  <c r="AF17" i="1"/>
  <c r="AE92" i="1"/>
  <c r="AB92" i="1"/>
  <c r="AD92" i="1"/>
  <c r="AG92" i="1" s="1"/>
  <c r="L20" i="1"/>
  <c r="AG20" i="1" s="1"/>
  <c r="AF20" i="1"/>
  <c r="H38" i="1"/>
  <c r="H137" i="1" s="1"/>
  <c r="H138" i="1" s="1"/>
  <c r="H141" i="1" s="1"/>
  <c r="AF49" i="1"/>
  <c r="R49" i="1"/>
  <c r="AG49" i="1" s="1"/>
  <c r="AG24" i="1"/>
  <c r="AE11" i="1"/>
  <c r="AH11" i="1" s="1"/>
  <c r="H14" i="1"/>
  <c r="L18" i="1"/>
  <c r="AG18" i="1" s="1"/>
  <c r="AF18" i="1"/>
  <c r="AE29" i="1"/>
  <c r="AH29" i="1" s="1"/>
  <c r="AF50" i="1"/>
  <c r="AF96" i="1"/>
  <c r="AW160" i="2"/>
  <c r="AW170" i="2" s="1"/>
  <c r="L21" i="1"/>
  <c r="AG21" i="1" s="1"/>
  <c r="AF21" i="1"/>
  <c r="AB97" i="1"/>
  <c r="AE97" i="1" s="1"/>
  <c r="AD97" i="1"/>
  <c r="L16" i="1"/>
  <c r="AG16" i="1" s="1"/>
  <c r="AF16" i="1"/>
  <c r="L8" i="1"/>
  <c r="AG8" i="1" s="1"/>
  <c r="X11" i="1"/>
  <c r="X127" i="1" s="1"/>
  <c r="L25" i="1"/>
  <c r="AG25" i="1" s="1"/>
  <c r="AF31" i="1"/>
  <c r="AF32" i="1"/>
  <c r="AF33" i="1"/>
  <c r="AF34" i="1"/>
  <c r="AF35" i="1"/>
  <c r="AF36" i="1"/>
  <c r="X58" i="1"/>
  <c r="AG58" i="1" s="1"/>
  <c r="R60" i="1"/>
  <c r="AG60" i="1" s="1"/>
  <c r="X97" i="1"/>
  <c r="X122" i="1"/>
  <c r="AG122" i="1" s="1"/>
  <c r="R50" i="1"/>
  <c r="AG50" i="1" s="1"/>
  <c r="X90" i="1"/>
  <c r="AG90" i="1" s="1"/>
  <c r="X100" i="1"/>
  <c r="AG100" i="1" s="1"/>
  <c r="X102" i="1"/>
  <c r="AG102" i="1" s="1"/>
  <c r="X104" i="1"/>
  <c r="AG104" i="1" s="1"/>
  <c r="X106" i="1"/>
  <c r="AG106" i="1" s="1"/>
  <c r="X108" i="1"/>
  <c r="AG108" i="1" s="1"/>
  <c r="M137" i="1"/>
  <c r="M138" i="1" s="1"/>
  <c r="H140" i="1" s="1"/>
  <c r="AF57" i="1"/>
  <c r="AF62" i="1"/>
  <c r="X96" i="1"/>
  <c r="AG7" i="1"/>
  <c r="O37" i="1"/>
  <c r="AG37" i="1" s="1"/>
  <c r="AF51" i="1"/>
  <c r="AF54" i="1"/>
  <c r="R61" i="1"/>
  <c r="AG61" i="1" s="1"/>
  <c r="R66" i="1"/>
  <c r="AG66" i="1" s="1"/>
  <c r="AF72" i="1"/>
  <c r="AF74" i="1"/>
  <c r="AF76" i="1"/>
  <c r="AF78" i="1"/>
  <c r="AF80" i="1"/>
  <c r="AF82" i="1"/>
  <c r="R48" i="1"/>
  <c r="AG48" i="1" s="1"/>
  <c r="V127" i="1" l="1"/>
  <c r="X3" i="1"/>
  <c r="L127" i="1"/>
  <c r="AG11" i="1"/>
  <c r="Y127" i="1"/>
  <c r="AA3" i="1"/>
  <c r="AB96" i="1"/>
  <c r="AE96" i="1" s="1"/>
  <c r="AD96" i="1"/>
  <c r="AG96" i="1" s="1"/>
  <c r="AB95" i="1"/>
  <c r="AE95" i="1" s="1"/>
  <c r="AD95" i="1"/>
  <c r="O127" i="1"/>
  <c r="AG97" i="1"/>
  <c r="R127" i="1"/>
  <c r="AG127" i="1" l="1"/>
  <c r="P127" i="1"/>
  <c r="R3" i="1"/>
  <c r="O3" i="1"/>
  <c r="M127" i="1"/>
  <c r="J127" i="1"/>
  <c r="L3" i="1"/>
  <c r="AG95" i="1"/>
  <c r="AD127" i="1"/>
  <c r="AI128" i="1" l="1"/>
  <c r="AF127" i="1"/>
  <c r="AH127" i="1" s="1"/>
  <c r="AI127" i="1"/>
  <c r="AD3" i="1"/>
  <c r="AB127" i="1"/>
</calcChain>
</file>

<file path=xl/sharedStrings.xml><?xml version="1.0" encoding="utf-8"?>
<sst xmlns="http://schemas.openxmlformats.org/spreadsheetml/2006/main" count="1390" uniqueCount="357">
  <si>
    <t>CONTRATAÇÃO DE UMA EMPRESA ESPECIALIZADA PARA CONSTRUÇÃO DE 01 (UM) CENTRO ESPECIALIZADO EM ATENÇÃO A SAÚDE MENTAL PARA ATENDER AS NECESSIDADES DA SECRETARIA MUNICIPAL DE SAÚDE EM COREMAS/PB</t>
  </si>
  <si>
    <t>BANCO DE DADOS:         
SINAPI - 05/2024-Paraiba 
ORSE - 0412024- Sergipe</t>
  </si>
  <si>
    <t>B.D.I. = 22,47%
ENCARGOS SOCIAIS:
Nao Desonerado: embutido nos presos unitário dos insumos de mão de obra, de acordo com as bases.</t>
  </si>
  <si>
    <t>DATA DE INÍCIO DO CONTRATO: 15/10/2024.
VIGÊNCIA: 12 MESES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</si>
  <si>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</si>
  <si>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 xml:space="preserve">NÚMERO DA MEDIÇÃO:
7ª MEDIÇÃO.
</t>
  </si>
  <si>
    <t>REFERÊNCIA/PERÍODO DA MEDIÇÃO: De 26/06/2025 a 11/08/2025</t>
  </si>
  <si>
    <t>VALOR MEDIDO NO PERÍODO:
R$ 330.767,00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</si>
  <si>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</si>
  <si>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</si>
  <si>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</si>
  <si>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</si>
  <si>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</si>
  <si>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</si>
  <si>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 xml:space="preserve">TOTAL DA MEDIÇÃO 06 = </t>
  </si>
  <si>
    <t xml:space="preserve">TOTAL DA MEDIÇÃO 07 = </t>
  </si>
  <si>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</si>
  <si>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</si>
  <si>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</si>
  <si>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</si>
  <si>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</si>
  <si>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</si>
  <si>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</si>
  <si>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</si>
  <si>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</si>
  <si>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</si>
  <si>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</si>
  <si>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</si>
  <si>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</si>
  <si>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</si>
  <si>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</si>
  <si>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</si>
  <si>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STATUS DO ÍTEM</t>
  </si>
  <si>
    <t>QUANTIDADE  A SER ACRESCENTADA NO ADITIVO</t>
  </si>
  <si>
    <t>SERVIÇOS PRELIMINARES</t>
  </si>
  <si>
    <t>MEDIÇÃO 01</t>
  </si>
  <si>
    <t>MEDIÇÃO 02</t>
  </si>
  <si>
    <t>MEDIÇÃO 03</t>
  </si>
  <si>
    <t>MEDIÇÃO 04</t>
  </si>
  <si>
    <t>MEDIÇÃO 05</t>
  </si>
  <si>
    <t>MEDIÇÃO 06</t>
  </si>
  <si>
    <t>MEDIÇÃO 07</t>
  </si>
  <si>
    <t>1.1</t>
  </si>
  <si>
    <t>Placa de obra em chapa aco galvanizado, instalada - Rev 02_O1/2022</t>
  </si>
  <si>
    <t>ORSE</t>
  </si>
  <si>
    <t>M2</t>
  </si>
  <si>
    <t>1.2</t>
  </si>
  <si>
    <t>LIMPEZA MANUAL DE VEGETAÇÃO EM TERRENO COM EXADA AF 03/2024</t>
  </si>
  <si>
    <t>SINAPI</t>
  </si>
  <si>
    <t>MOVIMENTO DE TERRA</t>
  </si>
  <si>
    <t>2.1</t>
  </si>
  <si>
    <t>LOCAÇÃO CONVENCIONAL DE OBRA, UTILIZANDO DE GABARITO DE TÁBUAS CORRIDAS PONTALETADAS A CADA 2,00M - 2 UTILIZAÇÕES. AF_03/2024</t>
  </si>
  <si>
    <t>M</t>
  </si>
  <si>
    <t>2.2</t>
  </si>
  <si>
    <t>ESCAVAÇÃO MANUAL DE VALA COM PROFUNDIDADE MENOR OU IGUAL A 1,30M AF 02/2021</t>
  </si>
  <si>
    <t>M3</t>
  </si>
  <si>
    <t>2.3</t>
  </si>
  <si>
    <t>ATERRO MANUAL DE VALAS COM SOLO ARGILO-ARENOSO. AF_08/2023</t>
  </si>
  <si>
    <t>ESTRUTURA</t>
  </si>
  <si>
    <t>3.1</t>
  </si>
  <si>
    <t>INFRAESTUTURA</t>
  </si>
  <si>
    <t>3.1.1</t>
  </si>
  <si>
    <t>FUNDAÇÃO</t>
  </si>
  <si>
    <t>3.1.1.1</t>
  </si>
  <si>
    <t>CONCRETO FCK = 15MPA, TRACO 13,4.3,4 (EM MASSA SECA DE CIMENTO / AREIA MÉDIA/ SEIXO ROLADO) - PREPARO MANUAL. AF_05/2021</t>
  </si>
  <si>
    <t>3.1.1.2</t>
  </si>
  <si>
    <t>CONCRETO FCK = 25MPA, TRACO 12,3:2,7 (EM MASSA SECA DE CIMENTO/ AREIA MEDIA/ BRITA 1) - PREPARO MECANICO COM BETONEIRA 400 L. AF 05/2021</t>
  </si>
  <si>
    <t>3.1.1.3</t>
  </si>
  <si>
    <t>ARMAÇÃO DE BLOCO UTILIZANDO AÇO CA-50 DE 6,3 MM - MONTAGEM. AF 01/2024</t>
  </si>
  <si>
    <t>KG</t>
  </si>
  <si>
    <t>3.1.1.4</t>
  </si>
  <si>
    <t>ARMAÇÃO DE BLOCO UTILZANDO AÇO CASO DE 8 MM - MONTAGEM. AF 01/2024</t>
  </si>
  <si>
    <t>3.1.1.5</t>
  </si>
  <si>
    <t>ARMAÇÃO DE BLOCO UTILIZANDO AÇO CA-60 DE 5 MM - MONTAGEM. AF 01/2024</t>
  </si>
  <si>
    <t>3.1.1.6</t>
  </si>
  <si>
    <t>IMPERMEABILIZAÇÃO DE SUPERFÍCIE COM EMULSÃO ASFÁLTICA, 2 DEMÃOS. AF 09/2023</t>
  </si>
  <si>
    <t>3.2</t>
  </si>
  <si>
    <t>SUPERESTRUTURA</t>
  </si>
  <si>
    <t>3.2.1</t>
  </si>
  <si>
    <t>PILARES</t>
  </si>
  <si>
    <t>3.2.1.1</t>
  </si>
  <si>
    <t>CONCRETO FCK = 25MPA, TRACO 1:2,2:2,5 (EM MASSA SECA DE CIMENTO/ AREIA MEDIA/ SEIXO ROLADO) - PREPARO MECANICO COM BETONEIRA 400 L. AF 05/2021</t>
  </si>
  <si>
    <t>3.2.1.2</t>
  </si>
  <si>
    <t>ARMAÇÃO DE BLOCO UTILIZANDO AÇO CA-SO DE 10 MM - MONTAGEM. AF 01/2024</t>
  </si>
  <si>
    <t>3.2.1.3</t>
  </si>
  <si>
    <t>ARMAÇÃO DE BLOCO UTILIZANDO AÇO CA-CO DE 5 MM - MONTAGEM. AF 01/2024</t>
  </si>
  <si>
    <t>3.2.1.4</t>
  </si>
  <si>
    <t>ARMAÇÃO DE BLOCO UTILZANDO AÇO CA-50 DES MM - MONTAGEM, AF 01/2024</t>
  </si>
  <si>
    <t>3.2.1.5</t>
  </si>
  <si>
    <t>ARMAÇÃO DE BLOCO, VIGA BALDRAME OU SAPATA UTILIZANDO AÇO CA- 50 DE 12,5 MM - MONTAGEM. AF 06/2017</t>
  </si>
  <si>
    <t>3.2.1.6</t>
  </si>
  <si>
    <t>FABRICAÇÃO, MONTAGEM E DESMONTAGEM DE FÔRMA PARA ESCADA HIDRAULICA, EM CHAPA DE MADEIRA COMPENSADA RESINADA, E = 17 MM, 3 UTILIZAÇÕES. AF 08/2022</t>
  </si>
  <si>
    <t>3.2.2</t>
  </si>
  <si>
    <t>VIGAS</t>
  </si>
  <si>
    <t>3.2.2.1</t>
  </si>
  <si>
    <t>CONCRETO FCK = 25MPA, TRAGO 12,2:2,5 (EM MASSA SECA DE CIMENTO/ AREIA MEDIA/ SEIXO ROLADO) - PREPARO MECANICO COM BETONEIRA 400 L. AF 05/2021</t>
  </si>
  <si>
    <t>3.2.2.2</t>
  </si>
  <si>
    <t>ARMAÇÃO DE PILAR OU VIGA DE ESTRUTURA CONVENCIONAL DE CONCRETO ARMADO UTILIZANDO AÇO CA-50 06 8,3 MM - MONTAGEM. AF 06/2022</t>
  </si>
  <si>
    <t>3.2.2.3</t>
  </si>
  <si>
    <t>ARMAÇÃO DE PILAR OU VIGA DE ESTRUTURA CONVENCIONAL DE CONCRETO ARMADO UTILIZANDO AÇO CA-50 DE 8,0 MM - MONTAGEM. AF 06/2022</t>
  </si>
  <si>
    <t>3.2.2.4</t>
  </si>
  <si>
    <t>ARMAÇÃO DE PILAR OU VIGA DE ESTRUTURA CONVENCIONAL DE CONCRETO ARMADO UTILIZANDO AÇO CA-50 DE 10,0 MM - MONTAGEM. AF 06/2022</t>
  </si>
  <si>
    <t>3.2.2.5</t>
  </si>
  <si>
    <t>ARMAÇÃO DE PILAR OU VIGA DE ESTRUTURA CONVENCIONAL DE CONCRETO ARMADO UTILZANDO AÇO CA-50 DE 12,5 MM - MONTAGEM. AF 06/2022</t>
  </si>
  <si>
    <t>3.2.2.6</t>
  </si>
  <si>
    <t>ARMAÇÃO DE PILAR OU VIGA DE ESTRUTURA CONVENCIONAL DE CONCRETO ARMADO UTILIZANDO AÇO CA-CO DE 5,0 MM - MONTAGEM. AF 06/2022</t>
  </si>
  <si>
    <t>3.2.2.7</t>
  </si>
  <si>
    <t>FABRICAÇÃO DE FORMA PARA VIGAS, EM CHAPA DE MADEIRA COMPENSADA RESINADA, E = 17 MM. AF 09/2020</t>
  </si>
  <si>
    <t>3.2.3</t>
  </si>
  <si>
    <t xml:space="preserve">LAJE </t>
  </si>
  <si>
    <t>3.2.3.1</t>
  </si>
  <si>
    <t>CONCRETO FCK = 25MPA, TRACO 1:2,3:2,7 (EM MASSA SECA DE CIMENTO/AREIA MEDIA/ BRITA 1) - PREPARO MECANICO COM BETONEIRA 400 L. AF 05/2021</t>
  </si>
  <si>
    <t>3.2.3.2</t>
  </si>
  <si>
    <t>FABRICAÇÃO DE FÔRMA PARA LAJES, EM CHAPA DE MADEIRA COMPENSADA RESINADA, E = 17 MM. AF 09/2020</t>
  </si>
  <si>
    <t>3.2.3.3</t>
  </si>
  <si>
    <t>ARMAÇÃO DE LAJE DE ESTRUTURA CONVENCIONAL DE CONCRETO ARMADO UTILIZANDO AÇO CA-SO DE 6,3 MM - MONTAGEM. AF_06/2022</t>
  </si>
  <si>
    <t>3.2.3.4</t>
  </si>
  <si>
    <t>ARMAÇÃO DE LAJE DE ESTRUTURA CONVENCIONAL DE CONCRETO ARMADO UTILIZANDO AÇO CA-SO DE 8,0 MM - MONTAGEM. AF_06/2022</t>
  </si>
  <si>
    <t>3.2.3.5</t>
  </si>
  <si>
    <t>ARMAÇAO DE LAJE DE ESTRUTURA CONVENCIONAL DE CONCRETO ARMADO UTILIZANDO AÇO CA-50 DE 10,0 MM - MONTAGEM. AF_08/2022</t>
  </si>
  <si>
    <t>3.2.3.6</t>
  </si>
  <si>
    <t>ARMAÇÃO DE LAJE DE ESTRUTURA CONVENCIONAL DE CONCRETO ARMADO UTILIZANDO AÇO CA-CO DE 5,0 MM - MONTAGEM. AF_06/2022</t>
  </si>
  <si>
    <t>ELEVAÇÃO</t>
  </si>
  <si>
    <t>4.1</t>
  </si>
  <si>
    <t>ALVENARIA DE VEDAÇÃO DE BLOCOS CERAMICOS FURADOS NA HORIZONTAL DE 9X19X19 CM (ESPESSURA 9 CM) E ARGAMASSA DE ASSENTAMENTO COM PREPARO EM BETONEIRA. AF_12/2021</t>
  </si>
  <si>
    <t>REVESTIMENTO</t>
  </si>
  <si>
    <t>5.1</t>
  </si>
  <si>
    <t>CHAPISCO APLICADO EM ALVENARIA (SEM PRESENÇA DE VÃOS) E ESTRUTURAS DE CONCRETO DE FACHADA, COM COLHER DE PEDREIRO. ARGAMASSA TRAÇO 1.3 COM PREPARO EM BETONEIRA 400L. AF_10/2022</t>
  </si>
  <si>
    <t>5.2</t>
  </si>
  <si>
    <t>MASSA ÚNICA, EM ARGAMASSA TRAÇO 1:2:8, PREPARO MANUAL, APLICADA MANUALMENTE EM PAREDES INTERNAS DE AMBIENTES COM ÁREA ENTRE 5M² E 10M², E = 10MM, COM TALISCAS, AF_03/2024</t>
  </si>
  <si>
    <t>5.3</t>
  </si>
  <si>
    <t>REVESTIMENTO CERÂMICO PARA PAREDES INTERNAS COM PLACAS TIPO PASTILHA DE DIMENSÕES 5 X 5 CM (PLACAS DE 30 X 30 CM) CM APLICADAS A MEIA ALTURA DAS PAREDES. AF_02/2023</t>
  </si>
  <si>
    <t>5.4</t>
  </si>
  <si>
    <t>REVESTIMENTO CERÂMICO PARA PISO COM PLACAS TIPO PORCELANATO DE DIMENSÕES 60X60 CM APLICADA EM AMBIENTES DE ÁREA ENTRE 5 M² E 10 M². AF 02/2023 PE</t>
  </si>
  <si>
    <t>PISO</t>
  </si>
  <si>
    <t>6.1</t>
  </si>
  <si>
    <t>ARGAMASSA TRAÇO 1:3 (EM VOLUME DE CIMENTO E AREIA MÉDIA ÚMIDA) PARA CONTRAPISO, PREPARO MECANICO COM BETONEIRA 400 L. AF 08/2019</t>
  </si>
  <si>
    <t>6.2</t>
  </si>
  <si>
    <t>REVESTIMENTO CERÂMICO PARA PISO COM PLACAS TIPO PORCELANATO DE DIMENSOES 80X80 CM APLICADA EM AMBIENTES DE AREA ENTRE 556
E 10 M'. AF 022023 PE</t>
  </si>
  <si>
    <t>INSTALAÇÕES SANITÁRIAS</t>
  </si>
  <si>
    <t>7.1</t>
  </si>
  <si>
    <t>SANITÁRIA</t>
  </si>
  <si>
    <t>7.1.1</t>
  </si>
  <si>
    <t>VASO SANITARIO SIFONADO COM CAIXA ACOPLADA LOUÇA BRANCA, INCLUSO ENGATE FLEXÍVEL EM PLASTICO BRANCO, 1/2 X 40CM - FORNECIMENTO E INSTALAÇÃO. AF_01/2020</t>
  </si>
  <si>
    <t>UNID</t>
  </si>
  <si>
    <t>7.1.2</t>
  </si>
  <si>
    <t>LAVATÓRIO LOUÇA BRANCA COM COLUNA, *44 X 35,5* CM, PADRÃO POPULAR, INCLUSO SIFAO FLEXÍVEL EM PVC, VALVULA E ENGATE FLEXÍVEL 30CM EM PLASTICO E COM TORNEIRA CROMADA PADRAO POPULAR-FORNECIMENTO E INSTALAÇÃO. AF_01/2020</t>
  </si>
  <si>
    <t>7.1.3</t>
  </si>
  <si>
    <t>TUBO PVC, SERIE NORMAL, ESGOTO PREDIAL, DN 100 MM, FORNECIDO E INSTALADO EM RAMAL DE DESCARGA OU RAMAL DE ESGOTO SANITARIO. AF 08/2022</t>
  </si>
  <si>
    <t>7.1.4</t>
  </si>
  <si>
    <t>TUBO PVC, SERIE NORMAL, ESGOTO PREDIAL, DN 40 MM, FORNECIDO E INSTALADO EM RAMAL DE DESCARGA OU RAMAL DE ESGOTO SANITARIO. AF 08/2022</t>
  </si>
  <si>
    <t>7.1.5</t>
  </si>
  <si>
    <t>TUBO PVC, SERIE NORMAL, ESGOTO PREDIAL, DN 50 MM, FORNECIDO E INSTALADO EM PRUMADA DE ESGOTO SANITARIO OU VENTILAÇÃO. AF 08/2022</t>
  </si>
  <si>
    <t>7.1.6</t>
  </si>
  <si>
    <t>RALO SECO CONICO, PVC, DN 100 X 40 MM, JUNTA SOLDAVEL, FORNECIDO E INSTALADO EM RAMAL DE DESCARGA OU EM RAMAL DE ESGOTO SANITARIO. AF 08/2022</t>
  </si>
  <si>
    <t>7.1.7</t>
  </si>
  <si>
    <t>RALO SIFONADO REDONDO, PVC, DN 100 X 40 MM, JUNTA SOLDAVEL, FORNECIDO E INSTALADO EM RAMAL DE DESCARGA OU EM RAMAL DE ESGOTO SANITARIO. AF 08/2022</t>
  </si>
  <si>
    <t>7.1.8</t>
  </si>
  <si>
    <t>JOELHO 45 GRAUS, PVC, SERIE NORMAL, ESGOTO PREDIAL, DN 40 MM, JUNTA SOLDAVEL, FORNECIDO E INSTALADO EM RAMAL DE DESCARGA OU RAMAL DE ESGOTO SANITARIO. AF 08/2022</t>
  </si>
  <si>
    <t>7.1.9</t>
  </si>
  <si>
    <t>JOELHO 45 GRAUS, PVC, SERIE NORMAL, ESGOTO PREDIAL, DN 50 MM, JUNTA ELASTICA, FORNECIDO E INSTALADO EM RAMAL DE DESCARGA OU RAMAL DE ESGOTO SANITARIO. AF 08/2022</t>
  </si>
  <si>
    <t>7.1.10</t>
  </si>
  <si>
    <t>JOELHO 90 GRAUS, PVC, SERIE NORMAL, ESGOTO PREDIAL, DN 100 MM, JUNTA ELASTICA, FORNECIDO E INSTALADO EM PRUMADA DE ESGOTO SANITARIO OU VENTILACAO. AF_08/2022</t>
  </si>
  <si>
    <t>7.1.11</t>
  </si>
  <si>
    <t>JOELHO 45 GRAUS, PVC, SERIE NORMAL, ESGOTO PREDIAL, DN 100 MM, JUNTA ELASTICA, FORNECIDO E INSTALADO EM PRUMADA DE ESGOTO SANITARIO OU VENTILACAO. AF_08/2022</t>
  </si>
  <si>
    <t>7.1.12</t>
  </si>
  <si>
    <t>BARRA DE APOIO EM "L", EM ACO INOX POLIDO 80 X 80 CM, FIXADA NA PAREDE - FORNECIMENTO E INSTALAÇÃO. AF 01/2020</t>
  </si>
  <si>
    <t>7.1.13</t>
  </si>
  <si>
    <t>TE, PVC, SERIE NORMAL, ESGOTO PREDIAL, DN 100 X 100 MM, JUNTA ELASTICA, FORNECIDO E INSTALADO EM PRUMADA DE ESGOTO SANITARIO OU VENTILAÇÃO. AF_08/2022</t>
  </si>
  <si>
    <t>7.1.14</t>
  </si>
  <si>
    <t>JUNÇÃO DUPLA DE PVC, SERIE NORMAL, PARA ESGOTO PREDIAL, DN 100  X 100 X 100 MM, INSTALADA EM DRENO - FORNECIMENTO E INSTALAÇÃO. AF 07/2021</t>
  </si>
  <si>
    <t>7.2</t>
  </si>
  <si>
    <t>HIDRÁULICA</t>
  </si>
  <si>
    <t>7.2.1</t>
  </si>
  <si>
    <t>CAIXA D'AGUA EM POLIESTER REFORCADO COM FIBRA DE VIDRO, 3000 LITROS - FORNECIMENTO E INSTALAÇÃO. AF_06/2021</t>
  </si>
  <si>
    <t>7.2.2</t>
  </si>
  <si>
    <t>TUBO, PVC, SOLDAVEL, DN 25MM, INSTALADO EM PRUMADA DE ÁGUA - FORNECIMENTO E INSTALAÇÃO. AF 06/2022</t>
  </si>
  <si>
    <t>7.2.3</t>
  </si>
  <si>
    <t>JOELHO 90 GRAUS COM BUCHA DE LATAO, PVC, SOLDAVEL, DN 25MM, X 3/4 INSTALADO EM RAMAL OU SUB-RAMAL DE ÁGUA - FORNECIMENTO E INSTALAÇÃO. AF 06/2022</t>
  </si>
  <si>
    <t>7.2.4</t>
  </si>
  <si>
    <t>TUBO, PVC, SOLDAVEL, DN 20MM, INSTALADO EM RAMAL OU SUB-RAMAL DE ÁGUA - FORNECIMENTO E INSTALAÇÃO. AF_06/2022</t>
  </si>
  <si>
    <t>7.2.5</t>
  </si>
  <si>
    <t>CHUVEIRO ELÉTRICO COMUM CORPO PLASTICO, TIPO DUCHA - FORNECIMENTO E INSTALAÇÃO. AF 01/2020</t>
  </si>
  <si>
    <t>7.2.6</t>
  </si>
  <si>
    <t>LUVA, PVC, SOLDAVEL, DN 25MM, INSTALADO EM PRUMADA DE ÁGUA - FORNECIMENTO E INSTALAÇÃO. AF 06/2022</t>
  </si>
  <si>
    <t>7.2.7</t>
  </si>
  <si>
    <t>JOELHO 90 GRAUS, PPR, DN 20 MM, INSTALADO EM RAMAL OU SUB - RAMAL DE ÁGUA - FORNECIMENTO E INSTALAÇÃO. AF_082022</t>
  </si>
  <si>
    <t>7.2.8</t>
  </si>
  <si>
    <t>LAJE PRE-MOLDADA UNIDIRECIONAL, BIAPOIADA, PARA FORRO, ENCHIMENTO EM CERÂMICA, VIGOTA CONVENCIONAL, ALTURA TOTAL DA LAJE (ENCHIMENTO+CAPA) = (8+3). AF_11/2020_PA</t>
  </si>
  <si>
    <t>7.2.9</t>
  </si>
  <si>
    <t>SABONETEIRA DE PAREDE EM METAL CROMADO, INCLUSO FIXAÇÃO. AF 01/2020</t>
  </si>
  <si>
    <t>7.2.10</t>
  </si>
  <si>
    <t>SABONETEIRA PLÁSTICA TIPO DISPENSER PARA SABONETE LIQUIDO COM RESERVATÓRIO 600 A 1500 ML, INCLUSO FIXAÇÃO. AF_01/2020</t>
  </si>
  <si>
    <t>7.2.11</t>
  </si>
  <si>
    <t>SABONETEIRA PLÁSTICA TIPO DISPENSER PARA SABONETE LIQUIDO COM RESERVATÓRIO 800 A 1500 ML, INCLUSO FIXAÇÃO. AF_01/2020</t>
  </si>
  <si>
    <t>7.2.12</t>
  </si>
  <si>
    <t>JOELHO 90 GRAUS COM BUCHA DE LATÃO, PVC, SOLDÁVEL, DN 25MM, X 1/2 INSTALADO EM RAMAL OU SUB-RAMAL DE ÁGUA - FORNECIMENTO E INSTALAÇÃO. AF 06/2022</t>
  </si>
  <si>
    <t>7.2.13</t>
  </si>
  <si>
    <t>REGISTRO DE PRESSÃO BRUTO, LATÃO, ROSCÁVEL, 3/4", COM ACABAMENTO E CANOPLA CROMADOS - FORNECIMENTO E INSTALAÇÃO, AF 08/2021</t>
  </si>
  <si>
    <t>7.2.14</t>
  </si>
  <si>
    <t>TORNEIRA CROMADA DE MESA, 1/2" OU 3/4", PARA LAVATÓRIO, PADRÃO MÉDIO - FORNECIMENTO E INSTALAÇÃO. AF_01/2020</t>
  </si>
  <si>
    <t>7.2.15</t>
  </si>
  <si>
    <t>TORNEIRA CROMADA LONGA, DE PAREDE, 1/2" OU 3/4", PARA PIA DE COZINHA. PADRÃO POPULAR - FORNECIMENTO E INSTALAÇÃO. AF 01/2020</t>
  </si>
  <si>
    <t>7.2.16</t>
  </si>
  <si>
    <t>REGISTRO DE GAVETA BRUTO, LATÃO, ROSCÁVEL, 1 1/2" - FORNECIMENTO E INSTALAÇÃO. AF 08/2021</t>
  </si>
  <si>
    <t>7.2.17</t>
  </si>
  <si>
    <t>REGISTRO DE ESFERA, PVC, ROSCÁVEL, COM VOLANTE, 1 1/2" - FORNECIMENTO E INSTALAÇÃO. AF 08/2021</t>
  </si>
  <si>
    <t>7.2.18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</si>
  <si>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</si>
  <si>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7.2.19</t>
  </si>
  <si>
    <t>IMPERMEABILIZAÇÃO DE SUPERFICIE COM EMULSAO ASFALTICA, 2 DEMAOS. AF 09/2023</t>
  </si>
  <si>
    <t>PINTURA</t>
  </si>
  <si>
    <t>8.1</t>
  </si>
  <si>
    <t>APLICAÇÃO MANUAL DE MASSA ACRÍLICA EM PAREDES EXTERNAS DE CASAS, DUAS DEMÃOS. AF 03/2024</t>
  </si>
  <si>
    <t>8.2</t>
  </si>
  <si>
    <t>APLICAÇÃO MANUAL DE MASSA ACRÍLICA EM SUPERFICIES INTERNAS DE SACADA DE EDIFÍCIOS DE MÚLTIPLOS PAVIMENTOS. UMA DEMÃO. AF 03/2024</t>
  </si>
  <si>
    <t>8.3</t>
  </si>
  <si>
    <t>PINTURA LATÉX ACRÍLICA ECONÔMICA, APLICAÇÃO MANUAL EM PAREDES, DUAS DEMÃOS. AF 04/2023</t>
  </si>
  <si>
    <t>8.4</t>
  </si>
  <si>
    <t>APLICAÇÃO MANUAL DE FUNDO SELADOR ACRÍLICO EM PAREDES EXTERNAS DE CASAS. AF 03/2024</t>
  </si>
  <si>
    <t>8.5</t>
  </si>
  <si>
    <t>FUNDO SELADOR ACRÍLICO, APLICAÇÃO MANUAL EM PAREDE, UMA DEMÃO. AF 04/2023</t>
  </si>
  <si>
    <t>8.6</t>
  </si>
  <si>
    <t>TEXTURA ACRÍLICA, APLICAÇÃO MANUAL EM TETO, UMA DEMÃO. AF 04/2023</t>
  </si>
  <si>
    <t>INSTALAÇÕES ELÉTRICAS</t>
  </si>
  <si>
    <t>9.1</t>
  </si>
  <si>
    <t>ENTRADA DE ENERGIA ELÉTRICA, AEREA, MONOFASICA, COM CAIXA DE SOBREPOR, CABO DE 35 MM2 E DISJUNTOR DIN 50A (NÃO INCLUSO O POSTE DE CONCRETO). AF_07/2020_PS</t>
  </si>
  <si>
    <t>9.2</t>
  </si>
  <si>
    <t>DISJUNTOR BIPOLAR TIPO DIN, CORRENTE NOMINAL DE 10A - FORNECIMENTO E INSTALAÇÃO. AF 10/2020</t>
  </si>
  <si>
    <t>9.3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</si>
  <si>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</si>
  <si>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9.4</t>
  </si>
  <si>
    <t>DISJUNTOR BIPOLAR TIPO DIN, CORRENTE NOMINAL DE 32A- FORNECIMENTO E INSTALAÇÃO. AF 10/2020</t>
  </si>
  <si>
    <t>9.5</t>
  </si>
  <si>
    <t>DISJUNTOR MONOPOLAR TIPO DIN, CORRENTE NOMINAL DE 16A - FORNECIMENTO E INSTALAÇÃO. AF 10/2020</t>
  </si>
  <si>
    <t>9.6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</si>
  <si>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</si>
  <si>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9.7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</si>
  <si>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</si>
  <si>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9.8</t>
  </si>
  <si>
    <t>LUMINÁRIA TIPO PLAFON EM PLÁSTICO, DE SOBREPOR, COM 1 LÂMPADA FLUORESCENTE DE 15W, SEM REATOR - FORNECIMENTO E INSTALAÇÃO. AF 02/2020</t>
  </si>
  <si>
    <t>9.9</t>
  </si>
  <si>
    <t>CABO DE COBRE FLEXÍVEL ISOLADO, 10 MM², 0,6/1,0 KV, PARA REDE AÉREA DE DISTRIBUIÇÃO DE ENERGIA ELETRICA DE BAIXA TENSÃO - FORNECIMENTO E INSTALAÇÃO. AF_07/2020</t>
  </si>
  <si>
    <t>9.10</t>
  </si>
  <si>
    <t>Disjuntor bipolar DR 25 A - Dispositivo residual diferencial, tipo AC, 30 MA, ref.5SM1 312-OMB, Siemens ou similar</t>
  </si>
  <si>
    <t>CLIMATIZAÇÃO</t>
  </si>
  <si>
    <t>10.1</t>
  </si>
  <si>
    <t>AR CONDICIONADO SPLIT INVERTER, HI-WALL (PAREDE), 9000 BTU/H, CICLO FRIO - FORNECIMENTO E INSTALAÇÃO. AF_11/2021_PE</t>
  </si>
  <si>
    <t>10.2</t>
  </si>
  <si>
    <t>COMPOSIÇÃO</t>
  </si>
  <si>
    <t>CAIXA DE PASSAGEM PARA AR CONDICIONADO- FORNECIMENTO E INSTALAÇÃO</t>
  </si>
  <si>
    <t>PRÓPRIO</t>
  </si>
  <si>
    <t>ESQUADRIAS</t>
  </si>
  <si>
    <t>11.1</t>
  </si>
  <si>
    <t>PORTA DE MADEIRA PARA PINTURA, SEMI-OCA (LEVE OU MEDIA), 90X210CM, ESPESSURA DE 3,5CM, INCLUSO DOBRADIÇAS - FORNECIMENTO E INSTALAÇÃO. AF 12/2019</t>
  </si>
  <si>
    <t>11.2</t>
  </si>
  <si>
    <t>JANELA DE ALUMINIO DE CORRER COM 2 FOLHAS PARA VIDROS, COM VIDROS, BATENTE, ACABAMENTO COM ACETATO OU BRILHANTE E FERRAGENS. EXCLUSIVE ALIZAR E CONTRAMARCO. FORNECIMENTO E INSTALAÇÃO. AF 121/2019</t>
  </si>
  <si>
    <t>11.3</t>
  </si>
  <si>
    <t>PORTA DE ABRIR COM MOLA HIDRÁULICA, EM VIDRO TEMPERADO, 2 FOLHAS DE 90X210 CM, ESPESSURA DD 10MM, INCLUSIVE ACESSÓRIOS. AF 01/2021</t>
  </si>
  <si>
    <t>11.4</t>
  </si>
  <si>
    <t>PORTA DE ABRIR COM MOLA HIDRÁULICA, EM VIDRO TEMPERADO, 90X210 CM, ESPESSURA 10 MM, INCLUSIVE ACESSÓRIOS. AF_011/2021</t>
  </si>
  <si>
    <t>11.5</t>
  </si>
  <si>
    <t>PORTA DE ALUMÍNIO DE ABRIR COM LAMBRI, COM GUARNIÇÃO, FIXAÇÃO COM PARAFUSOS - FORNECIMENTO E INSTALAÇÃO. AF_1212019</t>
  </si>
  <si>
    <t>11.6</t>
  </si>
  <si>
    <t>JANELA DE AÇO TIPO BASCULANTE PARA VIDROS, COM BATENTE, FERRAGENS E PINTURA ANTICORROSIVA. EXCLUSIVE VIDROS, ACABAMENTO, ALIZAR E CONTRAMARCO, FORNECIMENTO E INSTALAÇÃO. AF 12/2019</t>
  </si>
  <si>
    <t>11.7</t>
  </si>
  <si>
    <t>JANELA DE AÇO DE CORRER COM 4 FOLHAS PARA VIDRO, COM BATENTE, FERRAGENS E PINTURA ANTICORROSIVA. EXCLUSIVE VIDROS, ALIZAR E CONTRAMARCO. FORNECIMENTO E INSTALAÇÃO. AF_12/2019</t>
  </si>
  <si>
    <t>11.8</t>
  </si>
  <si>
    <t>INSTALAÇÃO DE VIDRO IMPRESSO, E = 4 MM, EM ESQUADRIA DE ALUMÍNIO OU PVC, FIXADO COM BAGUETE. AF_01/2021_PS</t>
  </si>
  <si>
    <t>COBERTURA</t>
  </si>
  <si>
    <t>12.1</t>
  </si>
  <si>
    <t>COMPOSIÇÃO PARAMÉTRICA PARA EXECUÇÃO DE COBERTURA DE EDIFICAÇÕES COM ESTRUTURA EM PONTALETES DE MADEIRA, DUAS ÁGUAS, TELHA DE FIBROCIMENTO ONDULADA E COM PLATIBANDA. AF 11/2023</t>
  </si>
  <si>
    <t>LIMPEZA FINAL DA OBRA</t>
  </si>
  <si>
    <t>13.1</t>
  </si>
  <si>
    <t>Limpeza geral</t>
  </si>
  <si>
    <t>M²</t>
  </si>
  <si>
    <t>VALOR BDI TOTAL:</t>
  </si>
  <si>
    <t>VALOR ORÇAMENTO:</t>
  </si>
  <si>
    <t>VALOR TOTAL:</t>
  </si>
  <si>
    <t>TOTAL DA MEDIÇÃO 01</t>
  </si>
  <si>
    <t>TOTAL DA MEDIÇÃO 02</t>
  </si>
  <si>
    <t>TOTAL DA MEDIÇÃO 03</t>
  </si>
  <si>
    <t>TOTAL DA MEDIÇÃO 05</t>
  </si>
  <si>
    <t>TOTAL DA MEDIÇÃO 06</t>
  </si>
  <si>
    <t>TOTAL DA MEDIÇÃO 07</t>
  </si>
  <si>
    <t xml:space="preserve">ACUMULADO DA OBRA </t>
  </si>
  <si>
    <t>_________________________________
Cleyton Cabral Lopes
Engª. Responsável Técnica da Execução
CREA RNP N°. 1618264389</t>
  </si>
  <si>
    <t>______________________________________
Fiscal do Contrato 
Prefeitura Municipal de Coremas - PB</t>
  </si>
  <si>
    <t>______________________________________
Marquesa Marques de Sousa Guedes
Eng. Responsável Técnico da Fiscalização
CREA PB N°. 16.1779945-9</t>
  </si>
  <si>
    <t>=</t>
  </si>
  <si>
    <t>VALOR ORÇADO</t>
  </si>
  <si>
    <t xml:space="preserve">GLOSA DA LAJE </t>
  </si>
  <si>
    <t xml:space="preserve">VALOR DO VENCEDOR </t>
  </si>
  <si>
    <t>TOTAL DO ADITIVO + GLOSA</t>
  </si>
  <si>
    <t>%  DE DESCONTO OFERTADO</t>
  </si>
  <si>
    <t xml:space="preserve">ADITIVO DA NOVA LAJE </t>
  </si>
  <si>
    <t>ADITIVO DA NOVA LAJE JÁ COM DESCONTO</t>
  </si>
  <si>
    <t>SALDO DE ADITIVO</t>
  </si>
  <si>
    <t>VALOR ORÇADO PELO ÓRGÃO</t>
  </si>
  <si>
    <t xml:space="preserve">DESCONTO DADO PELA EMPRESA VENCEDORA </t>
  </si>
  <si>
    <t>REFERÊNCIA/PERÍODO DA MEDIÇÃO:  26/06/2025 a 11/08/2025</t>
  </si>
  <si>
    <t xml:space="preserve">MEMORIAL DE CALCULO 07
</t>
  </si>
  <si>
    <t xml:space="preserve">CALCULOS </t>
  </si>
  <si>
    <t>CONFORME O PROJETO HIDRAÚLICO</t>
  </si>
  <si>
    <t xml:space="preserve">Fachada frontal </t>
  </si>
  <si>
    <t>x</t>
  </si>
  <si>
    <t>+</t>
  </si>
  <si>
    <t>Fachada Lateral Esquerda</t>
  </si>
  <si>
    <t xml:space="preserve">Fachada Lateral direita </t>
  </si>
  <si>
    <t>Fachada Lateral fundo</t>
  </si>
  <si>
    <t>TOTAL</t>
  </si>
  <si>
    <t>DESCONTO DAS ESQUADRIAS</t>
  </si>
  <si>
    <t>P1</t>
  </si>
  <si>
    <t>P3</t>
  </si>
  <si>
    <t>J1</t>
  </si>
  <si>
    <t>J2</t>
  </si>
  <si>
    <t>J4</t>
  </si>
  <si>
    <t>J5</t>
  </si>
  <si>
    <t>J6</t>
  </si>
  <si>
    <t>TOTAL DO DESCONTO DAS ESQUADRIAS</t>
  </si>
  <si>
    <t>TOTAL GERAL</t>
  </si>
  <si>
    <t xml:space="preserve">TOTAL GERAL DO FUNDO SELADOR NAS PAREDES </t>
  </si>
  <si>
    <t>APLICAÇÃO DO FUNDO SELADOR NO TETO</t>
  </si>
  <si>
    <t xml:space="preserve">LAVABO </t>
  </si>
  <si>
    <t>X</t>
  </si>
  <si>
    <t>CTO. LIMPEZA</t>
  </si>
  <si>
    <t>DIREÇÃO</t>
  </si>
  <si>
    <t>BANHEIRO MASCULINO</t>
  </si>
  <si>
    <t>BANHEIRO FEMININO</t>
  </si>
  <si>
    <t>ESPERA</t>
  </si>
  <si>
    <t>CIRCULAÇÃO 01</t>
  </si>
  <si>
    <t xml:space="preserve">RECEPÇÃO </t>
  </si>
  <si>
    <t>CIRCULAÇÃO 02</t>
  </si>
  <si>
    <t>COPA</t>
  </si>
  <si>
    <t>DISPENSA</t>
  </si>
  <si>
    <t>SALA 01</t>
  </si>
  <si>
    <t>BANHEIRO</t>
  </si>
  <si>
    <t>SALA 02</t>
  </si>
  <si>
    <t>SALA 03</t>
  </si>
  <si>
    <t>SALA 04</t>
  </si>
  <si>
    <t>SALA 05</t>
  </si>
  <si>
    <t>SALA 06</t>
  </si>
  <si>
    <t xml:space="preserve">SALA 07 </t>
  </si>
  <si>
    <t xml:space="preserve">BANHEIRO </t>
  </si>
  <si>
    <t xml:space="preserve">RECREAÇÃO </t>
  </si>
  <si>
    <t>/</t>
  </si>
  <si>
    <t>TOTAL DA APLICAÇÃO DO FUNDO SELADOR NO TETO</t>
  </si>
  <si>
    <t xml:space="preserve">TOTAL DA APLICAÇÃO DO FUNDO SELADOR </t>
  </si>
  <si>
    <t>TOTAL GERAL DA APLICAÇÃO NAS PAREDES</t>
  </si>
  <si>
    <t>FUNDO SELADOR NO TETO</t>
  </si>
  <si>
    <t>TOTAL DO FUNDO SELADOR NO TETO</t>
  </si>
  <si>
    <t xml:space="preserve">TOTAL DO FUNDO SELADOR </t>
  </si>
  <si>
    <t xml:space="preserve">TOTAL </t>
  </si>
  <si>
    <t xml:space="preserve">CONFORME O PROJETO ELETRICO </t>
  </si>
  <si>
    <t>Quant: 11 unidades</t>
  </si>
  <si>
    <t>CONFORME A PLANTA DE ESQUADRIAS</t>
  </si>
  <si>
    <t>A= 219,7901+ 83,0604+5,6913 = 308,5418x0,2 m²=61,7084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</si>
</sst>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\R\$\ #,##0.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 MT"/>
      <family val="2"/>
    </font>
    <font>
      <sz val="10"/>
      <name val="Arial MT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 M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name val="Arial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1"/>
    </font>
    <font>
      <sz val="11"/>
      <color rgb="FF000000"/>
      <name val="Arial"/>
      <family val="1"/>
    </font>
    <font>
      <sz val="12"/>
      <color rgb="FF000000"/>
      <name val="Arial"/>
      <family val="1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165" fontId="6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164" fontId="8" fillId="3" borderId="1" xfId="0" applyNumberFormat="1" applyFont="1" applyFill="1" applyBorder="1"/>
    <xf numFmtId="0" fontId="9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wrapText="1"/>
    </xf>
    <xf numFmtId="44" fontId="11" fillId="0" borderId="10" xfId="0" applyNumberFormat="1" applyFont="1" applyBorder="1" applyAlignment="1">
      <alignment horizontal="center" vertical="center" wrapText="1"/>
    </xf>
    <xf numFmtId="0" fontId="12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shrinkToFit="1"/>
    </xf>
    <xf numFmtId="44" fontId="1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9" fontId="6" fillId="0" borderId="1" xfId="2" applyFont="1" applyFill="1" applyBorder="1" applyAlignment="1" applyProtection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right" vertical="center" wrapText="1"/>
    </xf>
    <xf numFmtId="4" fontId="4" fillId="3" borderId="1" xfId="0" applyNumberFormat="1" applyFont="1" applyFill="1" applyBorder="1"/>
    <xf numFmtId="1" fontId="1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vertical="center" wrapText="1"/>
    </xf>
    <xf numFmtId="10" fontId="6" fillId="0" borderId="1" xfId="2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4" fillId="0" borderId="11" xfId="0" applyNumberFormat="1" applyFont="1" applyBorder="1" applyAlignment="1">
      <alignment horizontal="center" vertical="center" shrinkToFit="1"/>
    </xf>
    <xf numFmtId="0" fontId="13" fillId="0" borderId="12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shrinkToFit="1"/>
    </xf>
    <xf numFmtId="2" fontId="4" fillId="0" borderId="0" xfId="0" applyNumberFormat="1" applyFont="1" applyAlignment="1">
      <alignment horizontal="center" vertical="center"/>
    </xf>
    <xf numFmtId="0" fontId="13" fillId="0" borderId="13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shrinkToFit="1"/>
    </xf>
    <xf numFmtId="4" fontId="6" fillId="4" borderId="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shrinkToFit="1"/>
    </xf>
    <xf numFmtId="9" fontId="15" fillId="4" borderId="1" xfId="2" applyFont="1" applyFill="1" applyBorder="1" applyAlignment="1" applyProtection="1">
      <alignment horizontal="right" vertical="center" wrapText="1"/>
    </xf>
    <xf numFmtId="4" fontId="15" fillId="4" borderId="1" xfId="0" applyNumberFormat="1" applyFont="1" applyFill="1" applyBorder="1" applyAlignment="1">
      <alignment horizontal="right" vertical="center" wrapText="1"/>
    </xf>
    <xf numFmtId="164" fontId="15" fillId="4" borderId="1" xfId="0" applyNumberFormat="1" applyFont="1" applyFill="1" applyBorder="1" applyAlignment="1">
      <alignment horizontal="right" vertical="center" wrapText="1"/>
    </xf>
    <xf numFmtId="9" fontId="4" fillId="0" borderId="1" xfId="0" applyNumberFormat="1" applyFont="1" applyBorder="1"/>
    <xf numFmtId="0" fontId="7" fillId="3" borderId="1" xfId="0" applyFont="1" applyFill="1" applyBorder="1"/>
    <xf numFmtId="4" fontId="7" fillId="3" borderId="1" xfId="0" applyNumberFormat="1" applyFont="1" applyFill="1" applyBorder="1"/>
    <xf numFmtId="0" fontId="16" fillId="0" borderId="7" xfId="0" applyFont="1" applyBorder="1" applyAlignment="1">
      <alignment horizontal="left" vertical="center" wrapText="1"/>
    </xf>
    <xf numFmtId="1" fontId="17" fillId="0" borderId="5" xfId="0" applyNumberFormat="1" applyFont="1" applyBorder="1" applyAlignment="1">
      <alignment horizontal="center" vertical="center" shrinkToFit="1"/>
    </xf>
    <xf numFmtId="0" fontId="16" fillId="0" borderId="6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9" fontId="19" fillId="0" borderId="1" xfId="2" applyFont="1" applyBorder="1"/>
    <xf numFmtId="9" fontId="15" fillId="0" borderId="1" xfId="2" applyFont="1" applyFill="1" applyBorder="1" applyAlignment="1" applyProtection="1">
      <alignment horizontal="right" vertical="center" wrapText="1"/>
    </xf>
    <xf numFmtId="4" fontId="15" fillId="0" borderId="1" xfId="0" applyNumberFormat="1" applyFont="1" applyBorder="1" applyAlignment="1">
      <alignment horizontal="right" vertical="center" wrapText="1"/>
    </xf>
    <xf numFmtId="164" fontId="15" fillId="0" borderId="1" xfId="0" applyNumberFormat="1" applyFont="1" applyBorder="1" applyAlignment="1">
      <alignment horizontal="right" vertical="center" wrapText="1"/>
    </xf>
    <xf numFmtId="2" fontId="15" fillId="0" borderId="1" xfId="1" applyNumberFormat="1" applyFont="1" applyFill="1" applyBorder="1" applyAlignment="1" applyProtection="1">
      <alignment horizontal="right" vertical="center" wrapText="1"/>
    </xf>
    <xf numFmtId="10" fontId="15" fillId="0" borderId="1" xfId="2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8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1" fontId="14" fillId="0" borderId="10" xfId="0" applyNumberFormat="1" applyFont="1" applyBorder="1" applyAlignment="1">
      <alignment horizontal="center" vertical="center" shrinkToFit="1"/>
    </xf>
    <xf numFmtId="0" fontId="13" fillId="0" borderId="14" xfId="0" applyFont="1" applyBorder="1" applyAlignment="1">
      <alignment vertical="top" wrapText="1"/>
    </xf>
    <xf numFmtId="2" fontId="14" fillId="0" borderId="10" xfId="0" applyNumberFormat="1" applyFont="1" applyBorder="1" applyAlignment="1">
      <alignment horizontal="center" vertical="center" shrinkToFit="1"/>
    </xf>
    <xf numFmtId="4" fontId="3" fillId="4" borderId="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vertical="top" wrapText="1"/>
    </xf>
    <xf numFmtId="1" fontId="14" fillId="0" borderId="7" xfId="0" applyNumberFormat="1" applyFont="1" applyBorder="1" applyAlignment="1">
      <alignment horizontal="center" vertical="center" shrinkToFit="1"/>
    </xf>
    <xf numFmtId="0" fontId="13" fillId="0" borderId="8" xfId="0" applyFont="1" applyBorder="1" applyAlignment="1">
      <alignment vertical="center" wrapText="1"/>
    </xf>
    <xf numFmtId="10" fontId="6" fillId="0" borderId="1" xfId="2" applyNumberFormat="1" applyFont="1" applyFill="1" applyBorder="1" applyAlignment="1" applyProtection="1">
      <alignment horizontal="right" vertical="center" wrapText="1"/>
    </xf>
    <xf numFmtId="10" fontId="6" fillId="0" borderId="1" xfId="2" applyNumberFormat="1" applyFont="1" applyFill="1" applyBorder="1" applyAlignment="1">
      <alignment horizontal="center" vertical="center" wrapText="1"/>
    </xf>
    <xf numFmtId="10" fontId="3" fillId="5" borderId="1" xfId="2" applyNumberFormat="1" applyFont="1" applyFill="1" applyBorder="1" applyAlignment="1" applyProtection="1">
      <alignment horizontal="right" vertical="center" wrapText="1"/>
    </xf>
    <xf numFmtId="4" fontId="3" fillId="6" borderId="1" xfId="0" applyNumberFormat="1" applyFont="1" applyFill="1" applyBorder="1" applyAlignment="1">
      <alignment horizontal="right" vertical="center" wrapText="1"/>
    </xf>
    <xf numFmtId="4" fontId="3" fillId="5" borderId="1" xfId="0" applyNumberFormat="1" applyFont="1" applyFill="1" applyBorder="1" applyAlignment="1">
      <alignment horizontal="right" vertical="center" wrapText="1"/>
    </xf>
    <xf numFmtId="9" fontId="3" fillId="5" borderId="1" xfId="2" applyFont="1" applyFill="1" applyBorder="1" applyAlignment="1" applyProtection="1">
      <alignment horizontal="right" vertical="center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2" fontId="14" fillId="0" borderId="15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 shrinkToFit="1"/>
    </xf>
    <xf numFmtId="1" fontId="14" fillId="0" borderId="8" xfId="0" applyNumberFormat="1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 wrapText="1"/>
    </xf>
    <xf numFmtId="9" fontId="3" fillId="7" borderId="1" xfId="2" applyFont="1" applyFill="1" applyBorder="1" applyAlignment="1" applyProtection="1">
      <alignment horizontal="right" vertical="center" wrapText="1"/>
    </xf>
    <xf numFmtId="0" fontId="20" fillId="0" borderId="8" xfId="0" applyFont="1" applyBorder="1" applyAlignment="1">
      <alignment vertical="center" wrapText="1"/>
    </xf>
    <xf numFmtId="44" fontId="11" fillId="0" borderId="7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/>
    <xf numFmtId="0" fontId="6" fillId="3" borderId="9" xfId="0" applyFont="1" applyFill="1" applyBorder="1" applyAlignment="1">
      <alignment horizontal="right" vertical="center" wrapText="1"/>
    </xf>
    <xf numFmtId="0" fontId="6" fillId="3" borderId="19" xfId="0" applyFont="1" applyFill="1" applyBorder="1" applyAlignment="1">
      <alignment horizontal="right" vertical="center" wrapText="1"/>
    </xf>
    <xf numFmtId="44" fontId="6" fillId="3" borderId="20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21" xfId="0" applyFont="1" applyFill="1" applyBorder="1" applyAlignment="1">
      <alignment horizontal="right" vertical="center" wrapText="1"/>
    </xf>
    <xf numFmtId="44" fontId="6" fillId="3" borderId="22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/>
    <xf numFmtId="164" fontId="4" fillId="0" borderId="0" xfId="0" applyNumberFormat="1" applyFont="1" applyAlignment="1">
      <alignment horizontal="center" vertical="center"/>
    </xf>
    <xf numFmtId="164" fontId="6" fillId="3" borderId="14" xfId="0" applyNumberFormat="1" applyFont="1" applyFill="1" applyBorder="1" applyAlignment="1">
      <alignment horizontal="right" vertical="center" wrapText="1"/>
    </xf>
    <xf numFmtId="43" fontId="7" fillId="3" borderId="1" xfId="1" applyFont="1" applyFill="1" applyBorder="1" applyAlignment="1"/>
    <xf numFmtId="10" fontId="21" fillId="3" borderId="18" xfId="2" applyNumberFormat="1" applyFont="1" applyFill="1" applyBorder="1" applyAlignment="1">
      <alignment horizontal="center" vertical="center"/>
    </xf>
    <xf numFmtId="43" fontId="21" fillId="3" borderId="18" xfId="1" applyFont="1" applyFill="1" applyBorder="1" applyAlignment="1">
      <alignment horizontal="center" vertical="center"/>
    </xf>
    <xf numFmtId="164" fontId="22" fillId="3" borderId="9" xfId="0" applyNumberFormat="1" applyFont="1" applyFill="1" applyBorder="1" applyAlignment="1">
      <alignment horizontal="center" vertical="center" wrapText="1"/>
    </xf>
    <xf numFmtId="164" fontId="22" fillId="3" borderId="0" xfId="0" applyNumberFormat="1" applyFont="1" applyFill="1" applyAlignment="1">
      <alignment horizontal="center" vertical="center" wrapText="1"/>
    </xf>
    <xf numFmtId="4" fontId="22" fillId="3" borderId="9" xfId="0" applyNumberFormat="1" applyFont="1" applyFill="1" applyBorder="1" applyAlignment="1">
      <alignment horizontal="center" vertical="center" wrapText="1"/>
    </xf>
    <xf numFmtId="43" fontId="21" fillId="3" borderId="18" xfId="1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wrapText="1"/>
    </xf>
    <xf numFmtId="0" fontId="23" fillId="2" borderId="24" xfId="0" applyFont="1" applyFill="1" applyBorder="1" applyAlignment="1">
      <alignment horizontal="center" wrapText="1"/>
    </xf>
    <xf numFmtId="0" fontId="23" fillId="2" borderId="25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4" fontId="4" fillId="0" borderId="0" xfId="0" applyNumberFormat="1" applyFont="1" applyAlignment="1">
      <alignment horizontal="center" vertical="center"/>
    </xf>
    <xf numFmtId="0" fontId="23" fillId="2" borderId="26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23" fillId="2" borderId="27" xfId="0" applyFont="1" applyFill="1" applyBorder="1" applyAlignment="1">
      <alignment horizontal="center" wrapText="1"/>
    </xf>
    <xf numFmtId="0" fontId="23" fillId="2" borderId="28" xfId="0" applyFont="1" applyFill="1" applyBorder="1" applyAlignment="1">
      <alignment horizontal="center" wrapText="1"/>
    </xf>
    <xf numFmtId="0" fontId="23" fillId="2" borderId="29" xfId="0" applyFont="1" applyFill="1" applyBorder="1" applyAlignment="1">
      <alignment horizontal="center" wrapText="1"/>
    </xf>
    <xf numFmtId="0" fontId="23" fillId="2" borderId="30" xfId="0" applyFont="1" applyFill="1" applyBorder="1" applyAlignment="1">
      <alignment horizontal="center" wrapText="1"/>
    </xf>
    <xf numFmtId="4" fontId="4" fillId="0" borderId="0" xfId="0" applyNumberFormat="1" applyFont="1"/>
    <xf numFmtId="0" fontId="4" fillId="0" borderId="0" xfId="0" applyFont="1" applyAlignment="1">
      <alignment wrapText="1"/>
    </xf>
    <xf numFmtId="164" fontId="4" fillId="0" borderId="0" xfId="0" applyNumberFormat="1" applyFont="1"/>
    <xf numFmtId="164" fontId="19" fillId="0" borderId="0" xfId="1" applyNumberFormat="1" applyFont="1"/>
    <xf numFmtId="10" fontId="4" fillId="0" borderId="0" xfId="2" applyNumberFormat="1" applyFont="1"/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0" xfId="0" applyFont="1"/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64" fontId="24" fillId="0" borderId="2" xfId="0" applyNumberFormat="1" applyFont="1" applyBorder="1" applyAlignment="1">
      <alignment vertical="center" wrapText="1"/>
    </xf>
    <xf numFmtId="0" fontId="24" fillId="0" borderId="2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24" fillId="0" borderId="2" xfId="0" applyFont="1" applyBorder="1" applyAlignment="1">
      <alignment vertical="top" wrapText="1"/>
    </xf>
    <xf numFmtId="0" fontId="24" fillId="0" borderId="4" xfId="0" applyFont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9" fontId="24" fillId="0" borderId="1" xfId="2" applyFont="1" applyFill="1" applyBorder="1" applyAlignment="1" applyProtection="1">
      <alignment horizontal="right" vertical="center" wrapText="1"/>
    </xf>
    <xf numFmtId="4" fontId="24" fillId="0" borderId="1" xfId="0" applyNumberFormat="1" applyFont="1" applyBorder="1" applyAlignment="1">
      <alignment horizontal="right" vertical="center" wrapText="1"/>
    </xf>
    <xf numFmtId="164" fontId="24" fillId="0" borderId="1" xfId="0" applyNumberFormat="1" applyFont="1" applyBorder="1" applyAlignment="1">
      <alignment horizontal="right" vertical="center" wrapText="1"/>
    </xf>
    <xf numFmtId="10" fontId="24" fillId="0" borderId="1" xfId="2" applyNumberFormat="1" applyFont="1" applyFill="1" applyBorder="1" applyAlignment="1" applyProtection="1">
      <alignment horizontal="right" vertical="center" wrapText="1"/>
    </xf>
    <xf numFmtId="0" fontId="28" fillId="0" borderId="0" xfId="0" applyFont="1"/>
    <xf numFmtId="0" fontId="29" fillId="0" borderId="1" xfId="0" applyFont="1" applyBorder="1" applyAlignment="1">
      <alignment horizontal="left" vertical="center" wrapText="1"/>
    </xf>
    <xf numFmtId="9" fontId="26" fillId="0" borderId="1" xfId="2" applyFont="1" applyFill="1" applyBorder="1" applyAlignment="1" applyProtection="1">
      <alignment horizontal="right" vertical="center" wrapText="1"/>
    </xf>
    <xf numFmtId="4" fontId="26" fillId="0" borderId="1" xfId="0" applyNumberFormat="1" applyFont="1" applyBorder="1" applyAlignment="1">
      <alignment horizontal="right" vertical="center" wrapText="1"/>
    </xf>
    <xf numFmtId="164" fontId="26" fillId="0" borderId="1" xfId="0" applyNumberFormat="1" applyFont="1" applyBorder="1" applyAlignment="1">
      <alignment horizontal="right" vertical="center" wrapText="1"/>
    </xf>
    <xf numFmtId="0" fontId="25" fillId="3" borderId="1" xfId="0" applyFont="1" applyFill="1" applyBorder="1"/>
    <xf numFmtId="1" fontId="29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vertical="center" wrapText="1"/>
    </xf>
    <xf numFmtId="4" fontId="26" fillId="4" borderId="1" xfId="0" applyNumberFormat="1" applyFont="1" applyFill="1" applyBorder="1" applyAlignment="1">
      <alignment horizontal="right" vertical="center" wrapText="1"/>
    </xf>
    <xf numFmtId="0" fontId="29" fillId="0" borderId="1" xfId="0" applyFont="1" applyBorder="1" applyAlignment="1">
      <alignment horizontal="center" vertical="center" wrapText="1"/>
    </xf>
    <xf numFmtId="9" fontId="30" fillId="4" borderId="1" xfId="2" applyFont="1" applyFill="1" applyBorder="1" applyAlignment="1" applyProtection="1">
      <alignment horizontal="right" vertical="center" wrapText="1"/>
    </xf>
    <xf numFmtId="4" fontId="30" fillId="4" borderId="1" xfId="0" applyNumberFormat="1" applyFont="1" applyFill="1" applyBorder="1" applyAlignment="1">
      <alignment horizontal="right" vertical="center" wrapText="1"/>
    </xf>
    <xf numFmtId="164" fontId="30" fillId="4" borderId="1" xfId="0" applyNumberFormat="1" applyFont="1" applyFill="1" applyBorder="1" applyAlignment="1">
      <alignment horizontal="right" vertical="center" wrapText="1"/>
    </xf>
    <xf numFmtId="0" fontId="31" fillId="0" borderId="1" xfId="0" applyFont="1" applyBorder="1" applyAlignment="1">
      <alignment horizontal="left" vertical="center" wrapText="1"/>
    </xf>
    <xf numFmtId="1" fontId="31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9" fontId="30" fillId="0" borderId="1" xfId="2" applyFont="1" applyFill="1" applyBorder="1" applyAlignment="1" applyProtection="1">
      <alignment horizontal="right" vertical="center" wrapText="1"/>
    </xf>
    <xf numFmtId="4" fontId="30" fillId="0" borderId="1" xfId="0" applyNumberFormat="1" applyFont="1" applyBorder="1" applyAlignment="1">
      <alignment horizontal="right" vertical="center" wrapText="1"/>
    </xf>
    <xf numFmtId="164" fontId="30" fillId="0" borderId="1" xfId="0" applyNumberFormat="1" applyFont="1" applyBorder="1" applyAlignment="1">
      <alignment horizontal="right" vertical="center" wrapText="1"/>
    </xf>
    <xf numFmtId="2" fontId="30" fillId="0" borderId="1" xfId="1" applyNumberFormat="1" applyFont="1" applyFill="1" applyBorder="1" applyAlignment="1" applyProtection="1">
      <alignment horizontal="right" vertical="center" wrapText="1"/>
    </xf>
    <xf numFmtId="0" fontId="31" fillId="0" borderId="0" xfId="0" applyFont="1"/>
    <xf numFmtId="0" fontId="31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top" wrapText="1"/>
    </xf>
    <xf numFmtId="0" fontId="25" fillId="0" borderId="1" xfId="0" applyFont="1" applyBorder="1"/>
    <xf numFmtId="4" fontId="24" fillId="4" borderId="1" xfId="0" applyNumberFormat="1" applyFont="1" applyFill="1" applyBorder="1" applyAlignment="1">
      <alignment horizontal="right" vertical="center" wrapText="1"/>
    </xf>
    <xf numFmtId="0" fontId="28" fillId="0" borderId="1" xfId="0" applyFont="1" applyBorder="1" applyAlignment="1">
      <alignment horizontal="left" vertical="center" wrapText="1"/>
    </xf>
    <xf numFmtId="10" fontId="26" fillId="0" borderId="1" xfId="2" applyNumberFormat="1" applyFont="1" applyFill="1" applyBorder="1" applyAlignment="1" applyProtection="1">
      <alignment horizontal="right" vertical="center" wrapText="1"/>
    </xf>
    <xf numFmtId="0" fontId="29" fillId="0" borderId="1" xfId="0" applyFont="1" applyBorder="1" applyAlignment="1">
      <alignment horizontal="right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right" vertical="center" wrapText="1"/>
    </xf>
    <xf numFmtId="0" fontId="24" fillId="0" borderId="4" xfId="0" applyFont="1" applyBorder="1" applyAlignment="1">
      <alignment horizontal="right" vertical="center" wrapText="1"/>
    </xf>
    <xf numFmtId="0" fontId="24" fillId="0" borderId="3" xfId="0" applyFont="1" applyBorder="1" applyAlignment="1">
      <alignment horizontal="righ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right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right" vertical="center" wrapText="1"/>
    </xf>
    <xf numFmtId="0" fontId="24" fillId="0" borderId="4" xfId="0" applyFont="1" applyBorder="1" applyAlignment="1">
      <alignment horizontal="right" vertical="center" wrapText="1"/>
    </xf>
    <xf numFmtId="0" fontId="28" fillId="0" borderId="3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right" vertical="center" wrapText="1"/>
    </xf>
    <xf numFmtId="0" fontId="32" fillId="5" borderId="1" xfId="0" applyFont="1" applyFill="1" applyBorder="1" applyAlignment="1">
      <alignment horizontal="center" vertical="center" wrapText="1"/>
    </xf>
    <xf numFmtId="43" fontId="32" fillId="5" borderId="1" xfId="1" applyFont="1" applyFill="1" applyBorder="1" applyAlignment="1">
      <alignment horizontal="center" vertical="center" wrapText="1"/>
    </xf>
    <xf numFmtId="43" fontId="32" fillId="5" borderId="1" xfId="1" applyFont="1" applyFill="1" applyBorder="1" applyAlignment="1">
      <alignment horizontal="right" vertical="center" wrapText="1"/>
    </xf>
    <xf numFmtId="43" fontId="11" fillId="5" borderId="3" xfId="1" applyFont="1" applyFill="1" applyBorder="1" applyAlignment="1">
      <alignment horizontal="center" vertical="center" wrapText="1"/>
    </xf>
    <xf numFmtId="0" fontId="4" fillId="5" borderId="1" xfId="0" applyFont="1" applyFill="1" applyBorder="1"/>
    <xf numFmtId="9" fontId="6" fillId="5" borderId="1" xfId="2" applyFont="1" applyFill="1" applyBorder="1" applyAlignment="1" applyProtection="1">
      <alignment horizontal="right" vertical="center" wrapText="1"/>
    </xf>
    <xf numFmtId="4" fontId="6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9" fontId="8" fillId="5" borderId="1" xfId="2" applyFont="1" applyFill="1" applyBorder="1" applyAlignment="1" applyProtection="1">
      <alignment horizontal="righ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13" fillId="5" borderId="1" xfId="2" applyNumberFormat="1" applyFont="1" applyFill="1" applyBorder="1" applyAlignment="1">
      <alignment horizontal="center" vertical="center" wrapText="1"/>
    </xf>
    <xf numFmtId="43" fontId="33" fillId="5" borderId="1" xfId="1" applyFont="1" applyFill="1" applyBorder="1" applyAlignment="1">
      <alignment horizontal="center" vertical="center" wrapText="1"/>
    </xf>
    <xf numFmtId="43" fontId="32" fillId="5" borderId="1" xfId="1" applyFont="1" applyFill="1" applyBorder="1" applyAlignment="1">
      <alignment vertical="center" wrapText="1"/>
    </xf>
    <xf numFmtId="0" fontId="9" fillId="5" borderId="1" xfId="2" applyNumberFormat="1" applyFont="1" applyFill="1" applyBorder="1" applyAlignment="1" applyProtection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9" fontId="6" fillId="5" borderId="1" xfId="2" applyFont="1" applyFill="1" applyBorder="1" applyAlignment="1" applyProtection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10" fontId="3" fillId="5" borderId="1" xfId="2" applyNumberFormat="1" applyFont="1" applyFill="1" applyBorder="1" applyAlignment="1" applyProtection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" fillId="5" borderId="1" xfId="2" applyNumberFormat="1" applyFont="1" applyFill="1" applyBorder="1" applyAlignment="1" applyProtection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horizontal="right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left" vertical="center" wrapText="1"/>
    </xf>
    <xf numFmtId="164" fontId="25" fillId="0" borderId="1" xfId="0" applyNumberFormat="1" applyFont="1" applyBorder="1"/>
    <xf numFmtId="0" fontId="28" fillId="2" borderId="23" xfId="0" applyFont="1" applyFill="1" applyBorder="1" applyAlignment="1">
      <alignment horizontal="center" wrapText="1"/>
    </xf>
    <xf numFmtId="0" fontId="28" fillId="2" borderId="24" xfId="0" applyFont="1" applyFill="1" applyBorder="1" applyAlignment="1">
      <alignment horizontal="center" wrapText="1"/>
    </xf>
    <xf numFmtId="0" fontId="28" fillId="2" borderId="25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0" fontId="28" fillId="2" borderId="0" xfId="0" applyFont="1" applyFill="1" applyAlignment="1">
      <alignment horizontal="center" wrapText="1"/>
    </xf>
    <xf numFmtId="0" fontId="28" fillId="2" borderId="27" xfId="0" applyFont="1" applyFill="1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28" fillId="2" borderId="28" xfId="0" applyFont="1" applyFill="1" applyBorder="1" applyAlignment="1">
      <alignment horizontal="center" wrapText="1"/>
    </xf>
    <xf numFmtId="0" fontId="28" fillId="2" borderId="29" xfId="0" applyFont="1" applyFill="1" applyBorder="1" applyAlignment="1">
      <alignment horizontal="center" wrapText="1"/>
    </xf>
    <xf numFmtId="0" fontId="28" fillId="2" borderId="30" xfId="0" applyFont="1" applyFill="1" applyBorder="1" applyAlignment="1">
      <alignment horizontal="center" wrapText="1"/>
    </xf>
    <xf numFmtId="4" fontId="25" fillId="0" borderId="0" xfId="0" applyNumberFormat="1" applyFont="1"/>
    <xf numFmtId="0" fontId="25" fillId="0" borderId="0" xfId="0" applyFont="1" applyAlignment="1">
      <alignment wrapText="1"/>
    </xf>
    <xf numFmtId="164" fontId="25" fillId="0" borderId="0" xfId="0" applyNumberFormat="1" applyFont="1"/>
    <xf numFmtId="10" fontId="25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5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D8AC41-89EE-40A4-B6CD-B9CCD887E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ACEA58-D937-464F-8F0B-8A59D42F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6C08-A170-46D0-8DDA-B77D5905F038}">
  <sheetPr>
    <outlinePr summaryBelow="0"/>
    <pageSetUpPr fitToPage="1"/>
  </sheetPr>
  <dimension ref="A1:AI143"/>
  <sheetViews>
    <sheetView view="pageBreakPreview" topLeftCell="C1" zoomScale="90" zoomScaleNormal="85" zoomScaleSheetLayoutView="90" workbookViewId="0">
      <selection activeCell="D41" sqref="D41:AW41"/>
    </sheetView>
  </sheetViews>
  <sheetFormatPr defaultColWidth="9.1796875" defaultRowHeight="13"/>
  <cols>
    <col min="1" max="1" width="19.1796875" style="9" customWidth="1"/>
    <col min="2" max="2" width="13.1796875" style="9" customWidth="1"/>
    <col min="3" max="3" width="61.453125" style="9" customWidth="1"/>
    <col min="4" max="4" width="13" style="9" customWidth="1"/>
    <col min="5" max="5" width="11.26953125" style="9" customWidth="1"/>
    <col min="6" max="6" width="12.54296875" style="9" customWidth="1"/>
    <col min="7" max="7" width="13.7265625" style="9" customWidth="1"/>
    <col min="8" max="8" width="16.54296875" style="9" customWidth="1"/>
    <col min="9" max="9" width="17.453125" style="9" hidden="1" customWidth="1"/>
    <col min="10" max="10" width="24" style="9" hidden="1" customWidth="1"/>
    <col min="11" max="11" width="25.26953125" style="9" hidden="1" customWidth="1"/>
    <col min="12" max="12" width="24" style="9" hidden="1" customWidth="1"/>
    <col min="13" max="13" width="14" style="9" hidden="1" customWidth="1"/>
    <col min="14" max="14" width="29.26953125" style="9" hidden="1" customWidth="1"/>
    <col min="15" max="15" width="15.453125" style="9" hidden="1" customWidth="1"/>
    <col min="16" max="16" width="12.54296875" style="9" hidden="1" customWidth="1"/>
    <col min="17" max="17" width="25.26953125" style="9" hidden="1" customWidth="1"/>
    <col min="18" max="18" width="15.453125" style="9" hidden="1" customWidth="1"/>
    <col min="19" max="19" width="21" style="9" hidden="1" customWidth="1"/>
    <col min="20" max="20" width="19.81640625" style="9" hidden="1" customWidth="1"/>
    <col min="21" max="21" width="17.453125" style="9" hidden="1" customWidth="1"/>
    <col min="22" max="22" width="22.54296875" style="9" hidden="1" customWidth="1"/>
    <col min="23" max="23" width="25.1796875" style="9" hidden="1" customWidth="1"/>
    <col min="24" max="24" width="19.1796875" style="9" hidden="1" customWidth="1"/>
    <col min="25" max="25" width="16.7265625" style="9" hidden="1" customWidth="1"/>
    <col min="26" max="26" width="25.26953125" style="9" hidden="1" customWidth="1"/>
    <col min="27" max="27" width="18.81640625" style="9" hidden="1" customWidth="1"/>
    <col min="28" max="28" width="15.81640625" style="9" customWidth="1"/>
    <col min="29" max="29" width="24.1796875" style="9" customWidth="1"/>
    <col min="30" max="30" width="22" style="159" customWidth="1"/>
    <col min="31" max="31" width="14.26953125" style="9" customWidth="1"/>
    <col min="32" max="32" width="13.26953125" style="9" customWidth="1"/>
    <col min="33" max="33" width="19.453125" style="9" customWidth="1"/>
    <col min="34" max="34" width="15.81640625" style="9" customWidth="1"/>
    <col min="35" max="35" width="14.26953125" style="8" customWidth="1"/>
    <col min="36" max="16384" width="9.1796875" style="9"/>
  </cols>
  <sheetData>
    <row r="1" spans="1:35" ht="87" customHeight="1">
      <c r="A1" s="1"/>
      <c r="B1" s="2" t="s">
        <v>0</v>
      </c>
      <c r="C1" s="2"/>
      <c r="D1" s="2"/>
      <c r="E1" s="3" t="s">
        <v>1</v>
      </c>
      <c r="F1" s="3"/>
      <c r="G1" s="3" t="s">
        <v>2</v>
      </c>
      <c r="H1" s="3"/>
      <c r="I1" s="4" t="s">
        <v>3</v>
      </c>
      <c r="J1" s="5"/>
      <c r="K1" s="5"/>
      <c r="L1" s="5"/>
      <c r="M1" s="5"/>
      <c r="N1" s="5"/>
      <c r="O1" s="5"/>
      <c r="P1" s="5"/>
      <c r="Q1" s="5"/>
      <c r="R1" s="6"/>
      <c r="S1" s="7"/>
      <c r="T1" s="7"/>
      <c r="U1" s="7"/>
      <c r="V1" s="5"/>
      <c r="W1" s="5"/>
      <c r="X1" s="6"/>
      <c r="Y1" s="5"/>
      <c r="Z1" s="5"/>
      <c r="AA1" s="6"/>
      <c r="AB1" s="5"/>
      <c r="AC1" s="5"/>
      <c r="AD1" s="6"/>
      <c r="AE1" s="5"/>
      <c r="AF1" s="5"/>
      <c r="AG1" s="5"/>
      <c r="AH1" s="5"/>
    </row>
    <row r="2" spans="1:35" ht="62.25" customHeight="1">
      <c r="A2" s="3" t="s">
        <v>4</v>
      </c>
      <c r="B2" s="3"/>
      <c r="C2" s="3"/>
      <c r="D2" s="3"/>
      <c r="E2" s="3" t="s">
        <v>5</v>
      </c>
      <c r="F2" s="3"/>
      <c r="G2" s="3" t="s">
        <v>6</v>
      </c>
      <c r="H2" s="3"/>
      <c r="I2" s="4" t="s">
        <v>7</v>
      </c>
      <c r="J2" s="5"/>
      <c r="K2" s="5"/>
      <c r="L2" s="5"/>
      <c r="M2" s="5"/>
      <c r="N2" s="5"/>
      <c r="O2" s="5"/>
      <c r="P2" s="5"/>
      <c r="Q2" s="5"/>
      <c r="R2" s="6"/>
      <c r="S2" s="7"/>
      <c r="T2" s="7"/>
      <c r="U2" s="7"/>
      <c r="V2" s="5"/>
      <c r="W2" s="5"/>
      <c r="X2" s="6"/>
      <c r="Y2" s="5"/>
      <c r="Z2" s="5"/>
      <c r="AA2" s="6"/>
      <c r="AB2" s="5"/>
      <c r="AC2" s="5"/>
      <c r="AD2" s="6"/>
      <c r="AE2" s="5"/>
      <c r="AF2" s="5"/>
      <c r="AG2" s="5"/>
      <c r="AH2" s="5"/>
    </row>
    <row r="3" spans="1:35" ht="44.25" customHeight="1">
      <c r="A3" s="3" t="s">
        <v>8</v>
      </c>
      <c r="B3" s="3"/>
      <c r="C3" s="3"/>
      <c r="D3" s="3"/>
      <c r="E3" s="3" t="s">
        <v>9</v>
      </c>
      <c r="F3" s="3"/>
      <c r="G3" s="3"/>
      <c r="H3" s="3"/>
      <c r="I3" s="3"/>
      <c r="J3" s="10" t="s">
        <v>10</v>
      </c>
      <c r="K3" s="11"/>
      <c r="L3" s="12">
        <f>L127</f>
        <v>143165.40999999997</v>
      </c>
      <c r="M3" s="10" t="s">
        <v>11</v>
      </c>
      <c r="N3" s="11"/>
      <c r="O3" s="12">
        <f>O127</f>
        <v>90821.55</v>
      </c>
      <c r="P3" s="10" t="s">
        <v>12</v>
      </c>
      <c r="Q3" s="11"/>
      <c r="R3" s="12">
        <f>R127</f>
        <v>66728</v>
      </c>
      <c r="S3" s="12"/>
      <c r="T3" s="12"/>
      <c r="U3" s="12"/>
      <c r="V3" s="10" t="s">
        <v>13</v>
      </c>
      <c r="W3" s="11"/>
      <c r="X3" s="12">
        <f>X127</f>
        <v>41614.019999999997</v>
      </c>
      <c r="Y3" s="10" t="s">
        <v>14</v>
      </c>
      <c r="Z3" s="11"/>
      <c r="AA3" s="12">
        <f>AA127</f>
        <v>330767</v>
      </c>
      <c r="AB3" s="10" t="s">
        <v>15</v>
      </c>
      <c r="AC3" s="11"/>
      <c r="AD3" s="13">
        <f>AD127</f>
        <v>167779</v>
      </c>
      <c r="AE3" s="14"/>
      <c r="AF3" s="15"/>
      <c r="AG3" s="15"/>
      <c r="AH3" s="16"/>
    </row>
    <row r="4" spans="1:35" ht="15" customHeight="1">
      <c r="A4" s="17"/>
      <c r="B4" s="18"/>
      <c r="C4" s="18"/>
      <c r="D4" s="18"/>
      <c r="E4" s="18"/>
      <c r="F4" s="18"/>
      <c r="G4" s="18"/>
      <c r="H4" s="19"/>
      <c r="I4" s="20"/>
      <c r="J4" s="18" t="s">
        <v>16</v>
      </c>
      <c r="K4" s="18"/>
      <c r="L4" s="18"/>
      <c r="M4" s="18" t="s">
        <v>16</v>
      </c>
      <c r="N4" s="18"/>
      <c r="O4" s="18"/>
      <c r="P4" s="18" t="s">
        <v>16</v>
      </c>
      <c r="Q4" s="18"/>
      <c r="R4" s="18"/>
      <c r="S4" s="21"/>
      <c r="T4" s="21"/>
      <c r="U4" s="21"/>
      <c r="V4" s="18" t="s">
        <v>16</v>
      </c>
      <c r="W4" s="18"/>
      <c r="X4" s="18"/>
      <c r="Y4" s="18" t="s">
        <v>16</v>
      </c>
      <c r="Z4" s="18"/>
      <c r="AA4" s="18"/>
      <c r="AB4" s="18" t="s">
        <v>16</v>
      </c>
      <c r="AC4" s="18"/>
      <c r="AD4" s="18"/>
      <c r="AE4" s="22" t="s">
        <v>17</v>
      </c>
      <c r="AF4" s="22"/>
      <c r="AG4" s="22"/>
      <c r="AH4" s="22"/>
    </row>
    <row r="5" spans="1:35" ht="65.25" customHeight="1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4" t="s">
        <v>25</v>
      </c>
      <c r="I5" s="25"/>
      <c r="J5" s="25" t="s">
        <v>26</v>
      </c>
      <c r="K5" s="25" t="s">
        <v>27</v>
      </c>
      <c r="L5" s="25" t="s">
        <v>28</v>
      </c>
      <c r="M5" s="25" t="s">
        <v>26</v>
      </c>
      <c r="N5" s="25" t="s">
        <v>27</v>
      </c>
      <c r="O5" s="25" t="s">
        <v>28</v>
      </c>
      <c r="P5" s="25" t="s">
        <v>26</v>
      </c>
      <c r="Q5" s="25" t="s">
        <v>27</v>
      </c>
      <c r="R5" s="25" t="s">
        <v>28</v>
      </c>
      <c r="S5" s="25" t="s">
        <v>26</v>
      </c>
      <c r="T5" s="25" t="s">
        <v>27</v>
      </c>
      <c r="U5" s="25" t="s">
        <v>28</v>
      </c>
      <c r="V5" s="25" t="s">
        <v>26</v>
      </c>
      <c r="W5" s="25" t="s">
        <v>27</v>
      </c>
      <c r="X5" s="25" t="s">
        <v>28</v>
      </c>
      <c r="Y5" s="25" t="s">
        <v>26</v>
      </c>
      <c r="Z5" s="25" t="s">
        <v>27</v>
      </c>
      <c r="AA5" s="25" t="s">
        <v>28</v>
      </c>
      <c r="AB5" s="25" t="s">
        <v>26</v>
      </c>
      <c r="AC5" s="25" t="s">
        <v>27</v>
      </c>
      <c r="AD5" s="26" t="s">
        <v>28</v>
      </c>
      <c r="AE5" s="25" t="s">
        <v>29</v>
      </c>
      <c r="AF5" s="25" t="s">
        <v>30</v>
      </c>
      <c r="AG5" s="25" t="s">
        <v>31</v>
      </c>
      <c r="AH5" s="25" t="s">
        <v>32</v>
      </c>
      <c r="AI5" s="27" t="s">
        <v>33</v>
      </c>
    </row>
    <row r="6" spans="1:35" ht="20.149999999999999" customHeight="1">
      <c r="A6" s="28">
        <v>1</v>
      </c>
      <c r="B6" s="29" t="s">
        <v>34</v>
      </c>
      <c r="C6" s="29"/>
      <c r="D6" s="29"/>
      <c r="E6" s="29"/>
      <c r="F6" s="29"/>
      <c r="G6" s="29"/>
      <c r="H6" s="30">
        <f>SUM(H7:H8)</f>
        <v>4383.8738000000003</v>
      </c>
      <c r="I6" s="31"/>
      <c r="J6" s="32" t="s">
        <v>35</v>
      </c>
      <c r="K6" s="32"/>
      <c r="L6" s="32"/>
      <c r="M6" s="32" t="s">
        <v>36</v>
      </c>
      <c r="N6" s="32"/>
      <c r="O6" s="32"/>
      <c r="P6" s="32" t="s">
        <v>37</v>
      </c>
      <c r="Q6" s="32"/>
      <c r="R6" s="32"/>
      <c r="S6" s="32" t="s">
        <v>38</v>
      </c>
      <c r="T6" s="32"/>
      <c r="U6" s="32"/>
      <c r="V6" s="32" t="s">
        <v>39</v>
      </c>
      <c r="W6" s="32"/>
      <c r="X6" s="32"/>
      <c r="Y6" s="32" t="s">
        <v>40</v>
      </c>
      <c r="Z6" s="32"/>
      <c r="AA6" s="32"/>
      <c r="AB6" s="32" t="s">
        <v>41</v>
      </c>
      <c r="AC6" s="32"/>
      <c r="AD6" s="32"/>
      <c r="AE6" s="33"/>
      <c r="AF6" s="33"/>
      <c r="AG6" s="34"/>
      <c r="AH6" s="34"/>
    </row>
    <row r="7" spans="1:35" s="49" customFormat="1" ht="31.5" customHeight="1">
      <c r="A7" s="35" t="s">
        <v>42</v>
      </c>
      <c r="B7" s="36">
        <v>51</v>
      </c>
      <c r="C7" s="37" t="s">
        <v>43</v>
      </c>
      <c r="D7" s="38" t="s">
        <v>44</v>
      </c>
      <c r="E7" s="38" t="s">
        <v>45</v>
      </c>
      <c r="F7" s="39">
        <v>6</v>
      </c>
      <c r="G7" s="40">
        <v>350.91</v>
      </c>
      <c r="H7" s="41">
        <f>F7*G7</f>
        <v>2105.46</v>
      </c>
      <c r="I7" s="42"/>
      <c r="J7" s="43">
        <v>1</v>
      </c>
      <c r="K7" s="44">
        <f>TRUNC(J7*F7,2)</f>
        <v>6</v>
      </c>
      <c r="L7" s="45">
        <f>TRUNC(K7*G7)+0.46</f>
        <v>2105.46</v>
      </c>
      <c r="M7" s="43">
        <v>0</v>
      </c>
      <c r="N7" s="44">
        <f t="shared" ref="N7" si="0">TRUNC(M7*F7,2)</f>
        <v>0</v>
      </c>
      <c r="O7" s="45">
        <f>TRUNC(N7*G7)+0</f>
        <v>0</v>
      </c>
      <c r="P7" s="46">
        <v>0</v>
      </c>
      <c r="Q7" s="44">
        <f>TRUNC(P7*F7,2)</f>
        <v>0</v>
      </c>
      <c r="R7" s="45">
        <f>TRUNC(Q7*G7)</f>
        <v>0</v>
      </c>
      <c r="S7" s="45"/>
      <c r="T7" s="45"/>
      <c r="U7" s="45">
        <f>TRUNC(G7*T7)+0</f>
        <v>0</v>
      </c>
      <c r="V7" s="43">
        <v>0</v>
      </c>
      <c r="W7" s="44">
        <f>TRUNC(V7*F7,2)</f>
        <v>0</v>
      </c>
      <c r="X7" s="45">
        <f>TRUNC(W7*G7)+0</f>
        <v>0</v>
      </c>
      <c r="Y7" s="43">
        <f>Z7/F7</f>
        <v>0</v>
      </c>
      <c r="Z7" s="44"/>
      <c r="AA7" s="45">
        <f>TRUNC(Z7*G7)+0</f>
        <v>0</v>
      </c>
      <c r="AB7" s="46">
        <f>AC7/F7</f>
        <v>0</v>
      </c>
      <c r="AC7" s="44"/>
      <c r="AD7" s="44">
        <f>TRUNC(AC7*G7)</f>
        <v>0</v>
      </c>
      <c r="AE7" s="43">
        <f>SUM(J7,M7,P7,V7,Y7,AB7)</f>
        <v>1</v>
      </c>
      <c r="AF7" s="44">
        <f>SUM(K7,N7,Q7,W7,Z7,T7,AC7)</f>
        <v>6</v>
      </c>
      <c r="AG7" s="45">
        <f>SUM(L7,O7,R7,X7,AA7,U7,AD7)</f>
        <v>2105.46</v>
      </c>
      <c r="AH7" s="47" t="str">
        <f>IF(AE7=100%,"ITEM FINALIZADO",AE7)</f>
        <v>ITEM FINALIZADO</v>
      </c>
      <c r="AI7" s="48"/>
    </row>
    <row r="8" spans="1:35" ht="26">
      <c r="A8" s="50" t="s">
        <v>46</v>
      </c>
      <c r="B8" s="51">
        <v>98524</v>
      </c>
      <c r="C8" s="52" t="s">
        <v>47</v>
      </c>
      <c r="D8" s="36" t="s">
        <v>48</v>
      </c>
      <c r="E8" s="53" t="s">
        <v>45</v>
      </c>
      <c r="F8" s="54">
        <v>488.93</v>
      </c>
      <c r="G8" s="53">
        <v>4.66</v>
      </c>
      <c r="H8" s="55">
        <f>F8*G8</f>
        <v>2278.4138000000003</v>
      </c>
      <c r="I8" s="56"/>
      <c r="J8" s="57">
        <v>1</v>
      </c>
      <c r="K8" s="58">
        <f>TRUNC(J8*F8,2)</f>
        <v>488.93</v>
      </c>
      <c r="L8" s="59">
        <f>TRUNC(K8*G8)+0.41</f>
        <v>2278.41</v>
      </c>
      <c r="M8" s="57"/>
      <c r="N8" s="58"/>
      <c r="O8" s="59"/>
      <c r="P8" s="57"/>
      <c r="Q8" s="58"/>
      <c r="R8" s="59"/>
      <c r="S8" s="59"/>
      <c r="T8" s="59"/>
      <c r="U8" s="45">
        <f>TRUNC(G8*T8)+0</f>
        <v>0</v>
      </c>
      <c r="V8" s="57"/>
      <c r="W8" s="44">
        <f>TRUNC(V8*F8,2)</f>
        <v>0</v>
      </c>
      <c r="X8" s="45">
        <f>TRUNC(W8*G8)+0</f>
        <v>0</v>
      </c>
      <c r="Y8" s="43">
        <f t="shared" ref="Y8:Y70" si="1">Z8/F8</f>
        <v>0</v>
      </c>
      <c r="Z8" s="58"/>
      <c r="AA8" s="45">
        <f t="shared" ref="AA8:AA70" si="2">TRUNC(Z8*G8)+0</f>
        <v>0</v>
      </c>
      <c r="AB8" s="46">
        <f t="shared" ref="AB8:AB70" si="3">AC8/F8</f>
        <v>0</v>
      </c>
      <c r="AC8" s="58"/>
      <c r="AD8" s="44">
        <f t="shared" ref="AD8:AD70" si="4">TRUNC(AC8*G8)</f>
        <v>0</v>
      </c>
      <c r="AE8" s="43">
        <f t="shared" ref="AE8:AE70" si="5">SUM(J8,M8,P8,V8,Y8,AB8)</f>
        <v>1</v>
      </c>
      <c r="AF8" s="44">
        <f t="shared" ref="AF8:AG70" si="6">SUM(K8,N8,Q8,W8,Z8,T8,AC8)</f>
        <v>488.93</v>
      </c>
      <c r="AG8" s="45">
        <f t="shared" si="6"/>
        <v>2278.41</v>
      </c>
      <c r="AH8" s="60" t="str">
        <f>IF(AE8=100%,"ITEM FINALIZADO",AE8)</f>
        <v>ITEM FINALIZADO</v>
      </c>
    </row>
    <row r="9" spans="1:35" ht="20.149999999999999" customHeight="1">
      <c r="A9" s="28">
        <v>2</v>
      </c>
      <c r="B9" s="29" t="s">
        <v>49</v>
      </c>
      <c r="C9" s="29"/>
      <c r="D9" s="29"/>
      <c r="E9" s="29"/>
      <c r="F9" s="29"/>
      <c r="G9" s="29"/>
      <c r="H9" s="61">
        <f>SUM(H10:H12)</f>
        <v>31651.318000000003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62"/>
      <c r="AE9" s="31"/>
      <c r="AF9" s="31"/>
      <c r="AG9" s="31"/>
      <c r="AH9" s="31"/>
    </row>
    <row r="10" spans="1:35" ht="37.5">
      <c r="A10" s="50" t="s">
        <v>50</v>
      </c>
      <c r="B10" s="63">
        <v>99059</v>
      </c>
      <c r="C10" s="64" t="s">
        <v>51</v>
      </c>
      <c r="D10" s="53" t="s">
        <v>48</v>
      </c>
      <c r="E10" s="53" t="s">
        <v>52</v>
      </c>
      <c r="F10" s="53">
        <v>335.2</v>
      </c>
      <c r="G10" s="53">
        <v>61.14</v>
      </c>
      <c r="H10" s="55">
        <f>(F10*G10)-0.01</f>
        <v>20494.118000000002</v>
      </c>
      <c r="I10" s="56"/>
      <c r="J10" s="57">
        <v>1</v>
      </c>
      <c r="K10" s="58">
        <f>TRUNC(J10*F10,2)</f>
        <v>335.2</v>
      </c>
      <c r="L10" s="59">
        <f>TRUNC(K10*G10)+0.12</f>
        <v>20494.12</v>
      </c>
      <c r="M10" s="57"/>
      <c r="N10" s="58"/>
      <c r="O10" s="59"/>
      <c r="P10" s="57"/>
      <c r="Q10" s="58"/>
      <c r="R10" s="59"/>
      <c r="S10" s="59"/>
      <c r="T10" s="59"/>
      <c r="U10" s="45">
        <f t="shared" ref="U10:U73" si="7">TRUNC(G10*T10)+0</f>
        <v>0</v>
      </c>
      <c r="V10" s="57"/>
      <c r="W10" s="44">
        <f t="shared" ref="W10:W12" si="8">TRUNC(V10*F10,2)</f>
        <v>0</v>
      </c>
      <c r="X10" s="45">
        <f t="shared" ref="X10:X12" si="9">TRUNC(W10*G10)+0</f>
        <v>0</v>
      </c>
      <c r="Y10" s="43">
        <f t="shared" si="1"/>
        <v>0</v>
      </c>
      <c r="Z10" s="58"/>
      <c r="AA10" s="45">
        <f t="shared" si="2"/>
        <v>0</v>
      </c>
      <c r="AB10" s="46">
        <f t="shared" si="3"/>
        <v>0</v>
      </c>
      <c r="AC10" s="58"/>
      <c r="AD10" s="44">
        <f t="shared" si="4"/>
        <v>0</v>
      </c>
      <c r="AE10" s="43">
        <f t="shared" si="5"/>
        <v>1</v>
      </c>
      <c r="AF10" s="44">
        <f t="shared" si="6"/>
        <v>335.2</v>
      </c>
      <c r="AG10" s="45">
        <f t="shared" si="6"/>
        <v>20494.12</v>
      </c>
      <c r="AH10" s="60" t="str">
        <f t="shared" ref="AH10:AH46" si="10">IF(AE10=100%,"ITEM FINALIZADO",AE10)</f>
        <v>ITEM FINALIZADO</v>
      </c>
    </row>
    <row r="11" spans="1:35" ht="38.25" customHeight="1">
      <c r="A11" s="35" t="s">
        <v>53</v>
      </c>
      <c r="B11" s="63">
        <v>93358</v>
      </c>
      <c r="C11" s="64" t="s">
        <v>54</v>
      </c>
      <c r="D11" s="53" t="s">
        <v>48</v>
      </c>
      <c r="E11" s="53" t="s">
        <v>55</v>
      </c>
      <c r="F11" s="53">
        <v>81.25</v>
      </c>
      <c r="G11" s="53">
        <v>86.72</v>
      </c>
      <c r="H11" s="55">
        <f t="shared" ref="H11" si="11">F11*G11</f>
        <v>7046</v>
      </c>
      <c r="I11" s="56"/>
      <c r="J11" s="57">
        <v>1</v>
      </c>
      <c r="K11" s="58">
        <f>TRUNC(J11*F11,2)</f>
        <v>81.25</v>
      </c>
      <c r="L11" s="59">
        <f>TRUNC(K11*G11)+0</f>
        <v>7046</v>
      </c>
      <c r="M11" s="57"/>
      <c r="N11" s="58"/>
      <c r="O11" s="59"/>
      <c r="P11" s="57"/>
      <c r="Q11" s="58"/>
      <c r="R11" s="59"/>
      <c r="S11" s="59"/>
      <c r="T11" s="59"/>
      <c r="U11" s="45">
        <f t="shared" si="7"/>
        <v>0</v>
      </c>
      <c r="V11" s="57"/>
      <c r="W11" s="44">
        <f t="shared" si="8"/>
        <v>0</v>
      </c>
      <c r="X11" s="45">
        <f t="shared" si="9"/>
        <v>0</v>
      </c>
      <c r="Y11" s="43">
        <f t="shared" si="1"/>
        <v>0</v>
      </c>
      <c r="Z11" s="58"/>
      <c r="AA11" s="45">
        <f t="shared" si="2"/>
        <v>0</v>
      </c>
      <c r="AB11" s="46">
        <f t="shared" si="3"/>
        <v>0</v>
      </c>
      <c r="AC11" s="58"/>
      <c r="AD11" s="44">
        <f t="shared" si="4"/>
        <v>0</v>
      </c>
      <c r="AE11" s="43">
        <f t="shared" si="5"/>
        <v>1</v>
      </c>
      <c r="AF11" s="44">
        <f t="shared" si="6"/>
        <v>81.25</v>
      </c>
      <c r="AG11" s="45">
        <f t="shared" si="6"/>
        <v>7046</v>
      </c>
      <c r="AH11" s="65" t="str">
        <f>IF(AE11=100%,"ITEM FINALIZADO",AE11)</f>
        <v>ITEM FINALIZADO</v>
      </c>
    </row>
    <row r="12" spans="1:35" ht="26">
      <c r="A12" s="35" t="s">
        <v>56</v>
      </c>
      <c r="B12" s="63">
        <v>94319</v>
      </c>
      <c r="C12" s="64" t="s">
        <v>57</v>
      </c>
      <c r="D12" s="53" t="s">
        <v>48</v>
      </c>
      <c r="E12" s="53" t="s">
        <v>55</v>
      </c>
      <c r="F12" s="53">
        <v>57.1</v>
      </c>
      <c r="G12" s="66">
        <v>72</v>
      </c>
      <c r="H12" s="55">
        <f>(F12*G12)</f>
        <v>4111.2</v>
      </c>
      <c r="I12" s="56"/>
      <c r="J12" s="57">
        <v>1</v>
      </c>
      <c r="K12" s="58">
        <f>TRUNC(J12*F12,2)</f>
        <v>57.1</v>
      </c>
      <c r="L12" s="59">
        <f>TRUNC(K12*G12)+0.2</f>
        <v>4111.2</v>
      </c>
      <c r="M12" s="57"/>
      <c r="N12" s="58"/>
      <c r="O12" s="59"/>
      <c r="P12" s="57"/>
      <c r="Q12" s="58"/>
      <c r="R12" s="59"/>
      <c r="S12" s="59"/>
      <c r="T12" s="59"/>
      <c r="U12" s="45">
        <f t="shared" si="7"/>
        <v>0</v>
      </c>
      <c r="V12" s="57"/>
      <c r="W12" s="44">
        <f t="shared" si="8"/>
        <v>0</v>
      </c>
      <c r="X12" s="45">
        <f t="shared" si="9"/>
        <v>0</v>
      </c>
      <c r="Y12" s="43">
        <f t="shared" si="1"/>
        <v>0</v>
      </c>
      <c r="Z12" s="58"/>
      <c r="AA12" s="45">
        <f t="shared" si="2"/>
        <v>0</v>
      </c>
      <c r="AB12" s="46">
        <f t="shared" si="3"/>
        <v>0</v>
      </c>
      <c r="AC12" s="58"/>
      <c r="AD12" s="44">
        <f t="shared" si="4"/>
        <v>0</v>
      </c>
      <c r="AE12" s="43">
        <f t="shared" si="5"/>
        <v>1</v>
      </c>
      <c r="AF12" s="44">
        <f t="shared" si="6"/>
        <v>57.1</v>
      </c>
      <c r="AG12" s="45">
        <f t="shared" si="6"/>
        <v>4111.2</v>
      </c>
      <c r="AH12" s="65" t="str">
        <f t="shared" si="10"/>
        <v>ITEM FINALIZADO</v>
      </c>
    </row>
    <row r="13" spans="1:35" ht="20.149999999999999" customHeight="1">
      <c r="A13" s="28">
        <v>3</v>
      </c>
      <c r="B13" s="29" t="s">
        <v>58</v>
      </c>
      <c r="C13" s="29"/>
      <c r="D13" s="29"/>
      <c r="E13" s="29"/>
      <c r="F13" s="29"/>
      <c r="G13" s="29"/>
      <c r="H13" s="61">
        <f>SUM(H15,H22)</f>
        <v>200390.71250000002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62"/>
      <c r="AE13" s="31"/>
      <c r="AF13" s="31"/>
      <c r="AG13" s="31"/>
      <c r="AH13" s="31"/>
    </row>
    <row r="14" spans="1:35" ht="20.149999999999999" customHeight="1">
      <c r="A14" s="28" t="s">
        <v>59</v>
      </c>
      <c r="B14" s="29" t="s">
        <v>60</v>
      </c>
      <c r="C14" s="29"/>
      <c r="D14" s="29"/>
      <c r="E14" s="29"/>
      <c r="F14" s="29"/>
      <c r="G14" s="29"/>
      <c r="H14" s="61">
        <f>H15</f>
        <v>79073.707699999999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62"/>
      <c r="AE14" s="31"/>
      <c r="AF14" s="31"/>
      <c r="AG14" s="31"/>
      <c r="AH14" s="31"/>
    </row>
    <row r="15" spans="1:35" ht="20.149999999999999" customHeight="1">
      <c r="A15" s="28" t="s">
        <v>61</v>
      </c>
      <c r="B15" s="29" t="s">
        <v>62</v>
      </c>
      <c r="C15" s="29"/>
      <c r="D15" s="29"/>
      <c r="E15" s="29"/>
      <c r="F15" s="29"/>
      <c r="G15" s="29"/>
      <c r="H15" s="61">
        <f>SUM(H16:H21)</f>
        <v>79073.707699999999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62"/>
      <c r="AE15" s="31"/>
      <c r="AF15" s="31"/>
      <c r="AG15" s="31"/>
      <c r="AH15" s="31"/>
    </row>
    <row r="16" spans="1:35" ht="37.5">
      <c r="A16" s="35" t="s">
        <v>63</v>
      </c>
      <c r="B16" s="67">
        <v>102486</v>
      </c>
      <c r="C16" s="68" t="s">
        <v>64</v>
      </c>
      <c r="D16" s="69" t="s">
        <v>48</v>
      </c>
      <c r="E16" s="69" t="s">
        <v>55</v>
      </c>
      <c r="F16" s="70">
        <v>10.59</v>
      </c>
      <c r="G16" s="69">
        <v>569.29999999999995</v>
      </c>
      <c r="H16" s="55">
        <f>(F16*G16)-0.01</f>
        <v>6028.8769999999995</v>
      </c>
      <c r="I16" s="56"/>
      <c r="J16" s="57">
        <v>0.8</v>
      </c>
      <c r="K16" s="58">
        <f t="shared" ref="K16:K21" si="12">TRUNC(J16*F16,2)</f>
        <v>8.4700000000000006</v>
      </c>
      <c r="L16" s="59">
        <f>TRUNC(K16*G16)+0.1</f>
        <v>4821.1000000000004</v>
      </c>
      <c r="M16" s="57">
        <v>0.2</v>
      </c>
      <c r="N16" s="58">
        <f>TRUNC(M16*F16,2)+0.01</f>
        <v>2.1199999999999997</v>
      </c>
      <c r="O16" s="59">
        <f>TRUNC(N16*G16)+1.78</f>
        <v>1207.78</v>
      </c>
      <c r="P16" s="57"/>
      <c r="Q16" s="58"/>
      <c r="R16" s="59"/>
      <c r="S16" s="59"/>
      <c r="T16" s="59"/>
      <c r="U16" s="45">
        <f t="shared" si="7"/>
        <v>0</v>
      </c>
      <c r="V16" s="57"/>
      <c r="W16" s="44">
        <f t="shared" ref="W16:W21" si="13">TRUNC(V16*F16,2)</f>
        <v>0</v>
      </c>
      <c r="X16" s="45">
        <f t="shared" ref="X16:X21" si="14">TRUNC(W16*G16)+0</f>
        <v>0</v>
      </c>
      <c r="Y16" s="43">
        <f t="shared" si="1"/>
        <v>0</v>
      </c>
      <c r="Z16" s="58"/>
      <c r="AA16" s="45">
        <f t="shared" si="2"/>
        <v>0</v>
      </c>
      <c r="AB16" s="46">
        <f t="shared" si="3"/>
        <v>0</v>
      </c>
      <c r="AC16" s="58"/>
      <c r="AD16" s="44">
        <f t="shared" si="4"/>
        <v>0</v>
      </c>
      <c r="AE16" s="43">
        <f t="shared" si="5"/>
        <v>1</v>
      </c>
      <c r="AF16" s="44">
        <f t="shared" si="6"/>
        <v>10.59</v>
      </c>
      <c r="AG16" s="45">
        <f t="shared" si="6"/>
        <v>6028.88</v>
      </c>
      <c r="AH16" s="65" t="str">
        <f t="shared" si="10"/>
        <v>ITEM FINALIZADO</v>
      </c>
      <c r="AI16" s="71"/>
    </row>
    <row r="17" spans="1:34" ht="37.5">
      <c r="A17" s="35" t="s">
        <v>65</v>
      </c>
      <c r="B17" s="67">
        <v>94965</v>
      </c>
      <c r="C17" s="68" t="s">
        <v>66</v>
      </c>
      <c r="D17" s="69" t="s">
        <v>48</v>
      </c>
      <c r="E17" s="69" t="s">
        <v>55</v>
      </c>
      <c r="F17" s="70">
        <v>30.05</v>
      </c>
      <c r="G17" s="69">
        <v>433.53</v>
      </c>
      <c r="H17" s="55">
        <f>(F17*G17)-0.01</f>
        <v>13027.566499999999</v>
      </c>
      <c r="I17" s="56"/>
      <c r="J17" s="57">
        <v>0.8</v>
      </c>
      <c r="K17" s="58">
        <f t="shared" si="12"/>
        <v>24.04</v>
      </c>
      <c r="L17" s="59">
        <f>TRUNC(K17*G17)+0.05</f>
        <v>10422.049999999999</v>
      </c>
      <c r="M17" s="57">
        <v>0.2</v>
      </c>
      <c r="N17" s="58">
        <f t="shared" ref="N17:N21" si="15">TRUNC(M17*F17,2)</f>
        <v>6.01</v>
      </c>
      <c r="O17" s="59">
        <f>TRUNC(N17*G17)+0.52</f>
        <v>2605.52</v>
      </c>
      <c r="P17" s="57"/>
      <c r="Q17" s="58"/>
      <c r="R17" s="59"/>
      <c r="S17" s="59"/>
      <c r="T17" s="59"/>
      <c r="U17" s="45">
        <f t="shared" si="7"/>
        <v>0</v>
      </c>
      <c r="V17" s="57"/>
      <c r="W17" s="44">
        <f t="shared" si="13"/>
        <v>0</v>
      </c>
      <c r="X17" s="45">
        <f t="shared" si="14"/>
        <v>0</v>
      </c>
      <c r="Y17" s="43">
        <f t="shared" si="1"/>
        <v>0</v>
      </c>
      <c r="Z17" s="58"/>
      <c r="AA17" s="45">
        <f t="shared" si="2"/>
        <v>0</v>
      </c>
      <c r="AB17" s="46">
        <f t="shared" si="3"/>
        <v>0</v>
      </c>
      <c r="AC17" s="58"/>
      <c r="AD17" s="44">
        <f t="shared" si="4"/>
        <v>0</v>
      </c>
      <c r="AE17" s="43">
        <f t="shared" si="5"/>
        <v>1</v>
      </c>
      <c r="AF17" s="44">
        <f t="shared" si="6"/>
        <v>30.049999999999997</v>
      </c>
      <c r="AG17" s="45">
        <f t="shared" si="6"/>
        <v>13027.57</v>
      </c>
      <c r="AH17" s="65" t="str">
        <f t="shared" si="10"/>
        <v>ITEM FINALIZADO</v>
      </c>
    </row>
    <row r="18" spans="1:34" ht="26">
      <c r="A18" s="35" t="s">
        <v>67</v>
      </c>
      <c r="B18" s="67">
        <v>96544</v>
      </c>
      <c r="C18" s="68" t="s">
        <v>68</v>
      </c>
      <c r="D18" s="69" t="s">
        <v>48</v>
      </c>
      <c r="E18" s="69" t="s">
        <v>69</v>
      </c>
      <c r="F18" s="70">
        <v>33.4</v>
      </c>
      <c r="G18" s="69">
        <v>16.48</v>
      </c>
      <c r="H18" s="55">
        <f t="shared" ref="H18:H21" si="16">(F18*G18)</f>
        <v>550.43200000000002</v>
      </c>
      <c r="I18" s="56"/>
      <c r="J18" s="57">
        <v>0.8</v>
      </c>
      <c r="K18" s="58">
        <f t="shared" si="12"/>
        <v>26.72</v>
      </c>
      <c r="L18" s="59">
        <f>TRUNC(K18*G18)+0.34</f>
        <v>440.34</v>
      </c>
      <c r="M18" s="57">
        <v>0.2</v>
      </c>
      <c r="N18" s="58">
        <f t="shared" si="15"/>
        <v>6.68</v>
      </c>
      <c r="O18" s="59">
        <f>TRUNC(N18*G18)+0.09</f>
        <v>110.09</v>
      </c>
      <c r="P18" s="57"/>
      <c r="Q18" s="58"/>
      <c r="R18" s="59"/>
      <c r="S18" s="59"/>
      <c r="T18" s="59"/>
      <c r="U18" s="45">
        <f t="shared" si="7"/>
        <v>0</v>
      </c>
      <c r="V18" s="57"/>
      <c r="W18" s="44">
        <f t="shared" si="13"/>
        <v>0</v>
      </c>
      <c r="X18" s="45">
        <f t="shared" si="14"/>
        <v>0</v>
      </c>
      <c r="Y18" s="43">
        <f t="shared" si="1"/>
        <v>0</v>
      </c>
      <c r="Z18" s="58"/>
      <c r="AA18" s="45">
        <f t="shared" si="2"/>
        <v>0</v>
      </c>
      <c r="AB18" s="46">
        <f t="shared" si="3"/>
        <v>0</v>
      </c>
      <c r="AC18" s="58"/>
      <c r="AD18" s="44">
        <f t="shared" si="4"/>
        <v>0</v>
      </c>
      <c r="AE18" s="43">
        <f t="shared" si="5"/>
        <v>1</v>
      </c>
      <c r="AF18" s="44">
        <f t="shared" si="6"/>
        <v>33.4</v>
      </c>
      <c r="AG18" s="45">
        <f t="shared" si="6"/>
        <v>550.42999999999995</v>
      </c>
      <c r="AH18" s="65" t="str">
        <f t="shared" si="10"/>
        <v>ITEM FINALIZADO</v>
      </c>
    </row>
    <row r="19" spans="1:34" ht="26">
      <c r="A19" s="35" t="s">
        <v>70</v>
      </c>
      <c r="B19" s="53">
        <v>98545</v>
      </c>
      <c r="C19" s="72" t="s">
        <v>71</v>
      </c>
      <c r="D19" s="73" t="s">
        <v>48</v>
      </c>
      <c r="E19" s="73" t="s">
        <v>69</v>
      </c>
      <c r="F19" s="74">
        <v>2842</v>
      </c>
      <c r="G19" s="73">
        <v>14.61</v>
      </c>
      <c r="H19" s="55">
        <f t="shared" si="16"/>
        <v>41521.619999999995</v>
      </c>
      <c r="I19" s="56"/>
      <c r="J19" s="57">
        <v>0.8</v>
      </c>
      <c r="K19" s="75">
        <f t="shared" si="12"/>
        <v>2273.6</v>
      </c>
      <c r="L19" s="59">
        <f>TRUNC(K19*G19)+0.3</f>
        <v>33217.300000000003</v>
      </c>
      <c r="M19" s="57">
        <v>0.2</v>
      </c>
      <c r="N19" s="58">
        <f t="shared" si="15"/>
        <v>568.4</v>
      </c>
      <c r="O19" s="59">
        <f>TRUNC(N19*G19)+0.32</f>
        <v>8304.32</v>
      </c>
      <c r="P19" s="57"/>
      <c r="Q19" s="58"/>
      <c r="R19" s="59"/>
      <c r="S19" s="59"/>
      <c r="T19" s="59"/>
      <c r="U19" s="45">
        <f t="shared" si="7"/>
        <v>0</v>
      </c>
      <c r="V19" s="57"/>
      <c r="W19" s="44">
        <f t="shared" si="13"/>
        <v>0</v>
      </c>
      <c r="X19" s="45">
        <f t="shared" si="14"/>
        <v>0</v>
      </c>
      <c r="Y19" s="43">
        <f t="shared" si="1"/>
        <v>0</v>
      </c>
      <c r="Z19" s="58"/>
      <c r="AA19" s="45">
        <f t="shared" si="2"/>
        <v>0</v>
      </c>
      <c r="AB19" s="46">
        <f t="shared" si="3"/>
        <v>0</v>
      </c>
      <c r="AC19" s="58"/>
      <c r="AD19" s="44">
        <f t="shared" si="4"/>
        <v>0</v>
      </c>
      <c r="AE19" s="43">
        <f t="shared" si="5"/>
        <v>1</v>
      </c>
      <c r="AF19" s="44">
        <f t="shared" si="6"/>
        <v>2842</v>
      </c>
      <c r="AG19" s="45">
        <f t="shared" si="6"/>
        <v>41521.620000000003</v>
      </c>
      <c r="AH19" s="65" t="str">
        <f t="shared" si="10"/>
        <v>ITEM FINALIZADO</v>
      </c>
    </row>
    <row r="20" spans="1:34" ht="26">
      <c r="A20" s="35" t="s">
        <v>72</v>
      </c>
      <c r="B20" s="53">
        <v>96543</v>
      </c>
      <c r="C20" s="72" t="s">
        <v>73</v>
      </c>
      <c r="D20" s="73" t="s">
        <v>48</v>
      </c>
      <c r="E20" s="73" t="s">
        <v>69</v>
      </c>
      <c r="F20" s="74">
        <v>580.1</v>
      </c>
      <c r="G20" s="73">
        <v>18.71</v>
      </c>
      <c r="H20" s="55">
        <f t="shared" si="16"/>
        <v>10853.671</v>
      </c>
      <c r="I20" s="56"/>
      <c r="J20" s="57">
        <v>0.8</v>
      </c>
      <c r="K20" s="58">
        <f t="shared" si="12"/>
        <v>464.08</v>
      </c>
      <c r="L20" s="59">
        <f>TRUNC(K20*G20)+0.94</f>
        <v>8682.94</v>
      </c>
      <c r="M20" s="57">
        <v>0.2</v>
      </c>
      <c r="N20" s="58">
        <f t="shared" si="15"/>
        <v>116.02</v>
      </c>
      <c r="O20" s="59">
        <f>TRUNC(N20*G20)+0.73</f>
        <v>2170.73</v>
      </c>
      <c r="P20" s="57"/>
      <c r="Q20" s="58"/>
      <c r="R20" s="59"/>
      <c r="S20" s="59"/>
      <c r="T20" s="59"/>
      <c r="U20" s="45">
        <f t="shared" si="7"/>
        <v>0</v>
      </c>
      <c r="V20" s="57"/>
      <c r="W20" s="44">
        <f t="shared" si="13"/>
        <v>0</v>
      </c>
      <c r="X20" s="45">
        <f t="shared" si="14"/>
        <v>0</v>
      </c>
      <c r="Y20" s="43">
        <f t="shared" si="1"/>
        <v>0</v>
      </c>
      <c r="Z20" s="58"/>
      <c r="AA20" s="45">
        <f t="shared" si="2"/>
        <v>0</v>
      </c>
      <c r="AB20" s="46">
        <f t="shared" si="3"/>
        <v>0</v>
      </c>
      <c r="AC20" s="58"/>
      <c r="AD20" s="44">
        <f t="shared" si="4"/>
        <v>0</v>
      </c>
      <c r="AE20" s="43">
        <f t="shared" si="5"/>
        <v>1</v>
      </c>
      <c r="AF20" s="44">
        <f t="shared" si="6"/>
        <v>580.1</v>
      </c>
      <c r="AG20" s="45">
        <f t="shared" si="6"/>
        <v>10853.67</v>
      </c>
      <c r="AH20" s="65" t="str">
        <f t="shared" si="10"/>
        <v>ITEM FINALIZADO</v>
      </c>
    </row>
    <row r="21" spans="1:34" ht="26">
      <c r="A21" s="35" t="s">
        <v>74</v>
      </c>
      <c r="B21" s="63">
        <v>98557</v>
      </c>
      <c r="C21" s="72" t="s">
        <v>75</v>
      </c>
      <c r="D21" s="73" t="s">
        <v>48</v>
      </c>
      <c r="E21" s="73" t="s">
        <v>45</v>
      </c>
      <c r="F21" s="74">
        <v>154.03</v>
      </c>
      <c r="G21" s="73">
        <v>46.04</v>
      </c>
      <c r="H21" s="55">
        <f t="shared" si="16"/>
        <v>7091.5411999999997</v>
      </c>
      <c r="I21" s="56"/>
      <c r="J21" s="57">
        <v>0.2</v>
      </c>
      <c r="K21" s="58">
        <f t="shared" si="12"/>
        <v>30.8</v>
      </c>
      <c r="L21" s="59">
        <f>TRUNC(K21*G21)+0.23</f>
        <v>1418.23</v>
      </c>
      <c r="M21" s="57">
        <v>0.8</v>
      </c>
      <c r="N21" s="58">
        <f t="shared" si="15"/>
        <v>123.22</v>
      </c>
      <c r="O21" s="59">
        <f>TRUNC(N21*G21)+0.31</f>
        <v>5673.31</v>
      </c>
      <c r="P21" s="57"/>
      <c r="Q21" s="58"/>
      <c r="R21" s="59"/>
      <c r="S21" s="59"/>
      <c r="T21" s="59"/>
      <c r="U21" s="45">
        <f t="shared" si="7"/>
        <v>0</v>
      </c>
      <c r="V21" s="57"/>
      <c r="W21" s="44">
        <f t="shared" si="13"/>
        <v>0</v>
      </c>
      <c r="X21" s="45">
        <f t="shared" si="14"/>
        <v>0</v>
      </c>
      <c r="Y21" s="43">
        <f t="shared" si="1"/>
        <v>0</v>
      </c>
      <c r="Z21" s="58"/>
      <c r="AA21" s="45">
        <f t="shared" si="2"/>
        <v>0</v>
      </c>
      <c r="AB21" s="46">
        <f t="shared" si="3"/>
        <v>0</v>
      </c>
      <c r="AC21" s="58"/>
      <c r="AD21" s="44">
        <f t="shared" si="4"/>
        <v>0</v>
      </c>
      <c r="AE21" s="43">
        <f t="shared" si="5"/>
        <v>1</v>
      </c>
      <c r="AF21" s="44">
        <f t="shared" si="6"/>
        <v>154.02000000000001</v>
      </c>
      <c r="AG21" s="45">
        <f t="shared" si="6"/>
        <v>7091.5400000000009</v>
      </c>
      <c r="AH21" s="65" t="str">
        <f t="shared" si="10"/>
        <v>ITEM FINALIZADO</v>
      </c>
    </row>
    <row r="22" spans="1:34" ht="20.149999999999999" customHeight="1">
      <c r="A22" s="28" t="s">
        <v>76</v>
      </c>
      <c r="B22" s="29" t="s">
        <v>77</v>
      </c>
      <c r="C22" s="29"/>
      <c r="D22" s="29"/>
      <c r="E22" s="29"/>
      <c r="F22" s="29"/>
      <c r="G22" s="29"/>
      <c r="H22" s="61">
        <f>SUM(H23,H30,H38)+0.01</f>
        <v>121317.00480000001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62"/>
      <c r="AE22" s="31"/>
      <c r="AF22" s="31"/>
      <c r="AG22" s="31"/>
      <c r="AH22" s="31"/>
    </row>
    <row r="23" spans="1:34" ht="20.149999999999999" customHeight="1">
      <c r="A23" s="28" t="s">
        <v>78</v>
      </c>
      <c r="B23" s="29" t="s">
        <v>79</v>
      </c>
      <c r="C23" s="29"/>
      <c r="D23" s="29"/>
      <c r="E23" s="29"/>
      <c r="F23" s="29"/>
      <c r="G23" s="29"/>
      <c r="H23" s="61">
        <f>SUM(H24:H29)</f>
        <v>46405.308700000001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62"/>
      <c r="AE23" s="31"/>
      <c r="AF23" s="31"/>
      <c r="AG23" s="31"/>
      <c r="AH23" s="31"/>
    </row>
    <row r="24" spans="1:34" ht="37.5">
      <c r="A24" s="50" t="s">
        <v>80</v>
      </c>
      <c r="B24" s="76">
        <v>102476</v>
      </c>
      <c r="C24" s="64" t="s">
        <v>81</v>
      </c>
      <c r="D24" s="77" t="s">
        <v>48</v>
      </c>
      <c r="E24" s="77" t="s">
        <v>55</v>
      </c>
      <c r="F24" s="78">
        <v>15.1</v>
      </c>
      <c r="G24" s="77">
        <v>557.58000000000004</v>
      </c>
      <c r="H24" s="55">
        <f>(F24*G24)-0.01</f>
        <v>8419.4480000000003</v>
      </c>
      <c r="I24" s="56"/>
      <c r="J24" s="57">
        <v>0.5</v>
      </c>
      <c r="K24" s="58">
        <f t="shared" ref="K24:K29" si="17">TRUNC(J24*F24,2)</f>
        <v>7.55</v>
      </c>
      <c r="L24" s="59">
        <f>TRUNC(K24*G24)+0.73</f>
        <v>4209.7299999999996</v>
      </c>
      <c r="M24" s="57">
        <v>0.4</v>
      </c>
      <c r="N24" s="58">
        <f t="shared" ref="N24:N25" si="18">TRUNC(M24*F24,2)</f>
        <v>6.04</v>
      </c>
      <c r="O24" s="59">
        <f>TRUNC(N24*G24)+0.78</f>
        <v>3367.78</v>
      </c>
      <c r="P24" s="57">
        <v>0.1</v>
      </c>
      <c r="Q24" s="58">
        <f>TRUNC(P24*F24,2)</f>
        <v>1.51</v>
      </c>
      <c r="R24" s="59">
        <f>TRUNC(Q24*G24)</f>
        <v>841</v>
      </c>
      <c r="S24" s="59"/>
      <c r="T24" s="59"/>
      <c r="U24" s="45">
        <f t="shared" si="7"/>
        <v>0</v>
      </c>
      <c r="V24" s="57"/>
      <c r="W24" s="44">
        <f t="shared" ref="W24:W29" si="19">TRUNC(V24*F24,2)</f>
        <v>0</v>
      </c>
      <c r="X24" s="45">
        <f t="shared" ref="X24:X28" si="20">TRUNC(W24*G24)+0</f>
        <v>0</v>
      </c>
      <c r="Y24" s="43">
        <f t="shared" si="1"/>
        <v>0</v>
      </c>
      <c r="Z24" s="58"/>
      <c r="AA24" s="45">
        <f t="shared" si="2"/>
        <v>0</v>
      </c>
      <c r="AB24" s="46">
        <f t="shared" si="3"/>
        <v>0</v>
      </c>
      <c r="AC24" s="58"/>
      <c r="AD24" s="44">
        <f t="shared" si="4"/>
        <v>0</v>
      </c>
      <c r="AE24" s="43">
        <f t="shared" si="5"/>
        <v>1</v>
      </c>
      <c r="AF24" s="44">
        <f t="shared" si="6"/>
        <v>15.1</v>
      </c>
      <c r="AG24" s="45">
        <f t="shared" si="6"/>
        <v>8418.51</v>
      </c>
      <c r="AH24" s="65" t="str">
        <f t="shared" si="10"/>
        <v>ITEM FINALIZADO</v>
      </c>
    </row>
    <row r="25" spans="1:34" ht="26">
      <c r="A25" s="50" t="s">
        <v>82</v>
      </c>
      <c r="B25" s="76">
        <v>96546</v>
      </c>
      <c r="C25" s="64" t="s">
        <v>83</v>
      </c>
      <c r="D25" s="77" t="s">
        <v>48</v>
      </c>
      <c r="E25" s="77" t="s">
        <v>69</v>
      </c>
      <c r="F25" s="78">
        <v>90.3</v>
      </c>
      <c r="G25" s="77">
        <v>12.61</v>
      </c>
      <c r="H25" s="55">
        <f t="shared" ref="H25:H29" si="21">(F25*G25)</f>
        <v>1138.683</v>
      </c>
      <c r="I25" s="56"/>
      <c r="J25" s="57">
        <v>0.5</v>
      </c>
      <c r="K25" s="58">
        <f t="shared" si="17"/>
        <v>45.15</v>
      </c>
      <c r="L25" s="59">
        <f>TRUNC(K25*G25)+0.34</f>
        <v>569.34</v>
      </c>
      <c r="M25" s="57">
        <v>0.4</v>
      </c>
      <c r="N25" s="58">
        <f t="shared" si="18"/>
        <v>36.119999999999997</v>
      </c>
      <c r="O25" s="59">
        <f>TRUNC(N25*G25)+0.47</f>
        <v>455.47</v>
      </c>
      <c r="P25" s="57">
        <v>0.1</v>
      </c>
      <c r="Q25" s="58">
        <f t="shared" ref="Q25:Q29" si="22">TRUNC(P25*F25,2)</f>
        <v>9.0299999999999994</v>
      </c>
      <c r="R25" s="59">
        <f t="shared" ref="R25:R29" si="23">TRUNC(Q25*G25)</f>
        <v>113</v>
      </c>
      <c r="S25" s="59"/>
      <c r="T25" s="59"/>
      <c r="U25" s="45">
        <f t="shared" si="7"/>
        <v>0</v>
      </c>
      <c r="V25" s="57"/>
      <c r="W25" s="44">
        <f t="shared" si="19"/>
        <v>0</v>
      </c>
      <c r="X25" s="45">
        <f t="shared" si="20"/>
        <v>0</v>
      </c>
      <c r="Y25" s="43">
        <f t="shared" si="1"/>
        <v>0</v>
      </c>
      <c r="Z25" s="58"/>
      <c r="AA25" s="45">
        <f t="shared" si="2"/>
        <v>0</v>
      </c>
      <c r="AB25" s="46">
        <f t="shared" si="3"/>
        <v>0</v>
      </c>
      <c r="AC25" s="58"/>
      <c r="AD25" s="44">
        <f t="shared" si="4"/>
        <v>0</v>
      </c>
      <c r="AE25" s="43">
        <f t="shared" si="5"/>
        <v>1</v>
      </c>
      <c r="AF25" s="44">
        <f t="shared" si="6"/>
        <v>90.3</v>
      </c>
      <c r="AG25" s="45">
        <f t="shared" si="6"/>
        <v>1137.81</v>
      </c>
      <c r="AH25" s="65" t="str">
        <f t="shared" si="10"/>
        <v>ITEM FINALIZADO</v>
      </c>
    </row>
    <row r="26" spans="1:34" ht="26">
      <c r="A26" s="50" t="s">
        <v>84</v>
      </c>
      <c r="B26" s="76">
        <v>98543</v>
      </c>
      <c r="C26" s="64" t="s">
        <v>85</v>
      </c>
      <c r="D26" s="77" t="s">
        <v>48</v>
      </c>
      <c r="E26" s="77" t="s">
        <v>69</v>
      </c>
      <c r="F26" s="78">
        <v>466.7</v>
      </c>
      <c r="G26" s="77">
        <v>18.71</v>
      </c>
      <c r="H26" s="55">
        <f>(F26*G26)-0.01</f>
        <v>8731.9470000000001</v>
      </c>
      <c r="I26" s="56"/>
      <c r="J26" s="57">
        <v>1</v>
      </c>
      <c r="K26" s="58">
        <f t="shared" si="17"/>
        <v>466.7</v>
      </c>
      <c r="L26" s="59">
        <f>TRUNC(K26*G26)+0.95</f>
        <v>8731.9500000000007</v>
      </c>
      <c r="M26" s="57"/>
      <c r="N26" s="58"/>
      <c r="O26" s="59"/>
      <c r="P26" s="57"/>
      <c r="Q26" s="58">
        <f t="shared" si="22"/>
        <v>0</v>
      </c>
      <c r="R26" s="59">
        <f t="shared" si="23"/>
        <v>0</v>
      </c>
      <c r="S26" s="59"/>
      <c r="T26" s="59"/>
      <c r="U26" s="45">
        <f t="shared" si="7"/>
        <v>0</v>
      </c>
      <c r="V26" s="57"/>
      <c r="W26" s="44">
        <f t="shared" si="19"/>
        <v>0</v>
      </c>
      <c r="X26" s="45">
        <f t="shared" si="20"/>
        <v>0</v>
      </c>
      <c r="Y26" s="43">
        <f t="shared" si="1"/>
        <v>0</v>
      </c>
      <c r="Z26" s="58"/>
      <c r="AA26" s="45">
        <f t="shared" si="2"/>
        <v>0</v>
      </c>
      <c r="AB26" s="46">
        <f t="shared" si="3"/>
        <v>0</v>
      </c>
      <c r="AC26" s="58"/>
      <c r="AD26" s="44">
        <f t="shared" si="4"/>
        <v>0</v>
      </c>
      <c r="AE26" s="43">
        <f t="shared" si="5"/>
        <v>1</v>
      </c>
      <c r="AF26" s="44">
        <f t="shared" si="6"/>
        <v>466.7</v>
      </c>
      <c r="AG26" s="45">
        <f t="shared" si="6"/>
        <v>8731.9500000000007</v>
      </c>
      <c r="AH26" s="65" t="str">
        <f t="shared" si="10"/>
        <v>ITEM FINALIZADO</v>
      </c>
    </row>
    <row r="27" spans="1:34" ht="26">
      <c r="A27" s="50" t="s">
        <v>86</v>
      </c>
      <c r="B27" s="76">
        <v>96545</v>
      </c>
      <c r="C27" s="64" t="s">
        <v>87</v>
      </c>
      <c r="D27" s="77" t="s">
        <v>48</v>
      </c>
      <c r="E27" s="77" t="s">
        <v>69</v>
      </c>
      <c r="F27" s="78">
        <v>636.29999999999995</v>
      </c>
      <c r="G27" s="77">
        <v>14.61</v>
      </c>
      <c r="H27" s="55">
        <f t="shared" si="21"/>
        <v>9296.3429999999989</v>
      </c>
      <c r="I27" s="56"/>
      <c r="J27" s="57">
        <v>1</v>
      </c>
      <c r="K27" s="58">
        <f t="shared" si="17"/>
        <v>636.29999999999995</v>
      </c>
      <c r="L27" s="59">
        <f>TRUNC(K27*G27)+0.34</f>
        <v>9296.34</v>
      </c>
      <c r="M27" s="57"/>
      <c r="N27" s="58"/>
      <c r="O27" s="59"/>
      <c r="P27" s="57"/>
      <c r="Q27" s="58">
        <f t="shared" si="22"/>
        <v>0</v>
      </c>
      <c r="R27" s="59">
        <f t="shared" si="23"/>
        <v>0</v>
      </c>
      <c r="S27" s="59"/>
      <c r="T27" s="59"/>
      <c r="U27" s="45">
        <f t="shared" si="7"/>
        <v>0</v>
      </c>
      <c r="V27" s="57"/>
      <c r="W27" s="44">
        <f t="shared" si="19"/>
        <v>0</v>
      </c>
      <c r="X27" s="45">
        <f t="shared" si="20"/>
        <v>0</v>
      </c>
      <c r="Y27" s="43">
        <f t="shared" si="1"/>
        <v>0</v>
      </c>
      <c r="Z27" s="58"/>
      <c r="AA27" s="45">
        <f t="shared" si="2"/>
        <v>0</v>
      </c>
      <c r="AB27" s="46">
        <f t="shared" si="3"/>
        <v>0</v>
      </c>
      <c r="AC27" s="58"/>
      <c r="AD27" s="44">
        <f t="shared" si="4"/>
        <v>0</v>
      </c>
      <c r="AE27" s="43">
        <f t="shared" si="5"/>
        <v>1</v>
      </c>
      <c r="AF27" s="44">
        <f t="shared" si="6"/>
        <v>636.29999999999995</v>
      </c>
      <c r="AG27" s="45">
        <f t="shared" si="6"/>
        <v>9296.34</v>
      </c>
      <c r="AH27" s="65" t="str">
        <f t="shared" si="10"/>
        <v>ITEM FINALIZADO</v>
      </c>
    </row>
    <row r="28" spans="1:34" ht="26">
      <c r="A28" s="50" t="s">
        <v>88</v>
      </c>
      <c r="B28" s="76">
        <v>96547</v>
      </c>
      <c r="C28" s="64" t="s">
        <v>89</v>
      </c>
      <c r="D28" s="77" t="s">
        <v>48</v>
      </c>
      <c r="E28" s="77" t="s">
        <v>69</v>
      </c>
      <c r="F28" s="78">
        <v>17.11</v>
      </c>
      <c r="G28" s="77">
        <v>9.6</v>
      </c>
      <c r="H28" s="55">
        <f>(F28*G28)-0.01</f>
        <v>164.24600000000001</v>
      </c>
      <c r="I28" s="56"/>
      <c r="J28" s="57">
        <v>1</v>
      </c>
      <c r="K28" s="58">
        <f t="shared" si="17"/>
        <v>17.11</v>
      </c>
      <c r="L28" s="59">
        <f>TRUNC(K28*G28)+0.25</f>
        <v>164.25</v>
      </c>
      <c r="M28" s="57"/>
      <c r="N28" s="58"/>
      <c r="O28" s="59"/>
      <c r="P28" s="57"/>
      <c r="Q28" s="58">
        <f t="shared" si="22"/>
        <v>0</v>
      </c>
      <c r="R28" s="59">
        <f t="shared" si="23"/>
        <v>0</v>
      </c>
      <c r="S28" s="59"/>
      <c r="T28" s="59"/>
      <c r="U28" s="45">
        <f t="shared" si="7"/>
        <v>0</v>
      </c>
      <c r="V28" s="57"/>
      <c r="W28" s="44">
        <f t="shared" si="19"/>
        <v>0</v>
      </c>
      <c r="X28" s="45">
        <f t="shared" si="20"/>
        <v>0</v>
      </c>
      <c r="Y28" s="43">
        <f t="shared" si="1"/>
        <v>0</v>
      </c>
      <c r="Z28" s="58"/>
      <c r="AA28" s="45">
        <f t="shared" si="2"/>
        <v>0</v>
      </c>
      <c r="AB28" s="46">
        <f t="shared" si="3"/>
        <v>0</v>
      </c>
      <c r="AC28" s="58"/>
      <c r="AD28" s="44">
        <f t="shared" si="4"/>
        <v>0</v>
      </c>
      <c r="AE28" s="43">
        <f t="shared" si="5"/>
        <v>1</v>
      </c>
      <c r="AF28" s="44">
        <f t="shared" si="6"/>
        <v>17.11</v>
      </c>
      <c r="AG28" s="45">
        <f t="shared" si="6"/>
        <v>164.25</v>
      </c>
      <c r="AH28" s="65" t="str">
        <f t="shared" si="10"/>
        <v>ITEM FINALIZADO</v>
      </c>
    </row>
    <row r="29" spans="1:34" ht="37.5">
      <c r="A29" s="50" t="s">
        <v>90</v>
      </c>
      <c r="B29" s="76">
        <v>103795</v>
      </c>
      <c r="C29" s="64" t="s">
        <v>91</v>
      </c>
      <c r="D29" s="77" t="s">
        <v>48</v>
      </c>
      <c r="E29" s="77" t="s">
        <v>45</v>
      </c>
      <c r="F29" s="78">
        <v>227.69</v>
      </c>
      <c r="G29" s="77">
        <v>81.93</v>
      </c>
      <c r="H29" s="55">
        <f t="shared" si="21"/>
        <v>18654.6417</v>
      </c>
      <c r="I29" s="56"/>
      <c r="J29" s="57">
        <v>0.5</v>
      </c>
      <c r="K29" s="58">
        <f t="shared" si="17"/>
        <v>113.84</v>
      </c>
      <c r="L29" s="59">
        <f>TRUNC(K29*G29)+1.32</f>
        <v>9327.32</v>
      </c>
      <c r="M29" s="57">
        <v>0.5</v>
      </c>
      <c r="N29" s="58">
        <f t="shared" ref="N29" si="24">TRUNC(M29*F29,2)</f>
        <v>113.84</v>
      </c>
      <c r="O29" s="59">
        <f>TRUNC(N29*G29)+1.32</f>
        <v>9327.32</v>
      </c>
      <c r="P29" s="57">
        <v>0.1</v>
      </c>
      <c r="Q29" s="58">
        <f t="shared" si="22"/>
        <v>22.76</v>
      </c>
      <c r="R29" s="59">
        <f t="shared" si="23"/>
        <v>1864</v>
      </c>
      <c r="S29" s="59"/>
      <c r="T29" s="59">
        <v>-22.76</v>
      </c>
      <c r="U29" s="45">
        <f t="shared" si="7"/>
        <v>-1864</v>
      </c>
      <c r="V29" s="79">
        <v>-0.1</v>
      </c>
      <c r="W29" s="80">
        <f t="shared" si="19"/>
        <v>-22.76</v>
      </c>
      <c r="X29" s="81"/>
      <c r="Y29" s="43">
        <f t="shared" si="1"/>
        <v>0</v>
      </c>
      <c r="Z29" s="58"/>
      <c r="AA29" s="45">
        <f t="shared" si="2"/>
        <v>0</v>
      </c>
      <c r="AB29" s="46">
        <f t="shared" si="3"/>
        <v>0</v>
      </c>
      <c r="AC29" s="58"/>
      <c r="AD29" s="44">
        <f t="shared" si="4"/>
        <v>0</v>
      </c>
      <c r="AE29" s="43">
        <f t="shared" si="5"/>
        <v>1</v>
      </c>
      <c r="AF29" s="44">
        <f t="shared" si="6"/>
        <v>204.92000000000002</v>
      </c>
      <c r="AG29" s="45">
        <f t="shared" si="6"/>
        <v>18654.64</v>
      </c>
      <c r="AH29" s="65" t="str">
        <f t="shared" si="10"/>
        <v>ITEM FINALIZADO</v>
      </c>
    </row>
    <row r="30" spans="1:34" ht="20.149999999999999" customHeight="1">
      <c r="A30" s="28" t="s">
        <v>92</v>
      </c>
      <c r="B30" s="29" t="s">
        <v>93</v>
      </c>
      <c r="C30" s="29"/>
      <c r="D30" s="29"/>
      <c r="E30" s="29"/>
      <c r="F30" s="29"/>
      <c r="G30" s="29"/>
      <c r="H30" s="61">
        <f>SUM(H31:H37)</f>
        <v>32909.859500000006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62"/>
      <c r="AE30" s="31"/>
      <c r="AF30" s="31"/>
      <c r="AG30" s="31"/>
      <c r="AH30" s="34">
        <f>SUM(AH31)</f>
        <v>0</v>
      </c>
    </row>
    <row r="31" spans="1:34" ht="37.5">
      <c r="A31" s="50" t="s">
        <v>94</v>
      </c>
      <c r="B31" s="63">
        <v>102476</v>
      </c>
      <c r="C31" s="64" t="s">
        <v>95</v>
      </c>
      <c r="D31" s="53" t="s">
        <v>48</v>
      </c>
      <c r="E31" s="53" t="s">
        <v>55</v>
      </c>
      <c r="F31" s="54">
        <v>15.81</v>
      </c>
      <c r="G31" s="53">
        <v>557.58000000000004</v>
      </c>
      <c r="H31" s="55">
        <f>(F31*G31)-0.01</f>
        <v>8815.3298000000013</v>
      </c>
      <c r="I31" s="82"/>
      <c r="J31" s="57"/>
      <c r="K31" s="58"/>
      <c r="L31" s="59"/>
      <c r="M31" s="57">
        <v>0.4</v>
      </c>
      <c r="N31" s="58">
        <f t="shared" ref="N31:N37" si="25">TRUNC(M31*F31,2)</f>
        <v>6.32</v>
      </c>
      <c r="O31" s="59">
        <f>TRUNC(N31*G31)+3.13</f>
        <v>3526.13</v>
      </c>
      <c r="P31" s="57">
        <v>0.6</v>
      </c>
      <c r="Q31" s="58">
        <f>TRUNC(P31*F31,2)</f>
        <v>9.48</v>
      </c>
      <c r="R31" s="59">
        <f>TRUNC(Q31*G31)</f>
        <v>5285</v>
      </c>
      <c r="S31" s="59"/>
      <c r="T31" s="59"/>
      <c r="U31" s="45">
        <f t="shared" si="7"/>
        <v>0</v>
      </c>
      <c r="V31" s="57"/>
      <c r="W31" s="44">
        <f t="shared" ref="W31:W37" si="26">TRUNC(V31*F31,2)</f>
        <v>0</v>
      </c>
      <c r="X31" s="45">
        <f t="shared" ref="X31:X37" si="27">TRUNC(W31*G31)+0</f>
        <v>0</v>
      </c>
      <c r="Y31" s="43">
        <f t="shared" si="1"/>
        <v>0</v>
      </c>
      <c r="Z31" s="58"/>
      <c r="AA31" s="45">
        <f t="shared" si="2"/>
        <v>0</v>
      </c>
      <c r="AB31" s="46">
        <f t="shared" si="3"/>
        <v>0</v>
      </c>
      <c r="AC31" s="58"/>
      <c r="AD31" s="44">
        <f t="shared" si="4"/>
        <v>0</v>
      </c>
      <c r="AE31" s="43">
        <f t="shared" si="5"/>
        <v>1</v>
      </c>
      <c r="AF31" s="44">
        <f t="shared" si="6"/>
        <v>15.8</v>
      </c>
      <c r="AG31" s="45">
        <f t="shared" si="6"/>
        <v>8811.130000000001</v>
      </c>
      <c r="AH31" s="65" t="str">
        <f t="shared" si="10"/>
        <v>ITEM FINALIZADO</v>
      </c>
    </row>
    <row r="32" spans="1:34" ht="37.5">
      <c r="A32" s="50" t="s">
        <v>96</v>
      </c>
      <c r="B32" s="63">
        <v>92760</v>
      </c>
      <c r="C32" s="64" t="s">
        <v>97</v>
      </c>
      <c r="D32" s="53" t="s">
        <v>48</v>
      </c>
      <c r="E32" s="53" t="s">
        <v>69</v>
      </c>
      <c r="F32" s="54">
        <v>39.6</v>
      </c>
      <c r="G32" s="53">
        <v>11.8</v>
      </c>
      <c r="H32" s="55">
        <f t="shared" ref="H32:H36" si="28">(F32*G32)</f>
        <v>467.28000000000003</v>
      </c>
      <c r="I32" s="82"/>
      <c r="J32" s="57"/>
      <c r="K32" s="58"/>
      <c r="L32" s="59"/>
      <c r="M32" s="57">
        <v>0.8</v>
      </c>
      <c r="N32" s="58">
        <f t="shared" si="25"/>
        <v>31.68</v>
      </c>
      <c r="O32" s="59">
        <f>TRUNC(N32*G32)+0.82</f>
        <v>373.82</v>
      </c>
      <c r="P32" s="57">
        <v>0.2</v>
      </c>
      <c r="Q32" s="58">
        <f t="shared" ref="Q32:Q36" si="29">TRUNC(P32*F32,2)</f>
        <v>7.92</v>
      </c>
      <c r="R32" s="59">
        <f t="shared" ref="R32:R36" si="30">TRUNC(Q32*G32)</f>
        <v>93</v>
      </c>
      <c r="S32" s="59"/>
      <c r="T32" s="59"/>
      <c r="U32" s="45">
        <f t="shared" si="7"/>
        <v>0</v>
      </c>
      <c r="V32" s="57"/>
      <c r="W32" s="44">
        <f t="shared" si="26"/>
        <v>0</v>
      </c>
      <c r="X32" s="45">
        <f t="shared" si="27"/>
        <v>0</v>
      </c>
      <c r="Y32" s="43">
        <f t="shared" si="1"/>
        <v>0</v>
      </c>
      <c r="Z32" s="58"/>
      <c r="AA32" s="45">
        <f t="shared" si="2"/>
        <v>0</v>
      </c>
      <c r="AB32" s="46">
        <f t="shared" si="3"/>
        <v>0</v>
      </c>
      <c r="AC32" s="58"/>
      <c r="AD32" s="44">
        <f t="shared" si="4"/>
        <v>0</v>
      </c>
      <c r="AE32" s="43">
        <f t="shared" si="5"/>
        <v>1</v>
      </c>
      <c r="AF32" s="44">
        <f t="shared" si="6"/>
        <v>39.6</v>
      </c>
      <c r="AG32" s="45">
        <f t="shared" si="6"/>
        <v>466.82</v>
      </c>
      <c r="AH32" s="65" t="str">
        <f t="shared" si="10"/>
        <v>ITEM FINALIZADO</v>
      </c>
    </row>
    <row r="33" spans="1:35" ht="37.5">
      <c r="A33" s="50" t="s">
        <v>98</v>
      </c>
      <c r="B33" s="63">
        <v>92761</v>
      </c>
      <c r="C33" s="64" t="s">
        <v>99</v>
      </c>
      <c r="D33" s="53" t="s">
        <v>48</v>
      </c>
      <c r="E33" s="53" t="s">
        <v>69</v>
      </c>
      <c r="F33" s="54">
        <v>80</v>
      </c>
      <c r="G33" s="53">
        <v>10.88</v>
      </c>
      <c r="H33" s="55">
        <f t="shared" si="28"/>
        <v>870.40000000000009</v>
      </c>
      <c r="I33" s="82"/>
      <c r="J33" s="57"/>
      <c r="K33" s="58"/>
      <c r="L33" s="59"/>
      <c r="M33" s="57">
        <v>0.8</v>
      </c>
      <c r="N33" s="58">
        <f t="shared" si="25"/>
        <v>64</v>
      </c>
      <c r="O33" s="59">
        <f>TRUNC(N33*G33)+0.32</f>
        <v>696.32</v>
      </c>
      <c r="P33" s="57">
        <v>0.2</v>
      </c>
      <c r="Q33" s="58">
        <f t="shared" si="29"/>
        <v>16</v>
      </c>
      <c r="R33" s="59">
        <f t="shared" si="30"/>
        <v>174</v>
      </c>
      <c r="S33" s="59"/>
      <c r="T33" s="59"/>
      <c r="U33" s="45">
        <f t="shared" si="7"/>
        <v>0</v>
      </c>
      <c r="V33" s="57"/>
      <c r="W33" s="44">
        <f t="shared" si="26"/>
        <v>0</v>
      </c>
      <c r="X33" s="45">
        <f t="shared" si="27"/>
        <v>0</v>
      </c>
      <c r="Y33" s="43">
        <f t="shared" si="1"/>
        <v>0</v>
      </c>
      <c r="Z33" s="58"/>
      <c r="AA33" s="45">
        <f t="shared" si="2"/>
        <v>0</v>
      </c>
      <c r="AB33" s="46">
        <f t="shared" si="3"/>
        <v>0</v>
      </c>
      <c r="AC33" s="58"/>
      <c r="AD33" s="44">
        <f t="shared" si="4"/>
        <v>0</v>
      </c>
      <c r="AE33" s="43">
        <f t="shared" si="5"/>
        <v>1</v>
      </c>
      <c r="AF33" s="44">
        <f t="shared" si="6"/>
        <v>80</v>
      </c>
      <c r="AG33" s="45">
        <f t="shared" si="6"/>
        <v>870.32</v>
      </c>
      <c r="AH33" s="65" t="str">
        <f t="shared" si="10"/>
        <v>ITEM FINALIZADO</v>
      </c>
    </row>
    <row r="34" spans="1:35" ht="37.5">
      <c r="A34" s="50" t="s">
        <v>100</v>
      </c>
      <c r="B34" s="63">
        <v>92762</v>
      </c>
      <c r="C34" s="64" t="s">
        <v>101</v>
      </c>
      <c r="D34" s="53" t="s">
        <v>48</v>
      </c>
      <c r="E34" s="53" t="s">
        <v>69</v>
      </c>
      <c r="F34" s="54">
        <v>337.7</v>
      </c>
      <c r="G34" s="53">
        <v>9.61</v>
      </c>
      <c r="H34" s="55">
        <f>(F34*G34)-0.01</f>
        <v>3245.2869999999994</v>
      </c>
      <c r="I34" s="82"/>
      <c r="J34" s="57"/>
      <c r="K34" s="58"/>
      <c r="L34" s="59"/>
      <c r="M34" s="57">
        <v>0.8</v>
      </c>
      <c r="N34" s="58">
        <f t="shared" si="25"/>
        <v>270.16000000000003</v>
      </c>
      <c r="O34" s="59">
        <f>TRUNC(N34*G34)+0.23</f>
        <v>2596.23</v>
      </c>
      <c r="P34" s="57">
        <v>0.2</v>
      </c>
      <c r="Q34" s="58">
        <f t="shared" si="29"/>
        <v>67.540000000000006</v>
      </c>
      <c r="R34" s="59">
        <f t="shared" si="30"/>
        <v>649</v>
      </c>
      <c r="S34" s="59"/>
      <c r="T34" s="59"/>
      <c r="U34" s="45">
        <f t="shared" si="7"/>
        <v>0</v>
      </c>
      <c r="V34" s="57"/>
      <c r="W34" s="44">
        <f t="shared" si="26"/>
        <v>0</v>
      </c>
      <c r="X34" s="45">
        <f t="shared" si="27"/>
        <v>0</v>
      </c>
      <c r="Y34" s="43">
        <f t="shared" si="1"/>
        <v>0</v>
      </c>
      <c r="Z34" s="58"/>
      <c r="AA34" s="45">
        <f t="shared" si="2"/>
        <v>0</v>
      </c>
      <c r="AB34" s="46">
        <f t="shared" si="3"/>
        <v>0</v>
      </c>
      <c r="AC34" s="58"/>
      <c r="AD34" s="44">
        <f t="shared" si="4"/>
        <v>0</v>
      </c>
      <c r="AE34" s="43">
        <f t="shared" si="5"/>
        <v>1</v>
      </c>
      <c r="AF34" s="44">
        <f t="shared" si="6"/>
        <v>337.70000000000005</v>
      </c>
      <c r="AG34" s="45">
        <f t="shared" si="6"/>
        <v>3245.23</v>
      </c>
      <c r="AH34" s="65" t="str">
        <f t="shared" si="10"/>
        <v>ITEM FINALIZADO</v>
      </c>
    </row>
    <row r="35" spans="1:35" ht="37.5">
      <c r="A35" s="50" t="s">
        <v>102</v>
      </c>
      <c r="B35" s="63">
        <v>92763</v>
      </c>
      <c r="C35" s="64" t="s">
        <v>103</v>
      </c>
      <c r="D35" s="53" t="s">
        <v>48</v>
      </c>
      <c r="E35" s="53" t="s">
        <v>69</v>
      </c>
      <c r="F35" s="54">
        <v>189.7</v>
      </c>
      <c r="G35" s="53">
        <v>8.02</v>
      </c>
      <c r="H35" s="55">
        <f t="shared" si="28"/>
        <v>1521.3939999999998</v>
      </c>
      <c r="I35" s="82"/>
      <c r="J35" s="57"/>
      <c r="K35" s="58"/>
      <c r="L35" s="59"/>
      <c r="M35" s="57">
        <v>0.8</v>
      </c>
      <c r="N35" s="58">
        <f t="shared" si="25"/>
        <v>151.76</v>
      </c>
      <c r="O35" s="59">
        <f>TRUNC(N35*G35)+0.11</f>
        <v>1217.1099999999999</v>
      </c>
      <c r="P35" s="57">
        <v>0.2</v>
      </c>
      <c r="Q35" s="58">
        <f t="shared" si="29"/>
        <v>37.94</v>
      </c>
      <c r="R35" s="59">
        <f t="shared" si="30"/>
        <v>304</v>
      </c>
      <c r="S35" s="59"/>
      <c r="T35" s="59"/>
      <c r="U35" s="45">
        <f t="shared" si="7"/>
        <v>0</v>
      </c>
      <c r="V35" s="57"/>
      <c r="W35" s="44">
        <f t="shared" si="26"/>
        <v>0</v>
      </c>
      <c r="X35" s="45">
        <f t="shared" si="27"/>
        <v>0</v>
      </c>
      <c r="Y35" s="43">
        <f t="shared" si="1"/>
        <v>0</v>
      </c>
      <c r="Z35" s="58"/>
      <c r="AA35" s="45">
        <f t="shared" si="2"/>
        <v>0</v>
      </c>
      <c r="AB35" s="46">
        <f t="shared" si="3"/>
        <v>0</v>
      </c>
      <c r="AC35" s="58"/>
      <c r="AD35" s="44">
        <f t="shared" si="4"/>
        <v>0</v>
      </c>
      <c r="AE35" s="43">
        <f t="shared" si="5"/>
        <v>1</v>
      </c>
      <c r="AF35" s="44">
        <f t="shared" si="6"/>
        <v>189.7</v>
      </c>
      <c r="AG35" s="45">
        <f t="shared" si="6"/>
        <v>1521.11</v>
      </c>
      <c r="AH35" s="65" t="str">
        <f t="shared" si="10"/>
        <v>ITEM FINALIZADO</v>
      </c>
    </row>
    <row r="36" spans="1:35" ht="37.5">
      <c r="A36" s="50" t="s">
        <v>104</v>
      </c>
      <c r="B36" s="63">
        <v>92759</v>
      </c>
      <c r="C36" s="64" t="s">
        <v>105</v>
      </c>
      <c r="D36" s="53" t="s">
        <v>48</v>
      </c>
      <c r="E36" s="53" t="s">
        <v>69</v>
      </c>
      <c r="F36" s="54">
        <v>179.1</v>
      </c>
      <c r="G36" s="53">
        <v>12.82</v>
      </c>
      <c r="H36" s="55">
        <f t="shared" si="28"/>
        <v>2296.0619999999999</v>
      </c>
      <c r="I36" s="82"/>
      <c r="J36" s="57"/>
      <c r="K36" s="58"/>
      <c r="L36" s="59"/>
      <c r="M36" s="57">
        <v>0.8</v>
      </c>
      <c r="N36" s="58">
        <f t="shared" si="25"/>
        <v>143.28</v>
      </c>
      <c r="O36" s="59">
        <f>TRUNC(N36*G36)+0.85</f>
        <v>1836.85</v>
      </c>
      <c r="P36" s="57">
        <v>0.2</v>
      </c>
      <c r="Q36" s="58">
        <f t="shared" si="29"/>
        <v>35.82</v>
      </c>
      <c r="R36" s="59">
        <f t="shared" si="30"/>
        <v>459</v>
      </c>
      <c r="S36" s="59"/>
      <c r="T36" s="59"/>
      <c r="U36" s="45">
        <f t="shared" si="7"/>
        <v>0</v>
      </c>
      <c r="V36" s="57"/>
      <c r="W36" s="44">
        <f t="shared" si="26"/>
        <v>0</v>
      </c>
      <c r="X36" s="45">
        <f t="shared" si="27"/>
        <v>0</v>
      </c>
      <c r="Y36" s="43">
        <f t="shared" si="1"/>
        <v>0</v>
      </c>
      <c r="Z36" s="58"/>
      <c r="AA36" s="45">
        <f t="shared" si="2"/>
        <v>0</v>
      </c>
      <c r="AB36" s="46">
        <f t="shared" si="3"/>
        <v>0</v>
      </c>
      <c r="AC36" s="58"/>
      <c r="AD36" s="44">
        <f t="shared" si="4"/>
        <v>0</v>
      </c>
      <c r="AE36" s="43">
        <f t="shared" si="5"/>
        <v>1</v>
      </c>
      <c r="AF36" s="44">
        <f t="shared" si="6"/>
        <v>179.1</v>
      </c>
      <c r="AG36" s="45">
        <f t="shared" si="6"/>
        <v>2295.85</v>
      </c>
      <c r="AH36" s="65" t="str">
        <f t="shared" si="10"/>
        <v>ITEM FINALIZADO</v>
      </c>
    </row>
    <row r="37" spans="1:35" ht="26">
      <c r="A37" s="50" t="s">
        <v>106</v>
      </c>
      <c r="B37" s="63">
        <v>92265</v>
      </c>
      <c r="C37" s="64" t="s">
        <v>107</v>
      </c>
      <c r="D37" s="53" t="s">
        <v>48</v>
      </c>
      <c r="E37" s="53" t="s">
        <v>45</v>
      </c>
      <c r="F37" s="54">
        <v>154.03</v>
      </c>
      <c r="G37" s="53">
        <v>101.89</v>
      </c>
      <c r="H37" s="55">
        <f>(F37*G37)-0.01</f>
        <v>15694.1067</v>
      </c>
      <c r="I37" s="82"/>
      <c r="J37" s="57"/>
      <c r="K37" s="58"/>
      <c r="L37" s="59"/>
      <c r="M37" s="57">
        <v>1</v>
      </c>
      <c r="N37" s="58">
        <f t="shared" si="25"/>
        <v>154.03</v>
      </c>
      <c r="O37" s="59">
        <f>TRUNC(N37*G37)+0.11</f>
        <v>15694.11</v>
      </c>
      <c r="P37" s="57"/>
      <c r="Q37" s="58"/>
      <c r="R37" s="59"/>
      <c r="S37" s="59"/>
      <c r="T37" s="59"/>
      <c r="U37" s="45">
        <f t="shared" si="7"/>
        <v>0</v>
      </c>
      <c r="V37" s="57"/>
      <c r="W37" s="44">
        <f t="shared" si="26"/>
        <v>0</v>
      </c>
      <c r="X37" s="45">
        <f t="shared" si="27"/>
        <v>0</v>
      </c>
      <c r="Y37" s="43">
        <f t="shared" si="1"/>
        <v>0</v>
      </c>
      <c r="Z37" s="58"/>
      <c r="AA37" s="45">
        <f t="shared" si="2"/>
        <v>0</v>
      </c>
      <c r="AB37" s="46">
        <f t="shared" si="3"/>
        <v>0</v>
      </c>
      <c r="AC37" s="58"/>
      <c r="AD37" s="44">
        <f t="shared" si="4"/>
        <v>0</v>
      </c>
      <c r="AE37" s="43">
        <f t="shared" si="5"/>
        <v>1</v>
      </c>
      <c r="AF37" s="44">
        <f t="shared" si="6"/>
        <v>154.03</v>
      </c>
      <c r="AG37" s="45">
        <f t="shared" si="6"/>
        <v>15694.11</v>
      </c>
      <c r="AH37" s="65" t="str">
        <f t="shared" si="10"/>
        <v>ITEM FINALIZADO</v>
      </c>
    </row>
    <row r="38" spans="1:35" ht="20.149999999999999" customHeight="1">
      <c r="A38" s="28" t="s">
        <v>108</v>
      </c>
      <c r="B38" s="29" t="s">
        <v>109</v>
      </c>
      <c r="C38" s="29"/>
      <c r="D38" s="29"/>
      <c r="E38" s="29"/>
      <c r="F38" s="29"/>
      <c r="G38" s="29"/>
      <c r="H38" s="61">
        <f>SUM(H39:H44)</f>
        <v>42001.8266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83"/>
      <c r="AA38" s="83"/>
      <c r="AB38" s="83"/>
      <c r="AC38" s="83"/>
      <c r="AD38" s="84"/>
      <c r="AE38" s="83"/>
      <c r="AF38" s="83"/>
      <c r="AG38" s="83"/>
      <c r="AH38" s="34">
        <f>SUM(AH39)</f>
        <v>0</v>
      </c>
    </row>
    <row r="39" spans="1:35" s="98" customFormat="1" ht="37.5">
      <c r="A39" s="85" t="s">
        <v>110</v>
      </c>
      <c r="B39" s="86">
        <v>94965</v>
      </c>
      <c r="C39" s="87" t="s">
        <v>111</v>
      </c>
      <c r="D39" s="88" t="s">
        <v>48</v>
      </c>
      <c r="E39" s="88" t="s">
        <v>55</v>
      </c>
      <c r="F39" s="88">
        <v>46.31</v>
      </c>
      <c r="G39" s="89">
        <v>433.53</v>
      </c>
      <c r="H39" s="90">
        <f t="shared" ref="H39:H43" si="31">(F39*G39)</f>
        <v>20076.774300000001</v>
      </c>
      <c r="I39" s="91"/>
      <c r="J39" s="92"/>
      <c r="K39" s="93"/>
      <c r="L39" s="94"/>
      <c r="M39" s="92"/>
      <c r="N39" s="93"/>
      <c r="O39" s="94"/>
      <c r="P39" s="92"/>
      <c r="Q39" s="93"/>
      <c r="R39" s="94"/>
      <c r="S39" s="94"/>
      <c r="T39" s="94"/>
      <c r="U39" s="45">
        <f t="shared" si="7"/>
        <v>0</v>
      </c>
      <c r="V39" s="95">
        <v>0</v>
      </c>
      <c r="W39" s="93">
        <f t="shared" ref="W39:W44" si="32">TRUNC(V39*F39,2)</f>
        <v>0</v>
      </c>
      <c r="X39" s="94">
        <f t="shared" ref="X39:X44" si="33">TRUNC(W39*G39)+0</f>
        <v>0</v>
      </c>
      <c r="Y39" s="43">
        <f t="shared" si="1"/>
        <v>0</v>
      </c>
      <c r="Z39" s="93"/>
      <c r="AA39" s="45">
        <f t="shared" si="2"/>
        <v>0</v>
      </c>
      <c r="AB39" s="46">
        <f t="shared" si="3"/>
        <v>0</v>
      </c>
      <c r="AC39" s="93"/>
      <c r="AD39" s="44">
        <f t="shared" si="4"/>
        <v>0</v>
      </c>
      <c r="AE39" s="43">
        <f t="shared" si="5"/>
        <v>0</v>
      </c>
      <c r="AF39" s="44">
        <f t="shared" si="6"/>
        <v>0</v>
      </c>
      <c r="AG39" s="45">
        <f t="shared" si="6"/>
        <v>0</v>
      </c>
      <c r="AH39" s="96">
        <f t="shared" si="10"/>
        <v>0</v>
      </c>
      <c r="AI39" s="97"/>
    </row>
    <row r="40" spans="1:35" s="98" customFormat="1" ht="25">
      <c r="A40" s="85" t="s">
        <v>112</v>
      </c>
      <c r="B40" s="86">
        <v>92267</v>
      </c>
      <c r="C40" s="87" t="s">
        <v>113</v>
      </c>
      <c r="D40" s="88" t="s">
        <v>48</v>
      </c>
      <c r="E40" s="88" t="s">
        <v>45</v>
      </c>
      <c r="F40" s="88">
        <v>312.27</v>
      </c>
      <c r="G40" s="89">
        <v>26.89</v>
      </c>
      <c r="H40" s="90">
        <f t="shared" si="31"/>
        <v>8396.9403000000002</v>
      </c>
      <c r="I40" s="91"/>
      <c r="J40" s="92"/>
      <c r="K40" s="93"/>
      <c r="L40" s="94"/>
      <c r="M40" s="92"/>
      <c r="N40" s="93"/>
      <c r="O40" s="94"/>
      <c r="P40" s="92"/>
      <c r="Q40" s="93"/>
      <c r="R40" s="94"/>
      <c r="S40" s="94"/>
      <c r="T40" s="94"/>
      <c r="U40" s="45">
        <f t="shared" si="7"/>
        <v>0</v>
      </c>
      <c r="V40" s="95">
        <v>0</v>
      </c>
      <c r="W40" s="93">
        <f t="shared" si="32"/>
        <v>0</v>
      </c>
      <c r="X40" s="94">
        <f t="shared" si="33"/>
        <v>0</v>
      </c>
      <c r="Y40" s="43">
        <f t="shared" si="1"/>
        <v>0</v>
      </c>
      <c r="Z40" s="93"/>
      <c r="AA40" s="45">
        <f t="shared" si="2"/>
        <v>0</v>
      </c>
      <c r="AB40" s="46">
        <f t="shared" si="3"/>
        <v>0</v>
      </c>
      <c r="AC40" s="93"/>
      <c r="AD40" s="44">
        <f t="shared" si="4"/>
        <v>0</v>
      </c>
      <c r="AE40" s="43">
        <f t="shared" si="5"/>
        <v>0</v>
      </c>
      <c r="AF40" s="44">
        <f t="shared" si="6"/>
        <v>0</v>
      </c>
      <c r="AG40" s="45">
        <f t="shared" si="6"/>
        <v>0</v>
      </c>
      <c r="AH40" s="96">
        <f t="shared" si="10"/>
        <v>0</v>
      </c>
      <c r="AI40" s="97"/>
    </row>
    <row r="41" spans="1:35" s="98" customFormat="1" ht="37.5">
      <c r="A41" s="85" t="s">
        <v>114</v>
      </c>
      <c r="B41" s="86">
        <v>92769</v>
      </c>
      <c r="C41" s="87" t="s">
        <v>115</v>
      </c>
      <c r="D41" s="88" t="s">
        <v>48</v>
      </c>
      <c r="E41" s="88" t="s">
        <v>69</v>
      </c>
      <c r="F41" s="88">
        <v>885.8</v>
      </c>
      <c r="G41" s="89">
        <v>11.26</v>
      </c>
      <c r="H41" s="90">
        <f>(F41*G41)-0.01</f>
        <v>9974.098</v>
      </c>
      <c r="I41" s="91"/>
      <c r="J41" s="92"/>
      <c r="K41" s="93"/>
      <c r="L41" s="94"/>
      <c r="M41" s="92"/>
      <c r="N41" s="93"/>
      <c r="O41" s="94"/>
      <c r="P41" s="92"/>
      <c r="Q41" s="93"/>
      <c r="R41" s="94"/>
      <c r="S41" s="94"/>
      <c r="T41" s="94"/>
      <c r="U41" s="45">
        <f t="shared" si="7"/>
        <v>0</v>
      </c>
      <c r="V41" s="95">
        <v>0</v>
      </c>
      <c r="W41" s="93">
        <f t="shared" si="32"/>
        <v>0</v>
      </c>
      <c r="X41" s="94">
        <f t="shared" si="33"/>
        <v>0</v>
      </c>
      <c r="Y41" s="43">
        <f t="shared" si="1"/>
        <v>0</v>
      </c>
      <c r="Z41" s="93"/>
      <c r="AA41" s="45">
        <f t="shared" si="2"/>
        <v>0</v>
      </c>
      <c r="AB41" s="46">
        <f t="shared" si="3"/>
        <v>0</v>
      </c>
      <c r="AC41" s="93"/>
      <c r="AD41" s="44">
        <f t="shared" si="4"/>
        <v>0</v>
      </c>
      <c r="AE41" s="43">
        <f t="shared" si="5"/>
        <v>0</v>
      </c>
      <c r="AF41" s="44">
        <f t="shared" si="6"/>
        <v>0</v>
      </c>
      <c r="AG41" s="45">
        <f t="shared" si="6"/>
        <v>0</v>
      </c>
      <c r="AH41" s="96">
        <f t="shared" si="10"/>
        <v>0</v>
      </c>
      <c r="AI41" s="97"/>
    </row>
    <row r="42" spans="1:35" s="98" customFormat="1" ht="37.5">
      <c r="A42" s="85" t="s">
        <v>116</v>
      </c>
      <c r="B42" s="86">
        <v>92770</v>
      </c>
      <c r="C42" s="87" t="s">
        <v>117</v>
      </c>
      <c r="D42" s="88" t="s">
        <v>48</v>
      </c>
      <c r="E42" s="88" t="s">
        <v>69</v>
      </c>
      <c r="F42" s="88">
        <v>229.5</v>
      </c>
      <c r="G42" s="89">
        <v>10.37</v>
      </c>
      <c r="H42" s="90">
        <f>(F42*G42)-0.01</f>
        <v>2379.9049999999997</v>
      </c>
      <c r="I42" s="91"/>
      <c r="J42" s="92"/>
      <c r="K42" s="93"/>
      <c r="L42" s="94"/>
      <c r="M42" s="92"/>
      <c r="N42" s="93"/>
      <c r="O42" s="94"/>
      <c r="P42" s="92"/>
      <c r="Q42" s="93"/>
      <c r="R42" s="94"/>
      <c r="S42" s="94"/>
      <c r="T42" s="94"/>
      <c r="U42" s="45">
        <f t="shared" si="7"/>
        <v>0</v>
      </c>
      <c r="V42" s="95">
        <v>0</v>
      </c>
      <c r="W42" s="93">
        <f t="shared" si="32"/>
        <v>0</v>
      </c>
      <c r="X42" s="94">
        <f t="shared" si="33"/>
        <v>0</v>
      </c>
      <c r="Y42" s="43">
        <f t="shared" si="1"/>
        <v>0</v>
      </c>
      <c r="Z42" s="93"/>
      <c r="AA42" s="45">
        <f t="shared" si="2"/>
        <v>0</v>
      </c>
      <c r="AB42" s="46">
        <f t="shared" si="3"/>
        <v>0</v>
      </c>
      <c r="AC42" s="93"/>
      <c r="AD42" s="44">
        <f t="shared" si="4"/>
        <v>0</v>
      </c>
      <c r="AE42" s="43">
        <f t="shared" si="5"/>
        <v>0</v>
      </c>
      <c r="AF42" s="44">
        <f t="shared" si="6"/>
        <v>0</v>
      </c>
      <c r="AG42" s="45">
        <f t="shared" si="6"/>
        <v>0</v>
      </c>
      <c r="AH42" s="96">
        <f t="shared" si="10"/>
        <v>0</v>
      </c>
      <c r="AI42" s="97"/>
    </row>
    <row r="43" spans="1:35" s="98" customFormat="1" ht="37.5">
      <c r="A43" s="85" t="s">
        <v>118</v>
      </c>
      <c r="B43" s="86">
        <v>92771</v>
      </c>
      <c r="C43" s="87" t="s">
        <v>119</v>
      </c>
      <c r="D43" s="88" t="s">
        <v>48</v>
      </c>
      <c r="E43" s="88" t="s">
        <v>69</v>
      </c>
      <c r="F43" s="88">
        <v>39.6</v>
      </c>
      <c r="G43" s="89">
        <v>9.14</v>
      </c>
      <c r="H43" s="90">
        <f t="shared" si="31"/>
        <v>361.94400000000002</v>
      </c>
      <c r="I43" s="91"/>
      <c r="J43" s="92"/>
      <c r="K43" s="93"/>
      <c r="L43" s="94"/>
      <c r="M43" s="92"/>
      <c r="N43" s="93"/>
      <c r="O43" s="94"/>
      <c r="P43" s="92"/>
      <c r="Q43" s="93"/>
      <c r="R43" s="94"/>
      <c r="S43" s="94"/>
      <c r="T43" s="94"/>
      <c r="U43" s="45">
        <f t="shared" si="7"/>
        <v>0</v>
      </c>
      <c r="V43" s="95">
        <v>0</v>
      </c>
      <c r="W43" s="93">
        <f t="shared" si="32"/>
        <v>0</v>
      </c>
      <c r="X43" s="94">
        <f t="shared" si="33"/>
        <v>0</v>
      </c>
      <c r="Y43" s="43">
        <f t="shared" si="1"/>
        <v>0</v>
      </c>
      <c r="Z43" s="93"/>
      <c r="AA43" s="45">
        <f t="shared" si="2"/>
        <v>0</v>
      </c>
      <c r="AB43" s="46">
        <f t="shared" si="3"/>
        <v>0</v>
      </c>
      <c r="AC43" s="93"/>
      <c r="AD43" s="44">
        <f t="shared" si="4"/>
        <v>0</v>
      </c>
      <c r="AE43" s="43">
        <f t="shared" si="5"/>
        <v>0</v>
      </c>
      <c r="AF43" s="44">
        <f t="shared" si="6"/>
        <v>0</v>
      </c>
      <c r="AG43" s="45">
        <f t="shared" si="6"/>
        <v>0</v>
      </c>
      <c r="AH43" s="96">
        <f t="shared" si="10"/>
        <v>0</v>
      </c>
      <c r="AI43" s="97"/>
    </row>
    <row r="44" spans="1:35" s="98" customFormat="1" ht="37.5">
      <c r="A44" s="85" t="s">
        <v>120</v>
      </c>
      <c r="B44" s="99">
        <v>92768</v>
      </c>
      <c r="C44" s="100" t="s">
        <v>121</v>
      </c>
      <c r="D44" s="99" t="s">
        <v>48</v>
      </c>
      <c r="E44" s="99" t="s">
        <v>69</v>
      </c>
      <c r="F44" s="99">
        <v>66.3</v>
      </c>
      <c r="G44" s="101">
        <v>12.25</v>
      </c>
      <c r="H44" s="90">
        <f>(F44*G44)-0.01</f>
        <v>812.16499999999996</v>
      </c>
      <c r="I44" s="91"/>
      <c r="J44" s="92"/>
      <c r="K44" s="93"/>
      <c r="L44" s="94"/>
      <c r="M44" s="92"/>
      <c r="N44" s="93"/>
      <c r="O44" s="94"/>
      <c r="P44" s="92"/>
      <c r="Q44" s="93"/>
      <c r="R44" s="94"/>
      <c r="S44" s="94"/>
      <c r="T44" s="94"/>
      <c r="U44" s="45">
        <f t="shared" si="7"/>
        <v>0</v>
      </c>
      <c r="V44" s="95">
        <v>0</v>
      </c>
      <c r="W44" s="93">
        <f t="shared" si="32"/>
        <v>0</v>
      </c>
      <c r="X44" s="94">
        <f t="shared" si="33"/>
        <v>0</v>
      </c>
      <c r="Y44" s="43">
        <f t="shared" si="1"/>
        <v>0</v>
      </c>
      <c r="Z44" s="93"/>
      <c r="AA44" s="45">
        <f t="shared" si="2"/>
        <v>0</v>
      </c>
      <c r="AB44" s="46">
        <f t="shared" si="3"/>
        <v>0</v>
      </c>
      <c r="AC44" s="93"/>
      <c r="AD44" s="44">
        <f t="shared" si="4"/>
        <v>0</v>
      </c>
      <c r="AE44" s="43">
        <f t="shared" si="5"/>
        <v>0</v>
      </c>
      <c r="AF44" s="44">
        <f t="shared" si="6"/>
        <v>0</v>
      </c>
      <c r="AG44" s="45">
        <f t="shared" si="6"/>
        <v>0</v>
      </c>
      <c r="AH44" s="96">
        <f t="shared" si="10"/>
        <v>0</v>
      </c>
      <c r="AI44" s="97"/>
    </row>
    <row r="45" spans="1:35" ht="20.149999999999999" customHeight="1">
      <c r="A45" s="28">
        <v>4</v>
      </c>
      <c r="B45" s="29" t="s">
        <v>122</v>
      </c>
      <c r="C45" s="29"/>
      <c r="D45" s="29"/>
      <c r="E45" s="29"/>
      <c r="F45" s="29"/>
      <c r="G45" s="29"/>
      <c r="H45" s="61">
        <f>SUM(H46:H46)</f>
        <v>52764.439399999996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62"/>
      <c r="AE45" s="31"/>
      <c r="AF45" s="31"/>
      <c r="AG45" s="31"/>
      <c r="AH45" s="31"/>
    </row>
    <row r="46" spans="1:35" ht="37.5">
      <c r="A46" s="35" t="s">
        <v>123</v>
      </c>
      <c r="B46" s="102">
        <v>103328</v>
      </c>
      <c r="C46" s="103" t="s">
        <v>124</v>
      </c>
      <c r="D46" s="69" t="s">
        <v>48</v>
      </c>
      <c r="E46" s="69" t="s">
        <v>45</v>
      </c>
      <c r="F46" s="70">
        <v>609.42999999999995</v>
      </c>
      <c r="G46" s="69">
        <v>86.58</v>
      </c>
      <c r="H46" s="55">
        <f>(F46*G46)-0.01</f>
        <v>52764.439399999996</v>
      </c>
      <c r="I46" s="56"/>
      <c r="J46" s="57">
        <v>0.3</v>
      </c>
      <c r="K46" s="58">
        <f t="shared" ref="K46" si="34">TRUNC(J46*F46,2)</f>
        <v>182.82</v>
      </c>
      <c r="L46" s="59">
        <f>TRUNC(K46*G46)+1.33</f>
        <v>15829.33</v>
      </c>
      <c r="M46" s="57">
        <v>0.6</v>
      </c>
      <c r="N46" s="58">
        <f t="shared" ref="N46" si="35">TRUNC(M46*F46,2)</f>
        <v>365.65</v>
      </c>
      <c r="O46" s="59">
        <f>TRUNC(N46*G46)+1.66</f>
        <v>31658.66</v>
      </c>
      <c r="P46" s="57"/>
      <c r="Q46" s="58"/>
      <c r="R46" s="59"/>
      <c r="S46" s="59"/>
      <c r="T46" s="59">
        <v>60.94</v>
      </c>
      <c r="U46" s="45">
        <f t="shared" si="7"/>
        <v>5276</v>
      </c>
      <c r="V46" s="57">
        <v>0.1</v>
      </c>
      <c r="W46" s="44">
        <f t="shared" ref="W46" si="36">TRUNC(V46*F46,2)</f>
        <v>60.94</v>
      </c>
      <c r="X46" s="45">
        <v>0</v>
      </c>
      <c r="Y46" s="43">
        <f t="shared" si="1"/>
        <v>0</v>
      </c>
      <c r="Z46" s="58"/>
      <c r="AA46" s="45">
        <f t="shared" si="2"/>
        <v>0</v>
      </c>
      <c r="AB46" s="46">
        <f t="shared" si="3"/>
        <v>0</v>
      </c>
      <c r="AC46" s="58"/>
      <c r="AD46" s="44">
        <f t="shared" si="4"/>
        <v>0</v>
      </c>
      <c r="AE46" s="43">
        <f t="shared" si="5"/>
        <v>0.99999999999999989</v>
      </c>
      <c r="AF46" s="44">
        <f t="shared" si="6"/>
        <v>670.35000000000014</v>
      </c>
      <c r="AG46" s="45">
        <f t="shared" si="6"/>
        <v>52763.99</v>
      </c>
      <c r="AH46" s="65" t="str">
        <f t="shared" si="10"/>
        <v>ITEM FINALIZADO</v>
      </c>
      <c r="AI46" s="8">
        <f>((F48/2)+F50)-F46</f>
        <v>709.2700000000001</v>
      </c>
    </row>
    <row r="47" spans="1:35" ht="20.149999999999999" customHeight="1">
      <c r="A47" s="28">
        <v>5</v>
      </c>
      <c r="B47" s="29" t="s">
        <v>125</v>
      </c>
      <c r="C47" s="29"/>
      <c r="D47" s="29"/>
      <c r="E47" s="29"/>
      <c r="F47" s="29"/>
      <c r="G47" s="29"/>
      <c r="H47" s="61">
        <f>SUM(H48:H51)</f>
        <v>141718.3308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62"/>
      <c r="AE47" s="31"/>
      <c r="AF47" s="31"/>
      <c r="AG47" s="31"/>
      <c r="AH47" s="31"/>
    </row>
    <row r="48" spans="1:35" ht="50">
      <c r="A48" s="50" t="s">
        <v>126</v>
      </c>
      <c r="B48" s="104">
        <v>87894</v>
      </c>
      <c r="C48" s="105" t="s">
        <v>127</v>
      </c>
      <c r="D48" s="40" t="s">
        <v>48</v>
      </c>
      <c r="E48" s="40" t="s">
        <v>45</v>
      </c>
      <c r="F48" s="106">
        <v>2157.3200000000002</v>
      </c>
      <c r="G48" s="40">
        <v>6.63</v>
      </c>
      <c r="H48" s="55">
        <f t="shared" ref="H48:H51" si="37">(F48*G48)</f>
        <v>14303.0316</v>
      </c>
      <c r="I48" s="56"/>
      <c r="J48" s="56"/>
      <c r="K48" s="56"/>
      <c r="L48" s="56"/>
      <c r="M48" s="57"/>
      <c r="N48" s="58"/>
      <c r="O48" s="59"/>
      <c r="P48" s="57">
        <v>0.5</v>
      </c>
      <c r="Q48" s="75">
        <f t="shared" ref="Q48:Q50" si="38">TRUNC(P48*F48,2)</f>
        <v>1078.6600000000001</v>
      </c>
      <c r="R48" s="59">
        <f t="shared" ref="R48:R50" si="39">TRUNC(Q48*G48)</f>
        <v>7151</v>
      </c>
      <c r="S48" s="59"/>
      <c r="T48" s="59">
        <v>1078.6600000000001</v>
      </c>
      <c r="U48" s="45">
        <f t="shared" si="7"/>
        <v>7151</v>
      </c>
      <c r="V48" s="57">
        <v>0.5</v>
      </c>
      <c r="W48" s="107">
        <f t="shared" ref="W48:W51" si="40">TRUNC(V48*F48,2)</f>
        <v>1078.6600000000001</v>
      </c>
      <c r="X48" s="45">
        <v>0</v>
      </c>
      <c r="Y48" s="43">
        <f t="shared" si="1"/>
        <v>0</v>
      </c>
      <c r="Z48" s="58"/>
      <c r="AA48" s="45">
        <f t="shared" si="2"/>
        <v>0</v>
      </c>
      <c r="AB48" s="46">
        <f t="shared" si="3"/>
        <v>0</v>
      </c>
      <c r="AC48" s="58"/>
      <c r="AD48" s="44">
        <f t="shared" si="4"/>
        <v>0</v>
      </c>
      <c r="AE48" s="43">
        <f t="shared" si="5"/>
        <v>1</v>
      </c>
      <c r="AF48" s="44">
        <f t="shared" si="6"/>
        <v>3235.9800000000005</v>
      </c>
      <c r="AG48" s="45">
        <f t="shared" si="6"/>
        <v>14302</v>
      </c>
      <c r="AH48" s="65" t="str">
        <f t="shared" ref="AH48:AH51" si="41">IF(AE48=100%,"ITEM FINALIZADO",AE48)</f>
        <v>ITEM FINALIZADO</v>
      </c>
    </row>
    <row r="49" spans="1:34" ht="50">
      <c r="A49" s="50" t="s">
        <v>128</v>
      </c>
      <c r="B49" s="63">
        <v>87548</v>
      </c>
      <c r="C49" s="108" t="s">
        <v>129</v>
      </c>
      <c r="D49" s="53" t="s">
        <v>48</v>
      </c>
      <c r="E49" s="53" t="s">
        <v>45</v>
      </c>
      <c r="F49" s="54">
        <v>2157.3200000000002</v>
      </c>
      <c r="G49" s="53">
        <v>27.55</v>
      </c>
      <c r="H49" s="55">
        <f t="shared" si="37"/>
        <v>59434.166000000005</v>
      </c>
      <c r="I49" s="56"/>
      <c r="J49" s="56"/>
      <c r="K49" s="56"/>
      <c r="L49" s="56"/>
      <c r="M49" s="57"/>
      <c r="N49" s="58"/>
      <c r="O49" s="59"/>
      <c r="P49" s="57">
        <v>0.5</v>
      </c>
      <c r="Q49" s="75">
        <f t="shared" si="38"/>
        <v>1078.6600000000001</v>
      </c>
      <c r="R49" s="59">
        <f t="shared" si="39"/>
        <v>29717</v>
      </c>
      <c r="S49" s="59"/>
      <c r="T49" s="59">
        <v>1078.6600000000001</v>
      </c>
      <c r="U49" s="45">
        <f t="shared" si="7"/>
        <v>29717</v>
      </c>
      <c r="V49" s="57">
        <v>0.5</v>
      </c>
      <c r="W49" s="107">
        <f t="shared" si="40"/>
        <v>1078.6600000000001</v>
      </c>
      <c r="X49" s="45">
        <v>0</v>
      </c>
      <c r="Y49" s="43">
        <f t="shared" si="1"/>
        <v>0</v>
      </c>
      <c r="Z49" s="58"/>
      <c r="AA49" s="45">
        <f t="shared" si="2"/>
        <v>0</v>
      </c>
      <c r="AB49" s="46">
        <f t="shared" si="3"/>
        <v>0</v>
      </c>
      <c r="AC49" s="58"/>
      <c r="AD49" s="44">
        <f t="shared" si="4"/>
        <v>0</v>
      </c>
      <c r="AE49" s="43">
        <f t="shared" si="5"/>
        <v>1</v>
      </c>
      <c r="AF49" s="44">
        <f t="shared" si="6"/>
        <v>3235.9800000000005</v>
      </c>
      <c r="AG49" s="45">
        <f t="shared" si="6"/>
        <v>59434</v>
      </c>
      <c r="AH49" s="65" t="str">
        <f t="shared" si="41"/>
        <v>ITEM FINALIZADO</v>
      </c>
    </row>
    <row r="50" spans="1:34" ht="37.5">
      <c r="A50" s="50" t="s">
        <v>130</v>
      </c>
      <c r="B50" s="63">
        <v>104817</v>
      </c>
      <c r="C50" s="108" t="s">
        <v>131</v>
      </c>
      <c r="D50" s="53" t="s">
        <v>48</v>
      </c>
      <c r="E50" s="53" t="s">
        <v>45</v>
      </c>
      <c r="F50" s="54">
        <v>240.04</v>
      </c>
      <c r="G50" s="53">
        <v>218.41</v>
      </c>
      <c r="H50" s="55">
        <f t="shared" si="37"/>
        <v>52427.136399999996</v>
      </c>
      <c r="I50" s="56"/>
      <c r="J50" s="56"/>
      <c r="K50" s="56"/>
      <c r="L50" s="56"/>
      <c r="M50" s="57"/>
      <c r="N50" s="58"/>
      <c r="O50" s="59"/>
      <c r="P50" s="57"/>
      <c r="Q50" s="58">
        <f t="shared" si="38"/>
        <v>0</v>
      </c>
      <c r="R50" s="59">
        <f t="shared" si="39"/>
        <v>0</v>
      </c>
      <c r="S50" s="59"/>
      <c r="T50" s="59">
        <v>72.010000000000005</v>
      </c>
      <c r="U50" s="45">
        <f t="shared" si="7"/>
        <v>15727</v>
      </c>
      <c r="V50" s="57">
        <v>1</v>
      </c>
      <c r="W50" s="44">
        <f t="shared" si="40"/>
        <v>240.04</v>
      </c>
      <c r="X50" s="45">
        <v>36700.129999999997</v>
      </c>
      <c r="Y50" s="43">
        <f t="shared" si="1"/>
        <v>0</v>
      </c>
      <c r="Z50" s="58"/>
      <c r="AA50" s="45">
        <f t="shared" si="2"/>
        <v>0</v>
      </c>
      <c r="AB50" s="46">
        <f t="shared" si="3"/>
        <v>0</v>
      </c>
      <c r="AC50" s="58"/>
      <c r="AD50" s="44">
        <f t="shared" si="4"/>
        <v>0</v>
      </c>
      <c r="AE50" s="43">
        <f t="shared" si="5"/>
        <v>1</v>
      </c>
      <c r="AF50" s="44">
        <f t="shared" si="6"/>
        <v>312.05</v>
      </c>
      <c r="AG50" s="45">
        <f t="shared" si="6"/>
        <v>52427.13</v>
      </c>
      <c r="AH50" s="65" t="str">
        <f t="shared" si="41"/>
        <v>ITEM FINALIZADO</v>
      </c>
    </row>
    <row r="51" spans="1:34" ht="37.5">
      <c r="A51" s="50" t="s">
        <v>132</v>
      </c>
      <c r="B51" s="63">
        <v>87262</v>
      </c>
      <c r="C51" s="108" t="s">
        <v>133</v>
      </c>
      <c r="D51" s="53" t="s">
        <v>48</v>
      </c>
      <c r="E51" s="53" t="s">
        <v>45</v>
      </c>
      <c r="F51" s="54">
        <v>92.76</v>
      </c>
      <c r="G51" s="53">
        <v>167.68</v>
      </c>
      <c r="H51" s="55">
        <f t="shared" si="37"/>
        <v>15553.996800000001</v>
      </c>
      <c r="I51" s="56"/>
      <c r="J51" s="56"/>
      <c r="K51" s="56"/>
      <c r="L51" s="56"/>
      <c r="M51" s="57"/>
      <c r="N51" s="58"/>
      <c r="O51" s="59"/>
      <c r="P51" s="57"/>
      <c r="Q51" s="58"/>
      <c r="R51" s="59"/>
      <c r="S51" s="59"/>
      <c r="T51" s="59"/>
      <c r="U51" s="45">
        <f t="shared" si="7"/>
        <v>0</v>
      </c>
      <c r="V51" s="57">
        <v>0</v>
      </c>
      <c r="W51" s="44">
        <f t="shared" si="40"/>
        <v>0</v>
      </c>
      <c r="X51" s="45">
        <f t="shared" ref="X51" si="42">TRUNC(W51*G51)+0</f>
        <v>0</v>
      </c>
      <c r="Y51" s="43">
        <f t="shared" si="1"/>
        <v>0</v>
      </c>
      <c r="Z51" s="58"/>
      <c r="AA51" s="45">
        <f t="shared" si="2"/>
        <v>0</v>
      </c>
      <c r="AB51" s="46">
        <f t="shared" si="3"/>
        <v>0</v>
      </c>
      <c r="AC51" s="58"/>
      <c r="AD51" s="44">
        <f t="shared" si="4"/>
        <v>0</v>
      </c>
      <c r="AE51" s="43">
        <f t="shared" si="5"/>
        <v>0</v>
      </c>
      <c r="AF51" s="44">
        <f t="shared" si="6"/>
        <v>0</v>
      </c>
      <c r="AG51" s="45">
        <f t="shared" si="6"/>
        <v>0</v>
      </c>
      <c r="AH51" s="65">
        <f t="shared" si="41"/>
        <v>0</v>
      </c>
    </row>
    <row r="52" spans="1:34" ht="20.149999999999999" customHeight="1">
      <c r="A52" s="28">
        <v>6</v>
      </c>
      <c r="B52" s="29" t="s">
        <v>134</v>
      </c>
      <c r="C52" s="29"/>
      <c r="D52" s="29"/>
      <c r="E52" s="29"/>
      <c r="F52" s="29"/>
      <c r="G52" s="29"/>
      <c r="H52" s="61">
        <f>SUM(H53:H54)</f>
        <v>67783.0429</v>
      </c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62"/>
      <c r="AE52" s="31"/>
      <c r="AF52" s="31"/>
      <c r="AG52" s="31"/>
      <c r="AH52" s="31"/>
    </row>
    <row r="53" spans="1:34" ht="37.5">
      <c r="A53" s="50" t="s">
        <v>135</v>
      </c>
      <c r="B53" s="109">
        <v>87298</v>
      </c>
      <c r="C53" s="110" t="s">
        <v>136</v>
      </c>
      <c r="D53" s="73" t="s">
        <v>48</v>
      </c>
      <c r="E53" s="73" t="s">
        <v>55</v>
      </c>
      <c r="F53" s="74">
        <v>16.97</v>
      </c>
      <c r="G53" s="73">
        <v>578.78</v>
      </c>
      <c r="H53" s="55">
        <f>(F53*G53)-0.01</f>
        <v>9821.886599999998</v>
      </c>
      <c r="I53" s="56"/>
      <c r="J53" s="56"/>
      <c r="K53" s="56"/>
      <c r="L53" s="56"/>
      <c r="M53" s="57"/>
      <c r="N53" s="58"/>
      <c r="O53" s="59"/>
      <c r="P53" s="57"/>
      <c r="Q53" s="58"/>
      <c r="R53" s="59"/>
      <c r="S53" s="59">
        <v>0</v>
      </c>
      <c r="T53" s="59">
        <v>8.48</v>
      </c>
      <c r="U53" s="45">
        <f t="shared" si="7"/>
        <v>4908</v>
      </c>
      <c r="V53" s="57">
        <v>1</v>
      </c>
      <c r="W53" s="44">
        <f t="shared" ref="W53:W54" si="43">TRUNC(V53*F53,2)</f>
        <v>16.97</v>
      </c>
      <c r="X53" s="45">
        <v>4913.8900000000003</v>
      </c>
      <c r="Y53" s="43">
        <f t="shared" si="1"/>
        <v>0</v>
      </c>
      <c r="Z53" s="58"/>
      <c r="AA53" s="45">
        <f t="shared" si="2"/>
        <v>0</v>
      </c>
      <c r="AB53" s="46">
        <f t="shared" si="3"/>
        <v>0</v>
      </c>
      <c r="AC53" s="58"/>
      <c r="AD53" s="44">
        <f t="shared" si="4"/>
        <v>0</v>
      </c>
      <c r="AE53" s="43">
        <f t="shared" si="5"/>
        <v>1</v>
      </c>
      <c r="AF53" s="44">
        <f t="shared" si="6"/>
        <v>25.45</v>
      </c>
      <c r="AG53" s="45">
        <f t="shared" si="6"/>
        <v>9821.89</v>
      </c>
      <c r="AH53" s="65" t="str">
        <f t="shared" ref="AH53" si="44">IF(AE53=100%,"ITEM FINALIZADO",AE53)</f>
        <v>ITEM FINALIZADO</v>
      </c>
    </row>
    <row r="54" spans="1:34" ht="50">
      <c r="A54" s="50" t="s">
        <v>137</v>
      </c>
      <c r="B54" s="73">
        <v>104597</v>
      </c>
      <c r="C54" s="110" t="s">
        <v>138</v>
      </c>
      <c r="D54" s="73" t="s">
        <v>48</v>
      </c>
      <c r="E54" s="73" t="s">
        <v>45</v>
      </c>
      <c r="F54" s="74">
        <v>339.53</v>
      </c>
      <c r="G54" s="73">
        <v>170.71</v>
      </c>
      <c r="H54" s="55">
        <f>(F54*G54)-0.01</f>
        <v>57961.156299999995</v>
      </c>
      <c r="I54" s="56"/>
      <c r="J54" s="56"/>
      <c r="K54" s="56"/>
      <c r="L54" s="56"/>
      <c r="M54" s="57"/>
      <c r="N54" s="58"/>
      <c r="O54" s="59"/>
      <c r="P54" s="57"/>
      <c r="Q54" s="58"/>
      <c r="R54" s="59"/>
      <c r="S54" s="59"/>
      <c r="T54" s="59"/>
      <c r="U54" s="45">
        <f t="shared" si="7"/>
        <v>0</v>
      </c>
      <c r="V54" s="57"/>
      <c r="W54" s="44">
        <f t="shared" si="43"/>
        <v>0</v>
      </c>
      <c r="X54" s="45">
        <f t="shared" ref="X54" si="45">TRUNC(W54*G54)+0</f>
        <v>0</v>
      </c>
      <c r="Y54" s="43">
        <f t="shared" si="1"/>
        <v>0</v>
      </c>
      <c r="Z54" s="58"/>
      <c r="AA54" s="45">
        <f t="shared" si="2"/>
        <v>0</v>
      </c>
      <c r="AB54" s="46">
        <f t="shared" si="3"/>
        <v>0</v>
      </c>
      <c r="AC54" s="58"/>
      <c r="AD54" s="44">
        <f t="shared" si="4"/>
        <v>0</v>
      </c>
      <c r="AE54" s="43">
        <f t="shared" si="5"/>
        <v>0</v>
      </c>
      <c r="AF54" s="44">
        <f t="shared" si="6"/>
        <v>0</v>
      </c>
      <c r="AG54" s="45">
        <f t="shared" si="6"/>
        <v>0</v>
      </c>
      <c r="AH54" s="65"/>
    </row>
    <row r="55" spans="1:34" ht="20.149999999999999" customHeight="1">
      <c r="A55" s="28">
        <v>7</v>
      </c>
      <c r="B55" s="29" t="s">
        <v>139</v>
      </c>
      <c r="C55" s="29"/>
      <c r="D55" s="29"/>
      <c r="E55" s="29"/>
      <c r="F55" s="29"/>
      <c r="G55" s="29"/>
      <c r="H55" s="61">
        <f>SUM(H56,H71)</f>
        <v>45511.361199999999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62"/>
      <c r="AE55" s="31"/>
      <c r="AF55" s="31"/>
      <c r="AG55" s="31"/>
      <c r="AH55" s="31"/>
    </row>
    <row r="56" spans="1:34" ht="20.149999999999999" customHeight="1">
      <c r="A56" s="28" t="s">
        <v>140</v>
      </c>
      <c r="B56" s="29" t="s">
        <v>141</v>
      </c>
      <c r="C56" s="29"/>
      <c r="D56" s="29"/>
      <c r="E56" s="29"/>
      <c r="F56" s="29"/>
      <c r="G56" s="29"/>
      <c r="H56" s="61">
        <f>SUM(H57:H70)</f>
        <v>16853.640000000003</v>
      </c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62"/>
      <c r="AE56" s="31"/>
      <c r="AF56" s="31"/>
      <c r="AG56" s="31"/>
      <c r="AH56" s="31"/>
    </row>
    <row r="57" spans="1:34" ht="37.5">
      <c r="A57" s="50" t="s">
        <v>142</v>
      </c>
      <c r="B57" s="76">
        <v>86931</v>
      </c>
      <c r="C57" s="64" t="s">
        <v>143</v>
      </c>
      <c r="D57" s="53" t="s">
        <v>48</v>
      </c>
      <c r="E57" s="53" t="s">
        <v>144</v>
      </c>
      <c r="F57" s="54">
        <v>10</v>
      </c>
      <c r="G57" s="53">
        <v>453.87</v>
      </c>
      <c r="H57" s="55">
        <f t="shared" ref="H57:H70" si="46">(F57*G57)</f>
        <v>4538.7</v>
      </c>
      <c r="I57" s="56"/>
      <c r="J57" s="56"/>
      <c r="K57" s="56"/>
      <c r="L57" s="56"/>
      <c r="M57" s="57"/>
      <c r="N57" s="58"/>
      <c r="O57" s="59"/>
      <c r="P57" s="111"/>
      <c r="Q57" s="58"/>
      <c r="R57" s="59"/>
      <c r="S57" s="59"/>
      <c r="T57" s="59"/>
      <c r="U57" s="45">
        <f t="shared" si="7"/>
        <v>0</v>
      </c>
      <c r="V57" s="111"/>
      <c r="W57" s="44">
        <f t="shared" ref="W57:W70" si="47">TRUNC(V57*F57,2)</f>
        <v>0</v>
      </c>
      <c r="X57" s="45">
        <f t="shared" ref="X57:X68" si="48">TRUNC(W57*G57)+0</f>
        <v>0</v>
      </c>
      <c r="Y57" s="43">
        <f t="shared" si="1"/>
        <v>0</v>
      </c>
      <c r="Z57" s="58"/>
      <c r="AA57" s="45">
        <f t="shared" si="2"/>
        <v>0</v>
      </c>
      <c r="AB57" s="46">
        <f t="shared" si="3"/>
        <v>0</v>
      </c>
      <c r="AC57" s="58"/>
      <c r="AD57" s="44">
        <f t="shared" si="4"/>
        <v>0</v>
      </c>
      <c r="AE57" s="43">
        <f t="shared" si="5"/>
        <v>0</v>
      </c>
      <c r="AF57" s="44">
        <f t="shared" si="6"/>
        <v>0</v>
      </c>
      <c r="AG57" s="45">
        <f t="shared" si="6"/>
        <v>0</v>
      </c>
      <c r="AH57" s="65">
        <f t="shared" ref="AH57:AH70" si="49">IF(AE57=100%,"ITEM FINALIZADO",AE57)</f>
        <v>0</v>
      </c>
    </row>
    <row r="58" spans="1:34" ht="62.5">
      <c r="A58" s="50" t="s">
        <v>145</v>
      </c>
      <c r="B58" s="76">
        <v>86939</v>
      </c>
      <c r="C58" s="64" t="s">
        <v>146</v>
      </c>
      <c r="D58" s="53" t="s">
        <v>48</v>
      </c>
      <c r="E58" s="53" t="s">
        <v>144</v>
      </c>
      <c r="F58" s="54">
        <v>10</v>
      </c>
      <c r="G58" s="53">
        <v>384.59</v>
      </c>
      <c r="H58" s="55">
        <f t="shared" si="46"/>
        <v>3845.8999999999996</v>
      </c>
      <c r="I58" s="56"/>
      <c r="J58" s="56"/>
      <c r="K58" s="56"/>
      <c r="L58" s="56"/>
      <c r="M58" s="57"/>
      <c r="N58" s="58"/>
      <c r="O58" s="59"/>
      <c r="P58" s="57"/>
      <c r="Q58" s="58"/>
      <c r="R58" s="59"/>
      <c r="S58" s="59"/>
      <c r="T58" s="59"/>
      <c r="U58" s="45">
        <f t="shared" si="7"/>
        <v>0</v>
      </c>
      <c r="V58" s="57"/>
      <c r="W58" s="44">
        <f t="shared" si="47"/>
        <v>0</v>
      </c>
      <c r="X58" s="45">
        <f t="shared" si="48"/>
        <v>0</v>
      </c>
      <c r="Y58" s="43">
        <f t="shared" si="1"/>
        <v>0</v>
      </c>
      <c r="Z58" s="58"/>
      <c r="AA58" s="45">
        <f t="shared" si="2"/>
        <v>0</v>
      </c>
      <c r="AB58" s="46">
        <f t="shared" si="3"/>
        <v>0</v>
      </c>
      <c r="AC58" s="58"/>
      <c r="AD58" s="44">
        <f t="shared" si="4"/>
        <v>0</v>
      </c>
      <c r="AE58" s="43">
        <f t="shared" si="5"/>
        <v>0</v>
      </c>
      <c r="AF58" s="44">
        <f t="shared" si="6"/>
        <v>0</v>
      </c>
      <c r="AG58" s="45">
        <f t="shared" si="6"/>
        <v>0</v>
      </c>
      <c r="AH58" s="65">
        <f t="shared" si="49"/>
        <v>0</v>
      </c>
    </row>
    <row r="59" spans="1:34" ht="37.5">
      <c r="A59" s="50" t="s">
        <v>147</v>
      </c>
      <c r="B59" s="76">
        <v>89714</v>
      </c>
      <c r="C59" s="64" t="s">
        <v>148</v>
      </c>
      <c r="D59" s="53" t="s">
        <v>48</v>
      </c>
      <c r="E59" s="53" t="s">
        <v>52</v>
      </c>
      <c r="F59" s="54">
        <v>100</v>
      </c>
      <c r="G59" s="53">
        <v>34.630000000000003</v>
      </c>
      <c r="H59" s="55">
        <f t="shared" si="46"/>
        <v>3463.0000000000005</v>
      </c>
      <c r="I59" s="56"/>
      <c r="J59" s="56"/>
      <c r="K59" s="56"/>
      <c r="L59" s="56"/>
      <c r="M59" s="57"/>
      <c r="N59" s="58"/>
      <c r="O59" s="59"/>
      <c r="P59" s="57">
        <v>0.8</v>
      </c>
      <c r="Q59" s="58">
        <f>TRUNC(P59*F59,2)</f>
        <v>80</v>
      </c>
      <c r="R59" s="59">
        <f>TRUNC(Q59*G59)</f>
        <v>2770</v>
      </c>
      <c r="S59" s="59"/>
      <c r="T59" s="59">
        <v>20</v>
      </c>
      <c r="U59" s="45">
        <f>TRUNC(G59*T59)+0</f>
        <v>692</v>
      </c>
      <c r="V59" s="57">
        <v>0.2</v>
      </c>
      <c r="W59" s="44">
        <f t="shared" si="47"/>
        <v>20</v>
      </c>
      <c r="X59" s="45">
        <v>0</v>
      </c>
      <c r="Y59" s="43">
        <f t="shared" si="1"/>
        <v>0</v>
      </c>
      <c r="Z59" s="58"/>
      <c r="AA59" s="45">
        <f t="shared" si="2"/>
        <v>0</v>
      </c>
      <c r="AB59" s="46">
        <f t="shared" si="3"/>
        <v>0</v>
      </c>
      <c r="AC59" s="58"/>
      <c r="AD59" s="44">
        <f t="shared" si="4"/>
        <v>0</v>
      </c>
      <c r="AE59" s="43">
        <f t="shared" si="5"/>
        <v>1</v>
      </c>
      <c r="AF59" s="44">
        <f t="shared" si="6"/>
        <v>120</v>
      </c>
      <c r="AG59" s="45">
        <f t="shared" si="6"/>
        <v>3462</v>
      </c>
      <c r="AH59" s="112" t="str">
        <f t="shared" si="49"/>
        <v>ITEM FINALIZADO</v>
      </c>
    </row>
    <row r="60" spans="1:34" ht="37.5">
      <c r="A60" s="50" t="s">
        <v>149</v>
      </c>
      <c r="B60" s="76">
        <v>89711</v>
      </c>
      <c r="C60" s="64" t="s">
        <v>150</v>
      </c>
      <c r="D60" s="53" t="s">
        <v>48</v>
      </c>
      <c r="E60" s="53" t="s">
        <v>52</v>
      </c>
      <c r="F60" s="54">
        <v>20</v>
      </c>
      <c r="G60" s="53">
        <v>20.059999999999999</v>
      </c>
      <c r="H60" s="55">
        <f t="shared" si="46"/>
        <v>401.2</v>
      </c>
      <c r="I60" s="56"/>
      <c r="J60" s="56"/>
      <c r="K60" s="56"/>
      <c r="L60" s="56"/>
      <c r="M60" s="57"/>
      <c r="N60" s="58"/>
      <c r="O60" s="59"/>
      <c r="P60" s="57">
        <v>0.8</v>
      </c>
      <c r="Q60" s="58">
        <f t="shared" ref="Q60:Q61" si="50">TRUNC(P60*F60,2)</f>
        <v>16</v>
      </c>
      <c r="R60" s="59">
        <f t="shared" ref="R60:R61" si="51">TRUNC(Q60*G60)</f>
        <v>320</v>
      </c>
      <c r="S60" s="59"/>
      <c r="T60" s="59">
        <v>4</v>
      </c>
      <c r="U60" s="45">
        <f>TRUNC(G60*T60)+0</f>
        <v>80</v>
      </c>
      <c r="V60" s="57">
        <v>0.2</v>
      </c>
      <c r="W60" s="44">
        <f t="shared" si="47"/>
        <v>4</v>
      </c>
      <c r="X60" s="45">
        <v>0</v>
      </c>
      <c r="Y60" s="43">
        <f t="shared" si="1"/>
        <v>0</v>
      </c>
      <c r="Z60" s="58"/>
      <c r="AA60" s="45">
        <f t="shared" si="2"/>
        <v>0</v>
      </c>
      <c r="AB60" s="46">
        <f t="shared" si="3"/>
        <v>0</v>
      </c>
      <c r="AC60" s="58"/>
      <c r="AD60" s="44">
        <f t="shared" si="4"/>
        <v>0</v>
      </c>
      <c r="AE60" s="43">
        <f t="shared" si="5"/>
        <v>1</v>
      </c>
      <c r="AF60" s="44">
        <f t="shared" si="6"/>
        <v>24</v>
      </c>
      <c r="AG60" s="45">
        <f t="shared" si="6"/>
        <v>400</v>
      </c>
      <c r="AH60" s="112" t="str">
        <f t="shared" si="49"/>
        <v>ITEM FINALIZADO</v>
      </c>
    </row>
    <row r="61" spans="1:34" ht="37.5">
      <c r="A61" s="50" t="s">
        <v>151</v>
      </c>
      <c r="B61" s="76">
        <v>89798</v>
      </c>
      <c r="C61" s="64" t="s">
        <v>152</v>
      </c>
      <c r="D61" s="53" t="s">
        <v>48</v>
      </c>
      <c r="E61" s="53" t="s">
        <v>52</v>
      </c>
      <c r="F61" s="54">
        <v>65</v>
      </c>
      <c r="G61" s="53">
        <v>11.08</v>
      </c>
      <c r="H61" s="55">
        <f t="shared" si="46"/>
        <v>720.2</v>
      </c>
      <c r="I61" s="56"/>
      <c r="J61" s="56"/>
      <c r="K61" s="56"/>
      <c r="L61" s="56"/>
      <c r="M61" s="57"/>
      <c r="N61" s="58"/>
      <c r="O61" s="59"/>
      <c r="P61" s="57">
        <v>0.8</v>
      </c>
      <c r="Q61" s="58">
        <f t="shared" si="50"/>
        <v>52</v>
      </c>
      <c r="R61" s="59">
        <f t="shared" si="51"/>
        <v>576</v>
      </c>
      <c r="S61" s="59"/>
      <c r="T61" s="59"/>
      <c r="U61" s="45">
        <f t="shared" si="7"/>
        <v>0</v>
      </c>
      <c r="V61" s="57"/>
      <c r="W61" s="44">
        <f t="shared" si="47"/>
        <v>0</v>
      </c>
      <c r="X61" s="45">
        <f t="shared" si="48"/>
        <v>0</v>
      </c>
      <c r="Y61" s="43">
        <f t="shared" si="1"/>
        <v>0.2</v>
      </c>
      <c r="Z61" s="58">
        <v>13</v>
      </c>
      <c r="AA61" s="45">
        <f t="shared" si="2"/>
        <v>144</v>
      </c>
      <c r="AB61" s="46">
        <f t="shared" si="3"/>
        <v>0</v>
      </c>
      <c r="AC61" s="58"/>
      <c r="AD61" s="44">
        <f t="shared" si="4"/>
        <v>0</v>
      </c>
      <c r="AE61" s="43">
        <f t="shared" si="5"/>
        <v>1</v>
      </c>
      <c r="AF61" s="44">
        <f t="shared" si="6"/>
        <v>65</v>
      </c>
      <c r="AG61" s="45">
        <f t="shared" si="6"/>
        <v>720</v>
      </c>
      <c r="AH61" s="112" t="str">
        <f t="shared" si="49"/>
        <v>ITEM FINALIZADO</v>
      </c>
    </row>
    <row r="62" spans="1:34" ht="37.5">
      <c r="A62" s="50" t="s">
        <v>153</v>
      </c>
      <c r="B62" s="76">
        <v>104326</v>
      </c>
      <c r="C62" s="64" t="s">
        <v>154</v>
      </c>
      <c r="D62" s="53" t="s">
        <v>48</v>
      </c>
      <c r="E62" s="53" t="s">
        <v>144</v>
      </c>
      <c r="F62" s="54">
        <v>10</v>
      </c>
      <c r="G62" s="53">
        <v>19.2</v>
      </c>
      <c r="H62" s="55">
        <f t="shared" si="46"/>
        <v>192</v>
      </c>
      <c r="I62" s="56"/>
      <c r="J62" s="56"/>
      <c r="K62" s="56"/>
      <c r="L62" s="56"/>
      <c r="M62" s="57"/>
      <c r="N62" s="58"/>
      <c r="O62" s="59"/>
      <c r="P62" s="57"/>
      <c r="Q62" s="58"/>
      <c r="R62" s="59"/>
      <c r="S62" s="59"/>
      <c r="T62" s="59"/>
      <c r="U62" s="45">
        <f t="shared" si="7"/>
        <v>0</v>
      </c>
      <c r="V62" s="57"/>
      <c r="W62" s="44">
        <f t="shared" si="47"/>
        <v>0</v>
      </c>
      <c r="X62" s="45">
        <f t="shared" si="48"/>
        <v>0</v>
      </c>
      <c r="Y62" s="43">
        <f t="shared" si="1"/>
        <v>0</v>
      </c>
      <c r="Z62" s="58"/>
      <c r="AA62" s="45">
        <f t="shared" si="2"/>
        <v>0</v>
      </c>
      <c r="AB62" s="46">
        <f t="shared" si="3"/>
        <v>0</v>
      </c>
      <c r="AC62" s="58"/>
      <c r="AD62" s="44">
        <f t="shared" si="4"/>
        <v>0</v>
      </c>
      <c r="AE62" s="43">
        <f t="shared" si="5"/>
        <v>0</v>
      </c>
      <c r="AF62" s="44">
        <f t="shared" si="6"/>
        <v>0</v>
      </c>
      <c r="AG62" s="45">
        <f t="shared" si="6"/>
        <v>0</v>
      </c>
      <c r="AH62" s="112">
        <f t="shared" si="49"/>
        <v>0</v>
      </c>
    </row>
    <row r="63" spans="1:34" ht="37.5">
      <c r="A63" s="50" t="s">
        <v>155</v>
      </c>
      <c r="B63" s="76">
        <v>104327</v>
      </c>
      <c r="C63" s="64" t="s">
        <v>156</v>
      </c>
      <c r="D63" s="53" t="s">
        <v>48</v>
      </c>
      <c r="E63" s="53" t="s">
        <v>144</v>
      </c>
      <c r="F63" s="54">
        <v>10</v>
      </c>
      <c r="G63" s="53">
        <v>18.32</v>
      </c>
      <c r="H63" s="55">
        <f t="shared" si="46"/>
        <v>183.2</v>
      </c>
      <c r="I63" s="56"/>
      <c r="J63" s="56"/>
      <c r="K63" s="56"/>
      <c r="L63" s="56"/>
      <c r="M63" s="57"/>
      <c r="N63" s="58"/>
      <c r="O63" s="59"/>
      <c r="P63" s="57"/>
      <c r="Q63" s="58"/>
      <c r="R63" s="59"/>
      <c r="S63" s="59"/>
      <c r="T63" s="59"/>
      <c r="U63" s="45">
        <f t="shared" si="7"/>
        <v>0</v>
      </c>
      <c r="V63" s="57"/>
      <c r="W63" s="44">
        <f t="shared" si="47"/>
        <v>0</v>
      </c>
      <c r="X63" s="45">
        <f t="shared" si="48"/>
        <v>0</v>
      </c>
      <c r="Y63" s="43">
        <f t="shared" si="1"/>
        <v>0</v>
      </c>
      <c r="Z63" s="58"/>
      <c r="AA63" s="45">
        <f t="shared" si="2"/>
        <v>0</v>
      </c>
      <c r="AB63" s="46">
        <f t="shared" si="3"/>
        <v>0</v>
      </c>
      <c r="AC63" s="58"/>
      <c r="AD63" s="44">
        <f t="shared" si="4"/>
        <v>0</v>
      </c>
      <c r="AE63" s="43">
        <f t="shared" si="5"/>
        <v>0</v>
      </c>
      <c r="AF63" s="44">
        <f t="shared" si="6"/>
        <v>0</v>
      </c>
      <c r="AG63" s="45">
        <f t="shared" si="6"/>
        <v>0</v>
      </c>
      <c r="AH63" s="112">
        <f t="shared" si="49"/>
        <v>0</v>
      </c>
    </row>
    <row r="64" spans="1:34" ht="37.5">
      <c r="A64" s="50" t="s">
        <v>157</v>
      </c>
      <c r="B64" s="76">
        <v>89726</v>
      </c>
      <c r="C64" s="64" t="s">
        <v>158</v>
      </c>
      <c r="D64" s="53" t="s">
        <v>48</v>
      </c>
      <c r="E64" s="53" t="s">
        <v>144</v>
      </c>
      <c r="F64" s="54">
        <v>7</v>
      </c>
      <c r="G64" s="53">
        <v>9.43</v>
      </c>
      <c r="H64" s="55">
        <f t="shared" si="46"/>
        <v>66.009999999999991</v>
      </c>
      <c r="I64" s="56"/>
      <c r="J64" s="56"/>
      <c r="K64" s="56"/>
      <c r="L64" s="56"/>
      <c r="M64" s="57"/>
      <c r="N64" s="58"/>
      <c r="O64" s="59"/>
      <c r="P64" s="57">
        <v>0.8</v>
      </c>
      <c r="Q64" s="58">
        <f t="shared" ref="Q64:Q67" si="52">TRUNC(P64*F64,2)</f>
        <v>5.6</v>
      </c>
      <c r="R64" s="59">
        <f t="shared" ref="R64:R67" si="53">TRUNC(Q64*G64)</f>
        <v>52</v>
      </c>
      <c r="S64" s="59"/>
      <c r="T64" s="59">
        <v>1.4</v>
      </c>
      <c r="U64" s="45">
        <f t="shared" si="7"/>
        <v>13</v>
      </c>
      <c r="V64" s="57">
        <v>0.2</v>
      </c>
      <c r="W64" s="44">
        <f t="shared" si="47"/>
        <v>1.4</v>
      </c>
      <c r="X64" s="45">
        <v>0</v>
      </c>
      <c r="Y64" s="43">
        <f t="shared" si="1"/>
        <v>0</v>
      </c>
      <c r="Z64" s="58"/>
      <c r="AA64" s="45">
        <f t="shared" si="2"/>
        <v>0</v>
      </c>
      <c r="AB64" s="46">
        <f t="shared" si="3"/>
        <v>0</v>
      </c>
      <c r="AC64" s="58"/>
      <c r="AD64" s="44">
        <f t="shared" si="4"/>
        <v>0</v>
      </c>
      <c r="AE64" s="43">
        <f t="shared" si="5"/>
        <v>1</v>
      </c>
      <c r="AF64" s="44">
        <f t="shared" si="6"/>
        <v>8.4</v>
      </c>
      <c r="AG64" s="45">
        <f t="shared" si="6"/>
        <v>65</v>
      </c>
      <c r="AH64" s="112" t="str">
        <f t="shared" si="49"/>
        <v>ITEM FINALIZADO</v>
      </c>
    </row>
    <row r="65" spans="1:34" ht="37.5">
      <c r="A65" s="50" t="s">
        <v>159</v>
      </c>
      <c r="B65" s="76">
        <v>89732</v>
      </c>
      <c r="C65" s="64" t="s">
        <v>160</v>
      </c>
      <c r="D65" s="53" t="s">
        <v>48</v>
      </c>
      <c r="E65" s="53" t="s">
        <v>144</v>
      </c>
      <c r="F65" s="54">
        <v>7</v>
      </c>
      <c r="G65" s="53">
        <v>14.36</v>
      </c>
      <c r="H65" s="55">
        <f t="shared" si="46"/>
        <v>100.52</v>
      </c>
      <c r="I65" s="56"/>
      <c r="J65" s="56"/>
      <c r="K65" s="56"/>
      <c r="L65" s="56"/>
      <c r="M65" s="57"/>
      <c r="N65" s="58"/>
      <c r="O65" s="59"/>
      <c r="P65" s="57">
        <v>0.8</v>
      </c>
      <c r="Q65" s="58">
        <f t="shared" si="52"/>
        <v>5.6</v>
      </c>
      <c r="R65" s="59">
        <f t="shared" si="53"/>
        <v>80</v>
      </c>
      <c r="S65" s="59"/>
      <c r="T65" s="59">
        <v>1.4</v>
      </c>
      <c r="U65" s="45">
        <f t="shared" si="7"/>
        <v>20</v>
      </c>
      <c r="V65" s="57">
        <v>0.2</v>
      </c>
      <c r="W65" s="44">
        <f t="shared" si="47"/>
        <v>1.4</v>
      </c>
      <c r="X65" s="45">
        <v>0</v>
      </c>
      <c r="Y65" s="43">
        <f t="shared" si="1"/>
        <v>0</v>
      </c>
      <c r="Z65" s="58"/>
      <c r="AA65" s="45">
        <f t="shared" si="2"/>
        <v>0</v>
      </c>
      <c r="AB65" s="46">
        <f t="shared" si="3"/>
        <v>0</v>
      </c>
      <c r="AC65" s="58"/>
      <c r="AD65" s="44">
        <f t="shared" si="4"/>
        <v>0</v>
      </c>
      <c r="AE65" s="43">
        <f t="shared" si="5"/>
        <v>1</v>
      </c>
      <c r="AF65" s="44">
        <f t="shared" si="6"/>
        <v>8.4</v>
      </c>
      <c r="AG65" s="45">
        <f t="shared" si="6"/>
        <v>100</v>
      </c>
      <c r="AH65" s="112" t="str">
        <f t="shared" si="49"/>
        <v>ITEM FINALIZADO</v>
      </c>
    </row>
    <row r="66" spans="1:34" ht="37.5">
      <c r="A66" s="50" t="s">
        <v>161</v>
      </c>
      <c r="B66" s="76">
        <v>89809</v>
      </c>
      <c r="C66" s="64" t="s">
        <v>162</v>
      </c>
      <c r="D66" s="53" t="s">
        <v>48</v>
      </c>
      <c r="E66" s="53" t="s">
        <v>144</v>
      </c>
      <c r="F66" s="54">
        <v>10</v>
      </c>
      <c r="G66" s="53">
        <v>25.87</v>
      </c>
      <c r="H66" s="55">
        <f t="shared" si="46"/>
        <v>258.7</v>
      </c>
      <c r="I66" s="56"/>
      <c r="J66" s="56"/>
      <c r="K66" s="56"/>
      <c r="L66" s="56"/>
      <c r="M66" s="57"/>
      <c r="N66" s="58"/>
      <c r="O66" s="59"/>
      <c r="P66" s="57">
        <v>0.8</v>
      </c>
      <c r="Q66" s="58">
        <f t="shared" si="52"/>
        <v>8</v>
      </c>
      <c r="R66" s="59">
        <f t="shared" si="53"/>
        <v>206</v>
      </c>
      <c r="S66" s="59"/>
      <c r="T66" s="59">
        <v>2</v>
      </c>
      <c r="U66" s="45">
        <f t="shared" si="7"/>
        <v>51</v>
      </c>
      <c r="V66" s="57">
        <v>0.2</v>
      </c>
      <c r="W66" s="44">
        <f t="shared" si="47"/>
        <v>2</v>
      </c>
      <c r="X66" s="45">
        <v>0</v>
      </c>
      <c r="Y66" s="43">
        <f t="shared" si="1"/>
        <v>0</v>
      </c>
      <c r="Z66" s="58"/>
      <c r="AA66" s="45">
        <f t="shared" si="2"/>
        <v>0</v>
      </c>
      <c r="AB66" s="46">
        <f t="shared" si="3"/>
        <v>0</v>
      </c>
      <c r="AC66" s="58"/>
      <c r="AD66" s="44">
        <f t="shared" si="4"/>
        <v>0</v>
      </c>
      <c r="AE66" s="43">
        <f t="shared" si="5"/>
        <v>1</v>
      </c>
      <c r="AF66" s="44">
        <f t="shared" si="6"/>
        <v>12</v>
      </c>
      <c r="AG66" s="45">
        <f t="shared" si="6"/>
        <v>257</v>
      </c>
      <c r="AH66" s="112" t="str">
        <f t="shared" si="49"/>
        <v>ITEM FINALIZADO</v>
      </c>
    </row>
    <row r="67" spans="1:34" ht="37.5">
      <c r="A67" s="50" t="s">
        <v>163</v>
      </c>
      <c r="B67" s="76">
        <v>69810</v>
      </c>
      <c r="C67" s="64" t="s">
        <v>164</v>
      </c>
      <c r="D67" s="53" t="s">
        <v>48</v>
      </c>
      <c r="E67" s="53" t="s">
        <v>144</v>
      </c>
      <c r="F67" s="54">
        <v>6</v>
      </c>
      <c r="G67" s="53">
        <v>26.53</v>
      </c>
      <c r="H67" s="55">
        <f t="shared" si="46"/>
        <v>159.18</v>
      </c>
      <c r="I67" s="56"/>
      <c r="J67" s="56"/>
      <c r="K67" s="56"/>
      <c r="L67" s="56"/>
      <c r="M67" s="57"/>
      <c r="N67" s="58"/>
      <c r="O67" s="59"/>
      <c r="P67" s="57">
        <v>0.8</v>
      </c>
      <c r="Q67" s="58">
        <f t="shared" si="52"/>
        <v>4.8</v>
      </c>
      <c r="R67" s="59">
        <f t="shared" si="53"/>
        <v>127</v>
      </c>
      <c r="S67" s="59"/>
      <c r="T67" s="59">
        <v>1.2</v>
      </c>
      <c r="U67" s="45">
        <f t="shared" si="7"/>
        <v>31</v>
      </c>
      <c r="V67" s="57">
        <v>0.2</v>
      </c>
      <c r="W67" s="44">
        <f t="shared" si="47"/>
        <v>1.2</v>
      </c>
      <c r="X67" s="45">
        <v>0</v>
      </c>
      <c r="Y67" s="43">
        <f t="shared" si="1"/>
        <v>0</v>
      </c>
      <c r="Z67" s="58"/>
      <c r="AA67" s="45">
        <f t="shared" si="2"/>
        <v>0</v>
      </c>
      <c r="AB67" s="46">
        <f t="shared" si="3"/>
        <v>0</v>
      </c>
      <c r="AC67" s="58"/>
      <c r="AD67" s="44">
        <f t="shared" si="4"/>
        <v>0</v>
      </c>
      <c r="AE67" s="43">
        <f t="shared" si="5"/>
        <v>1</v>
      </c>
      <c r="AF67" s="44">
        <f t="shared" si="6"/>
        <v>7.2</v>
      </c>
      <c r="AG67" s="45">
        <f t="shared" si="6"/>
        <v>158</v>
      </c>
      <c r="AH67" s="112" t="str">
        <f t="shared" si="49"/>
        <v>ITEM FINALIZADO</v>
      </c>
    </row>
    <row r="68" spans="1:34" ht="25">
      <c r="A68" s="50" t="s">
        <v>165</v>
      </c>
      <c r="B68" s="76">
        <v>100864</v>
      </c>
      <c r="C68" s="64" t="s">
        <v>166</v>
      </c>
      <c r="D68" s="53" t="s">
        <v>48</v>
      </c>
      <c r="E68" s="53" t="s">
        <v>144</v>
      </c>
      <c r="F68" s="54">
        <v>4</v>
      </c>
      <c r="G68" s="53">
        <v>632.21</v>
      </c>
      <c r="H68" s="55">
        <f t="shared" si="46"/>
        <v>2528.84</v>
      </c>
      <c r="I68" s="56"/>
      <c r="J68" s="56"/>
      <c r="K68" s="56"/>
      <c r="L68" s="56"/>
      <c r="M68" s="57"/>
      <c r="N68" s="58"/>
      <c r="O68" s="59"/>
      <c r="P68" s="57"/>
      <c r="Q68" s="58"/>
      <c r="R68" s="59"/>
      <c r="S68" s="59"/>
      <c r="T68" s="59"/>
      <c r="U68" s="45">
        <f t="shared" si="7"/>
        <v>0</v>
      </c>
      <c r="V68" s="57"/>
      <c r="W68" s="44">
        <f t="shared" si="47"/>
        <v>0</v>
      </c>
      <c r="X68" s="45">
        <f t="shared" si="48"/>
        <v>0</v>
      </c>
      <c r="Y68" s="43">
        <f t="shared" si="1"/>
        <v>0</v>
      </c>
      <c r="Z68" s="58"/>
      <c r="AA68" s="45">
        <f t="shared" si="2"/>
        <v>0</v>
      </c>
      <c r="AB68" s="46">
        <f t="shared" si="3"/>
        <v>0</v>
      </c>
      <c r="AC68" s="58"/>
      <c r="AD68" s="44">
        <f t="shared" si="4"/>
        <v>0</v>
      </c>
      <c r="AE68" s="43">
        <f t="shared" si="5"/>
        <v>0</v>
      </c>
      <c r="AF68" s="44">
        <f t="shared" si="6"/>
        <v>0</v>
      </c>
      <c r="AG68" s="45">
        <f t="shared" si="6"/>
        <v>0</v>
      </c>
      <c r="AH68" s="112">
        <f t="shared" si="49"/>
        <v>0</v>
      </c>
    </row>
    <row r="69" spans="1:34" ht="37.5">
      <c r="A69" s="50" t="s">
        <v>167</v>
      </c>
      <c r="B69" s="76">
        <v>89833</v>
      </c>
      <c r="C69" s="64" t="s">
        <v>168</v>
      </c>
      <c r="D69" s="53" t="s">
        <v>48</v>
      </c>
      <c r="E69" s="53" t="s">
        <v>144</v>
      </c>
      <c r="F69" s="54">
        <v>3</v>
      </c>
      <c r="G69" s="53">
        <v>39.81</v>
      </c>
      <c r="H69" s="55">
        <f t="shared" si="46"/>
        <v>119.43</v>
      </c>
      <c r="I69" s="56"/>
      <c r="J69" s="56"/>
      <c r="K69" s="56"/>
      <c r="L69" s="56"/>
      <c r="M69" s="57"/>
      <c r="N69" s="58"/>
      <c r="O69" s="59"/>
      <c r="P69" s="57">
        <v>0.8</v>
      </c>
      <c r="Q69" s="58">
        <f t="shared" ref="Q69:Q70" si="54">TRUNC(P69*F69,2)</f>
        <v>2.4</v>
      </c>
      <c r="R69" s="59">
        <f t="shared" ref="R69:R70" si="55">TRUNC(Q69*G69)</f>
        <v>95</v>
      </c>
      <c r="S69" s="59"/>
      <c r="T69" s="59">
        <v>0.6</v>
      </c>
      <c r="U69" s="45">
        <f t="shared" si="7"/>
        <v>23</v>
      </c>
      <c r="V69" s="57">
        <v>0.2</v>
      </c>
      <c r="W69" s="107">
        <f t="shared" si="47"/>
        <v>0.6</v>
      </c>
      <c r="X69" s="45">
        <v>0</v>
      </c>
      <c r="Y69" s="43">
        <f t="shared" si="1"/>
        <v>0</v>
      </c>
      <c r="Z69" s="58"/>
      <c r="AA69" s="45">
        <f t="shared" si="2"/>
        <v>0</v>
      </c>
      <c r="AB69" s="46">
        <f t="shared" si="3"/>
        <v>0</v>
      </c>
      <c r="AC69" s="58"/>
      <c r="AD69" s="44">
        <f t="shared" si="4"/>
        <v>0</v>
      </c>
      <c r="AE69" s="43">
        <f t="shared" si="5"/>
        <v>1</v>
      </c>
      <c r="AF69" s="44">
        <f t="shared" si="6"/>
        <v>3.6</v>
      </c>
      <c r="AG69" s="45">
        <f t="shared" si="6"/>
        <v>118</v>
      </c>
      <c r="AH69" s="112" t="str">
        <f t="shared" si="49"/>
        <v>ITEM FINALIZADO</v>
      </c>
    </row>
    <row r="70" spans="1:34" ht="37.5">
      <c r="A70" s="50" t="s">
        <v>169</v>
      </c>
      <c r="B70" s="76">
        <v>102711</v>
      </c>
      <c r="C70" s="64" t="s">
        <v>170</v>
      </c>
      <c r="D70" s="53" t="s">
        <v>48</v>
      </c>
      <c r="E70" s="53" t="s">
        <v>144</v>
      </c>
      <c r="F70" s="54">
        <v>4</v>
      </c>
      <c r="G70" s="53">
        <v>69.19</v>
      </c>
      <c r="H70" s="55">
        <f t="shared" si="46"/>
        <v>276.76</v>
      </c>
      <c r="I70" s="56"/>
      <c r="J70" s="56"/>
      <c r="K70" s="56"/>
      <c r="L70" s="56"/>
      <c r="M70" s="57"/>
      <c r="N70" s="58"/>
      <c r="O70" s="59"/>
      <c r="P70" s="57">
        <v>0.8</v>
      </c>
      <c r="Q70" s="58">
        <f t="shared" si="54"/>
        <v>3.2</v>
      </c>
      <c r="R70" s="59">
        <f t="shared" si="55"/>
        <v>221</v>
      </c>
      <c r="S70" s="59"/>
      <c r="T70" s="59">
        <v>0.8</v>
      </c>
      <c r="U70" s="45">
        <f t="shared" si="7"/>
        <v>55</v>
      </c>
      <c r="V70" s="57">
        <v>0.2</v>
      </c>
      <c r="W70" s="107">
        <f t="shared" si="47"/>
        <v>0.8</v>
      </c>
      <c r="X70" s="45">
        <v>0</v>
      </c>
      <c r="Y70" s="43">
        <f t="shared" si="1"/>
        <v>0</v>
      </c>
      <c r="Z70" s="58"/>
      <c r="AA70" s="45">
        <f t="shared" si="2"/>
        <v>0</v>
      </c>
      <c r="AB70" s="46">
        <f t="shared" si="3"/>
        <v>0</v>
      </c>
      <c r="AC70" s="58"/>
      <c r="AD70" s="44">
        <f t="shared" si="4"/>
        <v>0</v>
      </c>
      <c r="AE70" s="43">
        <f t="shared" si="5"/>
        <v>1</v>
      </c>
      <c r="AF70" s="44">
        <f t="shared" si="6"/>
        <v>4.8</v>
      </c>
      <c r="AG70" s="45">
        <f t="shared" si="6"/>
        <v>276</v>
      </c>
      <c r="AH70" s="112" t="str">
        <f t="shared" si="49"/>
        <v>ITEM FINALIZADO</v>
      </c>
    </row>
    <row r="71" spans="1:34" ht="19.5" customHeight="1">
      <c r="A71" s="28" t="s">
        <v>171</v>
      </c>
      <c r="B71" s="29" t="s">
        <v>172</v>
      </c>
      <c r="C71" s="29"/>
      <c r="D71" s="29"/>
      <c r="E71" s="29"/>
      <c r="F71" s="29"/>
      <c r="G71" s="29"/>
      <c r="H71" s="61">
        <f>SUM(H72:H90)</f>
        <v>28657.7212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62"/>
      <c r="AE71" s="31"/>
      <c r="AF71" s="31"/>
      <c r="AG71" s="31"/>
      <c r="AH71" s="31"/>
    </row>
    <row r="72" spans="1:34" ht="26">
      <c r="A72" s="50" t="s">
        <v>173</v>
      </c>
      <c r="B72" s="63">
        <v>102616</v>
      </c>
      <c r="C72" s="64" t="s">
        <v>174</v>
      </c>
      <c r="D72" s="53" t="s">
        <v>48</v>
      </c>
      <c r="E72" s="53" t="s">
        <v>144</v>
      </c>
      <c r="F72" s="54">
        <v>2</v>
      </c>
      <c r="G72" s="53">
        <v>1826.49</v>
      </c>
      <c r="H72" s="55">
        <f t="shared" ref="H72:H90" si="56">(F72*G72)</f>
        <v>3652.98</v>
      </c>
      <c r="I72" s="56"/>
      <c r="J72" s="56"/>
      <c r="K72" s="56"/>
      <c r="L72" s="56"/>
      <c r="M72" s="57"/>
      <c r="N72" s="58"/>
      <c r="O72" s="59"/>
      <c r="P72" s="57"/>
      <c r="Q72" s="58"/>
      <c r="R72" s="59"/>
      <c r="S72" s="59"/>
      <c r="T72" s="59"/>
      <c r="U72" s="45">
        <f t="shared" si="7"/>
        <v>0</v>
      </c>
      <c r="V72" s="57"/>
      <c r="W72" s="44">
        <f t="shared" ref="W72:W90" si="57">TRUNC(V72*F72,2)</f>
        <v>0</v>
      </c>
      <c r="X72" s="45">
        <f t="shared" ref="X72:X90" si="58">TRUNC(W72*G72)+0</f>
        <v>0</v>
      </c>
      <c r="Y72" s="43">
        <f t="shared" ref="Y72:Y124" si="59">Z72/F72</f>
        <v>0</v>
      </c>
      <c r="Z72" s="58"/>
      <c r="AA72" s="45">
        <f t="shared" ref="AA72:AA124" si="60">TRUNC(Z72*G72)+0</f>
        <v>0</v>
      </c>
      <c r="AB72" s="113">
        <f t="shared" ref="AB72:AB124" si="61">AC72/F72</f>
        <v>1</v>
      </c>
      <c r="AC72" s="114">
        <v>2</v>
      </c>
      <c r="AD72" s="115">
        <f>TRUNC(AC72*G72)</f>
        <v>3652</v>
      </c>
      <c r="AE72" s="116">
        <f>SUM(J72,M72,P72,V72,Y72,AB72)</f>
        <v>1</v>
      </c>
      <c r="AF72" s="44">
        <f t="shared" ref="AF72:AG124" si="62">SUM(K72,N72,Q72,W72,Z72,T72,AC72)</f>
        <v>2</v>
      </c>
      <c r="AG72" s="45">
        <f t="shared" si="62"/>
        <v>3652</v>
      </c>
      <c r="AH72" s="65" t="str">
        <f t="shared" ref="AH72:AH90" si="63">IF(AE72=100%,"ITEM FINALIZADO",AE72)</f>
        <v>ITEM FINALIZADO</v>
      </c>
    </row>
    <row r="73" spans="1:34" ht="26">
      <c r="A73" s="50" t="s">
        <v>175</v>
      </c>
      <c r="B73" s="63">
        <v>89446</v>
      </c>
      <c r="C73" s="64" t="s">
        <v>176</v>
      </c>
      <c r="D73" s="53" t="s">
        <v>48</v>
      </c>
      <c r="E73" s="53" t="s">
        <v>52</v>
      </c>
      <c r="F73" s="54">
        <v>100</v>
      </c>
      <c r="G73" s="53">
        <v>4.93</v>
      </c>
      <c r="H73" s="55">
        <f t="shared" si="56"/>
        <v>493</v>
      </c>
      <c r="I73" s="56"/>
      <c r="J73" s="56"/>
      <c r="K73" s="56"/>
      <c r="L73" s="56"/>
      <c r="M73" s="57"/>
      <c r="N73" s="58"/>
      <c r="O73" s="59"/>
      <c r="P73" s="57"/>
      <c r="Q73" s="58"/>
      <c r="R73" s="59"/>
      <c r="S73" s="59"/>
      <c r="T73" s="59"/>
      <c r="U73" s="45">
        <f t="shared" si="7"/>
        <v>0</v>
      </c>
      <c r="V73" s="57"/>
      <c r="W73" s="44">
        <f t="shared" si="57"/>
        <v>0</v>
      </c>
      <c r="X73" s="45">
        <f t="shared" si="58"/>
        <v>0</v>
      </c>
      <c r="Y73" s="43">
        <f t="shared" si="59"/>
        <v>0</v>
      </c>
      <c r="Z73" s="58"/>
      <c r="AA73" s="45">
        <f t="shared" si="60"/>
        <v>0</v>
      </c>
      <c r="AB73" s="46">
        <f t="shared" si="61"/>
        <v>1</v>
      </c>
      <c r="AC73" s="58">
        <v>100</v>
      </c>
      <c r="AD73" s="44">
        <f t="shared" ref="AD73:AD124" si="64">TRUNC(AC73*G73)</f>
        <v>493</v>
      </c>
      <c r="AE73" s="43">
        <f t="shared" ref="AE73:AE124" si="65">SUM(J73,M73,P73,V73,Y73,AB73)</f>
        <v>1</v>
      </c>
      <c r="AF73" s="44">
        <f t="shared" si="62"/>
        <v>100</v>
      </c>
      <c r="AG73" s="45">
        <f t="shared" si="62"/>
        <v>493</v>
      </c>
      <c r="AH73" s="112" t="str">
        <f t="shared" si="63"/>
        <v>ITEM FINALIZADO</v>
      </c>
    </row>
    <row r="74" spans="1:34" ht="37.5">
      <c r="A74" s="50" t="s">
        <v>177</v>
      </c>
      <c r="B74" s="63">
        <v>89366</v>
      </c>
      <c r="C74" s="64" t="s">
        <v>178</v>
      </c>
      <c r="D74" s="53" t="s">
        <v>48</v>
      </c>
      <c r="E74" s="53" t="s">
        <v>144</v>
      </c>
      <c r="F74" s="54">
        <v>10</v>
      </c>
      <c r="G74" s="53">
        <v>15.08</v>
      </c>
      <c r="H74" s="55">
        <f t="shared" si="56"/>
        <v>150.80000000000001</v>
      </c>
      <c r="I74" s="56"/>
      <c r="J74" s="56"/>
      <c r="K74" s="56"/>
      <c r="L74" s="56"/>
      <c r="M74" s="57"/>
      <c r="N74" s="58"/>
      <c r="O74" s="59"/>
      <c r="P74" s="57"/>
      <c r="Q74" s="58"/>
      <c r="R74" s="59"/>
      <c r="S74" s="59"/>
      <c r="T74" s="59"/>
      <c r="U74" s="45">
        <f t="shared" ref="U74:U123" si="66">TRUNC(G74*T74)+0</f>
        <v>0</v>
      </c>
      <c r="V74" s="57"/>
      <c r="W74" s="44">
        <f t="shared" si="57"/>
        <v>0</v>
      </c>
      <c r="X74" s="45">
        <f t="shared" si="58"/>
        <v>0</v>
      </c>
      <c r="Y74" s="43">
        <f t="shared" si="59"/>
        <v>0</v>
      </c>
      <c r="Z74" s="58"/>
      <c r="AA74" s="45">
        <f t="shared" si="60"/>
        <v>0</v>
      </c>
      <c r="AB74" s="46">
        <f t="shared" si="61"/>
        <v>1</v>
      </c>
      <c r="AC74" s="58">
        <v>10</v>
      </c>
      <c r="AD74" s="44">
        <f t="shared" si="64"/>
        <v>150</v>
      </c>
      <c r="AE74" s="43">
        <f t="shared" si="65"/>
        <v>1</v>
      </c>
      <c r="AF74" s="44">
        <f t="shared" si="62"/>
        <v>10</v>
      </c>
      <c r="AG74" s="45">
        <f t="shared" si="62"/>
        <v>150</v>
      </c>
      <c r="AH74" s="112" t="str">
        <f t="shared" si="63"/>
        <v>ITEM FINALIZADO</v>
      </c>
    </row>
    <row r="75" spans="1:34" ht="26">
      <c r="A75" s="50" t="s">
        <v>179</v>
      </c>
      <c r="B75" s="63">
        <v>89355</v>
      </c>
      <c r="C75" s="64" t="s">
        <v>180</v>
      </c>
      <c r="D75" s="53" t="s">
        <v>48</v>
      </c>
      <c r="E75" s="53" t="s">
        <v>52</v>
      </c>
      <c r="F75" s="54">
        <v>8</v>
      </c>
      <c r="G75" s="53">
        <v>19.97</v>
      </c>
      <c r="H75" s="55">
        <f t="shared" si="56"/>
        <v>159.76</v>
      </c>
      <c r="I75" s="56"/>
      <c r="J75" s="56"/>
      <c r="K75" s="56"/>
      <c r="L75" s="56"/>
      <c r="M75" s="57"/>
      <c r="N75" s="58"/>
      <c r="O75" s="59"/>
      <c r="P75" s="57"/>
      <c r="Q75" s="58"/>
      <c r="R75" s="59"/>
      <c r="S75" s="59"/>
      <c r="T75" s="59"/>
      <c r="U75" s="45">
        <f t="shared" si="66"/>
        <v>0</v>
      </c>
      <c r="V75" s="57"/>
      <c r="W75" s="44">
        <f t="shared" si="57"/>
        <v>0</v>
      </c>
      <c r="X75" s="45">
        <f t="shared" si="58"/>
        <v>0</v>
      </c>
      <c r="Y75" s="43">
        <f t="shared" si="59"/>
        <v>0</v>
      </c>
      <c r="Z75" s="58"/>
      <c r="AA75" s="45">
        <f t="shared" si="60"/>
        <v>0</v>
      </c>
      <c r="AB75" s="46">
        <f t="shared" si="61"/>
        <v>1</v>
      </c>
      <c r="AC75" s="58">
        <v>8</v>
      </c>
      <c r="AD75" s="44">
        <f t="shared" si="64"/>
        <v>159</v>
      </c>
      <c r="AE75" s="43">
        <f t="shared" si="65"/>
        <v>1</v>
      </c>
      <c r="AF75" s="44">
        <f t="shared" si="62"/>
        <v>8</v>
      </c>
      <c r="AG75" s="45">
        <f t="shared" si="62"/>
        <v>159</v>
      </c>
      <c r="AH75" s="112" t="str">
        <f t="shared" si="63"/>
        <v>ITEM FINALIZADO</v>
      </c>
    </row>
    <row r="76" spans="1:34" ht="26">
      <c r="A76" s="50" t="s">
        <v>181</v>
      </c>
      <c r="B76" s="63">
        <v>100860</v>
      </c>
      <c r="C76" s="64" t="s">
        <v>182</v>
      </c>
      <c r="D76" s="53" t="s">
        <v>48</v>
      </c>
      <c r="E76" s="53" t="s">
        <v>144</v>
      </c>
      <c r="F76" s="54">
        <v>9</v>
      </c>
      <c r="G76" s="53">
        <v>96.06</v>
      </c>
      <c r="H76" s="55">
        <f t="shared" si="56"/>
        <v>864.54</v>
      </c>
      <c r="I76" s="56"/>
      <c r="J76" s="56"/>
      <c r="K76" s="56"/>
      <c r="L76" s="56"/>
      <c r="M76" s="57"/>
      <c r="N76" s="58"/>
      <c r="O76" s="59"/>
      <c r="P76" s="57"/>
      <c r="Q76" s="58"/>
      <c r="R76" s="59"/>
      <c r="S76" s="59"/>
      <c r="T76" s="59"/>
      <c r="U76" s="45">
        <f t="shared" si="66"/>
        <v>0</v>
      </c>
      <c r="V76" s="57"/>
      <c r="W76" s="44">
        <f t="shared" si="57"/>
        <v>0</v>
      </c>
      <c r="X76" s="45">
        <f t="shared" si="58"/>
        <v>0</v>
      </c>
      <c r="Y76" s="43">
        <f t="shared" si="59"/>
        <v>0</v>
      </c>
      <c r="Z76" s="58"/>
      <c r="AA76" s="45">
        <f t="shared" si="60"/>
        <v>0</v>
      </c>
      <c r="AB76" s="46">
        <f t="shared" si="61"/>
        <v>1</v>
      </c>
      <c r="AC76" s="58">
        <v>9</v>
      </c>
      <c r="AD76" s="44">
        <f t="shared" si="64"/>
        <v>864</v>
      </c>
      <c r="AE76" s="43">
        <f t="shared" si="65"/>
        <v>1</v>
      </c>
      <c r="AF76" s="44">
        <f t="shared" si="62"/>
        <v>9</v>
      </c>
      <c r="AG76" s="45">
        <f t="shared" si="62"/>
        <v>864</v>
      </c>
      <c r="AH76" s="112" t="str">
        <f t="shared" si="63"/>
        <v>ITEM FINALIZADO</v>
      </c>
    </row>
    <row r="77" spans="1:34" ht="26">
      <c r="A77" s="50" t="s">
        <v>183</v>
      </c>
      <c r="B77" s="63">
        <v>89528</v>
      </c>
      <c r="C77" s="64" t="s">
        <v>184</v>
      </c>
      <c r="D77" s="53" t="s">
        <v>48</v>
      </c>
      <c r="E77" s="53" t="s">
        <v>144</v>
      </c>
      <c r="F77" s="54">
        <v>20</v>
      </c>
      <c r="G77" s="53">
        <v>3.83</v>
      </c>
      <c r="H77" s="55">
        <f t="shared" si="56"/>
        <v>76.599999999999994</v>
      </c>
      <c r="I77" s="56"/>
      <c r="J77" s="56"/>
      <c r="K77" s="56"/>
      <c r="L77" s="56"/>
      <c r="M77" s="57"/>
      <c r="N77" s="58"/>
      <c r="O77" s="59"/>
      <c r="P77" s="57"/>
      <c r="Q77" s="58"/>
      <c r="R77" s="59"/>
      <c r="S77" s="59"/>
      <c r="T77" s="59"/>
      <c r="U77" s="45">
        <f t="shared" si="66"/>
        <v>0</v>
      </c>
      <c r="V77" s="57"/>
      <c r="W77" s="44">
        <f t="shared" si="57"/>
        <v>0</v>
      </c>
      <c r="X77" s="45">
        <f t="shared" si="58"/>
        <v>0</v>
      </c>
      <c r="Y77" s="43">
        <f t="shared" si="59"/>
        <v>0</v>
      </c>
      <c r="Z77" s="58"/>
      <c r="AA77" s="45">
        <f t="shared" si="60"/>
        <v>0</v>
      </c>
      <c r="AB77" s="46">
        <f t="shared" si="61"/>
        <v>1</v>
      </c>
      <c r="AC77" s="58">
        <v>20</v>
      </c>
      <c r="AD77" s="44">
        <f t="shared" si="64"/>
        <v>76</v>
      </c>
      <c r="AE77" s="43">
        <f t="shared" si="65"/>
        <v>1</v>
      </c>
      <c r="AF77" s="44">
        <f t="shared" si="62"/>
        <v>20</v>
      </c>
      <c r="AG77" s="45">
        <f t="shared" si="62"/>
        <v>76</v>
      </c>
      <c r="AH77" s="112" t="str">
        <f t="shared" si="63"/>
        <v>ITEM FINALIZADO</v>
      </c>
    </row>
    <row r="78" spans="1:34" ht="26">
      <c r="A78" s="50" t="s">
        <v>185</v>
      </c>
      <c r="B78" s="63">
        <v>104199</v>
      </c>
      <c r="C78" s="64" t="s">
        <v>186</v>
      </c>
      <c r="D78" s="53" t="s">
        <v>48</v>
      </c>
      <c r="E78" s="53" t="s">
        <v>144</v>
      </c>
      <c r="F78" s="54">
        <v>5</v>
      </c>
      <c r="G78" s="53">
        <v>7.02</v>
      </c>
      <c r="H78" s="55">
        <f t="shared" si="56"/>
        <v>35.099999999999994</v>
      </c>
      <c r="I78" s="56"/>
      <c r="J78" s="56"/>
      <c r="K78" s="56"/>
      <c r="L78" s="56"/>
      <c r="M78" s="57"/>
      <c r="N78" s="58"/>
      <c r="O78" s="59"/>
      <c r="P78" s="57"/>
      <c r="Q78" s="58"/>
      <c r="R78" s="59"/>
      <c r="S78" s="59"/>
      <c r="T78" s="59"/>
      <c r="U78" s="45">
        <f t="shared" si="66"/>
        <v>0</v>
      </c>
      <c r="V78" s="57"/>
      <c r="W78" s="44">
        <f t="shared" si="57"/>
        <v>0</v>
      </c>
      <c r="X78" s="45">
        <f t="shared" si="58"/>
        <v>0</v>
      </c>
      <c r="Y78" s="43">
        <f t="shared" si="59"/>
        <v>0</v>
      </c>
      <c r="Z78" s="58"/>
      <c r="AA78" s="45">
        <f t="shared" si="60"/>
        <v>0</v>
      </c>
      <c r="AB78" s="46">
        <f t="shared" si="61"/>
        <v>1</v>
      </c>
      <c r="AC78" s="58">
        <v>5</v>
      </c>
      <c r="AD78" s="44">
        <f t="shared" si="64"/>
        <v>35</v>
      </c>
      <c r="AE78" s="43">
        <f t="shared" si="65"/>
        <v>1</v>
      </c>
      <c r="AF78" s="44">
        <f t="shared" si="62"/>
        <v>5</v>
      </c>
      <c r="AG78" s="45">
        <f t="shared" si="62"/>
        <v>35</v>
      </c>
      <c r="AH78" s="112" t="str">
        <f t="shared" si="63"/>
        <v>ITEM FINALIZADO</v>
      </c>
    </row>
    <row r="79" spans="1:34" ht="37.5">
      <c r="A79" s="50" t="s">
        <v>187</v>
      </c>
      <c r="B79" s="63">
        <v>101964</v>
      </c>
      <c r="C79" s="64" t="s">
        <v>188</v>
      </c>
      <c r="D79" s="53" t="s">
        <v>48</v>
      </c>
      <c r="E79" s="53" t="s">
        <v>45</v>
      </c>
      <c r="F79" s="54">
        <v>9</v>
      </c>
      <c r="G79" s="53">
        <v>152.69999999999999</v>
      </c>
      <c r="H79" s="55">
        <f t="shared" si="56"/>
        <v>1374.3</v>
      </c>
      <c r="I79" s="56"/>
      <c r="J79" s="56"/>
      <c r="K79" s="56"/>
      <c r="L79" s="56"/>
      <c r="M79" s="57"/>
      <c r="N79" s="58"/>
      <c r="O79" s="59"/>
      <c r="P79" s="57"/>
      <c r="Q79" s="58"/>
      <c r="R79" s="59"/>
      <c r="S79" s="59"/>
      <c r="T79" s="59"/>
      <c r="U79" s="45">
        <f t="shared" si="66"/>
        <v>0</v>
      </c>
      <c r="V79" s="57"/>
      <c r="W79" s="44">
        <f t="shared" si="57"/>
        <v>0</v>
      </c>
      <c r="X79" s="45">
        <f t="shared" si="58"/>
        <v>0</v>
      </c>
      <c r="Y79" s="43">
        <f t="shared" si="59"/>
        <v>0</v>
      </c>
      <c r="Z79" s="58"/>
      <c r="AA79" s="45">
        <f t="shared" si="60"/>
        <v>0</v>
      </c>
      <c r="AB79" s="46">
        <f t="shared" si="61"/>
        <v>0</v>
      </c>
      <c r="AC79" s="58"/>
      <c r="AD79" s="44">
        <f t="shared" si="64"/>
        <v>0</v>
      </c>
      <c r="AE79" s="43">
        <f t="shared" si="65"/>
        <v>0</v>
      </c>
      <c r="AF79" s="44">
        <f t="shared" si="62"/>
        <v>0</v>
      </c>
      <c r="AG79" s="45">
        <f t="shared" si="62"/>
        <v>0</v>
      </c>
      <c r="AH79" s="112">
        <f t="shared" si="63"/>
        <v>0</v>
      </c>
    </row>
    <row r="80" spans="1:34" ht="25">
      <c r="A80" s="50" t="s">
        <v>189</v>
      </c>
      <c r="B80" s="63">
        <v>95545</v>
      </c>
      <c r="C80" s="64" t="s">
        <v>190</v>
      </c>
      <c r="D80" s="53" t="s">
        <v>48</v>
      </c>
      <c r="E80" s="53" t="s">
        <v>144</v>
      </c>
      <c r="F80" s="54">
        <v>9</v>
      </c>
      <c r="G80" s="53">
        <v>33.31</v>
      </c>
      <c r="H80" s="55">
        <f t="shared" si="56"/>
        <v>299.79000000000002</v>
      </c>
      <c r="I80" s="56"/>
      <c r="J80" s="56"/>
      <c r="K80" s="56"/>
      <c r="L80" s="56"/>
      <c r="M80" s="57"/>
      <c r="N80" s="58"/>
      <c r="O80" s="59"/>
      <c r="P80" s="57"/>
      <c r="Q80" s="58"/>
      <c r="R80" s="59"/>
      <c r="S80" s="59"/>
      <c r="T80" s="59"/>
      <c r="U80" s="45">
        <f t="shared" si="66"/>
        <v>0</v>
      </c>
      <c r="V80" s="57"/>
      <c r="W80" s="44">
        <f t="shared" si="57"/>
        <v>0</v>
      </c>
      <c r="X80" s="45">
        <f t="shared" si="58"/>
        <v>0</v>
      </c>
      <c r="Y80" s="43">
        <f t="shared" si="59"/>
        <v>0</v>
      </c>
      <c r="Z80" s="58"/>
      <c r="AA80" s="45">
        <f t="shared" si="60"/>
        <v>0</v>
      </c>
      <c r="AB80" s="46">
        <f t="shared" si="61"/>
        <v>0</v>
      </c>
      <c r="AC80" s="58"/>
      <c r="AD80" s="44">
        <f t="shared" si="64"/>
        <v>0</v>
      </c>
      <c r="AE80" s="43">
        <f t="shared" si="65"/>
        <v>0</v>
      </c>
      <c r="AF80" s="44">
        <f t="shared" si="62"/>
        <v>0</v>
      </c>
      <c r="AG80" s="45">
        <f t="shared" si="62"/>
        <v>0</v>
      </c>
      <c r="AH80" s="112">
        <f t="shared" si="63"/>
        <v>0</v>
      </c>
    </row>
    <row r="81" spans="1:34" ht="37.5">
      <c r="A81" s="50" t="s">
        <v>191</v>
      </c>
      <c r="B81" s="63">
        <v>95547</v>
      </c>
      <c r="C81" s="64" t="s">
        <v>192</v>
      </c>
      <c r="D81" s="53" t="s">
        <v>48</v>
      </c>
      <c r="E81" s="53" t="s">
        <v>144</v>
      </c>
      <c r="F81" s="54">
        <v>10</v>
      </c>
      <c r="G81" s="53">
        <v>91.61</v>
      </c>
      <c r="H81" s="55">
        <f t="shared" si="56"/>
        <v>916.1</v>
      </c>
      <c r="I81" s="56"/>
      <c r="J81" s="56"/>
      <c r="K81" s="56"/>
      <c r="L81" s="56"/>
      <c r="M81" s="57"/>
      <c r="N81" s="58"/>
      <c r="O81" s="59"/>
      <c r="P81" s="57"/>
      <c r="Q81" s="58"/>
      <c r="R81" s="59"/>
      <c r="S81" s="59"/>
      <c r="T81" s="59"/>
      <c r="U81" s="45">
        <f t="shared" si="66"/>
        <v>0</v>
      </c>
      <c r="V81" s="57"/>
      <c r="W81" s="44">
        <f t="shared" si="57"/>
        <v>0</v>
      </c>
      <c r="X81" s="45">
        <f t="shared" si="58"/>
        <v>0</v>
      </c>
      <c r="Y81" s="43">
        <f t="shared" si="59"/>
        <v>0</v>
      </c>
      <c r="Z81" s="58"/>
      <c r="AA81" s="45">
        <f t="shared" si="60"/>
        <v>0</v>
      </c>
      <c r="AB81" s="46">
        <f t="shared" si="61"/>
        <v>0</v>
      </c>
      <c r="AC81" s="58"/>
      <c r="AD81" s="44">
        <f t="shared" si="64"/>
        <v>0</v>
      </c>
      <c r="AE81" s="43">
        <f t="shared" si="65"/>
        <v>0</v>
      </c>
      <c r="AF81" s="44">
        <f t="shared" si="62"/>
        <v>0</v>
      </c>
      <c r="AG81" s="45">
        <f t="shared" si="62"/>
        <v>0</v>
      </c>
      <c r="AH81" s="112">
        <f t="shared" si="63"/>
        <v>0</v>
      </c>
    </row>
    <row r="82" spans="1:34" ht="37.5">
      <c r="A82" s="50" t="s">
        <v>193</v>
      </c>
      <c r="B82" s="63">
        <v>95547</v>
      </c>
      <c r="C82" s="64" t="s">
        <v>194</v>
      </c>
      <c r="D82" s="53" t="s">
        <v>48</v>
      </c>
      <c r="E82" s="53" t="s">
        <v>144</v>
      </c>
      <c r="F82" s="54">
        <v>12</v>
      </c>
      <c r="G82" s="53">
        <v>91.61</v>
      </c>
      <c r="H82" s="55">
        <f t="shared" si="56"/>
        <v>1099.32</v>
      </c>
      <c r="I82" s="56"/>
      <c r="J82" s="56"/>
      <c r="K82" s="56"/>
      <c r="L82" s="56"/>
      <c r="M82" s="57"/>
      <c r="N82" s="58"/>
      <c r="O82" s="59"/>
      <c r="P82" s="57"/>
      <c r="Q82" s="58"/>
      <c r="R82" s="59"/>
      <c r="S82" s="59"/>
      <c r="T82" s="59"/>
      <c r="U82" s="45">
        <f t="shared" si="66"/>
        <v>0</v>
      </c>
      <c r="V82" s="57"/>
      <c r="W82" s="44">
        <f t="shared" si="57"/>
        <v>0</v>
      </c>
      <c r="X82" s="45">
        <f t="shared" si="58"/>
        <v>0</v>
      </c>
      <c r="Y82" s="43">
        <f t="shared" si="59"/>
        <v>0</v>
      </c>
      <c r="Z82" s="58"/>
      <c r="AA82" s="45">
        <f t="shared" si="60"/>
        <v>0</v>
      </c>
      <c r="AB82" s="46">
        <f t="shared" si="61"/>
        <v>0</v>
      </c>
      <c r="AC82" s="58"/>
      <c r="AD82" s="44">
        <f t="shared" si="64"/>
        <v>0</v>
      </c>
      <c r="AE82" s="43">
        <f t="shared" si="65"/>
        <v>0</v>
      </c>
      <c r="AF82" s="44">
        <f t="shared" si="62"/>
        <v>0</v>
      </c>
      <c r="AG82" s="45">
        <f t="shared" si="62"/>
        <v>0</v>
      </c>
      <c r="AH82" s="112">
        <f t="shared" si="63"/>
        <v>0</v>
      </c>
    </row>
    <row r="83" spans="1:34" ht="37.5">
      <c r="A83" s="50" t="s">
        <v>195</v>
      </c>
      <c r="B83" s="63">
        <v>90373</v>
      </c>
      <c r="C83" s="64" t="s">
        <v>196</v>
      </c>
      <c r="D83" s="53" t="s">
        <v>48</v>
      </c>
      <c r="E83" s="53" t="s">
        <v>144</v>
      </c>
      <c r="F83" s="54">
        <v>10</v>
      </c>
      <c r="G83" s="53">
        <v>12.1</v>
      </c>
      <c r="H83" s="55">
        <f t="shared" si="56"/>
        <v>121</v>
      </c>
      <c r="I83" s="56"/>
      <c r="J83" s="56"/>
      <c r="K83" s="56"/>
      <c r="L83" s="56"/>
      <c r="M83" s="57"/>
      <c r="N83" s="58"/>
      <c r="O83" s="59"/>
      <c r="P83" s="57"/>
      <c r="Q83" s="58"/>
      <c r="R83" s="59"/>
      <c r="S83" s="59"/>
      <c r="T83" s="59"/>
      <c r="U83" s="45">
        <f t="shared" si="66"/>
        <v>0</v>
      </c>
      <c r="V83" s="57"/>
      <c r="W83" s="44">
        <f t="shared" si="57"/>
        <v>0</v>
      </c>
      <c r="X83" s="45">
        <f t="shared" si="58"/>
        <v>0</v>
      </c>
      <c r="Y83" s="43">
        <f t="shared" si="59"/>
        <v>0</v>
      </c>
      <c r="Z83" s="58"/>
      <c r="AA83" s="45">
        <f t="shared" si="60"/>
        <v>0</v>
      </c>
      <c r="AB83" s="46">
        <f t="shared" si="61"/>
        <v>1</v>
      </c>
      <c r="AC83" s="58">
        <v>10</v>
      </c>
      <c r="AD83" s="44">
        <f t="shared" si="64"/>
        <v>121</v>
      </c>
      <c r="AE83" s="43">
        <f t="shared" si="65"/>
        <v>1</v>
      </c>
      <c r="AF83" s="44">
        <f t="shared" si="62"/>
        <v>10</v>
      </c>
      <c r="AG83" s="45">
        <f t="shared" si="62"/>
        <v>121</v>
      </c>
      <c r="AH83" s="112" t="str">
        <f t="shared" si="63"/>
        <v>ITEM FINALIZADO</v>
      </c>
    </row>
    <row r="84" spans="1:34" ht="37.5">
      <c r="A84" s="50" t="s">
        <v>197</v>
      </c>
      <c r="B84" s="63">
        <v>89985</v>
      </c>
      <c r="C84" s="64" t="s">
        <v>198</v>
      </c>
      <c r="D84" s="53" t="s">
        <v>48</v>
      </c>
      <c r="E84" s="53" t="s">
        <v>144</v>
      </c>
      <c r="F84" s="54">
        <v>9</v>
      </c>
      <c r="G84" s="53">
        <v>91.43</v>
      </c>
      <c r="H84" s="55">
        <f t="shared" si="56"/>
        <v>822.87000000000012</v>
      </c>
      <c r="I84" s="56"/>
      <c r="J84" s="56"/>
      <c r="K84" s="56"/>
      <c r="L84" s="56"/>
      <c r="M84" s="57"/>
      <c r="N84" s="58"/>
      <c r="O84" s="59"/>
      <c r="P84" s="57"/>
      <c r="Q84" s="58"/>
      <c r="R84" s="59"/>
      <c r="S84" s="59"/>
      <c r="T84" s="59"/>
      <c r="U84" s="45">
        <f t="shared" si="66"/>
        <v>0</v>
      </c>
      <c r="V84" s="57"/>
      <c r="W84" s="44">
        <f t="shared" si="57"/>
        <v>0</v>
      </c>
      <c r="X84" s="45">
        <f t="shared" si="58"/>
        <v>0</v>
      </c>
      <c r="Y84" s="43">
        <f t="shared" si="59"/>
        <v>0</v>
      </c>
      <c r="Z84" s="58"/>
      <c r="AA84" s="45">
        <f t="shared" si="60"/>
        <v>0</v>
      </c>
      <c r="AB84" s="46">
        <f t="shared" si="61"/>
        <v>1</v>
      </c>
      <c r="AC84" s="58">
        <v>9</v>
      </c>
      <c r="AD84" s="44">
        <f t="shared" si="64"/>
        <v>822</v>
      </c>
      <c r="AE84" s="43">
        <f t="shared" si="65"/>
        <v>1</v>
      </c>
      <c r="AF84" s="44">
        <f t="shared" si="62"/>
        <v>9</v>
      </c>
      <c r="AG84" s="45">
        <f t="shared" si="62"/>
        <v>822</v>
      </c>
      <c r="AH84" s="112" t="str">
        <f t="shared" si="63"/>
        <v>ITEM FINALIZADO</v>
      </c>
    </row>
    <row r="85" spans="1:34" ht="25">
      <c r="A85" s="50" t="s">
        <v>199</v>
      </c>
      <c r="B85" s="63">
        <v>86915</v>
      </c>
      <c r="C85" s="64" t="s">
        <v>200</v>
      </c>
      <c r="D85" s="53" t="s">
        <v>48</v>
      </c>
      <c r="E85" s="53" t="s">
        <v>144</v>
      </c>
      <c r="F85" s="54">
        <v>10</v>
      </c>
      <c r="G85" s="53">
        <v>126.1</v>
      </c>
      <c r="H85" s="55">
        <f t="shared" si="56"/>
        <v>1261</v>
      </c>
      <c r="I85" s="56"/>
      <c r="J85" s="56"/>
      <c r="K85" s="56"/>
      <c r="L85" s="56"/>
      <c r="M85" s="57"/>
      <c r="N85" s="58"/>
      <c r="O85" s="59"/>
      <c r="P85" s="57"/>
      <c r="Q85" s="58"/>
      <c r="R85" s="59"/>
      <c r="S85" s="59"/>
      <c r="T85" s="59"/>
      <c r="U85" s="45">
        <f t="shared" si="66"/>
        <v>0</v>
      </c>
      <c r="V85" s="57"/>
      <c r="W85" s="44">
        <f t="shared" si="57"/>
        <v>0</v>
      </c>
      <c r="X85" s="45">
        <f t="shared" si="58"/>
        <v>0</v>
      </c>
      <c r="Y85" s="43">
        <f t="shared" si="59"/>
        <v>0</v>
      </c>
      <c r="Z85" s="58"/>
      <c r="AA85" s="45">
        <f t="shared" si="60"/>
        <v>0</v>
      </c>
      <c r="AB85" s="46">
        <f t="shared" si="61"/>
        <v>0</v>
      </c>
      <c r="AC85" s="58"/>
      <c r="AD85" s="44">
        <f t="shared" si="64"/>
        <v>0</v>
      </c>
      <c r="AE85" s="43">
        <f t="shared" si="65"/>
        <v>0</v>
      </c>
      <c r="AF85" s="44">
        <f t="shared" si="62"/>
        <v>0</v>
      </c>
      <c r="AG85" s="45">
        <f t="shared" si="62"/>
        <v>0</v>
      </c>
      <c r="AH85" s="112">
        <f t="shared" si="63"/>
        <v>0</v>
      </c>
    </row>
    <row r="86" spans="1:34" ht="37.5">
      <c r="A86" s="50" t="s">
        <v>201</v>
      </c>
      <c r="B86" s="63">
        <v>86911</v>
      </c>
      <c r="C86" s="64" t="s">
        <v>202</v>
      </c>
      <c r="D86" s="53" t="s">
        <v>48</v>
      </c>
      <c r="E86" s="53" t="s">
        <v>144</v>
      </c>
      <c r="F86" s="54">
        <v>1</v>
      </c>
      <c r="G86" s="53">
        <v>77.430000000000007</v>
      </c>
      <c r="H86" s="55">
        <f t="shared" si="56"/>
        <v>77.430000000000007</v>
      </c>
      <c r="I86" s="56"/>
      <c r="J86" s="56"/>
      <c r="K86" s="56"/>
      <c r="L86" s="56"/>
      <c r="M86" s="57"/>
      <c r="N86" s="58"/>
      <c r="O86" s="59"/>
      <c r="P86" s="57"/>
      <c r="Q86" s="58"/>
      <c r="R86" s="59"/>
      <c r="S86" s="59"/>
      <c r="T86" s="59"/>
      <c r="U86" s="45">
        <f t="shared" si="66"/>
        <v>0</v>
      </c>
      <c r="V86" s="57"/>
      <c r="W86" s="44">
        <f t="shared" si="57"/>
        <v>0</v>
      </c>
      <c r="X86" s="45">
        <f t="shared" si="58"/>
        <v>0</v>
      </c>
      <c r="Y86" s="43">
        <f t="shared" si="59"/>
        <v>0</v>
      </c>
      <c r="Z86" s="58"/>
      <c r="AA86" s="45">
        <f t="shared" si="60"/>
        <v>0</v>
      </c>
      <c r="AB86" s="46">
        <f t="shared" si="61"/>
        <v>0</v>
      </c>
      <c r="AC86" s="58"/>
      <c r="AD86" s="44">
        <f t="shared" si="64"/>
        <v>0</v>
      </c>
      <c r="AE86" s="43">
        <f t="shared" si="65"/>
        <v>0</v>
      </c>
      <c r="AF86" s="44">
        <f t="shared" si="62"/>
        <v>0</v>
      </c>
      <c r="AG86" s="45">
        <f t="shared" si="62"/>
        <v>0</v>
      </c>
      <c r="AH86" s="112">
        <f t="shared" si="63"/>
        <v>0</v>
      </c>
    </row>
    <row r="87" spans="1:34" ht="26">
      <c r="A87" s="50" t="s">
        <v>203</v>
      </c>
      <c r="B87" s="63">
        <v>94497</v>
      </c>
      <c r="C87" s="64" t="s">
        <v>204</v>
      </c>
      <c r="D87" s="53" t="s">
        <v>48</v>
      </c>
      <c r="E87" s="53" t="s">
        <v>144</v>
      </c>
      <c r="F87" s="54">
        <v>9</v>
      </c>
      <c r="G87" s="53">
        <v>108.06</v>
      </c>
      <c r="H87" s="55">
        <f t="shared" si="56"/>
        <v>972.54</v>
      </c>
      <c r="I87" s="56"/>
      <c r="J87" s="56"/>
      <c r="K87" s="56"/>
      <c r="L87" s="56"/>
      <c r="M87" s="57"/>
      <c r="N87" s="58"/>
      <c r="O87" s="59"/>
      <c r="P87" s="57"/>
      <c r="Q87" s="58"/>
      <c r="R87" s="59"/>
      <c r="S87" s="59"/>
      <c r="T87" s="59"/>
      <c r="U87" s="45">
        <f t="shared" si="66"/>
        <v>0</v>
      </c>
      <c r="V87" s="57"/>
      <c r="W87" s="44">
        <f t="shared" si="57"/>
        <v>0</v>
      </c>
      <c r="X87" s="45">
        <f t="shared" si="58"/>
        <v>0</v>
      </c>
      <c r="Y87" s="43">
        <f t="shared" si="59"/>
        <v>0</v>
      </c>
      <c r="Z87" s="58"/>
      <c r="AA87" s="45">
        <f t="shared" si="60"/>
        <v>0</v>
      </c>
      <c r="AB87" s="46">
        <f t="shared" si="61"/>
        <v>1</v>
      </c>
      <c r="AC87" s="58">
        <v>9</v>
      </c>
      <c r="AD87" s="44">
        <f t="shared" si="64"/>
        <v>972</v>
      </c>
      <c r="AE87" s="43">
        <f t="shared" si="65"/>
        <v>1</v>
      </c>
      <c r="AF87" s="44">
        <f t="shared" si="62"/>
        <v>9</v>
      </c>
      <c r="AG87" s="45">
        <f t="shared" si="62"/>
        <v>972</v>
      </c>
      <c r="AH87" s="112" t="str">
        <f t="shared" si="63"/>
        <v>ITEM FINALIZADO</v>
      </c>
    </row>
    <row r="88" spans="1:34" ht="26">
      <c r="A88" s="50" t="s">
        <v>205</v>
      </c>
      <c r="B88" s="63">
        <v>103039</v>
      </c>
      <c r="C88" s="64" t="s">
        <v>206</v>
      </c>
      <c r="D88" s="53" t="s">
        <v>48</v>
      </c>
      <c r="E88" s="53" t="s">
        <v>144</v>
      </c>
      <c r="F88" s="54">
        <v>5</v>
      </c>
      <c r="G88" s="53">
        <v>50.13</v>
      </c>
      <c r="H88" s="55">
        <f t="shared" si="56"/>
        <v>250.65</v>
      </c>
      <c r="I88" s="56"/>
      <c r="J88" s="56"/>
      <c r="K88" s="56"/>
      <c r="L88" s="56"/>
      <c r="M88" s="57"/>
      <c r="N88" s="58"/>
      <c r="O88" s="59"/>
      <c r="P88" s="57"/>
      <c r="Q88" s="58"/>
      <c r="R88" s="59"/>
      <c r="S88" s="59"/>
      <c r="T88" s="59"/>
      <c r="U88" s="45">
        <f t="shared" si="66"/>
        <v>0</v>
      </c>
      <c r="V88" s="57"/>
      <c r="W88" s="44">
        <f t="shared" si="57"/>
        <v>0</v>
      </c>
      <c r="X88" s="45">
        <f t="shared" si="58"/>
        <v>0</v>
      </c>
      <c r="Y88" s="43">
        <f t="shared" si="59"/>
        <v>0</v>
      </c>
      <c r="Z88" s="58"/>
      <c r="AA88" s="45">
        <f t="shared" si="60"/>
        <v>0</v>
      </c>
      <c r="AB88" s="46">
        <f t="shared" si="61"/>
        <v>1</v>
      </c>
      <c r="AC88" s="58">
        <v>5</v>
      </c>
      <c r="AD88" s="44">
        <f t="shared" si="64"/>
        <v>250</v>
      </c>
      <c r="AE88" s="43">
        <f t="shared" si="65"/>
        <v>1</v>
      </c>
      <c r="AF88" s="44">
        <f t="shared" si="62"/>
        <v>5</v>
      </c>
      <c r="AG88" s="45">
        <f t="shared" si="62"/>
        <v>250</v>
      </c>
      <c r="AH88" s="112" t="str">
        <f t="shared" si="63"/>
        <v>ITEM FINALIZADO</v>
      </c>
    </row>
    <row r="89" spans="1:34" ht="62.5">
      <c r="A89" s="50" t="s">
        <v>207</v>
      </c>
      <c r="B89" s="63">
        <v>94782</v>
      </c>
      <c r="C89" s="108" t="s">
        <v>208</v>
      </c>
      <c r="D89" s="53" t="s">
        <v>48</v>
      </c>
      <c r="E89" s="53" t="s">
        <v>45</v>
      </c>
      <c r="F89" s="54">
        <v>9</v>
      </c>
      <c r="G89" s="53">
        <v>44.22</v>
      </c>
      <c r="H89" s="55">
        <f t="shared" si="56"/>
        <v>397.98</v>
      </c>
      <c r="I89" s="56"/>
      <c r="J89" s="56"/>
      <c r="K89" s="56"/>
      <c r="L89" s="56"/>
      <c r="M89" s="57"/>
      <c r="N89" s="58"/>
      <c r="O89" s="59"/>
      <c r="P89" s="57"/>
      <c r="Q89" s="58"/>
      <c r="R89" s="59"/>
      <c r="S89" s="59"/>
      <c r="T89" s="59"/>
      <c r="U89" s="45">
        <f t="shared" si="66"/>
        <v>0</v>
      </c>
      <c r="V89" s="57"/>
      <c r="W89" s="44">
        <f t="shared" si="57"/>
        <v>0</v>
      </c>
      <c r="X89" s="45">
        <f t="shared" si="58"/>
        <v>0</v>
      </c>
      <c r="Y89" s="43">
        <f t="shared" si="59"/>
        <v>0</v>
      </c>
      <c r="Z89" s="58"/>
      <c r="AA89" s="45">
        <f t="shared" si="60"/>
        <v>0</v>
      </c>
      <c r="AB89" s="46">
        <f t="shared" si="61"/>
        <v>0</v>
      </c>
      <c r="AC89" s="58"/>
      <c r="AD89" s="44">
        <f t="shared" si="64"/>
        <v>0</v>
      </c>
      <c r="AE89" s="43">
        <f t="shared" si="65"/>
        <v>0</v>
      </c>
      <c r="AF89" s="44">
        <f t="shared" si="62"/>
        <v>0</v>
      </c>
      <c r="AG89" s="45">
        <f t="shared" si="62"/>
        <v>0</v>
      </c>
      <c r="AH89" s="112">
        <f t="shared" si="63"/>
        <v>0</v>
      </c>
    </row>
    <row r="90" spans="1:34" ht="26">
      <c r="A90" s="50" t="s">
        <v>209</v>
      </c>
      <c r="B90" s="63">
        <v>98557</v>
      </c>
      <c r="C90" s="64" t="s">
        <v>210</v>
      </c>
      <c r="D90" s="53" t="s">
        <v>48</v>
      </c>
      <c r="E90" s="53" t="s">
        <v>45</v>
      </c>
      <c r="F90" s="54">
        <v>339.53</v>
      </c>
      <c r="G90" s="53">
        <v>46.04</v>
      </c>
      <c r="H90" s="55">
        <f t="shared" si="56"/>
        <v>15631.961199999998</v>
      </c>
      <c r="I90" s="56"/>
      <c r="J90" s="56"/>
      <c r="K90" s="56"/>
      <c r="L90" s="56"/>
      <c r="M90" s="57"/>
      <c r="N90" s="58"/>
      <c r="O90" s="59"/>
      <c r="P90" s="57">
        <v>1</v>
      </c>
      <c r="Q90" s="58">
        <f>TRUNC(P90*F90,2)</f>
        <v>339.53</v>
      </c>
      <c r="R90" s="59">
        <f>TRUNC(Q90*G90)</f>
        <v>15631</v>
      </c>
      <c r="S90" s="59"/>
      <c r="T90" s="59"/>
      <c r="U90" s="45">
        <f t="shared" si="66"/>
        <v>0</v>
      </c>
      <c r="V90" s="57"/>
      <c r="W90" s="44">
        <f t="shared" si="57"/>
        <v>0</v>
      </c>
      <c r="X90" s="45">
        <f t="shared" si="58"/>
        <v>0</v>
      </c>
      <c r="Y90" s="43">
        <f t="shared" si="59"/>
        <v>0</v>
      </c>
      <c r="Z90" s="58"/>
      <c r="AA90" s="45">
        <f t="shared" si="60"/>
        <v>0</v>
      </c>
      <c r="AB90" s="46">
        <f t="shared" si="61"/>
        <v>0</v>
      </c>
      <c r="AC90" s="58"/>
      <c r="AD90" s="44">
        <f t="shared" si="64"/>
        <v>0</v>
      </c>
      <c r="AE90" s="43">
        <f t="shared" si="65"/>
        <v>1</v>
      </c>
      <c r="AF90" s="44">
        <f t="shared" si="62"/>
        <v>339.53</v>
      </c>
      <c r="AG90" s="45">
        <f t="shared" si="62"/>
        <v>15631</v>
      </c>
      <c r="AH90" s="65" t="str">
        <f t="shared" si="63"/>
        <v>ITEM FINALIZADO</v>
      </c>
    </row>
    <row r="91" spans="1:34" ht="20.149999999999999" customHeight="1">
      <c r="A91" s="28">
        <v>8</v>
      </c>
      <c r="B91" s="29" t="s">
        <v>211</v>
      </c>
      <c r="C91" s="29"/>
      <c r="D91" s="29"/>
      <c r="E91" s="29"/>
      <c r="F91" s="29"/>
      <c r="G91" s="29"/>
      <c r="H91" s="61">
        <f>SUM(H92:H97)</f>
        <v>109225.02660000001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62"/>
      <c r="AE91" s="31"/>
      <c r="AF91" s="31"/>
      <c r="AG91" s="31"/>
      <c r="AH91" s="31"/>
    </row>
    <row r="92" spans="1:34" ht="25">
      <c r="A92" s="50" t="s">
        <v>212</v>
      </c>
      <c r="B92" s="109">
        <v>98135</v>
      </c>
      <c r="C92" s="110" t="s">
        <v>213</v>
      </c>
      <c r="D92" s="73" t="s">
        <v>48</v>
      </c>
      <c r="E92" s="73" t="s">
        <v>45</v>
      </c>
      <c r="F92" s="73">
        <v>2157.3200000000002</v>
      </c>
      <c r="G92" s="74">
        <v>28.15</v>
      </c>
      <c r="H92" s="55">
        <f>(F92*G92)-0.01</f>
        <v>60728.548000000003</v>
      </c>
      <c r="I92" s="56"/>
      <c r="J92" s="56"/>
      <c r="K92" s="56"/>
      <c r="L92" s="56"/>
      <c r="M92" s="57"/>
      <c r="N92" s="58"/>
      <c r="O92" s="59"/>
      <c r="P92" s="57"/>
      <c r="Q92" s="58"/>
      <c r="R92" s="59"/>
      <c r="S92" s="59"/>
      <c r="T92" s="59"/>
      <c r="U92" s="45">
        <f t="shared" si="66"/>
        <v>0</v>
      </c>
      <c r="V92" s="57"/>
      <c r="W92" s="44">
        <f t="shared" ref="W92:W97" si="67">TRUNC(V92*F92,2)</f>
        <v>0</v>
      </c>
      <c r="X92" s="45">
        <f t="shared" ref="X92:X97" si="68">TRUNC(W92*G92)+0</f>
        <v>0</v>
      </c>
      <c r="Y92" s="43">
        <f t="shared" si="59"/>
        <v>0</v>
      </c>
      <c r="Z92" s="58"/>
      <c r="AA92" s="45">
        <f t="shared" si="60"/>
        <v>0</v>
      </c>
      <c r="AB92" s="46">
        <f t="shared" si="61"/>
        <v>0.16057330391411564</v>
      </c>
      <c r="AC92" s="58">
        <f>'MEMORIAL DE CALCULO'!AW107</f>
        <v>346.40800000000002</v>
      </c>
      <c r="AD92" s="44">
        <f t="shared" si="64"/>
        <v>9751</v>
      </c>
      <c r="AE92" s="43">
        <f t="shared" si="65"/>
        <v>0.16057330391411564</v>
      </c>
      <c r="AF92" s="44">
        <f t="shared" si="62"/>
        <v>346.40800000000002</v>
      </c>
      <c r="AG92" s="45">
        <f t="shared" si="62"/>
        <v>9751</v>
      </c>
      <c r="AH92" s="65"/>
    </row>
    <row r="93" spans="1:34" ht="37.5">
      <c r="A93" s="50" t="s">
        <v>214</v>
      </c>
      <c r="B93" s="109">
        <v>96129</v>
      </c>
      <c r="C93" s="110" t="s">
        <v>215</v>
      </c>
      <c r="D93" s="73" t="s">
        <v>48</v>
      </c>
      <c r="E93" s="73" t="s">
        <v>45</v>
      </c>
      <c r="F93" s="73">
        <v>57.02</v>
      </c>
      <c r="G93" s="74">
        <v>33.53</v>
      </c>
      <c r="H93" s="55">
        <f t="shared" ref="H93:H97" si="69">(F93*G93)</f>
        <v>1911.8806000000002</v>
      </c>
      <c r="I93" s="56"/>
      <c r="J93" s="56"/>
      <c r="K93" s="56"/>
      <c r="L93" s="56"/>
      <c r="M93" s="57"/>
      <c r="N93" s="58"/>
      <c r="O93" s="59"/>
      <c r="P93" s="57"/>
      <c r="Q93" s="58"/>
      <c r="R93" s="59"/>
      <c r="S93" s="59"/>
      <c r="T93" s="59"/>
      <c r="U93" s="45">
        <f t="shared" si="66"/>
        <v>0</v>
      </c>
      <c r="V93" s="57"/>
      <c r="W93" s="44">
        <f t="shared" si="67"/>
        <v>0</v>
      </c>
      <c r="X93" s="45">
        <f t="shared" si="68"/>
        <v>0</v>
      </c>
      <c r="Y93" s="43">
        <f t="shared" si="59"/>
        <v>0</v>
      </c>
      <c r="Z93" s="58"/>
      <c r="AA93" s="45">
        <f t="shared" si="60"/>
        <v>0</v>
      </c>
      <c r="AB93" s="46">
        <f t="shared" si="61"/>
        <v>0</v>
      </c>
      <c r="AC93" s="58"/>
      <c r="AD93" s="44">
        <f t="shared" si="64"/>
        <v>0</v>
      </c>
      <c r="AE93" s="43">
        <f t="shared" si="65"/>
        <v>0</v>
      </c>
      <c r="AF93" s="44">
        <f t="shared" si="62"/>
        <v>0</v>
      </c>
      <c r="AG93" s="45">
        <f t="shared" si="62"/>
        <v>0</v>
      </c>
      <c r="AH93" s="65"/>
    </row>
    <row r="94" spans="1:34" ht="25">
      <c r="A94" s="50" t="s">
        <v>216</v>
      </c>
      <c r="B94" s="109">
        <v>104641</v>
      </c>
      <c r="C94" s="110" t="s">
        <v>217</v>
      </c>
      <c r="D94" s="73" t="s">
        <v>48</v>
      </c>
      <c r="E94" s="73" t="s">
        <v>45</v>
      </c>
      <c r="F94" s="73">
        <v>2157.3200000000002</v>
      </c>
      <c r="G94" s="74">
        <v>8.75</v>
      </c>
      <c r="H94" s="55">
        <f t="shared" si="69"/>
        <v>18876.550000000003</v>
      </c>
      <c r="I94" s="56"/>
      <c r="J94" s="56"/>
      <c r="K94" s="56"/>
      <c r="L94" s="56"/>
      <c r="M94" s="57"/>
      <c r="N94" s="58"/>
      <c r="O94" s="59"/>
      <c r="P94" s="57"/>
      <c r="Q94" s="58"/>
      <c r="R94" s="59"/>
      <c r="S94" s="59"/>
      <c r="T94" s="59"/>
      <c r="U94" s="45">
        <f t="shared" si="66"/>
        <v>0</v>
      </c>
      <c r="V94" s="57"/>
      <c r="W94" s="44">
        <f t="shared" si="67"/>
        <v>0</v>
      </c>
      <c r="X94" s="45">
        <f t="shared" si="68"/>
        <v>0</v>
      </c>
      <c r="Y94" s="43">
        <f t="shared" si="59"/>
        <v>0</v>
      </c>
      <c r="Z94" s="58"/>
      <c r="AA94" s="45">
        <f t="shared" si="60"/>
        <v>0</v>
      </c>
      <c r="AB94" s="46">
        <f t="shared" si="61"/>
        <v>0</v>
      </c>
      <c r="AC94" s="58"/>
      <c r="AD94" s="44">
        <f t="shared" si="64"/>
        <v>0</v>
      </c>
      <c r="AE94" s="43">
        <f t="shared" si="65"/>
        <v>0</v>
      </c>
      <c r="AF94" s="44">
        <f t="shared" si="62"/>
        <v>0</v>
      </c>
      <c r="AG94" s="45">
        <f t="shared" si="62"/>
        <v>0</v>
      </c>
      <c r="AH94" s="65"/>
    </row>
    <row r="95" spans="1:34" ht="25">
      <c r="A95" s="50" t="s">
        <v>218</v>
      </c>
      <c r="B95" s="73">
        <v>88415</v>
      </c>
      <c r="C95" s="110" t="s">
        <v>219</v>
      </c>
      <c r="D95" s="73" t="s">
        <v>48</v>
      </c>
      <c r="E95" s="73" t="s">
        <v>45</v>
      </c>
      <c r="F95" s="73">
        <v>2157.3200000000002</v>
      </c>
      <c r="G95" s="106">
        <v>4.49</v>
      </c>
      <c r="H95" s="55">
        <f>(F95*G95)-0.01</f>
        <v>9686.3568000000014</v>
      </c>
      <c r="I95" s="56"/>
      <c r="J95" s="56"/>
      <c r="K95" s="56"/>
      <c r="L95" s="56"/>
      <c r="M95" s="57"/>
      <c r="N95" s="58"/>
      <c r="O95" s="59"/>
      <c r="P95" s="57"/>
      <c r="Q95" s="58"/>
      <c r="R95" s="59"/>
      <c r="S95" s="59"/>
      <c r="T95" s="59"/>
      <c r="U95" s="45">
        <f t="shared" si="66"/>
        <v>0</v>
      </c>
      <c r="V95" s="57"/>
      <c r="W95" s="44">
        <f t="shared" si="67"/>
        <v>0</v>
      </c>
      <c r="X95" s="45">
        <f t="shared" si="68"/>
        <v>0</v>
      </c>
      <c r="Y95" s="43">
        <f t="shared" si="59"/>
        <v>0</v>
      </c>
      <c r="Z95" s="58"/>
      <c r="AA95" s="45">
        <f t="shared" si="60"/>
        <v>0</v>
      </c>
      <c r="AB95" s="46">
        <f t="shared" si="61"/>
        <v>0.30186638977991215</v>
      </c>
      <c r="AC95" s="58">
        <f>'MEMORIAL DE CALCULO'!AW154</f>
        <v>651.22240000000011</v>
      </c>
      <c r="AD95" s="44">
        <f t="shared" si="64"/>
        <v>2923</v>
      </c>
      <c r="AE95" s="43">
        <f t="shared" si="65"/>
        <v>0.30186638977991215</v>
      </c>
      <c r="AF95" s="44">
        <f t="shared" si="62"/>
        <v>651.22240000000011</v>
      </c>
      <c r="AG95" s="45">
        <f t="shared" si="62"/>
        <v>2923</v>
      </c>
      <c r="AH95" s="65"/>
    </row>
    <row r="96" spans="1:34" ht="25">
      <c r="A96" s="50" t="s">
        <v>220</v>
      </c>
      <c r="B96" s="40">
        <v>88485</v>
      </c>
      <c r="C96" s="117" t="s">
        <v>221</v>
      </c>
      <c r="D96" s="40" t="s">
        <v>48</v>
      </c>
      <c r="E96" s="40" t="s">
        <v>45</v>
      </c>
      <c r="F96" s="73">
        <v>2157.3200000000002</v>
      </c>
      <c r="G96" s="106">
        <v>3.93</v>
      </c>
      <c r="H96" s="55">
        <f>(F96*G96)-0.01</f>
        <v>8478.2576000000008</v>
      </c>
      <c r="I96" s="56"/>
      <c r="J96" s="56"/>
      <c r="K96" s="56"/>
      <c r="L96" s="56"/>
      <c r="M96" s="57"/>
      <c r="N96" s="58"/>
      <c r="O96" s="59"/>
      <c r="P96" s="57"/>
      <c r="Q96" s="58"/>
      <c r="R96" s="59"/>
      <c r="S96" s="59"/>
      <c r="T96" s="59"/>
      <c r="U96" s="45">
        <f t="shared" si="66"/>
        <v>0</v>
      </c>
      <c r="V96" s="57"/>
      <c r="W96" s="44">
        <f t="shared" si="67"/>
        <v>0</v>
      </c>
      <c r="X96" s="45">
        <f t="shared" si="68"/>
        <v>0</v>
      </c>
      <c r="Y96" s="43">
        <f t="shared" si="59"/>
        <v>0</v>
      </c>
      <c r="Z96" s="58"/>
      <c r="AA96" s="45">
        <f t="shared" si="60"/>
        <v>0</v>
      </c>
      <c r="AB96" s="46">
        <f t="shared" si="61"/>
        <v>0.30186638977991215</v>
      </c>
      <c r="AC96" s="58">
        <f>'MEMORIAL DE CALCULO'!AW199</f>
        <v>651.22240000000011</v>
      </c>
      <c r="AD96" s="44">
        <f t="shared" si="64"/>
        <v>2559</v>
      </c>
      <c r="AE96" s="43">
        <f t="shared" si="65"/>
        <v>0.30186638977991215</v>
      </c>
      <c r="AF96" s="44">
        <f t="shared" si="62"/>
        <v>651.22240000000011</v>
      </c>
      <c r="AG96" s="45">
        <f t="shared" si="62"/>
        <v>2559</v>
      </c>
      <c r="AH96" s="65"/>
    </row>
    <row r="97" spans="1:34" ht="25">
      <c r="A97" s="50" t="s">
        <v>222</v>
      </c>
      <c r="B97" s="104">
        <v>95306</v>
      </c>
      <c r="C97" s="117" t="s">
        <v>223</v>
      </c>
      <c r="D97" s="40" t="s">
        <v>48</v>
      </c>
      <c r="E97" s="40" t="s">
        <v>45</v>
      </c>
      <c r="F97" s="40">
        <v>667.84</v>
      </c>
      <c r="G97" s="106">
        <v>14.29</v>
      </c>
      <c r="H97" s="55">
        <f t="shared" si="69"/>
        <v>9543.4336000000003</v>
      </c>
      <c r="I97" s="56"/>
      <c r="J97" s="56"/>
      <c r="K97" s="56"/>
      <c r="L97" s="56"/>
      <c r="M97" s="57"/>
      <c r="N97" s="58"/>
      <c r="O97" s="59"/>
      <c r="P97" s="57"/>
      <c r="Q97" s="58"/>
      <c r="R97" s="59"/>
      <c r="S97" s="59"/>
      <c r="T97" s="59"/>
      <c r="U97" s="45">
        <f t="shared" si="66"/>
        <v>0</v>
      </c>
      <c r="V97" s="57"/>
      <c r="W97" s="44">
        <f t="shared" si="67"/>
        <v>0</v>
      </c>
      <c r="X97" s="45">
        <f t="shared" si="68"/>
        <v>0</v>
      </c>
      <c r="Y97" s="43">
        <f t="shared" si="59"/>
        <v>0</v>
      </c>
      <c r="Z97" s="58"/>
      <c r="AA97" s="45">
        <f t="shared" si="60"/>
        <v>0</v>
      </c>
      <c r="AB97" s="46">
        <f t="shared" si="61"/>
        <v>0.45641830378533793</v>
      </c>
      <c r="AC97" s="58">
        <f>'MEMORIAL DE CALCULO'!AW227</f>
        <v>304.81440000000009</v>
      </c>
      <c r="AD97" s="44">
        <f t="shared" si="64"/>
        <v>4355</v>
      </c>
      <c r="AE97" s="43">
        <f t="shared" si="65"/>
        <v>0.45641830378533793</v>
      </c>
      <c r="AF97" s="44">
        <f t="shared" si="62"/>
        <v>304.81440000000009</v>
      </c>
      <c r="AG97" s="45">
        <f t="shared" si="62"/>
        <v>4355</v>
      </c>
      <c r="AH97" s="65"/>
    </row>
    <row r="98" spans="1:34" ht="20.149999999999999" customHeight="1">
      <c r="A98" s="28">
        <v>9</v>
      </c>
      <c r="B98" s="29" t="s">
        <v>224</v>
      </c>
      <c r="C98" s="29"/>
      <c r="D98" s="29"/>
      <c r="E98" s="29"/>
      <c r="F98" s="29"/>
      <c r="G98" s="29"/>
      <c r="H98" s="61">
        <f>SUM(H99:H108)</f>
        <v>15377.029999999999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62"/>
      <c r="AE98" s="31"/>
      <c r="AF98" s="31"/>
      <c r="AG98" s="31"/>
      <c r="AH98" s="31"/>
    </row>
    <row r="99" spans="1:34" ht="37.5">
      <c r="A99" s="50" t="s">
        <v>225</v>
      </c>
      <c r="B99" s="118">
        <v>101492</v>
      </c>
      <c r="C99" s="119" t="s">
        <v>226</v>
      </c>
      <c r="D99" s="120" t="s">
        <v>48</v>
      </c>
      <c r="E99" s="120" t="s">
        <v>144</v>
      </c>
      <c r="F99" s="121">
        <v>1</v>
      </c>
      <c r="G99" s="120">
        <v>1667.43</v>
      </c>
      <c r="H99" s="55">
        <f t="shared" ref="H99:H108" si="70">(F99*G99)</f>
        <v>1667.43</v>
      </c>
      <c r="I99" s="56"/>
      <c r="J99" s="56"/>
      <c r="K99" s="56"/>
      <c r="L99" s="56"/>
      <c r="M99" s="57"/>
      <c r="N99" s="58"/>
      <c r="O99" s="59"/>
      <c r="P99" s="57"/>
      <c r="Q99" s="58"/>
      <c r="R99" s="59"/>
      <c r="S99" s="59"/>
      <c r="T99" s="59"/>
      <c r="U99" s="45">
        <f t="shared" si="66"/>
        <v>0</v>
      </c>
      <c r="V99" s="57"/>
      <c r="W99" s="44">
        <f t="shared" ref="W99:W108" si="71">TRUNC(V99*F99,2)</f>
        <v>0</v>
      </c>
      <c r="X99" s="45">
        <f t="shared" ref="X99:X108" si="72">TRUNC(W99*G99)+0</f>
        <v>0</v>
      </c>
      <c r="Y99" s="43">
        <f t="shared" si="59"/>
        <v>0</v>
      </c>
      <c r="Z99" s="58"/>
      <c r="AA99" s="45">
        <f t="shared" si="60"/>
        <v>0</v>
      </c>
      <c r="AB99" s="46">
        <f t="shared" si="61"/>
        <v>1</v>
      </c>
      <c r="AC99" s="58">
        <v>1</v>
      </c>
      <c r="AD99" s="44">
        <f t="shared" si="64"/>
        <v>1667</v>
      </c>
      <c r="AE99" s="43">
        <f t="shared" si="65"/>
        <v>1</v>
      </c>
      <c r="AF99" s="44">
        <f t="shared" si="62"/>
        <v>1</v>
      </c>
      <c r="AG99" s="45">
        <f t="shared" si="62"/>
        <v>1667</v>
      </c>
      <c r="AH99" s="65" t="str">
        <f t="shared" ref="AH99:AH108" si="73">IF(AE99=100%,"ITEM FINALIZADO",AE99)</f>
        <v>ITEM FINALIZADO</v>
      </c>
    </row>
    <row r="100" spans="1:34" ht="26">
      <c r="A100" s="50" t="s">
        <v>227</v>
      </c>
      <c r="B100" s="76">
        <v>93660</v>
      </c>
      <c r="C100" s="64" t="s">
        <v>228</v>
      </c>
      <c r="D100" s="53" t="s">
        <v>48</v>
      </c>
      <c r="E100" s="53" t="s">
        <v>144</v>
      </c>
      <c r="F100" s="54">
        <v>10</v>
      </c>
      <c r="G100" s="53">
        <v>47.17</v>
      </c>
      <c r="H100" s="55">
        <f t="shared" si="70"/>
        <v>471.70000000000005</v>
      </c>
      <c r="I100" s="56"/>
      <c r="J100" s="56"/>
      <c r="K100" s="56"/>
      <c r="L100" s="56"/>
      <c r="M100" s="57"/>
      <c r="N100" s="58"/>
      <c r="O100" s="59"/>
      <c r="P100" s="57"/>
      <c r="Q100" s="58"/>
      <c r="R100" s="59"/>
      <c r="S100" s="59"/>
      <c r="T100" s="59"/>
      <c r="U100" s="45">
        <f t="shared" si="66"/>
        <v>0</v>
      </c>
      <c r="V100" s="57"/>
      <c r="W100" s="44">
        <f t="shared" si="71"/>
        <v>0</v>
      </c>
      <c r="X100" s="45">
        <f t="shared" si="72"/>
        <v>0</v>
      </c>
      <c r="Y100" s="43">
        <f t="shared" si="59"/>
        <v>0</v>
      </c>
      <c r="Z100" s="58"/>
      <c r="AA100" s="45">
        <f t="shared" si="60"/>
        <v>0</v>
      </c>
      <c r="AB100" s="46">
        <f t="shared" si="61"/>
        <v>1</v>
      </c>
      <c r="AC100" s="58">
        <v>10</v>
      </c>
      <c r="AD100" s="44">
        <f t="shared" si="64"/>
        <v>471</v>
      </c>
      <c r="AE100" s="43">
        <f t="shared" si="65"/>
        <v>1</v>
      </c>
      <c r="AF100" s="44">
        <f t="shared" si="62"/>
        <v>10</v>
      </c>
      <c r="AG100" s="45">
        <f t="shared" si="62"/>
        <v>471</v>
      </c>
      <c r="AH100" s="65" t="str">
        <f t="shared" si="73"/>
        <v>ITEM FINALIZADO</v>
      </c>
    </row>
    <row r="101" spans="1:34" ht="62.5">
      <c r="A101" s="50" t="s">
        <v>229</v>
      </c>
      <c r="B101" s="76">
        <v>104473</v>
      </c>
      <c r="C101" s="64" t="s">
        <v>230</v>
      </c>
      <c r="D101" s="53" t="s">
        <v>48</v>
      </c>
      <c r="E101" s="53" t="s">
        <v>144</v>
      </c>
      <c r="F101" s="54">
        <v>22</v>
      </c>
      <c r="G101" s="53">
        <v>158.56</v>
      </c>
      <c r="H101" s="55">
        <f t="shared" si="70"/>
        <v>3488.32</v>
      </c>
      <c r="I101" s="56"/>
      <c r="J101" s="56"/>
      <c r="K101" s="56"/>
      <c r="L101" s="56"/>
      <c r="M101" s="57"/>
      <c r="N101" s="58"/>
      <c r="O101" s="59"/>
      <c r="P101" s="57"/>
      <c r="Q101" s="58"/>
      <c r="R101" s="59"/>
      <c r="S101" s="59"/>
      <c r="T101" s="59"/>
      <c r="U101" s="45">
        <f t="shared" si="66"/>
        <v>0</v>
      </c>
      <c r="V101" s="57"/>
      <c r="W101" s="44">
        <f t="shared" si="71"/>
        <v>0</v>
      </c>
      <c r="X101" s="45">
        <f t="shared" si="72"/>
        <v>0</v>
      </c>
      <c r="Y101" s="43">
        <f t="shared" si="59"/>
        <v>0</v>
      </c>
      <c r="Z101" s="58"/>
      <c r="AA101" s="45">
        <f t="shared" si="60"/>
        <v>0</v>
      </c>
      <c r="AB101" s="46">
        <f t="shared" si="61"/>
        <v>1</v>
      </c>
      <c r="AC101" s="58">
        <v>22</v>
      </c>
      <c r="AD101" s="44">
        <f t="shared" si="64"/>
        <v>3488</v>
      </c>
      <c r="AE101" s="43">
        <f t="shared" si="65"/>
        <v>1</v>
      </c>
      <c r="AF101" s="44">
        <f t="shared" si="62"/>
        <v>22</v>
      </c>
      <c r="AG101" s="45">
        <f t="shared" si="62"/>
        <v>3488</v>
      </c>
      <c r="AH101" s="65" t="str">
        <f t="shared" si="73"/>
        <v>ITEM FINALIZADO</v>
      </c>
    </row>
    <row r="102" spans="1:34" ht="26">
      <c r="A102" s="50" t="s">
        <v>231</v>
      </c>
      <c r="B102" s="76">
        <v>93664</v>
      </c>
      <c r="C102" s="64" t="s">
        <v>232</v>
      </c>
      <c r="D102" s="53" t="s">
        <v>48</v>
      </c>
      <c r="E102" s="53" t="s">
        <v>144</v>
      </c>
      <c r="F102" s="54">
        <v>10</v>
      </c>
      <c r="G102" s="53">
        <v>54.05</v>
      </c>
      <c r="H102" s="55">
        <f t="shared" si="70"/>
        <v>540.5</v>
      </c>
      <c r="I102" s="56"/>
      <c r="J102" s="56"/>
      <c r="K102" s="56"/>
      <c r="L102" s="56"/>
      <c r="M102" s="57"/>
      <c r="N102" s="58"/>
      <c r="O102" s="59"/>
      <c r="P102" s="57"/>
      <c r="Q102" s="58"/>
      <c r="R102" s="59"/>
      <c r="S102" s="59"/>
      <c r="T102" s="59"/>
      <c r="U102" s="45">
        <f t="shared" si="66"/>
        <v>0</v>
      </c>
      <c r="V102" s="57"/>
      <c r="W102" s="44">
        <f t="shared" si="71"/>
        <v>0</v>
      </c>
      <c r="X102" s="45">
        <f t="shared" si="72"/>
        <v>0</v>
      </c>
      <c r="Y102" s="43">
        <f t="shared" si="59"/>
        <v>0</v>
      </c>
      <c r="Z102" s="58"/>
      <c r="AA102" s="45">
        <f t="shared" si="60"/>
        <v>0</v>
      </c>
      <c r="AB102" s="46">
        <f t="shared" si="61"/>
        <v>1</v>
      </c>
      <c r="AC102" s="58">
        <v>10</v>
      </c>
      <c r="AD102" s="44">
        <f t="shared" si="64"/>
        <v>540</v>
      </c>
      <c r="AE102" s="43">
        <f t="shared" si="65"/>
        <v>1</v>
      </c>
      <c r="AF102" s="44">
        <f t="shared" si="62"/>
        <v>10</v>
      </c>
      <c r="AG102" s="45">
        <f t="shared" si="62"/>
        <v>540</v>
      </c>
      <c r="AH102" s="65" t="str">
        <f t="shared" si="73"/>
        <v>ITEM FINALIZADO</v>
      </c>
    </row>
    <row r="103" spans="1:34" ht="26">
      <c r="A103" s="50" t="s">
        <v>233</v>
      </c>
      <c r="B103" s="76">
        <v>93854</v>
      </c>
      <c r="C103" s="64" t="s">
        <v>234</v>
      </c>
      <c r="D103" s="53" t="s">
        <v>48</v>
      </c>
      <c r="E103" s="53" t="s">
        <v>144</v>
      </c>
      <c r="F103" s="54">
        <v>10</v>
      </c>
      <c r="G103" s="53">
        <v>10.65</v>
      </c>
      <c r="H103" s="55">
        <f t="shared" si="70"/>
        <v>106.5</v>
      </c>
      <c r="I103" s="56"/>
      <c r="J103" s="56"/>
      <c r="K103" s="56"/>
      <c r="L103" s="56"/>
      <c r="M103" s="57"/>
      <c r="N103" s="58"/>
      <c r="O103" s="59"/>
      <c r="P103" s="57"/>
      <c r="Q103" s="58"/>
      <c r="R103" s="59"/>
      <c r="S103" s="59"/>
      <c r="T103" s="59"/>
      <c r="U103" s="45">
        <f t="shared" si="66"/>
        <v>0</v>
      </c>
      <c r="V103" s="57"/>
      <c r="W103" s="44">
        <f t="shared" si="71"/>
        <v>0</v>
      </c>
      <c r="X103" s="45">
        <f t="shared" si="72"/>
        <v>0</v>
      </c>
      <c r="Y103" s="43">
        <f t="shared" si="59"/>
        <v>0</v>
      </c>
      <c r="Z103" s="58"/>
      <c r="AA103" s="45">
        <f t="shared" si="60"/>
        <v>0</v>
      </c>
      <c r="AB103" s="46">
        <f t="shared" si="61"/>
        <v>1</v>
      </c>
      <c r="AC103" s="58">
        <v>10</v>
      </c>
      <c r="AD103" s="44">
        <f t="shared" si="64"/>
        <v>106</v>
      </c>
      <c r="AE103" s="43">
        <f t="shared" si="65"/>
        <v>1</v>
      </c>
      <c r="AF103" s="44">
        <f t="shared" si="62"/>
        <v>10</v>
      </c>
      <c r="AG103" s="45">
        <f t="shared" si="62"/>
        <v>106</v>
      </c>
      <c r="AH103" s="65" t="str">
        <f t="shared" si="73"/>
        <v>ITEM FINALIZADO</v>
      </c>
    </row>
    <row r="104" spans="1:34" ht="62.5">
      <c r="A104" s="50" t="s">
        <v>235</v>
      </c>
      <c r="B104" s="76">
        <v>104478</v>
      </c>
      <c r="C104" s="64" t="s">
        <v>236</v>
      </c>
      <c r="D104" s="53" t="s">
        <v>48</v>
      </c>
      <c r="E104" s="53" t="s">
        <v>144</v>
      </c>
      <c r="F104" s="54">
        <v>10</v>
      </c>
      <c r="G104" s="53">
        <v>176.07</v>
      </c>
      <c r="H104" s="55">
        <f t="shared" si="70"/>
        <v>1760.6999999999998</v>
      </c>
      <c r="I104" s="56"/>
      <c r="J104" s="56"/>
      <c r="K104" s="56"/>
      <c r="L104" s="56"/>
      <c r="M104" s="57"/>
      <c r="N104" s="58"/>
      <c r="O104" s="59"/>
      <c r="P104" s="57"/>
      <c r="Q104" s="58"/>
      <c r="R104" s="59"/>
      <c r="S104" s="59"/>
      <c r="T104" s="59"/>
      <c r="U104" s="45">
        <f t="shared" si="66"/>
        <v>0</v>
      </c>
      <c r="V104" s="57"/>
      <c r="W104" s="44">
        <f t="shared" si="71"/>
        <v>0</v>
      </c>
      <c r="X104" s="45">
        <f t="shared" si="72"/>
        <v>0</v>
      </c>
      <c r="Y104" s="43">
        <f t="shared" si="59"/>
        <v>0</v>
      </c>
      <c r="Z104" s="58"/>
      <c r="AA104" s="45">
        <f t="shared" si="60"/>
        <v>0</v>
      </c>
      <c r="AB104" s="46">
        <f t="shared" si="61"/>
        <v>1</v>
      </c>
      <c r="AC104" s="58">
        <v>10</v>
      </c>
      <c r="AD104" s="44">
        <f t="shared" si="64"/>
        <v>1760</v>
      </c>
      <c r="AE104" s="43">
        <f t="shared" si="65"/>
        <v>1</v>
      </c>
      <c r="AF104" s="44">
        <f t="shared" si="62"/>
        <v>10</v>
      </c>
      <c r="AG104" s="45">
        <f t="shared" si="62"/>
        <v>1760</v>
      </c>
      <c r="AH104" s="65" t="str">
        <f t="shared" si="73"/>
        <v>ITEM FINALIZADO</v>
      </c>
    </row>
    <row r="105" spans="1:34" ht="62.5">
      <c r="A105" s="50" t="s">
        <v>237</v>
      </c>
      <c r="B105" s="76">
        <v>104475</v>
      </c>
      <c r="C105" s="64" t="s">
        <v>238</v>
      </c>
      <c r="D105" s="53" t="s">
        <v>48</v>
      </c>
      <c r="E105" s="53" t="s">
        <v>144</v>
      </c>
      <c r="F105" s="54">
        <v>30</v>
      </c>
      <c r="G105" s="53">
        <v>136.19</v>
      </c>
      <c r="H105" s="55">
        <f t="shared" si="70"/>
        <v>4085.7</v>
      </c>
      <c r="I105" s="56"/>
      <c r="J105" s="56"/>
      <c r="K105" s="56"/>
      <c r="L105" s="56"/>
      <c r="M105" s="57"/>
      <c r="N105" s="58"/>
      <c r="O105" s="59"/>
      <c r="P105" s="57"/>
      <c r="Q105" s="58"/>
      <c r="R105" s="59"/>
      <c r="S105" s="59"/>
      <c r="T105" s="59"/>
      <c r="U105" s="45">
        <f t="shared" si="66"/>
        <v>0</v>
      </c>
      <c r="V105" s="57"/>
      <c r="W105" s="44">
        <f t="shared" si="71"/>
        <v>0</v>
      </c>
      <c r="X105" s="45">
        <f t="shared" si="72"/>
        <v>0</v>
      </c>
      <c r="Y105" s="43">
        <f t="shared" si="59"/>
        <v>0</v>
      </c>
      <c r="Z105" s="58"/>
      <c r="AA105" s="45">
        <f t="shared" si="60"/>
        <v>0</v>
      </c>
      <c r="AB105" s="46">
        <f t="shared" si="61"/>
        <v>1</v>
      </c>
      <c r="AC105" s="58">
        <v>30</v>
      </c>
      <c r="AD105" s="44">
        <f t="shared" si="64"/>
        <v>4085</v>
      </c>
      <c r="AE105" s="43">
        <f t="shared" si="65"/>
        <v>1</v>
      </c>
      <c r="AF105" s="44">
        <f t="shared" si="62"/>
        <v>30</v>
      </c>
      <c r="AG105" s="45">
        <f t="shared" si="62"/>
        <v>4085</v>
      </c>
      <c r="AH105" s="65" t="str">
        <f t="shared" si="73"/>
        <v>ITEM FINALIZADO</v>
      </c>
    </row>
    <row r="106" spans="1:34" ht="37.5">
      <c r="A106" s="50" t="s">
        <v>239</v>
      </c>
      <c r="B106" s="76">
        <v>97589</v>
      </c>
      <c r="C106" s="64" t="s">
        <v>240</v>
      </c>
      <c r="D106" s="53" t="s">
        <v>48</v>
      </c>
      <c r="E106" s="53" t="s">
        <v>144</v>
      </c>
      <c r="F106" s="54">
        <v>10</v>
      </c>
      <c r="G106" s="53">
        <v>42.9</v>
      </c>
      <c r="H106" s="55">
        <f t="shared" si="70"/>
        <v>429</v>
      </c>
      <c r="I106" s="56"/>
      <c r="J106" s="56"/>
      <c r="K106" s="56"/>
      <c r="L106" s="56"/>
      <c r="M106" s="57"/>
      <c r="N106" s="58"/>
      <c r="O106" s="59"/>
      <c r="P106" s="57"/>
      <c r="Q106" s="58"/>
      <c r="R106" s="59"/>
      <c r="S106" s="59"/>
      <c r="T106" s="59"/>
      <c r="U106" s="45">
        <f t="shared" si="66"/>
        <v>0</v>
      </c>
      <c r="V106" s="57"/>
      <c r="W106" s="44">
        <f t="shared" si="71"/>
        <v>0</v>
      </c>
      <c r="X106" s="45">
        <f t="shared" si="72"/>
        <v>0</v>
      </c>
      <c r="Y106" s="43">
        <f t="shared" si="59"/>
        <v>0</v>
      </c>
      <c r="Z106" s="58"/>
      <c r="AA106" s="45">
        <f t="shared" si="60"/>
        <v>0</v>
      </c>
      <c r="AB106" s="46">
        <f t="shared" si="61"/>
        <v>1</v>
      </c>
      <c r="AC106" s="58">
        <v>10</v>
      </c>
      <c r="AD106" s="44">
        <f t="shared" si="64"/>
        <v>429</v>
      </c>
      <c r="AE106" s="43">
        <f t="shared" si="65"/>
        <v>1</v>
      </c>
      <c r="AF106" s="44">
        <f t="shared" si="62"/>
        <v>10</v>
      </c>
      <c r="AG106" s="45">
        <f t="shared" si="62"/>
        <v>429</v>
      </c>
      <c r="AH106" s="65" t="str">
        <f t="shared" si="73"/>
        <v>ITEM FINALIZADO</v>
      </c>
    </row>
    <row r="107" spans="1:34" ht="37.5">
      <c r="A107" s="50" t="s">
        <v>241</v>
      </c>
      <c r="B107" s="76">
        <v>101560</v>
      </c>
      <c r="C107" s="64" t="s">
        <v>242</v>
      </c>
      <c r="D107" s="53" t="s">
        <v>48</v>
      </c>
      <c r="E107" s="53" t="s">
        <v>52</v>
      </c>
      <c r="F107" s="54">
        <v>6</v>
      </c>
      <c r="G107" s="53">
        <v>9.23</v>
      </c>
      <c r="H107" s="55">
        <f t="shared" si="70"/>
        <v>55.38</v>
      </c>
      <c r="I107" s="56"/>
      <c r="J107" s="56"/>
      <c r="K107" s="56"/>
      <c r="L107" s="56"/>
      <c r="M107" s="57"/>
      <c r="N107" s="58"/>
      <c r="O107" s="59"/>
      <c r="P107" s="57"/>
      <c r="Q107" s="58"/>
      <c r="R107" s="59"/>
      <c r="S107" s="59"/>
      <c r="T107" s="59"/>
      <c r="U107" s="45">
        <f t="shared" si="66"/>
        <v>0</v>
      </c>
      <c r="V107" s="57"/>
      <c r="W107" s="44">
        <f t="shared" si="71"/>
        <v>0</v>
      </c>
      <c r="X107" s="45">
        <f t="shared" si="72"/>
        <v>0</v>
      </c>
      <c r="Y107" s="43">
        <f t="shared" si="59"/>
        <v>0</v>
      </c>
      <c r="Z107" s="58"/>
      <c r="AA107" s="45">
        <f t="shared" si="60"/>
        <v>0</v>
      </c>
      <c r="AB107" s="46">
        <f t="shared" si="61"/>
        <v>1</v>
      </c>
      <c r="AC107" s="58">
        <v>6</v>
      </c>
      <c r="AD107" s="44">
        <f t="shared" si="64"/>
        <v>55</v>
      </c>
      <c r="AE107" s="43">
        <f t="shared" si="65"/>
        <v>1</v>
      </c>
      <c r="AF107" s="44">
        <f t="shared" si="62"/>
        <v>6</v>
      </c>
      <c r="AG107" s="45">
        <f t="shared" si="62"/>
        <v>55</v>
      </c>
      <c r="AH107" s="65" t="str">
        <f t="shared" si="73"/>
        <v>ITEM FINALIZADO</v>
      </c>
    </row>
    <row r="108" spans="1:34" ht="26">
      <c r="A108" s="50" t="s">
        <v>243</v>
      </c>
      <c r="B108" s="76">
        <v>7996</v>
      </c>
      <c r="C108" s="64" t="s">
        <v>244</v>
      </c>
      <c r="D108" s="53" t="s">
        <v>44</v>
      </c>
      <c r="E108" s="53" t="s">
        <v>144</v>
      </c>
      <c r="F108" s="54">
        <v>10</v>
      </c>
      <c r="G108" s="53">
        <v>277.18</v>
      </c>
      <c r="H108" s="55">
        <f t="shared" si="70"/>
        <v>2771.8</v>
      </c>
      <c r="I108" s="56"/>
      <c r="J108" s="56"/>
      <c r="K108" s="56"/>
      <c r="L108" s="56"/>
      <c r="M108" s="57"/>
      <c r="N108" s="58"/>
      <c r="O108" s="59"/>
      <c r="P108" s="57"/>
      <c r="Q108" s="58"/>
      <c r="R108" s="59"/>
      <c r="S108" s="59"/>
      <c r="T108" s="59"/>
      <c r="U108" s="45">
        <f t="shared" si="66"/>
        <v>0</v>
      </c>
      <c r="V108" s="57"/>
      <c r="W108" s="44">
        <f t="shared" si="71"/>
        <v>0</v>
      </c>
      <c r="X108" s="45">
        <f t="shared" si="72"/>
        <v>0</v>
      </c>
      <c r="Y108" s="43">
        <f t="shared" si="59"/>
        <v>0</v>
      </c>
      <c r="Z108" s="58"/>
      <c r="AA108" s="45">
        <f t="shared" si="60"/>
        <v>0</v>
      </c>
      <c r="AB108" s="46">
        <f t="shared" si="61"/>
        <v>1</v>
      </c>
      <c r="AC108" s="58">
        <v>10</v>
      </c>
      <c r="AD108" s="44">
        <f t="shared" si="64"/>
        <v>2771</v>
      </c>
      <c r="AE108" s="43">
        <f t="shared" si="65"/>
        <v>1</v>
      </c>
      <c r="AF108" s="44">
        <f t="shared" si="62"/>
        <v>10</v>
      </c>
      <c r="AG108" s="45">
        <f t="shared" si="62"/>
        <v>2771</v>
      </c>
      <c r="AH108" s="65" t="str">
        <f t="shared" si="73"/>
        <v>ITEM FINALIZADO</v>
      </c>
    </row>
    <row r="109" spans="1:34" ht="20.149999999999999" customHeight="1">
      <c r="A109" s="28">
        <v>10</v>
      </c>
      <c r="B109" s="29" t="s">
        <v>245</v>
      </c>
      <c r="C109" s="29"/>
      <c r="D109" s="29"/>
      <c r="E109" s="29"/>
      <c r="F109" s="29"/>
      <c r="G109" s="29"/>
      <c r="H109" s="61">
        <f>SUM(H110:H111)</f>
        <v>24596.11</v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62"/>
      <c r="AE109" s="31"/>
      <c r="AF109" s="31"/>
      <c r="AG109" s="31"/>
      <c r="AH109" s="31"/>
    </row>
    <row r="110" spans="1:34" ht="37.5">
      <c r="A110" s="50" t="s">
        <v>246</v>
      </c>
      <c r="B110" s="76">
        <v>103244</v>
      </c>
      <c r="C110" s="52" t="s">
        <v>247</v>
      </c>
      <c r="D110" s="53" t="s">
        <v>48</v>
      </c>
      <c r="E110" s="53" t="s">
        <v>144</v>
      </c>
      <c r="F110" s="54">
        <v>11</v>
      </c>
      <c r="G110" s="53">
        <v>2176.21</v>
      </c>
      <c r="H110" s="55">
        <f t="shared" ref="H110:H111" si="74">(F110*G110)</f>
        <v>23938.31</v>
      </c>
      <c r="I110" s="56"/>
      <c r="J110" s="56"/>
      <c r="K110" s="56"/>
      <c r="L110" s="56"/>
      <c r="M110" s="57"/>
      <c r="N110" s="58"/>
      <c r="O110" s="59"/>
      <c r="P110" s="57"/>
      <c r="Q110" s="58"/>
      <c r="R110" s="59"/>
      <c r="S110" s="59"/>
      <c r="T110" s="59"/>
      <c r="U110" s="45">
        <f t="shared" si="66"/>
        <v>0</v>
      </c>
      <c r="V110" s="57"/>
      <c r="W110" s="44">
        <f t="shared" ref="W110:W111" si="75">TRUNC(V110*F110,2)</f>
        <v>0</v>
      </c>
      <c r="X110" s="45">
        <f t="shared" ref="X110:X111" si="76">TRUNC(W110*G110)+0</f>
        <v>0</v>
      </c>
      <c r="Y110" s="43">
        <f t="shared" si="59"/>
        <v>0</v>
      </c>
      <c r="Z110" s="58"/>
      <c r="AA110" s="45">
        <f t="shared" si="60"/>
        <v>0</v>
      </c>
      <c r="AB110" s="46">
        <f t="shared" si="61"/>
        <v>0</v>
      </c>
      <c r="AC110" s="58"/>
      <c r="AD110" s="44">
        <f t="shared" si="64"/>
        <v>0</v>
      </c>
      <c r="AE110" s="43">
        <f t="shared" si="65"/>
        <v>0</v>
      </c>
      <c r="AF110" s="44">
        <f t="shared" si="62"/>
        <v>0</v>
      </c>
      <c r="AG110" s="45">
        <f t="shared" si="62"/>
        <v>0</v>
      </c>
      <c r="AH110" s="65">
        <f t="shared" ref="AH110:AH111" si="77">IF(AE110=100%,"ITEM FINALIZADO",AE110)</f>
        <v>0</v>
      </c>
    </row>
    <row r="111" spans="1:34" ht="26">
      <c r="A111" s="50" t="s">
        <v>248</v>
      </c>
      <c r="B111" s="122" t="s">
        <v>249</v>
      </c>
      <c r="C111" s="64" t="s">
        <v>250</v>
      </c>
      <c r="D111" s="53" t="s">
        <v>251</v>
      </c>
      <c r="E111" s="53" t="s">
        <v>144</v>
      </c>
      <c r="F111" s="54">
        <v>11</v>
      </c>
      <c r="G111" s="66">
        <v>59.8</v>
      </c>
      <c r="H111" s="55">
        <f t="shared" si="74"/>
        <v>657.8</v>
      </c>
      <c r="I111" s="56"/>
      <c r="J111" s="56"/>
      <c r="K111" s="56"/>
      <c r="L111" s="56"/>
      <c r="M111" s="57"/>
      <c r="N111" s="58"/>
      <c r="O111" s="59"/>
      <c r="P111" s="57"/>
      <c r="Q111" s="58"/>
      <c r="R111" s="59"/>
      <c r="S111" s="59"/>
      <c r="T111" s="59"/>
      <c r="U111" s="45">
        <f t="shared" si="66"/>
        <v>0</v>
      </c>
      <c r="V111" s="57"/>
      <c r="W111" s="44">
        <f t="shared" si="75"/>
        <v>0</v>
      </c>
      <c r="X111" s="45">
        <f t="shared" si="76"/>
        <v>0</v>
      </c>
      <c r="Y111" s="43">
        <f t="shared" si="59"/>
        <v>1</v>
      </c>
      <c r="Z111" s="58">
        <v>11</v>
      </c>
      <c r="AA111" s="45">
        <f t="shared" si="60"/>
        <v>657</v>
      </c>
      <c r="AB111" s="46">
        <f t="shared" si="61"/>
        <v>0</v>
      </c>
      <c r="AC111" s="58">
        <v>0</v>
      </c>
      <c r="AD111" s="44">
        <f t="shared" si="64"/>
        <v>0</v>
      </c>
      <c r="AE111" s="43">
        <f t="shared" si="65"/>
        <v>1</v>
      </c>
      <c r="AF111" s="44">
        <f t="shared" si="62"/>
        <v>11</v>
      </c>
      <c r="AG111" s="45">
        <f t="shared" si="62"/>
        <v>657</v>
      </c>
      <c r="AH111" s="65" t="str">
        <f t="shared" si="77"/>
        <v>ITEM FINALIZADO</v>
      </c>
    </row>
    <row r="112" spans="1:34" ht="20.149999999999999" customHeight="1">
      <c r="A112" s="28">
        <v>11</v>
      </c>
      <c r="B112" s="29" t="s">
        <v>252</v>
      </c>
      <c r="C112" s="29"/>
      <c r="D112" s="29"/>
      <c r="E112" s="29"/>
      <c r="F112" s="29"/>
      <c r="G112" s="29"/>
      <c r="H112" s="61">
        <f>SUM(H113:H120)+0.01</f>
        <v>42738.681799999998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62"/>
      <c r="AE112" s="31"/>
      <c r="AF112" s="31"/>
      <c r="AG112" s="31"/>
      <c r="AH112" s="31"/>
    </row>
    <row r="113" spans="1:35" ht="37.5">
      <c r="A113" s="50" t="s">
        <v>253</v>
      </c>
      <c r="B113" s="123">
        <v>90823</v>
      </c>
      <c r="C113" s="64" t="s">
        <v>254</v>
      </c>
      <c r="D113" s="124" t="s">
        <v>48</v>
      </c>
      <c r="E113" s="73" t="s">
        <v>144</v>
      </c>
      <c r="F113" s="74">
        <v>23</v>
      </c>
      <c r="G113" s="73">
        <v>408.24</v>
      </c>
      <c r="H113" s="55">
        <f t="shared" ref="H113:H119" si="78">(F113*G113)</f>
        <v>9389.52</v>
      </c>
      <c r="I113" s="56"/>
      <c r="J113" s="57"/>
      <c r="K113" s="58"/>
      <c r="L113" s="59"/>
      <c r="M113" s="57"/>
      <c r="N113" s="58"/>
      <c r="O113" s="59"/>
      <c r="P113" s="57"/>
      <c r="Q113" s="58"/>
      <c r="R113" s="59"/>
      <c r="S113" s="59"/>
      <c r="T113" s="59"/>
      <c r="U113" s="45">
        <f t="shared" si="66"/>
        <v>0</v>
      </c>
      <c r="V113" s="57"/>
      <c r="W113" s="44">
        <f t="shared" ref="W113:W120" si="79">TRUNC(V113*F113,2)</f>
        <v>0</v>
      </c>
      <c r="X113" s="45">
        <f t="shared" ref="X113:X120" si="80">TRUNC(W113*G113)+0</f>
        <v>0</v>
      </c>
      <c r="Y113" s="43">
        <f t="shared" si="59"/>
        <v>0</v>
      </c>
      <c r="Z113" s="58"/>
      <c r="AA113" s="45">
        <f t="shared" si="60"/>
        <v>0</v>
      </c>
      <c r="AB113" s="46">
        <f t="shared" si="61"/>
        <v>1</v>
      </c>
      <c r="AC113" s="75">
        <v>23</v>
      </c>
      <c r="AD113" s="44">
        <f t="shared" si="64"/>
        <v>9389</v>
      </c>
      <c r="AE113" s="43">
        <f t="shared" si="65"/>
        <v>1</v>
      </c>
      <c r="AF113" s="44">
        <f t="shared" si="62"/>
        <v>23</v>
      </c>
      <c r="AG113" s="45">
        <f t="shared" si="62"/>
        <v>9389</v>
      </c>
      <c r="AH113" s="65" t="str">
        <f t="shared" ref="AH113:AH120" si="81">IF(AE113=100%,"ITEM FINALIZADO",AE113)</f>
        <v>ITEM FINALIZADO</v>
      </c>
    </row>
    <row r="114" spans="1:35" ht="50">
      <c r="A114" s="50" t="s">
        <v>255</v>
      </c>
      <c r="B114" s="125">
        <v>94570</v>
      </c>
      <c r="C114" s="126" t="s">
        <v>256</v>
      </c>
      <c r="D114" s="127" t="s">
        <v>48</v>
      </c>
      <c r="E114" s="40" t="s">
        <v>45</v>
      </c>
      <c r="F114" s="106">
        <v>4.16</v>
      </c>
      <c r="G114" s="40">
        <v>318.47000000000003</v>
      </c>
      <c r="H114" s="55">
        <f>(F114*G114)-0.01</f>
        <v>1324.8252000000002</v>
      </c>
      <c r="I114" s="56"/>
      <c r="J114" s="56"/>
      <c r="K114" s="56"/>
      <c r="L114" s="56"/>
      <c r="M114" s="57"/>
      <c r="N114" s="58"/>
      <c r="O114" s="59"/>
      <c r="P114" s="57"/>
      <c r="Q114" s="58"/>
      <c r="R114" s="59"/>
      <c r="S114" s="59"/>
      <c r="T114" s="59"/>
      <c r="U114" s="45">
        <f t="shared" si="66"/>
        <v>0</v>
      </c>
      <c r="V114" s="57"/>
      <c r="W114" s="44">
        <f t="shared" si="79"/>
        <v>0</v>
      </c>
      <c r="X114" s="45">
        <f t="shared" si="80"/>
        <v>0</v>
      </c>
      <c r="Y114" s="43">
        <f t="shared" si="59"/>
        <v>0</v>
      </c>
      <c r="Z114" s="58"/>
      <c r="AA114" s="45">
        <f t="shared" si="60"/>
        <v>0</v>
      </c>
      <c r="AB114" s="46">
        <f t="shared" si="61"/>
        <v>1</v>
      </c>
      <c r="AC114" s="58">
        <v>4.16</v>
      </c>
      <c r="AD114" s="44">
        <f t="shared" si="64"/>
        <v>1324</v>
      </c>
      <c r="AE114" s="43">
        <f t="shared" si="65"/>
        <v>1</v>
      </c>
      <c r="AF114" s="44">
        <f t="shared" si="62"/>
        <v>4.16</v>
      </c>
      <c r="AG114" s="45">
        <f t="shared" si="62"/>
        <v>1324</v>
      </c>
      <c r="AH114" s="65" t="str">
        <f t="shared" si="81"/>
        <v>ITEM FINALIZADO</v>
      </c>
    </row>
    <row r="115" spans="1:35" ht="37.5">
      <c r="A115" s="50" t="s">
        <v>257</v>
      </c>
      <c r="B115" s="63">
        <v>102185</v>
      </c>
      <c r="C115" s="64" t="s">
        <v>258</v>
      </c>
      <c r="D115" s="53" t="s">
        <v>48</v>
      </c>
      <c r="E115" s="53" t="s">
        <v>144</v>
      </c>
      <c r="F115" s="54">
        <v>2</v>
      </c>
      <c r="G115" s="53">
        <v>3331.88</v>
      </c>
      <c r="H115" s="55">
        <f t="shared" si="78"/>
        <v>6663.76</v>
      </c>
      <c r="I115" s="56"/>
      <c r="J115" s="56"/>
      <c r="K115" s="56"/>
      <c r="L115" s="56"/>
      <c r="M115" s="57"/>
      <c r="N115" s="58"/>
      <c r="O115" s="59"/>
      <c r="P115" s="57"/>
      <c r="Q115" s="58"/>
      <c r="R115" s="59"/>
      <c r="S115" s="59"/>
      <c r="T115" s="59"/>
      <c r="U115" s="45">
        <f t="shared" si="66"/>
        <v>0</v>
      </c>
      <c r="V115" s="57"/>
      <c r="W115" s="44">
        <f t="shared" si="79"/>
        <v>0</v>
      </c>
      <c r="X115" s="45">
        <f t="shared" si="80"/>
        <v>0</v>
      </c>
      <c r="Y115" s="43">
        <f t="shared" si="59"/>
        <v>0</v>
      </c>
      <c r="Z115" s="58"/>
      <c r="AA115" s="45">
        <f t="shared" si="60"/>
        <v>0</v>
      </c>
      <c r="AB115" s="46">
        <f t="shared" si="61"/>
        <v>1</v>
      </c>
      <c r="AC115" s="58">
        <v>2</v>
      </c>
      <c r="AD115" s="44">
        <f t="shared" si="64"/>
        <v>6663</v>
      </c>
      <c r="AE115" s="43">
        <f t="shared" si="65"/>
        <v>1</v>
      </c>
      <c r="AF115" s="44">
        <f t="shared" si="62"/>
        <v>2</v>
      </c>
      <c r="AG115" s="45">
        <f t="shared" si="62"/>
        <v>6663</v>
      </c>
      <c r="AH115" s="65" t="str">
        <f t="shared" si="81"/>
        <v>ITEM FINALIZADO</v>
      </c>
    </row>
    <row r="116" spans="1:35" ht="37.5">
      <c r="A116" s="50" t="s">
        <v>259</v>
      </c>
      <c r="B116" s="63">
        <v>102184</v>
      </c>
      <c r="C116" s="64" t="s">
        <v>260</v>
      </c>
      <c r="D116" s="53" t="s">
        <v>48</v>
      </c>
      <c r="E116" s="53" t="s">
        <v>144</v>
      </c>
      <c r="F116" s="54">
        <v>1</v>
      </c>
      <c r="G116" s="53">
        <v>1662.9</v>
      </c>
      <c r="H116" s="55">
        <f t="shared" si="78"/>
        <v>1662.9</v>
      </c>
      <c r="I116" s="56"/>
      <c r="J116" s="56"/>
      <c r="K116" s="56"/>
      <c r="L116" s="56"/>
      <c r="M116" s="57"/>
      <c r="N116" s="58"/>
      <c r="O116" s="59"/>
      <c r="P116" s="57"/>
      <c r="Q116" s="58"/>
      <c r="R116" s="59"/>
      <c r="S116" s="59"/>
      <c r="T116" s="59"/>
      <c r="U116" s="45">
        <f t="shared" si="66"/>
        <v>0</v>
      </c>
      <c r="V116" s="57"/>
      <c r="W116" s="44">
        <f t="shared" si="79"/>
        <v>0</v>
      </c>
      <c r="X116" s="45">
        <f t="shared" si="80"/>
        <v>0</v>
      </c>
      <c r="Y116" s="43">
        <f t="shared" si="59"/>
        <v>0</v>
      </c>
      <c r="Z116" s="58"/>
      <c r="AA116" s="45">
        <f t="shared" si="60"/>
        <v>0</v>
      </c>
      <c r="AB116" s="46">
        <f t="shared" si="61"/>
        <v>1</v>
      </c>
      <c r="AC116" s="58">
        <v>1</v>
      </c>
      <c r="AD116" s="44">
        <f t="shared" si="64"/>
        <v>1662</v>
      </c>
      <c r="AE116" s="43">
        <f t="shared" si="65"/>
        <v>1</v>
      </c>
      <c r="AF116" s="44">
        <f t="shared" si="62"/>
        <v>1</v>
      </c>
      <c r="AG116" s="45">
        <f t="shared" si="62"/>
        <v>1662</v>
      </c>
      <c r="AH116" s="65" t="str">
        <f t="shared" si="81"/>
        <v>ITEM FINALIZADO</v>
      </c>
    </row>
    <row r="117" spans="1:35" ht="37.5">
      <c r="A117" s="50" t="s">
        <v>261</v>
      </c>
      <c r="B117" s="63">
        <v>91338</v>
      </c>
      <c r="C117" s="64" t="s">
        <v>262</v>
      </c>
      <c r="D117" s="53" t="s">
        <v>48</v>
      </c>
      <c r="E117" s="53" t="s">
        <v>45</v>
      </c>
      <c r="F117" s="54">
        <v>1.68</v>
      </c>
      <c r="G117" s="53">
        <v>785.38</v>
      </c>
      <c r="H117" s="55">
        <f>(F117*G117)-0.01</f>
        <v>1319.4284</v>
      </c>
      <c r="I117" s="56"/>
      <c r="J117" s="56"/>
      <c r="K117" s="56"/>
      <c r="L117" s="56"/>
      <c r="M117" s="57"/>
      <c r="N117" s="58"/>
      <c r="O117" s="59"/>
      <c r="P117" s="57"/>
      <c r="Q117" s="58"/>
      <c r="R117" s="59"/>
      <c r="S117" s="59"/>
      <c r="T117" s="59"/>
      <c r="U117" s="45">
        <f t="shared" si="66"/>
        <v>0</v>
      </c>
      <c r="V117" s="57"/>
      <c r="W117" s="44">
        <f t="shared" si="79"/>
        <v>0</v>
      </c>
      <c r="X117" s="45">
        <f t="shared" si="80"/>
        <v>0</v>
      </c>
      <c r="Y117" s="43">
        <f t="shared" si="59"/>
        <v>0</v>
      </c>
      <c r="Z117" s="58"/>
      <c r="AA117" s="45">
        <f t="shared" si="60"/>
        <v>0</v>
      </c>
      <c r="AB117" s="46">
        <f t="shared" si="61"/>
        <v>1</v>
      </c>
      <c r="AC117" s="58">
        <v>1.68</v>
      </c>
      <c r="AD117" s="44">
        <f t="shared" si="64"/>
        <v>1319</v>
      </c>
      <c r="AE117" s="43">
        <f t="shared" si="65"/>
        <v>1</v>
      </c>
      <c r="AF117" s="44">
        <f t="shared" si="62"/>
        <v>1.68</v>
      </c>
      <c r="AG117" s="45">
        <f t="shared" si="62"/>
        <v>1319</v>
      </c>
      <c r="AH117" s="65" t="str">
        <f t="shared" si="81"/>
        <v>ITEM FINALIZADO</v>
      </c>
    </row>
    <row r="118" spans="1:35" ht="50">
      <c r="A118" s="50" t="s">
        <v>263</v>
      </c>
      <c r="B118" s="63">
        <v>94559</v>
      </c>
      <c r="C118" s="64" t="s">
        <v>264</v>
      </c>
      <c r="D118" s="53" t="s">
        <v>48</v>
      </c>
      <c r="E118" s="53" t="s">
        <v>45</v>
      </c>
      <c r="F118" s="54">
        <v>14.51</v>
      </c>
      <c r="G118" s="53">
        <v>654.16</v>
      </c>
      <c r="H118" s="55">
        <f t="shared" si="78"/>
        <v>9491.8616000000002</v>
      </c>
      <c r="I118" s="56"/>
      <c r="J118" s="56"/>
      <c r="K118" s="56"/>
      <c r="L118" s="56"/>
      <c r="M118" s="57"/>
      <c r="N118" s="58"/>
      <c r="O118" s="59"/>
      <c r="P118" s="57"/>
      <c r="Q118" s="58"/>
      <c r="R118" s="59"/>
      <c r="S118" s="59"/>
      <c r="T118" s="59"/>
      <c r="U118" s="45">
        <f t="shared" si="66"/>
        <v>0</v>
      </c>
      <c r="V118" s="57"/>
      <c r="W118" s="44">
        <f t="shared" si="79"/>
        <v>0</v>
      </c>
      <c r="X118" s="45">
        <f t="shared" si="80"/>
        <v>0</v>
      </c>
      <c r="Y118" s="43">
        <f t="shared" si="59"/>
        <v>0</v>
      </c>
      <c r="Z118" s="58"/>
      <c r="AA118" s="45">
        <f t="shared" si="60"/>
        <v>0</v>
      </c>
      <c r="AB118" s="46">
        <f t="shared" si="61"/>
        <v>1</v>
      </c>
      <c r="AC118" s="58">
        <v>14.51</v>
      </c>
      <c r="AD118" s="44">
        <f t="shared" si="64"/>
        <v>9491</v>
      </c>
      <c r="AE118" s="43">
        <f t="shared" si="65"/>
        <v>1</v>
      </c>
      <c r="AF118" s="44">
        <f t="shared" si="62"/>
        <v>14.51</v>
      </c>
      <c r="AG118" s="45">
        <f t="shared" si="62"/>
        <v>9491</v>
      </c>
      <c r="AH118" s="65" t="str">
        <f t="shared" si="81"/>
        <v>ITEM FINALIZADO</v>
      </c>
    </row>
    <row r="119" spans="1:35" ht="50">
      <c r="A119" s="50" t="s">
        <v>265</v>
      </c>
      <c r="B119" s="63">
        <v>94562</v>
      </c>
      <c r="C119" s="64" t="s">
        <v>266</v>
      </c>
      <c r="D119" s="53" t="s">
        <v>48</v>
      </c>
      <c r="E119" s="53" t="s">
        <v>45</v>
      </c>
      <c r="F119" s="54">
        <v>10.5</v>
      </c>
      <c r="G119" s="53">
        <v>596.88</v>
      </c>
      <c r="H119" s="55">
        <f t="shared" si="78"/>
        <v>6267.24</v>
      </c>
      <c r="I119" s="56"/>
      <c r="J119" s="56"/>
      <c r="K119" s="56"/>
      <c r="L119" s="56"/>
      <c r="M119" s="57"/>
      <c r="N119" s="58"/>
      <c r="O119" s="59"/>
      <c r="P119" s="57"/>
      <c r="Q119" s="58"/>
      <c r="R119" s="59"/>
      <c r="S119" s="59"/>
      <c r="T119" s="59"/>
      <c r="U119" s="45">
        <f t="shared" si="66"/>
        <v>0</v>
      </c>
      <c r="V119" s="57"/>
      <c r="W119" s="44">
        <f t="shared" si="79"/>
        <v>0</v>
      </c>
      <c r="X119" s="45">
        <f t="shared" si="80"/>
        <v>0</v>
      </c>
      <c r="Y119" s="43">
        <f t="shared" si="59"/>
        <v>0</v>
      </c>
      <c r="Z119" s="58"/>
      <c r="AA119" s="45">
        <f t="shared" si="60"/>
        <v>0</v>
      </c>
      <c r="AB119" s="46">
        <f t="shared" si="61"/>
        <v>1</v>
      </c>
      <c r="AC119" s="58">
        <v>10.5</v>
      </c>
      <c r="AD119" s="44">
        <f t="shared" si="64"/>
        <v>6267</v>
      </c>
      <c r="AE119" s="43">
        <f t="shared" si="65"/>
        <v>1</v>
      </c>
      <c r="AF119" s="44">
        <f t="shared" si="62"/>
        <v>10.5</v>
      </c>
      <c r="AG119" s="45">
        <f t="shared" si="62"/>
        <v>6267</v>
      </c>
      <c r="AH119" s="65" t="str">
        <f t="shared" si="81"/>
        <v>ITEM FINALIZADO</v>
      </c>
    </row>
    <row r="120" spans="1:35" ht="26">
      <c r="A120" s="50" t="s">
        <v>267</v>
      </c>
      <c r="B120" s="63">
        <v>102170</v>
      </c>
      <c r="C120" s="64" t="s">
        <v>268</v>
      </c>
      <c r="D120" s="53" t="s">
        <v>48</v>
      </c>
      <c r="E120" s="53" t="s">
        <v>45</v>
      </c>
      <c r="F120" s="54">
        <v>25.01</v>
      </c>
      <c r="G120" s="53">
        <v>264.66000000000003</v>
      </c>
      <c r="H120" s="55">
        <f>(F120*G120)-0.01</f>
        <v>6619.1366000000007</v>
      </c>
      <c r="I120" s="56"/>
      <c r="J120" s="56"/>
      <c r="K120" s="56"/>
      <c r="L120" s="56"/>
      <c r="M120" s="57"/>
      <c r="N120" s="58"/>
      <c r="O120" s="59"/>
      <c r="P120" s="57"/>
      <c r="Q120" s="58"/>
      <c r="R120" s="59"/>
      <c r="S120" s="59"/>
      <c r="T120" s="59"/>
      <c r="U120" s="45">
        <f t="shared" si="66"/>
        <v>0</v>
      </c>
      <c r="V120" s="57"/>
      <c r="W120" s="44">
        <f t="shared" si="79"/>
        <v>0</v>
      </c>
      <c r="X120" s="45">
        <f t="shared" si="80"/>
        <v>0</v>
      </c>
      <c r="Y120" s="43">
        <f t="shared" si="59"/>
        <v>0</v>
      </c>
      <c r="Z120" s="58"/>
      <c r="AA120" s="45">
        <f t="shared" si="60"/>
        <v>0</v>
      </c>
      <c r="AB120" s="46">
        <f t="shared" si="61"/>
        <v>1</v>
      </c>
      <c r="AC120" s="58">
        <v>25.01</v>
      </c>
      <c r="AD120" s="44">
        <f t="shared" si="64"/>
        <v>6619</v>
      </c>
      <c r="AE120" s="43">
        <f t="shared" si="65"/>
        <v>1</v>
      </c>
      <c r="AF120" s="44">
        <f t="shared" si="62"/>
        <v>25.01</v>
      </c>
      <c r="AG120" s="45">
        <f t="shared" si="62"/>
        <v>6619</v>
      </c>
      <c r="AH120" s="65" t="str">
        <f t="shared" si="81"/>
        <v>ITEM FINALIZADO</v>
      </c>
    </row>
    <row r="121" spans="1:35" ht="20.149999999999999" customHeight="1">
      <c r="A121" s="28">
        <v>12</v>
      </c>
      <c r="B121" s="29" t="s">
        <v>269</v>
      </c>
      <c r="C121" s="29"/>
      <c r="D121" s="29"/>
      <c r="E121" s="29"/>
      <c r="F121" s="29"/>
      <c r="G121" s="29"/>
      <c r="H121" s="61">
        <f>SUM(H122:H122)</f>
        <v>412603.31999999995</v>
      </c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62"/>
      <c r="AE121" s="31"/>
      <c r="AF121" s="31"/>
      <c r="AG121" s="31"/>
      <c r="AH121" s="31"/>
    </row>
    <row r="122" spans="1:35" ht="50">
      <c r="A122" s="50" t="s">
        <v>270</v>
      </c>
      <c r="B122" s="102">
        <v>104816</v>
      </c>
      <c r="C122" s="103" t="s">
        <v>271</v>
      </c>
      <c r="D122" s="69" t="s">
        <v>48</v>
      </c>
      <c r="E122" s="69" t="s">
        <v>45</v>
      </c>
      <c r="F122" s="70">
        <v>308.64999999999998</v>
      </c>
      <c r="G122" s="69">
        <v>1336.8</v>
      </c>
      <c r="H122" s="55">
        <f t="shared" ref="H122" si="82">(F122*G122)</f>
        <v>412603.31999999995</v>
      </c>
      <c r="I122" s="56"/>
      <c r="J122" s="56"/>
      <c r="K122" s="56"/>
      <c r="L122" s="56"/>
      <c r="M122" s="57"/>
      <c r="N122" s="58"/>
      <c r="O122" s="59"/>
      <c r="P122" s="57"/>
      <c r="Q122" s="58"/>
      <c r="R122" s="59"/>
      <c r="S122" s="59"/>
      <c r="T122" s="59"/>
      <c r="U122" s="45">
        <f t="shared" si="66"/>
        <v>0</v>
      </c>
      <c r="V122" s="111"/>
      <c r="W122" s="44">
        <f t="shared" ref="W122" si="83">TRUNC(V122*F122,2)</f>
        <v>0</v>
      </c>
      <c r="X122" s="45">
        <f t="shared" ref="X122" si="84">TRUNC(W122*G122)+0</f>
        <v>0</v>
      </c>
      <c r="Y122" s="43">
        <f t="shared" si="59"/>
        <v>0.799719552891625</v>
      </c>
      <c r="Z122" s="58">
        <f>308.5418*0.8</f>
        <v>246.83344000000002</v>
      </c>
      <c r="AA122" s="45">
        <f>TRUNC(Z122*G122)+0</f>
        <v>329966</v>
      </c>
      <c r="AB122" s="46">
        <f t="shared" si="61"/>
        <v>0.19992872185323182</v>
      </c>
      <c r="AC122" s="75">
        <v>61.707999999999998</v>
      </c>
      <c r="AD122" s="44">
        <f t="shared" si="64"/>
        <v>82491</v>
      </c>
      <c r="AE122" s="128">
        <f t="shared" si="65"/>
        <v>0.99964827474485685</v>
      </c>
      <c r="AF122" s="44">
        <f t="shared" si="62"/>
        <v>308.54144000000002</v>
      </c>
      <c r="AG122" s="45">
        <f t="shared" si="62"/>
        <v>412457</v>
      </c>
      <c r="AH122" s="65">
        <f t="shared" ref="AH122" si="85">IF(AE122=100%,"ITEM FINALIZADO",AE122)</f>
        <v>0.99964827474485685</v>
      </c>
    </row>
    <row r="123" spans="1:35" ht="20.149999999999999" customHeight="1">
      <c r="A123" s="28">
        <v>13</v>
      </c>
      <c r="B123" s="29" t="s">
        <v>272</v>
      </c>
      <c r="C123" s="29"/>
      <c r="D123" s="29"/>
      <c r="E123" s="29"/>
      <c r="F123" s="29"/>
      <c r="G123" s="29"/>
      <c r="H123" s="61">
        <f>SUM(H124:H124)</f>
        <v>1246.7714999999998</v>
      </c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62"/>
      <c r="AE123" s="31"/>
      <c r="AF123" s="31"/>
      <c r="AG123" s="31"/>
      <c r="AH123" s="31"/>
    </row>
    <row r="124" spans="1:35" ht="23.25" customHeight="1">
      <c r="A124" s="50" t="s">
        <v>273</v>
      </c>
      <c r="B124" s="109">
        <v>2450</v>
      </c>
      <c r="C124" s="129" t="s">
        <v>274</v>
      </c>
      <c r="D124" s="73" t="s">
        <v>44</v>
      </c>
      <c r="E124" s="73" t="s">
        <v>275</v>
      </c>
      <c r="F124" s="74">
        <v>488.93</v>
      </c>
      <c r="G124" s="73">
        <v>2.5499999999999998</v>
      </c>
      <c r="H124" s="130">
        <f>F124*G124</f>
        <v>1246.7714999999998</v>
      </c>
      <c r="I124" s="56"/>
      <c r="J124" s="56"/>
      <c r="K124" s="56"/>
      <c r="L124" s="131"/>
      <c r="M124" s="57"/>
      <c r="N124" s="58"/>
      <c r="O124" s="59"/>
      <c r="P124" s="57"/>
      <c r="Q124" s="58"/>
      <c r="R124" s="59"/>
      <c r="S124" s="59"/>
      <c r="T124" s="59"/>
      <c r="U124" s="45"/>
      <c r="V124" s="57"/>
      <c r="W124" s="44">
        <f t="shared" ref="W124" si="86">TRUNC(V124*F124,2)</f>
        <v>0</v>
      </c>
      <c r="X124" s="45"/>
      <c r="Y124" s="43">
        <f t="shared" si="59"/>
        <v>0</v>
      </c>
      <c r="Z124" s="58"/>
      <c r="AA124" s="45">
        <f t="shared" si="60"/>
        <v>0</v>
      </c>
      <c r="AB124" s="46">
        <f t="shared" si="61"/>
        <v>0</v>
      </c>
      <c r="AC124" s="58"/>
      <c r="AD124" s="44">
        <f t="shared" si="64"/>
        <v>0</v>
      </c>
      <c r="AE124" s="43">
        <f t="shared" si="65"/>
        <v>0</v>
      </c>
      <c r="AF124" s="44">
        <f t="shared" si="62"/>
        <v>0</v>
      </c>
      <c r="AG124" s="45">
        <f t="shared" si="62"/>
        <v>0</v>
      </c>
      <c r="AH124" s="65">
        <f t="shared" ref="AH124" si="87">IF(AE124=100%,"ITEM FINALIZADO",AE124)</f>
        <v>0</v>
      </c>
    </row>
    <row r="125" spans="1:35" ht="21.75" customHeight="1">
      <c r="A125" s="132" t="s">
        <v>276</v>
      </c>
      <c r="B125" s="132"/>
      <c r="C125" s="132"/>
      <c r="D125" s="132"/>
      <c r="E125" s="132"/>
      <c r="F125" s="132"/>
      <c r="G125" s="133"/>
      <c r="H125" s="134">
        <v>210898.1</v>
      </c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62"/>
      <c r="AE125" s="31"/>
      <c r="AF125" s="31"/>
      <c r="AG125" s="31"/>
      <c r="AH125" s="31"/>
    </row>
    <row r="126" spans="1:35" ht="20.25" customHeight="1">
      <c r="A126" s="135" t="s">
        <v>277</v>
      </c>
      <c r="B126" s="135"/>
      <c r="C126" s="135"/>
      <c r="D126" s="135"/>
      <c r="E126" s="135"/>
      <c r="F126" s="135"/>
      <c r="G126" s="136"/>
      <c r="H126" s="137">
        <v>939101.9</v>
      </c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62"/>
      <c r="AE126" s="31"/>
      <c r="AF126" s="31"/>
      <c r="AG126" s="138"/>
      <c r="AH126" s="138"/>
      <c r="AI126" s="139"/>
    </row>
    <row r="127" spans="1:35" ht="31.5" customHeight="1">
      <c r="A127" s="135" t="s">
        <v>278</v>
      </c>
      <c r="B127" s="135"/>
      <c r="C127" s="135"/>
      <c r="D127" s="135"/>
      <c r="E127" s="135"/>
      <c r="F127" s="135"/>
      <c r="G127" s="136"/>
      <c r="H127" s="140">
        <f>SUM(H125:H126)</f>
        <v>1150000</v>
      </c>
      <c r="I127" s="141"/>
      <c r="J127" s="142">
        <f>L127/$H$127</f>
        <v>0.1244916608695652</v>
      </c>
      <c r="K127" s="143" t="s">
        <v>279</v>
      </c>
      <c r="L127" s="144">
        <f>SUM(L7:L124)</f>
        <v>143165.40999999997</v>
      </c>
      <c r="M127" s="142">
        <f>O127/$H$127</f>
        <v>7.8975260869565217E-2</v>
      </c>
      <c r="N127" s="143" t="s">
        <v>280</v>
      </c>
      <c r="O127" s="144">
        <f>SUM(O7:O124)</f>
        <v>90821.55</v>
      </c>
      <c r="P127" s="142">
        <f>R127/$H$127</f>
        <v>5.802434782608696E-2</v>
      </c>
      <c r="Q127" s="143" t="s">
        <v>281</v>
      </c>
      <c r="R127" s="144">
        <f>SUM(R7:R124)</f>
        <v>66728</v>
      </c>
      <c r="S127" s="145"/>
      <c r="T127" s="145"/>
      <c r="U127" s="145"/>
      <c r="V127" s="142">
        <f>X127/$H$127</f>
        <v>3.6186104347826084E-2</v>
      </c>
      <c r="W127" s="143" t="s">
        <v>282</v>
      </c>
      <c r="X127" s="144">
        <f>SUM(X7:X124)</f>
        <v>41614.019999999997</v>
      </c>
      <c r="Y127" s="142">
        <f>AA127/$H$127</f>
        <v>0.28762347826086959</v>
      </c>
      <c r="Z127" s="143" t="s">
        <v>283</v>
      </c>
      <c r="AA127" s="144">
        <f>SUM(AA7:AA124)</f>
        <v>330767</v>
      </c>
      <c r="AB127" s="142">
        <f>AD127/$H$127</f>
        <v>0.14589478260869565</v>
      </c>
      <c r="AC127" s="143" t="s">
        <v>284</v>
      </c>
      <c r="AD127" s="146">
        <f>SUM(AD7:AD124)</f>
        <v>167779</v>
      </c>
      <c r="AE127" s="147" t="s">
        <v>285</v>
      </c>
      <c r="AF127" s="142">
        <f>AG127/$H$127</f>
        <v>0.78500433043478257</v>
      </c>
      <c r="AG127" s="144">
        <f>SUM(AG7:AG124)</f>
        <v>902754.98</v>
      </c>
      <c r="AH127" s="142">
        <f>100%-AF127</f>
        <v>0.21499566956521743</v>
      </c>
      <c r="AI127" s="139">
        <f>H127-AG127</f>
        <v>247245.02000000002</v>
      </c>
    </row>
    <row r="128" spans="1:35" ht="60" customHeight="1">
      <c r="A128" s="148" t="s">
        <v>286</v>
      </c>
      <c r="B128" s="149"/>
      <c r="C128" s="150"/>
      <c r="D128" s="148" t="s">
        <v>287</v>
      </c>
      <c r="E128" s="149"/>
      <c r="F128" s="149"/>
      <c r="G128" s="149"/>
      <c r="H128" s="149"/>
      <c r="I128" s="150"/>
      <c r="J128" s="151" t="s">
        <v>288</v>
      </c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2">
        <f>H127-AG127</f>
        <v>247245.02000000002</v>
      </c>
    </row>
    <row r="129" spans="1:35" ht="60" customHeight="1">
      <c r="A129" s="153"/>
      <c r="B129" s="154"/>
      <c r="C129" s="155"/>
      <c r="D129" s="153"/>
      <c r="E129" s="154"/>
      <c r="F129" s="154"/>
      <c r="G129" s="154"/>
      <c r="H129" s="154"/>
      <c r="I129" s="155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8" t="s">
        <v>289</v>
      </c>
    </row>
    <row r="130" spans="1:35" ht="70" customHeight="1">
      <c r="A130" s="153"/>
      <c r="B130" s="154"/>
      <c r="C130" s="155"/>
      <c r="D130" s="153"/>
      <c r="E130" s="154"/>
      <c r="F130" s="154"/>
      <c r="G130" s="154"/>
      <c r="H130" s="154"/>
      <c r="I130" s="155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</row>
    <row r="131" spans="1:35">
      <c r="A131" s="156"/>
      <c r="B131" s="157"/>
      <c r="C131" s="158"/>
      <c r="D131" s="156"/>
      <c r="E131" s="157"/>
      <c r="F131" s="157"/>
      <c r="G131" s="157"/>
      <c r="H131" s="157"/>
      <c r="I131" s="158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</row>
    <row r="133" spans="1:35">
      <c r="K133" s="159"/>
    </row>
    <row r="134" spans="1:35">
      <c r="C134" s="160"/>
      <c r="E134" s="160"/>
      <c r="H134" s="161"/>
      <c r="J134" s="160"/>
      <c r="M134" s="160"/>
      <c r="P134" s="160"/>
      <c r="V134" s="160"/>
      <c r="Y134" s="160"/>
      <c r="AB134" s="160"/>
    </row>
    <row r="135" spans="1:35">
      <c r="H135" s="9">
        <v>0.25</v>
      </c>
    </row>
    <row r="136" spans="1:35">
      <c r="H136" s="161">
        <f>H127*H135</f>
        <v>287500</v>
      </c>
      <c r="M136" s="161">
        <v>1451015.78</v>
      </c>
      <c r="N136" s="9" t="s">
        <v>290</v>
      </c>
    </row>
    <row r="137" spans="1:35">
      <c r="H137" s="162">
        <f>H38</f>
        <v>42001.8266</v>
      </c>
      <c r="I137" s="9" t="s">
        <v>291</v>
      </c>
      <c r="M137" s="161">
        <f>H127</f>
        <v>1150000</v>
      </c>
      <c r="N137" s="9" t="s">
        <v>292</v>
      </c>
    </row>
    <row r="138" spans="1:35">
      <c r="H138" s="161">
        <f>H136+H137</f>
        <v>329501.82660000003</v>
      </c>
      <c r="I138" s="9" t="s">
        <v>293</v>
      </c>
      <c r="M138" s="163">
        <f>1-(M137/M136)</f>
        <v>0.20745176182715253</v>
      </c>
      <c r="N138" s="9" t="s">
        <v>294</v>
      </c>
    </row>
    <row r="139" spans="1:35">
      <c r="H139" s="161">
        <v>111698.96</v>
      </c>
      <c r="I139" s="9" t="s">
        <v>295</v>
      </c>
      <c r="J139" s="9" t="s">
        <v>295</v>
      </c>
      <c r="K139" s="9" t="s">
        <v>295</v>
      </c>
      <c r="L139" s="9" t="s">
        <v>295</v>
      </c>
    </row>
    <row r="140" spans="1:35">
      <c r="H140" s="161">
        <f>H139*(100%-M138)</f>
        <v>88526.813953739373</v>
      </c>
      <c r="I140" s="9" t="s">
        <v>296</v>
      </c>
    </row>
    <row r="141" spans="1:35">
      <c r="H141" s="161">
        <f>H138-H140</f>
        <v>240975.01264626067</v>
      </c>
      <c r="I141" s="9" t="s">
        <v>297</v>
      </c>
    </row>
    <row r="142" spans="1:35">
      <c r="H142" s="161">
        <v>1451015.78</v>
      </c>
      <c r="I142" s="9" t="s">
        <v>298</v>
      </c>
      <c r="W142" s="161"/>
    </row>
    <row r="143" spans="1:35">
      <c r="H143" s="163">
        <f>1-(H127/H142)</f>
        <v>0.20745176182715253</v>
      </c>
      <c r="I143" s="9" t="s">
        <v>299</v>
      </c>
    </row>
  </sheetData>
  <mergeCells count="64">
    <mergeCell ref="J128:AH131"/>
    <mergeCell ref="B121:G121"/>
    <mergeCell ref="B123:G123"/>
    <mergeCell ref="A125:G125"/>
    <mergeCell ref="A126:G126"/>
    <mergeCell ref="A127:G127"/>
    <mergeCell ref="A128:C131"/>
    <mergeCell ref="D128:I131"/>
    <mergeCell ref="B56:G56"/>
    <mergeCell ref="B71:G71"/>
    <mergeCell ref="B91:G91"/>
    <mergeCell ref="B98:G98"/>
    <mergeCell ref="B109:G109"/>
    <mergeCell ref="B112:G112"/>
    <mergeCell ref="B30:G30"/>
    <mergeCell ref="B38:G38"/>
    <mergeCell ref="B45:G45"/>
    <mergeCell ref="B47:G47"/>
    <mergeCell ref="B52:G52"/>
    <mergeCell ref="B55:G55"/>
    <mergeCell ref="B9:G9"/>
    <mergeCell ref="B13:G13"/>
    <mergeCell ref="B14:G14"/>
    <mergeCell ref="B15:G15"/>
    <mergeCell ref="B22:G22"/>
    <mergeCell ref="B23:G23"/>
    <mergeCell ref="AE4:AH4"/>
    <mergeCell ref="B6:G6"/>
    <mergeCell ref="J6:L6"/>
    <mergeCell ref="M6:O6"/>
    <mergeCell ref="P6:R6"/>
    <mergeCell ref="S6:U6"/>
    <mergeCell ref="V6:X6"/>
    <mergeCell ref="Y6:AA6"/>
    <mergeCell ref="AB6:AD6"/>
    <mergeCell ref="Y3:Z3"/>
    <mergeCell ref="AB3:AC3"/>
    <mergeCell ref="AE3:AH3"/>
    <mergeCell ref="A4:H4"/>
    <mergeCell ref="J4:L4"/>
    <mergeCell ref="M4:O4"/>
    <mergeCell ref="P4:R4"/>
    <mergeCell ref="V4:X4"/>
    <mergeCell ref="Y4:AA4"/>
    <mergeCell ref="AB4:AD4"/>
    <mergeCell ref="A3:D3"/>
    <mergeCell ref="E3:I3"/>
    <mergeCell ref="J3:K3"/>
    <mergeCell ref="M3:N3"/>
    <mergeCell ref="P3:Q3"/>
    <mergeCell ref="V3:W3"/>
    <mergeCell ref="V1:X2"/>
    <mergeCell ref="Y1:AA2"/>
    <mergeCell ref="AB1:AD2"/>
    <mergeCell ref="AE1:AH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49" priority="16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AC50:AC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48" priority="15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47" priority="14" operator="between">
      <formula>1</formula>
      <formula>100000</formula>
    </cfRule>
  </conditionalFormatting>
  <conditionalFormatting sqref="Y7:Y8 Y10:Y12 Y16:Y21 Y24:Y29 Y31:Y37 Y39:Y44 Y46 Y48:Y51 Y53:Y54 Y57:Y70 Y72:Y90 Y92:Y97 Y99:Y108 Y110:Y111 Y113:Y120 Y122 Y124">
    <cfRule type="cellIs" dxfId="46" priority="13" operator="between">
      <formula>0.01</formula>
      <formula>1</formula>
    </cfRule>
  </conditionalFormatting>
  <conditionalFormatting sqref="Z7">
    <cfRule type="cellIs" dxfId="45" priority="12" operator="between">
      <formula>1</formula>
      <formula>1000</formula>
    </cfRule>
  </conditionalFormatting>
  <conditionalFormatting sqref="AA7:AA8 AA10:AA12 AA16:AA21 AA24:AA29 AA31:AA37 AA39:AA44 AA46 AA48:AA51 AA53:AA54 AA57:AA70 AA72:AA90 AA92:AA97 AA99:AA108 AA110:AA111 AA113:AA120 AA122 AA124">
    <cfRule type="cellIs" dxfId="44" priority="11" operator="between">
      <formula>1</formula>
      <formula>100000</formula>
    </cfRule>
  </conditionalFormatting>
  <conditionalFormatting sqref="AB7:AB124 AC9 AC13:AC15 AC22:AC23 AC30 AC38 AC45 AC47 AC52 AC55:AC56 AC71 AC91 AC98 AC109 AC112 AC121 AC123">
    <cfRule type="cellIs" dxfId="43" priority="2" operator="between">
      <formula>0.01</formula>
      <formula>1</formula>
    </cfRule>
  </conditionalFormatting>
  <conditionalFormatting sqref="AC7">
    <cfRule type="cellIs" dxfId="42" priority="1" operator="between">
      <formula>1</formula>
      <formula>1000</formula>
    </cfRule>
  </conditionalFormatting>
  <conditionalFormatting sqref="AC53:AC54 AC57:AC58">
    <cfRule type="cellIs" dxfId="41" priority="10" operator="between">
      <formula>1</formula>
      <formula>1000</formula>
    </cfRule>
  </conditionalFormatting>
  <conditionalFormatting sqref="AC72:AC90">
    <cfRule type="cellIs" dxfId="40" priority="9" operator="between">
      <formula>1</formula>
      <formula>1000</formula>
    </cfRule>
  </conditionalFormatting>
  <conditionalFormatting sqref="AC92:AC97">
    <cfRule type="cellIs" dxfId="39" priority="8" operator="between">
      <formula>1</formula>
      <formula>1000</formula>
    </cfRule>
  </conditionalFormatting>
  <conditionalFormatting sqref="AC99:AC108">
    <cfRule type="cellIs" dxfId="38" priority="7" operator="between">
      <formula>1</formula>
      <formula>1000</formula>
    </cfRule>
  </conditionalFormatting>
  <conditionalFormatting sqref="AC110:AC111">
    <cfRule type="cellIs" dxfId="37" priority="6" operator="between">
      <formula>1</formula>
      <formula>1000</formula>
    </cfRule>
  </conditionalFormatting>
  <conditionalFormatting sqref="AC114:AC120">
    <cfRule type="cellIs" dxfId="36" priority="5" operator="between">
      <formula>1</formula>
      <formula>1000</formula>
    </cfRule>
  </conditionalFormatting>
  <conditionalFormatting sqref="AC124">
    <cfRule type="cellIs" dxfId="35" priority="4" operator="between">
      <formula>1</formula>
      <formula>1000</formula>
    </cfRule>
  </conditionalFormatting>
  <conditionalFormatting sqref="AD7:AD8 AD10:AD12 AD16:AD21 AD24:AD29 AD31:AD37 AD39:AD44 AD46 AD48:AD51 AD53:AD54 AD57:AD70 AD72:AD90 AD92:AD97 AD99:AD108 AD110:AD111 AD113:AD120 AD122 AD124">
    <cfRule type="cellIs" dxfId="34" priority="3" operator="between">
      <formula>1</formula>
      <formula>100000</formula>
    </cfRule>
  </conditionalFormatting>
  <conditionalFormatting sqref="AE7:AE8 AE10:AE12 AE16:AE21 AE24:AE29 AE31:AE37 AE39:AE44 AE46 AE48:AE51 AE53:AE54 AE57:AE70 AE72:AE90 AE92:AE97 AE99:AE108 AE110:AE111 AE113:AE120 AE122 AE124">
    <cfRule type="cellIs" dxfId="33" priority="18" operator="equal">
      <formula>1</formula>
    </cfRule>
  </conditionalFormatting>
  <conditionalFormatting sqref="AH7:AH124">
    <cfRule type="cellIs" dxfId="32" priority="17" operator="equal">
      <formula>"ITEM FINALIZADO"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4E6F-7370-47BC-873D-4AA56B0FFF6E}">
  <sheetPr>
    <outlinePr summaryBelow="0"/>
    <pageSetUpPr fitToPage="1"/>
  </sheetPr>
  <dimension ref="A1:BW270"/>
  <sheetViews>
    <sheetView tabSelected="1" view="pageBreakPreview" topLeftCell="E1" zoomScale="90" zoomScaleNormal="85" zoomScaleSheetLayoutView="70" workbookViewId="0">
      <selection activeCell="D41" sqref="D41:AW41"/>
    </sheetView>
  </sheetViews>
  <sheetFormatPr defaultColWidth="9.1796875" defaultRowHeight="14"/>
  <cols>
    <col min="1" max="1" width="19.1796875" style="170" customWidth="1"/>
    <col min="2" max="2" width="13.1796875" style="170" customWidth="1"/>
    <col min="3" max="3" width="61.453125" style="170" customWidth="1"/>
    <col min="4" max="4" width="7.453125" style="170" customWidth="1"/>
    <col min="5" max="5" width="5.54296875" style="170" customWidth="1"/>
    <col min="6" max="6" width="6.81640625" style="170" customWidth="1"/>
    <col min="7" max="9" width="5.54296875" style="170" customWidth="1"/>
    <col min="10" max="10" width="7.1796875" style="170" customWidth="1"/>
    <col min="11" max="11" width="5.54296875" style="170" customWidth="1"/>
    <col min="12" max="12" width="7" style="170" customWidth="1"/>
    <col min="13" max="13" width="5.54296875" style="170" customWidth="1"/>
    <col min="14" max="14" width="6.54296875" style="170" customWidth="1"/>
    <col min="15" max="15" width="5.54296875" style="170" customWidth="1"/>
    <col min="16" max="16" width="7.1796875" style="170" customWidth="1"/>
    <col min="17" max="17" width="5.54296875" style="170" customWidth="1"/>
    <col min="18" max="18" width="7.453125" style="170" customWidth="1"/>
    <col min="19" max="21" width="5.54296875" style="170" customWidth="1"/>
    <col min="22" max="22" width="5.7265625" style="170" customWidth="1"/>
    <col min="23" max="23" width="6.54296875" style="170" customWidth="1"/>
    <col min="24" max="24" width="7" style="170" customWidth="1"/>
    <col min="25" max="25" width="10" style="170" customWidth="1"/>
    <col min="26" max="26" width="7.1796875" style="170" customWidth="1"/>
    <col min="27" max="27" width="7.453125" style="170" customWidth="1"/>
    <col min="28" max="28" width="6.54296875" style="170" customWidth="1"/>
    <col min="29" max="44" width="8.7265625" style="170" customWidth="1"/>
    <col min="45" max="45" width="6.81640625" style="170" customWidth="1"/>
    <col min="46" max="46" width="7.7265625" style="170" customWidth="1"/>
    <col min="47" max="48" width="12.453125" style="170" customWidth="1"/>
    <col min="49" max="49" width="17.26953125" style="170" customWidth="1"/>
    <col min="50" max="50" width="24" style="170" hidden="1" customWidth="1"/>
    <col min="51" max="51" width="25.26953125" style="170" hidden="1" customWidth="1"/>
    <col min="52" max="52" width="24" style="170" hidden="1" customWidth="1"/>
    <col min="53" max="53" width="14" style="170" hidden="1" customWidth="1"/>
    <col min="54" max="54" width="29.26953125" style="170" hidden="1" customWidth="1"/>
    <col min="55" max="55" width="15.453125" style="170" hidden="1" customWidth="1"/>
    <col min="56" max="56" width="12.54296875" style="170" hidden="1" customWidth="1"/>
    <col min="57" max="57" width="25.26953125" style="170" hidden="1" customWidth="1"/>
    <col min="58" max="58" width="15.453125" style="170" hidden="1" customWidth="1"/>
    <col min="59" max="59" width="21" style="170" hidden="1" customWidth="1"/>
    <col min="60" max="60" width="19.81640625" style="170" hidden="1" customWidth="1"/>
    <col min="61" max="61" width="17.453125" style="170" hidden="1" customWidth="1"/>
    <col min="62" max="62" width="22.54296875" style="170" hidden="1" customWidth="1"/>
    <col min="63" max="63" width="25.1796875" style="170" hidden="1" customWidth="1"/>
    <col min="64" max="64" width="19.1796875" style="170" hidden="1" customWidth="1"/>
    <col min="65" max="16384" width="9.1796875" style="170"/>
  </cols>
  <sheetData>
    <row r="1" spans="1:64" ht="109.5" customHeight="1">
      <c r="A1" s="164"/>
      <c r="B1" s="165" t="s">
        <v>0</v>
      </c>
      <c r="C1" s="165"/>
      <c r="D1" s="165"/>
      <c r="E1" s="165" t="s">
        <v>1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 t="s">
        <v>2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6" t="s">
        <v>3</v>
      </c>
      <c r="AX1" s="167"/>
      <c r="AY1" s="167"/>
      <c r="AZ1" s="167"/>
      <c r="BA1" s="167"/>
      <c r="BB1" s="167"/>
      <c r="BC1" s="167"/>
      <c r="BD1" s="167"/>
      <c r="BE1" s="167"/>
      <c r="BF1" s="168"/>
      <c r="BG1" s="169"/>
      <c r="BH1" s="169"/>
      <c r="BI1" s="169"/>
      <c r="BJ1" s="167"/>
      <c r="BK1" s="167"/>
      <c r="BL1" s="168"/>
    </row>
    <row r="2" spans="1:64" ht="102" customHeight="1">
      <c r="A2" s="165" t="s">
        <v>4</v>
      </c>
      <c r="B2" s="165"/>
      <c r="C2" s="165"/>
      <c r="D2" s="165"/>
      <c r="E2" s="165" t="s">
        <v>5</v>
      </c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 t="s">
        <v>300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6" t="str">
        <f>'PLANILHA DE MEDIÇÃO'!I2</f>
        <v>VALOR MEDIDO NO PERÍODO:
R$ 330.767,00</v>
      </c>
      <c r="AX2" s="167"/>
      <c r="AY2" s="167"/>
      <c r="AZ2" s="167"/>
      <c r="BA2" s="167"/>
      <c r="BB2" s="167"/>
      <c r="BC2" s="167"/>
      <c r="BD2" s="167"/>
      <c r="BE2" s="167"/>
      <c r="BF2" s="168"/>
      <c r="BG2" s="169"/>
      <c r="BH2" s="169"/>
      <c r="BI2" s="169"/>
      <c r="BJ2" s="167"/>
      <c r="BK2" s="167"/>
      <c r="BL2" s="168"/>
    </row>
    <row r="3" spans="1:64" ht="91.5" customHeight="1">
      <c r="A3" s="165" t="s">
        <v>8</v>
      </c>
      <c r="B3" s="165"/>
      <c r="C3" s="165"/>
      <c r="D3" s="165"/>
      <c r="E3" s="165" t="s">
        <v>9</v>
      </c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71" t="s">
        <v>10</v>
      </c>
      <c r="AY3" s="172"/>
      <c r="AZ3" s="173" t="e">
        <f>#REF!</f>
        <v>#REF!</v>
      </c>
      <c r="BA3" s="171" t="s">
        <v>11</v>
      </c>
      <c r="BB3" s="172"/>
      <c r="BC3" s="173" t="e">
        <f>#REF!</f>
        <v>#REF!</v>
      </c>
      <c r="BD3" s="171" t="s">
        <v>12</v>
      </c>
      <c r="BE3" s="172"/>
      <c r="BF3" s="173" t="e">
        <f>#REF!</f>
        <v>#REF!</v>
      </c>
      <c r="BG3" s="173"/>
      <c r="BH3" s="173"/>
      <c r="BI3" s="173"/>
      <c r="BJ3" s="171" t="s">
        <v>13</v>
      </c>
      <c r="BK3" s="172"/>
      <c r="BL3" s="173" t="e">
        <f>#REF!</f>
        <v>#REF!</v>
      </c>
    </row>
    <row r="4" spans="1:64" ht="15" customHeight="1">
      <c r="A4" s="174" t="s">
        <v>301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6"/>
      <c r="AX4" s="175" t="s">
        <v>16</v>
      </c>
      <c r="AY4" s="175"/>
      <c r="AZ4" s="175"/>
      <c r="BA4" s="175" t="s">
        <v>16</v>
      </c>
      <c r="BB4" s="175"/>
      <c r="BC4" s="175"/>
      <c r="BD4" s="175" t="s">
        <v>16</v>
      </c>
      <c r="BE4" s="175"/>
      <c r="BF4" s="175"/>
      <c r="BG4" s="177"/>
      <c r="BH4" s="177"/>
      <c r="BI4" s="177"/>
      <c r="BJ4" s="175" t="s">
        <v>16</v>
      </c>
      <c r="BK4" s="175"/>
      <c r="BL4" s="175"/>
    </row>
    <row r="5" spans="1:64" ht="65.25" customHeight="1">
      <c r="A5" s="178" t="s">
        <v>18</v>
      </c>
      <c r="B5" s="178" t="s">
        <v>19</v>
      </c>
      <c r="C5" s="178" t="s">
        <v>20</v>
      </c>
      <c r="D5" s="179" t="s">
        <v>302</v>
      </c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8" t="s">
        <v>26</v>
      </c>
      <c r="AY5" s="178" t="s">
        <v>27</v>
      </c>
      <c r="AZ5" s="178" t="s">
        <v>28</v>
      </c>
      <c r="BA5" s="178" t="s">
        <v>26</v>
      </c>
      <c r="BB5" s="178" t="s">
        <v>27</v>
      </c>
      <c r="BC5" s="178" t="s">
        <v>28</v>
      </c>
      <c r="BD5" s="178" t="s">
        <v>26</v>
      </c>
      <c r="BE5" s="178" t="s">
        <v>27</v>
      </c>
      <c r="BF5" s="178" t="s">
        <v>28</v>
      </c>
      <c r="BG5" s="178" t="s">
        <v>26</v>
      </c>
      <c r="BH5" s="178" t="s">
        <v>27</v>
      </c>
      <c r="BI5" s="178" t="s">
        <v>28</v>
      </c>
      <c r="BJ5" s="178" t="s">
        <v>26</v>
      </c>
      <c r="BK5" s="178" t="s">
        <v>27</v>
      </c>
      <c r="BL5" s="178" t="s">
        <v>28</v>
      </c>
    </row>
    <row r="6" spans="1:64" ht="20.149999999999999" customHeight="1">
      <c r="A6" s="180">
        <v>1</v>
      </c>
      <c r="B6" s="181" t="s">
        <v>34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2" t="s">
        <v>35</v>
      </c>
      <c r="AY6" s="182"/>
      <c r="AZ6" s="182"/>
      <c r="BA6" s="182" t="s">
        <v>36</v>
      </c>
      <c r="BB6" s="182"/>
      <c r="BC6" s="182"/>
      <c r="BD6" s="182" t="s">
        <v>37</v>
      </c>
      <c r="BE6" s="182"/>
      <c r="BF6" s="182"/>
      <c r="BG6" s="182" t="s">
        <v>38</v>
      </c>
      <c r="BH6" s="182"/>
      <c r="BI6" s="182"/>
      <c r="BJ6" s="182" t="s">
        <v>39</v>
      </c>
      <c r="BK6" s="182"/>
      <c r="BL6" s="182"/>
    </row>
    <row r="7" spans="1:64" s="190" customFormat="1" ht="31.5" customHeight="1">
      <c r="A7" s="183" t="s">
        <v>42</v>
      </c>
      <c r="B7" s="184">
        <v>51</v>
      </c>
      <c r="C7" s="183" t="s">
        <v>43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6">
        <v>1</v>
      </c>
      <c r="AY7" s="187">
        <f>TRUNC(AX7*U7,2)</f>
        <v>0</v>
      </c>
      <c r="AZ7" s="188">
        <f>TRUNC(AY7*V7)+0.46</f>
        <v>0.46</v>
      </c>
      <c r="BA7" s="186">
        <v>0</v>
      </c>
      <c r="BB7" s="187">
        <f>TRUNC(BA7*U7,2)</f>
        <v>0</v>
      </c>
      <c r="BC7" s="188">
        <f>TRUNC(BB7*V7)+0</f>
        <v>0</v>
      </c>
      <c r="BD7" s="189">
        <v>0</v>
      </c>
      <c r="BE7" s="187">
        <f>TRUNC(BD7*U7,2)</f>
        <v>0</v>
      </c>
      <c r="BF7" s="188">
        <f>TRUNC(BE7*V7)</f>
        <v>0</v>
      </c>
      <c r="BG7" s="188"/>
      <c r="BH7" s="188"/>
      <c r="BI7" s="188">
        <f>TRUNC(V7*BH7)+0</f>
        <v>0</v>
      </c>
      <c r="BJ7" s="186">
        <v>0</v>
      </c>
      <c r="BK7" s="187">
        <f>TRUNC(BJ7*U7,2)</f>
        <v>0</v>
      </c>
      <c r="BL7" s="188">
        <f>TRUNC(BK7*V7)+0</f>
        <v>0</v>
      </c>
    </row>
    <row r="8" spans="1:64" ht="28">
      <c r="A8" s="191" t="s">
        <v>46</v>
      </c>
      <c r="B8" s="184">
        <v>98524</v>
      </c>
      <c r="C8" s="191" t="s">
        <v>47</v>
      </c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92">
        <v>1</v>
      </c>
      <c r="AY8" s="193">
        <f>TRUNC(AX8*U8,2)</f>
        <v>0</v>
      </c>
      <c r="AZ8" s="194">
        <f>TRUNC(AY8*V8)+0.41</f>
        <v>0.41</v>
      </c>
      <c r="BA8" s="192"/>
      <c r="BB8" s="193"/>
      <c r="BC8" s="194"/>
      <c r="BD8" s="192"/>
      <c r="BE8" s="193"/>
      <c r="BF8" s="194"/>
      <c r="BG8" s="194"/>
      <c r="BH8" s="194"/>
      <c r="BI8" s="188">
        <f>TRUNC(V8*BH8)+0</f>
        <v>0</v>
      </c>
      <c r="BJ8" s="192"/>
      <c r="BK8" s="187">
        <f>TRUNC(BJ8*U8,2)</f>
        <v>0</v>
      </c>
      <c r="BL8" s="188">
        <f>TRUNC(BK8*V8)+0</f>
        <v>0</v>
      </c>
    </row>
    <row r="9" spans="1:64" ht="20.149999999999999" customHeight="1">
      <c r="A9" s="180">
        <v>2</v>
      </c>
      <c r="B9" s="181" t="s">
        <v>49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</row>
    <row r="10" spans="1:64" ht="42">
      <c r="A10" s="191" t="s">
        <v>50</v>
      </c>
      <c r="B10" s="196">
        <v>99059</v>
      </c>
      <c r="C10" s="197" t="s">
        <v>51</v>
      </c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92">
        <v>1</v>
      </c>
      <c r="AY10" s="193">
        <f>TRUNC(AX10*U10,2)</f>
        <v>0</v>
      </c>
      <c r="AZ10" s="194">
        <f>TRUNC(AY10*V10)+0.12</f>
        <v>0.12</v>
      </c>
      <c r="BA10" s="192"/>
      <c r="BB10" s="193"/>
      <c r="BC10" s="194"/>
      <c r="BD10" s="192"/>
      <c r="BE10" s="193"/>
      <c r="BF10" s="194"/>
      <c r="BG10" s="194"/>
      <c r="BH10" s="194"/>
      <c r="BI10" s="188">
        <f>TRUNC(V10*BH10)+0</f>
        <v>0</v>
      </c>
      <c r="BJ10" s="192"/>
      <c r="BK10" s="187">
        <f>TRUNC(BJ10*U10,2)</f>
        <v>0</v>
      </c>
      <c r="BL10" s="188">
        <f>TRUNC(BK10*V10)+0</f>
        <v>0</v>
      </c>
    </row>
    <row r="11" spans="1:64" ht="38.25" customHeight="1">
      <c r="A11" s="183" t="s">
        <v>53</v>
      </c>
      <c r="B11" s="196">
        <v>93358</v>
      </c>
      <c r="C11" s="197" t="s">
        <v>54</v>
      </c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92">
        <v>1</v>
      </c>
      <c r="AY11" s="193">
        <f>TRUNC(AX11*U11,2)</f>
        <v>0</v>
      </c>
      <c r="AZ11" s="194">
        <f>TRUNC(AY11*V11)+0</f>
        <v>0</v>
      </c>
      <c r="BA11" s="192"/>
      <c r="BB11" s="193"/>
      <c r="BC11" s="194"/>
      <c r="BD11" s="192"/>
      <c r="BE11" s="193"/>
      <c r="BF11" s="194"/>
      <c r="BG11" s="194"/>
      <c r="BH11" s="194"/>
      <c r="BI11" s="188">
        <f>TRUNC(V11*BH11)+0</f>
        <v>0</v>
      </c>
      <c r="BJ11" s="192"/>
      <c r="BK11" s="187">
        <f>TRUNC(BJ11*U11,2)</f>
        <v>0</v>
      </c>
      <c r="BL11" s="188">
        <f>TRUNC(BK11*V11)+0</f>
        <v>0</v>
      </c>
    </row>
    <row r="12" spans="1:64" ht="28">
      <c r="A12" s="183" t="s">
        <v>56</v>
      </c>
      <c r="B12" s="196">
        <v>94319</v>
      </c>
      <c r="C12" s="197" t="s">
        <v>57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92">
        <v>1</v>
      </c>
      <c r="AY12" s="193">
        <f>TRUNC(AX12*U12,2)</f>
        <v>0</v>
      </c>
      <c r="AZ12" s="194">
        <f>TRUNC(AY12*V12)+0.2</f>
        <v>0.2</v>
      </c>
      <c r="BA12" s="192"/>
      <c r="BB12" s="193"/>
      <c r="BC12" s="194"/>
      <c r="BD12" s="192"/>
      <c r="BE12" s="193"/>
      <c r="BF12" s="194"/>
      <c r="BG12" s="194"/>
      <c r="BH12" s="194"/>
      <c r="BI12" s="188">
        <f>TRUNC(V12*BH12)+0</f>
        <v>0</v>
      </c>
      <c r="BJ12" s="192"/>
      <c r="BK12" s="187">
        <f>TRUNC(BJ12*U12,2)</f>
        <v>0</v>
      </c>
      <c r="BL12" s="188">
        <f>TRUNC(BK12*V12)+0</f>
        <v>0</v>
      </c>
    </row>
    <row r="13" spans="1:64" ht="20.149999999999999" customHeight="1">
      <c r="A13" s="180">
        <v>3</v>
      </c>
      <c r="B13" s="181" t="s">
        <v>58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</row>
    <row r="14" spans="1:64" ht="20.149999999999999" customHeight="1">
      <c r="A14" s="180" t="s">
        <v>59</v>
      </c>
      <c r="B14" s="181" t="s">
        <v>60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</row>
    <row r="15" spans="1:64" ht="20.149999999999999" customHeight="1">
      <c r="A15" s="180" t="s">
        <v>61</v>
      </c>
      <c r="B15" s="181" t="s">
        <v>62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</row>
    <row r="16" spans="1:64" ht="42">
      <c r="A16" s="183" t="s">
        <v>63</v>
      </c>
      <c r="B16" s="196">
        <v>102486</v>
      </c>
      <c r="C16" s="197" t="s">
        <v>64</v>
      </c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92">
        <v>0.8</v>
      </c>
      <c r="AY16" s="193">
        <f t="shared" ref="AY16:AY21" si="0">TRUNC(AX16*U16,2)</f>
        <v>0</v>
      </c>
      <c r="AZ16" s="194">
        <f>TRUNC(AY16*V16)+0.1</f>
        <v>0.1</v>
      </c>
      <c r="BA16" s="192">
        <v>0.2</v>
      </c>
      <c r="BB16" s="193">
        <f>TRUNC(BA16*U16,2)+0.01</f>
        <v>0.01</v>
      </c>
      <c r="BC16" s="194">
        <f>TRUNC(BB16*V16)+1.78</f>
        <v>1.78</v>
      </c>
      <c r="BD16" s="192"/>
      <c r="BE16" s="193"/>
      <c r="BF16" s="194"/>
      <c r="BG16" s="194"/>
      <c r="BH16" s="194"/>
      <c r="BI16" s="188">
        <f t="shared" ref="BI16:BI21" si="1">TRUNC(V16*BH16)+0</f>
        <v>0</v>
      </c>
      <c r="BJ16" s="192"/>
      <c r="BK16" s="187">
        <f t="shared" ref="BK16:BK21" si="2">TRUNC(BJ16*U16,2)</f>
        <v>0</v>
      </c>
      <c r="BL16" s="188">
        <f t="shared" ref="BL16:BL21" si="3">TRUNC(BK16*V16)+0</f>
        <v>0</v>
      </c>
    </row>
    <row r="17" spans="1:64" ht="42">
      <c r="A17" s="183" t="s">
        <v>65</v>
      </c>
      <c r="B17" s="196">
        <v>94965</v>
      </c>
      <c r="C17" s="197" t="s">
        <v>66</v>
      </c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92">
        <v>0.8</v>
      </c>
      <c r="AY17" s="193">
        <f t="shared" si="0"/>
        <v>0</v>
      </c>
      <c r="AZ17" s="194">
        <f>TRUNC(AY17*V17)+0.05</f>
        <v>0.05</v>
      </c>
      <c r="BA17" s="192">
        <v>0.2</v>
      </c>
      <c r="BB17" s="193">
        <f>TRUNC(BA17*U17,2)</f>
        <v>0</v>
      </c>
      <c r="BC17" s="194">
        <f>TRUNC(BB17*V17)+0.52</f>
        <v>0.52</v>
      </c>
      <c r="BD17" s="192"/>
      <c r="BE17" s="193"/>
      <c r="BF17" s="194"/>
      <c r="BG17" s="194"/>
      <c r="BH17" s="194"/>
      <c r="BI17" s="188">
        <f t="shared" si="1"/>
        <v>0</v>
      </c>
      <c r="BJ17" s="192"/>
      <c r="BK17" s="187">
        <f t="shared" si="2"/>
        <v>0</v>
      </c>
      <c r="BL17" s="188">
        <f t="shared" si="3"/>
        <v>0</v>
      </c>
    </row>
    <row r="18" spans="1:64" ht="28">
      <c r="A18" s="183" t="s">
        <v>67</v>
      </c>
      <c r="B18" s="196">
        <v>96544</v>
      </c>
      <c r="C18" s="197" t="s">
        <v>68</v>
      </c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92">
        <v>0.8</v>
      </c>
      <c r="AY18" s="193">
        <f t="shared" si="0"/>
        <v>0</v>
      </c>
      <c r="AZ18" s="194">
        <f>TRUNC(AY18*V18)+0.34</f>
        <v>0.34</v>
      </c>
      <c r="BA18" s="192">
        <v>0.2</v>
      </c>
      <c r="BB18" s="193">
        <f>TRUNC(BA18*U18,2)</f>
        <v>0</v>
      </c>
      <c r="BC18" s="194">
        <f>TRUNC(BB18*V18)+0.09</f>
        <v>0.09</v>
      </c>
      <c r="BD18" s="192"/>
      <c r="BE18" s="193"/>
      <c r="BF18" s="194"/>
      <c r="BG18" s="194"/>
      <c r="BH18" s="194"/>
      <c r="BI18" s="188">
        <f t="shared" si="1"/>
        <v>0</v>
      </c>
      <c r="BJ18" s="192"/>
      <c r="BK18" s="187">
        <f t="shared" si="2"/>
        <v>0</v>
      </c>
      <c r="BL18" s="188">
        <f t="shared" si="3"/>
        <v>0</v>
      </c>
    </row>
    <row r="19" spans="1:64" ht="28">
      <c r="A19" s="183" t="s">
        <v>70</v>
      </c>
      <c r="B19" s="184">
        <v>98545</v>
      </c>
      <c r="C19" s="197" t="s">
        <v>71</v>
      </c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92">
        <v>0.8</v>
      </c>
      <c r="AY19" s="198">
        <f t="shared" si="0"/>
        <v>0</v>
      </c>
      <c r="AZ19" s="194">
        <f>TRUNC(AY19*V19)+0.3</f>
        <v>0.3</v>
      </c>
      <c r="BA19" s="192">
        <v>0.2</v>
      </c>
      <c r="BB19" s="193">
        <f>TRUNC(BA19*U19,2)</f>
        <v>0</v>
      </c>
      <c r="BC19" s="194">
        <f>TRUNC(BB19*V19)+0.32</f>
        <v>0.32</v>
      </c>
      <c r="BD19" s="192"/>
      <c r="BE19" s="193"/>
      <c r="BF19" s="194"/>
      <c r="BG19" s="194"/>
      <c r="BH19" s="194"/>
      <c r="BI19" s="188">
        <f t="shared" si="1"/>
        <v>0</v>
      </c>
      <c r="BJ19" s="192"/>
      <c r="BK19" s="187">
        <f t="shared" si="2"/>
        <v>0</v>
      </c>
      <c r="BL19" s="188">
        <f t="shared" si="3"/>
        <v>0</v>
      </c>
    </row>
    <row r="20" spans="1:64" ht="28">
      <c r="A20" s="183" t="s">
        <v>72</v>
      </c>
      <c r="B20" s="184">
        <v>96543</v>
      </c>
      <c r="C20" s="197" t="s">
        <v>73</v>
      </c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92">
        <v>0.8</v>
      </c>
      <c r="AY20" s="193">
        <f t="shared" si="0"/>
        <v>0</v>
      </c>
      <c r="AZ20" s="194">
        <f>TRUNC(AY20*V20)+0.94</f>
        <v>0.94</v>
      </c>
      <c r="BA20" s="192">
        <v>0.2</v>
      </c>
      <c r="BB20" s="193">
        <f>TRUNC(BA20*U20,2)</f>
        <v>0</v>
      </c>
      <c r="BC20" s="194">
        <f>TRUNC(BB20*V20)+0.73</f>
        <v>0.73</v>
      </c>
      <c r="BD20" s="192"/>
      <c r="BE20" s="193"/>
      <c r="BF20" s="194"/>
      <c r="BG20" s="194"/>
      <c r="BH20" s="194"/>
      <c r="BI20" s="188">
        <f t="shared" si="1"/>
        <v>0</v>
      </c>
      <c r="BJ20" s="192"/>
      <c r="BK20" s="187">
        <f t="shared" si="2"/>
        <v>0</v>
      </c>
      <c r="BL20" s="188">
        <f t="shared" si="3"/>
        <v>0</v>
      </c>
    </row>
    <row r="21" spans="1:64" ht="28">
      <c r="A21" s="183" t="s">
        <v>74</v>
      </c>
      <c r="B21" s="196">
        <v>98557</v>
      </c>
      <c r="C21" s="197" t="s">
        <v>75</v>
      </c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92">
        <v>0.2</v>
      </c>
      <c r="AY21" s="193">
        <f t="shared" si="0"/>
        <v>0</v>
      </c>
      <c r="AZ21" s="194">
        <f>TRUNC(AY21*V21)+0.23</f>
        <v>0.23</v>
      </c>
      <c r="BA21" s="192">
        <v>0.8</v>
      </c>
      <c r="BB21" s="193">
        <f>TRUNC(BA21*U21,2)</f>
        <v>0</v>
      </c>
      <c r="BC21" s="194">
        <f>TRUNC(BB21*V21)+0.31</f>
        <v>0.31</v>
      </c>
      <c r="BD21" s="192"/>
      <c r="BE21" s="193"/>
      <c r="BF21" s="194"/>
      <c r="BG21" s="194"/>
      <c r="BH21" s="194"/>
      <c r="BI21" s="188">
        <f t="shared" si="1"/>
        <v>0</v>
      </c>
      <c r="BJ21" s="192"/>
      <c r="BK21" s="187">
        <f t="shared" si="2"/>
        <v>0</v>
      </c>
      <c r="BL21" s="188">
        <f t="shared" si="3"/>
        <v>0</v>
      </c>
    </row>
    <row r="22" spans="1:64" ht="20.149999999999999" customHeight="1">
      <c r="A22" s="180" t="s">
        <v>76</v>
      </c>
      <c r="B22" s="181" t="s">
        <v>77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</row>
    <row r="23" spans="1:64" ht="20.149999999999999" customHeight="1">
      <c r="A23" s="180" t="s">
        <v>78</v>
      </c>
      <c r="B23" s="181" t="s">
        <v>79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</row>
    <row r="24" spans="1:64" ht="42">
      <c r="A24" s="191" t="s">
        <v>80</v>
      </c>
      <c r="B24" s="199">
        <v>102476</v>
      </c>
      <c r="C24" s="197" t="s">
        <v>81</v>
      </c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92">
        <v>0.5</v>
      </c>
      <c r="AY24" s="193">
        <f t="shared" ref="AY24:AY29" si="4">TRUNC(AX24*U24,2)</f>
        <v>0</v>
      </c>
      <c r="AZ24" s="194">
        <f>TRUNC(AY24*V24)+0.73</f>
        <v>0.73</v>
      </c>
      <c r="BA24" s="192">
        <v>0.4</v>
      </c>
      <c r="BB24" s="193">
        <f>TRUNC(BA24*U24,2)</f>
        <v>0</v>
      </c>
      <c r="BC24" s="194">
        <f>TRUNC(BB24*V24)+0.78</f>
        <v>0.78</v>
      </c>
      <c r="BD24" s="192">
        <v>0.1</v>
      </c>
      <c r="BE24" s="193">
        <f t="shared" ref="BE24:BE29" si="5">TRUNC(BD24*U24,2)</f>
        <v>0</v>
      </c>
      <c r="BF24" s="194">
        <f t="shared" ref="BF24:BF29" si="6">TRUNC(BE24*V24)</f>
        <v>0</v>
      </c>
      <c r="BG24" s="194"/>
      <c r="BH24" s="194"/>
      <c r="BI24" s="188">
        <f t="shared" ref="BI24:BI29" si="7">TRUNC(V24*BH24)+0</f>
        <v>0</v>
      </c>
      <c r="BJ24" s="192"/>
      <c r="BK24" s="187">
        <f t="shared" ref="BK24:BK29" si="8">TRUNC(BJ24*U24,2)</f>
        <v>0</v>
      </c>
      <c r="BL24" s="188">
        <f>TRUNC(BK24*V24)+0</f>
        <v>0</v>
      </c>
    </row>
    <row r="25" spans="1:64" ht="28">
      <c r="A25" s="191" t="s">
        <v>82</v>
      </c>
      <c r="B25" s="199">
        <v>96546</v>
      </c>
      <c r="C25" s="197" t="s">
        <v>83</v>
      </c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92">
        <v>0.5</v>
      </c>
      <c r="AY25" s="193">
        <f t="shared" si="4"/>
        <v>0</v>
      </c>
      <c r="AZ25" s="194">
        <f>TRUNC(AY25*V25)+0.34</f>
        <v>0.34</v>
      </c>
      <c r="BA25" s="192">
        <v>0.4</v>
      </c>
      <c r="BB25" s="193">
        <f>TRUNC(BA25*U25,2)</f>
        <v>0</v>
      </c>
      <c r="BC25" s="194">
        <f>TRUNC(BB25*V25)+0.47</f>
        <v>0.47</v>
      </c>
      <c r="BD25" s="192">
        <v>0.1</v>
      </c>
      <c r="BE25" s="193">
        <f t="shared" si="5"/>
        <v>0</v>
      </c>
      <c r="BF25" s="194">
        <f t="shared" si="6"/>
        <v>0</v>
      </c>
      <c r="BG25" s="194"/>
      <c r="BH25" s="194"/>
      <c r="BI25" s="188">
        <f t="shared" si="7"/>
        <v>0</v>
      </c>
      <c r="BJ25" s="192"/>
      <c r="BK25" s="187">
        <f t="shared" si="8"/>
        <v>0</v>
      </c>
      <c r="BL25" s="188">
        <f>TRUNC(BK25*V25)+0</f>
        <v>0</v>
      </c>
    </row>
    <row r="26" spans="1:64" ht="28">
      <c r="A26" s="191" t="s">
        <v>84</v>
      </c>
      <c r="B26" s="199">
        <v>98543</v>
      </c>
      <c r="C26" s="197" t="s">
        <v>85</v>
      </c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92">
        <v>1</v>
      </c>
      <c r="AY26" s="193">
        <f t="shared" si="4"/>
        <v>0</v>
      </c>
      <c r="AZ26" s="194">
        <f>TRUNC(AY26*V26)+0.95</f>
        <v>0.95</v>
      </c>
      <c r="BA26" s="192"/>
      <c r="BB26" s="193"/>
      <c r="BC26" s="194"/>
      <c r="BD26" s="192"/>
      <c r="BE26" s="193">
        <f t="shared" si="5"/>
        <v>0</v>
      </c>
      <c r="BF26" s="194">
        <f t="shared" si="6"/>
        <v>0</v>
      </c>
      <c r="BG26" s="194"/>
      <c r="BH26" s="194"/>
      <c r="BI26" s="188">
        <f t="shared" si="7"/>
        <v>0</v>
      </c>
      <c r="BJ26" s="192"/>
      <c r="BK26" s="187">
        <f t="shared" si="8"/>
        <v>0</v>
      </c>
      <c r="BL26" s="188">
        <f>TRUNC(BK26*V26)+0</f>
        <v>0</v>
      </c>
    </row>
    <row r="27" spans="1:64" ht="28">
      <c r="A27" s="191" t="s">
        <v>86</v>
      </c>
      <c r="B27" s="199">
        <v>96545</v>
      </c>
      <c r="C27" s="197" t="s">
        <v>87</v>
      </c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92">
        <v>1</v>
      </c>
      <c r="AY27" s="193">
        <f t="shared" si="4"/>
        <v>0</v>
      </c>
      <c r="AZ27" s="194">
        <f>TRUNC(AY27*V27)+0.34</f>
        <v>0.34</v>
      </c>
      <c r="BA27" s="192"/>
      <c r="BB27" s="193"/>
      <c r="BC27" s="194"/>
      <c r="BD27" s="192"/>
      <c r="BE27" s="193">
        <f t="shared" si="5"/>
        <v>0</v>
      </c>
      <c r="BF27" s="194">
        <f t="shared" si="6"/>
        <v>0</v>
      </c>
      <c r="BG27" s="194"/>
      <c r="BH27" s="194"/>
      <c r="BI27" s="188">
        <f t="shared" si="7"/>
        <v>0</v>
      </c>
      <c r="BJ27" s="192"/>
      <c r="BK27" s="187">
        <f t="shared" si="8"/>
        <v>0</v>
      </c>
      <c r="BL27" s="188">
        <f>TRUNC(BK27*V27)+0</f>
        <v>0</v>
      </c>
    </row>
    <row r="28" spans="1:64" ht="42">
      <c r="A28" s="191" t="s">
        <v>88</v>
      </c>
      <c r="B28" s="199">
        <v>96547</v>
      </c>
      <c r="C28" s="197" t="s">
        <v>89</v>
      </c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92">
        <v>1</v>
      </c>
      <c r="AY28" s="193">
        <f t="shared" si="4"/>
        <v>0</v>
      </c>
      <c r="AZ28" s="194">
        <f>TRUNC(AY28*V28)+0.25</f>
        <v>0.25</v>
      </c>
      <c r="BA28" s="192"/>
      <c r="BB28" s="193"/>
      <c r="BC28" s="194"/>
      <c r="BD28" s="192"/>
      <c r="BE28" s="193">
        <f t="shared" si="5"/>
        <v>0</v>
      </c>
      <c r="BF28" s="194">
        <f t="shared" si="6"/>
        <v>0</v>
      </c>
      <c r="BG28" s="194"/>
      <c r="BH28" s="194"/>
      <c r="BI28" s="188">
        <f t="shared" si="7"/>
        <v>0</v>
      </c>
      <c r="BJ28" s="192"/>
      <c r="BK28" s="187">
        <f t="shared" si="8"/>
        <v>0</v>
      </c>
      <c r="BL28" s="188">
        <f>TRUNC(BK28*V28)+0</f>
        <v>0</v>
      </c>
    </row>
    <row r="29" spans="1:64" ht="56">
      <c r="A29" s="191" t="s">
        <v>90</v>
      </c>
      <c r="B29" s="199">
        <v>103795</v>
      </c>
      <c r="C29" s="197" t="s">
        <v>91</v>
      </c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92">
        <v>0.5</v>
      </c>
      <c r="AY29" s="193">
        <f t="shared" si="4"/>
        <v>0</v>
      </c>
      <c r="AZ29" s="194">
        <f>TRUNC(AY29*V29)+1.32</f>
        <v>1.32</v>
      </c>
      <c r="BA29" s="192">
        <v>0.5</v>
      </c>
      <c r="BB29" s="193">
        <f>TRUNC(BA29*U29,2)</f>
        <v>0</v>
      </c>
      <c r="BC29" s="194">
        <f>TRUNC(BB29*V29)+1.32</f>
        <v>1.32</v>
      </c>
      <c r="BD29" s="192">
        <v>0.1</v>
      </c>
      <c r="BE29" s="193">
        <f t="shared" si="5"/>
        <v>0</v>
      </c>
      <c r="BF29" s="194">
        <f t="shared" si="6"/>
        <v>0</v>
      </c>
      <c r="BG29" s="194"/>
      <c r="BH29" s="194">
        <v>-22.76</v>
      </c>
      <c r="BI29" s="188">
        <f t="shared" si="7"/>
        <v>0</v>
      </c>
      <c r="BJ29" s="200">
        <v>-0.1</v>
      </c>
      <c r="BK29" s="201">
        <f t="shared" si="8"/>
        <v>0</v>
      </c>
      <c r="BL29" s="202"/>
    </row>
    <row r="30" spans="1:64" ht="20.149999999999999" customHeight="1">
      <c r="A30" s="180" t="s">
        <v>92</v>
      </c>
      <c r="B30" s="181" t="s">
        <v>93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</row>
    <row r="31" spans="1:64" ht="42">
      <c r="A31" s="191" t="s">
        <v>94</v>
      </c>
      <c r="B31" s="196">
        <v>102476</v>
      </c>
      <c r="C31" s="197" t="s">
        <v>95</v>
      </c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92"/>
      <c r="AY31" s="193"/>
      <c r="AZ31" s="194"/>
      <c r="BA31" s="192">
        <v>0.4</v>
      </c>
      <c r="BB31" s="193">
        <f t="shared" ref="BB31:BB37" si="9">TRUNC(BA31*U31,2)</f>
        <v>0</v>
      </c>
      <c r="BC31" s="194">
        <f>TRUNC(BB31*V31)+3.13</f>
        <v>3.13</v>
      </c>
      <c r="BD31" s="192">
        <v>0.6</v>
      </c>
      <c r="BE31" s="193">
        <f t="shared" ref="BE31:BE36" si="10">TRUNC(BD31*U31,2)</f>
        <v>0</v>
      </c>
      <c r="BF31" s="194">
        <f t="shared" ref="BF31:BF36" si="11">TRUNC(BE31*V31)</f>
        <v>0</v>
      </c>
      <c r="BG31" s="194"/>
      <c r="BH31" s="194"/>
      <c r="BI31" s="188">
        <f t="shared" ref="BI31:BI37" si="12">TRUNC(V31*BH31)+0</f>
        <v>0</v>
      </c>
      <c r="BJ31" s="192"/>
      <c r="BK31" s="187">
        <f t="shared" ref="BK31:BK37" si="13">TRUNC(BJ31*U31,2)</f>
        <v>0</v>
      </c>
      <c r="BL31" s="188">
        <f t="shared" ref="BL31:BL37" si="14">TRUNC(BK31*V31)+0</f>
        <v>0</v>
      </c>
    </row>
    <row r="32" spans="1:64" ht="42">
      <c r="A32" s="191" t="s">
        <v>96</v>
      </c>
      <c r="B32" s="196">
        <v>92760</v>
      </c>
      <c r="C32" s="197" t="s">
        <v>97</v>
      </c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92"/>
      <c r="AY32" s="193"/>
      <c r="AZ32" s="194"/>
      <c r="BA32" s="192">
        <v>0.8</v>
      </c>
      <c r="BB32" s="193">
        <f t="shared" si="9"/>
        <v>0</v>
      </c>
      <c r="BC32" s="194">
        <f>TRUNC(BB32*V32)+0.82</f>
        <v>0.82</v>
      </c>
      <c r="BD32" s="192">
        <v>0.2</v>
      </c>
      <c r="BE32" s="193">
        <f t="shared" si="10"/>
        <v>0</v>
      </c>
      <c r="BF32" s="194">
        <f t="shared" si="11"/>
        <v>0</v>
      </c>
      <c r="BG32" s="194"/>
      <c r="BH32" s="194"/>
      <c r="BI32" s="188">
        <f t="shared" si="12"/>
        <v>0</v>
      </c>
      <c r="BJ32" s="192"/>
      <c r="BK32" s="187">
        <f t="shared" si="13"/>
        <v>0</v>
      </c>
      <c r="BL32" s="188">
        <f t="shared" si="14"/>
        <v>0</v>
      </c>
    </row>
    <row r="33" spans="1:64" ht="42">
      <c r="A33" s="191" t="s">
        <v>98</v>
      </c>
      <c r="B33" s="196">
        <v>92761</v>
      </c>
      <c r="C33" s="197" t="s">
        <v>99</v>
      </c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92"/>
      <c r="AY33" s="193"/>
      <c r="AZ33" s="194"/>
      <c r="BA33" s="192">
        <v>0.8</v>
      </c>
      <c r="BB33" s="193">
        <f t="shared" si="9"/>
        <v>0</v>
      </c>
      <c r="BC33" s="194">
        <f>TRUNC(BB33*V33)+0.32</f>
        <v>0.32</v>
      </c>
      <c r="BD33" s="192">
        <v>0.2</v>
      </c>
      <c r="BE33" s="193">
        <f t="shared" si="10"/>
        <v>0</v>
      </c>
      <c r="BF33" s="194">
        <f t="shared" si="11"/>
        <v>0</v>
      </c>
      <c r="BG33" s="194"/>
      <c r="BH33" s="194"/>
      <c r="BI33" s="188">
        <f t="shared" si="12"/>
        <v>0</v>
      </c>
      <c r="BJ33" s="192"/>
      <c r="BK33" s="187">
        <f t="shared" si="13"/>
        <v>0</v>
      </c>
      <c r="BL33" s="188">
        <f t="shared" si="14"/>
        <v>0</v>
      </c>
    </row>
    <row r="34" spans="1:64" ht="42">
      <c r="A34" s="191" t="s">
        <v>100</v>
      </c>
      <c r="B34" s="196">
        <v>92762</v>
      </c>
      <c r="C34" s="197" t="s">
        <v>101</v>
      </c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92"/>
      <c r="AY34" s="193"/>
      <c r="AZ34" s="194"/>
      <c r="BA34" s="192">
        <v>0.8</v>
      </c>
      <c r="BB34" s="193">
        <f t="shared" si="9"/>
        <v>0</v>
      </c>
      <c r="BC34" s="194">
        <f>TRUNC(BB34*V34)+0.23</f>
        <v>0.23</v>
      </c>
      <c r="BD34" s="192">
        <v>0.2</v>
      </c>
      <c r="BE34" s="193">
        <f t="shared" si="10"/>
        <v>0</v>
      </c>
      <c r="BF34" s="194">
        <f t="shared" si="11"/>
        <v>0</v>
      </c>
      <c r="BG34" s="194"/>
      <c r="BH34" s="194"/>
      <c r="BI34" s="188">
        <f t="shared" si="12"/>
        <v>0</v>
      </c>
      <c r="BJ34" s="192"/>
      <c r="BK34" s="187">
        <f t="shared" si="13"/>
        <v>0</v>
      </c>
      <c r="BL34" s="188">
        <f t="shared" si="14"/>
        <v>0</v>
      </c>
    </row>
    <row r="35" spans="1:64" ht="42">
      <c r="A35" s="191" t="s">
        <v>102</v>
      </c>
      <c r="B35" s="196">
        <v>92763</v>
      </c>
      <c r="C35" s="197" t="s">
        <v>103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92"/>
      <c r="AY35" s="193"/>
      <c r="AZ35" s="194"/>
      <c r="BA35" s="192">
        <v>0.8</v>
      </c>
      <c r="BB35" s="193">
        <f t="shared" si="9"/>
        <v>0</v>
      </c>
      <c r="BC35" s="194">
        <f>TRUNC(BB35*V35)+0.11</f>
        <v>0.11</v>
      </c>
      <c r="BD35" s="192">
        <v>0.2</v>
      </c>
      <c r="BE35" s="193">
        <f t="shared" si="10"/>
        <v>0</v>
      </c>
      <c r="BF35" s="194">
        <f t="shared" si="11"/>
        <v>0</v>
      </c>
      <c r="BG35" s="194"/>
      <c r="BH35" s="194"/>
      <c r="BI35" s="188">
        <f t="shared" si="12"/>
        <v>0</v>
      </c>
      <c r="BJ35" s="192"/>
      <c r="BK35" s="187">
        <f t="shared" si="13"/>
        <v>0</v>
      </c>
      <c r="BL35" s="188">
        <f t="shared" si="14"/>
        <v>0</v>
      </c>
    </row>
    <row r="36" spans="1:64" ht="42">
      <c r="A36" s="191" t="s">
        <v>104</v>
      </c>
      <c r="B36" s="196">
        <v>92759</v>
      </c>
      <c r="C36" s="197" t="s">
        <v>105</v>
      </c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92"/>
      <c r="AY36" s="193"/>
      <c r="AZ36" s="194"/>
      <c r="BA36" s="192">
        <v>0.8</v>
      </c>
      <c r="BB36" s="193">
        <f t="shared" si="9"/>
        <v>0</v>
      </c>
      <c r="BC36" s="194">
        <f>TRUNC(BB36*V36)+0.85</f>
        <v>0.85</v>
      </c>
      <c r="BD36" s="192">
        <v>0.2</v>
      </c>
      <c r="BE36" s="193">
        <f t="shared" si="10"/>
        <v>0</v>
      </c>
      <c r="BF36" s="194">
        <f t="shared" si="11"/>
        <v>0</v>
      </c>
      <c r="BG36" s="194"/>
      <c r="BH36" s="194"/>
      <c r="BI36" s="188">
        <f t="shared" si="12"/>
        <v>0</v>
      </c>
      <c r="BJ36" s="192"/>
      <c r="BK36" s="187">
        <f t="shared" si="13"/>
        <v>0</v>
      </c>
      <c r="BL36" s="188">
        <f t="shared" si="14"/>
        <v>0</v>
      </c>
    </row>
    <row r="37" spans="1:64" ht="28">
      <c r="A37" s="191" t="s">
        <v>106</v>
      </c>
      <c r="B37" s="196">
        <v>92265</v>
      </c>
      <c r="C37" s="197" t="s">
        <v>107</v>
      </c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92"/>
      <c r="AY37" s="193"/>
      <c r="AZ37" s="194"/>
      <c r="BA37" s="192">
        <v>1</v>
      </c>
      <c r="BB37" s="193">
        <f t="shared" si="9"/>
        <v>0</v>
      </c>
      <c r="BC37" s="194">
        <f>TRUNC(BB37*V37)+0.11</f>
        <v>0.11</v>
      </c>
      <c r="BD37" s="192"/>
      <c r="BE37" s="193"/>
      <c r="BF37" s="194"/>
      <c r="BG37" s="194"/>
      <c r="BH37" s="194"/>
      <c r="BI37" s="188">
        <f t="shared" si="12"/>
        <v>0</v>
      </c>
      <c r="BJ37" s="192"/>
      <c r="BK37" s="187">
        <f t="shared" si="13"/>
        <v>0</v>
      </c>
      <c r="BL37" s="188">
        <f t="shared" si="14"/>
        <v>0</v>
      </c>
    </row>
    <row r="38" spans="1:64" ht="20.149999999999999" customHeight="1">
      <c r="A38" s="180" t="s">
        <v>108</v>
      </c>
      <c r="B38" s="181" t="s">
        <v>109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</row>
    <row r="39" spans="1:64" s="211" customFormat="1" ht="42">
      <c r="A39" s="203" t="s">
        <v>110</v>
      </c>
      <c r="B39" s="204">
        <v>94965</v>
      </c>
      <c r="C39" s="205" t="s">
        <v>111</v>
      </c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7"/>
      <c r="AY39" s="208"/>
      <c r="AZ39" s="209"/>
      <c r="BA39" s="207"/>
      <c r="BB39" s="208"/>
      <c r="BC39" s="209"/>
      <c r="BD39" s="207"/>
      <c r="BE39" s="208"/>
      <c r="BF39" s="209"/>
      <c r="BG39" s="209"/>
      <c r="BH39" s="209"/>
      <c r="BI39" s="188">
        <f t="shared" ref="BI39:BI44" si="15">TRUNC(V39*BH39)+0</f>
        <v>0</v>
      </c>
      <c r="BJ39" s="210">
        <v>0</v>
      </c>
      <c r="BK39" s="208">
        <f t="shared" ref="BK39:BK44" si="16">TRUNC(BJ39*U39,2)</f>
        <v>0</v>
      </c>
      <c r="BL39" s="209">
        <f t="shared" ref="BL39:BL44" si="17">TRUNC(BK39*V39)+0</f>
        <v>0</v>
      </c>
    </row>
    <row r="40" spans="1:64" s="211" customFormat="1" ht="28">
      <c r="A40" s="203" t="s">
        <v>112</v>
      </c>
      <c r="B40" s="204">
        <v>92267</v>
      </c>
      <c r="C40" s="205" t="s">
        <v>113</v>
      </c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7"/>
      <c r="AY40" s="208"/>
      <c r="AZ40" s="209"/>
      <c r="BA40" s="207"/>
      <c r="BB40" s="208"/>
      <c r="BC40" s="209"/>
      <c r="BD40" s="207"/>
      <c r="BE40" s="208"/>
      <c r="BF40" s="209"/>
      <c r="BG40" s="209"/>
      <c r="BH40" s="209"/>
      <c r="BI40" s="188">
        <f t="shared" si="15"/>
        <v>0</v>
      </c>
      <c r="BJ40" s="210">
        <v>0</v>
      </c>
      <c r="BK40" s="208">
        <f t="shared" si="16"/>
        <v>0</v>
      </c>
      <c r="BL40" s="209">
        <f t="shared" si="17"/>
        <v>0</v>
      </c>
    </row>
    <row r="41" spans="1:64" s="211" customFormat="1" ht="42">
      <c r="A41" s="203" t="s">
        <v>114</v>
      </c>
      <c r="B41" s="204">
        <v>92769</v>
      </c>
      <c r="C41" s="205" t="s">
        <v>115</v>
      </c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7"/>
      <c r="AY41" s="208"/>
      <c r="AZ41" s="209"/>
      <c r="BA41" s="207"/>
      <c r="BB41" s="208"/>
      <c r="BC41" s="209"/>
      <c r="BD41" s="207"/>
      <c r="BE41" s="208"/>
      <c r="BF41" s="209"/>
      <c r="BG41" s="209"/>
      <c r="BH41" s="209"/>
      <c r="BI41" s="188">
        <f t="shared" si="15"/>
        <v>0</v>
      </c>
      <c r="BJ41" s="210">
        <v>0</v>
      </c>
      <c r="BK41" s="208">
        <f t="shared" si="16"/>
        <v>0</v>
      </c>
      <c r="BL41" s="209">
        <f t="shared" si="17"/>
        <v>0</v>
      </c>
    </row>
    <row r="42" spans="1:64" s="211" customFormat="1" ht="42">
      <c r="A42" s="203" t="s">
        <v>116</v>
      </c>
      <c r="B42" s="204">
        <v>92770</v>
      </c>
      <c r="C42" s="205" t="s">
        <v>117</v>
      </c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7"/>
      <c r="AY42" s="208"/>
      <c r="AZ42" s="209"/>
      <c r="BA42" s="207"/>
      <c r="BB42" s="208"/>
      <c r="BC42" s="209"/>
      <c r="BD42" s="207"/>
      <c r="BE42" s="208"/>
      <c r="BF42" s="209"/>
      <c r="BG42" s="209"/>
      <c r="BH42" s="209"/>
      <c r="BI42" s="188">
        <f t="shared" si="15"/>
        <v>0</v>
      </c>
      <c r="BJ42" s="210">
        <v>0</v>
      </c>
      <c r="BK42" s="208">
        <f t="shared" si="16"/>
        <v>0</v>
      </c>
      <c r="BL42" s="209">
        <f t="shared" si="17"/>
        <v>0</v>
      </c>
    </row>
    <row r="43" spans="1:64" s="211" customFormat="1" ht="42">
      <c r="A43" s="203" t="s">
        <v>118</v>
      </c>
      <c r="B43" s="204">
        <v>92771</v>
      </c>
      <c r="C43" s="205" t="s">
        <v>119</v>
      </c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7"/>
      <c r="AY43" s="208"/>
      <c r="AZ43" s="209"/>
      <c r="BA43" s="207"/>
      <c r="BB43" s="208"/>
      <c r="BC43" s="209"/>
      <c r="BD43" s="207"/>
      <c r="BE43" s="208"/>
      <c r="BF43" s="209"/>
      <c r="BG43" s="209"/>
      <c r="BH43" s="209"/>
      <c r="BI43" s="188">
        <f t="shared" si="15"/>
        <v>0</v>
      </c>
      <c r="BJ43" s="210">
        <v>0</v>
      </c>
      <c r="BK43" s="208">
        <f t="shared" si="16"/>
        <v>0</v>
      </c>
      <c r="BL43" s="209">
        <f t="shared" si="17"/>
        <v>0</v>
      </c>
    </row>
    <row r="44" spans="1:64" s="211" customFormat="1" ht="42">
      <c r="A44" s="203" t="s">
        <v>120</v>
      </c>
      <c r="B44" s="212">
        <v>92768</v>
      </c>
      <c r="C44" s="205" t="s">
        <v>121</v>
      </c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7"/>
      <c r="AY44" s="208"/>
      <c r="AZ44" s="209"/>
      <c r="BA44" s="207"/>
      <c r="BB44" s="208"/>
      <c r="BC44" s="209"/>
      <c r="BD44" s="207"/>
      <c r="BE44" s="208"/>
      <c r="BF44" s="209"/>
      <c r="BG44" s="209"/>
      <c r="BH44" s="209"/>
      <c r="BI44" s="188">
        <f t="shared" si="15"/>
        <v>0</v>
      </c>
      <c r="BJ44" s="210">
        <v>0</v>
      </c>
      <c r="BK44" s="208">
        <f t="shared" si="16"/>
        <v>0</v>
      </c>
      <c r="BL44" s="209">
        <f t="shared" si="17"/>
        <v>0</v>
      </c>
    </row>
    <row r="45" spans="1:64" ht="20.149999999999999" customHeight="1">
      <c r="A45" s="180">
        <v>4</v>
      </c>
      <c r="B45" s="181" t="s">
        <v>122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</row>
    <row r="46" spans="1:64" ht="56">
      <c r="A46" s="183" t="s">
        <v>123</v>
      </c>
      <c r="B46" s="199">
        <v>103328</v>
      </c>
      <c r="C46" s="197" t="s">
        <v>124</v>
      </c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92">
        <v>0.3</v>
      </c>
      <c r="AY46" s="193">
        <f>TRUNC(AX46*U46,2)</f>
        <v>0</v>
      </c>
      <c r="AZ46" s="194">
        <f>TRUNC(AY46*V46)+1.33</f>
        <v>1.33</v>
      </c>
      <c r="BA46" s="192">
        <v>0.6</v>
      </c>
      <c r="BB46" s="193">
        <f>TRUNC(BA46*U46,2)</f>
        <v>0</v>
      </c>
      <c r="BC46" s="194">
        <f>TRUNC(BB46*V46)+1.66</f>
        <v>1.66</v>
      </c>
      <c r="BD46" s="192"/>
      <c r="BE46" s="193"/>
      <c r="BF46" s="194"/>
      <c r="BG46" s="194"/>
      <c r="BH46" s="194">
        <v>60.94</v>
      </c>
      <c r="BI46" s="188">
        <f>TRUNC(V46*BH46)+0</f>
        <v>0</v>
      </c>
      <c r="BJ46" s="192">
        <v>0.1</v>
      </c>
      <c r="BK46" s="187">
        <f>TRUNC(BJ46*U46,2)</f>
        <v>0</v>
      </c>
      <c r="BL46" s="188">
        <v>0</v>
      </c>
    </row>
    <row r="47" spans="1:64" ht="20.149999999999999" customHeight="1">
      <c r="A47" s="180">
        <v>5</v>
      </c>
      <c r="B47" s="181" t="s">
        <v>125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</row>
    <row r="48" spans="1:64" ht="56">
      <c r="A48" s="191" t="s">
        <v>126</v>
      </c>
      <c r="B48" s="196">
        <v>87894</v>
      </c>
      <c r="C48" s="213" t="s">
        <v>127</v>
      </c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/>
      <c r="AX48" s="214"/>
      <c r="AY48" s="214"/>
      <c r="AZ48" s="214"/>
      <c r="BA48" s="192"/>
      <c r="BB48" s="193"/>
      <c r="BC48" s="194"/>
      <c r="BD48" s="192">
        <v>0.5</v>
      </c>
      <c r="BE48" s="198">
        <f>TRUNC(BD48*U48,2)</f>
        <v>0</v>
      </c>
      <c r="BF48" s="194">
        <f>TRUNC(BE48*V48)</f>
        <v>0</v>
      </c>
      <c r="BG48" s="194"/>
      <c r="BH48" s="194">
        <v>1078.6600000000001</v>
      </c>
      <c r="BI48" s="188">
        <f>TRUNC(V48*BH48)+0</f>
        <v>0</v>
      </c>
      <c r="BJ48" s="192">
        <v>0.5</v>
      </c>
      <c r="BK48" s="215">
        <f>TRUNC(BJ48*U48,2)</f>
        <v>0</v>
      </c>
      <c r="BL48" s="188">
        <v>0</v>
      </c>
    </row>
    <row r="49" spans="1:64" ht="56">
      <c r="A49" s="191" t="s">
        <v>128</v>
      </c>
      <c r="B49" s="196">
        <v>87548</v>
      </c>
      <c r="C49" s="213" t="s">
        <v>129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214"/>
      <c r="AY49" s="214"/>
      <c r="AZ49" s="214"/>
      <c r="BA49" s="192"/>
      <c r="BB49" s="193"/>
      <c r="BC49" s="194"/>
      <c r="BD49" s="192">
        <v>0.5</v>
      </c>
      <c r="BE49" s="198">
        <f>TRUNC(BD49*U49,2)</f>
        <v>0</v>
      </c>
      <c r="BF49" s="194">
        <f>TRUNC(BE49*V49)</f>
        <v>0</v>
      </c>
      <c r="BG49" s="194"/>
      <c r="BH49" s="194">
        <v>1078.6600000000001</v>
      </c>
      <c r="BI49" s="188">
        <f>TRUNC(V49*BH49)+0</f>
        <v>0</v>
      </c>
      <c r="BJ49" s="192">
        <v>0.5</v>
      </c>
      <c r="BK49" s="215">
        <f>TRUNC(BJ49*U49,2)</f>
        <v>0</v>
      </c>
      <c r="BL49" s="188">
        <v>0</v>
      </c>
    </row>
    <row r="50" spans="1:64" ht="56">
      <c r="A50" s="191" t="s">
        <v>130</v>
      </c>
      <c r="B50" s="196">
        <v>104817</v>
      </c>
      <c r="C50" s="213" t="s">
        <v>131</v>
      </c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214"/>
      <c r="AY50" s="214"/>
      <c r="AZ50" s="214"/>
      <c r="BA50" s="192"/>
      <c r="BB50" s="193"/>
      <c r="BC50" s="194"/>
      <c r="BD50" s="192"/>
      <c r="BE50" s="193">
        <f>TRUNC(BD50*U50,2)</f>
        <v>0</v>
      </c>
      <c r="BF50" s="194">
        <f>TRUNC(BE50*V50)</f>
        <v>0</v>
      </c>
      <c r="BG50" s="194"/>
      <c r="BH50" s="194">
        <v>72.010000000000005</v>
      </c>
      <c r="BI50" s="188">
        <f>TRUNC(V50*BH50)+0</f>
        <v>0</v>
      </c>
      <c r="BJ50" s="192">
        <v>1</v>
      </c>
      <c r="BK50" s="187">
        <f>TRUNC(BJ50*U50,2)</f>
        <v>0</v>
      </c>
      <c r="BL50" s="188">
        <v>36700.129999999997</v>
      </c>
    </row>
    <row r="51" spans="1:64" ht="42">
      <c r="A51" s="191" t="s">
        <v>132</v>
      </c>
      <c r="B51" s="196">
        <v>87262</v>
      </c>
      <c r="C51" s="213" t="s">
        <v>133</v>
      </c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5"/>
      <c r="AX51" s="214"/>
      <c r="AY51" s="214"/>
      <c r="AZ51" s="214"/>
      <c r="BA51" s="192"/>
      <c r="BB51" s="193"/>
      <c r="BC51" s="194"/>
      <c r="BD51" s="192"/>
      <c r="BE51" s="193"/>
      <c r="BF51" s="194"/>
      <c r="BG51" s="194"/>
      <c r="BH51" s="194"/>
      <c r="BI51" s="188">
        <f>TRUNC(V51*BH51)+0</f>
        <v>0</v>
      </c>
      <c r="BJ51" s="192">
        <v>0</v>
      </c>
      <c r="BK51" s="187">
        <f>TRUNC(BJ51*U51,2)</f>
        <v>0</v>
      </c>
      <c r="BL51" s="188">
        <f>TRUNC(BK51*V51)+0</f>
        <v>0</v>
      </c>
    </row>
    <row r="52" spans="1:64" ht="20.149999999999999" customHeight="1">
      <c r="A52" s="180">
        <v>6</v>
      </c>
      <c r="B52" s="181" t="s">
        <v>134</v>
      </c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95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  <c r="BK52" s="195"/>
      <c r="BL52" s="195"/>
    </row>
    <row r="53" spans="1:64" ht="42">
      <c r="A53" s="191" t="s">
        <v>135</v>
      </c>
      <c r="B53" s="196">
        <v>87298</v>
      </c>
      <c r="C53" s="197" t="s">
        <v>136</v>
      </c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214"/>
      <c r="AY53" s="214"/>
      <c r="AZ53" s="214"/>
      <c r="BA53" s="192"/>
      <c r="BB53" s="193"/>
      <c r="BC53" s="194"/>
      <c r="BD53" s="192"/>
      <c r="BE53" s="193"/>
      <c r="BF53" s="194"/>
      <c r="BG53" s="194">
        <v>0</v>
      </c>
      <c r="BH53" s="194">
        <v>8.48</v>
      </c>
      <c r="BI53" s="188">
        <f>TRUNC(V53*BH53)+0</f>
        <v>0</v>
      </c>
      <c r="BJ53" s="192">
        <v>1</v>
      </c>
      <c r="BK53" s="187">
        <f>TRUNC(BJ53*U53,2)</f>
        <v>0</v>
      </c>
      <c r="BL53" s="188">
        <v>4913.8900000000003</v>
      </c>
    </row>
    <row r="54" spans="1:64" ht="56">
      <c r="A54" s="191" t="s">
        <v>137</v>
      </c>
      <c r="B54" s="184">
        <v>104597</v>
      </c>
      <c r="C54" s="197" t="s">
        <v>138</v>
      </c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214"/>
      <c r="AY54" s="214"/>
      <c r="AZ54" s="214"/>
      <c r="BA54" s="192"/>
      <c r="BB54" s="193"/>
      <c r="BC54" s="194"/>
      <c r="BD54" s="192"/>
      <c r="BE54" s="193"/>
      <c r="BF54" s="194"/>
      <c r="BG54" s="194"/>
      <c r="BH54" s="194"/>
      <c r="BI54" s="188">
        <f>TRUNC(V54*BH54)+0</f>
        <v>0</v>
      </c>
      <c r="BJ54" s="192"/>
      <c r="BK54" s="187">
        <f>TRUNC(BJ54*U54,2)</f>
        <v>0</v>
      </c>
      <c r="BL54" s="188">
        <f>TRUNC(BK54*V54)+0</f>
        <v>0</v>
      </c>
    </row>
    <row r="55" spans="1:64" ht="20.149999999999999" customHeight="1">
      <c r="A55" s="180">
        <v>7</v>
      </c>
      <c r="B55" s="181" t="s">
        <v>139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</row>
    <row r="56" spans="1:64" ht="20.149999999999999" customHeight="1">
      <c r="A56" s="180" t="s">
        <v>140</v>
      </c>
      <c r="B56" s="181" t="s">
        <v>141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</row>
    <row r="57" spans="1:64" ht="56">
      <c r="A57" s="191" t="s">
        <v>142</v>
      </c>
      <c r="B57" s="199">
        <v>86931</v>
      </c>
      <c r="C57" s="197" t="s">
        <v>143</v>
      </c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4"/>
      <c r="AY57" s="214"/>
      <c r="AZ57" s="214"/>
      <c r="BA57" s="192"/>
      <c r="BB57" s="193"/>
      <c r="BC57" s="194"/>
      <c r="BD57" s="217"/>
      <c r="BE57" s="193"/>
      <c r="BF57" s="194"/>
      <c r="BG57" s="194"/>
      <c r="BH57" s="194"/>
      <c r="BI57" s="188">
        <f t="shared" ref="BI57:BI70" si="18">TRUNC(V57*BH57)+0</f>
        <v>0</v>
      </c>
      <c r="BJ57" s="217"/>
      <c r="BK57" s="187">
        <f t="shared" ref="BK57:BK70" si="19">TRUNC(BJ57*U57,2)</f>
        <v>0</v>
      </c>
      <c r="BL57" s="188">
        <f>TRUNC(BK57*V57)+0</f>
        <v>0</v>
      </c>
    </row>
    <row r="58" spans="1:64" ht="70">
      <c r="A58" s="191" t="s">
        <v>145</v>
      </c>
      <c r="B58" s="199">
        <v>86939</v>
      </c>
      <c r="C58" s="197" t="s">
        <v>146</v>
      </c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4"/>
      <c r="AY58" s="214"/>
      <c r="AZ58" s="214"/>
      <c r="BA58" s="192"/>
      <c r="BB58" s="193"/>
      <c r="BC58" s="194"/>
      <c r="BD58" s="192"/>
      <c r="BE58" s="193"/>
      <c r="BF58" s="194"/>
      <c r="BG58" s="194"/>
      <c r="BH58" s="194"/>
      <c r="BI58" s="188">
        <f t="shared" si="18"/>
        <v>0</v>
      </c>
      <c r="BJ58" s="192"/>
      <c r="BK58" s="187">
        <f t="shared" si="19"/>
        <v>0</v>
      </c>
      <c r="BL58" s="188">
        <f>TRUNC(BK58*V58)+0</f>
        <v>0</v>
      </c>
    </row>
    <row r="59" spans="1:64" ht="42">
      <c r="A59" s="191" t="s">
        <v>147</v>
      </c>
      <c r="B59" s="199">
        <v>89714</v>
      </c>
      <c r="C59" s="197" t="s">
        <v>148</v>
      </c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4"/>
      <c r="AY59" s="214"/>
      <c r="AZ59" s="214"/>
      <c r="BA59" s="192"/>
      <c r="BB59" s="193"/>
      <c r="BC59" s="194"/>
      <c r="BD59" s="192">
        <v>0.8</v>
      </c>
      <c r="BE59" s="193">
        <f>TRUNC(BD59*U59,2)</f>
        <v>0</v>
      </c>
      <c r="BF59" s="194">
        <f>TRUNC(BE59*V59)</f>
        <v>0</v>
      </c>
      <c r="BG59" s="194"/>
      <c r="BH59" s="194">
        <v>20</v>
      </c>
      <c r="BI59" s="188">
        <f t="shared" si="18"/>
        <v>0</v>
      </c>
      <c r="BJ59" s="192">
        <v>0.2</v>
      </c>
      <c r="BK59" s="187">
        <f t="shared" si="19"/>
        <v>0</v>
      </c>
      <c r="BL59" s="188">
        <v>0</v>
      </c>
    </row>
    <row r="60" spans="1:64" ht="42">
      <c r="A60" s="191" t="s">
        <v>149</v>
      </c>
      <c r="B60" s="199">
        <v>89711</v>
      </c>
      <c r="C60" s="197" t="s">
        <v>150</v>
      </c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4"/>
      <c r="AY60" s="214"/>
      <c r="AZ60" s="214"/>
      <c r="BA60" s="192"/>
      <c r="BB60" s="193"/>
      <c r="BC60" s="194"/>
      <c r="BD60" s="192">
        <v>0.8</v>
      </c>
      <c r="BE60" s="193">
        <f>TRUNC(BD60*U60,2)</f>
        <v>0</v>
      </c>
      <c r="BF60" s="194">
        <f>TRUNC(BE60*V60)</f>
        <v>0</v>
      </c>
      <c r="BG60" s="194"/>
      <c r="BH60" s="194">
        <v>4</v>
      </c>
      <c r="BI60" s="188">
        <f t="shared" si="18"/>
        <v>0</v>
      </c>
      <c r="BJ60" s="192">
        <v>0.2</v>
      </c>
      <c r="BK60" s="187">
        <f t="shared" si="19"/>
        <v>0</v>
      </c>
      <c r="BL60" s="188">
        <v>0</v>
      </c>
    </row>
    <row r="61" spans="1:64" ht="42">
      <c r="A61" s="191" t="s">
        <v>151</v>
      </c>
      <c r="B61" s="199">
        <v>89798</v>
      </c>
      <c r="C61" s="197" t="s">
        <v>152</v>
      </c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4"/>
      <c r="AY61" s="214"/>
      <c r="AZ61" s="214"/>
      <c r="BA61" s="192"/>
      <c r="BB61" s="193"/>
      <c r="BC61" s="194"/>
      <c r="BD61" s="192">
        <v>0.8</v>
      </c>
      <c r="BE61" s="193">
        <f>TRUNC(BD61*U61,2)</f>
        <v>0</v>
      </c>
      <c r="BF61" s="194">
        <f>TRUNC(BE61*V61)</f>
        <v>0</v>
      </c>
      <c r="BG61" s="194"/>
      <c r="BH61" s="194"/>
      <c r="BI61" s="188">
        <f t="shared" si="18"/>
        <v>0</v>
      </c>
      <c r="BJ61" s="192"/>
      <c r="BK61" s="187">
        <f t="shared" si="19"/>
        <v>0</v>
      </c>
      <c r="BL61" s="188">
        <f>TRUNC(BK61*V61)+0</f>
        <v>0</v>
      </c>
    </row>
    <row r="62" spans="1:64" ht="56">
      <c r="A62" s="191" t="s">
        <v>153</v>
      </c>
      <c r="B62" s="199">
        <v>104326</v>
      </c>
      <c r="C62" s="197" t="s">
        <v>154</v>
      </c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4"/>
      <c r="AY62" s="214"/>
      <c r="AZ62" s="214"/>
      <c r="BA62" s="192"/>
      <c r="BB62" s="193"/>
      <c r="BC62" s="194"/>
      <c r="BD62" s="192"/>
      <c r="BE62" s="193"/>
      <c r="BF62" s="194"/>
      <c r="BG62" s="194"/>
      <c r="BH62" s="194"/>
      <c r="BI62" s="188">
        <f t="shared" si="18"/>
        <v>0</v>
      </c>
      <c r="BJ62" s="192"/>
      <c r="BK62" s="187">
        <f t="shared" si="19"/>
        <v>0</v>
      </c>
      <c r="BL62" s="188">
        <f>TRUNC(BK62*V62)+0</f>
        <v>0</v>
      </c>
    </row>
    <row r="63" spans="1:64" ht="56">
      <c r="A63" s="191" t="s">
        <v>155</v>
      </c>
      <c r="B63" s="199">
        <v>104327</v>
      </c>
      <c r="C63" s="197" t="s">
        <v>156</v>
      </c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  <c r="AH63" s="216"/>
      <c r="AI63" s="216"/>
      <c r="AJ63" s="216"/>
      <c r="AK63" s="216"/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4"/>
      <c r="AY63" s="214"/>
      <c r="AZ63" s="214"/>
      <c r="BA63" s="192"/>
      <c r="BB63" s="193"/>
      <c r="BC63" s="194"/>
      <c r="BD63" s="192"/>
      <c r="BE63" s="193"/>
      <c r="BF63" s="194"/>
      <c r="BG63" s="194"/>
      <c r="BH63" s="194"/>
      <c r="BI63" s="188">
        <f t="shared" si="18"/>
        <v>0</v>
      </c>
      <c r="BJ63" s="192"/>
      <c r="BK63" s="187">
        <f t="shared" si="19"/>
        <v>0</v>
      </c>
      <c r="BL63" s="188">
        <f>TRUNC(BK63*V63)+0</f>
        <v>0</v>
      </c>
    </row>
    <row r="64" spans="1:64" ht="56">
      <c r="A64" s="191" t="s">
        <v>157</v>
      </c>
      <c r="B64" s="199">
        <v>89726</v>
      </c>
      <c r="C64" s="197" t="s">
        <v>158</v>
      </c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  <c r="AH64" s="216"/>
      <c r="AI64" s="216"/>
      <c r="AJ64" s="216"/>
      <c r="AK64" s="216"/>
      <c r="AL64" s="216"/>
      <c r="AM64" s="216"/>
      <c r="AN64" s="216"/>
      <c r="AO64" s="216"/>
      <c r="AP64" s="216"/>
      <c r="AQ64" s="216"/>
      <c r="AR64" s="216"/>
      <c r="AS64" s="216"/>
      <c r="AT64" s="216"/>
      <c r="AU64" s="216"/>
      <c r="AV64" s="216"/>
      <c r="AW64" s="216"/>
      <c r="AX64" s="214"/>
      <c r="AY64" s="214"/>
      <c r="AZ64" s="214"/>
      <c r="BA64" s="192"/>
      <c r="BB64" s="193"/>
      <c r="BC64" s="194"/>
      <c r="BD64" s="192">
        <v>0.8</v>
      </c>
      <c r="BE64" s="193">
        <f>TRUNC(BD64*U64,2)</f>
        <v>0</v>
      </c>
      <c r="BF64" s="194">
        <f>TRUNC(BE64*V64)</f>
        <v>0</v>
      </c>
      <c r="BG64" s="194"/>
      <c r="BH64" s="194">
        <v>1.4</v>
      </c>
      <c r="BI64" s="188">
        <f t="shared" si="18"/>
        <v>0</v>
      </c>
      <c r="BJ64" s="192">
        <v>0.2</v>
      </c>
      <c r="BK64" s="187">
        <f t="shared" si="19"/>
        <v>0</v>
      </c>
      <c r="BL64" s="188">
        <v>0</v>
      </c>
    </row>
    <row r="65" spans="1:64" ht="56">
      <c r="A65" s="191" t="s">
        <v>159</v>
      </c>
      <c r="B65" s="199">
        <v>89732</v>
      </c>
      <c r="C65" s="197" t="s">
        <v>160</v>
      </c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4"/>
      <c r="AY65" s="214"/>
      <c r="AZ65" s="214"/>
      <c r="BA65" s="192"/>
      <c r="BB65" s="193"/>
      <c r="BC65" s="194"/>
      <c r="BD65" s="192">
        <v>0.8</v>
      </c>
      <c r="BE65" s="193">
        <f>TRUNC(BD65*U65,2)</f>
        <v>0</v>
      </c>
      <c r="BF65" s="194">
        <f>TRUNC(BE65*V65)</f>
        <v>0</v>
      </c>
      <c r="BG65" s="194"/>
      <c r="BH65" s="194">
        <v>1.4</v>
      </c>
      <c r="BI65" s="188">
        <f t="shared" si="18"/>
        <v>0</v>
      </c>
      <c r="BJ65" s="192">
        <v>0.2</v>
      </c>
      <c r="BK65" s="187">
        <f t="shared" si="19"/>
        <v>0</v>
      </c>
      <c r="BL65" s="188">
        <v>0</v>
      </c>
    </row>
    <row r="66" spans="1:64" ht="56">
      <c r="A66" s="191" t="s">
        <v>161</v>
      </c>
      <c r="B66" s="199">
        <v>89809</v>
      </c>
      <c r="C66" s="197" t="s">
        <v>162</v>
      </c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4"/>
      <c r="AY66" s="214"/>
      <c r="AZ66" s="214"/>
      <c r="BA66" s="192"/>
      <c r="BB66" s="193"/>
      <c r="BC66" s="194"/>
      <c r="BD66" s="192">
        <v>0.8</v>
      </c>
      <c r="BE66" s="193">
        <f>TRUNC(BD66*U66,2)</f>
        <v>0</v>
      </c>
      <c r="BF66" s="194">
        <f>TRUNC(BE66*V66)</f>
        <v>0</v>
      </c>
      <c r="BG66" s="194"/>
      <c r="BH66" s="194">
        <v>2</v>
      </c>
      <c r="BI66" s="188">
        <f t="shared" si="18"/>
        <v>0</v>
      </c>
      <c r="BJ66" s="192">
        <v>0.2</v>
      </c>
      <c r="BK66" s="187">
        <f t="shared" si="19"/>
        <v>0</v>
      </c>
      <c r="BL66" s="188">
        <v>0</v>
      </c>
    </row>
    <row r="67" spans="1:64" ht="56">
      <c r="A67" s="191" t="s">
        <v>163</v>
      </c>
      <c r="B67" s="199">
        <v>69810</v>
      </c>
      <c r="C67" s="197" t="s">
        <v>164</v>
      </c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  <c r="AU67" s="216"/>
      <c r="AV67" s="216"/>
      <c r="AW67" s="216"/>
      <c r="AX67" s="214"/>
      <c r="AY67" s="214"/>
      <c r="AZ67" s="214"/>
      <c r="BA67" s="192"/>
      <c r="BB67" s="193"/>
      <c r="BC67" s="194"/>
      <c r="BD67" s="192">
        <v>0.8</v>
      </c>
      <c r="BE67" s="193">
        <f>TRUNC(BD67*U67,2)</f>
        <v>0</v>
      </c>
      <c r="BF67" s="194">
        <f>TRUNC(BE67*V67)</f>
        <v>0</v>
      </c>
      <c r="BG67" s="194"/>
      <c r="BH67" s="194">
        <v>1.2</v>
      </c>
      <c r="BI67" s="188">
        <f t="shared" si="18"/>
        <v>0</v>
      </c>
      <c r="BJ67" s="192">
        <v>0.2</v>
      </c>
      <c r="BK67" s="187">
        <f t="shared" si="19"/>
        <v>0</v>
      </c>
      <c r="BL67" s="188">
        <v>0</v>
      </c>
    </row>
    <row r="68" spans="1:64" ht="42">
      <c r="A68" s="191" t="s">
        <v>165</v>
      </c>
      <c r="B68" s="199">
        <v>100864</v>
      </c>
      <c r="C68" s="197" t="s">
        <v>166</v>
      </c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  <c r="AU68" s="216"/>
      <c r="AV68" s="216"/>
      <c r="AW68" s="216"/>
      <c r="AX68" s="214"/>
      <c r="AY68" s="214"/>
      <c r="AZ68" s="214"/>
      <c r="BA68" s="192"/>
      <c r="BB68" s="193"/>
      <c r="BC68" s="194"/>
      <c r="BD68" s="192"/>
      <c r="BE68" s="193"/>
      <c r="BF68" s="194"/>
      <c r="BG68" s="194"/>
      <c r="BH68" s="194"/>
      <c r="BI68" s="188">
        <f t="shared" si="18"/>
        <v>0</v>
      </c>
      <c r="BJ68" s="192"/>
      <c r="BK68" s="187">
        <f t="shared" si="19"/>
        <v>0</v>
      </c>
      <c r="BL68" s="188">
        <f>TRUNC(BK68*V68)+0</f>
        <v>0</v>
      </c>
    </row>
    <row r="69" spans="1:64" ht="56">
      <c r="A69" s="191" t="s">
        <v>167</v>
      </c>
      <c r="B69" s="199">
        <v>89833</v>
      </c>
      <c r="C69" s="197" t="s">
        <v>168</v>
      </c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16"/>
      <c r="AM69" s="216"/>
      <c r="AN69" s="216"/>
      <c r="AO69" s="216"/>
      <c r="AP69" s="216"/>
      <c r="AQ69" s="216"/>
      <c r="AR69" s="216"/>
      <c r="AS69" s="216"/>
      <c r="AT69" s="216"/>
      <c r="AU69" s="216"/>
      <c r="AV69" s="216"/>
      <c r="AW69" s="216"/>
      <c r="AX69" s="214"/>
      <c r="AY69" s="214"/>
      <c r="AZ69" s="214"/>
      <c r="BA69" s="192"/>
      <c r="BB69" s="193"/>
      <c r="BC69" s="194"/>
      <c r="BD69" s="192">
        <v>0.8</v>
      </c>
      <c r="BE69" s="193">
        <f>TRUNC(BD69*U69,2)</f>
        <v>0</v>
      </c>
      <c r="BF69" s="194">
        <f>TRUNC(BE69*V69)</f>
        <v>0</v>
      </c>
      <c r="BG69" s="194"/>
      <c r="BH69" s="194">
        <v>0.6</v>
      </c>
      <c r="BI69" s="188">
        <f t="shared" si="18"/>
        <v>0</v>
      </c>
      <c r="BJ69" s="192">
        <v>0.2</v>
      </c>
      <c r="BK69" s="215">
        <f t="shared" si="19"/>
        <v>0</v>
      </c>
      <c r="BL69" s="188">
        <v>0</v>
      </c>
    </row>
    <row r="70" spans="1:64" ht="42">
      <c r="A70" s="191" t="s">
        <v>169</v>
      </c>
      <c r="B70" s="199">
        <v>102711</v>
      </c>
      <c r="C70" s="197" t="s">
        <v>170</v>
      </c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  <c r="AQ70" s="216"/>
      <c r="AR70" s="216"/>
      <c r="AS70" s="216"/>
      <c r="AT70" s="216"/>
      <c r="AU70" s="216"/>
      <c r="AV70" s="216"/>
      <c r="AW70" s="216"/>
      <c r="AX70" s="214"/>
      <c r="AY70" s="214"/>
      <c r="AZ70" s="214"/>
      <c r="BA70" s="192"/>
      <c r="BB70" s="193"/>
      <c r="BC70" s="194"/>
      <c r="BD70" s="192">
        <v>0.8</v>
      </c>
      <c r="BE70" s="193">
        <f>TRUNC(BD70*U70,2)</f>
        <v>0</v>
      </c>
      <c r="BF70" s="194">
        <f>TRUNC(BE70*V70)</f>
        <v>0</v>
      </c>
      <c r="BG70" s="194"/>
      <c r="BH70" s="194">
        <v>0.8</v>
      </c>
      <c r="BI70" s="188">
        <f t="shared" si="18"/>
        <v>0</v>
      </c>
      <c r="BJ70" s="192">
        <v>0.2</v>
      </c>
      <c r="BK70" s="215">
        <f t="shared" si="19"/>
        <v>0</v>
      </c>
      <c r="BL70" s="188">
        <v>0</v>
      </c>
    </row>
    <row r="71" spans="1:64" ht="19.5" customHeight="1">
      <c r="A71" s="180" t="s">
        <v>171</v>
      </c>
      <c r="B71" s="181" t="s">
        <v>172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95"/>
      <c r="AY71" s="195"/>
      <c r="AZ71" s="195"/>
      <c r="BA71" s="195"/>
      <c r="BB71" s="195"/>
      <c r="BC71" s="195"/>
      <c r="BD71" s="195"/>
      <c r="BE71" s="195"/>
      <c r="BF71" s="195"/>
      <c r="BG71" s="195"/>
      <c r="BH71" s="195"/>
      <c r="BI71" s="195"/>
      <c r="BJ71" s="195"/>
      <c r="BK71" s="195"/>
      <c r="BL71" s="195"/>
    </row>
    <row r="72" spans="1:64" ht="42">
      <c r="A72" s="191" t="s">
        <v>173</v>
      </c>
      <c r="B72" s="196">
        <v>102616</v>
      </c>
      <c r="C72" s="197" t="s">
        <v>174</v>
      </c>
      <c r="D72" s="216" t="s">
        <v>303</v>
      </c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216"/>
      <c r="AX72" s="214"/>
      <c r="AY72" s="214"/>
      <c r="AZ72" s="214"/>
      <c r="BA72" s="192"/>
      <c r="BB72" s="193"/>
      <c r="BC72" s="194"/>
      <c r="BD72" s="192"/>
      <c r="BE72" s="193"/>
      <c r="BF72" s="194"/>
      <c r="BG72" s="194"/>
      <c r="BH72" s="194"/>
      <c r="BI72" s="188">
        <f t="shared" ref="BI72:BI90" si="20">TRUNC(V72*BH72)+0</f>
        <v>0</v>
      </c>
      <c r="BJ72" s="192"/>
      <c r="BK72" s="187">
        <f t="shared" ref="BK72:BK90" si="21">TRUNC(BJ72*U72,2)</f>
        <v>0</v>
      </c>
      <c r="BL72" s="188">
        <f t="shared" ref="BL72:BL90" si="22">TRUNC(BK72*V72)+0</f>
        <v>0</v>
      </c>
    </row>
    <row r="73" spans="1:64" ht="42">
      <c r="A73" s="191" t="s">
        <v>175</v>
      </c>
      <c r="B73" s="196">
        <v>89446</v>
      </c>
      <c r="C73" s="197" t="s">
        <v>176</v>
      </c>
      <c r="D73" s="216" t="s">
        <v>303</v>
      </c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4"/>
      <c r="AY73" s="214"/>
      <c r="AZ73" s="214"/>
      <c r="BA73" s="192"/>
      <c r="BB73" s="193"/>
      <c r="BC73" s="194"/>
      <c r="BD73" s="192"/>
      <c r="BE73" s="193"/>
      <c r="BF73" s="194"/>
      <c r="BG73" s="194"/>
      <c r="BH73" s="194"/>
      <c r="BI73" s="188">
        <f t="shared" si="20"/>
        <v>0</v>
      </c>
      <c r="BJ73" s="192"/>
      <c r="BK73" s="187">
        <f t="shared" si="21"/>
        <v>0</v>
      </c>
      <c r="BL73" s="188">
        <f t="shared" si="22"/>
        <v>0</v>
      </c>
    </row>
    <row r="74" spans="1:64" ht="42">
      <c r="A74" s="191" t="s">
        <v>177</v>
      </c>
      <c r="B74" s="196">
        <v>89366</v>
      </c>
      <c r="C74" s="197" t="s">
        <v>178</v>
      </c>
      <c r="D74" s="216" t="s">
        <v>303</v>
      </c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4"/>
      <c r="AY74" s="214"/>
      <c r="AZ74" s="214"/>
      <c r="BA74" s="192"/>
      <c r="BB74" s="193"/>
      <c r="BC74" s="194"/>
      <c r="BD74" s="192"/>
      <c r="BE74" s="193"/>
      <c r="BF74" s="194"/>
      <c r="BG74" s="194"/>
      <c r="BH74" s="194"/>
      <c r="BI74" s="188">
        <f t="shared" si="20"/>
        <v>0</v>
      </c>
      <c r="BJ74" s="192"/>
      <c r="BK74" s="187">
        <f t="shared" si="21"/>
        <v>0</v>
      </c>
      <c r="BL74" s="188">
        <f t="shared" si="22"/>
        <v>0</v>
      </c>
    </row>
    <row r="75" spans="1:64" ht="42">
      <c r="A75" s="191" t="s">
        <v>179</v>
      </c>
      <c r="B75" s="196">
        <v>89355</v>
      </c>
      <c r="C75" s="197" t="s">
        <v>180</v>
      </c>
      <c r="D75" s="216" t="s">
        <v>303</v>
      </c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4"/>
      <c r="AY75" s="214"/>
      <c r="AZ75" s="214"/>
      <c r="BA75" s="192"/>
      <c r="BB75" s="193"/>
      <c r="BC75" s="194"/>
      <c r="BD75" s="192"/>
      <c r="BE75" s="193"/>
      <c r="BF75" s="194"/>
      <c r="BG75" s="194"/>
      <c r="BH75" s="194"/>
      <c r="BI75" s="188">
        <f t="shared" si="20"/>
        <v>0</v>
      </c>
      <c r="BJ75" s="192"/>
      <c r="BK75" s="187">
        <f t="shared" si="21"/>
        <v>0</v>
      </c>
      <c r="BL75" s="188">
        <f t="shared" si="22"/>
        <v>0</v>
      </c>
    </row>
    <row r="76" spans="1:64" ht="28">
      <c r="A76" s="191" t="s">
        <v>181</v>
      </c>
      <c r="B76" s="196">
        <v>100860</v>
      </c>
      <c r="C76" s="197" t="s">
        <v>182</v>
      </c>
      <c r="D76" s="216" t="s">
        <v>303</v>
      </c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16"/>
      <c r="AN76" s="216"/>
      <c r="AO76" s="216"/>
      <c r="AP76" s="216"/>
      <c r="AQ76" s="216"/>
      <c r="AR76" s="216"/>
      <c r="AS76" s="216"/>
      <c r="AT76" s="216"/>
      <c r="AU76" s="216"/>
      <c r="AV76" s="216"/>
      <c r="AW76" s="216"/>
      <c r="AX76" s="214"/>
      <c r="AY76" s="214"/>
      <c r="AZ76" s="214"/>
      <c r="BA76" s="192"/>
      <c r="BB76" s="193"/>
      <c r="BC76" s="194"/>
      <c r="BD76" s="192"/>
      <c r="BE76" s="193"/>
      <c r="BF76" s="194"/>
      <c r="BG76" s="194"/>
      <c r="BH76" s="194"/>
      <c r="BI76" s="188">
        <f t="shared" si="20"/>
        <v>0</v>
      </c>
      <c r="BJ76" s="192"/>
      <c r="BK76" s="187">
        <f t="shared" si="21"/>
        <v>0</v>
      </c>
      <c r="BL76" s="188">
        <f t="shared" si="22"/>
        <v>0</v>
      </c>
    </row>
    <row r="77" spans="1:64" ht="28">
      <c r="A77" s="191" t="s">
        <v>183</v>
      </c>
      <c r="B77" s="196">
        <v>89528</v>
      </c>
      <c r="C77" s="197" t="s">
        <v>184</v>
      </c>
      <c r="D77" s="216" t="s">
        <v>303</v>
      </c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4"/>
      <c r="AY77" s="214"/>
      <c r="AZ77" s="214"/>
      <c r="BA77" s="192"/>
      <c r="BB77" s="193"/>
      <c r="BC77" s="194"/>
      <c r="BD77" s="192"/>
      <c r="BE77" s="193"/>
      <c r="BF77" s="194"/>
      <c r="BG77" s="194"/>
      <c r="BH77" s="194"/>
      <c r="BI77" s="188">
        <f t="shared" si="20"/>
        <v>0</v>
      </c>
      <c r="BJ77" s="192"/>
      <c r="BK77" s="187">
        <f t="shared" si="21"/>
        <v>0</v>
      </c>
      <c r="BL77" s="188">
        <f t="shared" si="22"/>
        <v>0</v>
      </c>
    </row>
    <row r="78" spans="1:64" ht="42">
      <c r="A78" s="191" t="s">
        <v>185</v>
      </c>
      <c r="B78" s="196">
        <v>104199</v>
      </c>
      <c r="C78" s="197" t="s">
        <v>186</v>
      </c>
      <c r="D78" s="216" t="s">
        <v>303</v>
      </c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16"/>
      <c r="AN78" s="216"/>
      <c r="AO78" s="216"/>
      <c r="AP78" s="216"/>
      <c r="AQ78" s="216"/>
      <c r="AR78" s="216"/>
      <c r="AS78" s="216"/>
      <c r="AT78" s="216"/>
      <c r="AU78" s="216"/>
      <c r="AV78" s="216"/>
      <c r="AW78" s="216"/>
      <c r="AX78" s="214"/>
      <c r="AY78" s="214"/>
      <c r="AZ78" s="214"/>
      <c r="BA78" s="192"/>
      <c r="BB78" s="193"/>
      <c r="BC78" s="194"/>
      <c r="BD78" s="192"/>
      <c r="BE78" s="193"/>
      <c r="BF78" s="194"/>
      <c r="BG78" s="194"/>
      <c r="BH78" s="194"/>
      <c r="BI78" s="188">
        <f t="shared" si="20"/>
        <v>0</v>
      </c>
      <c r="BJ78" s="192"/>
      <c r="BK78" s="187">
        <f t="shared" si="21"/>
        <v>0</v>
      </c>
      <c r="BL78" s="188">
        <f t="shared" si="22"/>
        <v>0</v>
      </c>
    </row>
    <row r="79" spans="1:64" ht="56">
      <c r="A79" s="191" t="s">
        <v>187</v>
      </c>
      <c r="B79" s="196">
        <v>101964</v>
      </c>
      <c r="C79" s="197" t="s">
        <v>188</v>
      </c>
      <c r="D79" s="216" t="s">
        <v>303</v>
      </c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6"/>
      <c r="AU79" s="216"/>
      <c r="AV79" s="216"/>
      <c r="AW79" s="216"/>
      <c r="AX79" s="214"/>
      <c r="AY79" s="214"/>
      <c r="AZ79" s="214"/>
      <c r="BA79" s="192"/>
      <c r="BB79" s="193"/>
      <c r="BC79" s="194"/>
      <c r="BD79" s="192"/>
      <c r="BE79" s="193"/>
      <c r="BF79" s="194"/>
      <c r="BG79" s="194"/>
      <c r="BH79" s="194"/>
      <c r="BI79" s="188">
        <f t="shared" si="20"/>
        <v>0</v>
      </c>
      <c r="BJ79" s="192"/>
      <c r="BK79" s="187">
        <f t="shared" si="21"/>
        <v>0</v>
      </c>
      <c r="BL79" s="188">
        <f t="shared" si="22"/>
        <v>0</v>
      </c>
    </row>
    <row r="80" spans="1:64" ht="28">
      <c r="A80" s="191" t="s">
        <v>189</v>
      </c>
      <c r="B80" s="196">
        <v>95545</v>
      </c>
      <c r="C80" s="197" t="s">
        <v>190</v>
      </c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16"/>
      <c r="AM80" s="216"/>
      <c r="AN80" s="216"/>
      <c r="AO80" s="216"/>
      <c r="AP80" s="216"/>
      <c r="AQ80" s="216"/>
      <c r="AR80" s="216"/>
      <c r="AS80" s="216"/>
      <c r="AT80" s="216"/>
      <c r="AU80" s="216"/>
      <c r="AV80" s="216"/>
      <c r="AW80" s="216"/>
      <c r="AX80" s="214"/>
      <c r="AY80" s="214"/>
      <c r="AZ80" s="214"/>
      <c r="BA80" s="192"/>
      <c r="BB80" s="193"/>
      <c r="BC80" s="194"/>
      <c r="BD80" s="192"/>
      <c r="BE80" s="193"/>
      <c r="BF80" s="194"/>
      <c r="BG80" s="194"/>
      <c r="BH80" s="194"/>
      <c r="BI80" s="188">
        <f t="shared" si="20"/>
        <v>0</v>
      </c>
      <c r="BJ80" s="192"/>
      <c r="BK80" s="187">
        <f t="shared" si="21"/>
        <v>0</v>
      </c>
      <c r="BL80" s="188">
        <f t="shared" si="22"/>
        <v>0</v>
      </c>
    </row>
    <row r="81" spans="1:64" ht="42">
      <c r="A81" s="191" t="s">
        <v>191</v>
      </c>
      <c r="B81" s="196">
        <v>95547</v>
      </c>
      <c r="C81" s="197" t="s">
        <v>192</v>
      </c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16"/>
      <c r="AV81" s="216"/>
      <c r="AW81" s="216"/>
      <c r="AX81" s="214"/>
      <c r="AY81" s="214"/>
      <c r="AZ81" s="214"/>
      <c r="BA81" s="192"/>
      <c r="BB81" s="193"/>
      <c r="BC81" s="194"/>
      <c r="BD81" s="192"/>
      <c r="BE81" s="193"/>
      <c r="BF81" s="194"/>
      <c r="BG81" s="194"/>
      <c r="BH81" s="194"/>
      <c r="BI81" s="188">
        <f t="shared" si="20"/>
        <v>0</v>
      </c>
      <c r="BJ81" s="192"/>
      <c r="BK81" s="187">
        <f t="shared" si="21"/>
        <v>0</v>
      </c>
      <c r="BL81" s="188">
        <f t="shared" si="22"/>
        <v>0</v>
      </c>
    </row>
    <row r="82" spans="1:64" ht="42">
      <c r="A82" s="191" t="s">
        <v>193</v>
      </c>
      <c r="B82" s="196">
        <v>95547</v>
      </c>
      <c r="C82" s="197" t="s">
        <v>194</v>
      </c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  <c r="AU82" s="216"/>
      <c r="AV82" s="216"/>
      <c r="AW82" s="216"/>
      <c r="AX82" s="214"/>
      <c r="AY82" s="214"/>
      <c r="AZ82" s="214"/>
      <c r="BA82" s="192"/>
      <c r="BB82" s="193"/>
      <c r="BC82" s="194"/>
      <c r="BD82" s="192"/>
      <c r="BE82" s="193"/>
      <c r="BF82" s="194"/>
      <c r="BG82" s="194"/>
      <c r="BH82" s="194"/>
      <c r="BI82" s="188">
        <f t="shared" si="20"/>
        <v>0</v>
      </c>
      <c r="BJ82" s="192"/>
      <c r="BK82" s="187">
        <f t="shared" si="21"/>
        <v>0</v>
      </c>
      <c r="BL82" s="188">
        <f t="shared" si="22"/>
        <v>0</v>
      </c>
    </row>
    <row r="83" spans="1:64" ht="42">
      <c r="A83" s="191" t="s">
        <v>195</v>
      </c>
      <c r="B83" s="196">
        <v>90373</v>
      </c>
      <c r="C83" s="197" t="s">
        <v>196</v>
      </c>
      <c r="D83" s="216" t="s">
        <v>303</v>
      </c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216"/>
      <c r="AU83" s="216"/>
      <c r="AV83" s="216"/>
      <c r="AW83" s="216"/>
      <c r="AX83" s="214"/>
      <c r="AY83" s="214"/>
      <c r="AZ83" s="214"/>
      <c r="BA83" s="192"/>
      <c r="BB83" s="193"/>
      <c r="BC83" s="194"/>
      <c r="BD83" s="192"/>
      <c r="BE83" s="193"/>
      <c r="BF83" s="194"/>
      <c r="BG83" s="194"/>
      <c r="BH83" s="194"/>
      <c r="BI83" s="188">
        <f t="shared" si="20"/>
        <v>0</v>
      </c>
      <c r="BJ83" s="192"/>
      <c r="BK83" s="187">
        <f t="shared" si="21"/>
        <v>0</v>
      </c>
      <c r="BL83" s="188">
        <f t="shared" si="22"/>
        <v>0</v>
      </c>
    </row>
    <row r="84" spans="1:64" ht="42">
      <c r="A84" s="191" t="s">
        <v>197</v>
      </c>
      <c r="B84" s="196">
        <v>89985</v>
      </c>
      <c r="C84" s="197" t="s">
        <v>198</v>
      </c>
      <c r="D84" s="216" t="s">
        <v>303</v>
      </c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216"/>
      <c r="AU84" s="216"/>
      <c r="AV84" s="216"/>
      <c r="AW84" s="216"/>
      <c r="AX84" s="214"/>
      <c r="AY84" s="214"/>
      <c r="AZ84" s="214"/>
      <c r="BA84" s="192"/>
      <c r="BB84" s="193"/>
      <c r="BC84" s="194"/>
      <c r="BD84" s="192"/>
      <c r="BE84" s="193"/>
      <c r="BF84" s="194"/>
      <c r="BG84" s="194"/>
      <c r="BH84" s="194"/>
      <c r="BI84" s="188">
        <f t="shared" si="20"/>
        <v>0</v>
      </c>
      <c r="BJ84" s="192"/>
      <c r="BK84" s="187">
        <f t="shared" si="21"/>
        <v>0</v>
      </c>
      <c r="BL84" s="188">
        <f t="shared" si="22"/>
        <v>0</v>
      </c>
    </row>
    <row r="85" spans="1:64" ht="42">
      <c r="A85" s="191" t="s">
        <v>199</v>
      </c>
      <c r="B85" s="196">
        <v>86915</v>
      </c>
      <c r="C85" s="197" t="s">
        <v>200</v>
      </c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6"/>
      <c r="AR85" s="216"/>
      <c r="AS85" s="216"/>
      <c r="AT85" s="216"/>
      <c r="AU85" s="216"/>
      <c r="AV85" s="216"/>
      <c r="AW85" s="216"/>
      <c r="AX85" s="214"/>
      <c r="AY85" s="214"/>
      <c r="AZ85" s="214"/>
      <c r="BA85" s="192"/>
      <c r="BB85" s="193"/>
      <c r="BC85" s="194"/>
      <c r="BD85" s="192"/>
      <c r="BE85" s="193"/>
      <c r="BF85" s="194"/>
      <c r="BG85" s="194"/>
      <c r="BH85" s="194"/>
      <c r="BI85" s="188">
        <f t="shared" si="20"/>
        <v>0</v>
      </c>
      <c r="BJ85" s="192"/>
      <c r="BK85" s="187">
        <f t="shared" si="21"/>
        <v>0</v>
      </c>
      <c r="BL85" s="188">
        <f t="shared" si="22"/>
        <v>0</v>
      </c>
    </row>
    <row r="86" spans="1:64" ht="42">
      <c r="A86" s="191" t="s">
        <v>201</v>
      </c>
      <c r="B86" s="196">
        <v>86911</v>
      </c>
      <c r="C86" s="197" t="s">
        <v>202</v>
      </c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  <c r="AI86" s="216"/>
      <c r="AJ86" s="216"/>
      <c r="AK86" s="216"/>
      <c r="AL86" s="216"/>
      <c r="AM86" s="216"/>
      <c r="AN86" s="216"/>
      <c r="AO86" s="216"/>
      <c r="AP86" s="216"/>
      <c r="AQ86" s="216"/>
      <c r="AR86" s="216"/>
      <c r="AS86" s="216"/>
      <c r="AT86" s="216"/>
      <c r="AU86" s="216"/>
      <c r="AV86" s="216"/>
      <c r="AW86" s="216"/>
      <c r="AX86" s="214"/>
      <c r="AY86" s="214"/>
      <c r="AZ86" s="214"/>
      <c r="BA86" s="192"/>
      <c r="BB86" s="193"/>
      <c r="BC86" s="194"/>
      <c r="BD86" s="192"/>
      <c r="BE86" s="193"/>
      <c r="BF86" s="194"/>
      <c r="BG86" s="194"/>
      <c r="BH86" s="194"/>
      <c r="BI86" s="188">
        <f t="shared" si="20"/>
        <v>0</v>
      </c>
      <c r="BJ86" s="192"/>
      <c r="BK86" s="187">
        <f t="shared" si="21"/>
        <v>0</v>
      </c>
      <c r="BL86" s="188">
        <f t="shared" si="22"/>
        <v>0</v>
      </c>
    </row>
    <row r="87" spans="1:64" ht="28">
      <c r="A87" s="191" t="s">
        <v>203</v>
      </c>
      <c r="B87" s="196">
        <v>94497</v>
      </c>
      <c r="C87" s="197" t="s">
        <v>204</v>
      </c>
      <c r="D87" s="216" t="s">
        <v>303</v>
      </c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16"/>
      <c r="AN87" s="216"/>
      <c r="AO87" s="216"/>
      <c r="AP87" s="216"/>
      <c r="AQ87" s="216"/>
      <c r="AR87" s="216"/>
      <c r="AS87" s="216"/>
      <c r="AT87" s="216"/>
      <c r="AU87" s="216"/>
      <c r="AV87" s="216"/>
      <c r="AW87" s="216"/>
      <c r="AX87" s="214"/>
      <c r="AY87" s="214"/>
      <c r="AZ87" s="214"/>
      <c r="BA87" s="192"/>
      <c r="BB87" s="193"/>
      <c r="BC87" s="194"/>
      <c r="BD87" s="192"/>
      <c r="BE87" s="193"/>
      <c r="BF87" s="194"/>
      <c r="BG87" s="194"/>
      <c r="BH87" s="194"/>
      <c r="BI87" s="188">
        <f t="shared" si="20"/>
        <v>0</v>
      </c>
      <c r="BJ87" s="192"/>
      <c r="BK87" s="187">
        <f t="shared" si="21"/>
        <v>0</v>
      </c>
      <c r="BL87" s="188">
        <f t="shared" si="22"/>
        <v>0</v>
      </c>
    </row>
    <row r="88" spans="1:64" ht="28">
      <c r="A88" s="191" t="s">
        <v>205</v>
      </c>
      <c r="B88" s="196">
        <v>103039</v>
      </c>
      <c r="C88" s="197" t="s">
        <v>206</v>
      </c>
      <c r="D88" s="216" t="s">
        <v>303</v>
      </c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6"/>
      <c r="AP88" s="216"/>
      <c r="AQ88" s="216"/>
      <c r="AR88" s="216"/>
      <c r="AS88" s="216"/>
      <c r="AT88" s="216"/>
      <c r="AU88" s="216"/>
      <c r="AV88" s="216"/>
      <c r="AW88" s="216"/>
      <c r="AX88" s="214"/>
      <c r="AY88" s="214"/>
      <c r="AZ88" s="214"/>
      <c r="BA88" s="192"/>
      <c r="BB88" s="193"/>
      <c r="BC88" s="194"/>
      <c r="BD88" s="192"/>
      <c r="BE88" s="193"/>
      <c r="BF88" s="194"/>
      <c r="BG88" s="194"/>
      <c r="BH88" s="194"/>
      <c r="BI88" s="188">
        <f t="shared" si="20"/>
        <v>0</v>
      </c>
      <c r="BJ88" s="192"/>
      <c r="BK88" s="187">
        <f t="shared" si="21"/>
        <v>0</v>
      </c>
      <c r="BL88" s="188">
        <f t="shared" si="22"/>
        <v>0</v>
      </c>
    </row>
    <row r="89" spans="1:64" ht="84">
      <c r="A89" s="191" t="s">
        <v>207</v>
      </c>
      <c r="B89" s="196">
        <v>94782</v>
      </c>
      <c r="C89" s="213" t="s">
        <v>208</v>
      </c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6"/>
      <c r="AP89" s="216"/>
      <c r="AQ89" s="216"/>
      <c r="AR89" s="216"/>
      <c r="AS89" s="216"/>
      <c r="AT89" s="216"/>
      <c r="AU89" s="216"/>
      <c r="AV89" s="216"/>
      <c r="AW89" s="216"/>
      <c r="AX89" s="214"/>
      <c r="AY89" s="214"/>
      <c r="AZ89" s="214"/>
      <c r="BA89" s="192"/>
      <c r="BB89" s="193"/>
      <c r="BC89" s="194"/>
      <c r="BD89" s="192"/>
      <c r="BE89" s="193"/>
      <c r="BF89" s="194"/>
      <c r="BG89" s="194"/>
      <c r="BH89" s="194"/>
      <c r="BI89" s="188">
        <f t="shared" si="20"/>
        <v>0</v>
      </c>
      <c r="BJ89" s="192"/>
      <c r="BK89" s="187">
        <f t="shared" si="21"/>
        <v>0</v>
      </c>
      <c r="BL89" s="188">
        <f t="shared" si="22"/>
        <v>0</v>
      </c>
    </row>
    <row r="90" spans="1:64" ht="28">
      <c r="A90" s="191" t="s">
        <v>209</v>
      </c>
      <c r="B90" s="196">
        <v>98557</v>
      </c>
      <c r="C90" s="197" t="s">
        <v>210</v>
      </c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  <c r="AO90" s="216"/>
      <c r="AP90" s="216"/>
      <c r="AQ90" s="216"/>
      <c r="AR90" s="216"/>
      <c r="AS90" s="216"/>
      <c r="AT90" s="216"/>
      <c r="AU90" s="216"/>
      <c r="AV90" s="216"/>
      <c r="AW90" s="216"/>
      <c r="AX90" s="214"/>
      <c r="AY90" s="214"/>
      <c r="AZ90" s="214"/>
      <c r="BA90" s="192"/>
      <c r="BB90" s="193"/>
      <c r="BC90" s="194"/>
      <c r="BD90" s="192">
        <v>1</v>
      </c>
      <c r="BE90" s="193">
        <f>TRUNC(BD90*U90,2)</f>
        <v>0</v>
      </c>
      <c r="BF90" s="194">
        <f>TRUNC(BE90*V90)</f>
        <v>0</v>
      </c>
      <c r="BG90" s="194"/>
      <c r="BH90" s="194"/>
      <c r="BI90" s="188">
        <f t="shared" si="20"/>
        <v>0</v>
      </c>
      <c r="BJ90" s="192"/>
      <c r="BK90" s="187">
        <f t="shared" si="21"/>
        <v>0</v>
      </c>
      <c r="BL90" s="188">
        <f t="shared" si="22"/>
        <v>0</v>
      </c>
    </row>
    <row r="91" spans="1:64" ht="20.149999999999999" customHeight="1">
      <c r="A91" s="180">
        <v>8</v>
      </c>
      <c r="B91" s="181" t="s">
        <v>211</v>
      </c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/>
      <c r="AW91" s="181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</row>
    <row r="92" spans="1:64" ht="28">
      <c r="A92" s="191" t="s">
        <v>212</v>
      </c>
      <c r="B92" s="196">
        <v>98135</v>
      </c>
      <c r="C92" s="197" t="s">
        <v>213</v>
      </c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214"/>
      <c r="AY92" s="214"/>
      <c r="AZ92" s="214"/>
      <c r="BA92" s="192"/>
      <c r="BB92" s="193"/>
      <c r="BC92" s="194"/>
      <c r="BD92" s="192"/>
      <c r="BE92" s="193"/>
      <c r="BF92" s="194"/>
      <c r="BG92" s="194"/>
      <c r="BH92" s="194"/>
      <c r="BI92" s="188">
        <f>TRUNC(V92*BH92)+0</f>
        <v>0</v>
      </c>
      <c r="BJ92" s="192"/>
      <c r="BK92" s="187">
        <f>TRUNC(BJ92*U92,2)</f>
        <v>0</v>
      </c>
      <c r="BL92" s="188">
        <f>TRUNC(BK92*V92)+0</f>
        <v>0</v>
      </c>
    </row>
    <row r="93" spans="1:64">
      <c r="A93" s="191"/>
      <c r="B93" s="196"/>
      <c r="C93" s="218" t="s">
        <v>304</v>
      </c>
      <c r="D93" s="184">
        <v>5.75</v>
      </c>
      <c r="E93" s="184" t="s">
        <v>305</v>
      </c>
      <c r="F93" s="219">
        <v>5.3</v>
      </c>
      <c r="G93" s="219" t="s">
        <v>306</v>
      </c>
      <c r="H93" s="219">
        <v>13.65</v>
      </c>
      <c r="I93" s="219" t="s">
        <v>305</v>
      </c>
      <c r="J93" s="219">
        <v>4.45</v>
      </c>
      <c r="K93" s="219" t="s">
        <v>306</v>
      </c>
      <c r="L93" s="219">
        <v>2.1</v>
      </c>
      <c r="M93" s="184" t="s">
        <v>305</v>
      </c>
      <c r="N93" s="184">
        <v>7.68</v>
      </c>
      <c r="O93" s="184" t="s">
        <v>306</v>
      </c>
      <c r="P93" s="184">
        <v>2.2000000000000002</v>
      </c>
      <c r="Q93" s="184" t="s">
        <v>305</v>
      </c>
      <c r="R93" s="184">
        <v>0.3</v>
      </c>
      <c r="S93" s="184" t="s">
        <v>306</v>
      </c>
      <c r="T93" s="184">
        <v>0.3</v>
      </c>
      <c r="U93" s="184" t="s">
        <v>305</v>
      </c>
      <c r="V93" s="184">
        <v>1</v>
      </c>
      <c r="W93" s="184" t="s">
        <v>306</v>
      </c>
      <c r="X93" s="184">
        <v>1.45</v>
      </c>
      <c r="Y93" s="184" t="s">
        <v>305</v>
      </c>
      <c r="Z93" s="184">
        <v>4.45</v>
      </c>
      <c r="AA93" s="184" t="s">
        <v>306</v>
      </c>
      <c r="AB93" s="184">
        <v>1.45</v>
      </c>
      <c r="AC93" s="184" t="s">
        <v>305</v>
      </c>
      <c r="AD93" s="184">
        <v>4.45</v>
      </c>
      <c r="AE93" s="184" t="s">
        <v>306</v>
      </c>
      <c r="AF93" s="184">
        <v>1.45</v>
      </c>
      <c r="AG93" s="184" t="s">
        <v>305</v>
      </c>
      <c r="AH93" s="184">
        <v>4.45</v>
      </c>
      <c r="AI93" s="184" t="s">
        <v>306</v>
      </c>
      <c r="AJ93" s="184">
        <v>1.45</v>
      </c>
      <c r="AK93" s="184" t="s">
        <v>305</v>
      </c>
      <c r="AL93" s="184">
        <v>4.45</v>
      </c>
      <c r="AM93" s="184" t="s">
        <v>306</v>
      </c>
      <c r="AN93" s="184">
        <v>1.1000000000000001</v>
      </c>
      <c r="AO93" s="184" t="s">
        <v>305</v>
      </c>
      <c r="AP93" s="184">
        <v>4.45</v>
      </c>
      <c r="AQ93" s="184" t="s">
        <v>306</v>
      </c>
      <c r="AR93" s="184">
        <v>1</v>
      </c>
      <c r="AS93" s="184" t="s">
        <v>305</v>
      </c>
      <c r="AT93" s="184">
        <v>4.45</v>
      </c>
      <c r="AU93" s="184"/>
      <c r="AV93" s="184" t="s">
        <v>289</v>
      </c>
      <c r="AW93" s="184">
        <f>D93*F93+H93*J93+L93*N93+P93*R93+T93*V93+X93*Z93+AB93*AD93+AF93*AH93+AJ93*AL93+AN93*AP93+AR93*AT93</f>
        <v>143.4605</v>
      </c>
      <c r="AX93" s="214"/>
      <c r="AY93" s="214"/>
      <c r="AZ93" s="214"/>
      <c r="BA93" s="192"/>
      <c r="BB93" s="193"/>
      <c r="BC93" s="194"/>
      <c r="BD93" s="192"/>
      <c r="BE93" s="193"/>
      <c r="BF93" s="194"/>
      <c r="BG93" s="194"/>
      <c r="BH93" s="194"/>
      <c r="BI93" s="188"/>
      <c r="BJ93" s="192"/>
      <c r="BK93" s="187"/>
      <c r="BL93" s="188"/>
    </row>
    <row r="94" spans="1:64">
      <c r="A94" s="191"/>
      <c r="B94" s="196"/>
      <c r="C94" s="218" t="s">
        <v>307</v>
      </c>
      <c r="D94" s="184">
        <v>4.6500000000000004</v>
      </c>
      <c r="E94" s="184" t="s">
        <v>305</v>
      </c>
      <c r="F94" s="184">
        <v>5.4</v>
      </c>
      <c r="G94" s="184" t="s">
        <v>306</v>
      </c>
      <c r="H94" s="184">
        <v>2.1</v>
      </c>
      <c r="I94" s="184" t="s">
        <v>305</v>
      </c>
      <c r="J94" s="184">
        <v>2.5499999999999998</v>
      </c>
      <c r="K94" s="184" t="s">
        <v>306</v>
      </c>
      <c r="L94" s="184">
        <v>5.45</v>
      </c>
      <c r="M94" s="184" t="s">
        <v>305</v>
      </c>
      <c r="N94" s="184">
        <v>0.15</v>
      </c>
      <c r="O94" s="184" t="s">
        <v>306</v>
      </c>
      <c r="P94" s="184">
        <v>5.7</v>
      </c>
      <c r="Q94" s="184" t="s">
        <v>305</v>
      </c>
      <c r="R94" s="184">
        <v>0.15</v>
      </c>
      <c r="S94" s="184" t="s">
        <v>306</v>
      </c>
      <c r="T94" s="184">
        <v>5.45</v>
      </c>
      <c r="U94" s="184" t="s">
        <v>305</v>
      </c>
      <c r="V94" s="184">
        <v>0.6</v>
      </c>
      <c r="W94" s="184" t="s">
        <v>306</v>
      </c>
      <c r="X94" s="184">
        <v>5.7</v>
      </c>
      <c r="Y94" s="184" t="s">
        <v>305</v>
      </c>
      <c r="Z94" s="184">
        <v>0.6</v>
      </c>
      <c r="AA94" s="184" t="s">
        <v>306</v>
      </c>
      <c r="AB94" s="184">
        <v>5.45</v>
      </c>
      <c r="AC94" s="184" t="s">
        <v>305</v>
      </c>
      <c r="AD94" s="184">
        <v>0.6</v>
      </c>
      <c r="AE94" s="184" t="s">
        <v>306</v>
      </c>
      <c r="AF94" s="184">
        <v>5.7</v>
      </c>
      <c r="AG94" s="184" t="s">
        <v>305</v>
      </c>
      <c r="AH94" s="184">
        <v>0.6</v>
      </c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 t="s">
        <v>289</v>
      </c>
      <c r="AW94" s="184">
        <f t="shared" ref="AW94:AW96" si="23">D94*F94+H94*J94+L94*N94+P94*R94+T94*V94+X94*Z94+AB94*AD94+AF94*AH94+AJ94*AL94+AN94*AP94+AR94*AT94</f>
        <v>45.517500000000013</v>
      </c>
      <c r="AX94" s="214"/>
      <c r="AY94" s="214"/>
      <c r="AZ94" s="214"/>
      <c r="BA94" s="192"/>
      <c r="BB94" s="193"/>
      <c r="BC94" s="194"/>
      <c r="BD94" s="192"/>
      <c r="BE94" s="193"/>
      <c r="BF94" s="194"/>
      <c r="BG94" s="194"/>
      <c r="BH94" s="194"/>
      <c r="BI94" s="188"/>
      <c r="BJ94" s="192"/>
      <c r="BK94" s="187"/>
      <c r="BL94" s="188"/>
    </row>
    <row r="95" spans="1:64">
      <c r="A95" s="191"/>
      <c r="B95" s="196"/>
      <c r="C95" s="218" t="s">
        <v>308</v>
      </c>
      <c r="D95" s="184">
        <v>8.0399999999999991</v>
      </c>
      <c r="E95" s="184" t="s">
        <v>305</v>
      </c>
      <c r="F95" s="184">
        <v>2.1</v>
      </c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 t="s">
        <v>289</v>
      </c>
      <c r="AW95" s="184">
        <f t="shared" si="23"/>
        <v>16.884</v>
      </c>
      <c r="AX95" s="214"/>
      <c r="AY95" s="214"/>
      <c r="AZ95" s="214"/>
      <c r="BA95" s="192"/>
      <c r="BB95" s="193"/>
      <c r="BC95" s="194"/>
      <c r="BD95" s="192"/>
      <c r="BE95" s="193"/>
      <c r="BF95" s="194"/>
      <c r="BG95" s="194"/>
      <c r="BH95" s="194"/>
      <c r="BI95" s="188"/>
      <c r="BJ95" s="192"/>
      <c r="BK95" s="187"/>
      <c r="BL95" s="188"/>
    </row>
    <row r="96" spans="1:64">
      <c r="A96" s="191"/>
      <c r="B96" s="196"/>
      <c r="C96" s="218" t="s">
        <v>309</v>
      </c>
      <c r="D96" s="184">
        <v>8.0500000000000007</v>
      </c>
      <c r="E96" s="184" t="s">
        <v>305</v>
      </c>
      <c r="F96" s="184">
        <v>5.3</v>
      </c>
      <c r="G96" s="184" t="s">
        <v>306</v>
      </c>
      <c r="H96" s="184">
        <v>3.2</v>
      </c>
      <c r="I96" s="184" t="s">
        <v>305</v>
      </c>
      <c r="J96" s="184">
        <v>5.3</v>
      </c>
      <c r="K96" s="184" t="s">
        <v>306</v>
      </c>
      <c r="L96" s="184">
        <v>2.2000000000000002</v>
      </c>
      <c r="M96" s="184" t="s">
        <v>305</v>
      </c>
      <c r="N96" s="184">
        <v>3.3</v>
      </c>
      <c r="O96" s="184" t="s">
        <v>306</v>
      </c>
      <c r="P96" s="184">
        <v>4.6500000000000004</v>
      </c>
      <c r="Q96" s="184" t="s">
        <v>305</v>
      </c>
      <c r="R96" s="184">
        <v>4.45</v>
      </c>
      <c r="S96" s="184" t="s">
        <v>306</v>
      </c>
      <c r="T96" s="184">
        <v>6.35</v>
      </c>
      <c r="U96" s="184" t="s">
        <v>305</v>
      </c>
      <c r="V96" s="184">
        <v>4.45</v>
      </c>
      <c r="W96" s="184" t="s">
        <v>306</v>
      </c>
      <c r="X96" s="184">
        <v>1.45</v>
      </c>
      <c r="Y96" s="184" t="s">
        <v>305</v>
      </c>
      <c r="Z96" s="184">
        <v>4.45</v>
      </c>
      <c r="AA96" s="184" t="s">
        <v>306</v>
      </c>
      <c r="AB96" s="184">
        <v>1.45</v>
      </c>
      <c r="AC96" s="184" t="s">
        <v>305</v>
      </c>
      <c r="AD96" s="184">
        <v>4.45</v>
      </c>
      <c r="AE96" s="184" t="s">
        <v>306</v>
      </c>
      <c r="AF96" s="184">
        <v>5.25</v>
      </c>
      <c r="AG96" s="184" t="s">
        <v>305</v>
      </c>
      <c r="AH96" s="184">
        <v>4.45</v>
      </c>
      <c r="AI96" s="184" t="s">
        <v>306</v>
      </c>
      <c r="AJ96" s="184">
        <v>1.45</v>
      </c>
      <c r="AK96" s="184" t="s">
        <v>305</v>
      </c>
      <c r="AL96" s="184">
        <v>4.45</v>
      </c>
      <c r="AM96" s="184" t="s">
        <v>306</v>
      </c>
      <c r="AN96" s="184">
        <v>1.1000000000000001</v>
      </c>
      <c r="AO96" s="184" t="s">
        <v>305</v>
      </c>
      <c r="AP96" s="184">
        <v>4.45</v>
      </c>
      <c r="AQ96" s="184" t="s">
        <v>306</v>
      </c>
      <c r="AR96" s="184">
        <f>1.1+0.98</f>
        <v>2.08</v>
      </c>
      <c r="AS96" s="184" t="s">
        <v>305</v>
      </c>
      <c r="AT96" s="184">
        <v>4.45</v>
      </c>
      <c r="AU96" s="184"/>
      <c r="AV96" s="184" t="s">
        <v>289</v>
      </c>
      <c r="AW96" s="184">
        <f t="shared" si="23"/>
        <v>172.70600000000002</v>
      </c>
      <c r="AX96" s="214"/>
      <c r="AY96" s="214"/>
      <c r="AZ96" s="214"/>
      <c r="BA96" s="192"/>
      <c r="BB96" s="193"/>
      <c r="BC96" s="194"/>
      <c r="BD96" s="192"/>
      <c r="BE96" s="193"/>
      <c r="BF96" s="194"/>
      <c r="BG96" s="194"/>
      <c r="BH96" s="194"/>
      <c r="BI96" s="188"/>
      <c r="BJ96" s="192"/>
      <c r="BK96" s="187"/>
      <c r="BL96" s="188"/>
    </row>
    <row r="97" spans="1:64">
      <c r="A97" s="191"/>
      <c r="B97" s="196"/>
      <c r="C97" s="218"/>
      <c r="D97" s="220" t="s">
        <v>310</v>
      </c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  <c r="AR97" s="221"/>
      <c r="AS97" s="221"/>
      <c r="AT97" s="221"/>
      <c r="AU97" s="222"/>
      <c r="AV97" s="223" t="s">
        <v>289</v>
      </c>
      <c r="AW97" s="223">
        <f>SUM(AW93:AW96)</f>
        <v>378.56800000000004</v>
      </c>
      <c r="AX97" s="214"/>
      <c r="AY97" s="214"/>
      <c r="AZ97" s="214"/>
      <c r="BA97" s="192"/>
      <c r="BB97" s="193"/>
      <c r="BC97" s="194"/>
      <c r="BD97" s="192"/>
      <c r="BE97" s="193"/>
      <c r="BF97" s="194"/>
      <c r="BG97" s="194"/>
      <c r="BH97" s="194"/>
      <c r="BI97" s="188"/>
      <c r="BJ97" s="192"/>
      <c r="BK97" s="187"/>
      <c r="BL97" s="188"/>
    </row>
    <row r="98" spans="1:64">
      <c r="A98" s="191"/>
      <c r="B98" s="196"/>
      <c r="D98" s="171" t="s">
        <v>311</v>
      </c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172"/>
      <c r="AV98" s="223"/>
      <c r="AW98" s="223"/>
      <c r="AX98" s="214"/>
      <c r="AY98" s="214"/>
      <c r="AZ98" s="214"/>
      <c r="BA98" s="192"/>
      <c r="BB98" s="193"/>
      <c r="BC98" s="194"/>
      <c r="BD98" s="192"/>
      <c r="BE98" s="193"/>
      <c r="BF98" s="194"/>
      <c r="BG98" s="194"/>
      <c r="BH98" s="194"/>
      <c r="BI98" s="188"/>
      <c r="BJ98" s="192"/>
      <c r="BK98" s="187"/>
      <c r="BL98" s="188"/>
    </row>
    <row r="99" spans="1:64">
      <c r="A99" s="191"/>
      <c r="B99" s="196"/>
      <c r="C99" s="218" t="s">
        <v>312</v>
      </c>
      <c r="D99" s="225">
        <v>2.2000000000000002</v>
      </c>
      <c r="E99" s="226" t="s">
        <v>305</v>
      </c>
      <c r="F99" s="226">
        <v>2.5</v>
      </c>
      <c r="G99" s="227"/>
      <c r="H99" s="227"/>
      <c r="I99" s="227"/>
      <c r="J99" s="227"/>
      <c r="K99" s="227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6" t="s">
        <v>305</v>
      </c>
      <c r="AU99" s="229">
        <v>1</v>
      </c>
      <c r="AV99" s="223" t="s">
        <v>289</v>
      </c>
      <c r="AW99" s="184">
        <f>(D99*F99)*AU99</f>
        <v>5.5</v>
      </c>
      <c r="AX99" s="214"/>
      <c r="AY99" s="214"/>
      <c r="AZ99" s="214"/>
      <c r="BA99" s="192"/>
      <c r="BB99" s="193"/>
      <c r="BC99" s="194"/>
      <c r="BD99" s="192"/>
      <c r="BE99" s="193"/>
      <c r="BF99" s="194"/>
      <c r="BG99" s="194"/>
      <c r="BH99" s="194"/>
      <c r="BI99" s="188"/>
      <c r="BJ99" s="192"/>
      <c r="BK99" s="187"/>
      <c r="BL99" s="188"/>
    </row>
    <row r="100" spans="1:64">
      <c r="A100" s="191"/>
      <c r="B100" s="196"/>
      <c r="C100" s="218" t="s">
        <v>313</v>
      </c>
      <c r="D100" s="225">
        <v>2</v>
      </c>
      <c r="E100" s="226" t="s">
        <v>305</v>
      </c>
      <c r="F100" s="226">
        <v>2.1</v>
      </c>
      <c r="G100" s="227"/>
      <c r="H100" s="227"/>
      <c r="I100" s="227"/>
      <c r="J100" s="227"/>
      <c r="K100" s="227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6" t="s">
        <v>305</v>
      </c>
      <c r="AU100" s="229">
        <v>1</v>
      </c>
      <c r="AV100" s="223" t="s">
        <v>289</v>
      </c>
      <c r="AW100" s="184">
        <f t="shared" ref="AW100:AW105" si="24">(D100*F100)*AU100</f>
        <v>4.2</v>
      </c>
      <c r="AX100" s="214"/>
      <c r="AY100" s="214"/>
      <c r="AZ100" s="214"/>
      <c r="BA100" s="192"/>
      <c r="BB100" s="193"/>
      <c r="BC100" s="194"/>
      <c r="BD100" s="192"/>
      <c r="BE100" s="193"/>
      <c r="BF100" s="194"/>
      <c r="BG100" s="194"/>
      <c r="BH100" s="194"/>
      <c r="BI100" s="188"/>
      <c r="BJ100" s="192"/>
      <c r="BK100" s="187"/>
      <c r="BL100" s="188"/>
    </row>
    <row r="101" spans="1:64">
      <c r="A101" s="191"/>
      <c r="B101" s="196"/>
      <c r="C101" s="218" t="s">
        <v>314</v>
      </c>
      <c r="D101" s="225">
        <v>0.8</v>
      </c>
      <c r="E101" s="226" t="s">
        <v>305</v>
      </c>
      <c r="F101" s="226">
        <v>2.5</v>
      </c>
      <c r="G101" s="227"/>
      <c r="H101" s="227"/>
      <c r="I101" s="227"/>
      <c r="J101" s="227"/>
      <c r="K101" s="227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6" t="s">
        <v>305</v>
      </c>
      <c r="AU101" s="229">
        <v>3</v>
      </c>
      <c r="AV101" s="223" t="s">
        <v>289</v>
      </c>
      <c r="AW101" s="184">
        <f t="shared" si="24"/>
        <v>6</v>
      </c>
      <c r="AX101" s="214"/>
      <c r="AY101" s="214"/>
      <c r="AZ101" s="214"/>
      <c r="BA101" s="192"/>
      <c r="BB101" s="193"/>
      <c r="BC101" s="194"/>
      <c r="BD101" s="192"/>
      <c r="BE101" s="193"/>
      <c r="BF101" s="194"/>
      <c r="BG101" s="194"/>
      <c r="BH101" s="194"/>
      <c r="BI101" s="188"/>
      <c r="BJ101" s="192"/>
      <c r="BK101" s="187"/>
      <c r="BL101" s="188"/>
    </row>
    <row r="102" spans="1:64">
      <c r="A102" s="191"/>
      <c r="B102" s="196"/>
      <c r="C102" s="218" t="s">
        <v>315</v>
      </c>
      <c r="D102" s="225">
        <v>1.1000000000000001</v>
      </c>
      <c r="E102" s="226" t="s">
        <v>305</v>
      </c>
      <c r="F102" s="226">
        <v>1</v>
      </c>
      <c r="G102" s="227"/>
      <c r="H102" s="227"/>
      <c r="I102" s="227"/>
      <c r="J102" s="227"/>
      <c r="K102" s="227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6" t="s">
        <v>305</v>
      </c>
      <c r="AU102" s="229">
        <v>7</v>
      </c>
      <c r="AV102" s="223" t="s">
        <v>289</v>
      </c>
      <c r="AW102" s="184">
        <f t="shared" si="24"/>
        <v>7.7000000000000011</v>
      </c>
      <c r="AX102" s="214"/>
      <c r="AY102" s="214"/>
      <c r="AZ102" s="214"/>
      <c r="BA102" s="192"/>
      <c r="BB102" s="193"/>
      <c r="BC102" s="194"/>
      <c r="BD102" s="192"/>
      <c r="BE102" s="193"/>
      <c r="BF102" s="194"/>
      <c r="BG102" s="194"/>
      <c r="BH102" s="194"/>
      <c r="BI102" s="188"/>
      <c r="BJ102" s="192"/>
      <c r="BK102" s="187"/>
      <c r="BL102" s="188"/>
    </row>
    <row r="103" spans="1:64">
      <c r="A103" s="191"/>
      <c r="B103" s="196"/>
      <c r="C103" s="218" t="s">
        <v>316</v>
      </c>
      <c r="D103" s="225">
        <v>1.4</v>
      </c>
      <c r="E103" s="226" t="s">
        <v>305</v>
      </c>
      <c r="F103" s="226">
        <v>1</v>
      </c>
      <c r="G103" s="227"/>
      <c r="H103" s="227"/>
      <c r="I103" s="227"/>
      <c r="J103" s="227"/>
      <c r="K103" s="227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6" t="s">
        <v>305</v>
      </c>
      <c r="AU103" s="229">
        <v>2</v>
      </c>
      <c r="AV103" s="223" t="s">
        <v>289</v>
      </c>
      <c r="AW103" s="184">
        <f t="shared" si="24"/>
        <v>2.8</v>
      </c>
      <c r="AX103" s="214"/>
      <c r="AY103" s="214"/>
      <c r="AZ103" s="214"/>
      <c r="BA103" s="192"/>
      <c r="BB103" s="193"/>
      <c r="BC103" s="194"/>
      <c r="BD103" s="192"/>
      <c r="BE103" s="193"/>
      <c r="BF103" s="194"/>
      <c r="BG103" s="194"/>
      <c r="BH103" s="194"/>
      <c r="BI103" s="188"/>
      <c r="BJ103" s="192"/>
      <c r="BK103" s="187"/>
      <c r="BL103" s="188"/>
    </row>
    <row r="104" spans="1:64">
      <c r="A104" s="191"/>
      <c r="B104" s="196"/>
      <c r="C104" s="218" t="s">
        <v>317</v>
      </c>
      <c r="D104" s="225">
        <v>1.5</v>
      </c>
      <c r="E104" s="226" t="s">
        <v>305</v>
      </c>
      <c r="F104" s="226">
        <v>0.4</v>
      </c>
      <c r="G104" s="227"/>
      <c r="H104" s="227"/>
      <c r="I104" s="227"/>
      <c r="J104" s="227"/>
      <c r="K104" s="227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6" t="s">
        <v>305</v>
      </c>
      <c r="AU104" s="229">
        <v>3</v>
      </c>
      <c r="AV104" s="223" t="s">
        <v>289</v>
      </c>
      <c r="AW104" s="184">
        <f t="shared" si="24"/>
        <v>1.8000000000000003</v>
      </c>
      <c r="AX104" s="214"/>
      <c r="AY104" s="214"/>
      <c r="AZ104" s="214"/>
      <c r="BA104" s="192"/>
      <c r="BB104" s="193"/>
      <c r="BC104" s="194"/>
      <c r="BD104" s="192"/>
      <c r="BE104" s="193"/>
      <c r="BF104" s="194"/>
      <c r="BG104" s="194"/>
      <c r="BH104" s="194"/>
      <c r="BI104" s="188"/>
      <c r="BJ104" s="192"/>
      <c r="BK104" s="187"/>
      <c r="BL104" s="188"/>
    </row>
    <row r="105" spans="1:64">
      <c r="A105" s="191"/>
      <c r="B105" s="196"/>
      <c r="C105" s="218" t="s">
        <v>318</v>
      </c>
      <c r="D105" s="225">
        <v>1.3</v>
      </c>
      <c r="E105" s="226" t="s">
        <v>305</v>
      </c>
      <c r="F105" s="226">
        <v>0.4</v>
      </c>
      <c r="G105" s="227"/>
      <c r="H105" s="227"/>
      <c r="I105" s="227"/>
      <c r="J105" s="227"/>
      <c r="K105" s="227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6" t="s">
        <v>305</v>
      </c>
      <c r="AU105" s="229">
        <v>8</v>
      </c>
      <c r="AV105" s="223" t="s">
        <v>289</v>
      </c>
      <c r="AW105" s="184">
        <f t="shared" si="24"/>
        <v>4.16</v>
      </c>
      <c r="AX105" s="214"/>
      <c r="AY105" s="214"/>
      <c r="AZ105" s="214"/>
      <c r="BA105" s="192"/>
      <c r="BB105" s="193"/>
      <c r="BC105" s="194"/>
      <c r="BD105" s="192"/>
      <c r="BE105" s="193"/>
      <c r="BF105" s="194"/>
      <c r="BG105" s="194"/>
      <c r="BH105" s="194"/>
      <c r="BI105" s="188"/>
      <c r="BJ105" s="192"/>
      <c r="BK105" s="187"/>
      <c r="BL105" s="188"/>
    </row>
    <row r="106" spans="1:64">
      <c r="A106" s="191"/>
      <c r="B106" s="196"/>
      <c r="C106" s="218"/>
      <c r="D106" s="220" t="s">
        <v>319</v>
      </c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  <c r="AO106" s="221"/>
      <c r="AP106" s="221"/>
      <c r="AQ106" s="221"/>
      <c r="AR106" s="221"/>
      <c r="AS106" s="221"/>
      <c r="AT106" s="221"/>
      <c r="AU106" s="222"/>
      <c r="AV106" s="223" t="s">
        <v>289</v>
      </c>
      <c r="AW106" s="223">
        <f>SUM(AW99:AW105)</f>
        <v>32.159999999999997</v>
      </c>
      <c r="AX106" s="214"/>
      <c r="AY106" s="214"/>
      <c r="AZ106" s="214"/>
      <c r="BA106" s="192"/>
      <c r="BB106" s="193"/>
      <c r="BC106" s="194"/>
      <c r="BD106" s="192"/>
      <c r="BE106" s="193"/>
      <c r="BF106" s="194"/>
      <c r="BG106" s="194"/>
      <c r="BH106" s="194"/>
      <c r="BI106" s="188"/>
      <c r="BJ106" s="192"/>
      <c r="BK106" s="187"/>
      <c r="BL106" s="188"/>
    </row>
    <row r="107" spans="1:64">
      <c r="A107" s="191"/>
      <c r="B107" s="196"/>
      <c r="C107" s="218"/>
      <c r="D107" s="220" t="s">
        <v>320</v>
      </c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  <c r="AO107" s="221"/>
      <c r="AP107" s="221"/>
      <c r="AQ107" s="221"/>
      <c r="AR107" s="221"/>
      <c r="AS107" s="221"/>
      <c r="AT107" s="221"/>
      <c r="AU107" s="222"/>
      <c r="AV107" s="223" t="s">
        <v>289</v>
      </c>
      <c r="AW107" s="223">
        <f>AW97-AW106</f>
        <v>346.40800000000002</v>
      </c>
      <c r="AX107" s="214"/>
      <c r="AY107" s="214"/>
      <c r="AZ107" s="214"/>
      <c r="BA107" s="192"/>
      <c r="BB107" s="193"/>
      <c r="BC107" s="194"/>
      <c r="BD107" s="192"/>
      <c r="BE107" s="193"/>
      <c r="BF107" s="194"/>
      <c r="BG107" s="194"/>
      <c r="BH107" s="194"/>
      <c r="BI107" s="188"/>
      <c r="BJ107" s="192"/>
      <c r="BK107" s="187"/>
      <c r="BL107" s="188"/>
    </row>
    <row r="108" spans="1:64" ht="42">
      <c r="A108" s="191" t="s">
        <v>214</v>
      </c>
      <c r="B108" s="196">
        <v>96129</v>
      </c>
      <c r="C108" s="197" t="s">
        <v>215</v>
      </c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214"/>
      <c r="AY108" s="214"/>
      <c r="AZ108" s="214"/>
      <c r="BA108" s="192"/>
      <c r="BB108" s="193"/>
      <c r="BC108" s="194"/>
      <c r="BD108" s="192"/>
      <c r="BE108" s="193"/>
      <c r="BF108" s="194"/>
      <c r="BG108" s="194"/>
      <c r="BH108" s="194"/>
      <c r="BI108" s="188">
        <f>TRUNC(V108*BH108)+0</f>
        <v>0</v>
      </c>
      <c r="BJ108" s="192"/>
      <c r="BK108" s="187">
        <f>TRUNC(BJ108*U108,2)</f>
        <v>0</v>
      </c>
      <c r="BL108" s="188">
        <f>TRUNC(BK108*V108)+0</f>
        <v>0</v>
      </c>
    </row>
    <row r="109" spans="1:64" ht="28">
      <c r="A109" s="191" t="s">
        <v>216</v>
      </c>
      <c r="B109" s="196">
        <v>104641</v>
      </c>
      <c r="C109" s="197" t="s">
        <v>217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214"/>
      <c r="AY109" s="214"/>
      <c r="AZ109" s="214"/>
      <c r="BA109" s="192"/>
      <c r="BB109" s="193"/>
      <c r="BC109" s="194"/>
      <c r="BD109" s="192"/>
      <c r="BE109" s="193"/>
      <c r="BF109" s="194"/>
      <c r="BG109" s="194"/>
      <c r="BH109" s="194"/>
      <c r="BI109" s="188">
        <f>TRUNC(V109*BH109)+0</f>
        <v>0</v>
      </c>
      <c r="BJ109" s="192"/>
      <c r="BK109" s="187">
        <f>TRUNC(BJ109*U109,2)</f>
        <v>0</v>
      </c>
      <c r="BL109" s="188">
        <f>TRUNC(BK109*V109)+0</f>
        <v>0</v>
      </c>
    </row>
    <row r="110" spans="1:64" ht="28">
      <c r="A110" s="191" t="s">
        <v>218</v>
      </c>
      <c r="B110" s="184">
        <v>88415</v>
      </c>
      <c r="C110" s="197" t="s">
        <v>219</v>
      </c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214"/>
      <c r="AY110" s="214"/>
      <c r="AZ110" s="214"/>
      <c r="BA110" s="192"/>
      <c r="BB110" s="193"/>
      <c r="BC110" s="194"/>
      <c r="BD110" s="192"/>
      <c r="BE110" s="193"/>
      <c r="BF110" s="194"/>
      <c r="BG110" s="194"/>
      <c r="BH110" s="194"/>
      <c r="BI110" s="188">
        <f>TRUNC(V110*BH110)+0</f>
        <v>0</v>
      </c>
      <c r="BJ110" s="192"/>
      <c r="BK110" s="187">
        <f>TRUNC(BJ110*U110,2)</f>
        <v>0</v>
      </c>
      <c r="BL110" s="188">
        <f>TRUNC(BK110*V110)+0</f>
        <v>0</v>
      </c>
    </row>
    <row r="111" spans="1:64">
      <c r="A111" s="191"/>
      <c r="B111" s="184"/>
      <c r="C111" s="218" t="s">
        <v>304</v>
      </c>
      <c r="D111" s="184">
        <v>5.75</v>
      </c>
      <c r="E111" s="184" t="s">
        <v>305</v>
      </c>
      <c r="F111" s="219">
        <v>5.3</v>
      </c>
      <c r="G111" s="219" t="s">
        <v>306</v>
      </c>
      <c r="H111" s="219">
        <v>13.65</v>
      </c>
      <c r="I111" s="219" t="s">
        <v>305</v>
      </c>
      <c r="J111" s="219">
        <v>4.45</v>
      </c>
      <c r="K111" s="219" t="s">
        <v>306</v>
      </c>
      <c r="L111" s="219">
        <v>2.1</v>
      </c>
      <c r="M111" s="184" t="s">
        <v>305</v>
      </c>
      <c r="N111" s="184">
        <v>7.68</v>
      </c>
      <c r="O111" s="184" t="s">
        <v>306</v>
      </c>
      <c r="P111" s="184">
        <v>2.2000000000000002</v>
      </c>
      <c r="Q111" s="184" t="s">
        <v>305</v>
      </c>
      <c r="R111" s="184">
        <v>0.3</v>
      </c>
      <c r="S111" s="184" t="s">
        <v>306</v>
      </c>
      <c r="T111" s="184">
        <v>0.3</v>
      </c>
      <c r="U111" s="184" t="s">
        <v>305</v>
      </c>
      <c r="V111" s="184">
        <v>1</v>
      </c>
      <c r="W111" s="184" t="s">
        <v>306</v>
      </c>
      <c r="X111" s="184">
        <v>1.45</v>
      </c>
      <c r="Y111" s="184" t="s">
        <v>305</v>
      </c>
      <c r="Z111" s="184">
        <v>4.45</v>
      </c>
      <c r="AA111" s="184" t="s">
        <v>306</v>
      </c>
      <c r="AB111" s="184">
        <v>1.45</v>
      </c>
      <c r="AC111" s="184" t="s">
        <v>305</v>
      </c>
      <c r="AD111" s="184">
        <v>4.45</v>
      </c>
      <c r="AE111" s="184" t="s">
        <v>306</v>
      </c>
      <c r="AF111" s="184">
        <v>1.45</v>
      </c>
      <c r="AG111" s="184" t="s">
        <v>305</v>
      </c>
      <c r="AH111" s="184">
        <v>4.45</v>
      </c>
      <c r="AI111" s="184" t="s">
        <v>306</v>
      </c>
      <c r="AJ111" s="184">
        <v>1.45</v>
      </c>
      <c r="AK111" s="184" t="s">
        <v>305</v>
      </c>
      <c r="AL111" s="184">
        <v>4.45</v>
      </c>
      <c r="AM111" s="184" t="s">
        <v>306</v>
      </c>
      <c r="AN111" s="184">
        <v>1.1000000000000001</v>
      </c>
      <c r="AO111" s="184" t="s">
        <v>305</v>
      </c>
      <c r="AP111" s="184">
        <v>4.45</v>
      </c>
      <c r="AQ111" s="184" t="s">
        <v>306</v>
      </c>
      <c r="AR111" s="184">
        <v>1</v>
      </c>
      <c r="AS111" s="184" t="s">
        <v>305</v>
      </c>
      <c r="AT111" s="184">
        <v>4.45</v>
      </c>
      <c r="AU111" s="184"/>
      <c r="AV111" s="184" t="s">
        <v>289</v>
      </c>
      <c r="AW111" s="184">
        <f>D111*F111+H111*J111+L111*N111+P111*R111+T111*V111+X111*Z111+AB111*AD111+AF111*AH111+AJ111*AL111+AN111*AP111+AR111*AT111</f>
        <v>143.4605</v>
      </c>
      <c r="AX111" s="214"/>
      <c r="AY111" s="214"/>
      <c r="AZ111" s="214"/>
      <c r="BA111" s="192"/>
      <c r="BB111" s="193"/>
      <c r="BC111" s="194"/>
      <c r="BD111" s="192"/>
      <c r="BE111" s="193"/>
      <c r="BF111" s="194"/>
      <c r="BG111" s="194"/>
      <c r="BH111" s="194"/>
      <c r="BI111" s="188"/>
      <c r="BJ111" s="192"/>
      <c r="BK111" s="187"/>
      <c r="BL111" s="188"/>
    </row>
    <row r="112" spans="1:64">
      <c r="A112" s="191"/>
      <c r="B112" s="184"/>
      <c r="C112" s="218" t="s">
        <v>307</v>
      </c>
      <c r="D112" s="184">
        <v>4.6500000000000004</v>
      </c>
      <c r="E112" s="184" t="s">
        <v>305</v>
      </c>
      <c r="F112" s="184">
        <v>5.4</v>
      </c>
      <c r="G112" s="184" t="s">
        <v>306</v>
      </c>
      <c r="H112" s="184">
        <v>2.1</v>
      </c>
      <c r="I112" s="184" t="s">
        <v>305</v>
      </c>
      <c r="J112" s="184">
        <v>2.5499999999999998</v>
      </c>
      <c r="K112" s="184" t="s">
        <v>306</v>
      </c>
      <c r="L112" s="184">
        <v>5.45</v>
      </c>
      <c r="M112" s="184" t="s">
        <v>305</v>
      </c>
      <c r="N112" s="184">
        <v>0.15</v>
      </c>
      <c r="O112" s="184" t="s">
        <v>306</v>
      </c>
      <c r="P112" s="184">
        <v>5.7</v>
      </c>
      <c r="Q112" s="184" t="s">
        <v>305</v>
      </c>
      <c r="R112" s="184">
        <v>0.15</v>
      </c>
      <c r="S112" s="184" t="s">
        <v>306</v>
      </c>
      <c r="T112" s="184">
        <v>5.45</v>
      </c>
      <c r="U112" s="184" t="s">
        <v>305</v>
      </c>
      <c r="V112" s="184">
        <v>0.6</v>
      </c>
      <c r="W112" s="184" t="s">
        <v>306</v>
      </c>
      <c r="X112" s="184">
        <v>5.7</v>
      </c>
      <c r="Y112" s="184" t="s">
        <v>305</v>
      </c>
      <c r="Z112" s="184">
        <v>0.6</v>
      </c>
      <c r="AA112" s="184" t="s">
        <v>306</v>
      </c>
      <c r="AB112" s="184">
        <v>5.45</v>
      </c>
      <c r="AC112" s="184" t="s">
        <v>305</v>
      </c>
      <c r="AD112" s="184">
        <v>0.6</v>
      </c>
      <c r="AE112" s="184" t="s">
        <v>306</v>
      </c>
      <c r="AF112" s="184">
        <v>5.7</v>
      </c>
      <c r="AG112" s="184" t="s">
        <v>305</v>
      </c>
      <c r="AH112" s="184">
        <v>0.6</v>
      </c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 t="s">
        <v>289</v>
      </c>
      <c r="AW112" s="184">
        <f t="shared" ref="AW112:AW114" si="25">D112*F112+H112*J112+L112*N112+P112*R112+T112*V112+X112*Z112+AB112*AD112+AF112*AH112+AJ112*AL112+AN112*AP112+AR112*AT112</f>
        <v>45.517500000000013</v>
      </c>
      <c r="AX112" s="214"/>
      <c r="AY112" s="214"/>
      <c r="AZ112" s="214"/>
      <c r="BA112" s="192"/>
      <c r="BB112" s="193"/>
      <c r="BC112" s="194"/>
      <c r="BD112" s="192"/>
      <c r="BE112" s="193"/>
      <c r="BF112" s="194"/>
      <c r="BG112" s="194"/>
      <c r="BH112" s="194"/>
      <c r="BI112" s="188"/>
      <c r="BJ112" s="192"/>
      <c r="BK112" s="187"/>
      <c r="BL112" s="188"/>
    </row>
    <row r="113" spans="1:64">
      <c r="A113" s="191"/>
      <c r="B113" s="184"/>
      <c r="C113" s="218" t="s">
        <v>308</v>
      </c>
      <c r="D113" s="184">
        <v>8.0399999999999991</v>
      </c>
      <c r="E113" s="184" t="s">
        <v>305</v>
      </c>
      <c r="F113" s="184">
        <v>2.1</v>
      </c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 t="s">
        <v>289</v>
      </c>
      <c r="AW113" s="184">
        <f t="shared" si="25"/>
        <v>16.884</v>
      </c>
      <c r="AX113" s="214"/>
      <c r="AY113" s="214"/>
      <c r="AZ113" s="214"/>
      <c r="BA113" s="192"/>
      <c r="BB113" s="193"/>
      <c r="BC113" s="194"/>
      <c r="BD113" s="192"/>
      <c r="BE113" s="193"/>
      <c r="BF113" s="194"/>
      <c r="BG113" s="194"/>
      <c r="BH113" s="194"/>
      <c r="BI113" s="188"/>
      <c r="BJ113" s="192"/>
      <c r="BK113" s="187"/>
      <c r="BL113" s="188"/>
    </row>
    <row r="114" spans="1:64">
      <c r="A114" s="191"/>
      <c r="B114" s="184"/>
      <c r="C114" s="218" t="s">
        <v>309</v>
      </c>
      <c r="D114" s="184">
        <v>8.0500000000000007</v>
      </c>
      <c r="E114" s="184" t="s">
        <v>305</v>
      </c>
      <c r="F114" s="184">
        <v>5.3</v>
      </c>
      <c r="G114" s="184" t="s">
        <v>306</v>
      </c>
      <c r="H114" s="184">
        <v>3.2</v>
      </c>
      <c r="I114" s="184" t="s">
        <v>305</v>
      </c>
      <c r="J114" s="184">
        <v>5.3</v>
      </c>
      <c r="K114" s="184" t="s">
        <v>306</v>
      </c>
      <c r="L114" s="184">
        <v>2.2000000000000002</v>
      </c>
      <c r="M114" s="184" t="s">
        <v>305</v>
      </c>
      <c r="N114" s="184">
        <v>3.3</v>
      </c>
      <c r="O114" s="184" t="s">
        <v>306</v>
      </c>
      <c r="P114" s="184">
        <v>4.6500000000000004</v>
      </c>
      <c r="Q114" s="184" t="s">
        <v>305</v>
      </c>
      <c r="R114" s="184">
        <v>4.45</v>
      </c>
      <c r="S114" s="184" t="s">
        <v>306</v>
      </c>
      <c r="T114" s="184">
        <v>6.35</v>
      </c>
      <c r="U114" s="184" t="s">
        <v>305</v>
      </c>
      <c r="V114" s="184">
        <v>4.45</v>
      </c>
      <c r="W114" s="184" t="s">
        <v>306</v>
      </c>
      <c r="X114" s="184">
        <v>1.45</v>
      </c>
      <c r="Y114" s="184" t="s">
        <v>305</v>
      </c>
      <c r="Z114" s="184">
        <v>4.45</v>
      </c>
      <c r="AA114" s="184" t="s">
        <v>306</v>
      </c>
      <c r="AB114" s="184">
        <v>1.45</v>
      </c>
      <c r="AC114" s="184" t="s">
        <v>305</v>
      </c>
      <c r="AD114" s="184">
        <v>4.45</v>
      </c>
      <c r="AE114" s="184" t="s">
        <v>306</v>
      </c>
      <c r="AF114" s="184">
        <v>5.25</v>
      </c>
      <c r="AG114" s="184" t="s">
        <v>305</v>
      </c>
      <c r="AH114" s="184">
        <v>4.45</v>
      </c>
      <c r="AI114" s="184" t="s">
        <v>306</v>
      </c>
      <c r="AJ114" s="184">
        <v>1.45</v>
      </c>
      <c r="AK114" s="184" t="s">
        <v>305</v>
      </c>
      <c r="AL114" s="184">
        <v>4.45</v>
      </c>
      <c r="AM114" s="184" t="s">
        <v>306</v>
      </c>
      <c r="AN114" s="184">
        <v>1.1000000000000001</v>
      </c>
      <c r="AO114" s="184" t="s">
        <v>305</v>
      </c>
      <c r="AP114" s="184">
        <v>4.45</v>
      </c>
      <c r="AQ114" s="184" t="s">
        <v>306</v>
      </c>
      <c r="AR114" s="184">
        <f>1.1+0.98</f>
        <v>2.08</v>
      </c>
      <c r="AS114" s="184" t="s">
        <v>305</v>
      </c>
      <c r="AT114" s="184">
        <v>4.45</v>
      </c>
      <c r="AU114" s="184"/>
      <c r="AV114" s="184" t="s">
        <v>289</v>
      </c>
      <c r="AW114" s="184">
        <f t="shared" si="25"/>
        <v>172.70600000000002</v>
      </c>
      <c r="AX114" s="214"/>
      <c r="AY114" s="214"/>
      <c r="AZ114" s="214"/>
      <c r="BA114" s="192"/>
      <c r="BB114" s="193"/>
      <c r="BC114" s="194"/>
      <c r="BD114" s="192"/>
      <c r="BE114" s="193"/>
      <c r="BF114" s="194"/>
      <c r="BG114" s="194"/>
      <c r="BH114" s="194"/>
      <c r="BI114" s="188"/>
      <c r="BJ114" s="192"/>
      <c r="BK114" s="187"/>
      <c r="BL114" s="188"/>
    </row>
    <row r="115" spans="1:64">
      <c r="A115" s="191"/>
      <c r="B115" s="184"/>
      <c r="C115" s="218"/>
      <c r="D115" s="220" t="s">
        <v>310</v>
      </c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  <c r="AR115" s="221"/>
      <c r="AS115" s="221"/>
      <c r="AT115" s="221"/>
      <c r="AU115" s="222"/>
      <c r="AV115" s="223" t="s">
        <v>289</v>
      </c>
      <c r="AW115" s="223">
        <f>SUM(AW111:AW114)</f>
        <v>378.56800000000004</v>
      </c>
      <c r="AX115" s="214"/>
      <c r="AY115" s="214"/>
      <c r="AZ115" s="214"/>
      <c r="BA115" s="192"/>
      <c r="BB115" s="193"/>
      <c r="BC115" s="194"/>
      <c r="BD115" s="192"/>
      <c r="BE115" s="193"/>
      <c r="BF115" s="194"/>
      <c r="BG115" s="194"/>
      <c r="BH115" s="194"/>
      <c r="BI115" s="188"/>
      <c r="BJ115" s="192"/>
      <c r="BK115" s="187"/>
      <c r="BL115" s="188"/>
    </row>
    <row r="116" spans="1:64">
      <c r="A116" s="191"/>
      <c r="B116" s="184"/>
      <c r="D116" s="171" t="s">
        <v>311</v>
      </c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172"/>
      <c r="AV116" s="223"/>
      <c r="AW116" s="223"/>
      <c r="AX116" s="214"/>
      <c r="AY116" s="214"/>
      <c r="AZ116" s="214"/>
      <c r="BA116" s="192"/>
      <c r="BB116" s="193"/>
      <c r="BC116" s="194"/>
      <c r="BD116" s="192"/>
      <c r="BE116" s="193"/>
      <c r="BF116" s="194"/>
      <c r="BG116" s="194"/>
      <c r="BH116" s="194"/>
      <c r="BI116" s="188"/>
      <c r="BJ116" s="192"/>
      <c r="BK116" s="187"/>
      <c r="BL116" s="188"/>
    </row>
    <row r="117" spans="1:64">
      <c r="A117" s="191"/>
      <c r="B117" s="184"/>
      <c r="C117" s="218" t="s">
        <v>312</v>
      </c>
      <c r="D117" s="225">
        <v>2.2000000000000002</v>
      </c>
      <c r="E117" s="226" t="s">
        <v>305</v>
      </c>
      <c r="F117" s="226">
        <v>2.5</v>
      </c>
      <c r="G117" s="227"/>
      <c r="H117" s="227"/>
      <c r="I117" s="227"/>
      <c r="J117" s="227"/>
      <c r="K117" s="227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6" t="s">
        <v>305</v>
      </c>
      <c r="AU117" s="229">
        <v>1</v>
      </c>
      <c r="AV117" s="223" t="s">
        <v>289</v>
      </c>
      <c r="AW117" s="184">
        <f>(D117*F117)*AU117</f>
        <v>5.5</v>
      </c>
      <c r="AX117" s="214"/>
      <c r="AY117" s="214"/>
      <c r="AZ117" s="214"/>
      <c r="BA117" s="192"/>
      <c r="BB117" s="193"/>
      <c r="BC117" s="194"/>
      <c r="BD117" s="192"/>
      <c r="BE117" s="193"/>
      <c r="BF117" s="194"/>
      <c r="BG117" s="194"/>
      <c r="BH117" s="194"/>
      <c r="BI117" s="188"/>
      <c r="BJ117" s="192"/>
      <c r="BK117" s="187"/>
      <c r="BL117" s="188"/>
    </row>
    <row r="118" spans="1:64">
      <c r="A118" s="191"/>
      <c r="B118" s="184"/>
      <c r="C118" s="218" t="s">
        <v>313</v>
      </c>
      <c r="D118" s="225">
        <v>2</v>
      </c>
      <c r="E118" s="226" t="s">
        <v>305</v>
      </c>
      <c r="F118" s="226">
        <v>2.1</v>
      </c>
      <c r="G118" s="227"/>
      <c r="H118" s="227"/>
      <c r="I118" s="227"/>
      <c r="J118" s="227"/>
      <c r="K118" s="227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6" t="s">
        <v>305</v>
      </c>
      <c r="AU118" s="229">
        <v>1</v>
      </c>
      <c r="AV118" s="223" t="s">
        <v>289</v>
      </c>
      <c r="AW118" s="184">
        <f t="shared" ref="AW118:AW123" si="26">(D118*F118)*AU118</f>
        <v>4.2</v>
      </c>
      <c r="AX118" s="214"/>
      <c r="AY118" s="214"/>
      <c r="AZ118" s="214"/>
      <c r="BA118" s="192"/>
      <c r="BB118" s="193"/>
      <c r="BC118" s="194"/>
      <c r="BD118" s="192"/>
      <c r="BE118" s="193"/>
      <c r="BF118" s="194"/>
      <c r="BG118" s="194"/>
      <c r="BH118" s="194"/>
      <c r="BI118" s="188"/>
      <c r="BJ118" s="192"/>
      <c r="BK118" s="187"/>
      <c r="BL118" s="188"/>
    </row>
    <row r="119" spans="1:64">
      <c r="A119" s="191"/>
      <c r="B119" s="184"/>
      <c r="C119" s="218" t="s">
        <v>314</v>
      </c>
      <c r="D119" s="225">
        <v>0.8</v>
      </c>
      <c r="E119" s="226" t="s">
        <v>305</v>
      </c>
      <c r="F119" s="226">
        <v>2.5</v>
      </c>
      <c r="G119" s="227"/>
      <c r="H119" s="227"/>
      <c r="I119" s="227"/>
      <c r="J119" s="227"/>
      <c r="K119" s="227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6" t="s">
        <v>305</v>
      </c>
      <c r="AU119" s="229">
        <v>3</v>
      </c>
      <c r="AV119" s="223" t="s">
        <v>289</v>
      </c>
      <c r="AW119" s="184">
        <f t="shared" si="26"/>
        <v>6</v>
      </c>
      <c r="AX119" s="214"/>
      <c r="AY119" s="214"/>
      <c r="AZ119" s="214"/>
      <c r="BA119" s="192"/>
      <c r="BB119" s="193"/>
      <c r="BC119" s="194"/>
      <c r="BD119" s="192"/>
      <c r="BE119" s="193"/>
      <c r="BF119" s="194"/>
      <c r="BG119" s="194"/>
      <c r="BH119" s="194"/>
      <c r="BI119" s="188"/>
      <c r="BJ119" s="192"/>
      <c r="BK119" s="187"/>
      <c r="BL119" s="188"/>
    </row>
    <row r="120" spans="1:64">
      <c r="A120" s="191"/>
      <c r="B120" s="184"/>
      <c r="C120" s="218" t="s">
        <v>315</v>
      </c>
      <c r="D120" s="225">
        <v>1.1000000000000001</v>
      </c>
      <c r="E120" s="226" t="s">
        <v>305</v>
      </c>
      <c r="F120" s="226">
        <v>1</v>
      </c>
      <c r="G120" s="227"/>
      <c r="H120" s="227"/>
      <c r="I120" s="227"/>
      <c r="J120" s="227"/>
      <c r="K120" s="227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6" t="s">
        <v>305</v>
      </c>
      <c r="AU120" s="229">
        <v>7</v>
      </c>
      <c r="AV120" s="223" t="s">
        <v>289</v>
      </c>
      <c r="AW120" s="184">
        <f t="shared" si="26"/>
        <v>7.7000000000000011</v>
      </c>
      <c r="AX120" s="214"/>
      <c r="AY120" s="214"/>
      <c r="AZ120" s="214"/>
      <c r="BA120" s="192"/>
      <c r="BB120" s="193"/>
      <c r="BC120" s="194"/>
      <c r="BD120" s="192"/>
      <c r="BE120" s="193"/>
      <c r="BF120" s="194"/>
      <c r="BG120" s="194"/>
      <c r="BH120" s="194"/>
      <c r="BI120" s="188"/>
      <c r="BJ120" s="192"/>
      <c r="BK120" s="187"/>
      <c r="BL120" s="188"/>
    </row>
    <row r="121" spans="1:64">
      <c r="A121" s="191"/>
      <c r="B121" s="184"/>
      <c r="C121" s="218" t="s">
        <v>316</v>
      </c>
      <c r="D121" s="225">
        <v>1.4</v>
      </c>
      <c r="E121" s="226" t="s">
        <v>305</v>
      </c>
      <c r="F121" s="226">
        <v>1</v>
      </c>
      <c r="G121" s="227"/>
      <c r="H121" s="227"/>
      <c r="I121" s="227"/>
      <c r="J121" s="227"/>
      <c r="K121" s="227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6" t="s">
        <v>305</v>
      </c>
      <c r="AU121" s="229">
        <v>2</v>
      </c>
      <c r="AV121" s="223" t="s">
        <v>289</v>
      </c>
      <c r="AW121" s="184">
        <f t="shared" si="26"/>
        <v>2.8</v>
      </c>
      <c r="AX121" s="214"/>
      <c r="AY121" s="214"/>
      <c r="AZ121" s="214"/>
      <c r="BA121" s="192"/>
      <c r="BB121" s="193"/>
      <c r="BC121" s="194"/>
      <c r="BD121" s="192"/>
      <c r="BE121" s="193"/>
      <c r="BF121" s="194"/>
      <c r="BG121" s="194"/>
      <c r="BH121" s="194"/>
      <c r="BI121" s="188"/>
      <c r="BJ121" s="192"/>
      <c r="BK121" s="187"/>
      <c r="BL121" s="188"/>
    </row>
    <row r="122" spans="1:64">
      <c r="A122" s="191"/>
      <c r="B122" s="184"/>
      <c r="C122" s="218" t="s">
        <v>317</v>
      </c>
      <c r="D122" s="225">
        <v>1.5</v>
      </c>
      <c r="E122" s="226" t="s">
        <v>305</v>
      </c>
      <c r="F122" s="226">
        <v>0.4</v>
      </c>
      <c r="G122" s="227"/>
      <c r="H122" s="227"/>
      <c r="I122" s="227"/>
      <c r="J122" s="227"/>
      <c r="K122" s="227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6" t="s">
        <v>305</v>
      </c>
      <c r="AU122" s="229">
        <v>3</v>
      </c>
      <c r="AV122" s="223" t="s">
        <v>289</v>
      </c>
      <c r="AW122" s="184">
        <f t="shared" si="26"/>
        <v>1.8000000000000003</v>
      </c>
      <c r="AX122" s="214"/>
      <c r="AY122" s="214"/>
      <c r="AZ122" s="214"/>
      <c r="BA122" s="192"/>
      <c r="BB122" s="193"/>
      <c r="BC122" s="194"/>
      <c r="BD122" s="192"/>
      <c r="BE122" s="193"/>
      <c r="BF122" s="194"/>
      <c r="BG122" s="194"/>
      <c r="BH122" s="194"/>
      <c r="BI122" s="188"/>
      <c r="BJ122" s="192"/>
      <c r="BK122" s="187"/>
      <c r="BL122" s="188"/>
    </row>
    <row r="123" spans="1:64">
      <c r="A123" s="191"/>
      <c r="B123" s="184"/>
      <c r="C123" s="218" t="s">
        <v>318</v>
      </c>
      <c r="D123" s="225">
        <v>1.3</v>
      </c>
      <c r="E123" s="226" t="s">
        <v>305</v>
      </c>
      <c r="F123" s="226">
        <v>0.4</v>
      </c>
      <c r="G123" s="227"/>
      <c r="H123" s="227"/>
      <c r="I123" s="227"/>
      <c r="J123" s="227"/>
      <c r="K123" s="227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6" t="s">
        <v>305</v>
      </c>
      <c r="AU123" s="229">
        <v>8</v>
      </c>
      <c r="AV123" s="223" t="s">
        <v>289</v>
      </c>
      <c r="AW123" s="184">
        <f t="shared" si="26"/>
        <v>4.16</v>
      </c>
      <c r="AX123" s="214"/>
      <c r="AY123" s="214"/>
      <c r="AZ123" s="214"/>
      <c r="BA123" s="192"/>
      <c r="BB123" s="193"/>
      <c r="BC123" s="194"/>
      <c r="BD123" s="192"/>
      <c r="BE123" s="193"/>
      <c r="BF123" s="194"/>
      <c r="BG123" s="194"/>
      <c r="BH123" s="194"/>
      <c r="BI123" s="188"/>
      <c r="BJ123" s="192"/>
      <c r="BK123" s="187"/>
      <c r="BL123" s="188"/>
    </row>
    <row r="124" spans="1:64">
      <c r="A124" s="191"/>
      <c r="B124" s="184"/>
      <c r="C124" s="218"/>
      <c r="D124" s="220" t="s">
        <v>319</v>
      </c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  <c r="AR124" s="221"/>
      <c r="AS124" s="221"/>
      <c r="AT124" s="221"/>
      <c r="AU124" s="222"/>
      <c r="AV124" s="223" t="s">
        <v>289</v>
      </c>
      <c r="AW124" s="223">
        <f>SUM(AW117:AW123)</f>
        <v>32.159999999999997</v>
      </c>
      <c r="AX124" s="214"/>
      <c r="AY124" s="214"/>
      <c r="AZ124" s="214"/>
      <c r="BA124" s="192"/>
      <c r="BB124" s="193"/>
      <c r="BC124" s="194"/>
      <c r="BD124" s="192"/>
      <c r="BE124" s="193"/>
      <c r="BF124" s="194"/>
      <c r="BG124" s="194"/>
      <c r="BH124" s="194"/>
      <c r="BI124" s="188"/>
      <c r="BJ124" s="192"/>
      <c r="BK124" s="187"/>
      <c r="BL124" s="188"/>
    </row>
    <row r="125" spans="1:64">
      <c r="A125" s="191"/>
      <c r="B125" s="184"/>
      <c r="C125" s="218"/>
      <c r="D125" s="220" t="s">
        <v>321</v>
      </c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  <c r="AO125" s="221"/>
      <c r="AP125" s="221"/>
      <c r="AQ125" s="221"/>
      <c r="AR125" s="221"/>
      <c r="AS125" s="221"/>
      <c r="AT125" s="221"/>
      <c r="AU125" s="222"/>
      <c r="AV125" s="223" t="s">
        <v>289</v>
      </c>
      <c r="AW125" s="223">
        <f>AW115-AW124</f>
        <v>346.40800000000002</v>
      </c>
      <c r="AX125" s="214"/>
      <c r="AY125" s="214"/>
      <c r="AZ125" s="214"/>
      <c r="BA125" s="192"/>
      <c r="BB125" s="193"/>
      <c r="BC125" s="194"/>
      <c r="BD125" s="192"/>
      <c r="BE125" s="193"/>
      <c r="BF125" s="194"/>
      <c r="BG125" s="194"/>
      <c r="BH125" s="194"/>
      <c r="BI125" s="188"/>
      <c r="BJ125" s="192"/>
      <c r="BK125" s="187"/>
      <c r="BL125" s="188"/>
    </row>
    <row r="126" spans="1:64">
      <c r="A126" s="191"/>
      <c r="B126" s="184"/>
      <c r="C126" s="218"/>
      <c r="D126" s="171" t="s">
        <v>322</v>
      </c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172"/>
      <c r="AV126" s="223"/>
      <c r="AW126" s="223"/>
      <c r="AX126" s="214"/>
      <c r="AY126" s="214"/>
      <c r="AZ126" s="214"/>
      <c r="BA126" s="192"/>
      <c r="BB126" s="193"/>
      <c r="BC126" s="194"/>
      <c r="BD126" s="192"/>
      <c r="BE126" s="193"/>
      <c r="BF126" s="194"/>
      <c r="BG126" s="194"/>
      <c r="BH126" s="194"/>
      <c r="BI126" s="188"/>
      <c r="BJ126" s="192"/>
      <c r="BK126" s="187"/>
      <c r="BL126" s="188"/>
    </row>
    <row r="127" spans="1:64">
      <c r="A127" s="191"/>
      <c r="B127" s="184"/>
      <c r="C127" s="230" t="s">
        <v>323</v>
      </c>
      <c r="D127" s="231">
        <v>1.6</v>
      </c>
      <c r="E127" s="231" t="s">
        <v>324</v>
      </c>
      <c r="F127" s="232">
        <v>1.6</v>
      </c>
      <c r="G127" s="233"/>
      <c r="H127" s="234"/>
      <c r="I127" s="235"/>
      <c r="J127" s="236"/>
      <c r="K127" s="237"/>
      <c r="L127" s="238"/>
      <c r="M127" s="236"/>
      <c r="N127" s="115"/>
      <c r="O127" s="239"/>
      <c r="P127" s="236"/>
      <c r="Q127" s="115"/>
      <c r="R127" s="239"/>
      <c r="S127" s="236"/>
      <c r="T127" s="115"/>
      <c r="U127" s="239"/>
      <c r="V127" s="236"/>
      <c r="W127" s="115"/>
      <c r="X127" s="239"/>
      <c r="Y127" s="113"/>
      <c r="Z127" s="115"/>
      <c r="AA127" s="239"/>
      <c r="AB127" s="240"/>
      <c r="AC127" s="237"/>
      <c r="AD127" s="214"/>
      <c r="AE127" s="21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241" t="s">
        <v>289</v>
      </c>
      <c r="AW127" s="242">
        <f>D127*F127+H127*Y127</f>
        <v>2.5600000000000005</v>
      </c>
      <c r="AX127" s="214"/>
      <c r="AY127" s="214"/>
      <c r="AZ127" s="214"/>
      <c r="BA127" s="192"/>
      <c r="BB127" s="193"/>
      <c r="BC127" s="194"/>
      <c r="BD127" s="192"/>
      <c r="BE127" s="193"/>
      <c r="BF127" s="194"/>
      <c r="BG127" s="194"/>
      <c r="BH127" s="194"/>
      <c r="BI127" s="188"/>
      <c r="BJ127" s="192"/>
      <c r="BK127" s="187"/>
      <c r="BL127" s="188"/>
    </row>
    <row r="128" spans="1:64">
      <c r="A128" s="191"/>
      <c r="B128" s="184"/>
      <c r="C128" s="230" t="s">
        <v>325</v>
      </c>
      <c r="D128" s="231">
        <v>1.8</v>
      </c>
      <c r="E128" s="231" t="s">
        <v>324</v>
      </c>
      <c r="F128" s="232">
        <v>1.6</v>
      </c>
      <c r="G128" s="233"/>
      <c r="H128" s="234"/>
      <c r="I128" s="235"/>
      <c r="J128" s="236"/>
      <c r="K128" s="237"/>
      <c r="L128" s="238"/>
      <c r="M128" s="236"/>
      <c r="N128" s="115"/>
      <c r="O128" s="239"/>
      <c r="P128" s="236"/>
      <c r="Q128" s="115"/>
      <c r="R128" s="239"/>
      <c r="S128" s="236"/>
      <c r="T128" s="115"/>
      <c r="U128" s="239"/>
      <c r="V128" s="236"/>
      <c r="W128" s="115"/>
      <c r="X128" s="239"/>
      <c r="Y128" s="113"/>
      <c r="Z128" s="115"/>
      <c r="AA128" s="239"/>
      <c r="AB128" s="240"/>
      <c r="AC128" s="237"/>
      <c r="AD128" s="214"/>
      <c r="AE128" s="21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241" t="s">
        <v>289</v>
      </c>
      <c r="AW128" s="242">
        <f>D128*F128+H128*Y128</f>
        <v>2.8800000000000003</v>
      </c>
      <c r="AX128" s="214"/>
      <c r="AY128" s="214"/>
      <c r="AZ128" s="214"/>
      <c r="BA128" s="192"/>
      <c r="BB128" s="193"/>
      <c r="BC128" s="194"/>
      <c r="BD128" s="192"/>
      <c r="BE128" s="193"/>
      <c r="BF128" s="194"/>
      <c r="BG128" s="194"/>
      <c r="BH128" s="194"/>
      <c r="BI128" s="188"/>
      <c r="BJ128" s="192"/>
      <c r="BK128" s="187"/>
      <c r="BL128" s="188"/>
    </row>
    <row r="129" spans="1:64">
      <c r="A129" s="191"/>
      <c r="B129" s="184"/>
      <c r="C129" s="230" t="s">
        <v>326</v>
      </c>
      <c r="D129" s="231">
        <v>2.75</v>
      </c>
      <c r="E129" s="231" t="s">
        <v>324</v>
      </c>
      <c r="F129" s="232">
        <v>3.55</v>
      </c>
      <c r="G129" s="233"/>
      <c r="H129" s="234"/>
      <c r="I129" s="235"/>
      <c r="J129" s="236"/>
      <c r="K129" s="237"/>
      <c r="L129" s="238"/>
      <c r="M129" s="236"/>
      <c r="N129" s="115"/>
      <c r="O129" s="239"/>
      <c r="P129" s="236"/>
      <c r="Q129" s="115"/>
      <c r="R129" s="239"/>
      <c r="S129" s="236"/>
      <c r="T129" s="115"/>
      <c r="U129" s="239"/>
      <c r="V129" s="236"/>
      <c r="W129" s="115"/>
      <c r="X129" s="239"/>
      <c r="Y129" s="113"/>
      <c r="Z129" s="115"/>
      <c r="AA129" s="239"/>
      <c r="AB129" s="240"/>
      <c r="AC129" s="237"/>
      <c r="AD129" s="214"/>
      <c r="AE129" s="21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241" t="s">
        <v>289</v>
      </c>
      <c r="AW129" s="242">
        <f>D129*F129+H129*Y129</f>
        <v>9.7624999999999993</v>
      </c>
      <c r="AX129" s="214"/>
      <c r="AY129" s="214"/>
      <c r="AZ129" s="214"/>
      <c r="BA129" s="192"/>
      <c r="BB129" s="193"/>
      <c r="BC129" s="194"/>
      <c r="BD129" s="192"/>
      <c r="BE129" s="193"/>
      <c r="BF129" s="194"/>
      <c r="BG129" s="194"/>
      <c r="BH129" s="194"/>
      <c r="BI129" s="188"/>
      <c r="BJ129" s="192"/>
      <c r="BK129" s="187"/>
      <c r="BL129" s="188"/>
    </row>
    <row r="130" spans="1:64">
      <c r="A130" s="191"/>
      <c r="B130" s="184"/>
      <c r="C130" s="230" t="s">
        <v>327</v>
      </c>
      <c r="D130" s="231">
        <v>2.4</v>
      </c>
      <c r="E130" s="231" t="s">
        <v>324</v>
      </c>
      <c r="F130" s="232">
        <v>2.2000000000000002</v>
      </c>
      <c r="G130" s="233"/>
      <c r="H130" s="234"/>
      <c r="I130" s="235"/>
      <c r="J130" s="236"/>
      <c r="K130" s="237"/>
      <c r="L130" s="238"/>
      <c r="M130" s="236"/>
      <c r="N130" s="115"/>
      <c r="O130" s="239"/>
      <c r="P130" s="236"/>
      <c r="Q130" s="115"/>
      <c r="R130" s="239"/>
      <c r="S130" s="236"/>
      <c r="T130" s="115"/>
      <c r="U130" s="239"/>
      <c r="V130" s="236"/>
      <c r="W130" s="115"/>
      <c r="X130" s="239"/>
      <c r="Y130" s="113"/>
      <c r="Z130" s="115"/>
      <c r="AA130" s="239"/>
      <c r="AB130" s="240"/>
      <c r="AC130" s="237"/>
      <c r="AD130" s="214"/>
      <c r="AE130" s="21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241" t="s">
        <v>289</v>
      </c>
      <c r="AW130" s="242">
        <f>D130*F130+H130*Y130</f>
        <v>5.28</v>
      </c>
      <c r="AX130" s="214"/>
      <c r="AY130" s="214"/>
      <c r="AZ130" s="214"/>
      <c r="BA130" s="192"/>
      <c r="BB130" s="193"/>
      <c r="BC130" s="194"/>
      <c r="BD130" s="192"/>
      <c r="BE130" s="193"/>
      <c r="BF130" s="194"/>
      <c r="BG130" s="194"/>
      <c r="BH130" s="194"/>
      <c r="BI130" s="188"/>
      <c r="BJ130" s="192"/>
      <c r="BK130" s="187"/>
      <c r="BL130" s="188"/>
    </row>
    <row r="131" spans="1:64">
      <c r="A131" s="191"/>
      <c r="B131" s="184"/>
      <c r="C131" s="230" t="s">
        <v>328</v>
      </c>
      <c r="D131" s="231">
        <v>3.4</v>
      </c>
      <c r="E131" s="231" t="s">
        <v>324</v>
      </c>
      <c r="F131" s="232">
        <v>3.2</v>
      </c>
      <c r="G131" s="233"/>
      <c r="H131" s="234"/>
      <c r="I131" s="235"/>
      <c r="J131" s="236"/>
      <c r="K131" s="237"/>
      <c r="L131" s="238"/>
      <c r="M131" s="236"/>
      <c r="N131" s="115"/>
      <c r="O131" s="239"/>
      <c r="P131" s="236"/>
      <c r="Q131" s="115"/>
      <c r="R131" s="239"/>
      <c r="S131" s="236"/>
      <c r="T131" s="115"/>
      <c r="U131" s="239"/>
      <c r="V131" s="236"/>
      <c r="W131" s="115"/>
      <c r="X131" s="239"/>
      <c r="Y131" s="113"/>
      <c r="Z131" s="115"/>
      <c r="AA131" s="239"/>
      <c r="AB131" s="240"/>
      <c r="AC131" s="237"/>
      <c r="AD131" s="214"/>
      <c r="AE131" s="21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241" t="s">
        <v>289</v>
      </c>
      <c r="AW131" s="242">
        <f>D131*F131+H131*Y131</f>
        <v>10.88</v>
      </c>
      <c r="AX131" s="214"/>
      <c r="AY131" s="214"/>
      <c r="AZ131" s="214"/>
      <c r="BA131" s="192"/>
      <c r="BB131" s="193"/>
      <c r="BC131" s="194"/>
      <c r="BD131" s="192"/>
      <c r="BE131" s="193"/>
      <c r="BF131" s="194"/>
      <c r="BG131" s="194"/>
      <c r="BH131" s="194"/>
      <c r="BI131" s="188"/>
      <c r="BJ131" s="192"/>
      <c r="BK131" s="187"/>
      <c r="BL131" s="188"/>
    </row>
    <row r="132" spans="1:64">
      <c r="A132" s="191"/>
      <c r="B132" s="184"/>
      <c r="C132" s="230" t="s">
        <v>329</v>
      </c>
      <c r="D132" s="231">
        <v>6.41</v>
      </c>
      <c r="E132" s="231" t="s">
        <v>324</v>
      </c>
      <c r="F132" s="232">
        <v>6.39</v>
      </c>
      <c r="G132" s="243" t="s">
        <v>306</v>
      </c>
      <c r="H132" s="244">
        <v>1.35</v>
      </c>
      <c r="I132" s="232" t="s">
        <v>324</v>
      </c>
      <c r="J132" s="245">
        <v>4.95</v>
      </c>
      <c r="K132" s="246"/>
      <c r="L132" s="241"/>
      <c r="M132" s="247"/>
      <c r="N132" s="248"/>
      <c r="O132" s="249"/>
      <c r="P132" s="247"/>
      <c r="Q132" s="248"/>
      <c r="R132" s="249"/>
      <c r="S132" s="247"/>
      <c r="T132" s="248"/>
      <c r="U132" s="249"/>
      <c r="V132" s="247"/>
      <c r="W132" s="248"/>
      <c r="X132" s="249"/>
      <c r="Z132" s="250"/>
      <c r="AA132" s="239"/>
      <c r="AB132" s="240"/>
      <c r="AC132" s="237"/>
      <c r="AD132" s="214"/>
      <c r="AE132" s="21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241" t="s">
        <v>289</v>
      </c>
      <c r="AW132" s="242">
        <f>D132*F132+H132*J132</f>
        <v>47.642399999999995</v>
      </c>
      <c r="AX132" s="214"/>
      <c r="AY132" s="214"/>
      <c r="AZ132" s="214"/>
      <c r="BA132" s="192"/>
      <c r="BB132" s="193"/>
      <c r="BC132" s="194"/>
      <c r="BD132" s="192"/>
      <c r="BE132" s="193"/>
      <c r="BF132" s="194"/>
      <c r="BG132" s="194"/>
      <c r="BH132" s="194"/>
      <c r="BI132" s="188"/>
      <c r="BJ132" s="192"/>
      <c r="BK132" s="187"/>
      <c r="BL132" s="188"/>
    </row>
    <row r="133" spans="1:64">
      <c r="A133" s="191"/>
      <c r="B133" s="184"/>
      <c r="C133" s="230" t="s">
        <v>330</v>
      </c>
      <c r="D133" s="231">
        <v>3.06</v>
      </c>
      <c r="E133" s="231" t="s">
        <v>324</v>
      </c>
      <c r="F133" s="232">
        <v>1.1000000000000001</v>
      </c>
      <c r="G133" s="233"/>
      <c r="H133" s="9"/>
      <c r="I133" s="251"/>
      <c r="K133" s="246"/>
      <c r="L133" s="241"/>
      <c r="M133" s="247"/>
      <c r="N133" s="248"/>
      <c r="O133" s="249"/>
      <c r="P133" s="247"/>
      <c r="Q133" s="248"/>
      <c r="R133" s="249"/>
      <c r="S133" s="247"/>
      <c r="T133" s="248"/>
      <c r="U133" s="249"/>
      <c r="V133" s="247"/>
      <c r="W133" s="248"/>
      <c r="X133" s="249"/>
      <c r="Y133" s="252"/>
      <c r="Z133" s="250"/>
      <c r="AA133" s="239"/>
      <c r="AB133" s="240"/>
      <c r="AC133" s="237"/>
      <c r="AD133" s="214"/>
      <c r="AE133" s="21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241" t="s">
        <v>289</v>
      </c>
      <c r="AW133" s="242">
        <f t="shared" ref="AW133:AW151" si="27">D133*F133+H133*Y133</f>
        <v>3.3660000000000005</v>
      </c>
      <c r="AX133" s="214"/>
      <c r="AY133" s="214"/>
      <c r="AZ133" s="214"/>
      <c r="BA133" s="192"/>
      <c r="BB133" s="193"/>
      <c r="BC133" s="194"/>
      <c r="BD133" s="192"/>
      <c r="BE133" s="193"/>
      <c r="BF133" s="194"/>
      <c r="BG133" s="194"/>
      <c r="BH133" s="194"/>
      <c r="BI133" s="188"/>
      <c r="BJ133" s="192"/>
      <c r="BK133" s="187"/>
      <c r="BL133" s="188"/>
    </row>
    <row r="134" spans="1:64">
      <c r="A134" s="191"/>
      <c r="B134" s="184"/>
      <c r="C134" s="230" t="s">
        <v>331</v>
      </c>
      <c r="D134" s="231">
        <v>2.8</v>
      </c>
      <c r="E134" s="231" t="s">
        <v>324</v>
      </c>
      <c r="F134" s="232">
        <v>3.05</v>
      </c>
      <c r="G134" s="233"/>
      <c r="H134" s="234"/>
      <c r="I134" s="235"/>
      <c r="J134" s="236"/>
      <c r="K134" s="237"/>
      <c r="L134" s="238"/>
      <c r="M134" s="236"/>
      <c r="N134" s="115"/>
      <c r="O134" s="239"/>
      <c r="P134" s="236"/>
      <c r="Q134" s="115"/>
      <c r="R134" s="239"/>
      <c r="S134" s="236"/>
      <c r="T134" s="115"/>
      <c r="U134" s="239"/>
      <c r="V134" s="236"/>
      <c r="W134" s="115"/>
      <c r="X134" s="239"/>
      <c r="Y134" s="113"/>
      <c r="Z134" s="115"/>
      <c r="AA134" s="239"/>
      <c r="AB134" s="240"/>
      <c r="AC134" s="237"/>
      <c r="AD134" s="214"/>
      <c r="AE134" s="21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241" t="s">
        <v>289</v>
      </c>
      <c r="AW134" s="242">
        <f t="shared" si="27"/>
        <v>8.5399999999999991</v>
      </c>
      <c r="AX134" s="214"/>
      <c r="AY134" s="214"/>
      <c r="AZ134" s="214"/>
      <c r="BA134" s="192"/>
      <c r="BB134" s="193"/>
      <c r="BC134" s="194"/>
      <c r="BD134" s="192"/>
      <c r="BE134" s="193"/>
      <c r="BF134" s="194"/>
      <c r="BG134" s="194"/>
      <c r="BH134" s="194"/>
      <c r="BI134" s="188"/>
      <c r="BJ134" s="192"/>
      <c r="BK134" s="187"/>
      <c r="BL134" s="188"/>
    </row>
    <row r="135" spans="1:64">
      <c r="A135" s="191"/>
      <c r="B135" s="184"/>
      <c r="C135" s="230" t="s">
        <v>332</v>
      </c>
      <c r="D135" s="231">
        <v>2</v>
      </c>
      <c r="E135" s="231" t="s">
        <v>324</v>
      </c>
      <c r="F135" s="232">
        <v>14.75</v>
      </c>
      <c r="G135" s="233"/>
      <c r="H135" s="234"/>
      <c r="I135" s="235"/>
      <c r="J135" s="236"/>
      <c r="K135" s="237"/>
      <c r="L135" s="238"/>
      <c r="M135" s="236"/>
      <c r="N135" s="115"/>
      <c r="O135" s="239"/>
      <c r="P135" s="236"/>
      <c r="Q135" s="115"/>
      <c r="R135" s="239"/>
      <c r="S135" s="236"/>
      <c r="T135" s="115"/>
      <c r="U135" s="239"/>
      <c r="V135" s="236"/>
      <c r="W135" s="115"/>
      <c r="X135" s="239"/>
      <c r="Y135" s="113"/>
      <c r="Z135" s="115"/>
      <c r="AA135" s="239"/>
      <c r="AB135" s="240"/>
      <c r="AC135" s="237"/>
      <c r="AD135" s="214"/>
      <c r="AE135" s="21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241" t="s">
        <v>289</v>
      </c>
      <c r="AW135" s="242">
        <f t="shared" si="27"/>
        <v>29.5</v>
      </c>
      <c r="AX135" s="214"/>
      <c r="AY135" s="214"/>
      <c r="AZ135" s="214"/>
      <c r="BA135" s="192"/>
      <c r="BB135" s="193"/>
      <c r="BC135" s="194"/>
      <c r="BD135" s="192"/>
      <c r="BE135" s="193"/>
      <c r="BF135" s="194"/>
      <c r="BG135" s="194"/>
      <c r="BH135" s="194"/>
      <c r="BI135" s="188"/>
      <c r="BJ135" s="192"/>
      <c r="BK135" s="187"/>
      <c r="BL135" s="188"/>
    </row>
    <row r="136" spans="1:64">
      <c r="A136" s="191"/>
      <c r="B136" s="184"/>
      <c r="C136" s="230" t="s">
        <v>333</v>
      </c>
      <c r="D136" s="231">
        <v>3.65</v>
      </c>
      <c r="E136" s="231" t="s">
        <v>324</v>
      </c>
      <c r="F136" s="232">
        <v>3.5</v>
      </c>
      <c r="G136" s="233"/>
      <c r="H136" s="234"/>
      <c r="I136" s="235"/>
      <c r="J136" s="236"/>
      <c r="K136" s="237"/>
      <c r="L136" s="238"/>
      <c r="M136" s="236"/>
      <c r="N136" s="115"/>
      <c r="O136" s="239"/>
      <c r="P136" s="236"/>
      <c r="Q136" s="115"/>
      <c r="R136" s="239"/>
      <c r="S136" s="236"/>
      <c r="T136" s="115"/>
      <c r="U136" s="239"/>
      <c r="V136" s="236"/>
      <c r="W136" s="115"/>
      <c r="X136" s="239"/>
      <c r="Y136" s="113"/>
      <c r="Z136" s="115"/>
      <c r="AA136" s="239"/>
      <c r="AB136" s="240"/>
      <c r="AC136" s="237"/>
      <c r="AD136" s="214"/>
      <c r="AE136" s="21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241" t="s">
        <v>289</v>
      </c>
      <c r="AW136" s="242">
        <f t="shared" si="27"/>
        <v>12.775</v>
      </c>
      <c r="AX136" s="214"/>
      <c r="AY136" s="214"/>
      <c r="AZ136" s="214"/>
      <c r="BA136" s="192"/>
      <c r="BB136" s="193"/>
      <c r="BC136" s="194"/>
      <c r="BD136" s="192"/>
      <c r="BE136" s="193"/>
      <c r="BF136" s="194"/>
      <c r="BG136" s="194"/>
      <c r="BH136" s="194"/>
      <c r="BI136" s="188"/>
      <c r="BJ136" s="192"/>
      <c r="BK136" s="187"/>
      <c r="BL136" s="188"/>
    </row>
    <row r="137" spans="1:64">
      <c r="A137" s="191"/>
      <c r="B137" s="184"/>
      <c r="C137" s="230" t="s">
        <v>334</v>
      </c>
      <c r="D137" s="231">
        <v>3.5</v>
      </c>
      <c r="E137" s="231" t="s">
        <v>324</v>
      </c>
      <c r="F137" s="232">
        <v>1.3</v>
      </c>
      <c r="G137" s="233"/>
      <c r="H137" s="234"/>
      <c r="I137" s="235"/>
      <c r="J137" s="236"/>
      <c r="K137" s="237"/>
      <c r="L137" s="238"/>
      <c r="M137" s="236"/>
      <c r="N137" s="115"/>
      <c r="O137" s="239"/>
      <c r="P137" s="236"/>
      <c r="Q137" s="115"/>
      <c r="R137" s="239"/>
      <c r="S137" s="236"/>
      <c r="T137" s="115"/>
      <c r="U137" s="239"/>
      <c r="V137" s="236"/>
      <c r="W137" s="115"/>
      <c r="X137" s="239"/>
      <c r="Y137" s="113"/>
      <c r="Z137" s="115"/>
      <c r="AA137" s="239"/>
      <c r="AB137" s="240"/>
      <c r="AC137" s="237"/>
      <c r="AD137" s="214"/>
      <c r="AE137" s="21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241" t="s">
        <v>289</v>
      </c>
      <c r="AW137" s="242">
        <f t="shared" si="27"/>
        <v>4.55</v>
      </c>
      <c r="AX137" s="214"/>
      <c r="AY137" s="214"/>
      <c r="AZ137" s="214"/>
      <c r="BA137" s="192"/>
      <c r="BB137" s="193"/>
      <c r="BC137" s="194"/>
      <c r="BD137" s="192"/>
      <c r="BE137" s="193"/>
      <c r="BF137" s="194"/>
      <c r="BG137" s="194"/>
      <c r="BH137" s="194"/>
      <c r="BI137" s="188"/>
      <c r="BJ137" s="192"/>
      <c r="BK137" s="187"/>
      <c r="BL137" s="188"/>
    </row>
    <row r="138" spans="1:64">
      <c r="A138" s="191"/>
      <c r="B138" s="184"/>
      <c r="C138" s="230" t="s">
        <v>335</v>
      </c>
      <c r="D138" s="231">
        <v>3.65</v>
      </c>
      <c r="E138" s="231" t="s">
        <v>324</v>
      </c>
      <c r="F138" s="232">
        <v>3.5</v>
      </c>
      <c r="G138" s="233"/>
      <c r="H138" s="234"/>
      <c r="I138" s="235"/>
      <c r="J138" s="236"/>
      <c r="K138" s="237"/>
      <c r="L138" s="238"/>
      <c r="M138" s="236"/>
      <c r="N138" s="115"/>
      <c r="O138" s="239"/>
      <c r="P138" s="236"/>
      <c r="Q138" s="115"/>
      <c r="R138" s="239"/>
      <c r="S138" s="236"/>
      <c r="T138" s="115"/>
      <c r="U138" s="239"/>
      <c r="V138" s="236"/>
      <c r="W138" s="115"/>
      <c r="X138" s="239"/>
      <c r="Y138" s="113"/>
      <c r="Z138" s="115"/>
      <c r="AA138" s="239"/>
      <c r="AB138" s="240"/>
      <c r="AC138" s="237"/>
      <c r="AD138" s="214"/>
      <c r="AE138" s="21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241" t="s">
        <v>289</v>
      </c>
      <c r="AW138" s="242">
        <f t="shared" si="27"/>
        <v>12.775</v>
      </c>
      <c r="AX138" s="214"/>
      <c r="AY138" s="214"/>
      <c r="AZ138" s="214"/>
      <c r="BA138" s="192"/>
      <c r="BB138" s="193"/>
      <c r="BC138" s="194"/>
      <c r="BD138" s="192"/>
      <c r="BE138" s="193"/>
      <c r="BF138" s="194"/>
      <c r="BG138" s="194"/>
      <c r="BH138" s="194"/>
      <c r="BI138" s="188"/>
      <c r="BJ138" s="192"/>
      <c r="BK138" s="187"/>
      <c r="BL138" s="188"/>
    </row>
    <row r="139" spans="1:64">
      <c r="A139" s="191"/>
      <c r="B139" s="184"/>
      <c r="C139" s="230" t="s">
        <v>336</v>
      </c>
      <c r="D139" s="231">
        <v>2.4</v>
      </c>
      <c r="E139" s="231" t="s">
        <v>324</v>
      </c>
      <c r="F139" s="232">
        <v>1.3</v>
      </c>
      <c r="G139" s="233"/>
      <c r="H139" s="234"/>
      <c r="I139" s="235"/>
      <c r="J139" s="236"/>
      <c r="K139" s="237"/>
      <c r="L139" s="238"/>
      <c r="M139" s="236"/>
      <c r="N139" s="115"/>
      <c r="O139" s="239"/>
      <c r="P139" s="236"/>
      <c r="Q139" s="115"/>
      <c r="R139" s="239"/>
      <c r="S139" s="236"/>
      <c r="T139" s="115"/>
      <c r="U139" s="239"/>
      <c r="V139" s="236"/>
      <c r="W139" s="115"/>
      <c r="X139" s="239"/>
      <c r="Y139" s="113"/>
      <c r="Z139" s="115"/>
      <c r="AA139" s="239"/>
      <c r="AB139" s="240"/>
      <c r="AC139" s="237"/>
      <c r="AD139" s="214"/>
      <c r="AE139" s="21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241" t="s">
        <v>289</v>
      </c>
      <c r="AW139" s="242">
        <f t="shared" si="27"/>
        <v>3.12</v>
      </c>
      <c r="AX139" s="214"/>
      <c r="AY139" s="214"/>
      <c r="AZ139" s="214"/>
      <c r="BA139" s="192"/>
      <c r="BB139" s="193"/>
      <c r="BC139" s="194"/>
      <c r="BD139" s="192"/>
      <c r="BE139" s="193"/>
      <c r="BF139" s="194"/>
      <c r="BG139" s="194"/>
      <c r="BH139" s="194"/>
      <c r="BI139" s="188"/>
      <c r="BJ139" s="192"/>
      <c r="BK139" s="187"/>
      <c r="BL139" s="188"/>
    </row>
    <row r="140" spans="1:64">
      <c r="A140" s="191"/>
      <c r="B140" s="184"/>
      <c r="C140" s="230" t="s">
        <v>337</v>
      </c>
      <c r="D140" s="231">
        <v>3.65</v>
      </c>
      <c r="E140" s="231" t="s">
        <v>324</v>
      </c>
      <c r="F140" s="232">
        <v>3.5</v>
      </c>
      <c r="G140" s="233"/>
      <c r="H140" s="234"/>
      <c r="I140" s="235"/>
      <c r="J140" s="236"/>
      <c r="K140" s="237"/>
      <c r="L140" s="238"/>
      <c r="M140" s="236"/>
      <c r="N140" s="115"/>
      <c r="O140" s="239"/>
      <c r="P140" s="236"/>
      <c r="Q140" s="115"/>
      <c r="R140" s="239"/>
      <c r="S140" s="236"/>
      <c r="T140" s="115"/>
      <c r="U140" s="239"/>
      <c r="V140" s="236"/>
      <c r="W140" s="115"/>
      <c r="X140" s="239"/>
      <c r="Y140" s="113"/>
      <c r="Z140" s="115"/>
      <c r="AA140" s="239"/>
      <c r="AB140" s="240"/>
      <c r="AC140" s="237"/>
      <c r="AD140" s="214"/>
      <c r="AE140" s="21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241" t="s">
        <v>289</v>
      </c>
      <c r="AW140" s="242">
        <f t="shared" si="27"/>
        <v>12.775</v>
      </c>
      <c r="AX140" s="214"/>
      <c r="AY140" s="214"/>
      <c r="AZ140" s="214"/>
      <c r="BA140" s="192"/>
      <c r="BB140" s="193"/>
      <c r="BC140" s="194"/>
      <c r="BD140" s="192"/>
      <c r="BE140" s="193"/>
      <c r="BF140" s="194"/>
      <c r="BG140" s="194"/>
      <c r="BH140" s="194"/>
      <c r="BI140" s="188"/>
      <c r="BJ140" s="192"/>
      <c r="BK140" s="187"/>
      <c r="BL140" s="188"/>
    </row>
    <row r="141" spans="1:64">
      <c r="A141" s="191"/>
      <c r="B141" s="184"/>
      <c r="C141" s="230" t="s">
        <v>336</v>
      </c>
      <c r="D141" s="231">
        <v>2.4</v>
      </c>
      <c r="E141" s="231" t="s">
        <v>324</v>
      </c>
      <c r="F141" s="232">
        <v>1.3</v>
      </c>
      <c r="G141" s="233"/>
      <c r="H141" s="234"/>
      <c r="I141" s="235"/>
      <c r="J141" s="236"/>
      <c r="K141" s="237"/>
      <c r="L141" s="238"/>
      <c r="M141" s="236"/>
      <c r="N141" s="115"/>
      <c r="O141" s="239"/>
      <c r="P141" s="236"/>
      <c r="Q141" s="115"/>
      <c r="R141" s="239"/>
      <c r="S141" s="236"/>
      <c r="T141" s="115"/>
      <c r="U141" s="239"/>
      <c r="V141" s="236"/>
      <c r="W141" s="115"/>
      <c r="X141" s="239"/>
      <c r="Y141" s="113"/>
      <c r="Z141" s="115"/>
      <c r="AA141" s="239"/>
      <c r="AB141" s="240"/>
      <c r="AC141" s="237"/>
      <c r="AD141" s="214"/>
      <c r="AE141" s="21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241" t="s">
        <v>289</v>
      </c>
      <c r="AW141" s="242">
        <f t="shared" si="27"/>
        <v>3.12</v>
      </c>
      <c r="AX141" s="214"/>
      <c r="AY141" s="214"/>
      <c r="AZ141" s="214"/>
      <c r="BA141" s="192"/>
      <c r="BB141" s="193"/>
      <c r="BC141" s="194"/>
      <c r="BD141" s="192"/>
      <c r="BE141" s="193"/>
      <c r="BF141" s="194"/>
      <c r="BG141" s="194"/>
      <c r="BH141" s="194"/>
      <c r="BI141" s="188"/>
      <c r="BJ141" s="192"/>
      <c r="BK141" s="187"/>
      <c r="BL141" s="188"/>
    </row>
    <row r="142" spans="1:64">
      <c r="A142" s="191"/>
      <c r="B142" s="184"/>
      <c r="C142" s="230" t="s">
        <v>338</v>
      </c>
      <c r="D142" s="231">
        <v>3.65</v>
      </c>
      <c r="E142" s="231" t="s">
        <v>324</v>
      </c>
      <c r="F142" s="232">
        <v>3.5</v>
      </c>
      <c r="G142" s="233"/>
      <c r="H142" s="234"/>
      <c r="I142" s="235"/>
      <c r="J142" s="236"/>
      <c r="K142" s="237"/>
      <c r="L142" s="238"/>
      <c r="M142" s="236"/>
      <c r="N142" s="115"/>
      <c r="O142" s="239"/>
      <c r="P142" s="236"/>
      <c r="Q142" s="115"/>
      <c r="R142" s="239"/>
      <c r="S142" s="236"/>
      <c r="T142" s="115"/>
      <c r="U142" s="239"/>
      <c r="V142" s="236"/>
      <c r="W142" s="115"/>
      <c r="X142" s="239"/>
      <c r="Y142" s="113"/>
      <c r="Z142" s="115"/>
      <c r="AA142" s="239"/>
      <c r="AB142" s="240"/>
      <c r="AC142" s="237"/>
      <c r="AD142" s="214"/>
      <c r="AE142" s="21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241" t="s">
        <v>289</v>
      </c>
      <c r="AW142" s="242">
        <f t="shared" si="27"/>
        <v>12.775</v>
      </c>
      <c r="AX142" s="214"/>
      <c r="AY142" s="214"/>
      <c r="AZ142" s="214"/>
      <c r="BA142" s="192"/>
      <c r="BB142" s="193"/>
      <c r="BC142" s="194"/>
      <c r="BD142" s="192"/>
      <c r="BE142" s="193"/>
      <c r="BF142" s="194"/>
      <c r="BG142" s="194"/>
      <c r="BH142" s="194"/>
      <c r="BI142" s="188"/>
      <c r="BJ142" s="192"/>
      <c r="BK142" s="187"/>
      <c r="BL142" s="188"/>
    </row>
    <row r="143" spans="1:64">
      <c r="A143" s="191"/>
      <c r="B143" s="184"/>
      <c r="C143" s="230" t="s">
        <v>336</v>
      </c>
      <c r="D143" s="231">
        <v>2.4</v>
      </c>
      <c r="E143" s="231" t="s">
        <v>324</v>
      </c>
      <c r="F143" s="232">
        <v>1.3</v>
      </c>
      <c r="G143" s="233"/>
      <c r="H143" s="234"/>
      <c r="I143" s="235"/>
      <c r="J143" s="236"/>
      <c r="K143" s="237"/>
      <c r="L143" s="238"/>
      <c r="M143" s="236"/>
      <c r="N143" s="115"/>
      <c r="O143" s="239"/>
      <c r="P143" s="236"/>
      <c r="Q143" s="115"/>
      <c r="R143" s="239"/>
      <c r="S143" s="236"/>
      <c r="T143" s="115"/>
      <c r="U143" s="239"/>
      <c r="V143" s="236"/>
      <c r="W143" s="115"/>
      <c r="X143" s="239"/>
      <c r="Y143" s="113"/>
      <c r="Z143" s="115"/>
      <c r="AA143" s="239"/>
      <c r="AB143" s="240"/>
      <c r="AC143" s="237"/>
      <c r="AD143" s="214"/>
      <c r="AE143" s="21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241" t="s">
        <v>289</v>
      </c>
      <c r="AW143" s="242">
        <f t="shared" si="27"/>
        <v>3.12</v>
      </c>
      <c r="AX143" s="214"/>
      <c r="AY143" s="214"/>
      <c r="AZ143" s="214"/>
      <c r="BA143" s="192"/>
      <c r="BB143" s="193"/>
      <c r="BC143" s="194"/>
      <c r="BD143" s="192"/>
      <c r="BE143" s="193"/>
      <c r="BF143" s="194"/>
      <c r="BG143" s="194"/>
      <c r="BH143" s="194"/>
      <c r="BI143" s="188"/>
      <c r="BJ143" s="192"/>
      <c r="BK143" s="187"/>
      <c r="BL143" s="188"/>
    </row>
    <row r="144" spans="1:64">
      <c r="A144" s="191"/>
      <c r="B144" s="184"/>
      <c r="C144" s="230" t="s">
        <v>339</v>
      </c>
      <c r="D144" s="231">
        <v>3.65</v>
      </c>
      <c r="E144" s="231" t="s">
        <v>324</v>
      </c>
      <c r="F144" s="232">
        <v>3.5</v>
      </c>
      <c r="G144" s="233"/>
      <c r="H144" s="234"/>
      <c r="I144" s="235"/>
      <c r="J144" s="236"/>
      <c r="K144" s="237"/>
      <c r="L144" s="238"/>
      <c r="M144" s="236"/>
      <c r="N144" s="115"/>
      <c r="O144" s="239"/>
      <c r="P144" s="236"/>
      <c r="Q144" s="115"/>
      <c r="R144" s="239"/>
      <c r="S144" s="236"/>
      <c r="T144" s="115"/>
      <c r="U144" s="239"/>
      <c r="V144" s="236"/>
      <c r="W144" s="115"/>
      <c r="X144" s="239"/>
      <c r="Y144" s="113"/>
      <c r="Z144" s="115"/>
      <c r="AA144" s="239"/>
      <c r="AB144" s="240"/>
      <c r="AC144" s="237"/>
      <c r="AD144" s="214"/>
      <c r="AE144" s="21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241" t="s">
        <v>289</v>
      </c>
      <c r="AW144" s="242">
        <f t="shared" si="27"/>
        <v>12.775</v>
      </c>
      <c r="AX144" s="214"/>
      <c r="AY144" s="214"/>
      <c r="AZ144" s="214"/>
      <c r="BA144" s="192"/>
      <c r="BB144" s="193"/>
      <c r="BC144" s="194"/>
      <c r="BD144" s="192"/>
      <c r="BE144" s="193"/>
      <c r="BF144" s="194"/>
      <c r="BG144" s="194"/>
      <c r="BH144" s="194"/>
      <c r="BI144" s="188"/>
      <c r="BJ144" s="192"/>
      <c r="BK144" s="187"/>
      <c r="BL144" s="188"/>
    </row>
    <row r="145" spans="1:64">
      <c r="A145" s="191"/>
      <c r="B145" s="184"/>
      <c r="C145" s="230" t="s">
        <v>336</v>
      </c>
      <c r="D145" s="231">
        <v>2.4</v>
      </c>
      <c r="E145" s="231" t="s">
        <v>324</v>
      </c>
      <c r="F145" s="232">
        <v>1.3</v>
      </c>
      <c r="G145" s="233"/>
      <c r="H145" s="234"/>
      <c r="I145" s="235"/>
      <c r="J145" s="236"/>
      <c r="K145" s="237"/>
      <c r="L145" s="238"/>
      <c r="M145" s="236"/>
      <c r="N145" s="115"/>
      <c r="O145" s="239"/>
      <c r="P145" s="236"/>
      <c r="Q145" s="115"/>
      <c r="R145" s="239"/>
      <c r="S145" s="236"/>
      <c r="T145" s="115"/>
      <c r="U145" s="239"/>
      <c r="V145" s="236"/>
      <c r="W145" s="115"/>
      <c r="X145" s="239"/>
      <c r="Y145" s="113"/>
      <c r="Z145" s="115"/>
      <c r="AA145" s="239"/>
      <c r="AB145" s="240"/>
      <c r="AC145" s="237"/>
      <c r="AD145" s="214"/>
      <c r="AE145" s="21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241" t="s">
        <v>289</v>
      </c>
      <c r="AW145" s="242">
        <f t="shared" si="27"/>
        <v>3.12</v>
      </c>
      <c r="AX145" s="214"/>
      <c r="AY145" s="214"/>
      <c r="AZ145" s="214"/>
      <c r="BA145" s="192"/>
      <c r="BB145" s="193"/>
      <c r="BC145" s="194"/>
      <c r="BD145" s="192"/>
      <c r="BE145" s="193"/>
      <c r="BF145" s="194"/>
      <c r="BG145" s="194"/>
      <c r="BH145" s="194"/>
      <c r="BI145" s="188"/>
      <c r="BJ145" s="192"/>
      <c r="BK145" s="187"/>
      <c r="BL145" s="188"/>
    </row>
    <row r="146" spans="1:64">
      <c r="A146" s="191"/>
      <c r="B146" s="184"/>
      <c r="C146" s="230" t="s">
        <v>340</v>
      </c>
      <c r="D146" s="231">
        <v>3.65</v>
      </c>
      <c r="E146" s="231" t="s">
        <v>324</v>
      </c>
      <c r="F146" s="232">
        <v>3.5</v>
      </c>
      <c r="G146" s="233"/>
      <c r="H146" s="234"/>
      <c r="I146" s="235"/>
      <c r="J146" s="236"/>
      <c r="K146" s="237"/>
      <c r="L146" s="238"/>
      <c r="M146" s="236"/>
      <c r="N146" s="115"/>
      <c r="O146" s="239"/>
      <c r="P146" s="236"/>
      <c r="Q146" s="115"/>
      <c r="R146" s="239"/>
      <c r="S146" s="236"/>
      <c r="T146" s="115"/>
      <c r="U146" s="239"/>
      <c r="V146" s="236"/>
      <c r="W146" s="115"/>
      <c r="X146" s="239"/>
      <c r="Y146" s="113"/>
      <c r="Z146" s="115"/>
      <c r="AA146" s="239"/>
      <c r="AB146" s="240"/>
      <c r="AC146" s="237"/>
      <c r="AD146" s="214"/>
      <c r="AE146" s="21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241" t="s">
        <v>289</v>
      </c>
      <c r="AW146" s="242">
        <f t="shared" si="27"/>
        <v>12.775</v>
      </c>
      <c r="AX146" s="214"/>
      <c r="AY146" s="214"/>
      <c r="AZ146" s="214"/>
      <c r="BA146" s="192"/>
      <c r="BB146" s="193"/>
      <c r="BC146" s="194"/>
      <c r="BD146" s="192"/>
      <c r="BE146" s="193"/>
      <c r="BF146" s="194"/>
      <c r="BG146" s="194"/>
      <c r="BH146" s="194"/>
      <c r="BI146" s="188"/>
      <c r="BJ146" s="192"/>
      <c r="BK146" s="187"/>
      <c r="BL146" s="188"/>
    </row>
    <row r="147" spans="1:64">
      <c r="A147" s="191"/>
      <c r="B147" s="184"/>
      <c r="C147" s="230" t="s">
        <v>336</v>
      </c>
      <c r="D147" s="231">
        <v>2.4</v>
      </c>
      <c r="E147" s="231" t="s">
        <v>324</v>
      </c>
      <c r="F147" s="232">
        <v>1.3</v>
      </c>
      <c r="G147" s="233"/>
      <c r="H147" s="234"/>
      <c r="I147" s="235"/>
      <c r="J147" s="236"/>
      <c r="K147" s="237"/>
      <c r="L147" s="238"/>
      <c r="M147" s="236"/>
      <c r="N147" s="115"/>
      <c r="O147" s="239"/>
      <c r="P147" s="236"/>
      <c r="Q147" s="115"/>
      <c r="R147" s="239"/>
      <c r="S147" s="236"/>
      <c r="T147" s="115"/>
      <c r="U147" s="239"/>
      <c r="V147" s="236"/>
      <c r="W147" s="115"/>
      <c r="X147" s="239"/>
      <c r="Y147" s="113"/>
      <c r="Z147" s="115"/>
      <c r="AA147" s="239"/>
      <c r="AB147" s="240"/>
      <c r="AC147" s="237"/>
      <c r="AD147" s="214"/>
      <c r="AE147" s="21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241" t="s">
        <v>289</v>
      </c>
      <c r="AW147" s="242">
        <f t="shared" si="27"/>
        <v>3.12</v>
      </c>
      <c r="AX147" s="214"/>
      <c r="AY147" s="214"/>
      <c r="AZ147" s="214"/>
      <c r="BA147" s="192"/>
      <c r="BB147" s="193"/>
      <c r="BC147" s="194"/>
      <c r="BD147" s="192"/>
      <c r="BE147" s="193"/>
      <c r="BF147" s="194"/>
      <c r="BG147" s="194"/>
      <c r="BH147" s="194"/>
      <c r="BI147" s="188"/>
      <c r="BJ147" s="192"/>
      <c r="BK147" s="187"/>
      <c r="BL147" s="188"/>
    </row>
    <row r="148" spans="1:64">
      <c r="A148" s="191"/>
      <c r="B148" s="184"/>
      <c r="C148" s="230" t="s">
        <v>341</v>
      </c>
      <c r="D148" s="231">
        <v>3.65</v>
      </c>
      <c r="E148" s="231" t="s">
        <v>324</v>
      </c>
      <c r="F148" s="232">
        <v>3.5</v>
      </c>
      <c r="G148" s="233"/>
      <c r="H148" s="234"/>
      <c r="I148" s="235"/>
      <c r="J148" s="236"/>
      <c r="K148" s="237"/>
      <c r="L148" s="238"/>
      <c r="M148" s="236"/>
      <c r="N148" s="115"/>
      <c r="O148" s="239"/>
      <c r="P148" s="236"/>
      <c r="Q148" s="115"/>
      <c r="R148" s="239"/>
      <c r="S148" s="236"/>
      <c r="T148" s="115"/>
      <c r="U148" s="239"/>
      <c r="V148" s="236"/>
      <c r="W148" s="115"/>
      <c r="X148" s="239"/>
      <c r="Y148" s="113"/>
      <c r="Z148" s="115"/>
      <c r="AA148" s="239"/>
      <c r="AB148" s="240"/>
      <c r="AC148" s="237"/>
      <c r="AD148" s="214"/>
      <c r="AE148" s="21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241" t="s">
        <v>289</v>
      </c>
      <c r="AW148" s="242">
        <f t="shared" si="27"/>
        <v>12.775</v>
      </c>
      <c r="AX148" s="214"/>
      <c r="AY148" s="214"/>
      <c r="AZ148" s="214"/>
      <c r="BA148" s="192"/>
      <c r="BB148" s="193"/>
      <c r="BC148" s="194"/>
      <c r="BD148" s="192"/>
      <c r="BE148" s="193"/>
      <c r="BF148" s="194"/>
      <c r="BG148" s="194"/>
      <c r="BH148" s="194"/>
      <c r="BI148" s="188"/>
      <c r="BJ148" s="192"/>
      <c r="BK148" s="187"/>
      <c r="BL148" s="188"/>
    </row>
    <row r="149" spans="1:64">
      <c r="A149" s="191"/>
      <c r="B149" s="184"/>
      <c r="C149" s="230" t="s">
        <v>336</v>
      </c>
      <c r="D149" s="231">
        <v>2.4</v>
      </c>
      <c r="E149" s="231" t="s">
        <v>324</v>
      </c>
      <c r="F149" s="232">
        <v>1.3</v>
      </c>
      <c r="G149" s="233"/>
      <c r="H149" s="234"/>
      <c r="I149" s="235"/>
      <c r="J149" s="236"/>
      <c r="K149" s="237"/>
      <c r="L149" s="238"/>
      <c r="M149" s="236"/>
      <c r="N149" s="115"/>
      <c r="O149" s="239"/>
      <c r="P149" s="236"/>
      <c r="Q149" s="115"/>
      <c r="R149" s="239"/>
      <c r="S149" s="236"/>
      <c r="T149" s="115"/>
      <c r="U149" s="239"/>
      <c r="V149" s="236"/>
      <c r="W149" s="115"/>
      <c r="X149" s="239"/>
      <c r="Y149" s="113"/>
      <c r="Z149" s="115"/>
      <c r="AA149" s="239"/>
      <c r="AB149" s="240"/>
      <c r="AC149" s="237"/>
      <c r="AD149" s="214"/>
      <c r="AE149" s="21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241" t="s">
        <v>289</v>
      </c>
      <c r="AW149" s="242">
        <f t="shared" si="27"/>
        <v>3.12</v>
      </c>
      <c r="AX149" s="214"/>
      <c r="AY149" s="214"/>
      <c r="AZ149" s="214"/>
      <c r="BA149" s="192"/>
      <c r="BB149" s="193"/>
      <c r="BC149" s="194"/>
      <c r="BD149" s="192"/>
      <c r="BE149" s="193"/>
      <c r="BF149" s="194"/>
      <c r="BG149" s="194"/>
      <c r="BH149" s="194"/>
      <c r="BI149" s="188"/>
      <c r="BJ149" s="192"/>
      <c r="BK149" s="187"/>
      <c r="BL149" s="188"/>
    </row>
    <row r="150" spans="1:64">
      <c r="A150" s="191"/>
      <c r="B150" s="184"/>
      <c r="C150" s="230" t="s">
        <v>342</v>
      </c>
      <c r="D150" s="231">
        <v>3.65</v>
      </c>
      <c r="E150" s="231" t="s">
        <v>324</v>
      </c>
      <c r="F150" s="232">
        <v>3.5</v>
      </c>
      <c r="G150" s="233"/>
      <c r="H150" s="234"/>
      <c r="I150" s="235"/>
      <c r="J150" s="236"/>
      <c r="K150" s="237"/>
      <c r="L150" s="238"/>
      <c r="M150" s="236"/>
      <c r="N150" s="115"/>
      <c r="O150" s="239"/>
      <c r="P150" s="236"/>
      <c r="Q150" s="115"/>
      <c r="R150" s="239"/>
      <c r="S150" s="236"/>
      <c r="T150" s="115"/>
      <c r="U150" s="239"/>
      <c r="V150" s="236"/>
      <c r="W150" s="115"/>
      <c r="X150" s="239"/>
      <c r="Y150" s="113"/>
      <c r="Z150" s="115"/>
      <c r="AA150" s="239"/>
      <c r="AB150" s="240"/>
      <c r="AC150" s="237"/>
      <c r="AD150" s="214"/>
      <c r="AE150" s="21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241" t="s">
        <v>289</v>
      </c>
      <c r="AW150" s="242">
        <f t="shared" si="27"/>
        <v>12.775</v>
      </c>
      <c r="AX150" s="214"/>
      <c r="AY150" s="214"/>
      <c r="AZ150" s="214"/>
      <c r="BA150" s="192"/>
      <c r="BB150" s="193"/>
      <c r="BC150" s="194"/>
      <c r="BD150" s="192"/>
      <c r="BE150" s="193"/>
      <c r="BF150" s="194"/>
      <c r="BG150" s="194"/>
      <c r="BH150" s="194"/>
      <c r="BI150" s="188"/>
      <c r="BJ150" s="192"/>
      <c r="BK150" s="187"/>
      <c r="BL150" s="188"/>
    </row>
    <row r="151" spans="1:64">
      <c r="A151" s="191"/>
      <c r="B151" s="184"/>
      <c r="C151" s="230" t="s">
        <v>343</v>
      </c>
      <c r="D151" s="231">
        <v>2.4</v>
      </c>
      <c r="E151" s="231" t="s">
        <v>324</v>
      </c>
      <c r="F151" s="232">
        <v>1.3</v>
      </c>
      <c r="G151" s="233"/>
      <c r="H151" s="234"/>
      <c r="I151" s="235"/>
      <c r="J151" s="236"/>
      <c r="K151" s="237"/>
      <c r="L151" s="238"/>
      <c r="M151" s="236"/>
      <c r="N151" s="115"/>
      <c r="O151" s="239"/>
      <c r="P151" s="236"/>
      <c r="Q151" s="115"/>
      <c r="R151" s="239"/>
      <c r="S151" s="236"/>
      <c r="T151" s="115"/>
      <c r="U151" s="239"/>
      <c r="V151" s="236"/>
      <c r="W151" s="115"/>
      <c r="X151" s="239"/>
      <c r="Y151" s="113"/>
      <c r="Z151" s="115"/>
      <c r="AA151" s="239"/>
      <c r="AB151" s="240"/>
      <c r="AC151" s="237"/>
      <c r="AD151" s="214"/>
      <c r="AE151" s="21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241" t="s">
        <v>289</v>
      </c>
      <c r="AW151" s="242">
        <f t="shared" si="27"/>
        <v>3.12</v>
      </c>
      <c r="AX151" s="214"/>
      <c r="AY151" s="214"/>
      <c r="AZ151" s="214"/>
      <c r="BA151" s="192"/>
      <c r="BB151" s="193"/>
      <c r="BC151" s="194"/>
      <c r="BD151" s="192"/>
      <c r="BE151" s="193"/>
      <c r="BF151" s="194"/>
      <c r="BG151" s="194"/>
      <c r="BH151" s="194"/>
      <c r="BI151" s="188"/>
      <c r="BJ151" s="192"/>
      <c r="BK151" s="187"/>
      <c r="BL151" s="188"/>
    </row>
    <row r="152" spans="1:64" ht="15.5">
      <c r="A152" s="191"/>
      <c r="B152" s="184"/>
      <c r="C152" s="230" t="s">
        <v>344</v>
      </c>
      <c r="D152" s="231">
        <v>7.38</v>
      </c>
      <c r="E152" s="253" t="s">
        <v>306</v>
      </c>
      <c r="F152" s="232">
        <v>6.75</v>
      </c>
      <c r="G152" s="232" t="s">
        <v>324</v>
      </c>
      <c r="H152" s="234">
        <v>7.9</v>
      </c>
      <c r="I152" s="251" t="s">
        <v>345</v>
      </c>
      <c r="J152" s="254">
        <v>2</v>
      </c>
      <c r="K152" s="237"/>
      <c r="L152" s="238"/>
      <c r="M152" s="236"/>
      <c r="N152" s="115"/>
      <c r="O152" s="239"/>
      <c r="P152" s="236"/>
      <c r="Q152" s="115"/>
      <c r="R152" s="239"/>
      <c r="S152" s="236"/>
      <c r="T152" s="115"/>
      <c r="U152" s="239"/>
      <c r="V152" s="236"/>
      <c r="W152" s="115"/>
      <c r="X152" s="239"/>
      <c r="Z152" s="115"/>
      <c r="AA152" s="239"/>
      <c r="AB152" s="240"/>
      <c r="AC152" s="237"/>
      <c r="AD152" s="214"/>
      <c r="AE152" s="21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241" t="s">
        <v>289</v>
      </c>
      <c r="AW152" s="242">
        <f>(D152+F152)*H152/J152</f>
        <v>55.813499999999998</v>
      </c>
      <c r="AX152" s="214"/>
      <c r="AY152" s="214"/>
      <c r="AZ152" s="214"/>
      <c r="BA152" s="192"/>
      <c r="BB152" s="193"/>
      <c r="BC152" s="194"/>
      <c r="BD152" s="192"/>
      <c r="BE152" s="193"/>
      <c r="BF152" s="194"/>
      <c r="BG152" s="194"/>
      <c r="BH152" s="194"/>
      <c r="BI152" s="188"/>
      <c r="BJ152" s="192"/>
      <c r="BK152" s="187"/>
      <c r="BL152" s="188"/>
    </row>
    <row r="153" spans="1:64">
      <c r="A153" s="191"/>
      <c r="B153" s="184"/>
      <c r="C153" s="230"/>
      <c r="D153" s="255" t="s">
        <v>346</v>
      </c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  <c r="AD153" s="256"/>
      <c r="AE153" s="256"/>
      <c r="AF153" s="256"/>
      <c r="AG153" s="256"/>
      <c r="AH153" s="256"/>
      <c r="AI153" s="256"/>
      <c r="AJ153" s="256"/>
      <c r="AK153" s="256"/>
      <c r="AL153" s="256"/>
      <c r="AM153" s="256"/>
      <c r="AN153" s="256"/>
      <c r="AO153" s="256"/>
      <c r="AP153" s="256"/>
      <c r="AQ153" s="256"/>
      <c r="AR153" s="256"/>
      <c r="AS153" s="256"/>
      <c r="AT153" s="256"/>
      <c r="AU153" s="257"/>
      <c r="AV153" s="258" t="s">
        <v>289</v>
      </c>
      <c r="AW153" s="259">
        <f>SUM(AW127:AW152)</f>
        <v>304.81440000000009</v>
      </c>
      <c r="AX153" s="214"/>
      <c r="AY153" s="214"/>
      <c r="AZ153" s="214"/>
      <c r="BA153" s="192"/>
      <c r="BB153" s="193"/>
      <c r="BC153" s="194"/>
      <c r="BD153" s="192"/>
      <c r="BE153" s="193"/>
      <c r="BF153" s="194"/>
      <c r="BG153" s="194"/>
      <c r="BH153" s="194"/>
      <c r="BI153" s="188"/>
      <c r="BJ153" s="192"/>
      <c r="BK153" s="187"/>
      <c r="BL153" s="188"/>
    </row>
    <row r="154" spans="1:64">
      <c r="A154" s="191"/>
      <c r="B154" s="184"/>
      <c r="C154" s="218"/>
      <c r="D154" s="255" t="s">
        <v>347</v>
      </c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  <c r="AD154" s="256"/>
      <c r="AE154" s="256"/>
      <c r="AF154" s="256"/>
      <c r="AG154" s="256"/>
      <c r="AH154" s="256"/>
      <c r="AI154" s="256"/>
      <c r="AJ154" s="256"/>
      <c r="AK154" s="256"/>
      <c r="AL154" s="256"/>
      <c r="AM154" s="256"/>
      <c r="AN154" s="256"/>
      <c r="AO154" s="256"/>
      <c r="AP154" s="256"/>
      <c r="AQ154" s="256"/>
      <c r="AR154" s="256"/>
      <c r="AS154" s="256"/>
      <c r="AT154" s="256"/>
      <c r="AU154" s="257"/>
      <c r="AV154" s="258" t="s">
        <v>289</v>
      </c>
      <c r="AW154" s="259">
        <f>AW153+AW125</f>
        <v>651.22240000000011</v>
      </c>
      <c r="AX154" s="214"/>
      <c r="AY154" s="214"/>
      <c r="AZ154" s="214"/>
      <c r="BA154" s="192"/>
      <c r="BB154" s="193"/>
      <c r="BC154" s="194"/>
      <c r="BD154" s="192"/>
      <c r="BE154" s="193"/>
      <c r="BF154" s="194"/>
      <c r="BG154" s="194"/>
      <c r="BH154" s="194"/>
      <c r="BI154" s="188"/>
      <c r="BJ154" s="192"/>
      <c r="BK154" s="187"/>
      <c r="BL154" s="188"/>
    </row>
    <row r="155" spans="1:64" ht="28">
      <c r="A155" s="191" t="s">
        <v>220</v>
      </c>
      <c r="B155" s="184">
        <v>88485</v>
      </c>
      <c r="C155" s="197" t="s">
        <v>221</v>
      </c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214"/>
      <c r="AY155" s="214"/>
      <c r="AZ155" s="214"/>
      <c r="BA155" s="192"/>
      <c r="BB155" s="193"/>
      <c r="BC155" s="194"/>
      <c r="BD155" s="192"/>
      <c r="BE155" s="193"/>
      <c r="BF155" s="194"/>
      <c r="BG155" s="194"/>
      <c r="BH155" s="194"/>
      <c r="BI155" s="188">
        <f>TRUNC(V155*BH155)+0</f>
        <v>0</v>
      </c>
      <c r="BJ155" s="192"/>
      <c r="BK155" s="187">
        <f>TRUNC(BJ155*U155,2)</f>
        <v>0</v>
      </c>
      <c r="BL155" s="188">
        <f>TRUNC(BK155*V155)+0</f>
        <v>0</v>
      </c>
    </row>
    <row r="156" spans="1:64">
      <c r="A156" s="191"/>
      <c r="B156" s="184"/>
      <c r="C156" s="218" t="s">
        <v>304</v>
      </c>
      <c r="D156" s="184">
        <v>5.75</v>
      </c>
      <c r="E156" s="184" t="s">
        <v>305</v>
      </c>
      <c r="F156" s="219">
        <v>5.3</v>
      </c>
      <c r="G156" s="219" t="s">
        <v>306</v>
      </c>
      <c r="H156" s="219">
        <v>13.65</v>
      </c>
      <c r="I156" s="219" t="s">
        <v>305</v>
      </c>
      <c r="J156" s="219">
        <v>4.45</v>
      </c>
      <c r="K156" s="219" t="s">
        <v>306</v>
      </c>
      <c r="L156" s="219">
        <v>2.1</v>
      </c>
      <c r="M156" s="184" t="s">
        <v>305</v>
      </c>
      <c r="N156" s="184">
        <v>7.68</v>
      </c>
      <c r="O156" s="184" t="s">
        <v>306</v>
      </c>
      <c r="P156" s="184">
        <v>2.2000000000000002</v>
      </c>
      <c r="Q156" s="184" t="s">
        <v>305</v>
      </c>
      <c r="R156" s="184">
        <v>0.3</v>
      </c>
      <c r="S156" s="184" t="s">
        <v>306</v>
      </c>
      <c r="T156" s="184">
        <v>0.3</v>
      </c>
      <c r="U156" s="184" t="s">
        <v>305</v>
      </c>
      <c r="V156" s="184">
        <v>1</v>
      </c>
      <c r="W156" s="184" t="s">
        <v>306</v>
      </c>
      <c r="X156" s="184">
        <v>1.45</v>
      </c>
      <c r="Y156" s="184" t="s">
        <v>305</v>
      </c>
      <c r="Z156" s="184">
        <v>4.45</v>
      </c>
      <c r="AA156" s="184" t="s">
        <v>306</v>
      </c>
      <c r="AB156" s="184">
        <v>1.45</v>
      </c>
      <c r="AC156" s="184" t="s">
        <v>305</v>
      </c>
      <c r="AD156" s="184">
        <v>4.45</v>
      </c>
      <c r="AE156" s="184" t="s">
        <v>306</v>
      </c>
      <c r="AF156" s="184">
        <v>1.45</v>
      </c>
      <c r="AG156" s="184" t="s">
        <v>305</v>
      </c>
      <c r="AH156" s="184">
        <v>4.45</v>
      </c>
      <c r="AI156" s="184" t="s">
        <v>306</v>
      </c>
      <c r="AJ156" s="184">
        <v>1.45</v>
      </c>
      <c r="AK156" s="184" t="s">
        <v>305</v>
      </c>
      <c r="AL156" s="184">
        <v>4.45</v>
      </c>
      <c r="AM156" s="184" t="s">
        <v>306</v>
      </c>
      <c r="AN156" s="184">
        <v>1.1000000000000001</v>
      </c>
      <c r="AO156" s="184" t="s">
        <v>305</v>
      </c>
      <c r="AP156" s="184">
        <v>4.45</v>
      </c>
      <c r="AQ156" s="184" t="s">
        <v>306</v>
      </c>
      <c r="AR156" s="184">
        <v>1</v>
      </c>
      <c r="AS156" s="184" t="s">
        <v>305</v>
      </c>
      <c r="AT156" s="184">
        <v>4.45</v>
      </c>
      <c r="AU156" s="184"/>
      <c r="AV156" s="184" t="s">
        <v>289</v>
      </c>
      <c r="AW156" s="184">
        <f>D156*F156+H156*J156+L156*N156+P156*R156+T156*V156+X156*Z156+AB156*AD156+AF156*AH156+AJ156*AL156+AN156*AP156+AR156*AT156</f>
        <v>143.4605</v>
      </c>
      <c r="AX156" s="214"/>
      <c r="AY156" s="214"/>
      <c r="AZ156" s="214"/>
      <c r="BA156" s="192"/>
      <c r="BB156" s="193"/>
      <c r="BC156" s="194"/>
      <c r="BD156" s="192"/>
      <c r="BE156" s="193"/>
      <c r="BF156" s="194"/>
      <c r="BG156" s="194"/>
      <c r="BH156" s="194"/>
      <c r="BI156" s="188"/>
      <c r="BJ156" s="192"/>
      <c r="BK156" s="187"/>
      <c r="BL156" s="188"/>
    </row>
    <row r="157" spans="1:64">
      <c r="A157" s="191"/>
      <c r="B157" s="184"/>
      <c r="C157" s="218" t="s">
        <v>307</v>
      </c>
      <c r="D157" s="184">
        <v>4.6500000000000004</v>
      </c>
      <c r="E157" s="184" t="s">
        <v>305</v>
      </c>
      <c r="F157" s="184">
        <v>5.4</v>
      </c>
      <c r="G157" s="184" t="s">
        <v>306</v>
      </c>
      <c r="H157" s="184">
        <v>2.1</v>
      </c>
      <c r="I157" s="184" t="s">
        <v>305</v>
      </c>
      <c r="J157" s="184">
        <v>2.5499999999999998</v>
      </c>
      <c r="K157" s="184" t="s">
        <v>306</v>
      </c>
      <c r="L157" s="184">
        <v>5.45</v>
      </c>
      <c r="M157" s="184" t="s">
        <v>305</v>
      </c>
      <c r="N157" s="184">
        <v>0.15</v>
      </c>
      <c r="O157" s="184" t="s">
        <v>306</v>
      </c>
      <c r="P157" s="184">
        <v>5.7</v>
      </c>
      <c r="Q157" s="184" t="s">
        <v>305</v>
      </c>
      <c r="R157" s="184">
        <v>0.15</v>
      </c>
      <c r="S157" s="184" t="s">
        <v>306</v>
      </c>
      <c r="T157" s="184">
        <v>5.45</v>
      </c>
      <c r="U157" s="184" t="s">
        <v>305</v>
      </c>
      <c r="V157" s="184">
        <v>0.6</v>
      </c>
      <c r="W157" s="184" t="s">
        <v>306</v>
      </c>
      <c r="X157" s="184">
        <v>5.7</v>
      </c>
      <c r="Y157" s="184" t="s">
        <v>305</v>
      </c>
      <c r="Z157" s="184">
        <v>0.6</v>
      </c>
      <c r="AA157" s="184" t="s">
        <v>306</v>
      </c>
      <c r="AB157" s="184">
        <v>5.45</v>
      </c>
      <c r="AC157" s="184" t="s">
        <v>305</v>
      </c>
      <c r="AD157" s="184">
        <v>0.6</v>
      </c>
      <c r="AE157" s="184" t="s">
        <v>306</v>
      </c>
      <c r="AF157" s="184">
        <v>5.7</v>
      </c>
      <c r="AG157" s="184" t="s">
        <v>305</v>
      </c>
      <c r="AH157" s="184">
        <v>0.6</v>
      </c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 t="s">
        <v>289</v>
      </c>
      <c r="AW157" s="184">
        <f t="shared" ref="AW157:AW159" si="28">D157*F157+H157*J157+L157*N157+P157*R157+T157*V157+X157*Z157+AB157*AD157+AF157*AH157+AJ157*AL157+AN157*AP157+AR157*AT157</f>
        <v>45.517500000000013</v>
      </c>
      <c r="AX157" s="214"/>
      <c r="AY157" s="214"/>
      <c r="AZ157" s="214"/>
      <c r="BA157" s="192"/>
      <c r="BB157" s="193"/>
      <c r="BC157" s="194"/>
      <c r="BD157" s="192"/>
      <c r="BE157" s="193"/>
      <c r="BF157" s="194"/>
      <c r="BG157" s="194"/>
      <c r="BH157" s="194"/>
      <c r="BI157" s="188"/>
      <c r="BJ157" s="192"/>
      <c r="BK157" s="187"/>
      <c r="BL157" s="188"/>
    </row>
    <row r="158" spans="1:64">
      <c r="A158" s="191"/>
      <c r="B158" s="184"/>
      <c r="C158" s="218" t="s">
        <v>308</v>
      </c>
      <c r="D158" s="184">
        <v>8.0399999999999991</v>
      </c>
      <c r="E158" s="184" t="s">
        <v>305</v>
      </c>
      <c r="F158" s="184">
        <v>2.1</v>
      </c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 t="s">
        <v>289</v>
      </c>
      <c r="AW158" s="184">
        <f t="shared" si="28"/>
        <v>16.884</v>
      </c>
      <c r="AX158" s="214"/>
      <c r="AY158" s="214"/>
      <c r="AZ158" s="214"/>
      <c r="BA158" s="192"/>
      <c r="BB158" s="193"/>
      <c r="BC158" s="194"/>
      <c r="BD158" s="192"/>
      <c r="BE158" s="193"/>
      <c r="BF158" s="194"/>
      <c r="BG158" s="194"/>
      <c r="BH158" s="194"/>
      <c r="BI158" s="188"/>
      <c r="BJ158" s="192"/>
      <c r="BK158" s="187"/>
      <c r="BL158" s="188"/>
    </row>
    <row r="159" spans="1:64">
      <c r="A159" s="191"/>
      <c r="B159" s="184"/>
      <c r="C159" s="218" t="s">
        <v>309</v>
      </c>
      <c r="D159" s="184">
        <v>8.0500000000000007</v>
      </c>
      <c r="E159" s="184" t="s">
        <v>305</v>
      </c>
      <c r="F159" s="184">
        <v>5.3</v>
      </c>
      <c r="G159" s="184" t="s">
        <v>306</v>
      </c>
      <c r="H159" s="184">
        <v>3.2</v>
      </c>
      <c r="I159" s="184" t="s">
        <v>305</v>
      </c>
      <c r="J159" s="184">
        <v>5.3</v>
      </c>
      <c r="K159" s="184" t="s">
        <v>306</v>
      </c>
      <c r="L159" s="184">
        <v>2.2000000000000002</v>
      </c>
      <c r="M159" s="184" t="s">
        <v>305</v>
      </c>
      <c r="N159" s="184">
        <v>3.3</v>
      </c>
      <c r="O159" s="184" t="s">
        <v>306</v>
      </c>
      <c r="P159" s="184">
        <v>4.6500000000000004</v>
      </c>
      <c r="Q159" s="184" t="s">
        <v>305</v>
      </c>
      <c r="R159" s="184">
        <v>4.45</v>
      </c>
      <c r="S159" s="184" t="s">
        <v>306</v>
      </c>
      <c r="T159" s="184">
        <v>6.35</v>
      </c>
      <c r="U159" s="184" t="s">
        <v>305</v>
      </c>
      <c r="V159" s="184">
        <v>4.45</v>
      </c>
      <c r="W159" s="184" t="s">
        <v>306</v>
      </c>
      <c r="X159" s="184">
        <v>1.45</v>
      </c>
      <c r="Y159" s="184" t="s">
        <v>305</v>
      </c>
      <c r="Z159" s="184">
        <v>4.45</v>
      </c>
      <c r="AA159" s="184" t="s">
        <v>306</v>
      </c>
      <c r="AB159" s="184">
        <v>1.45</v>
      </c>
      <c r="AC159" s="184" t="s">
        <v>305</v>
      </c>
      <c r="AD159" s="184">
        <v>4.45</v>
      </c>
      <c r="AE159" s="184" t="s">
        <v>306</v>
      </c>
      <c r="AF159" s="184">
        <v>5.25</v>
      </c>
      <c r="AG159" s="184" t="s">
        <v>305</v>
      </c>
      <c r="AH159" s="184">
        <v>4.45</v>
      </c>
      <c r="AI159" s="184" t="s">
        <v>306</v>
      </c>
      <c r="AJ159" s="184">
        <v>1.45</v>
      </c>
      <c r="AK159" s="184" t="s">
        <v>305</v>
      </c>
      <c r="AL159" s="184">
        <v>4.45</v>
      </c>
      <c r="AM159" s="184" t="s">
        <v>306</v>
      </c>
      <c r="AN159" s="184">
        <v>1.1000000000000001</v>
      </c>
      <c r="AO159" s="184" t="s">
        <v>305</v>
      </c>
      <c r="AP159" s="184">
        <v>4.45</v>
      </c>
      <c r="AQ159" s="184" t="s">
        <v>306</v>
      </c>
      <c r="AR159" s="184">
        <f>1.1+0.98</f>
        <v>2.08</v>
      </c>
      <c r="AS159" s="184" t="s">
        <v>305</v>
      </c>
      <c r="AT159" s="184">
        <v>4.45</v>
      </c>
      <c r="AU159" s="184"/>
      <c r="AV159" s="184" t="s">
        <v>289</v>
      </c>
      <c r="AW159" s="184">
        <f t="shared" si="28"/>
        <v>172.70600000000002</v>
      </c>
      <c r="AX159" s="214"/>
      <c r="AY159" s="214"/>
      <c r="AZ159" s="214"/>
      <c r="BA159" s="192"/>
      <c r="BB159" s="193"/>
      <c r="BC159" s="194"/>
      <c r="BD159" s="192"/>
      <c r="BE159" s="193"/>
      <c r="BF159" s="194"/>
      <c r="BG159" s="194"/>
      <c r="BH159" s="194"/>
      <c r="BI159" s="188"/>
      <c r="BJ159" s="192"/>
      <c r="BK159" s="187"/>
      <c r="BL159" s="188"/>
    </row>
    <row r="160" spans="1:64">
      <c r="A160" s="191"/>
      <c r="B160" s="184"/>
      <c r="C160" s="218"/>
      <c r="D160" s="220" t="s">
        <v>310</v>
      </c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2"/>
      <c r="AV160" s="223" t="s">
        <v>289</v>
      </c>
      <c r="AW160" s="223">
        <f>SUM(AW156:AW159)</f>
        <v>378.56800000000004</v>
      </c>
      <c r="AX160" s="214"/>
      <c r="AY160" s="214"/>
      <c r="AZ160" s="214"/>
      <c r="BA160" s="192"/>
      <c r="BB160" s="193"/>
      <c r="BC160" s="194"/>
      <c r="BD160" s="192"/>
      <c r="BE160" s="193"/>
      <c r="BF160" s="194"/>
      <c r="BG160" s="194"/>
      <c r="BH160" s="194"/>
      <c r="BI160" s="188"/>
      <c r="BJ160" s="192"/>
      <c r="BK160" s="187"/>
      <c r="BL160" s="188"/>
    </row>
    <row r="161" spans="1:64">
      <c r="A161" s="191"/>
      <c r="B161" s="184"/>
      <c r="D161" s="171" t="s">
        <v>311</v>
      </c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  <c r="AM161" s="224"/>
      <c r="AN161" s="224"/>
      <c r="AO161" s="224"/>
      <c r="AP161" s="224"/>
      <c r="AQ161" s="224"/>
      <c r="AR161" s="224"/>
      <c r="AS161" s="224"/>
      <c r="AT161" s="224"/>
      <c r="AU161" s="172"/>
      <c r="AV161" s="223"/>
      <c r="AW161" s="223"/>
      <c r="AX161" s="214"/>
      <c r="AY161" s="214"/>
      <c r="AZ161" s="214"/>
      <c r="BA161" s="192"/>
      <c r="BB161" s="193"/>
      <c r="BC161" s="194"/>
      <c r="BD161" s="192"/>
      <c r="BE161" s="193"/>
      <c r="BF161" s="194"/>
      <c r="BG161" s="194"/>
      <c r="BH161" s="194"/>
      <c r="BI161" s="188"/>
      <c r="BJ161" s="192"/>
      <c r="BK161" s="187"/>
      <c r="BL161" s="188"/>
    </row>
    <row r="162" spans="1:64">
      <c r="A162" s="191"/>
      <c r="B162" s="184"/>
      <c r="C162" s="218" t="s">
        <v>312</v>
      </c>
      <c r="D162" s="225">
        <v>2.2000000000000002</v>
      </c>
      <c r="E162" s="226" t="s">
        <v>305</v>
      </c>
      <c r="F162" s="226">
        <v>2.5</v>
      </c>
      <c r="G162" s="227"/>
      <c r="H162" s="227"/>
      <c r="I162" s="227"/>
      <c r="J162" s="227"/>
      <c r="K162" s="227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6" t="s">
        <v>305</v>
      </c>
      <c r="AU162" s="229">
        <v>1</v>
      </c>
      <c r="AV162" s="223" t="s">
        <v>289</v>
      </c>
      <c r="AW162" s="184">
        <f>(D162*F162)*AU162</f>
        <v>5.5</v>
      </c>
      <c r="AX162" s="214"/>
      <c r="AY162" s="214"/>
      <c r="AZ162" s="214"/>
      <c r="BA162" s="192"/>
      <c r="BB162" s="193"/>
      <c r="BC162" s="194"/>
      <c r="BD162" s="192"/>
      <c r="BE162" s="193"/>
      <c r="BF162" s="194"/>
      <c r="BG162" s="194"/>
      <c r="BH162" s="194"/>
      <c r="BI162" s="188"/>
      <c r="BJ162" s="192"/>
      <c r="BK162" s="187"/>
      <c r="BL162" s="188"/>
    </row>
    <row r="163" spans="1:64">
      <c r="A163" s="191"/>
      <c r="B163" s="184"/>
      <c r="C163" s="218" t="s">
        <v>313</v>
      </c>
      <c r="D163" s="225">
        <v>2</v>
      </c>
      <c r="E163" s="226" t="s">
        <v>305</v>
      </c>
      <c r="F163" s="226">
        <v>2.1</v>
      </c>
      <c r="G163" s="227"/>
      <c r="H163" s="227"/>
      <c r="I163" s="227"/>
      <c r="J163" s="227"/>
      <c r="K163" s="227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6" t="s">
        <v>305</v>
      </c>
      <c r="AU163" s="229">
        <v>1</v>
      </c>
      <c r="AV163" s="223" t="s">
        <v>289</v>
      </c>
      <c r="AW163" s="184">
        <f t="shared" ref="AW163:AW168" si="29">(D163*F163)*AU163</f>
        <v>4.2</v>
      </c>
      <c r="AX163" s="214"/>
      <c r="AY163" s="214"/>
      <c r="AZ163" s="214"/>
      <c r="BA163" s="192"/>
      <c r="BB163" s="193"/>
      <c r="BC163" s="194"/>
      <c r="BD163" s="192"/>
      <c r="BE163" s="193"/>
      <c r="BF163" s="194"/>
      <c r="BG163" s="194"/>
      <c r="BH163" s="194"/>
      <c r="BI163" s="188"/>
      <c r="BJ163" s="192"/>
      <c r="BK163" s="187"/>
      <c r="BL163" s="188"/>
    </row>
    <row r="164" spans="1:64">
      <c r="A164" s="191"/>
      <c r="B164" s="184"/>
      <c r="C164" s="218" t="s">
        <v>314</v>
      </c>
      <c r="D164" s="225">
        <v>0.8</v>
      </c>
      <c r="E164" s="226" t="s">
        <v>305</v>
      </c>
      <c r="F164" s="226">
        <v>2.5</v>
      </c>
      <c r="G164" s="227"/>
      <c r="H164" s="227"/>
      <c r="I164" s="227"/>
      <c r="J164" s="227"/>
      <c r="K164" s="227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6" t="s">
        <v>305</v>
      </c>
      <c r="AU164" s="229">
        <v>3</v>
      </c>
      <c r="AV164" s="223" t="s">
        <v>289</v>
      </c>
      <c r="AW164" s="184">
        <f t="shared" si="29"/>
        <v>6</v>
      </c>
      <c r="AX164" s="214"/>
      <c r="AY164" s="214"/>
      <c r="AZ164" s="214"/>
      <c r="BA164" s="192"/>
      <c r="BB164" s="193"/>
      <c r="BC164" s="194"/>
      <c r="BD164" s="192"/>
      <c r="BE164" s="193"/>
      <c r="BF164" s="194"/>
      <c r="BG164" s="194"/>
      <c r="BH164" s="194"/>
      <c r="BI164" s="188"/>
      <c r="BJ164" s="192"/>
      <c r="BK164" s="187"/>
      <c r="BL164" s="188"/>
    </row>
    <row r="165" spans="1:64">
      <c r="A165" s="191"/>
      <c r="B165" s="184"/>
      <c r="C165" s="218" t="s">
        <v>315</v>
      </c>
      <c r="D165" s="225">
        <v>1.1000000000000001</v>
      </c>
      <c r="E165" s="226" t="s">
        <v>305</v>
      </c>
      <c r="F165" s="226">
        <v>1</v>
      </c>
      <c r="G165" s="227"/>
      <c r="H165" s="227"/>
      <c r="I165" s="227"/>
      <c r="J165" s="227"/>
      <c r="K165" s="227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6" t="s">
        <v>305</v>
      </c>
      <c r="AU165" s="229">
        <v>7</v>
      </c>
      <c r="AV165" s="223" t="s">
        <v>289</v>
      </c>
      <c r="AW165" s="184">
        <f t="shared" si="29"/>
        <v>7.7000000000000011</v>
      </c>
      <c r="AX165" s="214"/>
      <c r="AY165" s="214"/>
      <c r="AZ165" s="214"/>
      <c r="BA165" s="192"/>
      <c r="BB165" s="193"/>
      <c r="BC165" s="194"/>
      <c r="BD165" s="192"/>
      <c r="BE165" s="193"/>
      <c r="BF165" s="194"/>
      <c r="BG165" s="194"/>
      <c r="BH165" s="194"/>
      <c r="BI165" s="188"/>
      <c r="BJ165" s="192"/>
      <c r="BK165" s="187"/>
      <c r="BL165" s="188"/>
    </row>
    <row r="166" spans="1:64">
      <c r="A166" s="191"/>
      <c r="B166" s="184"/>
      <c r="C166" s="218" t="s">
        <v>316</v>
      </c>
      <c r="D166" s="225">
        <v>1.4</v>
      </c>
      <c r="E166" s="226" t="s">
        <v>305</v>
      </c>
      <c r="F166" s="226">
        <v>1</v>
      </c>
      <c r="G166" s="227"/>
      <c r="H166" s="227"/>
      <c r="I166" s="227"/>
      <c r="J166" s="227"/>
      <c r="K166" s="227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6" t="s">
        <v>305</v>
      </c>
      <c r="AU166" s="229">
        <v>2</v>
      </c>
      <c r="AV166" s="223" t="s">
        <v>289</v>
      </c>
      <c r="AW166" s="184">
        <f t="shared" si="29"/>
        <v>2.8</v>
      </c>
      <c r="AX166" s="214"/>
      <c r="AY166" s="214"/>
      <c r="AZ166" s="214"/>
      <c r="BA166" s="192"/>
      <c r="BB166" s="193"/>
      <c r="BC166" s="194"/>
      <c r="BD166" s="192"/>
      <c r="BE166" s="193"/>
      <c r="BF166" s="194"/>
      <c r="BG166" s="194"/>
      <c r="BH166" s="194"/>
      <c r="BI166" s="188"/>
      <c r="BJ166" s="192"/>
      <c r="BK166" s="187"/>
      <c r="BL166" s="188"/>
    </row>
    <row r="167" spans="1:64">
      <c r="A167" s="191"/>
      <c r="B167" s="184"/>
      <c r="C167" s="218" t="s">
        <v>317</v>
      </c>
      <c r="D167" s="225">
        <v>1.5</v>
      </c>
      <c r="E167" s="226" t="s">
        <v>305</v>
      </c>
      <c r="F167" s="226">
        <v>0.4</v>
      </c>
      <c r="G167" s="227"/>
      <c r="H167" s="227"/>
      <c r="I167" s="227"/>
      <c r="J167" s="227"/>
      <c r="K167" s="227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6" t="s">
        <v>305</v>
      </c>
      <c r="AU167" s="229">
        <v>3</v>
      </c>
      <c r="AV167" s="223" t="s">
        <v>289</v>
      </c>
      <c r="AW167" s="184">
        <f t="shared" si="29"/>
        <v>1.8000000000000003</v>
      </c>
      <c r="AX167" s="214"/>
      <c r="AY167" s="214"/>
      <c r="AZ167" s="214"/>
      <c r="BA167" s="192"/>
      <c r="BB167" s="193"/>
      <c r="BC167" s="194"/>
      <c r="BD167" s="192"/>
      <c r="BE167" s="193"/>
      <c r="BF167" s="194"/>
      <c r="BG167" s="194"/>
      <c r="BH167" s="194"/>
      <c r="BI167" s="188"/>
      <c r="BJ167" s="192"/>
      <c r="BK167" s="187"/>
      <c r="BL167" s="188"/>
    </row>
    <row r="168" spans="1:64">
      <c r="A168" s="191"/>
      <c r="B168" s="184"/>
      <c r="C168" s="218" t="s">
        <v>318</v>
      </c>
      <c r="D168" s="225">
        <v>1.3</v>
      </c>
      <c r="E168" s="226" t="s">
        <v>305</v>
      </c>
      <c r="F168" s="226">
        <v>0.4</v>
      </c>
      <c r="G168" s="227"/>
      <c r="H168" s="227"/>
      <c r="I168" s="227"/>
      <c r="J168" s="227"/>
      <c r="K168" s="227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6" t="s">
        <v>305</v>
      </c>
      <c r="AU168" s="229">
        <v>8</v>
      </c>
      <c r="AV168" s="223" t="s">
        <v>289</v>
      </c>
      <c r="AW168" s="184">
        <f t="shared" si="29"/>
        <v>4.16</v>
      </c>
      <c r="AX168" s="214"/>
      <c r="AY168" s="214"/>
      <c r="AZ168" s="214"/>
      <c r="BA168" s="192"/>
      <c r="BB168" s="193"/>
      <c r="BC168" s="194"/>
      <c r="BD168" s="192"/>
      <c r="BE168" s="193"/>
      <c r="BF168" s="194"/>
      <c r="BG168" s="194"/>
      <c r="BH168" s="194"/>
      <c r="BI168" s="188"/>
      <c r="BJ168" s="192"/>
      <c r="BK168" s="187"/>
      <c r="BL168" s="188"/>
    </row>
    <row r="169" spans="1:64">
      <c r="A169" s="191"/>
      <c r="B169" s="184"/>
      <c r="C169" s="218"/>
      <c r="D169" s="220" t="s">
        <v>319</v>
      </c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  <c r="AR169" s="221"/>
      <c r="AS169" s="221"/>
      <c r="AT169" s="221"/>
      <c r="AU169" s="222"/>
      <c r="AV169" s="223" t="s">
        <v>289</v>
      </c>
      <c r="AW169" s="223">
        <f>SUM(AW162:AW168)</f>
        <v>32.159999999999997</v>
      </c>
      <c r="AX169" s="214"/>
      <c r="AY169" s="214"/>
      <c r="AZ169" s="214"/>
      <c r="BA169" s="192"/>
      <c r="BB169" s="193"/>
      <c r="BC169" s="194"/>
      <c r="BD169" s="192"/>
      <c r="BE169" s="193"/>
      <c r="BF169" s="194"/>
      <c r="BG169" s="194"/>
      <c r="BH169" s="194"/>
      <c r="BI169" s="188"/>
      <c r="BJ169" s="192"/>
      <c r="BK169" s="187"/>
      <c r="BL169" s="188"/>
    </row>
    <row r="170" spans="1:64">
      <c r="A170" s="191"/>
      <c r="B170" s="184"/>
      <c r="C170" s="218"/>
      <c r="D170" s="220" t="s">
        <v>348</v>
      </c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1"/>
      <c r="AS170" s="221"/>
      <c r="AT170" s="221"/>
      <c r="AU170" s="222"/>
      <c r="AV170" s="223" t="s">
        <v>289</v>
      </c>
      <c r="AW170" s="223">
        <f>AW160-AW169</f>
        <v>346.40800000000002</v>
      </c>
      <c r="AX170" s="214"/>
      <c r="AY170" s="214"/>
      <c r="AZ170" s="214"/>
      <c r="BA170" s="192"/>
      <c r="BB170" s="193"/>
      <c r="BC170" s="194"/>
      <c r="BD170" s="192"/>
      <c r="BE170" s="193"/>
      <c r="BF170" s="194"/>
      <c r="BG170" s="194"/>
      <c r="BH170" s="194"/>
      <c r="BI170" s="188"/>
      <c r="BJ170" s="192"/>
      <c r="BK170" s="187"/>
      <c r="BL170" s="188"/>
    </row>
    <row r="171" spans="1:64">
      <c r="A171" s="191"/>
      <c r="B171" s="184"/>
      <c r="C171" s="218"/>
      <c r="D171" s="171" t="s">
        <v>349</v>
      </c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4"/>
      <c r="AL171" s="224"/>
      <c r="AM171" s="224"/>
      <c r="AN171" s="224"/>
      <c r="AO171" s="224"/>
      <c r="AP171" s="224"/>
      <c r="AQ171" s="224"/>
      <c r="AR171" s="224"/>
      <c r="AS171" s="224"/>
      <c r="AT171" s="224"/>
      <c r="AU171" s="172"/>
      <c r="AV171" s="223"/>
      <c r="AW171" s="223"/>
      <c r="AX171" s="214"/>
      <c r="AY171" s="214"/>
      <c r="AZ171" s="214"/>
      <c r="BA171" s="192"/>
      <c r="BB171" s="193"/>
      <c r="BC171" s="194"/>
      <c r="BD171" s="192"/>
      <c r="BE171" s="193"/>
      <c r="BF171" s="194"/>
      <c r="BG171" s="194"/>
      <c r="BH171" s="194"/>
      <c r="BI171" s="188"/>
      <c r="BJ171" s="192"/>
      <c r="BK171" s="187"/>
      <c r="BL171" s="188"/>
    </row>
    <row r="172" spans="1:64">
      <c r="A172" s="191"/>
      <c r="B172" s="184"/>
      <c r="C172" s="230" t="s">
        <v>323</v>
      </c>
      <c r="D172" s="231">
        <v>1.6</v>
      </c>
      <c r="E172" s="231" t="s">
        <v>324</v>
      </c>
      <c r="F172" s="232">
        <v>1.6</v>
      </c>
      <c r="G172" s="233"/>
      <c r="H172" s="234"/>
      <c r="I172" s="235"/>
      <c r="J172" s="236"/>
      <c r="K172" s="237"/>
      <c r="L172" s="238"/>
      <c r="M172" s="236"/>
      <c r="N172" s="115"/>
      <c r="O172" s="239"/>
      <c r="P172" s="236"/>
      <c r="Q172" s="115"/>
      <c r="R172" s="239"/>
      <c r="S172" s="236"/>
      <c r="T172" s="115"/>
      <c r="U172" s="239"/>
      <c r="V172" s="236"/>
      <c r="W172" s="115"/>
      <c r="X172" s="239"/>
      <c r="Y172" s="113"/>
      <c r="Z172" s="115"/>
      <c r="AA172" s="239"/>
      <c r="AB172" s="240"/>
      <c r="AC172" s="237"/>
      <c r="AD172" s="214"/>
      <c r="AE172" s="21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241" t="s">
        <v>289</v>
      </c>
      <c r="AW172" s="242">
        <f>D172*F172+H172*Y172</f>
        <v>2.5600000000000005</v>
      </c>
      <c r="AX172" s="214"/>
      <c r="AY172" s="214"/>
      <c r="AZ172" s="214"/>
      <c r="BA172" s="192"/>
      <c r="BB172" s="193"/>
      <c r="BC172" s="194"/>
      <c r="BD172" s="192"/>
      <c r="BE172" s="193"/>
      <c r="BF172" s="194"/>
      <c r="BG172" s="194"/>
      <c r="BH172" s="194"/>
      <c r="BI172" s="188"/>
      <c r="BJ172" s="192"/>
      <c r="BK172" s="187"/>
      <c r="BL172" s="188"/>
    </row>
    <row r="173" spans="1:64">
      <c r="A173" s="191"/>
      <c r="B173" s="184"/>
      <c r="C173" s="230" t="s">
        <v>325</v>
      </c>
      <c r="D173" s="231">
        <v>1.8</v>
      </c>
      <c r="E173" s="231" t="s">
        <v>324</v>
      </c>
      <c r="F173" s="232">
        <v>1.6</v>
      </c>
      <c r="G173" s="233"/>
      <c r="H173" s="234"/>
      <c r="I173" s="235"/>
      <c r="J173" s="236"/>
      <c r="K173" s="237"/>
      <c r="L173" s="238"/>
      <c r="M173" s="236"/>
      <c r="N173" s="115"/>
      <c r="O173" s="239"/>
      <c r="P173" s="236"/>
      <c r="Q173" s="115"/>
      <c r="R173" s="239"/>
      <c r="S173" s="236"/>
      <c r="T173" s="115"/>
      <c r="U173" s="239"/>
      <c r="V173" s="236"/>
      <c r="W173" s="115"/>
      <c r="X173" s="239"/>
      <c r="Y173" s="113"/>
      <c r="Z173" s="115"/>
      <c r="AA173" s="239"/>
      <c r="AB173" s="240"/>
      <c r="AC173" s="237"/>
      <c r="AD173" s="214"/>
      <c r="AE173" s="21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241" t="s">
        <v>289</v>
      </c>
      <c r="AW173" s="242">
        <f>D173*F173+H173*Y173</f>
        <v>2.8800000000000003</v>
      </c>
      <c r="AX173" s="214"/>
      <c r="AY173" s="214"/>
      <c r="AZ173" s="214"/>
      <c r="BA173" s="192"/>
      <c r="BB173" s="193"/>
      <c r="BC173" s="194"/>
      <c r="BD173" s="192"/>
      <c r="BE173" s="193"/>
      <c r="BF173" s="194"/>
      <c r="BG173" s="194"/>
      <c r="BH173" s="194"/>
      <c r="BI173" s="188"/>
      <c r="BJ173" s="192"/>
      <c r="BK173" s="187"/>
      <c r="BL173" s="188"/>
    </row>
    <row r="174" spans="1:64">
      <c r="A174" s="191"/>
      <c r="B174" s="184"/>
      <c r="C174" s="230" t="s">
        <v>326</v>
      </c>
      <c r="D174" s="231">
        <v>2.75</v>
      </c>
      <c r="E174" s="231" t="s">
        <v>324</v>
      </c>
      <c r="F174" s="232">
        <v>3.55</v>
      </c>
      <c r="G174" s="233"/>
      <c r="H174" s="234"/>
      <c r="I174" s="235"/>
      <c r="J174" s="236"/>
      <c r="K174" s="237"/>
      <c r="L174" s="238"/>
      <c r="M174" s="236"/>
      <c r="N174" s="115"/>
      <c r="O174" s="239"/>
      <c r="P174" s="236"/>
      <c r="Q174" s="115"/>
      <c r="R174" s="239"/>
      <c r="S174" s="236"/>
      <c r="T174" s="115"/>
      <c r="U174" s="239"/>
      <c r="V174" s="236"/>
      <c r="W174" s="115"/>
      <c r="X174" s="239"/>
      <c r="Y174" s="113"/>
      <c r="Z174" s="115"/>
      <c r="AA174" s="239"/>
      <c r="AB174" s="240"/>
      <c r="AC174" s="237"/>
      <c r="AD174" s="214"/>
      <c r="AE174" s="21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241" t="s">
        <v>289</v>
      </c>
      <c r="AW174" s="242">
        <f>D174*F174+H174*Y174</f>
        <v>9.7624999999999993</v>
      </c>
      <c r="AX174" s="214"/>
      <c r="AY174" s="214"/>
      <c r="AZ174" s="214"/>
      <c r="BA174" s="192"/>
      <c r="BB174" s="193"/>
      <c r="BC174" s="194"/>
      <c r="BD174" s="192"/>
      <c r="BE174" s="193"/>
      <c r="BF174" s="194"/>
      <c r="BG174" s="194"/>
      <c r="BH174" s="194"/>
      <c r="BI174" s="188"/>
      <c r="BJ174" s="192"/>
      <c r="BK174" s="187"/>
      <c r="BL174" s="188"/>
    </row>
    <row r="175" spans="1:64">
      <c r="A175" s="191"/>
      <c r="B175" s="184"/>
      <c r="C175" s="230" t="s">
        <v>327</v>
      </c>
      <c r="D175" s="231">
        <v>2.4</v>
      </c>
      <c r="E175" s="231" t="s">
        <v>324</v>
      </c>
      <c r="F175" s="232">
        <v>2.2000000000000002</v>
      </c>
      <c r="G175" s="233"/>
      <c r="H175" s="234"/>
      <c r="I175" s="235"/>
      <c r="J175" s="236"/>
      <c r="K175" s="237"/>
      <c r="L175" s="238"/>
      <c r="M175" s="236"/>
      <c r="N175" s="115"/>
      <c r="O175" s="239"/>
      <c r="P175" s="236"/>
      <c r="Q175" s="115"/>
      <c r="R175" s="239"/>
      <c r="S175" s="236"/>
      <c r="T175" s="115"/>
      <c r="U175" s="239"/>
      <c r="V175" s="236"/>
      <c r="W175" s="115"/>
      <c r="X175" s="239"/>
      <c r="Y175" s="113"/>
      <c r="Z175" s="115"/>
      <c r="AA175" s="239"/>
      <c r="AB175" s="240"/>
      <c r="AC175" s="237"/>
      <c r="AD175" s="214"/>
      <c r="AE175" s="21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241" t="s">
        <v>289</v>
      </c>
      <c r="AW175" s="242">
        <f>D175*F175+H175*Y175</f>
        <v>5.28</v>
      </c>
      <c r="AX175" s="214"/>
      <c r="AY175" s="214"/>
      <c r="AZ175" s="214"/>
      <c r="BA175" s="192"/>
      <c r="BB175" s="193"/>
      <c r="BC175" s="194"/>
      <c r="BD175" s="192"/>
      <c r="BE175" s="193"/>
      <c r="BF175" s="194"/>
      <c r="BG175" s="194"/>
      <c r="BH175" s="194"/>
      <c r="BI175" s="188"/>
      <c r="BJ175" s="192"/>
      <c r="BK175" s="187"/>
      <c r="BL175" s="188"/>
    </row>
    <row r="176" spans="1:64">
      <c r="A176" s="191"/>
      <c r="B176" s="184"/>
      <c r="C176" s="230" t="s">
        <v>328</v>
      </c>
      <c r="D176" s="231">
        <v>3.4</v>
      </c>
      <c r="E176" s="231" t="s">
        <v>324</v>
      </c>
      <c r="F176" s="232">
        <v>3.2</v>
      </c>
      <c r="G176" s="233"/>
      <c r="H176" s="234"/>
      <c r="I176" s="235"/>
      <c r="J176" s="236"/>
      <c r="K176" s="237"/>
      <c r="L176" s="238"/>
      <c r="M176" s="236"/>
      <c r="N176" s="115"/>
      <c r="O176" s="239"/>
      <c r="P176" s="236"/>
      <c r="Q176" s="115"/>
      <c r="R176" s="239"/>
      <c r="S176" s="236"/>
      <c r="T176" s="115"/>
      <c r="U176" s="239"/>
      <c r="V176" s="236"/>
      <c r="W176" s="115"/>
      <c r="X176" s="239"/>
      <c r="Y176" s="113"/>
      <c r="Z176" s="115"/>
      <c r="AA176" s="239"/>
      <c r="AB176" s="240"/>
      <c r="AC176" s="237"/>
      <c r="AD176" s="214"/>
      <c r="AE176" s="21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241" t="s">
        <v>289</v>
      </c>
      <c r="AW176" s="242">
        <f>D176*F176+H176*Y176</f>
        <v>10.88</v>
      </c>
      <c r="AX176" s="214"/>
      <c r="AY176" s="214"/>
      <c r="AZ176" s="214"/>
      <c r="BA176" s="192"/>
      <c r="BB176" s="193"/>
      <c r="BC176" s="194"/>
      <c r="BD176" s="192"/>
      <c r="BE176" s="193"/>
      <c r="BF176" s="194"/>
      <c r="BG176" s="194"/>
      <c r="BH176" s="194"/>
      <c r="BI176" s="188"/>
      <c r="BJ176" s="192"/>
      <c r="BK176" s="187"/>
      <c r="BL176" s="188"/>
    </row>
    <row r="177" spans="1:64">
      <c r="A177" s="191"/>
      <c r="B177" s="184"/>
      <c r="C177" s="230" t="s">
        <v>329</v>
      </c>
      <c r="D177" s="231">
        <v>6.41</v>
      </c>
      <c r="E177" s="231" t="s">
        <v>324</v>
      </c>
      <c r="F177" s="232">
        <v>6.39</v>
      </c>
      <c r="G177" s="243" t="s">
        <v>306</v>
      </c>
      <c r="H177" s="244">
        <v>1.35</v>
      </c>
      <c r="I177" s="232" t="s">
        <v>324</v>
      </c>
      <c r="J177" s="245">
        <v>4.95</v>
      </c>
      <c r="K177" s="246"/>
      <c r="L177" s="241"/>
      <c r="M177" s="247"/>
      <c r="N177" s="248"/>
      <c r="O177" s="249"/>
      <c r="P177" s="247"/>
      <c r="Q177" s="248"/>
      <c r="R177" s="249"/>
      <c r="S177" s="247"/>
      <c r="T177" s="248"/>
      <c r="U177" s="249"/>
      <c r="V177" s="247"/>
      <c r="W177" s="248"/>
      <c r="X177" s="249"/>
      <c r="Z177" s="250"/>
      <c r="AA177" s="239"/>
      <c r="AB177" s="240"/>
      <c r="AC177" s="237"/>
      <c r="AD177" s="214"/>
      <c r="AE177" s="21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241" t="s">
        <v>289</v>
      </c>
      <c r="AW177" s="242">
        <f>D177*F177+H177*J177</f>
        <v>47.642399999999995</v>
      </c>
      <c r="AX177" s="214"/>
      <c r="AY177" s="214"/>
      <c r="AZ177" s="214"/>
      <c r="BA177" s="192"/>
      <c r="BB177" s="193"/>
      <c r="BC177" s="194"/>
      <c r="BD177" s="192"/>
      <c r="BE177" s="193"/>
      <c r="BF177" s="194"/>
      <c r="BG177" s="194"/>
      <c r="BH177" s="194"/>
      <c r="BI177" s="188"/>
      <c r="BJ177" s="192"/>
      <c r="BK177" s="187"/>
      <c r="BL177" s="188"/>
    </row>
    <row r="178" spans="1:64">
      <c r="A178" s="191"/>
      <c r="B178" s="184"/>
      <c r="C178" s="230" t="s">
        <v>330</v>
      </c>
      <c r="D178" s="231">
        <v>3.06</v>
      </c>
      <c r="E178" s="231" t="s">
        <v>324</v>
      </c>
      <c r="F178" s="232">
        <v>1.1000000000000001</v>
      </c>
      <c r="G178" s="233"/>
      <c r="H178" s="9"/>
      <c r="I178" s="251"/>
      <c r="K178" s="246"/>
      <c r="L178" s="241"/>
      <c r="M178" s="247"/>
      <c r="N178" s="248"/>
      <c r="O178" s="249"/>
      <c r="P178" s="247"/>
      <c r="Q178" s="248"/>
      <c r="R178" s="249"/>
      <c r="S178" s="247"/>
      <c r="T178" s="248"/>
      <c r="U178" s="249"/>
      <c r="V178" s="247"/>
      <c r="W178" s="248"/>
      <c r="X178" s="249"/>
      <c r="Y178" s="252"/>
      <c r="Z178" s="250"/>
      <c r="AA178" s="239"/>
      <c r="AB178" s="240"/>
      <c r="AC178" s="237"/>
      <c r="AD178" s="214"/>
      <c r="AE178" s="21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241" t="s">
        <v>289</v>
      </c>
      <c r="AW178" s="242">
        <f t="shared" ref="AW178:AW196" si="30">D178*F178+H178*Y178</f>
        <v>3.3660000000000005</v>
      </c>
      <c r="AX178" s="214"/>
      <c r="AY178" s="214"/>
      <c r="AZ178" s="214"/>
      <c r="BA178" s="192"/>
      <c r="BB178" s="193"/>
      <c r="BC178" s="194"/>
      <c r="BD178" s="192"/>
      <c r="BE178" s="193"/>
      <c r="BF178" s="194"/>
      <c r="BG178" s="194"/>
      <c r="BH178" s="194"/>
      <c r="BI178" s="188"/>
      <c r="BJ178" s="192"/>
      <c r="BK178" s="187"/>
      <c r="BL178" s="188"/>
    </row>
    <row r="179" spans="1:64">
      <c r="A179" s="191"/>
      <c r="B179" s="184"/>
      <c r="C179" s="230" t="s">
        <v>331</v>
      </c>
      <c r="D179" s="231">
        <v>2.8</v>
      </c>
      <c r="E179" s="231" t="s">
        <v>324</v>
      </c>
      <c r="F179" s="232">
        <v>3.05</v>
      </c>
      <c r="G179" s="233"/>
      <c r="H179" s="234"/>
      <c r="I179" s="235"/>
      <c r="J179" s="236"/>
      <c r="K179" s="237"/>
      <c r="L179" s="238"/>
      <c r="M179" s="236"/>
      <c r="N179" s="115"/>
      <c r="O179" s="239"/>
      <c r="P179" s="236"/>
      <c r="Q179" s="115"/>
      <c r="R179" s="239"/>
      <c r="S179" s="236"/>
      <c r="T179" s="115"/>
      <c r="U179" s="239"/>
      <c r="V179" s="236"/>
      <c r="W179" s="115"/>
      <c r="X179" s="239"/>
      <c r="Y179" s="113"/>
      <c r="Z179" s="115"/>
      <c r="AA179" s="239"/>
      <c r="AB179" s="240"/>
      <c r="AC179" s="237"/>
      <c r="AD179" s="214"/>
      <c r="AE179" s="21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241" t="s">
        <v>289</v>
      </c>
      <c r="AW179" s="242">
        <f t="shared" si="30"/>
        <v>8.5399999999999991</v>
      </c>
      <c r="AX179" s="214"/>
      <c r="AY179" s="214"/>
      <c r="AZ179" s="214"/>
      <c r="BA179" s="192"/>
      <c r="BB179" s="193"/>
      <c r="BC179" s="194"/>
      <c r="BD179" s="192"/>
      <c r="BE179" s="193"/>
      <c r="BF179" s="194"/>
      <c r="BG179" s="194"/>
      <c r="BH179" s="194"/>
      <c r="BI179" s="188"/>
      <c r="BJ179" s="192"/>
      <c r="BK179" s="187"/>
      <c r="BL179" s="188"/>
    </row>
    <row r="180" spans="1:64">
      <c r="A180" s="191"/>
      <c r="B180" s="184"/>
      <c r="C180" s="230" t="s">
        <v>332</v>
      </c>
      <c r="D180" s="231">
        <v>2</v>
      </c>
      <c r="E180" s="231" t="s">
        <v>324</v>
      </c>
      <c r="F180" s="232">
        <v>14.75</v>
      </c>
      <c r="G180" s="233"/>
      <c r="H180" s="234"/>
      <c r="I180" s="235"/>
      <c r="J180" s="236"/>
      <c r="K180" s="237"/>
      <c r="L180" s="238"/>
      <c r="M180" s="236"/>
      <c r="N180" s="115"/>
      <c r="O180" s="239"/>
      <c r="P180" s="236"/>
      <c r="Q180" s="115"/>
      <c r="R180" s="239"/>
      <c r="S180" s="236"/>
      <c r="T180" s="115"/>
      <c r="U180" s="239"/>
      <c r="V180" s="236"/>
      <c r="W180" s="115"/>
      <c r="X180" s="239"/>
      <c r="Y180" s="113"/>
      <c r="Z180" s="115"/>
      <c r="AA180" s="239"/>
      <c r="AB180" s="240"/>
      <c r="AC180" s="237"/>
      <c r="AD180" s="214"/>
      <c r="AE180" s="21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241" t="s">
        <v>289</v>
      </c>
      <c r="AW180" s="242">
        <f t="shared" si="30"/>
        <v>29.5</v>
      </c>
      <c r="AX180" s="214"/>
      <c r="AY180" s="214"/>
      <c r="AZ180" s="214"/>
      <c r="BA180" s="192"/>
      <c r="BB180" s="193"/>
      <c r="BC180" s="194"/>
      <c r="BD180" s="192"/>
      <c r="BE180" s="193"/>
      <c r="BF180" s="194"/>
      <c r="BG180" s="194"/>
      <c r="BH180" s="194"/>
      <c r="BI180" s="188"/>
      <c r="BJ180" s="192"/>
      <c r="BK180" s="187"/>
      <c r="BL180" s="188"/>
    </row>
    <row r="181" spans="1:64">
      <c r="A181" s="191"/>
      <c r="B181" s="184"/>
      <c r="C181" s="230" t="s">
        <v>333</v>
      </c>
      <c r="D181" s="231">
        <v>3.65</v>
      </c>
      <c r="E181" s="231" t="s">
        <v>324</v>
      </c>
      <c r="F181" s="232">
        <v>3.5</v>
      </c>
      <c r="G181" s="233"/>
      <c r="H181" s="234"/>
      <c r="I181" s="235"/>
      <c r="J181" s="236"/>
      <c r="K181" s="237"/>
      <c r="L181" s="238"/>
      <c r="M181" s="236"/>
      <c r="N181" s="115"/>
      <c r="O181" s="239"/>
      <c r="P181" s="236"/>
      <c r="Q181" s="115"/>
      <c r="R181" s="239"/>
      <c r="S181" s="236"/>
      <c r="T181" s="115"/>
      <c r="U181" s="239"/>
      <c r="V181" s="236"/>
      <c r="W181" s="115"/>
      <c r="X181" s="239"/>
      <c r="Y181" s="113"/>
      <c r="Z181" s="115"/>
      <c r="AA181" s="239"/>
      <c r="AB181" s="240"/>
      <c r="AC181" s="237"/>
      <c r="AD181" s="214"/>
      <c r="AE181" s="21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241" t="s">
        <v>289</v>
      </c>
      <c r="AW181" s="242">
        <f t="shared" si="30"/>
        <v>12.775</v>
      </c>
      <c r="AX181" s="214"/>
      <c r="AY181" s="214"/>
      <c r="AZ181" s="214"/>
      <c r="BA181" s="192"/>
      <c r="BB181" s="193"/>
      <c r="BC181" s="194"/>
      <c r="BD181" s="192"/>
      <c r="BE181" s="193"/>
      <c r="BF181" s="194"/>
      <c r="BG181" s="194"/>
      <c r="BH181" s="194"/>
      <c r="BI181" s="188"/>
      <c r="BJ181" s="192"/>
      <c r="BK181" s="187"/>
      <c r="BL181" s="188"/>
    </row>
    <row r="182" spans="1:64">
      <c r="A182" s="191"/>
      <c r="B182" s="184"/>
      <c r="C182" s="230" t="s">
        <v>334</v>
      </c>
      <c r="D182" s="231">
        <v>3.5</v>
      </c>
      <c r="E182" s="231" t="s">
        <v>324</v>
      </c>
      <c r="F182" s="232">
        <v>1.3</v>
      </c>
      <c r="G182" s="233"/>
      <c r="H182" s="234"/>
      <c r="I182" s="235"/>
      <c r="J182" s="236"/>
      <c r="K182" s="237"/>
      <c r="L182" s="238"/>
      <c r="M182" s="236"/>
      <c r="N182" s="115"/>
      <c r="O182" s="239"/>
      <c r="P182" s="236"/>
      <c r="Q182" s="115"/>
      <c r="R182" s="239"/>
      <c r="S182" s="236"/>
      <c r="T182" s="115"/>
      <c r="U182" s="239"/>
      <c r="V182" s="236"/>
      <c r="W182" s="115"/>
      <c r="X182" s="239"/>
      <c r="Y182" s="113"/>
      <c r="Z182" s="115"/>
      <c r="AA182" s="239"/>
      <c r="AB182" s="240"/>
      <c r="AC182" s="237"/>
      <c r="AD182" s="214"/>
      <c r="AE182" s="21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241" t="s">
        <v>289</v>
      </c>
      <c r="AW182" s="242">
        <f t="shared" si="30"/>
        <v>4.55</v>
      </c>
      <c r="AX182" s="214"/>
      <c r="AY182" s="214"/>
      <c r="AZ182" s="214"/>
      <c r="BA182" s="192"/>
      <c r="BB182" s="193"/>
      <c r="BC182" s="194"/>
      <c r="BD182" s="192"/>
      <c r="BE182" s="193"/>
      <c r="BF182" s="194"/>
      <c r="BG182" s="194"/>
      <c r="BH182" s="194"/>
      <c r="BI182" s="188"/>
      <c r="BJ182" s="192"/>
      <c r="BK182" s="187"/>
      <c r="BL182" s="188"/>
    </row>
    <row r="183" spans="1:64">
      <c r="A183" s="191"/>
      <c r="B183" s="184"/>
      <c r="C183" s="230" t="s">
        <v>335</v>
      </c>
      <c r="D183" s="231">
        <v>3.65</v>
      </c>
      <c r="E183" s="231" t="s">
        <v>324</v>
      </c>
      <c r="F183" s="232">
        <v>3.5</v>
      </c>
      <c r="G183" s="233"/>
      <c r="H183" s="234"/>
      <c r="I183" s="235"/>
      <c r="J183" s="236"/>
      <c r="K183" s="237"/>
      <c r="L183" s="238"/>
      <c r="M183" s="236"/>
      <c r="N183" s="115"/>
      <c r="O183" s="239"/>
      <c r="P183" s="236"/>
      <c r="Q183" s="115"/>
      <c r="R183" s="239"/>
      <c r="S183" s="236"/>
      <c r="T183" s="115"/>
      <c r="U183" s="239"/>
      <c r="V183" s="236"/>
      <c r="W183" s="115"/>
      <c r="X183" s="239"/>
      <c r="Y183" s="113"/>
      <c r="Z183" s="115"/>
      <c r="AA183" s="239"/>
      <c r="AB183" s="240"/>
      <c r="AC183" s="237"/>
      <c r="AD183" s="214"/>
      <c r="AE183" s="21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241" t="s">
        <v>289</v>
      </c>
      <c r="AW183" s="242">
        <f t="shared" si="30"/>
        <v>12.775</v>
      </c>
      <c r="AX183" s="214"/>
      <c r="AY183" s="214"/>
      <c r="AZ183" s="214"/>
      <c r="BA183" s="192"/>
      <c r="BB183" s="193"/>
      <c r="BC183" s="194"/>
      <c r="BD183" s="192"/>
      <c r="BE183" s="193"/>
      <c r="BF183" s="194"/>
      <c r="BG183" s="194"/>
      <c r="BH183" s="194"/>
      <c r="BI183" s="188"/>
      <c r="BJ183" s="192"/>
      <c r="BK183" s="187"/>
      <c r="BL183" s="188"/>
    </row>
    <row r="184" spans="1:64">
      <c r="A184" s="191"/>
      <c r="B184" s="184"/>
      <c r="C184" s="230" t="s">
        <v>336</v>
      </c>
      <c r="D184" s="231">
        <v>2.4</v>
      </c>
      <c r="E184" s="231" t="s">
        <v>324</v>
      </c>
      <c r="F184" s="232">
        <v>1.3</v>
      </c>
      <c r="G184" s="233"/>
      <c r="H184" s="234"/>
      <c r="I184" s="235"/>
      <c r="J184" s="236"/>
      <c r="K184" s="237"/>
      <c r="L184" s="238"/>
      <c r="M184" s="236"/>
      <c r="N184" s="115"/>
      <c r="O184" s="239"/>
      <c r="P184" s="236"/>
      <c r="Q184" s="115"/>
      <c r="R184" s="239"/>
      <c r="S184" s="236"/>
      <c r="T184" s="115"/>
      <c r="U184" s="239"/>
      <c r="V184" s="236"/>
      <c r="W184" s="115"/>
      <c r="X184" s="239"/>
      <c r="Y184" s="113"/>
      <c r="Z184" s="115"/>
      <c r="AA184" s="239"/>
      <c r="AB184" s="240"/>
      <c r="AC184" s="237"/>
      <c r="AD184" s="214"/>
      <c r="AE184" s="21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241" t="s">
        <v>289</v>
      </c>
      <c r="AW184" s="242">
        <f t="shared" si="30"/>
        <v>3.12</v>
      </c>
      <c r="AX184" s="214"/>
      <c r="AY184" s="214"/>
      <c r="AZ184" s="214"/>
      <c r="BA184" s="192"/>
      <c r="BB184" s="193"/>
      <c r="BC184" s="194"/>
      <c r="BD184" s="192"/>
      <c r="BE184" s="193"/>
      <c r="BF184" s="194"/>
      <c r="BG184" s="194"/>
      <c r="BH184" s="194"/>
      <c r="BI184" s="188"/>
      <c r="BJ184" s="192"/>
      <c r="BK184" s="187"/>
      <c r="BL184" s="188"/>
    </row>
    <row r="185" spans="1:64">
      <c r="A185" s="191"/>
      <c r="B185" s="184"/>
      <c r="C185" s="230" t="s">
        <v>337</v>
      </c>
      <c r="D185" s="231">
        <v>3.65</v>
      </c>
      <c r="E185" s="231" t="s">
        <v>324</v>
      </c>
      <c r="F185" s="232">
        <v>3.5</v>
      </c>
      <c r="G185" s="233"/>
      <c r="H185" s="234"/>
      <c r="I185" s="235"/>
      <c r="J185" s="236"/>
      <c r="K185" s="237"/>
      <c r="L185" s="238"/>
      <c r="M185" s="236"/>
      <c r="N185" s="115"/>
      <c r="O185" s="239"/>
      <c r="P185" s="236"/>
      <c r="Q185" s="115"/>
      <c r="R185" s="239"/>
      <c r="S185" s="236"/>
      <c r="T185" s="115"/>
      <c r="U185" s="239"/>
      <c r="V185" s="236"/>
      <c r="W185" s="115"/>
      <c r="X185" s="239"/>
      <c r="Y185" s="113"/>
      <c r="Z185" s="115"/>
      <c r="AA185" s="239"/>
      <c r="AB185" s="240"/>
      <c r="AC185" s="237"/>
      <c r="AD185" s="214"/>
      <c r="AE185" s="21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241" t="s">
        <v>289</v>
      </c>
      <c r="AW185" s="242">
        <f t="shared" si="30"/>
        <v>12.775</v>
      </c>
      <c r="AX185" s="214"/>
      <c r="AY185" s="214"/>
      <c r="AZ185" s="214"/>
      <c r="BA185" s="192"/>
      <c r="BB185" s="193"/>
      <c r="BC185" s="194"/>
      <c r="BD185" s="192"/>
      <c r="BE185" s="193"/>
      <c r="BF185" s="194"/>
      <c r="BG185" s="194"/>
      <c r="BH185" s="194"/>
      <c r="BI185" s="188"/>
      <c r="BJ185" s="192"/>
      <c r="BK185" s="187"/>
      <c r="BL185" s="188"/>
    </row>
    <row r="186" spans="1:64">
      <c r="A186" s="191"/>
      <c r="B186" s="184"/>
      <c r="C186" s="230" t="s">
        <v>336</v>
      </c>
      <c r="D186" s="231">
        <v>2.4</v>
      </c>
      <c r="E186" s="231" t="s">
        <v>324</v>
      </c>
      <c r="F186" s="232">
        <v>1.3</v>
      </c>
      <c r="G186" s="233"/>
      <c r="H186" s="234"/>
      <c r="I186" s="235"/>
      <c r="J186" s="236"/>
      <c r="K186" s="237"/>
      <c r="L186" s="238"/>
      <c r="M186" s="236"/>
      <c r="N186" s="115"/>
      <c r="O186" s="239"/>
      <c r="P186" s="236"/>
      <c r="Q186" s="115"/>
      <c r="R186" s="239"/>
      <c r="S186" s="236"/>
      <c r="T186" s="115"/>
      <c r="U186" s="239"/>
      <c r="V186" s="236"/>
      <c r="W186" s="115"/>
      <c r="X186" s="239"/>
      <c r="Y186" s="113"/>
      <c r="Z186" s="115"/>
      <c r="AA186" s="239"/>
      <c r="AB186" s="240"/>
      <c r="AC186" s="237"/>
      <c r="AD186" s="214"/>
      <c r="AE186" s="21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241" t="s">
        <v>289</v>
      </c>
      <c r="AW186" s="242">
        <f t="shared" si="30"/>
        <v>3.12</v>
      </c>
      <c r="AX186" s="214"/>
      <c r="AY186" s="214"/>
      <c r="AZ186" s="214"/>
      <c r="BA186" s="192"/>
      <c r="BB186" s="193"/>
      <c r="BC186" s="194"/>
      <c r="BD186" s="192"/>
      <c r="BE186" s="193"/>
      <c r="BF186" s="194"/>
      <c r="BG186" s="194"/>
      <c r="BH186" s="194"/>
      <c r="BI186" s="188"/>
      <c r="BJ186" s="192"/>
      <c r="BK186" s="187"/>
      <c r="BL186" s="188"/>
    </row>
    <row r="187" spans="1:64">
      <c r="A187" s="191"/>
      <c r="B187" s="184"/>
      <c r="C187" s="230" t="s">
        <v>338</v>
      </c>
      <c r="D187" s="231">
        <v>3.65</v>
      </c>
      <c r="E187" s="231" t="s">
        <v>324</v>
      </c>
      <c r="F187" s="232">
        <v>3.5</v>
      </c>
      <c r="G187" s="233"/>
      <c r="H187" s="234"/>
      <c r="I187" s="235"/>
      <c r="J187" s="236"/>
      <c r="K187" s="237"/>
      <c r="L187" s="238"/>
      <c r="M187" s="236"/>
      <c r="N187" s="115"/>
      <c r="O187" s="239"/>
      <c r="P187" s="236"/>
      <c r="Q187" s="115"/>
      <c r="R187" s="239"/>
      <c r="S187" s="236"/>
      <c r="T187" s="115"/>
      <c r="U187" s="239"/>
      <c r="V187" s="236"/>
      <c r="W187" s="115"/>
      <c r="X187" s="239"/>
      <c r="Y187" s="113"/>
      <c r="Z187" s="115"/>
      <c r="AA187" s="239"/>
      <c r="AB187" s="240"/>
      <c r="AC187" s="237"/>
      <c r="AD187" s="214"/>
      <c r="AE187" s="21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241" t="s">
        <v>289</v>
      </c>
      <c r="AW187" s="242">
        <f t="shared" si="30"/>
        <v>12.775</v>
      </c>
      <c r="AX187" s="214"/>
      <c r="AY187" s="214"/>
      <c r="AZ187" s="214"/>
      <c r="BA187" s="192"/>
      <c r="BB187" s="193"/>
      <c r="BC187" s="194"/>
      <c r="BD187" s="192"/>
      <c r="BE187" s="193"/>
      <c r="BF187" s="194"/>
      <c r="BG187" s="194"/>
      <c r="BH187" s="194"/>
      <c r="BI187" s="188"/>
      <c r="BJ187" s="192"/>
      <c r="BK187" s="187"/>
      <c r="BL187" s="188"/>
    </row>
    <row r="188" spans="1:64">
      <c r="A188" s="191"/>
      <c r="B188" s="184"/>
      <c r="C188" s="230" t="s">
        <v>336</v>
      </c>
      <c r="D188" s="231">
        <v>2.4</v>
      </c>
      <c r="E188" s="231" t="s">
        <v>324</v>
      </c>
      <c r="F188" s="232">
        <v>1.3</v>
      </c>
      <c r="G188" s="233"/>
      <c r="H188" s="234"/>
      <c r="I188" s="235"/>
      <c r="J188" s="236"/>
      <c r="K188" s="237"/>
      <c r="L188" s="238"/>
      <c r="M188" s="236"/>
      <c r="N188" s="115"/>
      <c r="O188" s="239"/>
      <c r="P188" s="236"/>
      <c r="Q188" s="115"/>
      <c r="R188" s="239"/>
      <c r="S188" s="236"/>
      <c r="T188" s="115"/>
      <c r="U188" s="239"/>
      <c r="V188" s="236"/>
      <c r="W188" s="115"/>
      <c r="X188" s="239"/>
      <c r="Y188" s="113"/>
      <c r="Z188" s="115"/>
      <c r="AA188" s="239"/>
      <c r="AB188" s="240"/>
      <c r="AC188" s="237"/>
      <c r="AD188" s="214"/>
      <c r="AE188" s="21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241" t="s">
        <v>289</v>
      </c>
      <c r="AW188" s="242">
        <f t="shared" si="30"/>
        <v>3.12</v>
      </c>
      <c r="AX188" s="214"/>
      <c r="AY188" s="214"/>
      <c r="AZ188" s="214"/>
      <c r="BA188" s="192"/>
      <c r="BB188" s="193"/>
      <c r="BC188" s="194"/>
      <c r="BD188" s="192"/>
      <c r="BE188" s="193"/>
      <c r="BF188" s="194"/>
      <c r="BG188" s="194"/>
      <c r="BH188" s="194"/>
      <c r="BI188" s="188"/>
      <c r="BJ188" s="192"/>
      <c r="BK188" s="187"/>
      <c r="BL188" s="188"/>
    </row>
    <row r="189" spans="1:64">
      <c r="A189" s="191"/>
      <c r="B189" s="184"/>
      <c r="C189" s="230" t="s">
        <v>339</v>
      </c>
      <c r="D189" s="231">
        <v>3.65</v>
      </c>
      <c r="E189" s="231" t="s">
        <v>324</v>
      </c>
      <c r="F189" s="232">
        <v>3.5</v>
      </c>
      <c r="G189" s="233"/>
      <c r="H189" s="234"/>
      <c r="I189" s="235"/>
      <c r="J189" s="236"/>
      <c r="K189" s="237"/>
      <c r="L189" s="238"/>
      <c r="M189" s="236"/>
      <c r="N189" s="115"/>
      <c r="O189" s="239"/>
      <c r="P189" s="236"/>
      <c r="Q189" s="115"/>
      <c r="R189" s="239"/>
      <c r="S189" s="236"/>
      <c r="T189" s="115"/>
      <c r="U189" s="239"/>
      <c r="V189" s="236"/>
      <c r="W189" s="115"/>
      <c r="X189" s="239"/>
      <c r="Y189" s="113"/>
      <c r="Z189" s="115"/>
      <c r="AA189" s="239"/>
      <c r="AB189" s="240"/>
      <c r="AC189" s="237"/>
      <c r="AD189" s="214"/>
      <c r="AE189" s="21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241" t="s">
        <v>289</v>
      </c>
      <c r="AW189" s="242">
        <f t="shared" si="30"/>
        <v>12.775</v>
      </c>
      <c r="AX189" s="214"/>
      <c r="AY189" s="214"/>
      <c r="AZ189" s="214"/>
      <c r="BA189" s="192"/>
      <c r="BB189" s="193"/>
      <c r="BC189" s="194"/>
      <c r="BD189" s="192"/>
      <c r="BE189" s="193"/>
      <c r="BF189" s="194"/>
      <c r="BG189" s="194"/>
      <c r="BH189" s="194"/>
      <c r="BI189" s="188"/>
      <c r="BJ189" s="192"/>
      <c r="BK189" s="187"/>
      <c r="BL189" s="188"/>
    </row>
    <row r="190" spans="1:64">
      <c r="A190" s="191"/>
      <c r="B190" s="184"/>
      <c r="C190" s="230" t="s">
        <v>336</v>
      </c>
      <c r="D190" s="231">
        <v>2.4</v>
      </c>
      <c r="E190" s="231" t="s">
        <v>324</v>
      </c>
      <c r="F190" s="232">
        <v>1.3</v>
      </c>
      <c r="G190" s="233"/>
      <c r="H190" s="234"/>
      <c r="I190" s="235"/>
      <c r="J190" s="236"/>
      <c r="K190" s="237"/>
      <c r="L190" s="238"/>
      <c r="M190" s="236"/>
      <c r="N190" s="115"/>
      <c r="O190" s="239"/>
      <c r="P190" s="236"/>
      <c r="Q190" s="115"/>
      <c r="R190" s="239"/>
      <c r="S190" s="236"/>
      <c r="T190" s="115"/>
      <c r="U190" s="239"/>
      <c r="V190" s="236"/>
      <c r="W190" s="115"/>
      <c r="X190" s="239"/>
      <c r="Y190" s="113"/>
      <c r="Z190" s="115"/>
      <c r="AA190" s="239"/>
      <c r="AB190" s="240"/>
      <c r="AC190" s="237"/>
      <c r="AD190" s="214"/>
      <c r="AE190" s="21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241" t="s">
        <v>289</v>
      </c>
      <c r="AW190" s="242">
        <f t="shared" si="30"/>
        <v>3.12</v>
      </c>
      <c r="AX190" s="214"/>
      <c r="AY190" s="214"/>
      <c r="AZ190" s="214"/>
      <c r="BA190" s="192"/>
      <c r="BB190" s="193"/>
      <c r="BC190" s="194"/>
      <c r="BD190" s="192"/>
      <c r="BE190" s="193"/>
      <c r="BF190" s="194"/>
      <c r="BG190" s="194"/>
      <c r="BH190" s="194"/>
      <c r="BI190" s="188"/>
      <c r="BJ190" s="192"/>
      <c r="BK190" s="187"/>
      <c r="BL190" s="188"/>
    </row>
    <row r="191" spans="1:64">
      <c r="A191" s="191"/>
      <c r="B191" s="184"/>
      <c r="C191" s="230" t="s">
        <v>340</v>
      </c>
      <c r="D191" s="231">
        <v>3.65</v>
      </c>
      <c r="E191" s="231" t="s">
        <v>324</v>
      </c>
      <c r="F191" s="232">
        <v>3.5</v>
      </c>
      <c r="G191" s="233"/>
      <c r="H191" s="234"/>
      <c r="I191" s="235"/>
      <c r="J191" s="236"/>
      <c r="K191" s="237"/>
      <c r="L191" s="238"/>
      <c r="M191" s="236"/>
      <c r="N191" s="115"/>
      <c r="O191" s="239"/>
      <c r="P191" s="236"/>
      <c r="Q191" s="115"/>
      <c r="R191" s="239"/>
      <c r="S191" s="236"/>
      <c r="T191" s="115"/>
      <c r="U191" s="239"/>
      <c r="V191" s="236"/>
      <c r="W191" s="115"/>
      <c r="X191" s="239"/>
      <c r="Y191" s="113"/>
      <c r="Z191" s="115"/>
      <c r="AA191" s="239"/>
      <c r="AB191" s="240"/>
      <c r="AC191" s="237"/>
      <c r="AD191" s="214"/>
      <c r="AE191" s="21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241" t="s">
        <v>289</v>
      </c>
      <c r="AW191" s="242">
        <f t="shared" si="30"/>
        <v>12.775</v>
      </c>
      <c r="AX191" s="214"/>
      <c r="AY191" s="214"/>
      <c r="AZ191" s="214"/>
      <c r="BA191" s="192"/>
      <c r="BB191" s="193"/>
      <c r="BC191" s="194"/>
      <c r="BD191" s="192"/>
      <c r="BE191" s="193"/>
      <c r="BF191" s="194"/>
      <c r="BG191" s="194"/>
      <c r="BH191" s="194"/>
      <c r="BI191" s="188"/>
      <c r="BJ191" s="192"/>
      <c r="BK191" s="187"/>
      <c r="BL191" s="188"/>
    </row>
    <row r="192" spans="1:64">
      <c r="A192" s="191"/>
      <c r="B192" s="184"/>
      <c r="C192" s="230" t="s">
        <v>336</v>
      </c>
      <c r="D192" s="231">
        <v>2.4</v>
      </c>
      <c r="E192" s="231" t="s">
        <v>324</v>
      </c>
      <c r="F192" s="232">
        <v>1.3</v>
      </c>
      <c r="G192" s="233"/>
      <c r="H192" s="234"/>
      <c r="I192" s="235"/>
      <c r="J192" s="236"/>
      <c r="K192" s="237"/>
      <c r="L192" s="238"/>
      <c r="M192" s="236"/>
      <c r="N192" s="115"/>
      <c r="O192" s="239"/>
      <c r="P192" s="236"/>
      <c r="Q192" s="115"/>
      <c r="R192" s="239"/>
      <c r="S192" s="236"/>
      <c r="T192" s="115"/>
      <c r="U192" s="239"/>
      <c r="V192" s="236"/>
      <c r="W192" s="115"/>
      <c r="X192" s="239"/>
      <c r="Y192" s="113"/>
      <c r="Z192" s="115"/>
      <c r="AA192" s="239"/>
      <c r="AB192" s="240"/>
      <c r="AC192" s="237"/>
      <c r="AD192" s="214"/>
      <c r="AE192" s="21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241" t="s">
        <v>289</v>
      </c>
      <c r="AW192" s="242">
        <f t="shared" si="30"/>
        <v>3.12</v>
      </c>
      <c r="AX192" s="214"/>
      <c r="AY192" s="214"/>
      <c r="AZ192" s="214"/>
      <c r="BA192" s="192"/>
      <c r="BB192" s="193"/>
      <c r="BC192" s="194"/>
      <c r="BD192" s="192"/>
      <c r="BE192" s="193"/>
      <c r="BF192" s="194"/>
      <c r="BG192" s="194"/>
      <c r="BH192" s="194"/>
      <c r="BI192" s="188"/>
      <c r="BJ192" s="192"/>
      <c r="BK192" s="187"/>
      <c r="BL192" s="188"/>
    </row>
    <row r="193" spans="1:64">
      <c r="A193" s="191"/>
      <c r="B193" s="184"/>
      <c r="C193" s="230" t="s">
        <v>341</v>
      </c>
      <c r="D193" s="231">
        <v>3.65</v>
      </c>
      <c r="E193" s="231" t="s">
        <v>324</v>
      </c>
      <c r="F193" s="232">
        <v>3.5</v>
      </c>
      <c r="G193" s="233"/>
      <c r="H193" s="234"/>
      <c r="I193" s="235"/>
      <c r="J193" s="236"/>
      <c r="K193" s="237"/>
      <c r="L193" s="238"/>
      <c r="M193" s="236"/>
      <c r="N193" s="115"/>
      <c r="O193" s="239"/>
      <c r="P193" s="236"/>
      <c r="Q193" s="115"/>
      <c r="R193" s="239"/>
      <c r="S193" s="236"/>
      <c r="T193" s="115"/>
      <c r="U193" s="239"/>
      <c r="V193" s="236"/>
      <c r="W193" s="115"/>
      <c r="X193" s="239"/>
      <c r="Y193" s="113"/>
      <c r="Z193" s="115"/>
      <c r="AA193" s="239"/>
      <c r="AB193" s="240"/>
      <c r="AC193" s="237"/>
      <c r="AD193" s="214"/>
      <c r="AE193" s="21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241" t="s">
        <v>289</v>
      </c>
      <c r="AW193" s="242">
        <f t="shared" si="30"/>
        <v>12.775</v>
      </c>
      <c r="AX193" s="214"/>
      <c r="AY193" s="214"/>
      <c r="AZ193" s="214"/>
      <c r="BA193" s="192"/>
      <c r="BB193" s="193"/>
      <c r="BC193" s="194"/>
      <c r="BD193" s="192"/>
      <c r="BE193" s="193"/>
      <c r="BF193" s="194"/>
      <c r="BG193" s="194"/>
      <c r="BH193" s="194"/>
      <c r="BI193" s="188"/>
      <c r="BJ193" s="192"/>
      <c r="BK193" s="187"/>
      <c r="BL193" s="188"/>
    </row>
    <row r="194" spans="1:64">
      <c r="A194" s="191"/>
      <c r="B194" s="184"/>
      <c r="C194" s="230" t="s">
        <v>336</v>
      </c>
      <c r="D194" s="231">
        <v>2.4</v>
      </c>
      <c r="E194" s="231" t="s">
        <v>324</v>
      </c>
      <c r="F194" s="232">
        <v>1.3</v>
      </c>
      <c r="G194" s="233"/>
      <c r="H194" s="234"/>
      <c r="I194" s="235"/>
      <c r="J194" s="236"/>
      <c r="K194" s="237"/>
      <c r="L194" s="238"/>
      <c r="M194" s="236"/>
      <c r="N194" s="115"/>
      <c r="O194" s="239"/>
      <c r="P194" s="236"/>
      <c r="Q194" s="115"/>
      <c r="R194" s="239"/>
      <c r="S194" s="236"/>
      <c r="T194" s="115"/>
      <c r="U194" s="239"/>
      <c r="V194" s="236"/>
      <c r="W194" s="115"/>
      <c r="X194" s="239"/>
      <c r="Y194" s="113"/>
      <c r="Z194" s="115"/>
      <c r="AA194" s="239"/>
      <c r="AB194" s="240"/>
      <c r="AC194" s="237"/>
      <c r="AD194" s="214"/>
      <c r="AE194" s="21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  <c r="AU194" s="184"/>
      <c r="AV194" s="241" t="s">
        <v>289</v>
      </c>
      <c r="AW194" s="242">
        <f t="shared" si="30"/>
        <v>3.12</v>
      </c>
      <c r="AX194" s="214"/>
      <c r="AY194" s="214"/>
      <c r="AZ194" s="214"/>
      <c r="BA194" s="192"/>
      <c r="BB194" s="193"/>
      <c r="BC194" s="194"/>
      <c r="BD194" s="192"/>
      <c r="BE194" s="193"/>
      <c r="BF194" s="194"/>
      <c r="BG194" s="194"/>
      <c r="BH194" s="194"/>
      <c r="BI194" s="188"/>
      <c r="BJ194" s="192"/>
      <c r="BK194" s="187"/>
      <c r="BL194" s="188"/>
    </row>
    <row r="195" spans="1:64">
      <c r="A195" s="191"/>
      <c r="B195" s="184"/>
      <c r="C195" s="230" t="s">
        <v>342</v>
      </c>
      <c r="D195" s="231">
        <v>3.65</v>
      </c>
      <c r="E195" s="231" t="s">
        <v>324</v>
      </c>
      <c r="F195" s="232">
        <v>3.5</v>
      </c>
      <c r="G195" s="233"/>
      <c r="H195" s="234"/>
      <c r="I195" s="235"/>
      <c r="J195" s="236"/>
      <c r="K195" s="237"/>
      <c r="L195" s="238"/>
      <c r="M195" s="236"/>
      <c r="N195" s="115"/>
      <c r="O195" s="239"/>
      <c r="P195" s="236"/>
      <c r="Q195" s="115"/>
      <c r="R195" s="239"/>
      <c r="S195" s="236"/>
      <c r="T195" s="115"/>
      <c r="U195" s="239"/>
      <c r="V195" s="236"/>
      <c r="W195" s="115"/>
      <c r="X195" s="239"/>
      <c r="Y195" s="113"/>
      <c r="Z195" s="115"/>
      <c r="AA195" s="239"/>
      <c r="AB195" s="240"/>
      <c r="AC195" s="237"/>
      <c r="AD195" s="214"/>
      <c r="AE195" s="21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241" t="s">
        <v>289</v>
      </c>
      <c r="AW195" s="242">
        <f t="shared" si="30"/>
        <v>12.775</v>
      </c>
      <c r="AX195" s="214"/>
      <c r="AY195" s="214"/>
      <c r="AZ195" s="214"/>
      <c r="BA195" s="192"/>
      <c r="BB195" s="193"/>
      <c r="BC195" s="194"/>
      <c r="BD195" s="192"/>
      <c r="BE195" s="193"/>
      <c r="BF195" s="194"/>
      <c r="BG195" s="194"/>
      <c r="BH195" s="194"/>
      <c r="BI195" s="188"/>
      <c r="BJ195" s="192"/>
      <c r="BK195" s="187"/>
      <c r="BL195" s="188"/>
    </row>
    <row r="196" spans="1:64">
      <c r="A196" s="191"/>
      <c r="B196" s="184"/>
      <c r="C196" s="230" t="s">
        <v>343</v>
      </c>
      <c r="D196" s="231">
        <v>2.4</v>
      </c>
      <c r="E196" s="231" t="s">
        <v>324</v>
      </c>
      <c r="F196" s="232">
        <v>1.3</v>
      </c>
      <c r="G196" s="233"/>
      <c r="H196" s="234"/>
      <c r="I196" s="235"/>
      <c r="J196" s="236"/>
      <c r="K196" s="237"/>
      <c r="L196" s="238"/>
      <c r="M196" s="236"/>
      <c r="N196" s="115"/>
      <c r="O196" s="239"/>
      <c r="P196" s="236"/>
      <c r="Q196" s="115"/>
      <c r="R196" s="239"/>
      <c r="S196" s="236"/>
      <c r="T196" s="115"/>
      <c r="U196" s="239"/>
      <c r="V196" s="236"/>
      <c r="W196" s="115"/>
      <c r="X196" s="239"/>
      <c r="Y196" s="113"/>
      <c r="Z196" s="115"/>
      <c r="AA196" s="239"/>
      <c r="AB196" s="240"/>
      <c r="AC196" s="237"/>
      <c r="AD196" s="214"/>
      <c r="AE196" s="21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241" t="s">
        <v>289</v>
      </c>
      <c r="AW196" s="242">
        <f t="shared" si="30"/>
        <v>3.12</v>
      </c>
      <c r="AX196" s="214"/>
      <c r="AY196" s="214"/>
      <c r="AZ196" s="214"/>
      <c r="BA196" s="192"/>
      <c r="BB196" s="193"/>
      <c r="BC196" s="194"/>
      <c r="BD196" s="192"/>
      <c r="BE196" s="193"/>
      <c r="BF196" s="194"/>
      <c r="BG196" s="194"/>
      <c r="BH196" s="194"/>
      <c r="BI196" s="188"/>
      <c r="BJ196" s="192"/>
      <c r="BK196" s="187"/>
      <c r="BL196" s="188"/>
    </row>
    <row r="197" spans="1:64" ht="15.5">
      <c r="A197" s="191"/>
      <c r="B197" s="184"/>
      <c r="C197" s="230" t="s">
        <v>344</v>
      </c>
      <c r="D197" s="231">
        <v>7.38</v>
      </c>
      <c r="E197" s="253" t="s">
        <v>306</v>
      </c>
      <c r="F197" s="232">
        <v>6.75</v>
      </c>
      <c r="G197" s="232" t="s">
        <v>324</v>
      </c>
      <c r="H197" s="234">
        <v>7.9</v>
      </c>
      <c r="I197" s="251" t="s">
        <v>345</v>
      </c>
      <c r="J197" s="254">
        <v>2</v>
      </c>
      <c r="K197" s="237"/>
      <c r="L197" s="238"/>
      <c r="M197" s="236"/>
      <c r="N197" s="115"/>
      <c r="O197" s="239"/>
      <c r="P197" s="236"/>
      <c r="Q197" s="115"/>
      <c r="R197" s="239"/>
      <c r="S197" s="236"/>
      <c r="T197" s="115"/>
      <c r="U197" s="239"/>
      <c r="V197" s="236"/>
      <c r="W197" s="115"/>
      <c r="X197" s="239"/>
      <c r="Z197" s="115"/>
      <c r="AA197" s="239"/>
      <c r="AB197" s="240"/>
      <c r="AC197" s="237"/>
      <c r="AD197" s="214"/>
      <c r="AE197" s="21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241" t="s">
        <v>289</v>
      </c>
      <c r="AW197" s="242">
        <f>(D197+F197)*H197/J197</f>
        <v>55.813499999999998</v>
      </c>
      <c r="AX197" s="214"/>
      <c r="AY197" s="214"/>
      <c r="AZ197" s="214"/>
      <c r="BA197" s="192"/>
      <c r="BB197" s="193"/>
      <c r="BC197" s="194"/>
      <c r="BD197" s="192"/>
      <c r="BE197" s="193"/>
      <c r="BF197" s="194"/>
      <c r="BG197" s="194"/>
      <c r="BH197" s="194"/>
      <c r="BI197" s="188"/>
      <c r="BJ197" s="192"/>
      <c r="BK197" s="187"/>
      <c r="BL197" s="188"/>
    </row>
    <row r="198" spans="1:64">
      <c r="A198" s="191"/>
      <c r="B198" s="184"/>
      <c r="C198" s="230"/>
      <c r="D198" s="255" t="s">
        <v>350</v>
      </c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  <c r="AB198" s="256"/>
      <c r="AC198" s="256"/>
      <c r="AD198" s="256"/>
      <c r="AE198" s="256"/>
      <c r="AF198" s="256"/>
      <c r="AG198" s="256"/>
      <c r="AH198" s="256"/>
      <c r="AI198" s="256"/>
      <c r="AJ198" s="256"/>
      <c r="AK198" s="256"/>
      <c r="AL198" s="256"/>
      <c r="AM198" s="256"/>
      <c r="AN198" s="256"/>
      <c r="AO198" s="256"/>
      <c r="AP198" s="256"/>
      <c r="AQ198" s="256"/>
      <c r="AR198" s="256"/>
      <c r="AS198" s="256"/>
      <c r="AT198" s="256"/>
      <c r="AU198" s="257"/>
      <c r="AV198" s="258" t="s">
        <v>289</v>
      </c>
      <c r="AW198" s="259">
        <f>SUM(AW172:AW197)</f>
        <v>304.81440000000009</v>
      </c>
      <c r="AX198" s="214"/>
      <c r="AY198" s="214"/>
      <c r="AZ198" s="214"/>
      <c r="BA198" s="192"/>
      <c r="BB198" s="193"/>
      <c r="BC198" s="194"/>
      <c r="BD198" s="192"/>
      <c r="BE198" s="193"/>
      <c r="BF198" s="194"/>
      <c r="BG198" s="194"/>
      <c r="BH198" s="194"/>
      <c r="BI198" s="188"/>
      <c r="BJ198" s="192"/>
      <c r="BK198" s="187"/>
      <c r="BL198" s="188"/>
    </row>
    <row r="199" spans="1:64">
      <c r="A199" s="191"/>
      <c r="B199" s="184"/>
      <c r="C199" s="218"/>
      <c r="D199" s="255" t="s">
        <v>351</v>
      </c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  <c r="AB199" s="256"/>
      <c r="AC199" s="256"/>
      <c r="AD199" s="256"/>
      <c r="AE199" s="256"/>
      <c r="AF199" s="256"/>
      <c r="AG199" s="256"/>
      <c r="AH199" s="256"/>
      <c r="AI199" s="256"/>
      <c r="AJ199" s="256"/>
      <c r="AK199" s="256"/>
      <c r="AL199" s="256"/>
      <c r="AM199" s="256"/>
      <c r="AN199" s="256"/>
      <c r="AO199" s="256"/>
      <c r="AP199" s="256"/>
      <c r="AQ199" s="256"/>
      <c r="AR199" s="256"/>
      <c r="AS199" s="256"/>
      <c r="AT199" s="256"/>
      <c r="AU199" s="257"/>
      <c r="AV199" s="258" t="s">
        <v>289</v>
      </c>
      <c r="AW199" s="259">
        <f>AW198+AW170</f>
        <v>651.22240000000011</v>
      </c>
      <c r="AX199" s="214"/>
      <c r="AY199" s="214"/>
      <c r="AZ199" s="214"/>
      <c r="BA199" s="192"/>
      <c r="BB199" s="193"/>
      <c r="BC199" s="194"/>
      <c r="BD199" s="192"/>
      <c r="BE199" s="193"/>
      <c r="BF199" s="194"/>
      <c r="BG199" s="194"/>
      <c r="BH199" s="194"/>
      <c r="BI199" s="188"/>
      <c r="BJ199" s="192"/>
      <c r="BK199" s="187"/>
      <c r="BL199" s="188"/>
    </row>
    <row r="200" spans="1:64" ht="28">
      <c r="A200" s="191" t="s">
        <v>222</v>
      </c>
      <c r="B200" s="196">
        <v>95306</v>
      </c>
      <c r="C200" s="197" t="s">
        <v>223</v>
      </c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214"/>
      <c r="AY200" s="214"/>
      <c r="AZ200" s="214"/>
      <c r="BA200" s="192"/>
      <c r="BB200" s="193"/>
      <c r="BC200" s="194"/>
      <c r="BD200" s="192"/>
      <c r="BE200" s="193"/>
      <c r="BF200" s="194"/>
      <c r="BG200" s="194"/>
      <c r="BH200" s="194"/>
      <c r="BI200" s="188">
        <f>TRUNC(V200*BH200)+0</f>
        <v>0</v>
      </c>
      <c r="BJ200" s="192"/>
      <c r="BK200" s="187">
        <f>TRUNC(BJ200*U200,2)</f>
        <v>0</v>
      </c>
      <c r="BL200" s="188">
        <f>TRUNC(BK200*V200)+0</f>
        <v>0</v>
      </c>
    </row>
    <row r="201" spans="1:64">
      <c r="A201" s="191"/>
      <c r="B201" s="196"/>
      <c r="C201" s="230" t="s">
        <v>323</v>
      </c>
      <c r="D201" s="231">
        <v>1.6</v>
      </c>
      <c r="E201" s="231" t="s">
        <v>324</v>
      </c>
      <c r="F201" s="232">
        <v>1.6</v>
      </c>
      <c r="G201" s="233"/>
      <c r="H201" s="234"/>
      <c r="I201" s="235"/>
      <c r="J201" s="236"/>
      <c r="K201" s="237"/>
      <c r="L201" s="238"/>
      <c r="M201" s="236"/>
      <c r="N201" s="115"/>
      <c r="O201" s="239"/>
      <c r="P201" s="236"/>
      <c r="Q201" s="115"/>
      <c r="R201" s="239"/>
      <c r="S201" s="236"/>
      <c r="T201" s="115"/>
      <c r="U201" s="239"/>
      <c r="V201" s="236"/>
      <c r="W201" s="115"/>
      <c r="X201" s="239"/>
      <c r="Y201" s="113"/>
      <c r="Z201" s="115"/>
      <c r="AA201" s="239"/>
      <c r="AB201" s="240"/>
      <c r="AC201" s="237"/>
      <c r="AD201" s="214"/>
      <c r="AE201" s="21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241" t="s">
        <v>289</v>
      </c>
      <c r="AW201" s="242">
        <f>D201*F201+H201*Y201</f>
        <v>2.5600000000000005</v>
      </c>
      <c r="AX201" s="214"/>
      <c r="AY201" s="214"/>
      <c r="AZ201" s="214"/>
      <c r="BA201" s="192"/>
      <c r="BB201" s="193"/>
      <c r="BC201" s="194"/>
      <c r="BD201" s="192"/>
      <c r="BE201" s="193"/>
      <c r="BF201" s="194"/>
      <c r="BG201" s="194"/>
      <c r="BH201" s="194"/>
      <c r="BI201" s="188"/>
      <c r="BJ201" s="192"/>
      <c r="BK201" s="187"/>
      <c r="BL201" s="188"/>
    </row>
    <row r="202" spans="1:64">
      <c r="A202" s="191"/>
      <c r="B202" s="196"/>
      <c r="C202" s="230" t="s">
        <v>325</v>
      </c>
      <c r="D202" s="231">
        <v>1.8</v>
      </c>
      <c r="E202" s="231" t="s">
        <v>324</v>
      </c>
      <c r="F202" s="232">
        <v>1.6</v>
      </c>
      <c r="G202" s="233"/>
      <c r="H202" s="234"/>
      <c r="I202" s="235"/>
      <c r="J202" s="236"/>
      <c r="K202" s="237"/>
      <c r="L202" s="238"/>
      <c r="M202" s="236"/>
      <c r="N202" s="115"/>
      <c r="O202" s="239"/>
      <c r="P202" s="236"/>
      <c r="Q202" s="115"/>
      <c r="R202" s="239"/>
      <c r="S202" s="236"/>
      <c r="T202" s="115"/>
      <c r="U202" s="239"/>
      <c r="V202" s="236"/>
      <c r="W202" s="115"/>
      <c r="X202" s="239"/>
      <c r="Y202" s="113"/>
      <c r="Z202" s="115"/>
      <c r="AA202" s="239"/>
      <c r="AB202" s="240"/>
      <c r="AC202" s="237"/>
      <c r="AD202" s="214"/>
      <c r="AE202" s="21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241" t="s">
        <v>289</v>
      </c>
      <c r="AW202" s="242">
        <f>D202*F202+H202*Y202</f>
        <v>2.8800000000000003</v>
      </c>
      <c r="AX202" s="214"/>
      <c r="AY202" s="214"/>
      <c r="AZ202" s="214"/>
      <c r="BA202" s="192"/>
      <c r="BB202" s="193"/>
      <c r="BC202" s="194"/>
      <c r="BD202" s="192"/>
      <c r="BE202" s="193"/>
      <c r="BF202" s="194"/>
      <c r="BG202" s="194"/>
      <c r="BH202" s="194"/>
      <c r="BI202" s="188"/>
      <c r="BJ202" s="192"/>
      <c r="BK202" s="187"/>
      <c r="BL202" s="188"/>
    </row>
    <row r="203" spans="1:64">
      <c r="A203" s="191"/>
      <c r="B203" s="196"/>
      <c r="C203" s="230" t="s">
        <v>326</v>
      </c>
      <c r="D203" s="231">
        <v>2.75</v>
      </c>
      <c r="E203" s="231" t="s">
        <v>324</v>
      </c>
      <c r="F203" s="232">
        <v>3.55</v>
      </c>
      <c r="G203" s="233"/>
      <c r="H203" s="234"/>
      <c r="I203" s="235"/>
      <c r="J203" s="236"/>
      <c r="K203" s="237"/>
      <c r="L203" s="238"/>
      <c r="M203" s="236"/>
      <c r="N203" s="115"/>
      <c r="O203" s="239"/>
      <c r="P203" s="236"/>
      <c r="Q203" s="115"/>
      <c r="R203" s="239"/>
      <c r="S203" s="236"/>
      <c r="T203" s="115"/>
      <c r="U203" s="239"/>
      <c r="V203" s="236"/>
      <c r="W203" s="115"/>
      <c r="X203" s="239"/>
      <c r="Y203" s="113"/>
      <c r="Z203" s="115"/>
      <c r="AA203" s="239"/>
      <c r="AB203" s="240"/>
      <c r="AC203" s="237"/>
      <c r="AD203" s="214"/>
      <c r="AE203" s="21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241" t="s">
        <v>289</v>
      </c>
      <c r="AW203" s="242">
        <f>D203*F203+H203*Y203</f>
        <v>9.7624999999999993</v>
      </c>
      <c r="AX203" s="214"/>
      <c r="AY203" s="214"/>
      <c r="AZ203" s="214"/>
      <c r="BA203" s="192"/>
      <c r="BB203" s="193"/>
      <c r="BC203" s="194"/>
      <c r="BD203" s="192"/>
      <c r="BE203" s="193"/>
      <c r="BF203" s="194"/>
      <c r="BG203" s="194"/>
      <c r="BH203" s="194"/>
      <c r="BI203" s="188"/>
      <c r="BJ203" s="192"/>
      <c r="BK203" s="187"/>
      <c r="BL203" s="188"/>
    </row>
    <row r="204" spans="1:64">
      <c r="A204" s="191"/>
      <c r="B204" s="196"/>
      <c r="C204" s="230" t="s">
        <v>327</v>
      </c>
      <c r="D204" s="231">
        <v>2.4</v>
      </c>
      <c r="E204" s="231" t="s">
        <v>324</v>
      </c>
      <c r="F204" s="232">
        <v>2.2000000000000002</v>
      </c>
      <c r="G204" s="233"/>
      <c r="H204" s="234"/>
      <c r="I204" s="235"/>
      <c r="J204" s="236"/>
      <c r="K204" s="237"/>
      <c r="L204" s="238"/>
      <c r="M204" s="236"/>
      <c r="N204" s="115"/>
      <c r="O204" s="239"/>
      <c r="P204" s="236"/>
      <c r="Q204" s="115"/>
      <c r="R204" s="239"/>
      <c r="S204" s="236"/>
      <c r="T204" s="115"/>
      <c r="U204" s="239"/>
      <c r="V204" s="236"/>
      <c r="W204" s="115"/>
      <c r="X204" s="239"/>
      <c r="Y204" s="113"/>
      <c r="Z204" s="115"/>
      <c r="AA204" s="239"/>
      <c r="AB204" s="240"/>
      <c r="AC204" s="237"/>
      <c r="AD204" s="214"/>
      <c r="AE204" s="21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241" t="s">
        <v>289</v>
      </c>
      <c r="AW204" s="242">
        <f>D204*F204+H204*Y204</f>
        <v>5.28</v>
      </c>
      <c r="AX204" s="214"/>
      <c r="AY204" s="214"/>
      <c r="AZ204" s="214"/>
      <c r="BA204" s="192"/>
      <c r="BB204" s="193"/>
      <c r="BC204" s="194"/>
      <c r="BD204" s="192"/>
      <c r="BE204" s="193"/>
      <c r="BF204" s="194"/>
      <c r="BG204" s="194"/>
      <c r="BH204" s="194"/>
      <c r="BI204" s="188"/>
      <c r="BJ204" s="192"/>
      <c r="BK204" s="187"/>
      <c r="BL204" s="188"/>
    </row>
    <row r="205" spans="1:64">
      <c r="A205" s="191"/>
      <c r="B205" s="196"/>
      <c r="C205" s="230" t="s">
        <v>328</v>
      </c>
      <c r="D205" s="231">
        <v>3.4</v>
      </c>
      <c r="E205" s="231" t="s">
        <v>324</v>
      </c>
      <c r="F205" s="232">
        <v>3.2</v>
      </c>
      <c r="G205" s="233"/>
      <c r="H205" s="234"/>
      <c r="I205" s="235"/>
      <c r="J205" s="236"/>
      <c r="K205" s="237"/>
      <c r="L205" s="238"/>
      <c r="M205" s="236"/>
      <c r="N205" s="115"/>
      <c r="O205" s="239"/>
      <c r="P205" s="236"/>
      <c r="Q205" s="115"/>
      <c r="R205" s="239"/>
      <c r="S205" s="236"/>
      <c r="T205" s="115"/>
      <c r="U205" s="239"/>
      <c r="V205" s="236"/>
      <c r="W205" s="115"/>
      <c r="X205" s="239"/>
      <c r="Y205" s="113"/>
      <c r="Z205" s="115"/>
      <c r="AA205" s="239"/>
      <c r="AB205" s="240"/>
      <c r="AC205" s="237"/>
      <c r="AD205" s="214"/>
      <c r="AE205" s="214"/>
      <c r="AF205" s="184"/>
      <c r="AG205" s="184"/>
      <c r="AH205" s="184"/>
      <c r="AI205" s="184"/>
      <c r="AJ205" s="184"/>
      <c r="AK205" s="184"/>
      <c r="AL205" s="184"/>
      <c r="AM205" s="184"/>
      <c r="AN205" s="184"/>
      <c r="AO205" s="184"/>
      <c r="AP205" s="184"/>
      <c r="AQ205" s="184"/>
      <c r="AR205" s="184"/>
      <c r="AS205" s="184"/>
      <c r="AT205" s="184"/>
      <c r="AU205" s="184"/>
      <c r="AV205" s="241" t="s">
        <v>289</v>
      </c>
      <c r="AW205" s="242">
        <f>D205*F205+H205*Y205</f>
        <v>10.88</v>
      </c>
      <c r="AX205" s="214"/>
      <c r="AY205" s="214"/>
      <c r="AZ205" s="214"/>
      <c r="BA205" s="192"/>
      <c r="BB205" s="193"/>
      <c r="BC205" s="194"/>
      <c r="BD205" s="192"/>
      <c r="BE205" s="193"/>
      <c r="BF205" s="194"/>
      <c r="BG205" s="194"/>
      <c r="BH205" s="194"/>
      <c r="BI205" s="188"/>
      <c r="BJ205" s="192"/>
      <c r="BK205" s="187"/>
      <c r="BL205" s="188"/>
    </row>
    <row r="206" spans="1:64">
      <c r="A206" s="191"/>
      <c r="B206" s="196"/>
      <c r="C206" s="230" t="s">
        <v>329</v>
      </c>
      <c r="D206" s="231">
        <v>6.41</v>
      </c>
      <c r="E206" s="231" t="s">
        <v>324</v>
      </c>
      <c r="F206" s="232">
        <v>6.39</v>
      </c>
      <c r="G206" s="243" t="s">
        <v>306</v>
      </c>
      <c r="H206" s="244">
        <v>1.35</v>
      </c>
      <c r="I206" s="232" t="s">
        <v>324</v>
      </c>
      <c r="J206" s="245">
        <v>4.95</v>
      </c>
      <c r="K206" s="246"/>
      <c r="L206" s="241"/>
      <c r="M206" s="247"/>
      <c r="N206" s="248"/>
      <c r="O206" s="249"/>
      <c r="P206" s="247"/>
      <c r="Q206" s="248"/>
      <c r="R206" s="249"/>
      <c r="S206" s="247"/>
      <c r="T206" s="248"/>
      <c r="U206" s="249"/>
      <c r="V206" s="247"/>
      <c r="W206" s="248"/>
      <c r="X206" s="249"/>
      <c r="Z206" s="250"/>
      <c r="AA206" s="239"/>
      <c r="AB206" s="240"/>
      <c r="AC206" s="237"/>
      <c r="AD206" s="214"/>
      <c r="AE206" s="214"/>
      <c r="AF206" s="184"/>
      <c r="AG206" s="184"/>
      <c r="AH206" s="184"/>
      <c r="AI206" s="184"/>
      <c r="AJ206" s="184"/>
      <c r="AK206" s="184"/>
      <c r="AL206" s="184"/>
      <c r="AM206" s="184"/>
      <c r="AN206" s="184"/>
      <c r="AO206" s="184"/>
      <c r="AP206" s="184"/>
      <c r="AQ206" s="184"/>
      <c r="AR206" s="184"/>
      <c r="AS206" s="184"/>
      <c r="AT206" s="184"/>
      <c r="AU206" s="184"/>
      <c r="AV206" s="241" t="s">
        <v>289</v>
      </c>
      <c r="AW206" s="242">
        <f>D206*F206+H206*J206</f>
        <v>47.642399999999995</v>
      </c>
      <c r="AX206" s="214"/>
      <c r="AY206" s="214"/>
      <c r="AZ206" s="214"/>
      <c r="BA206" s="192"/>
      <c r="BB206" s="193"/>
      <c r="BC206" s="194"/>
      <c r="BD206" s="192"/>
      <c r="BE206" s="193"/>
      <c r="BF206" s="194"/>
      <c r="BG206" s="194"/>
      <c r="BH206" s="194"/>
      <c r="BI206" s="188"/>
      <c r="BJ206" s="192"/>
      <c r="BK206" s="187"/>
      <c r="BL206" s="188"/>
    </row>
    <row r="207" spans="1:64">
      <c r="A207" s="191"/>
      <c r="B207" s="196"/>
      <c r="C207" s="230" t="s">
        <v>330</v>
      </c>
      <c r="D207" s="231">
        <v>3.06</v>
      </c>
      <c r="E207" s="231" t="s">
        <v>324</v>
      </c>
      <c r="F207" s="232">
        <v>1.1000000000000001</v>
      </c>
      <c r="G207" s="233"/>
      <c r="H207" s="9"/>
      <c r="I207" s="251"/>
      <c r="K207" s="246"/>
      <c r="L207" s="241"/>
      <c r="M207" s="247"/>
      <c r="N207" s="248"/>
      <c r="O207" s="249"/>
      <c r="P207" s="247"/>
      <c r="Q207" s="248"/>
      <c r="R207" s="249"/>
      <c r="S207" s="247"/>
      <c r="T207" s="248"/>
      <c r="U207" s="249"/>
      <c r="V207" s="247"/>
      <c r="W207" s="248"/>
      <c r="X207" s="249"/>
      <c r="Y207" s="252"/>
      <c r="Z207" s="250"/>
      <c r="AA207" s="239"/>
      <c r="AB207" s="240"/>
      <c r="AC207" s="237"/>
      <c r="AD207" s="214"/>
      <c r="AE207" s="21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241" t="s">
        <v>289</v>
      </c>
      <c r="AW207" s="242">
        <f t="shared" ref="AW207:AW225" si="31">D207*F207+H207*Y207</f>
        <v>3.3660000000000005</v>
      </c>
      <c r="AX207" s="214"/>
      <c r="AY207" s="214"/>
      <c r="AZ207" s="214"/>
      <c r="BA207" s="192"/>
      <c r="BB207" s="193"/>
      <c r="BC207" s="194"/>
      <c r="BD207" s="192"/>
      <c r="BE207" s="193"/>
      <c r="BF207" s="194"/>
      <c r="BG207" s="194"/>
      <c r="BH207" s="194"/>
      <c r="BI207" s="188"/>
      <c r="BJ207" s="192"/>
      <c r="BK207" s="187"/>
      <c r="BL207" s="188"/>
    </row>
    <row r="208" spans="1:64">
      <c r="A208" s="191"/>
      <c r="B208" s="196"/>
      <c r="C208" s="230" t="s">
        <v>331</v>
      </c>
      <c r="D208" s="231">
        <v>2.8</v>
      </c>
      <c r="E208" s="231" t="s">
        <v>324</v>
      </c>
      <c r="F208" s="232">
        <v>3.05</v>
      </c>
      <c r="G208" s="233"/>
      <c r="H208" s="234"/>
      <c r="I208" s="235"/>
      <c r="J208" s="236"/>
      <c r="K208" s="237"/>
      <c r="L208" s="238"/>
      <c r="M208" s="236"/>
      <c r="N208" s="115"/>
      <c r="O208" s="239"/>
      <c r="P208" s="236"/>
      <c r="Q208" s="115"/>
      <c r="R208" s="239"/>
      <c r="S208" s="236"/>
      <c r="T208" s="115"/>
      <c r="U208" s="239"/>
      <c r="V208" s="236"/>
      <c r="W208" s="115"/>
      <c r="X208" s="239"/>
      <c r="Y208" s="113"/>
      <c r="Z208" s="115"/>
      <c r="AA208" s="239"/>
      <c r="AB208" s="240"/>
      <c r="AC208" s="237"/>
      <c r="AD208" s="214"/>
      <c r="AE208" s="21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241" t="s">
        <v>289</v>
      </c>
      <c r="AW208" s="242">
        <f t="shared" si="31"/>
        <v>8.5399999999999991</v>
      </c>
      <c r="AX208" s="214"/>
      <c r="AY208" s="214"/>
      <c r="AZ208" s="214"/>
      <c r="BA208" s="192"/>
      <c r="BB208" s="193"/>
      <c r="BC208" s="194"/>
      <c r="BD208" s="192"/>
      <c r="BE208" s="193"/>
      <c r="BF208" s="194"/>
      <c r="BG208" s="194"/>
      <c r="BH208" s="194"/>
      <c r="BI208" s="188"/>
      <c r="BJ208" s="192"/>
      <c r="BK208" s="187"/>
      <c r="BL208" s="188"/>
    </row>
    <row r="209" spans="1:64">
      <c r="A209" s="191"/>
      <c r="B209" s="196"/>
      <c r="C209" s="230" t="s">
        <v>332</v>
      </c>
      <c r="D209" s="231">
        <v>2</v>
      </c>
      <c r="E209" s="231" t="s">
        <v>324</v>
      </c>
      <c r="F209" s="232">
        <v>14.75</v>
      </c>
      <c r="G209" s="233"/>
      <c r="H209" s="234"/>
      <c r="I209" s="235"/>
      <c r="J209" s="236"/>
      <c r="K209" s="237"/>
      <c r="L209" s="238"/>
      <c r="M209" s="236"/>
      <c r="N209" s="115"/>
      <c r="O209" s="239"/>
      <c r="P209" s="236"/>
      <c r="Q209" s="115"/>
      <c r="R209" s="239"/>
      <c r="S209" s="236"/>
      <c r="T209" s="115"/>
      <c r="U209" s="239"/>
      <c r="V209" s="236"/>
      <c r="W209" s="115"/>
      <c r="X209" s="239"/>
      <c r="Y209" s="113"/>
      <c r="Z209" s="115"/>
      <c r="AA209" s="239"/>
      <c r="AB209" s="240"/>
      <c r="AC209" s="237"/>
      <c r="AD209" s="214"/>
      <c r="AE209" s="21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241" t="s">
        <v>289</v>
      </c>
      <c r="AW209" s="242">
        <f t="shared" si="31"/>
        <v>29.5</v>
      </c>
      <c r="AX209" s="214"/>
      <c r="AY209" s="214"/>
      <c r="AZ209" s="214"/>
      <c r="BA209" s="192"/>
      <c r="BB209" s="193"/>
      <c r="BC209" s="194"/>
      <c r="BD209" s="192"/>
      <c r="BE209" s="193"/>
      <c r="BF209" s="194"/>
      <c r="BG209" s="194"/>
      <c r="BH209" s="194"/>
      <c r="BI209" s="188"/>
      <c r="BJ209" s="192"/>
      <c r="BK209" s="187"/>
      <c r="BL209" s="188"/>
    </row>
    <row r="210" spans="1:64">
      <c r="A210" s="191"/>
      <c r="B210" s="196"/>
      <c r="C210" s="230" t="s">
        <v>333</v>
      </c>
      <c r="D210" s="231">
        <v>3.65</v>
      </c>
      <c r="E210" s="231" t="s">
        <v>324</v>
      </c>
      <c r="F210" s="232">
        <v>3.5</v>
      </c>
      <c r="G210" s="233"/>
      <c r="H210" s="234"/>
      <c r="I210" s="235"/>
      <c r="J210" s="236"/>
      <c r="K210" s="237"/>
      <c r="L210" s="238"/>
      <c r="M210" s="236"/>
      <c r="N210" s="115"/>
      <c r="O210" s="239"/>
      <c r="P210" s="236"/>
      <c r="Q210" s="115"/>
      <c r="R210" s="239"/>
      <c r="S210" s="236"/>
      <c r="T210" s="115"/>
      <c r="U210" s="239"/>
      <c r="V210" s="236"/>
      <c r="W210" s="115"/>
      <c r="X210" s="239"/>
      <c r="Y210" s="113"/>
      <c r="Z210" s="115"/>
      <c r="AA210" s="239"/>
      <c r="AB210" s="240"/>
      <c r="AC210" s="237"/>
      <c r="AD210" s="214"/>
      <c r="AE210" s="214"/>
      <c r="AF210" s="184"/>
      <c r="AG210" s="184"/>
      <c r="AH210" s="184"/>
      <c r="AI210" s="184"/>
      <c r="AJ210" s="184"/>
      <c r="AK210" s="184"/>
      <c r="AL210" s="184"/>
      <c r="AM210" s="184"/>
      <c r="AN210" s="184"/>
      <c r="AO210" s="184"/>
      <c r="AP210" s="184"/>
      <c r="AQ210" s="184"/>
      <c r="AR210" s="184"/>
      <c r="AS210" s="184"/>
      <c r="AT210" s="184"/>
      <c r="AU210" s="184"/>
      <c r="AV210" s="241" t="s">
        <v>289</v>
      </c>
      <c r="AW210" s="242">
        <f t="shared" si="31"/>
        <v>12.775</v>
      </c>
      <c r="AX210" s="214"/>
      <c r="AY210" s="214"/>
      <c r="AZ210" s="214"/>
      <c r="BA210" s="192"/>
      <c r="BB210" s="193"/>
      <c r="BC210" s="194"/>
      <c r="BD210" s="192"/>
      <c r="BE210" s="193"/>
      <c r="BF210" s="194"/>
      <c r="BG210" s="194"/>
      <c r="BH210" s="194"/>
      <c r="BI210" s="188"/>
      <c r="BJ210" s="192"/>
      <c r="BK210" s="187"/>
      <c r="BL210" s="188"/>
    </row>
    <row r="211" spans="1:64">
      <c r="A211" s="191"/>
      <c r="B211" s="196"/>
      <c r="C211" s="230" t="s">
        <v>334</v>
      </c>
      <c r="D211" s="231">
        <v>3.5</v>
      </c>
      <c r="E211" s="231" t="s">
        <v>324</v>
      </c>
      <c r="F211" s="232">
        <v>1.3</v>
      </c>
      <c r="G211" s="233"/>
      <c r="H211" s="234"/>
      <c r="I211" s="235"/>
      <c r="J211" s="236"/>
      <c r="K211" s="237"/>
      <c r="L211" s="238"/>
      <c r="M211" s="236"/>
      <c r="N211" s="115"/>
      <c r="O211" s="239"/>
      <c r="P211" s="236"/>
      <c r="Q211" s="115"/>
      <c r="R211" s="239"/>
      <c r="S211" s="236"/>
      <c r="T211" s="115"/>
      <c r="U211" s="239"/>
      <c r="V211" s="236"/>
      <c r="W211" s="115"/>
      <c r="X211" s="239"/>
      <c r="Y211" s="113"/>
      <c r="Z211" s="115"/>
      <c r="AA211" s="239"/>
      <c r="AB211" s="240"/>
      <c r="AC211" s="237"/>
      <c r="AD211" s="214"/>
      <c r="AE211" s="214"/>
      <c r="AF211" s="184"/>
      <c r="AG211" s="184"/>
      <c r="AH211" s="184"/>
      <c r="AI211" s="184"/>
      <c r="AJ211" s="184"/>
      <c r="AK211" s="184"/>
      <c r="AL211" s="184"/>
      <c r="AM211" s="184"/>
      <c r="AN211" s="184"/>
      <c r="AO211" s="184"/>
      <c r="AP211" s="184"/>
      <c r="AQ211" s="184"/>
      <c r="AR211" s="184"/>
      <c r="AS211" s="184"/>
      <c r="AT211" s="184"/>
      <c r="AU211" s="184"/>
      <c r="AV211" s="241" t="s">
        <v>289</v>
      </c>
      <c r="AW211" s="242">
        <f t="shared" si="31"/>
        <v>4.55</v>
      </c>
      <c r="AX211" s="214"/>
      <c r="AY211" s="214"/>
      <c r="AZ211" s="214"/>
      <c r="BA211" s="192"/>
      <c r="BB211" s="193"/>
      <c r="BC211" s="194"/>
      <c r="BD211" s="192"/>
      <c r="BE211" s="193"/>
      <c r="BF211" s="194"/>
      <c r="BG211" s="194"/>
      <c r="BH211" s="194"/>
      <c r="BI211" s="188"/>
      <c r="BJ211" s="192"/>
      <c r="BK211" s="187"/>
      <c r="BL211" s="188"/>
    </row>
    <row r="212" spans="1:64">
      <c r="A212" s="191"/>
      <c r="B212" s="196"/>
      <c r="C212" s="230" t="s">
        <v>335</v>
      </c>
      <c r="D212" s="231">
        <v>3.65</v>
      </c>
      <c r="E212" s="231" t="s">
        <v>324</v>
      </c>
      <c r="F212" s="232">
        <v>3.5</v>
      </c>
      <c r="G212" s="233"/>
      <c r="H212" s="234"/>
      <c r="I212" s="235"/>
      <c r="J212" s="236"/>
      <c r="K212" s="237"/>
      <c r="L212" s="238"/>
      <c r="M212" s="236"/>
      <c r="N212" s="115"/>
      <c r="O212" s="239"/>
      <c r="P212" s="236"/>
      <c r="Q212" s="115"/>
      <c r="R212" s="239"/>
      <c r="S212" s="236"/>
      <c r="T212" s="115"/>
      <c r="U212" s="239"/>
      <c r="V212" s="236"/>
      <c r="W212" s="115"/>
      <c r="X212" s="239"/>
      <c r="Y212" s="113"/>
      <c r="Z212" s="115"/>
      <c r="AA212" s="239"/>
      <c r="AB212" s="240"/>
      <c r="AC212" s="237"/>
      <c r="AD212" s="214"/>
      <c r="AE212" s="214"/>
      <c r="AF212" s="184"/>
      <c r="AG212" s="184"/>
      <c r="AH212" s="184"/>
      <c r="AI212" s="184"/>
      <c r="AJ212" s="184"/>
      <c r="AK212" s="184"/>
      <c r="AL212" s="184"/>
      <c r="AM212" s="184"/>
      <c r="AN212" s="184"/>
      <c r="AO212" s="184"/>
      <c r="AP212" s="184"/>
      <c r="AQ212" s="184"/>
      <c r="AR212" s="184"/>
      <c r="AS212" s="184"/>
      <c r="AT212" s="184"/>
      <c r="AU212" s="184"/>
      <c r="AV212" s="241" t="s">
        <v>289</v>
      </c>
      <c r="AW212" s="242">
        <f t="shared" si="31"/>
        <v>12.775</v>
      </c>
      <c r="AX212" s="214"/>
      <c r="AY212" s="214"/>
      <c r="AZ212" s="214"/>
      <c r="BA212" s="192"/>
      <c r="BB212" s="193"/>
      <c r="BC212" s="194"/>
      <c r="BD212" s="192"/>
      <c r="BE212" s="193"/>
      <c r="BF212" s="194"/>
      <c r="BG212" s="194"/>
      <c r="BH212" s="194"/>
      <c r="BI212" s="188"/>
      <c r="BJ212" s="192"/>
      <c r="BK212" s="187"/>
      <c r="BL212" s="188"/>
    </row>
    <row r="213" spans="1:64">
      <c r="A213" s="191"/>
      <c r="B213" s="196"/>
      <c r="C213" s="230" t="s">
        <v>336</v>
      </c>
      <c r="D213" s="231">
        <v>2.4</v>
      </c>
      <c r="E213" s="231" t="s">
        <v>324</v>
      </c>
      <c r="F213" s="232">
        <v>1.3</v>
      </c>
      <c r="G213" s="233"/>
      <c r="H213" s="234"/>
      <c r="I213" s="235"/>
      <c r="J213" s="236"/>
      <c r="K213" s="237"/>
      <c r="L213" s="238"/>
      <c r="M213" s="236"/>
      <c r="N213" s="115"/>
      <c r="O213" s="239"/>
      <c r="P213" s="236"/>
      <c r="Q213" s="115"/>
      <c r="R213" s="239"/>
      <c r="S213" s="236"/>
      <c r="T213" s="115"/>
      <c r="U213" s="239"/>
      <c r="V213" s="236"/>
      <c r="W213" s="115"/>
      <c r="X213" s="239"/>
      <c r="Y213" s="113"/>
      <c r="Z213" s="115"/>
      <c r="AA213" s="239"/>
      <c r="AB213" s="240"/>
      <c r="AC213" s="237"/>
      <c r="AD213" s="214"/>
      <c r="AE213" s="214"/>
      <c r="AF213" s="184"/>
      <c r="AG213" s="184"/>
      <c r="AH213" s="184"/>
      <c r="AI213" s="184"/>
      <c r="AJ213" s="184"/>
      <c r="AK213" s="184"/>
      <c r="AL213" s="184"/>
      <c r="AM213" s="184"/>
      <c r="AN213" s="184"/>
      <c r="AO213" s="184"/>
      <c r="AP213" s="184"/>
      <c r="AQ213" s="184"/>
      <c r="AR213" s="184"/>
      <c r="AS213" s="184"/>
      <c r="AT213" s="184"/>
      <c r="AU213" s="184"/>
      <c r="AV213" s="241" t="s">
        <v>289</v>
      </c>
      <c r="AW213" s="242">
        <f t="shared" si="31"/>
        <v>3.12</v>
      </c>
      <c r="AX213" s="214"/>
      <c r="AY213" s="214"/>
      <c r="AZ213" s="214"/>
      <c r="BA213" s="192"/>
      <c r="BB213" s="193"/>
      <c r="BC213" s="194"/>
      <c r="BD213" s="192"/>
      <c r="BE213" s="193"/>
      <c r="BF213" s="194"/>
      <c r="BG213" s="194"/>
      <c r="BH213" s="194"/>
      <c r="BI213" s="188"/>
      <c r="BJ213" s="192"/>
      <c r="BK213" s="187"/>
      <c r="BL213" s="188"/>
    </row>
    <row r="214" spans="1:64">
      <c r="A214" s="191"/>
      <c r="B214" s="196"/>
      <c r="C214" s="230" t="s">
        <v>337</v>
      </c>
      <c r="D214" s="231">
        <v>3.65</v>
      </c>
      <c r="E214" s="231" t="s">
        <v>324</v>
      </c>
      <c r="F214" s="232">
        <v>3.5</v>
      </c>
      <c r="G214" s="233"/>
      <c r="H214" s="234"/>
      <c r="I214" s="235"/>
      <c r="J214" s="236"/>
      <c r="K214" s="237"/>
      <c r="L214" s="238"/>
      <c r="M214" s="236"/>
      <c r="N214" s="115"/>
      <c r="O214" s="239"/>
      <c r="P214" s="236"/>
      <c r="Q214" s="115"/>
      <c r="R214" s="239"/>
      <c r="S214" s="236"/>
      <c r="T214" s="115"/>
      <c r="U214" s="239"/>
      <c r="V214" s="236"/>
      <c r="W214" s="115"/>
      <c r="X214" s="239"/>
      <c r="Y214" s="113"/>
      <c r="Z214" s="115"/>
      <c r="AA214" s="239"/>
      <c r="AB214" s="240"/>
      <c r="AC214" s="237"/>
      <c r="AD214" s="214"/>
      <c r="AE214" s="214"/>
      <c r="AF214" s="184"/>
      <c r="AG214" s="184"/>
      <c r="AH214" s="184"/>
      <c r="AI214" s="184"/>
      <c r="AJ214" s="184"/>
      <c r="AK214" s="184"/>
      <c r="AL214" s="184"/>
      <c r="AM214" s="184"/>
      <c r="AN214" s="184"/>
      <c r="AO214" s="184"/>
      <c r="AP214" s="184"/>
      <c r="AQ214" s="184"/>
      <c r="AR214" s="184"/>
      <c r="AS214" s="184"/>
      <c r="AT214" s="184"/>
      <c r="AU214" s="184"/>
      <c r="AV214" s="241" t="s">
        <v>289</v>
      </c>
      <c r="AW214" s="242">
        <f t="shared" si="31"/>
        <v>12.775</v>
      </c>
      <c r="AX214" s="214"/>
      <c r="AY214" s="214"/>
      <c r="AZ214" s="214"/>
      <c r="BA214" s="192"/>
      <c r="BB214" s="193"/>
      <c r="BC214" s="194"/>
      <c r="BD214" s="192"/>
      <c r="BE214" s="193"/>
      <c r="BF214" s="194"/>
      <c r="BG214" s="194"/>
      <c r="BH214" s="194"/>
      <c r="BI214" s="188"/>
      <c r="BJ214" s="192"/>
      <c r="BK214" s="187"/>
      <c r="BL214" s="188"/>
    </row>
    <row r="215" spans="1:64">
      <c r="A215" s="191"/>
      <c r="B215" s="196"/>
      <c r="C215" s="230" t="s">
        <v>336</v>
      </c>
      <c r="D215" s="231">
        <v>2.4</v>
      </c>
      <c r="E215" s="231" t="s">
        <v>324</v>
      </c>
      <c r="F215" s="232">
        <v>1.3</v>
      </c>
      <c r="G215" s="233"/>
      <c r="H215" s="234"/>
      <c r="I215" s="235"/>
      <c r="J215" s="236"/>
      <c r="K215" s="237"/>
      <c r="L215" s="238"/>
      <c r="M215" s="236"/>
      <c r="N215" s="115"/>
      <c r="O215" s="239"/>
      <c r="P215" s="236"/>
      <c r="Q215" s="115"/>
      <c r="R215" s="239"/>
      <c r="S215" s="236"/>
      <c r="T215" s="115"/>
      <c r="U215" s="239"/>
      <c r="V215" s="236"/>
      <c r="W215" s="115"/>
      <c r="X215" s="239"/>
      <c r="Y215" s="113"/>
      <c r="Z215" s="115"/>
      <c r="AA215" s="239"/>
      <c r="AB215" s="240"/>
      <c r="AC215" s="237"/>
      <c r="AD215" s="214"/>
      <c r="AE215" s="214"/>
      <c r="AF215" s="184"/>
      <c r="AG215" s="184"/>
      <c r="AH215" s="184"/>
      <c r="AI215" s="184"/>
      <c r="AJ215" s="184"/>
      <c r="AK215" s="184"/>
      <c r="AL215" s="184"/>
      <c r="AM215" s="184"/>
      <c r="AN215" s="184"/>
      <c r="AO215" s="184"/>
      <c r="AP215" s="184"/>
      <c r="AQ215" s="184"/>
      <c r="AR215" s="184"/>
      <c r="AS215" s="184"/>
      <c r="AT215" s="184"/>
      <c r="AU215" s="184"/>
      <c r="AV215" s="241" t="s">
        <v>289</v>
      </c>
      <c r="AW215" s="242">
        <f t="shared" si="31"/>
        <v>3.12</v>
      </c>
      <c r="AX215" s="214"/>
      <c r="AY215" s="214"/>
      <c r="AZ215" s="214"/>
      <c r="BA215" s="192"/>
      <c r="BB215" s="193"/>
      <c r="BC215" s="194"/>
      <c r="BD215" s="192"/>
      <c r="BE215" s="193"/>
      <c r="BF215" s="194"/>
      <c r="BG215" s="194"/>
      <c r="BH215" s="194"/>
      <c r="BI215" s="188"/>
      <c r="BJ215" s="192"/>
      <c r="BK215" s="187"/>
      <c r="BL215" s="188"/>
    </row>
    <row r="216" spans="1:64">
      <c r="A216" s="191"/>
      <c r="B216" s="196"/>
      <c r="C216" s="230" t="s">
        <v>338</v>
      </c>
      <c r="D216" s="231">
        <v>3.65</v>
      </c>
      <c r="E216" s="231" t="s">
        <v>324</v>
      </c>
      <c r="F216" s="232">
        <v>3.5</v>
      </c>
      <c r="G216" s="233"/>
      <c r="H216" s="234"/>
      <c r="I216" s="235"/>
      <c r="J216" s="236"/>
      <c r="K216" s="237"/>
      <c r="L216" s="238"/>
      <c r="M216" s="236"/>
      <c r="N216" s="115"/>
      <c r="O216" s="239"/>
      <c r="P216" s="236"/>
      <c r="Q216" s="115"/>
      <c r="R216" s="239"/>
      <c r="S216" s="236"/>
      <c r="T216" s="115"/>
      <c r="U216" s="239"/>
      <c r="V216" s="236"/>
      <c r="W216" s="115"/>
      <c r="X216" s="239"/>
      <c r="Y216" s="113"/>
      <c r="Z216" s="115"/>
      <c r="AA216" s="239"/>
      <c r="AB216" s="240"/>
      <c r="AC216" s="237"/>
      <c r="AD216" s="214"/>
      <c r="AE216" s="214"/>
      <c r="AF216" s="184"/>
      <c r="AG216" s="184"/>
      <c r="AH216" s="184"/>
      <c r="AI216" s="184"/>
      <c r="AJ216" s="184"/>
      <c r="AK216" s="184"/>
      <c r="AL216" s="184"/>
      <c r="AM216" s="184"/>
      <c r="AN216" s="184"/>
      <c r="AO216" s="184"/>
      <c r="AP216" s="184"/>
      <c r="AQ216" s="184"/>
      <c r="AR216" s="184"/>
      <c r="AS216" s="184"/>
      <c r="AT216" s="184"/>
      <c r="AU216" s="184"/>
      <c r="AV216" s="241" t="s">
        <v>289</v>
      </c>
      <c r="AW216" s="242">
        <f t="shared" si="31"/>
        <v>12.775</v>
      </c>
      <c r="AX216" s="214"/>
      <c r="AY216" s="214"/>
      <c r="AZ216" s="214"/>
      <c r="BA216" s="192"/>
      <c r="BB216" s="193"/>
      <c r="BC216" s="194"/>
      <c r="BD216" s="192"/>
      <c r="BE216" s="193"/>
      <c r="BF216" s="194"/>
      <c r="BG216" s="194"/>
      <c r="BH216" s="194"/>
      <c r="BI216" s="188"/>
      <c r="BJ216" s="192"/>
      <c r="BK216" s="187"/>
      <c r="BL216" s="188"/>
    </row>
    <row r="217" spans="1:64">
      <c r="A217" s="191"/>
      <c r="B217" s="196"/>
      <c r="C217" s="230" t="s">
        <v>336</v>
      </c>
      <c r="D217" s="231">
        <v>2.4</v>
      </c>
      <c r="E217" s="231" t="s">
        <v>324</v>
      </c>
      <c r="F217" s="232">
        <v>1.3</v>
      </c>
      <c r="G217" s="233"/>
      <c r="H217" s="234"/>
      <c r="I217" s="235"/>
      <c r="J217" s="236"/>
      <c r="K217" s="237"/>
      <c r="L217" s="238"/>
      <c r="M217" s="236"/>
      <c r="N217" s="115"/>
      <c r="O217" s="239"/>
      <c r="P217" s="236"/>
      <c r="Q217" s="115"/>
      <c r="R217" s="239"/>
      <c r="S217" s="236"/>
      <c r="T217" s="115"/>
      <c r="U217" s="239"/>
      <c r="V217" s="236"/>
      <c r="W217" s="115"/>
      <c r="X217" s="239"/>
      <c r="Y217" s="113"/>
      <c r="Z217" s="115"/>
      <c r="AA217" s="239"/>
      <c r="AB217" s="240"/>
      <c r="AC217" s="237"/>
      <c r="AD217" s="214"/>
      <c r="AE217" s="214"/>
      <c r="AF217" s="184"/>
      <c r="AG217" s="184"/>
      <c r="AH217" s="184"/>
      <c r="AI217" s="184"/>
      <c r="AJ217" s="184"/>
      <c r="AK217" s="184"/>
      <c r="AL217" s="184"/>
      <c r="AM217" s="184"/>
      <c r="AN217" s="184"/>
      <c r="AO217" s="184"/>
      <c r="AP217" s="184"/>
      <c r="AQ217" s="184"/>
      <c r="AR217" s="184"/>
      <c r="AS217" s="184"/>
      <c r="AT217" s="184"/>
      <c r="AU217" s="184"/>
      <c r="AV217" s="241" t="s">
        <v>289</v>
      </c>
      <c r="AW217" s="242">
        <f t="shared" si="31"/>
        <v>3.12</v>
      </c>
      <c r="AX217" s="214"/>
      <c r="AY217" s="214"/>
      <c r="AZ217" s="214"/>
      <c r="BA217" s="192"/>
      <c r="BB217" s="193"/>
      <c r="BC217" s="194"/>
      <c r="BD217" s="192"/>
      <c r="BE217" s="193"/>
      <c r="BF217" s="194"/>
      <c r="BG217" s="194"/>
      <c r="BH217" s="194"/>
      <c r="BI217" s="188"/>
      <c r="BJ217" s="192"/>
      <c r="BK217" s="187"/>
      <c r="BL217" s="188"/>
    </row>
    <row r="218" spans="1:64">
      <c r="A218" s="191"/>
      <c r="B218" s="196"/>
      <c r="C218" s="230" t="s">
        <v>339</v>
      </c>
      <c r="D218" s="231">
        <v>3.65</v>
      </c>
      <c r="E218" s="231" t="s">
        <v>324</v>
      </c>
      <c r="F218" s="232">
        <v>3.5</v>
      </c>
      <c r="G218" s="233"/>
      <c r="H218" s="234"/>
      <c r="I218" s="235"/>
      <c r="J218" s="236"/>
      <c r="K218" s="237"/>
      <c r="L218" s="238"/>
      <c r="M218" s="236"/>
      <c r="N218" s="115"/>
      <c r="O218" s="239"/>
      <c r="P218" s="236"/>
      <c r="Q218" s="115"/>
      <c r="R218" s="239"/>
      <c r="S218" s="236"/>
      <c r="T218" s="115"/>
      <c r="U218" s="239"/>
      <c r="V218" s="236"/>
      <c r="W218" s="115"/>
      <c r="X218" s="239"/>
      <c r="Y218" s="113"/>
      <c r="Z218" s="115"/>
      <c r="AA218" s="239"/>
      <c r="AB218" s="240"/>
      <c r="AC218" s="237"/>
      <c r="AD218" s="214"/>
      <c r="AE218" s="21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4"/>
      <c r="AR218" s="184"/>
      <c r="AS218" s="184"/>
      <c r="AT218" s="184"/>
      <c r="AU218" s="184"/>
      <c r="AV218" s="241" t="s">
        <v>289</v>
      </c>
      <c r="AW218" s="242">
        <f t="shared" si="31"/>
        <v>12.775</v>
      </c>
      <c r="AX218" s="214"/>
      <c r="AY218" s="214"/>
      <c r="AZ218" s="214"/>
      <c r="BA218" s="192"/>
      <c r="BB218" s="193"/>
      <c r="BC218" s="194"/>
      <c r="BD218" s="192"/>
      <c r="BE218" s="193"/>
      <c r="BF218" s="194"/>
      <c r="BG218" s="194"/>
      <c r="BH218" s="194"/>
      <c r="BI218" s="188"/>
      <c r="BJ218" s="192"/>
      <c r="BK218" s="187"/>
      <c r="BL218" s="188"/>
    </row>
    <row r="219" spans="1:64">
      <c r="A219" s="191"/>
      <c r="B219" s="196"/>
      <c r="C219" s="230" t="s">
        <v>336</v>
      </c>
      <c r="D219" s="231">
        <v>2.4</v>
      </c>
      <c r="E219" s="231" t="s">
        <v>324</v>
      </c>
      <c r="F219" s="232">
        <v>1.3</v>
      </c>
      <c r="G219" s="233"/>
      <c r="H219" s="234"/>
      <c r="I219" s="235"/>
      <c r="J219" s="236"/>
      <c r="K219" s="237"/>
      <c r="L219" s="238"/>
      <c r="M219" s="236"/>
      <c r="N219" s="115"/>
      <c r="O219" s="239"/>
      <c r="P219" s="236"/>
      <c r="Q219" s="115"/>
      <c r="R219" s="239"/>
      <c r="S219" s="236"/>
      <c r="T219" s="115"/>
      <c r="U219" s="239"/>
      <c r="V219" s="236"/>
      <c r="W219" s="115"/>
      <c r="X219" s="239"/>
      <c r="Y219" s="113"/>
      <c r="Z219" s="115"/>
      <c r="AA219" s="239"/>
      <c r="AB219" s="240"/>
      <c r="AC219" s="237"/>
      <c r="AD219" s="214"/>
      <c r="AE219" s="214"/>
      <c r="AF219" s="184"/>
      <c r="AG219" s="184"/>
      <c r="AH219" s="184"/>
      <c r="AI219" s="184"/>
      <c r="AJ219" s="184"/>
      <c r="AK219" s="184"/>
      <c r="AL219" s="184"/>
      <c r="AM219" s="184"/>
      <c r="AN219" s="184"/>
      <c r="AO219" s="184"/>
      <c r="AP219" s="184"/>
      <c r="AQ219" s="184"/>
      <c r="AR219" s="184"/>
      <c r="AS219" s="184"/>
      <c r="AT219" s="184"/>
      <c r="AU219" s="184"/>
      <c r="AV219" s="241" t="s">
        <v>289</v>
      </c>
      <c r="AW219" s="242">
        <f t="shared" si="31"/>
        <v>3.12</v>
      </c>
      <c r="AX219" s="214"/>
      <c r="AY219" s="214"/>
      <c r="AZ219" s="214"/>
      <c r="BA219" s="192"/>
      <c r="BB219" s="193"/>
      <c r="BC219" s="194"/>
      <c r="BD219" s="192"/>
      <c r="BE219" s="193"/>
      <c r="BF219" s="194"/>
      <c r="BG219" s="194"/>
      <c r="BH219" s="194"/>
      <c r="BI219" s="188"/>
      <c r="BJ219" s="192"/>
      <c r="BK219" s="187"/>
      <c r="BL219" s="188"/>
    </row>
    <row r="220" spans="1:64">
      <c r="A220" s="191"/>
      <c r="B220" s="196"/>
      <c r="C220" s="230" t="s">
        <v>340</v>
      </c>
      <c r="D220" s="231">
        <v>3.65</v>
      </c>
      <c r="E220" s="231" t="s">
        <v>324</v>
      </c>
      <c r="F220" s="232">
        <v>3.5</v>
      </c>
      <c r="G220" s="233"/>
      <c r="H220" s="234"/>
      <c r="I220" s="235"/>
      <c r="J220" s="236"/>
      <c r="K220" s="237"/>
      <c r="L220" s="238"/>
      <c r="M220" s="236"/>
      <c r="N220" s="115"/>
      <c r="O220" s="239"/>
      <c r="P220" s="236"/>
      <c r="Q220" s="115"/>
      <c r="R220" s="239"/>
      <c r="S220" s="236"/>
      <c r="T220" s="115"/>
      <c r="U220" s="239"/>
      <c r="V220" s="236"/>
      <c r="W220" s="115"/>
      <c r="X220" s="239"/>
      <c r="Y220" s="113"/>
      <c r="Z220" s="115"/>
      <c r="AA220" s="239"/>
      <c r="AB220" s="240"/>
      <c r="AC220" s="237"/>
      <c r="AD220" s="214"/>
      <c r="AE220" s="214"/>
      <c r="AF220" s="184"/>
      <c r="AG220" s="184"/>
      <c r="AH220" s="184"/>
      <c r="AI220" s="184"/>
      <c r="AJ220" s="184"/>
      <c r="AK220" s="184"/>
      <c r="AL220" s="184"/>
      <c r="AM220" s="184"/>
      <c r="AN220" s="184"/>
      <c r="AO220" s="184"/>
      <c r="AP220" s="184"/>
      <c r="AQ220" s="184"/>
      <c r="AR220" s="184"/>
      <c r="AS220" s="184"/>
      <c r="AT220" s="184"/>
      <c r="AU220" s="184"/>
      <c r="AV220" s="241" t="s">
        <v>289</v>
      </c>
      <c r="AW220" s="242">
        <f t="shared" si="31"/>
        <v>12.775</v>
      </c>
      <c r="AX220" s="214"/>
      <c r="AY220" s="214"/>
      <c r="AZ220" s="214"/>
      <c r="BA220" s="192"/>
      <c r="BB220" s="193"/>
      <c r="BC220" s="194"/>
      <c r="BD220" s="192"/>
      <c r="BE220" s="193"/>
      <c r="BF220" s="194"/>
      <c r="BG220" s="194"/>
      <c r="BH220" s="194"/>
      <c r="BI220" s="188"/>
      <c r="BJ220" s="192"/>
      <c r="BK220" s="187"/>
      <c r="BL220" s="188"/>
    </row>
    <row r="221" spans="1:64">
      <c r="A221" s="191"/>
      <c r="B221" s="196"/>
      <c r="C221" s="230" t="s">
        <v>336</v>
      </c>
      <c r="D221" s="231">
        <v>2.4</v>
      </c>
      <c r="E221" s="231" t="s">
        <v>324</v>
      </c>
      <c r="F221" s="232">
        <v>1.3</v>
      </c>
      <c r="G221" s="233"/>
      <c r="H221" s="234"/>
      <c r="I221" s="235"/>
      <c r="J221" s="236"/>
      <c r="K221" s="237"/>
      <c r="L221" s="238"/>
      <c r="M221" s="236"/>
      <c r="N221" s="115"/>
      <c r="O221" s="239"/>
      <c r="P221" s="236"/>
      <c r="Q221" s="115"/>
      <c r="R221" s="239"/>
      <c r="S221" s="236"/>
      <c r="T221" s="115"/>
      <c r="U221" s="239"/>
      <c r="V221" s="236"/>
      <c r="W221" s="115"/>
      <c r="X221" s="239"/>
      <c r="Y221" s="113"/>
      <c r="Z221" s="115"/>
      <c r="AA221" s="239"/>
      <c r="AB221" s="240"/>
      <c r="AC221" s="237"/>
      <c r="AD221" s="214"/>
      <c r="AE221" s="214"/>
      <c r="AF221" s="184"/>
      <c r="AG221" s="184"/>
      <c r="AH221" s="184"/>
      <c r="AI221" s="184"/>
      <c r="AJ221" s="184"/>
      <c r="AK221" s="184"/>
      <c r="AL221" s="184"/>
      <c r="AM221" s="184"/>
      <c r="AN221" s="184"/>
      <c r="AO221" s="184"/>
      <c r="AP221" s="184"/>
      <c r="AQ221" s="184"/>
      <c r="AR221" s="184"/>
      <c r="AS221" s="184"/>
      <c r="AT221" s="184"/>
      <c r="AU221" s="184"/>
      <c r="AV221" s="241" t="s">
        <v>289</v>
      </c>
      <c r="AW221" s="242">
        <f t="shared" si="31"/>
        <v>3.12</v>
      </c>
      <c r="AX221" s="214"/>
      <c r="AY221" s="214"/>
      <c r="AZ221" s="214"/>
      <c r="BA221" s="192"/>
      <c r="BB221" s="193"/>
      <c r="BC221" s="194"/>
      <c r="BD221" s="192"/>
      <c r="BE221" s="193"/>
      <c r="BF221" s="194"/>
      <c r="BG221" s="194"/>
      <c r="BH221" s="194"/>
      <c r="BI221" s="188"/>
      <c r="BJ221" s="192"/>
      <c r="BK221" s="187"/>
      <c r="BL221" s="188"/>
    </row>
    <row r="222" spans="1:64">
      <c r="A222" s="191"/>
      <c r="B222" s="196"/>
      <c r="C222" s="230" t="s">
        <v>341</v>
      </c>
      <c r="D222" s="231">
        <v>3.65</v>
      </c>
      <c r="E222" s="231" t="s">
        <v>324</v>
      </c>
      <c r="F222" s="232">
        <v>3.5</v>
      </c>
      <c r="G222" s="233"/>
      <c r="H222" s="234"/>
      <c r="I222" s="235"/>
      <c r="J222" s="236"/>
      <c r="K222" s="237"/>
      <c r="L222" s="238"/>
      <c r="M222" s="236"/>
      <c r="N222" s="115"/>
      <c r="O222" s="239"/>
      <c r="P222" s="236"/>
      <c r="Q222" s="115"/>
      <c r="R222" s="239"/>
      <c r="S222" s="236"/>
      <c r="T222" s="115"/>
      <c r="U222" s="239"/>
      <c r="V222" s="236"/>
      <c r="W222" s="115"/>
      <c r="X222" s="239"/>
      <c r="Y222" s="113"/>
      <c r="Z222" s="115"/>
      <c r="AA222" s="239"/>
      <c r="AB222" s="240"/>
      <c r="AC222" s="237"/>
      <c r="AD222" s="214"/>
      <c r="AE222" s="214"/>
      <c r="AF222" s="184"/>
      <c r="AG222" s="184"/>
      <c r="AH222" s="184"/>
      <c r="AI222" s="184"/>
      <c r="AJ222" s="184"/>
      <c r="AK222" s="184"/>
      <c r="AL222" s="184"/>
      <c r="AM222" s="184"/>
      <c r="AN222" s="184"/>
      <c r="AO222" s="184"/>
      <c r="AP222" s="184"/>
      <c r="AQ222" s="184"/>
      <c r="AR222" s="184"/>
      <c r="AS222" s="184"/>
      <c r="AT222" s="184"/>
      <c r="AU222" s="184"/>
      <c r="AV222" s="241" t="s">
        <v>289</v>
      </c>
      <c r="AW222" s="242">
        <f t="shared" si="31"/>
        <v>12.775</v>
      </c>
      <c r="AX222" s="214"/>
      <c r="AY222" s="214"/>
      <c r="AZ222" s="214"/>
      <c r="BA222" s="192"/>
      <c r="BB222" s="193"/>
      <c r="BC222" s="194"/>
      <c r="BD222" s="192"/>
      <c r="BE222" s="193"/>
      <c r="BF222" s="194"/>
      <c r="BG222" s="194"/>
      <c r="BH222" s="194"/>
      <c r="BI222" s="188"/>
      <c r="BJ222" s="192"/>
      <c r="BK222" s="187"/>
      <c r="BL222" s="188"/>
    </row>
    <row r="223" spans="1:64">
      <c r="A223" s="191"/>
      <c r="B223" s="196"/>
      <c r="C223" s="230" t="s">
        <v>336</v>
      </c>
      <c r="D223" s="231">
        <v>2.4</v>
      </c>
      <c r="E223" s="231" t="s">
        <v>324</v>
      </c>
      <c r="F223" s="232">
        <v>1.3</v>
      </c>
      <c r="G223" s="233"/>
      <c r="H223" s="234"/>
      <c r="I223" s="235"/>
      <c r="J223" s="236"/>
      <c r="K223" s="237"/>
      <c r="L223" s="238"/>
      <c r="M223" s="236"/>
      <c r="N223" s="115"/>
      <c r="O223" s="239"/>
      <c r="P223" s="236"/>
      <c r="Q223" s="115"/>
      <c r="R223" s="239"/>
      <c r="S223" s="236"/>
      <c r="T223" s="115"/>
      <c r="U223" s="239"/>
      <c r="V223" s="236"/>
      <c r="W223" s="115"/>
      <c r="X223" s="239"/>
      <c r="Y223" s="113"/>
      <c r="Z223" s="115"/>
      <c r="AA223" s="239"/>
      <c r="AB223" s="240"/>
      <c r="AC223" s="237"/>
      <c r="AD223" s="214"/>
      <c r="AE223" s="21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241" t="s">
        <v>289</v>
      </c>
      <c r="AW223" s="242">
        <f t="shared" si="31"/>
        <v>3.12</v>
      </c>
      <c r="AX223" s="214"/>
      <c r="AY223" s="214"/>
      <c r="AZ223" s="214"/>
      <c r="BA223" s="192"/>
      <c r="BB223" s="193"/>
      <c r="BC223" s="194"/>
      <c r="BD223" s="192"/>
      <c r="BE223" s="193"/>
      <c r="BF223" s="194"/>
      <c r="BG223" s="194"/>
      <c r="BH223" s="194"/>
      <c r="BI223" s="188"/>
      <c r="BJ223" s="192"/>
      <c r="BK223" s="187"/>
      <c r="BL223" s="188"/>
    </row>
    <row r="224" spans="1:64">
      <c r="A224" s="191"/>
      <c r="B224" s="196"/>
      <c r="C224" s="230" t="s">
        <v>342</v>
      </c>
      <c r="D224" s="231">
        <v>3.65</v>
      </c>
      <c r="E224" s="231" t="s">
        <v>324</v>
      </c>
      <c r="F224" s="232">
        <v>3.5</v>
      </c>
      <c r="G224" s="233"/>
      <c r="H224" s="234"/>
      <c r="I224" s="235"/>
      <c r="J224" s="236"/>
      <c r="K224" s="237"/>
      <c r="L224" s="238"/>
      <c r="M224" s="236"/>
      <c r="N224" s="115"/>
      <c r="O224" s="239"/>
      <c r="P224" s="236"/>
      <c r="Q224" s="115"/>
      <c r="R224" s="239"/>
      <c r="S224" s="236"/>
      <c r="T224" s="115"/>
      <c r="U224" s="239"/>
      <c r="V224" s="236"/>
      <c r="W224" s="115"/>
      <c r="X224" s="239"/>
      <c r="Y224" s="113"/>
      <c r="Z224" s="115"/>
      <c r="AA224" s="239"/>
      <c r="AB224" s="240"/>
      <c r="AC224" s="237"/>
      <c r="AD224" s="214"/>
      <c r="AE224" s="214"/>
      <c r="AF224" s="184"/>
      <c r="AG224" s="184"/>
      <c r="AH224" s="184"/>
      <c r="AI224" s="184"/>
      <c r="AJ224" s="184"/>
      <c r="AK224" s="184"/>
      <c r="AL224" s="184"/>
      <c r="AM224" s="184"/>
      <c r="AN224" s="184"/>
      <c r="AO224" s="184"/>
      <c r="AP224" s="184"/>
      <c r="AQ224" s="184"/>
      <c r="AR224" s="184"/>
      <c r="AS224" s="184"/>
      <c r="AT224" s="184"/>
      <c r="AU224" s="184"/>
      <c r="AV224" s="241" t="s">
        <v>289</v>
      </c>
      <c r="AW224" s="242">
        <f t="shared" si="31"/>
        <v>12.775</v>
      </c>
      <c r="AX224" s="214"/>
      <c r="AY224" s="214"/>
      <c r="AZ224" s="214"/>
      <c r="BA224" s="192"/>
      <c r="BB224" s="193"/>
      <c r="BC224" s="194"/>
      <c r="BD224" s="192"/>
      <c r="BE224" s="193"/>
      <c r="BF224" s="194"/>
      <c r="BG224" s="194"/>
      <c r="BH224" s="194"/>
      <c r="BI224" s="188"/>
      <c r="BJ224" s="192"/>
      <c r="BK224" s="187"/>
      <c r="BL224" s="188"/>
    </row>
    <row r="225" spans="1:64">
      <c r="A225" s="191"/>
      <c r="B225" s="196"/>
      <c r="C225" s="230" t="s">
        <v>343</v>
      </c>
      <c r="D225" s="231">
        <v>2.4</v>
      </c>
      <c r="E225" s="231" t="s">
        <v>324</v>
      </c>
      <c r="F225" s="232">
        <v>1.3</v>
      </c>
      <c r="G225" s="233"/>
      <c r="H225" s="234"/>
      <c r="I225" s="235"/>
      <c r="J225" s="236"/>
      <c r="K225" s="237"/>
      <c r="L225" s="238"/>
      <c r="M225" s="236"/>
      <c r="N225" s="115"/>
      <c r="O225" s="239"/>
      <c r="P225" s="236"/>
      <c r="Q225" s="115"/>
      <c r="R225" s="239"/>
      <c r="S225" s="236"/>
      <c r="T225" s="115"/>
      <c r="U225" s="239"/>
      <c r="V225" s="236"/>
      <c r="W225" s="115"/>
      <c r="X225" s="239"/>
      <c r="Y225" s="113"/>
      <c r="Z225" s="115"/>
      <c r="AA225" s="239"/>
      <c r="AB225" s="240"/>
      <c r="AC225" s="237"/>
      <c r="AD225" s="214"/>
      <c r="AE225" s="214"/>
      <c r="AF225" s="184"/>
      <c r="AG225" s="184"/>
      <c r="AH225" s="184"/>
      <c r="AI225" s="184"/>
      <c r="AJ225" s="184"/>
      <c r="AK225" s="184"/>
      <c r="AL225" s="184"/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241" t="s">
        <v>289</v>
      </c>
      <c r="AW225" s="242">
        <f t="shared" si="31"/>
        <v>3.12</v>
      </c>
      <c r="AX225" s="214"/>
      <c r="AY225" s="214"/>
      <c r="AZ225" s="214"/>
      <c r="BA225" s="192"/>
      <c r="BB225" s="193"/>
      <c r="BC225" s="194"/>
      <c r="BD225" s="192"/>
      <c r="BE225" s="193"/>
      <c r="BF225" s="194"/>
      <c r="BG225" s="194"/>
      <c r="BH225" s="194"/>
      <c r="BI225" s="188"/>
      <c r="BJ225" s="192"/>
      <c r="BK225" s="187"/>
      <c r="BL225" s="188"/>
    </row>
    <row r="226" spans="1:64" ht="15.5">
      <c r="A226" s="191"/>
      <c r="B226" s="196"/>
      <c r="C226" s="230" t="s">
        <v>344</v>
      </c>
      <c r="D226" s="231">
        <v>7.38</v>
      </c>
      <c r="E226" s="253" t="s">
        <v>306</v>
      </c>
      <c r="F226" s="232">
        <v>6.75</v>
      </c>
      <c r="G226" s="232" t="s">
        <v>324</v>
      </c>
      <c r="H226" s="234">
        <v>7.9</v>
      </c>
      <c r="I226" s="251" t="s">
        <v>345</v>
      </c>
      <c r="J226" s="254">
        <v>2</v>
      </c>
      <c r="K226" s="237"/>
      <c r="L226" s="238"/>
      <c r="M226" s="236"/>
      <c r="N226" s="115"/>
      <c r="O226" s="239"/>
      <c r="P226" s="236"/>
      <c r="Q226" s="115"/>
      <c r="R226" s="239"/>
      <c r="S226" s="236"/>
      <c r="T226" s="115"/>
      <c r="U226" s="239"/>
      <c r="V226" s="236"/>
      <c r="W226" s="115"/>
      <c r="X226" s="239"/>
      <c r="Z226" s="115"/>
      <c r="AA226" s="239"/>
      <c r="AB226" s="240"/>
      <c r="AC226" s="237"/>
      <c r="AD226" s="214"/>
      <c r="AE226" s="214"/>
      <c r="AF226" s="184"/>
      <c r="AG226" s="184"/>
      <c r="AH226" s="184"/>
      <c r="AI226" s="184"/>
      <c r="AJ226" s="184"/>
      <c r="AK226" s="184"/>
      <c r="AL226" s="184"/>
      <c r="AM226" s="184"/>
      <c r="AN226" s="184"/>
      <c r="AO226" s="184"/>
      <c r="AP226" s="184"/>
      <c r="AQ226" s="184"/>
      <c r="AR226" s="184"/>
      <c r="AS226" s="184"/>
      <c r="AT226" s="184"/>
      <c r="AU226" s="184"/>
      <c r="AV226" s="241" t="s">
        <v>289</v>
      </c>
      <c r="AW226" s="242">
        <f>(D226+F226)*H226/J226</f>
        <v>55.813499999999998</v>
      </c>
      <c r="AX226" s="214"/>
      <c r="AY226" s="214"/>
      <c r="AZ226" s="214"/>
      <c r="BA226" s="192"/>
      <c r="BB226" s="193"/>
      <c r="BC226" s="194"/>
      <c r="BD226" s="192"/>
      <c r="BE226" s="193"/>
      <c r="BF226" s="194"/>
      <c r="BG226" s="194"/>
      <c r="BH226" s="194"/>
      <c r="BI226" s="188"/>
      <c r="BJ226" s="192"/>
      <c r="BK226" s="187"/>
      <c r="BL226" s="188"/>
    </row>
    <row r="227" spans="1:64">
      <c r="A227" s="191"/>
      <c r="B227" s="196"/>
      <c r="C227" s="230"/>
      <c r="D227" s="255" t="s">
        <v>352</v>
      </c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  <c r="AD227" s="256"/>
      <c r="AE227" s="256"/>
      <c r="AF227" s="256"/>
      <c r="AG227" s="256"/>
      <c r="AH227" s="256"/>
      <c r="AI227" s="256"/>
      <c r="AJ227" s="256"/>
      <c r="AK227" s="256"/>
      <c r="AL227" s="256"/>
      <c r="AM227" s="256"/>
      <c r="AN227" s="256"/>
      <c r="AO227" s="256"/>
      <c r="AP227" s="256"/>
      <c r="AQ227" s="256"/>
      <c r="AR227" s="256"/>
      <c r="AS227" s="256"/>
      <c r="AT227" s="256"/>
      <c r="AU227" s="257"/>
      <c r="AV227" s="258" t="s">
        <v>289</v>
      </c>
      <c r="AW227" s="259">
        <f>SUM(AW201:AW226)</f>
        <v>304.81440000000009</v>
      </c>
      <c r="AX227" s="214"/>
      <c r="AY227" s="214"/>
      <c r="AZ227" s="214"/>
      <c r="BA227" s="192"/>
      <c r="BB227" s="193"/>
      <c r="BC227" s="194"/>
      <c r="BD227" s="192"/>
      <c r="BE227" s="193"/>
      <c r="BF227" s="194"/>
      <c r="BG227" s="194"/>
      <c r="BH227" s="194"/>
      <c r="BI227" s="188"/>
      <c r="BJ227" s="192"/>
      <c r="BK227" s="187"/>
      <c r="BL227" s="188"/>
    </row>
    <row r="228" spans="1:64" ht="20.149999999999999" customHeight="1">
      <c r="A228" s="180">
        <v>9</v>
      </c>
      <c r="B228" s="181" t="s">
        <v>224</v>
      </c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  <c r="AK228" s="181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1"/>
      <c r="AV228" s="181"/>
      <c r="AW228" s="181"/>
      <c r="AX228" s="195"/>
      <c r="AY228" s="195"/>
      <c r="AZ228" s="195"/>
      <c r="BA228" s="195"/>
      <c r="BB228" s="195"/>
      <c r="BC228" s="195"/>
      <c r="BD228" s="195"/>
      <c r="BE228" s="195"/>
      <c r="BF228" s="195"/>
      <c r="BG228" s="195"/>
      <c r="BH228" s="195"/>
      <c r="BI228" s="195"/>
      <c r="BJ228" s="195"/>
      <c r="BK228" s="195"/>
      <c r="BL228" s="195"/>
    </row>
    <row r="229" spans="1:64" ht="56">
      <c r="A229" s="191" t="s">
        <v>225</v>
      </c>
      <c r="B229" s="199">
        <v>101492</v>
      </c>
      <c r="C229" s="197" t="s">
        <v>226</v>
      </c>
      <c r="D229" s="216" t="s">
        <v>353</v>
      </c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  <c r="AH229" s="216"/>
      <c r="AI229" s="216"/>
      <c r="AJ229" s="216"/>
      <c r="AK229" s="216"/>
      <c r="AL229" s="216"/>
      <c r="AM229" s="216"/>
      <c r="AN229" s="216"/>
      <c r="AO229" s="216"/>
      <c r="AP229" s="216"/>
      <c r="AQ229" s="216"/>
      <c r="AR229" s="216"/>
      <c r="AS229" s="216"/>
      <c r="AT229" s="216"/>
      <c r="AU229" s="216"/>
      <c r="AV229" s="216"/>
      <c r="AW229" s="216"/>
      <c r="AX229" s="214"/>
      <c r="AY229" s="214"/>
      <c r="AZ229" s="214"/>
      <c r="BA229" s="192"/>
      <c r="BB229" s="193"/>
      <c r="BC229" s="194"/>
      <c r="BD229" s="192"/>
      <c r="BE229" s="193"/>
      <c r="BF229" s="194"/>
      <c r="BG229" s="194"/>
      <c r="BH229" s="194"/>
      <c r="BI229" s="188">
        <f t="shared" ref="BI229:BI238" si="32">TRUNC(V229*BH229)+0</f>
        <v>0</v>
      </c>
      <c r="BJ229" s="192"/>
      <c r="BK229" s="187">
        <f t="shared" ref="BK229:BK238" si="33">TRUNC(BJ229*U229,2)</f>
        <v>0</v>
      </c>
      <c r="BL229" s="188">
        <f t="shared" ref="BL229:BL238" si="34">TRUNC(BK229*V229)+0</f>
        <v>0</v>
      </c>
    </row>
    <row r="230" spans="1:64" ht="28">
      <c r="A230" s="191" t="s">
        <v>227</v>
      </c>
      <c r="B230" s="199">
        <v>93660</v>
      </c>
      <c r="C230" s="197" t="s">
        <v>228</v>
      </c>
      <c r="D230" s="216" t="s">
        <v>353</v>
      </c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  <c r="AH230" s="216"/>
      <c r="AI230" s="216"/>
      <c r="AJ230" s="216"/>
      <c r="AK230" s="216"/>
      <c r="AL230" s="216"/>
      <c r="AM230" s="216"/>
      <c r="AN230" s="216"/>
      <c r="AO230" s="216"/>
      <c r="AP230" s="216"/>
      <c r="AQ230" s="216"/>
      <c r="AR230" s="216"/>
      <c r="AS230" s="216"/>
      <c r="AT230" s="216"/>
      <c r="AU230" s="216"/>
      <c r="AV230" s="216"/>
      <c r="AW230" s="216"/>
      <c r="AX230" s="214"/>
      <c r="AY230" s="214"/>
      <c r="AZ230" s="214"/>
      <c r="BA230" s="192"/>
      <c r="BB230" s="193"/>
      <c r="BC230" s="194"/>
      <c r="BD230" s="192"/>
      <c r="BE230" s="193"/>
      <c r="BF230" s="194"/>
      <c r="BG230" s="194"/>
      <c r="BH230" s="194"/>
      <c r="BI230" s="188">
        <f t="shared" si="32"/>
        <v>0</v>
      </c>
      <c r="BJ230" s="192"/>
      <c r="BK230" s="187">
        <f t="shared" si="33"/>
        <v>0</v>
      </c>
      <c r="BL230" s="188">
        <f t="shared" si="34"/>
        <v>0</v>
      </c>
    </row>
    <row r="231" spans="1:64" ht="84">
      <c r="A231" s="191" t="s">
        <v>229</v>
      </c>
      <c r="B231" s="199">
        <v>104473</v>
      </c>
      <c r="C231" s="197" t="s">
        <v>230</v>
      </c>
      <c r="D231" s="216" t="s">
        <v>353</v>
      </c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  <c r="AH231" s="216"/>
      <c r="AI231" s="216"/>
      <c r="AJ231" s="216"/>
      <c r="AK231" s="216"/>
      <c r="AL231" s="216"/>
      <c r="AM231" s="216"/>
      <c r="AN231" s="216"/>
      <c r="AO231" s="216"/>
      <c r="AP231" s="216"/>
      <c r="AQ231" s="216"/>
      <c r="AR231" s="216"/>
      <c r="AS231" s="216"/>
      <c r="AT231" s="216"/>
      <c r="AU231" s="216"/>
      <c r="AV231" s="216"/>
      <c r="AW231" s="216"/>
      <c r="AX231" s="214"/>
      <c r="AY231" s="214"/>
      <c r="AZ231" s="214"/>
      <c r="BA231" s="192"/>
      <c r="BB231" s="193"/>
      <c r="BC231" s="194"/>
      <c r="BD231" s="192"/>
      <c r="BE231" s="193"/>
      <c r="BF231" s="194"/>
      <c r="BG231" s="194"/>
      <c r="BH231" s="194"/>
      <c r="BI231" s="188">
        <f t="shared" si="32"/>
        <v>0</v>
      </c>
      <c r="BJ231" s="192"/>
      <c r="BK231" s="187">
        <f t="shared" si="33"/>
        <v>0</v>
      </c>
      <c r="BL231" s="188">
        <f t="shared" si="34"/>
        <v>0</v>
      </c>
    </row>
    <row r="232" spans="1:64" ht="28">
      <c r="A232" s="191" t="s">
        <v>231</v>
      </c>
      <c r="B232" s="199">
        <v>93664</v>
      </c>
      <c r="C232" s="197" t="s">
        <v>232</v>
      </c>
      <c r="D232" s="216" t="s">
        <v>353</v>
      </c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  <c r="AD232" s="216"/>
      <c r="AE232" s="216"/>
      <c r="AF232" s="216"/>
      <c r="AG232" s="216"/>
      <c r="AH232" s="216"/>
      <c r="AI232" s="216"/>
      <c r="AJ232" s="216"/>
      <c r="AK232" s="216"/>
      <c r="AL232" s="216"/>
      <c r="AM232" s="216"/>
      <c r="AN232" s="216"/>
      <c r="AO232" s="216"/>
      <c r="AP232" s="216"/>
      <c r="AQ232" s="216"/>
      <c r="AR232" s="216"/>
      <c r="AS232" s="216"/>
      <c r="AT232" s="216"/>
      <c r="AU232" s="216"/>
      <c r="AV232" s="216"/>
      <c r="AW232" s="216"/>
      <c r="AX232" s="214"/>
      <c r="AY232" s="214"/>
      <c r="AZ232" s="214"/>
      <c r="BA232" s="192"/>
      <c r="BB232" s="193"/>
      <c r="BC232" s="194"/>
      <c r="BD232" s="192"/>
      <c r="BE232" s="193"/>
      <c r="BF232" s="194"/>
      <c r="BG232" s="194"/>
      <c r="BH232" s="194"/>
      <c r="BI232" s="188">
        <f t="shared" si="32"/>
        <v>0</v>
      </c>
      <c r="BJ232" s="192"/>
      <c r="BK232" s="187">
        <f t="shared" si="33"/>
        <v>0</v>
      </c>
      <c r="BL232" s="188">
        <f t="shared" si="34"/>
        <v>0</v>
      </c>
    </row>
    <row r="233" spans="1:64" ht="28">
      <c r="A233" s="191" t="s">
        <v>233</v>
      </c>
      <c r="B233" s="199">
        <v>93854</v>
      </c>
      <c r="C233" s="197" t="s">
        <v>234</v>
      </c>
      <c r="D233" s="216" t="s">
        <v>353</v>
      </c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16"/>
      <c r="AH233" s="216"/>
      <c r="AI233" s="216"/>
      <c r="AJ233" s="216"/>
      <c r="AK233" s="216"/>
      <c r="AL233" s="216"/>
      <c r="AM233" s="216"/>
      <c r="AN233" s="216"/>
      <c r="AO233" s="216"/>
      <c r="AP233" s="216"/>
      <c r="AQ233" s="216"/>
      <c r="AR233" s="216"/>
      <c r="AS233" s="216"/>
      <c r="AT233" s="216"/>
      <c r="AU233" s="216"/>
      <c r="AV233" s="216"/>
      <c r="AW233" s="216"/>
      <c r="AX233" s="214"/>
      <c r="AY233" s="214"/>
      <c r="AZ233" s="214"/>
      <c r="BA233" s="192"/>
      <c r="BB233" s="193"/>
      <c r="BC233" s="194"/>
      <c r="BD233" s="192"/>
      <c r="BE233" s="193"/>
      <c r="BF233" s="194"/>
      <c r="BG233" s="194"/>
      <c r="BH233" s="194"/>
      <c r="BI233" s="188">
        <f t="shared" si="32"/>
        <v>0</v>
      </c>
      <c r="BJ233" s="192"/>
      <c r="BK233" s="187">
        <f t="shared" si="33"/>
        <v>0</v>
      </c>
      <c r="BL233" s="188">
        <f t="shared" si="34"/>
        <v>0</v>
      </c>
    </row>
    <row r="234" spans="1:64" ht="84">
      <c r="A234" s="191" t="s">
        <v>235</v>
      </c>
      <c r="B234" s="199">
        <v>104478</v>
      </c>
      <c r="C234" s="197" t="s">
        <v>236</v>
      </c>
      <c r="D234" s="216" t="s">
        <v>353</v>
      </c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  <c r="AD234" s="216"/>
      <c r="AE234" s="216"/>
      <c r="AF234" s="216"/>
      <c r="AG234" s="216"/>
      <c r="AH234" s="216"/>
      <c r="AI234" s="216"/>
      <c r="AJ234" s="216"/>
      <c r="AK234" s="216"/>
      <c r="AL234" s="216"/>
      <c r="AM234" s="216"/>
      <c r="AN234" s="216"/>
      <c r="AO234" s="216"/>
      <c r="AP234" s="216"/>
      <c r="AQ234" s="216"/>
      <c r="AR234" s="216"/>
      <c r="AS234" s="216"/>
      <c r="AT234" s="216"/>
      <c r="AU234" s="216"/>
      <c r="AV234" s="216"/>
      <c r="AW234" s="216"/>
      <c r="AX234" s="214"/>
      <c r="AY234" s="214"/>
      <c r="AZ234" s="214"/>
      <c r="BA234" s="192"/>
      <c r="BB234" s="193"/>
      <c r="BC234" s="194"/>
      <c r="BD234" s="192"/>
      <c r="BE234" s="193"/>
      <c r="BF234" s="194"/>
      <c r="BG234" s="194"/>
      <c r="BH234" s="194"/>
      <c r="BI234" s="188">
        <f t="shared" si="32"/>
        <v>0</v>
      </c>
      <c r="BJ234" s="192"/>
      <c r="BK234" s="187">
        <f t="shared" si="33"/>
        <v>0</v>
      </c>
      <c r="BL234" s="188">
        <f t="shared" si="34"/>
        <v>0</v>
      </c>
    </row>
    <row r="235" spans="1:64" ht="70">
      <c r="A235" s="191" t="s">
        <v>237</v>
      </c>
      <c r="B235" s="199">
        <v>104475</v>
      </c>
      <c r="C235" s="197" t="s">
        <v>238</v>
      </c>
      <c r="D235" s="216" t="s">
        <v>353</v>
      </c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  <c r="AH235" s="216"/>
      <c r="AI235" s="216"/>
      <c r="AJ235" s="216"/>
      <c r="AK235" s="216"/>
      <c r="AL235" s="216"/>
      <c r="AM235" s="216"/>
      <c r="AN235" s="216"/>
      <c r="AO235" s="216"/>
      <c r="AP235" s="216"/>
      <c r="AQ235" s="216"/>
      <c r="AR235" s="216"/>
      <c r="AS235" s="216"/>
      <c r="AT235" s="216"/>
      <c r="AU235" s="216"/>
      <c r="AV235" s="216"/>
      <c r="AW235" s="216"/>
      <c r="AX235" s="214"/>
      <c r="AY235" s="214"/>
      <c r="AZ235" s="214"/>
      <c r="BA235" s="192"/>
      <c r="BB235" s="193"/>
      <c r="BC235" s="194"/>
      <c r="BD235" s="192"/>
      <c r="BE235" s="193"/>
      <c r="BF235" s="194"/>
      <c r="BG235" s="194"/>
      <c r="BH235" s="194"/>
      <c r="BI235" s="188">
        <f t="shared" si="32"/>
        <v>0</v>
      </c>
      <c r="BJ235" s="192"/>
      <c r="BK235" s="187">
        <f t="shared" si="33"/>
        <v>0</v>
      </c>
      <c r="BL235" s="188">
        <f t="shared" si="34"/>
        <v>0</v>
      </c>
    </row>
    <row r="236" spans="1:64" ht="42">
      <c r="A236" s="191" t="s">
        <v>239</v>
      </c>
      <c r="B236" s="199">
        <v>97589</v>
      </c>
      <c r="C236" s="197" t="s">
        <v>240</v>
      </c>
      <c r="D236" s="216" t="s">
        <v>353</v>
      </c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  <c r="AD236" s="216"/>
      <c r="AE236" s="216"/>
      <c r="AF236" s="216"/>
      <c r="AG236" s="216"/>
      <c r="AH236" s="216"/>
      <c r="AI236" s="216"/>
      <c r="AJ236" s="216"/>
      <c r="AK236" s="216"/>
      <c r="AL236" s="216"/>
      <c r="AM236" s="216"/>
      <c r="AN236" s="216"/>
      <c r="AO236" s="216"/>
      <c r="AP236" s="216"/>
      <c r="AQ236" s="216"/>
      <c r="AR236" s="216"/>
      <c r="AS236" s="216"/>
      <c r="AT236" s="216"/>
      <c r="AU236" s="216"/>
      <c r="AV236" s="216"/>
      <c r="AW236" s="216"/>
      <c r="AX236" s="214"/>
      <c r="AY236" s="214"/>
      <c r="AZ236" s="214"/>
      <c r="BA236" s="192"/>
      <c r="BB236" s="193"/>
      <c r="BC236" s="194"/>
      <c r="BD236" s="192"/>
      <c r="BE236" s="193"/>
      <c r="BF236" s="194"/>
      <c r="BG236" s="194"/>
      <c r="BH236" s="194"/>
      <c r="BI236" s="188">
        <f t="shared" si="32"/>
        <v>0</v>
      </c>
      <c r="BJ236" s="192"/>
      <c r="BK236" s="187">
        <f t="shared" si="33"/>
        <v>0</v>
      </c>
      <c r="BL236" s="188">
        <f t="shared" si="34"/>
        <v>0</v>
      </c>
    </row>
    <row r="237" spans="1:64" ht="56">
      <c r="A237" s="191" t="s">
        <v>241</v>
      </c>
      <c r="B237" s="199">
        <v>101560</v>
      </c>
      <c r="C237" s="197" t="s">
        <v>242</v>
      </c>
      <c r="D237" s="216" t="s">
        <v>353</v>
      </c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6"/>
      <c r="AG237" s="216"/>
      <c r="AH237" s="216"/>
      <c r="AI237" s="216"/>
      <c r="AJ237" s="216"/>
      <c r="AK237" s="216"/>
      <c r="AL237" s="216"/>
      <c r="AM237" s="216"/>
      <c r="AN237" s="216"/>
      <c r="AO237" s="216"/>
      <c r="AP237" s="216"/>
      <c r="AQ237" s="216"/>
      <c r="AR237" s="216"/>
      <c r="AS237" s="216"/>
      <c r="AT237" s="216"/>
      <c r="AU237" s="216"/>
      <c r="AV237" s="216"/>
      <c r="AW237" s="216"/>
      <c r="AX237" s="214"/>
      <c r="AY237" s="214"/>
      <c r="AZ237" s="214"/>
      <c r="BA237" s="192"/>
      <c r="BB237" s="193"/>
      <c r="BC237" s="194"/>
      <c r="BD237" s="192"/>
      <c r="BE237" s="193"/>
      <c r="BF237" s="194"/>
      <c r="BG237" s="194"/>
      <c r="BH237" s="194"/>
      <c r="BI237" s="188">
        <f t="shared" si="32"/>
        <v>0</v>
      </c>
      <c r="BJ237" s="192"/>
      <c r="BK237" s="187">
        <f t="shared" si="33"/>
        <v>0</v>
      </c>
      <c r="BL237" s="188">
        <f t="shared" si="34"/>
        <v>0</v>
      </c>
    </row>
    <row r="238" spans="1:64" ht="28">
      <c r="A238" s="191" t="s">
        <v>243</v>
      </c>
      <c r="B238" s="199">
        <v>7996</v>
      </c>
      <c r="C238" s="197" t="s">
        <v>244</v>
      </c>
      <c r="D238" s="216" t="s">
        <v>353</v>
      </c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  <c r="AH238" s="216"/>
      <c r="AI238" s="216"/>
      <c r="AJ238" s="216"/>
      <c r="AK238" s="216"/>
      <c r="AL238" s="216"/>
      <c r="AM238" s="216"/>
      <c r="AN238" s="216"/>
      <c r="AO238" s="216"/>
      <c r="AP238" s="216"/>
      <c r="AQ238" s="216"/>
      <c r="AR238" s="216"/>
      <c r="AS238" s="216"/>
      <c r="AT238" s="216"/>
      <c r="AU238" s="216"/>
      <c r="AV238" s="216"/>
      <c r="AW238" s="216"/>
      <c r="AX238" s="214"/>
      <c r="AY238" s="214"/>
      <c r="AZ238" s="214"/>
      <c r="BA238" s="192"/>
      <c r="BB238" s="193"/>
      <c r="BC238" s="194"/>
      <c r="BD238" s="192"/>
      <c r="BE238" s="193"/>
      <c r="BF238" s="194"/>
      <c r="BG238" s="194"/>
      <c r="BH238" s="194"/>
      <c r="BI238" s="188">
        <f t="shared" si="32"/>
        <v>0</v>
      </c>
      <c r="BJ238" s="192"/>
      <c r="BK238" s="187">
        <f t="shared" si="33"/>
        <v>0</v>
      </c>
      <c r="BL238" s="188">
        <f t="shared" si="34"/>
        <v>0</v>
      </c>
    </row>
    <row r="239" spans="1:64" ht="20.149999999999999" customHeight="1">
      <c r="A239" s="180">
        <v>10</v>
      </c>
      <c r="B239" s="181" t="s">
        <v>245</v>
      </c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  <c r="AK239" s="181"/>
      <c r="AL239" s="181"/>
      <c r="AM239" s="181"/>
      <c r="AN239" s="181"/>
      <c r="AO239" s="181"/>
      <c r="AP239" s="181"/>
      <c r="AQ239" s="181"/>
      <c r="AR239" s="181"/>
      <c r="AS239" s="181"/>
      <c r="AT239" s="181"/>
      <c r="AU239" s="181"/>
      <c r="AV239" s="181"/>
      <c r="AW239" s="181"/>
      <c r="AX239" s="195"/>
      <c r="AY239" s="195"/>
      <c r="AZ239" s="195"/>
      <c r="BA239" s="195"/>
      <c r="BB239" s="195"/>
      <c r="BC239" s="195"/>
      <c r="BD239" s="195"/>
      <c r="BE239" s="195"/>
      <c r="BF239" s="195"/>
      <c r="BG239" s="195"/>
      <c r="BH239" s="195"/>
      <c r="BI239" s="195"/>
      <c r="BJ239" s="195"/>
      <c r="BK239" s="195"/>
      <c r="BL239" s="195"/>
    </row>
    <row r="240" spans="1:64" ht="42">
      <c r="A240" s="191" t="s">
        <v>246</v>
      </c>
      <c r="B240" s="199">
        <v>103244</v>
      </c>
      <c r="C240" s="191" t="s">
        <v>247</v>
      </c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214"/>
      <c r="AY240" s="214"/>
      <c r="AZ240" s="214"/>
      <c r="BA240" s="192"/>
      <c r="BB240" s="193"/>
      <c r="BC240" s="194"/>
      <c r="BD240" s="192"/>
      <c r="BE240" s="193"/>
      <c r="BF240" s="194"/>
      <c r="BG240" s="194"/>
      <c r="BH240" s="194"/>
      <c r="BI240" s="188">
        <f>TRUNC(V240*BH240)+0</f>
        <v>0</v>
      </c>
      <c r="BJ240" s="192"/>
      <c r="BK240" s="187">
        <f>TRUNC(BJ240*U240,2)</f>
        <v>0</v>
      </c>
      <c r="BL240" s="188">
        <f>TRUNC(BK240*V240)+0</f>
        <v>0</v>
      </c>
    </row>
    <row r="241" spans="1:75" ht="28">
      <c r="A241" s="191" t="s">
        <v>248</v>
      </c>
      <c r="B241" s="260" t="s">
        <v>249</v>
      </c>
      <c r="C241" s="197" t="s">
        <v>250</v>
      </c>
      <c r="D241" s="261" t="s">
        <v>354</v>
      </c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  <c r="AA241" s="261"/>
      <c r="AB241" s="261"/>
      <c r="AC241" s="261"/>
      <c r="AD241" s="261"/>
      <c r="AE241" s="261"/>
      <c r="AF241" s="261"/>
      <c r="AG241" s="261"/>
      <c r="AH241" s="261"/>
      <c r="AI241" s="261"/>
      <c r="AJ241" s="261"/>
      <c r="AK241" s="261"/>
      <c r="AL241" s="261"/>
      <c r="AM241" s="261"/>
      <c r="AN241" s="261"/>
      <c r="AO241" s="261"/>
      <c r="AP241" s="261"/>
      <c r="AQ241" s="261"/>
      <c r="AR241" s="261"/>
      <c r="AS241" s="261"/>
      <c r="AT241" s="261"/>
      <c r="AU241" s="261"/>
      <c r="AV241" s="261"/>
      <c r="AW241" s="261"/>
      <c r="AX241" s="214"/>
      <c r="AY241" s="214"/>
      <c r="AZ241" s="214"/>
      <c r="BA241" s="192"/>
      <c r="BB241" s="193"/>
      <c r="BC241" s="194"/>
      <c r="BD241" s="192"/>
      <c r="BE241" s="193"/>
      <c r="BF241" s="194"/>
      <c r="BG241" s="194"/>
      <c r="BH241" s="194"/>
      <c r="BI241" s="188">
        <f>TRUNC(V241*BH241)+0</f>
        <v>0</v>
      </c>
      <c r="BJ241" s="192"/>
      <c r="BK241" s="187">
        <f>TRUNC(BJ241*U241,2)</f>
        <v>0</v>
      </c>
      <c r="BL241" s="188">
        <f>TRUNC(BK241*V241)+0</f>
        <v>0</v>
      </c>
    </row>
    <row r="242" spans="1:75" ht="20.149999999999999" customHeight="1">
      <c r="A242" s="180">
        <v>11</v>
      </c>
      <c r="B242" s="181" t="s">
        <v>252</v>
      </c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  <c r="AK242" s="181"/>
      <c r="AL242" s="181"/>
      <c r="AM242" s="181"/>
      <c r="AN242" s="181"/>
      <c r="AO242" s="181"/>
      <c r="AP242" s="181"/>
      <c r="AQ242" s="181"/>
      <c r="AR242" s="181"/>
      <c r="AS242" s="181"/>
      <c r="AT242" s="181"/>
      <c r="AU242" s="181"/>
      <c r="AV242" s="181"/>
      <c r="AW242" s="181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195"/>
      <c r="BI242" s="195"/>
      <c r="BJ242" s="195"/>
      <c r="BK242" s="195"/>
      <c r="BL242" s="195"/>
    </row>
    <row r="243" spans="1:75" ht="42">
      <c r="A243" s="191" t="s">
        <v>253</v>
      </c>
      <c r="B243" s="196">
        <v>90823</v>
      </c>
      <c r="C243" s="197" t="s">
        <v>254</v>
      </c>
      <c r="D243" s="216" t="s">
        <v>355</v>
      </c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  <c r="AD243" s="216"/>
      <c r="AE243" s="216"/>
      <c r="AF243" s="216"/>
      <c r="AG243" s="216"/>
      <c r="AH243" s="216"/>
      <c r="AI243" s="216"/>
      <c r="AJ243" s="216"/>
      <c r="AK243" s="216"/>
      <c r="AL243" s="216"/>
      <c r="AM243" s="216"/>
      <c r="AN243" s="216"/>
      <c r="AO243" s="216"/>
      <c r="AP243" s="216"/>
      <c r="AQ243" s="216"/>
      <c r="AR243" s="216"/>
      <c r="AS243" s="216"/>
      <c r="AT243" s="216"/>
      <c r="AU243" s="216"/>
      <c r="AV243" s="216"/>
      <c r="AW243" s="216"/>
      <c r="AX243" s="192"/>
      <c r="AY243" s="193"/>
      <c r="AZ243" s="194"/>
      <c r="BA243" s="192"/>
      <c r="BB243" s="193"/>
      <c r="BC243" s="194"/>
      <c r="BD243" s="192"/>
      <c r="BE243" s="193"/>
      <c r="BF243" s="194"/>
      <c r="BG243" s="194"/>
      <c r="BH243" s="194"/>
      <c r="BI243" s="188">
        <f t="shared" ref="BI243:BI250" si="35">TRUNC(V243*BH243)+0</f>
        <v>0</v>
      </c>
      <c r="BJ243" s="192"/>
      <c r="BK243" s="187">
        <f t="shared" ref="BK243:BK250" si="36">TRUNC(BJ243*U243,2)</f>
        <v>0</v>
      </c>
      <c r="BL243" s="188">
        <f t="shared" ref="BL243:BL250" si="37">TRUNC(BK243*V243)+0</f>
        <v>0</v>
      </c>
    </row>
    <row r="244" spans="1:75" ht="70">
      <c r="A244" s="191" t="s">
        <v>255</v>
      </c>
      <c r="B244" s="184">
        <v>94570</v>
      </c>
      <c r="C244" s="197" t="s">
        <v>256</v>
      </c>
      <c r="D244" s="216" t="s">
        <v>355</v>
      </c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  <c r="AH244" s="216"/>
      <c r="AI244" s="216"/>
      <c r="AJ244" s="216"/>
      <c r="AK244" s="216"/>
      <c r="AL244" s="216"/>
      <c r="AM244" s="216"/>
      <c r="AN244" s="216"/>
      <c r="AO244" s="216"/>
      <c r="AP244" s="216"/>
      <c r="AQ244" s="216"/>
      <c r="AR244" s="216"/>
      <c r="AS244" s="216"/>
      <c r="AT244" s="216"/>
      <c r="AU244" s="216"/>
      <c r="AV244" s="216"/>
      <c r="AW244" s="216"/>
      <c r="AX244" s="214"/>
      <c r="AY244" s="214"/>
      <c r="AZ244" s="214"/>
      <c r="BA244" s="192"/>
      <c r="BB244" s="193"/>
      <c r="BC244" s="194"/>
      <c r="BD244" s="192"/>
      <c r="BE244" s="193"/>
      <c r="BF244" s="194"/>
      <c r="BG244" s="194"/>
      <c r="BH244" s="194"/>
      <c r="BI244" s="188">
        <f t="shared" si="35"/>
        <v>0</v>
      </c>
      <c r="BJ244" s="192"/>
      <c r="BK244" s="187">
        <f t="shared" si="36"/>
        <v>0</v>
      </c>
      <c r="BL244" s="188">
        <f t="shared" si="37"/>
        <v>0</v>
      </c>
    </row>
    <row r="245" spans="1:75" ht="42">
      <c r="A245" s="191" t="s">
        <v>257</v>
      </c>
      <c r="B245" s="196">
        <v>102185</v>
      </c>
      <c r="C245" s="197" t="s">
        <v>258</v>
      </c>
      <c r="D245" s="216" t="s">
        <v>355</v>
      </c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  <c r="AH245" s="216"/>
      <c r="AI245" s="216"/>
      <c r="AJ245" s="216"/>
      <c r="AK245" s="216"/>
      <c r="AL245" s="216"/>
      <c r="AM245" s="216"/>
      <c r="AN245" s="216"/>
      <c r="AO245" s="216"/>
      <c r="AP245" s="216"/>
      <c r="AQ245" s="216"/>
      <c r="AR245" s="216"/>
      <c r="AS245" s="216"/>
      <c r="AT245" s="216"/>
      <c r="AU245" s="216"/>
      <c r="AV245" s="216"/>
      <c r="AW245" s="216"/>
      <c r="AX245" s="214"/>
      <c r="AY245" s="214"/>
      <c r="AZ245" s="214"/>
      <c r="BA245" s="192"/>
      <c r="BB245" s="193"/>
      <c r="BC245" s="194"/>
      <c r="BD245" s="192"/>
      <c r="BE245" s="193"/>
      <c r="BF245" s="194"/>
      <c r="BG245" s="194"/>
      <c r="BH245" s="194"/>
      <c r="BI245" s="188">
        <f t="shared" si="35"/>
        <v>0</v>
      </c>
      <c r="BJ245" s="192"/>
      <c r="BK245" s="187">
        <f t="shared" si="36"/>
        <v>0</v>
      </c>
      <c r="BL245" s="188">
        <f t="shared" si="37"/>
        <v>0</v>
      </c>
    </row>
    <row r="246" spans="1:75" ht="42">
      <c r="A246" s="191" t="s">
        <v>259</v>
      </c>
      <c r="B246" s="196">
        <v>102184</v>
      </c>
      <c r="C246" s="197" t="s">
        <v>260</v>
      </c>
      <c r="D246" s="216" t="s">
        <v>355</v>
      </c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  <c r="AD246" s="216"/>
      <c r="AE246" s="216"/>
      <c r="AF246" s="216"/>
      <c r="AG246" s="216"/>
      <c r="AH246" s="216"/>
      <c r="AI246" s="216"/>
      <c r="AJ246" s="216"/>
      <c r="AK246" s="216"/>
      <c r="AL246" s="216"/>
      <c r="AM246" s="216"/>
      <c r="AN246" s="216"/>
      <c r="AO246" s="216"/>
      <c r="AP246" s="216"/>
      <c r="AQ246" s="216"/>
      <c r="AR246" s="216"/>
      <c r="AS246" s="216"/>
      <c r="AT246" s="216"/>
      <c r="AU246" s="216"/>
      <c r="AV246" s="216"/>
      <c r="AW246" s="216"/>
      <c r="AX246" s="214"/>
      <c r="AY246" s="214"/>
      <c r="AZ246" s="214"/>
      <c r="BA246" s="192"/>
      <c r="BB246" s="193"/>
      <c r="BC246" s="194"/>
      <c r="BD246" s="192"/>
      <c r="BE246" s="193"/>
      <c r="BF246" s="194"/>
      <c r="BG246" s="194"/>
      <c r="BH246" s="194"/>
      <c r="BI246" s="188">
        <f t="shared" si="35"/>
        <v>0</v>
      </c>
      <c r="BJ246" s="192"/>
      <c r="BK246" s="187">
        <f t="shared" si="36"/>
        <v>0</v>
      </c>
      <c r="BL246" s="188">
        <f t="shared" si="37"/>
        <v>0</v>
      </c>
    </row>
    <row r="247" spans="1:75" ht="42">
      <c r="A247" s="191" t="s">
        <v>261</v>
      </c>
      <c r="B247" s="196">
        <v>91338</v>
      </c>
      <c r="C247" s="197" t="s">
        <v>262</v>
      </c>
      <c r="D247" s="216" t="s">
        <v>355</v>
      </c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  <c r="AD247" s="216"/>
      <c r="AE247" s="216"/>
      <c r="AF247" s="216"/>
      <c r="AG247" s="216"/>
      <c r="AH247" s="216"/>
      <c r="AI247" s="216"/>
      <c r="AJ247" s="216"/>
      <c r="AK247" s="216"/>
      <c r="AL247" s="216"/>
      <c r="AM247" s="216"/>
      <c r="AN247" s="216"/>
      <c r="AO247" s="216"/>
      <c r="AP247" s="216"/>
      <c r="AQ247" s="216"/>
      <c r="AR247" s="216"/>
      <c r="AS247" s="216"/>
      <c r="AT247" s="216"/>
      <c r="AU247" s="216"/>
      <c r="AV247" s="216"/>
      <c r="AW247" s="216"/>
      <c r="AX247" s="214"/>
      <c r="AY247" s="214"/>
      <c r="AZ247" s="214"/>
      <c r="BA247" s="192"/>
      <c r="BB247" s="193"/>
      <c r="BC247" s="194"/>
      <c r="BD247" s="192"/>
      <c r="BE247" s="193"/>
      <c r="BF247" s="194"/>
      <c r="BG247" s="194"/>
      <c r="BH247" s="194"/>
      <c r="BI247" s="188">
        <f t="shared" si="35"/>
        <v>0</v>
      </c>
      <c r="BJ247" s="192"/>
      <c r="BK247" s="187">
        <f t="shared" si="36"/>
        <v>0</v>
      </c>
      <c r="BL247" s="188">
        <f t="shared" si="37"/>
        <v>0</v>
      </c>
    </row>
    <row r="248" spans="1:75" ht="70">
      <c r="A248" s="191" t="s">
        <v>263</v>
      </c>
      <c r="B248" s="196">
        <v>94559</v>
      </c>
      <c r="C248" s="197" t="s">
        <v>264</v>
      </c>
      <c r="D248" s="216" t="s">
        <v>355</v>
      </c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  <c r="AD248" s="216"/>
      <c r="AE248" s="216"/>
      <c r="AF248" s="216"/>
      <c r="AG248" s="216"/>
      <c r="AH248" s="216"/>
      <c r="AI248" s="216"/>
      <c r="AJ248" s="216"/>
      <c r="AK248" s="216"/>
      <c r="AL248" s="216"/>
      <c r="AM248" s="216"/>
      <c r="AN248" s="216"/>
      <c r="AO248" s="216"/>
      <c r="AP248" s="216"/>
      <c r="AQ248" s="216"/>
      <c r="AR248" s="216"/>
      <c r="AS248" s="216"/>
      <c r="AT248" s="216"/>
      <c r="AU248" s="216"/>
      <c r="AV248" s="216"/>
      <c r="AW248" s="216"/>
      <c r="AX248" s="214"/>
      <c r="AY248" s="214"/>
      <c r="AZ248" s="214"/>
      <c r="BA248" s="192"/>
      <c r="BB248" s="193"/>
      <c r="BC248" s="194"/>
      <c r="BD248" s="192"/>
      <c r="BE248" s="193"/>
      <c r="BF248" s="194"/>
      <c r="BG248" s="194"/>
      <c r="BH248" s="194"/>
      <c r="BI248" s="188">
        <f t="shared" si="35"/>
        <v>0</v>
      </c>
      <c r="BJ248" s="192"/>
      <c r="BK248" s="187">
        <f t="shared" si="36"/>
        <v>0</v>
      </c>
      <c r="BL248" s="188">
        <f t="shared" si="37"/>
        <v>0</v>
      </c>
    </row>
    <row r="249" spans="1:75" ht="56">
      <c r="A249" s="191" t="s">
        <v>265</v>
      </c>
      <c r="B249" s="196">
        <v>94562</v>
      </c>
      <c r="C249" s="197" t="s">
        <v>266</v>
      </c>
      <c r="D249" s="216" t="s">
        <v>355</v>
      </c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  <c r="AD249" s="216"/>
      <c r="AE249" s="216"/>
      <c r="AF249" s="216"/>
      <c r="AG249" s="216"/>
      <c r="AH249" s="216"/>
      <c r="AI249" s="216"/>
      <c r="AJ249" s="216"/>
      <c r="AK249" s="216"/>
      <c r="AL249" s="216"/>
      <c r="AM249" s="216"/>
      <c r="AN249" s="216"/>
      <c r="AO249" s="216"/>
      <c r="AP249" s="216"/>
      <c r="AQ249" s="216"/>
      <c r="AR249" s="216"/>
      <c r="AS249" s="216"/>
      <c r="AT249" s="216"/>
      <c r="AU249" s="216"/>
      <c r="AV249" s="216"/>
      <c r="AW249" s="216"/>
      <c r="AX249" s="214"/>
      <c r="AY249" s="214"/>
      <c r="AZ249" s="214"/>
      <c r="BA249" s="192"/>
      <c r="BB249" s="193"/>
      <c r="BC249" s="194"/>
      <c r="BD249" s="192"/>
      <c r="BE249" s="193"/>
      <c r="BF249" s="194"/>
      <c r="BG249" s="194"/>
      <c r="BH249" s="194"/>
      <c r="BI249" s="188">
        <f t="shared" si="35"/>
        <v>0</v>
      </c>
      <c r="BJ249" s="192"/>
      <c r="BK249" s="187">
        <f t="shared" si="36"/>
        <v>0</v>
      </c>
      <c r="BL249" s="188">
        <f t="shared" si="37"/>
        <v>0</v>
      </c>
    </row>
    <row r="250" spans="1:75" ht="42">
      <c r="A250" s="191" t="s">
        <v>267</v>
      </c>
      <c r="B250" s="196">
        <v>102170</v>
      </c>
      <c r="C250" s="197" t="s">
        <v>268</v>
      </c>
      <c r="D250" s="216" t="s">
        <v>355</v>
      </c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  <c r="AD250" s="216"/>
      <c r="AE250" s="216"/>
      <c r="AF250" s="216"/>
      <c r="AG250" s="216"/>
      <c r="AH250" s="216"/>
      <c r="AI250" s="216"/>
      <c r="AJ250" s="216"/>
      <c r="AK250" s="216"/>
      <c r="AL250" s="216"/>
      <c r="AM250" s="216"/>
      <c r="AN250" s="216"/>
      <c r="AO250" s="216"/>
      <c r="AP250" s="216"/>
      <c r="AQ250" s="216"/>
      <c r="AR250" s="216"/>
      <c r="AS250" s="216"/>
      <c r="AT250" s="216"/>
      <c r="AU250" s="216"/>
      <c r="AV250" s="216"/>
      <c r="AW250" s="216"/>
      <c r="AX250" s="214"/>
      <c r="AY250" s="214"/>
      <c r="AZ250" s="214"/>
      <c r="BA250" s="192"/>
      <c r="BB250" s="193"/>
      <c r="BC250" s="194"/>
      <c r="BD250" s="192"/>
      <c r="BE250" s="193"/>
      <c r="BF250" s="194"/>
      <c r="BG250" s="194"/>
      <c r="BH250" s="194"/>
      <c r="BI250" s="188">
        <f t="shared" si="35"/>
        <v>0</v>
      </c>
      <c r="BJ250" s="192"/>
      <c r="BK250" s="187">
        <f t="shared" si="36"/>
        <v>0</v>
      </c>
      <c r="BL250" s="188">
        <f t="shared" si="37"/>
        <v>0</v>
      </c>
    </row>
    <row r="251" spans="1:75" ht="20.149999999999999" customHeight="1">
      <c r="A251" s="180">
        <v>12</v>
      </c>
      <c r="B251" s="181" t="s">
        <v>269</v>
      </c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  <c r="AK251" s="181"/>
      <c r="AL251" s="181"/>
      <c r="AM251" s="181"/>
      <c r="AN251" s="181"/>
      <c r="AO251" s="181"/>
      <c r="AP251" s="181"/>
      <c r="AQ251" s="181"/>
      <c r="AR251" s="181"/>
      <c r="AS251" s="181"/>
      <c r="AT251" s="181"/>
      <c r="AU251" s="181"/>
      <c r="AV251" s="181"/>
      <c r="AW251" s="181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195"/>
      <c r="BI251" s="195"/>
      <c r="BJ251" s="195"/>
      <c r="BK251" s="195"/>
      <c r="BL251" s="195"/>
    </row>
    <row r="252" spans="1:75" ht="56">
      <c r="A252" s="191" t="s">
        <v>270</v>
      </c>
      <c r="B252" s="199">
        <v>104816</v>
      </c>
      <c r="C252" s="197" t="s">
        <v>271</v>
      </c>
      <c r="D252" s="216" t="s">
        <v>356</v>
      </c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  <c r="AD252" s="216"/>
      <c r="AE252" s="216"/>
      <c r="AF252" s="216"/>
      <c r="AG252" s="216"/>
      <c r="AH252" s="216"/>
      <c r="AI252" s="216"/>
      <c r="AJ252" s="216"/>
      <c r="AK252" s="216"/>
      <c r="AL252" s="216"/>
      <c r="AM252" s="216"/>
      <c r="AN252" s="216"/>
      <c r="AO252" s="216"/>
      <c r="AP252" s="216"/>
      <c r="AQ252" s="216"/>
      <c r="AR252" s="216"/>
      <c r="AS252" s="216"/>
      <c r="AT252" s="216"/>
      <c r="AU252" s="216"/>
      <c r="AV252" s="216"/>
      <c r="AW252" s="216"/>
      <c r="AX252" s="214"/>
      <c r="AY252" s="214"/>
      <c r="AZ252" s="214"/>
      <c r="BA252" s="192"/>
      <c r="BB252" s="193"/>
      <c r="BC252" s="194"/>
      <c r="BD252" s="192"/>
      <c r="BE252" s="193"/>
      <c r="BF252" s="194"/>
      <c r="BG252" s="194"/>
      <c r="BH252" s="194"/>
      <c r="BI252" s="188">
        <f>TRUNC(V252*BH252)+0</f>
        <v>0</v>
      </c>
      <c r="BJ252" s="217"/>
      <c r="BK252" s="187">
        <f>TRUNC(BJ252*U252,2)</f>
        <v>0</v>
      </c>
      <c r="BL252" s="188">
        <f>TRUNC(BK252*V252)+0</f>
        <v>0</v>
      </c>
    </row>
    <row r="253" spans="1:75" ht="20.149999999999999" customHeight="1">
      <c r="A253" s="180">
        <v>13</v>
      </c>
      <c r="B253" s="181" t="s">
        <v>272</v>
      </c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1"/>
      <c r="AV253" s="181"/>
      <c r="AW253" s="181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195"/>
      <c r="BI253" s="195"/>
      <c r="BJ253" s="195"/>
      <c r="BK253" s="195"/>
      <c r="BL253" s="195"/>
    </row>
    <row r="254" spans="1:75" ht="23.25" customHeight="1">
      <c r="A254" s="191" t="s">
        <v>273</v>
      </c>
      <c r="B254" s="196">
        <v>2450</v>
      </c>
      <c r="C254" s="197" t="s">
        <v>274</v>
      </c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214"/>
      <c r="AY254" s="214"/>
      <c r="AZ254" s="262"/>
      <c r="BA254" s="192"/>
      <c r="BB254" s="193"/>
      <c r="BC254" s="194"/>
      <c r="BD254" s="192"/>
      <c r="BE254" s="193"/>
      <c r="BF254" s="194"/>
      <c r="BG254" s="194"/>
      <c r="BH254" s="194"/>
      <c r="BI254" s="188"/>
      <c r="BJ254" s="192"/>
      <c r="BK254" s="187">
        <f>TRUNC(BJ254*U254,2)</f>
        <v>0</v>
      </c>
      <c r="BL254" s="188"/>
    </row>
    <row r="255" spans="1:75" ht="60" customHeight="1">
      <c r="A255" s="263" t="s">
        <v>286</v>
      </c>
      <c r="B255" s="264"/>
      <c r="C255" s="265"/>
      <c r="D255" s="263" t="s">
        <v>287</v>
      </c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  <c r="AM255" s="264"/>
      <c r="AN255" s="264"/>
      <c r="AO255" s="264"/>
      <c r="AP255" s="264"/>
      <c r="AQ255" s="264"/>
      <c r="AR255" s="264"/>
      <c r="AS255" s="264"/>
      <c r="AT255" s="264"/>
      <c r="AU255" s="264"/>
      <c r="AV255" s="264"/>
      <c r="AW255" s="265"/>
      <c r="AX255" s="266" t="s">
        <v>288</v>
      </c>
      <c r="AY255" s="266"/>
      <c r="AZ255" s="266"/>
      <c r="BA255" s="266"/>
      <c r="BB255" s="266"/>
      <c r="BC255" s="266"/>
      <c r="BD255" s="266"/>
      <c r="BE255" s="266"/>
      <c r="BF255" s="266"/>
      <c r="BG255" s="266"/>
      <c r="BH255" s="266"/>
      <c r="BI255" s="266"/>
      <c r="BJ255" s="266"/>
      <c r="BK255" s="266"/>
      <c r="BL255" s="266"/>
    </row>
    <row r="256" spans="1:75" s="270" customFormat="1" ht="60" customHeight="1">
      <c r="A256" s="267"/>
      <c r="B256" s="268"/>
      <c r="C256" s="269"/>
      <c r="D256" s="267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  <c r="AF256" s="268"/>
      <c r="AG256" s="268"/>
      <c r="AH256" s="268"/>
      <c r="AI256" s="268"/>
      <c r="AJ256" s="268"/>
      <c r="AK256" s="268"/>
      <c r="AL256" s="268"/>
      <c r="AM256" s="268"/>
      <c r="AN256" s="268"/>
      <c r="AO256" s="268"/>
      <c r="AP256" s="268"/>
      <c r="AQ256" s="268"/>
      <c r="AR256" s="268"/>
      <c r="AS256" s="268"/>
      <c r="AT256" s="268"/>
      <c r="AU256" s="268"/>
      <c r="AV256" s="268"/>
      <c r="AW256" s="269"/>
      <c r="AX256" s="266"/>
      <c r="AY256" s="266"/>
      <c r="AZ256" s="266"/>
      <c r="BA256" s="266"/>
      <c r="BB256" s="266"/>
      <c r="BC256" s="266"/>
      <c r="BD256" s="266"/>
      <c r="BE256" s="266"/>
      <c r="BF256" s="266"/>
      <c r="BG256" s="266"/>
      <c r="BH256" s="266"/>
      <c r="BI256" s="266"/>
      <c r="BJ256" s="266"/>
      <c r="BK256" s="266"/>
      <c r="BL256" s="266"/>
      <c r="BM256" s="170"/>
      <c r="BN256" s="170"/>
      <c r="BO256" s="170"/>
      <c r="BP256" s="170"/>
      <c r="BQ256" s="170"/>
      <c r="BR256" s="170"/>
      <c r="BS256" s="170"/>
      <c r="BT256" s="170"/>
      <c r="BU256" s="170"/>
      <c r="BV256" s="170"/>
      <c r="BW256" s="170"/>
    </row>
    <row r="257" spans="1:75" s="270" customFormat="1" ht="70" customHeight="1">
      <c r="A257" s="267"/>
      <c r="B257" s="268"/>
      <c r="C257" s="269"/>
      <c r="D257" s="267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  <c r="AF257" s="268"/>
      <c r="AG257" s="268"/>
      <c r="AH257" s="268"/>
      <c r="AI257" s="268"/>
      <c r="AJ257" s="268"/>
      <c r="AK257" s="268"/>
      <c r="AL257" s="268"/>
      <c r="AM257" s="268"/>
      <c r="AN257" s="268"/>
      <c r="AO257" s="268"/>
      <c r="AP257" s="268"/>
      <c r="AQ257" s="268"/>
      <c r="AR257" s="268"/>
      <c r="AS257" s="268"/>
      <c r="AT257" s="268"/>
      <c r="AU257" s="268"/>
      <c r="AV257" s="268"/>
      <c r="AW257" s="269"/>
      <c r="AX257" s="266"/>
      <c r="AY257" s="266"/>
      <c r="AZ257" s="266"/>
      <c r="BA257" s="266"/>
      <c r="BB257" s="266"/>
      <c r="BC257" s="266"/>
      <c r="BD257" s="266"/>
      <c r="BE257" s="266"/>
      <c r="BF257" s="266"/>
      <c r="BG257" s="266"/>
      <c r="BH257" s="266"/>
      <c r="BI257" s="266"/>
      <c r="BJ257" s="266"/>
      <c r="BK257" s="266"/>
      <c r="BL257" s="266"/>
      <c r="BM257" s="170"/>
      <c r="BN257" s="170"/>
      <c r="BO257" s="170"/>
      <c r="BP257" s="170"/>
      <c r="BQ257" s="170"/>
      <c r="BR257" s="170"/>
      <c r="BS257" s="170"/>
      <c r="BT257" s="170"/>
      <c r="BU257" s="170"/>
      <c r="BV257" s="170"/>
      <c r="BW257" s="170"/>
    </row>
    <row r="258" spans="1:75" s="270" customFormat="1">
      <c r="A258" s="271"/>
      <c r="B258" s="272"/>
      <c r="C258" s="273"/>
      <c r="D258" s="271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  <c r="AJ258" s="272"/>
      <c r="AK258" s="272"/>
      <c r="AL258" s="272"/>
      <c r="AM258" s="272"/>
      <c r="AN258" s="272"/>
      <c r="AO258" s="272"/>
      <c r="AP258" s="272"/>
      <c r="AQ258" s="272"/>
      <c r="AR258" s="272"/>
      <c r="AS258" s="272"/>
      <c r="AT258" s="272"/>
      <c r="AU258" s="272"/>
      <c r="AV258" s="272"/>
      <c r="AW258" s="273"/>
      <c r="AX258" s="266"/>
      <c r="AY258" s="266"/>
      <c r="AZ258" s="266"/>
      <c r="BA258" s="266"/>
      <c r="BB258" s="266"/>
      <c r="BC258" s="266"/>
      <c r="BD258" s="266"/>
      <c r="BE258" s="266"/>
      <c r="BF258" s="266"/>
      <c r="BG258" s="266"/>
      <c r="BH258" s="266"/>
      <c r="BI258" s="266"/>
      <c r="BJ258" s="266"/>
      <c r="BK258" s="266"/>
      <c r="BL258" s="266"/>
      <c r="BM258" s="170"/>
      <c r="BN258" s="170"/>
      <c r="BO258" s="170"/>
      <c r="BP258" s="170"/>
      <c r="BQ258" s="170"/>
      <c r="BR258" s="170"/>
      <c r="BS258" s="170"/>
      <c r="BT258" s="170"/>
      <c r="BU258" s="170"/>
      <c r="BV258" s="170"/>
      <c r="BW258" s="170"/>
    </row>
    <row r="260" spans="1:75" s="270" customFormat="1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  <c r="AF260" s="170"/>
      <c r="AG260" s="170"/>
      <c r="AH260" s="170"/>
      <c r="AI260" s="170"/>
      <c r="AJ260" s="170"/>
      <c r="AK260" s="170"/>
      <c r="AL260" s="170"/>
      <c r="AM260" s="170"/>
      <c r="AN260" s="170"/>
      <c r="AO260" s="170"/>
      <c r="AP260" s="170"/>
      <c r="AQ260" s="170"/>
      <c r="AR260" s="170"/>
      <c r="AS260" s="170"/>
      <c r="AT260" s="170"/>
      <c r="AU260" s="170"/>
      <c r="AV260" s="170"/>
      <c r="AW260" s="170"/>
      <c r="AX260" s="170"/>
      <c r="AY260" s="274"/>
      <c r="AZ260" s="170"/>
      <c r="BA260" s="170"/>
      <c r="BB260" s="170"/>
      <c r="BC260" s="170"/>
      <c r="BD260" s="170"/>
      <c r="BE260" s="170"/>
      <c r="BF260" s="170"/>
      <c r="BG260" s="170"/>
      <c r="BH260" s="170"/>
      <c r="BI260" s="170"/>
      <c r="BJ260" s="170"/>
      <c r="BK260" s="170"/>
      <c r="BL260" s="170"/>
      <c r="BM260" s="170"/>
      <c r="BN260" s="170"/>
      <c r="BO260" s="170"/>
      <c r="BP260" s="170"/>
      <c r="BQ260" s="170"/>
      <c r="BR260" s="170"/>
      <c r="BS260" s="170"/>
      <c r="BT260" s="170"/>
      <c r="BU260" s="170"/>
      <c r="BV260" s="170"/>
      <c r="BW260" s="170"/>
    </row>
    <row r="261" spans="1:75" s="270" customFormat="1">
      <c r="A261" s="170"/>
      <c r="B261" s="170"/>
      <c r="C261" s="275"/>
      <c r="D261" s="170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  <c r="AF261" s="170"/>
      <c r="AG261" s="170"/>
      <c r="AH261" s="170"/>
      <c r="AI261" s="170"/>
      <c r="AJ261" s="170"/>
      <c r="AK261" s="170"/>
      <c r="AL261" s="170"/>
      <c r="AM261" s="170"/>
      <c r="AN261" s="170"/>
      <c r="AO261" s="170"/>
      <c r="AP261" s="170"/>
      <c r="AQ261" s="170"/>
      <c r="AR261" s="170"/>
      <c r="AS261" s="170"/>
      <c r="AT261" s="170"/>
      <c r="AU261" s="170"/>
      <c r="AV261" s="170"/>
      <c r="AW261" s="170"/>
      <c r="AX261" s="275"/>
      <c r="AY261" s="170"/>
      <c r="AZ261" s="170"/>
      <c r="BA261" s="275"/>
      <c r="BB261" s="170"/>
      <c r="BC261" s="170"/>
      <c r="BD261" s="275"/>
      <c r="BE261" s="170"/>
      <c r="BF261" s="170"/>
      <c r="BG261" s="170"/>
      <c r="BH261" s="170"/>
      <c r="BI261" s="170"/>
      <c r="BJ261" s="275"/>
      <c r="BK261" s="170"/>
      <c r="BL261" s="170"/>
      <c r="BM261" s="170"/>
      <c r="BN261" s="170"/>
      <c r="BO261" s="170"/>
      <c r="BP261" s="170"/>
      <c r="BQ261" s="170"/>
      <c r="BR261" s="170"/>
      <c r="BS261" s="170"/>
      <c r="BT261" s="170"/>
      <c r="BU261" s="170"/>
      <c r="BV261" s="170"/>
      <c r="BW261" s="170"/>
    </row>
    <row r="262" spans="1:75" s="270" customFormat="1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  <c r="AF262" s="170"/>
      <c r="AG262" s="170"/>
      <c r="AH262" s="170"/>
      <c r="AI262" s="170"/>
      <c r="AJ262" s="170"/>
      <c r="AK262" s="170"/>
      <c r="AL262" s="170"/>
      <c r="AM262" s="170"/>
      <c r="AN262" s="170"/>
      <c r="AO262" s="170"/>
      <c r="AP262" s="170"/>
      <c r="AQ262" s="170"/>
      <c r="AR262" s="170"/>
      <c r="AS262" s="170"/>
      <c r="AT262" s="170"/>
      <c r="AU262" s="170"/>
      <c r="AV262" s="170"/>
      <c r="AW262" s="170"/>
      <c r="AX262" s="170"/>
      <c r="AY262" s="170"/>
      <c r="AZ262" s="170"/>
      <c r="BA262" s="170"/>
      <c r="BB262" s="170"/>
      <c r="BC262" s="170"/>
      <c r="BD262" s="170"/>
      <c r="BE262" s="170"/>
      <c r="BF262" s="170"/>
      <c r="BG262" s="170"/>
      <c r="BH262" s="170"/>
      <c r="BI262" s="170"/>
      <c r="BJ262" s="170"/>
      <c r="BK262" s="170"/>
      <c r="BL262" s="170"/>
      <c r="BM262" s="170"/>
      <c r="BN262" s="170"/>
      <c r="BO262" s="170"/>
      <c r="BP262" s="170"/>
      <c r="BQ262" s="170"/>
      <c r="BR262" s="170"/>
      <c r="BS262" s="170"/>
      <c r="BT262" s="170"/>
      <c r="BU262" s="170"/>
      <c r="BV262" s="170"/>
      <c r="BW262" s="170"/>
    </row>
    <row r="263" spans="1:75" s="270" customFormat="1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  <c r="AF263" s="170"/>
      <c r="AG263" s="170"/>
      <c r="AH263" s="170"/>
      <c r="AI263" s="170"/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s="170"/>
      <c r="AV263" s="170"/>
      <c r="AW263" s="170"/>
      <c r="AX263" s="170"/>
      <c r="AY263" s="170"/>
      <c r="AZ263" s="170"/>
      <c r="BA263" s="276">
        <v>1451015.78</v>
      </c>
      <c r="BB263" s="170" t="s">
        <v>290</v>
      </c>
      <c r="BC263" s="170"/>
      <c r="BD263" s="170"/>
      <c r="BE263" s="170"/>
      <c r="BF263" s="170"/>
      <c r="BG263" s="170"/>
      <c r="BH263" s="170"/>
      <c r="BI263" s="170"/>
      <c r="BJ263" s="170"/>
      <c r="BK263" s="170"/>
      <c r="BL263" s="170"/>
      <c r="BM263" s="170"/>
      <c r="BN263" s="170"/>
      <c r="BO263" s="170"/>
      <c r="BP263" s="170"/>
      <c r="BQ263" s="170"/>
      <c r="BR263" s="170"/>
      <c r="BS263" s="170"/>
      <c r="BT263" s="170"/>
      <c r="BU263" s="170"/>
      <c r="BV263" s="170"/>
      <c r="BW263" s="170"/>
    </row>
    <row r="264" spans="1:75" s="270" customFormat="1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  <c r="AF264" s="170"/>
      <c r="AG264" s="170"/>
      <c r="AH264" s="170"/>
      <c r="AI264" s="170"/>
      <c r="AJ264" s="170"/>
      <c r="AK264" s="170"/>
      <c r="AL264" s="170"/>
      <c r="AM264" s="170"/>
      <c r="AN264" s="170"/>
      <c r="AO264" s="170"/>
      <c r="AP264" s="170"/>
      <c r="AQ264" s="170"/>
      <c r="AR264" s="170"/>
      <c r="AS264" s="170"/>
      <c r="AT264" s="170"/>
      <c r="AU264" s="170"/>
      <c r="AV264" s="170"/>
      <c r="AW264" s="170" t="s">
        <v>291</v>
      </c>
      <c r="AX264" s="170"/>
      <c r="AY264" s="170"/>
      <c r="AZ264" s="170"/>
      <c r="BA264" s="276" t="e">
        <f>#REF!</f>
        <v>#REF!</v>
      </c>
      <c r="BB264" s="170" t="s">
        <v>292</v>
      </c>
      <c r="BC264" s="170"/>
      <c r="BD264" s="170"/>
      <c r="BE264" s="170"/>
      <c r="BF264" s="170"/>
      <c r="BG264" s="170"/>
      <c r="BH264" s="170"/>
      <c r="BI264" s="170"/>
      <c r="BJ264" s="170"/>
      <c r="BK264" s="170"/>
      <c r="BL264" s="170"/>
      <c r="BM264" s="170"/>
      <c r="BN264" s="170"/>
      <c r="BO264" s="170"/>
      <c r="BP264" s="170"/>
      <c r="BQ264" s="170"/>
      <c r="BR264" s="170"/>
      <c r="BS264" s="170"/>
      <c r="BT264" s="170"/>
      <c r="BU264" s="170"/>
      <c r="BV264" s="170"/>
      <c r="BW264" s="170"/>
    </row>
    <row r="265" spans="1:75" s="270" customFormat="1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  <c r="AF265" s="170"/>
      <c r="AG265" s="170"/>
      <c r="AH265" s="170"/>
      <c r="AI265" s="170"/>
      <c r="AJ265" s="170"/>
      <c r="AK265" s="170"/>
      <c r="AL265" s="170"/>
      <c r="AM265" s="170"/>
      <c r="AN265" s="170"/>
      <c r="AO265" s="170"/>
      <c r="AP265" s="170"/>
      <c r="AQ265" s="170"/>
      <c r="AR265" s="170"/>
      <c r="AS265" s="170"/>
      <c r="AT265" s="170"/>
      <c r="AU265" s="170"/>
      <c r="AV265" s="170"/>
      <c r="AW265" s="170" t="s">
        <v>293</v>
      </c>
      <c r="AX265" s="170"/>
      <c r="AY265" s="170"/>
      <c r="AZ265" s="170"/>
      <c r="BA265" s="277" t="e">
        <f>1-(BA264/BA263)</f>
        <v>#REF!</v>
      </c>
      <c r="BB265" s="170" t="s">
        <v>294</v>
      </c>
      <c r="BC265" s="170"/>
      <c r="BD265" s="170"/>
      <c r="BE265" s="170"/>
      <c r="BF265" s="170"/>
      <c r="BG265" s="170"/>
      <c r="BH265" s="170"/>
      <c r="BI265" s="170"/>
      <c r="BJ265" s="170"/>
      <c r="BK265" s="170"/>
      <c r="BL265" s="170"/>
      <c r="BM265" s="170"/>
      <c r="BN265" s="170"/>
      <c r="BO265" s="170"/>
      <c r="BP265" s="170"/>
      <c r="BQ265" s="170"/>
      <c r="BR265" s="170"/>
      <c r="BS265" s="170"/>
      <c r="BT265" s="170"/>
      <c r="BU265" s="170"/>
      <c r="BV265" s="170"/>
      <c r="BW265" s="170"/>
    </row>
    <row r="266" spans="1:75" s="270" customFormat="1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  <c r="AK266" s="170"/>
      <c r="AL266" s="170"/>
      <c r="AM266" s="170"/>
      <c r="AN266" s="170"/>
      <c r="AO266" s="170"/>
      <c r="AP266" s="170"/>
      <c r="AQ266" s="170"/>
      <c r="AR266" s="170"/>
      <c r="AS266" s="170"/>
      <c r="AT266" s="170"/>
      <c r="AU266" s="170"/>
      <c r="AV266" s="170"/>
      <c r="AW266" s="170" t="s">
        <v>295</v>
      </c>
      <c r="AX266" s="170" t="s">
        <v>295</v>
      </c>
      <c r="AY266" s="170" t="s">
        <v>295</v>
      </c>
      <c r="AZ266" s="170" t="s">
        <v>295</v>
      </c>
      <c r="BA266" s="170"/>
      <c r="BB266" s="170"/>
      <c r="BC266" s="170"/>
      <c r="BD266" s="170"/>
      <c r="BE266" s="170"/>
      <c r="BF266" s="170"/>
      <c r="BG266" s="170"/>
      <c r="BH266" s="170"/>
      <c r="BI266" s="170"/>
      <c r="BJ266" s="170"/>
      <c r="BK266" s="170"/>
      <c r="BL266" s="170"/>
      <c r="BM266" s="170"/>
      <c r="BN266" s="170"/>
      <c r="BO266" s="170"/>
      <c r="BP266" s="170"/>
      <c r="BQ266" s="170"/>
      <c r="BR266" s="170"/>
      <c r="BS266" s="170"/>
      <c r="BT266" s="170"/>
      <c r="BU266" s="170"/>
      <c r="BV266" s="170"/>
      <c r="BW266" s="170"/>
    </row>
    <row r="267" spans="1:75" s="270" customFormat="1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  <c r="AF267" s="170"/>
      <c r="AG267" s="170"/>
      <c r="AH267" s="170"/>
      <c r="AI267" s="170"/>
      <c r="AJ267" s="170"/>
      <c r="AK267" s="170"/>
      <c r="AL267" s="170"/>
      <c r="AM267" s="170"/>
      <c r="AN267" s="170"/>
      <c r="AO267" s="170"/>
      <c r="AP267" s="170"/>
      <c r="AQ267" s="170"/>
      <c r="AR267" s="170"/>
      <c r="AS267" s="170"/>
      <c r="AT267" s="170"/>
      <c r="AU267" s="170"/>
      <c r="AV267" s="170"/>
      <c r="AW267" s="170" t="s">
        <v>296</v>
      </c>
      <c r="AX267" s="170"/>
      <c r="AY267" s="170"/>
      <c r="AZ267" s="170"/>
      <c r="BA267" s="170"/>
      <c r="BB267" s="170"/>
      <c r="BC267" s="170"/>
      <c r="BD267" s="170"/>
      <c r="BE267" s="170"/>
      <c r="BF267" s="170"/>
      <c r="BG267" s="170"/>
      <c r="BH267" s="170"/>
      <c r="BI267" s="170"/>
      <c r="BJ267" s="170"/>
      <c r="BK267" s="170"/>
      <c r="BL267" s="170"/>
      <c r="BM267" s="170"/>
      <c r="BN267" s="170"/>
      <c r="BO267" s="170"/>
      <c r="BP267" s="170"/>
      <c r="BQ267" s="170"/>
      <c r="BR267" s="170"/>
      <c r="BS267" s="170"/>
      <c r="BT267" s="170"/>
      <c r="BU267" s="170"/>
      <c r="BV267" s="170"/>
      <c r="BW267" s="170"/>
    </row>
    <row r="268" spans="1:75" s="270" customFormat="1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  <c r="AF268" s="170"/>
      <c r="AG268" s="170"/>
      <c r="AH268" s="170"/>
      <c r="AI268" s="170"/>
      <c r="AJ268" s="170"/>
      <c r="AK268" s="170"/>
      <c r="AL268" s="170"/>
      <c r="AM268" s="170"/>
      <c r="AN268" s="170"/>
      <c r="AO268" s="170"/>
      <c r="AP268" s="170"/>
      <c r="AQ268" s="170"/>
      <c r="AR268" s="170"/>
      <c r="AS268" s="170"/>
      <c r="AT268" s="170"/>
      <c r="AU268" s="170"/>
      <c r="AV268" s="170"/>
      <c r="AW268" s="170" t="s">
        <v>297</v>
      </c>
      <c r="AX268" s="170"/>
      <c r="AY268" s="170"/>
      <c r="AZ268" s="170"/>
      <c r="BA268" s="170"/>
      <c r="BB268" s="170"/>
      <c r="BC268" s="170"/>
      <c r="BD268" s="170"/>
      <c r="BE268" s="170"/>
      <c r="BF268" s="170"/>
      <c r="BG268" s="170"/>
      <c r="BH268" s="170"/>
      <c r="BI268" s="170"/>
      <c r="BJ268" s="170"/>
      <c r="BK268" s="170"/>
      <c r="BL268" s="170"/>
      <c r="BM268" s="170"/>
      <c r="BN268" s="170"/>
      <c r="BO268" s="170"/>
      <c r="BP268" s="170"/>
      <c r="BQ268" s="170"/>
      <c r="BR268" s="170"/>
      <c r="BS268" s="170"/>
      <c r="BT268" s="170"/>
      <c r="BU268" s="170"/>
      <c r="BV268" s="170"/>
      <c r="BW268" s="170"/>
    </row>
    <row r="269" spans="1:75" s="270" customFormat="1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  <c r="AF269" s="170"/>
      <c r="AG269" s="170"/>
      <c r="AH269" s="170"/>
      <c r="AI269" s="170"/>
      <c r="AJ269" s="170"/>
      <c r="AK269" s="170"/>
      <c r="AL269" s="170"/>
      <c r="AM269" s="170"/>
      <c r="AN269" s="170"/>
      <c r="AO269" s="170"/>
      <c r="AP269" s="170"/>
      <c r="AQ269" s="170"/>
      <c r="AR269" s="170"/>
      <c r="AS269" s="170"/>
      <c r="AT269" s="170"/>
      <c r="AU269" s="170"/>
      <c r="AV269" s="170"/>
      <c r="AW269" s="170" t="s">
        <v>298</v>
      </c>
      <c r="AX269" s="170"/>
      <c r="AY269" s="170"/>
      <c r="AZ269" s="170"/>
      <c r="BA269" s="170"/>
      <c r="BB269" s="170"/>
      <c r="BC269" s="170"/>
      <c r="BD269" s="170"/>
      <c r="BE269" s="170"/>
      <c r="BF269" s="170"/>
      <c r="BG269" s="170"/>
      <c r="BH269" s="170"/>
      <c r="BI269" s="170"/>
      <c r="BJ269" s="170"/>
      <c r="BK269" s="276"/>
      <c r="BL269" s="170"/>
      <c r="BM269" s="170"/>
      <c r="BN269" s="170"/>
      <c r="BO269" s="170"/>
      <c r="BP269" s="170"/>
      <c r="BQ269" s="170"/>
      <c r="BR269" s="170"/>
      <c r="BS269" s="170"/>
      <c r="BT269" s="170"/>
      <c r="BU269" s="170"/>
      <c r="BV269" s="170"/>
      <c r="BW269" s="170"/>
    </row>
    <row r="270" spans="1:75" s="270" customFormat="1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  <c r="AF270" s="170"/>
      <c r="AG270" s="170"/>
      <c r="AH270" s="170"/>
      <c r="AI270" s="170"/>
      <c r="AJ270" s="170"/>
      <c r="AK270" s="170"/>
      <c r="AL270" s="170"/>
      <c r="AM270" s="170"/>
      <c r="AN270" s="170"/>
      <c r="AO270" s="170"/>
      <c r="AP270" s="170"/>
      <c r="AQ270" s="170"/>
      <c r="AR270" s="170"/>
      <c r="AS270" s="170"/>
      <c r="AT270" s="170"/>
      <c r="AU270" s="170"/>
      <c r="AV270" s="170"/>
      <c r="AW270" s="170" t="s">
        <v>299</v>
      </c>
      <c r="AX270" s="170"/>
      <c r="AY270" s="170"/>
      <c r="AZ270" s="170"/>
      <c r="BA270" s="170"/>
      <c r="BB270" s="170"/>
      <c r="BC270" s="170"/>
      <c r="BD270" s="170"/>
      <c r="BE270" s="170"/>
      <c r="BF270" s="170"/>
      <c r="BG270" s="170"/>
      <c r="BH270" s="170"/>
      <c r="BI270" s="170"/>
      <c r="BJ270" s="170"/>
      <c r="BK270" s="170"/>
      <c r="BL270" s="170"/>
      <c r="BM270" s="170"/>
      <c r="BN270" s="170"/>
      <c r="BO270" s="170"/>
      <c r="BP270" s="170"/>
      <c r="BQ270" s="170"/>
      <c r="BR270" s="170"/>
      <c r="BS270" s="170"/>
      <c r="BT270" s="170"/>
      <c r="BU270" s="170"/>
      <c r="BV270" s="170"/>
      <c r="BW270" s="170"/>
    </row>
  </sheetData>
  <mergeCells count="168">
    <mergeCell ref="AX255:BL258"/>
    <mergeCell ref="D250:AW250"/>
    <mergeCell ref="B251:AW251"/>
    <mergeCell ref="D252:AW252"/>
    <mergeCell ref="B253:AW253"/>
    <mergeCell ref="D254:AW254"/>
    <mergeCell ref="A255:C258"/>
    <mergeCell ref="D255:AW258"/>
    <mergeCell ref="D244:AW244"/>
    <mergeCell ref="D245:AW245"/>
    <mergeCell ref="D246:AW246"/>
    <mergeCell ref="D247:AW247"/>
    <mergeCell ref="D248:AW248"/>
    <mergeCell ref="D249:AW249"/>
    <mergeCell ref="D238:AW238"/>
    <mergeCell ref="B239:AW239"/>
    <mergeCell ref="D240:AW240"/>
    <mergeCell ref="D241:AW241"/>
    <mergeCell ref="B242:AW242"/>
    <mergeCell ref="D243:AW243"/>
    <mergeCell ref="D232:AW232"/>
    <mergeCell ref="D233:AW233"/>
    <mergeCell ref="D234:AW234"/>
    <mergeCell ref="D235:AW235"/>
    <mergeCell ref="D236:AW236"/>
    <mergeCell ref="D237:AW237"/>
    <mergeCell ref="D200:AW200"/>
    <mergeCell ref="D227:AU227"/>
    <mergeCell ref="B228:AW228"/>
    <mergeCell ref="D229:AW229"/>
    <mergeCell ref="D230:AW230"/>
    <mergeCell ref="D231:AW231"/>
    <mergeCell ref="D161:AU161"/>
    <mergeCell ref="D169:AU169"/>
    <mergeCell ref="D170:AU170"/>
    <mergeCell ref="D171:AU171"/>
    <mergeCell ref="D198:AU198"/>
    <mergeCell ref="D199:AU199"/>
    <mergeCell ref="D125:AU125"/>
    <mergeCell ref="D126:AU126"/>
    <mergeCell ref="D153:AU153"/>
    <mergeCell ref="D154:AU154"/>
    <mergeCell ref="D155:AW155"/>
    <mergeCell ref="D160:AU160"/>
    <mergeCell ref="D108:AW108"/>
    <mergeCell ref="D109:AW109"/>
    <mergeCell ref="D110:AW110"/>
    <mergeCell ref="D115:AU115"/>
    <mergeCell ref="D116:AU116"/>
    <mergeCell ref="D124:AU124"/>
    <mergeCell ref="B91:AW91"/>
    <mergeCell ref="D92:AW92"/>
    <mergeCell ref="D97:AU97"/>
    <mergeCell ref="D98:AU98"/>
    <mergeCell ref="D106:AU106"/>
    <mergeCell ref="D107:AU107"/>
    <mergeCell ref="D85:AW85"/>
    <mergeCell ref="D86:AW86"/>
    <mergeCell ref="D87:AW87"/>
    <mergeCell ref="D88:AW88"/>
    <mergeCell ref="D89:AW89"/>
    <mergeCell ref="D90:AW90"/>
    <mergeCell ref="D79:AW79"/>
    <mergeCell ref="D80:AW80"/>
    <mergeCell ref="D81:AW81"/>
    <mergeCell ref="D82:AW82"/>
    <mergeCell ref="D83:AW83"/>
    <mergeCell ref="D84:AW84"/>
    <mergeCell ref="D73:AW73"/>
    <mergeCell ref="D74:AW74"/>
    <mergeCell ref="D75:AW75"/>
    <mergeCell ref="D76:AW76"/>
    <mergeCell ref="D77:AW77"/>
    <mergeCell ref="D78:AW78"/>
    <mergeCell ref="D67:AW67"/>
    <mergeCell ref="D68:AW68"/>
    <mergeCell ref="D69:AW69"/>
    <mergeCell ref="D70:AW70"/>
    <mergeCell ref="B71:AW71"/>
    <mergeCell ref="D72:AW72"/>
    <mergeCell ref="D61:AW61"/>
    <mergeCell ref="D62:AW62"/>
    <mergeCell ref="D63:AW63"/>
    <mergeCell ref="D64:AW64"/>
    <mergeCell ref="D65:AW65"/>
    <mergeCell ref="D66:AW66"/>
    <mergeCell ref="B55:AW55"/>
    <mergeCell ref="B56:AW56"/>
    <mergeCell ref="D57:AW57"/>
    <mergeCell ref="D58:AW58"/>
    <mergeCell ref="D59:AW59"/>
    <mergeCell ref="D60:AW60"/>
    <mergeCell ref="D49:AW49"/>
    <mergeCell ref="D50:AW50"/>
    <mergeCell ref="D51:AW51"/>
    <mergeCell ref="B52:AW52"/>
    <mergeCell ref="D53:AW53"/>
    <mergeCell ref="D54:AW54"/>
    <mergeCell ref="D43:AW43"/>
    <mergeCell ref="D44:AW44"/>
    <mergeCell ref="B45:AW45"/>
    <mergeCell ref="D46:AW46"/>
    <mergeCell ref="B47:AW47"/>
    <mergeCell ref="D48:AW48"/>
    <mergeCell ref="D37:AW37"/>
    <mergeCell ref="B38:AW38"/>
    <mergeCell ref="D39:AW39"/>
    <mergeCell ref="D40:AW40"/>
    <mergeCell ref="D41:AW41"/>
    <mergeCell ref="D42:AW42"/>
    <mergeCell ref="D31:AW31"/>
    <mergeCell ref="D32:AW32"/>
    <mergeCell ref="D33:AW33"/>
    <mergeCell ref="D34:AW34"/>
    <mergeCell ref="D35:AW35"/>
    <mergeCell ref="D36:AW36"/>
    <mergeCell ref="D25:AW25"/>
    <mergeCell ref="D26:AW26"/>
    <mergeCell ref="D27:AW27"/>
    <mergeCell ref="D28:AW28"/>
    <mergeCell ref="D29:AW29"/>
    <mergeCell ref="B30:AW30"/>
    <mergeCell ref="D19:AW19"/>
    <mergeCell ref="D20:AW20"/>
    <mergeCell ref="D21:AW21"/>
    <mergeCell ref="B22:AW22"/>
    <mergeCell ref="B23:AW23"/>
    <mergeCell ref="D24:AW24"/>
    <mergeCell ref="B13:AW13"/>
    <mergeCell ref="B14:AW14"/>
    <mergeCell ref="B15:AW15"/>
    <mergeCell ref="D16:AW16"/>
    <mergeCell ref="D17:AW17"/>
    <mergeCell ref="D18:AW18"/>
    <mergeCell ref="D7:AW7"/>
    <mergeCell ref="D8:AW8"/>
    <mergeCell ref="B9:AW9"/>
    <mergeCell ref="D10:AW10"/>
    <mergeCell ref="D11:AW11"/>
    <mergeCell ref="D12:AW12"/>
    <mergeCell ref="B6:AW6"/>
    <mergeCell ref="AX6:AZ6"/>
    <mergeCell ref="BA6:BC6"/>
    <mergeCell ref="BD6:BF6"/>
    <mergeCell ref="BG6:BI6"/>
    <mergeCell ref="BJ6:BL6"/>
    <mergeCell ref="A4:AV4"/>
    <mergeCell ref="AX4:AZ4"/>
    <mergeCell ref="BA4:BC4"/>
    <mergeCell ref="BD4:BF4"/>
    <mergeCell ref="BJ4:BL4"/>
    <mergeCell ref="D5:AW5"/>
    <mergeCell ref="BJ1:BL2"/>
    <mergeCell ref="A2:D2"/>
    <mergeCell ref="E2:U2"/>
    <mergeCell ref="V2:AV2"/>
    <mergeCell ref="A3:D3"/>
    <mergeCell ref="E3:AW3"/>
    <mergeCell ref="AX3:AY3"/>
    <mergeCell ref="BA3:BB3"/>
    <mergeCell ref="BD3:BE3"/>
    <mergeCell ref="BJ3:BK3"/>
    <mergeCell ref="B1:D1"/>
    <mergeCell ref="E1:U1"/>
    <mergeCell ref="V1:AV1"/>
    <mergeCell ref="AX1:AZ2"/>
    <mergeCell ref="BA1:BC2"/>
    <mergeCell ref="BD1:BF2"/>
  </mergeCells>
  <conditionalFormatting sqref="K127:K152 N127:N152 Q127:Q152 T127:T152">
    <cfRule type="cellIs" dxfId="31" priority="6" operator="between">
      <formula>1</formula>
      <formula>1000</formula>
    </cfRule>
  </conditionalFormatting>
  <conditionalFormatting sqref="K172:K197 N172:N197 Q172:Q197 T172:T197">
    <cfRule type="cellIs" dxfId="30" priority="16" operator="between">
      <formula>1</formula>
      <formula>1000</formula>
    </cfRule>
  </conditionalFormatting>
  <conditionalFormatting sqref="K201:K226 N201:N226 Q201:Q226 T201:T226">
    <cfRule type="cellIs" dxfId="29" priority="26" operator="between">
      <formula>1</formula>
      <formula>1000</formula>
    </cfRule>
  </conditionalFormatting>
  <conditionalFormatting sqref="L127:L152 O127:O152 R127:R152 U127:U152">
    <cfRule type="cellIs" dxfId="28" priority="5" operator="between">
      <formula>1</formula>
      <formula>100000</formula>
    </cfRule>
  </conditionalFormatting>
  <conditionalFormatting sqref="L172:L197 O172:O197 R172:R197 U172:U197">
    <cfRule type="cellIs" dxfId="27" priority="15" operator="between">
      <formula>1</formula>
      <formula>100000</formula>
    </cfRule>
  </conditionalFormatting>
  <conditionalFormatting sqref="L201:L226 O201:O226 R201:R226 U201:U226">
    <cfRule type="cellIs" dxfId="26" priority="25" operator="between">
      <formula>1</formula>
      <formula>100000</formula>
    </cfRule>
  </conditionalFormatting>
  <conditionalFormatting sqref="M127:M152 P127:P152 S127:S152">
    <cfRule type="cellIs" dxfId="25" priority="7" operator="between">
      <formula>0.01</formula>
      <formula>1</formula>
    </cfRule>
  </conditionalFormatting>
  <conditionalFormatting sqref="M172:M197 P172:P197 S172:S197">
    <cfRule type="cellIs" dxfId="24" priority="17" operator="between">
      <formula>0.01</formula>
      <formula>1</formula>
    </cfRule>
  </conditionalFormatting>
  <conditionalFormatting sqref="M201:M226 P201:P226 S201:S226">
    <cfRule type="cellIs" dxfId="23" priority="27" operator="between">
      <formula>0.01</formula>
      <formula>1</formula>
    </cfRule>
  </conditionalFormatting>
  <conditionalFormatting sqref="W127:W152">
    <cfRule type="cellIs" dxfId="22" priority="4" operator="between">
      <formula>1</formula>
      <formula>1000</formula>
    </cfRule>
  </conditionalFormatting>
  <conditionalFormatting sqref="W172:W197">
    <cfRule type="cellIs" dxfId="21" priority="14" operator="between">
      <formula>1</formula>
      <formula>1000</formula>
    </cfRule>
  </conditionalFormatting>
  <conditionalFormatting sqref="W201:W226">
    <cfRule type="cellIs" dxfId="20" priority="24" operator="between">
      <formula>1</formula>
      <formula>1000</formula>
    </cfRule>
  </conditionalFormatting>
  <conditionalFormatting sqref="X127:X152">
    <cfRule type="cellIs" dxfId="19" priority="3" operator="between">
      <formula>1</formula>
      <formula>100000</formula>
    </cfRule>
  </conditionalFormatting>
  <conditionalFormatting sqref="X172:X197">
    <cfRule type="cellIs" dxfId="18" priority="13" operator="between">
      <formula>1</formula>
      <formula>100000</formula>
    </cfRule>
  </conditionalFormatting>
  <conditionalFormatting sqref="X201:X226">
    <cfRule type="cellIs" dxfId="17" priority="23" operator="between">
      <formula>1</formula>
      <formula>100000</formula>
    </cfRule>
  </conditionalFormatting>
  <conditionalFormatting sqref="Y127:Y131 J127:J132 Y133:Y151 J134:J152">
    <cfRule type="cellIs" dxfId="16" priority="10" operator="between">
      <formula>0.01</formula>
      <formula>1</formula>
    </cfRule>
  </conditionalFormatting>
  <conditionalFormatting sqref="Y172:Y176 J172:J177 Y178:Y196 J179:J197">
    <cfRule type="cellIs" dxfId="15" priority="20" operator="between">
      <formula>0.01</formula>
      <formula>1</formula>
    </cfRule>
  </conditionalFormatting>
  <conditionalFormatting sqref="Z127:Z152">
    <cfRule type="cellIs" dxfId="14" priority="1" operator="between">
      <formula>1</formula>
      <formula>1000</formula>
    </cfRule>
  </conditionalFormatting>
  <conditionalFormatting sqref="Z172:Z197">
    <cfRule type="cellIs" dxfId="13" priority="11" operator="between">
      <formula>1</formula>
      <formula>1000</formula>
    </cfRule>
  </conditionalFormatting>
  <conditionalFormatting sqref="Z201:Z226">
    <cfRule type="cellIs" dxfId="12" priority="21" operator="between">
      <formula>1</formula>
      <formula>1000</formula>
    </cfRule>
  </conditionalFormatting>
  <conditionalFormatting sqref="AA127:AA152">
    <cfRule type="cellIs" dxfId="11" priority="2" operator="between">
      <formula>1</formula>
      <formula>100000</formula>
    </cfRule>
  </conditionalFormatting>
  <conditionalFormatting sqref="AA172:AA197">
    <cfRule type="cellIs" dxfId="10" priority="12" operator="between">
      <formula>1</formula>
      <formula>100000</formula>
    </cfRule>
  </conditionalFormatting>
  <conditionalFormatting sqref="AA201:AA226">
    <cfRule type="cellIs" dxfId="9" priority="22" operator="between">
      <formula>1</formula>
      <formula>100000</formula>
    </cfRule>
  </conditionalFormatting>
  <conditionalFormatting sqref="AB127:AB152">
    <cfRule type="cellIs" dxfId="8" priority="9" operator="equal">
      <formula>1</formula>
    </cfRule>
  </conditionalFormatting>
  <conditionalFormatting sqref="AB172:AB197">
    <cfRule type="cellIs" dxfId="7" priority="19" operator="equal">
      <formula>1</formula>
    </cfRule>
  </conditionalFormatting>
  <conditionalFormatting sqref="AB201:AB226">
    <cfRule type="cellIs" dxfId="6" priority="29" operator="equal">
      <formula>1</formula>
    </cfRule>
  </conditionalFormatting>
  <conditionalFormatting sqref="AW127:AW154">
    <cfRule type="cellIs" dxfId="5" priority="8" operator="equal">
      <formula>"ITEM FINALIZADO"</formula>
    </cfRule>
  </conditionalFormatting>
  <conditionalFormatting sqref="AW172:AW199">
    <cfRule type="cellIs" dxfId="4" priority="18" operator="equal">
      <formula>"ITEM FINALIZADO"</formula>
    </cfRule>
  </conditionalFormatting>
  <conditionalFormatting sqref="AW201:AW227">
    <cfRule type="cellIs" dxfId="3" priority="28" operator="equal">
      <formula>"ITEM FINALIZADO"</formula>
    </cfRule>
  </conditionalFormatting>
  <conditionalFormatting sqref="AX7:AX8 BA7:BA8 BD7:BD8 BJ7:BJ8 AX10:AX12 BA10:BA12 BD10:BD12 BJ10:BJ12 AX16:AX21 BA16:BA21 BD16:BD21 BJ16:BJ21 AX24:AX29 BA24:BA29 BD24:BD29 BJ24:BJ29 AX31:AX37 BA31:BA37 BD31:BD37 BJ31:BJ37 AX39:AX44 BA39:BA44 BD39:BD44 BJ39:BJ44 AX46 BA46 BD46 BJ46 AX48:AX51 BA48:BA51 BD48:BD51 BJ48:BJ51 AX53:AX54 BA53:BA54 BD53:BD54 BJ53:BJ54 AX57:AX70 BA57:BA70 BD57:BD70 BJ57:BJ70 AX72:AX90 BA72:BA90 BD72:BD90 BJ72:BJ90 AX92:AX227 BA92:BA227 BD92:BD227 BJ92:BJ227 Y201:Y205 J201:J206 Y207:Y225 J208:J226 AX229:AX238 BA229:BA238 BD229:BD238 BJ229:BJ238 AX240:AX241 BA240:BA241 BD240:BD241 BJ240:BJ241 AX243:AX250 BA243:BA250 BD243:BD250 BJ243:BJ250 AX252 BA252 BD252 BJ252 AX254 BA254 BD254 BJ254">
    <cfRule type="cellIs" dxfId="2" priority="32" operator="between">
      <formula>0.01</formula>
      <formula>1</formula>
    </cfRule>
  </conditionalFormatting>
  <conditionalFormatting sqref="AY7:AY8 BB7:BB8 BE7:BE8 BK7:BK8 AY10:AY12 BB10:BB12 BE10:BE12 BK10:BK12 AY16:AY21 BB16:BB21 BE16:BE21 BK16:BK21 AY24:AY29 BB24:BB29 BE24:BE29 BK24:BK29 AY31:AY37 BB31:BB37 BE31:BE37 BK31:BK37 AY39:AY44 BB39:BB44 BE39:BE44 BK39:BK44 AY46 BB46 BE46 BK46 AY48:AY51 BB48:BB51 BE48:BE51 BK48:BK51 AY53:AY54 BB53:BB54 BE53:BE54 BK53:BK54 AY57:AY70 BB57:BB70 BE57:BE70 BK57:BK70 AY72:AY90 BB72:BB90 BE72:BE90 BK72:BK90 AY92:AY227 BB92:BB227 BE92:BE227 BK92:BK227 AY229:AY238 BB229:BB238 BE229:BE238 BK229:BK238 AY240:AY241 BB240:BB241 BE240:BE241 BK240:BK241 AY243:AY250 BB243:BB250 BE243:BE250 BK243:BK250 AY252 BB252 BE252 BK252 AY254 BB254 BE254 BK254">
    <cfRule type="cellIs" dxfId="1" priority="31" operator="between">
      <formula>1</formula>
      <formula>1000</formula>
    </cfRule>
  </conditionalFormatting>
  <conditionalFormatting sqref="AZ7:AZ8 BC7:BC8 BF7:BI8 BL7:BL8 AZ10:AZ12 BC10:BC12 BF10:BI12 BL10:BL12 AZ16:AZ21 BC16:BC21 BF16:BI21 BL16:BL21 AZ24:AZ29 BC24:BC29 BF24:BI29 BL24:BL29 AZ31:AZ37 BC31:BC37 BF31:BI37 BL31:BL37 AZ39:AZ44 BC39:BC44 BF39:BI44 BL39:BL44 AZ46 BC46 BF46:BI46 BL46 AZ48:AZ51 BC48:BC51 BF48:BI51 BL48:BL51 AZ53:AZ54 BC53:BC54 BF53:BI54 BL53:BL54 AZ57:AZ70 BC57:BC70 BF57:BI70 BL57:BL70 AZ72:AZ90 BC72:BC90 BF72:BI90 BL72:BL90 AZ92:AZ227 BC92:BC227 BF92:BI227 BL92:BL227 AZ229:AZ238 BC229:BC238 BF229:BI238 BL229:BL238 AZ240:AZ241 BC240:BC241 BF240:BI241 BL240:BL241 AZ243:AZ250 BC243:BC250 BF243:BI250 BL243:BL250 AZ252 BC252 BF252:BI252 BL252 AZ254 BC254 BF254:BI254 BL254">
    <cfRule type="cellIs" dxfId="0" priority="30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22" fitToHeight="4" orientation="portrait" r:id="rId1"/>
  <rowBreaks count="4" manualBreakCount="4">
    <brk id="29" max="30" man="1"/>
    <brk id="54" max="30" man="1"/>
    <brk id="90" max="30" man="1"/>
    <brk id="250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 DE MEDIÇÃO</vt:lpstr>
      <vt:lpstr>MEMORIAL DE CALCULO</vt:lpstr>
      <vt:lpstr>'MEMORIAL DE CALCULO'!Area_de_impressao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Richard Kilber</cp:lastModifiedBy>
  <dcterms:created xsi:type="dcterms:W3CDTF">2025-09-16T13:55:46Z</dcterms:created>
  <dcterms:modified xsi:type="dcterms:W3CDTF">2025-09-16T13:56:17Z</dcterms:modified>
</cp:coreProperties>
</file>