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kilbe\OneDrive\Área de Trabalho\AMENT MEDs\"/>
    </mc:Choice>
  </mc:AlternateContent>
  <xr:revisionPtr revIDLastSave="0" documentId="8_{B36E3D53-2A41-4E2E-A8E7-76E6CE251977}" xr6:coauthVersionLast="47" xr6:coauthVersionMax="47" xr10:uidLastSave="{00000000-0000-0000-0000-000000000000}"/>
  <bookViews>
    <workbookView xWindow="-110" yWindow="-110" windowWidth="19420" windowHeight="10300" activeTab="1" xr2:uid="{2DBC195D-456C-4FBD-BB85-F22A4968E1E5}"/>
  </bookViews>
  <sheets>
    <sheet name="PLANILHA DE MEDIÇÃO" sheetId="1" r:id="rId1"/>
    <sheet name="MEMORIAL DE CALCULO" sheetId="2" r:id="rId2"/>
  </sheets>
  <definedNames>
    <definedName name="_xlnm.Print_Area" localSheetId="1">'MEMORIAL DE CALCULO'!$A$1:$CI$376</definedName>
    <definedName name="_xlnm.Print_Area" localSheetId="0">'PLANILHA DE MEDIÇÃO'!$A$1:$AK$131</definedName>
    <definedName name="JR_PAGE_ANCHOR_0_1" localSheetId="1">'MEMORIAL DE CALCULO'!#REF!</definedName>
    <definedName name="JR_PAGE_ANCHOR_0_1">'PLANILHA DE MEDIÇÃO'!#REF!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B3" i="2" l="1"/>
  <c r="CE3" i="2"/>
  <c r="CH3" i="2"/>
  <c r="CN3" i="2"/>
  <c r="CA7" i="2"/>
  <c r="CB7" i="2"/>
  <c r="CD7" i="2"/>
  <c r="CE7" i="2"/>
  <c r="CG7" i="2"/>
  <c r="CH7" i="2"/>
  <c r="CK7" i="2"/>
  <c r="CM7" i="2"/>
  <c r="CN7" i="2"/>
  <c r="CA8" i="2"/>
  <c r="CB8" i="2" s="1"/>
  <c r="CK8" i="2"/>
  <c r="CM8" i="2"/>
  <c r="CN8" i="2"/>
  <c r="CA10" i="2"/>
  <c r="CB10" i="2" s="1"/>
  <c r="CK10" i="2"/>
  <c r="CM10" i="2"/>
  <c r="CN10" i="2" s="1"/>
  <c r="CA11" i="2"/>
  <c r="CB11" i="2" s="1"/>
  <c r="CK11" i="2"/>
  <c r="CM11" i="2"/>
  <c r="CN11" i="2"/>
  <c r="CA12" i="2"/>
  <c r="CB12" i="2"/>
  <c r="CK12" i="2"/>
  <c r="CM12" i="2"/>
  <c r="CN12" i="2" s="1"/>
  <c r="CA16" i="2"/>
  <c r="CB16" i="2" s="1"/>
  <c r="CD16" i="2"/>
  <c r="CE16" i="2"/>
  <c r="CK16" i="2"/>
  <c r="CM16" i="2"/>
  <c r="CN16" i="2"/>
  <c r="CA17" i="2"/>
  <c r="CB17" i="2" s="1"/>
  <c r="CD17" i="2"/>
  <c r="CE17" i="2"/>
  <c r="CK17" i="2"/>
  <c r="CM17" i="2"/>
  <c r="CN17" i="2" s="1"/>
  <c r="CA18" i="2"/>
  <c r="CB18" i="2" s="1"/>
  <c r="CD18" i="2"/>
  <c r="CE18" i="2"/>
  <c r="CK18" i="2"/>
  <c r="CM18" i="2"/>
  <c r="CN18" i="2"/>
  <c r="CA19" i="2"/>
  <c r="CB19" i="2"/>
  <c r="CD19" i="2"/>
  <c r="CE19" i="2" s="1"/>
  <c r="CK19" i="2"/>
  <c r="CM19" i="2"/>
  <c r="CN19" i="2"/>
  <c r="CA20" i="2"/>
  <c r="CB20" i="2" s="1"/>
  <c r="CD20" i="2"/>
  <c r="CE20" i="2" s="1"/>
  <c r="CK20" i="2"/>
  <c r="CM20" i="2"/>
  <c r="CN20" i="2"/>
  <c r="CA21" i="2"/>
  <c r="CB21" i="2"/>
  <c r="CD21" i="2"/>
  <c r="CE21" i="2"/>
  <c r="CK21" i="2"/>
  <c r="CM21" i="2"/>
  <c r="CN21" i="2" s="1"/>
  <c r="CA24" i="2"/>
  <c r="CB24" i="2"/>
  <c r="CD24" i="2"/>
  <c r="CE24" i="2" s="1"/>
  <c r="CG24" i="2"/>
  <c r="CH24" i="2" s="1"/>
  <c r="CK24" i="2"/>
  <c r="CM24" i="2"/>
  <c r="CN24" i="2"/>
  <c r="CA25" i="2"/>
  <c r="CB25" i="2"/>
  <c r="CD25" i="2"/>
  <c r="CE25" i="2"/>
  <c r="CG25" i="2"/>
  <c r="CH25" i="2" s="1"/>
  <c r="CK25" i="2"/>
  <c r="CM25" i="2"/>
  <c r="CN25" i="2"/>
  <c r="CA26" i="2"/>
  <c r="CB26" i="2" s="1"/>
  <c r="CG26" i="2"/>
  <c r="CH26" i="2" s="1"/>
  <c r="CK26" i="2"/>
  <c r="CM26" i="2"/>
  <c r="CN26" i="2"/>
  <c r="CA27" i="2"/>
  <c r="CB27" i="2"/>
  <c r="CG27" i="2"/>
  <c r="CH27" i="2"/>
  <c r="CK27" i="2"/>
  <c r="CM27" i="2"/>
  <c r="CN27" i="2" s="1"/>
  <c r="CA28" i="2"/>
  <c r="CB28" i="2"/>
  <c r="CG28" i="2"/>
  <c r="CH28" i="2" s="1"/>
  <c r="CK28" i="2"/>
  <c r="CM28" i="2"/>
  <c r="CN28" i="2" s="1"/>
  <c r="CA29" i="2"/>
  <c r="CB29" i="2" s="1"/>
  <c r="CD29" i="2"/>
  <c r="CE29" i="2"/>
  <c r="CG29" i="2"/>
  <c r="CH29" i="2"/>
  <c r="CK29" i="2"/>
  <c r="CM29" i="2"/>
  <c r="CD31" i="2"/>
  <c r="CE31" i="2" s="1"/>
  <c r="CG31" i="2"/>
  <c r="CH31" i="2"/>
  <c r="CK31" i="2"/>
  <c r="CM31" i="2"/>
  <c r="CN31" i="2" s="1"/>
  <c r="CD32" i="2"/>
  <c r="CE32" i="2" s="1"/>
  <c r="CG32" i="2"/>
  <c r="CH32" i="2"/>
  <c r="CK32" i="2"/>
  <c r="CM32" i="2"/>
  <c r="CN32" i="2"/>
  <c r="CD33" i="2"/>
  <c r="CE33" i="2" s="1"/>
  <c r="CG33" i="2"/>
  <c r="CH33" i="2" s="1"/>
  <c r="CK33" i="2"/>
  <c r="CM33" i="2"/>
  <c r="CN33" i="2" s="1"/>
  <c r="CD34" i="2"/>
  <c r="CE34" i="2" s="1"/>
  <c r="CG34" i="2"/>
  <c r="CH34" i="2" s="1"/>
  <c r="CK34" i="2"/>
  <c r="CM34" i="2"/>
  <c r="CN34" i="2"/>
  <c r="CD35" i="2"/>
  <c r="CE35" i="2"/>
  <c r="CG35" i="2"/>
  <c r="CH35" i="2"/>
  <c r="CK35" i="2"/>
  <c r="CM35" i="2"/>
  <c r="CN35" i="2"/>
  <c r="CD36" i="2"/>
  <c r="CE36" i="2" s="1"/>
  <c r="CG36" i="2"/>
  <c r="CH36" i="2" s="1"/>
  <c r="CK36" i="2"/>
  <c r="CM36" i="2"/>
  <c r="CN36" i="2" s="1"/>
  <c r="CD37" i="2"/>
  <c r="CE37" i="2"/>
  <c r="CK37" i="2"/>
  <c r="CM37" i="2"/>
  <c r="CN37" i="2" s="1"/>
  <c r="CK39" i="2"/>
  <c r="CM39" i="2"/>
  <c r="CN39" i="2" s="1"/>
  <c r="CK40" i="2"/>
  <c r="CM40" i="2"/>
  <c r="CN40" i="2" s="1"/>
  <c r="CK41" i="2"/>
  <c r="CM41" i="2"/>
  <c r="CN41" i="2"/>
  <c r="CK42" i="2"/>
  <c r="CM42" i="2"/>
  <c r="CN42" i="2"/>
  <c r="CK43" i="2"/>
  <c r="CM43" i="2"/>
  <c r="CN43" i="2"/>
  <c r="CK44" i="2"/>
  <c r="CM44" i="2"/>
  <c r="CN44" i="2" s="1"/>
  <c r="CA46" i="2"/>
  <c r="CB46" i="2"/>
  <c r="CD46" i="2"/>
  <c r="CE46" i="2" s="1"/>
  <c r="CK46" i="2"/>
  <c r="CM46" i="2"/>
  <c r="CG48" i="2"/>
  <c r="CH48" i="2" s="1"/>
  <c r="CK48" i="2"/>
  <c r="CM48" i="2"/>
  <c r="CG49" i="2"/>
  <c r="CH49" i="2" s="1"/>
  <c r="CK49" i="2"/>
  <c r="CM49" i="2"/>
  <c r="CG50" i="2"/>
  <c r="CH50" i="2" s="1"/>
  <c r="CK50" i="2"/>
  <c r="CM50" i="2"/>
  <c r="CK51" i="2"/>
  <c r="CM51" i="2"/>
  <c r="CN51" i="2"/>
  <c r="BY53" i="2"/>
  <c r="BY54" i="2"/>
  <c r="BY55" i="2"/>
  <c r="BY56" i="2"/>
  <c r="BY57" i="2"/>
  <c r="BY59" i="2"/>
  <c r="BY63" i="2" s="1"/>
  <c r="BY60" i="2"/>
  <c r="BY61" i="2"/>
  <c r="BY62" i="2"/>
  <c r="CK66" i="2"/>
  <c r="CM66" i="2"/>
  <c r="CK67" i="2"/>
  <c r="CM67" i="2"/>
  <c r="CN67" i="2"/>
  <c r="BY69" i="2"/>
  <c r="BY70" i="2"/>
  <c r="BY95" i="2" s="1"/>
  <c r="AF54" i="1" s="1"/>
  <c r="BY71" i="2"/>
  <c r="BY72" i="2"/>
  <c r="BY73" i="2"/>
  <c r="BY74" i="2"/>
  <c r="BY75" i="2"/>
  <c r="BY76" i="2"/>
  <c r="BY77" i="2"/>
  <c r="BY78" i="2"/>
  <c r="BY79" i="2"/>
  <c r="BY80" i="2"/>
  <c r="BY81" i="2"/>
  <c r="BY82" i="2"/>
  <c r="BY83" i="2"/>
  <c r="BY84" i="2"/>
  <c r="BY85" i="2"/>
  <c r="BY86" i="2"/>
  <c r="BY87" i="2"/>
  <c r="BY88" i="2"/>
  <c r="BY89" i="2"/>
  <c r="BY90" i="2"/>
  <c r="BY91" i="2"/>
  <c r="BY92" i="2"/>
  <c r="BY93" i="2"/>
  <c r="BY94" i="2"/>
  <c r="CK98" i="2"/>
  <c r="CM98" i="2"/>
  <c r="CN98" i="2"/>
  <c r="CK99" i="2"/>
  <c r="CM99" i="2"/>
  <c r="CN99" i="2" s="1"/>
  <c r="CG100" i="2"/>
  <c r="CH100" i="2" s="1"/>
  <c r="CK100" i="2"/>
  <c r="CM100" i="2"/>
  <c r="CG101" i="2"/>
  <c r="CH101" i="2" s="1"/>
  <c r="CK101" i="2"/>
  <c r="CM101" i="2"/>
  <c r="CG102" i="2"/>
  <c r="CH102" i="2" s="1"/>
  <c r="CK102" i="2"/>
  <c r="CM102" i="2"/>
  <c r="CN102" i="2"/>
  <c r="CK103" i="2"/>
  <c r="CM103" i="2"/>
  <c r="CN103" i="2" s="1"/>
  <c r="CK104" i="2"/>
  <c r="CM104" i="2"/>
  <c r="CN104" i="2" s="1"/>
  <c r="CG105" i="2"/>
  <c r="CH105" i="2"/>
  <c r="CK105" i="2"/>
  <c r="CM105" i="2"/>
  <c r="CG106" i="2"/>
  <c r="CH106" i="2"/>
  <c r="CK106" i="2"/>
  <c r="CM106" i="2"/>
  <c r="CG107" i="2"/>
  <c r="CH107" i="2"/>
  <c r="CK107" i="2"/>
  <c r="CM107" i="2"/>
  <c r="CG108" i="2"/>
  <c r="CH108" i="2"/>
  <c r="CK108" i="2"/>
  <c r="CM108" i="2"/>
  <c r="CK109" i="2"/>
  <c r="CM109" i="2"/>
  <c r="CN109" i="2" s="1"/>
  <c r="CG110" i="2"/>
  <c r="CH110" i="2" s="1"/>
  <c r="CK110" i="2"/>
  <c r="CM110" i="2"/>
  <c r="CG111" i="2"/>
  <c r="CH111" i="2"/>
  <c r="CK111" i="2"/>
  <c r="CM111" i="2"/>
  <c r="CK113" i="2"/>
  <c r="CM113" i="2"/>
  <c r="CN113" i="2"/>
  <c r="CK114" i="2"/>
  <c r="CM114" i="2"/>
  <c r="CN114" i="2"/>
  <c r="CK115" i="2"/>
  <c r="CM115" i="2"/>
  <c r="CN115" i="2"/>
  <c r="CK116" i="2"/>
  <c r="CM116" i="2"/>
  <c r="CN116" i="2" s="1"/>
  <c r="CK117" i="2"/>
  <c r="CM117" i="2"/>
  <c r="CN117" i="2"/>
  <c r="CK118" i="2"/>
  <c r="CM118" i="2"/>
  <c r="CN118" i="2" s="1"/>
  <c r="CK119" i="2"/>
  <c r="CM119" i="2"/>
  <c r="CN119" i="2" s="1"/>
  <c r="CK120" i="2"/>
  <c r="CM120" i="2"/>
  <c r="CN120" i="2" s="1"/>
  <c r="CK121" i="2"/>
  <c r="CM121" i="2"/>
  <c r="CN121" i="2"/>
  <c r="CK122" i="2"/>
  <c r="CM122" i="2"/>
  <c r="CN122" i="2"/>
  <c r="CK123" i="2"/>
  <c r="CM123" i="2"/>
  <c r="CN123" i="2"/>
  <c r="CK124" i="2"/>
  <c r="CM124" i="2"/>
  <c r="CN124" i="2" s="1"/>
  <c r="CK125" i="2"/>
  <c r="CM125" i="2"/>
  <c r="CN125" i="2"/>
  <c r="CK126" i="2"/>
  <c r="CM126" i="2"/>
  <c r="CN126" i="2" s="1"/>
  <c r="CK127" i="2"/>
  <c r="CM127" i="2"/>
  <c r="CN127" i="2" s="1"/>
  <c r="CK128" i="2"/>
  <c r="CM128" i="2"/>
  <c r="CN128" i="2" s="1"/>
  <c r="CK129" i="2"/>
  <c r="CM129" i="2"/>
  <c r="CN129" i="2"/>
  <c r="CK130" i="2"/>
  <c r="CM130" i="2"/>
  <c r="CN130" i="2"/>
  <c r="CG131" i="2"/>
  <c r="CH131" i="2" s="1"/>
  <c r="CK131" i="2"/>
  <c r="CM131" i="2"/>
  <c r="CN131" i="2"/>
  <c r="CK133" i="2"/>
  <c r="CM133" i="2"/>
  <c r="CN133" i="2"/>
  <c r="BY134" i="2"/>
  <c r="BY138" i="2" s="1"/>
  <c r="BY135" i="2"/>
  <c r="BY136" i="2"/>
  <c r="BY137" i="2"/>
  <c r="BY140" i="2"/>
  <c r="BY141" i="2"/>
  <c r="BY142" i="2"/>
  <c r="BY143" i="2"/>
  <c r="BY144" i="2"/>
  <c r="BY145" i="2"/>
  <c r="BY146" i="2"/>
  <c r="CK151" i="2"/>
  <c r="CM151" i="2"/>
  <c r="CN151" i="2" s="1"/>
  <c r="BY153" i="2"/>
  <c r="BY154" i="2"/>
  <c r="BY155" i="2"/>
  <c r="BY156" i="2"/>
  <c r="BY157" i="2"/>
  <c r="BY158" i="2"/>
  <c r="BY159" i="2"/>
  <c r="BY166" i="2" s="1"/>
  <c r="BY160" i="2"/>
  <c r="BY161" i="2"/>
  <c r="BY162" i="2"/>
  <c r="BY163" i="2"/>
  <c r="BY164" i="2"/>
  <c r="BY165" i="2"/>
  <c r="BY168" i="2"/>
  <c r="BY169" i="2"/>
  <c r="BY170" i="2"/>
  <c r="BY171" i="2"/>
  <c r="BY172" i="2"/>
  <c r="BY173" i="2"/>
  <c r="BY174" i="2"/>
  <c r="BY175" i="2"/>
  <c r="BY176" i="2"/>
  <c r="CK179" i="2"/>
  <c r="CM179" i="2"/>
  <c r="CN179" i="2" s="1"/>
  <c r="BY181" i="2"/>
  <c r="BY182" i="2"/>
  <c r="BY183" i="2"/>
  <c r="BY184" i="2"/>
  <c r="BY187" i="2"/>
  <c r="BY188" i="2"/>
  <c r="BY189" i="2"/>
  <c r="BY190" i="2"/>
  <c r="BY191" i="2"/>
  <c r="BY192" i="2"/>
  <c r="BY193" i="2"/>
  <c r="BY197" i="2"/>
  <c r="BY198" i="2"/>
  <c r="BY199" i="2"/>
  <c r="BY200" i="2"/>
  <c r="BY201" i="2"/>
  <c r="BY202" i="2"/>
  <c r="BY203" i="2"/>
  <c r="BY204" i="2"/>
  <c r="BY205" i="2"/>
  <c r="BY206" i="2"/>
  <c r="BY207" i="2"/>
  <c r="BY208" i="2"/>
  <c r="BY209" i="2"/>
  <c r="BY212" i="2"/>
  <c r="BY213" i="2"/>
  <c r="BY214" i="2"/>
  <c r="BY221" i="2" s="1"/>
  <c r="BY215" i="2"/>
  <c r="BY216" i="2"/>
  <c r="BY217" i="2"/>
  <c r="BY218" i="2"/>
  <c r="BY219" i="2"/>
  <c r="BY220" i="2"/>
  <c r="CK224" i="2"/>
  <c r="CM224" i="2"/>
  <c r="CN224" i="2"/>
  <c r="BY225" i="2"/>
  <c r="BY229" i="2" s="1"/>
  <c r="BY226" i="2"/>
  <c r="BY227" i="2"/>
  <c r="BY228" i="2"/>
  <c r="BY231" i="2"/>
  <c r="BY232" i="2"/>
  <c r="BY233" i="2"/>
  <c r="BY234" i="2"/>
  <c r="BY235" i="2"/>
  <c r="BY236" i="2"/>
  <c r="BY237" i="2"/>
  <c r="BY241" i="2"/>
  <c r="BY242" i="2"/>
  <c r="BY267" i="2" s="1"/>
  <c r="BY243" i="2"/>
  <c r="BY244" i="2"/>
  <c r="BY245" i="2"/>
  <c r="BY246" i="2"/>
  <c r="BY247" i="2"/>
  <c r="BY248" i="2"/>
  <c r="BY249" i="2"/>
  <c r="BY250" i="2"/>
  <c r="BY251" i="2"/>
  <c r="BY252" i="2"/>
  <c r="BY253" i="2"/>
  <c r="BY254" i="2"/>
  <c r="BY255" i="2"/>
  <c r="BY256" i="2"/>
  <c r="BY257" i="2"/>
  <c r="BY258" i="2"/>
  <c r="BY259" i="2"/>
  <c r="BY260" i="2"/>
  <c r="BY261" i="2"/>
  <c r="BY262" i="2"/>
  <c r="BY263" i="2"/>
  <c r="BY264" i="2"/>
  <c r="BY265" i="2"/>
  <c r="BY266" i="2"/>
  <c r="CK271" i="2"/>
  <c r="CM271" i="2"/>
  <c r="CN271" i="2"/>
  <c r="BY272" i="2"/>
  <c r="BY273" i="2"/>
  <c r="BY274" i="2"/>
  <c r="BY275" i="2"/>
  <c r="BY278" i="2"/>
  <c r="BY285" i="2" s="1"/>
  <c r="BY279" i="2"/>
  <c r="BY280" i="2"/>
  <c r="BY281" i="2"/>
  <c r="BY282" i="2"/>
  <c r="BY283" i="2"/>
  <c r="BY284" i="2"/>
  <c r="BY288" i="2"/>
  <c r="BY289" i="2"/>
  <c r="BY290" i="2"/>
  <c r="BY291" i="2"/>
  <c r="BY292" i="2"/>
  <c r="BY293" i="2"/>
  <c r="BY294" i="2"/>
  <c r="BY295" i="2"/>
  <c r="BY296" i="2"/>
  <c r="BY297" i="2"/>
  <c r="BY298" i="2"/>
  <c r="BY299" i="2"/>
  <c r="BY300" i="2"/>
  <c r="BY301" i="2"/>
  <c r="BY302" i="2"/>
  <c r="BY303" i="2"/>
  <c r="BY304" i="2"/>
  <c r="BY305" i="2"/>
  <c r="BY306" i="2"/>
  <c r="BY307" i="2"/>
  <c r="BY308" i="2"/>
  <c r="BY309" i="2"/>
  <c r="BY310" i="2"/>
  <c r="BY311" i="2"/>
  <c r="BY312" i="2"/>
  <c r="BY313" i="2"/>
  <c r="CK318" i="2"/>
  <c r="CM318" i="2"/>
  <c r="CN318" i="2"/>
  <c r="BY319" i="2"/>
  <c r="BY320" i="2"/>
  <c r="BY321" i="2"/>
  <c r="BY322" i="2"/>
  <c r="BY345" i="2" s="1"/>
  <c r="AC97" i="1" s="1"/>
  <c r="AI97" i="1" s="1"/>
  <c r="BY323" i="2"/>
  <c r="BY324" i="2"/>
  <c r="BY325" i="2"/>
  <c r="BY326" i="2"/>
  <c r="BY327" i="2"/>
  <c r="BY328" i="2"/>
  <c r="BY329" i="2"/>
  <c r="BY330" i="2"/>
  <c r="BY331" i="2"/>
  <c r="BY332" i="2"/>
  <c r="BY333" i="2"/>
  <c r="BY334" i="2"/>
  <c r="BY335" i="2"/>
  <c r="BY336" i="2"/>
  <c r="BY337" i="2"/>
  <c r="BY338" i="2"/>
  <c r="BY339" i="2"/>
  <c r="BY340" i="2"/>
  <c r="BY341" i="2"/>
  <c r="BY342" i="2"/>
  <c r="BY343" i="2"/>
  <c r="BY344" i="2"/>
  <c r="CK347" i="2"/>
  <c r="CM347" i="2"/>
  <c r="CN347" i="2" s="1"/>
  <c r="CK348" i="2"/>
  <c r="CM348" i="2"/>
  <c r="CN348" i="2" s="1"/>
  <c r="CK349" i="2"/>
  <c r="CM349" i="2"/>
  <c r="CN349" i="2"/>
  <c r="CK350" i="2"/>
  <c r="CM350" i="2"/>
  <c r="CN350" i="2" s="1"/>
  <c r="CK351" i="2"/>
  <c r="CM351" i="2"/>
  <c r="CN351" i="2"/>
  <c r="CK352" i="2"/>
  <c r="CM352" i="2"/>
  <c r="CN352" i="2" s="1"/>
  <c r="CK353" i="2"/>
  <c r="CM353" i="2"/>
  <c r="CN353" i="2"/>
  <c r="CK354" i="2"/>
  <c r="CM354" i="2"/>
  <c r="CN354" i="2"/>
  <c r="CK355" i="2"/>
  <c r="CM355" i="2"/>
  <c r="CN355" i="2" s="1"/>
  <c r="CK356" i="2"/>
  <c r="CM356" i="2"/>
  <c r="CN356" i="2" s="1"/>
  <c r="CK358" i="2"/>
  <c r="CM358" i="2"/>
  <c r="CN358" i="2"/>
  <c r="CK359" i="2"/>
  <c r="CM359" i="2"/>
  <c r="CN359" i="2" s="1"/>
  <c r="CK361" i="2"/>
  <c r="CM361" i="2"/>
  <c r="CN361" i="2"/>
  <c r="CK362" i="2"/>
  <c r="CM362" i="2"/>
  <c r="CN362" i="2" s="1"/>
  <c r="CK363" i="2"/>
  <c r="CM363" i="2"/>
  <c r="CN363" i="2"/>
  <c r="CK364" i="2"/>
  <c r="CM364" i="2"/>
  <c r="CN364" i="2"/>
  <c r="CK365" i="2"/>
  <c r="CM365" i="2"/>
  <c r="CN365" i="2" s="1"/>
  <c r="CK366" i="2"/>
  <c r="CM366" i="2"/>
  <c r="CN366" i="2" s="1"/>
  <c r="CK367" i="2"/>
  <c r="CM367" i="2"/>
  <c r="CN367" i="2"/>
  <c r="CK368" i="2"/>
  <c r="CM368" i="2"/>
  <c r="CN368" i="2"/>
  <c r="CK370" i="2"/>
  <c r="CM370" i="2"/>
  <c r="CN370" i="2"/>
  <c r="CM372" i="2"/>
  <c r="CC382" i="2"/>
  <c r="CC383" i="2" s="1"/>
  <c r="H6" i="1"/>
  <c r="H7" i="1"/>
  <c r="K7" i="1"/>
  <c r="L7" i="1"/>
  <c r="N7" i="1"/>
  <c r="O7" i="1"/>
  <c r="AJ7" i="1" s="1"/>
  <c r="Q7" i="1"/>
  <c r="AI7" i="1" s="1"/>
  <c r="R7" i="1"/>
  <c r="U7" i="1"/>
  <c r="W7" i="1"/>
  <c r="X7" i="1"/>
  <c r="Y7" i="1"/>
  <c r="AH7" i="1" s="1"/>
  <c r="AK7" i="1" s="1"/>
  <c r="AA7" i="1"/>
  <c r="AB7" i="1"/>
  <c r="AD7" i="1"/>
  <c r="AE7" i="1"/>
  <c r="AG7" i="1"/>
  <c r="H8" i="1"/>
  <c r="K8" i="1"/>
  <c r="AI8" i="1" s="1"/>
  <c r="L8" i="1"/>
  <c r="AJ8" i="1" s="1"/>
  <c r="U8" i="1"/>
  <c r="W8" i="1"/>
  <c r="X8" i="1" s="1"/>
  <c r="Y8" i="1"/>
  <c r="AH8" i="1" s="1"/>
  <c r="AK8" i="1" s="1"/>
  <c r="AA8" i="1"/>
  <c r="AB8" i="1"/>
  <c r="AD8" i="1"/>
  <c r="AE8" i="1"/>
  <c r="AG8" i="1"/>
  <c r="H10" i="1"/>
  <c r="H9" i="1" s="1"/>
  <c r="K10" i="1"/>
  <c r="U10" i="1"/>
  <c r="W10" i="1"/>
  <c r="X10" i="1"/>
  <c r="Y10" i="1"/>
  <c r="AH10" i="1" s="1"/>
  <c r="AK10" i="1" s="1"/>
  <c r="AA10" i="1"/>
  <c r="AB10" i="1"/>
  <c r="AD10" i="1"/>
  <c r="AE10" i="1"/>
  <c r="AG10" i="1"/>
  <c r="H11" i="1"/>
  <c r="K11" i="1"/>
  <c r="U11" i="1"/>
  <c r="W11" i="1"/>
  <c r="X11" i="1"/>
  <c r="Y11" i="1"/>
  <c r="AH11" i="1" s="1"/>
  <c r="AK11" i="1" s="1"/>
  <c r="AA11" i="1"/>
  <c r="AB11" i="1"/>
  <c r="AD11" i="1"/>
  <c r="AE11" i="1"/>
  <c r="AG11" i="1"/>
  <c r="H12" i="1"/>
  <c r="K12" i="1"/>
  <c r="U12" i="1"/>
  <c r="W12" i="1"/>
  <c r="X12" i="1"/>
  <c r="Y12" i="1"/>
  <c r="AH12" i="1" s="1"/>
  <c r="AK12" i="1" s="1"/>
  <c r="AA12" i="1"/>
  <c r="AB12" i="1"/>
  <c r="AD12" i="1"/>
  <c r="AE12" i="1"/>
  <c r="AG12" i="1"/>
  <c r="H16" i="1"/>
  <c r="K16" i="1"/>
  <c r="L16" i="1"/>
  <c r="N16" i="1"/>
  <c r="O16" i="1"/>
  <c r="U16" i="1"/>
  <c r="W16" i="1"/>
  <c r="Y16" i="1"/>
  <c r="AA16" i="1"/>
  <c r="AB16" i="1"/>
  <c r="AD16" i="1"/>
  <c r="AE16" i="1"/>
  <c r="AG16" i="1"/>
  <c r="AH16" i="1"/>
  <c r="AK16" i="1" s="1"/>
  <c r="H17" i="1"/>
  <c r="K17" i="1"/>
  <c r="AI17" i="1" s="1"/>
  <c r="L17" i="1"/>
  <c r="AJ17" i="1" s="1"/>
  <c r="N17" i="1"/>
  <c r="O17" i="1"/>
  <c r="U17" i="1"/>
  <c r="W17" i="1"/>
  <c r="X17" i="1"/>
  <c r="Y17" i="1"/>
  <c r="AH17" i="1" s="1"/>
  <c r="AK17" i="1" s="1"/>
  <c r="AA17" i="1"/>
  <c r="AB17" i="1"/>
  <c r="AD17" i="1"/>
  <c r="AE17" i="1"/>
  <c r="AG17" i="1"/>
  <c r="H18" i="1"/>
  <c r="K18" i="1"/>
  <c r="AI18" i="1" s="1"/>
  <c r="L18" i="1"/>
  <c r="AJ18" i="1" s="1"/>
  <c r="N18" i="1"/>
  <c r="O18" i="1" s="1"/>
  <c r="U18" i="1"/>
  <c r="W18" i="1"/>
  <c r="X18" i="1"/>
  <c r="Y18" i="1"/>
  <c r="AA18" i="1"/>
  <c r="AB18" i="1"/>
  <c r="AD18" i="1"/>
  <c r="AE18" i="1"/>
  <c r="AG18" i="1"/>
  <c r="H19" i="1"/>
  <c r="H15" i="1" s="1"/>
  <c r="K19" i="1"/>
  <c r="AI19" i="1" s="1"/>
  <c r="N19" i="1"/>
  <c r="O19" i="1"/>
  <c r="U19" i="1"/>
  <c r="W19" i="1"/>
  <c r="X19" i="1" s="1"/>
  <c r="Y19" i="1"/>
  <c r="AH19" i="1" s="1"/>
  <c r="AK19" i="1" s="1"/>
  <c r="AA19" i="1"/>
  <c r="AB19" i="1"/>
  <c r="AD19" i="1"/>
  <c r="AE19" i="1"/>
  <c r="AG19" i="1"/>
  <c r="H20" i="1"/>
  <c r="K20" i="1"/>
  <c r="L20" i="1"/>
  <c r="N20" i="1"/>
  <c r="O20" i="1"/>
  <c r="U20" i="1"/>
  <c r="W20" i="1"/>
  <c r="Y20" i="1"/>
  <c r="AA20" i="1"/>
  <c r="AB20" i="1"/>
  <c r="AD20" i="1"/>
  <c r="AE20" i="1"/>
  <c r="AG20" i="1"/>
  <c r="AH20" i="1"/>
  <c r="AK20" i="1" s="1"/>
  <c r="H21" i="1"/>
  <c r="K21" i="1"/>
  <c r="AI21" i="1" s="1"/>
  <c r="L21" i="1"/>
  <c r="AJ21" i="1" s="1"/>
  <c r="N21" i="1"/>
  <c r="O21" i="1"/>
  <c r="U21" i="1"/>
  <c r="W21" i="1"/>
  <c r="X21" i="1"/>
  <c r="Y21" i="1"/>
  <c r="AA21" i="1"/>
  <c r="AB21" i="1"/>
  <c r="AD21" i="1"/>
  <c r="AE21" i="1"/>
  <c r="AG21" i="1"/>
  <c r="H24" i="1"/>
  <c r="K24" i="1"/>
  <c r="L24" i="1" s="1"/>
  <c r="N24" i="1"/>
  <c r="O24" i="1"/>
  <c r="Q24" i="1"/>
  <c r="R24" i="1"/>
  <c r="U24" i="1"/>
  <c r="W24" i="1"/>
  <c r="Y24" i="1"/>
  <c r="AA24" i="1"/>
  <c r="AB24" i="1"/>
  <c r="AD24" i="1"/>
  <c r="AE24" i="1"/>
  <c r="AG24" i="1"/>
  <c r="AH24" i="1"/>
  <c r="AK24" i="1" s="1"/>
  <c r="H25" i="1"/>
  <c r="K25" i="1"/>
  <c r="L25" i="1"/>
  <c r="N25" i="1"/>
  <c r="AI25" i="1" s="1"/>
  <c r="O25" i="1"/>
  <c r="AJ25" i="1" s="1"/>
  <c r="Q25" i="1"/>
  <c r="R25" i="1" s="1"/>
  <c r="U25" i="1"/>
  <c r="W25" i="1"/>
  <c r="X25" i="1"/>
  <c r="Y25" i="1"/>
  <c r="AH25" i="1" s="1"/>
  <c r="AK25" i="1" s="1"/>
  <c r="AA25" i="1"/>
  <c r="AB25" i="1"/>
  <c r="AD25" i="1"/>
  <c r="AE25" i="1"/>
  <c r="AG25" i="1"/>
  <c r="H26" i="1"/>
  <c r="K26" i="1"/>
  <c r="AI26" i="1" s="1"/>
  <c r="Q26" i="1"/>
  <c r="R26" i="1"/>
  <c r="U26" i="1"/>
  <c r="W26" i="1"/>
  <c r="X26" i="1" s="1"/>
  <c r="Y26" i="1"/>
  <c r="AH26" i="1" s="1"/>
  <c r="AK26" i="1" s="1"/>
  <c r="AA26" i="1"/>
  <c r="AB26" i="1"/>
  <c r="AD26" i="1"/>
  <c r="AE26" i="1"/>
  <c r="AG26" i="1"/>
  <c r="H27" i="1"/>
  <c r="K27" i="1"/>
  <c r="L27" i="1"/>
  <c r="Q27" i="1"/>
  <c r="R27" i="1"/>
  <c r="U27" i="1"/>
  <c r="W27" i="1"/>
  <c r="Y27" i="1"/>
  <c r="AA27" i="1"/>
  <c r="AB27" i="1"/>
  <c r="AD27" i="1"/>
  <c r="AE27" i="1"/>
  <c r="AG27" i="1"/>
  <c r="AH27" i="1"/>
  <c r="AK27" i="1" s="1"/>
  <c r="H28" i="1"/>
  <c r="K28" i="1"/>
  <c r="AI28" i="1" s="1"/>
  <c r="L28" i="1"/>
  <c r="AJ28" i="1" s="1"/>
  <c r="Q28" i="1"/>
  <c r="R28" i="1"/>
  <c r="U28" i="1"/>
  <c r="W28" i="1"/>
  <c r="X28" i="1"/>
  <c r="Y28" i="1"/>
  <c r="AH28" i="1" s="1"/>
  <c r="AK28" i="1" s="1"/>
  <c r="AA28" i="1"/>
  <c r="AB28" i="1"/>
  <c r="AD28" i="1"/>
  <c r="AE28" i="1"/>
  <c r="AG28" i="1"/>
  <c r="H29" i="1"/>
  <c r="K29" i="1"/>
  <c r="L29" i="1"/>
  <c r="AJ29" i="1" s="1"/>
  <c r="N29" i="1"/>
  <c r="O29" i="1" s="1"/>
  <c r="Q29" i="1"/>
  <c r="R29" i="1"/>
  <c r="U29" i="1"/>
  <c r="W29" i="1"/>
  <c r="Y29" i="1"/>
  <c r="AH29" i="1" s="1"/>
  <c r="AA29" i="1"/>
  <c r="AB29" i="1"/>
  <c r="AD29" i="1"/>
  <c r="AE29" i="1"/>
  <c r="AG29" i="1"/>
  <c r="AI29" i="1"/>
  <c r="AK29" i="1"/>
  <c r="H31" i="1"/>
  <c r="N31" i="1"/>
  <c r="AI31" i="1" s="1"/>
  <c r="O31" i="1"/>
  <c r="Q31" i="1"/>
  <c r="R31" i="1" s="1"/>
  <c r="U31" i="1"/>
  <c r="W31" i="1"/>
  <c r="X31" i="1" s="1"/>
  <c r="Y31" i="1"/>
  <c r="AA31" i="1"/>
  <c r="AB31" i="1"/>
  <c r="AD31" i="1"/>
  <c r="AE31" i="1"/>
  <c r="AG31" i="1"/>
  <c r="AH31" i="1"/>
  <c r="AK31" i="1" s="1"/>
  <c r="AK30" i="1" s="1"/>
  <c r="H32" i="1"/>
  <c r="N32" i="1"/>
  <c r="Q32" i="1"/>
  <c r="R32" i="1" s="1"/>
  <c r="U32" i="1"/>
  <c r="W32" i="1"/>
  <c r="X32" i="1" s="1"/>
  <c r="Y32" i="1"/>
  <c r="AH32" i="1" s="1"/>
  <c r="AK32" i="1" s="1"/>
  <c r="AA32" i="1"/>
  <c r="AB32" i="1"/>
  <c r="AD32" i="1"/>
  <c r="AE32" i="1"/>
  <c r="AG32" i="1"/>
  <c r="H33" i="1"/>
  <c r="N33" i="1"/>
  <c r="Q33" i="1"/>
  <c r="R33" i="1"/>
  <c r="U33" i="1"/>
  <c r="W33" i="1"/>
  <c r="X33" i="1"/>
  <c r="Y33" i="1"/>
  <c r="AH33" i="1" s="1"/>
  <c r="AA33" i="1"/>
  <c r="AB33" i="1"/>
  <c r="AD33" i="1"/>
  <c r="AE33" i="1"/>
  <c r="AG33" i="1"/>
  <c r="AK33" i="1"/>
  <c r="H34" i="1"/>
  <c r="H30" i="1" s="1"/>
  <c r="N34" i="1"/>
  <c r="O34" i="1"/>
  <c r="Q34" i="1"/>
  <c r="R34" i="1"/>
  <c r="U34" i="1"/>
  <c r="W34" i="1"/>
  <c r="X34" i="1"/>
  <c r="AJ34" i="1" s="1"/>
  <c r="Y34" i="1"/>
  <c r="AH34" i="1" s="1"/>
  <c r="AK34" i="1" s="1"/>
  <c r="AA34" i="1"/>
  <c r="AB34" i="1"/>
  <c r="AD34" i="1"/>
  <c r="AE34" i="1"/>
  <c r="AG34" i="1"/>
  <c r="AI34" i="1"/>
  <c r="H35" i="1"/>
  <c r="N35" i="1"/>
  <c r="AI35" i="1" s="1"/>
  <c r="O35" i="1"/>
  <c r="Q35" i="1"/>
  <c r="R35" i="1" s="1"/>
  <c r="U35" i="1"/>
  <c r="W35" i="1"/>
  <c r="X35" i="1" s="1"/>
  <c r="Y35" i="1"/>
  <c r="AA35" i="1"/>
  <c r="AB35" i="1"/>
  <c r="AD35" i="1"/>
  <c r="AE35" i="1"/>
  <c r="AG35" i="1"/>
  <c r="AH35" i="1"/>
  <c r="AK35" i="1" s="1"/>
  <c r="H36" i="1"/>
  <c r="N36" i="1"/>
  <c r="Q36" i="1"/>
  <c r="R36" i="1" s="1"/>
  <c r="U36" i="1"/>
  <c r="W36" i="1"/>
  <c r="X36" i="1" s="1"/>
  <c r="Y36" i="1"/>
  <c r="AH36" i="1" s="1"/>
  <c r="AK36" i="1" s="1"/>
  <c r="AA36" i="1"/>
  <c r="AB36" i="1"/>
  <c r="AD36" i="1"/>
  <c r="AE36" i="1"/>
  <c r="AG36" i="1"/>
  <c r="H37" i="1"/>
  <c r="N37" i="1"/>
  <c r="U37" i="1"/>
  <c r="W37" i="1"/>
  <c r="X37" i="1" s="1"/>
  <c r="Y37" i="1"/>
  <c r="AH37" i="1" s="1"/>
  <c r="AK37" i="1" s="1"/>
  <c r="AA37" i="1"/>
  <c r="AB37" i="1"/>
  <c r="AD37" i="1"/>
  <c r="AE37" i="1"/>
  <c r="AG37" i="1"/>
  <c r="H39" i="1"/>
  <c r="H38" i="1" s="1"/>
  <c r="U39" i="1"/>
  <c r="W39" i="1"/>
  <c r="X39" i="1" s="1"/>
  <c r="AJ39" i="1" s="1"/>
  <c r="Y39" i="1"/>
  <c r="AH39" i="1" s="1"/>
  <c r="AK39" i="1" s="1"/>
  <c r="AK38" i="1" s="1"/>
  <c r="AA39" i="1"/>
  <c r="AB39" i="1"/>
  <c r="AD39" i="1"/>
  <c r="AE39" i="1"/>
  <c r="AG39" i="1"/>
  <c r="H40" i="1"/>
  <c r="U40" i="1"/>
  <c r="W40" i="1"/>
  <c r="X40" i="1" s="1"/>
  <c r="Y40" i="1"/>
  <c r="AA40" i="1"/>
  <c r="AB40" i="1"/>
  <c r="AD40" i="1"/>
  <c r="AE40" i="1"/>
  <c r="AG40" i="1"/>
  <c r="AH40" i="1"/>
  <c r="AK40" i="1" s="1"/>
  <c r="H41" i="1"/>
  <c r="U41" i="1"/>
  <c r="W41" i="1"/>
  <c r="X41" i="1"/>
  <c r="AJ41" i="1" s="1"/>
  <c r="Y41" i="1"/>
  <c r="AH41" i="1" s="1"/>
  <c r="AK41" i="1" s="1"/>
  <c r="AA41" i="1"/>
  <c r="AB41" i="1"/>
  <c r="AD41" i="1"/>
  <c r="AE41" i="1"/>
  <c r="AG41" i="1"/>
  <c r="AI41" i="1"/>
  <c r="H42" i="1"/>
  <c r="U42" i="1"/>
  <c r="W42" i="1"/>
  <c r="X42" i="1"/>
  <c r="Y42" i="1"/>
  <c r="AH42" i="1" s="1"/>
  <c r="AK42" i="1" s="1"/>
  <c r="AA42" i="1"/>
  <c r="AB42" i="1"/>
  <c r="AD42" i="1"/>
  <c r="AE42" i="1"/>
  <c r="AG42" i="1"/>
  <c r="AI42" i="1"/>
  <c r="H43" i="1"/>
  <c r="U43" i="1"/>
  <c r="W43" i="1"/>
  <c r="X43" i="1" s="1"/>
  <c r="AJ43" i="1" s="1"/>
  <c r="Y43" i="1"/>
  <c r="AH43" i="1" s="1"/>
  <c r="AK43" i="1" s="1"/>
  <c r="AA43" i="1"/>
  <c r="AB43" i="1"/>
  <c r="AD43" i="1"/>
  <c r="AE43" i="1"/>
  <c r="AG43" i="1"/>
  <c r="H44" i="1"/>
  <c r="U44" i="1"/>
  <c r="W44" i="1"/>
  <c r="X44" i="1" s="1"/>
  <c r="Y44" i="1"/>
  <c r="AA44" i="1"/>
  <c r="AB44" i="1"/>
  <c r="AD44" i="1"/>
  <c r="AE44" i="1"/>
  <c r="AG44" i="1"/>
  <c r="AH44" i="1"/>
  <c r="AK44" i="1" s="1"/>
  <c r="H46" i="1"/>
  <c r="H45" i="1" s="1"/>
  <c r="K46" i="1"/>
  <c r="AI46" i="1" s="1"/>
  <c r="L46" i="1"/>
  <c r="AJ46" i="1" s="1"/>
  <c r="N46" i="1"/>
  <c r="O46" i="1" s="1"/>
  <c r="U46" i="1"/>
  <c r="W46" i="1"/>
  <c r="Y46" i="1"/>
  <c r="AH46" i="1" s="1"/>
  <c r="AK46" i="1" s="1"/>
  <c r="AA46" i="1"/>
  <c r="AB46" i="1"/>
  <c r="AD46" i="1"/>
  <c r="AE46" i="1"/>
  <c r="AG46" i="1"/>
  <c r="AL46" i="1"/>
  <c r="H47" i="1"/>
  <c r="H48" i="1"/>
  <c r="Q48" i="1"/>
  <c r="R48" i="1"/>
  <c r="U48" i="1"/>
  <c r="W48" i="1"/>
  <c r="Y48" i="1"/>
  <c r="AA48" i="1"/>
  <c r="AB48" i="1"/>
  <c r="AD48" i="1"/>
  <c r="AE48" i="1"/>
  <c r="AG48" i="1"/>
  <c r="AI48" i="1"/>
  <c r="AJ48" i="1"/>
  <c r="H49" i="1"/>
  <c r="Q49" i="1"/>
  <c r="AI49" i="1" s="1"/>
  <c r="U49" i="1"/>
  <c r="W49" i="1"/>
  <c r="Y49" i="1"/>
  <c r="AH49" i="1" s="1"/>
  <c r="AK49" i="1" s="1"/>
  <c r="AA49" i="1"/>
  <c r="AB49" i="1"/>
  <c r="AD49" i="1"/>
  <c r="AE49" i="1"/>
  <c r="AG49" i="1"/>
  <c r="H50" i="1"/>
  <c r="Q50" i="1"/>
  <c r="U50" i="1"/>
  <c r="W50" i="1"/>
  <c r="Y50" i="1"/>
  <c r="AA50" i="1"/>
  <c r="AB50" i="1"/>
  <c r="AD50" i="1"/>
  <c r="AE50" i="1"/>
  <c r="AG50" i="1"/>
  <c r="H51" i="1"/>
  <c r="U51" i="1"/>
  <c r="W51" i="1"/>
  <c r="Y51" i="1"/>
  <c r="AA51" i="1"/>
  <c r="AB51" i="1"/>
  <c r="AD51" i="1"/>
  <c r="AE51" i="1"/>
  <c r="AG51" i="1"/>
  <c r="AH51" i="1"/>
  <c r="AK51" i="1" s="1"/>
  <c r="H53" i="1"/>
  <c r="H52" i="1" s="1"/>
  <c r="U53" i="1"/>
  <c r="W53" i="1"/>
  <c r="Y53" i="1"/>
  <c r="AH53" i="1" s="1"/>
  <c r="AK53" i="1" s="1"/>
  <c r="AA53" i="1"/>
  <c r="AB53" i="1"/>
  <c r="AD53" i="1"/>
  <c r="AE53" i="1"/>
  <c r="AG53" i="1"/>
  <c r="AI53" i="1"/>
  <c r="AJ53" i="1"/>
  <c r="H54" i="1"/>
  <c r="U54" i="1"/>
  <c r="W54" i="1"/>
  <c r="X54" i="1"/>
  <c r="Y54" i="1"/>
  <c r="AA54" i="1"/>
  <c r="AB54" i="1"/>
  <c r="AD54" i="1"/>
  <c r="AI54" i="1"/>
  <c r="H57" i="1"/>
  <c r="U57" i="1"/>
  <c r="W57" i="1"/>
  <c r="X57" i="1"/>
  <c r="Y57" i="1"/>
  <c r="AH57" i="1" s="1"/>
  <c r="AK57" i="1" s="1"/>
  <c r="AA57" i="1"/>
  <c r="AB57" i="1"/>
  <c r="AD57" i="1"/>
  <c r="AE57" i="1"/>
  <c r="AG57" i="1"/>
  <c r="AI57" i="1"/>
  <c r="AJ57" i="1"/>
  <c r="H58" i="1"/>
  <c r="U58" i="1"/>
  <c r="W58" i="1"/>
  <c r="X58" i="1"/>
  <c r="AJ58" i="1" s="1"/>
  <c r="Y58" i="1"/>
  <c r="AH58" i="1" s="1"/>
  <c r="AK58" i="1" s="1"/>
  <c r="AA58" i="1"/>
  <c r="AB58" i="1"/>
  <c r="AD58" i="1"/>
  <c r="AE58" i="1"/>
  <c r="AG58" i="1"/>
  <c r="AI58" i="1"/>
  <c r="H59" i="1"/>
  <c r="Q59" i="1"/>
  <c r="AI59" i="1" s="1"/>
  <c r="R59" i="1"/>
  <c r="AJ59" i="1" s="1"/>
  <c r="U59" i="1"/>
  <c r="W59" i="1"/>
  <c r="Y59" i="1"/>
  <c r="AA59" i="1"/>
  <c r="AB59" i="1"/>
  <c r="AD59" i="1"/>
  <c r="AE59" i="1"/>
  <c r="AG59" i="1"/>
  <c r="AH59" i="1"/>
  <c r="AK59" i="1" s="1"/>
  <c r="H60" i="1"/>
  <c r="Q60" i="1"/>
  <c r="R60" i="1" s="1"/>
  <c r="AJ60" i="1" s="1"/>
  <c r="U60" i="1"/>
  <c r="W60" i="1"/>
  <c r="Y60" i="1"/>
  <c r="AA60" i="1"/>
  <c r="AB60" i="1"/>
  <c r="AD60" i="1"/>
  <c r="AE60" i="1"/>
  <c r="AG60" i="1"/>
  <c r="AH60" i="1"/>
  <c r="AK60" i="1" s="1"/>
  <c r="AI60" i="1"/>
  <c r="H61" i="1"/>
  <c r="Q61" i="1"/>
  <c r="R61" i="1"/>
  <c r="U61" i="1"/>
  <c r="W61" i="1"/>
  <c r="Y61" i="1"/>
  <c r="AA61" i="1"/>
  <c r="AB61" i="1"/>
  <c r="AD61" i="1"/>
  <c r="AE61" i="1"/>
  <c r="AG61" i="1"/>
  <c r="AH61" i="1"/>
  <c r="AK61" i="1" s="1"/>
  <c r="H62" i="1"/>
  <c r="U62" i="1"/>
  <c r="W62" i="1"/>
  <c r="X62" i="1" s="1"/>
  <c r="Y62" i="1"/>
  <c r="AH62" i="1" s="1"/>
  <c r="AK62" i="1" s="1"/>
  <c r="AA62" i="1"/>
  <c r="AB62" i="1"/>
  <c r="AD62" i="1"/>
  <c r="AE62" i="1"/>
  <c r="AG62" i="1"/>
  <c r="AJ62" i="1"/>
  <c r="H63" i="1"/>
  <c r="U63" i="1"/>
  <c r="W63" i="1"/>
  <c r="X63" i="1"/>
  <c r="Y63" i="1"/>
  <c r="AH63" i="1" s="1"/>
  <c r="AK63" i="1" s="1"/>
  <c r="AA63" i="1"/>
  <c r="AB63" i="1"/>
  <c r="AD63" i="1"/>
  <c r="AJ63" i="1" s="1"/>
  <c r="AE63" i="1"/>
  <c r="AG63" i="1"/>
  <c r="AI63" i="1"/>
  <c r="H64" i="1"/>
  <c r="Q64" i="1"/>
  <c r="AI64" i="1" s="1"/>
  <c r="U64" i="1"/>
  <c r="W64" i="1"/>
  <c r="Y64" i="1"/>
  <c r="AH64" i="1" s="1"/>
  <c r="AK64" i="1" s="1"/>
  <c r="AA64" i="1"/>
  <c r="AB64" i="1"/>
  <c r="AD64" i="1"/>
  <c r="AE64" i="1"/>
  <c r="AG64" i="1"/>
  <c r="H65" i="1"/>
  <c r="Q65" i="1"/>
  <c r="U65" i="1"/>
  <c r="W65" i="1"/>
  <c r="Y65" i="1"/>
  <c r="AA65" i="1"/>
  <c r="AB65" i="1"/>
  <c r="AD65" i="1"/>
  <c r="AE65" i="1"/>
  <c r="AG65" i="1"/>
  <c r="H66" i="1"/>
  <c r="Q66" i="1"/>
  <c r="AI66" i="1" s="1"/>
  <c r="R66" i="1"/>
  <c r="U66" i="1"/>
  <c r="W66" i="1"/>
  <c r="Y66" i="1"/>
  <c r="AA66" i="1"/>
  <c r="AB66" i="1"/>
  <c r="AD66" i="1"/>
  <c r="AE66" i="1"/>
  <c r="AG66" i="1"/>
  <c r="AH66" i="1"/>
  <c r="AK66" i="1" s="1"/>
  <c r="H67" i="1"/>
  <c r="Q67" i="1"/>
  <c r="R67" i="1" s="1"/>
  <c r="AJ67" i="1" s="1"/>
  <c r="U67" i="1"/>
  <c r="W67" i="1"/>
  <c r="Y67" i="1"/>
  <c r="AA67" i="1"/>
  <c r="AB67" i="1"/>
  <c r="AD67" i="1"/>
  <c r="AE67" i="1"/>
  <c r="AG67" i="1"/>
  <c r="AH67" i="1"/>
  <c r="AK67" i="1" s="1"/>
  <c r="AI67" i="1"/>
  <c r="H68" i="1"/>
  <c r="U68" i="1"/>
  <c r="W68" i="1"/>
  <c r="X68" i="1" s="1"/>
  <c r="AJ68" i="1" s="1"/>
  <c r="Y68" i="1"/>
  <c r="AH68" i="1" s="1"/>
  <c r="AK68" i="1" s="1"/>
  <c r="AA68" i="1"/>
  <c r="AB68" i="1"/>
  <c r="AD68" i="1"/>
  <c r="AE68" i="1"/>
  <c r="AG68" i="1"/>
  <c r="H69" i="1"/>
  <c r="Q69" i="1"/>
  <c r="R69" i="1" s="1"/>
  <c r="AJ69" i="1" s="1"/>
  <c r="U69" i="1"/>
  <c r="W69" i="1"/>
  <c r="Y69" i="1"/>
  <c r="AH69" i="1" s="1"/>
  <c r="AA69" i="1"/>
  <c r="AB69" i="1"/>
  <c r="AD69" i="1"/>
  <c r="AE69" i="1"/>
  <c r="AG69" i="1"/>
  <c r="AI69" i="1"/>
  <c r="AK69" i="1"/>
  <c r="H70" i="1"/>
  <c r="Q70" i="1"/>
  <c r="R70" i="1"/>
  <c r="U70" i="1"/>
  <c r="W70" i="1"/>
  <c r="Y70" i="1"/>
  <c r="AA70" i="1"/>
  <c r="AB70" i="1"/>
  <c r="AD70" i="1"/>
  <c r="AJ70" i="1" s="1"/>
  <c r="AE70" i="1"/>
  <c r="AG70" i="1"/>
  <c r="AI70" i="1"/>
  <c r="H72" i="1"/>
  <c r="H71" i="1" s="1"/>
  <c r="U72" i="1"/>
  <c r="W72" i="1"/>
  <c r="X72" i="1" s="1"/>
  <c r="AJ72" i="1" s="1"/>
  <c r="Y72" i="1"/>
  <c r="AH72" i="1" s="1"/>
  <c r="AK72" i="1" s="1"/>
  <c r="AA72" i="1"/>
  <c r="AB72" i="1"/>
  <c r="AD72" i="1"/>
  <c r="AE72" i="1"/>
  <c r="AG72" i="1"/>
  <c r="H73" i="1"/>
  <c r="U73" i="1"/>
  <c r="W73" i="1"/>
  <c r="Y73" i="1"/>
  <c r="AA73" i="1"/>
  <c r="AB73" i="1"/>
  <c r="AD73" i="1"/>
  <c r="AE73" i="1"/>
  <c r="AG73" i="1"/>
  <c r="AH73" i="1"/>
  <c r="AK73" i="1" s="1"/>
  <c r="H74" i="1"/>
  <c r="U74" i="1"/>
  <c r="AJ74" i="1" s="1"/>
  <c r="W74" i="1"/>
  <c r="X74" i="1"/>
  <c r="Y74" i="1"/>
  <c r="AH74" i="1" s="1"/>
  <c r="AK74" i="1" s="1"/>
  <c r="AA74" i="1"/>
  <c r="AB74" i="1"/>
  <c r="AD74" i="1"/>
  <c r="AE74" i="1"/>
  <c r="AG74" i="1"/>
  <c r="AI74" i="1"/>
  <c r="H75" i="1"/>
  <c r="U75" i="1"/>
  <c r="W75" i="1"/>
  <c r="X75" i="1"/>
  <c r="AJ75" i="1" s="1"/>
  <c r="Y75" i="1"/>
  <c r="AH75" i="1" s="1"/>
  <c r="AA75" i="1"/>
  <c r="AB75" i="1"/>
  <c r="AD75" i="1"/>
  <c r="AE75" i="1"/>
  <c r="AG75" i="1"/>
  <c r="AI75" i="1"/>
  <c r="AK75" i="1"/>
  <c r="H76" i="1"/>
  <c r="U76" i="1"/>
  <c r="W76" i="1"/>
  <c r="X76" i="1" s="1"/>
  <c r="Y76" i="1"/>
  <c r="AA76" i="1"/>
  <c r="AB76" i="1"/>
  <c r="AD76" i="1"/>
  <c r="AE76" i="1"/>
  <c r="AG76" i="1"/>
  <c r="H77" i="1"/>
  <c r="U77" i="1"/>
  <c r="W77" i="1"/>
  <c r="Y77" i="1"/>
  <c r="AA77" i="1"/>
  <c r="AB77" i="1"/>
  <c r="AD77" i="1"/>
  <c r="AE77" i="1"/>
  <c r="AG77" i="1"/>
  <c r="AH77" i="1"/>
  <c r="AK77" i="1" s="1"/>
  <c r="H78" i="1"/>
  <c r="U78" i="1"/>
  <c r="W78" i="1"/>
  <c r="X78" i="1"/>
  <c r="AJ78" i="1" s="1"/>
  <c r="Y78" i="1"/>
  <c r="AH78" i="1" s="1"/>
  <c r="AK78" i="1" s="1"/>
  <c r="AA78" i="1"/>
  <c r="AB78" i="1"/>
  <c r="AD78" i="1"/>
  <c r="AE78" i="1"/>
  <c r="AG78" i="1"/>
  <c r="AI78" i="1"/>
  <c r="H79" i="1"/>
  <c r="U79" i="1"/>
  <c r="W79" i="1"/>
  <c r="X79" i="1"/>
  <c r="Y79" i="1"/>
  <c r="AH79" i="1" s="1"/>
  <c r="AA79" i="1"/>
  <c r="AA127" i="1" s="1"/>
  <c r="AB79" i="1"/>
  <c r="AD79" i="1"/>
  <c r="AE79" i="1"/>
  <c r="AG79" i="1"/>
  <c r="AI79" i="1"/>
  <c r="AK79" i="1"/>
  <c r="H80" i="1"/>
  <c r="U80" i="1"/>
  <c r="W80" i="1"/>
  <c r="X80" i="1" s="1"/>
  <c r="Y80" i="1"/>
  <c r="AH80" i="1" s="1"/>
  <c r="AK80" i="1" s="1"/>
  <c r="AA80" i="1"/>
  <c r="AB80" i="1"/>
  <c r="AD80" i="1"/>
  <c r="AE80" i="1"/>
  <c r="AG80" i="1"/>
  <c r="H81" i="1"/>
  <c r="U81" i="1"/>
  <c r="W81" i="1"/>
  <c r="Y81" i="1"/>
  <c r="AA81" i="1"/>
  <c r="AB81" i="1"/>
  <c r="AD81" i="1"/>
  <c r="AE81" i="1"/>
  <c r="AG81" i="1"/>
  <c r="AH81" i="1"/>
  <c r="AK81" i="1" s="1"/>
  <c r="H82" i="1"/>
  <c r="U82" i="1"/>
  <c r="W82" i="1"/>
  <c r="X82" i="1"/>
  <c r="Y82" i="1"/>
  <c r="AH82" i="1" s="1"/>
  <c r="AK82" i="1" s="1"/>
  <c r="AA82" i="1"/>
  <c r="AB82" i="1"/>
  <c r="AD82" i="1"/>
  <c r="AE82" i="1"/>
  <c r="AG82" i="1"/>
  <c r="AI82" i="1"/>
  <c r="AJ82" i="1"/>
  <c r="H83" i="1"/>
  <c r="U83" i="1"/>
  <c r="W83" i="1"/>
  <c r="X83" i="1"/>
  <c r="AJ83" i="1" s="1"/>
  <c r="Y83" i="1"/>
  <c r="AH83" i="1" s="1"/>
  <c r="AA83" i="1"/>
  <c r="AB83" i="1"/>
  <c r="AD83" i="1"/>
  <c r="AE83" i="1"/>
  <c r="AG83" i="1"/>
  <c r="AI83" i="1"/>
  <c r="AK83" i="1"/>
  <c r="H84" i="1"/>
  <c r="U84" i="1"/>
  <c r="W84" i="1"/>
  <c r="X84" i="1" s="1"/>
  <c r="Y84" i="1"/>
  <c r="AA84" i="1"/>
  <c r="AB84" i="1"/>
  <c r="AD84" i="1"/>
  <c r="AE84" i="1"/>
  <c r="AG84" i="1"/>
  <c r="H85" i="1"/>
  <c r="U85" i="1"/>
  <c r="W85" i="1"/>
  <c r="Y85" i="1"/>
  <c r="AA85" i="1"/>
  <c r="AB85" i="1"/>
  <c r="AD85" i="1"/>
  <c r="AE85" i="1"/>
  <c r="AG85" i="1"/>
  <c r="AH85" i="1"/>
  <c r="AK85" i="1" s="1"/>
  <c r="H86" i="1"/>
  <c r="U86" i="1"/>
  <c r="W86" i="1"/>
  <c r="X86" i="1"/>
  <c r="Y86" i="1"/>
  <c r="AH86" i="1" s="1"/>
  <c r="AK86" i="1" s="1"/>
  <c r="AA86" i="1"/>
  <c r="AB86" i="1"/>
  <c r="AD86" i="1"/>
  <c r="AE86" i="1"/>
  <c r="AG86" i="1"/>
  <c r="AI86" i="1"/>
  <c r="AJ86" i="1"/>
  <c r="H87" i="1"/>
  <c r="U87" i="1"/>
  <c r="W87" i="1"/>
  <c r="X87" i="1"/>
  <c r="Y87" i="1"/>
  <c r="AH87" i="1" s="1"/>
  <c r="AA87" i="1"/>
  <c r="AB87" i="1"/>
  <c r="AD87" i="1"/>
  <c r="AE87" i="1"/>
  <c r="AG87" i="1"/>
  <c r="AI87" i="1"/>
  <c r="AK87" i="1"/>
  <c r="H88" i="1"/>
  <c r="U88" i="1"/>
  <c r="W88" i="1"/>
  <c r="X88" i="1" s="1"/>
  <c r="Y88" i="1"/>
  <c r="AH88" i="1" s="1"/>
  <c r="AK88" i="1" s="1"/>
  <c r="AA88" i="1"/>
  <c r="AB88" i="1"/>
  <c r="AD88" i="1"/>
  <c r="AE88" i="1"/>
  <c r="AG88" i="1"/>
  <c r="H89" i="1"/>
  <c r="U89" i="1"/>
  <c r="W89" i="1"/>
  <c r="Y89" i="1"/>
  <c r="AA89" i="1"/>
  <c r="AB89" i="1"/>
  <c r="AD89" i="1"/>
  <c r="AE89" i="1"/>
  <c r="AG89" i="1"/>
  <c r="AH89" i="1"/>
  <c r="AK89" i="1" s="1"/>
  <c r="H90" i="1"/>
  <c r="Q90" i="1"/>
  <c r="U90" i="1"/>
  <c r="W90" i="1"/>
  <c r="X90" i="1" s="1"/>
  <c r="Y90" i="1"/>
  <c r="AA90" i="1"/>
  <c r="AB90" i="1"/>
  <c r="AD90" i="1"/>
  <c r="AE90" i="1"/>
  <c r="AG90" i="1"/>
  <c r="AH90" i="1"/>
  <c r="AK90" i="1" s="1"/>
  <c r="H92" i="1"/>
  <c r="U92" i="1"/>
  <c r="W92" i="1"/>
  <c r="AI92" i="1" s="1"/>
  <c r="Y92" i="1"/>
  <c r="AA92" i="1"/>
  <c r="AB92" i="1"/>
  <c r="AD92" i="1"/>
  <c r="H93" i="1"/>
  <c r="U93" i="1"/>
  <c r="W93" i="1"/>
  <c r="Y93" i="1"/>
  <c r="AA93" i="1"/>
  <c r="AB93" i="1"/>
  <c r="AD93" i="1"/>
  <c r="AE93" i="1"/>
  <c r="AG93" i="1"/>
  <c r="AH93" i="1"/>
  <c r="H94" i="1"/>
  <c r="U94" i="1"/>
  <c r="W94" i="1"/>
  <c r="X94" i="1" s="1"/>
  <c r="Y94" i="1"/>
  <c r="AA94" i="1"/>
  <c r="AB94" i="1"/>
  <c r="AD94" i="1"/>
  <c r="AI94" i="1"/>
  <c r="H95" i="1"/>
  <c r="U95" i="1"/>
  <c r="W95" i="1"/>
  <c r="Y95" i="1"/>
  <c r="AA95" i="1"/>
  <c r="AC95" i="1"/>
  <c r="H96" i="1"/>
  <c r="U96" i="1"/>
  <c r="W96" i="1"/>
  <c r="AI96" i="1" s="1"/>
  <c r="Y96" i="1"/>
  <c r="AA96" i="1"/>
  <c r="AC96" i="1"/>
  <c r="AB96" i="1" s="1"/>
  <c r="AD96" i="1"/>
  <c r="H97" i="1"/>
  <c r="U97" i="1"/>
  <c r="W97" i="1"/>
  <c r="X97" i="1"/>
  <c r="Y97" i="1"/>
  <c r="AA97" i="1"/>
  <c r="AE97" i="1"/>
  <c r="AG97" i="1"/>
  <c r="H99" i="1"/>
  <c r="U99" i="1"/>
  <c r="W99" i="1"/>
  <c r="Y99" i="1"/>
  <c r="AA99" i="1"/>
  <c r="AB99" i="1"/>
  <c r="AD99" i="1"/>
  <c r="AE99" i="1"/>
  <c r="AG99" i="1"/>
  <c r="AH99" i="1"/>
  <c r="AK99" i="1" s="1"/>
  <c r="H100" i="1"/>
  <c r="U100" i="1"/>
  <c r="W100" i="1"/>
  <c r="X100" i="1"/>
  <c r="Y100" i="1"/>
  <c r="AH100" i="1" s="1"/>
  <c r="AK100" i="1" s="1"/>
  <c r="AA100" i="1"/>
  <c r="AB100" i="1"/>
  <c r="AD100" i="1"/>
  <c r="AJ100" i="1" s="1"/>
  <c r="AE100" i="1"/>
  <c r="AG100" i="1"/>
  <c r="AI100" i="1"/>
  <c r="H101" i="1"/>
  <c r="U101" i="1"/>
  <c r="W101" i="1"/>
  <c r="X101" i="1"/>
  <c r="Y101" i="1"/>
  <c r="AA101" i="1"/>
  <c r="AB101" i="1"/>
  <c r="AD101" i="1"/>
  <c r="AE101" i="1"/>
  <c r="AG101" i="1"/>
  <c r="AI101" i="1"/>
  <c r="H102" i="1"/>
  <c r="U102" i="1"/>
  <c r="W102" i="1"/>
  <c r="X102" i="1" s="1"/>
  <c r="AJ102" i="1" s="1"/>
  <c r="Y102" i="1"/>
  <c r="AA102" i="1"/>
  <c r="AB102" i="1"/>
  <c r="AD102" i="1"/>
  <c r="AE102" i="1"/>
  <c r="AG102" i="1"/>
  <c r="AH102" i="1"/>
  <c r="AK102" i="1" s="1"/>
  <c r="H103" i="1"/>
  <c r="U103" i="1"/>
  <c r="W103" i="1"/>
  <c r="X103" i="1"/>
  <c r="Y103" i="1"/>
  <c r="AH103" i="1" s="1"/>
  <c r="AK103" i="1" s="1"/>
  <c r="AA103" i="1"/>
  <c r="AB103" i="1"/>
  <c r="AD103" i="1"/>
  <c r="AE103" i="1"/>
  <c r="AG103" i="1"/>
  <c r="AI103" i="1"/>
  <c r="AJ103" i="1"/>
  <c r="H104" i="1"/>
  <c r="U104" i="1"/>
  <c r="W104" i="1"/>
  <c r="X104" i="1"/>
  <c r="Y104" i="1"/>
  <c r="AA104" i="1"/>
  <c r="AB104" i="1"/>
  <c r="AD104" i="1"/>
  <c r="AE104" i="1"/>
  <c r="AG104" i="1"/>
  <c r="AI104" i="1"/>
  <c r="AJ104" i="1"/>
  <c r="H105" i="1"/>
  <c r="U105" i="1"/>
  <c r="W105" i="1"/>
  <c r="X105" i="1"/>
  <c r="AJ105" i="1" s="1"/>
  <c r="Y105" i="1"/>
  <c r="AA105" i="1"/>
  <c r="AB105" i="1"/>
  <c r="AD105" i="1"/>
  <c r="AE105" i="1"/>
  <c r="AG105" i="1"/>
  <c r="AI105" i="1"/>
  <c r="H106" i="1"/>
  <c r="U106" i="1"/>
  <c r="W106" i="1"/>
  <c r="X106" i="1" s="1"/>
  <c r="AJ106" i="1" s="1"/>
  <c r="Y106" i="1"/>
  <c r="AA106" i="1"/>
  <c r="AB106" i="1"/>
  <c r="AD106" i="1"/>
  <c r="AE106" i="1"/>
  <c r="AG106" i="1"/>
  <c r="AH106" i="1"/>
  <c r="AK106" i="1" s="1"/>
  <c r="H107" i="1"/>
  <c r="U107" i="1"/>
  <c r="W107" i="1"/>
  <c r="X107" i="1" s="1"/>
  <c r="AJ107" i="1" s="1"/>
  <c r="Y107" i="1"/>
  <c r="AH107" i="1" s="1"/>
  <c r="AK107" i="1" s="1"/>
  <c r="AA107" i="1"/>
  <c r="AB107" i="1"/>
  <c r="AD107" i="1"/>
  <c r="AE107" i="1"/>
  <c r="AG107" i="1"/>
  <c r="H108" i="1"/>
  <c r="U108" i="1"/>
  <c r="W108" i="1"/>
  <c r="X108" i="1"/>
  <c r="Y108" i="1"/>
  <c r="AA108" i="1"/>
  <c r="AB108" i="1"/>
  <c r="AD108" i="1"/>
  <c r="AJ108" i="1" s="1"/>
  <c r="AE108" i="1"/>
  <c r="AG108" i="1"/>
  <c r="AI108" i="1"/>
  <c r="H110" i="1"/>
  <c r="H109" i="1" s="1"/>
  <c r="U110" i="1"/>
  <c r="W110" i="1"/>
  <c r="X110" i="1" s="1"/>
  <c r="AJ110" i="1" s="1"/>
  <c r="Y110" i="1"/>
  <c r="AH110" i="1" s="1"/>
  <c r="AK110" i="1" s="1"/>
  <c r="AA110" i="1"/>
  <c r="AB110" i="1"/>
  <c r="AD110" i="1"/>
  <c r="AE110" i="1"/>
  <c r="AG110" i="1"/>
  <c r="H111" i="1"/>
  <c r="U111" i="1"/>
  <c r="W111" i="1"/>
  <c r="Y111" i="1"/>
  <c r="AA111" i="1"/>
  <c r="AB111" i="1"/>
  <c r="AD111" i="1"/>
  <c r="AE111" i="1"/>
  <c r="AG111" i="1"/>
  <c r="AH111" i="1"/>
  <c r="AK111" i="1" s="1"/>
  <c r="H113" i="1"/>
  <c r="U113" i="1"/>
  <c r="W113" i="1"/>
  <c r="X113" i="1" s="1"/>
  <c r="AJ113" i="1" s="1"/>
  <c r="Y113" i="1"/>
  <c r="AA113" i="1"/>
  <c r="AB113" i="1"/>
  <c r="AD113" i="1"/>
  <c r="AE113" i="1"/>
  <c r="AG113" i="1"/>
  <c r="AH113" i="1"/>
  <c r="AK113" i="1" s="1"/>
  <c r="H114" i="1"/>
  <c r="U114" i="1"/>
  <c r="W114" i="1"/>
  <c r="X114" i="1" s="1"/>
  <c r="AJ114" i="1" s="1"/>
  <c r="Y114" i="1"/>
  <c r="AA114" i="1"/>
  <c r="AB114" i="1"/>
  <c r="AD114" i="1"/>
  <c r="AE114" i="1"/>
  <c r="AG114" i="1"/>
  <c r="AH114" i="1"/>
  <c r="AK114" i="1" s="1"/>
  <c r="H115" i="1"/>
  <c r="U115" i="1"/>
  <c r="W115" i="1"/>
  <c r="X115" i="1"/>
  <c r="Y115" i="1"/>
  <c r="AH115" i="1" s="1"/>
  <c r="AK115" i="1" s="1"/>
  <c r="AA115" i="1"/>
  <c r="AJ115" i="1" s="1"/>
  <c r="AB115" i="1"/>
  <c r="AD115" i="1"/>
  <c r="AE115" i="1"/>
  <c r="AG115" i="1"/>
  <c r="AI115" i="1"/>
  <c r="H116" i="1"/>
  <c r="U116" i="1"/>
  <c r="W116" i="1"/>
  <c r="X116" i="1"/>
  <c r="Y116" i="1"/>
  <c r="AA116" i="1"/>
  <c r="AB116" i="1"/>
  <c r="AD116" i="1"/>
  <c r="AE116" i="1"/>
  <c r="AG116" i="1"/>
  <c r="AI116" i="1"/>
  <c r="H117" i="1"/>
  <c r="U117" i="1"/>
  <c r="W117" i="1"/>
  <c r="X117" i="1"/>
  <c r="AJ117" i="1" s="1"/>
  <c r="Y117" i="1"/>
  <c r="AA117" i="1"/>
  <c r="AB117" i="1"/>
  <c r="AD117" i="1"/>
  <c r="AE117" i="1"/>
  <c r="AG117" i="1"/>
  <c r="AH117" i="1"/>
  <c r="AK117" i="1" s="1"/>
  <c r="AI117" i="1"/>
  <c r="H118" i="1"/>
  <c r="U118" i="1"/>
  <c r="W118" i="1"/>
  <c r="X118" i="1"/>
  <c r="AJ118" i="1" s="1"/>
  <c r="Y118" i="1"/>
  <c r="AA118" i="1"/>
  <c r="AB118" i="1"/>
  <c r="AD118" i="1"/>
  <c r="AE118" i="1"/>
  <c r="AG118" i="1"/>
  <c r="AH118" i="1"/>
  <c r="AI118" i="1"/>
  <c r="AK118" i="1"/>
  <c r="H119" i="1"/>
  <c r="U119" i="1"/>
  <c r="W119" i="1"/>
  <c r="X119" i="1"/>
  <c r="Y119" i="1"/>
  <c r="AH119" i="1" s="1"/>
  <c r="AA119" i="1"/>
  <c r="AJ119" i="1" s="1"/>
  <c r="AB119" i="1"/>
  <c r="AD119" i="1"/>
  <c r="AE119" i="1"/>
  <c r="AG119" i="1"/>
  <c r="AI119" i="1"/>
  <c r="AK119" i="1"/>
  <c r="H120" i="1"/>
  <c r="U120" i="1"/>
  <c r="W120" i="1"/>
  <c r="X120" i="1"/>
  <c r="Y120" i="1"/>
  <c r="AA120" i="1"/>
  <c r="AB120" i="1"/>
  <c r="AD120" i="1"/>
  <c r="AE120" i="1"/>
  <c r="AG120" i="1"/>
  <c r="AI120" i="1"/>
  <c r="H121" i="1"/>
  <c r="H122" i="1"/>
  <c r="U122" i="1"/>
  <c r="W122" i="1"/>
  <c r="X122" i="1" s="1"/>
  <c r="Y122" i="1"/>
  <c r="AH122" i="1" s="1"/>
  <c r="Z122" i="1"/>
  <c r="AA122" i="1"/>
  <c r="AB122" i="1"/>
  <c r="AD122" i="1"/>
  <c r="AE122" i="1"/>
  <c r="AG122" i="1"/>
  <c r="AI122" i="1"/>
  <c r="AK122" i="1"/>
  <c r="H124" i="1"/>
  <c r="H123" i="1" s="1"/>
  <c r="W124" i="1"/>
  <c r="Y124" i="1"/>
  <c r="AH124" i="1" s="1"/>
  <c r="AK124" i="1" s="1"/>
  <c r="AA124" i="1"/>
  <c r="AB124" i="1"/>
  <c r="AD124" i="1"/>
  <c r="AE124" i="1"/>
  <c r="AG124" i="1"/>
  <c r="AI124" i="1"/>
  <c r="AJ124" i="1"/>
  <c r="H127" i="1"/>
  <c r="H136" i="1"/>
  <c r="H138" i="1" s="1"/>
  <c r="H137" i="1"/>
  <c r="M137" i="1"/>
  <c r="M138" i="1" s="1"/>
  <c r="H140" i="1" s="1"/>
  <c r="H143" i="1"/>
  <c r="H141" i="1" l="1"/>
  <c r="AA3" i="1"/>
  <c r="Y127" i="1"/>
  <c r="AI12" i="1"/>
  <c r="L12" i="1"/>
  <c r="AJ12" i="1" s="1"/>
  <c r="BY314" i="2"/>
  <c r="AJ120" i="1"/>
  <c r="AH116" i="1"/>
  <c r="AK116" i="1" s="1"/>
  <c r="AH105" i="1"/>
  <c r="AK105" i="1" s="1"/>
  <c r="AI102" i="1"/>
  <c r="X96" i="1"/>
  <c r="X92" i="1"/>
  <c r="AJ88" i="1"/>
  <c r="AJ80" i="1"/>
  <c r="AI50" i="1"/>
  <c r="R50" i="1"/>
  <c r="AJ50" i="1" s="1"/>
  <c r="AJ40" i="1"/>
  <c r="AI36" i="1"/>
  <c r="AH21" i="1"/>
  <c r="AK21" i="1" s="1"/>
  <c r="X20" i="1"/>
  <c r="AJ20" i="1" s="1"/>
  <c r="AI20" i="1"/>
  <c r="BY147" i="2"/>
  <c r="AG54" i="1"/>
  <c r="AE54" i="1"/>
  <c r="AJ24" i="1"/>
  <c r="AI113" i="1"/>
  <c r="AI107" i="1"/>
  <c r="AH101" i="1"/>
  <c r="AK101" i="1" s="1"/>
  <c r="X85" i="1"/>
  <c r="AJ85" i="1" s="1"/>
  <c r="AI85" i="1"/>
  <c r="X77" i="1"/>
  <c r="AJ77" i="1" s="1"/>
  <c r="AI77" i="1"/>
  <c r="AJ66" i="1"/>
  <c r="AH65" i="1"/>
  <c r="AK65" i="1" s="1"/>
  <c r="AJ42" i="1"/>
  <c r="AI33" i="1"/>
  <c r="O33" i="1"/>
  <c r="AJ33" i="1" s="1"/>
  <c r="H23" i="1"/>
  <c r="H22" i="1" s="1"/>
  <c r="AI11" i="1"/>
  <c r="L11" i="1"/>
  <c r="AJ11" i="1" s="1"/>
  <c r="BY210" i="2"/>
  <c r="BY222" i="2" s="1"/>
  <c r="BY223" i="2" s="1"/>
  <c r="AF94" i="1" s="1"/>
  <c r="BY194" i="2"/>
  <c r="AJ31" i="1"/>
  <c r="X27" i="1"/>
  <c r="AI27" i="1"/>
  <c r="AH18" i="1"/>
  <c r="AK18" i="1" s="1"/>
  <c r="AJ116" i="1"/>
  <c r="AH108" i="1"/>
  <c r="AK108" i="1" s="1"/>
  <c r="AJ101" i="1"/>
  <c r="H91" i="1"/>
  <c r="AJ87" i="1"/>
  <c r="AH84" i="1"/>
  <c r="AK84" i="1" s="1"/>
  <c r="AJ79" i="1"/>
  <c r="AH76" i="1"/>
  <c r="AK76" i="1" s="1"/>
  <c r="AJ54" i="1"/>
  <c r="AH48" i="1"/>
  <c r="AK48" i="1" s="1"/>
  <c r="X24" i="1"/>
  <c r="AI24" i="1"/>
  <c r="H13" i="1"/>
  <c r="BY64" i="2"/>
  <c r="BY185" i="2"/>
  <c r="BY195" i="2" s="1"/>
  <c r="AJ122" i="1"/>
  <c r="AJ84" i="1"/>
  <c r="AJ76" i="1"/>
  <c r="H56" i="1"/>
  <c r="H55" i="1" s="1"/>
  <c r="AJ35" i="1"/>
  <c r="BY177" i="2"/>
  <c r="BY178" i="2" s="1"/>
  <c r="AI95" i="1"/>
  <c r="X95" i="1"/>
  <c r="AH70" i="1"/>
  <c r="AK70" i="1" s="1"/>
  <c r="AB97" i="1"/>
  <c r="AH97" i="1" s="1"/>
  <c r="AD97" i="1"/>
  <c r="BY238" i="2"/>
  <c r="AH120" i="1"/>
  <c r="AK120" i="1" s="1"/>
  <c r="H112" i="1"/>
  <c r="X111" i="1"/>
  <c r="AJ111" i="1" s="1"/>
  <c r="AI111" i="1"/>
  <c r="AH104" i="1"/>
  <c r="AK104" i="1" s="1"/>
  <c r="X99" i="1"/>
  <c r="AJ99" i="1" s="1"/>
  <c r="AI99" i="1"/>
  <c r="R90" i="1"/>
  <c r="AJ90" i="1" s="1"/>
  <c r="AI90" i="1"/>
  <c r="AI65" i="1"/>
  <c r="R65" i="1"/>
  <c r="AJ65" i="1" s="1"/>
  <c r="X61" i="1"/>
  <c r="AJ61" i="1" s="1"/>
  <c r="AI61" i="1"/>
  <c r="X51" i="1"/>
  <c r="AJ51" i="1" s="1"/>
  <c r="AI51" i="1"/>
  <c r="AH50" i="1"/>
  <c r="AK50" i="1" s="1"/>
  <c r="AI37" i="1"/>
  <c r="O37" i="1"/>
  <c r="AJ37" i="1" s="1"/>
  <c r="AI32" i="1"/>
  <c r="AJ27" i="1"/>
  <c r="H14" i="1"/>
  <c r="AI10" i="1"/>
  <c r="L10" i="1"/>
  <c r="AJ10" i="1" s="1"/>
  <c r="BY276" i="2"/>
  <c r="BY286" i="2" s="1"/>
  <c r="BY239" i="2"/>
  <c r="BY268" i="2" s="1"/>
  <c r="BY270" i="2" s="1"/>
  <c r="AF95" i="1" s="1"/>
  <c r="AI114" i="1"/>
  <c r="AI106" i="1"/>
  <c r="H98" i="1"/>
  <c r="AJ97" i="1"/>
  <c r="AB95" i="1"/>
  <c r="AD95" i="1"/>
  <c r="AD127" i="1" s="1"/>
  <c r="X93" i="1"/>
  <c r="AJ93" i="1" s="1"/>
  <c r="AI93" i="1"/>
  <c r="X89" i="1"/>
  <c r="AJ89" i="1" s="1"/>
  <c r="AI89" i="1"/>
  <c r="X81" i="1"/>
  <c r="AJ81" i="1" s="1"/>
  <c r="AI81" i="1"/>
  <c r="X73" i="1"/>
  <c r="AJ73" i="1" s="1"/>
  <c r="AI73" i="1"/>
  <c r="AH54" i="1"/>
  <c r="AJ44" i="1"/>
  <c r="X16" i="1"/>
  <c r="AI16" i="1"/>
  <c r="BY148" i="2"/>
  <c r="BY150" i="2" s="1"/>
  <c r="AF92" i="1" s="1"/>
  <c r="R64" i="1"/>
  <c r="AJ64" i="1" s="1"/>
  <c r="R49" i="1"/>
  <c r="AI44" i="1"/>
  <c r="AI40" i="1"/>
  <c r="L26" i="1"/>
  <c r="AJ26" i="1" s="1"/>
  <c r="L19" i="1"/>
  <c r="AJ19" i="1" s="1"/>
  <c r="AI68" i="1"/>
  <c r="AI62" i="1"/>
  <c r="O36" i="1"/>
  <c r="AJ36" i="1" s="1"/>
  <c r="O32" i="1"/>
  <c r="AJ32" i="1" s="1"/>
  <c r="AI110" i="1"/>
  <c r="AI88" i="1"/>
  <c r="AI84" i="1"/>
  <c r="AI80" i="1"/>
  <c r="AI76" i="1"/>
  <c r="AI72" i="1"/>
  <c r="AI43" i="1"/>
  <c r="AI39" i="1"/>
  <c r="AD3" i="1" l="1"/>
  <c r="AB127" i="1"/>
  <c r="AG95" i="1"/>
  <c r="AE95" i="1"/>
  <c r="AJ95" i="1"/>
  <c r="AJ92" i="1"/>
  <c r="X127" i="1"/>
  <c r="L127" i="1"/>
  <c r="AJ16" i="1"/>
  <c r="AJ49" i="1"/>
  <c r="R127" i="1"/>
  <c r="AH95" i="1"/>
  <c r="O127" i="1"/>
  <c r="BY315" i="2"/>
  <c r="BY317" i="2" s="1"/>
  <c r="AF96" i="1" s="1"/>
  <c r="AG94" i="1"/>
  <c r="AJ94" i="1" s="1"/>
  <c r="AE94" i="1"/>
  <c r="AH94" i="1" s="1"/>
  <c r="AE92" i="1"/>
  <c r="AH92" i="1" s="1"/>
  <c r="AG92" i="1"/>
  <c r="X3" i="1" l="1"/>
  <c r="V127" i="1"/>
  <c r="R3" i="1"/>
  <c r="P127" i="1"/>
  <c r="O3" i="1"/>
  <c r="M127" i="1"/>
  <c r="AE96" i="1"/>
  <c r="AH96" i="1" s="1"/>
  <c r="AG96" i="1"/>
  <c r="L3" i="1"/>
  <c r="J127" i="1"/>
  <c r="AJ96" i="1" l="1"/>
  <c r="AJ127" i="1" s="1"/>
  <c r="AG127" i="1"/>
  <c r="AG3" i="1" l="1"/>
  <c r="AE127" i="1"/>
  <c r="AI127" i="1"/>
  <c r="AK127" i="1" s="1"/>
  <c r="AL127" i="1"/>
  <c r="AL128" i="1"/>
</calcChain>
</file>

<file path=xl/sharedStrings.xml><?xml version="1.0" encoding="utf-8"?>
<sst xmlns="http://schemas.openxmlformats.org/spreadsheetml/2006/main" count="1950" uniqueCount="374">
  <si>
    <t xml:space="preserve">DESCONTO DADO PELA EMPRESA VENCEDORA </t>
  </si>
  <si>
    <t>VALOR ORÇADO PELO ÓRGÃO</t>
  </si>
  <si>
    <t>SALDO DE ADITIVO</t>
  </si>
  <si>
    <t>ADITIVO DA NOVA LAJE JÁ COM DESCONTO</t>
  </si>
  <si>
    <t xml:space="preserve">ADITIVO DA NOVA LAJE </t>
  </si>
  <si>
    <t>%  DE DESCONTO OFERTADO</t>
  </si>
  <si>
    <t>TOTAL DO ADITIVO + GLOSA</t>
  </si>
  <si>
    <t xml:space="preserve">VALOR DO VENCEDOR </t>
  </si>
  <si>
    <t xml:space="preserve">GLOSA DA LAJE </t>
  </si>
  <si>
    <t>VALOR ORÇADO</t>
  </si>
  <si>
    <t>=</t>
  </si>
  <si>
    <t>______________________________________
Marquesa Marques de Sousa Guedes
Eng. Responsável Técnico da Fiscalização
CREA PB N°. 16.1779945-9</t>
  </si>
  <si>
    <t>______________________________________
Fiscal do Contrato 
Prefeitura Municipal de Coremas - PB</t>
  </si>
  <si>
    <t>_________________________________
Cleyton Cabral Lopes
Engª. Responsável Técnica da Execução
CREA RNP N°. 1618264389</t>
  </si>
  <si>
    <t xml:space="preserve">ACUMULADO DA OBRA </t>
  </si>
  <si>
    <t>TOTAL DA MEDIÇÃO 08</t>
  </si>
  <si>
    <t>TOTAL DA MEDIÇÃO 07</t>
  </si>
  <si>
    <t>TOTAL DA MEDIÇÃO 06</t>
  </si>
  <si>
    <t>TOTAL DA MEDIÇÃO 05</t>
  </si>
  <si>
    <t>TOTAL DA MEDIÇÃO 03</t>
  </si>
  <si>
    <t>TOTAL DA MEDIÇÃO 02</t>
  </si>
  <si>
    <t>TOTAL DA MEDIÇÃO 01</t>
  </si>
  <si>
    <t>VALOR TOTAL:</t>
  </si>
  <si>
    <t>VALOR ORÇAMENTO:</t>
  </si>
  <si>
    <t>VALOR BDI TOTAL:</t>
  </si>
  <si>
    <t>M²</t>
  </si>
  <si>
    <t>ORSE</t>
  </si>
  <si>
    <t>Limpeza geral</t>
  </si>
  <si>
    <t>13.1</t>
  </si>
  <si>
    <t>LIMPEZA FINAL DA OBRA</t>
  </si>
  <si>
    <t>M2</t>
  </si>
  <si>
    <t>SINAPI</t>
  </si>
  <si>
    <t>COMPOSIÇÃO PARAMÉTRICA PARA EXECUÇÃO DE COBERTURA DE EDIFICAÇÕES COM ESTRUTURA EM PONTALETES DE MADEIRA, DUAS ÁGUAS, TELHA DE FIBROCIMENTO ONDULADA E COM PLATIBANDA. AF 11/2023</t>
  </si>
  <si>
    <t>12.1</t>
  </si>
  <si>
    <t>COBERTURA</t>
  </si>
  <si>
    <t>INSTALAÇÃO DE VIDRO IMPRESSO, E = 4 MM, EM ESQUADRIA DE ALUMÍNIO OU PVC, FIXADO COM BAGUETE. AF_01/2021_PS</t>
  </si>
  <si>
    <t>11.8</t>
  </si>
  <si>
    <t>JANELA DE AÇO DE CORRER COM 4 FOLHAS PARA VIDRO, COM BATENTE, FERRAGENS E PINTURA ANTICORROSIVA. EXCLUSIVE VIDROS, ALIZAR E CONTRAMARCO. FORNECIMENTO E INSTALAÇÃO. AF_12/2019</t>
  </si>
  <si>
    <t>11.7</t>
  </si>
  <si>
    <t>JANELA DE AÇO TIPO BASCULANTE PARA VIDROS, COM BATENTE, FERRAGENS E PINTURA ANTICORROSIVA. EXCLUSIVE VIDROS, ACABAMENTO, ALIZAR E CONTRAMARCO, FORNECIMENTO E INSTALAÇÃO. AF 12/2019</t>
  </si>
  <si>
    <t>11.6</t>
  </si>
  <si>
    <t>PORTA DE ALUMÍNIO DE ABRIR COM LAMBRI, COM GUARNIÇÃO, FIXAÇÃO COM PARAFUSOS - FORNECIMENTO E INSTALAÇÃO. AF_1212019</t>
  </si>
  <si>
    <t>11.5</t>
  </si>
  <si>
    <t>UNID</t>
  </si>
  <si>
    <t>PORTA DE ABRIR COM MOLA HIDRÁULICA, EM VIDRO TEMPERADO, 90X210 CM, ESPESSURA 10 MM, INCLUSIVE ACESSÓRIOS. AF_011/2021</t>
  </si>
  <si>
    <t>11.4</t>
  </si>
  <si>
    <t>PORTA DE ABRIR COM MOLA HIDRÁULICA, EM VIDRO TEMPERADO, 2 FOLHAS DE 90X210 CM, ESPESSURA DD 10MM, INCLUSIVE ACESSÓRIOS. AF 01/2021</t>
  </si>
  <si>
    <t>11.3</t>
  </si>
  <si>
    <t>JANELA DE ALUMINIO DE CORRER COM 2 FOLHAS PARA VIDROS, COM VIDROS, BATENTE, ACABAMENTO COM ACETATO OU BRILHANTE E FERRAGENS. EXCLUSIVE ALIZAR E CONTRAMARCO. FORNECIMENTO E INSTALAÇÃO. AF 121/2019</t>
  </si>
  <si>
    <t>11.2</t>
  </si>
  <si>
    <t>PORTA DE MADEIRA PARA PINTURA, SEMI-OCA (LEVE OU MEDIA), 90X210CM, ESPESSURA DE 3,5CM, INCLUSO DOBRADIÇAS - FORNECIMENTO E INSTALAÇÃO. AF 12/2019</t>
  </si>
  <si>
    <t>11.1</t>
  </si>
  <si>
    <t>ESQUADRIAS</t>
  </si>
  <si>
    <t>PRÓPRIO</t>
  </si>
  <si>
    <t>CAIXA DE PASSAGEM PARA AR CONDICIONADO- FORNECIMENTO E INSTALAÇÃO</t>
  </si>
  <si>
    <t>COMPOSIÇÃO</t>
  </si>
  <si>
    <t>10.2</t>
  </si>
  <si>
    <t>AR CONDICIONADO SPLIT INVERTER, HI-WALL (PAREDE), 9000 BTU/H, CICLO FRIO - FORNECIMENTO E INSTALAÇÃO. AF_11/2021_PE</t>
  </si>
  <si>
    <t>10.1</t>
  </si>
  <si>
    <t>CLIMATIZAÇÃO</t>
  </si>
  <si>
    <t>Disjuntor bipolar DR 25 A - Dispositivo residual diferencial, tipo AC, 30 MA, ref.5SM1 312-OMB, Siemens ou similar</t>
  </si>
  <si>
    <t>9.10</t>
  </si>
  <si>
    <t>M</t>
  </si>
  <si>
    <t>CABO DE COBRE FLEXÍVEL ISOLADO, 10 MM², 0,6/1,0 KV, PARA REDE AÉREA DE DISTRIBUIÇÃO DE ENERGIA ELETRICA DE BAIXA TENSÃO - FORNECIMENTO E INSTALAÇÃO. AF_07/2020</t>
  </si>
  <si>
    <t>9.9</t>
  </si>
  <si>
    <t>LUMINÁRIA TIPO PLAFON EM PLÁSTICO, DE SOBREPOR, COM 1 LÂMPADA FLUORESCENTE DE 15W, SEM REATOR - FORNECIMENTO E INSTALAÇÃO. AF 02/2020</t>
  </si>
  <si>
    <t>9.8</t>
  </si>
  <si>
    <t>COMPOSIÇÃO PARAMÉTRICA DE PONTO ELÉTRICO DE TOMADA DE USO GERAL 2P+T (10A/250V) EM EDIFICIO RESIDENCIAL COM ELETRODUTO EMBUTIDO EM RASGOS NAS PAREDES, INCLUSO TOMADA, ELETRODUTO, CABO, RASGO, OUEBRA E CHUMBAMENTO. AF_11/2022</t>
  </si>
  <si>
    <t>9.7</t>
  </si>
  <si>
    <t>COMPOSIÇÃO PARAMÉTRICA DE PONTO ELÉTRICO DE TOMADA DE USO ESPECÍFICO 2P+T (20A/250V) EM EDIFÍCIO RESIDENCIAL COM ELETRODUTO EMBUTIDO EM RASGOS NAS PAREDES, INCLUSO TOMADA, ELETRODUTO, CABO, RASGO, QUEBRA E CHUMBAMENTO (EXCETO CHUVEIRO). AF 11/2022</t>
  </si>
  <si>
    <t>9.6</t>
  </si>
  <si>
    <t>DISJUNTOR MONOPOLAR TIPO DIN, CORRENTE NOMINAL DE 16A - FORNECIMENTO E INSTALAÇÃO. AF 10/2020</t>
  </si>
  <si>
    <t>9.5</t>
  </si>
  <si>
    <t>DISJUNTOR BIPOLAR TIPO DIN, CORRENTE NOMINAL DE 32A- FORNECIMENTO E INSTALAÇÃO. AF 10/2020</t>
  </si>
  <si>
    <t>9.4</t>
  </si>
  <si>
    <t>COMPOSIÇÃO PARAMÉTRICA DE PONTO ELÉTRICO DE ILUMINAÇÃO, COM INTERRUPTOR SIMPLES, EM EDIFÍCIO RESIDENCIAL COM ELETRODUTO EMBUTIDO EM RASGOS NAS PAREDES, INCLUSO TOMADA, ELETRODUTO, CABO, RASGO E CHUMBAMENTO (SEM LUMINÁRIA E LÂMPADA). AF 11/2022</t>
  </si>
  <si>
    <t>9.3</t>
  </si>
  <si>
    <t>DISJUNTOR BIPOLAR TIPO DIN, CORRENTE NOMINAL DE 10A - FORNECIMENTO E INSTALAÇÃO. AF 10/2020</t>
  </si>
  <si>
    <t>9.2</t>
  </si>
  <si>
    <t>ENTRADA DE ENERGIA ELÉTRICA, AEREA, MONOFASICA, COM CAIXA DE SOBREPOR, CABO DE 35 MM2 E DISJUNTOR DIN 50A (NÃO INCLUSO O POSTE DE CONCRETO). AF_07/2020_PS</t>
  </si>
  <si>
    <t>9.1</t>
  </si>
  <si>
    <t>INSTALAÇÕES ELÉTRICAS</t>
  </si>
  <si>
    <t>TEXTURA ACRÍLICA, APLICAÇÃO MANUAL EM TETO, UMA DEMÃO. AF 04/2023</t>
  </si>
  <si>
    <t>8.6</t>
  </si>
  <si>
    <t>FUNDO SELADOR ACRÍLICO, APLICAÇÃO MANUAL EM PAREDE, UMA DEMÃO. AF 04/2023</t>
  </si>
  <si>
    <t>8.5</t>
  </si>
  <si>
    <t>APLICAÇÃO MANUAL DE FUNDO SELADOR ACRÍLICO EM PAREDES EXTERNAS DE CASAS. AF 03/2024</t>
  </si>
  <si>
    <t>8.4</t>
  </si>
  <si>
    <t>PINTURA LATÉX ACRÍLICA ECONÔMICA, APLICAÇÃO MANUAL EM PAREDES, DUAS DEMÃOS. AF 04/2023</t>
  </si>
  <si>
    <t>8.3</t>
  </si>
  <si>
    <t>APLICAÇÃO MANUAL DE MASSA ACRÍLICA EM SUPERFICIES INTERNAS DE SACADA DE EDIFÍCIOS DE MÚLTIPLOS PAVIMENTOS. UMA DEMÃO. AF 03/2024</t>
  </si>
  <si>
    <t>8.2</t>
  </si>
  <si>
    <t>APLICAÇÃO MANUAL DE MASSA ACRÍLICA EM PAREDES EXTERNAS DE CASAS, DUAS DEMÃOS. AF 03/2024</t>
  </si>
  <si>
    <t>8.1</t>
  </si>
  <si>
    <t>PINTURA</t>
  </si>
  <si>
    <t>IMPERMEABILIZAÇÃO DE SUPERFICIE COM EMULSAO ASFALTICA, 2 DEMAOS. AF 09/2023</t>
  </si>
  <si>
    <t>7.2.19</t>
  </si>
  <si>
    <t>(COMPOSIÇÃO REPRESENTATIVA) DO SERVIÇO DE CONTRAPISO EM ARGAMASSA TRAÇO 1:4 (CIM E AREIA), BETONEIRA 400 L, E = 4 CM ÁREAS SECAS E MOLHADAS SOBRE LAJE , E = 3 CM ÁREAS MOLHADAS SOBRE IMPERMEABILIZAÇÃO, PARA EDIFICAÇÃO MULTIFAMILIAR. AF_11/2014</t>
  </si>
  <si>
    <t>7.2.18</t>
  </si>
  <si>
    <t>REGISTRO DE ESFERA, PVC, ROSCÁVEL, COM VOLANTE, 1 1/2" - FORNECIMENTO E INSTALAÇÃO. AF 08/2021</t>
  </si>
  <si>
    <t>7.2.17</t>
  </si>
  <si>
    <t>REGISTRO DE GAVETA BRUTO, LATÃO, ROSCÁVEL, 1 1/2" - FORNECIMENTO E INSTALAÇÃO. AF 08/2021</t>
  </si>
  <si>
    <t>7.2.16</t>
  </si>
  <si>
    <t>TORNEIRA CROMADA LONGA, DE PAREDE, 1/2" OU 3/4", PARA PIA DE COZINHA. PADRÃO POPULAR - FORNECIMENTO E INSTALAÇÃO. AF 01/2020</t>
  </si>
  <si>
    <t>7.2.15</t>
  </si>
  <si>
    <t>TORNEIRA CROMADA DE MESA, 1/2" OU 3/4", PARA LAVATÓRIO, PADRÃO MÉDIO - FORNECIMENTO E INSTALAÇÃO. AF_01/2020</t>
  </si>
  <si>
    <t>7.2.14</t>
  </si>
  <si>
    <t>REGISTRO DE PRESSÃO BRUTO, LATÃO, ROSCÁVEL, 3/4", COM ACABAMENTO E CANOPLA CROMADOS - FORNECIMENTO E INSTALAÇÃO, AF 08/2021</t>
  </si>
  <si>
    <t>7.2.13</t>
  </si>
  <si>
    <t>JOELHO 90 GRAUS COM BUCHA DE LATÃO, PVC, SOLDÁVEL, DN 25MM, X 1/2 INSTALADO EM RAMAL OU SUB-RAMAL DE ÁGUA - FORNECIMENTO E INSTALAÇÃO. AF 06/2022</t>
  </si>
  <si>
    <t>7.2.12</t>
  </si>
  <si>
    <t>SABONETEIRA PLÁSTICA TIPO DISPENSER PARA SABONETE LIQUIDO COM RESERVATÓRIO 800 A 1500 ML, INCLUSO FIXAÇÃO. AF_01/2020</t>
  </si>
  <si>
    <t>7.2.11</t>
  </si>
  <si>
    <t>SABONETEIRA PLÁSTICA TIPO DISPENSER PARA SABONETE LIQUIDO COM RESERVATÓRIO 600 A 1500 ML, INCLUSO FIXAÇÃO. AF_01/2020</t>
  </si>
  <si>
    <t>7.2.10</t>
  </si>
  <si>
    <t>SABONETEIRA DE PAREDE EM METAL CROMADO, INCLUSO FIXAÇÃO. AF 01/2020</t>
  </si>
  <si>
    <t>7.2.9</t>
  </si>
  <si>
    <t>LAJE PRE-MOLDADA UNIDIRECIONAL, BIAPOIADA, PARA FORRO, ENCHIMENTO EM CERÂMICA, VIGOTA CONVENCIONAL, ALTURA TOTAL DA LAJE (ENCHIMENTO+CAPA) = (8+3). AF_11/2020_PA</t>
  </si>
  <si>
    <t>7.2.8</t>
  </si>
  <si>
    <t>JOELHO 90 GRAUS, PPR, DN 20 MM, INSTALADO EM RAMAL OU SUB - RAMAL DE ÁGUA - FORNECIMENTO E INSTALAÇÃO. AF_082022</t>
  </si>
  <si>
    <t>7.2.7</t>
  </si>
  <si>
    <t>LUVA, PVC, SOLDAVEL, DN 25MM, INSTALADO EM PRUMADA DE ÁGUA - FORNECIMENTO E INSTALAÇÃO. AF 06/2022</t>
  </si>
  <si>
    <t>7.2.6</t>
  </si>
  <si>
    <t>CHUVEIRO ELÉTRICO COMUM CORPO PLASTICO, TIPO DUCHA - FORNECIMENTO E INSTALAÇÃO. AF 01/2020</t>
  </si>
  <si>
    <t>7.2.5</t>
  </si>
  <si>
    <t>TUBO, PVC, SOLDAVEL, DN 20MM, INSTALADO EM RAMAL OU SUB-RAMAL DE ÁGUA - FORNECIMENTO E INSTALAÇÃO. AF_06/2022</t>
  </si>
  <si>
    <t>7.2.4</t>
  </si>
  <si>
    <t>JOELHO 90 GRAUS COM BUCHA DE LATAO, PVC, SOLDAVEL, DN 25MM, X 3/4 INSTALADO EM RAMAL OU SUB-RAMAL DE ÁGUA - FORNECIMENTO E INSTALAÇÃO. AF 06/2022</t>
  </si>
  <si>
    <t>7.2.3</t>
  </si>
  <si>
    <t>TUBO, PVC, SOLDAVEL, DN 25MM, INSTALADO EM PRUMADA DE ÁGUA - FORNECIMENTO E INSTALAÇÃO. AF 06/2022</t>
  </si>
  <si>
    <t>7.2.2</t>
  </si>
  <si>
    <t>CAIXA D'AGUA EM POLIESTER REFORCADO COM FIBRA DE VIDRO, 3000 LITROS - FORNECIMENTO E INSTALAÇÃO. AF_06/2021</t>
  </si>
  <si>
    <t>7.2.1</t>
  </si>
  <si>
    <t>HIDRÁULICA</t>
  </si>
  <si>
    <t>7.2</t>
  </si>
  <si>
    <t>JUNÇÃO DUPLA DE PVC, SERIE NORMAL, PARA ESGOTO PREDIAL, DN 100  X 100 X 100 MM, INSTALADA EM DRENO - FORNECIMENTO E INSTALAÇÃO. AF 07/2021</t>
  </si>
  <si>
    <t>7.1.14</t>
  </si>
  <si>
    <t>TE, PVC, SERIE NORMAL, ESGOTO PREDIAL, DN 100 X 100 MM, JUNTA ELASTICA, FORNECIDO E INSTALADO EM PRUMADA DE ESGOTO SANITARIO OU VENTILAÇÃO. AF_08/2022</t>
  </si>
  <si>
    <t>7.1.13</t>
  </si>
  <si>
    <t>BARRA DE APOIO EM "L", EM ACO INOX POLIDO 80 X 80 CM, FIXADA NA PAREDE - FORNECIMENTO E INSTALAÇÃO. AF 01/2020</t>
  </si>
  <si>
    <t>7.1.12</t>
  </si>
  <si>
    <t>JOELHO 45 GRAUS, PVC, SERIE NORMAL, ESGOTO PREDIAL, DN 100 MM, JUNTA ELASTICA, FORNECIDO E INSTALADO EM PRUMADA DE ESGOTO SANITARIO OU VENTILACAO. AF_08/2022</t>
  </si>
  <si>
    <t>7.1.11</t>
  </si>
  <si>
    <t>JOELHO 90 GRAUS, PVC, SERIE NORMAL, ESGOTO PREDIAL, DN 100 MM, JUNTA ELASTICA, FORNECIDO E INSTALADO EM PRUMADA DE ESGOTO SANITARIO OU VENTILACAO. AF_08/2022</t>
  </si>
  <si>
    <t>7.1.10</t>
  </si>
  <si>
    <t>JOELHO 45 GRAUS, PVC, SERIE NORMAL, ESGOTO PREDIAL, DN 50 MM, JUNTA ELASTICA, FORNECIDO E INSTALADO EM RAMAL DE DESCARGA OU RAMAL DE ESGOTO SANITARIO. AF 08/2022</t>
  </si>
  <si>
    <t>7.1.9</t>
  </si>
  <si>
    <t>JOELHO 45 GRAUS, PVC, SERIE NORMAL, ESGOTO PREDIAL, DN 40 MM, JUNTA SOLDAVEL, FORNECIDO E INSTALADO EM RAMAL DE DESCARGA OU RAMAL DE ESGOTO SANITARIO. AF 08/2022</t>
  </si>
  <si>
    <t>7.1.8</t>
  </si>
  <si>
    <t>RALO SIFONADO REDONDO, PVC, DN 100 X 40 MM, JUNTA SOLDAVEL, FORNECIDO E INSTALADO EM RAMAL DE DESCARGA OU EM RAMAL DE ESGOTO SANITARIO. AF 08/2022</t>
  </si>
  <si>
    <t>7.1.7</t>
  </si>
  <si>
    <t>RALO SECO CONICO, PVC, DN 100 X 40 MM, JUNTA SOLDAVEL, FORNECIDO E INSTALADO EM RAMAL DE DESCARGA OU EM RAMAL DE ESGOTO SANITARIO. AF 08/2022</t>
  </si>
  <si>
    <t>7.1.6</t>
  </si>
  <si>
    <t>TUBO PVC, SERIE NORMAL, ESGOTO PREDIAL, DN 50 MM, FORNECIDO E INSTALADO EM PRUMADA DE ESGOTO SANITARIO OU VENTILAÇÃO. AF 08/2022</t>
  </si>
  <si>
    <t>7.1.5</t>
  </si>
  <si>
    <t>TUBO PVC, SERIE NORMAL, ESGOTO PREDIAL, DN 40 MM, FORNECIDO E INSTALADO EM RAMAL DE DESCARGA OU RAMAL DE ESGOTO SANITARIO. AF 08/2022</t>
  </si>
  <si>
    <t>7.1.4</t>
  </si>
  <si>
    <t>TUBO PVC, SERIE NORMAL, ESGOTO PREDIAL, DN 100 MM, FORNECIDO E INSTALADO EM RAMAL DE DESCARGA OU RAMAL DE ESGOTO SANITARIO. AF 08/2022</t>
  </si>
  <si>
    <t>7.1.3</t>
  </si>
  <si>
    <t>LAVATÓRIO LOUÇA BRANCA COM COLUNA, *44 X 35,5* CM, PADRÃO POPULAR, INCLUSO SIFAO FLEXÍVEL EM PVC, VALVULA E ENGATE FLEXÍVEL 30CM EM PLASTICO E COM TORNEIRA CROMADA PADRAO POPULAR-FORNECIMENTO E INSTALAÇÃO. AF_01/2020</t>
  </si>
  <si>
    <t>7.1.2</t>
  </si>
  <si>
    <t>VASO SANITARIO SIFONADO COM CAIXA ACOPLADA LOUÇA BRANCA, INCLUSO ENGATE FLEXÍVEL EM PLASTICO BRANCO, 1/2 X 40CM - FORNECIMENTO E INSTALAÇÃO. AF_01/2020</t>
  </si>
  <si>
    <t>7.1.1</t>
  </si>
  <si>
    <t>SANITÁRIA</t>
  </si>
  <si>
    <t>7.1</t>
  </si>
  <si>
    <t>INSTALAÇÕES SANITÁRIAS</t>
  </si>
  <si>
    <t>REVESTIMENTO CERÂMICO PARA PISO COM PLACAS TIPO PORCELANATO DE DIMENSOES 80X80 CM APLICADA EM AMBIENTES DE AREA ENTRE 556
E 10 M'. AF 022023 PE</t>
  </si>
  <si>
    <t>6.2</t>
  </si>
  <si>
    <t>M3</t>
  </si>
  <si>
    <t>ARGAMASSA TRAÇO 1:3 (EM VOLUME DE CIMENTO E AREIA MÉDIA ÚMIDA) PARA CONTRAPISO, PREPARO MECANICO COM BETONEIRA 400 L. AF 08/2019</t>
  </si>
  <si>
    <t>6.1</t>
  </si>
  <si>
    <t>PISO</t>
  </si>
  <si>
    <t>REVESTIMENTO CERÂMICO PARA PISO COM PLACAS TIPO PORCELANATO DE DIMENSÕES 60X60 CM APLICADA EM AMBIENTES DE ÁREA ENTRE 5 M² E 10 M². AF 02/2023 PE</t>
  </si>
  <si>
    <t>5.4</t>
  </si>
  <si>
    <t>REVESTIMENTO CERÂMICO PARA PAREDES INTERNAS COM PLACAS TIPO PASTILHA DE DIMENSÕES 5 X 5 CM (PLACAS DE 30 X 30 CM) CM APLICADAS A MEIA ALTURA DAS PAREDES. AF_02/2023</t>
  </si>
  <si>
    <t>5.3</t>
  </si>
  <si>
    <t>MASSA ÚNICA, EM ARGAMASSA TRAÇO 1:2:8, PREPARO MANUAL, APLICADA MANUALMENTE EM PAREDES INTERNAS DE AMBIENTES COM ÁREA ENTRE 5M² E 10M², E = 10MM, COM TALISCAS, AF_03/2024</t>
  </si>
  <si>
    <t>5.2</t>
  </si>
  <si>
    <t>CHAPISCO APLICADO EM ALVENARIA (SEM PRESENÇA DE VÃOS) E ESTRUTURAS DE CONCRETO DE FACHADA, COM COLHER DE PEDREIRO. ARGAMASSA TRAÇO 1.3 COM PREPARO EM BETONEIRA 400L. AF_10/2022</t>
  </si>
  <si>
    <t>5.1</t>
  </si>
  <si>
    <t>REVESTIMENTO</t>
  </si>
  <si>
    <t>ALVENARIA DE VEDAÇÃO DE BLOCOS CERAMICOS FURADOS NA HORIZONTAL DE 9X19X19 CM (ESPESSURA 9 CM) E ARGAMASSA DE ASSENTAMENTO COM PREPARO EM BETONEIRA. AF_12/2021</t>
  </si>
  <si>
    <t>4.1</t>
  </si>
  <si>
    <t>ELEVAÇÃO</t>
  </si>
  <si>
    <t>KG</t>
  </si>
  <si>
    <t>ARMAÇÃO DE LAJE DE ESTRUTURA CONVENCIONAL DE CONCRETO ARMADO UTILIZANDO AÇO CA-CO DE 5,0 MM - MONTAGEM. AF_06/2022</t>
  </si>
  <si>
    <t>3.2.3.6</t>
  </si>
  <si>
    <t>ARMAÇAO DE LAJE DE ESTRUTURA CONVENCIONAL DE CONCRETO ARMADO UTILIZANDO AÇO CA-50 DE 10,0 MM - MONTAGEM. AF_08/2022</t>
  </si>
  <si>
    <t>3.2.3.5</t>
  </si>
  <si>
    <t>ARMAÇÃO DE LAJE DE ESTRUTURA CONVENCIONAL DE CONCRETO ARMADO UTILIZANDO AÇO CA-SO DE 8,0 MM - MONTAGEM. AF_06/2022</t>
  </si>
  <si>
    <t>3.2.3.4</t>
  </si>
  <si>
    <t>ARMAÇÃO DE LAJE DE ESTRUTURA CONVENCIONAL DE CONCRETO ARMADO UTILIZANDO AÇO CA-SO DE 6,3 MM - MONTAGEM. AF_06/2022</t>
  </si>
  <si>
    <t>3.2.3.3</t>
  </si>
  <si>
    <t>FABRICAÇÃO DE FÔRMA PARA LAJES, EM CHAPA DE MADEIRA COMPENSADA RESINADA, E = 17 MM. AF 09/2020</t>
  </si>
  <si>
    <t>3.2.3.2</t>
  </si>
  <si>
    <t>CONCRETO FCK = 25MPA, TRACO 1:2,3:2,7 (EM MASSA SECA DE CIMENTO/AREIA MEDIA/ BRITA 1) - PREPARO MECANICO COM BETONEIRA 400 L. AF 05/2021</t>
  </si>
  <si>
    <t>3.2.3.1</t>
  </si>
  <si>
    <t xml:space="preserve">LAJE </t>
  </si>
  <si>
    <t>3.2.3</t>
  </si>
  <si>
    <t>FABRICAÇÃO DE FORMA PARA VIGAS, EM CHAPA DE MADEIRA COMPENSADA RESINADA, E = 17 MM. AF 09/2020</t>
  </si>
  <si>
    <t>3.2.2.7</t>
  </si>
  <si>
    <t>ARMAÇÃO DE PILAR OU VIGA DE ESTRUTURA CONVENCIONAL DE CONCRETO ARMADO UTILIZANDO AÇO CA-CO DE 5,0 MM - MONTAGEM. AF 06/2022</t>
  </si>
  <si>
    <t>3.2.2.6</t>
  </si>
  <si>
    <t>ARMAÇÃO DE PILAR OU VIGA DE ESTRUTURA CONVENCIONAL DE CONCRETO ARMADO UTILZANDO AÇO CA-50 DE 12,5 MM - MONTAGEM. AF 06/2022</t>
  </si>
  <si>
    <t>3.2.2.5</t>
  </si>
  <si>
    <t>ARMAÇÃO DE PILAR OU VIGA DE ESTRUTURA CONVENCIONAL DE CONCRETO ARMADO UTILIZANDO AÇO CA-50 DE 10,0 MM - MONTAGEM. AF 06/2022</t>
  </si>
  <si>
    <t>3.2.2.4</t>
  </si>
  <si>
    <t>ARMAÇÃO DE PILAR OU VIGA DE ESTRUTURA CONVENCIONAL DE CONCRETO ARMADO UTILIZANDO AÇO CA-50 DE 8,0 MM - MONTAGEM. AF 06/2022</t>
  </si>
  <si>
    <t>3.2.2.3</t>
  </si>
  <si>
    <t>ARMAÇÃO DE PILAR OU VIGA DE ESTRUTURA CONVENCIONAL DE CONCRETO ARMADO UTILIZANDO AÇO CA-50 06 8,3 MM - MONTAGEM. AF 06/2022</t>
  </si>
  <si>
    <t>3.2.2.2</t>
  </si>
  <si>
    <t>CONCRETO FCK = 25MPA, TRAGO 12,2:2,5 (EM MASSA SECA DE CIMENTO/ AREIA MEDIA/ SEIXO ROLADO) - PREPARO MECANICO COM BETONEIRA 400 L. AF 05/2021</t>
  </si>
  <si>
    <t>3.2.2.1</t>
  </si>
  <si>
    <t>VIGAS</t>
  </si>
  <si>
    <t>3.2.2</t>
  </si>
  <si>
    <t>FABRICAÇÃO, MONTAGEM E DESMONTAGEM DE FÔRMA PARA ESCADA HIDRAULICA, EM CHAPA DE MADEIRA COMPENSADA RESINADA, E = 17 MM, 3 UTILIZAÇÕES. AF 08/2022</t>
  </si>
  <si>
    <t>3.2.1.6</t>
  </si>
  <si>
    <t>ARMAÇÃO DE BLOCO, VIGA BALDRAME OU SAPATA UTILIZANDO AÇO CA- 50 DE 12,5 MM - MONTAGEM. AF 06/2017</t>
  </si>
  <si>
    <t>3.2.1.5</t>
  </si>
  <si>
    <t>ARMAÇÃO DE BLOCO UTILZANDO AÇO CA-50 DES MM - MONTAGEM, AF 01/2024</t>
  </si>
  <si>
    <t>3.2.1.4</t>
  </si>
  <si>
    <t>ARMAÇÃO DE BLOCO UTILIZANDO AÇO CA-CO DE 5 MM - MONTAGEM. AF 01/2024</t>
  </si>
  <si>
    <t>3.2.1.3</t>
  </si>
  <si>
    <t>ARMAÇÃO DE BLOCO UTILIZANDO AÇO CA-SO DE 10 MM - MONTAGEM. AF 01/2024</t>
  </si>
  <si>
    <t>3.2.1.2</t>
  </si>
  <si>
    <t>CONCRETO FCK = 25MPA, TRACO 1:2,2:2,5 (EM MASSA SECA DE CIMENTO/ AREIA MEDIA/ SEIXO ROLADO) - PREPARO MECANICO COM BETONEIRA 400 L. AF 05/2021</t>
  </si>
  <si>
    <t>3.2.1.1</t>
  </si>
  <si>
    <t>PILARES</t>
  </si>
  <si>
    <t>3.2.1</t>
  </si>
  <si>
    <t>SUPERESTRUTURA</t>
  </si>
  <si>
    <t>3.2</t>
  </si>
  <si>
    <t>IMPERMEABILIZAÇÃO DE SUPERFÍCIE COM EMULSÃO ASFÁLTICA, 2 DEMÃOS. AF 09/2023</t>
  </si>
  <si>
    <t>3.1.1.6</t>
  </si>
  <si>
    <t>ARMAÇÃO DE BLOCO UTILIZANDO AÇO CA-60 DE 5 MM - MONTAGEM. AF 01/2024</t>
  </si>
  <si>
    <t>3.1.1.5</t>
  </si>
  <si>
    <t>ARMAÇÃO DE BLOCO UTILZANDO AÇO CASO DE 8 MM - MONTAGEM. AF 01/2024</t>
  </si>
  <si>
    <t>3.1.1.4</t>
  </si>
  <si>
    <t>ARMAÇÃO DE BLOCO UTILIZANDO AÇO CA-50 DE 6,3 MM - MONTAGEM. AF 01/2024</t>
  </si>
  <si>
    <t>3.1.1.3</t>
  </si>
  <si>
    <t>CONCRETO FCK = 25MPA, TRACO 12,3:2,7 (EM MASSA SECA DE CIMENTO/ AREIA MEDIA/ BRITA 1) - PREPARO MECANICO COM BETONEIRA 400 L. AF 05/2021</t>
  </si>
  <si>
    <t>3.1.1.2</t>
  </si>
  <si>
    <t>CONCRETO FCK = 15MPA, TRACO 13,4.3,4 (EM MASSA SECA DE CIMENTO / AREIA MÉDIA/ SEIXO ROLADO) - PREPARO MANUAL. AF_05/2021</t>
  </si>
  <si>
    <t>3.1.1.1</t>
  </si>
  <si>
    <t>FUNDAÇÃO</t>
  </si>
  <si>
    <t>3.1.1</t>
  </si>
  <si>
    <t>INFRAESTUTURA</t>
  </si>
  <si>
    <t>3.1</t>
  </si>
  <si>
    <t>ESTRUTURA</t>
  </si>
  <si>
    <t>ATERRO MANUAL DE VALAS COM SOLO ARGILO-ARENOSO. AF_08/2023</t>
  </si>
  <si>
    <t>2.3</t>
  </si>
  <si>
    <t>ESCAVAÇÃO MANUAL DE VALA COM PROFUNDIDADE MENOR OU IGUAL A 1,30M AF 02/2021</t>
  </si>
  <si>
    <t>2.2</t>
  </si>
  <si>
    <t>LOCAÇÃO CONVENCIONAL DE OBRA, UTILIZANDO DE GABARITO DE TÁBUAS CORRIDAS PONTALETADAS A CADA 2,00M - 2 UTILIZAÇÕES. AF_03/2024</t>
  </si>
  <si>
    <t>2.1</t>
  </si>
  <si>
    <t>MOVIMENTO DE TERRA</t>
  </si>
  <si>
    <t>LIMPEZA MANUAL DE VEGETAÇÃO EM TERRENO COM EXADA AF 03/2024</t>
  </si>
  <si>
    <t>1.2</t>
  </si>
  <si>
    <t>Placa de obra em chapa aco galvanizado, instalada - Rev 02_O1/2022</t>
  </si>
  <si>
    <t>1.1</t>
  </si>
  <si>
    <t>MEDIÇÃO 08</t>
  </si>
  <si>
    <t>MEDIÇÃO 07</t>
  </si>
  <si>
    <t>MEDIÇÃO 06</t>
  </si>
  <si>
    <t>MEDIÇÃO 05</t>
  </si>
  <si>
    <t>MEDIÇÃO 04</t>
  </si>
  <si>
    <t>MEDIÇÃO 03</t>
  </si>
  <si>
    <t>MEDIÇÃO 02</t>
  </si>
  <si>
    <t>MEDIÇÃO 01</t>
  </si>
  <si>
    <t>SERVIÇOS PRELIMINARES</t>
  </si>
  <si>
    <t>QUANTIDADE  A SER ACRESCENTADA NO ADITIVO</t>
  </si>
  <si>
    <t>STATUS DO ÍTEM</t>
  </si>
  <si>
    <t>TOTAL ACUMULADO</t>
  </si>
  <si>
    <t>QUANT. ACUMULADA</t>
  </si>
  <si>
    <t>% ACUMULADO</t>
  </si>
  <si>
    <t>VALOR MEDIDO NO PERÍODO</t>
  </si>
  <si>
    <t>QUANTIDADE MEDIDA NO PERÍODO</t>
  </si>
  <si>
    <t>AVANÇO PERCENTUAL NO PERÍODO</t>
  </si>
  <si>
    <t>PREÇO
TOTAL R$</t>
  </si>
  <si>
    <t>PREÇO
UNITÁRIO R$</t>
  </si>
  <si>
    <t>QUANTIDADE</t>
  </si>
  <si>
    <t>UND</t>
  </si>
  <si>
    <t>FONTE</t>
  </si>
  <si>
    <t>DESCRIÇÃO</t>
  </si>
  <si>
    <t>CÓDIGO</t>
  </si>
  <si>
    <t>ITEM</t>
  </si>
  <si>
    <t>AVANÇO</t>
  </si>
  <si>
    <t>MEDIÇÕES</t>
  </si>
  <si>
    <t>TOTAL DA MEDIÇÃO 08=</t>
  </si>
  <si>
    <t xml:space="preserve">TOTAL DA MEDIÇÃO 07 = </t>
  </si>
  <si>
    <t xml:space="preserve">TOTAL DA MEDIÇÃO 06 = </t>
  </si>
  <si>
    <t xml:space="preserve">TOTAL DA MEDIÇÃO 05 = </t>
  </si>
  <si>
    <t xml:space="preserve">TOTAL DA MEDIÇÃO 03 = </t>
  </si>
  <si>
    <t xml:space="preserve">TOTAL DA MEDIÇÃO 02 = </t>
  </si>
  <si>
    <t xml:space="preserve">TOTAL DA MEDIÇÃO 01 = </t>
  </si>
  <si>
    <t>FONTE DOS RECURSOS: 
Próprio (Diversos) do Município, prevista no orçamento da União, para o exercício de 2024.</t>
  </si>
  <si>
    <t>DADOS DO CONTRATADO: CL CONSTRUÇÕES E SERVIÇOS LTDA 
CNPJ: 09.335.002/0001-06
ENDEREÇO: Rua Cel. João Severino, SN - Sala D - Centro - Itaporanga - PB.</t>
  </si>
  <si>
    <t>VALOR MEDIDO NO PERÍODO:
R$ 330.767,00</t>
  </si>
  <si>
    <t>REFERÊNCIA/PERÍODO DA MEDIÇÃO: De 11/08/2025 A 11/09/2025</t>
  </si>
  <si>
    <t xml:space="preserve">NÚMERO DA MEDIÇÃO:
8ª MEDIÇÃO.
</t>
  </si>
  <si>
    <t>DADOS DO CONTRATANTE:  Prefeitura Municipal de Coremas.
CNPJ: 08.939.936/0001-94
POCESSO LICITATÓRIO: Processo Administrativo N°. 176/2024 e Concorrência Eletrônica N°. 0004/2024
CONTRATO N°. 328/2024
VALOR DA OBRA/CONTRATO: 1.150.000,00 (Um milhão, cento e cinquenta mil reais).</t>
  </si>
  <si>
    <t>DATA DE INÍCIO DO CONTRATO: 15/10/2024.
VIGÊNCIA: 12 MESES</t>
  </si>
  <si>
    <t>B.D.I. = 22,47%
ENCARGOS SOCIAIS:
Nao Desonerado: embutido nos presos unitário dos insumos de mão de obra, de acordo com as bases.</t>
  </si>
  <si>
    <t>BANCO DE DADOS:         
SINAPI - 05/2024-Paraiba 
ORSE - 0412024- Sergipe</t>
  </si>
  <si>
    <t>CONTRATAÇÃO DE UMA EMPRESA ESPECIALIZADA PARA CONSTRUÇÃO DE 01 (UM) CENTRO ESPECIALIZADO EM ATENÇÃO A SAÚDE MENTAL PARA ATENDER AS NECESSIDADES DA SECRETARIA MUNICIPAL DE SAÚDE EM COREMAS/PB</t>
  </si>
  <si>
    <t>A= 219,7901+ 83,0604+5,6913 = 308,5418x0,2 m²=61,7084 m²</t>
  </si>
  <si>
    <t>CONFORME A PLANTA DE ESQUADRIAS</t>
  </si>
  <si>
    <t>Quant: 11 unidades</t>
  </si>
  <si>
    <t xml:space="preserve">CONFORME O PROJETO ELETRICO </t>
  </si>
  <si>
    <t xml:space="preserve">TOTAL </t>
  </si>
  <si>
    <t>/</t>
  </si>
  <si>
    <t>X</t>
  </si>
  <si>
    <t>+</t>
  </si>
  <si>
    <t xml:space="preserve">RECREAÇÃO </t>
  </si>
  <si>
    <t xml:space="preserve">BANHEIRO </t>
  </si>
  <si>
    <t xml:space="preserve">SALA 07 </t>
  </si>
  <si>
    <t>BANHEIRO</t>
  </si>
  <si>
    <t>SALA 06</t>
  </si>
  <si>
    <t>SALA 05</t>
  </si>
  <si>
    <t>SALA 04</t>
  </si>
  <si>
    <t>SALA 03</t>
  </si>
  <si>
    <t>SALA 02</t>
  </si>
  <si>
    <t>SALA 01</t>
  </si>
  <si>
    <t>DISPENSA</t>
  </si>
  <si>
    <t>COPA</t>
  </si>
  <si>
    <t>CIRCULAÇÃO 02</t>
  </si>
  <si>
    <t xml:space="preserve">RECEPÇÃO </t>
  </si>
  <si>
    <t>CIRCULAÇÃO 01</t>
  </si>
  <si>
    <t>ESPERA</t>
  </si>
  <si>
    <t>BANHEIRO FEMININO</t>
  </si>
  <si>
    <t>BANHEIRO MASCULINO</t>
  </si>
  <si>
    <t>DIREÇÃO</t>
  </si>
  <si>
    <t>CTO. LIMPEZA</t>
  </si>
  <si>
    <t xml:space="preserve">LAVABO </t>
  </si>
  <si>
    <t xml:space="preserve">TOTAL DA APLICAÇÃO DO FUNDO SELADOR </t>
  </si>
  <si>
    <t>TOTAL MEDIDO NA MEDIÇÃO ANTERIOR</t>
  </si>
  <si>
    <t>TOTAL DA APLICAÇÃO DO FUNDO SELADOR NO TETO</t>
  </si>
  <si>
    <t>APLICAÇÃO DO FUNDO SELADOR NO TETO</t>
  </si>
  <si>
    <t xml:space="preserve">TOTAL GERAL DO FUNDO SELADOR NAS PAREDES </t>
  </si>
  <si>
    <t>TOTAL DO DESCONTO DAS ESQUADRIAS</t>
  </si>
  <si>
    <t>x</t>
  </si>
  <si>
    <t>J6</t>
  </si>
  <si>
    <t>J5</t>
  </si>
  <si>
    <t>J4</t>
  </si>
  <si>
    <t>J2</t>
  </si>
  <si>
    <t>J1</t>
  </si>
  <si>
    <t>P3</t>
  </si>
  <si>
    <t>P1</t>
  </si>
  <si>
    <t>DESCONTO DAS ESQUADRIAS</t>
  </si>
  <si>
    <t>TOTAL</t>
  </si>
  <si>
    <t>Fachada Lateral fundo</t>
  </si>
  <si>
    <t xml:space="preserve">Fachada Lateral direita </t>
  </si>
  <si>
    <t>Fachada Lateral Esquerda</t>
  </si>
  <si>
    <t xml:space="preserve">Fachada frontal </t>
  </si>
  <si>
    <t>TOTAL GERAL DA PINTURA INTERNA</t>
  </si>
  <si>
    <t>TOTAL DA PINTURA INTERNA COM O DESCONTO DAS ESQUADRIAS</t>
  </si>
  <si>
    <t>J3</t>
  </si>
  <si>
    <t>P2</t>
  </si>
  <si>
    <t>TOTAL DA PINTURA INTERNA</t>
  </si>
  <si>
    <t>PINTURA INTERNA</t>
  </si>
  <si>
    <t>TOTAL DA PINTURA EXTERNA COM O DESCONTO DAS ESQUADRIAS</t>
  </si>
  <si>
    <t>PINTURA EXTERNA</t>
  </si>
  <si>
    <t>TOTAL DA MASSA INTERNA COM O DESCONTO DAS ESQUADRIAS</t>
  </si>
  <si>
    <t>TOTAL DA MASSA INTERNA</t>
  </si>
  <si>
    <t>MASSA INTERNA</t>
  </si>
  <si>
    <t>MEDIDO No PERÍODO</t>
  </si>
  <si>
    <t>MEDIDO NA MEDIÇÃO ANTERIOR</t>
  </si>
  <si>
    <t>TOTAL GERAL</t>
  </si>
  <si>
    <t>CONFORME O PROJETO HIDRAÚLICO</t>
  </si>
  <si>
    <t xml:space="preserve">TOTAL DO REVESTIMENTO CERÂMICO </t>
  </si>
  <si>
    <t>REVESTIMENTO DO PISO</t>
  </si>
  <si>
    <t>REVESTIMENTO DA FACHADA</t>
  </si>
  <si>
    <t xml:space="preserve">REVESTIMENTO </t>
  </si>
  <si>
    <t xml:space="preserve">CALCULOS </t>
  </si>
  <si>
    <t xml:space="preserve">MEMORIAL DE CALCULO 08
</t>
  </si>
  <si>
    <t>REFERÊNCIA/PERÍODO DA MEDIÇÃO: 11/08/2025 A 11/09/2025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</si>
</sst>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\R\$\ #,##0.00"/>
    <numFmt numFmtId="166" formatCode="0.000000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Arial"/>
      <family val="1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name val="Arial MT"/>
    </font>
    <font>
      <sz val="10"/>
      <color rgb="FF000000"/>
      <name val="Arial MT"/>
      <family val="2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 MT"/>
    </font>
    <font>
      <sz val="10"/>
      <color rgb="FFFF0000"/>
      <name val="Arial MT"/>
      <family val="2"/>
    </font>
    <font>
      <sz val="10"/>
      <color rgb="FFFF0000"/>
      <name val="Arial"/>
      <family val="2"/>
    </font>
    <font>
      <sz val="10"/>
      <name val="Arial MT"/>
      <family val="2"/>
    </font>
    <font>
      <sz val="10"/>
      <name val="Calibri"/>
      <family val="2"/>
      <scheme val="minor"/>
    </font>
    <font>
      <b/>
      <sz val="10"/>
      <name val="Arial"/>
      <family val="1"/>
    </font>
    <font>
      <b/>
      <sz val="12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0"/>
      <name val="Arial"/>
      <family val="2"/>
    </font>
    <font>
      <sz val="10"/>
      <color rgb="FF000000"/>
      <name val="Arial"/>
      <family val="1"/>
    </font>
    <font>
      <sz val="12"/>
      <color rgb="FF000000"/>
      <name val="Arial"/>
      <family val="1"/>
    </font>
    <font>
      <sz val="11"/>
      <color rgb="FF000000"/>
      <name val="Arial"/>
      <family val="1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4" fontId="2" fillId="0" borderId="0" xfId="0" applyNumberFormat="1" applyFont="1"/>
    <xf numFmtId="10" fontId="2" fillId="0" borderId="0" xfId="0" applyNumberFormat="1" applyFont="1"/>
    <xf numFmtId="10" fontId="2" fillId="0" borderId="0" xfId="2" applyNumberFormat="1" applyFont="1"/>
    <xf numFmtId="164" fontId="2" fillId="0" borderId="0" xfId="0" applyNumberFormat="1" applyFont="1"/>
    <xf numFmtId="164" fontId="3" fillId="0" borderId="0" xfId="1" applyNumberFormat="1" applyFont="1"/>
    <xf numFmtId="0" fontId="2" fillId="0" borderId="0" xfId="0" applyFont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4" fontId="2" fillId="0" borderId="0" xfId="0" applyNumberFormat="1" applyFont="1" applyAlignment="1">
      <alignment horizontal="center" vertical="center"/>
    </xf>
    <xf numFmtId="0" fontId="4" fillId="2" borderId="7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 wrapText="1"/>
    </xf>
    <xf numFmtId="164" fontId="2" fillId="0" borderId="0" xfId="0" applyNumberFormat="1" applyFont="1" applyAlignment="1">
      <alignment horizontal="center" vertical="center"/>
    </xf>
    <xf numFmtId="10" fontId="5" fillId="3" borderId="10" xfId="2" applyNumberFormat="1" applyFont="1" applyFill="1" applyBorder="1" applyAlignment="1">
      <alignment horizontal="center" vertical="center"/>
    </xf>
    <xf numFmtId="164" fontId="6" fillId="3" borderId="11" xfId="0" applyNumberFormat="1" applyFont="1" applyFill="1" applyBorder="1" applyAlignment="1">
      <alignment horizontal="center" vertical="center" wrapText="1"/>
    </xf>
    <xf numFmtId="43" fontId="5" fillId="3" borderId="10" xfId="1" applyFont="1" applyFill="1" applyBorder="1" applyAlignment="1">
      <alignment horizontal="center" vertical="center" wrapText="1"/>
    </xf>
    <xf numFmtId="4" fontId="7" fillId="3" borderId="1" xfId="0" applyNumberFormat="1" applyFont="1" applyFill="1" applyBorder="1" applyAlignment="1">
      <alignment horizontal="center" vertical="center" wrapText="1"/>
    </xf>
    <xf numFmtId="10" fontId="7" fillId="3" borderId="1" xfId="0" applyNumberFormat="1" applyFont="1" applyFill="1" applyBorder="1" applyAlignment="1">
      <alignment horizontal="center" vertical="center" wrapText="1"/>
    </xf>
    <xf numFmtId="4" fontId="6" fillId="3" borderId="11" xfId="0" applyNumberFormat="1" applyFont="1" applyFill="1" applyBorder="1" applyAlignment="1">
      <alignment horizontal="center" vertical="center" wrapText="1"/>
    </xf>
    <xf numFmtId="43" fontId="5" fillId="3" borderId="10" xfId="1" applyFont="1" applyFill="1" applyBorder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 wrapText="1"/>
    </xf>
    <xf numFmtId="43" fontId="8" fillId="3" borderId="1" xfId="1" applyFont="1" applyFill="1" applyBorder="1" applyAlignment="1"/>
    <xf numFmtId="164" fontId="9" fillId="3" borderId="12" xfId="0" applyNumberFormat="1" applyFont="1" applyFill="1" applyBorder="1" applyAlignment="1">
      <alignment horizontal="right" vertical="center" wrapText="1"/>
    </xf>
    <xf numFmtId="0" fontId="9" fillId="3" borderId="13" xfId="0" applyFont="1" applyFill="1" applyBorder="1" applyAlignment="1">
      <alignment horizontal="right" vertical="center" wrapText="1"/>
    </xf>
    <xf numFmtId="0" fontId="9" fillId="3" borderId="0" xfId="0" applyFont="1" applyFill="1" applyAlignment="1">
      <alignment horizontal="right" vertical="center" wrapText="1"/>
    </xf>
    <xf numFmtId="164" fontId="2" fillId="3" borderId="1" xfId="0" applyNumberFormat="1" applyFont="1" applyFill="1" applyBorder="1"/>
    <xf numFmtId="0" fontId="2" fillId="3" borderId="1" xfId="0" applyFont="1" applyFill="1" applyBorder="1"/>
    <xf numFmtId="4" fontId="2" fillId="3" borderId="1" xfId="0" applyNumberFormat="1" applyFont="1" applyFill="1" applyBorder="1"/>
    <xf numFmtId="10" fontId="2" fillId="3" borderId="1" xfId="0" applyNumberFormat="1" applyFont="1" applyFill="1" applyBorder="1"/>
    <xf numFmtId="44" fontId="9" fillId="3" borderId="14" xfId="0" applyNumberFormat="1" applyFont="1" applyFill="1" applyBorder="1" applyAlignment="1">
      <alignment horizontal="center" vertical="center" wrapText="1"/>
    </xf>
    <xf numFmtId="44" fontId="9" fillId="3" borderId="15" xfId="0" applyNumberFormat="1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right" vertical="center" wrapText="1"/>
    </xf>
    <xf numFmtId="0" fontId="9" fillId="3" borderId="11" xfId="0" applyFont="1" applyFill="1" applyBorder="1" applyAlignment="1">
      <alignment horizontal="right" vertical="center" wrapText="1"/>
    </xf>
    <xf numFmtId="10" fontId="9" fillId="0" borderId="1" xfId="2" applyNumberFormat="1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right" vertical="center" wrapText="1"/>
    </xf>
    <xf numFmtId="4" fontId="10" fillId="0" borderId="1" xfId="0" applyNumberFormat="1" applyFont="1" applyBorder="1" applyAlignment="1">
      <alignment horizontal="right" vertical="center" wrapText="1"/>
    </xf>
    <xf numFmtId="9" fontId="10" fillId="0" borderId="1" xfId="2" applyFont="1" applyFill="1" applyBorder="1" applyAlignment="1" applyProtection="1">
      <alignment horizontal="right" vertical="center" wrapText="1"/>
    </xf>
    <xf numFmtId="10" fontId="10" fillId="0" borderId="1" xfId="0" applyNumberFormat="1" applyFont="1" applyBorder="1" applyAlignment="1">
      <alignment horizontal="right" vertical="center" wrapText="1"/>
    </xf>
    <xf numFmtId="4" fontId="9" fillId="0" borderId="1" xfId="0" applyNumberFormat="1" applyFont="1" applyBorder="1" applyAlignment="1">
      <alignment horizontal="right" vertical="center" wrapText="1"/>
    </xf>
    <xf numFmtId="10" fontId="10" fillId="0" borderId="1" xfId="2" applyNumberFormat="1" applyFont="1" applyFill="1" applyBorder="1" applyAlignment="1" applyProtection="1">
      <alignment horizontal="right" vertical="center" wrapText="1"/>
    </xf>
    <xf numFmtId="9" fontId="9" fillId="0" borderId="1" xfId="2" applyFont="1" applyFill="1" applyBorder="1" applyAlignment="1" applyProtection="1">
      <alignment horizontal="right" vertical="center" wrapText="1"/>
    </xf>
    <xf numFmtId="164" fontId="9" fillId="0" borderId="1" xfId="0" applyNumberFormat="1" applyFont="1" applyBorder="1" applyAlignment="1">
      <alignment horizontal="right" vertical="center" wrapText="1"/>
    </xf>
    <xf numFmtId="164" fontId="2" fillId="0" borderId="1" xfId="0" applyNumberFormat="1" applyFont="1" applyBorder="1"/>
    <xf numFmtId="0" fontId="2" fillId="0" borderId="1" xfId="0" applyFont="1" applyBorder="1"/>
    <xf numFmtId="44" fontId="11" fillId="0" borderId="17" xfId="0" applyNumberFormat="1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2" fontId="12" fillId="0" borderId="17" xfId="0" applyNumberFormat="1" applyFont="1" applyBorder="1" applyAlignment="1">
      <alignment horizontal="center" vertical="center" shrinkToFit="1"/>
    </xf>
    <xf numFmtId="0" fontId="13" fillId="0" borderId="18" xfId="0" applyFont="1" applyBorder="1" applyAlignment="1">
      <alignment vertical="center" wrapText="1"/>
    </xf>
    <xf numFmtId="1" fontId="12" fillId="0" borderId="17" xfId="0" applyNumberFormat="1" applyFont="1" applyBorder="1" applyAlignment="1">
      <alignment horizontal="center" vertical="center" shrinkToFit="1"/>
    </xf>
    <xf numFmtId="0" fontId="14" fillId="0" borderId="17" xfId="0" applyFont="1" applyBorder="1" applyAlignment="1">
      <alignment horizontal="left" vertical="center" wrapText="1"/>
    </xf>
    <xf numFmtId="164" fontId="9" fillId="3" borderId="18" xfId="0" applyNumberFormat="1" applyFont="1" applyFill="1" applyBorder="1" applyAlignment="1">
      <alignment horizontal="right" vertical="center" wrapText="1"/>
    </xf>
    <xf numFmtId="0" fontId="9" fillId="3" borderId="17" xfId="0" applyFont="1" applyFill="1" applyBorder="1" applyAlignment="1">
      <alignment horizontal="left" vertical="center" wrapText="1"/>
    </xf>
    <xf numFmtId="0" fontId="9" fillId="3" borderId="17" xfId="0" applyFont="1" applyFill="1" applyBorder="1" applyAlignment="1">
      <alignment horizontal="left" vertical="center" wrapText="1"/>
    </xf>
    <xf numFmtId="9" fontId="15" fillId="4" borderId="1" xfId="2" applyFont="1" applyFill="1" applyBorder="1" applyAlignment="1" applyProtection="1">
      <alignment horizontal="right" vertical="center" wrapText="1"/>
    </xf>
    <xf numFmtId="4" fontId="9" fillId="5" borderId="1" xfId="0" applyNumberFormat="1" applyFont="1" applyFill="1" applyBorder="1" applyAlignment="1">
      <alignment horizontal="right" vertical="center" wrapText="1"/>
    </xf>
    <xf numFmtId="10" fontId="9" fillId="0" borderId="1" xfId="2" applyNumberFormat="1" applyFont="1" applyFill="1" applyBorder="1" applyAlignment="1" applyProtection="1">
      <alignment horizontal="right" vertical="center" wrapText="1"/>
    </xf>
    <xf numFmtId="44" fontId="11" fillId="0" borderId="1" xfId="0" applyNumberFormat="1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2" fontId="12" fillId="0" borderId="19" xfId="0" applyNumberFormat="1" applyFont="1" applyBorder="1" applyAlignment="1">
      <alignment horizontal="center" vertical="center" shrinkToFit="1"/>
    </xf>
    <xf numFmtId="0" fontId="14" fillId="0" borderId="20" xfId="0" applyFont="1" applyBorder="1" applyAlignment="1">
      <alignment vertical="center" wrapText="1"/>
    </xf>
    <xf numFmtId="0" fontId="14" fillId="0" borderId="19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shrinkToFit="1"/>
    </xf>
    <xf numFmtId="0" fontId="14" fillId="0" borderId="1" xfId="0" applyFont="1" applyBorder="1" applyAlignment="1">
      <alignment vertical="center" wrapText="1"/>
    </xf>
    <xf numFmtId="1" fontId="12" fillId="0" borderId="1" xfId="0" applyNumberFormat="1" applyFont="1" applyBorder="1" applyAlignment="1">
      <alignment horizontal="center" vertical="center" shrinkToFit="1"/>
    </xf>
    <xf numFmtId="0" fontId="11" fillId="0" borderId="21" xfId="0" applyFont="1" applyBorder="1" applyAlignment="1">
      <alignment horizontal="center" vertical="center" wrapText="1"/>
    </xf>
    <xf numFmtId="2" fontId="12" fillId="0" borderId="21" xfId="0" applyNumberFormat="1" applyFont="1" applyBorder="1" applyAlignment="1">
      <alignment horizontal="center" vertical="center" shrinkToFit="1"/>
    </xf>
    <xf numFmtId="0" fontId="11" fillId="0" borderId="16" xfId="0" applyFont="1" applyBorder="1" applyAlignment="1">
      <alignment horizontal="center" vertical="center" wrapText="1"/>
    </xf>
    <xf numFmtId="0" fontId="14" fillId="0" borderId="10" xfId="0" applyFont="1" applyBorder="1" applyAlignment="1">
      <alignment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1" fontId="12" fillId="0" borderId="18" xfId="0" applyNumberFormat="1" applyFont="1" applyBorder="1" applyAlignment="1">
      <alignment horizontal="center" vertical="center" shrinkToFit="1"/>
    </xf>
    <xf numFmtId="2" fontId="11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 shrinkToFi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2" fontId="12" fillId="0" borderId="23" xfId="0" applyNumberFormat="1" applyFont="1" applyBorder="1" applyAlignment="1">
      <alignment horizontal="center" vertical="center" shrinkToFit="1"/>
    </xf>
    <xf numFmtId="0" fontId="14" fillId="0" borderId="24" xfId="0" applyFont="1" applyBorder="1" applyAlignment="1">
      <alignment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12" xfId="0" applyFont="1" applyBorder="1" applyAlignment="1">
      <alignment vertical="center" wrapText="1"/>
    </xf>
    <xf numFmtId="1" fontId="12" fillId="0" borderId="21" xfId="0" applyNumberFormat="1" applyFont="1" applyBorder="1" applyAlignment="1">
      <alignment horizontal="center" vertical="center" shrinkToFit="1"/>
    </xf>
    <xf numFmtId="0" fontId="14" fillId="0" borderId="18" xfId="0" applyFont="1" applyBorder="1" applyAlignment="1">
      <alignment vertical="center" wrapText="1"/>
    </xf>
    <xf numFmtId="10" fontId="9" fillId="0" borderId="1" xfId="2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top" wrapText="1"/>
    </xf>
    <xf numFmtId="4" fontId="10" fillId="6" borderId="1" xfId="0" applyNumberFormat="1" applyFont="1" applyFill="1" applyBorder="1" applyAlignment="1">
      <alignment horizontal="right" vertical="center" wrapText="1"/>
    </xf>
    <xf numFmtId="4" fontId="10" fillId="7" borderId="1" xfId="0" applyNumberFormat="1" applyFont="1" applyFill="1" applyBorder="1" applyAlignment="1">
      <alignment horizontal="right" vertical="center" wrapText="1"/>
    </xf>
    <xf numFmtId="10" fontId="10" fillId="6" borderId="1" xfId="2" applyNumberFormat="1" applyFont="1" applyFill="1" applyBorder="1" applyAlignment="1" applyProtection="1">
      <alignment horizontal="right" vertical="center" wrapText="1"/>
    </xf>
    <xf numFmtId="4" fontId="10" fillId="5" borderId="1" xfId="0" applyNumberFormat="1" applyFont="1" applyFill="1" applyBorder="1" applyAlignment="1">
      <alignment horizontal="right" vertical="center" wrapText="1"/>
    </xf>
    <xf numFmtId="0" fontId="14" fillId="0" borderId="12" xfId="0" applyFont="1" applyBorder="1" applyAlignment="1">
      <alignment vertical="top" wrapText="1"/>
    </xf>
    <xf numFmtId="0" fontId="16" fillId="0" borderId="17" xfId="0" applyFont="1" applyBorder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10" fontId="17" fillId="0" borderId="1" xfId="2" applyNumberFormat="1" applyFont="1" applyBorder="1" applyAlignment="1">
      <alignment horizontal="center" vertical="center" wrapText="1"/>
    </xf>
    <xf numFmtId="4" fontId="17" fillId="0" borderId="1" xfId="0" applyNumberFormat="1" applyFont="1" applyBorder="1" applyAlignment="1">
      <alignment horizontal="right" vertical="center" wrapText="1"/>
    </xf>
    <xf numFmtId="164" fontId="17" fillId="0" borderId="1" xfId="0" applyNumberFormat="1" applyFont="1" applyBorder="1" applyAlignment="1">
      <alignment horizontal="right" vertical="center" wrapText="1"/>
    </xf>
    <xf numFmtId="2" fontId="17" fillId="0" borderId="1" xfId="1" applyNumberFormat="1" applyFont="1" applyFill="1" applyBorder="1" applyAlignment="1" applyProtection="1">
      <alignment horizontal="right" vertical="center" wrapText="1"/>
    </xf>
    <xf numFmtId="9" fontId="17" fillId="0" borderId="1" xfId="2" applyFont="1" applyFill="1" applyBorder="1" applyAlignment="1" applyProtection="1">
      <alignment horizontal="right" vertical="center" wrapText="1"/>
    </xf>
    <xf numFmtId="9" fontId="3" fillId="0" borderId="1" xfId="2" applyFont="1" applyBorder="1"/>
    <xf numFmtId="44" fontId="18" fillId="0" borderId="1" xfId="0" applyNumberFormat="1" applyFont="1" applyBorder="1" applyAlignment="1">
      <alignment horizontal="center" vertical="center" wrapText="1"/>
    </xf>
    <xf numFmtId="2" fontId="19" fillId="0" borderId="17" xfId="0" applyNumberFormat="1" applyFont="1" applyBorder="1" applyAlignment="1">
      <alignment horizontal="center" vertical="center" shrinkToFit="1"/>
    </xf>
    <xf numFmtId="0" fontId="18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vertical="center" wrapText="1"/>
    </xf>
    <xf numFmtId="0" fontId="20" fillId="0" borderId="17" xfId="0" applyFont="1" applyBorder="1" applyAlignment="1">
      <alignment horizontal="left" vertical="center" wrapText="1"/>
    </xf>
    <xf numFmtId="2" fontId="19" fillId="0" borderId="19" xfId="0" applyNumberFormat="1" applyFont="1" applyBorder="1" applyAlignment="1">
      <alignment horizontal="center" vertical="center" shrinkToFit="1"/>
    </xf>
    <xf numFmtId="0" fontId="18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vertical="center" wrapText="1"/>
    </xf>
    <xf numFmtId="1" fontId="19" fillId="0" borderId="19" xfId="0" applyNumberFormat="1" applyFont="1" applyBorder="1" applyAlignment="1">
      <alignment horizontal="center" vertical="center" shrinkToFit="1"/>
    </xf>
    <xf numFmtId="164" fontId="15" fillId="3" borderId="1" xfId="0" applyNumberFormat="1" applyFont="1" applyFill="1" applyBorder="1"/>
    <xf numFmtId="0" fontId="8" fillId="3" borderId="1" xfId="0" applyFont="1" applyFill="1" applyBorder="1"/>
    <xf numFmtId="4" fontId="8" fillId="3" borderId="1" xfId="0" applyNumberFormat="1" applyFont="1" applyFill="1" applyBorder="1"/>
    <xf numFmtId="10" fontId="8" fillId="3" borderId="1" xfId="0" applyNumberFormat="1" applyFont="1" applyFill="1" applyBorder="1"/>
    <xf numFmtId="9" fontId="2" fillId="0" borderId="1" xfId="0" applyNumberFormat="1" applyFont="1" applyBorder="1"/>
    <xf numFmtId="164" fontId="17" fillId="5" borderId="1" xfId="0" applyNumberFormat="1" applyFont="1" applyFill="1" applyBorder="1" applyAlignment="1">
      <alignment horizontal="right" vertical="center" wrapText="1"/>
    </xf>
    <xf numFmtId="4" fontId="17" fillId="5" borderId="1" xfId="0" applyNumberFormat="1" applyFont="1" applyFill="1" applyBorder="1" applyAlignment="1">
      <alignment horizontal="right" vertical="center" wrapText="1"/>
    </xf>
    <xf numFmtId="9" fontId="17" fillId="5" borderId="1" xfId="2" applyFont="1" applyFill="1" applyBorder="1" applyAlignment="1" applyProtection="1">
      <alignment horizontal="right" vertical="center" wrapText="1"/>
    </xf>
    <xf numFmtId="0" fontId="16" fillId="0" borderId="1" xfId="0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shrinkToFit="1"/>
    </xf>
    <xf numFmtId="0" fontId="14" fillId="0" borderId="25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1" fontId="12" fillId="0" borderId="27" xfId="0" applyNumberFormat="1" applyFont="1" applyBorder="1" applyAlignment="1">
      <alignment horizontal="center" vertical="center" shrinkToFit="1"/>
    </xf>
    <xf numFmtId="2" fontId="2" fillId="0" borderId="0" xfId="0" applyNumberFormat="1" applyFont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 wrapText="1"/>
    </xf>
    <xf numFmtId="0" fontId="22" fillId="0" borderId="1" xfId="0" applyFont="1" applyBorder="1"/>
    <xf numFmtId="44" fontId="11" fillId="0" borderId="21" xfId="0" applyNumberFormat="1" applyFont="1" applyBorder="1" applyAlignment="1">
      <alignment horizontal="center" vertical="center" wrapText="1"/>
    </xf>
    <xf numFmtId="2" fontId="21" fillId="0" borderId="21" xfId="0" applyNumberFormat="1" applyFont="1" applyBorder="1" applyAlignment="1">
      <alignment horizontal="center" vertical="center" shrinkToFit="1"/>
    </xf>
    <xf numFmtId="0" fontId="21" fillId="0" borderId="21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left" vertical="center" wrapText="1"/>
    </xf>
    <xf numFmtId="0" fontId="15" fillId="3" borderId="1" xfId="0" applyFont="1" applyFill="1" applyBorder="1"/>
    <xf numFmtId="0" fontId="15" fillId="3" borderId="29" xfId="0" applyFont="1" applyFill="1" applyBorder="1" applyAlignment="1">
      <alignment horizontal="center"/>
    </xf>
    <xf numFmtId="0" fontId="15" fillId="3" borderId="30" xfId="0" applyFont="1" applyFill="1" applyBorder="1" applyAlignment="1">
      <alignment horizontal="center"/>
    </xf>
    <xf numFmtId="0" fontId="15" fillId="3" borderId="28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165" fontId="9" fillId="3" borderId="18" xfId="0" applyNumberFormat="1" applyFont="1" applyFill="1" applyBorder="1" applyAlignment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4" fontId="9" fillId="3" borderId="1" xfId="0" applyNumberFormat="1" applyFont="1" applyFill="1" applyBorder="1" applyAlignment="1">
      <alignment horizontal="center" vertical="center" wrapText="1"/>
    </xf>
    <xf numFmtId="10" fontId="9" fillId="3" borderId="1" xfId="0" applyNumberFormat="1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top" wrapText="1"/>
    </xf>
    <xf numFmtId="0" fontId="23" fillId="0" borderId="30" xfId="0" applyFont="1" applyBorder="1" applyAlignment="1">
      <alignment horizontal="center" vertical="top" wrapText="1"/>
    </xf>
    <xf numFmtId="10" fontId="23" fillId="0" borderId="30" xfId="0" applyNumberFormat="1" applyFont="1" applyBorder="1" applyAlignment="1">
      <alignment horizontal="center" vertical="top" wrapText="1"/>
    </xf>
    <xf numFmtId="0" fontId="23" fillId="0" borderId="30" xfId="0" applyFont="1" applyBorder="1" applyAlignment="1">
      <alignment horizontal="center" vertical="top" wrapText="1"/>
    </xf>
    <xf numFmtId="0" fontId="23" fillId="0" borderId="28" xfId="0" applyFont="1" applyBorder="1" applyAlignment="1">
      <alignment vertical="top" wrapText="1"/>
    </xf>
    <xf numFmtId="0" fontId="23" fillId="0" borderId="29" xfId="0" applyFont="1" applyBorder="1" applyAlignment="1">
      <alignment horizontal="center" vertical="top" wrapText="1"/>
    </xf>
    <xf numFmtId="0" fontId="23" fillId="0" borderId="28" xfId="0" applyFont="1" applyBorder="1" applyAlignment="1">
      <alignment horizontal="center" vertical="top" wrapText="1"/>
    </xf>
    <xf numFmtId="0" fontId="10" fillId="0" borderId="29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4" fontId="24" fillId="0" borderId="28" xfId="0" applyNumberFormat="1" applyFont="1" applyBorder="1" applyAlignment="1">
      <alignment vertical="center" wrapText="1"/>
    </xf>
    <xf numFmtId="4" fontId="24" fillId="0" borderId="29" xfId="0" applyNumberFormat="1" applyFont="1" applyBorder="1" applyAlignment="1">
      <alignment horizontal="center" vertical="center" wrapText="1"/>
    </xf>
    <xf numFmtId="4" fontId="24" fillId="0" borderId="28" xfId="0" applyNumberFormat="1" applyFont="1" applyBorder="1" applyAlignment="1">
      <alignment horizontal="center" vertical="center" wrapText="1"/>
    </xf>
    <xf numFmtId="0" fontId="24" fillId="0" borderId="29" xfId="0" applyFont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164" fontId="24" fillId="0" borderId="28" xfId="0" applyNumberFormat="1" applyFont="1" applyBorder="1" applyAlignment="1">
      <alignment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10" fontId="10" fillId="0" borderId="2" xfId="0" applyNumberFormat="1" applyFont="1" applyBorder="1" applyAlignment="1">
      <alignment horizontal="center" vertical="center"/>
    </xf>
    <xf numFmtId="10" fontId="10" fillId="0" borderId="3" xfId="0" applyNumberFormat="1" applyFont="1" applyBorder="1" applyAlignment="1">
      <alignment horizontal="center" vertical="center"/>
    </xf>
    <xf numFmtId="10" fontId="10" fillId="0" borderId="4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23" fillId="2" borderId="1" xfId="0" applyFont="1" applyFill="1" applyBorder="1" applyAlignment="1">
      <alignment horizontal="left" vertical="center" wrapText="1"/>
    </xf>
    <xf numFmtId="10" fontId="10" fillId="0" borderId="7" xfId="0" applyNumberFormat="1" applyFont="1" applyBorder="1" applyAlignment="1">
      <alignment horizontal="center" vertical="center"/>
    </xf>
    <xf numFmtId="10" fontId="10" fillId="0" borderId="8" xfId="0" applyNumberFormat="1" applyFont="1" applyBorder="1" applyAlignment="1">
      <alignment horizontal="center" vertical="center"/>
    </xf>
    <xf numFmtId="10" fontId="10" fillId="0" borderId="9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vertical="top" wrapText="1"/>
    </xf>
    <xf numFmtId="0" fontId="25" fillId="6" borderId="0" xfId="0" applyFont="1" applyFill="1"/>
    <xf numFmtId="0" fontId="25" fillId="6" borderId="0" xfId="0" applyFont="1" applyFill="1" applyAlignment="1">
      <alignment horizontal="center" vertical="center"/>
    </xf>
    <xf numFmtId="164" fontId="25" fillId="6" borderId="0" xfId="0" applyNumberFormat="1" applyFont="1" applyFill="1"/>
    <xf numFmtId="10" fontId="25" fillId="6" borderId="0" xfId="2" applyNumberFormat="1" applyFont="1" applyFill="1"/>
    <xf numFmtId="0" fontId="25" fillId="6" borderId="0" xfId="0" applyFont="1" applyFill="1" applyAlignment="1">
      <alignment wrapText="1"/>
    </xf>
    <xf numFmtId="4" fontId="25" fillId="6" borderId="0" xfId="0" applyNumberFormat="1" applyFont="1" applyFill="1"/>
    <xf numFmtId="0" fontId="26" fillId="6" borderId="1" xfId="0" applyFont="1" applyFill="1" applyBorder="1" applyAlignment="1">
      <alignment horizontal="center" wrapText="1"/>
    </xf>
    <xf numFmtId="0" fontId="26" fillId="6" borderId="2" xfId="0" applyFont="1" applyFill="1" applyBorder="1" applyAlignment="1">
      <alignment horizontal="center" wrapText="1"/>
    </xf>
    <xf numFmtId="0" fontId="26" fillId="6" borderId="3" xfId="0" applyFont="1" applyFill="1" applyBorder="1" applyAlignment="1">
      <alignment horizontal="center" wrapText="1"/>
    </xf>
    <xf numFmtId="0" fontId="26" fillId="6" borderId="4" xfId="0" applyFont="1" applyFill="1" applyBorder="1" applyAlignment="1">
      <alignment horizontal="center" wrapText="1"/>
    </xf>
    <xf numFmtId="0" fontId="26" fillId="6" borderId="5" xfId="0" applyFont="1" applyFill="1" applyBorder="1" applyAlignment="1">
      <alignment horizontal="center" wrapText="1"/>
    </xf>
    <xf numFmtId="0" fontId="26" fillId="6" borderId="0" xfId="0" applyFont="1" applyFill="1" applyAlignment="1">
      <alignment horizontal="center" wrapText="1"/>
    </xf>
    <xf numFmtId="0" fontId="26" fillId="6" borderId="6" xfId="0" applyFont="1" applyFill="1" applyBorder="1" applyAlignment="1">
      <alignment horizontal="center" wrapText="1"/>
    </xf>
    <xf numFmtId="0" fontId="26" fillId="6" borderId="7" xfId="0" applyFont="1" applyFill="1" applyBorder="1" applyAlignment="1">
      <alignment horizontal="center" wrapText="1"/>
    </xf>
    <xf numFmtId="0" fontId="26" fillId="6" borderId="8" xfId="0" applyFont="1" applyFill="1" applyBorder="1" applyAlignment="1">
      <alignment horizontal="center" wrapText="1"/>
    </xf>
    <xf numFmtId="0" fontId="26" fillId="6" borderId="9" xfId="0" applyFont="1" applyFill="1" applyBorder="1" applyAlignment="1">
      <alignment horizontal="center" wrapText="1"/>
    </xf>
    <xf numFmtId="164" fontId="27" fillId="6" borderId="1" xfId="0" applyNumberFormat="1" applyFont="1" applyFill="1" applyBorder="1" applyAlignment="1">
      <alignment horizontal="right" vertical="center" wrapText="1"/>
    </xf>
    <xf numFmtId="4" fontId="27" fillId="6" borderId="1" xfId="0" applyNumberFormat="1" applyFont="1" applyFill="1" applyBorder="1" applyAlignment="1">
      <alignment horizontal="right" vertical="center" wrapText="1"/>
    </xf>
    <xf numFmtId="9" fontId="28" fillId="6" borderId="1" xfId="2" applyFont="1" applyFill="1" applyBorder="1" applyAlignment="1" applyProtection="1">
      <alignment horizontal="right" vertical="center" wrapText="1"/>
    </xf>
    <xf numFmtId="164" fontId="28" fillId="6" borderId="1" xfId="0" applyNumberFormat="1" applyFont="1" applyFill="1" applyBorder="1" applyAlignment="1">
      <alignment horizontal="right" vertical="center" wrapText="1"/>
    </xf>
    <xf numFmtId="4" fontId="28" fillId="6" borderId="1" xfId="0" applyNumberFormat="1" applyFont="1" applyFill="1" applyBorder="1" applyAlignment="1">
      <alignment horizontal="right" vertical="center" wrapText="1"/>
    </xf>
    <xf numFmtId="164" fontId="25" fillId="6" borderId="1" xfId="0" applyNumberFormat="1" applyFont="1" applyFill="1" applyBorder="1"/>
    <xf numFmtId="0" fontId="25" fillId="6" borderId="1" xfId="0" applyFont="1" applyFill="1" applyBorder="1"/>
    <xf numFmtId="0" fontId="26" fillId="6" borderId="1" xfId="0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vertical="center" wrapText="1"/>
    </xf>
    <xf numFmtId="1" fontId="29" fillId="6" borderId="1" xfId="0" applyNumberFormat="1" applyFont="1" applyFill="1" applyBorder="1" applyAlignment="1">
      <alignment horizontal="center" vertical="center" shrinkToFit="1"/>
    </xf>
    <xf numFmtId="0" fontId="29" fillId="6" borderId="1" xfId="0" applyFont="1" applyFill="1" applyBorder="1" applyAlignment="1">
      <alignment horizontal="left" vertical="center" wrapText="1"/>
    </xf>
    <xf numFmtId="0" fontId="28" fillId="6" borderId="1" xfId="0" applyFont="1" applyFill="1" applyBorder="1" applyAlignment="1">
      <alignment horizontal="left" vertical="center" wrapText="1"/>
    </xf>
    <xf numFmtId="0" fontId="28" fillId="6" borderId="1" xfId="0" applyFont="1" applyFill="1" applyBorder="1" applyAlignment="1">
      <alignment horizontal="left" vertical="center" wrapText="1"/>
    </xf>
    <xf numFmtId="10" fontId="28" fillId="6" borderId="1" xfId="2" applyNumberFormat="1" applyFont="1" applyFill="1" applyBorder="1" applyAlignment="1" applyProtection="1">
      <alignment horizontal="right" vertical="center" wrapText="1"/>
    </xf>
    <xf numFmtId="0" fontId="30" fillId="6" borderId="1" xfId="0" applyFont="1" applyFill="1" applyBorder="1" applyAlignment="1">
      <alignment horizontal="left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 shrinkToFit="1"/>
    </xf>
    <xf numFmtId="0" fontId="9" fillId="6" borderId="1" xfId="0" applyFont="1" applyFill="1" applyBorder="1" applyAlignment="1">
      <alignment horizontal="center" vertical="center" wrapText="1"/>
    </xf>
    <xf numFmtId="164" fontId="14" fillId="6" borderId="1" xfId="0" applyNumberFormat="1" applyFont="1" applyFill="1" applyBorder="1" applyAlignment="1">
      <alignment horizontal="center" vertical="center" wrapText="1"/>
    </xf>
    <xf numFmtId="0" fontId="9" fillId="6" borderId="29" xfId="0" applyFont="1" applyFill="1" applyBorder="1" applyAlignment="1">
      <alignment horizontal="right" vertical="center" wrapText="1"/>
    </xf>
    <xf numFmtId="0" fontId="9" fillId="6" borderId="30" xfId="0" applyFont="1" applyFill="1" applyBorder="1" applyAlignment="1">
      <alignment horizontal="right" vertical="center" wrapText="1"/>
    </xf>
    <xf numFmtId="0" fontId="9" fillId="6" borderId="28" xfId="0" applyFont="1" applyFill="1" applyBorder="1" applyAlignment="1">
      <alignment horizontal="right" vertical="center" wrapText="1"/>
    </xf>
    <xf numFmtId="0" fontId="31" fillId="6" borderId="1" xfId="0" applyFont="1" applyFill="1" applyBorder="1" applyAlignment="1">
      <alignment horizontal="right" vertical="center" wrapText="1"/>
    </xf>
    <xf numFmtId="0" fontId="14" fillId="6" borderId="1" xfId="2" applyNumberFormat="1" applyFont="1" applyFill="1" applyBorder="1" applyAlignment="1">
      <alignment horizontal="center" vertical="center" wrapText="1"/>
    </xf>
    <xf numFmtId="164" fontId="9" fillId="6" borderId="1" xfId="0" applyNumberFormat="1" applyFont="1" applyFill="1" applyBorder="1" applyAlignment="1">
      <alignment horizontal="center" vertical="center" wrapText="1"/>
    </xf>
    <xf numFmtId="4" fontId="9" fillId="6" borderId="1" xfId="0" applyNumberFormat="1" applyFont="1" applyFill="1" applyBorder="1" applyAlignment="1">
      <alignment horizontal="right" vertical="center" wrapText="1"/>
    </xf>
    <xf numFmtId="9" fontId="15" fillId="6" borderId="1" xfId="2" applyFont="1" applyFill="1" applyBorder="1" applyAlignment="1" applyProtection="1">
      <alignment horizontal="right" vertical="center" wrapText="1"/>
    </xf>
    <xf numFmtId="164" fontId="10" fillId="6" borderId="1" xfId="0" applyNumberFormat="1" applyFont="1" applyFill="1" applyBorder="1" applyAlignment="1">
      <alignment horizontal="right" vertical="center" wrapText="1"/>
    </xf>
    <xf numFmtId="9" fontId="9" fillId="6" borderId="1" xfId="2" applyFont="1" applyFill="1" applyBorder="1" applyAlignment="1" applyProtection="1">
      <alignment horizontal="right" vertical="center" wrapText="1"/>
    </xf>
    <xf numFmtId="164" fontId="9" fillId="6" borderId="1" xfId="0" applyNumberFormat="1" applyFont="1" applyFill="1" applyBorder="1" applyAlignment="1">
      <alignment horizontal="right" vertical="center" wrapText="1"/>
    </xf>
    <xf numFmtId="43" fontId="31" fillId="6" borderId="1" xfId="1" applyFont="1" applyFill="1" applyBorder="1" applyAlignment="1">
      <alignment horizontal="center" vertical="center" wrapText="1"/>
    </xf>
    <xf numFmtId="0" fontId="10" fillId="6" borderId="1" xfId="2" applyNumberFormat="1" applyFont="1" applyFill="1" applyBorder="1" applyAlignment="1" applyProtection="1">
      <alignment horizontal="right" vertical="center" wrapText="1"/>
    </xf>
    <xf numFmtId="0" fontId="2" fillId="6" borderId="1" xfId="0" applyFont="1" applyFill="1" applyBorder="1" applyAlignment="1">
      <alignment horizontal="center"/>
    </xf>
    <xf numFmtId="43" fontId="11" fillId="6" borderId="29" xfId="1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/>
    <xf numFmtId="43" fontId="31" fillId="6" borderId="1" xfId="1" applyFont="1" applyFill="1" applyBorder="1" applyAlignment="1">
      <alignment horizontal="right" vertical="center" wrapText="1"/>
    </xf>
    <xf numFmtId="4" fontId="10" fillId="6" borderId="1" xfId="0" applyNumberFormat="1" applyFont="1" applyFill="1" applyBorder="1" applyAlignment="1">
      <alignment vertical="center" wrapText="1"/>
    </xf>
    <xf numFmtId="10" fontId="10" fillId="6" borderId="1" xfId="2" applyNumberFormat="1" applyFont="1" applyFill="1" applyBorder="1" applyAlignment="1" applyProtection="1">
      <alignment horizontal="center" vertical="center" wrapText="1"/>
    </xf>
    <xf numFmtId="164" fontId="10" fillId="6" borderId="1" xfId="0" applyNumberFormat="1" applyFont="1" applyFill="1" applyBorder="1" applyAlignment="1">
      <alignment horizontal="center" vertical="center" wrapText="1"/>
    </xf>
    <xf numFmtId="4" fontId="10" fillId="6" borderId="1" xfId="0" applyNumberFormat="1" applyFont="1" applyFill="1" applyBorder="1" applyAlignment="1">
      <alignment horizontal="center" vertical="center" wrapText="1"/>
    </xf>
    <xf numFmtId="9" fontId="9" fillId="6" borderId="1" xfId="2" applyFont="1" applyFill="1" applyBorder="1" applyAlignment="1" applyProtection="1">
      <alignment horizontal="center" vertical="center" wrapText="1"/>
    </xf>
    <xf numFmtId="4" fontId="9" fillId="6" borderId="1" xfId="0" applyNumberFormat="1" applyFont="1" applyFill="1" applyBorder="1" applyAlignment="1">
      <alignment horizontal="center" vertical="center" wrapText="1"/>
    </xf>
    <xf numFmtId="0" fontId="2" fillId="6" borderId="0" xfId="0" applyFont="1" applyFill="1"/>
    <xf numFmtId="0" fontId="16" fillId="6" borderId="1" xfId="2" applyNumberFormat="1" applyFont="1" applyFill="1" applyBorder="1" applyAlignment="1" applyProtection="1">
      <alignment horizontal="center" vertical="center" wrapText="1"/>
    </xf>
    <xf numFmtId="43" fontId="31" fillId="6" borderId="1" xfId="1" applyFont="1" applyFill="1" applyBorder="1" applyAlignment="1">
      <alignment vertical="center" wrapText="1"/>
    </xf>
    <xf numFmtId="43" fontId="33" fillId="6" borderId="1" xfId="1" applyFont="1" applyFill="1" applyBorder="1" applyAlignment="1">
      <alignment horizontal="center" vertical="center" wrapText="1"/>
    </xf>
    <xf numFmtId="0" fontId="26" fillId="6" borderId="29" xfId="0" applyFont="1" applyFill="1" applyBorder="1" applyAlignment="1">
      <alignment horizontal="center" vertical="center" wrapText="1"/>
    </xf>
    <xf numFmtId="0" fontId="26" fillId="6" borderId="30" xfId="0" applyFont="1" applyFill="1" applyBorder="1" applyAlignment="1">
      <alignment horizontal="center" vertical="center" wrapText="1"/>
    </xf>
    <xf numFmtId="0" fontId="26" fillId="6" borderId="28" xfId="0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right" vertical="center" wrapText="1"/>
    </xf>
    <xf numFmtId="43" fontId="11" fillId="6" borderId="1" xfId="1" applyFont="1" applyFill="1" applyBorder="1" applyAlignment="1">
      <alignment horizontal="center" vertical="center" wrapText="1"/>
    </xf>
    <xf numFmtId="43" fontId="14" fillId="6" borderId="1" xfId="2" applyNumberFormat="1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7" fillId="6" borderId="29" xfId="0" applyFont="1" applyFill="1" applyBorder="1" applyAlignment="1">
      <alignment horizontal="right" vertical="center" wrapText="1"/>
    </xf>
    <xf numFmtId="0" fontId="27" fillId="6" borderId="30" xfId="0" applyFont="1" applyFill="1" applyBorder="1" applyAlignment="1">
      <alignment horizontal="right" vertical="center" wrapText="1"/>
    </xf>
    <xf numFmtId="0" fontId="27" fillId="6" borderId="28" xfId="0" applyFont="1" applyFill="1" applyBorder="1" applyAlignment="1">
      <alignment horizontal="right" vertical="center" wrapText="1"/>
    </xf>
    <xf numFmtId="0" fontId="26" fillId="6" borderId="29" xfId="0" applyFont="1" applyFill="1" applyBorder="1" applyAlignment="1">
      <alignment horizontal="center" vertical="center" wrapText="1"/>
    </xf>
    <xf numFmtId="0" fontId="26" fillId="6" borderId="30" xfId="0" applyFont="1" applyFill="1" applyBorder="1" applyAlignment="1">
      <alignment horizontal="center" vertical="center" wrapText="1"/>
    </xf>
    <xf numFmtId="0" fontId="27" fillId="6" borderId="30" xfId="0" applyFont="1" applyFill="1" applyBorder="1" applyAlignment="1">
      <alignment horizontal="right" vertical="center" wrapText="1"/>
    </xf>
    <xf numFmtId="0" fontId="26" fillId="6" borderId="30" xfId="0" applyFont="1" applyFill="1" applyBorder="1" applyAlignment="1">
      <alignment horizontal="right" vertical="center" wrapText="1"/>
    </xf>
    <xf numFmtId="0" fontId="26" fillId="6" borderId="28" xfId="0" applyFont="1" applyFill="1" applyBorder="1" applyAlignment="1">
      <alignment horizontal="right" vertical="center" wrapText="1"/>
    </xf>
    <xf numFmtId="0" fontId="27" fillId="6" borderId="29" xfId="0" applyFont="1" applyFill="1" applyBorder="1" applyAlignment="1">
      <alignment horizontal="center" vertical="center" wrapText="1"/>
    </xf>
    <xf numFmtId="0" fontId="27" fillId="6" borderId="30" xfId="0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 wrapText="1"/>
    </xf>
    <xf numFmtId="0" fontId="14" fillId="6" borderId="1" xfId="0" applyFont="1" applyFill="1" applyBorder="1" applyAlignment="1">
      <alignment horizontal="right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vertical="center" wrapText="1"/>
    </xf>
    <xf numFmtId="0" fontId="26" fillId="6" borderId="1" xfId="0" applyFont="1" applyFill="1" applyBorder="1" applyAlignment="1">
      <alignment vertical="center" wrapText="1"/>
    </xf>
    <xf numFmtId="0" fontId="27" fillId="6" borderId="1" xfId="0" applyFont="1" applyFill="1" applyBorder="1" applyAlignment="1">
      <alignment horizontal="right" vertical="center" wrapText="1"/>
    </xf>
    <xf numFmtId="0" fontId="26" fillId="6" borderId="1" xfId="0" applyFont="1" applyFill="1" applyBorder="1" applyAlignment="1">
      <alignment horizontal="right" vertical="center" wrapText="1"/>
    </xf>
    <xf numFmtId="43" fontId="31" fillId="6" borderId="1" xfId="1" quotePrefix="1" applyFont="1" applyFill="1" applyBorder="1" applyAlignment="1">
      <alignment horizontal="center" vertical="center" wrapText="1"/>
    </xf>
    <xf numFmtId="4" fontId="27" fillId="6" borderId="1" xfId="0" applyNumberFormat="1" applyFont="1" applyFill="1" applyBorder="1" applyAlignment="1">
      <alignment horizontal="center" vertical="center" wrapText="1"/>
    </xf>
    <xf numFmtId="166" fontId="27" fillId="6" borderId="1" xfId="0" applyNumberFormat="1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left" vertical="center" wrapText="1"/>
    </xf>
    <xf numFmtId="0" fontId="29" fillId="6" borderId="1" xfId="0" applyFont="1" applyFill="1" applyBorder="1" applyAlignment="1">
      <alignment vertical="top" wrapText="1"/>
    </xf>
    <xf numFmtId="0" fontId="26" fillId="6" borderId="1" xfId="0" applyFont="1" applyFill="1" applyBorder="1" applyAlignment="1">
      <alignment horizontal="left" vertical="center" wrapText="1"/>
    </xf>
    <xf numFmtId="0" fontId="34" fillId="6" borderId="0" xfId="0" applyFont="1" applyFill="1"/>
    <xf numFmtId="164" fontId="35" fillId="6" borderId="1" xfId="0" applyNumberFormat="1" applyFont="1" applyFill="1" applyBorder="1" applyAlignment="1">
      <alignment horizontal="right" vertical="center" wrapText="1"/>
    </xf>
    <xf numFmtId="4" fontId="35" fillId="6" borderId="1" xfId="0" applyNumberFormat="1" applyFont="1" applyFill="1" applyBorder="1" applyAlignment="1">
      <alignment horizontal="right" vertical="center" wrapText="1"/>
    </xf>
    <xf numFmtId="2" fontId="35" fillId="6" borderId="1" xfId="1" applyNumberFormat="1" applyFont="1" applyFill="1" applyBorder="1" applyAlignment="1" applyProtection="1">
      <alignment horizontal="right" vertical="center" wrapText="1"/>
    </xf>
    <xf numFmtId="9" fontId="35" fillId="6" borderId="1" xfId="2" applyFont="1" applyFill="1" applyBorder="1" applyAlignment="1" applyProtection="1">
      <alignment horizontal="right" vertical="center" wrapText="1"/>
    </xf>
    <xf numFmtId="0" fontId="34" fillId="6" borderId="1" xfId="0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vertical="center" wrapText="1"/>
    </xf>
    <xf numFmtId="0" fontId="34" fillId="6" borderId="1" xfId="0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left" vertical="center" wrapText="1"/>
    </xf>
    <xf numFmtId="1" fontId="34" fillId="6" borderId="1" xfId="0" applyNumberFormat="1" applyFont="1" applyFill="1" applyBorder="1" applyAlignment="1">
      <alignment horizontal="center" vertical="center" shrinkToFit="1"/>
    </xf>
    <xf numFmtId="0" fontId="26" fillId="6" borderId="0" xfId="0" applyFont="1" applyFill="1"/>
    <xf numFmtId="9" fontId="27" fillId="6" borderId="1" xfId="2" applyFont="1" applyFill="1" applyBorder="1" applyAlignment="1" applyProtection="1">
      <alignment horizontal="right" vertical="center" wrapText="1"/>
    </xf>
    <xf numFmtId="10" fontId="27" fillId="6" borderId="1" xfId="2" applyNumberFormat="1" applyFont="1" applyFill="1" applyBorder="1" applyAlignment="1" applyProtection="1">
      <alignment horizontal="right" vertical="center" wrapText="1"/>
    </xf>
    <xf numFmtId="0" fontId="36" fillId="6" borderId="1" xfId="0" applyFont="1" applyFill="1" applyBorder="1" applyAlignment="1">
      <alignment horizontal="center"/>
    </xf>
    <xf numFmtId="0" fontId="28" fillId="6" borderId="1" xfId="0" applyFont="1" applyFill="1" applyBorder="1" applyAlignment="1">
      <alignment horizontal="center" vertical="center" wrapText="1"/>
    </xf>
    <xf numFmtId="0" fontId="28" fillId="6" borderId="1" xfId="0" applyFont="1" applyFill="1" applyBorder="1" applyAlignment="1">
      <alignment horizontal="center" vertical="center" wrapText="1"/>
    </xf>
    <xf numFmtId="0" fontId="27" fillId="6" borderId="30" xfId="0" applyFont="1" applyFill="1" applyBorder="1" applyAlignment="1">
      <alignment horizontal="center" vertical="top" wrapText="1"/>
    </xf>
    <xf numFmtId="0" fontId="27" fillId="6" borderId="30" xfId="0" applyFont="1" applyFill="1" applyBorder="1" applyAlignment="1">
      <alignment horizontal="center" vertical="top" wrapText="1"/>
    </xf>
    <xf numFmtId="0" fontId="27" fillId="6" borderId="28" xfId="0" applyFont="1" applyFill="1" applyBorder="1" applyAlignment="1">
      <alignment vertical="top" wrapText="1"/>
    </xf>
    <xf numFmtId="0" fontId="27" fillId="6" borderId="28" xfId="0" applyFont="1" applyFill="1" applyBorder="1" applyAlignment="1">
      <alignment horizontal="center" vertical="top" wrapText="1"/>
    </xf>
    <xf numFmtId="164" fontId="27" fillId="6" borderId="28" xfId="0" applyNumberFormat="1" applyFont="1" applyFill="1" applyBorder="1" applyAlignment="1">
      <alignment vertical="center" wrapText="1"/>
    </xf>
    <xf numFmtId="0" fontId="27" fillId="6" borderId="1" xfId="0" applyFont="1" applyFill="1" applyBorder="1" applyAlignment="1">
      <alignment horizontal="left" vertical="center" wrapText="1"/>
    </xf>
    <xf numFmtId="0" fontId="27" fillId="6" borderId="28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0" fontId="27" fillId="6" borderId="28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left" vertical="center" wrapText="1"/>
    </xf>
    <xf numFmtId="0" fontId="27" fillId="6" borderId="29" xfId="0" applyFont="1" applyFill="1" applyBorder="1" applyAlignment="1">
      <alignment horizontal="left" vertical="center" wrapText="1"/>
    </xf>
    <xf numFmtId="0" fontId="27" fillId="6" borderId="30" xfId="0" applyFont="1" applyFill="1" applyBorder="1" applyAlignment="1">
      <alignment horizontal="left" vertical="center" wrapText="1"/>
    </xf>
    <xf numFmtId="0" fontId="27" fillId="6" borderId="28" xfId="0" applyFont="1" applyFill="1" applyBorder="1" applyAlignment="1">
      <alignment horizontal="left" vertical="center" wrapText="1"/>
    </xf>
    <xf numFmtId="0" fontId="27" fillId="6" borderId="1" xfId="0" applyFont="1" applyFill="1" applyBorder="1" applyAlignment="1">
      <alignment vertical="top" wrapText="1"/>
    </xf>
  </cellXfs>
  <cellStyles count="3">
    <cellStyle name="Normal" xfId="0" builtinId="0"/>
    <cellStyle name="Porcentagem" xfId="2" builtinId="5"/>
    <cellStyle name="Vírgula" xfId="1" builtinId="3"/>
  </cellStyles>
  <dxfs count="8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209020</xdr:colOff>
      <xdr:row>0</xdr:row>
      <xdr:rowOff>180470</xdr:rowOff>
    </xdr:from>
    <xdr:ext cx="764647" cy="722692"/>
    <xdr:pic>
      <xdr:nvPicPr>
        <xdr:cNvPr id="2" name="Imagem 1">
          <a:extLst>
            <a:ext uri="{FF2B5EF4-FFF2-40B4-BE49-F238E27FC236}">
              <a16:creationId xmlns:a16="http://schemas.microsoft.com/office/drawing/2014/main" id="{83A87E97-44ED-4FB8-92AC-C917CDC31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020" y="180470"/>
          <a:ext cx="764647" cy="72269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71436</xdr:colOff>
      <xdr:row>0</xdr:row>
      <xdr:rowOff>85219</xdr:rowOff>
    </xdr:from>
    <xdr:ext cx="1119189" cy="1057781"/>
    <xdr:pic>
      <xdr:nvPicPr>
        <xdr:cNvPr id="2" name="Imagem 1">
          <a:extLst>
            <a:ext uri="{FF2B5EF4-FFF2-40B4-BE49-F238E27FC236}">
              <a16:creationId xmlns:a16="http://schemas.microsoft.com/office/drawing/2014/main" id="{0C894297-09C4-46BE-8F3C-8755674F4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6" y="85219"/>
          <a:ext cx="1119189" cy="105778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D319A-AE58-4BD2-960B-DDE5EE469E66}">
  <sheetPr>
    <outlinePr summaryBelow="0"/>
    <pageSetUpPr fitToPage="1"/>
  </sheetPr>
  <dimension ref="A1:AL143"/>
  <sheetViews>
    <sheetView view="pageBreakPreview" topLeftCell="F120" zoomScale="90" zoomScaleNormal="85" zoomScaleSheetLayoutView="90" workbookViewId="0">
      <selection activeCell="D128" sqref="D128:BY131"/>
    </sheetView>
  </sheetViews>
  <sheetFormatPr defaultColWidth="9.1796875" defaultRowHeight="13"/>
  <cols>
    <col min="1" max="1" width="19.1796875" style="1" customWidth="1"/>
    <col min="2" max="2" width="13.1796875" style="1" customWidth="1"/>
    <col min="3" max="3" width="61.453125" style="1" customWidth="1"/>
    <col min="4" max="4" width="13" style="1" customWidth="1"/>
    <col min="5" max="5" width="11.26953125" style="1" customWidth="1"/>
    <col min="6" max="6" width="12.54296875" style="1" customWidth="1"/>
    <col min="7" max="7" width="13.7265625" style="1" customWidth="1"/>
    <col min="8" max="8" width="16.54296875" style="1" customWidth="1"/>
    <col min="9" max="9" width="17.453125" style="1" hidden="1" customWidth="1"/>
    <col min="10" max="10" width="24" style="1" hidden="1" customWidth="1"/>
    <col min="11" max="11" width="25.26953125" style="1" hidden="1" customWidth="1"/>
    <col min="12" max="12" width="24" style="1" hidden="1" customWidth="1"/>
    <col min="13" max="13" width="14" style="1" hidden="1" customWidth="1"/>
    <col min="14" max="14" width="29.26953125" style="1" hidden="1" customWidth="1"/>
    <col min="15" max="15" width="15.453125" style="1" hidden="1" customWidth="1"/>
    <col min="16" max="16" width="12.54296875" style="1" hidden="1" customWidth="1"/>
    <col min="17" max="17" width="25.26953125" style="1" hidden="1" customWidth="1"/>
    <col min="18" max="18" width="15.453125" style="1" hidden="1" customWidth="1"/>
    <col min="19" max="19" width="21" style="1" hidden="1" customWidth="1"/>
    <col min="20" max="20" width="19.81640625" style="1" hidden="1" customWidth="1"/>
    <col min="21" max="21" width="17.453125" style="1" hidden="1" customWidth="1"/>
    <col min="22" max="22" width="22.54296875" style="1" hidden="1" customWidth="1"/>
    <col min="23" max="23" width="25.1796875" style="1" hidden="1" customWidth="1"/>
    <col min="24" max="24" width="19.1796875" style="1" hidden="1" customWidth="1"/>
    <col min="25" max="25" width="16.7265625" style="1" hidden="1" customWidth="1"/>
    <col min="26" max="26" width="25.26953125" style="1" hidden="1" customWidth="1"/>
    <col min="27" max="27" width="0.1796875" style="1" customWidth="1"/>
    <col min="28" max="28" width="16.7265625" style="1" hidden="1" customWidth="1"/>
    <col min="29" max="29" width="25.26953125" style="1" hidden="1" customWidth="1"/>
    <col min="30" max="30" width="18.81640625" style="3" hidden="1" customWidth="1"/>
    <col min="31" max="31" width="17.54296875" style="4" customWidth="1"/>
    <col min="32" max="32" width="24.453125" style="3" customWidth="1"/>
    <col min="33" max="33" width="20.26953125" style="3" customWidth="1"/>
    <col min="34" max="34" width="14.26953125" style="1" customWidth="1"/>
    <col min="35" max="35" width="13.26953125" style="1" customWidth="1"/>
    <col min="36" max="36" width="19.453125" style="1" customWidth="1"/>
    <col min="37" max="37" width="15.81640625" style="1" customWidth="1"/>
    <col min="38" max="38" width="14.26953125" style="2" customWidth="1"/>
    <col min="39" max="16384" width="9.1796875" style="1"/>
  </cols>
  <sheetData>
    <row r="1" spans="1:38" ht="87" customHeight="1">
      <c r="A1" s="181"/>
      <c r="B1" s="180" t="s">
        <v>302</v>
      </c>
      <c r="C1" s="180"/>
      <c r="D1" s="180"/>
      <c r="E1" s="169" t="s">
        <v>301</v>
      </c>
      <c r="F1" s="169"/>
      <c r="G1" s="169" t="s">
        <v>300</v>
      </c>
      <c r="H1" s="169"/>
      <c r="I1" s="176" t="s">
        <v>299</v>
      </c>
      <c r="J1" s="170"/>
      <c r="K1" s="170"/>
      <c r="L1" s="170"/>
      <c r="M1" s="170"/>
      <c r="N1" s="170"/>
      <c r="O1" s="170"/>
      <c r="P1" s="170"/>
      <c r="Q1" s="170"/>
      <c r="R1" s="174"/>
      <c r="S1" s="175"/>
      <c r="T1" s="175"/>
      <c r="U1" s="175"/>
      <c r="V1" s="170"/>
      <c r="W1" s="170"/>
      <c r="X1" s="174"/>
      <c r="Y1" s="170"/>
      <c r="Z1" s="170"/>
      <c r="AA1" s="174"/>
      <c r="AB1" s="170"/>
      <c r="AC1" s="170"/>
      <c r="AD1" s="174"/>
      <c r="AE1" s="179"/>
      <c r="AF1" s="178"/>
      <c r="AG1" s="177"/>
      <c r="AH1" s="170"/>
      <c r="AI1" s="170"/>
      <c r="AJ1" s="170"/>
      <c r="AK1" s="170"/>
    </row>
    <row r="2" spans="1:38" ht="62.25" customHeight="1">
      <c r="A2" s="169" t="s">
        <v>298</v>
      </c>
      <c r="B2" s="169"/>
      <c r="C2" s="169"/>
      <c r="D2" s="169"/>
      <c r="E2" s="169" t="s">
        <v>297</v>
      </c>
      <c r="F2" s="169"/>
      <c r="G2" s="169" t="s">
        <v>296</v>
      </c>
      <c r="H2" s="169"/>
      <c r="I2" s="176" t="s">
        <v>295</v>
      </c>
      <c r="J2" s="170"/>
      <c r="K2" s="170"/>
      <c r="L2" s="170"/>
      <c r="M2" s="170"/>
      <c r="N2" s="170"/>
      <c r="O2" s="170"/>
      <c r="P2" s="170"/>
      <c r="Q2" s="170"/>
      <c r="R2" s="174"/>
      <c r="S2" s="175"/>
      <c r="T2" s="175"/>
      <c r="U2" s="175"/>
      <c r="V2" s="170"/>
      <c r="W2" s="170"/>
      <c r="X2" s="174"/>
      <c r="Y2" s="170"/>
      <c r="Z2" s="170"/>
      <c r="AA2" s="174"/>
      <c r="AB2" s="170"/>
      <c r="AC2" s="170"/>
      <c r="AD2" s="174"/>
      <c r="AE2" s="173"/>
      <c r="AF2" s="172"/>
      <c r="AG2" s="171"/>
      <c r="AH2" s="170"/>
      <c r="AI2" s="170"/>
      <c r="AJ2" s="170"/>
      <c r="AK2" s="170"/>
    </row>
    <row r="3" spans="1:38" ht="44.25" customHeight="1">
      <c r="A3" s="169" t="s">
        <v>294</v>
      </c>
      <c r="B3" s="169"/>
      <c r="C3" s="169"/>
      <c r="D3" s="169"/>
      <c r="E3" s="169" t="s">
        <v>293</v>
      </c>
      <c r="F3" s="169"/>
      <c r="G3" s="169"/>
      <c r="H3" s="169"/>
      <c r="I3" s="169"/>
      <c r="J3" s="167" t="s">
        <v>292</v>
      </c>
      <c r="K3" s="166"/>
      <c r="L3" s="168">
        <f>L127</f>
        <v>143165.40999999997</v>
      </c>
      <c r="M3" s="167" t="s">
        <v>291</v>
      </c>
      <c r="N3" s="166"/>
      <c r="O3" s="168">
        <f>O127</f>
        <v>90821.55</v>
      </c>
      <c r="P3" s="167" t="s">
        <v>290</v>
      </c>
      <c r="Q3" s="166"/>
      <c r="R3" s="168">
        <f>R127</f>
        <v>66728</v>
      </c>
      <c r="S3" s="168"/>
      <c r="T3" s="168"/>
      <c r="U3" s="168"/>
      <c r="V3" s="167" t="s">
        <v>289</v>
      </c>
      <c r="W3" s="166"/>
      <c r="X3" s="168">
        <f>X127</f>
        <v>41614.019999999997</v>
      </c>
      <c r="Y3" s="167" t="s">
        <v>288</v>
      </c>
      <c r="Z3" s="166"/>
      <c r="AA3" s="168">
        <f>AA127</f>
        <v>330767</v>
      </c>
      <c r="AB3" s="167" t="s">
        <v>287</v>
      </c>
      <c r="AC3" s="166"/>
      <c r="AD3" s="163">
        <f>AD127</f>
        <v>167779</v>
      </c>
      <c r="AE3" s="165" t="s">
        <v>286</v>
      </c>
      <c r="AF3" s="164"/>
      <c r="AG3" s="163">
        <f>AG127</f>
        <v>80725</v>
      </c>
      <c r="AH3" s="162"/>
      <c r="AI3" s="161"/>
      <c r="AJ3" s="161"/>
      <c r="AK3" s="160"/>
    </row>
    <row r="4" spans="1:38" ht="15" customHeight="1">
      <c r="A4" s="159"/>
      <c r="B4" s="156"/>
      <c r="C4" s="156"/>
      <c r="D4" s="156"/>
      <c r="E4" s="156"/>
      <c r="F4" s="156"/>
      <c r="G4" s="156"/>
      <c r="H4" s="158"/>
      <c r="I4" s="157"/>
      <c r="J4" s="156" t="s">
        <v>285</v>
      </c>
      <c r="K4" s="156"/>
      <c r="L4" s="156"/>
      <c r="M4" s="156" t="s">
        <v>285</v>
      </c>
      <c r="N4" s="156"/>
      <c r="O4" s="156"/>
      <c r="P4" s="156" t="s">
        <v>285</v>
      </c>
      <c r="Q4" s="156"/>
      <c r="R4" s="156"/>
      <c r="S4" s="154"/>
      <c r="T4" s="154"/>
      <c r="U4" s="154"/>
      <c r="V4" s="156" t="s">
        <v>285</v>
      </c>
      <c r="W4" s="156"/>
      <c r="X4" s="156"/>
      <c r="Y4" s="156" t="s">
        <v>285</v>
      </c>
      <c r="Z4" s="156"/>
      <c r="AA4" s="156"/>
      <c r="AB4" s="156" t="s">
        <v>285</v>
      </c>
      <c r="AC4" s="156"/>
      <c r="AD4" s="156"/>
      <c r="AE4" s="155"/>
      <c r="AF4" s="154"/>
      <c r="AG4" s="154"/>
      <c r="AH4" s="153" t="s">
        <v>284</v>
      </c>
      <c r="AI4" s="153"/>
      <c r="AJ4" s="153"/>
      <c r="AK4" s="153"/>
    </row>
    <row r="5" spans="1:38" ht="65.25" customHeight="1">
      <c r="A5" s="152" t="s">
        <v>283</v>
      </c>
      <c r="B5" s="152" t="s">
        <v>282</v>
      </c>
      <c r="C5" s="152" t="s">
        <v>281</v>
      </c>
      <c r="D5" s="152" t="s">
        <v>280</v>
      </c>
      <c r="E5" s="152" t="s">
        <v>279</v>
      </c>
      <c r="F5" s="152" t="s">
        <v>278</v>
      </c>
      <c r="G5" s="152" t="s">
        <v>277</v>
      </c>
      <c r="H5" s="151" t="s">
        <v>276</v>
      </c>
      <c r="I5" s="148"/>
      <c r="J5" s="148" t="s">
        <v>275</v>
      </c>
      <c r="K5" s="148" t="s">
        <v>274</v>
      </c>
      <c r="L5" s="148" t="s">
        <v>273</v>
      </c>
      <c r="M5" s="148" t="s">
        <v>275</v>
      </c>
      <c r="N5" s="148" t="s">
        <v>274</v>
      </c>
      <c r="O5" s="148" t="s">
        <v>273</v>
      </c>
      <c r="P5" s="148" t="s">
        <v>275</v>
      </c>
      <c r="Q5" s="148" t="s">
        <v>274</v>
      </c>
      <c r="R5" s="148" t="s">
        <v>273</v>
      </c>
      <c r="S5" s="148" t="s">
        <v>275</v>
      </c>
      <c r="T5" s="148" t="s">
        <v>274</v>
      </c>
      <c r="U5" s="148" t="s">
        <v>273</v>
      </c>
      <c r="V5" s="148" t="s">
        <v>275</v>
      </c>
      <c r="W5" s="148" t="s">
        <v>274</v>
      </c>
      <c r="X5" s="148" t="s">
        <v>273</v>
      </c>
      <c r="Y5" s="148" t="s">
        <v>275</v>
      </c>
      <c r="Z5" s="148" t="s">
        <v>274</v>
      </c>
      <c r="AA5" s="148" t="s">
        <v>273</v>
      </c>
      <c r="AB5" s="148" t="s">
        <v>275</v>
      </c>
      <c r="AC5" s="148" t="s">
        <v>274</v>
      </c>
      <c r="AD5" s="149" t="s">
        <v>273</v>
      </c>
      <c r="AE5" s="150" t="s">
        <v>275</v>
      </c>
      <c r="AF5" s="149" t="s">
        <v>274</v>
      </c>
      <c r="AG5" s="149" t="s">
        <v>273</v>
      </c>
      <c r="AH5" s="148" t="s">
        <v>272</v>
      </c>
      <c r="AI5" s="148" t="s">
        <v>271</v>
      </c>
      <c r="AJ5" s="148" t="s">
        <v>270</v>
      </c>
      <c r="AK5" s="148" t="s">
        <v>269</v>
      </c>
      <c r="AL5" s="147" t="s">
        <v>268</v>
      </c>
    </row>
    <row r="6" spans="1:38" ht="20.149999999999999" customHeight="1">
      <c r="A6" s="60">
        <v>1</v>
      </c>
      <c r="B6" s="59" t="s">
        <v>267</v>
      </c>
      <c r="C6" s="59"/>
      <c r="D6" s="59"/>
      <c r="E6" s="59"/>
      <c r="F6" s="59"/>
      <c r="G6" s="59"/>
      <c r="H6" s="146">
        <f>SUM(H7:H8)</f>
        <v>4383.8738000000003</v>
      </c>
      <c r="I6" s="34"/>
      <c r="J6" s="145" t="s">
        <v>266</v>
      </c>
      <c r="K6" s="145"/>
      <c r="L6" s="145"/>
      <c r="M6" s="145" t="s">
        <v>265</v>
      </c>
      <c r="N6" s="145"/>
      <c r="O6" s="145"/>
      <c r="P6" s="145" t="s">
        <v>264</v>
      </c>
      <c r="Q6" s="145"/>
      <c r="R6" s="145"/>
      <c r="S6" s="145" t="s">
        <v>263</v>
      </c>
      <c r="T6" s="145"/>
      <c r="U6" s="145"/>
      <c r="V6" s="145" t="s">
        <v>262</v>
      </c>
      <c r="W6" s="145"/>
      <c r="X6" s="145"/>
      <c r="Y6" s="145" t="s">
        <v>261</v>
      </c>
      <c r="Z6" s="145"/>
      <c r="AA6" s="145"/>
      <c r="AB6" s="145" t="s">
        <v>260</v>
      </c>
      <c r="AC6" s="145"/>
      <c r="AD6" s="145"/>
      <c r="AE6" s="144" t="s">
        <v>259</v>
      </c>
      <c r="AF6" s="143"/>
      <c r="AG6" s="142"/>
      <c r="AH6" s="141"/>
      <c r="AI6" s="141"/>
      <c r="AJ6" s="116"/>
      <c r="AK6" s="116"/>
    </row>
    <row r="7" spans="1:38" s="133" customFormat="1" ht="31.5" customHeight="1">
      <c r="A7" s="98" t="s">
        <v>258</v>
      </c>
      <c r="B7" s="131">
        <v>51</v>
      </c>
      <c r="C7" s="140" t="s">
        <v>257</v>
      </c>
      <c r="D7" s="139" t="s">
        <v>26</v>
      </c>
      <c r="E7" s="139" t="s">
        <v>30</v>
      </c>
      <c r="F7" s="138">
        <v>6</v>
      </c>
      <c r="G7" s="73">
        <v>350.91</v>
      </c>
      <c r="H7" s="137">
        <f>F7*G7</f>
        <v>2105.46</v>
      </c>
      <c r="I7" s="136"/>
      <c r="J7" s="44">
        <v>1</v>
      </c>
      <c r="K7" s="43">
        <f>TRUNC(J7*F7,2)</f>
        <v>6</v>
      </c>
      <c r="L7" s="42">
        <f>TRUNC(K7*G7)+0.46</f>
        <v>2105.46</v>
      </c>
      <c r="M7" s="44">
        <v>0</v>
      </c>
      <c r="N7" s="43">
        <f>TRUNC(M7*F7,2)</f>
        <v>0</v>
      </c>
      <c r="O7" s="42">
        <f>TRUNC(N7*G7)+0</f>
        <v>0</v>
      </c>
      <c r="P7" s="47">
        <v>0</v>
      </c>
      <c r="Q7" s="43">
        <f>TRUNC(P7*F7,2)</f>
        <v>0</v>
      </c>
      <c r="R7" s="42">
        <f>TRUNC(Q7*G7)</f>
        <v>0</v>
      </c>
      <c r="S7" s="42"/>
      <c r="T7" s="42"/>
      <c r="U7" s="42">
        <f>TRUNC(G7*T7)+0</f>
        <v>0</v>
      </c>
      <c r="V7" s="44">
        <v>0</v>
      </c>
      <c r="W7" s="43">
        <f>TRUNC(V7*F7,2)</f>
        <v>0</v>
      </c>
      <c r="X7" s="42">
        <f>TRUNC(W7*G7)+0</f>
        <v>0</v>
      </c>
      <c r="Y7" s="44">
        <f>Z7/F7</f>
        <v>0</v>
      </c>
      <c r="Z7" s="43"/>
      <c r="AA7" s="42">
        <f>TRUNC(Z7*G7)+0</f>
        <v>0</v>
      </c>
      <c r="AB7" s="47">
        <f>AC7/F7</f>
        <v>0</v>
      </c>
      <c r="AC7" s="43"/>
      <c r="AD7" s="43">
        <f>TRUNC(AC7*G7)</f>
        <v>0</v>
      </c>
      <c r="AE7" s="45">
        <f>AF7/F7</f>
        <v>0</v>
      </c>
      <c r="AF7" s="43"/>
      <c r="AG7" s="43">
        <f>TRUNC(AF7*G7)</f>
        <v>0</v>
      </c>
      <c r="AH7" s="44">
        <f>SUM(J7,M7,P7,V7,Y7,AB7,AE7)</f>
        <v>1</v>
      </c>
      <c r="AI7" s="43">
        <f>SUM(K7,N7,Q7,W7,Z7,T7,AC7)</f>
        <v>6</v>
      </c>
      <c r="AJ7" s="42">
        <f>SUM(L7,O7,R7,X7,AA7,U7,AD7,AG7)</f>
        <v>2105.46</v>
      </c>
      <c r="AK7" s="135" t="str">
        <f>IF(AH7=100%,"ITEM FINALIZADO",AH7)</f>
        <v>ITEM FINALIZADO</v>
      </c>
      <c r="AL7" s="134"/>
    </row>
    <row r="8" spans="1:38" ht="26">
      <c r="A8" s="57" t="s">
        <v>256</v>
      </c>
      <c r="B8" s="132">
        <v>98524</v>
      </c>
      <c r="C8" s="82" t="s">
        <v>255</v>
      </c>
      <c r="D8" s="131" t="s">
        <v>31</v>
      </c>
      <c r="E8" s="69" t="s">
        <v>30</v>
      </c>
      <c r="F8" s="70">
        <v>488.93</v>
      </c>
      <c r="G8" s="69">
        <v>4.66</v>
      </c>
      <c r="H8" s="64">
        <f>F8*G8</f>
        <v>2278.4138000000003</v>
      </c>
      <c r="I8" s="51"/>
      <c r="J8" s="48">
        <v>1</v>
      </c>
      <c r="K8" s="46">
        <f>TRUNC(J8*F8,2)</f>
        <v>488.93</v>
      </c>
      <c r="L8" s="49">
        <f>TRUNC(K8*G8)+0.41</f>
        <v>2278.41</v>
      </c>
      <c r="M8" s="48"/>
      <c r="N8" s="46"/>
      <c r="O8" s="49"/>
      <c r="P8" s="48"/>
      <c r="Q8" s="46"/>
      <c r="R8" s="49"/>
      <c r="S8" s="49"/>
      <c r="T8" s="49"/>
      <c r="U8" s="42">
        <f>TRUNC(G8*T8)+0</f>
        <v>0</v>
      </c>
      <c r="V8" s="48"/>
      <c r="W8" s="43">
        <f>TRUNC(V8*F8,2)</f>
        <v>0</v>
      </c>
      <c r="X8" s="42">
        <f>TRUNC(W8*G8)+0</f>
        <v>0</v>
      </c>
      <c r="Y8" s="44">
        <f>Z8/F8</f>
        <v>0</v>
      </c>
      <c r="Z8" s="46"/>
      <c r="AA8" s="42">
        <f>TRUNC(Z8*G8)+0</f>
        <v>0</v>
      </c>
      <c r="AB8" s="47">
        <f>AC8/F8</f>
        <v>0</v>
      </c>
      <c r="AC8" s="46"/>
      <c r="AD8" s="43">
        <f>TRUNC(AC8*G8)</f>
        <v>0</v>
      </c>
      <c r="AE8" s="45">
        <f>AF8/F8</f>
        <v>0</v>
      </c>
      <c r="AF8" s="43"/>
      <c r="AG8" s="43">
        <f>TRUNC(AF8*G8)</f>
        <v>0</v>
      </c>
      <c r="AH8" s="44">
        <f>SUM(J8,M8,P8,V8,Y8,AB8,AE8)</f>
        <v>1</v>
      </c>
      <c r="AI8" s="43">
        <f>SUM(K8,N8,Q8,W8,Z8,T8,AC8)</f>
        <v>488.93</v>
      </c>
      <c r="AJ8" s="42">
        <f>SUM(L8,O8,R8,X8,AA8,U8,AD8,AG8)</f>
        <v>2278.41</v>
      </c>
      <c r="AK8" s="130" t="str">
        <f>IF(AH8=100%,"ITEM FINALIZADO",AH8)</f>
        <v>ITEM FINALIZADO</v>
      </c>
    </row>
    <row r="9" spans="1:38" ht="20.149999999999999" customHeight="1">
      <c r="A9" s="60">
        <v>2</v>
      </c>
      <c r="B9" s="59" t="s">
        <v>254</v>
      </c>
      <c r="C9" s="59"/>
      <c r="D9" s="59"/>
      <c r="E9" s="59"/>
      <c r="F9" s="59"/>
      <c r="G9" s="59"/>
      <c r="H9" s="58">
        <f>SUM(H10:H12)</f>
        <v>31651.318000000003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5"/>
      <c r="AE9" s="36"/>
      <c r="AF9" s="35"/>
      <c r="AG9" s="35"/>
      <c r="AH9" s="35"/>
      <c r="AI9" s="34"/>
      <c r="AJ9" s="34"/>
      <c r="AK9" s="34"/>
    </row>
    <row r="10" spans="1:38" ht="37.5">
      <c r="A10" s="57" t="s">
        <v>253</v>
      </c>
      <c r="B10" s="72">
        <v>99059</v>
      </c>
      <c r="C10" s="71" t="s">
        <v>252</v>
      </c>
      <c r="D10" s="69" t="s">
        <v>31</v>
      </c>
      <c r="E10" s="69" t="s">
        <v>62</v>
      </c>
      <c r="F10" s="69">
        <v>335.2</v>
      </c>
      <c r="G10" s="69">
        <v>61.14</v>
      </c>
      <c r="H10" s="64">
        <f>(F10*G10)-0.01</f>
        <v>20494.118000000002</v>
      </c>
      <c r="I10" s="51"/>
      <c r="J10" s="48">
        <v>1</v>
      </c>
      <c r="K10" s="46">
        <f>TRUNC(J10*F10,2)</f>
        <v>335.2</v>
      </c>
      <c r="L10" s="49">
        <f>TRUNC(K10*G10)+0.12</f>
        <v>20494.12</v>
      </c>
      <c r="M10" s="48"/>
      <c r="N10" s="46"/>
      <c r="O10" s="49"/>
      <c r="P10" s="48"/>
      <c r="Q10" s="46"/>
      <c r="R10" s="49"/>
      <c r="S10" s="49"/>
      <c r="T10" s="49"/>
      <c r="U10" s="42">
        <f>TRUNC(G10*T10)+0</f>
        <v>0</v>
      </c>
      <c r="V10" s="48"/>
      <c r="W10" s="43">
        <f>TRUNC(V10*F10,2)</f>
        <v>0</v>
      </c>
      <c r="X10" s="42">
        <f>TRUNC(W10*G10)+0</f>
        <v>0</v>
      </c>
      <c r="Y10" s="44">
        <f>Z10/F10</f>
        <v>0</v>
      </c>
      <c r="Z10" s="46"/>
      <c r="AA10" s="42">
        <f>TRUNC(Z10*G10)+0</f>
        <v>0</v>
      </c>
      <c r="AB10" s="47">
        <f>AC10/F10</f>
        <v>0</v>
      </c>
      <c r="AC10" s="46"/>
      <c r="AD10" s="43">
        <f>TRUNC(AC10*G10)</f>
        <v>0</v>
      </c>
      <c r="AE10" s="45">
        <f>AF10/F10</f>
        <v>0</v>
      </c>
      <c r="AF10" s="43"/>
      <c r="AG10" s="43">
        <f>TRUNC(AF10*G10)</f>
        <v>0</v>
      </c>
      <c r="AH10" s="44">
        <f>SUM(J10,M10,P10,V10,Y10,AB10,AE10)</f>
        <v>1</v>
      </c>
      <c r="AI10" s="43">
        <f>SUM(K10,N10,Q10,W10,Z10,T10,AC10)</f>
        <v>335.2</v>
      </c>
      <c r="AJ10" s="42">
        <f>SUM(L10,O10,R10,X10,AA10,U10,AD10,AG10)</f>
        <v>20494.12</v>
      </c>
      <c r="AK10" s="130" t="str">
        <f>IF(AH10=100%,"ITEM FINALIZADO",AH10)</f>
        <v>ITEM FINALIZADO</v>
      </c>
    </row>
    <row r="11" spans="1:38" ht="38.25" customHeight="1">
      <c r="A11" s="98" t="s">
        <v>251</v>
      </c>
      <c r="B11" s="72">
        <v>93358</v>
      </c>
      <c r="C11" s="71" t="s">
        <v>250</v>
      </c>
      <c r="D11" s="69" t="s">
        <v>31</v>
      </c>
      <c r="E11" s="69" t="s">
        <v>168</v>
      </c>
      <c r="F11" s="69">
        <v>81.25</v>
      </c>
      <c r="G11" s="69">
        <v>86.72</v>
      </c>
      <c r="H11" s="64">
        <f>F11*G11</f>
        <v>7046</v>
      </c>
      <c r="I11" s="51"/>
      <c r="J11" s="48">
        <v>1</v>
      </c>
      <c r="K11" s="46">
        <f>TRUNC(J11*F11,2)</f>
        <v>81.25</v>
      </c>
      <c r="L11" s="49">
        <f>TRUNC(K11*G11)+0</f>
        <v>7046</v>
      </c>
      <c r="M11" s="48"/>
      <c r="N11" s="46"/>
      <c r="O11" s="49"/>
      <c r="P11" s="48"/>
      <c r="Q11" s="46"/>
      <c r="R11" s="49"/>
      <c r="S11" s="49"/>
      <c r="T11" s="49"/>
      <c r="U11" s="42">
        <f>TRUNC(G11*T11)+0</f>
        <v>0</v>
      </c>
      <c r="V11" s="48"/>
      <c r="W11" s="43">
        <f>TRUNC(V11*F11,2)</f>
        <v>0</v>
      </c>
      <c r="X11" s="42">
        <f>TRUNC(W11*G11)+0</f>
        <v>0</v>
      </c>
      <c r="Y11" s="44">
        <f>Z11/F11</f>
        <v>0</v>
      </c>
      <c r="Z11" s="46"/>
      <c r="AA11" s="42">
        <f>TRUNC(Z11*G11)+0</f>
        <v>0</v>
      </c>
      <c r="AB11" s="47">
        <f>AC11/F11</f>
        <v>0</v>
      </c>
      <c r="AC11" s="46"/>
      <c r="AD11" s="43">
        <f>TRUNC(AC11*G11)</f>
        <v>0</v>
      </c>
      <c r="AE11" s="45">
        <f>AF11/F11</f>
        <v>0</v>
      </c>
      <c r="AF11" s="43"/>
      <c r="AG11" s="43">
        <f>TRUNC(AF11*G11)</f>
        <v>0</v>
      </c>
      <c r="AH11" s="44">
        <f>SUM(J11,M11,P11,V11,Y11,AB11,AE11)</f>
        <v>1</v>
      </c>
      <c r="AI11" s="43">
        <f>SUM(K11,N11,Q11,W11,Z11,T11,AC11)</f>
        <v>81.25</v>
      </c>
      <c r="AJ11" s="42">
        <f>SUM(L11,O11,R11,X11,AA11,U11,AD11,AG11)</f>
        <v>7046</v>
      </c>
      <c r="AK11" s="41" t="str">
        <f>IF(AH11=100%,"ITEM FINALIZADO",AH11)</f>
        <v>ITEM FINALIZADO</v>
      </c>
    </row>
    <row r="12" spans="1:38" ht="26">
      <c r="A12" s="98" t="s">
        <v>249</v>
      </c>
      <c r="B12" s="72">
        <v>94319</v>
      </c>
      <c r="C12" s="71" t="s">
        <v>248</v>
      </c>
      <c r="D12" s="69" t="s">
        <v>31</v>
      </c>
      <c r="E12" s="69" t="s">
        <v>168</v>
      </c>
      <c r="F12" s="69">
        <v>57.1</v>
      </c>
      <c r="G12" s="80">
        <v>72</v>
      </c>
      <c r="H12" s="64">
        <f>(F12*G12)</f>
        <v>4111.2</v>
      </c>
      <c r="I12" s="51"/>
      <c r="J12" s="48">
        <v>1</v>
      </c>
      <c r="K12" s="46">
        <f>TRUNC(J12*F12,2)</f>
        <v>57.1</v>
      </c>
      <c r="L12" s="49">
        <f>TRUNC(K12*G12)+0.2</f>
        <v>4111.2</v>
      </c>
      <c r="M12" s="48"/>
      <c r="N12" s="46"/>
      <c r="O12" s="49"/>
      <c r="P12" s="48"/>
      <c r="Q12" s="46"/>
      <c r="R12" s="49"/>
      <c r="S12" s="49"/>
      <c r="T12" s="49"/>
      <c r="U12" s="42">
        <f>TRUNC(G12*T12)+0</f>
        <v>0</v>
      </c>
      <c r="V12" s="48"/>
      <c r="W12" s="43">
        <f>TRUNC(V12*F12,2)</f>
        <v>0</v>
      </c>
      <c r="X12" s="42">
        <f>TRUNC(W12*G12)+0</f>
        <v>0</v>
      </c>
      <c r="Y12" s="44">
        <f>Z12/F12</f>
        <v>0</v>
      </c>
      <c r="Z12" s="46"/>
      <c r="AA12" s="42">
        <f>TRUNC(Z12*G12)+0</f>
        <v>0</v>
      </c>
      <c r="AB12" s="47">
        <f>AC12/F12</f>
        <v>0</v>
      </c>
      <c r="AC12" s="46"/>
      <c r="AD12" s="43">
        <f>TRUNC(AC12*G12)</f>
        <v>0</v>
      </c>
      <c r="AE12" s="45">
        <f>AF12/F12</f>
        <v>0</v>
      </c>
      <c r="AF12" s="43"/>
      <c r="AG12" s="43">
        <f>TRUNC(AF12*G12)</f>
        <v>0</v>
      </c>
      <c r="AH12" s="44">
        <f>SUM(J12,M12,P12,V12,Y12,AB12,AE12)</f>
        <v>1</v>
      </c>
      <c r="AI12" s="43">
        <f>SUM(K12,N12,Q12,W12,Z12,T12,AC12)</f>
        <v>57.1</v>
      </c>
      <c r="AJ12" s="42">
        <f>SUM(L12,O12,R12,X12,AA12,U12,AD12,AG12)</f>
        <v>4111.2</v>
      </c>
      <c r="AK12" s="41" t="str">
        <f>IF(AH12=100%,"ITEM FINALIZADO",AH12)</f>
        <v>ITEM FINALIZADO</v>
      </c>
    </row>
    <row r="13" spans="1:38" ht="20.149999999999999" customHeight="1">
      <c r="A13" s="60">
        <v>3</v>
      </c>
      <c r="B13" s="59" t="s">
        <v>247</v>
      </c>
      <c r="C13" s="59"/>
      <c r="D13" s="59"/>
      <c r="E13" s="59"/>
      <c r="F13" s="59"/>
      <c r="G13" s="59"/>
      <c r="H13" s="58">
        <f>SUM(H15,H22)</f>
        <v>200390.71250000002</v>
      </c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5"/>
      <c r="AE13" s="36"/>
      <c r="AF13" s="35"/>
      <c r="AG13" s="35"/>
      <c r="AH13" s="35"/>
      <c r="AI13" s="34"/>
      <c r="AJ13" s="34"/>
      <c r="AK13" s="34"/>
    </row>
    <row r="14" spans="1:38" ht="20.149999999999999" customHeight="1">
      <c r="A14" s="60" t="s">
        <v>246</v>
      </c>
      <c r="B14" s="59" t="s">
        <v>245</v>
      </c>
      <c r="C14" s="59"/>
      <c r="D14" s="59"/>
      <c r="E14" s="59"/>
      <c r="F14" s="59"/>
      <c r="G14" s="59"/>
      <c r="H14" s="58">
        <f>H15</f>
        <v>79073.707699999999</v>
      </c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5"/>
      <c r="AE14" s="36"/>
      <c r="AF14" s="35"/>
      <c r="AG14" s="35"/>
      <c r="AH14" s="35"/>
      <c r="AI14" s="34"/>
      <c r="AJ14" s="34"/>
      <c r="AK14" s="34"/>
    </row>
    <row r="15" spans="1:38" ht="20.149999999999999" customHeight="1">
      <c r="A15" s="60" t="s">
        <v>244</v>
      </c>
      <c r="B15" s="59" t="s">
        <v>243</v>
      </c>
      <c r="C15" s="59"/>
      <c r="D15" s="59"/>
      <c r="E15" s="59"/>
      <c r="F15" s="59"/>
      <c r="G15" s="59"/>
      <c r="H15" s="58">
        <f>SUM(H16:H21)</f>
        <v>79073.707699999999</v>
      </c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5"/>
      <c r="AE15" s="36"/>
      <c r="AF15" s="35"/>
      <c r="AG15" s="35"/>
      <c r="AH15" s="35"/>
      <c r="AI15" s="34"/>
      <c r="AJ15" s="34"/>
      <c r="AK15" s="34"/>
    </row>
    <row r="16" spans="1:38" ht="37.5">
      <c r="A16" s="98" t="s">
        <v>242</v>
      </c>
      <c r="B16" s="128">
        <v>102486</v>
      </c>
      <c r="C16" s="127" t="s">
        <v>241</v>
      </c>
      <c r="D16" s="65" t="s">
        <v>31</v>
      </c>
      <c r="E16" s="65" t="s">
        <v>168</v>
      </c>
      <c r="F16" s="66">
        <v>10.59</v>
      </c>
      <c r="G16" s="65">
        <v>569.29999999999995</v>
      </c>
      <c r="H16" s="64">
        <f>(F16*G16)-0.01</f>
        <v>6028.8769999999995</v>
      </c>
      <c r="I16" s="51"/>
      <c r="J16" s="48">
        <v>0.8</v>
      </c>
      <c r="K16" s="46">
        <f>TRUNC(J16*F16,2)</f>
        <v>8.4700000000000006</v>
      </c>
      <c r="L16" s="49">
        <f>TRUNC(K16*G16)+0.1</f>
        <v>4821.1000000000004</v>
      </c>
      <c r="M16" s="48">
        <v>0.2</v>
      </c>
      <c r="N16" s="46">
        <f>TRUNC(M16*F16,2)+0.01</f>
        <v>2.1199999999999997</v>
      </c>
      <c r="O16" s="49">
        <f>TRUNC(N16*G16)+1.78</f>
        <v>1207.78</v>
      </c>
      <c r="P16" s="48"/>
      <c r="Q16" s="46"/>
      <c r="R16" s="49"/>
      <c r="S16" s="49"/>
      <c r="T16" s="49"/>
      <c r="U16" s="42">
        <f>TRUNC(G16*T16)+0</f>
        <v>0</v>
      </c>
      <c r="V16" s="48"/>
      <c r="W16" s="43">
        <f>TRUNC(V16*F16,2)</f>
        <v>0</v>
      </c>
      <c r="X16" s="42">
        <f>TRUNC(W16*G16)+0</f>
        <v>0</v>
      </c>
      <c r="Y16" s="44">
        <f>Z16/F16</f>
        <v>0</v>
      </c>
      <c r="Z16" s="46"/>
      <c r="AA16" s="42">
        <f>TRUNC(Z16*G16)+0</f>
        <v>0</v>
      </c>
      <c r="AB16" s="47">
        <f>AC16/F16</f>
        <v>0</v>
      </c>
      <c r="AC16" s="46"/>
      <c r="AD16" s="43">
        <f>TRUNC(AC16*G16)</f>
        <v>0</v>
      </c>
      <c r="AE16" s="45">
        <f>AF16/F16</f>
        <v>0</v>
      </c>
      <c r="AF16" s="43"/>
      <c r="AG16" s="43">
        <f>TRUNC(AF16*G16)</f>
        <v>0</v>
      </c>
      <c r="AH16" s="44">
        <f>SUM(J16,M16,P16,V16,Y16,AB16,AE16)</f>
        <v>1</v>
      </c>
      <c r="AI16" s="43">
        <f>SUM(K16,N16,Q16,W16,Z16,T16,AC16)</f>
        <v>10.59</v>
      </c>
      <c r="AJ16" s="42">
        <f>SUM(L16,O16,R16,X16,AA16,U16,AD16,AG16)</f>
        <v>6028.88</v>
      </c>
      <c r="AK16" s="41" t="str">
        <f>IF(AH16=100%,"ITEM FINALIZADO",AH16)</f>
        <v>ITEM FINALIZADO</v>
      </c>
      <c r="AL16" s="129"/>
    </row>
    <row r="17" spans="1:37" ht="37.5">
      <c r="A17" s="98" t="s">
        <v>240</v>
      </c>
      <c r="B17" s="128">
        <v>94965</v>
      </c>
      <c r="C17" s="127" t="s">
        <v>239</v>
      </c>
      <c r="D17" s="65" t="s">
        <v>31</v>
      </c>
      <c r="E17" s="65" t="s">
        <v>168</v>
      </c>
      <c r="F17" s="66">
        <v>30.05</v>
      </c>
      <c r="G17" s="65">
        <v>433.53</v>
      </c>
      <c r="H17" s="64">
        <f>(F17*G17)-0.01</f>
        <v>13027.566499999999</v>
      </c>
      <c r="I17" s="51"/>
      <c r="J17" s="48">
        <v>0.8</v>
      </c>
      <c r="K17" s="46">
        <f>TRUNC(J17*F17,2)</f>
        <v>24.04</v>
      </c>
      <c r="L17" s="49">
        <f>TRUNC(K17*G17)+0.05</f>
        <v>10422.049999999999</v>
      </c>
      <c r="M17" s="48">
        <v>0.2</v>
      </c>
      <c r="N17" s="46">
        <f>TRUNC(M17*F17,2)</f>
        <v>6.01</v>
      </c>
      <c r="O17" s="49">
        <f>TRUNC(N17*G17)+0.52</f>
        <v>2605.52</v>
      </c>
      <c r="P17" s="48"/>
      <c r="Q17" s="46"/>
      <c r="R17" s="49"/>
      <c r="S17" s="49"/>
      <c r="T17" s="49"/>
      <c r="U17" s="42">
        <f>TRUNC(G17*T17)+0</f>
        <v>0</v>
      </c>
      <c r="V17" s="48"/>
      <c r="W17" s="43">
        <f>TRUNC(V17*F17,2)</f>
        <v>0</v>
      </c>
      <c r="X17" s="42">
        <f>TRUNC(W17*G17)+0</f>
        <v>0</v>
      </c>
      <c r="Y17" s="44">
        <f>Z17/F17</f>
        <v>0</v>
      </c>
      <c r="Z17" s="46"/>
      <c r="AA17" s="42">
        <f>TRUNC(Z17*G17)+0</f>
        <v>0</v>
      </c>
      <c r="AB17" s="47">
        <f>AC17/F17</f>
        <v>0</v>
      </c>
      <c r="AC17" s="46"/>
      <c r="AD17" s="43">
        <f>TRUNC(AC17*G17)</f>
        <v>0</v>
      </c>
      <c r="AE17" s="45">
        <f>AF17/F17</f>
        <v>0</v>
      </c>
      <c r="AF17" s="43"/>
      <c r="AG17" s="43">
        <f>TRUNC(AF17*G17)</f>
        <v>0</v>
      </c>
      <c r="AH17" s="44">
        <f>SUM(J17,M17,P17,V17,Y17,AB17,AE17)</f>
        <v>1</v>
      </c>
      <c r="AI17" s="43">
        <f>SUM(K17,N17,Q17,W17,Z17,T17,AC17)</f>
        <v>30.049999999999997</v>
      </c>
      <c r="AJ17" s="42">
        <f>SUM(L17,O17,R17,X17,AA17,U17,AD17,AG17)</f>
        <v>13027.57</v>
      </c>
      <c r="AK17" s="41" t="str">
        <f>IF(AH17=100%,"ITEM FINALIZADO",AH17)</f>
        <v>ITEM FINALIZADO</v>
      </c>
    </row>
    <row r="18" spans="1:37" ht="26">
      <c r="A18" s="98" t="s">
        <v>238</v>
      </c>
      <c r="B18" s="128">
        <v>96544</v>
      </c>
      <c r="C18" s="127" t="s">
        <v>237</v>
      </c>
      <c r="D18" s="65" t="s">
        <v>31</v>
      </c>
      <c r="E18" s="65" t="s">
        <v>184</v>
      </c>
      <c r="F18" s="66">
        <v>33.4</v>
      </c>
      <c r="G18" s="65">
        <v>16.48</v>
      </c>
      <c r="H18" s="64">
        <f>(F18*G18)</f>
        <v>550.43200000000002</v>
      </c>
      <c r="I18" s="51"/>
      <c r="J18" s="48">
        <v>0.8</v>
      </c>
      <c r="K18" s="46">
        <f>TRUNC(J18*F18,2)</f>
        <v>26.72</v>
      </c>
      <c r="L18" s="49">
        <f>TRUNC(K18*G18)+0.34</f>
        <v>440.34</v>
      </c>
      <c r="M18" s="48">
        <v>0.2</v>
      </c>
      <c r="N18" s="46">
        <f>TRUNC(M18*F18,2)</f>
        <v>6.68</v>
      </c>
      <c r="O18" s="49">
        <f>TRUNC(N18*G18)+0.09</f>
        <v>110.09</v>
      </c>
      <c r="P18" s="48"/>
      <c r="Q18" s="46"/>
      <c r="R18" s="49"/>
      <c r="S18" s="49"/>
      <c r="T18" s="49"/>
      <c r="U18" s="42">
        <f>TRUNC(G18*T18)+0</f>
        <v>0</v>
      </c>
      <c r="V18" s="48"/>
      <c r="W18" s="43">
        <f>TRUNC(V18*F18,2)</f>
        <v>0</v>
      </c>
      <c r="X18" s="42">
        <f>TRUNC(W18*G18)+0</f>
        <v>0</v>
      </c>
      <c r="Y18" s="44">
        <f>Z18/F18</f>
        <v>0</v>
      </c>
      <c r="Z18" s="46"/>
      <c r="AA18" s="42">
        <f>TRUNC(Z18*G18)+0</f>
        <v>0</v>
      </c>
      <c r="AB18" s="47">
        <f>AC18/F18</f>
        <v>0</v>
      </c>
      <c r="AC18" s="46"/>
      <c r="AD18" s="43">
        <f>TRUNC(AC18*G18)</f>
        <v>0</v>
      </c>
      <c r="AE18" s="45">
        <f>AF18/F18</f>
        <v>0</v>
      </c>
      <c r="AF18" s="43"/>
      <c r="AG18" s="43">
        <f>TRUNC(AF18*G18)</f>
        <v>0</v>
      </c>
      <c r="AH18" s="44">
        <f>SUM(J18,M18,P18,V18,Y18,AB18,AE18)</f>
        <v>1</v>
      </c>
      <c r="AI18" s="43">
        <f>SUM(K18,N18,Q18,W18,Z18,T18,AC18)</f>
        <v>33.4</v>
      </c>
      <c r="AJ18" s="42">
        <f>SUM(L18,O18,R18,X18,AA18,U18,AD18,AG18)</f>
        <v>550.42999999999995</v>
      </c>
      <c r="AK18" s="41" t="str">
        <f>IF(AH18=100%,"ITEM FINALIZADO",AH18)</f>
        <v>ITEM FINALIZADO</v>
      </c>
    </row>
    <row r="19" spans="1:37" ht="26">
      <c r="A19" s="98" t="s">
        <v>236</v>
      </c>
      <c r="B19" s="69">
        <v>98545</v>
      </c>
      <c r="C19" s="126" t="s">
        <v>235</v>
      </c>
      <c r="D19" s="53" t="s">
        <v>31</v>
      </c>
      <c r="E19" s="53" t="s">
        <v>184</v>
      </c>
      <c r="F19" s="54">
        <v>2842</v>
      </c>
      <c r="G19" s="53">
        <v>14.61</v>
      </c>
      <c r="H19" s="64">
        <f>(F19*G19)</f>
        <v>41521.619999999995</v>
      </c>
      <c r="I19" s="51"/>
      <c r="J19" s="48">
        <v>0.8</v>
      </c>
      <c r="K19" s="62">
        <f>TRUNC(J19*F19,2)</f>
        <v>2273.6</v>
      </c>
      <c r="L19" s="49">
        <f>TRUNC(K19*G19)+0.3</f>
        <v>33217.300000000003</v>
      </c>
      <c r="M19" s="48">
        <v>0.2</v>
      </c>
      <c r="N19" s="46">
        <f>TRUNC(M19*F19,2)</f>
        <v>568.4</v>
      </c>
      <c r="O19" s="49">
        <f>TRUNC(N19*G19)+0.32</f>
        <v>8304.32</v>
      </c>
      <c r="P19" s="48"/>
      <c r="Q19" s="46"/>
      <c r="R19" s="49"/>
      <c r="S19" s="49"/>
      <c r="T19" s="49"/>
      <c r="U19" s="42">
        <f>TRUNC(G19*T19)+0</f>
        <v>0</v>
      </c>
      <c r="V19" s="48"/>
      <c r="W19" s="43">
        <f>TRUNC(V19*F19,2)</f>
        <v>0</v>
      </c>
      <c r="X19" s="42">
        <f>TRUNC(W19*G19)+0</f>
        <v>0</v>
      </c>
      <c r="Y19" s="44">
        <f>Z19/F19</f>
        <v>0</v>
      </c>
      <c r="Z19" s="46"/>
      <c r="AA19" s="42">
        <f>TRUNC(Z19*G19)+0</f>
        <v>0</v>
      </c>
      <c r="AB19" s="47">
        <f>AC19/F19</f>
        <v>0</v>
      </c>
      <c r="AC19" s="46"/>
      <c r="AD19" s="43">
        <f>TRUNC(AC19*G19)</f>
        <v>0</v>
      </c>
      <c r="AE19" s="45">
        <f>AF19/F19</f>
        <v>0</v>
      </c>
      <c r="AF19" s="43"/>
      <c r="AG19" s="43">
        <f>TRUNC(AF19*G19)</f>
        <v>0</v>
      </c>
      <c r="AH19" s="44">
        <f>SUM(J19,M19,P19,V19,Y19,AB19,AE19)</f>
        <v>1</v>
      </c>
      <c r="AI19" s="43">
        <f>SUM(K19,N19,Q19,W19,Z19,T19,AC19)</f>
        <v>2842</v>
      </c>
      <c r="AJ19" s="42">
        <f>SUM(L19,O19,R19,X19,AA19,U19,AD19,AG19)</f>
        <v>41521.620000000003</v>
      </c>
      <c r="AK19" s="41" t="str">
        <f>IF(AH19=100%,"ITEM FINALIZADO",AH19)</f>
        <v>ITEM FINALIZADO</v>
      </c>
    </row>
    <row r="20" spans="1:37" ht="26">
      <c r="A20" s="98" t="s">
        <v>234</v>
      </c>
      <c r="B20" s="69">
        <v>96543</v>
      </c>
      <c r="C20" s="126" t="s">
        <v>233</v>
      </c>
      <c r="D20" s="53" t="s">
        <v>31</v>
      </c>
      <c r="E20" s="53" t="s">
        <v>184</v>
      </c>
      <c r="F20" s="54">
        <v>580.1</v>
      </c>
      <c r="G20" s="53">
        <v>18.71</v>
      </c>
      <c r="H20" s="64">
        <f>(F20*G20)</f>
        <v>10853.671</v>
      </c>
      <c r="I20" s="51"/>
      <c r="J20" s="48">
        <v>0.8</v>
      </c>
      <c r="K20" s="46">
        <f>TRUNC(J20*F20,2)</f>
        <v>464.08</v>
      </c>
      <c r="L20" s="49">
        <f>TRUNC(K20*G20)+0.94</f>
        <v>8682.94</v>
      </c>
      <c r="M20" s="48">
        <v>0.2</v>
      </c>
      <c r="N20" s="46">
        <f>TRUNC(M20*F20,2)</f>
        <v>116.02</v>
      </c>
      <c r="O20" s="49">
        <f>TRUNC(N20*G20)+0.73</f>
        <v>2170.73</v>
      </c>
      <c r="P20" s="48"/>
      <c r="Q20" s="46"/>
      <c r="R20" s="49"/>
      <c r="S20" s="49"/>
      <c r="T20" s="49"/>
      <c r="U20" s="42">
        <f>TRUNC(G20*T20)+0</f>
        <v>0</v>
      </c>
      <c r="V20" s="48"/>
      <c r="W20" s="43">
        <f>TRUNC(V20*F20,2)</f>
        <v>0</v>
      </c>
      <c r="X20" s="42">
        <f>TRUNC(W20*G20)+0</f>
        <v>0</v>
      </c>
      <c r="Y20" s="44">
        <f>Z20/F20</f>
        <v>0</v>
      </c>
      <c r="Z20" s="46"/>
      <c r="AA20" s="42">
        <f>TRUNC(Z20*G20)+0</f>
        <v>0</v>
      </c>
      <c r="AB20" s="47">
        <f>AC20/F20</f>
        <v>0</v>
      </c>
      <c r="AC20" s="46"/>
      <c r="AD20" s="43">
        <f>TRUNC(AC20*G20)</f>
        <v>0</v>
      </c>
      <c r="AE20" s="45">
        <f>AF20/F20</f>
        <v>0</v>
      </c>
      <c r="AF20" s="43"/>
      <c r="AG20" s="43">
        <f>TRUNC(AF20*G20)</f>
        <v>0</v>
      </c>
      <c r="AH20" s="44">
        <f>SUM(J20,M20,P20,V20,Y20,AB20,AE20)</f>
        <v>1</v>
      </c>
      <c r="AI20" s="43">
        <f>SUM(K20,N20,Q20,W20,Z20,T20,AC20)</f>
        <v>580.1</v>
      </c>
      <c r="AJ20" s="42">
        <f>SUM(L20,O20,R20,X20,AA20,U20,AD20,AG20)</f>
        <v>10853.67</v>
      </c>
      <c r="AK20" s="41" t="str">
        <f>IF(AH20=100%,"ITEM FINALIZADO",AH20)</f>
        <v>ITEM FINALIZADO</v>
      </c>
    </row>
    <row r="21" spans="1:37" ht="26">
      <c r="A21" s="98" t="s">
        <v>232</v>
      </c>
      <c r="B21" s="72">
        <v>98557</v>
      </c>
      <c r="C21" s="126" t="s">
        <v>231</v>
      </c>
      <c r="D21" s="53" t="s">
        <v>31</v>
      </c>
      <c r="E21" s="53" t="s">
        <v>30</v>
      </c>
      <c r="F21" s="54">
        <v>154.03</v>
      </c>
      <c r="G21" s="53">
        <v>46.04</v>
      </c>
      <c r="H21" s="64">
        <f>(F21*G21)</f>
        <v>7091.5411999999997</v>
      </c>
      <c r="I21" s="51"/>
      <c r="J21" s="48">
        <v>0.2</v>
      </c>
      <c r="K21" s="46">
        <f>TRUNC(J21*F21,2)</f>
        <v>30.8</v>
      </c>
      <c r="L21" s="49">
        <f>TRUNC(K21*G21)+0.23</f>
        <v>1418.23</v>
      </c>
      <c r="M21" s="48">
        <v>0.8</v>
      </c>
      <c r="N21" s="46">
        <f>TRUNC(M21*F21,2)</f>
        <v>123.22</v>
      </c>
      <c r="O21" s="49">
        <f>TRUNC(N21*G21)+0.31</f>
        <v>5673.31</v>
      </c>
      <c r="P21" s="48"/>
      <c r="Q21" s="46"/>
      <c r="R21" s="49"/>
      <c r="S21" s="49"/>
      <c r="T21" s="49"/>
      <c r="U21" s="42">
        <f>TRUNC(G21*T21)+0</f>
        <v>0</v>
      </c>
      <c r="V21" s="48"/>
      <c r="W21" s="43">
        <f>TRUNC(V21*F21,2)</f>
        <v>0</v>
      </c>
      <c r="X21" s="42">
        <f>TRUNC(W21*G21)+0</f>
        <v>0</v>
      </c>
      <c r="Y21" s="44">
        <f>Z21/F21</f>
        <v>0</v>
      </c>
      <c r="Z21" s="46"/>
      <c r="AA21" s="42">
        <f>TRUNC(Z21*G21)+0</f>
        <v>0</v>
      </c>
      <c r="AB21" s="47">
        <f>AC21/F21</f>
        <v>0</v>
      </c>
      <c r="AC21" s="46"/>
      <c r="AD21" s="43">
        <f>TRUNC(AC21*G21)</f>
        <v>0</v>
      </c>
      <c r="AE21" s="45">
        <f>AF21/F21</f>
        <v>0</v>
      </c>
      <c r="AF21" s="43"/>
      <c r="AG21" s="43">
        <f>TRUNC(AF21*G21)</f>
        <v>0</v>
      </c>
      <c r="AH21" s="44">
        <f>SUM(J21,M21,P21,V21,Y21,AB21,AE21)</f>
        <v>1</v>
      </c>
      <c r="AI21" s="43">
        <f>SUM(K21,N21,Q21,W21,Z21,T21,AC21)</f>
        <v>154.02000000000001</v>
      </c>
      <c r="AJ21" s="42">
        <f>SUM(L21,O21,R21,X21,AA21,U21,AD21,AG21)</f>
        <v>7091.5400000000009</v>
      </c>
      <c r="AK21" s="41" t="str">
        <f>IF(AH21=100%,"ITEM FINALIZADO",AH21)</f>
        <v>ITEM FINALIZADO</v>
      </c>
    </row>
    <row r="22" spans="1:37" ht="20.149999999999999" customHeight="1">
      <c r="A22" s="60" t="s">
        <v>230</v>
      </c>
      <c r="B22" s="59" t="s">
        <v>229</v>
      </c>
      <c r="C22" s="59"/>
      <c r="D22" s="59"/>
      <c r="E22" s="59"/>
      <c r="F22" s="59"/>
      <c r="G22" s="59"/>
      <c r="H22" s="58">
        <f>SUM(H23,H30,H38)+0.01</f>
        <v>121317.00480000001</v>
      </c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5"/>
      <c r="AE22" s="36"/>
      <c r="AF22" s="35"/>
      <c r="AG22" s="35"/>
      <c r="AH22" s="35"/>
      <c r="AI22" s="34"/>
      <c r="AJ22" s="34"/>
      <c r="AK22" s="34"/>
    </row>
    <row r="23" spans="1:37" ht="20.149999999999999" customHeight="1">
      <c r="A23" s="60" t="s">
        <v>228</v>
      </c>
      <c r="B23" s="59" t="s">
        <v>227</v>
      </c>
      <c r="C23" s="59"/>
      <c r="D23" s="59"/>
      <c r="E23" s="59"/>
      <c r="F23" s="59"/>
      <c r="G23" s="59"/>
      <c r="H23" s="58">
        <f>SUM(H24:H29)</f>
        <v>46405.308700000001</v>
      </c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5"/>
      <c r="AE23" s="36"/>
      <c r="AF23" s="35"/>
      <c r="AG23" s="35"/>
      <c r="AH23" s="35"/>
      <c r="AI23" s="34"/>
      <c r="AJ23" s="34"/>
      <c r="AK23" s="34"/>
    </row>
    <row r="24" spans="1:37" ht="37.5">
      <c r="A24" s="57" t="s">
        <v>226</v>
      </c>
      <c r="B24" s="83">
        <v>102476</v>
      </c>
      <c r="C24" s="71" t="s">
        <v>225</v>
      </c>
      <c r="D24" s="124" t="s">
        <v>31</v>
      </c>
      <c r="E24" s="124" t="s">
        <v>168</v>
      </c>
      <c r="F24" s="125">
        <v>15.1</v>
      </c>
      <c r="G24" s="124">
        <v>557.58000000000004</v>
      </c>
      <c r="H24" s="64">
        <f>(F24*G24)-0.01</f>
        <v>8419.4480000000003</v>
      </c>
      <c r="I24" s="51"/>
      <c r="J24" s="48">
        <v>0.5</v>
      </c>
      <c r="K24" s="46">
        <f>TRUNC(J24*F24,2)</f>
        <v>7.55</v>
      </c>
      <c r="L24" s="49">
        <f>TRUNC(K24*G24)+0.73</f>
        <v>4209.7299999999996</v>
      </c>
      <c r="M24" s="48">
        <v>0.4</v>
      </c>
      <c r="N24" s="46">
        <f>TRUNC(M24*F24,2)</f>
        <v>6.04</v>
      </c>
      <c r="O24" s="49">
        <f>TRUNC(N24*G24)+0.78</f>
        <v>3367.78</v>
      </c>
      <c r="P24" s="48">
        <v>0.1</v>
      </c>
      <c r="Q24" s="46">
        <f>TRUNC(P24*F24,2)</f>
        <v>1.51</v>
      </c>
      <c r="R24" s="49">
        <f>TRUNC(Q24*G24)</f>
        <v>841</v>
      </c>
      <c r="S24" s="49"/>
      <c r="T24" s="49"/>
      <c r="U24" s="42">
        <f>TRUNC(G24*T24)+0</f>
        <v>0</v>
      </c>
      <c r="V24" s="48"/>
      <c r="W24" s="43">
        <f>TRUNC(V24*F24,2)</f>
        <v>0</v>
      </c>
      <c r="X24" s="42">
        <f>TRUNC(W24*G24)+0</f>
        <v>0</v>
      </c>
      <c r="Y24" s="44">
        <f>Z24/F24</f>
        <v>0</v>
      </c>
      <c r="Z24" s="46"/>
      <c r="AA24" s="42">
        <f>TRUNC(Z24*G24)+0</f>
        <v>0</v>
      </c>
      <c r="AB24" s="47">
        <f>AC24/F24</f>
        <v>0</v>
      </c>
      <c r="AC24" s="46"/>
      <c r="AD24" s="43">
        <f>TRUNC(AC24*G24)</f>
        <v>0</v>
      </c>
      <c r="AE24" s="45">
        <f>AF24/F24</f>
        <v>0</v>
      </c>
      <c r="AF24" s="43"/>
      <c r="AG24" s="43">
        <f>TRUNC(AF24*G24)</f>
        <v>0</v>
      </c>
      <c r="AH24" s="44">
        <f>SUM(J24,M24,P24,V24,Y24,AB24,AE24)</f>
        <v>1</v>
      </c>
      <c r="AI24" s="43">
        <f>SUM(K24,N24,Q24,W24,Z24,T24,AC24)</f>
        <v>15.1</v>
      </c>
      <c r="AJ24" s="42">
        <f>SUM(L24,O24,R24,X24,AA24,U24,AD24,AG24)</f>
        <v>8418.51</v>
      </c>
      <c r="AK24" s="41" t="str">
        <f>IF(AH24=100%,"ITEM FINALIZADO",AH24)</f>
        <v>ITEM FINALIZADO</v>
      </c>
    </row>
    <row r="25" spans="1:37" ht="26">
      <c r="A25" s="57" t="s">
        <v>224</v>
      </c>
      <c r="B25" s="83">
        <v>96546</v>
      </c>
      <c r="C25" s="71" t="s">
        <v>223</v>
      </c>
      <c r="D25" s="124" t="s">
        <v>31</v>
      </c>
      <c r="E25" s="124" t="s">
        <v>184</v>
      </c>
      <c r="F25" s="125">
        <v>90.3</v>
      </c>
      <c r="G25" s="124">
        <v>12.61</v>
      </c>
      <c r="H25" s="64">
        <f>(F25*G25)</f>
        <v>1138.683</v>
      </c>
      <c r="I25" s="51"/>
      <c r="J25" s="48">
        <v>0.5</v>
      </c>
      <c r="K25" s="46">
        <f>TRUNC(J25*F25,2)</f>
        <v>45.15</v>
      </c>
      <c r="L25" s="49">
        <f>TRUNC(K25*G25)+0.34</f>
        <v>569.34</v>
      </c>
      <c r="M25" s="48">
        <v>0.4</v>
      </c>
      <c r="N25" s="46">
        <f>TRUNC(M25*F25,2)</f>
        <v>36.119999999999997</v>
      </c>
      <c r="O25" s="49">
        <f>TRUNC(N25*G25)+0.47</f>
        <v>455.47</v>
      </c>
      <c r="P25" s="48">
        <v>0.1</v>
      </c>
      <c r="Q25" s="46">
        <f>TRUNC(P25*F25,2)</f>
        <v>9.0299999999999994</v>
      </c>
      <c r="R25" s="49">
        <f>TRUNC(Q25*G25)</f>
        <v>113</v>
      </c>
      <c r="S25" s="49"/>
      <c r="T25" s="49"/>
      <c r="U25" s="42">
        <f>TRUNC(G25*T25)+0</f>
        <v>0</v>
      </c>
      <c r="V25" s="48"/>
      <c r="W25" s="43">
        <f>TRUNC(V25*F25,2)</f>
        <v>0</v>
      </c>
      <c r="X25" s="42">
        <f>TRUNC(W25*G25)+0</f>
        <v>0</v>
      </c>
      <c r="Y25" s="44">
        <f>Z25/F25</f>
        <v>0</v>
      </c>
      <c r="Z25" s="46"/>
      <c r="AA25" s="42">
        <f>TRUNC(Z25*G25)+0</f>
        <v>0</v>
      </c>
      <c r="AB25" s="47">
        <f>AC25/F25</f>
        <v>0</v>
      </c>
      <c r="AC25" s="46"/>
      <c r="AD25" s="43">
        <f>TRUNC(AC25*G25)</f>
        <v>0</v>
      </c>
      <c r="AE25" s="45">
        <f>AF25/F25</f>
        <v>0</v>
      </c>
      <c r="AF25" s="43"/>
      <c r="AG25" s="43">
        <f>TRUNC(AF25*G25)</f>
        <v>0</v>
      </c>
      <c r="AH25" s="44">
        <f>SUM(J25,M25,P25,V25,Y25,AB25,AE25)</f>
        <v>1</v>
      </c>
      <c r="AI25" s="43">
        <f>SUM(K25,N25,Q25,W25,Z25,T25,AC25)</f>
        <v>90.3</v>
      </c>
      <c r="AJ25" s="42">
        <f>SUM(L25,O25,R25,X25,AA25,U25,AD25,AG25)</f>
        <v>1137.81</v>
      </c>
      <c r="AK25" s="41" t="str">
        <f>IF(AH25=100%,"ITEM FINALIZADO",AH25)</f>
        <v>ITEM FINALIZADO</v>
      </c>
    </row>
    <row r="26" spans="1:37" ht="26">
      <c r="A26" s="57" t="s">
        <v>222</v>
      </c>
      <c r="B26" s="83">
        <v>98543</v>
      </c>
      <c r="C26" s="71" t="s">
        <v>221</v>
      </c>
      <c r="D26" s="124" t="s">
        <v>31</v>
      </c>
      <c r="E26" s="124" t="s">
        <v>184</v>
      </c>
      <c r="F26" s="125">
        <v>466.7</v>
      </c>
      <c r="G26" s="124">
        <v>18.71</v>
      </c>
      <c r="H26" s="64">
        <f>(F26*G26)-0.01</f>
        <v>8731.9470000000001</v>
      </c>
      <c r="I26" s="51"/>
      <c r="J26" s="48">
        <v>1</v>
      </c>
      <c r="K26" s="46">
        <f>TRUNC(J26*F26,2)</f>
        <v>466.7</v>
      </c>
      <c r="L26" s="49">
        <f>TRUNC(K26*G26)+0.95</f>
        <v>8731.9500000000007</v>
      </c>
      <c r="M26" s="48"/>
      <c r="N26" s="46"/>
      <c r="O26" s="49"/>
      <c r="P26" s="48"/>
      <c r="Q26" s="46">
        <f>TRUNC(P26*F26,2)</f>
        <v>0</v>
      </c>
      <c r="R26" s="49">
        <f>TRUNC(Q26*G26)</f>
        <v>0</v>
      </c>
      <c r="S26" s="49"/>
      <c r="T26" s="49"/>
      <c r="U26" s="42">
        <f>TRUNC(G26*T26)+0</f>
        <v>0</v>
      </c>
      <c r="V26" s="48"/>
      <c r="W26" s="43">
        <f>TRUNC(V26*F26,2)</f>
        <v>0</v>
      </c>
      <c r="X26" s="42">
        <f>TRUNC(W26*G26)+0</f>
        <v>0</v>
      </c>
      <c r="Y26" s="44">
        <f>Z26/F26</f>
        <v>0</v>
      </c>
      <c r="Z26" s="46"/>
      <c r="AA26" s="42">
        <f>TRUNC(Z26*G26)+0</f>
        <v>0</v>
      </c>
      <c r="AB26" s="47">
        <f>AC26/F26</f>
        <v>0</v>
      </c>
      <c r="AC26" s="46"/>
      <c r="AD26" s="43">
        <f>TRUNC(AC26*G26)</f>
        <v>0</v>
      </c>
      <c r="AE26" s="45">
        <f>AF26/F26</f>
        <v>0</v>
      </c>
      <c r="AF26" s="43"/>
      <c r="AG26" s="43">
        <f>TRUNC(AF26*G26)</f>
        <v>0</v>
      </c>
      <c r="AH26" s="44">
        <f>SUM(J26,M26,P26,V26,Y26,AB26,AE26)</f>
        <v>1</v>
      </c>
      <c r="AI26" s="43">
        <f>SUM(K26,N26,Q26,W26,Z26,T26,AC26)</f>
        <v>466.7</v>
      </c>
      <c r="AJ26" s="42">
        <f>SUM(L26,O26,R26,X26,AA26,U26,AD26,AG26)</f>
        <v>8731.9500000000007</v>
      </c>
      <c r="AK26" s="41" t="str">
        <f>IF(AH26=100%,"ITEM FINALIZADO",AH26)</f>
        <v>ITEM FINALIZADO</v>
      </c>
    </row>
    <row r="27" spans="1:37" ht="26">
      <c r="A27" s="57" t="s">
        <v>220</v>
      </c>
      <c r="B27" s="83">
        <v>96545</v>
      </c>
      <c r="C27" s="71" t="s">
        <v>219</v>
      </c>
      <c r="D27" s="124" t="s">
        <v>31</v>
      </c>
      <c r="E27" s="124" t="s">
        <v>184</v>
      </c>
      <c r="F27" s="125">
        <v>636.29999999999995</v>
      </c>
      <c r="G27" s="124">
        <v>14.61</v>
      </c>
      <c r="H27" s="64">
        <f>(F27*G27)</f>
        <v>9296.3429999999989</v>
      </c>
      <c r="I27" s="51"/>
      <c r="J27" s="48">
        <v>1</v>
      </c>
      <c r="K27" s="46">
        <f>TRUNC(J27*F27,2)</f>
        <v>636.29999999999995</v>
      </c>
      <c r="L27" s="49">
        <f>TRUNC(K27*G27)+0.34</f>
        <v>9296.34</v>
      </c>
      <c r="M27" s="48"/>
      <c r="N27" s="46"/>
      <c r="O27" s="49"/>
      <c r="P27" s="48"/>
      <c r="Q27" s="46">
        <f>TRUNC(P27*F27,2)</f>
        <v>0</v>
      </c>
      <c r="R27" s="49">
        <f>TRUNC(Q27*G27)</f>
        <v>0</v>
      </c>
      <c r="S27" s="49"/>
      <c r="T27" s="49"/>
      <c r="U27" s="42">
        <f>TRUNC(G27*T27)+0</f>
        <v>0</v>
      </c>
      <c r="V27" s="48"/>
      <c r="W27" s="43">
        <f>TRUNC(V27*F27,2)</f>
        <v>0</v>
      </c>
      <c r="X27" s="42">
        <f>TRUNC(W27*G27)+0</f>
        <v>0</v>
      </c>
      <c r="Y27" s="44">
        <f>Z27/F27</f>
        <v>0</v>
      </c>
      <c r="Z27" s="46"/>
      <c r="AA27" s="42">
        <f>TRUNC(Z27*G27)+0</f>
        <v>0</v>
      </c>
      <c r="AB27" s="47">
        <f>AC27/F27</f>
        <v>0</v>
      </c>
      <c r="AC27" s="46"/>
      <c r="AD27" s="43">
        <f>TRUNC(AC27*G27)</f>
        <v>0</v>
      </c>
      <c r="AE27" s="45">
        <f>AF27/F27</f>
        <v>0</v>
      </c>
      <c r="AF27" s="43"/>
      <c r="AG27" s="43">
        <f>TRUNC(AF27*G27)</f>
        <v>0</v>
      </c>
      <c r="AH27" s="44">
        <f>SUM(J27,M27,P27,V27,Y27,AB27,AE27)</f>
        <v>1</v>
      </c>
      <c r="AI27" s="43">
        <f>SUM(K27,N27,Q27,W27,Z27,T27,AC27)</f>
        <v>636.29999999999995</v>
      </c>
      <c r="AJ27" s="42">
        <f>SUM(L27,O27,R27,X27,AA27,U27,AD27,AG27)</f>
        <v>9296.34</v>
      </c>
      <c r="AK27" s="41" t="str">
        <f>IF(AH27=100%,"ITEM FINALIZADO",AH27)</f>
        <v>ITEM FINALIZADO</v>
      </c>
    </row>
    <row r="28" spans="1:37" ht="26">
      <c r="A28" s="57" t="s">
        <v>218</v>
      </c>
      <c r="B28" s="83">
        <v>96547</v>
      </c>
      <c r="C28" s="71" t="s">
        <v>217</v>
      </c>
      <c r="D28" s="124" t="s">
        <v>31</v>
      </c>
      <c r="E28" s="124" t="s">
        <v>184</v>
      </c>
      <c r="F28" s="125">
        <v>17.11</v>
      </c>
      <c r="G28" s="124">
        <v>9.6</v>
      </c>
      <c r="H28" s="64">
        <f>(F28*G28)-0.01</f>
        <v>164.24600000000001</v>
      </c>
      <c r="I28" s="51"/>
      <c r="J28" s="48">
        <v>1</v>
      </c>
      <c r="K28" s="46">
        <f>TRUNC(J28*F28,2)</f>
        <v>17.11</v>
      </c>
      <c r="L28" s="49">
        <f>TRUNC(K28*G28)+0.25</f>
        <v>164.25</v>
      </c>
      <c r="M28" s="48"/>
      <c r="N28" s="46"/>
      <c r="O28" s="49"/>
      <c r="P28" s="48"/>
      <c r="Q28" s="46">
        <f>TRUNC(P28*F28,2)</f>
        <v>0</v>
      </c>
      <c r="R28" s="49">
        <f>TRUNC(Q28*G28)</f>
        <v>0</v>
      </c>
      <c r="S28" s="49"/>
      <c r="T28" s="49"/>
      <c r="U28" s="42">
        <f>TRUNC(G28*T28)+0</f>
        <v>0</v>
      </c>
      <c r="V28" s="48"/>
      <c r="W28" s="43">
        <f>TRUNC(V28*F28,2)</f>
        <v>0</v>
      </c>
      <c r="X28" s="42">
        <f>TRUNC(W28*G28)+0</f>
        <v>0</v>
      </c>
      <c r="Y28" s="44">
        <f>Z28/F28</f>
        <v>0</v>
      </c>
      <c r="Z28" s="46"/>
      <c r="AA28" s="42">
        <f>TRUNC(Z28*G28)+0</f>
        <v>0</v>
      </c>
      <c r="AB28" s="47">
        <f>AC28/F28</f>
        <v>0</v>
      </c>
      <c r="AC28" s="46"/>
      <c r="AD28" s="43">
        <f>TRUNC(AC28*G28)</f>
        <v>0</v>
      </c>
      <c r="AE28" s="45">
        <f>AF28/F28</f>
        <v>0</v>
      </c>
      <c r="AF28" s="43"/>
      <c r="AG28" s="43">
        <f>TRUNC(AF28*G28)</f>
        <v>0</v>
      </c>
      <c r="AH28" s="44">
        <f>SUM(J28,M28,P28,V28,Y28,AB28,AE28)</f>
        <v>1</v>
      </c>
      <c r="AI28" s="43">
        <f>SUM(K28,N28,Q28,W28,Z28,T28,AC28)</f>
        <v>17.11</v>
      </c>
      <c r="AJ28" s="42">
        <f>SUM(L28,O28,R28,X28,AA28,U28,AD28,AG28)</f>
        <v>164.25</v>
      </c>
      <c r="AK28" s="41" t="str">
        <f>IF(AH28=100%,"ITEM FINALIZADO",AH28)</f>
        <v>ITEM FINALIZADO</v>
      </c>
    </row>
    <row r="29" spans="1:37" ht="37.5">
      <c r="A29" s="57" t="s">
        <v>216</v>
      </c>
      <c r="B29" s="83">
        <v>103795</v>
      </c>
      <c r="C29" s="71" t="s">
        <v>215</v>
      </c>
      <c r="D29" s="124" t="s">
        <v>31</v>
      </c>
      <c r="E29" s="124" t="s">
        <v>30</v>
      </c>
      <c r="F29" s="125">
        <v>227.69</v>
      </c>
      <c r="G29" s="124">
        <v>81.93</v>
      </c>
      <c r="H29" s="64">
        <f>(F29*G29)</f>
        <v>18654.6417</v>
      </c>
      <c r="I29" s="51"/>
      <c r="J29" s="48">
        <v>0.5</v>
      </c>
      <c r="K29" s="46">
        <f>TRUNC(J29*F29,2)</f>
        <v>113.84</v>
      </c>
      <c r="L29" s="49">
        <f>TRUNC(K29*G29)+1.32</f>
        <v>9327.32</v>
      </c>
      <c r="M29" s="48">
        <v>0.5</v>
      </c>
      <c r="N29" s="46">
        <f>TRUNC(M29*F29,2)</f>
        <v>113.84</v>
      </c>
      <c r="O29" s="49">
        <f>TRUNC(N29*G29)+1.32</f>
        <v>9327.32</v>
      </c>
      <c r="P29" s="48">
        <v>0.1</v>
      </c>
      <c r="Q29" s="46">
        <f>TRUNC(P29*F29,2)</f>
        <v>22.76</v>
      </c>
      <c r="R29" s="49">
        <f>TRUNC(Q29*G29)</f>
        <v>1864</v>
      </c>
      <c r="S29" s="49"/>
      <c r="T29" s="49">
        <v>-22.76</v>
      </c>
      <c r="U29" s="42">
        <f>TRUNC(G29*T29)+0</f>
        <v>-1864</v>
      </c>
      <c r="V29" s="123">
        <v>-0.1</v>
      </c>
      <c r="W29" s="122">
        <f>TRUNC(V29*F29,2)</f>
        <v>-22.76</v>
      </c>
      <c r="X29" s="121"/>
      <c r="Y29" s="44">
        <f>Z29/F29</f>
        <v>0</v>
      </c>
      <c r="Z29" s="46"/>
      <c r="AA29" s="42">
        <f>TRUNC(Z29*G29)+0</f>
        <v>0</v>
      </c>
      <c r="AB29" s="47">
        <f>AC29/F29</f>
        <v>0</v>
      </c>
      <c r="AC29" s="46"/>
      <c r="AD29" s="43">
        <f>TRUNC(AC29*G29)</f>
        <v>0</v>
      </c>
      <c r="AE29" s="45">
        <f>AF29/F29</f>
        <v>0</v>
      </c>
      <c r="AF29" s="43"/>
      <c r="AG29" s="43">
        <f>TRUNC(AF29*G29)</f>
        <v>0</v>
      </c>
      <c r="AH29" s="44">
        <f>SUM(J29,M29,P29,V29,Y29,AB29,AE29)</f>
        <v>1</v>
      </c>
      <c r="AI29" s="43">
        <f>SUM(K29,N29,Q29,W29,Z29,T29,AC29)</f>
        <v>204.92000000000002</v>
      </c>
      <c r="AJ29" s="42">
        <f>SUM(L29,O29,R29,X29,AA29,U29,AD29,AG29)</f>
        <v>18654.64</v>
      </c>
      <c r="AK29" s="41" t="str">
        <f>IF(AH29=100%,"ITEM FINALIZADO",AH29)</f>
        <v>ITEM FINALIZADO</v>
      </c>
    </row>
    <row r="30" spans="1:37" ht="20.149999999999999" customHeight="1">
      <c r="A30" s="60" t="s">
        <v>214</v>
      </c>
      <c r="B30" s="59" t="s">
        <v>213</v>
      </c>
      <c r="C30" s="59"/>
      <c r="D30" s="59"/>
      <c r="E30" s="59"/>
      <c r="F30" s="59"/>
      <c r="G30" s="59"/>
      <c r="H30" s="58">
        <f>SUM(H31:H37)</f>
        <v>32909.859500000006</v>
      </c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5"/>
      <c r="AE30" s="36"/>
      <c r="AF30" s="35"/>
      <c r="AG30" s="35"/>
      <c r="AH30" s="35"/>
      <c r="AI30" s="34"/>
      <c r="AJ30" s="34"/>
      <c r="AK30" s="116">
        <f>SUM(AK31)</f>
        <v>0</v>
      </c>
    </row>
    <row r="31" spans="1:37" ht="37.5">
      <c r="A31" s="57" t="s">
        <v>212</v>
      </c>
      <c r="B31" s="72">
        <v>102476</v>
      </c>
      <c r="C31" s="71" t="s">
        <v>211</v>
      </c>
      <c r="D31" s="69" t="s">
        <v>31</v>
      </c>
      <c r="E31" s="69" t="s">
        <v>168</v>
      </c>
      <c r="F31" s="70">
        <v>15.81</v>
      </c>
      <c r="G31" s="69">
        <v>557.58000000000004</v>
      </c>
      <c r="H31" s="64">
        <f>(F31*G31)-0.01</f>
        <v>8815.3298000000013</v>
      </c>
      <c r="I31" s="120"/>
      <c r="J31" s="48"/>
      <c r="K31" s="46"/>
      <c r="L31" s="49"/>
      <c r="M31" s="48">
        <v>0.4</v>
      </c>
      <c r="N31" s="46">
        <f>TRUNC(M31*F31,2)</f>
        <v>6.32</v>
      </c>
      <c r="O31" s="49">
        <f>TRUNC(N31*G31)+3.13</f>
        <v>3526.13</v>
      </c>
      <c r="P31" s="48">
        <v>0.6</v>
      </c>
      <c r="Q31" s="46">
        <f>TRUNC(P31*F31,2)</f>
        <v>9.48</v>
      </c>
      <c r="R31" s="49">
        <f>TRUNC(Q31*G31)</f>
        <v>5285</v>
      </c>
      <c r="S31" s="49"/>
      <c r="T31" s="49"/>
      <c r="U31" s="42">
        <f>TRUNC(G31*T31)+0</f>
        <v>0</v>
      </c>
      <c r="V31" s="48"/>
      <c r="W31" s="43">
        <f>TRUNC(V31*F31,2)</f>
        <v>0</v>
      </c>
      <c r="X31" s="42">
        <f>TRUNC(W31*G31)+0</f>
        <v>0</v>
      </c>
      <c r="Y31" s="44">
        <f>Z31/F31</f>
        <v>0</v>
      </c>
      <c r="Z31" s="46"/>
      <c r="AA31" s="42">
        <f>TRUNC(Z31*G31)+0</f>
        <v>0</v>
      </c>
      <c r="AB31" s="47">
        <f>AC31/F31</f>
        <v>0</v>
      </c>
      <c r="AC31" s="46"/>
      <c r="AD31" s="43">
        <f>TRUNC(AC31*G31)</f>
        <v>0</v>
      </c>
      <c r="AE31" s="45">
        <f>AF31/F31</f>
        <v>0</v>
      </c>
      <c r="AF31" s="43"/>
      <c r="AG31" s="43">
        <f>TRUNC(AF31*G31)</f>
        <v>0</v>
      </c>
      <c r="AH31" s="44">
        <f>SUM(J31,M31,P31,V31,Y31,AB31,AE31)</f>
        <v>1</v>
      </c>
      <c r="AI31" s="43">
        <f>SUM(K31,N31,Q31,W31,Z31,T31,AC31)</f>
        <v>15.8</v>
      </c>
      <c r="AJ31" s="42">
        <f>SUM(L31,O31,R31,X31,AA31,U31,AD31,AG31)</f>
        <v>8811.130000000001</v>
      </c>
      <c r="AK31" s="41" t="str">
        <f>IF(AH31=100%,"ITEM FINALIZADO",AH31)</f>
        <v>ITEM FINALIZADO</v>
      </c>
    </row>
    <row r="32" spans="1:37" ht="37.5">
      <c r="A32" s="57" t="s">
        <v>210</v>
      </c>
      <c r="B32" s="72">
        <v>92760</v>
      </c>
      <c r="C32" s="71" t="s">
        <v>209</v>
      </c>
      <c r="D32" s="69" t="s">
        <v>31</v>
      </c>
      <c r="E32" s="69" t="s">
        <v>184</v>
      </c>
      <c r="F32" s="70">
        <v>39.6</v>
      </c>
      <c r="G32" s="69">
        <v>11.8</v>
      </c>
      <c r="H32" s="64">
        <f>(F32*G32)</f>
        <v>467.28000000000003</v>
      </c>
      <c r="I32" s="120"/>
      <c r="J32" s="48"/>
      <c r="K32" s="46"/>
      <c r="L32" s="49"/>
      <c r="M32" s="48">
        <v>0.8</v>
      </c>
      <c r="N32" s="46">
        <f>TRUNC(M32*F32,2)</f>
        <v>31.68</v>
      </c>
      <c r="O32" s="49">
        <f>TRUNC(N32*G32)+0.82</f>
        <v>373.82</v>
      </c>
      <c r="P32" s="48">
        <v>0.2</v>
      </c>
      <c r="Q32" s="46">
        <f>TRUNC(P32*F32,2)</f>
        <v>7.92</v>
      </c>
      <c r="R32" s="49">
        <f>TRUNC(Q32*G32)</f>
        <v>93</v>
      </c>
      <c r="S32" s="49"/>
      <c r="T32" s="49"/>
      <c r="U32" s="42">
        <f>TRUNC(G32*T32)+0</f>
        <v>0</v>
      </c>
      <c r="V32" s="48"/>
      <c r="W32" s="43">
        <f>TRUNC(V32*F32,2)</f>
        <v>0</v>
      </c>
      <c r="X32" s="42">
        <f>TRUNC(W32*G32)+0</f>
        <v>0</v>
      </c>
      <c r="Y32" s="44">
        <f>Z32/F32</f>
        <v>0</v>
      </c>
      <c r="Z32" s="46"/>
      <c r="AA32" s="42">
        <f>TRUNC(Z32*G32)+0</f>
        <v>0</v>
      </c>
      <c r="AB32" s="47">
        <f>AC32/F32</f>
        <v>0</v>
      </c>
      <c r="AC32" s="46"/>
      <c r="AD32" s="43">
        <f>TRUNC(AC32*G32)</f>
        <v>0</v>
      </c>
      <c r="AE32" s="45">
        <f>AF32/F32</f>
        <v>0</v>
      </c>
      <c r="AF32" s="43"/>
      <c r="AG32" s="43">
        <f>TRUNC(AF32*G32)</f>
        <v>0</v>
      </c>
      <c r="AH32" s="44">
        <f>SUM(J32,M32,P32,V32,Y32,AB32,AE32)</f>
        <v>1</v>
      </c>
      <c r="AI32" s="43">
        <f>SUM(K32,N32,Q32,W32,Z32,T32,AC32)</f>
        <v>39.6</v>
      </c>
      <c r="AJ32" s="42">
        <f>SUM(L32,O32,R32,X32,AA32,U32,AD32,AG32)</f>
        <v>466.82</v>
      </c>
      <c r="AK32" s="41" t="str">
        <f>IF(AH32=100%,"ITEM FINALIZADO",AH32)</f>
        <v>ITEM FINALIZADO</v>
      </c>
    </row>
    <row r="33" spans="1:38" ht="37.5">
      <c r="A33" s="57" t="s">
        <v>208</v>
      </c>
      <c r="B33" s="72">
        <v>92761</v>
      </c>
      <c r="C33" s="71" t="s">
        <v>207</v>
      </c>
      <c r="D33" s="69" t="s">
        <v>31</v>
      </c>
      <c r="E33" s="69" t="s">
        <v>184</v>
      </c>
      <c r="F33" s="70">
        <v>80</v>
      </c>
      <c r="G33" s="69">
        <v>10.88</v>
      </c>
      <c r="H33" s="64">
        <f>(F33*G33)</f>
        <v>870.40000000000009</v>
      </c>
      <c r="I33" s="120"/>
      <c r="J33" s="48"/>
      <c r="K33" s="46"/>
      <c r="L33" s="49"/>
      <c r="M33" s="48">
        <v>0.8</v>
      </c>
      <c r="N33" s="46">
        <f>TRUNC(M33*F33,2)</f>
        <v>64</v>
      </c>
      <c r="O33" s="49">
        <f>TRUNC(N33*G33)+0.32</f>
        <v>696.32</v>
      </c>
      <c r="P33" s="48">
        <v>0.2</v>
      </c>
      <c r="Q33" s="46">
        <f>TRUNC(P33*F33,2)</f>
        <v>16</v>
      </c>
      <c r="R33" s="49">
        <f>TRUNC(Q33*G33)</f>
        <v>174</v>
      </c>
      <c r="S33" s="49"/>
      <c r="T33" s="49"/>
      <c r="U33" s="42">
        <f>TRUNC(G33*T33)+0</f>
        <v>0</v>
      </c>
      <c r="V33" s="48"/>
      <c r="W33" s="43">
        <f>TRUNC(V33*F33,2)</f>
        <v>0</v>
      </c>
      <c r="X33" s="42">
        <f>TRUNC(W33*G33)+0</f>
        <v>0</v>
      </c>
      <c r="Y33" s="44">
        <f>Z33/F33</f>
        <v>0</v>
      </c>
      <c r="Z33" s="46"/>
      <c r="AA33" s="42">
        <f>TRUNC(Z33*G33)+0</f>
        <v>0</v>
      </c>
      <c r="AB33" s="47">
        <f>AC33/F33</f>
        <v>0</v>
      </c>
      <c r="AC33" s="46"/>
      <c r="AD33" s="43">
        <f>TRUNC(AC33*G33)</f>
        <v>0</v>
      </c>
      <c r="AE33" s="45">
        <f>AF33/F33</f>
        <v>0</v>
      </c>
      <c r="AF33" s="43"/>
      <c r="AG33" s="43">
        <f>TRUNC(AF33*G33)</f>
        <v>0</v>
      </c>
      <c r="AH33" s="44">
        <f>SUM(J33,M33,P33,V33,Y33,AB33,AE33)</f>
        <v>1</v>
      </c>
      <c r="AI33" s="43">
        <f>SUM(K33,N33,Q33,W33,Z33,T33,AC33)</f>
        <v>80</v>
      </c>
      <c r="AJ33" s="42">
        <f>SUM(L33,O33,R33,X33,AA33,U33,AD33,AG33)</f>
        <v>870.32</v>
      </c>
      <c r="AK33" s="41" t="str">
        <f>IF(AH33=100%,"ITEM FINALIZADO",AH33)</f>
        <v>ITEM FINALIZADO</v>
      </c>
    </row>
    <row r="34" spans="1:38" ht="37.5">
      <c r="A34" s="57" t="s">
        <v>206</v>
      </c>
      <c r="B34" s="72">
        <v>92762</v>
      </c>
      <c r="C34" s="71" t="s">
        <v>205</v>
      </c>
      <c r="D34" s="69" t="s">
        <v>31</v>
      </c>
      <c r="E34" s="69" t="s">
        <v>184</v>
      </c>
      <c r="F34" s="70">
        <v>337.7</v>
      </c>
      <c r="G34" s="69">
        <v>9.61</v>
      </c>
      <c r="H34" s="64">
        <f>(F34*G34)-0.01</f>
        <v>3245.2869999999994</v>
      </c>
      <c r="I34" s="120"/>
      <c r="J34" s="48"/>
      <c r="K34" s="46"/>
      <c r="L34" s="49"/>
      <c r="M34" s="48">
        <v>0.8</v>
      </c>
      <c r="N34" s="46">
        <f>TRUNC(M34*F34,2)</f>
        <v>270.16000000000003</v>
      </c>
      <c r="O34" s="49">
        <f>TRUNC(N34*G34)+0.23</f>
        <v>2596.23</v>
      </c>
      <c r="P34" s="48">
        <v>0.2</v>
      </c>
      <c r="Q34" s="46">
        <f>TRUNC(P34*F34,2)</f>
        <v>67.540000000000006</v>
      </c>
      <c r="R34" s="49">
        <f>TRUNC(Q34*G34)</f>
        <v>649</v>
      </c>
      <c r="S34" s="49"/>
      <c r="T34" s="49"/>
      <c r="U34" s="42">
        <f>TRUNC(G34*T34)+0</f>
        <v>0</v>
      </c>
      <c r="V34" s="48"/>
      <c r="W34" s="43">
        <f>TRUNC(V34*F34,2)</f>
        <v>0</v>
      </c>
      <c r="X34" s="42">
        <f>TRUNC(W34*G34)+0</f>
        <v>0</v>
      </c>
      <c r="Y34" s="44">
        <f>Z34/F34</f>
        <v>0</v>
      </c>
      <c r="Z34" s="46"/>
      <c r="AA34" s="42">
        <f>TRUNC(Z34*G34)+0</f>
        <v>0</v>
      </c>
      <c r="AB34" s="47">
        <f>AC34/F34</f>
        <v>0</v>
      </c>
      <c r="AC34" s="46"/>
      <c r="AD34" s="43">
        <f>TRUNC(AC34*G34)</f>
        <v>0</v>
      </c>
      <c r="AE34" s="45">
        <f>AF34/F34</f>
        <v>0</v>
      </c>
      <c r="AF34" s="43"/>
      <c r="AG34" s="43">
        <f>TRUNC(AF34*G34)</f>
        <v>0</v>
      </c>
      <c r="AH34" s="44">
        <f>SUM(J34,M34,P34,V34,Y34,AB34,AE34)</f>
        <v>1</v>
      </c>
      <c r="AI34" s="43">
        <f>SUM(K34,N34,Q34,W34,Z34,T34,AC34)</f>
        <v>337.70000000000005</v>
      </c>
      <c r="AJ34" s="42">
        <f>SUM(L34,O34,R34,X34,AA34,U34,AD34,AG34)</f>
        <v>3245.23</v>
      </c>
      <c r="AK34" s="41" t="str">
        <f>IF(AH34=100%,"ITEM FINALIZADO",AH34)</f>
        <v>ITEM FINALIZADO</v>
      </c>
    </row>
    <row r="35" spans="1:38" ht="37.5">
      <c r="A35" s="57" t="s">
        <v>204</v>
      </c>
      <c r="B35" s="72">
        <v>92763</v>
      </c>
      <c r="C35" s="71" t="s">
        <v>203</v>
      </c>
      <c r="D35" s="69" t="s">
        <v>31</v>
      </c>
      <c r="E35" s="69" t="s">
        <v>184</v>
      </c>
      <c r="F35" s="70">
        <v>189.7</v>
      </c>
      <c r="G35" s="69">
        <v>8.02</v>
      </c>
      <c r="H35" s="64">
        <f>(F35*G35)</f>
        <v>1521.3939999999998</v>
      </c>
      <c r="I35" s="120"/>
      <c r="J35" s="48"/>
      <c r="K35" s="46"/>
      <c r="L35" s="49"/>
      <c r="M35" s="48">
        <v>0.8</v>
      </c>
      <c r="N35" s="46">
        <f>TRUNC(M35*F35,2)</f>
        <v>151.76</v>
      </c>
      <c r="O35" s="49">
        <f>TRUNC(N35*G35)+0.11</f>
        <v>1217.1099999999999</v>
      </c>
      <c r="P35" s="48">
        <v>0.2</v>
      </c>
      <c r="Q35" s="46">
        <f>TRUNC(P35*F35,2)</f>
        <v>37.94</v>
      </c>
      <c r="R35" s="49">
        <f>TRUNC(Q35*G35)</f>
        <v>304</v>
      </c>
      <c r="S35" s="49"/>
      <c r="T35" s="49"/>
      <c r="U35" s="42">
        <f>TRUNC(G35*T35)+0</f>
        <v>0</v>
      </c>
      <c r="V35" s="48"/>
      <c r="W35" s="43">
        <f>TRUNC(V35*F35,2)</f>
        <v>0</v>
      </c>
      <c r="X35" s="42">
        <f>TRUNC(W35*G35)+0</f>
        <v>0</v>
      </c>
      <c r="Y35" s="44">
        <f>Z35/F35</f>
        <v>0</v>
      </c>
      <c r="Z35" s="46"/>
      <c r="AA35" s="42">
        <f>TRUNC(Z35*G35)+0</f>
        <v>0</v>
      </c>
      <c r="AB35" s="47">
        <f>AC35/F35</f>
        <v>0</v>
      </c>
      <c r="AC35" s="46"/>
      <c r="AD35" s="43">
        <f>TRUNC(AC35*G35)</f>
        <v>0</v>
      </c>
      <c r="AE35" s="45">
        <f>AF35/F35</f>
        <v>0</v>
      </c>
      <c r="AF35" s="43"/>
      <c r="AG35" s="43">
        <f>TRUNC(AF35*G35)</f>
        <v>0</v>
      </c>
      <c r="AH35" s="44">
        <f>SUM(J35,M35,P35,V35,Y35,AB35,AE35)</f>
        <v>1</v>
      </c>
      <c r="AI35" s="43">
        <f>SUM(K35,N35,Q35,W35,Z35,T35,AC35)</f>
        <v>189.7</v>
      </c>
      <c r="AJ35" s="42">
        <f>SUM(L35,O35,R35,X35,AA35,U35,AD35,AG35)</f>
        <v>1521.11</v>
      </c>
      <c r="AK35" s="41" t="str">
        <f>IF(AH35=100%,"ITEM FINALIZADO",AH35)</f>
        <v>ITEM FINALIZADO</v>
      </c>
    </row>
    <row r="36" spans="1:38" ht="37.5">
      <c r="A36" s="57" t="s">
        <v>202</v>
      </c>
      <c r="B36" s="72">
        <v>92759</v>
      </c>
      <c r="C36" s="71" t="s">
        <v>201</v>
      </c>
      <c r="D36" s="69" t="s">
        <v>31</v>
      </c>
      <c r="E36" s="69" t="s">
        <v>184</v>
      </c>
      <c r="F36" s="70">
        <v>179.1</v>
      </c>
      <c r="G36" s="69">
        <v>12.82</v>
      </c>
      <c r="H36" s="64">
        <f>(F36*G36)</f>
        <v>2296.0619999999999</v>
      </c>
      <c r="I36" s="120"/>
      <c r="J36" s="48"/>
      <c r="K36" s="46"/>
      <c r="L36" s="49"/>
      <c r="M36" s="48">
        <v>0.8</v>
      </c>
      <c r="N36" s="46">
        <f>TRUNC(M36*F36,2)</f>
        <v>143.28</v>
      </c>
      <c r="O36" s="49">
        <f>TRUNC(N36*G36)+0.85</f>
        <v>1836.85</v>
      </c>
      <c r="P36" s="48">
        <v>0.2</v>
      </c>
      <c r="Q36" s="46">
        <f>TRUNC(P36*F36,2)</f>
        <v>35.82</v>
      </c>
      <c r="R36" s="49">
        <f>TRUNC(Q36*G36)</f>
        <v>459</v>
      </c>
      <c r="S36" s="49"/>
      <c r="T36" s="49"/>
      <c r="U36" s="42">
        <f>TRUNC(G36*T36)+0</f>
        <v>0</v>
      </c>
      <c r="V36" s="48"/>
      <c r="W36" s="43">
        <f>TRUNC(V36*F36,2)</f>
        <v>0</v>
      </c>
      <c r="X36" s="42">
        <f>TRUNC(W36*G36)+0</f>
        <v>0</v>
      </c>
      <c r="Y36" s="44">
        <f>Z36/F36</f>
        <v>0</v>
      </c>
      <c r="Z36" s="46"/>
      <c r="AA36" s="42">
        <f>TRUNC(Z36*G36)+0</f>
        <v>0</v>
      </c>
      <c r="AB36" s="47">
        <f>AC36/F36</f>
        <v>0</v>
      </c>
      <c r="AC36" s="46"/>
      <c r="AD36" s="43">
        <f>TRUNC(AC36*G36)</f>
        <v>0</v>
      </c>
      <c r="AE36" s="45">
        <f>AF36/F36</f>
        <v>0</v>
      </c>
      <c r="AF36" s="43"/>
      <c r="AG36" s="43">
        <f>TRUNC(AF36*G36)</f>
        <v>0</v>
      </c>
      <c r="AH36" s="44">
        <f>SUM(J36,M36,P36,V36,Y36,AB36,AE36)</f>
        <v>1</v>
      </c>
      <c r="AI36" s="43">
        <f>SUM(K36,N36,Q36,W36,Z36,T36,AC36)</f>
        <v>179.1</v>
      </c>
      <c r="AJ36" s="42">
        <f>SUM(L36,O36,R36,X36,AA36,U36,AD36,AG36)</f>
        <v>2295.85</v>
      </c>
      <c r="AK36" s="41" t="str">
        <f>IF(AH36=100%,"ITEM FINALIZADO",AH36)</f>
        <v>ITEM FINALIZADO</v>
      </c>
    </row>
    <row r="37" spans="1:38" ht="26">
      <c r="A37" s="57" t="s">
        <v>200</v>
      </c>
      <c r="B37" s="72">
        <v>92265</v>
      </c>
      <c r="C37" s="71" t="s">
        <v>199</v>
      </c>
      <c r="D37" s="69" t="s">
        <v>31</v>
      </c>
      <c r="E37" s="69" t="s">
        <v>30</v>
      </c>
      <c r="F37" s="70">
        <v>154.03</v>
      </c>
      <c r="G37" s="69">
        <v>101.89</v>
      </c>
      <c r="H37" s="64">
        <f>(F37*G37)-0.01</f>
        <v>15694.1067</v>
      </c>
      <c r="I37" s="120"/>
      <c r="J37" s="48"/>
      <c r="K37" s="46"/>
      <c r="L37" s="49"/>
      <c r="M37" s="48">
        <v>1</v>
      </c>
      <c r="N37" s="46">
        <f>TRUNC(M37*F37,2)</f>
        <v>154.03</v>
      </c>
      <c r="O37" s="49">
        <f>TRUNC(N37*G37)+0.11</f>
        <v>15694.11</v>
      </c>
      <c r="P37" s="48"/>
      <c r="Q37" s="46"/>
      <c r="R37" s="49"/>
      <c r="S37" s="49"/>
      <c r="T37" s="49"/>
      <c r="U37" s="42">
        <f>TRUNC(G37*T37)+0</f>
        <v>0</v>
      </c>
      <c r="V37" s="48"/>
      <c r="W37" s="43">
        <f>TRUNC(V37*F37,2)</f>
        <v>0</v>
      </c>
      <c r="X37" s="42">
        <f>TRUNC(W37*G37)+0</f>
        <v>0</v>
      </c>
      <c r="Y37" s="44">
        <f>Z37/F37</f>
        <v>0</v>
      </c>
      <c r="Z37" s="46"/>
      <c r="AA37" s="42">
        <f>TRUNC(Z37*G37)+0</f>
        <v>0</v>
      </c>
      <c r="AB37" s="47">
        <f>AC37/F37</f>
        <v>0</v>
      </c>
      <c r="AC37" s="46"/>
      <c r="AD37" s="43">
        <f>TRUNC(AC37*G37)</f>
        <v>0</v>
      </c>
      <c r="AE37" s="45">
        <f>AF37/F37</f>
        <v>0</v>
      </c>
      <c r="AF37" s="43"/>
      <c r="AG37" s="43">
        <f>TRUNC(AF37*G37)</f>
        <v>0</v>
      </c>
      <c r="AH37" s="44">
        <f>SUM(J37,M37,P37,V37,Y37,AB37,AE37)</f>
        <v>1</v>
      </c>
      <c r="AI37" s="43">
        <f>SUM(K37,N37,Q37,W37,Z37,T37,AC37)</f>
        <v>154.03</v>
      </c>
      <c r="AJ37" s="42">
        <f>SUM(L37,O37,R37,X37,AA37,U37,AD37,AG37)</f>
        <v>15694.11</v>
      </c>
      <c r="AK37" s="41" t="str">
        <f>IF(AH37=100%,"ITEM FINALIZADO",AH37)</f>
        <v>ITEM FINALIZADO</v>
      </c>
    </row>
    <row r="38" spans="1:38" ht="20.149999999999999" customHeight="1">
      <c r="A38" s="60" t="s">
        <v>198</v>
      </c>
      <c r="B38" s="59" t="s">
        <v>197</v>
      </c>
      <c r="C38" s="59"/>
      <c r="D38" s="59"/>
      <c r="E38" s="59"/>
      <c r="F38" s="59"/>
      <c r="G38" s="59"/>
      <c r="H38" s="58">
        <f>SUM(H39:H44)</f>
        <v>42001.8266</v>
      </c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117"/>
      <c r="AA38" s="117"/>
      <c r="AB38" s="117"/>
      <c r="AC38" s="117"/>
      <c r="AD38" s="118"/>
      <c r="AE38" s="119"/>
      <c r="AF38" s="118"/>
      <c r="AG38" s="118"/>
      <c r="AH38" s="118"/>
      <c r="AI38" s="117"/>
      <c r="AJ38" s="117"/>
      <c r="AK38" s="116">
        <f>SUM(AK39)</f>
        <v>0</v>
      </c>
    </row>
    <row r="39" spans="1:38" s="99" customFormat="1" ht="37.5">
      <c r="A39" s="111" t="s">
        <v>196</v>
      </c>
      <c r="B39" s="115">
        <v>94965</v>
      </c>
      <c r="C39" s="114" t="s">
        <v>195</v>
      </c>
      <c r="D39" s="113" t="s">
        <v>31</v>
      </c>
      <c r="E39" s="113" t="s">
        <v>168</v>
      </c>
      <c r="F39" s="113">
        <v>46.31</v>
      </c>
      <c r="G39" s="112">
        <v>433.53</v>
      </c>
      <c r="H39" s="107">
        <f>(F39*G39)</f>
        <v>20076.774300000001</v>
      </c>
      <c r="I39" s="106"/>
      <c r="J39" s="105"/>
      <c r="K39" s="102"/>
      <c r="L39" s="103"/>
      <c r="M39" s="105"/>
      <c r="N39" s="102"/>
      <c r="O39" s="103"/>
      <c r="P39" s="105"/>
      <c r="Q39" s="102"/>
      <c r="R39" s="103"/>
      <c r="S39" s="103"/>
      <c r="T39" s="103"/>
      <c r="U39" s="42">
        <f>TRUNC(G39*T39)+0</f>
        <v>0</v>
      </c>
      <c r="V39" s="104">
        <v>0</v>
      </c>
      <c r="W39" s="102">
        <f>TRUNC(V39*F39,2)</f>
        <v>0</v>
      </c>
      <c r="X39" s="103">
        <f>TRUNC(W39*G39)+0</f>
        <v>0</v>
      </c>
      <c r="Y39" s="44">
        <f>Z39/F39</f>
        <v>0</v>
      </c>
      <c r="Z39" s="102"/>
      <c r="AA39" s="42">
        <f>TRUNC(Z39*G39)+0</f>
        <v>0</v>
      </c>
      <c r="AB39" s="47">
        <f>AC39/F39</f>
        <v>0</v>
      </c>
      <c r="AC39" s="102"/>
      <c r="AD39" s="43">
        <f>TRUNC(AC39*G39)</f>
        <v>0</v>
      </c>
      <c r="AE39" s="45">
        <f>AF39/F39</f>
        <v>0</v>
      </c>
      <c r="AF39" s="43"/>
      <c r="AG39" s="43">
        <f>TRUNC(AF39*G39)</f>
        <v>0</v>
      </c>
      <c r="AH39" s="44">
        <f>SUM(J39,M39,P39,V39,Y39,AB39,AE39)</f>
        <v>0</v>
      </c>
      <c r="AI39" s="43">
        <f>SUM(K39,N39,Q39,W39,Z39,T39,AC39)</f>
        <v>0</v>
      </c>
      <c r="AJ39" s="42">
        <f>SUM(L39,O39,R39,X39,AA39,U39,AD39,AG39)</f>
        <v>0</v>
      </c>
      <c r="AK39" s="101">
        <f>IF(AH39=100%,"ITEM FINALIZADO",AH39)</f>
        <v>0</v>
      </c>
      <c r="AL39" s="100"/>
    </row>
    <row r="40" spans="1:38" s="99" customFormat="1" ht="25">
      <c r="A40" s="111" t="s">
        <v>194</v>
      </c>
      <c r="B40" s="115">
        <v>92267</v>
      </c>
      <c r="C40" s="114" t="s">
        <v>193</v>
      </c>
      <c r="D40" s="113" t="s">
        <v>31</v>
      </c>
      <c r="E40" s="113" t="s">
        <v>30</v>
      </c>
      <c r="F40" s="113">
        <v>312.27</v>
      </c>
      <c r="G40" s="112">
        <v>26.89</v>
      </c>
      <c r="H40" s="107">
        <f>(F40*G40)</f>
        <v>8396.9403000000002</v>
      </c>
      <c r="I40" s="106"/>
      <c r="J40" s="105"/>
      <c r="K40" s="102"/>
      <c r="L40" s="103"/>
      <c r="M40" s="105"/>
      <c r="N40" s="102"/>
      <c r="O40" s="103"/>
      <c r="P40" s="105"/>
      <c r="Q40" s="102"/>
      <c r="R40" s="103"/>
      <c r="S40" s="103"/>
      <c r="T40" s="103"/>
      <c r="U40" s="42">
        <f>TRUNC(G40*T40)+0</f>
        <v>0</v>
      </c>
      <c r="V40" s="104">
        <v>0</v>
      </c>
      <c r="W40" s="102">
        <f>TRUNC(V40*F40,2)</f>
        <v>0</v>
      </c>
      <c r="X40" s="103">
        <f>TRUNC(W40*G40)+0</f>
        <v>0</v>
      </c>
      <c r="Y40" s="44">
        <f>Z40/F40</f>
        <v>0</v>
      </c>
      <c r="Z40" s="102"/>
      <c r="AA40" s="42">
        <f>TRUNC(Z40*G40)+0</f>
        <v>0</v>
      </c>
      <c r="AB40" s="47">
        <f>AC40/F40</f>
        <v>0</v>
      </c>
      <c r="AC40" s="102"/>
      <c r="AD40" s="43">
        <f>TRUNC(AC40*G40)</f>
        <v>0</v>
      </c>
      <c r="AE40" s="45">
        <f>AF40/F40</f>
        <v>0</v>
      </c>
      <c r="AF40" s="43"/>
      <c r="AG40" s="43">
        <f>TRUNC(AF40*G40)</f>
        <v>0</v>
      </c>
      <c r="AH40" s="44">
        <f>SUM(J40,M40,P40,V40,Y40,AB40,AE40)</f>
        <v>0</v>
      </c>
      <c r="AI40" s="43">
        <f>SUM(K40,N40,Q40,W40,Z40,T40,AC40)</f>
        <v>0</v>
      </c>
      <c r="AJ40" s="42">
        <f>SUM(L40,O40,R40,X40,AA40,U40,AD40,AG40)</f>
        <v>0</v>
      </c>
      <c r="AK40" s="101">
        <f>IF(AH40=100%,"ITEM FINALIZADO",AH40)</f>
        <v>0</v>
      </c>
      <c r="AL40" s="100"/>
    </row>
    <row r="41" spans="1:38" s="99" customFormat="1" ht="37.5">
      <c r="A41" s="111" t="s">
        <v>192</v>
      </c>
      <c r="B41" s="115">
        <v>92769</v>
      </c>
      <c r="C41" s="114" t="s">
        <v>191</v>
      </c>
      <c r="D41" s="113" t="s">
        <v>31</v>
      </c>
      <c r="E41" s="113" t="s">
        <v>184</v>
      </c>
      <c r="F41" s="113">
        <v>885.8</v>
      </c>
      <c r="G41" s="112">
        <v>11.26</v>
      </c>
      <c r="H41" s="107">
        <f>(F41*G41)-0.01</f>
        <v>9974.098</v>
      </c>
      <c r="I41" s="106"/>
      <c r="J41" s="105"/>
      <c r="K41" s="102"/>
      <c r="L41" s="103"/>
      <c r="M41" s="105"/>
      <c r="N41" s="102"/>
      <c r="O41" s="103"/>
      <c r="P41" s="105"/>
      <c r="Q41" s="102"/>
      <c r="R41" s="103"/>
      <c r="S41" s="103"/>
      <c r="T41" s="103"/>
      <c r="U41" s="42">
        <f>TRUNC(G41*T41)+0</f>
        <v>0</v>
      </c>
      <c r="V41" s="104">
        <v>0</v>
      </c>
      <c r="W41" s="102">
        <f>TRUNC(V41*F41,2)</f>
        <v>0</v>
      </c>
      <c r="X41" s="103">
        <f>TRUNC(W41*G41)+0</f>
        <v>0</v>
      </c>
      <c r="Y41" s="44">
        <f>Z41/F41</f>
        <v>0</v>
      </c>
      <c r="Z41" s="102"/>
      <c r="AA41" s="42">
        <f>TRUNC(Z41*G41)+0</f>
        <v>0</v>
      </c>
      <c r="AB41" s="47">
        <f>AC41/F41</f>
        <v>0</v>
      </c>
      <c r="AC41" s="102"/>
      <c r="AD41" s="43">
        <f>TRUNC(AC41*G41)</f>
        <v>0</v>
      </c>
      <c r="AE41" s="45">
        <f>AF41/F41</f>
        <v>0</v>
      </c>
      <c r="AF41" s="43"/>
      <c r="AG41" s="43">
        <f>TRUNC(AF41*G41)</f>
        <v>0</v>
      </c>
      <c r="AH41" s="44">
        <f>SUM(J41,M41,P41,V41,Y41,AB41,AE41)</f>
        <v>0</v>
      </c>
      <c r="AI41" s="43">
        <f>SUM(K41,N41,Q41,W41,Z41,T41,AC41)</f>
        <v>0</v>
      </c>
      <c r="AJ41" s="42">
        <f>SUM(L41,O41,R41,X41,AA41,U41,AD41,AG41)</f>
        <v>0</v>
      </c>
      <c r="AK41" s="101">
        <f>IF(AH41=100%,"ITEM FINALIZADO",AH41)</f>
        <v>0</v>
      </c>
      <c r="AL41" s="100"/>
    </row>
    <row r="42" spans="1:38" s="99" customFormat="1" ht="37.5">
      <c r="A42" s="111" t="s">
        <v>190</v>
      </c>
      <c r="B42" s="115">
        <v>92770</v>
      </c>
      <c r="C42" s="114" t="s">
        <v>189</v>
      </c>
      <c r="D42" s="113" t="s">
        <v>31</v>
      </c>
      <c r="E42" s="113" t="s">
        <v>184</v>
      </c>
      <c r="F42" s="113">
        <v>229.5</v>
      </c>
      <c r="G42" s="112">
        <v>10.37</v>
      </c>
      <c r="H42" s="107">
        <f>(F42*G42)-0.01</f>
        <v>2379.9049999999997</v>
      </c>
      <c r="I42" s="106"/>
      <c r="J42" s="105"/>
      <c r="K42" s="102"/>
      <c r="L42" s="103"/>
      <c r="M42" s="105"/>
      <c r="N42" s="102"/>
      <c r="O42" s="103"/>
      <c r="P42" s="105"/>
      <c r="Q42" s="102"/>
      <c r="R42" s="103"/>
      <c r="S42" s="103"/>
      <c r="T42" s="103"/>
      <c r="U42" s="42">
        <f>TRUNC(G42*T42)+0</f>
        <v>0</v>
      </c>
      <c r="V42" s="104">
        <v>0</v>
      </c>
      <c r="W42" s="102">
        <f>TRUNC(V42*F42,2)</f>
        <v>0</v>
      </c>
      <c r="X42" s="103">
        <f>TRUNC(W42*G42)+0</f>
        <v>0</v>
      </c>
      <c r="Y42" s="44">
        <f>Z42/F42</f>
        <v>0</v>
      </c>
      <c r="Z42" s="102"/>
      <c r="AA42" s="42">
        <f>TRUNC(Z42*G42)+0</f>
        <v>0</v>
      </c>
      <c r="AB42" s="47">
        <f>AC42/F42</f>
        <v>0</v>
      </c>
      <c r="AC42" s="102"/>
      <c r="AD42" s="43">
        <f>TRUNC(AC42*G42)</f>
        <v>0</v>
      </c>
      <c r="AE42" s="45">
        <f>AF42/F42</f>
        <v>0</v>
      </c>
      <c r="AF42" s="43"/>
      <c r="AG42" s="43">
        <f>TRUNC(AF42*G42)</f>
        <v>0</v>
      </c>
      <c r="AH42" s="44">
        <f>SUM(J42,M42,P42,V42,Y42,AB42,AE42)</f>
        <v>0</v>
      </c>
      <c r="AI42" s="43">
        <f>SUM(K42,N42,Q42,W42,Z42,T42,AC42)</f>
        <v>0</v>
      </c>
      <c r="AJ42" s="42">
        <f>SUM(L42,O42,R42,X42,AA42,U42,AD42,AG42)</f>
        <v>0</v>
      </c>
      <c r="AK42" s="101">
        <f>IF(AH42=100%,"ITEM FINALIZADO",AH42)</f>
        <v>0</v>
      </c>
      <c r="AL42" s="100"/>
    </row>
    <row r="43" spans="1:38" s="99" customFormat="1" ht="37.5">
      <c r="A43" s="111" t="s">
        <v>188</v>
      </c>
      <c r="B43" s="115">
        <v>92771</v>
      </c>
      <c r="C43" s="114" t="s">
        <v>187</v>
      </c>
      <c r="D43" s="113" t="s">
        <v>31</v>
      </c>
      <c r="E43" s="113" t="s">
        <v>184</v>
      </c>
      <c r="F43" s="113">
        <v>39.6</v>
      </c>
      <c r="G43" s="112">
        <v>9.14</v>
      </c>
      <c r="H43" s="107">
        <f>(F43*G43)</f>
        <v>361.94400000000002</v>
      </c>
      <c r="I43" s="106"/>
      <c r="J43" s="105"/>
      <c r="K43" s="102"/>
      <c r="L43" s="103"/>
      <c r="M43" s="105"/>
      <c r="N43" s="102"/>
      <c r="O43" s="103"/>
      <c r="P43" s="105"/>
      <c r="Q43" s="102"/>
      <c r="R43" s="103"/>
      <c r="S43" s="103"/>
      <c r="T43" s="103"/>
      <c r="U43" s="42">
        <f>TRUNC(G43*T43)+0</f>
        <v>0</v>
      </c>
      <c r="V43" s="104">
        <v>0</v>
      </c>
      <c r="W43" s="102">
        <f>TRUNC(V43*F43,2)</f>
        <v>0</v>
      </c>
      <c r="X43" s="103">
        <f>TRUNC(W43*G43)+0</f>
        <v>0</v>
      </c>
      <c r="Y43" s="44">
        <f>Z43/F43</f>
        <v>0</v>
      </c>
      <c r="Z43" s="102"/>
      <c r="AA43" s="42">
        <f>TRUNC(Z43*G43)+0</f>
        <v>0</v>
      </c>
      <c r="AB43" s="47">
        <f>AC43/F43</f>
        <v>0</v>
      </c>
      <c r="AC43" s="102"/>
      <c r="AD43" s="43">
        <f>TRUNC(AC43*G43)</f>
        <v>0</v>
      </c>
      <c r="AE43" s="45">
        <f>AF43/F43</f>
        <v>0</v>
      </c>
      <c r="AF43" s="43"/>
      <c r="AG43" s="43">
        <f>TRUNC(AF43*G43)</f>
        <v>0</v>
      </c>
      <c r="AH43" s="44">
        <f>SUM(J43,M43,P43,V43,Y43,AB43,AE43)</f>
        <v>0</v>
      </c>
      <c r="AI43" s="43">
        <f>SUM(K43,N43,Q43,W43,Z43,T43,AC43)</f>
        <v>0</v>
      </c>
      <c r="AJ43" s="42">
        <f>SUM(L43,O43,R43,X43,AA43,U43,AD43,AG43)</f>
        <v>0</v>
      </c>
      <c r="AK43" s="101">
        <f>IF(AH43=100%,"ITEM FINALIZADO",AH43)</f>
        <v>0</v>
      </c>
      <c r="AL43" s="100"/>
    </row>
    <row r="44" spans="1:38" s="99" customFormat="1" ht="37.5">
      <c r="A44" s="111" t="s">
        <v>186</v>
      </c>
      <c r="B44" s="109">
        <v>92768</v>
      </c>
      <c r="C44" s="110" t="s">
        <v>185</v>
      </c>
      <c r="D44" s="109" t="s">
        <v>31</v>
      </c>
      <c r="E44" s="109" t="s">
        <v>184</v>
      </c>
      <c r="F44" s="109">
        <v>66.3</v>
      </c>
      <c r="G44" s="108">
        <v>12.25</v>
      </c>
      <c r="H44" s="107">
        <f>(F44*G44)-0.01</f>
        <v>812.16499999999996</v>
      </c>
      <c r="I44" s="106"/>
      <c r="J44" s="105"/>
      <c r="K44" s="102"/>
      <c r="L44" s="103"/>
      <c r="M44" s="105"/>
      <c r="N44" s="102"/>
      <c r="O44" s="103"/>
      <c r="P44" s="105"/>
      <c r="Q44" s="102"/>
      <c r="R44" s="103"/>
      <c r="S44" s="103"/>
      <c r="T44" s="103"/>
      <c r="U44" s="42">
        <f>TRUNC(G44*T44)+0</f>
        <v>0</v>
      </c>
      <c r="V44" s="104">
        <v>0</v>
      </c>
      <c r="W44" s="102">
        <f>TRUNC(V44*F44,2)</f>
        <v>0</v>
      </c>
      <c r="X44" s="103">
        <f>TRUNC(W44*G44)+0</f>
        <v>0</v>
      </c>
      <c r="Y44" s="44">
        <f>Z44/F44</f>
        <v>0</v>
      </c>
      <c r="Z44" s="102"/>
      <c r="AA44" s="42">
        <f>TRUNC(Z44*G44)+0</f>
        <v>0</v>
      </c>
      <c r="AB44" s="47">
        <f>AC44/F44</f>
        <v>0</v>
      </c>
      <c r="AC44" s="102"/>
      <c r="AD44" s="43">
        <f>TRUNC(AC44*G44)</f>
        <v>0</v>
      </c>
      <c r="AE44" s="45">
        <f>AF44/F44</f>
        <v>0</v>
      </c>
      <c r="AF44" s="43"/>
      <c r="AG44" s="43">
        <f>TRUNC(AF44*G44)</f>
        <v>0</v>
      </c>
      <c r="AH44" s="44">
        <f>SUM(J44,M44,P44,V44,Y44,AB44,AE44)</f>
        <v>0</v>
      </c>
      <c r="AI44" s="43">
        <f>SUM(K44,N44,Q44,W44,Z44,T44,AC44)</f>
        <v>0</v>
      </c>
      <c r="AJ44" s="42">
        <f>SUM(L44,O44,R44,X44,AA44,U44,AD44,AG44)</f>
        <v>0</v>
      </c>
      <c r="AK44" s="101">
        <f>IF(AH44=100%,"ITEM FINALIZADO",AH44)</f>
        <v>0</v>
      </c>
      <c r="AL44" s="100"/>
    </row>
    <row r="45" spans="1:38" ht="20.149999999999999" customHeight="1">
      <c r="A45" s="60">
        <v>4</v>
      </c>
      <c r="B45" s="59" t="s">
        <v>183</v>
      </c>
      <c r="C45" s="59"/>
      <c r="D45" s="59"/>
      <c r="E45" s="59"/>
      <c r="F45" s="59"/>
      <c r="G45" s="59"/>
      <c r="H45" s="58">
        <f>SUM(H46:H46)</f>
        <v>52764.439399999996</v>
      </c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5"/>
      <c r="AE45" s="36"/>
      <c r="AF45" s="35"/>
      <c r="AG45" s="35"/>
      <c r="AH45" s="35"/>
      <c r="AI45" s="34"/>
      <c r="AJ45" s="34"/>
      <c r="AK45" s="34"/>
    </row>
    <row r="46" spans="1:38" ht="37.5">
      <c r="A46" s="98" t="s">
        <v>182</v>
      </c>
      <c r="B46" s="68">
        <v>103328</v>
      </c>
      <c r="C46" s="67" t="s">
        <v>181</v>
      </c>
      <c r="D46" s="65" t="s">
        <v>31</v>
      </c>
      <c r="E46" s="65" t="s">
        <v>30</v>
      </c>
      <c r="F46" s="66">
        <v>609.42999999999995</v>
      </c>
      <c r="G46" s="65">
        <v>86.58</v>
      </c>
      <c r="H46" s="64">
        <f>(F46*G46)-0.01</f>
        <v>52764.439399999996</v>
      </c>
      <c r="I46" s="51"/>
      <c r="J46" s="48">
        <v>0.3</v>
      </c>
      <c r="K46" s="46">
        <f>TRUNC(J46*F46,2)</f>
        <v>182.82</v>
      </c>
      <c r="L46" s="49">
        <f>TRUNC(K46*G46)+1.33</f>
        <v>15829.33</v>
      </c>
      <c r="M46" s="48">
        <v>0.6</v>
      </c>
      <c r="N46" s="46">
        <f>TRUNC(M46*F46,2)</f>
        <v>365.65</v>
      </c>
      <c r="O46" s="49">
        <f>TRUNC(N46*G46)+1.66</f>
        <v>31658.66</v>
      </c>
      <c r="P46" s="48"/>
      <c r="Q46" s="46"/>
      <c r="R46" s="49"/>
      <c r="S46" s="49"/>
      <c r="T46" s="49">
        <v>60.94</v>
      </c>
      <c r="U46" s="42">
        <f>TRUNC(G46*T46)+0</f>
        <v>5276</v>
      </c>
      <c r="V46" s="48">
        <v>0.1</v>
      </c>
      <c r="W46" s="43">
        <f>TRUNC(V46*F46,2)</f>
        <v>60.94</v>
      </c>
      <c r="X46" s="42">
        <v>0</v>
      </c>
      <c r="Y46" s="44">
        <f>Z46/F46</f>
        <v>0</v>
      </c>
      <c r="Z46" s="46"/>
      <c r="AA46" s="42">
        <f>TRUNC(Z46*G46)+0</f>
        <v>0</v>
      </c>
      <c r="AB46" s="47">
        <f>AC46/F46</f>
        <v>0</v>
      </c>
      <c r="AC46" s="46"/>
      <c r="AD46" s="43">
        <f>TRUNC(AC46*G46)</f>
        <v>0</v>
      </c>
      <c r="AE46" s="45">
        <f>AF46/F46</f>
        <v>0</v>
      </c>
      <c r="AF46" s="43"/>
      <c r="AG46" s="43">
        <f>TRUNC(AF46*G46)</f>
        <v>0</v>
      </c>
      <c r="AH46" s="44">
        <f>SUM(J46,M46,P46,V46,Y46,AB46,AE46)</f>
        <v>0.99999999999999989</v>
      </c>
      <c r="AI46" s="43">
        <f>SUM(K46,N46,Q46,W46,Z46,T46,AC46)</f>
        <v>670.35000000000014</v>
      </c>
      <c r="AJ46" s="42">
        <f>SUM(L46,O46,R46,X46,AA46,U46,AD46,AG46)</f>
        <v>52763.99</v>
      </c>
      <c r="AK46" s="41" t="str">
        <f>IF(AH46=100%,"ITEM FINALIZADO",AH46)</f>
        <v>ITEM FINALIZADO</v>
      </c>
      <c r="AL46" s="2">
        <f>((F48/2)+F50)-F46</f>
        <v>709.2700000000001</v>
      </c>
    </row>
    <row r="47" spans="1:38" ht="20.149999999999999" customHeight="1">
      <c r="A47" s="60">
        <v>5</v>
      </c>
      <c r="B47" s="59" t="s">
        <v>180</v>
      </c>
      <c r="C47" s="59"/>
      <c r="D47" s="59"/>
      <c r="E47" s="59"/>
      <c r="F47" s="59"/>
      <c r="G47" s="59"/>
      <c r="H47" s="58">
        <f>SUM(H48:H51)</f>
        <v>141718.3308</v>
      </c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5"/>
      <c r="AE47" s="36"/>
      <c r="AF47" s="35"/>
      <c r="AG47" s="35"/>
      <c r="AH47" s="35"/>
      <c r="AI47" s="34"/>
      <c r="AJ47" s="34"/>
      <c r="AK47" s="34"/>
    </row>
    <row r="48" spans="1:38" ht="50">
      <c r="A48" s="57" t="s">
        <v>179</v>
      </c>
      <c r="B48" s="89">
        <v>87894</v>
      </c>
      <c r="C48" s="97" t="s">
        <v>178</v>
      </c>
      <c r="D48" s="73" t="s">
        <v>31</v>
      </c>
      <c r="E48" s="73" t="s">
        <v>30</v>
      </c>
      <c r="F48" s="74">
        <v>2157.3200000000002</v>
      </c>
      <c r="G48" s="73">
        <v>6.63</v>
      </c>
      <c r="H48" s="64">
        <f>(F48*G48)</f>
        <v>14303.0316</v>
      </c>
      <c r="I48" s="51"/>
      <c r="J48" s="51"/>
      <c r="K48" s="51"/>
      <c r="L48" s="51"/>
      <c r="M48" s="48"/>
      <c r="N48" s="46"/>
      <c r="O48" s="49"/>
      <c r="P48" s="48">
        <v>0.5</v>
      </c>
      <c r="Q48" s="62">
        <f>TRUNC(P48*F48,2)</f>
        <v>1078.6600000000001</v>
      </c>
      <c r="R48" s="49">
        <f>TRUNC(Q48*G48)</f>
        <v>7151</v>
      </c>
      <c r="S48" s="49"/>
      <c r="T48" s="49">
        <v>1078.6600000000001</v>
      </c>
      <c r="U48" s="42">
        <f>TRUNC(G48*T48)+0</f>
        <v>7151</v>
      </c>
      <c r="V48" s="48">
        <v>0.5</v>
      </c>
      <c r="W48" s="96">
        <f>TRUNC(V48*F48,2)</f>
        <v>1078.6600000000001</v>
      </c>
      <c r="X48" s="42">
        <v>0</v>
      </c>
      <c r="Y48" s="44">
        <f>Z48/F48</f>
        <v>0</v>
      </c>
      <c r="Z48" s="46"/>
      <c r="AA48" s="42">
        <f>TRUNC(Z48*G48)+0</f>
        <v>0</v>
      </c>
      <c r="AB48" s="47">
        <f>AC48/F48</f>
        <v>0</v>
      </c>
      <c r="AC48" s="46"/>
      <c r="AD48" s="43">
        <f>TRUNC(AC48*G48)</f>
        <v>0</v>
      </c>
      <c r="AE48" s="45">
        <f>AF48/F48</f>
        <v>0</v>
      </c>
      <c r="AF48" s="43"/>
      <c r="AG48" s="43">
        <f>TRUNC(AF48*G48)</f>
        <v>0</v>
      </c>
      <c r="AH48" s="44">
        <f>SUM(J48,M48,P48,V48,Y48,AB48,AE48)</f>
        <v>1</v>
      </c>
      <c r="AI48" s="43">
        <f>SUM(K48,N48,Q48,W48,Z48,T48,AC48)</f>
        <v>3235.9800000000005</v>
      </c>
      <c r="AJ48" s="42">
        <f>SUM(L48,O48,R48,X48,AA48,U48,AD48,AG48)</f>
        <v>14302</v>
      </c>
      <c r="AK48" s="41" t="str">
        <f>IF(AH48=100%,"ITEM FINALIZADO",AH48)</f>
        <v>ITEM FINALIZADO</v>
      </c>
    </row>
    <row r="49" spans="1:37" ht="50">
      <c r="A49" s="57" t="s">
        <v>177</v>
      </c>
      <c r="B49" s="72">
        <v>87548</v>
      </c>
      <c r="C49" s="92" t="s">
        <v>176</v>
      </c>
      <c r="D49" s="69" t="s">
        <v>31</v>
      </c>
      <c r="E49" s="69" t="s">
        <v>30</v>
      </c>
      <c r="F49" s="70">
        <v>2157.3200000000002</v>
      </c>
      <c r="G49" s="69">
        <v>27.55</v>
      </c>
      <c r="H49" s="64">
        <f>(F49*G49)</f>
        <v>59434.166000000005</v>
      </c>
      <c r="I49" s="51"/>
      <c r="J49" s="51"/>
      <c r="K49" s="51"/>
      <c r="L49" s="51"/>
      <c r="M49" s="48"/>
      <c r="N49" s="46"/>
      <c r="O49" s="49"/>
      <c r="P49" s="48">
        <v>0.5</v>
      </c>
      <c r="Q49" s="62">
        <f>TRUNC(P49*F49,2)</f>
        <v>1078.6600000000001</v>
      </c>
      <c r="R49" s="49">
        <f>TRUNC(Q49*G49)</f>
        <v>29717</v>
      </c>
      <c r="S49" s="49"/>
      <c r="T49" s="49">
        <v>1078.6600000000001</v>
      </c>
      <c r="U49" s="42">
        <f>TRUNC(G49*T49)+0</f>
        <v>29717</v>
      </c>
      <c r="V49" s="48">
        <v>0.5</v>
      </c>
      <c r="W49" s="96">
        <f>TRUNC(V49*F49,2)</f>
        <v>1078.6600000000001</v>
      </c>
      <c r="X49" s="42">
        <v>0</v>
      </c>
      <c r="Y49" s="44">
        <f>Z49/F49</f>
        <v>0</v>
      </c>
      <c r="Z49" s="46"/>
      <c r="AA49" s="42">
        <f>TRUNC(Z49*G49)+0</f>
        <v>0</v>
      </c>
      <c r="AB49" s="47">
        <f>AC49/F49</f>
        <v>0</v>
      </c>
      <c r="AC49" s="46"/>
      <c r="AD49" s="43">
        <f>TRUNC(AC49*G49)</f>
        <v>0</v>
      </c>
      <c r="AE49" s="45">
        <f>AF49/F49</f>
        <v>0</v>
      </c>
      <c r="AF49" s="43"/>
      <c r="AG49" s="43">
        <f>TRUNC(AF49*G49)</f>
        <v>0</v>
      </c>
      <c r="AH49" s="44">
        <f>SUM(J49,M49,P49,V49,Y49,AB49,AE49)</f>
        <v>1</v>
      </c>
      <c r="AI49" s="43">
        <f>SUM(K49,N49,Q49,W49,Z49,T49,AC49)</f>
        <v>3235.9800000000005</v>
      </c>
      <c r="AJ49" s="42">
        <f>SUM(L49,O49,R49,X49,AA49,U49,AD49,AG49)</f>
        <v>59434</v>
      </c>
      <c r="AK49" s="41" t="str">
        <f>IF(AH49=100%,"ITEM FINALIZADO",AH49)</f>
        <v>ITEM FINALIZADO</v>
      </c>
    </row>
    <row r="50" spans="1:37" ht="37.5">
      <c r="A50" s="57" t="s">
        <v>175</v>
      </c>
      <c r="B50" s="72">
        <v>104817</v>
      </c>
      <c r="C50" s="92" t="s">
        <v>174</v>
      </c>
      <c r="D50" s="69" t="s">
        <v>31</v>
      </c>
      <c r="E50" s="69" t="s">
        <v>30</v>
      </c>
      <c r="F50" s="70">
        <v>240.04</v>
      </c>
      <c r="G50" s="69">
        <v>218.41</v>
      </c>
      <c r="H50" s="64">
        <f>(F50*G50)</f>
        <v>52427.136399999996</v>
      </c>
      <c r="I50" s="51"/>
      <c r="J50" s="51"/>
      <c r="K50" s="51"/>
      <c r="L50" s="51"/>
      <c r="M50" s="48"/>
      <c r="N50" s="46"/>
      <c r="O50" s="49"/>
      <c r="P50" s="48"/>
      <c r="Q50" s="46">
        <f>TRUNC(P50*F50,2)</f>
        <v>0</v>
      </c>
      <c r="R50" s="49">
        <f>TRUNC(Q50*G50)</f>
        <v>0</v>
      </c>
      <c r="S50" s="49"/>
      <c r="T50" s="49">
        <v>72.010000000000005</v>
      </c>
      <c r="U50" s="42">
        <f>TRUNC(G50*T50)+0</f>
        <v>15727</v>
      </c>
      <c r="V50" s="48">
        <v>1</v>
      </c>
      <c r="W50" s="43">
        <f>TRUNC(V50*F50,2)</f>
        <v>240.04</v>
      </c>
      <c r="X50" s="42">
        <v>36700.129999999997</v>
      </c>
      <c r="Y50" s="44">
        <f>Z50/F50</f>
        <v>0</v>
      </c>
      <c r="Z50" s="46"/>
      <c r="AA50" s="42">
        <f>TRUNC(Z50*G50)+0</f>
        <v>0</v>
      </c>
      <c r="AB50" s="47">
        <f>AC50/F50</f>
        <v>0</v>
      </c>
      <c r="AC50" s="46"/>
      <c r="AD50" s="43">
        <f>TRUNC(AC50*G50)</f>
        <v>0</v>
      </c>
      <c r="AE50" s="45">
        <f>AF50/F50</f>
        <v>0</v>
      </c>
      <c r="AF50" s="43"/>
      <c r="AG50" s="43">
        <f>TRUNC(AF50*G50)</f>
        <v>0</v>
      </c>
      <c r="AH50" s="44">
        <f>SUM(J50,M50,P50,V50,Y50,AB50,AE50)</f>
        <v>1</v>
      </c>
      <c r="AI50" s="43">
        <f>SUM(K50,N50,Q50,W50,Z50,T50,AC50)</f>
        <v>312.05</v>
      </c>
      <c r="AJ50" s="42">
        <f>SUM(L50,O50,R50,X50,AA50,U50,AD50,AG50)</f>
        <v>52427.13</v>
      </c>
      <c r="AK50" s="41" t="str">
        <f>IF(AH50=100%,"ITEM FINALIZADO",AH50)</f>
        <v>ITEM FINALIZADO</v>
      </c>
    </row>
    <row r="51" spans="1:37" ht="37.5">
      <c r="A51" s="57" t="s">
        <v>173</v>
      </c>
      <c r="B51" s="72">
        <v>87262</v>
      </c>
      <c r="C51" s="92" t="s">
        <v>172</v>
      </c>
      <c r="D51" s="69" t="s">
        <v>31</v>
      </c>
      <c r="E51" s="69" t="s">
        <v>30</v>
      </c>
      <c r="F51" s="70">
        <v>92.76</v>
      </c>
      <c r="G51" s="69">
        <v>167.68</v>
      </c>
      <c r="H51" s="64">
        <f>(F51*G51)</f>
        <v>15553.996800000001</v>
      </c>
      <c r="I51" s="51"/>
      <c r="J51" s="51"/>
      <c r="K51" s="51"/>
      <c r="L51" s="51"/>
      <c r="M51" s="48"/>
      <c r="N51" s="46"/>
      <c r="O51" s="49"/>
      <c r="P51" s="48"/>
      <c r="Q51" s="46"/>
      <c r="R51" s="49"/>
      <c r="S51" s="49"/>
      <c r="T51" s="49"/>
      <c r="U51" s="42">
        <f>TRUNC(G51*T51)+0</f>
        <v>0</v>
      </c>
      <c r="V51" s="48">
        <v>0</v>
      </c>
      <c r="W51" s="43">
        <f>TRUNC(V51*F51,2)</f>
        <v>0</v>
      </c>
      <c r="X51" s="42">
        <f>TRUNC(W51*G51)+0</f>
        <v>0</v>
      </c>
      <c r="Y51" s="44">
        <f>Z51/F51</f>
        <v>0</v>
      </c>
      <c r="Z51" s="46"/>
      <c r="AA51" s="42">
        <f>TRUNC(Z51*G51)+0</f>
        <v>0</v>
      </c>
      <c r="AB51" s="47">
        <f>AC51/F51</f>
        <v>0</v>
      </c>
      <c r="AC51" s="46"/>
      <c r="AD51" s="43">
        <f>TRUNC(AC51*G51)</f>
        <v>0</v>
      </c>
      <c r="AE51" s="45">
        <f>AF51/F51</f>
        <v>1</v>
      </c>
      <c r="AF51" s="43">
        <v>92.76</v>
      </c>
      <c r="AG51" s="43">
        <f>TRUNC(AF51*G51)</f>
        <v>15553</v>
      </c>
      <c r="AH51" s="44">
        <f>SUM(J51,M51,P51,V51,Y51,AB51,AE51)</f>
        <v>1</v>
      </c>
      <c r="AI51" s="43">
        <f>SUM(K51,N51,Q51,W51,Z51,T51,AC51)</f>
        <v>0</v>
      </c>
      <c r="AJ51" s="42">
        <f>SUM(L51,O51,R51,X51,AA51,U51,AD51,AG51)</f>
        <v>15553</v>
      </c>
      <c r="AK51" s="41" t="str">
        <f>IF(AH51=100%,"ITEM FINALIZADO",AH51)</f>
        <v>ITEM FINALIZADO</v>
      </c>
    </row>
    <row r="52" spans="1:37" ht="20.149999999999999" customHeight="1">
      <c r="A52" s="60">
        <v>6</v>
      </c>
      <c r="B52" s="59" t="s">
        <v>171</v>
      </c>
      <c r="C52" s="59"/>
      <c r="D52" s="59"/>
      <c r="E52" s="59"/>
      <c r="F52" s="59"/>
      <c r="G52" s="59"/>
      <c r="H52" s="58">
        <f>SUM(H53:H54)</f>
        <v>67783.0429</v>
      </c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5"/>
      <c r="AE52" s="36"/>
      <c r="AF52" s="35"/>
      <c r="AG52" s="35"/>
      <c r="AH52" s="35"/>
      <c r="AI52" s="34"/>
      <c r="AJ52" s="34"/>
      <c r="AK52" s="34"/>
    </row>
    <row r="53" spans="1:37" ht="37.5">
      <c r="A53" s="57" t="s">
        <v>170</v>
      </c>
      <c r="B53" s="56">
        <v>87298</v>
      </c>
      <c r="C53" s="90" t="s">
        <v>169</v>
      </c>
      <c r="D53" s="53" t="s">
        <v>31</v>
      </c>
      <c r="E53" s="53" t="s">
        <v>168</v>
      </c>
      <c r="F53" s="54">
        <v>16.97</v>
      </c>
      <c r="G53" s="53">
        <v>578.78</v>
      </c>
      <c r="H53" s="64">
        <f>(F53*G53)-0.01</f>
        <v>9821.886599999998</v>
      </c>
      <c r="I53" s="51"/>
      <c r="J53" s="51"/>
      <c r="K53" s="51"/>
      <c r="L53" s="51"/>
      <c r="M53" s="48"/>
      <c r="N53" s="46"/>
      <c r="O53" s="49"/>
      <c r="P53" s="48"/>
      <c r="Q53" s="46"/>
      <c r="R53" s="49"/>
      <c r="S53" s="49">
        <v>0</v>
      </c>
      <c r="T53" s="49">
        <v>8.48</v>
      </c>
      <c r="U53" s="42">
        <f>TRUNC(G53*T53)+0</f>
        <v>4908</v>
      </c>
      <c r="V53" s="48">
        <v>1</v>
      </c>
      <c r="W53" s="43">
        <f>TRUNC(V53*F53,2)</f>
        <v>16.97</v>
      </c>
      <c r="X53" s="42">
        <v>4913.8900000000003</v>
      </c>
      <c r="Y53" s="44">
        <f>Z53/F53</f>
        <v>0</v>
      </c>
      <c r="Z53" s="46"/>
      <c r="AA53" s="42">
        <f>TRUNC(Z53*G53)+0</f>
        <v>0</v>
      </c>
      <c r="AB53" s="47">
        <f>AC53/F53</f>
        <v>0</v>
      </c>
      <c r="AC53" s="46"/>
      <c r="AD53" s="43">
        <f>TRUNC(AC53*G53)</f>
        <v>0</v>
      </c>
      <c r="AE53" s="45">
        <f>AF53/F53</f>
        <v>0</v>
      </c>
      <c r="AF53" s="43"/>
      <c r="AG53" s="43">
        <f>TRUNC(AF53*G53)</f>
        <v>0</v>
      </c>
      <c r="AH53" s="44">
        <f>SUM(J53,M53,P53,V53,Y53,AB53,AE53)</f>
        <v>1</v>
      </c>
      <c r="AI53" s="43">
        <f>SUM(K53,N53,Q53,W53,Z53,T53,AC53)</f>
        <v>25.45</v>
      </c>
      <c r="AJ53" s="42">
        <f>SUM(L53,O53,R53,X53,AA53,U53,AD53,AG53)</f>
        <v>9821.89</v>
      </c>
      <c r="AK53" s="41" t="str">
        <f>IF(AH53=100%,"ITEM FINALIZADO",AH53)</f>
        <v>ITEM FINALIZADO</v>
      </c>
    </row>
    <row r="54" spans="1:37" ht="50">
      <c r="A54" s="57" t="s">
        <v>167</v>
      </c>
      <c r="B54" s="53">
        <v>104597</v>
      </c>
      <c r="C54" s="90" t="s">
        <v>166</v>
      </c>
      <c r="D54" s="53" t="s">
        <v>31</v>
      </c>
      <c r="E54" s="53" t="s">
        <v>30</v>
      </c>
      <c r="F54" s="54">
        <v>339.53</v>
      </c>
      <c r="G54" s="53">
        <v>170.71</v>
      </c>
      <c r="H54" s="64">
        <f>(F54*G54)-0.01</f>
        <v>57961.156299999995</v>
      </c>
      <c r="I54" s="51"/>
      <c r="J54" s="51"/>
      <c r="K54" s="51"/>
      <c r="L54" s="51"/>
      <c r="M54" s="48"/>
      <c r="N54" s="46"/>
      <c r="O54" s="49"/>
      <c r="P54" s="48"/>
      <c r="Q54" s="46"/>
      <c r="R54" s="49"/>
      <c r="S54" s="49"/>
      <c r="T54" s="49"/>
      <c r="U54" s="42">
        <f>TRUNC(G54*T54)+0</f>
        <v>0</v>
      </c>
      <c r="V54" s="48"/>
      <c r="W54" s="43">
        <f>TRUNC(V54*F54,2)</f>
        <v>0</v>
      </c>
      <c r="X54" s="42">
        <f>TRUNC(W54*G54)+0</f>
        <v>0</v>
      </c>
      <c r="Y54" s="44">
        <f>Z54/F54</f>
        <v>0</v>
      </c>
      <c r="Z54" s="46"/>
      <c r="AA54" s="42">
        <f>TRUNC(Z54*G54)+0</f>
        <v>0</v>
      </c>
      <c r="AB54" s="47">
        <f>AC54/F54</f>
        <v>0</v>
      </c>
      <c r="AC54" s="46"/>
      <c r="AD54" s="43">
        <f>TRUNC(AC54*G54)</f>
        <v>0</v>
      </c>
      <c r="AE54" s="45">
        <f>AF54/F54</f>
        <v>0.73336936353194149</v>
      </c>
      <c r="AF54" s="43">
        <f>'MEMORIAL DE CALCULO'!BY95</f>
        <v>249.00090000000009</v>
      </c>
      <c r="AG54" s="43">
        <f>TRUNC(AF54*G54)</f>
        <v>42506</v>
      </c>
      <c r="AH54" s="44">
        <f>SUM(J54,M54,P54,V54,Y54,AB54,AE54)</f>
        <v>0.73336936353194149</v>
      </c>
      <c r="AI54" s="43">
        <f>SUM(K54,N54,Q54,W54,Z54,T54,AC54)</f>
        <v>0</v>
      </c>
      <c r="AJ54" s="42">
        <f>SUM(L54,O54,R54,X54,AA54,U54,AD54,AG54)</f>
        <v>42506</v>
      </c>
      <c r="AK54" s="41"/>
    </row>
    <row r="55" spans="1:37" ht="20.149999999999999" customHeight="1">
      <c r="A55" s="60">
        <v>7</v>
      </c>
      <c r="B55" s="59" t="s">
        <v>165</v>
      </c>
      <c r="C55" s="59"/>
      <c r="D55" s="59"/>
      <c r="E55" s="59"/>
      <c r="F55" s="59"/>
      <c r="G55" s="59"/>
      <c r="H55" s="58">
        <f>SUM(H56,H71)</f>
        <v>45511.361199999999</v>
      </c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5"/>
      <c r="AE55" s="36"/>
      <c r="AF55" s="35"/>
      <c r="AG55" s="35"/>
      <c r="AH55" s="35"/>
      <c r="AI55" s="34"/>
      <c r="AJ55" s="34"/>
      <c r="AK55" s="34"/>
    </row>
    <row r="56" spans="1:37" ht="20.149999999999999" customHeight="1">
      <c r="A56" s="60" t="s">
        <v>164</v>
      </c>
      <c r="B56" s="59" t="s">
        <v>163</v>
      </c>
      <c r="C56" s="59"/>
      <c r="D56" s="59"/>
      <c r="E56" s="59"/>
      <c r="F56" s="59"/>
      <c r="G56" s="59"/>
      <c r="H56" s="58">
        <f>SUM(H57:H70)</f>
        <v>16853.640000000003</v>
      </c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5"/>
      <c r="AE56" s="36"/>
      <c r="AF56" s="35"/>
      <c r="AG56" s="35"/>
      <c r="AH56" s="35"/>
      <c r="AI56" s="34"/>
      <c r="AJ56" s="34"/>
      <c r="AK56" s="34"/>
    </row>
    <row r="57" spans="1:37" ht="37.5">
      <c r="A57" s="57" t="s">
        <v>162</v>
      </c>
      <c r="B57" s="83">
        <v>86931</v>
      </c>
      <c r="C57" s="71" t="s">
        <v>161</v>
      </c>
      <c r="D57" s="69" t="s">
        <v>31</v>
      </c>
      <c r="E57" s="69" t="s">
        <v>43</v>
      </c>
      <c r="F57" s="70">
        <v>10</v>
      </c>
      <c r="G57" s="69">
        <v>453.87</v>
      </c>
      <c r="H57" s="64">
        <f>(F57*G57)</f>
        <v>4538.7</v>
      </c>
      <c r="I57" s="51"/>
      <c r="J57" s="51"/>
      <c r="K57" s="51"/>
      <c r="L57" s="51"/>
      <c r="M57" s="48"/>
      <c r="N57" s="46"/>
      <c r="O57" s="49"/>
      <c r="P57" s="63"/>
      <c r="Q57" s="46"/>
      <c r="R57" s="49"/>
      <c r="S57" s="49"/>
      <c r="T57" s="49"/>
      <c r="U57" s="42">
        <f>TRUNC(G57*T57)+0</f>
        <v>0</v>
      </c>
      <c r="V57" s="63"/>
      <c r="W57" s="43">
        <f>TRUNC(V57*F57,2)</f>
        <v>0</v>
      </c>
      <c r="X57" s="42">
        <f>TRUNC(W57*G57)+0</f>
        <v>0</v>
      </c>
      <c r="Y57" s="44">
        <f>Z57/F57</f>
        <v>0</v>
      </c>
      <c r="Z57" s="46"/>
      <c r="AA57" s="42">
        <f>TRUNC(Z57*G57)+0</f>
        <v>0</v>
      </c>
      <c r="AB57" s="47">
        <f>AC57/F57</f>
        <v>0</v>
      </c>
      <c r="AC57" s="46"/>
      <c r="AD57" s="43">
        <f>TRUNC(AC57*G57)</f>
        <v>0</v>
      </c>
      <c r="AE57" s="45">
        <f>AF57/F57</f>
        <v>0</v>
      </c>
      <c r="AF57" s="43"/>
      <c r="AG57" s="43">
        <f>TRUNC(AF57*G57)</f>
        <v>0</v>
      </c>
      <c r="AH57" s="44">
        <f>SUM(J57,M57,P57,V57,Y57,AB57,AE57)</f>
        <v>0</v>
      </c>
      <c r="AI57" s="43">
        <f>SUM(K57,N57,Q57,W57,Z57,T57,AC57)</f>
        <v>0</v>
      </c>
      <c r="AJ57" s="42">
        <f>SUM(L57,O57,R57,X57,AA57,U57,AD57,AG57)</f>
        <v>0</v>
      </c>
      <c r="AK57" s="41">
        <f>IF(AH57=100%,"ITEM FINALIZADO",AH57)</f>
        <v>0</v>
      </c>
    </row>
    <row r="58" spans="1:37" ht="62.5">
      <c r="A58" s="57" t="s">
        <v>160</v>
      </c>
      <c r="B58" s="83">
        <v>86939</v>
      </c>
      <c r="C58" s="71" t="s">
        <v>159</v>
      </c>
      <c r="D58" s="69" t="s">
        <v>31</v>
      </c>
      <c r="E58" s="69" t="s">
        <v>43</v>
      </c>
      <c r="F58" s="70">
        <v>10</v>
      </c>
      <c r="G58" s="69">
        <v>384.59</v>
      </c>
      <c r="H58" s="64">
        <f>(F58*G58)</f>
        <v>3845.8999999999996</v>
      </c>
      <c r="I58" s="51"/>
      <c r="J58" s="51"/>
      <c r="K58" s="51"/>
      <c r="L58" s="51"/>
      <c r="M58" s="48"/>
      <c r="N58" s="46"/>
      <c r="O58" s="49"/>
      <c r="P58" s="48"/>
      <c r="Q58" s="46"/>
      <c r="R58" s="49"/>
      <c r="S58" s="49"/>
      <c r="T58" s="49"/>
      <c r="U58" s="42">
        <f>TRUNC(G58*T58)+0</f>
        <v>0</v>
      </c>
      <c r="V58" s="48"/>
      <c r="W58" s="43">
        <f>TRUNC(V58*F58,2)</f>
        <v>0</v>
      </c>
      <c r="X58" s="42">
        <f>TRUNC(W58*G58)+0</f>
        <v>0</v>
      </c>
      <c r="Y58" s="44">
        <f>Z58/F58</f>
        <v>0</v>
      </c>
      <c r="Z58" s="46"/>
      <c r="AA58" s="42">
        <f>TRUNC(Z58*G58)+0</f>
        <v>0</v>
      </c>
      <c r="AB58" s="47">
        <f>AC58/F58</f>
        <v>0</v>
      </c>
      <c r="AC58" s="46"/>
      <c r="AD58" s="43">
        <f>TRUNC(AC58*G58)</f>
        <v>0</v>
      </c>
      <c r="AE58" s="45">
        <f>AF58/F58</f>
        <v>0</v>
      </c>
      <c r="AF58" s="43"/>
      <c r="AG58" s="43">
        <f>TRUNC(AF58*G58)</f>
        <v>0</v>
      </c>
      <c r="AH58" s="44">
        <f>SUM(J58,M58,P58,V58,Y58,AB58,AE58)</f>
        <v>0</v>
      </c>
      <c r="AI58" s="43">
        <f>SUM(K58,N58,Q58,W58,Z58,T58,AC58)</f>
        <v>0</v>
      </c>
      <c r="AJ58" s="42">
        <f>SUM(L58,O58,R58,X58,AA58,U58,AD58,AG58)</f>
        <v>0</v>
      </c>
      <c r="AK58" s="41">
        <f>IF(AH58=100%,"ITEM FINALIZADO",AH58)</f>
        <v>0</v>
      </c>
    </row>
    <row r="59" spans="1:37" ht="37.5">
      <c r="A59" s="57" t="s">
        <v>158</v>
      </c>
      <c r="B59" s="83">
        <v>89714</v>
      </c>
      <c r="C59" s="71" t="s">
        <v>157</v>
      </c>
      <c r="D59" s="69" t="s">
        <v>31</v>
      </c>
      <c r="E59" s="69" t="s">
        <v>62</v>
      </c>
      <c r="F59" s="70">
        <v>100</v>
      </c>
      <c r="G59" s="69">
        <v>34.630000000000003</v>
      </c>
      <c r="H59" s="64">
        <f>(F59*G59)</f>
        <v>3463.0000000000005</v>
      </c>
      <c r="I59" s="51"/>
      <c r="J59" s="51"/>
      <c r="K59" s="51"/>
      <c r="L59" s="51"/>
      <c r="M59" s="48"/>
      <c r="N59" s="46"/>
      <c r="O59" s="49"/>
      <c r="P59" s="48">
        <v>0.8</v>
      </c>
      <c r="Q59" s="46">
        <f>TRUNC(P59*F59,2)</f>
        <v>80</v>
      </c>
      <c r="R59" s="49">
        <f>TRUNC(Q59*G59)</f>
        <v>2770</v>
      </c>
      <c r="S59" s="49"/>
      <c r="T59" s="49">
        <v>20</v>
      </c>
      <c r="U59" s="42">
        <f>TRUNC(G59*T59)+0</f>
        <v>692</v>
      </c>
      <c r="V59" s="48">
        <v>0.2</v>
      </c>
      <c r="W59" s="43">
        <f>TRUNC(V59*F59,2)</f>
        <v>20</v>
      </c>
      <c r="X59" s="42">
        <v>0</v>
      </c>
      <c r="Y59" s="44">
        <f>Z59/F59</f>
        <v>0</v>
      </c>
      <c r="Z59" s="46"/>
      <c r="AA59" s="42">
        <f>TRUNC(Z59*G59)+0</f>
        <v>0</v>
      </c>
      <c r="AB59" s="47">
        <f>AC59/F59</f>
        <v>0</v>
      </c>
      <c r="AC59" s="46"/>
      <c r="AD59" s="43">
        <f>TRUNC(AC59*G59)</f>
        <v>0</v>
      </c>
      <c r="AE59" s="45">
        <f>AF59/F59</f>
        <v>0</v>
      </c>
      <c r="AF59" s="43"/>
      <c r="AG59" s="43">
        <f>TRUNC(AF59*G59)</f>
        <v>0</v>
      </c>
      <c r="AH59" s="44">
        <f>SUM(J59,M59,P59,V59,Y59,AB59,AE59)</f>
        <v>1</v>
      </c>
      <c r="AI59" s="43">
        <f>SUM(K59,N59,Q59,W59,Z59,T59,AC59)</f>
        <v>120</v>
      </c>
      <c r="AJ59" s="42">
        <f>SUM(L59,O59,R59,X59,AA59,U59,AD59,AG59)</f>
        <v>3462</v>
      </c>
      <c r="AK59" s="91" t="str">
        <f>IF(AH59=100%,"ITEM FINALIZADO",AH59)</f>
        <v>ITEM FINALIZADO</v>
      </c>
    </row>
    <row r="60" spans="1:37" ht="37.5">
      <c r="A60" s="57" t="s">
        <v>156</v>
      </c>
      <c r="B60" s="83">
        <v>89711</v>
      </c>
      <c r="C60" s="71" t="s">
        <v>155</v>
      </c>
      <c r="D60" s="69" t="s">
        <v>31</v>
      </c>
      <c r="E60" s="69" t="s">
        <v>62</v>
      </c>
      <c r="F60" s="70">
        <v>20</v>
      </c>
      <c r="G60" s="69">
        <v>20.059999999999999</v>
      </c>
      <c r="H60" s="64">
        <f>(F60*G60)</f>
        <v>401.2</v>
      </c>
      <c r="I60" s="51"/>
      <c r="J60" s="51"/>
      <c r="K60" s="51"/>
      <c r="L60" s="51"/>
      <c r="M60" s="48"/>
      <c r="N60" s="46"/>
      <c r="O60" s="49"/>
      <c r="P60" s="48">
        <v>0.8</v>
      </c>
      <c r="Q60" s="46">
        <f>TRUNC(P60*F60,2)</f>
        <v>16</v>
      </c>
      <c r="R60" s="49">
        <f>TRUNC(Q60*G60)</f>
        <v>320</v>
      </c>
      <c r="S60" s="49"/>
      <c r="T60" s="49">
        <v>4</v>
      </c>
      <c r="U60" s="42">
        <f>TRUNC(G60*T60)+0</f>
        <v>80</v>
      </c>
      <c r="V60" s="48">
        <v>0.2</v>
      </c>
      <c r="W60" s="43">
        <f>TRUNC(V60*F60,2)</f>
        <v>4</v>
      </c>
      <c r="X60" s="42">
        <v>0</v>
      </c>
      <c r="Y60" s="44">
        <f>Z60/F60</f>
        <v>0</v>
      </c>
      <c r="Z60" s="46"/>
      <c r="AA60" s="42">
        <f>TRUNC(Z60*G60)+0</f>
        <v>0</v>
      </c>
      <c r="AB60" s="47">
        <f>AC60/F60</f>
        <v>0</v>
      </c>
      <c r="AC60" s="46"/>
      <c r="AD60" s="43">
        <f>TRUNC(AC60*G60)</f>
        <v>0</v>
      </c>
      <c r="AE60" s="45">
        <f>AF60/F60</f>
        <v>0</v>
      </c>
      <c r="AF60" s="43"/>
      <c r="AG60" s="43">
        <f>TRUNC(AF60*G60)</f>
        <v>0</v>
      </c>
      <c r="AH60" s="44">
        <f>SUM(J60,M60,P60,V60,Y60,AB60,AE60)</f>
        <v>1</v>
      </c>
      <c r="AI60" s="43">
        <f>SUM(K60,N60,Q60,W60,Z60,T60,AC60)</f>
        <v>24</v>
      </c>
      <c r="AJ60" s="42">
        <f>SUM(L60,O60,R60,X60,AA60,U60,AD60,AG60)</f>
        <v>400</v>
      </c>
      <c r="AK60" s="91" t="str">
        <f>IF(AH60=100%,"ITEM FINALIZADO",AH60)</f>
        <v>ITEM FINALIZADO</v>
      </c>
    </row>
    <row r="61" spans="1:37" ht="37.5">
      <c r="A61" s="57" t="s">
        <v>154</v>
      </c>
      <c r="B61" s="83">
        <v>89798</v>
      </c>
      <c r="C61" s="71" t="s">
        <v>153</v>
      </c>
      <c r="D61" s="69" t="s">
        <v>31</v>
      </c>
      <c r="E61" s="69" t="s">
        <v>62</v>
      </c>
      <c r="F61" s="70">
        <v>65</v>
      </c>
      <c r="G61" s="69">
        <v>11.08</v>
      </c>
      <c r="H61" s="64">
        <f>(F61*G61)</f>
        <v>720.2</v>
      </c>
      <c r="I61" s="51"/>
      <c r="J61" s="51"/>
      <c r="K61" s="51"/>
      <c r="L61" s="51"/>
      <c r="M61" s="48"/>
      <c r="N61" s="46"/>
      <c r="O61" s="49"/>
      <c r="P61" s="48">
        <v>0.8</v>
      </c>
      <c r="Q61" s="46">
        <f>TRUNC(P61*F61,2)</f>
        <v>52</v>
      </c>
      <c r="R61" s="49">
        <f>TRUNC(Q61*G61)</f>
        <v>576</v>
      </c>
      <c r="S61" s="49"/>
      <c r="T61" s="49"/>
      <c r="U61" s="42">
        <f>TRUNC(G61*T61)+0</f>
        <v>0</v>
      </c>
      <c r="V61" s="48"/>
      <c r="W61" s="43">
        <f>TRUNC(V61*F61,2)</f>
        <v>0</v>
      </c>
      <c r="X61" s="42">
        <f>TRUNC(W61*G61)+0</f>
        <v>0</v>
      </c>
      <c r="Y61" s="44">
        <f>Z61/F61</f>
        <v>0.2</v>
      </c>
      <c r="Z61" s="46">
        <v>13</v>
      </c>
      <c r="AA61" s="42">
        <f>TRUNC(Z61*G61)+0</f>
        <v>144</v>
      </c>
      <c r="AB61" s="47">
        <f>AC61/F61</f>
        <v>0</v>
      </c>
      <c r="AC61" s="46"/>
      <c r="AD61" s="43">
        <f>TRUNC(AC61*G61)</f>
        <v>0</v>
      </c>
      <c r="AE61" s="45">
        <f>AF61/F61</f>
        <v>0</v>
      </c>
      <c r="AF61" s="43"/>
      <c r="AG61" s="43">
        <f>TRUNC(AF61*G61)</f>
        <v>0</v>
      </c>
      <c r="AH61" s="44">
        <f>SUM(J61,M61,P61,V61,Y61,AB61,AE61)</f>
        <v>1</v>
      </c>
      <c r="AI61" s="43">
        <f>SUM(K61,N61,Q61,W61,Z61,T61,AC61)</f>
        <v>65</v>
      </c>
      <c r="AJ61" s="42">
        <f>SUM(L61,O61,R61,X61,AA61,U61,AD61,AG61)</f>
        <v>720</v>
      </c>
      <c r="AK61" s="91" t="str">
        <f>IF(AH61=100%,"ITEM FINALIZADO",AH61)</f>
        <v>ITEM FINALIZADO</v>
      </c>
    </row>
    <row r="62" spans="1:37" ht="37.5">
      <c r="A62" s="57" t="s">
        <v>152</v>
      </c>
      <c r="B62" s="83">
        <v>104326</v>
      </c>
      <c r="C62" s="71" t="s">
        <v>151</v>
      </c>
      <c r="D62" s="69" t="s">
        <v>31</v>
      </c>
      <c r="E62" s="69" t="s">
        <v>43</v>
      </c>
      <c r="F62" s="70">
        <v>10</v>
      </c>
      <c r="G62" s="69">
        <v>19.2</v>
      </c>
      <c r="H62" s="64">
        <f>(F62*G62)</f>
        <v>192</v>
      </c>
      <c r="I62" s="51"/>
      <c r="J62" s="51"/>
      <c r="K62" s="51"/>
      <c r="L62" s="51"/>
      <c r="M62" s="48"/>
      <c r="N62" s="46"/>
      <c r="O62" s="49"/>
      <c r="P62" s="48"/>
      <c r="Q62" s="46"/>
      <c r="R62" s="49"/>
      <c r="S62" s="49"/>
      <c r="T62" s="49"/>
      <c r="U62" s="42">
        <f>TRUNC(G62*T62)+0</f>
        <v>0</v>
      </c>
      <c r="V62" s="48"/>
      <c r="W62" s="43">
        <f>TRUNC(V62*F62,2)</f>
        <v>0</v>
      </c>
      <c r="X62" s="42">
        <f>TRUNC(W62*G62)+0</f>
        <v>0</v>
      </c>
      <c r="Y62" s="44">
        <f>Z62/F62</f>
        <v>0</v>
      </c>
      <c r="Z62" s="46"/>
      <c r="AA62" s="42">
        <f>TRUNC(Z62*G62)+0</f>
        <v>0</v>
      </c>
      <c r="AB62" s="47">
        <f>AC62/F62</f>
        <v>0</v>
      </c>
      <c r="AC62" s="46"/>
      <c r="AD62" s="43">
        <f>TRUNC(AC62*G62)</f>
        <v>0</v>
      </c>
      <c r="AE62" s="45">
        <f>AF62/F62</f>
        <v>0</v>
      </c>
      <c r="AF62" s="43"/>
      <c r="AG62" s="43">
        <f>TRUNC(AF62*G62)</f>
        <v>0</v>
      </c>
      <c r="AH62" s="44">
        <f>SUM(J62,M62,P62,V62,Y62,AB62,AE62)</f>
        <v>0</v>
      </c>
      <c r="AI62" s="43">
        <f>SUM(K62,N62,Q62,W62,Z62,T62,AC62)</f>
        <v>0</v>
      </c>
      <c r="AJ62" s="42">
        <f>SUM(L62,O62,R62,X62,AA62,U62,AD62,AG62)</f>
        <v>0</v>
      </c>
      <c r="AK62" s="91">
        <f>IF(AH62=100%,"ITEM FINALIZADO",AH62)</f>
        <v>0</v>
      </c>
    </row>
    <row r="63" spans="1:37" ht="37.5">
      <c r="A63" s="57" t="s">
        <v>150</v>
      </c>
      <c r="B63" s="83">
        <v>104327</v>
      </c>
      <c r="C63" s="71" t="s">
        <v>149</v>
      </c>
      <c r="D63" s="69" t="s">
        <v>31</v>
      </c>
      <c r="E63" s="69" t="s">
        <v>43</v>
      </c>
      <c r="F63" s="70">
        <v>10</v>
      </c>
      <c r="G63" s="69">
        <v>18.32</v>
      </c>
      <c r="H63" s="64">
        <f>(F63*G63)</f>
        <v>183.2</v>
      </c>
      <c r="I63" s="51"/>
      <c r="J63" s="51"/>
      <c r="K63" s="51"/>
      <c r="L63" s="51"/>
      <c r="M63" s="48"/>
      <c r="N63" s="46"/>
      <c r="O63" s="49"/>
      <c r="P63" s="48"/>
      <c r="Q63" s="46"/>
      <c r="R63" s="49"/>
      <c r="S63" s="49"/>
      <c r="T63" s="49"/>
      <c r="U63" s="42">
        <f>TRUNC(G63*T63)+0</f>
        <v>0</v>
      </c>
      <c r="V63" s="48"/>
      <c r="W63" s="43">
        <f>TRUNC(V63*F63,2)</f>
        <v>0</v>
      </c>
      <c r="X63" s="42">
        <f>TRUNC(W63*G63)+0</f>
        <v>0</v>
      </c>
      <c r="Y63" s="44">
        <f>Z63/F63</f>
        <v>0</v>
      </c>
      <c r="Z63" s="46"/>
      <c r="AA63" s="42">
        <f>TRUNC(Z63*G63)+0</f>
        <v>0</v>
      </c>
      <c r="AB63" s="47">
        <f>AC63/F63</f>
        <v>0</v>
      </c>
      <c r="AC63" s="46"/>
      <c r="AD63" s="43">
        <f>TRUNC(AC63*G63)</f>
        <v>0</v>
      </c>
      <c r="AE63" s="45">
        <f>AF63/F63</f>
        <v>0</v>
      </c>
      <c r="AF63" s="43"/>
      <c r="AG63" s="43">
        <f>TRUNC(AF63*G63)</f>
        <v>0</v>
      </c>
      <c r="AH63" s="44">
        <f>SUM(J63,M63,P63,V63,Y63,AB63,AE63)</f>
        <v>0</v>
      </c>
      <c r="AI63" s="43">
        <f>SUM(K63,N63,Q63,W63,Z63,T63,AC63)</f>
        <v>0</v>
      </c>
      <c r="AJ63" s="42">
        <f>SUM(L63,O63,R63,X63,AA63,U63,AD63,AG63)</f>
        <v>0</v>
      </c>
      <c r="AK63" s="91">
        <f>IF(AH63=100%,"ITEM FINALIZADO",AH63)</f>
        <v>0</v>
      </c>
    </row>
    <row r="64" spans="1:37" ht="37.5">
      <c r="A64" s="57" t="s">
        <v>148</v>
      </c>
      <c r="B64" s="83">
        <v>89726</v>
      </c>
      <c r="C64" s="71" t="s">
        <v>147</v>
      </c>
      <c r="D64" s="69" t="s">
        <v>31</v>
      </c>
      <c r="E64" s="69" t="s">
        <v>43</v>
      </c>
      <c r="F64" s="70">
        <v>7</v>
      </c>
      <c r="G64" s="69">
        <v>9.43</v>
      </c>
      <c r="H64" s="64">
        <f>(F64*G64)</f>
        <v>66.009999999999991</v>
      </c>
      <c r="I64" s="51"/>
      <c r="J64" s="51"/>
      <c r="K64" s="51"/>
      <c r="L64" s="51"/>
      <c r="M64" s="48"/>
      <c r="N64" s="46"/>
      <c r="O64" s="49"/>
      <c r="P64" s="48">
        <v>0.8</v>
      </c>
      <c r="Q64" s="46">
        <f>TRUNC(P64*F64,2)</f>
        <v>5.6</v>
      </c>
      <c r="R64" s="49">
        <f>TRUNC(Q64*G64)</f>
        <v>52</v>
      </c>
      <c r="S64" s="49"/>
      <c r="T64" s="49">
        <v>1.4</v>
      </c>
      <c r="U64" s="42">
        <f>TRUNC(G64*T64)+0</f>
        <v>13</v>
      </c>
      <c r="V64" s="48">
        <v>0.2</v>
      </c>
      <c r="W64" s="43">
        <f>TRUNC(V64*F64,2)</f>
        <v>1.4</v>
      </c>
      <c r="X64" s="42">
        <v>0</v>
      </c>
      <c r="Y64" s="44">
        <f>Z64/F64</f>
        <v>0</v>
      </c>
      <c r="Z64" s="46"/>
      <c r="AA64" s="42">
        <f>TRUNC(Z64*G64)+0</f>
        <v>0</v>
      </c>
      <c r="AB64" s="47">
        <f>AC64/F64</f>
        <v>0</v>
      </c>
      <c r="AC64" s="46"/>
      <c r="AD64" s="43">
        <f>TRUNC(AC64*G64)</f>
        <v>0</v>
      </c>
      <c r="AE64" s="45">
        <f>AF64/F64</f>
        <v>0</v>
      </c>
      <c r="AF64" s="43"/>
      <c r="AG64" s="43">
        <f>TRUNC(AF64*G64)</f>
        <v>0</v>
      </c>
      <c r="AH64" s="44">
        <f>SUM(J64,M64,P64,V64,Y64,AB64,AE64)</f>
        <v>1</v>
      </c>
      <c r="AI64" s="43">
        <f>SUM(K64,N64,Q64,W64,Z64,T64,AC64)</f>
        <v>8.4</v>
      </c>
      <c r="AJ64" s="42">
        <f>SUM(L64,O64,R64,X64,AA64,U64,AD64,AG64)</f>
        <v>65</v>
      </c>
      <c r="AK64" s="91" t="str">
        <f>IF(AH64=100%,"ITEM FINALIZADO",AH64)</f>
        <v>ITEM FINALIZADO</v>
      </c>
    </row>
    <row r="65" spans="1:37" ht="37.5">
      <c r="A65" s="57" t="s">
        <v>146</v>
      </c>
      <c r="B65" s="83">
        <v>89732</v>
      </c>
      <c r="C65" s="71" t="s">
        <v>145</v>
      </c>
      <c r="D65" s="69" t="s">
        <v>31</v>
      </c>
      <c r="E65" s="69" t="s">
        <v>43</v>
      </c>
      <c r="F65" s="70">
        <v>7</v>
      </c>
      <c r="G65" s="69">
        <v>14.36</v>
      </c>
      <c r="H65" s="64">
        <f>(F65*G65)</f>
        <v>100.52</v>
      </c>
      <c r="I65" s="51"/>
      <c r="J65" s="51"/>
      <c r="K65" s="51"/>
      <c r="L65" s="51"/>
      <c r="M65" s="48"/>
      <c r="N65" s="46"/>
      <c r="O65" s="49"/>
      <c r="P65" s="48">
        <v>0.8</v>
      </c>
      <c r="Q65" s="46">
        <f>TRUNC(P65*F65,2)</f>
        <v>5.6</v>
      </c>
      <c r="R65" s="49">
        <f>TRUNC(Q65*G65)</f>
        <v>80</v>
      </c>
      <c r="S65" s="49"/>
      <c r="T65" s="49">
        <v>1.4</v>
      </c>
      <c r="U65" s="42">
        <f>TRUNC(G65*T65)+0</f>
        <v>20</v>
      </c>
      <c r="V65" s="48">
        <v>0.2</v>
      </c>
      <c r="W65" s="43">
        <f>TRUNC(V65*F65,2)</f>
        <v>1.4</v>
      </c>
      <c r="X65" s="42">
        <v>0</v>
      </c>
      <c r="Y65" s="44">
        <f>Z65/F65</f>
        <v>0</v>
      </c>
      <c r="Z65" s="46"/>
      <c r="AA65" s="42">
        <f>TRUNC(Z65*G65)+0</f>
        <v>0</v>
      </c>
      <c r="AB65" s="47">
        <f>AC65/F65</f>
        <v>0</v>
      </c>
      <c r="AC65" s="46"/>
      <c r="AD65" s="43">
        <f>TRUNC(AC65*G65)</f>
        <v>0</v>
      </c>
      <c r="AE65" s="45">
        <f>AF65/F65</f>
        <v>0</v>
      </c>
      <c r="AF65" s="43"/>
      <c r="AG65" s="43">
        <f>TRUNC(AF65*G65)</f>
        <v>0</v>
      </c>
      <c r="AH65" s="44">
        <f>SUM(J65,M65,P65,V65,Y65,AB65,AE65)</f>
        <v>1</v>
      </c>
      <c r="AI65" s="43">
        <f>SUM(K65,N65,Q65,W65,Z65,T65,AC65)</f>
        <v>8.4</v>
      </c>
      <c r="AJ65" s="42">
        <f>SUM(L65,O65,R65,X65,AA65,U65,AD65,AG65)</f>
        <v>100</v>
      </c>
      <c r="AK65" s="91" t="str">
        <f>IF(AH65=100%,"ITEM FINALIZADO",AH65)</f>
        <v>ITEM FINALIZADO</v>
      </c>
    </row>
    <row r="66" spans="1:37" ht="37.5">
      <c r="A66" s="57" t="s">
        <v>144</v>
      </c>
      <c r="B66" s="83">
        <v>89809</v>
      </c>
      <c r="C66" s="71" t="s">
        <v>143</v>
      </c>
      <c r="D66" s="69" t="s">
        <v>31</v>
      </c>
      <c r="E66" s="69" t="s">
        <v>43</v>
      </c>
      <c r="F66" s="70">
        <v>10</v>
      </c>
      <c r="G66" s="69">
        <v>25.87</v>
      </c>
      <c r="H66" s="64">
        <f>(F66*G66)</f>
        <v>258.7</v>
      </c>
      <c r="I66" s="51"/>
      <c r="J66" s="51"/>
      <c r="K66" s="51"/>
      <c r="L66" s="51"/>
      <c r="M66" s="48"/>
      <c r="N66" s="46"/>
      <c r="O66" s="49"/>
      <c r="P66" s="48">
        <v>0.8</v>
      </c>
      <c r="Q66" s="46">
        <f>TRUNC(P66*F66,2)</f>
        <v>8</v>
      </c>
      <c r="R66" s="49">
        <f>TRUNC(Q66*G66)</f>
        <v>206</v>
      </c>
      <c r="S66" s="49"/>
      <c r="T66" s="49">
        <v>2</v>
      </c>
      <c r="U66" s="42">
        <f>TRUNC(G66*T66)+0</f>
        <v>51</v>
      </c>
      <c r="V66" s="48">
        <v>0.2</v>
      </c>
      <c r="W66" s="43">
        <f>TRUNC(V66*F66,2)</f>
        <v>2</v>
      </c>
      <c r="X66" s="42">
        <v>0</v>
      </c>
      <c r="Y66" s="44">
        <f>Z66/F66</f>
        <v>0</v>
      </c>
      <c r="Z66" s="46"/>
      <c r="AA66" s="42">
        <f>TRUNC(Z66*G66)+0</f>
        <v>0</v>
      </c>
      <c r="AB66" s="47">
        <f>AC66/F66</f>
        <v>0</v>
      </c>
      <c r="AC66" s="46"/>
      <c r="AD66" s="43">
        <f>TRUNC(AC66*G66)</f>
        <v>0</v>
      </c>
      <c r="AE66" s="45">
        <f>AF66/F66</f>
        <v>0</v>
      </c>
      <c r="AF66" s="43"/>
      <c r="AG66" s="43">
        <f>TRUNC(AF66*G66)</f>
        <v>0</v>
      </c>
      <c r="AH66" s="44">
        <f>SUM(J66,M66,P66,V66,Y66,AB66,AE66)</f>
        <v>1</v>
      </c>
      <c r="AI66" s="43">
        <f>SUM(K66,N66,Q66,W66,Z66,T66,AC66)</f>
        <v>12</v>
      </c>
      <c r="AJ66" s="42">
        <f>SUM(L66,O66,R66,X66,AA66,U66,AD66,AG66)</f>
        <v>257</v>
      </c>
      <c r="AK66" s="91" t="str">
        <f>IF(AH66=100%,"ITEM FINALIZADO",AH66)</f>
        <v>ITEM FINALIZADO</v>
      </c>
    </row>
    <row r="67" spans="1:37" ht="37.5">
      <c r="A67" s="57" t="s">
        <v>142</v>
      </c>
      <c r="B67" s="83">
        <v>69810</v>
      </c>
      <c r="C67" s="71" t="s">
        <v>141</v>
      </c>
      <c r="D67" s="69" t="s">
        <v>31</v>
      </c>
      <c r="E67" s="69" t="s">
        <v>43</v>
      </c>
      <c r="F67" s="70">
        <v>6</v>
      </c>
      <c r="G67" s="69">
        <v>26.53</v>
      </c>
      <c r="H67" s="64">
        <f>(F67*G67)</f>
        <v>159.18</v>
      </c>
      <c r="I67" s="51"/>
      <c r="J67" s="51"/>
      <c r="K67" s="51"/>
      <c r="L67" s="51"/>
      <c r="M67" s="48"/>
      <c r="N67" s="46"/>
      <c r="O67" s="49"/>
      <c r="P67" s="48">
        <v>0.8</v>
      </c>
      <c r="Q67" s="46">
        <f>TRUNC(P67*F67,2)</f>
        <v>4.8</v>
      </c>
      <c r="R67" s="49">
        <f>TRUNC(Q67*G67)</f>
        <v>127</v>
      </c>
      <c r="S67" s="49"/>
      <c r="T67" s="49">
        <v>1.2</v>
      </c>
      <c r="U67" s="42">
        <f>TRUNC(G67*T67)+0</f>
        <v>31</v>
      </c>
      <c r="V67" s="48">
        <v>0.2</v>
      </c>
      <c r="W67" s="43">
        <f>TRUNC(V67*F67,2)</f>
        <v>1.2</v>
      </c>
      <c r="X67" s="42">
        <v>0</v>
      </c>
      <c r="Y67" s="44">
        <f>Z67/F67</f>
        <v>0</v>
      </c>
      <c r="Z67" s="46"/>
      <c r="AA67" s="42">
        <f>TRUNC(Z67*G67)+0</f>
        <v>0</v>
      </c>
      <c r="AB67" s="47">
        <f>AC67/F67</f>
        <v>0</v>
      </c>
      <c r="AC67" s="46"/>
      <c r="AD67" s="43">
        <f>TRUNC(AC67*G67)</f>
        <v>0</v>
      </c>
      <c r="AE67" s="45">
        <f>AF67/F67</f>
        <v>0</v>
      </c>
      <c r="AF67" s="43"/>
      <c r="AG67" s="43">
        <f>TRUNC(AF67*G67)</f>
        <v>0</v>
      </c>
      <c r="AH67" s="44">
        <f>SUM(J67,M67,P67,V67,Y67,AB67,AE67)</f>
        <v>1</v>
      </c>
      <c r="AI67" s="43">
        <f>SUM(K67,N67,Q67,W67,Z67,T67,AC67)</f>
        <v>7.2</v>
      </c>
      <c r="AJ67" s="42">
        <f>SUM(L67,O67,R67,X67,AA67,U67,AD67,AG67)</f>
        <v>158</v>
      </c>
      <c r="AK67" s="91" t="str">
        <f>IF(AH67=100%,"ITEM FINALIZADO",AH67)</f>
        <v>ITEM FINALIZADO</v>
      </c>
    </row>
    <row r="68" spans="1:37" ht="25">
      <c r="A68" s="57" t="s">
        <v>140</v>
      </c>
      <c r="B68" s="83">
        <v>100864</v>
      </c>
      <c r="C68" s="71" t="s">
        <v>139</v>
      </c>
      <c r="D68" s="69" t="s">
        <v>31</v>
      </c>
      <c r="E68" s="69" t="s">
        <v>43</v>
      </c>
      <c r="F68" s="70">
        <v>4</v>
      </c>
      <c r="G68" s="69">
        <v>632.21</v>
      </c>
      <c r="H68" s="64">
        <f>(F68*G68)</f>
        <v>2528.84</v>
      </c>
      <c r="I68" s="51"/>
      <c r="J68" s="51"/>
      <c r="K68" s="51"/>
      <c r="L68" s="51"/>
      <c r="M68" s="48"/>
      <c r="N68" s="46"/>
      <c r="O68" s="49"/>
      <c r="P68" s="48"/>
      <c r="Q68" s="46"/>
      <c r="R68" s="49"/>
      <c r="S68" s="49"/>
      <c r="T68" s="49"/>
      <c r="U68" s="42">
        <f>TRUNC(G68*T68)+0</f>
        <v>0</v>
      </c>
      <c r="V68" s="48"/>
      <c r="W68" s="43">
        <f>TRUNC(V68*F68,2)</f>
        <v>0</v>
      </c>
      <c r="X68" s="42">
        <f>TRUNC(W68*G68)+0</f>
        <v>0</v>
      </c>
      <c r="Y68" s="44">
        <f>Z68/F68</f>
        <v>0</v>
      </c>
      <c r="Z68" s="46"/>
      <c r="AA68" s="42">
        <f>TRUNC(Z68*G68)+0</f>
        <v>0</v>
      </c>
      <c r="AB68" s="47">
        <f>AC68/F68</f>
        <v>0</v>
      </c>
      <c r="AC68" s="46"/>
      <c r="AD68" s="43">
        <f>TRUNC(AC68*G68)</f>
        <v>0</v>
      </c>
      <c r="AE68" s="45">
        <f>AF68/F68</f>
        <v>0</v>
      </c>
      <c r="AF68" s="43"/>
      <c r="AG68" s="43">
        <f>TRUNC(AF68*G68)</f>
        <v>0</v>
      </c>
      <c r="AH68" s="44">
        <f>SUM(J68,M68,P68,V68,Y68,AB68,AE68)</f>
        <v>0</v>
      </c>
      <c r="AI68" s="43">
        <f>SUM(K68,N68,Q68,W68,Z68,T68,AC68)</f>
        <v>0</v>
      </c>
      <c r="AJ68" s="42">
        <f>SUM(L68,O68,R68,X68,AA68,U68,AD68,AG68)</f>
        <v>0</v>
      </c>
      <c r="AK68" s="91">
        <f>IF(AH68=100%,"ITEM FINALIZADO",AH68)</f>
        <v>0</v>
      </c>
    </row>
    <row r="69" spans="1:37" ht="37.5">
      <c r="A69" s="57" t="s">
        <v>138</v>
      </c>
      <c r="B69" s="83">
        <v>89833</v>
      </c>
      <c r="C69" s="71" t="s">
        <v>137</v>
      </c>
      <c r="D69" s="69" t="s">
        <v>31</v>
      </c>
      <c r="E69" s="69" t="s">
        <v>43</v>
      </c>
      <c r="F69" s="70">
        <v>3</v>
      </c>
      <c r="G69" s="69">
        <v>39.81</v>
      </c>
      <c r="H69" s="64">
        <f>(F69*G69)</f>
        <v>119.43</v>
      </c>
      <c r="I69" s="51"/>
      <c r="J69" s="51"/>
      <c r="K69" s="51"/>
      <c r="L69" s="51"/>
      <c r="M69" s="48"/>
      <c r="N69" s="46"/>
      <c r="O69" s="49"/>
      <c r="P69" s="48">
        <v>0.8</v>
      </c>
      <c r="Q69" s="46">
        <f>TRUNC(P69*F69,2)</f>
        <v>2.4</v>
      </c>
      <c r="R69" s="49">
        <f>TRUNC(Q69*G69)</f>
        <v>95</v>
      </c>
      <c r="S69" s="49"/>
      <c r="T69" s="49">
        <v>0.6</v>
      </c>
      <c r="U69" s="42">
        <f>TRUNC(G69*T69)+0</f>
        <v>23</v>
      </c>
      <c r="V69" s="48">
        <v>0.2</v>
      </c>
      <c r="W69" s="96">
        <f>TRUNC(V69*F69,2)</f>
        <v>0.6</v>
      </c>
      <c r="X69" s="42">
        <v>0</v>
      </c>
      <c r="Y69" s="44">
        <f>Z69/F69</f>
        <v>0</v>
      </c>
      <c r="Z69" s="46"/>
      <c r="AA69" s="42">
        <f>TRUNC(Z69*G69)+0</f>
        <v>0</v>
      </c>
      <c r="AB69" s="47">
        <f>AC69/F69</f>
        <v>0</v>
      </c>
      <c r="AC69" s="46"/>
      <c r="AD69" s="43">
        <f>TRUNC(AC69*G69)</f>
        <v>0</v>
      </c>
      <c r="AE69" s="45">
        <f>AF69/F69</f>
        <v>0</v>
      </c>
      <c r="AF69" s="43"/>
      <c r="AG69" s="43">
        <f>TRUNC(AF69*G69)</f>
        <v>0</v>
      </c>
      <c r="AH69" s="44">
        <f>SUM(J69,M69,P69,V69,Y69,AB69,AE69)</f>
        <v>1</v>
      </c>
      <c r="AI69" s="43">
        <f>SUM(K69,N69,Q69,W69,Z69,T69,AC69)</f>
        <v>3.6</v>
      </c>
      <c r="AJ69" s="42">
        <f>SUM(L69,O69,R69,X69,AA69,U69,AD69,AG69)</f>
        <v>118</v>
      </c>
      <c r="AK69" s="91" t="str">
        <f>IF(AH69=100%,"ITEM FINALIZADO",AH69)</f>
        <v>ITEM FINALIZADO</v>
      </c>
    </row>
    <row r="70" spans="1:37" ht="37.5">
      <c r="A70" s="57" t="s">
        <v>136</v>
      </c>
      <c r="B70" s="83">
        <v>102711</v>
      </c>
      <c r="C70" s="71" t="s">
        <v>135</v>
      </c>
      <c r="D70" s="69" t="s">
        <v>31</v>
      </c>
      <c r="E70" s="69" t="s">
        <v>43</v>
      </c>
      <c r="F70" s="70">
        <v>4</v>
      </c>
      <c r="G70" s="69">
        <v>69.19</v>
      </c>
      <c r="H70" s="64">
        <f>(F70*G70)</f>
        <v>276.76</v>
      </c>
      <c r="I70" s="51"/>
      <c r="J70" s="51"/>
      <c r="K70" s="51"/>
      <c r="L70" s="51"/>
      <c r="M70" s="48"/>
      <c r="N70" s="46"/>
      <c r="O70" s="49"/>
      <c r="P70" s="48">
        <v>0.8</v>
      </c>
      <c r="Q70" s="46">
        <f>TRUNC(P70*F70,2)</f>
        <v>3.2</v>
      </c>
      <c r="R70" s="49">
        <f>TRUNC(Q70*G70)</f>
        <v>221</v>
      </c>
      <c r="S70" s="49"/>
      <c r="T70" s="49">
        <v>0.8</v>
      </c>
      <c r="U70" s="42">
        <f>TRUNC(G70*T70)+0</f>
        <v>55</v>
      </c>
      <c r="V70" s="48">
        <v>0.2</v>
      </c>
      <c r="W70" s="96">
        <f>TRUNC(V70*F70,2)</f>
        <v>0.8</v>
      </c>
      <c r="X70" s="42">
        <v>0</v>
      </c>
      <c r="Y70" s="44">
        <f>Z70/F70</f>
        <v>0</v>
      </c>
      <c r="Z70" s="46"/>
      <c r="AA70" s="42">
        <f>TRUNC(Z70*G70)+0</f>
        <v>0</v>
      </c>
      <c r="AB70" s="47">
        <f>AC70/F70</f>
        <v>0</v>
      </c>
      <c r="AC70" s="46"/>
      <c r="AD70" s="43">
        <f>TRUNC(AC70*G70)</f>
        <v>0</v>
      </c>
      <c r="AE70" s="45">
        <f>AF70/F70</f>
        <v>0</v>
      </c>
      <c r="AF70" s="43"/>
      <c r="AG70" s="43">
        <f>TRUNC(AF70*G70)</f>
        <v>0</v>
      </c>
      <c r="AH70" s="44">
        <f>SUM(J70,M70,P70,V70,Y70,AB70,AE70)</f>
        <v>1</v>
      </c>
      <c r="AI70" s="43">
        <f>SUM(K70,N70,Q70,W70,Z70,T70,AC70)</f>
        <v>4.8</v>
      </c>
      <c r="AJ70" s="42">
        <f>SUM(L70,O70,R70,X70,AA70,U70,AD70,AG70)</f>
        <v>276</v>
      </c>
      <c r="AK70" s="91" t="str">
        <f>IF(AH70=100%,"ITEM FINALIZADO",AH70)</f>
        <v>ITEM FINALIZADO</v>
      </c>
    </row>
    <row r="71" spans="1:37" ht="19.5" customHeight="1">
      <c r="A71" s="60" t="s">
        <v>134</v>
      </c>
      <c r="B71" s="59" t="s">
        <v>133</v>
      </c>
      <c r="C71" s="59"/>
      <c r="D71" s="59"/>
      <c r="E71" s="59"/>
      <c r="F71" s="59"/>
      <c r="G71" s="59"/>
      <c r="H71" s="58">
        <f>SUM(H72:H90)</f>
        <v>28657.7212</v>
      </c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5"/>
      <c r="AE71" s="36"/>
      <c r="AF71" s="35"/>
      <c r="AG71" s="35"/>
      <c r="AH71" s="35"/>
      <c r="AI71" s="34"/>
      <c r="AJ71" s="34"/>
      <c r="AK71" s="34"/>
    </row>
    <row r="72" spans="1:37" ht="26">
      <c r="A72" s="57" t="s">
        <v>132</v>
      </c>
      <c r="B72" s="72">
        <v>102616</v>
      </c>
      <c r="C72" s="71" t="s">
        <v>131</v>
      </c>
      <c r="D72" s="69" t="s">
        <v>31</v>
      </c>
      <c r="E72" s="69" t="s">
        <v>43</v>
      </c>
      <c r="F72" s="70">
        <v>2</v>
      </c>
      <c r="G72" s="69">
        <v>1826.49</v>
      </c>
      <c r="H72" s="64">
        <f>(F72*G72)</f>
        <v>3652.98</v>
      </c>
      <c r="I72" s="51"/>
      <c r="J72" s="51"/>
      <c r="K72" s="51"/>
      <c r="L72" s="51"/>
      <c r="M72" s="48"/>
      <c r="N72" s="46"/>
      <c r="O72" s="49"/>
      <c r="P72" s="48"/>
      <c r="Q72" s="46"/>
      <c r="R72" s="49"/>
      <c r="S72" s="49"/>
      <c r="T72" s="49"/>
      <c r="U72" s="42">
        <f>TRUNC(G72*T72)+0</f>
        <v>0</v>
      </c>
      <c r="V72" s="48"/>
      <c r="W72" s="43">
        <f>TRUNC(V72*F72,2)</f>
        <v>0</v>
      </c>
      <c r="X72" s="42">
        <f>TRUNC(W72*G72)+0</f>
        <v>0</v>
      </c>
      <c r="Y72" s="44">
        <f>Z72/F72</f>
        <v>0</v>
      </c>
      <c r="Z72" s="46"/>
      <c r="AA72" s="42">
        <f>TRUNC(Z72*G72)+0</f>
        <v>0</v>
      </c>
      <c r="AB72" s="95">
        <f>AC72/F72</f>
        <v>1</v>
      </c>
      <c r="AC72" s="94">
        <v>2</v>
      </c>
      <c r="AD72" s="93">
        <f>TRUNC(AC72*G72)</f>
        <v>3652</v>
      </c>
      <c r="AE72" s="45">
        <f>AF72/F72</f>
        <v>0</v>
      </c>
      <c r="AF72" s="93"/>
      <c r="AG72" s="43">
        <f>TRUNC(AF72*G72)</f>
        <v>0</v>
      </c>
      <c r="AH72" s="44">
        <f>SUM(J72,M72,P72,V72,Y72,AB72,AE72)</f>
        <v>1</v>
      </c>
      <c r="AI72" s="43">
        <f>SUM(K72,N72,Q72,W72,Z72,T72,AC72)</f>
        <v>2</v>
      </c>
      <c r="AJ72" s="42">
        <f>SUM(L72,O72,R72,X72,AA72,U72,AD72,AG72)</f>
        <v>3652</v>
      </c>
      <c r="AK72" s="41" t="str">
        <f>IF(AH72=100%,"ITEM FINALIZADO",AH72)</f>
        <v>ITEM FINALIZADO</v>
      </c>
    </row>
    <row r="73" spans="1:37" ht="26">
      <c r="A73" s="57" t="s">
        <v>130</v>
      </c>
      <c r="B73" s="72">
        <v>89446</v>
      </c>
      <c r="C73" s="71" t="s">
        <v>129</v>
      </c>
      <c r="D73" s="69" t="s">
        <v>31</v>
      </c>
      <c r="E73" s="69" t="s">
        <v>62</v>
      </c>
      <c r="F73" s="70">
        <v>100</v>
      </c>
      <c r="G73" s="69">
        <v>4.93</v>
      </c>
      <c r="H73" s="64">
        <f>(F73*G73)</f>
        <v>493</v>
      </c>
      <c r="I73" s="51"/>
      <c r="J73" s="51"/>
      <c r="K73" s="51"/>
      <c r="L73" s="51"/>
      <c r="M73" s="48"/>
      <c r="N73" s="46"/>
      <c r="O73" s="49"/>
      <c r="P73" s="48"/>
      <c r="Q73" s="46"/>
      <c r="R73" s="49"/>
      <c r="S73" s="49"/>
      <c r="T73" s="49"/>
      <c r="U73" s="42">
        <f>TRUNC(G73*T73)+0</f>
        <v>0</v>
      </c>
      <c r="V73" s="48"/>
      <c r="W73" s="43">
        <f>TRUNC(V73*F73,2)</f>
        <v>0</v>
      </c>
      <c r="X73" s="42">
        <f>TRUNC(W73*G73)+0</f>
        <v>0</v>
      </c>
      <c r="Y73" s="44">
        <f>Z73/F73</f>
        <v>0</v>
      </c>
      <c r="Z73" s="46"/>
      <c r="AA73" s="42">
        <f>TRUNC(Z73*G73)+0</f>
        <v>0</v>
      </c>
      <c r="AB73" s="47">
        <f>AC73/F73</f>
        <v>1</v>
      </c>
      <c r="AC73" s="46">
        <v>100</v>
      </c>
      <c r="AD73" s="43">
        <f>TRUNC(AC73*G73)</f>
        <v>493</v>
      </c>
      <c r="AE73" s="45">
        <f>AF73/F73</f>
        <v>0</v>
      </c>
      <c r="AF73" s="43"/>
      <c r="AG73" s="43">
        <f>TRUNC(AF73*G73)</f>
        <v>0</v>
      </c>
      <c r="AH73" s="44">
        <f>SUM(J73,M73,P73,V73,Y73,AB73,AE73)</f>
        <v>1</v>
      </c>
      <c r="AI73" s="43">
        <f>SUM(K73,N73,Q73,W73,Z73,T73,AC73)</f>
        <v>100</v>
      </c>
      <c r="AJ73" s="42">
        <f>SUM(L73,O73,R73,X73,AA73,U73,AD73,AG73)</f>
        <v>493</v>
      </c>
      <c r="AK73" s="91" t="str">
        <f>IF(AH73=100%,"ITEM FINALIZADO",AH73)</f>
        <v>ITEM FINALIZADO</v>
      </c>
    </row>
    <row r="74" spans="1:37" ht="37.5">
      <c r="A74" s="57" t="s">
        <v>128</v>
      </c>
      <c r="B74" s="72">
        <v>89366</v>
      </c>
      <c r="C74" s="71" t="s">
        <v>127</v>
      </c>
      <c r="D74" s="69" t="s">
        <v>31</v>
      </c>
      <c r="E74" s="69" t="s">
        <v>43</v>
      </c>
      <c r="F74" s="70">
        <v>10</v>
      </c>
      <c r="G74" s="69">
        <v>15.08</v>
      </c>
      <c r="H74" s="64">
        <f>(F74*G74)</f>
        <v>150.80000000000001</v>
      </c>
      <c r="I74" s="51"/>
      <c r="J74" s="51"/>
      <c r="K74" s="51"/>
      <c r="L74" s="51"/>
      <c r="M74" s="48"/>
      <c r="N74" s="46"/>
      <c r="O74" s="49"/>
      <c r="P74" s="48"/>
      <c r="Q74" s="46"/>
      <c r="R74" s="49"/>
      <c r="S74" s="49"/>
      <c r="T74" s="49"/>
      <c r="U74" s="42">
        <f>TRUNC(G74*T74)+0</f>
        <v>0</v>
      </c>
      <c r="V74" s="48"/>
      <c r="W74" s="43">
        <f>TRUNC(V74*F74,2)</f>
        <v>0</v>
      </c>
      <c r="X74" s="42">
        <f>TRUNC(W74*G74)+0</f>
        <v>0</v>
      </c>
      <c r="Y74" s="44">
        <f>Z74/F74</f>
        <v>0</v>
      </c>
      <c r="Z74" s="46"/>
      <c r="AA74" s="42">
        <f>TRUNC(Z74*G74)+0</f>
        <v>0</v>
      </c>
      <c r="AB74" s="47">
        <f>AC74/F74</f>
        <v>1</v>
      </c>
      <c r="AC74" s="46">
        <v>10</v>
      </c>
      <c r="AD74" s="43">
        <f>TRUNC(AC74*G74)</f>
        <v>150</v>
      </c>
      <c r="AE74" s="45">
        <f>AF74/F74</f>
        <v>0</v>
      </c>
      <c r="AF74" s="43"/>
      <c r="AG74" s="43">
        <f>TRUNC(AF74*G74)</f>
        <v>0</v>
      </c>
      <c r="AH74" s="44">
        <f>SUM(J74,M74,P74,V74,Y74,AB74,AE74)</f>
        <v>1</v>
      </c>
      <c r="AI74" s="43">
        <f>SUM(K74,N74,Q74,W74,Z74,T74,AC74)</f>
        <v>10</v>
      </c>
      <c r="AJ74" s="42">
        <f>SUM(L74,O74,R74,X74,AA74,U74,AD74,AG74)</f>
        <v>150</v>
      </c>
      <c r="AK74" s="91" t="str">
        <f>IF(AH74=100%,"ITEM FINALIZADO",AH74)</f>
        <v>ITEM FINALIZADO</v>
      </c>
    </row>
    <row r="75" spans="1:37" ht="26">
      <c r="A75" s="57" t="s">
        <v>126</v>
      </c>
      <c r="B75" s="72">
        <v>89355</v>
      </c>
      <c r="C75" s="71" t="s">
        <v>125</v>
      </c>
      <c r="D75" s="69" t="s">
        <v>31</v>
      </c>
      <c r="E75" s="69" t="s">
        <v>62</v>
      </c>
      <c r="F75" s="70">
        <v>8</v>
      </c>
      <c r="G75" s="69">
        <v>19.97</v>
      </c>
      <c r="H75" s="64">
        <f>(F75*G75)</f>
        <v>159.76</v>
      </c>
      <c r="I75" s="51"/>
      <c r="J75" s="51"/>
      <c r="K75" s="51"/>
      <c r="L75" s="51"/>
      <c r="M75" s="48"/>
      <c r="N75" s="46"/>
      <c r="O75" s="49"/>
      <c r="P75" s="48"/>
      <c r="Q75" s="46"/>
      <c r="R75" s="49"/>
      <c r="S75" s="49"/>
      <c r="T75" s="49"/>
      <c r="U75" s="42">
        <f>TRUNC(G75*T75)+0</f>
        <v>0</v>
      </c>
      <c r="V75" s="48"/>
      <c r="W75" s="43">
        <f>TRUNC(V75*F75,2)</f>
        <v>0</v>
      </c>
      <c r="X75" s="42">
        <f>TRUNC(W75*G75)+0</f>
        <v>0</v>
      </c>
      <c r="Y75" s="44">
        <f>Z75/F75</f>
        <v>0</v>
      </c>
      <c r="Z75" s="46"/>
      <c r="AA75" s="42">
        <f>TRUNC(Z75*G75)+0</f>
        <v>0</v>
      </c>
      <c r="AB75" s="47">
        <f>AC75/F75</f>
        <v>1</v>
      </c>
      <c r="AC75" s="46">
        <v>8</v>
      </c>
      <c r="AD75" s="43">
        <f>TRUNC(AC75*G75)</f>
        <v>159</v>
      </c>
      <c r="AE75" s="45">
        <f>AF75/F75</f>
        <v>0</v>
      </c>
      <c r="AF75" s="43"/>
      <c r="AG75" s="43">
        <f>TRUNC(AF75*G75)</f>
        <v>0</v>
      </c>
      <c r="AH75" s="44">
        <f>SUM(J75,M75,P75,V75,Y75,AB75,AE75)</f>
        <v>1</v>
      </c>
      <c r="AI75" s="43">
        <f>SUM(K75,N75,Q75,W75,Z75,T75,AC75)</f>
        <v>8</v>
      </c>
      <c r="AJ75" s="42">
        <f>SUM(L75,O75,R75,X75,AA75,U75,AD75,AG75)</f>
        <v>159</v>
      </c>
      <c r="AK75" s="91" t="str">
        <f>IF(AH75=100%,"ITEM FINALIZADO",AH75)</f>
        <v>ITEM FINALIZADO</v>
      </c>
    </row>
    <row r="76" spans="1:37" ht="26">
      <c r="A76" s="57" t="s">
        <v>124</v>
      </c>
      <c r="B76" s="72">
        <v>100860</v>
      </c>
      <c r="C76" s="71" t="s">
        <v>123</v>
      </c>
      <c r="D76" s="69" t="s">
        <v>31</v>
      </c>
      <c r="E76" s="69" t="s">
        <v>43</v>
      </c>
      <c r="F76" s="70">
        <v>9</v>
      </c>
      <c r="G76" s="69">
        <v>96.06</v>
      </c>
      <c r="H76" s="64">
        <f>(F76*G76)</f>
        <v>864.54</v>
      </c>
      <c r="I76" s="51"/>
      <c r="J76" s="51"/>
      <c r="K76" s="51"/>
      <c r="L76" s="51"/>
      <c r="M76" s="48"/>
      <c r="N76" s="46"/>
      <c r="O76" s="49"/>
      <c r="P76" s="48"/>
      <c r="Q76" s="46"/>
      <c r="R76" s="49"/>
      <c r="S76" s="49"/>
      <c r="T76" s="49"/>
      <c r="U76" s="42">
        <f>TRUNC(G76*T76)+0</f>
        <v>0</v>
      </c>
      <c r="V76" s="48"/>
      <c r="W76" s="43">
        <f>TRUNC(V76*F76,2)</f>
        <v>0</v>
      </c>
      <c r="X76" s="42">
        <f>TRUNC(W76*G76)+0</f>
        <v>0</v>
      </c>
      <c r="Y76" s="44">
        <f>Z76/F76</f>
        <v>0</v>
      </c>
      <c r="Z76" s="46"/>
      <c r="AA76" s="42">
        <f>TRUNC(Z76*G76)+0</f>
        <v>0</v>
      </c>
      <c r="AB76" s="47">
        <f>AC76/F76</f>
        <v>1</v>
      </c>
      <c r="AC76" s="46">
        <v>9</v>
      </c>
      <c r="AD76" s="43">
        <f>TRUNC(AC76*G76)</f>
        <v>864</v>
      </c>
      <c r="AE76" s="45">
        <f>AF76/F76</f>
        <v>0</v>
      </c>
      <c r="AF76" s="43"/>
      <c r="AG76" s="43">
        <f>TRUNC(AF76*G76)</f>
        <v>0</v>
      </c>
      <c r="AH76" s="44">
        <f>SUM(J76,M76,P76,V76,Y76,AB76,AE76)</f>
        <v>1</v>
      </c>
      <c r="AI76" s="43">
        <f>SUM(K76,N76,Q76,W76,Z76,T76,AC76)</f>
        <v>9</v>
      </c>
      <c r="AJ76" s="42">
        <f>SUM(L76,O76,R76,X76,AA76,U76,AD76,AG76)</f>
        <v>864</v>
      </c>
      <c r="AK76" s="91" t="str">
        <f>IF(AH76=100%,"ITEM FINALIZADO",AH76)</f>
        <v>ITEM FINALIZADO</v>
      </c>
    </row>
    <row r="77" spans="1:37" ht="26">
      <c r="A77" s="57" t="s">
        <v>122</v>
      </c>
      <c r="B77" s="72">
        <v>89528</v>
      </c>
      <c r="C77" s="71" t="s">
        <v>121</v>
      </c>
      <c r="D77" s="69" t="s">
        <v>31</v>
      </c>
      <c r="E77" s="69" t="s">
        <v>43</v>
      </c>
      <c r="F77" s="70">
        <v>20</v>
      </c>
      <c r="G77" s="69">
        <v>3.83</v>
      </c>
      <c r="H77" s="64">
        <f>(F77*G77)</f>
        <v>76.599999999999994</v>
      </c>
      <c r="I77" s="51"/>
      <c r="J77" s="51"/>
      <c r="K77" s="51"/>
      <c r="L77" s="51"/>
      <c r="M77" s="48"/>
      <c r="N77" s="46"/>
      <c r="O77" s="49"/>
      <c r="P77" s="48"/>
      <c r="Q77" s="46"/>
      <c r="R77" s="49"/>
      <c r="S77" s="49"/>
      <c r="T77" s="49"/>
      <c r="U77" s="42">
        <f>TRUNC(G77*T77)+0</f>
        <v>0</v>
      </c>
      <c r="V77" s="48"/>
      <c r="W77" s="43">
        <f>TRUNC(V77*F77,2)</f>
        <v>0</v>
      </c>
      <c r="X77" s="42">
        <f>TRUNC(W77*G77)+0</f>
        <v>0</v>
      </c>
      <c r="Y77" s="44">
        <f>Z77/F77</f>
        <v>0</v>
      </c>
      <c r="Z77" s="46"/>
      <c r="AA77" s="42">
        <f>TRUNC(Z77*G77)+0</f>
        <v>0</v>
      </c>
      <c r="AB77" s="47">
        <f>AC77/F77</f>
        <v>1</v>
      </c>
      <c r="AC77" s="46">
        <v>20</v>
      </c>
      <c r="AD77" s="43">
        <f>TRUNC(AC77*G77)</f>
        <v>76</v>
      </c>
      <c r="AE77" s="45">
        <f>AF77/F77</f>
        <v>0</v>
      </c>
      <c r="AF77" s="43"/>
      <c r="AG77" s="43">
        <f>TRUNC(AF77*G77)</f>
        <v>0</v>
      </c>
      <c r="AH77" s="44">
        <f>SUM(J77,M77,P77,V77,Y77,AB77,AE77)</f>
        <v>1</v>
      </c>
      <c r="AI77" s="43">
        <f>SUM(K77,N77,Q77,W77,Z77,T77,AC77)</f>
        <v>20</v>
      </c>
      <c r="AJ77" s="42">
        <f>SUM(L77,O77,R77,X77,AA77,U77,AD77,AG77)</f>
        <v>76</v>
      </c>
      <c r="AK77" s="91" t="str">
        <f>IF(AH77=100%,"ITEM FINALIZADO",AH77)</f>
        <v>ITEM FINALIZADO</v>
      </c>
    </row>
    <row r="78" spans="1:37" ht="26">
      <c r="A78" s="57" t="s">
        <v>120</v>
      </c>
      <c r="B78" s="72">
        <v>104199</v>
      </c>
      <c r="C78" s="71" t="s">
        <v>119</v>
      </c>
      <c r="D78" s="69" t="s">
        <v>31</v>
      </c>
      <c r="E78" s="69" t="s">
        <v>43</v>
      </c>
      <c r="F78" s="70">
        <v>5</v>
      </c>
      <c r="G78" s="69">
        <v>7.02</v>
      </c>
      <c r="H78" s="64">
        <f>(F78*G78)</f>
        <v>35.099999999999994</v>
      </c>
      <c r="I78" s="51"/>
      <c r="J78" s="51"/>
      <c r="K78" s="51"/>
      <c r="L78" s="51"/>
      <c r="M78" s="48"/>
      <c r="N78" s="46"/>
      <c r="O78" s="49"/>
      <c r="P78" s="48"/>
      <c r="Q78" s="46"/>
      <c r="R78" s="49"/>
      <c r="S78" s="49"/>
      <c r="T78" s="49"/>
      <c r="U78" s="42">
        <f>TRUNC(G78*T78)+0</f>
        <v>0</v>
      </c>
      <c r="V78" s="48"/>
      <c r="W78" s="43">
        <f>TRUNC(V78*F78,2)</f>
        <v>0</v>
      </c>
      <c r="X78" s="42">
        <f>TRUNC(W78*G78)+0</f>
        <v>0</v>
      </c>
      <c r="Y78" s="44">
        <f>Z78/F78</f>
        <v>0</v>
      </c>
      <c r="Z78" s="46"/>
      <c r="AA78" s="42">
        <f>TRUNC(Z78*G78)+0</f>
        <v>0</v>
      </c>
      <c r="AB78" s="47">
        <f>AC78/F78</f>
        <v>1</v>
      </c>
      <c r="AC78" s="46">
        <v>5</v>
      </c>
      <c r="AD78" s="43">
        <f>TRUNC(AC78*G78)</f>
        <v>35</v>
      </c>
      <c r="AE78" s="45">
        <f>AF78/F78</f>
        <v>0</v>
      </c>
      <c r="AF78" s="43"/>
      <c r="AG78" s="43">
        <f>TRUNC(AF78*G78)</f>
        <v>0</v>
      </c>
      <c r="AH78" s="44">
        <f>SUM(J78,M78,P78,V78,Y78,AB78,AE78)</f>
        <v>1</v>
      </c>
      <c r="AI78" s="43">
        <f>SUM(K78,N78,Q78,W78,Z78,T78,AC78)</f>
        <v>5</v>
      </c>
      <c r="AJ78" s="42">
        <f>SUM(L78,O78,R78,X78,AA78,U78,AD78,AG78)</f>
        <v>35</v>
      </c>
      <c r="AK78" s="91" t="str">
        <f>IF(AH78=100%,"ITEM FINALIZADO",AH78)</f>
        <v>ITEM FINALIZADO</v>
      </c>
    </row>
    <row r="79" spans="1:37" ht="37.5">
      <c r="A79" s="57" t="s">
        <v>118</v>
      </c>
      <c r="B79" s="72">
        <v>101964</v>
      </c>
      <c r="C79" s="71" t="s">
        <v>117</v>
      </c>
      <c r="D79" s="69" t="s">
        <v>31</v>
      </c>
      <c r="E79" s="69" t="s">
        <v>30</v>
      </c>
      <c r="F79" s="70">
        <v>9</v>
      </c>
      <c r="G79" s="69">
        <v>152.69999999999999</v>
      </c>
      <c r="H79" s="64">
        <f>(F79*G79)</f>
        <v>1374.3</v>
      </c>
      <c r="I79" s="51"/>
      <c r="J79" s="51"/>
      <c r="K79" s="51"/>
      <c r="L79" s="51"/>
      <c r="M79" s="48"/>
      <c r="N79" s="46"/>
      <c r="O79" s="49"/>
      <c r="P79" s="48"/>
      <c r="Q79" s="46"/>
      <c r="R79" s="49"/>
      <c r="S79" s="49"/>
      <c r="T79" s="49"/>
      <c r="U79" s="42">
        <f>TRUNC(G79*T79)+0</f>
        <v>0</v>
      </c>
      <c r="V79" s="48"/>
      <c r="W79" s="43">
        <f>TRUNC(V79*F79,2)</f>
        <v>0</v>
      </c>
      <c r="X79" s="42">
        <f>TRUNC(W79*G79)+0</f>
        <v>0</v>
      </c>
      <c r="Y79" s="44">
        <f>Z79/F79</f>
        <v>0</v>
      </c>
      <c r="Z79" s="46"/>
      <c r="AA79" s="42">
        <f>TRUNC(Z79*G79)+0</f>
        <v>0</v>
      </c>
      <c r="AB79" s="47">
        <f>AC79/F79</f>
        <v>0</v>
      </c>
      <c r="AC79" s="46"/>
      <c r="AD79" s="43">
        <f>TRUNC(AC79*G79)</f>
        <v>0</v>
      </c>
      <c r="AE79" s="45">
        <f>AF79/F79</f>
        <v>0</v>
      </c>
      <c r="AF79" s="43"/>
      <c r="AG79" s="43">
        <f>TRUNC(AF79*G79)</f>
        <v>0</v>
      </c>
      <c r="AH79" s="44">
        <f>SUM(J79,M79,P79,V79,Y79,AB79,AE79)</f>
        <v>0</v>
      </c>
      <c r="AI79" s="43">
        <f>SUM(K79,N79,Q79,W79,Z79,T79,AC79)</f>
        <v>0</v>
      </c>
      <c r="AJ79" s="42">
        <f>SUM(L79,O79,R79,X79,AA79,U79,AD79,AG79)</f>
        <v>0</v>
      </c>
      <c r="AK79" s="91">
        <f>IF(AH79=100%,"ITEM FINALIZADO",AH79)</f>
        <v>0</v>
      </c>
    </row>
    <row r="80" spans="1:37" ht="25">
      <c r="A80" s="57" t="s">
        <v>116</v>
      </c>
      <c r="B80" s="72">
        <v>95545</v>
      </c>
      <c r="C80" s="71" t="s">
        <v>115</v>
      </c>
      <c r="D80" s="69" t="s">
        <v>31</v>
      </c>
      <c r="E80" s="69" t="s">
        <v>43</v>
      </c>
      <c r="F80" s="70">
        <v>9</v>
      </c>
      <c r="G80" s="69">
        <v>33.31</v>
      </c>
      <c r="H80" s="64">
        <f>(F80*G80)</f>
        <v>299.79000000000002</v>
      </c>
      <c r="I80" s="51"/>
      <c r="J80" s="51"/>
      <c r="K80" s="51"/>
      <c r="L80" s="51"/>
      <c r="M80" s="48"/>
      <c r="N80" s="46"/>
      <c r="O80" s="49"/>
      <c r="P80" s="48"/>
      <c r="Q80" s="46"/>
      <c r="R80" s="49"/>
      <c r="S80" s="49"/>
      <c r="T80" s="49"/>
      <c r="U80" s="42">
        <f>TRUNC(G80*T80)+0</f>
        <v>0</v>
      </c>
      <c r="V80" s="48"/>
      <c r="W80" s="43">
        <f>TRUNC(V80*F80,2)</f>
        <v>0</v>
      </c>
      <c r="X80" s="42">
        <f>TRUNC(W80*G80)+0</f>
        <v>0</v>
      </c>
      <c r="Y80" s="44">
        <f>Z80/F80</f>
        <v>0</v>
      </c>
      <c r="Z80" s="46"/>
      <c r="AA80" s="42">
        <f>TRUNC(Z80*G80)+0</f>
        <v>0</v>
      </c>
      <c r="AB80" s="47">
        <f>AC80/F80</f>
        <v>0</v>
      </c>
      <c r="AC80" s="46"/>
      <c r="AD80" s="43">
        <f>TRUNC(AC80*G80)</f>
        <v>0</v>
      </c>
      <c r="AE80" s="45">
        <f>AF80/F80</f>
        <v>0</v>
      </c>
      <c r="AF80" s="43"/>
      <c r="AG80" s="43">
        <f>TRUNC(AF80*G80)</f>
        <v>0</v>
      </c>
      <c r="AH80" s="44">
        <f>SUM(J80,M80,P80,V80,Y80,AB80,AE80)</f>
        <v>0</v>
      </c>
      <c r="AI80" s="43">
        <f>SUM(K80,N80,Q80,W80,Z80,T80,AC80)</f>
        <v>0</v>
      </c>
      <c r="AJ80" s="42">
        <f>SUM(L80,O80,R80,X80,AA80,U80,AD80,AG80)</f>
        <v>0</v>
      </c>
      <c r="AK80" s="91">
        <f>IF(AH80=100%,"ITEM FINALIZADO",AH80)</f>
        <v>0</v>
      </c>
    </row>
    <row r="81" spans="1:37" ht="37.5">
      <c r="A81" s="57" t="s">
        <v>114</v>
      </c>
      <c r="B81" s="72">
        <v>95547</v>
      </c>
      <c r="C81" s="71" t="s">
        <v>113</v>
      </c>
      <c r="D81" s="69" t="s">
        <v>31</v>
      </c>
      <c r="E81" s="69" t="s">
        <v>43</v>
      </c>
      <c r="F81" s="70">
        <v>10</v>
      </c>
      <c r="G81" s="69">
        <v>91.61</v>
      </c>
      <c r="H81" s="64">
        <f>(F81*G81)</f>
        <v>916.1</v>
      </c>
      <c r="I81" s="51"/>
      <c r="J81" s="51"/>
      <c r="K81" s="51"/>
      <c r="L81" s="51"/>
      <c r="M81" s="48"/>
      <c r="N81" s="46"/>
      <c r="O81" s="49"/>
      <c r="P81" s="48"/>
      <c r="Q81" s="46"/>
      <c r="R81" s="49"/>
      <c r="S81" s="49"/>
      <c r="T81" s="49"/>
      <c r="U81" s="42">
        <f>TRUNC(G81*T81)+0</f>
        <v>0</v>
      </c>
      <c r="V81" s="48"/>
      <c r="W81" s="43">
        <f>TRUNC(V81*F81,2)</f>
        <v>0</v>
      </c>
      <c r="X81" s="42">
        <f>TRUNC(W81*G81)+0</f>
        <v>0</v>
      </c>
      <c r="Y81" s="44">
        <f>Z81/F81</f>
        <v>0</v>
      </c>
      <c r="Z81" s="46"/>
      <c r="AA81" s="42">
        <f>TRUNC(Z81*G81)+0</f>
        <v>0</v>
      </c>
      <c r="AB81" s="47">
        <f>AC81/F81</f>
        <v>0</v>
      </c>
      <c r="AC81" s="46"/>
      <c r="AD81" s="43">
        <f>TRUNC(AC81*G81)</f>
        <v>0</v>
      </c>
      <c r="AE81" s="45">
        <f>AF81/F81</f>
        <v>0</v>
      </c>
      <c r="AF81" s="43"/>
      <c r="AG81" s="43">
        <f>TRUNC(AF81*G81)</f>
        <v>0</v>
      </c>
      <c r="AH81" s="44">
        <f>SUM(J81,M81,P81,V81,Y81,AB81,AE81)</f>
        <v>0</v>
      </c>
      <c r="AI81" s="43">
        <f>SUM(K81,N81,Q81,W81,Z81,T81,AC81)</f>
        <v>0</v>
      </c>
      <c r="AJ81" s="42">
        <f>SUM(L81,O81,R81,X81,AA81,U81,AD81,AG81)</f>
        <v>0</v>
      </c>
      <c r="AK81" s="91">
        <f>IF(AH81=100%,"ITEM FINALIZADO",AH81)</f>
        <v>0</v>
      </c>
    </row>
    <row r="82" spans="1:37" ht="37.5">
      <c r="A82" s="57" t="s">
        <v>112</v>
      </c>
      <c r="B82" s="72">
        <v>95547</v>
      </c>
      <c r="C82" s="71" t="s">
        <v>111</v>
      </c>
      <c r="D82" s="69" t="s">
        <v>31</v>
      </c>
      <c r="E82" s="69" t="s">
        <v>43</v>
      </c>
      <c r="F82" s="70">
        <v>12</v>
      </c>
      <c r="G82" s="69">
        <v>91.61</v>
      </c>
      <c r="H82" s="64">
        <f>(F82*G82)</f>
        <v>1099.32</v>
      </c>
      <c r="I82" s="51"/>
      <c r="J82" s="51"/>
      <c r="K82" s="51"/>
      <c r="L82" s="51"/>
      <c r="M82" s="48"/>
      <c r="N82" s="46"/>
      <c r="O82" s="49"/>
      <c r="P82" s="48"/>
      <c r="Q82" s="46"/>
      <c r="R82" s="49"/>
      <c r="S82" s="49"/>
      <c r="T82" s="49"/>
      <c r="U82" s="42">
        <f>TRUNC(G82*T82)+0</f>
        <v>0</v>
      </c>
      <c r="V82" s="48"/>
      <c r="W82" s="43">
        <f>TRUNC(V82*F82,2)</f>
        <v>0</v>
      </c>
      <c r="X82" s="42">
        <f>TRUNC(W82*G82)+0</f>
        <v>0</v>
      </c>
      <c r="Y82" s="44">
        <f>Z82/F82</f>
        <v>0</v>
      </c>
      <c r="Z82" s="46"/>
      <c r="AA82" s="42">
        <f>TRUNC(Z82*G82)+0</f>
        <v>0</v>
      </c>
      <c r="AB82" s="47">
        <f>AC82/F82</f>
        <v>0</v>
      </c>
      <c r="AC82" s="46"/>
      <c r="AD82" s="43">
        <f>TRUNC(AC82*G82)</f>
        <v>0</v>
      </c>
      <c r="AE82" s="45">
        <f>AF82/F82</f>
        <v>0</v>
      </c>
      <c r="AF82" s="43"/>
      <c r="AG82" s="43">
        <f>TRUNC(AF82*G82)</f>
        <v>0</v>
      </c>
      <c r="AH82" s="44">
        <f>SUM(J82,M82,P82,V82,Y82,AB82,AE82)</f>
        <v>0</v>
      </c>
      <c r="AI82" s="43">
        <f>SUM(K82,N82,Q82,W82,Z82,T82,AC82)</f>
        <v>0</v>
      </c>
      <c r="AJ82" s="42">
        <f>SUM(L82,O82,R82,X82,AA82,U82,AD82,AG82)</f>
        <v>0</v>
      </c>
      <c r="AK82" s="91">
        <f>IF(AH82=100%,"ITEM FINALIZADO",AH82)</f>
        <v>0</v>
      </c>
    </row>
    <row r="83" spans="1:37" ht="37.5">
      <c r="A83" s="57" t="s">
        <v>110</v>
      </c>
      <c r="B83" s="72">
        <v>90373</v>
      </c>
      <c r="C83" s="71" t="s">
        <v>109</v>
      </c>
      <c r="D83" s="69" t="s">
        <v>31</v>
      </c>
      <c r="E83" s="69" t="s">
        <v>43</v>
      </c>
      <c r="F83" s="70">
        <v>10</v>
      </c>
      <c r="G83" s="69">
        <v>12.1</v>
      </c>
      <c r="H83" s="64">
        <f>(F83*G83)</f>
        <v>121</v>
      </c>
      <c r="I83" s="51"/>
      <c r="J83" s="51"/>
      <c r="K83" s="51"/>
      <c r="L83" s="51"/>
      <c r="M83" s="48"/>
      <c r="N83" s="46"/>
      <c r="O83" s="49"/>
      <c r="P83" s="48"/>
      <c r="Q83" s="46"/>
      <c r="R83" s="49"/>
      <c r="S83" s="49"/>
      <c r="T83" s="49"/>
      <c r="U83" s="42">
        <f>TRUNC(G83*T83)+0</f>
        <v>0</v>
      </c>
      <c r="V83" s="48"/>
      <c r="W83" s="43">
        <f>TRUNC(V83*F83,2)</f>
        <v>0</v>
      </c>
      <c r="X83" s="42">
        <f>TRUNC(W83*G83)+0</f>
        <v>0</v>
      </c>
      <c r="Y83" s="44">
        <f>Z83/F83</f>
        <v>0</v>
      </c>
      <c r="Z83" s="46"/>
      <c r="AA83" s="42">
        <f>TRUNC(Z83*G83)+0</f>
        <v>0</v>
      </c>
      <c r="AB83" s="47">
        <f>AC83/F83</f>
        <v>1</v>
      </c>
      <c r="AC83" s="46">
        <v>10</v>
      </c>
      <c r="AD83" s="43">
        <f>TRUNC(AC83*G83)</f>
        <v>121</v>
      </c>
      <c r="AE83" s="45">
        <f>AF83/F83</f>
        <v>0</v>
      </c>
      <c r="AF83" s="43"/>
      <c r="AG83" s="43">
        <f>TRUNC(AF83*G83)</f>
        <v>0</v>
      </c>
      <c r="AH83" s="44">
        <f>SUM(J83,M83,P83,V83,Y83,AB83,AE83)</f>
        <v>1</v>
      </c>
      <c r="AI83" s="43">
        <f>SUM(K83,N83,Q83,W83,Z83,T83,AC83)</f>
        <v>10</v>
      </c>
      <c r="AJ83" s="42">
        <f>SUM(L83,O83,R83,X83,AA83,U83,AD83,AG83)</f>
        <v>121</v>
      </c>
      <c r="AK83" s="91" t="str">
        <f>IF(AH83=100%,"ITEM FINALIZADO",AH83)</f>
        <v>ITEM FINALIZADO</v>
      </c>
    </row>
    <row r="84" spans="1:37" ht="37.5">
      <c r="A84" s="57" t="s">
        <v>108</v>
      </c>
      <c r="B84" s="72">
        <v>89985</v>
      </c>
      <c r="C84" s="71" t="s">
        <v>107</v>
      </c>
      <c r="D84" s="69" t="s">
        <v>31</v>
      </c>
      <c r="E84" s="69" t="s">
        <v>43</v>
      </c>
      <c r="F84" s="70">
        <v>9</v>
      </c>
      <c r="G84" s="69">
        <v>91.43</v>
      </c>
      <c r="H84" s="64">
        <f>(F84*G84)</f>
        <v>822.87000000000012</v>
      </c>
      <c r="I84" s="51"/>
      <c r="J84" s="51"/>
      <c r="K84" s="51"/>
      <c r="L84" s="51"/>
      <c r="M84" s="48"/>
      <c r="N84" s="46"/>
      <c r="O84" s="49"/>
      <c r="P84" s="48"/>
      <c r="Q84" s="46"/>
      <c r="R84" s="49"/>
      <c r="S84" s="49"/>
      <c r="T84" s="49"/>
      <c r="U84" s="42">
        <f>TRUNC(G84*T84)+0</f>
        <v>0</v>
      </c>
      <c r="V84" s="48"/>
      <c r="W84" s="43">
        <f>TRUNC(V84*F84,2)</f>
        <v>0</v>
      </c>
      <c r="X84" s="42">
        <f>TRUNC(W84*G84)+0</f>
        <v>0</v>
      </c>
      <c r="Y84" s="44">
        <f>Z84/F84</f>
        <v>0</v>
      </c>
      <c r="Z84" s="46"/>
      <c r="AA84" s="42">
        <f>TRUNC(Z84*G84)+0</f>
        <v>0</v>
      </c>
      <c r="AB84" s="47">
        <f>AC84/F84</f>
        <v>1</v>
      </c>
      <c r="AC84" s="46">
        <v>9</v>
      </c>
      <c r="AD84" s="43">
        <f>TRUNC(AC84*G84)</f>
        <v>822</v>
      </c>
      <c r="AE84" s="45">
        <f>AF84/F84</f>
        <v>0</v>
      </c>
      <c r="AF84" s="43"/>
      <c r="AG84" s="43">
        <f>TRUNC(AF84*G84)</f>
        <v>0</v>
      </c>
      <c r="AH84" s="44">
        <f>SUM(J84,M84,P84,V84,Y84,AB84,AE84)</f>
        <v>1</v>
      </c>
      <c r="AI84" s="43">
        <f>SUM(K84,N84,Q84,W84,Z84,T84,AC84)</f>
        <v>9</v>
      </c>
      <c r="AJ84" s="42">
        <f>SUM(L84,O84,R84,X84,AA84,U84,AD84,AG84)</f>
        <v>822</v>
      </c>
      <c r="AK84" s="91" t="str">
        <f>IF(AH84=100%,"ITEM FINALIZADO",AH84)</f>
        <v>ITEM FINALIZADO</v>
      </c>
    </row>
    <row r="85" spans="1:37" ht="25">
      <c r="A85" s="57" t="s">
        <v>106</v>
      </c>
      <c r="B85" s="72">
        <v>86915</v>
      </c>
      <c r="C85" s="71" t="s">
        <v>105</v>
      </c>
      <c r="D85" s="69" t="s">
        <v>31</v>
      </c>
      <c r="E85" s="69" t="s">
        <v>43</v>
      </c>
      <c r="F85" s="70">
        <v>10</v>
      </c>
      <c r="G85" s="69">
        <v>126.1</v>
      </c>
      <c r="H85" s="64">
        <f>(F85*G85)</f>
        <v>1261</v>
      </c>
      <c r="I85" s="51"/>
      <c r="J85" s="51"/>
      <c r="K85" s="51"/>
      <c r="L85" s="51"/>
      <c r="M85" s="48"/>
      <c r="N85" s="46"/>
      <c r="O85" s="49"/>
      <c r="P85" s="48"/>
      <c r="Q85" s="46"/>
      <c r="R85" s="49"/>
      <c r="S85" s="49"/>
      <c r="T85" s="49"/>
      <c r="U85" s="42">
        <f>TRUNC(G85*T85)+0</f>
        <v>0</v>
      </c>
      <c r="V85" s="48"/>
      <c r="W85" s="43">
        <f>TRUNC(V85*F85,2)</f>
        <v>0</v>
      </c>
      <c r="X85" s="42">
        <f>TRUNC(W85*G85)+0</f>
        <v>0</v>
      </c>
      <c r="Y85" s="44">
        <f>Z85/F85</f>
        <v>0</v>
      </c>
      <c r="Z85" s="46"/>
      <c r="AA85" s="42">
        <f>TRUNC(Z85*G85)+0</f>
        <v>0</v>
      </c>
      <c r="AB85" s="47">
        <f>AC85/F85</f>
        <v>0</v>
      </c>
      <c r="AC85" s="46"/>
      <c r="AD85" s="43">
        <f>TRUNC(AC85*G85)</f>
        <v>0</v>
      </c>
      <c r="AE85" s="45">
        <f>AF85/F85</f>
        <v>0</v>
      </c>
      <c r="AF85" s="43"/>
      <c r="AG85" s="43">
        <f>TRUNC(AF85*G85)</f>
        <v>0</v>
      </c>
      <c r="AH85" s="44">
        <f>SUM(J85,M85,P85,V85,Y85,AB85,AE85)</f>
        <v>0</v>
      </c>
      <c r="AI85" s="43">
        <f>SUM(K85,N85,Q85,W85,Z85,T85,AC85)</f>
        <v>0</v>
      </c>
      <c r="AJ85" s="42">
        <f>SUM(L85,O85,R85,X85,AA85,U85,AD85,AG85)</f>
        <v>0</v>
      </c>
      <c r="AK85" s="91">
        <f>IF(AH85=100%,"ITEM FINALIZADO",AH85)</f>
        <v>0</v>
      </c>
    </row>
    <row r="86" spans="1:37" ht="37.5">
      <c r="A86" s="57" t="s">
        <v>104</v>
      </c>
      <c r="B86" s="72">
        <v>86911</v>
      </c>
      <c r="C86" s="71" t="s">
        <v>103</v>
      </c>
      <c r="D86" s="69" t="s">
        <v>31</v>
      </c>
      <c r="E86" s="69" t="s">
        <v>43</v>
      </c>
      <c r="F86" s="70">
        <v>1</v>
      </c>
      <c r="G86" s="69">
        <v>77.430000000000007</v>
      </c>
      <c r="H86" s="64">
        <f>(F86*G86)</f>
        <v>77.430000000000007</v>
      </c>
      <c r="I86" s="51"/>
      <c r="J86" s="51"/>
      <c r="K86" s="51"/>
      <c r="L86" s="51"/>
      <c r="M86" s="48"/>
      <c r="N86" s="46"/>
      <c r="O86" s="49"/>
      <c r="P86" s="48"/>
      <c r="Q86" s="46"/>
      <c r="R86" s="49"/>
      <c r="S86" s="49"/>
      <c r="T86" s="49"/>
      <c r="U86" s="42">
        <f>TRUNC(G86*T86)+0</f>
        <v>0</v>
      </c>
      <c r="V86" s="48"/>
      <c r="W86" s="43">
        <f>TRUNC(V86*F86,2)</f>
        <v>0</v>
      </c>
      <c r="X86" s="42">
        <f>TRUNC(W86*G86)+0</f>
        <v>0</v>
      </c>
      <c r="Y86" s="44">
        <f>Z86/F86</f>
        <v>0</v>
      </c>
      <c r="Z86" s="46"/>
      <c r="AA86" s="42">
        <f>TRUNC(Z86*G86)+0</f>
        <v>0</v>
      </c>
      <c r="AB86" s="47">
        <f>AC86/F86</f>
        <v>0</v>
      </c>
      <c r="AC86" s="46"/>
      <c r="AD86" s="43">
        <f>TRUNC(AC86*G86)</f>
        <v>0</v>
      </c>
      <c r="AE86" s="45">
        <f>AF86/F86</f>
        <v>0</v>
      </c>
      <c r="AF86" s="43"/>
      <c r="AG86" s="43">
        <f>TRUNC(AF86*G86)</f>
        <v>0</v>
      </c>
      <c r="AH86" s="44">
        <f>SUM(J86,M86,P86,V86,Y86,AB86,AE86)</f>
        <v>0</v>
      </c>
      <c r="AI86" s="43">
        <f>SUM(K86,N86,Q86,W86,Z86,T86,AC86)</f>
        <v>0</v>
      </c>
      <c r="AJ86" s="42">
        <f>SUM(L86,O86,R86,X86,AA86,U86,AD86,AG86)</f>
        <v>0</v>
      </c>
      <c r="AK86" s="91">
        <f>IF(AH86=100%,"ITEM FINALIZADO",AH86)</f>
        <v>0</v>
      </c>
    </row>
    <row r="87" spans="1:37" ht="26">
      <c r="A87" s="57" t="s">
        <v>102</v>
      </c>
      <c r="B87" s="72">
        <v>94497</v>
      </c>
      <c r="C87" s="71" t="s">
        <v>101</v>
      </c>
      <c r="D87" s="69" t="s">
        <v>31</v>
      </c>
      <c r="E87" s="69" t="s">
        <v>43</v>
      </c>
      <c r="F87" s="70">
        <v>9</v>
      </c>
      <c r="G87" s="69">
        <v>108.06</v>
      </c>
      <c r="H87" s="64">
        <f>(F87*G87)</f>
        <v>972.54</v>
      </c>
      <c r="I87" s="51"/>
      <c r="J87" s="51"/>
      <c r="K87" s="51"/>
      <c r="L87" s="51"/>
      <c r="M87" s="48"/>
      <c r="N87" s="46"/>
      <c r="O87" s="49"/>
      <c r="P87" s="48"/>
      <c r="Q87" s="46"/>
      <c r="R87" s="49"/>
      <c r="S87" s="49"/>
      <c r="T87" s="49"/>
      <c r="U87" s="42">
        <f>TRUNC(G87*T87)+0</f>
        <v>0</v>
      </c>
      <c r="V87" s="48"/>
      <c r="W87" s="43">
        <f>TRUNC(V87*F87,2)</f>
        <v>0</v>
      </c>
      <c r="X87" s="42">
        <f>TRUNC(W87*G87)+0</f>
        <v>0</v>
      </c>
      <c r="Y87" s="44">
        <f>Z87/F87</f>
        <v>0</v>
      </c>
      <c r="Z87" s="46"/>
      <c r="AA87" s="42">
        <f>TRUNC(Z87*G87)+0</f>
        <v>0</v>
      </c>
      <c r="AB87" s="47">
        <f>AC87/F87</f>
        <v>1</v>
      </c>
      <c r="AC87" s="46">
        <v>9</v>
      </c>
      <c r="AD87" s="43">
        <f>TRUNC(AC87*G87)</f>
        <v>972</v>
      </c>
      <c r="AE87" s="45">
        <f>AF87/F87</f>
        <v>0</v>
      </c>
      <c r="AF87" s="43"/>
      <c r="AG87" s="43">
        <f>TRUNC(AF87*G87)</f>
        <v>0</v>
      </c>
      <c r="AH87" s="44">
        <f>SUM(J87,M87,P87,V87,Y87,AB87,AE87)</f>
        <v>1</v>
      </c>
      <c r="AI87" s="43">
        <f>SUM(K87,N87,Q87,W87,Z87,T87,AC87)</f>
        <v>9</v>
      </c>
      <c r="AJ87" s="42">
        <f>SUM(L87,O87,R87,X87,AA87,U87,AD87,AG87)</f>
        <v>972</v>
      </c>
      <c r="AK87" s="91" t="str">
        <f>IF(AH87=100%,"ITEM FINALIZADO",AH87)</f>
        <v>ITEM FINALIZADO</v>
      </c>
    </row>
    <row r="88" spans="1:37" ht="26">
      <c r="A88" s="57" t="s">
        <v>100</v>
      </c>
      <c r="B88" s="72">
        <v>103039</v>
      </c>
      <c r="C88" s="71" t="s">
        <v>99</v>
      </c>
      <c r="D88" s="69" t="s">
        <v>31</v>
      </c>
      <c r="E88" s="69" t="s">
        <v>43</v>
      </c>
      <c r="F88" s="70">
        <v>5</v>
      </c>
      <c r="G88" s="69">
        <v>50.13</v>
      </c>
      <c r="H88" s="64">
        <f>(F88*G88)</f>
        <v>250.65</v>
      </c>
      <c r="I88" s="51"/>
      <c r="J88" s="51"/>
      <c r="K88" s="51"/>
      <c r="L88" s="51"/>
      <c r="M88" s="48"/>
      <c r="N88" s="46"/>
      <c r="O88" s="49"/>
      <c r="P88" s="48"/>
      <c r="Q88" s="46"/>
      <c r="R88" s="49"/>
      <c r="S88" s="49"/>
      <c r="T88" s="49"/>
      <c r="U88" s="42">
        <f>TRUNC(G88*T88)+0</f>
        <v>0</v>
      </c>
      <c r="V88" s="48"/>
      <c r="W88" s="43">
        <f>TRUNC(V88*F88,2)</f>
        <v>0</v>
      </c>
      <c r="X88" s="42">
        <f>TRUNC(W88*G88)+0</f>
        <v>0</v>
      </c>
      <c r="Y88" s="44">
        <f>Z88/F88</f>
        <v>0</v>
      </c>
      <c r="Z88" s="46"/>
      <c r="AA88" s="42">
        <f>TRUNC(Z88*G88)+0</f>
        <v>0</v>
      </c>
      <c r="AB88" s="47">
        <f>AC88/F88</f>
        <v>1</v>
      </c>
      <c r="AC88" s="46">
        <v>5</v>
      </c>
      <c r="AD88" s="43">
        <f>TRUNC(AC88*G88)</f>
        <v>250</v>
      </c>
      <c r="AE88" s="45">
        <f>AF88/F88</f>
        <v>0</v>
      </c>
      <c r="AF88" s="43"/>
      <c r="AG88" s="43">
        <f>TRUNC(AF88*G88)</f>
        <v>0</v>
      </c>
      <c r="AH88" s="44">
        <f>SUM(J88,M88,P88,V88,Y88,AB88,AE88)</f>
        <v>1</v>
      </c>
      <c r="AI88" s="43">
        <f>SUM(K88,N88,Q88,W88,Z88,T88,AC88)</f>
        <v>5</v>
      </c>
      <c r="AJ88" s="42">
        <f>SUM(L88,O88,R88,X88,AA88,U88,AD88,AG88)</f>
        <v>250</v>
      </c>
      <c r="AK88" s="91" t="str">
        <f>IF(AH88=100%,"ITEM FINALIZADO",AH88)</f>
        <v>ITEM FINALIZADO</v>
      </c>
    </row>
    <row r="89" spans="1:37" ht="62.5">
      <c r="A89" s="57" t="s">
        <v>98</v>
      </c>
      <c r="B89" s="72">
        <v>94782</v>
      </c>
      <c r="C89" s="92" t="s">
        <v>97</v>
      </c>
      <c r="D89" s="69" t="s">
        <v>31</v>
      </c>
      <c r="E89" s="69" t="s">
        <v>30</v>
      </c>
      <c r="F89" s="70">
        <v>9</v>
      </c>
      <c r="G89" s="69">
        <v>44.22</v>
      </c>
      <c r="H89" s="64">
        <f>(F89*G89)</f>
        <v>397.98</v>
      </c>
      <c r="I89" s="51"/>
      <c r="J89" s="51"/>
      <c r="K89" s="51"/>
      <c r="L89" s="51"/>
      <c r="M89" s="48"/>
      <c r="N89" s="46"/>
      <c r="O89" s="49"/>
      <c r="P89" s="48"/>
      <c r="Q89" s="46"/>
      <c r="R89" s="49"/>
      <c r="S89" s="49"/>
      <c r="T89" s="49"/>
      <c r="U89" s="42">
        <f>TRUNC(G89*T89)+0</f>
        <v>0</v>
      </c>
      <c r="V89" s="48"/>
      <c r="W89" s="43">
        <f>TRUNC(V89*F89,2)</f>
        <v>0</v>
      </c>
      <c r="X89" s="42">
        <f>TRUNC(W89*G89)+0</f>
        <v>0</v>
      </c>
      <c r="Y89" s="44">
        <f>Z89/F89</f>
        <v>0</v>
      </c>
      <c r="Z89" s="46"/>
      <c r="AA89" s="42">
        <f>TRUNC(Z89*G89)+0</f>
        <v>0</v>
      </c>
      <c r="AB89" s="47">
        <f>AC89/F89</f>
        <v>0</v>
      </c>
      <c r="AC89" s="46"/>
      <c r="AD89" s="43">
        <f>TRUNC(AC89*G89)</f>
        <v>0</v>
      </c>
      <c r="AE89" s="45">
        <f>AF89/F89</f>
        <v>0</v>
      </c>
      <c r="AF89" s="43"/>
      <c r="AG89" s="43">
        <f>TRUNC(AF89*G89)</f>
        <v>0</v>
      </c>
      <c r="AH89" s="44">
        <f>SUM(J89,M89,P89,V89,Y89,AB89,AE89)</f>
        <v>0</v>
      </c>
      <c r="AI89" s="43">
        <f>SUM(K89,N89,Q89,W89,Z89,T89,AC89)</f>
        <v>0</v>
      </c>
      <c r="AJ89" s="42">
        <f>SUM(L89,O89,R89,X89,AA89,U89,AD89,AG89)</f>
        <v>0</v>
      </c>
      <c r="AK89" s="91">
        <f>IF(AH89=100%,"ITEM FINALIZADO",AH89)</f>
        <v>0</v>
      </c>
    </row>
    <row r="90" spans="1:37" ht="26">
      <c r="A90" s="57" t="s">
        <v>96</v>
      </c>
      <c r="B90" s="72">
        <v>98557</v>
      </c>
      <c r="C90" s="71" t="s">
        <v>95</v>
      </c>
      <c r="D90" s="69" t="s">
        <v>31</v>
      </c>
      <c r="E90" s="69" t="s">
        <v>30</v>
      </c>
      <c r="F90" s="70">
        <v>339.53</v>
      </c>
      <c r="G90" s="69">
        <v>46.04</v>
      </c>
      <c r="H90" s="64">
        <f>(F90*G90)</f>
        <v>15631.961199999998</v>
      </c>
      <c r="I90" s="51"/>
      <c r="J90" s="51"/>
      <c r="K90" s="51"/>
      <c r="L90" s="51"/>
      <c r="M90" s="48"/>
      <c r="N90" s="46"/>
      <c r="O90" s="49"/>
      <c r="P90" s="48">
        <v>1</v>
      </c>
      <c r="Q90" s="46">
        <f>TRUNC(P90*F90,2)</f>
        <v>339.53</v>
      </c>
      <c r="R90" s="49">
        <f>TRUNC(Q90*G90)</f>
        <v>15631</v>
      </c>
      <c r="S90" s="49"/>
      <c r="T90" s="49"/>
      <c r="U90" s="42">
        <f>TRUNC(G90*T90)+0</f>
        <v>0</v>
      </c>
      <c r="V90" s="48"/>
      <c r="W90" s="43">
        <f>TRUNC(V90*F90,2)</f>
        <v>0</v>
      </c>
      <c r="X90" s="42">
        <f>TRUNC(W90*G90)+0</f>
        <v>0</v>
      </c>
      <c r="Y90" s="44">
        <f>Z90/F90</f>
        <v>0</v>
      </c>
      <c r="Z90" s="46"/>
      <c r="AA90" s="42">
        <f>TRUNC(Z90*G90)+0</f>
        <v>0</v>
      </c>
      <c r="AB90" s="47">
        <f>AC90/F90</f>
        <v>0</v>
      </c>
      <c r="AC90" s="46"/>
      <c r="AD90" s="43">
        <f>TRUNC(AC90*G90)</f>
        <v>0</v>
      </c>
      <c r="AE90" s="45">
        <f>AF90/F90</f>
        <v>0</v>
      </c>
      <c r="AF90" s="43"/>
      <c r="AG90" s="43">
        <f>TRUNC(AF90*G90)</f>
        <v>0</v>
      </c>
      <c r="AH90" s="44">
        <f>SUM(J90,M90,P90,V90,Y90,AB90,AE90)</f>
        <v>1</v>
      </c>
      <c r="AI90" s="43">
        <f>SUM(K90,N90,Q90,W90,Z90,T90,AC90)</f>
        <v>339.53</v>
      </c>
      <c r="AJ90" s="42">
        <f>SUM(L90,O90,R90,X90,AA90,U90,AD90,AG90)</f>
        <v>15631</v>
      </c>
      <c r="AK90" s="41" t="str">
        <f>IF(AH90=100%,"ITEM FINALIZADO",AH90)</f>
        <v>ITEM FINALIZADO</v>
      </c>
    </row>
    <row r="91" spans="1:37" ht="20.149999999999999" customHeight="1">
      <c r="A91" s="60">
        <v>8</v>
      </c>
      <c r="B91" s="59" t="s">
        <v>94</v>
      </c>
      <c r="C91" s="59"/>
      <c r="D91" s="59"/>
      <c r="E91" s="59"/>
      <c r="F91" s="59"/>
      <c r="G91" s="59"/>
      <c r="H91" s="58">
        <f>SUM(H92:H97)</f>
        <v>109225.02660000001</v>
      </c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5"/>
      <c r="AE91" s="36"/>
      <c r="AF91" s="35"/>
      <c r="AG91" s="35"/>
      <c r="AH91" s="35"/>
      <c r="AI91" s="34"/>
      <c r="AJ91" s="34"/>
      <c r="AK91" s="34"/>
    </row>
    <row r="92" spans="1:37" ht="25">
      <c r="A92" s="57" t="s">
        <v>93</v>
      </c>
      <c r="B92" s="56">
        <v>98135</v>
      </c>
      <c r="C92" s="90" t="s">
        <v>92</v>
      </c>
      <c r="D92" s="53" t="s">
        <v>31</v>
      </c>
      <c r="E92" s="53" t="s">
        <v>30</v>
      </c>
      <c r="F92" s="53">
        <v>2157.3200000000002</v>
      </c>
      <c r="G92" s="54">
        <v>28.15</v>
      </c>
      <c r="H92" s="64">
        <f>(F92*G92)-0.01</f>
        <v>60728.548000000003</v>
      </c>
      <c r="I92" s="51"/>
      <c r="J92" s="51"/>
      <c r="K92" s="51"/>
      <c r="L92" s="51"/>
      <c r="M92" s="48"/>
      <c r="N92" s="46"/>
      <c r="O92" s="49"/>
      <c r="P92" s="48"/>
      <c r="Q92" s="46"/>
      <c r="R92" s="49"/>
      <c r="S92" s="49"/>
      <c r="T92" s="49"/>
      <c r="U92" s="42">
        <f>TRUNC(G92*T92)+0</f>
        <v>0</v>
      </c>
      <c r="V92" s="48"/>
      <c r="W92" s="43">
        <f>TRUNC(V92*F92,2)</f>
        <v>0</v>
      </c>
      <c r="X92" s="42">
        <f>TRUNC(W92*G92)+0</f>
        <v>0</v>
      </c>
      <c r="Y92" s="44">
        <f>Z92/F92</f>
        <v>0</v>
      </c>
      <c r="Z92" s="46"/>
      <c r="AA92" s="42">
        <f>TRUNC(Z92*G92)+0</f>
        <v>0</v>
      </c>
      <c r="AB92" s="47">
        <f>AC92/F92</f>
        <v>0.16057423099030277</v>
      </c>
      <c r="AC92" s="46">
        <v>346.41</v>
      </c>
      <c r="AD92" s="43">
        <f>TRUNC(AC92*G92)</f>
        <v>9751</v>
      </c>
      <c r="AE92" s="45">
        <f>AF92/F92</f>
        <v>0.1386451708601413</v>
      </c>
      <c r="AF92" s="43">
        <f>'MEMORIAL DE CALCULO'!BY150</f>
        <v>299.10200000000009</v>
      </c>
      <c r="AG92" s="43">
        <f>TRUNC(AF92*G92)</f>
        <v>8419</v>
      </c>
      <c r="AH92" s="44">
        <f>SUM(J92,M92,P92,V92,Y92,AB92,AE92)</f>
        <v>0.29921940185044404</v>
      </c>
      <c r="AI92" s="43">
        <f>SUM(K92,N92,Q92,W92,Z92,T92,AC92)</f>
        <v>346.41</v>
      </c>
      <c r="AJ92" s="42">
        <f>SUM(L92,O92,R92,X92,AA92,U92,AD92,AG92)</f>
        <v>18170</v>
      </c>
      <c r="AK92" s="41"/>
    </row>
    <row r="93" spans="1:37" ht="37.5">
      <c r="A93" s="57" t="s">
        <v>91</v>
      </c>
      <c r="B93" s="56">
        <v>96129</v>
      </c>
      <c r="C93" s="90" t="s">
        <v>90</v>
      </c>
      <c r="D93" s="53" t="s">
        <v>31</v>
      </c>
      <c r="E93" s="53" t="s">
        <v>30</v>
      </c>
      <c r="F93" s="53">
        <v>57.02</v>
      </c>
      <c r="G93" s="54">
        <v>33.53</v>
      </c>
      <c r="H93" s="64">
        <f>(F93*G93)</f>
        <v>1911.8806000000002</v>
      </c>
      <c r="I93" s="51"/>
      <c r="J93" s="51"/>
      <c r="K93" s="51"/>
      <c r="L93" s="51"/>
      <c r="M93" s="48"/>
      <c r="N93" s="46"/>
      <c r="O93" s="49"/>
      <c r="P93" s="48"/>
      <c r="Q93" s="46"/>
      <c r="R93" s="49"/>
      <c r="S93" s="49"/>
      <c r="T93" s="49"/>
      <c r="U93" s="42">
        <f>TRUNC(G93*T93)+0</f>
        <v>0</v>
      </c>
      <c r="V93" s="48"/>
      <c r="W93" s="43">
        <f>TRUNC(V93*F93,2)</f>
        <v>0</v>
      </c>
      <c r="X93" s="42">
        <f>TRUNC(W93*G93)+0</f>
        <v>0</v>
      </c>
      <c r="Y93" s="44">
        <f>Z93/F93</f>
        <v>0</v>
      </c>
      <c r="Z93" s="46"/>
      <c r="AA93" s="42">
        <f>TRUNC(Z93*G93)+0</f>
        <v>0</v>
      </c>
      <c r="AB93" s="47">
        <f>AC93/F93</f>
        <v>0</v>
      </c>
      <c r="AC93" s="46"/>
      <c r="AD93" s="43">
        <f>TRUNC(AC93*G93)</f>
        <v>0</v>
      </c>
      <c r="AE93" s="45">
        <f>AF93/F93</f>
        <v>1</v>
      </c>
      <c r="AF93" s="43">
        <v>57.02</v>
      </c>
      <c r="AG93" s="43">
        <f>TRUNC(AF93*G93)</f>
        <v>1911</v>
      </c>
      <c r="AH93" s="44">
        <f>SUM(J93,M93,P93,V93,Y93,AB93,AE93)</f>
        <v>1</v>
      </c>
      <c r="AI93" s="43">
        <f>SUM(K93,N93,Q93,W93,Z93,T93,AC93)</f>
        <v>0</v>
      </c>
      <c r="AJ93" s="42">
        <f>SUM(L93,O93,R93,X93,AA93,U93,AD93,AG93)</f>
        <v>1911</v>
      </c>
      <c r="AK93" s="41"/>
    </row>
    <row r="94" spans="1:37" ht="25">
      <c r="A94" s="57" t="s">
        <v>89</v>
      </c>
      <c r="B94" s="56">
        <v>104641</v>
      </c>
      <c r="C94" s="90" t="s">
        <v>88</v>
      </c>
      <c r="D94" s="53" t="s">
        <v>31</v>
      </c>
      <c r="E94" s="53" t="s">
        <v>30</v>
      </c>
      <c r="F94" s="53">
        <v>2157.3200000000002</v>
      </c>
      <c r="G94" s="54">
        <v>8.75</v>
      </c>
      <c r="H94" s="64">
        <f>(F94*G94)</f>
        <v>18876.550000000003</v>
      </c>
      <c r="I94" s="51"/>
      <c r="J94" s="51"/>
      <c r="K94" s="51"/>
      <c r="L94" s="51"/>
      <c r="M94" s="48"/>
      <c r="N94" s="46"/>
      <c r="O94" s="49"/>
      <c r="P94" s="48"/>
      <c r="Q94" s="46"/>
      <c r="R94" s="49"/>
      <c r="S94" s="49"/>
      <c r="T94" s="49"/>
      <c r="U94" s="42">
        <f>TRUNC(G94*T94)+0</f>
        <v>0</v>
      </c>
      <c r="V94" s="48"/>
      <c r="W94" s="43">
        <f>TRUNC(V94*F94,2)</f>
        <v>0</v>
      </c>
      <c r="X94" s="42">
        <f>TRUNC(W94*G94)+0</f>
        <v>0</v>
      </c>
      <c r="Y94" s="44">
        <f>Z94/F94</f>
        <v>0</v>
      </c>
      <c r="Z94" s="46"/>
      <c r="AA94" s="42">
        <f>TRUNC(Z94*G94)+0</f>
        <v>0</v>
      </c>
      <c r="AB94" s="47">
        <f>AC94/F94</f>
        <v>0</v>
      </c>
      <c r="AC94" s="46"/>
      <c r="AD94" s="43">
        <f>TRUNC(AC94*G94)</f>
        <v>0</v>
      </c>
      <c r="AE94" s="45">
        <f>AF94/F94</f>
        <v>0.52020006304118083</v>
      </c>
      <c r="AF94" s="43">
        <f>'MEMORIAL DE CALCULO'!BY223</f>
        <v>1122.2380000000003</v>
      </c>
      <c r="AG94" s="43">
        <f>TRUNC(AF94*G94)</f>
        <v>9819</v>
      </c>
      <c r="AH94" s="44">
        <f>SUM(J94,M94,P94,V94,Y94,AB94,AE94)</f>
        <v>0.52020006304118083</v>
      </c>
      <c r="AI94" s="43">
        <f>SUM(K94,N94,Q94,W94,Z94,T94,AC94)</f>
        <v>0</v>
      </c>
      <c r="AJ94" s="42">
        <f>SUM(L94,O94,R94,X94,AA94,U94,AD94,AG94)</f>
        <v>9819</v>
      </c>
      <c r="AK94" s="41"/>
    </row>
    <row r="95" spans="1:37" ht="25">
      <c r="A95" s="57" t="s">
        <v>87</v>
      </c>
      <c r="B95" s="53">
        <v>88415</v>
      </c>
      <c r="C95" s="90" t="s">
        <v>86</v>
      </c>
      <c r="D95" s="53" t="s">
        <v>31</v>
      </c>
      <c r="E95" s="53" t="s">
        <v>30</v>
      </c>
      <c r="F95" s="53">
        <v>2157.3200000000002</v>
      </c>
      <c r="G95" s="74">
        <v>4.49</v>
      </c>
      <c r="H95" s="64">
        <f>(F95*G95)-0.01</f>
        <v>9686.3568000000014</v>
      </c>
      <c r="I95" s="51"/>
      <c r="J95" s="51"/>
      <c r="K95" s="51"/>
      <c r="L95" s="51"/>
      <c r="M95" s="48"/>
      <c r="N95" s="46"/>
      <c r="O95" s="49"/>
      <c r="P95" s="48"/>
      <c r="Q95" s="46"/>
      <c r="R95" s="49"/>
      <c r="S95" s="49"/>
      <c r="T95" s="49"/>
      <c r="U95" s="42">
        <f>TRUNC(G95*T95)+0</f>
        <v>0</v>
      </c>
      <c r="V95" s="48"/>
      <c r="W95" s="43">
        <f>TRUNC(V95*F95,2)</f>
        <v>0</v>
      </c>
      <c r="X95" s="42">
        <f>TRUNC(W95*G95)+0</f>
        <v>0</v>
      </c>
      <c r="Y95" s="44">
        <f>Z95/F95</f>
        <v>0</v>
      </c>
      <c r="Z95" s="46"/>
      <c r="AA95" s="42">
        <f>TRUNC(Z95*G95)+0</f>
        <v>0</v>
      </c>
      <c r="AB95" s="47">
        <f>AC95/F95</f>
        <v>0.30186638977991209</v>
      </c>
      <c r="AC95" s="46">
        <f>'MEMORIAL DE CALCULO'!BY269</f>
        <v>651.22239999999999</v>
      </c>
      <c r="AD95" s="43">
        <f>TRUNC(AC95*G95)</f>
        <v>2923</v>
      </c>
      <c r="AE95" s="45">
        <f>AF95/F95</f>
        <v>0.13864517086014136</v>
      </c>
      <c r="AF95" s="43">
        <f>'MEMORIAL DE CALCULO'!BY270</f>
        <v>299.1020000000002</v>
      </c>
      <c r="AG95" s="43">
        <f>TRUNC(AF95*G95)</f>
        <v>1342</v>
      </c>
      <c r="AH95" s="44">
        <f>SUM(J95,M95,P95,V95,Y95,AB95,AE95)</f>
        <v>0.44051156064005348</v>
      </c>
      <c r="AI95" s="43">
        <f>SUM(K95,N95,Q95,W95,Z95,T95,AC95)</f>
        <v>651.22239999999999</v>
      </c>
      <c r="AJ95" s="42">
        <f>SUM(L95,O95,R95,X95,AA95,U95,AD95,AG95)</f>
        <v>4265</v>
      </c>
      <c r="AK95" s="41"/>
    </row>
    <row r="96" spans="1:37" ht="25">
      <c r="A96" s="57" t="s">
        <v>85</v>
      </c>
      <c r="B96" s="73">
        <v>88485</v>
      </c>
      <c r="C96" s="88" t="s">
        <v>84</v>
      </c>
      <c r="D96" s="73" t="s">
        <v>31</v>
      </c>
      <c r="E96" s="73" t="s">
        <v>30</v>
      </c>
      <c r="F96" s="53">
        <v>2157.3200000000002</v>
      </c>
      <c r="G96" s="74">
        <v>3.93</v>
      </c>
      <c r="H96" s="64">
        <f>(F96*G96)-0.01</f>
        <v>8478.2576000000008</v>
      </c>
      <c r="I96" s="51"/>
      <c r="J96" s="51"/>
      <c r="K96" s="51"/>
      <c r="L96" s="51"/>
      <c r="M96" s="48"/>
      <c r="N96" s="46"/>
      <c r="O96" s="49"/>
      <c r="P96" s="48"/>
      <c r="Q96" s="46"/>
      <c r="R96" s="49"/>
      <c r="S96" s="49"/>
      <c r="T96" s="49"/>
      <c r="U96" s="42">
        <f>TRUNC(G96*T96)+0</f>
        <v>0</v>
      </c>
      <c r="V96" s="48"/>
      <c r="W96" s="43">
        <f>TRUNC(V96*F96,2)</f>
        <v>0</v>
      </c>
      <c r="X96" s="42">
        <f>TRUNC(W96*G96)+0</f>
        <v>0</v>
      </c>
      <c r="Y96" s="44">
        <f>Z96/F96</f>
        <v>0</v>
      </c>
      <c r="Z96" s="46"/>
      <c r="AA96" s="42">
        <f>TRUNC(Z96*G96)+0</f>
        <v>0</v>
      </c>
      <c r="AB96" s="47">
        <f>AC96/F96</f>
        <v>0.30186638977991209</v>
      </c>
      <c r="AC96" s="46">
        <f>'MEMORIAL DE CALCULO'!BY316</f>
        <v>651.22239999999999</v>
      </c>
      <c r="AD96" s="43">
        <f>TRUNC(AC96*G96)</f>
        <v>2559</v>
      </c>
      <c r="AE96" s="45">
        <f>AF96/F96</f>
        <v>0.13864517086014136</v>
      </c>
      <c r="AF96" s="43">
        <f>'MEMORIAL DE CALCULO'!BY317</f>
        <v>299.1020000000002</v>
      </c>
      <c r="AG96" s="43">
        <f>TRUNC(AF96*G96)</f>
        <v>1175</v>
      </c>
      <c r="AH96" s="44">
        <f>SUM(J96,M96,P96,V96,Y96,AB96,AE96)</f>
        <v>0.44051156064005348</v>
      </c>
      <c r="AI96" s="43">
        <f>SUM(K96,N96,Q96,W96,Z96,T96,AC96)</f>
        <v>651.22239999999999</v>
      </c>
      <c r="AJ96" s="42">
        <f>SUM(L96,O96,R96,X96,AA96,U96,AD96,AG96)</f>
        <v>3734</v>
      </c>
      <c r="AK96" s="41"/>
    </row>
    <row r="97" spans="1:37" ht="25">
      <c r="A97" s="57" t="s">
        <v>83</v>
      </c>
      <c r="B97" s="89">
        <v>95306</v>
      </c>
      <c r="C97" s="88" t="s">
        <v>82</v>
      </c>
      <c r="D97" s="73" t="s">
        <v>31</v>
      </c>
      <c r="E97" s="73" t="s">
        <v>30</v>
      </c>
      <c r="F97" s="73">
        <v>667.84</v>
      </c>
      <c r="G97" s="74">
        <v>14.29</v>
      </c>
      <c r="H97" s="64">
        <f>(F97*G97)</f>
        <v>9543.4336000000003</v>
      </c>
      <c r="I97" s="51"/>
      <c r="J97" s="51"/>
      <c r="K97" s="51"/>
      <c r="L97" s="51"/>
      <c r="M97" s="48"/>
      <c r="N97" s="46"/>
      <c r="O97" s="49"/>
      <c r="P97" s="48"/>
      <c r="Q97" s="46"/>
      <c r="R97" s="49"/>
      <c r="S97" s="49"/>
      <c r="T97" s="49"/>
      <c r="U97" s="42">
        <f>TRUNC(G97*T97)+0</f>
        <v>0</v>
      </c>
      <c r="V97" s="48"/>
      <c r="W97" s="43">
        <f>TRUNC(V97*F97,2)</f>
        <v>0</v>
      </c>
      <c r="X97" s="42">
        <f>TRUNC(W97*G97)+0</f>
        <v>0</v>
      </c>
      <c r="Y97" s="44">
        <f>Z97/F97</f>
        <v>0</v>
      </c>
      <c r="Z97" s="46"/>
      <c r="AA97" s="42">
        <f>TRUNC(Z97*G97)+0</f>
        <v>0</v>
      </c>
      <c r="AB97" s="47">
        <f>AC97/F97</f>
        <v>0.45641830378533793</v>
      </c>
      <c r="AC97" s="46">
        <f>'MEMORIAL DE CALCULO'!BY345</f>
        <v>304.81440000000009</v>
      </c>
      <c r="AD97" s="43">
        <f>TRUNC(AC97*G97)</f>
        <v>4355</v>
      </c>
      <c r="AE97" s="45">
        <f>AF97/F97</f>
        <v>0</v>
      </c>
      <c r="AF97" s="43"/>
      <c r="AG97" s="43">
        <f>TRUNC(AF97*G97)</f>
        <v>0</v>
      </c>
      <c r="AH97" s="44">
        <f>SUM(J97,M97,P97,V97,Y97,AB97,AE97)</f>
        <v>0.45641830378533793</v>
      </c>
      <c r="AI97" s="43">
        <f>SUM(K97,N97,Q97,W97,Z97,T97,AC97)</f>
        <v>304.81440000000009</v>
      </c>
      <c r="AJ97" s="42">
        <f>SUM(L97,O97,R97,X97,AA97,U97,AD97,AG97)</f>
        <v>4355</v>
      </c>
      <c r="AK97" s="41"/>
    </row>
    <row r="98" spans="1:37" ht="20.149999999999999" customHeight="1">
      <c r="A98" s="60">
        <v>9</v>
      </c>
      <c r="B98" s="59" t="s">
        <v>81</v>
      </c>
      <c r="C98" s="59"/>
      <c r="D98" s="59"/>
      <c r="E98" s="59"/>
      <c r="F98" s="59"/>
      <c r="G98" s="59"/>
      <c r="H98" s="58">
        <f>SUM(H99:H108)</f>
        <v>15377.029999999999</v>
      </c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5"/>
      <c r="AE98" s="36"/>
      <c r="AF98" s="35"/>
      <c r="AG98" s="35"/>
      <c r="AH98" s="35"/>
      <c r="AI98" s="34"/>
      <c r="AJ98" s="34"/>
      <c r="AK98" s="34"/>
    </row>
    <row r="99" spans="1:37" ht="37.5">
      <c r="A99" s="57" t="s">
        <v>80</v>
      </c>
      <c r="B99" s="87">
        <v>101492</v>
      </c>
      <c r="C99" s="86" t="s">
        <v>79</v>
      </c>
      <c r="D99" s="84" t="s">
        <v>31</v>
      </c>
      <c r="E99" s="84" t="s">
        <v>43</v>
      </c>
      <c r="F99" s="85">
        <v>1</v>
      </c>
      <c r="G99" s="84">
        <v>1667.43</v>
      </c>
      <c r="H99" s="64">
        <f>(F99*G99)</f>
        <v>1667.43</v>
      </c>
      <c r="I99" s="51"/>
      <c r="J99" s="51"/>
      <c r="K99" s="51"/>
      <c r="L99" s="51"/>
      <c r="M99" s="48"/>
      <c r="N99" s="46"/>
      <c r="O99" s="49"/>
      <c r="P99" s="48"/>
      <c r="Q99" s="46"/>
      <c r="R99" s="49"/>
      <c r="S99" s="49"/>
      <c r="T99" s="49"/>
      <c r="U99" s="42">
        <f>TRUNC(G99*T99)+0</f>
        <v>0</v>
      </c>
      <c r="V99" s="48"/>
      <c r="W99" s="43">
        <f>TRUNC(V99*F99,2)</f>
        <v>0</v>
      </c>
      <c r="X99" s="42">
        <f>TRUNC(W99*G99)+0</f>
        <v>0</v>
      </c>
      <c r="Y99" s="44">
        <f>Z99/F99</f>
        <v>0</v>
      </c>
      <c r="Z99" s="46"/>
      <c r="AA99" s="42">
        <f>TRUNC(Z99*G99)+0</f>
        <v>0</v>
      </c>
      <c r="AB99" s="47">
        <f>AC99/F99</f>
        <v>1</v>
      </c>
      <c r="AC99" s="46">
        <v>1</v>
      </c>
      <c r="AD99" s="43">
        <f>TRUNC(AC99*G99)</f>
        <v>1667</v>
      </c>
      <c r="AE99" s="45">
        <f>AF99/F99</f>
        <v>0</v>
      </c>
      <c r="AF99" s="43"/>
      <c r="AG99" s="43">
        <f>TRUNC(AF99*G99)</f>
        <v>0</v>
      </c>
      <c r="AH99" s="44">
        <f>SUM(J99,M99,P99,V99,Y99,AB99,AE99)</f>
        <v>1</v>
      </c>
      <c r="AI99" s="43">
        <f>SUM(K99,N99,Q99,W99,Z99,T99,AC99)</f>
        <v>1</v>
      </c>
      <c r="AJ99" s="42">
        <f>SUM(L99,O99,R99,X99,AA99,U99,AD99,AG99)</f>
        <v>1667</v>
      </c>
      <c r="AK99" s="41" t="str">
        <f>IF(AH99=100%,"ITEM FINALIZADO",AH99)</f>
        <v>ITEM FINALIZADO</v>
      </c>
    </row>
    <row r="100" spans="1:37" ht="26">
      <c r="A100" s="57" t="s">
        <v>78</v>
      </c>
      <c r="B100" s="83">
        <v>93660</v>
      </c>
      <c r="C100" s="71" t="s">
        <v>77</v>
      </c>
      <c r="D100" s="69" t="s">
        <v>31</v>
      </c>
      <c r="E100" s="69" t="s">
        <v>43</v>
      </c>
      <c r="F100" s="70">
        <v>10</v>
      </c>
      <c r="G100" s="69">
        <v>47.17</v>
      </c>
      <c r="H100" s="64">
        <f>(F100*G100)</f>
        <v>471.70000000000005</v>
      </c>
      <c r="I100" s="51"/>
      <c r="J100" s="51"/>
      <c r="K100" s="51"/>
      <c r="L100" s="51"/>
      <c r="M100" s="48"/>
      <c r="N100" s="46"/>
      <c r="O100" s="49"/>
      <c r="P100" s="48"/>
      <c r="Q100" s="46"/>
      <c r="R100" s="49"/>
      <c r="S100" s="49"/>
      <c r="T100" s="49"/>
      <c r="U100" s="42">
        <f>TRUNC(G100*T100)+0</f>
        <v>0</v>
      </c>
      <c r="V100" s="48"/>
      <c r="W100" s="43">
        <f>TRUNC(V100*F100,2)</f>
        <v>0</v>
      </c>
      <c r="X100" s="42">
        <f>TRUNC(W100*G100)+0</f>
        <v>0</v>
      </c>
      <c r="Y100" s="44">
        <f>Z100/F100</f>
        <v>0</v>
      </c>
      <c r="Z100" s="46"/>
      <c r="AA100" s="42">
        <f>TRUNC(Z100*G100)+0</f>
        <v>0</v>
      </c>
      <c r="AB100" s="47">
        <f>AC100/F100</f>
        <v>1</v>
      </c>
      <c r="AC100" s="46">
        <v>10</v>
      </c>
      <c r="AD100" s="43">
        <f>TRUNC(AC100*G100)</f>
        <v>471</v>
      </c>
      <c r="AE100" s="45">
        <f>AF100/F100</f>
        <v>0</v>
      </c>
      <c r="AF100" s="43"/>
      <c r="AG100" s="43">
        <f>TRUNC(AF100*G100)</f>
        <v>0</v>
      </c>
      <c r="AH100" s="44">
        <f>SUM(J100,M100,P100,V100,Y100,AB100,AE100)</f>
        <v>1</v>
      </c>
      <c r="AI100" s="43">
        <f>SUM(K100,N100,Q100,W100,Z100,T100,AC100)</f>
        <v>10</v>
      </c>
      <c r="AJ100" s="42">
        <f>SUM(L100,O100,R100,X100,AA100,U100,AD100,AG100)</f>
        <v>471</v>
      </c>
      <c r="AK100" s="41" t="str">
        <f>IF(AH100=100%,"ITEM FINALIZADO",AH100)</f>
        <v>ITEM FINALIZADO</v>
      </c>
    </row>
    <row r="101" spans="1:37" ht="62.5">
      <c r="A101" s="57" t="s">
        <v>76</v>
      </c>
      <c r="B101" s="83">
        <v>104473</v>
      </c>
      <c r="C101" s="71" t="s">
        <v>75</v>
      </c>
      <c r="D101" s="69" t="s">
        <v>31</v>
      </c>
      <c r="E101" s="69" t="s">
        <v>43</v>
      </c>
      <c r="F101" s="70">
        <v>22</v>
      </c>
      <c r="G101" s="69">
        <v>158.56</v>
      </c>
      <c r="H101" s="64">
        <f>(F101*G101)</f>
        <v>3488.32</v>
      </c>
      <c r="I101" s="51"/>
      <c r="J101" s="51"/>
      <c r="K101" s="51"/>
      <c r="L101" s="51"/>
      <c r="M101" s="48"/>
      <c r="N101" s="46"/>
      <c r="O101" s="49"/>
      <c r="P101" s="48"/>
      <c r="Q101" s="46"/>
      <c r="R101" s="49"/>
      <c r="S101" s="49"/>
      <c r="T101" s="49"/>
      <c r="U101" s="42">
        <f>TRUNC(G101*T101)+0</f>
        <v>0</v>
      </c>
      <c r="V101" s="48"/>
      <c r="W101" s="43">
        <f>TRUNC(V101*F101,2)</f>
        <v>0</v>
      </c>
      <c r="X101" s="42">
        <f>TRUNC(W101*G101)+0</f>
        <v>0</v>
      </c>
      <c r="Y101" s="44">
        <f>Z101/F101</f>
        <v>0</v>
      </c>
      <c r="Z101" s="46"/>
      <c r="AA101" s="42">
        <f>TRUNC(Z101*G101)+0</f>
        <v>0</v>
      </c>
      <c r="AB101" s="47">
        <f>AC101/F101</f>
        <v>1</v>
      </c>
      <c r="AC101" s="46">
        <v>22</v>
      </c>
      <c r="AD101" s="43">
        <f>TRUNC(AC101*G101)</f>
        <v>3488</v>
      </c>
      <c r="AE101" s="45">
        <f>AF101/F101</f>
        <v>0</v>
      </c>
      <c r="AF101" s="43"/>
      <c r="AG101" s="43">
        <f>TRUNC(AF101*G101)</f>
        <v>0</v>
      </c>
      <c r="AH101" s="44">
        <f>SUM(J101,M101,P101,V101,Y101,AB101,AE101)</f>
        <v>1</v>
      </c>
      <c r="AI101" s="43">
        <f>SUM(K101,N101,Q101,W101,Z101,T101,AC101)</f>
        <v>22</v>
      </c>
      <c r="AJ101" s="42">
        <f>SUM(L101,O101,R101,X101,AA101,U101,AD101,AG101)</f>
        <v>3488</v>
      </c>
      <c r="AK101" s="41" t="str">
        <f>IF(AH101=100%,"ITEM FINALIZADO",AH101)</f>
        <v>ITEM FINALIZADO</v>
      </c>
    </row>
    <row r="102" spans="1:37" ht="26">
      <c r="A102" s="57" t="s">
        <v>74</v>
      </c>
      <c r="B102" s="83">
        <v>93664</v>
      </c>
      <c r="C102" s="71" t="s">
        <v>73</v>
      </c>
      <c r="D102" s="69" t="s">
        <v>31</v>
      </c>
      <c r="E102" s="69" t="s">
        <v>43</v>
      </c>
      <c r="F102" s="70">
        <v>10</v>
      </c>
      <c r="G102" s="69">
        <v>54.05</v>
      </c>
      <c r="H102" s="64">
        <f>(F102*G102)</f>
        <v>540.5</v>
      </c>
      <c r="I102" s="51"/>
      <c r="J102" s="51"/>
      <c r="K102" s="51"/>
      <c r="L102" s="51"/>
      <c r="M102" s="48"/>
      <c r="N102" s="46"/>
      <c r="O102" s="49"/>
      <c r="P102" s="48"/>
      <c r="Q102" s="46"/>
      <c r="R102" s="49"/>
      <c r="S102" s="49"/>
      <c r="T102" s="49"/>
      <c r="U102" s="42">
        <f>TRUNC(G102*T102)+0</f>
        <v>0</v>
      </c>
      <c r="V102" s="48"/>
      <c r="W102" s="43">
        <f>TRUNC(V102*F102,2)</f>
        <v>0</v>
      </c>
      <c r="X102" s="42">
        <f>TRUNC(W102*G102)+0</f>
        <v>0</v>
      </c>
      <c r="Y102" s="44">
        <f>Z102/F102</f>
        <v>0</v>
      </c>
      <c r="Z102" s="46"/>
      <c r="AA102" s="42">
        <f>TRUNC(Z102*G102)+0</f>
        <v>0</v>
      </c>
      <c r="AB102" s="47">
        <f>AC102/F102</f>
        <v>1</v>
      </c>
      <c r="AC102" s="46">
        <v>10</v>
      </c>
      <c r="AD102" s="43">
        <f>TRUNC(AC102*G102)</f>
        <v>540</v>
      </c>
      <c r="AE102" s="45">
        <f>AF102/F102</f>
        <v>0</v>
      </c>
      <c r="AF102" s="43"/>
      <c r="AG102" s="43">
        <f>TRUNC(AF102*G102)</f>
        <v>0</v>
      </c>
      <c r="AH102" s="44">
        <f>SUM(J102,M102,P102,V102,Y102,AB102,AE102)</f>
        <v>1</v>
      </c>
      <c r="AI102" s="43">
        <f>SUM(K102,N102,Q102,W102,Z102,T102,AC102)</f>
        <v>10</v>
      </c>
      <c r="AJ102" s="42">
        <f>SUM(L102,O102,R102,X102,AA102,U102,AD102,AG102)</f>
        <v>540</v>
      </c>
      <c r="AK102" s="41" t="str">
        <f>IF(AH102=100%,"ITEM FINALIZADO",AH102)</f>
        <v>ITEM FINALIZADO</v>
      </c>
    </row>
    <row r="103" spans="1:37" ht="26">
      <c r="A103" s="57" t="s">
        <v>72</v>
      </c>
      <c r="B103" s="83">
        <v>93854</v>
      </c>
      <c r="C103" s="71" t="s">
        <v>71</v>
      </c>
      <c r="D103" s="69" t="s">
        <v>31</v>
      </c>
      <c r="E103" s="69" t="s">
        <v>43</v>
      </c>
      <c r="F103" s="70">
        <v>10</v>
      </c>
      <c r="G103" s="69">
        <v>10.65</v>
      </c>
      <c r="H103" s="64">
        <f>(F103*G103)</f>
        <v>106.5</v>
      </c>
      <c r="I103" s="51"/>
      <c r="J103" s="51"/>
      <c r="K103" s="51"/>
      <c r="L103" s="51"/>
      <c r="M103" s="48"/>
      <c r="N103" s="46"/>
      <c r="O103" s="49"/>
      <c r="P103" s="48"/>
      <c r="Q103" s="46"/>
      <c r="R103" s="49"/>
      <c r="S103" s="49"/>
      <c r="T103" s="49"/>
      <c r="U103" s="42">
        <f>TRUNC(G103*T103)+0</f>
        <v>0</v>
      </c>
      <c r="V103" s="48"/>
      <c r="W103" s="43">
        <f>TRUNC(V103*F103,2)</f>
        <v>0</v>
      </c>
      <c r="X103" s="42">
        <f>TRUNC(W103*G103)+0</f>
        <v>0</v>
      </c>
      <c r="Y103" s="44">
        <f>Z103/F103</f>
        <v>0</v>
      </c>
      <c r="Z103" s="46"/>
      <c r="AA103" s="42">
        <f>TRUNC(Z103*G103)+0</f>
        <v>0</v>
      </c>
      <c r="AB103" s="47">
        <f>AC103/F103</f>
        <v>1</v>
      </c>
      <c r="AC103" s="46">
        <v>10</v>
      </c>
      <c r="AD103" s="43">
        <f>TRUNC(AC103*G103)</f>
        <v>106</v>
      </c>
      <c r="AE103" s="45">
        <f>AF103/F103</f>
        <v>0</v>
      </c>
      <c r="AF103" s="43"/>
      <c r="AG103" s="43">
        <f>TRUNC(AF103*G103)</f>
        <v>0</v>
      </c>
      <c r="AH103" s="44">
        <f>SUM(J103,M103,P103,V103,Y103,AB103,AE103)</f>
        <v>1</v>
      </c>
      <c r="AI103" s="43">
        <f>SUM(K103,N103,Q103,W103,Z103,T103,AC103)</f>
        <v>10</v>
      </c>
      <c r="AJ103" s="42">
        <f>SUM(L103,O103,R103,X103,AA103,U103,AD103,AG103)</f>
        <v>106</v>
      </c>
      <c r="AK103" s="41" t="str">
        <f>IF(AH103=100%,"ITEM FINALIZADO",AH103)</f>
        <v>ITEM FINALIZADO</v>
      </c>
    </row>
    <row r="104" spans="1:37" ht="62.5">
      <c r="A104" s="57" t="s">
        <v>70</v>
      </c>
      <c r="B104" s="83">
        <v>104478</v>
      </c>
      <c r="C104" s="71" t="s">
        <v>69</v>
      </c>
      <c r="D104" s="69" t="s">
        <v>31</v>
      </c>
      <c r="E104" s="69" t="s">
        <v>43</v>
      </c>
      <c r="F104" s="70">
        <v>10</v>
      </c>
      <c r="G104" s="69">
        <v>176.07</v>
      </c>
      <c r="H104" s="64">
        <f>(F104*G104)</f>
        <v>1760.6999999999998</v>
      </c>
      <c r="I104" s="51"/>
      <c r="J104" s="51"/>
      <c r="K104" s="51"/>
      <c r="L104" s="51"/>
      <c r="M104" s="48"/>
      <c r="N104" s="46"/>
      <c r="O104" s="49"/>
      <c r="P104" s="48"/>
      <c r="Q104" s="46"/>
      <c r="R104" s="49"/>
      <c r="S104" s="49"/>
      <c r="T104" s="49"/>
      <c r="U104" s="42">
        <f>TRUNC(G104*T104)+0</f>
        <v>0</v>
      </c>
      <c r="V104" s="48"/>
      <c r="W104" s="43">
        <f>TRUNC(V104*F104,2)</f>
        <v>0</v>
      </c>
      <c r="X104" s="42">
        <f>TRUNC(W104*G104)+0</f>
        <v>0</v>
      </c>
      <c r="Y104" s="44">
        <f>Z104/F104</f>
        <v>0</v>
      </c>
      <c r="Z104" s="46"/>
      <c r="AA104" s="42">
        <f>TRUNC(Z104*G104)+0</f>
        <v>0</v>
      </c>
      <c r="AB104" s="47">
        <f>AC104/F104</f>
        <v>1</v>
      </c>
      <c r="AC104" s="46">
        <v>10</v>
      </c>
      <c r="AD104" s="43">
        <f>TRUNC(AC104*G104)</f>
        <v>1760</v>
      </c>
      <c r="AE104" s="45">
        <f>AF104/F104</f>
        <v>0</v>
      </c>
      <c r="AF104" s="43"/>
      <c r="AG104" s="43">
        <f>TRUNC(AF104*G104)</f>
        <v>0</v>
      </c>
      <c r="AH104" s="44">
        <f>SUM(J104,M104,P104,V104,Y104,AB104,AE104)</f>
        <v>1</v>
      </c>
      <c r="AI104" s="43">
        <f>SUM(K104,N104,Q104,W104,Z104,T104,AC104)</f>
        <v>10</v>
      </c>
      <c r="AJ104" s="42">
        <f>SUM(L104,O104,R104,X104,AA104,U104,AD104,AG104)</f>
        <v>1760</v>
      </c>
      <c r="AK104" s="41" t="str">
        <f>IF(AH104=100%,"ITEM FINALIZADO",AH104)</f>
        <v>ITEM FINALIZADO</v>
      </c>
    </row>
    <row r="105" spans="1:37" ht="62.5">
      <c r="A105" s="57" t="s">
        <v>68</v>
      </c>
      <c r="B105" s="83">
        <v>104475</v>
      </c>
      <c r="C105" s="71" t="s">
        <v>67</v>
      </c>
      <c r="D105" s="69" t="s">
        <v>31</v>
      </c>
      <c r="E105" s="69" t="s">
        <v>43</v>
      </c>
      <c r="F105" s="70">
        <v>30</v>
      </c>
      <c r="G105" s="69">
        <v>136.19</v>
      </c>
      <c r="H105" s="64">
        <f>(F105*G105)</f>
        <v>4085.7</v>
      </c>
      <c r="I105" s="51"/>
      <c r="J105" s="51"/>
      <c r="K105" s="51"/>
      <c r="L105" s="51"/>
      <c r="M105" s="48"/>
      <c r="N105" s="46"/>
      <c r="O105" s="49"/>
      <c r="P105" s="48"/>
      <c r="Q105" s="46"/>
      <c r="R105" s="49"/>
      <c r="S105" s="49"/>
      <c r="T105" s="49"/>
      <c r="U105" s="42">
        <f>TRUNC(G105*T105)+0</f>
        <v>0</v>
      </c>
      <c r="V105" s="48"/>
      <c r="W105" s="43">
        <f>TRUNC(V105*F105,2)</f>
        <v>0</v>
      </c>
      <c r="X105" s="42">
        <f>TRUNC(W105*G105)+0</f>
        <v>0</v>
      </c>
      <c r="Y105" s="44">
        <f>Z105/F105</f>
        <v>0</v>
      </c>
      <c r="Z105" s="46"/>
      <c r="AA105" s="42">
        <f>TRUNC(Z105*G105)+0</f>
        <v>0</v>
      </c>
      <c r="AB105" s="47">
        <f>AC105/F105</f>
        <v>1</v>
      </c>
      <c r="AC105" s="46">
        <v>30</v>
      </c>
      <c r="AD105" s="43">
        <f>TRUNC(AC105*G105)</f>
        <v>4085</v>
      </c>
      <c r="AE105" s="45">
        <f>AF105/F105</f>
        <v>0</v>
      </c>
      <c r="AF105" s="43"/>
      <c r="AG105" s="43">
        <f>TRUNC(AF105*G105)</f>
        <v>0</v>
      </c>
      <c r="AH105" s="44">
        <f>SUM(J105,M105,P105,V105,Y105,AB105,AE105)</f>
        <v>1</v>
      </c>
      <c r="AI105" s="43">
        <f>SUM(K105,N105,Q105,W105,Z105,T105,AC105)</f>
        <v>30</v>
      </c>
      <c r="AJ105" s="42">
        <f>SUM(L105,O105,R105,X105,AA105,U105,AD105,AG105)</f>
        <v>4085</v>
      </c>
      <c r="AK105" s="41" t="str">
        <f>IF(AH105=100%,"ITEM FINALIZADO",AH105)</f>
        <v>ITEM FINALIZADO</v>
      </c>
    </row>
    <row r="106" spans="1:37" ht="37.5">
      <c r="A106" s="57" t="s">
        <v>66</v>
      </c>
      <c r="B106" s="83">
        <v>97589</v>
      </c>
      <c r="C106" s="71" t="s">
        <v>65</v>
      </c>
      <c r="D106" s="69" t="s">
        <v>31</v>
      </c>
      <c r="E106" s="69" t="s">
        <v>43</v>
      </c>
      <c r="F106" s="70">
        <v>10</v>
      </c>
      <c r="G106" s="69">
        <v>42.9</v>
      </c>
      <c r="H106" s="64">
        <f>(F106*G106)</f>
        <v>429</v>
      </c>
      <c r="I106" s="51"/>
      <c r="J106" s="51"/>
      <c r="K106" s="51"/>
      <c r="L106" s="51"/>
      <c r="M106" s="48"/>
      <c r="N106" s="46"/>
      <c r="O106" s="49"/>
      <c r="P106" s="48"/>
      <c r="Q106" s="46"/>
      <c r="R106" s="49"/>
      <c r="S106" s="49"/>
      <c r="T106" s="49"/>
      <c r="U106" s="42">
        <f>TRUNC(G106*T106)+0</f>
        <v>0</v>
      </c>
      <c r="V106" s="48"/>
      <c r="W106" s="43">
        <f>TRUNC(V106*F106,2)</f>
        <v>0</v>
      </c>
      <c r="X106" s="42">
        <f>TRUNC(W106*G106)+0</f>
        <v>0</v>
      </c>
      <c r="Y106" s="44">
        <f>Z106/F106</f>
        <v>0</v>
      </c>
      <c r="Z106" s="46"/>
      <c r="AA106" s="42">
        <f>TRUNC(Z106*G106)+0</f>
        <v>0</v>
      </c>
      <c r="AB106" s="47">
        <f>AC106/F106</f>
        <v>1</v>
      </c>
      <c r="AC106" s="46">
        <v>10</v>
      </c>
      <c r="AD106" s="43">
        <f>TRUNC(AC106*G106)</f>
        <v>429</v>
      </c>
      <c r="AE106" s="45">
        <f>AF106/F106</f>
        <v>0</v>
      </c>
      <c r="AF106" s="43"/>
      <c r="AG106" s="43">
        <f>TRUNC(AF106*G106)</f>
        <v>0</v>
      </c>
      <c r="AH106" s="44">
        <f>SUM(J106,M106,P106,V106,Y106,AB106,AE106)</f>
        <v>1</v>
      </c>
      <c r="AI106" s="43">
        <f>SUM(K106,N106,Q106,W106,Z106,T106,AC106)</f>
        <v>10</v>
      </c>
      <c r="AJ106" s="42">
        <f>SUM(L106,O106,R106,X106,AA106,U106,AD106,AG106)</f>
        <v>429</v>
      </c>
      <c r="AK106" s="41" t="str">
        <f>IF(AH106=100%,"ITEM FINALIZADO",AH106)</f>
        <v>ITEM FINALIZADO</v>
      </c>
    </row>
    <row r="107" spans="1:37" ht="37.5">
      <c r="A107" s="57" t="s">
        <v>64</v>
      </c>
      <c r="B107" s="83">
        <v>101560</v>
      </c>
      <c r="C107" s="71" t="s">
        <v>63</v>
      </c>
      <c r="D107" s="69" t="s">
        <v>31</v>
      </c>
      <c r="E107" s="69" t="s">
        <v>62</v>
      </c>
      <c r="F107" s="70">
        <v>6</v>
      </c>
      <c r="G107" s="69">
        <v>9.23</v>
      </c>
      <c r="H107" s="64">
        <f>(F107*G107)</f>
        <v>55.38</v>
      </c>
      <c r="I107" s="51"/>
      <c r="J107" s="51"/>
      <c r="K107" s="51"/>
      <c r="L107" s="51"/>
      <c r="M107" s="48"/>
      <c r="N107" s="46"/>
      <c r="O107" s="49"/>
      <c r="P107" s="48"/>
      <c r="Q107" s="46"/>
      <c r="R107" s="49"/>
      <c r="S107" s="49"/>
      <c r="T107" s="49"/>
      <c r="U107" s="42">
        <f>TRUNC(G107*T107)+0</f>
        <v>0</v>
      </c>
      <c r="V107" s="48"/>
      <c r="W107" s="43">
        <f>TRUNC(V107*F107,2)</f>
        <v>0</v>
      </c>
      <c r="X107" s="42">
        <f>TRUNC(W107*G107)+0</f>
        <v>0</v>
      </c>
      <c r="Y107" s="44">
        <f>Z107/F107</f>
        <v>0</v>
      </c>
      <c r="Z107" s="46"/>
      <c r="AA107" s="42">
        <f>TRUNC(Z107*G107)+0</f>
        <v>0</v>
      </c>
      <c r="AB107" s="47">
        <f>AC107/F107</f>
        <v>1</v>
      </c>
      <c r="AC107" s="46">
        <v>6</v>
      </c>
      <c r="AD107" s="43">
        <f>TRUNC(AC107*G107)</f>
        <v>55</v>
      </c>
      <c r="AE107" s="45">
        <f>AF107/F107</f>
        <v>0</v>
      </c>
      <c r="AF107" s="43"/>
      <c r="AG107" s="43">
        <f>TRUNC(AF107*G107)</f>
        <v>0</v>
      </c>
      <c r="AH107" s="44">
        <f>SUM(J107,M107,P107,V107,Y107,AB107,AE107)</f>
        <v>1</v>
      </c>
      <c r="AI107" s="43">
        <f>SUM(K107,N107,Q107,W107,Z107,T107,AC107)</f>
        <v>6</v>
      </c>
      <c r="AJ107" s="42">
        <f>SUM(L107,O107,R107,X107,AA107,U107,AD107,AG107)</f>
        <v>55</v>
      </c>
      <c r="AK107" s="41" t="str">
        <f>IF(AH107=100%,"ITEM FINALIZADO",AH107)</f>
        <v>ITEM FINALIZADO</v>
      </c>
    </row>
    <row r="108" spans="1:37" ht="26">
      <c r="A108" s="57" t="s">
        <v>61</v>
      </c>
      <c r="B108" s="83">
        <v>7996</v>
      </c>
      <c r="C108" s="71" t="s">
        <v>60</v>
      </c>
      <c r="D108" s="69" t="s">
        <v>26</v>
      </c>
      <c r="E108" s="69" t="s">
        <v>43</v>
      </c>
      <c r="F108" s="70">
        <v>10</v>
      </c>
      <c r="G108" s="69">
        <v>277.18</v>
      </c>
      <c r="H108" s="64">
        <f>(F108*G108)</f>
        <v>2771.8</v>
      </c>
      <c r="I108" s="51"/>
      <c r="J108" s="51"/>
      <c r="K108" s="51"/>
      <c r="L108" s="51"/>
      <c r="M108" s="48"/>
      <c r="N108" s="46"/>
      <c r="O108" s="49"/>
      <c r="P108" s="48"/>
      <c r="Q108" s="46"/>
      <c r="R108" s="49"/>
      <c r="S108" s="49"/>
      <c r="T108" s="49"/>
      <c r="U108" s="42">
        <f>TRUNC(G108*T108)+0</f>
        <v>0</v>
      </c>
      <c r="V108" s="48"/>
      <c r="W108" s="43">
        <f>TRUNC(V108*F108,2)</f>
        <v>0</v>
      </c>
      <c r="X108" s="42">
        <f>TRUNC(W108*G108)+0</f>
        <v>0</v>
      </c>
      <c r="Y108" s="44">
        <f>Z108/F108</f>
        <v>0</v>
      </c>
      <c r="Z108" s="46"/>
      <c r="AA108" s="42">
        <f>TRUNC(Z108*G108)+0</f>
        <v>0</v>
      </c>
      <c r="AB108" s="47">
        <f>AC108/F108</f>
        <v>1</v>
      </c>
      <c r="AC108" s="46">
        <v>10</v>
      </c>
      <c r="AD108" s="43">
        <f>TRUNC(AC108*G108)</f>
        <v>2771</v>
      </c>
      <c r="AE108" s="45">
        <f>AF108/F108</f>
        <v>0</v>
      </c>
      <c r="AF108" s="43"/>
      <c r="AG108" s="43">
        <f>TRUNC(AF108*G108)</f>
        <v>0</v>
      </c>
      <c r="AH108" s="44">
        <f>SUM(J108,M108,P108,V108,Y108,AB108,AE108)</f>
        <v>1</v>
      </c>
      <c r="AI108" s="43">
        <f>SUM(K108,N108,Q108,W108,Z108,T108,AC108)</f>
        <v>10</v>
      </c>
      <c r="AJ108" s="42">
        <f>SUM(L108,O108,R108,X108,AA108,U108,AD108,AG108)</f>
        <v>2771</v>
      </c>
      <c r="AK108" s="41" t="str">
        <f>IF(AH108=100%,"ITEM FINALIZADO",AH108)</f>
        <v>ITEM FINALIZADO</v>
      </c>
    </row>
    <row r="109" spans="1:37" ht="20.149999999999999" customHeight="1">
      <c r="A109" s="60">
        <v>10</v>
      </c>
      <c r="B109" s="59" t="s">
        <v>59</v>
      </c>
      <c r="C109" s="59"/>
      <c r="D109" s="59"/>
      <c r="E109" s="59"/>
      <c r="F109" s="59"/>
      <c r="G109" s="59"/>
      <c r="H109" s="58">
        <f>SUM(H110:H111)</f>
        <v>24596.11</v>
      </c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5"/>
      <c r="AE109" s="36"/>
      <c r="AF109" s="35"/>
      <c r="AG109" s="35"/>
      <c r="AH109" s="35"/>
      <c r="AI109" s="34"/>
      <c r="AJ109" s="34"/>
      <c r="AK109" s="34"/>
    </row>
    <row r="110" spans="1:37" ht="37.5">
      <c r="A110" s="57" t="s">
        <v>58</v>
      </c>
      <c r="B110" s="83">
        <v>103244</v>
      </c>
      <c r="C110" s="82" t="s">
        <v>57</v>
      </c>
      <c r="D110" s="69" t="s">
        <v>31</v>
      </c>
      <c r="E110" s="69" t="s">
        <v>43</v>
      </c>
      <c r="F110" s="70">
        <v>11</v>
      </c>
      <c r="G110" s="69">
        <v>2176.21</v>
      </c>
      <c r="H110" s="64">
        <f>(F110*G110)</f>
        <v>23938.31</v>
      </c>
      <c r="I110" s="51"/>
      <c r="J110" s="51"/>
      <c r="K110" s="51"/>
      <c r="L110" s="51"/>
      <c r="M110" s="48"/>
      <c r="N110" s="46"/>
      <c r="O110" s="49"/>
      <c r="P110" s="48"/>
      <c r="Q110" s="46"/>
      <c r="R110" s="49"/>
      <c r="S110" s="49"/>
      <c r="T110" s="49"/>
      <c r="U110" s="42">
        <f>TRUNC(G110*T110)+0</f>
        <v>0</v>
      </c>
      <c r="V110" s="48"/>
      <c r="W110" s="43">
        <f>TRUNC(V110*F110,2)</f>
        <v>0</v>
      </c>
      <c r="X110" s="42">
        <f>TRUNC(W110*G110)+0</f>
        <v>0</v>
      </c>
      <c r="Y110" s="44">
        <f>Z110/F110</f>
        <v>0</v>
      </c>
      <c r="Z110" s="46"/>
      <c r="AA110" s="42">
        <f>TRUNC(Z110*G110)+0</f>
        <v>0</v>
      </c>
      <c r="AB110" s="47">
        <f>AC110/F110</f>
        <v>0</v>
      </c>
      <c r="AC110" s="46"/>
      <c r="AD110" s="43">
        <f>TRUNC(AC110*G110)</f>
        <v>0</v>
      </c>
      <c r="AE110" s="45">
        <f>AF110/F110</f>
        <v>0</v>
      </c>
      <c r="AF110" s="43"/>
      <c r="AG110" s="43">
        <f>TRUNC(AF110*G110)</f>
        <v>0</v>
      </c>
      <c r="AH110" s="44">
        <f>SUM(J110,M110,P110,V110,Y110,AB110,AE110)</f>
        <v>0</v>
      </c>
      <c r="AI110" s="43">
        <f>SUM(K110,N110,Q110,W110,Z110,T110,AC110)</f>
        <v>0</v>
      </c>
      <c r="AJ110" s="42">
        <f>SUM(L110,O110,R110,X110,AA110,U110,AD110,AG110)</f>
        <v>0</v>
      </c>
      <c r="AK110" s="41">
        <f>IF(AH110=100%,"ITEM FINALIZADO",AH110)</f>
        <v>0</v>
      </c>
    </row>
    <row r="111" spans="1:37" ht="26">
      <c r="A111" s="57" t="s">
        <v>56</v>
      </c>
      <c r="B111" s="81" t="s">
        <v>55</v>
      </c>
      <c r="C111" s="71" t="s">
        <v>54</v>
      </c>
      <c r="D111" s="69" t="s">
        <v>53</v>
      </c>
      <c r="E111" s="69" t="s">
        <v>43</v>
      </c>
      <c r="F111" s="70">
        <v>11</v>
      </c>
      <c r="G111" s="80">
        <v>59.8</v>
      </c>
      <c r="H111" s="64">
        <f>(F111*G111)</f>
        <v>657.8</v>
      </c>
      <c r="I111" s="51"/>
      <c r="J111" s="51"/>
      <c r="K111" s="51"/>
      <c r="L111" s="51"/>
      <c r="M111" s="48"/>
      <c r="N111" s="46"/>
      <c r="O111" s="49"/>
      <c r="P111" s="48"/>
      <c r="Q111" s="46"/>
      <c r="R111" s="49"/>
      <c r="S111" s="49"/>
      <c r="T111" s="49"/>
      <c r="U111" s="42">
        <f>TRUNC(G111*T111)+0</f>
        <v>0</v>
      </c>
      <c r="V111" s="48"/>
      <c r="W111" s="43">
        <f>TRUNC(V111*F111,2)</f>
        <v>0</v>
      </c>
      <c r="X111" s="42">
        <f>TRUNC(W111*G111)+0</f>
        <v>0</v>
      </c>
      <c r="Y111" s="44">
        <f>Z111/F111</f>
        <v>1</v>
      </c>
      <c r="Z111" s="46">
        <v>11</v>
      </c>
      <c r="AA111" s="42">
        <f>TRUNC(Z111*G111)+0</f>
        <v>657</v>
      </c>
      <c r="AB111" s="47">
        <f>AC111/F111</f>
        <v>0</v>
      </c>
      <c r="AC111" s="46">
        <v>0</v>
      </c>
      <c r="AD111" s="43">
        <f>TRUNC(AC111*G111)</f>
        <v>0</v>
      </c>
      <c r="AE111" s="45">
        <f>AF111/F111</f>
        <v>0</v>
      </c>
      <c r="AF111" s="43"/>
      <c r="AG111" s="43">
        <f>TRUNC(AF111*G111)</f>
        <v>0</v>
      </c>
      <c r="AH111" s="44">
        <f>SUM(J111,M111,P111,V111,Y111,AB111,AE111)</f>
        <v>1</v>
      </c>
      <c r="AI111" s="43">
        <f>SUM(K111,N111,Q111,W111,Z111,T111,AC111)</f>
        <v>11</v>
      </c>
      <c r="AJ111" s="42">
        <f>SUM(L111,O111,R111,X111,AA111,U111,AD111,AG111)</f>
        <v>657</v>
      </c>
      <c r="AK111" s="41" t="str">
        <f>IF(AH111=100%,"ITEM FINALIZADO",AH111)</f>
        <v>ITEM FINALIZADO</v>
      </c>
    </row>
    <row r="112" spans="1:37" ht="20.149999999999999" customHeight="1">
      <c r="A112" s="60">
        <v>11</v>
      </c>
      <c r="B112" s="59" t="s">
        <v>52</v>
      </c>
      <c r="C112" s="59"/>
      <c r="D112" s="59"/>
      <c r="E112" s="59"/>
      <c r="F112" s="59"/>
      <c r="G112" s="59"/>
      <c r="H112" s="58">
        <f>SUM(H113:H120)+0.01</f>
        <v>42738.681799999998</v>
      </c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5"/>
      <c r="AE112" s="36"/>
      <c r="AF112" s="35"/>
      <c r="AG112" s="35"/>
      <c r="AH112" s="35"/>
      <c r="AI112" s="34"/>
      <c r="AJ112" s="34"/>
      <c r="AK112" s="34"/>
    </row>
    <row r="113" spans="1:38" ht="37.5">
      <c r="A113" s="57" t="s">
        <v>51</v>
      </c>
      <c r="B113" s="79">
        <v>90823</v>
      </c>
      <c r="C113" s="71" t="s">
        <v>50</v>
      </c>
      <c r="D113" s="78" t="s">
        <v>31</v>
      </c>
      <c r="E113" s="53" t="s">
        <v>43</v>
      </c>
      <c r="F113" s="54">
        <v>23</v>
      </c>
      <c r="G113" s="53">
        <v>408.24</v>
      </c>
      <c r="H113" s="64">
        <f>(F113*G113)</f>
        <v>9389.52</v>
      </c>
      <c r="I113" s="51"/>
      <c r="J113" s="48"/>
      <c r="K113" s="46"/>
      <c r="L113" s="49"/>
      <c r="M113" s="48"/>
      <c r="N113" s="46"/>
      <c r="O113" s="49"/>
      <c r="P113" s="48"/>
      <c r="Q113" s="46"/>
      <c r="R113" s="49"/>
      <c r="S113" s="49"/>
      <c r="T113" s="49"/>
      <c r="U113" s="42">
        <f>TRUNC(G113*T113)+0</f>
        <v>0</v>
      </c>
      <c r="V113" s="48"/>
      <c r="W113" s="43">
        <f>TRUNC(V113*F113,2)</f>
        <v>0</v>
      </c>
      <c r="X113" s="42">
        <f>TRUNC(W113*G113)+0</f>
        <v>0</v>
      </c>
      <c r="Y113" s="44">
        <f>Z113/F113</f>
        <v>0</v>
      </c>
      <c r="Z113" s="46"/>
      <c r="AA113" s="42">
        <f>TRUNC(Z113*G113)+0</f>
        <v>0</v>
      </c>
      <c r="AB113" s="47">
        <f>AC113/F113</f>
        <v>1</v>
      </c>
      <c r="AC113" s="62">
        <v>23</v>
      </c>
      <c r="AD113" s="43">
        <f>TRUNC(AC113*G113)</f>
        <v>9389</v>
      </c>
      <c r="AE113" s="45">
        <f>AF113/F113</f>
        <v>0</v>
      </c>
      <c r="AF113" s="43"/>
      <c r="AG113" s="43">
        <f>TRUNC(AF113*G113)</f>
        <v>0</v>
      </c>
      <c r="AH113" s="44">
        <f>SUM(J113,M113,P113,V113,Y113,AB113,AE113)</f>
        <v>1</v>
      </c>
      <c r="AI113" s="43">
        <f>SUM(K113,N113,Q113,W113,Z113,T113,AC113)</f>
        <v>23</v>
      </c>
      <c r="AJ113" s="42">
        <f>SUM(L113,O113,R113,X113,AA113,U113,AD113,AG113)</f>
        <v>9389</v>
      </c>
      <c r="AK113" s="41" t="str">
        <f>IF(AH113=100%,"ITEM FINALIZADO",AH113)</f>
        <v>ITEM FINALIZADO</v>
      </c>
    </row>
    <row r="114" spans="1:38" ht="50">
      <c r="A114" s="57" t="s">
        <v>49</v>
      </c>
      <c r="B114" s="77">
        <v>94570</v>
      </c>
      <c r="C114" s="76" t="s">
        <v>48</v>
      </c>
      <c r="D114" s="75" t="s">
        <v>31</v>
      </c>
      <c r="E114" s="73" t="s">
        <v>30</v>
      </c>
      <c r="F114" s="74">
        <v>4.16</v>
      </c>
      <c r="G114" s="73">
        <v>318.47000000000003</v>
      </c>
      <c r="H114" s="64">
        <f>(F114*G114)-0.01</f>
        <v>1324.8252000000002</v>
      </c>
      <c r="I114" s="51"/>
      <c r="J114" s="51"/>
      <c r="K114" s="51"/>
      <c r="L114" s="51"/>
      <c r="M114" s="48"/>
      <c r="N114" s="46"/>
      <c r="O114" s="49"/>
      <c r="P114" s="48"/>
      <c r="Q114" s="46"/>
      <c r="R114" s="49"/>
      <c r="S114" s="49"/>
      <c r="T114" s="49"/>
      <c r="U114" s="42">
        <f>TRUNC(G114*T114)+0</f>
        <v>0</v>
      </c>
      <c r="V114" s="48"/>
      <c r="W114" s="43">
        <f>TRUNC(V114*F114,2)</f>
        <v>0</v>
      </c>
      <c r="X114" s="42">
        <f>TRUNC(W114*G114)+0</f>
        <v>0</v>
      </c>
      <c r="Y114" s="44">
        <f>Z114/F114</f>
        <v>0</v>
      </c>
      <c r="Z114" s="46"/>
      <c r="AA114" s="42">
        <f>TRUNC(Z114*G114)+0</f>
        <v>0</v>
      </c>
      <c r="AB114" s="47">
        <f>AC114/F114</f>
        <v>1</v>
      </c>
      <c r="AC114" s="46">
        <v>4.16</v>
      </c>
      <c r="AD114" s="43">
        <f>TRUNC(AC114*G114)</f>
        <v>1324</v>
      </c>
      <c r="AE114" s="45">
        <f>AF114/F114</f>
        <v>0</v>
      </c>
      <c r="AF114" s="43"/>
      <c r="AG114" s="43">
        <f>TRUNC(AF114*G114)</f>
        <v>0</v>
      </c>
      <c r="AH114" s="44">
        <f>SUM(J114,M114,P114,V114,Y114,AB114,AE114)</f>
        <v>1</v>
      </c>
      <c r="AI114" s="43">
        <f>SUM(K114,N114,Q114,W114,Z114,T114,AC114)</f>
        <v>4.16</v>
      </c>
      <c r="AJ114" s="42">
        <f>SUM(L114,O114,R114,X114,AA114,U114,AD114,AG114)</f>
        <v>1324</v>
      </c>
      <c r="AK114" s="41" t="str">
        <f>IF(AH114=100%,"ITEM FINALIZADO",AH114)</f>
        <v>ITEM FINALIZADO</v>
      </c>
    </row>
    <row r="115" spans="1:38" ht="37.5">
      <c r="A115" s="57" t="s">
        <v>47</v>
      </c>
      <c r="B115" s="72">
        <v>102185</v>
      </c>
      <c r="C115" s="71" t="s">
        <v>46</v>
      </c>
      <c r="D115" s="69" t="s">
        <v>31</v>
      </c>
      <c r="E115" s="69" t="s">
        <v>43</v>
      </c>
      <c r="F115" s="70">
        <v>2</v>
      </c>
      <c r="G115" s="69">
        <v>3331.88</v>
      </c>
      <c r="H115" s="64">
        <f>(F115*G115)</f>
        <v>6663.76</v>
      </c>
      <c r="I115" s="51"/>
      <c r="J115" s="51"/>
      <c r="K115" s="51"/>
      <c r="L115" s="51"/>
      <c r="M115" s="48"/>
      <c r="N115" s="46"/>
      <c r="O115" s="49"/>
      <c r="P115" s="48"/>
      <c r="Q115" s="46"/>
      <c r="R115" s="49"/>
      <c r="S115" s="49"/>
      <c r="T115" s="49"/>
      <c r="U115" s="42">
        <f>TRUNC(G115*T115)+0</f>
        <v>0</v>
      </c>
      <c r="V115" s="48"/>
      <c r="W115" s="43">
        <f>TRUNC(V115*F115,2)</f>
        <v>0</v>
      </c>
      <c r="X115" s="42">
        <f>TRUNC(W115*G115)+0</f>
        <v>0</v>
      </c>
      <c r="Y115" s="44">
        <f>Z115/F115</f>
        <v>0</v>
      </c>
      <c r="Z115" s="46"/>
      <c r="AA115" s="42">
        <f>TRUNC(Z115*G115)+0</f>
        <v>0</v>
      </c>
      <c r="AB115" s="47">
        <f>AC115/F115</f>
        <v>1</v>
      </c>
      <c r="AC115" s="46">
        <v>2</v>
      </c>
      <c r="AD115" s="43">
        <f>TRUNC(AC115*G115)</f>
        <v>6663</v>
      </c>
      <c r="AE115" s="45">
        <f>AF115/F115</f>
        <v>0</v>
      </c>
      <c r="AF115" s="43"/>
      <c r="AG115" s="43">
        <f>TRUNC(AF115*G115)</f>
        <v>0</v>
      </c>
      <c r="AH115" s="44">
        <f>SUM(J115,M115,P115,V115,Y115,AB115,AE115)</f>
        <v>1</v>
      </c>
      <c r="AI115" s="43">
        <f>SUM(K115,N115,Q115,W115,Z115,T115,AC115)</f>
        <v>2</v>
      </c>
      <c r="AJ115" s="42">
        <f>SUM(L115,O115,R115,X115,AA115,U115,AD115,AG115)</f>
        <v>6663</v>
      </c>
      <c r="AK115" s="41" t="str">
        <f>IF(AH115=100%,"ITEM FINALIZADO",AH115)</f>
        <v>ITEM FINALIZADO</v>
      </c>
    </row>
    <row r="116" spans="1:38" ht="37.5">
      <c r="A116" s="57" t="s">
        <v>45</v>
      </c>
      <c r="B116" s="72">
        <v>102184</v>
      </c>
      <c r="C116" s="71" t="s">
        <v>44</v>
      </c>
      <c r="D116" s="69" t="s">
        <v>31</v>
      </c>
      <c r="E116" s="69" t="s">
        <v>43</v>
      </c>
      <c r="F116" s="70">
        <v>1</v>
      </c>
      <c r="G116" s="69">
        <v>1662.9</v>
      </c>
      <c r="H116" s="64">
        <f>(F116*G116)</f>
        <v>1662.9</v>
      </c>
      <c r="I116" s="51"/>
      <c r="J116" s="51"/>
      <c r="K116" s="51"/>
      <c r="L116" s="51"/>
      <c r="M116" s="48"/>
      <c r="N116" s="46"/>
      <c r="O116" s="49"/>
      <c r="P116" s="48"/>
      <c r="Q116" s="46"/>
      <c r="R116" s="49"/>
      <c r="S116" s="49"/>
      <c r="T116" s="49"/>
      <c r="U116" s="42">
        <f>TRUNC(G116*T116)+0</f>
        <v>0</v>
      </c>
      <c r="V116" s="48"/>
      <c r="W116" s="43">
        <f>TRUNC(V116*F116,2)</f>
        <v>0</v>
      </c>
      <c r="X116" s="42">
        <f>TRUNC(W116*G116)+0</f>
        <v>0</v>
      </c>
      <c r="Y116" s="44">
        <f>Z116/F116</f>
        <v>0</v>
      </c>
      <c r="Z116" s="46"/>
      <c r="AA116" s="42">
        <f>TRUNC(Z116*G116)+0</f>
        <v>0</v>
      </c>
      <c r="AB116" s="47">
        <f>AC116/F116</f>
        <v>1</v>
      </c>
      <c r="AC116" s="46">
        <v>1</v>
      </c>
      <c r="AD116" s="43">
        <f>TRUNC(AC116*G116)</f>
        <v>1662</v>
      </c>
      <c r="AE116" s="45">
        <f>AF116/F116</f>
        <v>0</v>
      </c>
      <c r="AF116" s="43"/>
      <c r="AG116" s="43">
        <f>TRUNC(AF116*G116)</f>
        <v>0</v>
      </c>
      <c r="AH116" s="44">
        <f>SUM(J116,M116,P116,V116,Y116,AB116,AE116)</f>
        <v>1</v>
      </c>
      <c r="AI116" s="43">
        <f>SUM(K116,N116,Q116,W116,Z116,T116,AC116)</f>
        <v>1</v>
      </c>
      <c r="AJ116" s="42">
        <f>SUM(L116,O116,R116,X116,AA116,U116,AD116,AG116)</f>
        <v>1662</v>
      </c>
      <c r="AK116" s="41" t="str">
        <f>IF(AH116=100%,"ITEM FINALIZADO",AH116)</f>
        <v>ITEM FINALIZADO</v>
      </c>
    </row>
    <row r="117" spans="1:38" ht="37.5">
      <c r="A117" s="57" t="s">
        <v>42</v>
      </c>
      <c r="B117" s="72">
        <v>91338</v>
      </c>
      <c r="C117" s="71" t="s">
        <v>41</v>
      </c>
      <c r="D117" s="69" t="s">
        <v>31</v>
      </c>
      <c r="E117" s="69" t="s">
        <v>30</v>
      </c>
      <c r="F117" s="70">
        <v>1.68</v>
      </c>
      <c r="G117" s="69">
        <v>785.38</v>
      </c>
      <c r="H117" s="64">
        <f>(F117*G117)-0.01</f>
        <v>1319.4284</v>
      </c>
      <c r="I117" s="51"/>
      <c r="J117" s="51"/>
      <c r="K117" s="51"/>
      <c r="L117" s="51"/>
      <c r="M117" s="48"/>
      <c r="N117" s="46"/>
      <c r="O117" s="49"/>
      <c r="P117" s="48"/>
      <c r="Q117" s="46"/>
      <c r="R117" s="49"/>
      <c r="S117" s="49"/>
      <c r="T117" s="49"/>
      <c r="U117" s="42">
        <f>TRUNC(G117*T117)+0</f>
        <v>0</v>
      </c>
      <c r="V117" s="48"/>
      <c r="W117" s="43">
        <f>TRUNC(V117*F117,2)</f>
        <v>0</v>
      </c>
      <c r="X117" s="42">
        <f>TRUNC(W117*G117)+0</f>
        <v>0</v>
      </c>
      <c r="Y117" s="44">
        <f>Z117/F117</f>
        <v>0</v>
      </c>
      <c r="Z117" s="46"/>
      <c r="AA117" s="42">
        <f>TRUNC(Z117*G117)+0</f>
        <v>0</v>
      </c>
      <c r="AB117" s="47">
        <f>AC117/F117</f>
        <v>1</v>
      </c>
      <c r="AC117" s="46">
        <v>1.68</v>
      </c>
      <c r="AD117" s="43">
        <f>TRUNC(AC117*G117)</f>
        <v>1319</v>
      </c>
      <c r="AE117" s="45">
        <f>AF117/F117</f>
        <v>0</v>
      </c>
      <c r="AF117" s="43"/>
      <c r="AG117" s="43">
        <f>TRUNC(AF117*G117)</f>
        <v>0</v>
      </c>
      <c r="AH117" s="44">
        <f>SUM(J117,M117,P117,V117,Y117,AB117,AE117)</f>
        <v>1</v>
      </c>
      <c r="AI117" s="43">
        <f>SUM(K117,N117,Q117,W117,Z117,T117,AC117)</f>
        <v>1.68</v>
      </c>
      <c r="AJ117" s="42">
        <f>SUM(L117,O117,R117,X117,AA117,U117,AD117,AG117)</f>
        <v>1319</v>
      </c>
      <c r="AK117" s="41" t="str">
        <f>IF(AH117=100%,"ITEM FINALIZADO",AH117)</f>
        <v>ITEM FINALIZADO</v>
      </c>
    </row>
    <row r="118" spans="1:38" ht="50">
      <c r="A118" s="57" t="s">
        <v>40</v>
      </c>
      <c r="B118" s="72">
        <v>94559</v>
      </c>
      <c r="C118" s="71" t="s">
        <v>39</v>
      </c>
      <c r="D118" s="69" t="s">
        <v>31</v>
      </c>
      <c r="E118" s="69" t="s">
        <v>30</v>
      </c>
      <c r="F118" s="70">
        <v>14.51</v>
      </c>
      <c r="G118" s="69">
        <v>654.16</v>
      </c>
      <c r="H118" s="64">
        <f>(F118*G118)</f>
        <v>9491.8616000000002</v>
      </c>
      <c r="I118" s="51"/>
      <c r="J118" s="51"/>
      <c r="K118" s="51"/>
      <c r="L118" s="51"/>
      <c r="M118" s="48"/>
      <c r="N118" s="46"/>
      <c r="O118" s="49"/>
      <c r="P118" s="48"/>
      <c r="Q118" s="46"/>
      <c r="R118" s="49"/>
      <c r="S118" s="49"/>
      <c r="T118" s="49"/>
      <c r="U118" s="42">
        <f>TRUNC(G118*T118)+0</f>
        <v>0</v>
      </c>
      <c r="V118" s="48"/>
      <c r="W118" s="43">
        <f>TRUNC(V118*F118,2)</f>
        <v>0</v>
      </c>
      <c r="X118" s="42">
        <f>TRUNC(W118*G118)+0</f>
        <v>0</v>
      </c>
      <c r="Y118" s="44">
        <f>Z118/F118</f>
        <v>0</v>
      </c>
      <c r="Z118" s="46"/>
      <c r="AA118" s="42">
        <f>TRUNC(Z118*G118)+0</f>
        <v>0</v>
      </c>
      <c r="AB118" s="47">
        <f>AC118/F118</f>
        <v>1</v>
      </c>
      <c r="AC118" s="46">
        <v>14.51</v>
      </c>
      <c r="AD118" s="43">
        <f>TRUNC(AC118*G118)</f>
        <v>9491</v>
      </c>
      <c r="AE118" s="45">
        <f>AF118/F118</f>
        <v>0</v>
      </c>
      <c r="AF118" s="43"/>
      <c r="AG118" s="43">
        <f>TRUNC(AF118*G118)</f>
        <v>0</v>
      </c>
      <c r="AH118" s="44">
        <f>SUM(J118,M118,P118,V118,Y118,AB118,AE118)</f>
        <v>1</v>
      </c>
      <c r="AI118" s="43">
        <f>SUM(K118,N118,Q118,W118,Z118,T118,AC118)</f>
        <v>14.51</v>
      </c>
      <c r="AJ118" s="42">
        <f>SUM(L118,O118,R118,X118,AA118,U118,AD118,AG118)</f>
        <v>9491</v>
      </c>
      <c r="AK118" s="41" t="str">
        <f>IF(AH118=100%,"ITEM FINALIZADO",AH118)</f>
        <v>ITEM FINALIZADO</v>
      </c>
    </row>
    <row r="119" spans="1:38" ht="50">
      <c r="A119" s="57" t="s">
        <v>38</v>
      </c>
      <c r="B119" s="72">
        <v>94562</v>
      </c>
      <c r="C119" s="71" t="s">
        <v>37</v>
      </c>
      <c r="D119" s="69" t="s">
        <v>31</v>
      </c>
      <c r="E119" s="69" t="s">
        <v>30</v>
      </c>
      <c r="F119" s="70">
        <v>10.5</v>
      </c>
      <c r="G119" s="69">
        <v>596.88</v>
      </c>
      <c r="H119" s="64">
        <f>(F119*G119)</f>
        <v>6267.24</v>
      </c>
      <c r="I119" s="51"/>
      <c r="J119" s="51"/>
      <c r="K119" s="51"/>
      <c r="L119" s="51"/>
      <c r="M119" s="48"/>
      <c r="N119" s="46"/>
      <c r="O119" s="49"/>
      <c r="P119" s="48"/>
      <c r="Q119" s="46"/>
      <c r="R119" s="49"/>
      <c r="S119" s="49"/>
      <c r="T119" s="49"/>
      <c r="U119" s="42">
        <f>TRUNC(G119*T119)+0</f>
        <v>0</v>
      </c>
      <c r="V119" s="48"/>
      <c r="W119" s="43">
        <f>TRUNC(V119*F119,2)</f>
        <v>0</v>
      </c>
      <c r="X119" s="42">
        <f>TRUNC(W119*G119)+0</f>
        <v>0</v>
      </c>
      <c r="Y119" s="44">
        <f>Z119/F119</f>
        <v>0</v>
      </c>
      <c r="Z119" s="46"/>
      <c r="AA119" s="42">
        <f>TRUNC(Z119*G119)+0</f>
        <v>0</v>
      </c>
      <c r="AB119" s="47">
        <f>AC119/F119</f>
        <v>1</v>
      </c>
      <c r="AC119" s="46">
        <v>10.5</v>
      </c>
      <c r="AD119" s="43">
        <f>TRUNC(AC119*G119)</f>
        <v>6267</v>
      </c>
      <c r="AE119" s="45">
        <f>AF119/F119</f>
        <v>0</v>
      </c>
      <c r="AF119" s="43"/>
      <c r="AG119" s="43">
        <f>TRUNC(AF119*G119)</f>
        <v>0</v>
      </c>
      <c r="AH119" s="44">
        <f>SUM(J119,M119,P119,V119,Y119,AB119,AE119)</f>
        <v>1</v>
      </c>
      <c r="AI119" s="43">
        <f>SUM(K119,N119,Q119,W119,Z119,T119,AC119)</f>
        <v>10.5</v>
      </c>
      <c r="AJ119" s="42">
        <f>SUM(L119,O119,R119,X119,AA119,U119,AD119,AG119)</f>
        <v>6267</v>
      </c>
      <c r="AK119" s="41" t="str">
        <f>IF(AH119=100%,"ITEM FINALIZADO",AH119)</f>
        <v>ITEM FINALIZADO</v>
      </c>
    </row>
    <row r="120" spans="1:38" ht="26">
      <c r="A120" s="57" t="s">
        <v>36</v>
      </c>
      <c r="B120" s="72">
        <v>102170</v>
      </c>
      <c r="C120" s="71" t="s">
        <v>35</v>
      </c>
      <c r="D120" s="69" t="s">
        <v>31</v>
      </c>
      <c r="E120" s="69" t="s">
        <v>30</v>
      </c>
      <c r="F120" s="70">
        <v>25.01</v>
      </c>
      <c r="G120" s="69">
        <v>264.66000000000003</v>
      </c>
      <c r="H120" s="64">
        <f>(F120*G120)-0.01</f>
        <v>6619.1366000000007</v>
      </c>
      <c r="I120" s="51"/>
      <c r="J120" s="51"/>
      <c r="K120" s="51"/>
      <c r="L120" s="51"/>
      <c r="M120" s="48"/>
      <c r="N120" s="46"/>
      <c r="O120" s="49"/>
      <c r="P120" s="48"/>
      <c r="Q120" s="46"/>
      <c r="R120" s="49"/>
      <c r="S120" s="49"/>
      <c r="T120" s="49"/>
      <c r="U120" s="42">
        <f>TRUNC(G120*T120)+0</f>
        <v>0</v>
      </c>
      <c r="V120" s="48"/>
      <c r="W120" s="43">
        <f>TRUNC(V120*F120,2)</f>
        <v>0</v>
      </c>
      <c r="X120" s="42">
        <f>TRUNC(W120*G120)+0</f>
        <v>0</v>
      </c>
      <c r="Y120" s="44">
        <f>Z120/F120</f>
        <v>0</v>
      </c>
      <c r="Z120" s="46"/>
      <c r="AA120" s="42">
        <f>TRUNC(Z120*G120)+0</f>
        <v>0</v>
      </c>
      <c r="AB120" s="47">
        <f>AC120/F120</f>
        <v>1</v>
      </c>
      <c r="AC120" s="46">
        <v>25.01</v>
      </c>
      <c r="AD120" s="43">
        <f>TRUNC(AC120*G120)</f>
        <v>6619</v>
      </c>
      <c r="AE120" s="45">
        <f>AF120/F120</f>
        <v>0</v>
      </c>
      <c r="AF120" s="43"/>
      <c r="AG120" s="43">
        <f>TRUNC(AF120*G120)</f>
        <v>0</v>
      </c>
      <c r="AH120" s="44">
        <f>SUM(J120,M120,P120,V120,Y120,AB120,AE120)</f>
        <v>1</v>
      </c>
      <c r="AI120" s="43">
        <f>SUM(K120,N120,Q120,W120,Z120,T120,AC120)</f>
        <v>25.01</v>
      </c>
      <c r="AJ120" s="42">
        <f>SUM(L120,O120,R120,X120,AA120,U120,AD120,AG120)</f>
        <v>6619</v>
      </c>
      <c r="AK120" s="41" t="str">
        <f>IF(AH120=100%,"ITEM FINALIZADO",AH120)</f>
        <v>ITEM FINALIZADO</v>
      </c>
    </row>
    <row r="121" spans="1:38" ht="20.149999999999999" customHeight="1">
      <c r="A121" s="60">
        <v>12</v>
      </c>
      <c r="B121" s="59" t="s">
        <v>34</v>
      </c>
      <c r="C121" s="59"/>
      <c r="D121" s="59"/>
      <c r="E121" s="59"/>
      <c r="F121" s="59"/>
      <c r="G121" s="59"/>
      <c r="H121" s="58">
        <f>SUM(H122:H122)</f>
        <v>412603.31999999995</v>
      </c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5"/>
      <c r="AE121" s="36"/>
      <c r="AF121" s="35"/>
      <c r="AG121" s="35"/>
      <c r="AH121" s="35"/>
      <c r="AI121" s="34"/>
      <c r="AJ121" s="34"/>
      <c r="AK121" s="34"/>
    </row>
    <row r="122" spans="1:38" ht="50">
      <c r="A122" s="57" t="s">
        <v>33</v>
      </c>
      <c r="B122" s="68">
        <v>104816</v>
      </c>
      <c r="C122" s="67" t="s">
        <v>32</v>
      </c>
      <c r="D122" s="65" t="s">
        <v>31</v>
      </c>
      <c r="E122" s="65" t="s">
        <v>30</v>
      </c>
      <c r="F122" s="66">
        <v>308.64999999999998</v>
      </c>
      <c r="G122" s="65">
        <v>1336.8</v>
      </c>
      <c r="H122" s="64">
        <f>(F122*G122)</f>
        <v>412603.31999999995</v>
      </c>
      <c r="I122" s="51"/>
      <c r="J122" s="51"/>
      <c r="K122" s="51"/>
      <c r="L122" s="51"/>
      <c r="M122" s="48"/>
      <c r="N122" s="46"/>
      <c r="O122" s="49"/>
      <c r="P122" s="48"/>
      <c r="Q122" s="46"/>
      <c r="R122" s="49"/>
      <c r="S122" s="49"/>
      <c r="T122" s="49"/>
      <c r="U122" s="42">
        <f>TRUNC(G122*T122)+0</f>
        <v>0</v>
      </c>
      <c r="V122" s="63"/>
      <c r="W122" s="43">
        <f>TRUNC(V122*F122,2)</f>
        <v>0</v>
      </c>
      <c r="X122" s="42">
        <f>TRUNC(W122*G122)+0</f>
        <v>0</v>
      </c>
      <c r="Y122" s="44">
        <f>Z122/F122</f>
        <v>0.799719552891625</v>
      </c>
      <c r="Z122" s="46">
        <f>308.5418*0.8</f>
        <v>246.83344000000002</v>
      </c>
      <c r="AA122" s="42">
        <f>TRUNC(Z122*G122)+0</f>
        <v>329966</v>
      </c>
      <c r="AB122" s="47">
        <f>AC122/F122</f>
        <v>0.19992872185323182</v>
      </c>
      <c r="AC122" s="62">
        <v>61.707999999999998</v>
      </c>
      <c r="AD122" s="43">
        <f>TRUNC(AC122*G122)</f>
        <v>82491</v>
      </c>
      <c r="AE122" s="45">
        <f>AF122/F122</f>
        <v>0</v>
      </c>
      <c r="AF122" s="43"/>
      <c r="AG122" s="43">
        <f>TRUNC(AF122*G122)</f>
        <v>0</v>
      </c>
      <c r="AH122" s="61">
        <f>SUM(J122,M122,P122,V122,Y122,AB122,AE122)</f>
        <v>0.99964827474485685</v>
      </c>
      <c r="AI122" s="43">
        <f>SUM(K122,N122,Q122,W122,Z122,T122,AC122)</f>
        <v>308.54144000000002</v>
      </c>
      <c r="AJ122" s="42">
        <f>SUM(L122,O122,R122,X122,AA122,U122,AD122,AG122)</f>
        <v>412457</v>
      </c>
      <c r="AK122" s="41">
        <f>IF(AH122=100%,"ITEM FINALIZADO",AH122)</f>
        <v>0.99964827474485685</v>
      </c>
    </row>
    <row r="123" spans="1:38" ht="20.149999999999999" customHeight="1">
      <c r="A123" s="60">
        <v>13</v>
      </c>
      <c r="B123" s="59" t="s">
        <v>29</v>
      </c>
      <c r="C123" s="59"/>
      <c r="D123" s="59"/>
      <c r="E123" s="59"/>
      <c r="F123" s="59"/>
      <c r="G123" s="59"/>
      <c r="H123" s="58">
        <f>SUM(H124:H124)</f>
        <v>1246.7714999999998</v>
      </c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5"/>
      <c r="AE123" s="36"/>
      <c r="AF123" s="35"/>
      <c r="AG123" s="35"/>
      <c r="AH123" s="35"/>
      <c r="AI123" s="34"/>
      <c r="AJ123" s="34"/>
      <c r="AK123" s="34"/>
    </row>
    <row r="124" spans="1:38" ht="23.25" customHeight="1">
      <c r="A124" s="57" t="s">
        <v>28</v>
      </c>
      <c r="B124" s="56">
        <v>2450</v>
      </c>
      <c r="C124" s="55" t="s">
        <v>27</v>
      </c>
      <c r="D124" s="53" t="s">
        <v>26</v>
      </c>
      <c r="E124" s="53" t="s">
        <v>25</v>
      </c>
      <c r="F124" s="54">
        <v>488.93</v>
      </c>
      <c r="G124" s="53">
        <v>2.5499999999999998</v>
      </c>
      <c r="H124" s="52">
        <f>F124*G124</f>
        <v>1246.7714999999998</v>
      </c>
      <c r="I124" s="51"/>
      <c r="J124" s="51"/>
      <c r="K124" s="51"/>
      <c r="L124" s="50"/>
      <c r="M124" s="48"/>
      <c r="N124" s="46"/>
      <c r="O124" s="49"/>
      <c r="P124" s="48"/>
      <c r="Q124" s="46"/>
      <c r="R124" s="49"/>
      <c r="S124" s="49"/>
      <c r="T124" s="49"/>
      <c r="U124" s="42"/>
      <c r="V124" s="48"/>
      <c r="W124" s="43">
        <f>TRUNC(V124*F124,2)</f>
        <v>0</v>
      </c>
      <c r="X124" s="42"/>
      <c r="Y124" s="44">
        <f>Z124/F124</f>
        <v>0</v>
      </c>
      <c r="Z124" s="46"/>
      <c r="AA124" s="42">
        <f>TRUNC(Z124*G124)+0</f>
        <v>0</v>
      </c>
      <c r="AB124" s="47">
        <f>AC124/F124</f>
        <v>0</v>
      </c>
      <c r="AC124" s="46"/>
      <c r="AD124" s="43">
        <f>TRUNC(AC124*G124)</f>
        <v>0</v>
      </c>
      <c r="AE124" s="45">
        <f>AF124/F124</f>
        <v>0</v>
      </c>
      <c r="AF124" s="43"/>
      <c r="AG124" s="43">
        <f>TRUNC(AF124*G124)</f>
        <v>0</v>
      </c>
      <c r="AH124" s="44">
        <f>SUM(J124,M124,P124,V124,Y124,AB124,AE124)</f>
        <v>0</v>
      </c>
      <c r="AI124" s="43">
        <f>SUM(K124,N124,Q124,W124,Z124,T124,AC124)</f>
        <v>0</v>
      </c>
      <c r="AJ124" s="42">
        <f>SUM(L124,O124,R124,X124,AA124,U124,AD124,AG124)</f>
        <v>0</v>
      </c>
      <c r="AK124" s="41">
        <f>IF(AH124=100%,"ITEM FINALIZADO",AH124)</f>
        <v>0</v>
      </c>
    </row>
    <row r="125" spans="1:38" ht="21.75" customHeight="1">
      <c r="A125" s="40" t="s">
        <v>24</v>
      </c>
      <c r="B125" s="40"/>
      <c r="C125" s="40"/>
      <c r="D125" s="40"/>
      <c r="E125" s="40"/>
      <c r="F125" s="40"/>
      <c r="G125" s="39"/>
      <c r="H125" s="38">
        <v>210898.1</v>
      </c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5"/>
      <c r="AE125" s="36"/>
      <c r="AF125" s="35"/>
      <c r="AG125" s="35"/>
      <c r="AH125" s="35"/>
      <c r="AI125" s="34"/>
      <c r="AJ125" s="34"/>
      <c r="AK125" s="34"/>
    </row>
    <row r="126" spans="1:38" ht="20.25" customHeight="1">
      <c r="A126" s="32" t="s">
        <v>23</v>
      </c>
      <c r="B126" s="32"/>
      <c r="C126" s="32"/>
      <c r="D126" s="32"/>
      <c r="E126" s="32"/>
      <c r="F126" s="32"/>
      <c r="G126" s="31"/>
      <c r="H126" s="37">
        <v>939101.9</v>
      </c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5"/>
      <c r="AE126" s="36"/>
      <c r="AF126" s="35"/>
      <c r="AG126" s="35"/>
      <c r="AH126" s="35"/>
      <c r="AI126" s="34"/>
      <c r="AJ126" s="33"/>
      <c r="AK126" s="33"/>
      <c r="AL126" s="20"/>
    </row>
    <row r="127" spans="1:38" ht="31.5" customHeight="1">
      <c r="A127" s="32" t="s">
        <v>22</v>
      </c>
      <c r="B127" s="32"/>
      <c r="C127" s="32"/>
      <c r="D127" s="32"/>
      <c r="E127" s="32"/>
      <c r="F127" s="32"/>
      <c r="G127" s="31"/>
      <c r="H127" s="30">
        <f>SUM(H125:H126)</f>
        <v>1150000</v>
      </c>
      <c r="I127" s="29"/>
      <c r="J127" s="21">
        <f>L127/$H$127</f>
        <v>0.1244916608695652</v>
      </c>
      <c r="K127" s="27" t="s">
        <v>21</v>
      </c>
      <c r="L127" s="22">
        <f>SUM(L7:L124)</f>
        <v>143165.40999999997</v>
      </c>
      <c r="M127" s="21">
        <f>O127/$H$127</f>
        <v>7.8975260869565217E-2</v>
      </c>
      <c r="N127" s="27" t="s">
        <v>20</v>
      </c>
      <c r="O127" s="22">
        <f>SUM(O7:O124)</f>
        <v>90821.55</v>
      </c>
      <c r="P127" s="21">
        <f>R127/$H$127</f>
        <v>5.802434782608696E-2</v>
      </c>
      <c r="Q127" s="27" t="s">
        <v>19</v>
      </c>
      <c r="R127" s="22">
        <f>SUM(R7:R124)</f>
        <v>66728</v>
      </c>
      <c r="S127" s="28"/>
      <c r="T127" s="28"/>
      <c r="U127" s="28"/>
      <c r="V127" s="21">
        <f>X127/$H$127</f>
        <v>3.6186104347826084E-2</v>
      </c>
      <c r="W127" s="27" t="s">
        <v>18</v>
      </c>
      <c r="X127" s="22">
        <f>SUM(X7:X124)</f>
        <v>41614.019999999997</v>
      </c>
      <c r="Y127" s="21">
        <f>AA127/$H$127</f>
        <v>0.28762347826086959</v>
      </c>
      <c r="Z127" s="27" t="s">
        <v>17</v>
      </c>
      <c r="AA127" s="22">
        <f>SUM(AA7:AA124)</f>
        <v>330767</v>
      </c>
      <c r="AB127" s="21">
        <f>AD127/$H$127</f>
        <v>0.14589478260869565</v>
      </c>
      <c r="AC127" s="27" t="s">
        <v>16</v>
      </c>
      <c r="AD127" s="26">
        <f>SUM(AD7:AD124)</f>
        <v>167779</v>
      </c>
      <c r="AE127" s="25">
        <f>AG127/H127</f>
        <v>7.0195652173913048E-2</v>
      </c>
      <c r="AF127" s="24" t="s">
        <v>15</v>
      </c>
      <c r="AG127" s="24">
        <f>SUM(AG7:AG124)</f>
        <v>80725</v>
      </c>
      <c r="AH127" s="23" t="s">
        <v>14</v>
      </c>
      <c r="AI127" s="21">
        <f>AJ127/$H$127</f>
        <v>0.85519998260869567</v>
      </c>
      <c r="AJ127" s="22">
        <f>SUM(AJ7:AJ124)</f>
        <v>983479.98</v>
      </c>
      <c r="AK127" s="21">
        <f>100%-AI127</f>
        <v>0.14480001739130433</v>
      </c>
      <c r="AL127" s="20">
        <f>H127-AJ127</f>
        <v>166520.02000000002</v>
      </c>
    </row>
    <row r="128" spans="1:38" ht="60" customHeight="1">
      <c r="A128" s="19" t="s">
        <v>13</v>
      </c>
      <c r="B128" s="18"/>
      <c r="C128" s="17"/>
      <c r="D128" s="19" t="s">
        <v>12</v>
      </c>
      <c r="E128" s="18"/>
      <c r="F128" s="18"/>
      <c r="G128" s="18"/>
      <c r="H128" s="18"/>
      <c r="I128" s="17"/>
      <c r="J128" s="9" t="s">
        <v>11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16">
        <f>H127-AJ127</f>
        <v>166520.02000000002</v>
      </c>
    </row>
    <row r="129" spans="1:38" ht="60" customHeight="1">
      <c r="A129" s="15"/>
      <c r="B129" s="14"/>
      <c r="C129" s="13"/>
      <c r="D129" s="15"/>
      <c r="E129" s="14"/>
      <c r="F129" s="14"/>
      <c r="G129" s="14"/>
      <c r="H129" s="14"/>
      <c r="I129" s="13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2" t="s">
        <v>10</v>
      </c>
    </row>
    <row r="130" spans="1:38" ht="70" customHeight="1">
      <c r="A130" s="15"/>
      <c r="B130" s="14"/>
      <c r="C130" s="13"/>
      <c r="D130" s="15"/>
      <c r="E130" s="14"/>
      <c r="F130" s="14"/>
      <c r="G130" s="14"/>
      <c r="H130" s="14"/>
      <c r="I130" s="13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</row>
    <row r="131" spans="1:38">
      <c r="A131" s="12"/>
      <c r="B131" s="11"/>
      <c r="C131" s="10"/>
      <c r="D131" s="12"/>
      <c r="E131" s="11"/>
      <c r="F131" s="11"/>
      <c r="G131" s="11"/>
      <c r="H131" s="11"/>
      <c r="I131" s="10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</row>
    <row r="133" spans="1:38">
      <c r="K133" s="3"/>
    </row>
    <row r="134" spans="1:38">
      <c r="C134" s="8"/>
      <c r="E134" s="8"/>
      <c r="H134" s="6"/>
      <c r="J134" s="8"/>
      <c r="M134" s="8"/>
      <c r="P134" s="8"/>
      <c r="V134" s="8"/>
      <c r="Y134" s="8"/>
      <c r="AB134" s="8"/>
    </row>
    <row r="135" spans="1:38">
      <c r="H135" s="1">
        <v>0.25</v>
      </c>
    </row>
    <row r="136" spans="1:38">
      <c r="H136" s="6">
        <f>H127*H135</f>
        <v>287500</v>
      </c>
      <c r="M136" s="6">
        <v>1451015.78</v>
      </c>
      <c r="N136" s="1" t="s">
        <v>9</v>
      </c>
    </row>
    <row r="137" spans="1:38">
      <c r="H137" s="7">
        <f>H38</f>
        <v>42001.8266</v>
      </c>
      <c r="I137" s="1" t="s">
        <v>8</v>
      </c>
      <c r="M137" s="6">
        <f>H127</f>
        <v>1150000</v>
      </c>
      <c r="N137" s="1" t="s">
        <v>7</v>
      </c>
    </row>
    <row r="138" spans="1:38">
      <c r="H138" s="6">
        <f>H136+H137</f>
        <v>329501.82660000003</v>
      </c>
      <c r="I138" s="1" t="s">
        <v>6</v>
      </c>
      <c r="M138" s="5">
        <f>1-(M137/M136)</f>
        <v>0.20745176182715253</v>
      </c>
      <c r="N138" s="1" t="s">
        <v>5</v>
      </c>
    </row>
    <row r="139" spans="1:38">
      <c r="H139" s="6">
        <v>111698.96</v>
      </c>
      <c r="I139" s="1" t="s">
        <v>4</v>
      </c>
      <c r="J139" s="1" t="s">
        <v>4</v>
      </c>
      <c r="K139" s="1" t="s">
        <v>4</v>
      </c>
      <c r="L139" s="1" t="s">
        <v>4</v>
      </c>
    </row>
    <row r="140" spans="1:38">
      <c r="H140" s="6">
        <f>H139*(100%-M138)</f>
        <v>88526.813953739373</v>
      </c>
      <c r="I140" s="1" t="s">
        <v>3</v>
      </c>
    </row>
    <row r="141" spans="1:38">
      <c r="H141" s="6">
        <f>H138-H140</f>
        <v>240975.01264626067</v>
      </c>
      <c r="I141" s="1" t="s">
        <v>2</v>
      </c>
    </row>
    <row r="142" spans="1:38">
      <c r="H142" s="6">
        <v>1451015.78</v>
      </c>
      <c r="I142" s="1" t="s">
        <v>1</v>
      </c>
      <c r="W142" s="6"/>
    </row>
    <row r="143" spans="1:38">
      <c r="H143" s="5">
        <f>1-(H127/H142)</f>
        <v>0.20745176182715253</v>
      </c>
      <c r="I143" s="1" t="s">
        <v>0</v>
      </c>
    </row>
  </sheetData>
  <mergeCells count="67">
    <mergeCell ref="B91:G91"/>
    <mergeCell ref="B98:G98"/>
    <mergeCell ref="B109:G109"/>
    <mergeCell ref="J6:L6"/>
    <mergeCell ref="P6:R6"/>
    <mergeCell ref="A3:D3"/>
    <mergeCell ref="E3:I3"/>
    <mergeCell ref="A4:H4"/>
    <mergeCell ref="B112:G112"/>
    <mergeCell ref="A128:C131"/>
    <mergeCell ref="D128:I131"/>
    <mergeCell ref="A126:G126"/>
    <mergeCell ref="A127:G127"/>
    <mergeCell ref="B56:G56"/>
    <mergeCell ref="B71:G71"/>
    <mergeCell ref="A125:G125"/>
    <mergeCell ref="B121:G121"/>
    <mergeCell ref="B123:G123"/>
    <mergeCell ref="J3:K3"/>
    <mergeCell ref="M3:N3"/>
    <mergeCell ref="P3:Q3"/>
    <mergeCell ref="M1:O2"/>
    <mergeCell ref="P1:R2"/>
    <mergeCell ref="J128:AK131"/>
    <mergeCell ref="Y4:AA4"/>
    <mergeCell ref="Y6:AA6"/>
    <mergeCell ref="S6:U6"/>
    <mergeCell ref="Y3:Z3"/>
    <mergeCell ref="J1:L2"/>
    <mergeCell ref="J4:L4"/>
    <mergeCell ref="M4:O4"/>
    <mergeCell ref="V1:X2"/>
    <mergeCell ref="V4:X4"/>
    <mergeCell ref="V3:W3"/>
    <mergeCell ref="AH1:AK2"/>
    <mergeCell ref="AH3:AK3"/>
    <mergeCell ref="AH4:AK4"/>
    <mergeCell ref="P4:R4"/>
    <mergeCell ref="AB1:AD2"/>
    <mergeCell ref="AB3:AC3"/>
    <mergeCell ref="AB4:AD4"/>
    <mergeCell ref="AE3:AF3"/>
    <mergeCell ref="AE1:AG2"/>
    <mergeCell ref="Y1:AA2"/>
    <mergeCell ref="B1:D1"/>
    <mergeCell ref="E1:F1"/>
    <mergeCell ref="G1:H1"/>
    <mergeCell ref="A2:D2"/>
    <mergeCell ref="E2:F2"/>
    <mergeCell ref="G2:H2"/>
    <mergeCell ref="B45:G45"/>
    <mergeCell ref="AB6:AD6"/>
    <mergeCell ref="M6:O6"/>
    <mergeCell ref="B47:G47"/>
    <mergeCell ref="B52:G52"/>
    <mergeCell ref="B6:G6"/>
    <mergeCell ref="V6:X6"/>
    <mergeCell ref="AE6:AG6"/>
    <mergeCell ref="B14:G14"/>
    <mergeCell ref="B22:G22"/>
    <mergeCell ref="B55:G55"/>
    <mergeCell ref="B30:G30"/>
    <mergeCell ref="B9:G9"/>
    <mergeCell ref="B15:G15"/>
    <mergeCell ref="B23:G23"/>
    <mergeCell ref="B13:G13"/>
    <mergeCell ref="B38:G38"/>
  </mergeCells>
  <conditionalFormatting sqref="J7:J8 M7:M8 P7:P8 V7:V8 J10:J12 M10:M12 P10:P12 V10:V12 J16:J21 M16:M21 P16:P21 V16:V21 J24:J29 M24:M29 P24:P29 V24:V29 J31:J37 M31:M37 P31:P37 V31:V37 J39:J44 M39:M44 P39:P44 V39:V44 J46 M46 P46 V46 J48:J51 M48:M51 P48:P51 V48:V51 J53:J54 M53:M54 P53:P54 V53:V54 J57:J70 M57:M70 P57:P70 V57:V70 J72:J90 M72:M90 P72:P90 V72:V90 J92:J97 M92:M97 P92:P97 V92:V97 J99:J108 M99:M108 P99:P108 V99:V108 J110:J111 M110:M111 P110:P111 V110:V111 J113:J120 M113:M120 P113:P120 V113:V120 J122 M122 P122 V122 J124 M124 P124 V124">
    <cfRule type="cellIs" dxfId="82" priority="16" operator="between">
      <formula>0.01</formula>
      <formula>1</formula>
    </cfRule>
  </conditionalFormatting>
  <conditionalFormatting sqref="K7:K8 N7:N8 Q7:Q8 W7:W8 K10:K12 N10:N12 Q10:Q12 W10:W12 K16:K21 N16:N21 Q16:Q21 W16:W21 K24:K29 N24:N29 Q24:Q29 W24:W29 K31:K37 N31:N37 Q31:Q37 W31:W37 K39:K44 N39:N44 Q39:Q44 W39:W44 K46 N46 Q46 W46 K48:K51 N48:N51 Q48:Q51 W48:W51 AC50:AC51 K53:K54 N53:N54 Q53:Q54 W53:W54 K57:K70 N57:N70 Q57:Q70 W57:W70 K72:K90 N72:N90 Q72:Q90 W72:W90 K92:K97 N92:N97 Q92:Q97 W92:W97 K99:K108 N99:N108 Q99:Q108 W99:W108 K110:K111 N110:N111 Q110:Q111 W110:W111 K113:K120 N113:N120 Q113:Q120 W113:W120 K122 N122 Q122 W122 K124 N124 Q124 W124">
    <cfRule type="cellIs" dxfId="81" priority="15" operator="between">
      <formula>1</formula>
      <formula>1000</formula>
    </cfRule>
  </conditionalFormatting>
  <conditionalFormatting sqref="L7:L8 O7:O8 R7:U8 X7:X8 L10:L12 O10:O12 R10:U12 X10:X12 L16:L21 O16:O21 R16:U21 X16:X21 L24:L29 O24:O29 R24:U29 X24:X29 L31:L37 O31:O37 R31:U37 X31:X37 L39:L44 O39:O44 R39:U44 X39:X44 L46 O46 R46:U46 X46 L48:L51 O48:O51 R48:U51 X48:X51 L53:L54 O53:O54 R53:U54 X53:X54 L57:L70 O57:O70 R57:U70 X57:X70 L72:L90 O72:O90 R72:U90 X72:X90 L92:L97 O92:O97 R92:U97 X92:X97 L99:L108 O99:O108 R99:U108 X99:X108 L110:L111 O110:O111 R110:U111 X110:X111 L113:L120 O113:O120 R113:U120 X113:X120 L122 O122 R122:U122 X122 L124 O124 R124:U124 X124">
    <cfRule type="cellIs" dxfId="80" priority="14" operator="between">
      <formula>1</formula>
      <formula>100000</formula>
    </cfRule>
  </conditionalFormatting>
  <conditionalFormatting sqref="Y7:Y8 Y10:Y12 Y16:Y21 Y24:Y29 Y31:Y37 Y39:Y44 Y46 Y48:Y51 Y53:Y54 Y57:Y70 Y72:Y90 Y92:Y97 Y99:Y108 Y110:Y111 Y113:Y120 Y122 Y124">
    <cfRule type="cellIs" dxfId="79" priority="13" operator="between">
      <formula>0.01</formula>
      <formula>1</formula>
    </cfRule>
  </conditionalFormatting>
  <conditionalFormatting sqref="Z7">
    <cfRule type="cellIs" dxfId="78" priority="12" operator="between">
      <formula>1</formula>
      <formula>1000</formula>
    </cfRule>
  </conditionalFormatting>
  <conditionalFormatting sqref="AA7:AA8 AA10:AA12 AA16:AA21 AA24:AA29 AA31:AA37 AA39:AA44 AA46 AA48:AA51 AA53:AA54 AA57:AA70 AA72:AA90 AA92:AA97 AA99:AA108 AA110:AA111 AA113:AA120 AA122 AA124">
    <cfRule type="cellIs" dxfId="77" priority="11" operator="between">
      <formula>1</formula>
      <formula>100000</formula>
    </cfRule>
  </conditionalFormatting>
  <conditionalFormatting sqref="AB7:AB124 AC9 AC13:AC15 AC22:AC23 AC30 AC38 AC45 AC47 AC52 AC55:AC56 AC71 AC91 AC98 AC109 AC112 AC121 AC123">
    <cfRule type="cellIs" dxfId="76" priority="2" operator="between">
      <formula>0.01</formula>
      <formula>1</formula>
    </cfRule>
  </conditionalFormatting>
  <conditionalFormatting sqref="AC7">
    <cfRule type="cellIs" dxfId="75" priority="1" operator="between">
      <formula>1</formula>
      <formula>1000</formula>
    </cfRule>
  </conditionalFormatting>
  <conditionalFormatting sqref="AC53:AC54 AC57:AC58">
    <cfRule type="cellIs" dxfId="74" priority="10" operator="between">
      <formula>1</formula>
      <formula>1000</formula>
    </cfRule>
  </conditionalFormatting>
  <conditionalFormatting sqref="AC72:AC90">
    <cfRule type="cellIs" dxfId="73" priority="9" operator="between">
      <formula>1</formula>
      <formula>1000</formula>
    </cfRule>
  </conditionalFormatting>
  <conditionalFormatting sqref="AC92:AC97">
    <cfRule type="cellIs" dxfId="72" priority="8" operator="between">
      <formula>1</formula>
      <formula>1000</formula>
    </cfRule>
  </conditionalFormatting>
  <conditionalFormatting sqref="AC99:AC108">
    <cfRule type="cellIs" dxfId="71" priority="7" operator="between">
      <formula>1</formula>
      <formula>1000</formula>
    </cfRule>
  </conditionalFormatting>
  <conditionalFormatting sqref="AC110:AC111">
    <cfRule type="cellIs" dxfId="70" priority="6" operator="between">
      <formula>1</formula>
      <formula>1000</formula>
    </cfRule>
  </conditionalFormatting>
  <conditionalFormatting sqref="AC114:AC120">
    <cfRule type="cellIs" dxfId="69" priority="5" operator="between">
      <formula>1</formula>
      <formula>1000</formula>
    </cfRule>
  </conditionalFormatting>
  <conditionalFormatting sqref="AC124">
    <cfRule type="cellIs" dxfId="68" priority="4" operator="between">
      <formula>1</formula>
      <formula>1000</formula>
    </cfRule>
  </conditionalFormatting>
  <conditionalFormatting sqref="AD7:AG8 AD10:AG12 AD16:AG21 AD24:AG29 AD31:AG37 AD39:AG44 AD46:AG46 AD48:AG51 AD53:AG54 AD57:AG70 AD72:AG90 AD92:AG97 AD99:AG108 AD110:AG111 AD113:AG120 AD122:AG122 AD124:AG124">
    <cfRule type="cellIs" dxfId="67" priority="3" operator="between">
      <formula>1</formula>
      <formula>100000</formula>
    </cfRule>
  </conditionalFormatting>
  <conditionalFormatting sqref="AH7:AH8 AH10:AH12 AH16:AH21 AH24:AH29 AH31:AH37 AH39:AH44 AH46 AH48:AH51 AH53:AH54 AH57:AH70 AH72:AH90 AH92:AH97 AH99:AH108 AH110:AH111 AH113:AH120 AH122 AH124">
    <cfRule type="cellIs" dxfId="66" priority="18" operator="equal">
      <formula>1</formula>
    </cfRule>
  </conditionalFormatting>
  <conditionalFormatting sqref="AK7:AK124">
    <cfRule type="cellIs" dxfId="65" priority="17" operator="equal">
      <formula>"ITEM FINALIZADO"</formula>
    </cfRule>
  </conditionalFormatting>
  <printOptions horizontalCentered="1" verticalCentered="1"/>
  <pageMargins left="0.51" right="0.35" top="0.21" bottom="0.74803149606299213" header="0.31496062992125984" footer="0.31496062992125984"/>
  <pageSetup paperSize="9" scale="46" fitToHeight="4" orientation="landscape" r:id="rId1"/>
  <rowBreaks count="4" manualBreakCount="4">
    <brk id="29" max="30" man="1"/>
    <brk id="54" max="30" man="1"/>
    <brk id="90" max="30" man="1"/>
    <brk id="120" max="3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23A5B-E5E9-446B-9973-235540DC0BFB}">
  <sheetPr>
    <outlinePr summaryBelow="0"/>
    <pageSetUpPr fitToPage="1"/>
  </sheetPr>
  <dimension ref="A1:CY388"/>
  <sheetViews>
    <sheetView tabSelected="1" view="pageBreakPreview" zoomScale="85" zoomScaleNormal="85" zoomScaleSheetLayoutView="85" workbookViewId="0">
      <selection activeCell="D128" sqref="D128:BY131"/>
    </sheetView>
  </sheetViews>
  <sheetFormatPr defaultColWidth="9.1796875" defaultRowHeight="14"/>
  <cols>
    <col min="1" max="1" width="19.1796875" style="182" customWidth="1"/>
    <col min="2" max="2" width="13.1796875" style="182" customWidth="1"/>
    <col min="3" max="3" width="61.453125" style="182" customWidth="1"/>
    <col min="4" max="4" width="7.453125" style="182" customWidth="1"/>
    <col min="5" max="5" width="5.54296875" style="182" customWidth="1"/>
    <col min="6" max="7" width="6.81640625" style="182" customWidth="1"/>
    <col min="8" max="8" width="8.7265625" style="182" customWidth="1"/>
    <col min="9" max="22" width="6.81640625" style="182" customWidth="1"/>
    <col min="23" max="23" width="5.54296875" style="182" customWidth="1"/>
    <col min="24" max="24" width="7.81640625" style="182" customWidth="1"/>
    <col min="25" max="25" width="5.54296875" style="182" customWidth="1"/>
    <col min="26" max="26" width="7.1796875" style="182" customWidth="1"/>
    <col min="27" max="27" width="5.54296875" style="182" customWidth="1"/>
    <col min="28" max="28" width="7" style="182" customWidth="1"/>
    <col min="29" max="29" width="5.54296875" style="182" customWidth="1"/>
    <col min="30" max="30" width="6.54296875" style="182" customWidth="1"/>
    <col min="31" max="31" width="5.54296875" style="182" customWidth="1"/>
    <col min="32" max="32" width="7.1796875" style="182" customWidth="1"/>
    <col min="33" max="33" width="5.54296875" style="182" customWidth="1"/>
    <col min="34" max="34" width="7.453125" style="182" customWidth="1"/>
    <col min="35" max="35" width="5.54296875" style="182" customWidth="1"/>
    <col min="36" max="36" width="8" style="182" customWidth="1"/>
    <col min="37" max="37" width="5.54296875" style="182" customWidth="1"/>
    <col min="38" max="38" width="5.7265625" style="182" customWidth="1"/>
    <col min="39" max="39" width="6.54296875" style="182" customWidth="1"/>
    <col min="40" max="40" width="7" style="182" customWidth="1"/>
    <col min="41" max="41" width="6.1796875" style="182" customWidth="1"/>
    <col min="42" max="42" width="7.1796875" style="182" customWidth="1"/>
    <col min="43" max="43" width="7.453125" style="182" customWidth="1"/>
    <col min="44" max="44" width="6.54296875" style="182" customWidth="1"/>
    <col min="45" max="60" width="8.7265625" style="182" customWidth="1"/>
    <col min="61" max="73" width="6.81640625" style="182" customWidth="1"/>
    <col min="74" max="74" width="7.7265625" style="182" customWidth="1"/>
    <col min="75" max="76" width="12.453125" style="182" customWidth="1"/>
    <col min="77" max="77" width="17.26953125" style="182" customWidth="1"/>
    <col min="78" max="78" width="24" style="182" hidden="1" customWidth="1"/>
    <col min="79" max="79" width="25.26953125" style="182" hidden="1" customWidth="1"/>
    <col min="80" max="80" width="24" style="182" hidden="1" customWidth="1"/>
    <col min="81" max="81" width="14" style="182" hidden="1" customWidth="1"/>
    <col min="82" max="82" width="29.26953125" style="182" hidden="1" customWidth="1"/>
    <col min="83" max="83" width="15.453125" style="182" hidden="1" customWidth="1"/>
    <col min="84" max="84" width="12.54296875" style="182" hidden="1" customWidth="1"/>
    <col min="85" max="85" width="25.26953125" style="182" hidden="1" customWidth="1"/>
    <col min="86" max="86" width="15.453125" style="182" hidden="1" customWidth="1"/>
    <col min="87" max="87" width="21" style="182" hidden="1" customWidth="1"/>
    <col min="88" max="88" width="19.81640625" style="182" hidden="1" customWidth="1"/>
    <col min="89" max="89" width="17.453125" style="182" hidden="1" customWidth="1"/>
    <col min="90" max="90" width="22.54296875" style="182" hidden="1" customWidth="1"/>
    <col min="91" max="91" width="25.1796875" style="182" hidden="1" customWidth="1"/>
    <col min="92" max="92" width="19.1796875" style="182" hidden="1" customWidth="1"/>
    <col min="93" max="16384" width="9.1796875" style="182"/>
  </cols>
  <sheetData>
    <row r="1" spans="1:92" ht="109.5" customHeight="1">
      <c r="A1" s="309"/>
      <c r="B1" s="301" t="s">
        <v>302</v>
      </c>
      <c r="C1" s="301"/>
      <c r="D1" s="301"/>
      <c r="E1" s="301" t="s">
        <v>301</v>
      </c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  <c r="AK1" s="301"/>
      <c r="AL1" s="308" t="s">
        <v>300</v>
      </c>
      <c r="AM1" s="307"/>
      <c r="AN1" s="307"/>
      <c r="AO1" s="307"/>
      <c r="AP1" s="307"/>
      <c r="AQ1" s="307"/>
      <c r="AR1" s="307"/>
      <c r="AS1" s="307"/>
      <c r="AT1" s="307"/>
      <c r="AU1" s="307"/>
      <c r="AV1" s="307"/>
      <c r="AW1" s="307"/>
      <c r="AX1" s="307"/>
      <c r="AY1" s="307"/>
      <c r="AZ1" s="307"/>
      <c r="BA1" s="307"/>
      <c r="BB1" s="307"/>
      <c r="BC1" s="307"/>
      <c r="BD1" s="307"/>
      <c r="BE1" s="307"/>
      <c r="BF1" s="307"/>
      <c r="BG1" s="307"/>
      <c r="BH1" s="307"/>
      <c r="BI1" s="307"/>
      <c r="BJ1" s="307"/>
      <c r="BK1" s="307"/>
      <c r="BL1" s="307"/>
      <c r="BM1" s="307"/>
      <c r="BN1" s="307"/>
      <c r="BO1" s="307"/>
      <c r="BP1" s="307"/>
      <c r="BQ1" s="307"/>
      <c r="BR1" s="307"/>
      <c r="BS1" s="307"/>
      <c r="BT1" s="307"/>
      <c r="BU1" s="307"/>
      <c r="BV1" s="307"/>
      <c r="BW1" s="307"/>
      <c r="BX1" s="306"/>
      <c r="BY1" s="305"/>
      <c r="BZ1" s="303"/>
      <c r="CA1" s="303"/>
      <c r="CB1" s="303"/>
      <c r="CC1" s="303"/>
      <c r="CD1" s="303"/>
      <c r="CE1" s="303"/>
      <c r="CF1" s="303"/>
      <c r="CG1" s="303"/>
      <c r="CH1" s="302"/>
      <c r="CI1" s="304"/>
      <c r="CJ1" s="304"/>
      <c r="CK1" s="304"/>
      <c r="CL1" s="303"/>
      <c r="CM1" s="303"/>
      <c r="CN1" s="302"/>
    </row>
    <row r="2" spans="1:92" ht="102" customHeight="1">
      <c r="A2" s="301" t="s">
        <v>298</v>
      </c>
      <c r="B2" s="301"/>
      <c r="C2" s="301"/>
      <c r="D2" s="301"/>
      <c r="E2" s="301" t="s">
        <v>297</v>
      </c>
      <c r="F2" s="301"/>
      <c r="G2" s="301"/>
      <c r="H2" s="301"/>
      <c r="I2" s="301"/>
      <c r="J2" s="301"/>
      <c r="K2" s="301"/>
      <c r="L2" s="301"/>
      <c r="M2" s="301"/>
      <c r="N2" s="301"/>
      <c r="O2" s="301"/>
      <c r="P2" s="301"/>
      <c r="Q2" s="301"/>
      <c r="R2" s="301"/>
      <c r="S2" s="301"/>
      <c r="T2" s="301"/>
      <c r="U2" s="301"/>
      <c r="V2" s="301"/>
      <c r="W2" s="301"/>
      <c r="X2" s="301"/>
      <c r="Y2" s="301"/>
      <c r="Z2" s="301"/>
      <c r="AA2" s="301"/>
      <c r="AB2" s="301"/>
      <c r="AC2" s="301"/>
      <c r="AD2" s="301"/>
      <c r="AE2" s="301"/>
      <c r="AF2" s="301"/>
      <c r="AG2" s="301"/>
      <c r="AH2" s="301"/>
      <c r="AI2" s="301"/>
      <c r="AJ2" s="301"/>
      <c r="AK2" s="301"/>
      <c r="AL2" s="301" t="s">
        <v>373</v>
      </c>
      <c r="AM2" s="301"/>
      <c r="AN2" s="301"/>
      <c r="AO2" s="301"/>
      <c r="AP2" s="301"/>
      <c r="AQ2" s="301"/>
      <c r="AR2" s="301"/>
      <c r="AS2" s="301"/>
      <c r="AT2" s="301"/>
      <c r="AU2" s="301"/>
      <c r="AV2" s="301"/>
      <c r="AW2" s="301"/>
      <c r="AX2" s="301"/>
      <c r="AY2" s="301"/>
      <c r="AZ2" s="301"/>
      <c r="BA2" s="301"/>
      <c r="BB2" s="301"/>
      <c r="BC2" s="301"/>
      <c r="BD2" s="301"/>
      <c r="BE2" s="301"/>
      <c r="BF2" s="301"/>
      <c r="BG2" s="301"/>
      <c r="BH2" s="301"/>
      <c r="BI2" s="301"/>
      <c r="BJ2" s="301"/>
      <c r="BK2" s="301"/>
      <c r="BL2" s="301"/>
      <c r="BM2" s="301"/>
      <c r="BN2" s="301"/>
      <c r="BO2" s="301"/>
      <c r="BP2" s="301"/>
      <c r="BQ2" s="301"/>
      <c r="BR2" s="301"/>
      <c r="BS2" s="301"/>
      <c r="BT2" s="301"/>
      <c r="BU2" s="301"/>
      <c r="BV2" s="301"/>
      <c r="BW2" s="301"/>
      <c r="BX2" s="301"/>
      <c r="BY2" s="305"/>
      <c r="BZ2" s="303"/>
      <c r="CA2" s="303"/>
      <c r="CB2" s="303"/>
      <c r="CC2" s="303"/>
      <c r="CD2" s="303"/>
      <c r="CE2" s="303"/>
      <c r="CF2" s="303"/>
      <c r="CG2" s="303"/>
      <c r="CH2" s="302"/>
      <c r="CI2" s="304"/>
      <c r="CJ2" s="304"/>
      <c r="CK2" s="304"/>
      <c r="CL2" s="303"/>
      <c r="CM2" s="303"/>
      <c r="CN2" s="302"/>
    </row>
    <row r="3" spans="1:92" ht="91.5" customHeight="1">
      <c r="A3" s="301" t="s">
        <v>294</v>
      </c>
      <c r="B3" s="301"/>
      <c r="C3" s="301"/>
      <c r="D3" s="301"/>
      <c r="E3" s="301" t="s">
        <v>293</v>
      </c>
      <c r="F3" s="301"/>
      <c r="G3" s="301"/>
      <c r="H3" s="301"/>
      <c r="I3" s="301"/>
      <c r="J3" s="301"/>
      <c r="K3" s="301"/>
      <c r="L3" s="301"/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1"/>
      <c r="Y3" s="301"/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1"/>
      <c r="AL3" s="301"/>
      <c r="AM3" s="301"/>
      <c r="AN3" s="301"/>
      <c r="AO3" s="301"/>
      <c r="AP3" s="301"/>
      <c r="AQ3" s="301"/>
      <c r="AR3" s="301"/>
      <c r="AS3" s="301"/>
      <c r="AT3" s="301"/>
      <c r="AU3" s="301"/>
      <c r="AV3" s="301"/>
      <c r="AW3" s="301"/>
      <c r="AX3" s="301"/>
      <c r="AY3" s="301"/>
      <c r="AZ3" s="301"/>
      <c r="BA3" s="301"/>
      <c r="BB3" s="301"/>
      <c r="BC3" s="301"/>
      <c r="BD3" s="301"/>
      <c r="BE3" s="301"/>
      <c r="BF3" s="301"/>
      <c r="BG3" s="301"/>
      <c r="BH3" s="301"/>
      <c r="BI3" s="301"/>
      <c r="BJ3" s="301"/>
      <c r="BK3" s="301"/>
      <c r="BL3" s="301"/>
      <c r="BM3" s="301"/>
      <c r="BN3" s="301"/>
      <c r="BO3" s="301"/>
      <c r="BP3" s="301"/>
      <c r="BQ3" s="301"/>
      <c r="BR3" s="301"/>
      <c r="BS3" s="301"/>
      <c r="BT3" s="301"/>
      <c r="BU3" s="301"/>
      <c r="BV3" s="301"/>
      <c r="BW3" s="301"/>
      <c r="BX3" s="301"/>
      <c r="BY3" s="301"/>
      <c r="BZ3" s="265" t="s">
        <v>292</v>
      </c>
      <c r="CA3" s="263"/>
      <c r="CB3" s="300" t="e">
        <f>#REF!</f>
        <v>#REF!</v>
      </c>
      <c r="CC3" s="265" t="s">
        <v>291</v>
      </c>
      <c r="CD3" s="263"/>
      <c r="CE3" s="300" t="e">
        <f>#REF!</f>
        <v>#REF!</v>
      </c>
      <c r="CF3" s="265" t="s">
        <v>290</v>
      </c>
      <c r="CG3" s="263"/>
      <c r="CH3" s="300" t="e">
        <f>#REF!</f>
        <v>#REF!</v>
      </c>
      <c r="CI3" s="300"/>
      <c r="CJ3" s="300"/>
      <c r="CK3" s="300"/>
      <c r="CL3" s="265" t="s">
        <v>289</v>
      </c>
      <c r="CM3" s="263"/>
      <c r="CN3" s="300" t="e">
        <f>#REF!</f>
        <v>#REF!</v>
      </c>
    </row>
    <row r="4" spans="1:92" ht="15" customHeight="1">
      <c r="A4" s="299" t="s">
        <v>372</v>
      </c>
      <c r="B4" s="296"/>
      <c r="C4" s="296"/>
      <c r="D4" s="296"/>
      <c r="E4" s="296"/>
      <c r="F4" s="296"/>
      <c r="G4" s="296"/>
      <c r="H4" s="296"/>
      <c r="I4" s="296"/>
      <c r="J4" s="296"/>
      <c r="K4" s="296"/>
      <c r="L4" s="296"/>
      <c r="M4" s="296"/>
      <c r="N4" s="296"/>
      <c r="O4" s="296"/>
      <c r="P4" s="296"/>
      <c r="Q4" s="296"/>
      <c r="R4" s="296"/>
      <c r="S4" s="296"/>
      <c r="T4" s="296"/>
      <c r="U4" s="296"/>
      <c r="V4" s="296"/>
      <c r="W4" s="296"/>
      <c r="X4" s="296"/>
      <c r="Y4" s="296"/>
      <c r="Z4" s="296"/>
      <c r="AA4" s="296"/>
      <c r="AB4" s="296"/>
      <c r="AC4" s="296"/>
      <c r="AD4" s="296"/>
      <c r="AE4" s="296"/>
      <c r="AF4" s="296"/>
      <c r="AG4" s="296"/>
      <c r="AH4" s="296"/>
      <c r="AI4" s="296"/>
      <c r="AJ4" s="296"/>
      <c r="AK4" s="296"/>
      <c r="AL4" s="296"/>
      <c r="AM4" s="296"/>
      <c r="AN4" s="296"/>
      <c r="AO4" s="296"/>
      <c r="AP4" s="296"/>
      <c r="AQ4" s="296"/>
      <c r="AR4" s="296"/>
      <c r="AS4" s="296"/>
      <c r="AT4" s="296"/>
      <c r="AU4" s="296"/>
      <c r="AV4" s="296"/>
      <c r="AW4" s="296"/>
      <c r="AX4" s="296"/>
      <c r="AY4" s="296"/>
      <c r="AZ4" s="296"/>
      <c r="BA4" s="296"/>
      <c r="BB4" s="296"/>
      <c r="BC4" s="296"/>
      <c r="BD4" s="296"/>
      <c r="BE4" s="296"/>
      <c r="BF4" s="296"/>
      <c r="BG4" s="296"/>
      <c r="BH4" s="296"/>
      <c r="BI4" s="296"/>
      <c r="BJ4" s="296"/>
      <c r="BK4" s="296"/>
      <c r="BL4" s="296"/>
      <c r="BM4" s="296"/>
      <c r="BN4" s="296"/>
      <c r="BO4" s="296"/>
      <c r="BP4" s="296"/>
      <c r="BQ4" s="296"/>
      <c r="BR4" s="296"/>
      <c r="BS4" s="296"/>
      <c r="BT4" s="296"/>
      <c r="BU4" s="296"/>
      <c r="BV4" s="296"/>
      <c r="BW4" s="296"/>
      <c r="BX4" s="296"/>
      <c r="BY4" s="298"/>
      <c r="BZ4" s="296" t="s">
        <v>285</v>
      </c>
      <c r="CA4" s="296"/>
      <c r="CB4" s="296"/>
      <c r="CC4" s="296" t="s">
        <v>285</v>
      </c>
      <c r="CD4" s="296"/>
      <c r="CE4" s="296"/>
      <c r="CF4" s="296" t="s">
        <v>285</v>
      </c>
      <c r="CG4" s="296"/>
      <c r="CH4" s="296"/>
      <c r="CI4" s="297"/>
      <c r="CJ4" s="297"/>
      <c r="CK4" s="297"/>
      <c r="CL4" s="296" t="s">
        <v>285</v>
      </c>
      <c r="CM4" s="296"/>
      <c r="CN4" s="296"/>
    </row>
    <row r="5" spans="1:92" ht="65.25" customHeight="1">
      <c r="A5" s="294" t="s">
        <v>283</v>
      </c>
      <c r="B5" s="294" t="s">
        <v>282</v>
      </c>
      <c r="C5" s="294" t="s">
        <v>281</v>
      </c>
      <c r="D5" s="295" t="s">
        <v>371</v>
      </c>
      <c r="E5" s="295"/>
      <c r="F5" s="295"/>
      <c r="G5" s="295"/>
      <c r="H5" s="295"/>
      <c r="I5" s="295"/>
      <c r="J5" s="295"/>
      <c r="K5" s="295"/>
      <c r="L5" s="295"/>
      <c r="M5" s="295"/>
      <c r="N5" s="295"/>
      <c r="O5" s="295"/>
      <c r="P5" s="295"/>
      <c r="Q5" s="295"/>
      <c r="R5" s="295"/>
      <c r="S5" s="295"/>
      <c r="T5" s="295"/>
      <c r="U5" s="295"/>
      <c r="V5" s="295"/>
      <c r="W5" s="295"/>
      <c r="X5" s="295"/>
      <c r="Y5" s="295"/>
      <c r="Z5" s="295"/>
      <c r="AA5" s="295"/>
      <c r="AB5" s="295"/>
      <c r="AC5" s="295"/>
      <c r="AD5" s="295"/>
      <c r="AE5" s="295"/>
      <c r="AF5" s="295"/>
      <c r="AG5" s="295"/>
      <c r="AH5" s="295"/>
      <c r="AI5" s="295"/>
      <c r="AJ5" s="295"/>
      <c r="AK5" s="295"/>
      <c r="AL5" s="295"/>
      <c r="AM5" s="295"/>
      <c r="AN5" s="295"/>
      <c r="AO5" s="295"/>
      <c r="AP5" s="295"/>
      <c r="AQ5" s="295"/>
      <c r="AR5" s="295"/>
      <c r="AS5" s="295"/>
      <c r="AT5" s="295"/>
      <c r="AU5" s="295"/>
      <c r="AV5" s="295"/>
      <c r="AW5" s="295"/>
      <c r="AX5" s="295"/>
      <c r="AY5" s="295"/>
      <c r="AZ5" s="295"/>
      <c r="BA5" s="295"/>
      <c r="BB5" s="295"/>
      <c r="BC5" s="295"/>
      <c r="BD5" s="295"/>
      <c r="BE5" s="295"/>
      <c r="BF5" s="295"/>
      <c r="BG5" s="295"/>
      <c r="BH5" s="295"/>
      <c r="BI5" s="295"/>
      <c r="BJ5" s="295"/>
      <c r="BK5" s="295"/>
      <c r="BL5" s="295"/>
      <c r="BM5" s="295"/>
      <c r="BN5" s="295"/>
      <c r="BO5" s="295"/>
      <c r="BP5" s="295"/>
      <c r="BQ5" s="295"/>
      <c r="BR5" s="295"/>
      <c r="BS5" s="295"/>
      <c r="BT5" s="295"/>
      <c r="BU5" s="295"/>
      <c r="BV5" s="295"/>
      <c r="BW5" s="295"/>
      <c r="BX5" s="295"/>
      <c r="BY5" s="295"/>
      <c r="BZ5" s="294" t="s">
        <v>275</v>
      </c>
      <c r="CA5" s="294" t="s">
        <v>274</v>
      </c>
      <c r="CB5" s="294" t="s">
        <v>273</v>
      </c>
      <c r="CC5" s="294" t="s">
        <v>275</v>
      </c>
      <c r="CD5" s="294" t="s">
        <v>274</v>
      </c>
      <c r="CE5" s="294" t="s">
        <v>273</v>
      </c>
      <c r="CF5" s="294" t="s">
        <v>275</v>
      </c>
      <c r="CG5" s="294" t="s">
        <v>274</v>
      </c>
      <c r="CH5" s="294" t="s">
        <v>273</v>
      </c>
      <c r="CI5" s="294" t="s">
        <v>275</v>
      </c>
      <c r="CJ5" s="294" t="s">
        <v>274</v>
      </c>
      <c r="CK5" s="294" t="s">
        <v>273</v>
      </c>
      <c r="CL5" s="294" t="s">
        <v>275</v>
      </c>
      <c r="CM5" s="294" t="s">
        <v>274</v>
      </c>
      <c r="CN5" s="294" t="s">
        <v>273</v>
      </c>
    </row>
    <row r="6" spans="1:92" ht="20.149999999999999" customHeight="1">
      <c r="A6" s="210">
        <v>1</v>
      </c>
      <c r="B6" s="209" t="s">
        <v>267</v>
      </c>
      <c r="C6" s="209"/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  <c r="Z6" s="209"/>
      <c r="AA6" s="209"/>
      <c r="AB6" s="209"/>
      <c r="AC6" s="209"/>
      <c r="AD6" s="209"/>
      <c r="AE6" s="209"/>
      <c r="AF6" s="209"/>
      <c r="AG6" s="209"/>
      <c r="AH6" s="209"/>
      <c r="AI6" s="209"/>
      <c r="AJ6" s="209"/>
      <c r="AK6" s="209"/>
      <c r="AL6" s="209"/>
      <c r="AM6" s="209"/>
      <c r="AN6" s="209"/>
      <c r="AO6" s="209"/>
      <c r="AP6" s="209"/>
      <c r="AQ6" s="209"/>
      <c r="AR6" s="209"/>
      <c r="AS6" s="209"/>
      <c r="AT6" s="209"/>
      <c r="AU6" s="209"/>
      <c r="AV6" s="209"/>
      <c r="AW6" s="209"/>
      <c r="AX6" s="209"/>
      <c r="AY6" s="209"/>
      <c r="AZ6" s="209"/>
      <c r="BA6" s="209"/>
      <c r="BB6" s="209"/>
      <c r="BC6" s="209"/>
      <c r="BD6" s="209"/>
      <c r="BE6" s="209"/>
      <c r="BF6" s="209"/>
      <c r="BG6" s="209"/>
      <c r="BH6" s="209"/>
      <c r="BI6" s="209"/>
      <c r="BJ6" s="209"/>
      <c r="BK6" s="209"/>
      <c r="BL6" s="209"/>
      <c r="BM6" s="209"/>
      <c r="BN6" s="209"/>
      <c r="BO6" s="209"/>
      <c r="BP6" s="209"/>
      <c r="BQ6" s="209"/>
      <c r="BR6" s="209"/>
      <c r="BS6" s="209"/>
      <c r="BT6" s="209"/>
      <c r="BU6" s="209"/>
      <c r="BV6" s="209"/>
      <c r="BW6" s="209"/>
      <c r="BX6" s="209"/>
      <c r="BY6" s="209"/>
      <c r="BZ6" s="293" t="s">
        <v>266</v>
      </c>
      <c r="CA6" s="293"/>
      <c r="CB6" s="293"/>
      <c r="CC6" s="293" t="s">
        <v>265</v>
      </c>
      <c r="CD6" s="293"/>
      <c r="CE6" s="293"/>
      <c r="CF6" s="293" t="s">
        <v>264</v>
      </c>
      <c r="CG6" s="293"/>
      <c r="CH6" s="293"/>
      <c r="CI6" s="293" t="s">
        <v>263</v>
      </c>
      <c r="CJ6" s="293"/>
      <c r="CK6" s="293"/>
      <c r="CL6" s="293" t="s">
        <v>262</v>
      </c>
      <c r="CM6" s="293"/>
      <c r="CN6" s="293"/>
    </row>
    <row r="7" spans="1:92" s="290" customFormat="1" ht="31.5" customHeight="1">
      <c r="A7" s="279" t="s">
        <v>258</v>
      </c>
      <c r="B7" s="214">
        <v>51</v>
      </c>
      <c r="C7" s="279" t="s">
        <v>257</v>
      </c>
      <c r="D7" s="205"/>
      <c r="E7" s="205"/>
      <c r="F7" s="205"/>
      <c r="G7" s="205"/>
      <c r="H7" s="205"/>
      <c r="I7" s="205"/>
      <c r="J7" s="205"/>
      <c r="K7" s="205"/>
      <c r="L7" s="205"/>
      <c r="M7" s="205"/>
      <c r="N7" s="205"/>
      <c r="O7" s="205"/>
      <c r="P7" s="205"/>
      <c r="Q7" s="205"/>
      <c r="R7" s="205"/>
      <c r="S7" s="205"/>
      <c r="T7" s="205"/>
      <c r="U7" s="205"/>
      <c r="V7" s="205"/>
      <c r="W7" s="205"/>
      <c r="X7" s="205"/>
      <c r="Y7" s="205"/>
      <c r="Z7" s="205"/>
      <c r="AA7" s="205"/>
      <c r="AB7" s="205"/>
      <c r="AC7" s="205"/>
      <c r="AD7" s="205"/>
      <c r="AE7" s="205"/>
      <c r="AF7" s="205"/>
      <c r="AG7" s="205"/>
      <c r="AH7" s="205"/>
      <c r="AI7" s="205"/>
      <c r="AJ7" s="205"/>
      <c r="AK7" s="205"/>
      <c r="AL7" s="205"/>
      <c r="AM7" s="205"/>
      <c r="AN7" s="205"/>
      <c r="AO7" s="205"/>
      <c r="AP7" s="205"/>
      <c r="AQ7" s="205"/>
      <c r="AR7" s="205"/>
      <c r="AS7" s="205"/>
      <c r="AT7" s="205"/>
      <c r="AU7" s="205"/>
      <c r="AV7" s="205"/>
      <c r="AW7" s="205"/>
      <c r="AX7" s="205"/>
      <c r="AY7" s="205"/>
      <c r="AZ7" s="205"/>
      <c r="BA7" s="205"/>
      <c r="BB7" s="205"/>
      <c r="BC7" s="205"/>
      <c r="BD7" s="205"/>
      <c r="BE7" s="205"/>
      <c r="BF7" s="205"/>
      <c r="BG7" s="205"/>
      <c r="BH7" s="205"/>
      <c r="BI7" s="205"/>
      <c r="BJ7" s="205"/>
      <c r="BK7" s="205"/>
      <c r="BL7" s="205"/>
      <c r="BM7" s="205"/>
      <c r="BN7" s="205"/>
      <c r="BO7" s="205"/>
      <c r="BP7" s="205"/>
      <c r="BQ7" s="205"/>
      <c r="BR7" s="205"/>
      <c r="BS7" s="205"/>
      <c r="BT7" s="205"/>
      <c r="BU7" s="205"/>
      <c r="BV7" s="205"/>
      <c r="BW7" s="205"/>
      <c r="BX7" s="205"/>
      <c r="BY7" s="205"/>
      <c r="BZ7" s="291">
        <v>1</v>
      </c>
      <c r="CA7" s="199">
        <f>TRUNC(BZ7*AK7,2)</f>
        <v>0</v>
      </c>
      <c r="CB7" s="198">
        <f>TRUNC(CA7*AL7)+0.46</f>
        <v>0.46</v>
      </c>
      <c r="CC7" s="291">
        <v>0</v>
      </c>
      <c r="CD7" s="199">
        <f>TRUNC(CC7*AK7,2)</f>
        <v>0</v>
      </c>
      <c r="CE7" s="198">
        <f>TRUNC(CD7*AL7)+0</f>
        <v>0</v>
      </c>
      <c r="CF7" s="292">
        <v>0</v>
      </c>
      <c r="CG7" s="199">
        <f>TRUNC(CF7*AK7,2)</f>
        <v>0</v>
      </c>
      <c r="CH7" s="198">
        <f>TRUNC(CG7*AL7)</f>
        <v>0</v>
      </c>
      <c r="CI7" s="198"/>
      <c r="CJ7" s="198"/>
      <c r="CK7" s="198">
        <f>TRUNC(AL7*CJ7)+0</f>
        <v>0</v>
      </c>
      <c r="CL7" s="291">
        <v>0</v>
      </c>
      <c r="CM7" s="199">
        <f>TRUNC(CL7*AK7,2)</f>
        <v>0</v>
      </c>
      <c r="CN7" s="198">
        <f>TRUNC(CM7*AL7)+0</f>
        <v>0</v>
      </c>
    </row>
    <row r="8" spans="1:92" ht="28">
      <c r="A8" s="208" t="s">
        <v>256</v>
      </c>
      <c r="B8" s="214">
        <v>98524</v>
      </c>
      <c r="C8" s="208" t="s">
        <v>255</v>
      </c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  <c r="AC8" s="205"/>
      <c r="AD8" s="205"/>
      <c r="AE8" s="205"/>
      <c r="AF8" s="205"/>
      <c r="AG8" s="205"/>
      <c r="AH8" s="205"/>
      <c r="AI8" s="205"/>
      <c r="AJ8" s="205"/>
      <c r="AK8" s="205"/>
      <c r="AL8" s="205"/>
      <c r="AM8" s="205"/>
      <c r="AN8" s="205"/>
      <c r="AO8" s="205"/>
      <c r="AP8" s="205"/>
      <c r="AQ8" s="205"/>
      <c r="AR8" s="205"/>
      <c r="AS8" s="205"/>
      <c r="AT8" s="205"/>
      <c r="AU8" s="205"/>
      <c r="AV8" s="205"/>
      <c r="AW8" s="205"/>
      <c r="AX8" s="205"/>
      <c r="AY8" s="205"/>
      <c r="AZ8" s="205"/>
      <c r="BA8" s="205"/>
      <c r="BB8" s="205"/>
      <c r="BC8" s="205"/>
      <c r="BD8" s="205"/>
      <c r="BE8" s="205"/>
      <c r="BF8" s="205"/>
      <c r="BG8" s="205"/>
      <c r="BH8" s="205"/>
      <c r="BI8" s="205"/>
      <c r="BJ8" s="205"/>
      <c r="BK8" s="205"/>
      <c r="BL8" s="205"/>
      <c r="BM8" s="205"/>
      <c r="BN8" s="205"/>
      <c r="BO8" s="205"/>
      <c r="BP8" s="205"/>
      <c r="BQ8" s="205"/>
      <c r="BR8" s="205"/>
      <c r="BS8" s="205"/>
      <c r="BT8" s="205"/>
      <c r="BU8" s="205"/>
      <c r="BV8" s="205"/>
      <c r="BW8" s="205"/>
      <c r="BX8" s="205"/>
      <c r="BY8" s="205"/>
      <c r="BZ8" s="200">
        <v>1</v>
      </c>
      <c r="CA8" s="202">
        <f>TRUNC(BZ8*AK8,2)</f>
        <v>0</v>
      </c>
      <c r="CB8" s="201">
        <f>TRUNC(CA8*AL8)+0.41</f>
        <v>0.41</v>
      </c>
      <c r="CC8" s="200"/>
      <c r="CD8" s="202"/>
      <c r="CE8" s="201"/>
      <c r="CF8" s="200"/>
      <c r="CG8" s="202"/>
      <c r="CH8" s="201"/>
      <c r="CI8" s="201"/>
      <c r="CJ8" s="201"/>
      <c r="CK8" s="198">
        <f>TRUNC(AL8*CJ8)+0</f>
        <v>0</v>
      </c>
      <c r="CL8" s="200"/>
      <c r="CM8" s="199">
        <f>TRUNC(CL8*AK8,2)</f>
        <v>0</v>
      </c>
      <c r="CN8" s="198">
        <f>TRUNC(CM8*AL8)+0</f>
        <v>0</v>
      </c>
    </row>
    <row r="9" spans="1:92" ht="20.149999999999999" customHeight="1">
      <c r="A9" s="210">
        <v>2</v>
      </c>
      <c r="B9" s="209" t="s">
        <v>254</v>
      </c>
      <c r="C9" s="209"/>
      <c r="D9" s="209"/>
      <c r="E9" s="209"/>
      <c r="F9" s="209"/>
      <c r="G9" s="209"/>
      <c r="H9" s="209"/>
      <c r="I9" s="209"/>
      <c r="J9" s="209"/>
      <c r="K9" s="209"/>
      <c r="L9" s="209"/>
      <c r="M9" s="209"/>
      <c r="N9" s="209"/>
      <c r="O9" s="209"/>
      <c r="P9" s="209"/>
      <c r="Q9" s="209"/>
      <c r="R9" s="209"/>
      <c r="S9" s="209"/>
      <c r="T9" s="209"/>
      <c r="U9" s="209"/>
      <c r="V9" s="209"/>
      <c r="W9" s="209"/>
      <c r="X9" s="209"/>
      <c r="Y9" s="209"/>
      <c r="Z9" s="209"/>
      <c r="AA9" s="209"/>
      <c r="AB9" s="209"/>
      <c r="AC9" s="209"/>
      <c r="AD9" s="209"/>
      <c r="AE9" s="209"/>
      <c r="AF9" s="209"/>
      <c r="AG9" s="209"/>
      <c r="AH9" s="209"/>
      <c r="AI9" s="209"/>
      <c r="AJ9" s="209"/>
      <c r="AK9" s="209"/>
      <c r="AL9" s="209"/>
      <c r="AM9" s="209"/>
      <c r="AN9" s="209"/>
      <c r="AO9" s="209"/>
      <c r="AP9" s="209"/>
      <c r="AQ9" s="209"/>
      <c r="AR9" s="209"/>
      <c r="AS9" s="209"/>
      <c r="AT9" s="209"/>
      <c r="AU9" s="209"/>
      <c r="AV9" s="209"/>
      <c r="AW9" s="209"/>
      <c r="AX9" s="209"/>
      <c r="AY9" s="209"/>
      <c r="AZ9" s="209"/>
      <c r="BA9" s="209"/>
      <c r="BB9" s="209"/>
      <c r="BC9" s="209"/>
      <c r="BD9" s="209"/>
      <c r="BE9" s="209"/>
      <c r="BF9" s="209"/>
      <c r="BG9" s="209"/>
      <c r="BH9" s="209"/>
      <c r="BI9" s="209"/>
      <c r="BJ9" s="209"/>
      <c r="BK9" s="209"/>
      <c r="BL9" s="209"/>
      <c r="BM9" s="209"/>
      <c r="BN9" s="209"/>
      <c r="BO9" s="209"/>
      <c r="BP9" s="209"/>
      <c r="BQ9" s="209"/>
      <c r="BR9" s="209"/>
      <c r="BS9" s="209"/>
      <c r="BT9" s="209"/>
      <c r="BU9" s="209"/>
      <c r="BV9" s="209"/>
      <c r="BW9" s="209"/>
      <c r="BX9" s="209"/>
      <c r="BY9" s="209"/>
      <c r="BZ9" s="204"/>
      <c r="CA9" s="204"/>
      <c r="CB9" s="204"/>
      <c r="CC9" s="204"/>
      <c r="CD9" s="204"/>
      <c r="CE9" s="204"/>
      <c r="CF9" s="204"/>
      <c r="CG9" s="204"/>
      <c r="CH9" s="204"/>
      <c r="CI9" s="204"/>
      <c r="CJ9" s="204"/>
      <c r="CK9" s="204"/>
      <c r="CL9" s="204"/>
      <c r="CM9" s="204"/>
      <c r="CN9" s="204"/>
    </row>
    <row r="10" spans="1:92" ht="42">
      <c r="A10" s="208" t="s">
        <v>253</v>
      </c>
      <c r="B10" s="207">
        <v>99059</v>
      </c>
      <c r="C10" s="206" t="s">
        <v>252</v>
      </c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  <c r="AA10" s="205"/>
      <c r="AB10" s="205"/>
      <c r="AC10" s="205"/>
      <c r="AD10" s="205"/>
      <c r="AE10" s="205"/>
      <c r="AF10" s="205"/>
      <c r="AG10" s="205"/>
      <c r="AH10" s="205"/>
      <c r="AI10" s="205"/>
      <c r="AJ10" s="205"/>
      <c r="AK10" s="205"/>
      <c r="AL10" s="205"/>
      <c r="AM10" s="205"/>
      <c r="AN10" s="205"/>
      <c r="AO10" s="205"/>
      <c r="AP10" s="205"/>
      <c r="AQ10" s="205"/>
      <c r="AR10" s="205"/>
      <c r="AS10" s="205"/>
      <c r="AT10" s="205"/>
      <c r="AU10" s="205"/>
      <c r="AV10" s="205"/>
      <c r="AW10" s="205"/>
      <c r="AX10" s="205"/>
      <c r="AY10" s="205"/>
      <c r="AZ10" s="205"/>
      <c r="BA10" s="205"/>
      <c r="BB10" s="205"/>
      <c r="BC10" s="205"/>
      <c r="BD10" s="205"/>
      <c r="BE10" s="205"/>
      <c r="BF10" s="205"/>
      <c r="BG10" s="205"/>
      <c r="BH10" s="205"/>
      <c r="BI10" s="205"/>
      <c r="BJ10" s="205"/>
      <c r="BK10" s="205"/>
      <c r="BL10" s="205"/>
      <c r="BM10" s="205"/>
      <c r="BN10" s="205"/>
      <c r="BO10" s="205"/>
      <c r="BP10" s="205"/>
      <c r="BQ10" s="205"/>
      <c r="BR10" s="205"/>
      <c r="BS10" s="205"/>
      <c r="BT10" s="205"/>
      <c r="BU10" s="205"/>
      <c r="BV10" s="205"/>
      <c r="BW10" s="205"/>
      <c r="BX10" s="205"/>
      <c r="BY10" s="205"/>
      <c r="BZ10" s="200">
        <v>1</v>
      </c>
      <c r="CA10" s="202">
        <f>TRUNC(BZ10*AK10,2)</f>
        <v>0</v>
      </c>
      <c r="CB10" s="201">
        <f>TRUNC(CA10*AL10)+0.12</f>
        <v>0.12</v>
      </c>
      <c r="CC10" s="200"/>
      <c r="CD10" s="202"/>
      <c r="CE10" s="201"/>
      <c r="CF10" s="200"/>
      <c r="CG10" s="202"/>
      <c r="CH10" s="201"/>
      <c r="CI10" s="201"/>
      <c r="CJ10" s="201"/>
      <c r="CK10" s="198">
        <f>TRUNC(AL10*CJ10)+0</f>
        <v>0</v>
      </c>
      <c r="CL10" s="200"/>
      <c r="CM10" s="199">
        <f>TRUNC(CL10*AK10,2)</f>
        <v>0</v>
      </c>
      <c r="CN10" s="198">
        <f>TRUNC(CM10*AL10)+0</f>
        <v>0</v>
      </c>
    </row>
    <row r="11" spans="1:92" ht="38.25" customHeight="1">
      <c r="A11" s="279" t="s">
        <v>251</v>
      </c>
      <c r="B11" s="207">
        <v>93358</v>
      </c>
      <c r="C11" s="206" t="s">
        <v>250</v>
      </c>
      <c r="D11" s="205"/>
      <c r="E11" s="205"/>
      <c r="F11" s="205"/>
      <c r="G11" s="205"/>
      <c r="H11" s="205"/>
      <c r="I11" s="205"/>
      <c r="J11" s="205"/>
      <c r="K11" s="205"/>
      <c r="L11" s="205"/>
      <c r="M11" s="205"/>
      <c r="N11" s="205"/>
      <c r="O11" s="205"/>
      <c r="P11" s="205"/>
      <c r="Q11" s="205"/>
      <c r="R11" s="205"/>
      <c r="S11" s="205"/>
      <c r="T11" s="205"/>
      <c r="U11" s="205"/>
      <c r="V11" s="205"/>
      <c r="W11" s="205"/>
      <c r="X11" s="205"/>
      <c r="Y11" s="205"/>
      <c r="Z11" s="205"/>
      <c r="AA11" s="205"/>
      <c r="AB11" s="205"/>
      <c r="AC11" s="205"/>
      <c r="AD11" s="205"/>
      <c r="AE11" s="205"/>
      <c r="AF11" s="205"/>
      <c r="AG11" s="205"/>
      <c r="AH11" s="205"/>
      <c r="AI11" s="205"/>
      <c r="AJ11" s="205"/>
      <c r="AK11" s="205"/>
      <c r="AL11" s="205"/>
      <c r="AM11" s="205"/>
      <c r="AN11" s="205"/>
      <c r="AO11" s="205"/>
      <c r="AP11" s="205"/>
      <c r="AQ11" s="205"/>
      <c r="AR11" s="205"/>
      <c r="AS11" s="205"/>
      <c r="AT11" s="205"/>
      <c r="AU11" s="205"/>
      <c r="AV11" s="205"/>
      <c r="AW11" s="205"/>
      <c r="AX11" s="205"/>
      <c r="AY11" s="205"/>
      <c r="AZ11" s="205"/>
      <c r="BA11" s="205"/>
      <c r="BB11" s="205"/>
      <c r="BC11" s="205"/>
      <c r="BD11" s="205"/>
      <c r="BE11" s="205"/>
      <c r="BF11" s="205"/>
      <c r="BG11" s="205"/>
      <c r="BH11" s="205"/>
      <c r="BI11" s="205"/>
      <c r="BJ11" s="205"/>
      <c r="BK11" s="205"/>
      <c r="BL11" s="205"/>
      <c r="BM11" s="205"/>
      <c r="BN11" s="205"/>
      <c r="BO11" s="205"/>
      <c r="BP11" s="205"/>
      <c r="BQ11" s="205"/>
      <c r="BR11" s="205"/>
      <c r="BS11" s="205"/>
      <c r="BT11" s="205"/>
      <c r="BU11" s="205"/>
      <c r="BV11" s="205"/>
      <c r="BW11" s="205"/>
      <c r="BX11" s="205"/>
      <c r="BY11" s="205"/>
      <c r="BZ11" s="200">
        <v>1</v>
      </c>
      <c r="CA11" s="202">
        <f>TRUNC(BZ11*AK11,2)</f>
        <v>0</v>
      </c>
      <c r="CB11" s="201">
        <f>TRUNC(CA11*AL11)+0</f>
        <v>0</v>
      </c>
      <c r="CC11" s="200"/>
      <c r="CD11" s="202"/>
      <c r="CE11" s="201"/>
      <c r="CF11" s="200"/>
      <c r="CG11" s="202"/>
      <c r="CH11" s="201"/>
      <c r="CI11" s="201"/>
      <c r="CJ11" s="201"/>
      <c r="CK11" s="198">
        <f>TRUNC(AL11*CJ11)+0</f>
        <v>0</v>
      </c>
      <c r="CL11" s="200"/>
      <c r="CM11" s="199">
        <f>TRUNC(CL11*AK11,2)</f>
        <v>0</v>
      </c>
      <c r="CN11" s="198">
        <f>TRUNC(CM11*AL11)+0</f>
        <v>0</v>
      </c>
    </row>
    <row r="12" spans="1:92" ht="28">
      <c r="A12" s="279" t="s">
        <v>249</v>
      </c>
      <c r="B12" s="207">
        <v>94319</v>
      </c>
      <c r="C12" s="206" t="s">
        <v>248</v>
      </c>
      <c r="D12" s="205"/>
      <c r="E12" s="205"/>
      <c r="F12" s="205"/>
      <c r="G12" s="205"/>
      <c r="H12" s="205"/>
      <c r="I12" s="205"/>
      <c r="J12" s="205"/>
      <c r="K12" s="205"/>
      <c r="L12" s="205"/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205"/>
      <c r="AC12" s="205"/>
      <c r="AD12" s="205"/>
      <c r="AE12" s="205"/>
      <c r="AF12" s="205"/>
      <c r="AG12" s="205"/>
      <c r="AH12" s="205"/>
      <c r="AI12" s="205"/>
      <c r="AJ12" s="205"/>
      <c r="AK12" s="205"/>
      <c r="AL12" s="205"/>
      <c r="AM12" s="205"/>
      <c r="AN12" s="205"/>
      <c r="AO12" s="205"/>
      <c r="AP12" s="205"/>
      <c r="AQ12" s="205"/>
      <c r="AR12" s="205"/>
      <c r="AS12" s="205"/>
      <c r="AT12" s="205"/>
      <c r="AU12" s="205"/>
      <c r="AV12" s="205"/>
      <c r="AW12" s="205"/>
      <c r="AX12" s="205"/>
      <c r="AY12" s="205"/>
      <c r="AZ12" s="205"/>
      <c r="BA12" s="205"/>
      <c r="BB12" s="205"/>
      <c r="BC12" s="205"/>
      <c r="BD12" s="205"/>
      <c r="BE12" s="205"/>
      <c r="BF12" s="205"/>
      <c r="BG12" s="205"/>
      <c r="BH12" s="205"/>
      <c r="BI12" s="205"/>
      <c r="BJ12" s="205"/>
      <c r="BK12" s="205"/>
      <c r="BL12" s="205"/>
      <c r="BM12" s="205"/>
      <c r="BN12" s="205"/>
      <c r="BO12" s="205"/>
      <c r="BP12" s="205"/>
      <c r="BQ12" s="205"/>
      <c r="BR12" s="205"/>
      <c r="BS12" s="205"/>
      <c r="BT12" s="205"/>
      <c r="BU12" s="205"/>
      <c r="BV12" s="205"/>
      <c r="BW12" s="205"/>
      <c r="BX12" s="205"/>
      <c r="BY12" s="205"/>
      <c r="BZ12" s="200">
        <v>1</v>
      </c>
      <c r="CA12" s="202">
        <f>TRUNC(BZ12*AK12,2)</f>
        <v>0</v>
      </c>
      <c r="CB12" s="201">
        <f>TRUNC(CA12*AL12)+0.2</f>
        <v>0.2</v>
      </c>
      <c r="CC12" s="200"/>
      <c r="CD12" s="202"/>
      <c r="CE12" s="201"/>
      <c r="CF12" s="200"/>
      <c r="CG12" s="202"/>
      <c r="CH12" s="201"/>
      <c r="CI12" s="201"/>
      <c r="CJ12" s="201"/>
      <c r="CK12" s="198">
        <f>TRUNC(AL12*CJ12)+0</f>
        <v>0</v>
      </c>
      <c r="CL12" s="200"/>
      <c r="CM12" s="199">
        <f>TRUNC(CL12*AK12,2)</f>
        <v>0</v>
      </c>
      <c r="CN12" s="198">
        <f>TRUNC(CM12*AL12)+0</f>
        <v>0</v>
      </c>
    </row>
    <row r="13" spans="1:92" ht="20.149999999999999" customHeight="1">
      <c r="A13" s="210">
        <v>3</v>
      </c>
      <c r="B13" s="209" t="s">
        <v>247</v>
      </c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4"/>
      <c r="CA13" s="204"/>
      <c r="CB13" s="204"/>
      <c r="CC13" s="204"/>
      <c r="CD13" s="204"/>
      <c r="CE13" s="204"/>
      <c r="CF13" s="204"/>
      <c r="CG13" s="204"/>
      <c r="CH13" s="204"/>
      <c r="CI13" s="204"/>
      <c r="CJ13" s="204"/>
      <c r="CK13" s="204"/>
      <c r="CL13" s="204"/>
      <c r="CM13" s="204"/>
      <c r="CN13" s="204"/>
    </row>
    <row r="14" spans="1:92" ht="20.149999999999999" customHeight="1">
      <c r="A14" s="210" t="s">
        <v>246</v>
      </c>
      <c r="B14" s="209" t="s">
        <v>245</v>
      </c>
      <c r="C14" s="209"/>
      <c r="D14" s="209"/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209"/>
      <c r="Z14" s="209"/>
      <c r="AA14" s="209"/>
      <c r="AB14" s="209"/>
      <c r="AC14" s="209"/>
      <c r="AD14" s="209"/>
      <c r="AE14" s="209"/>
      <c r="AF14" s="209"/>
      <c r="AG14" s="209"/>
      <c r="AH14" s="209"/>
      <c r="AI14" s="209"/>
      <c r="AJ14" s="209"/>
      <c r="AK14" s="209"/>
      <c r="AL14" s="209"/>
      <c r="AM14" s="209"/>
      <c r="AN14" s="209"/>
      <c r="AO14" s="209"/>
      <c r="AP14" s="209"/>
      <c r="AQ14" s="209"/>
      <c r="AR14" s="209"/>
      <c r="AS14" s="209"/>
      <c r="AT14" s="209"/>
      <c r="AU14" s="209"/>
      <c r="AV14" s="209"/>
      <c r="AW14" s="209"/>
      <c r="AX14" s="209"/>
      <c r="AY14" s="209"/>
      <c r="AZ14" s="209"/>
      <c r="BA14" s="209"/>
      <c r="BB14" s="209"/>
      <c r="BC14" s="209"/>
      <c r="BD14" s="209"/>
      <c r="BE14" s="209"/>
      <c r="BF14" s="209"/>
      <c r="BG14" s="209"/>
      <c r="BH14" s="209"/>
      <c r="BI14" s="209"/>
      <c r="BJ14" s="209"/>
      <c r="BK14" s="209"/>
      <c r="BL14" s="209"/>
      <c r="BM14" s="209"/>
      <c r="BN14" s="209"/>
      <c r="BO14" s="209"/>
      <c r="BP14" s="209"/>
      <c r="BQ14" s="209"/>
      <c r="BR14" s="209"/>
      <c r="BS14" s="209"/>
      <c r="BT14" s="209"/>
      <c r="BU14" s="209"/>
      <c r="BV14" s="209"/>
      <c r="BW14" s="209"/>
      <c r="BX14" s="209"/>
      <c r="BY14" s="209"/>
      <c r="BZ14" s="204"/>
      <c r="CA14" s="204"/>
      <c r="CB14" s="204"/>
      <c r="CC14" s="204"/>
      <c r="CD14" s="204"/>
      <c r="CE14" s="204"/>
      <c r="CF14" s="204"/>
      <c r="CG14" s="204"/>
      <c r="CH14" s="204"/>
      <c r="CI14" s="204"/>
      <c r="CJ14" s="204"/>
      <c r="CK14" s="204"/>
      <c r="CL14" s="204"/>
      <c r="CM14" s="204"/>
      <c r="CN14" s="204"/>
    </row>
    <row r="15" spans="1:92" ht="20.149999999999999" customHeight="1">
      <c r="A15" s="210" t="s">
        <v>244</v>
      </c>
      <c r="B15" s="209" t="s">
        <v>243</v>
      </c>
      <c r="C15" s="209"/>
      <c r="D15" s="209"/>
      <c r="E15" s="209"/>
      <c r="F15" s="209"/>
      <c r="G15" s="209"/>
      <c r="H15" s="209"/>
      <c r="I15" s="209"/>
      <c r="J15" s="209"/>
      <c r="K15" s="209"/>
      <c r="L15" s="209"/>
      <c r="M15" s="209"/>
      <c r="N15" s="209"/>
      <c r="O15" s="209"/>
      <c r="P15" s="209"/>
      <c r="Q15" s="209"/>
      <c r="R15" s="209"/>
      <c r="S15" s="209"/>
      <c r="T15" s="209"/>
      <c r="U15" s="209"/>
      <c r="V15" s="209"/>
      <c r="W15" s="209"/>
      <c r="X15" s="209"/>
      <c r="Y15" s="209"/>
      <c r="Z15" s="209"/>
      <c r="AA15" s="209"/>
      <c r="AB15" s="209"/>
      <c r="AC15" s="209"/>
      <c r="AD15" s="209"/>
      <c r="AE15" s="209"/>
      <c r="AF15" s="209"/>
      <c r="AG15" s="209"/>
      <c r="AH15" s="209"/>
      <c r="AI15" s="209"/>
      <c r="AJ15" s="209"/>
      <c r="AK15" s="209"/>
      <c r="AL15" s="209"/>
      <c r="AM15" s="209"/>
      <c r="AN15" s="209"/>
      <c r="AO15" s="209"/>
      <c r="AP15" s="209"/>
      <c r="AQ15" s="209"/>
      <c r="AR15" s="209"/>
      <c r="AS15" s="209"/>
      <c r="AT15" s="209"/>
      <c r="AU15" s="209"/>
      <c r="AV15" s="209"/>
      <c r="AW15" s="209"/>
      <c r="AX15" s="209"/>
      <c r="AY15" s="209"/>
      <c r="AZ15" s="209"/>
      <c r="BA15" s="209"/>
      <c r="BB15" s="209"/>
      <c r="BC15" s="209"/>
      <c r="BD15" s="209"/>
      <c r="BE15" s="209"/>
      <c r="BF15" s="209"/>
      <c r="BG15" s="209"/>
      <c r="BH15" s="209"/>
      <c r="BI15" s="209"/>
      <c r="BJ15" s="209"/>
      <c r="BK15" s="209"/>
      <c r="BL15" s="209"/>
      <c r="BM15" s="209"/>
      <c r="BN15" s="209"/>
      <c r="BO15" s="209"/>
      <c r="BP15" s="209"/>
      <c r="BQ15" s="209"/>
      <c r="BR15" s="209"/>
      <c r="BS15" s="209"/>
      <c r="BT15" s="209"/>
      <c r="BU15" s="209"/>
      <c r="BV15" s="209"/>
      <c r="BW15" s="209"/>
      <c r="BX15" s="209"/>
      <c r="BY15" s="209"/>
      <c r="BZ15" s="204"/>
      <c r="CA15" s="204"/>
      <c r="CB15" s="204"/>
      <c r="CC15" s="204"/>
      <c r="CD15" s="204"/>
      <c r="CE15" s="204"/>
      <c r="CF15" s="204"/>
      <c r="CG15" s="204"/>
      <c r="CH15" s="204"/>
      <c r="CI15" s="204"/>
      <c r="CJ15" s="204"/>
      <c r="CK15" s="204"/>
      <c r="CL15" s="204"/>
      <c r="CM15" s="204"/>
      <c r="CN15" s="204"/>
    </row>
    <row r="16" spans="1:92" ht="42">
      <c r="A16" s="279" t="s">
        <v>242</v>
      </c>
      <c r="B16" s="207">
        <v>102486</v>
      </c>
      <c r="C16" s="206" t="s">
        <v>241</v>
      </c>
      <c r="D16" s="205"/>
      <c r="E16" s="205"/>
      <c r="F16" s="205"/>
      <c r="G16" s="205"/>
      <c r="H16" s="205"/>
      <c r="I16" s="205"/>
      <c r="J16" s="205"/>
      <c r="K16" s="205"/>
      <c r="L16" s="205"/>
      <c r="M16" s="205"/>
      <c r="N16" s="205"/>
      <c r="O16" s="205"/>
      <c r="P16" s="205"/>
      <c r="Q16" s="205"/>
      <c r="R16" s="205"/>
      <c r="S16" s="205"/>
      <c r="T16" s="205"/>
      <c r="U16" s="205"/>
      <c r="V16" s="205"/>
      <c r="W16" s="205"/>
      <c r="X16" s="205"/>
      <c r="Y16" s="205"/>
      <c r="Z16" s="205"/>
      <c r="AA16" s="205"/>
      <c r="AB16" s="205"/>
      <c r="AC16" s="205"/>
      <c r="AD16" s="205"/>
      <c r="AE16" s="205"/>
      <c r="AF16" s="205"/>
      <c r="AG16" s="205"/>
      <c r="AH16" s="205"/>
      <c r="AI16" s="205"/>
      <c r="AJ16" s="205"/>
      <c r="AK16" s="205"/>
      <c r="AL16" s="205"/>
      <c r="AM16" s="205"/>
      <c r="AN16" s="205"/>
      <c r="AO16" s="205"/>
      <c r="AP16" s="205"/>
      <c r="AQ16" s="205"/>
      <c r="AR16" s="205"/>
      <c r="AS16" s="205"/>
      <c r="AT16" s="205"/>
      <c r="AU16" s="205"/>
      <c r="AV16" s="205"/>
      <c r="AW16" s="205"/>
      <c r="AX16" s="205"/>
      <c r="AY16" s="205"/>
      <c r="AZ16" s="205"/>
      <c r="BA16" s="205"/>
      <c r="BB16" s="205"/>
      <c r="BC16" s="205"/>
      <c r="BD16" s="205"/>
      <c r="BE16" s="205"/>
      <c r="BF16" s="205"/>
      <c r="BG16" s="205"/>
      <c r="BH16" s="205"/>
      <c r="BI16" s="205"/>
      <c r="BJ16" s="205"/>
      <c r="BK16" s="205"/>
      <c r="BL16" s="205"/>
      <c r="BM16" s="205"/>
      <c r="BN16" s="205"/>
      <c r="BO16" s="205"/>
      <c r="BP16" s="205"/>
      <c r="BQ16" s="205"/>
      <c r="BR16" s="205"/>
      <c r="BS16" s="205"/>
      <c r="BT16" s="205"/>
      <c r="BU16" s="205"/>
      <c r="BV16" s="205"/>
      <c r="BW16" s="205"/>
      <c r="BX16" s="205"/>
      <c r="BY16" s="205"/>
      <c r="BZ16" s="200">
        <v>0.8</v>
      </c>
      <c r="CA16" s="202">
        <f>TRUNC(BZ16*AK16,2)</f>
        <v>0</v>
      </c>
      <c r="CB16" s="201">
        <f>TRUNC(CA16*AL16)+0.1</f>
        <v>0.1</v>
      </c>
      <c r="CC16" s="200">
        <v>0.2</v>
      </c>
      <c r="CD16" s="202">
        <f>TRUNC(CC16*AK16,2)+0.01</f>
        <v>0.01</v>
      </c>
      <c r="CE16" s="201">
        <f>TRUNC(CD16*AL16)+1.78</f>
        <v>1.78</v>
      </c>
      <c r="CF16" s="200"/>
      <c r="CG16" s="202"/>
      <c r="CH16" s="201"/>
      <c r="CI16" s="201"/>
      <c r="CJ16" s="201"/>
      <c r="CK16" s="198">
        <f>TRUNC(AL16*CJ16)+0</f>
        <v>0</v>
      </c>
      <c r="CL16" s="200"/>
      <c r="CM16" s="199">
        <f>TRUNC(CL16*AK16,2)</f>
        <v>0</v>
      </c>
      <c r="CN16" s="198">
        <f>TRUNC(CM16*AL16)+0</f>
        <v>0</v>
      </c>
    </row>
    <row r="17" spans="1:92" ht="42">
      <c r="A17" s="279" t="s">
        <v>240</v>
      </c>
      <c r="B17" s="207">
        <v>94965</v>
      </c>
      <c r="C17" s="206" t="s">
        <v>239</v>
      </c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205"/>
      <c r="AC17" s="205"/>
      <c r="AD17" s="205"/>
      <c r="AE17" s="205"/>
      <c r="AF17" s="205"/>
      <c r="AG17" s="205"/>
      <c r="AH17" s="205"/>
      <c r="AI17" s="205"/>
      <c r="AJ17" s="205"/>
      <c r="AK17" s="205"/>
      <c r="AL17" s="205"/>
      <c r="AM17" s="205"/>
      <c r="AN17" s="205"/>
      <c r="AO17" s="205"/>
      <c r="AP17" s="205"/>
      <c r="AQ17" s="205"/>
      <c r="AR17" s="205"/>
      <c r="AS17" s="205"/>
      <c r="AT17" s="205"/>
      <c r="AU17" s="205"/>
      <c r="AV17" s="205"/>
      <c r="AW17" s="205"/>
      <c r="AX17" s="205"/>
      <c r="AY17" s="205"/>
      <c r="AZ17" s="205"/>
      <c r="BA17" s="205"/>
      <c r="BB17" s="205"/>
      <c r="BC17" s="205"/>
      <c r="BD17" s="205"/>
      <c r="BE17" s="205"/>
      <c r="BF17" s="205"/>
      <c r="BG17" s="205"/>
      <c r="BH17" s="205"/>
      <c r="BI17" s="205"/>
      <c r="BJ17" s="205"/>
      <c r="BK17" s="205"/>
      <c r="BL17" s="205"/>
      <c r="BM17" s="205"/>
      <c r="BN17" s="205"/>
      <c r="BO17" s="205"/>
      <c r="BP17" s="205"/>
      <c r="BQ17" s="205"/>
      <c r="BR17" s="205"/>
      <c r="BS17" s="205"/>
      <c r="BT17" s="205"/>
      <c r="BU17" s="205"/>
      <c r="BV17" s="205"/>
      <c r="BW17" s="205"/>
      <c r="BX17" s="205"/>
      <c r="BY17" s="205"/>
      <c r="BZ17" s="200">
        <v>0.8</v>
      </c>
      <c r="CA17" s="202">
        <f>TRUNC(BZ17*AK17,2)</f>
        <v>0</v>
      </c>
      <c r="CB17" s="201">
        <f>TRUNC(CA17*AL17)+0.05</f>
        <v>0.05</v>
      </c>
      <c r="CC17" s="200">
        <v>0.2</v>
      </c>
      <c r="CD17" s="202">
        <f>TRUNC(CC17*AK17,2)</f>
        <v>0</v>
      </c>
      <c r="CE17" s="201">
        <f>TRUNC(CD17*AL17)+0.52</f>
        <v>0.52</v>
      </c>
      <c r="CF17" s="200"/>
      <c r="CG17" s="202"/>
      <c r="CH17" s="201"/>
      <c r="CI17" s="201"/>
      <c r="CJ17" s="201"/>
      <c r="CK17" s="198">
        <f>TRUNC(AL17*CJ17)+0</f>
        <v>0</v>
      </c>
      <c r="CL17" s="200"/>
      <c r="CM17" s="199">
        <f>TRUNC(CL17*AK17,2)</f>
        <v>0</v>
      </c>
      <c r="CN17" s="198">
        <f>TRUNC(CM17*AL17)+0</f>
        <v>0</v>
      </c>
    </row>
    <row r="18" spans="1:92" ht="28">
      <c r="A18" s="279" t="s">
        <v>238</v>
      </c>
      <c r="B18" s="207">
        <v>96544</v>
      </c>
      <c r="C18" s="206" t="s">
        <v>237</v>
      </c>
      <c r="D18" s="205"/>
      <c r="E18" s="205"/>
      <c r="F18" s="205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205"/>
      <c r="AC18" s="205"/>
      <c r="AD18" s="205"/>
      <c r="AE18" s="205"/>
      <c r="AF18" s="205"/>
      <c r="AG18" s="205"/>
      <c r="AH18" s="205"/>
      <c r="AI18" s="205"/>
      <c r="AJ18" s="205"/>
      <c r="AK18" s="205"/>
      <c r="AL18" s="205"/>
      <c r="AM18" s="205"/>
      <c r="AN18" s="205"/>
      <c r="AO18" s="205"/>
      <c r="AP18" s="205"/>
      <c r="AQ18" s="205"/>
      <c r="AR18" s="205"/>
      <c r="AS18" s="205"/>
      <c r="AT18" s="205"/>
      <c r="AU18" s="205"/>
      <c r="AV18" s="205"/>
      <c r="AW18" s="205"/>
      <c r="AX18" s="205"/>
      <c r="AY18" s="205"/>
      <c r="AZ18" s="205"/>
      <c r="BA18" s="205"/>
      <c r="BB18" s="205"/>
      <c r="BC18" s="205"/>
      <c r="BD18" s="205"/>
      <c r="BE18" s="205"/>
      <c r="BF18" s="205"/>
      <c r="BG18" s="205"/>
      <c r="BH18" s="205"/>
      <c r="BI18" s="205"/>
      <c r="BJ18" s="205"/>
      <c r="BK18" s="205"/>
      <c r="BL18" s="205"/>
      <c r="BM18" s="205"/>
      <c r="BN18" s="205"/>
      <c r="BO18" s="205"/>
      <c r="BP18" s="205"/>
      <c r="BQ18" s="205"/>
      <c r="BR18" s="205"/>
      <c r="BS18" s="205"/>
      <c r="BT18" s="205"/>
      <c r="BU18" s="205"/>
      <c r="BV18" s="205"/>
      <c r="BW18" s="205"/>
      <c r="BX18" s="205"/>
      <c r="BY18" s="205"/>
      <c r="BZ18" s="200">
        <v>0.8</v>
      </c>
      <c r="CA18" s="202">
        <f>TRUNC(BZ18*AK18,2)</f>
        <v>0</v>
      </c>
      <c r="CB18" s="201">
        <f>TRUNC(CA18*AL18)+0.34</f>
        <v>0.34</v>
      </c>
      <c r="CC18" s="200">
        <v>0.2</v>
      </c>
      <c r="CD18" s="202">
        <f>TRUNC(CC18*AK18,2)</f>
        <v>0</v>
      </c>
      <c r="CE18" s="201">
        <f>TRUNC(CD18*AL18)+0.09</f>
        <v>0.09</v>
      </c>
      <c r="CF18" s="200"/>
      <c r="CG18" s="202"/>
      <c r="CH18" s="201"/>
      <c r="CI18" s="201"/>
      <c r="CJ18" s="201"/>
      <c r="CK18" s="198">
        <f>TRUNC(AL18*CJ18)+0</f>
        <v>0</v>
      </c>
      <c r="CL18" s="200"/>
      <c r="CM18" s="199">
        <f>TRUNC(CL18*AK18,2)</f>
        <v>0</v>
      </c>
      <c r="CN18" s="198">
        <f>TRUNC(CM18*AL18)+0</f>
        <v>0</v>
      </c>
    </row>
    <row r="19" spans="1:92" ht="28">
      <c r="A19" s="279" t="s">
        <v>236</v>
      </c>
      <c r="B19" s="214">
        <v>98545</v>
      </c>
      <c r="C19" s="206" t="s">
        <v>235</v>
      </c>
      <c r="D19" s="205"/>
      <c r="E19" s="205"/>
      <c r="F19" s="205"/>
      <c r="G19" s="205"/>
      <c r="H19" s="205"/>
      <c r="I19" s="205"/>
      <c r="J19" s="205"/>
      <c r="K19" s="205"/>
      <c r="L19" s="205"/>
      <c r="M19" s="205"/>
      <c r="N19" s="205"/>
      <c r="O19" s="205"/>
      <c r="P19" s="205"/>
      <c r="Q19" s="205"/>
      <c r="R19" s="205"/>
      <c r="S19" s="205"/>
      <c r="T19" s="205"/>
      <c r="U19" s="205"/>
      <c r="V19" s="205"/>
      <c r="W19" s="205"/>
      <c r="X19" s="205"/>
      <c r="Y19" s="205"/>
      <c r="Z19" s="205"/>
      <c r="AA19" s="205"/>
      <c r="AB19" s="205"/>
      <c r="AC19" s="205"/>
      <c r="AD19" s="205"/>
      <c r="AE19" s="205"/>
      <c r="AF19" s="205"/>
      <c r="AG19" s="205"/>
      <c r="AH19" s="205"/>
      <c r="AI19" s="205"/>
      <c r="AJ19" s="205"/>
      <c r="AK19" s="205"/>
      <c r="AL19" s="205"/>
      <c r="AM19" s="205"/>
      <c r="AN19" s="205"/>
      <c r="AO19" s="205"/>
      <c r="AP19" s="205"/>
      <c r="AQ19" s="205"/>
      <c r="AR19" s="205"/>
      <c r="AS19" s="205"/>
      <c r="AT19" s="205"/>
      <c r="AU19" s="205"/>
      <c r="AV19" s="205"/>
      <c r="AW19" s="205"/>
      <c r="AX19" s="205"/>
      <c r="AY19" s="205"/>
      <c r="AZ19" s="205"/>
      <c r="BA19" s="205"/>
      <c r="BB19" s="205"/>
      <c r="BC19" s="205"/>
      <c r="BD19" s="205"/>
      <c r="BE19" s="205"/>
      <c r="BF19" s="205"/>
      <c r="BG19" s="205"/>
      <c r="BH19" s="205"/>
      <c r="BI19" s="205"/>
      <c r="BJ19" s="205"/>
      <c r="BK19" s="205"/>
      <c r="BL19" s="205"/>
      <c r="BM19" s="205"/>
      <c r="BN19" s="205"/>
      <c r="BO19" s="205"/>
      <c r="BP19" s="205"/>
      <c r="BQ19" s="205"/>
      <c r="BR19" s="205"/>
      <c r="BS19" s="205"/>
      <c r="BT19" s="205"/>
      <c r="BU19" s="205"/>
      <c r="BV19" s="205"/>
      <c r="BW19" s="205"/>
      <c r="BX19" s="205"/>
      <c r="BY19" s="205"/>
      <c r="BZ19" s="200">
        <v>0.8</v>
      </c>
      <c r="CA19" s="202">
        <f>TRUNC(BZ19*AK19,2)</f>
        <v>0</v>
      </c>
      <c r="CB19" s="201">
        <f>TRUNC(CA19*AL19)+0.3</f>
        <v>0.3</v>
      </c>
      <c r="CC19" s="200">
        <v>0.2</v>
      </c>
      <c r="CD19" s="202">
        <f>TRUNC(CC19*AK19,2)</f>
        <v>0</v>
      </c>
      <c r="CE19" s="201">
        <f>TRUNC(CD19*AL19)+0.32</f>
        <v>0.32</v>
      </c>
      <c r="CF19" s="200"/>
      <c r="CG19" s="202"/>
      <c r="CH19" s="201"/>
      <c r="CI19" s="201"/>
      <c r="CJ19" s="201"/>
      <c r="CK19" s="198">
        <f>TRUNC(AL19*CJ19)+0</f>
        <v>0</v>
      </c>
      <c r="CL19" s="200"/>
      <c r="CM19" s="199">
        <f>TRUNC(CL19*AK19,2)</f>
        <v>0</v>
      </c>
      <c r="CN19" s="198">
        <f>TRUNC(CM19*AL19)+0</f>
        <v>0</v>
      </c>
    </row>
    <row r="20" spans="1:92" ht="28">
      <c r="A20" s="279" t="s">
        <v>234</v>
      </c>
      <c r="B20" s="214">
        <v>96543</v>
      </c>
      <c r="C20" s="206" t="s">
        <v>233</v>
      </c>
      <c r="D20" s="205"/>
      <c r="E20" s="205"/>
      <c r="F20" s="205"/>
      <c r="G20" s="205"/>
      <c r="H20" s="205"/>
      <c r="I20" s="205"/>
      <c r="J20" s="205"/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  <c r="AA20" s="205"/>
      <c r="AB20" s="205"/>
      <c r="AC20" s="205"/>
      <c r="AD20" s="205"/>
      <c r="AE20" s="205"/>
      <c r="AF20" s="205"/>
      <c r="AG20" s="205"/>
      <c r="AH20" s="205"/>
      <c r="AI20" s="205"/>
      <c r="AJ20" s="205"/>
      <c r="AK20" s="205"/>
      <c r="AL20" s="205"/>
      <c r="AM20" s="205"/>
      <c r="AN20" s="205"/>
      <c r="AO20" s="205"/>
      <c r="AP20" s="205"/>
      <c r="AQ20" s="205"/>
      <c r="AR20" s="205"/>
      <c r="AS20" s="205"/>
      <c r="AT20" s="205"/>
      <c r="AU20" s="205"/>
      <c r="AV20" s="205"/>
      <c r="AW20" s="205"/>
      <c r="AX20" s="205"/>
      <c r="AY20" s="205"/>
      <c r="AZ20" s="205"/>
      <c r="BA20" s="205"/>
      <c r="BB20" s="205"/>
      <c r="BC20" s="205"/>
      <c r="BD20" s="205"/>
      <c r="BE20" s="205"/>
      <c r="BF20" s="205"/>
      <c r="BG20" s="205"/>
      <c r="BH20" s="205"/>
      <c r="BI20" s="205"/>
      <c r="BJ20" s="205"/>
      <c r="BK20" s="205"/>
      <c r="BL20" s="205"/>
      <c r="BM20" s="205"/>
      <c r="BN20" s="205"/>
      <c r="BO20" s="205"/>
      <c r="BP20" s="205"/>
      <c r="BQ20" s="205"/>
      <c r="BR20" s="205"/>
      <c r="BS20" s="205"/>
      <c r="BT20" s="205"/>
      <c r="BU20" s="205"/>
      <c r="BV20" s="205"/>
      <c r="BW20" s="205"/>
      <c r="BX20" s="205"/>
      <c r="BY20" s="205"/>
      <c r="BZ20" s="200">
        <v>0.8</v>
      </c>
      <c r="CA20" s="202">
        <f>TRUNC(BZ20*AK20,2)</f>
        <v>0</v>
      </c>
      <c r="CB20" s="201">
        <f>TRUNC(CA20*AL20)+0.94</f>
        <v>0.94</v>
      </c>
      <c r="CC20" s="200">
        <v>0.2</v>
      </c>
      <c r="CD20" s="202">
        <f>TRUNC(CC20*AK20,2)</f>
        <v>0</v>
      </c>
      <c r="CE20" s="201">
        <f>TRUNC(CD20*AL20)+0.73</f>
        <v>0.73</v>
      </c>
      <c r="CF20" s="200"/>
      <c r="CG20" s="202"/>
      <c r="CH20" s="201"/>
      <c r="CI20" s="201"/>
      <c r="CJ20" s="201"/>
      <c r="CK20" s="198">
        <f>TRUNC(AL20*CJ20)+0</f>
        <v>0</v>
      </c>
      <c r="CL20" s="200"/>
      <c r="CM20" s="199">
        <f>TRUNC(CL20*AK20,2)</f>
        <v>0</v>
      </c>
      <c r="CN20" s="198">
        <f>TRUNC(CM20*AL20)+0</f>
        <v>0</v>
      </c>
    </row>
    <row r="21" spans="1:92" ht="28">
      <c r="A21" s="279" t="s">
        <v>232</v>
      </c>
      <c r="B21" s="207">
        <v>98557</v>
      </c>
      <c r="C21" s="206" t="s">
        <v>231</v>
      </c>
      <c r="D21" s="205"/>
      <c r="E21" s="205"/>
      <c r="F21" s="205"/>
      <c r="G21" s="205"/>
      <c r="H21" s="205"/>
      <c r="I21" s="205"/>
      <c r="J21" s="205"/>
      <c r="K21" s="205"/>
      <c r="L21" s="205"/>
      <c r="M21" s="205"/>
      <c r="N21" s="205"/>
      <c r="O21" s="205"/>
      <c r="P21" s="205"/>
      <c r="Q21" s="205"/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5"/>
      <c r="AK21" s="205"/>
      <c r="AL21" s="205"/>
      <c r="AM21" s="205"/>
      <c r="AN21" s="205"/>
      <c r="AO21" s="205"/>
      <c r="AP21" s="205"/>
      <c r="AQ21" s="205"/>
      <c r="AR21" s="205"/>
      <c r="AS21" s="205"/>
      <c r="AT21" s="205"/>
      <c r="AU21" s="205"/>
      <c r="AV21" s="205"/>
      <c r="AW21" s="205"/>
      <c r="AX21" s="205"/>
      <c r="AY21" s="205"/>
      <c r="AZ21" s="205"/>
      <c r="BA21" s="205"/>
      <c r="BB21" s="205"/>
      <c r="BC21" s="205"/>
      <c r="BD21" s="205"/>
      <c r="BE21" s="205"/>
      <c r="BF21" s="205"/>
      <c r="BG21" s="205"/>
      <c r="BH21" s="205"/>
      <c r="BI21" s="205"/>
      <c r="BJ21" s="205"/>
      <c r="BK21" s="205"/>
      <c r="BL21" s="205"/>
      <c r="BM21" s="205"/>
      <c r="BN21" s="205"/>
      <c r="BO21" s="205"/>
      <c r="BP21" s="205"/>
      <c r="BQ21" s="205"/>
      <c r="BR21" s="205"/>
      <c r="BS21" s="205"/>
      <c r="BT21" s="205"/>
      <c r="BU21" s="205"/>
      <c r="BV21" s="205"/>
      <c r="BW21" s="205"/>
      <c r="BX21" s="205"/>
      <c r="BY21" s="205"/>
      <c r="BZ21" s="200">
        <v>0.2</v>
      </c>
      <c r="CA21" s="202">
        <f>TRUNC(BZ21*AK21,2)</f>
        <v>0</v>
      </c>
      <c r="CB21" s="201">
        <f>TRUNC(CA21*AL21)+0.23</f>
        <v>0.23</v>
      </c>
      <c r="CC21" s="200">
        <v>0.8</v>
      </c>
      <c r="CD21" s="202">
        <f>TRUNC(CC21*AK21,2)</f>
        <v>0</v>
      </c>
      <c r="CE21" s="201">
        <f>TRUNC(CD21*AL21)+0.31</f>
        <v>0.31</v>
      </c>
      <c r="CF21" s="200"/>
      <c r="CG21" s="202"/>
      <c r="CH21" s="201"/>
      <c r="CI21" s="201"/>
      <c r="CJ21" s="201"/>
      <c r="CK21" s="198">
        <f>TRUNC(AL21*CJ21)+0</f>
        <v>0</v>
      </c>
      <c r="CL21" s="200"/>
      <c r="CM21" s="199">
        <f>TRUNC(CL21*AK21,2)</f>
        <v>0</v>
      </c>
      <c r="CN21" s="198">
        <f>TRUNC(CM21*AL21)+0</f>
        <v>0</v>
      </c>
    </row>
    <row r="22" spans="1:92" ht="20.149999999999999" customHeight="1">
      <c r="A22" s="210" t="s">
        <v>230</v>
      </c>
      <c r="B22" s="209" t="s">
        <v>229</v>
      </c>
      <c r="C22" s="209"/>
      <c r="D22" s="209"/>
      <c r="E22" s="209"/>
      <c r="F22" s="209"/>
      <c r="G22" s="209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09"/>
      <c r="W22" s="209"/>
      <c r="X22" s="209"/>
      <c r="Y22" s="209"/>
      <c r="Z22" s="209"/>
      <c r="AA22" s="209"/>
      <c r="AB22" s="209"/>
      <c r="AC22" s="209"/>
      <c r="AD22" s="209"/>
      <c r="AE22" s="209"/>
      <c r="AF22" s="209"/>
      <c r="AG22" s="209"/>
      <c r="AH22" s="209"/>
      <c r="AI22" s="209"/>
      <c r="AJ22" s="209"/>
      <c r="AK22" s="209"/>
      <c r="AL22" s="209"/>
      <c r="AM22" s="209"/>
      <c r="AN22" s="209"/>
      <c r="AO22" s="209"/>
      <c r="AP22" s="209"/>
      <c r="AQ22" s="209"/>
      <c r="AR22" s="209"/>
      <c r="AS22" s="209"/>
      <c r="AT22" s="209"/>
      <c r="AU22" s="209"/>
      <c r="AV22" s="209"/>
      <c r="AW22" s="209"/>
      <c r="AX22" s="209"/>
      <c r="AY22" s="209"/>
      <c r="AZ22" s="209"/>
      <c r="BA22" s="209"/>
      <c r="BB22" s="209"/>
      <c r="BC22" s="209"/>
      <c r="BD22" s="209"/>
      <c r="BE22" s="209"/>
      <c r="BF22" s="209"/>
      <c r="BG22" s="209"/>
      <c r="BH22" s="209"/>
      <c r="BI22" s="209"/>
      <c r="BJ22" s="209"/>
      <c r="BK22" s="209"/>
      <c r="BL22" s="209"/>
      <c r="BM22" s="209"/>
      <c r="BN22" s="209"/>
      <c r="BO22" s="209"/>
      <c r="BP22" s="209"/>
      <c r="BQ22" s="209"/>
      <c r="BR22" s="209"/>
      <c r="BS22" s="209"/>
      <c r="BT22" s="209"/>
      <c r="BU22" s="209"/>
      <c r="BV22" s="209"/>
      <c r="BW22" s="209"/>
      <c r="BX22" s="209"/>
      <c r="BY22" s="209"/>
      <c r="BZ22" s="204"/>
      <c r="CA22" s="204"/>
      <c r="CB22" s="204"/>
      <c r="CC22" s="204"/>
      <c r="CD22" s="204"/>
      <c r="CE22" s="204"/>
      <c r="CF22" s="204"/>
      <c r="CG22" s="204"/>
      <c r="CH22" s="204"/>
      <c r="CI22" s="204"/>
      <c r="CJ22" s="204"/>
      <c r="CK22" s="204"/>
      <c r="CL22" s="204"/>
      <c r="CM22" s="204"/>
      <c r="CN22" s="204"/>
    </row>
    <row r="23" spans="1:92" ht="20.149999999999999" customHeight="1">
      <c r="A23" s="210" t="s">
        <v>228</v>
      </c>
      <c r="B23" s="209" t="s">
        <v>227</v>
      </c>
      <c r="C23" s="209"/>
      <c r="D23" s="209"/>
      <c r="E23" s="209"/>
      <c r="F23" s="209"/>
      <c r="G23" s="209"/>
      <c r="H23" s="209"/>
      <c r="I23" s="209"/>
      <c r="J23" s="209"/>
      <c r="K23" s="209"/>
      <c r="L23" s="209"/>
      <c r="M23" s="209"/>
      <c r="N23" s="209"/>
      <c r="O23" s="209"/>
      <c r="P23" s="209"/>
      <c r="Q23" s="209"/>
      <c r="R23" s="209"/>
      <c r="S23" s="209"/>
      <c r="T23" s="209"/>
      <c r="U23" s="209"/>
      <c r="V23" s="209"/>
      <c r="W23" s="209"/>
      <c r="X23" s="209"/>
      <c r="Y23" s="209"/>
      <c r="Z23" s="209"/>
      <c r="AA23" s="209"/>
      <c r="AB23" s="209"/>
      <c r="AC23" s="209"/>
      <c r="AD23" s="209"/>
      <c r="AE23" s="209"/>
      <c r="AF23" s="209"/>
      <c r="AG23" s="209"/>
      <c r="AH23" s="209"/>
      <c r="AI23" s="209"/>
      <c r="AJ23" s="209"/>
      <c r="AK23" s="209"/>
      <c r="AL23" s="209"/>
      <c r="AM23" s="209"/>
      <c r="AN23" s="209"/>
      <c r="AO23" s="209"/>
      <c r="AP23" s="209"/>
      <c r="AQ23" s="209"/>
      <c r="AR23" s="209"/>
      <c r="AS23" s="209"/>
      <c r="AT23" s="209"/>
      <c r="AU23" s="209"/>
      <c r="AV23" s="209"/>
      <c r="AW23" s="209"/>
      <c r="AX23" s="209"/>
      <c r="AY23" s="209"/>
      <c r="AZ23" s="209"/>
      <c r="BA23" s="209"/>
      <c r="BB23" s="209"/>
      <c r="BC23" s="209"/>
      <c r="BD23" s="209"/>
      <c r="BE23" s="209"/>
      <c r="BF23" s="209"/>
      <c r="BG23" s="209"/>
      <c r="BH23" s="209"/>
      <c r="BI23" s="209"/>
      <c r="BJ23" s="209"/>
      <c r="BK23" s="209"/>
      <c r="BL23" s="209"/>
      <c r="BM23" s="209"/>
      <c r="BN23" s="209"/>
      <c r="BO23" s="209"/>
      <c r="BP23" s="209"/>
      <c r="BQ23" s="209"/>
      <c r="BR23" s="209"/>
      <c r="BS23" s="209"/>
      <c r="BT23" s="209"/>
      <c r="BU23" s="209"/>
      <c r="BV23" s="209"/>
      <c r="BW23" s="209"/>
      <c r="BX23" s="209"/>
      <c r="BY23" s="209"/>
      <c r="BZ23" s="204"/>
      <c r="CA23" s="204"/>
      <c r="CB23" s="204"/>
      <c r="CC23" s="204"/>
      <c r="CD23" s="204"/>
      <c r="CE23" s="204"/>
      <c r="CF23" s="204"/>
      <c r="CG23" s="204"/>
      <c r="CH23" s="204"/>
      <c r="CI23" s="204"/>
      <c r="CJ23" s="204"/>
      <c r="CK23" s="204"/>
      <c r="CL23" s="204"/>
      <c r="CM23" s="204"/>
      <c r="CN23" s="204"/>
    </row>
    <row r="24" spans="1:92" ht="42">
      <c r="A24" s="208" t="s">
        <v>226</v>
      </c>
      <c r="B24" s="213">
        <v>102476</v>
      </c>
      <c r="C24" s="206" t="s">
        <v>225</v>
      </c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205"/>
      <c r="AG24" s="205"/>
      <c r="AH24" s="205"/>
      <c r="AI24" s="205"/>
      <c r="AJ24" s="205"/>
      <c r="AK24" s="205"/>
      <c r="AL24" s="205"/>
      <c r="AM24" s="205"/>
      <c r="AN24" s="205"/>
      <c r="AO24" s="205"/>
      <c r="AP24" s="205"/>
      <c r="AQ24" s="205"/>
      <c r="AR24" s="205"/>
      <c r="AS24" s="205"/>
      <c r="AT24" s="205"/>
      <c r="AU24" s="205"/>
      <c r="AV24" s="205"/>
      <c r="AW24" s="205"/>
      <c r="AX24" s="205"/>
      <c r="AY24" s="205"/>
      <c r="AZ24" s="205"/>
      <c r="BA24" s="205"/>
      <c r="BB24" s="205"/>
      <c r="BC24" s="205"/>
      <c r="BD24" s="205"/>
      <c r="BE24" s="205"/>
      <c r="BF24" s="205"/>
      <c r="BG24" s="205"/>
      <c r="BH24" s="205"/>
      <c r="BI24" s="205"/>
      <c r="BJ24" s="205"/>
      <c r="BK24" s="205"/>
      <c r="BL24" s="205"/>
      <c r="BM24" s="205"/>
      <c r="BN24" s="205"/>
      <c r="BO24" s="205"/>
      <c r="BP24" s="205"/>
      <c r="BQ24" s="205"/>
      <c r="BR24" s="205"/>
      <c r="BS24" s="205"/>
      <c r="BT24" s="205"/>
      <c r="BU24" s="205"/>
      <c r="BV24" s="205"/>
      <c r="BW24" s="205"/>
      <c r="BX24" s="205"/>
      <c r="BY24" s="205"/>
      <c r="BZ24" s="200">
        <v>0.5</v>
      </c>
      <c r="CA24" s="202">
        <f>TRUNC(BZ24*AK24,2)</f>
        <v>0</v>
      </c>
      <c r="CB24" s="201">
        <f>TRUNC(CA24*AL24)+0.73</f>
        <v>0.73</v>
      </c>
      <c r="CC24" s="200">
        <v>0.4</v>
      </c>
      <c r="CD24" s="202">
        <f>TRUNC(CC24*AK24,2)</f>
        <v>0</v>
      </c>
      <c r="CE24" s="201">
        <f>TRUNC(CD24*AL24)+0.78</f>
        <v>0.78</v>
      </c>
      <c r="CF24" s="200">
        <v>0.1</v>
      </c>
      <c r="CG24" s="202">
        <f>TRUNC(CF24*AK24,2)</f>
        <v>0</v>
      </c>
      <c r="CH24" s="201">
        <f>TRUNC(CG24*AL24)</f>
        <v>0</v>
      </c>
      <c r="CI24" s="201"/>
      <c r="CJ24" s="201"/>
      <c r="CK24" s="198">
        <f>TRUNC(AL24*CJ24)+0</f>
        <v>0</v>
      </c>
      <c r="CL24" s="200"/>
      <c r="CM24" s="199">
        <f>TRUNC(CL24*AK24,2)</f>
        <v>0</v>
      </c>
      <c r="CN24" s="198">
        <f>TRUNC(CM24*AL24)+0</f>
        <v>0</v>
      </c>
    </row>
    <row r="25" spans="1:92" ht="28">
      <c r="A25" s="208" t="s">
        <v>224</v>
      </c>
      <c r="B25" s="213">
        <v>96546</v>
      </c>
      <c r="C25" s="206" t="s">
        <v>223</v>
      </c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  <c r="AQ25" s="205"/>
      <c r="AR25" s="205"/>
      <c r="AS25" s="205"/>
      <c r="AT25" s="205"/>
      <c r="AU25" s="205"/>
      <c r="AV25" s="205"/>
      <c r="AW25" s="205"/>
      <c r="AX25" s="205"/>
      <c r="AY25" s="205"/>
      <c r="AZ25" s="205"/>
      <c r="BA25" s="205"/>
      <c r="BB25" s="205"/>
      <c r="BC25" s="205"/>
      <c r="BD25" s="205"/>
      <c r="BE25" s="205"/>
      <c r="BF25" s="205"/>
      <c r="BG25" s="205"/>
      <c r="BH25" s="205"/>
      <c r="BI25" s="205"/>
      <c r="BJ25" s="205"/>
      <c r="BK25" s="205"/>
      <c r="BL25" s="205"/>
      <c r="BM25" s="205"/>
      <c r="BN25" s="205"/>
      <c r="BO25" s="205"/>
      <c r="BP25" s="205"/>
      <c r="BQ25" s="205"/>
      <c r="BR25" s="205"/>
      <c r="BS25" s="205"/>
      <c r="BT25" s="205"/>
      <c r="BU25" s="205"/>
      <c r="BV25" s="205"/>
      <c r="BW25" s="205"/>
      <c r="BX25" s="205"/>
      <c r="BY25" s="205"/>
      <c r="BZ25" s="200">
        <v>0.5</v>
      </c>
      <c r="CA25" s="202">
        <f>TRUNC(BZ25*AK25,2)</f>
        <v>0</v>
      </c>
      <c r="CB25" s="201">
        <f>TRUNC(CA25*AL25)+0.34</f>
        <v>0.34</v>
      </c>
      <c r="CC25" s="200">
        <v>0.4</v>
      </c>
      <c r="CD25" s="202">
        <f>TRUNC(CC25*AK25,2)</f>
        <v>0</v>
      </c>
      <c r="CE25" s="201">
        <f>TRUNC(CD25*AL25)+0.47</f>
        <v>0.47</v>
      </c>
      <c r="CF25" s="200">
        <v>0.1</v>
      </c>
      <c r="CG25" s="202">
        <f>TRUNC(CF25*AK25,2)</f>
        <v>0</v>
      </c>
      <c r="CH25" s="201">
        <f>TRUNC(CG25*AL25)</f>
        <v>0</v>
      </c>
      <c r="CI25" s="201"/>
      <c r="CJ25" s="201"/>
      <c r="CK25" s="198">
        <f>TRUNC(AL25*CJ25)+0</f>
        <v>0</v>
      </c>
      <c r="CL25" s="200"/>
      <c r="CM25" s="199">
        <f>TRUNC(CL25*AK25,2)</f>
        <v>0</v>
      </c>
      <c r="CN25" s="198">
        <f>TRUNC(CM25*AL25)+0</f>
        <v>0</v>
      </c>
    </row>
    <row r="26" spans="1:92" ht="28">
      <c r="A26" s="208" t="s">
        <v>222</v>
      </c>
      <c r="B26" s="213">
        <v>98543</v>
      </c>
      <c r="C26" s="206" t="s">
        <v>221</v>
      </c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5"/>
      <c r="AP26" s="205"/>
      <c r="AQ26" s="205"/>
      <c r="AR26" s="205"/>
      <c r="AS26" s="205"/>
      <c r="AT26" s="205"/>
      <c r="AU26" s="205"/>
      <c r="AV26" s="205"/>
      <c r="AW26" s="205"/>
      <c r="AX26" s="205"/>
      <c r="AY26" s="205"/>
      <c r="AZ26" s="205"/>
      <c r="BA26" s="205"/>
      <c r="BB26" s="205"/>
      <c r="BC26" s="205"/>
      <c r="BD26" s="205"/>
      <c r="BE26" s="205"/>
      <c r="BF26" s="205"/>
      <c r="BG26" s="205"/>
      <c r="BH26" s="205"/>
      <c r="BI26" s="205"/>
      <c r="BJ26" s="205"/>
      <c r="BK26" s="205"/>
      <c r="BL26" s="205"/>
      <c r="BM26" s="205"/>
      <c r="BN26" s="205"/>
      <c r="BO26" s="205"/>
      <c r="BP26" s="205"/>
      <c r="BQ26" s="205"/>
      <c r="BR26" s="205"/>
      <c r="BS26" s="205"/>
      <c r="BT26" s="205"/>
      <c r="BU26" s="205"/>
      <c r="BV26" s="205"/>
      <c r="BW26" s="205"/>
      <c r="BX26" s="205"/>
      <c r="BY26" s="205"/>
      <c r="BZ26" s="200">
        <v>1</v>
      </c>
      <c r="CA26" s="202">
        <f>TRUNC(BZ26*AK26,2)</f>
        <v>0</v>
      </c>
      <c r="CB26" s="201">
        <f>TRUNC(CA26*AL26)+0.95</f>
        <v>0.95</v>
      </c>
      <c r="CC26" s="200"/>
      <c r="CD26" s="202"/>
      <c r="CE26" s="201"/>
      <c r="CF26" s="200"/>
      <c r="CG26" s="202">
        <f>TRUNC(CF26*AK26,2)</f>
        <v>0</v>
      </c>
      <c r="CH26" s="201">
        <f>TRUNC(CG26*AL26)</f>
        <v>0</v>
      </c>
      <c r="CI26" s="201"/>
      <c r="CJ26" s="201"/>
      <c r="CK26" s="198">
        <f>TRUNC(AL26*CJ26)+0</f>
        <v>0</v>
      </c>
      <c r="CL26" s="200"/>
      <c r="CM26" s="199">
        <f>TRUNC(CL26*AK26,2)</f>
        <v>0</v>
      </c>
      <c r="CN26" s="198">
        <f>TRUNC(CM26*AL26)+0</f>
        <v>0</v>
      </c>
    </row>
    <row r="27" spans="1:92" ht="28">
      <c r="A27" s="208" t="s">
        <v>220</v>
      </c>
      <c r="B27" s="213">
        <v>96545</v>
      </c>
      <c r="C27" s="206" t="s">
        <v>219</v>
      </c>
      <c r="D27" s="205"/>
      <c r="E27" s="205"/>
      <c r="F27" s="205"/>
      <c r="G27" s="205"/>
      <c r="H27" s="205"/>
      <c r="I27" s="205"/>
      <c r="J27" s="205"/>
      <c r="K27" s="205"/>
      <c r="L27" s="205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205"/>
      <c r="AO27" s="205"/>
      <c r="AP27" s="205"/>
      <c r="AQ27" s="205"/>
      <c r="AR27" s="205"/>
      <c r="AS27" s="205"/>
      <c r="AT27" s="205"/>
      <c r="AU27" s="205"/>
      <c r="AV27" s="205"/>
      <c r="AW27" s="205"/>
      <c r="AX27" s="205"/>
      <c r="AY27" s="205"/>
      <c r="AZ27" s="205"/>
      <c r="BA27" s="205"/>
      <c r="BB27" s="205"/>
      <c r="BC27" s="205"/>
      <c r="BD27" s="205"/>
      <c r="BE27" s="205"/>
      <c r="BF27" s="205"/>
      <c r="BG27" s="205"/>
      <c r="BH27" s="205"/>
      <c r="BI27" s="205"/>
      <c r="BJ27" s="205"/>
      <c r="BK27" s="205"/>
      <c r="BL27" s="205"/>
      <c r="BM27" s="205"/>
      <c r="BN27" s="205"/>
      <c r="BO27" s="205"/>
      <c r="BP27" s="205"/>
      <c r="BQ27" s="205"/>
      <c r="BR27" s="205"/>
      <c r="BS27" s="205"/>
      <c r="BT27" s="205"/>
      <c r="BU27" s="205"/>
      <c r="BV27" s="205"/>
      <c r="BW27" s="205"/>
      <c r="BX27" s="205"/>
      <c r="BY27" s="205"/>
      <c r="BZ27" s="200">
        <v>1</v>
      </c>
      <c r="CA27" s="202">
        <f>TRUNC(BZ27*AK27,2)</f>
        <v>0</v>
      </c>
      <c r="CB27" s="201">
        <f>TRUNC(CA27*AL27)+0.34</f>
        <v>0.34</v>
      </c>
      <c r="CC27" s="200"/>
      <c r="CD27" s="202"/>
      <c r="CE27" s="201"/>
      <c r="CF27" s="200"/>
      <c r="CG27" s="202">
        <f>TRUNC(CF27*AK27,2)</f>
        <v>0</v>
      </c>
      <c r="CH27" s="201">
        <f>TRUNC(CG27*AL27)</f>
        <v>0</v>
      </c>
      <c r="CI27" s="201"/>
      <c r="CJ27" s="201"/>
      <c r="CK27" s="198">
        <f>TRUNC(AL27*CJ27)+0</f>
        <v>0</v>
      </c>
      <c r="CL27" s="200"/>
      <c r="CM27" s="199">
        <f>TRUNC(CL27*AK27,2)</f>
        <v>0</v>
      </c>
      <c r="CN27" s="198">
        <f>TRUNC(CM27*AL27)+0</f>
        <v>0</v>
      </c>
    </row>
    <row r="28" spans="1:92" ht="42">
      <c r="A28" s="208" t="s">
        <v>218</v>
      </c>
      <c r="B28" s="213">
        <v>96547</v>
      </c>
      <c r="C28" s="206" t="s">
        <v>217</v>
      </c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  <c r="AN28" s="205"/>
      <c r="AO28" s="205"/>
      <c r="AP28" s="205"/>
      <c r="AQ28" s="205"/>
      <c r="AR28" s="205"/>
      <c r="AS28" s="205"/>
      <c r="AT28" s="205"/>
      <c r="AU28" s="205"/>
      <c r="AV28" s="205"/>
      <c r="AW28" s="205"/>
      <c r="AX28" s="205"/>
      <c r="AY28" s="205"/>
      <c r="AZ28" s="205"/>
      <c r="BA28" s="205"/>
      <c r="BB28" s="205"/>
      <c r="BC28" s="205"/>
      <c r="BD28" s="205"/>
      <c r="BE28" s="205"/>
      <c r="BF28" s="205"/>
      <c r="BG28" s="205"/>
      <c r="BH28" s="205"/>
      <c r="BI28" s="205"/>
      <c r="BJ28" s="205"/>
      <c r="BK28" s="205"/>
      <c r="BL28" s="205"/>
      <c r="BM28" s="205"/>
      <c r="BN28" s="205"/>
      <c r="BO28" s="205"/>
      <c r="BP28" s="205"/>
      <c r="BQ28" s="205"/>
      <c r="BR28" s="205"/>
      <c r="BS28" s="205"/>
      <c r="BT28" s="205"/>
      <c r="BU28" s="205"/>
      <c r="BV28" s="205"/>
      <c r="BW28" s="205"/>
      <c r="BX28" s="205"/>
      <c r="BY28" s="205"/>
      <c r="BZ28" s="200">
        <v>1</v>
      </c>
      <c r="CA28" s="202">
        <f>TRUNC(BZ28*AK28,2)</f>
        <v>0</v>
      </c>
      <c r="CB28" s="201">
        <f>TRUNC(CA28*AL28)+0.25</f>
        <v>0.25</v>
      </c>
      <c r="CC28" s="200"/>
      <c r="CD28" s="202"/>
      <c r="CE28" s="201"/>
      <c r="CF28" s="200"/>
      <c r="CG28" s="202">
        <f>TRUNC(CF28*AK28,2)</f>
        <v>0</v>
      </c>
      <c r="CH28" s="201">
        <f>TRUNC(CG28*AL28)</f>
        <v>0</v>
      </c>
      <c r="CI28" s="201"/>
      <c r="CJ28" s="201"/>
      <c r="CK28" s="198">
        <f>TRUNC(AL28*CJ28)+0</f>
        <v>0</v>
      </c>
      <c r="CL28" s="200"/>
      <c r="CM28" s="199">
        <f>TRUNC(CL28*AK28,2)</f>
        <v>0</v>
      </c>
      <c r="CN28" s="198">
        <f>TRUNC(CM28*AL28)+0</f>
        <v>0</v>
      </c>
    </row>
    <row r="29" spans="1:92" ht="56">
      <c r="A29" s="208" t="s">
        <v>216</v>
      </c>
      <c r="B29" s="213">
        <v>103795</v>
      </c>
      <c r="C29" s="206" t="s">
        <v>215</v>
      </c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  <c r="AP29" s="205"/>
      <c r="AQ29" s="205"/>
      <c r="AR29" s="205"/>
      <c r="AS29" s="205"/>
      <c r="AT29" s="205"/>
      <c r="AU29" s="205"/>
      <c r="AV29" s="205"/>
      <c r="AW29" s="205"/>
      <c r="AX29" s="205"/>
      <c r="AY29" s="205"/>
      <c r="AZ29" s="205"/>
      <c r="BA29" s="205"/>
      <c r="BB29" s="205"/>
      <c r="BC29" s="205"/>
      <c r="BD29" s="205"/>
      <c r="BE29" s="205"/>
      <c r="BF29" s="205"/>
      <c r="BG29" s="205"/>
      <c r="BH29" s="205"/>
      <c r="BI29" s="205"/>
      <c r="BJ29" s="205"/>
      <c r="BK29" s="205"/>
      <c r="BL29" s="205"/>
      <c r="BM29" s="205"/>
      <c r="BN29" s="205"/>
      <c r="BO29" s="205"/>
      <c r="BP29" s="205"/>
      <c r="BQ29" s="205"/>
      <c r="BR29" s="205"/>
      <c r="BS29" s="205"/>
      <c r="BT29" s="205"/>
      <c r="BU29" s="205"/>
      <c r="BV29" s="205"/>
      <c r="BW29" s="205"/>
      <c r="BX29" s="205"/>
      <c r="BY29" s="205"/>
      <c r="BZ29" s="200">
        <v>0.5</v>
      </c>
      <c r="CA29" s="202">
        <f>TRUNC(BZ29*AK29,2)</f>
        <v>0</v>
      </c>
      <c r="CB29" s="201">
        <f>TRUNC(CA29*AL29)+1.32</f>
        <v>1.32</v>
      </c>
      <c r="CC29" s="200">
        <v>0.5</v>
      </c>
      <c r="CD29" s="202">
        <f>TRUNC(CC29*AK29,2)</f>
        <v>0</v>
      </c>
      <c r="CE29" s="201">
        <f>TRUNC(CD29*AL29)+1.32</f>
        <v>1.32</v>
      </c>
      <c r="CF29" s="200">
        <v>0.1</v>
      </c>
      <c r="CG29" s="202">
        <f>TRUNC(CF29*AK29,2)</f>
        <v>0</v>
      </c>
      <c r="CH29" s="201">
        <f>TRUNC(CG29*AL29)</f>
        <v>0</v>
      </c>
      <c r="CI29" s="201"/>
      <c r="CJ29" s="201">
        <v>-22.76</v>
      </c>
      <c r="CK29" s="198">
        <f>TRUNC(AL29*CJ29)+0</f>
        <v>0</v>
      </c>
      <c r="CL29" s="284">
        <v>-0.1</v>
      </c>
      <c r="CM29" s="282">
        <f>TRUNC(CL29*AK29,2)</f>
        <v>0</v>
      </c>
      <c r="CN29" s="281"/>
    </row>
    <row r="30" spans="1:92" ht="20.149999999999999" customHeight="1">
      <c r="A30" s="210" t="s">
        <v>214</v>
      </c>
      <c r="B30" s="209" t="s">
        <v>213</v>
      </c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09"/>
      <c r="Q30" s="209"/>
      <c r="R30" s="209"/>
      <c r="S30" s="209"/>
      <c r="T30" s="209"/>
      <c r="U30" s="209"/>
      <c r="V30" s="209"/>
      <c r="W30" s="209"/>
      <c r="X30" s="209"/>
      <c r="Y30" s="209"/>
      <c r="Z30" s="209"/>
      <c r="AA30" s="209"/>
      <c r="AB30" s="209"/>
      <c r="AC30" s="209"/>
      <c r="AD30" s="209"/>
      <c r="AE30" s="209"/>
      <c r="AF30" s="209"/>
      <c r="AG30" s="209"/>
      <c r="AH30" s="209"/>
      <c r="AI30" s="209"/>
      <c r="AJ30" s="209"/>
      <c r="AK30" s="209"/>
      <c r="AL30" s="209"/>
      <c r="AM30" s="209"/>
      <c r="AN30" s="209"/>
      <c r="AO30" s="209"/>
      <c r="AP30" s="209"/>
      <c r="AQ30" s="209"/>
      <c r="AR30" s="209"/>
      <c r="AS30" s="209"/>
      <c r="AT30" s="209"/>
      <c r="AU30" s="209"/>
      <c r="AV30" s="209"/>
      <c r="AW30" s="209"/>
      <c r="AX30" s="209"/>
      <c r="AY30" s="209"/>
      <c r="AZ30" s="209"/>
      <c r="BA30" s="209"/>
      <c r="BB30" s="209"/>
      <c r="BC30" s="209"/>
      <c r="BD30" s="209"/>
      <c r="BE30" s="209"/>
      <c r="BF30" s="209"/>
      <c r="BG30" s="209"/>
      <c r="BH30" s="209"/>
      <c r="BI30" s="209"/>
      <c r="BJ30" s="209"/>
      <c r="BK30" s="209"/>
      <c r="BL30" s="209"/>
      <c r="BM30" s="209"/>
      <c r="BN30" s="209"/>
      <c r="BO30" s="209"/>
      <c r="BP30" s="209"/>
      <c r="BQ30" s="209"/>
      <c r="BR30" s="209"/>
      <c r="BS30" s="209"/>
      <c r="BT30" s="209"/>
      <c r="BU30" s="209"/>
      <c r="BV30" s="209"/>
      <c r="BW30" s="209"/>
      <c r="BX30" s="209"/>
      <c r="BY30" s="209"/>
      <c r="BZ30" s="204"/>
      <c r="CA30" s="204"/>
      <c r="CB30" s="204"/>
      <c r="CC30" s="204"/>
      <c r="CD30" s="204"/>
      <c r="CE30" s="204"/>
      <c r="CF30" s="204"/>
      <c r="CG30" s="204"/>
      <c r="CH30" s="204"/>
      <c r="CI30" s="204"/>
      <c r="CJ30" s="204"/>
      <c r="CK30" s="204"/>
      <c r="CL30" s="204"/>
      <c r="CM30" s="204"/>
      <c r="CN30" s="204"/>
    </row>
    <row r="31" spans="1:92" ht="42">
      <c r="A31" s="208" t="s">
        <v>212</v>
      </c>
      <c r="B31" s="207">
        <v>102476</v>
      </c>
      <c r="C31" s="206" t="s">
        <v>211</v>
      </c>
      <c r="D31" s="205"/>
      <c r="E31" s="205"/>
      <c r="F31" s="205"/>
      <c r="G31" s="205"/>
      <c r="H31" s="205"/>
      <c r="I31" s="205"/>
      <c r="J31" s="205"/>
      <c r="K31" s="205"/>
      <c r="L31" s="205"/>
      <c r="M31" s="205"/>
      <c r="N31" s="205"/>
      <c r="O31" s="205"/>
      <c r="P31" s="205"/>
      <c r="Q31" s="205"/>
      <c r="R31" s="205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  <c r="AC31" s="205"/>
      <c r="AD31" s="205"/>
      <c r="AE31" s="205"/>
      <c r="AF31" s="205"/>
      <c r="AG31" s="205"/>
      <c r="AH31" s="205"/>
      <c r="AI31" s="205"/>
      <c r="AJ31" s="205"/>
      <c r="AK31" s="205"/>
      <c r="AL31" s="205"/>
      <c r="AM31" s="205"/>
      <c r="AN31" s="205"/>
      <c r="AO31" s="205"/>
      <c r="AP31" s="205"/>
      <c r="AQ31" s="205"/>
      <c r="AR31" s="205"/>
      <c r="AS31" s="205"/>
      <c r="AT31" s="205"/>
      <c r="AU31" s="205"/>
      <c r="AV31" s="205"/>
      <c r="AW31" s="205"/>
      <c r="AX31" s="205"/>
      <c r="AY31" s="205"/>
      <c r="AZ31" s="205"/>
      <c r="BA31" s="205"/>
      <c r="BB31" s="205"/>
      <c r="BC31" s="205"/>
      <c r="BD31" s="205"/>
      <c r="BE31" s="205"/>
      <c r="BF31" s="205"/>
      <c r="BG31" s="205"/>
      <c r="BH31" s="205"/>
      <c r="BI31" s="205"/>
      <c r="BJ31" s="205"/>
      <c r="BK31" s="205"/>
      <c r="BL31" s="205"/>
      <c r="BM31" s="205"/>
      <c r="BN31" s="205"/>
      <c r="BO31" s="205"/>
      <c r="BP31" s="205"/>
      <c r="BQ31" s="205"/>
      <c r="BR31" s="205"/>
      <c r="BS31" s="205"/>
      <c r="BT31" s="205"/>
      <c r="BU31" s="205"/>
      <c r="BV31" s="205"/>
      <c r="BW31" s="205"/>
      <c r="BX31" s="205"/>
      <c r="BY31" s="205"/>
      <c r="BZ31" s="200"/>
      <c r="CA31" s="202"/>
      <c r="CB31" s="201"/>
      <c r="CC31" s="200">
        <v>0.4</v>
      </c>
      <c r="CD31" s="202">
        <f>TRUNC(CC31*AK31,2)</f>
        <v>0</v>
      </c>
      <c r="CE31" s="201">
        <f>TRUNC(CD31*AL31)+3.13</f>
        <v>3.13</v>
      </c>
      <c r="CF31" s="200">
        <v>0.6</v>
      </c>
      <c r="CG31" s="202">
        <f>TRUNC(CF31*AK31,2)</f>
        <v>0</v>
      </c>
      <c r="CH31" s="201">
        <f>TRUNC(CG31*AL31)</f>
        <v>0</v>
      </c>
      <c r="CI31" s="201"/>
      <c r="CJ31" s="201"/>
      <c r="CK31" s="198">
        <f>TRUNC(AL31*CJ31)+0</f>
        <v>0</v>
      </c>
      <c r="CL31" s="200"/>
      <c r="CM31" s="199">
        <f>TRUNC(CL31*AK31,2)</f>
        <v>0</v>
      </c>
      <c r="CN31" s="198">
        <f>TRUNC(CM31*AL31)+0</f>
        <v>0</v>
      </c>
    </row>
    <row r="32" spans="1:92" ht="42">
      <c r="A32" s="208" t="s">
        <v>210</v>
      </c>
      <c r="B32" s="207">
        <v>92760</v>
      </c>
      <c r="C32" s="206" t="s">
        <v>209</v>
      </c>
      <c r="D32" s="205"/>
      <c r="E32" s="205"/>
      <c r="F32" s="205"/>
      <c r="G32" s="205"/>
      <c r="H32" s="205"/>
      <c r="I32" s="205"/>
      <c r="J32" s="205"/>
      <c r="K32" s="205"/>
      <c r="L32" s="205"/>
      <c r="M32" s="205"/>
      <c r="N32" s="205"/>
      <c r="O32" s="205"/>
      <c r="P32" s="205"/>
      <c r="Q32" s="205"/>
      <c r="R32" s="205"/>
      <c r="S32" s="205"/>
      <c r="T32" s="205"/>
      <c r="U32" s="205"/>
      <c r="V32" s="205"/>
      <c r="W32" s="205"/>
      <c r="X32" s="205"/>
      <c r="Y32" s="205"/>
      <c r="Z32" s="205"/>
      <c r="AA32" s="205"/>
      <c r="AB32" s="205"/>
      <c r="AC32" s="205"/>
      <c r="AD32" s="205"/>
      <c r="AE32" s="205"/>
      <c r="AF32" s="205"/>
      <c r="AG32" s="205"/>
      <c r="AH32" s="205"/>
      <c r="AI32" s="205"/>
      <c r="AJ32" s="205"/>
      <c r="AK32" s="205"/>
      <c r="AL32" s="205"/>
      <c r="AM32" s="205"/>
      <c r="AN32" s="205"/>
      <c r="AO32" s="205"/>
      <c r="AP32" s="205"/>
      <c r="AQ32" s="205"/>
      <c r="AR32" s="205"/>
      <c r="AS32" s="205"/>
      <c r="AT32" s="205"/>
      <c r="AU32" s="205"/>
      <c r="AV32" s="205"/>
      <c r="AW32" s="205"/>
      <c r="AX32" s="205"/>
      <c r="AY32" s="205"/>
      <c r="AZ32" s="205"/>
      <c r="BA32" s="205"/>
      <c r="BB32" s="205"/>
      <c r="BC32" s="205"/>
      <c r="BD32" s="205"/>
      <c r="BE32" s="205"/>
      <c r="BF32" s="205"/>
      <c r="BG32" s="205"/>
      <c r="BH32" s="205"/>
      <c r="BI32" s="205"/>
      <c r="BJ32" s="205"/>
      <c r="BK32" s="205"/>
      <c r="BL32" s="205"/>
      <c r="BM32" s="205"/>
      <c r="BN32" s="205"/>
      <c r="BO32" s="205"/>
      <c r="BP32" s="205"/>
      <c r="BQ32" s="205"/>
      <c r="BR32" s="205"/>
      <c r="BS32" s="205"/>
      <c r="BT32" s="205"/>
      <c r="BU32" s="205"/>
      <c r="BV32" s="205"/>
      <c r="BW32" s="205"/>
      <c r="BX32" s="205"/>
      <c r="BY32" s="205"/>
      <c r="BZ32" s="200"/>
      <c r="CA32" s="202"/>
      <c r="CB32" s="201"/>
      <c r="CC32" s="200">
        <v>0.8</v>
      </c>
      <c r="CD32" s="202">
        <f>TRUNC(CC32*AK32,2)</f>
        <v>0</v>
      </c>
      <c r="CE32" s="201">
        <f>TRUNC(CD32*AL32)+0.82</f>
        <v>0.82</v>
      </c>
      <c r="CF32" s="200">
        <v>0.2</v>
      </c>
      <c r="CG32" s="202">
        <f>TRUNC(CF32*AK32,2)</f>
        <v>0</v>
      </c>
      <c r="CH32" s="201">
        <f>TRUNC(CG32*AL32)</f>
        <v>0</v>
      </c>
      <c r="CI32" s="201"/>
      <c r="CJ32" s="201"/>
      <c r="CK32" s="198">
        <f>TRUNC(AL32*CJ32)+0</f>
        <v>0</v>
      </c>
      <c r="CL32" s="200"/>
      <c r="CM32" s="199">
        <f>TRUNC(CL32*AK32,2)</f>
        <v>0</v>
      </c>
      <c r="CN32" s="198">
        <f>TRUNC(CM32*AL32)+0</f>
        <v>0</v>
      </c>
    </row>
    <row r="33" spans="1:92" ht="42">
      <c r="A33" s="208" t="s">
        <v>208</v>
      </c>
      <c r="B33" s="207">
        <v>92761</v>
      </c>
      <c r="C33" s="206" t="s">
        <v>207</v>
      </c>
      <c r="D33" s="205"/>
      <c r="E33" s="205"/>
      <c r="F33" s="205"/>
      <c r="G33" s="205"/>
      <c r="H33" s="205"/>
      <c r="I33" s="205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5"/>
      <c r="X33" s="205"/>
      <c r="Y33" s="205"/>
      <c r="Z33" s="205"/>
      <c r="AA33" s="205"/>
      <c r="AB33" s="205"/>
      <c r="AC33" s="205"/>
      <c r="AD33" s="205"/>
      <c r="AE33" s="205"/>
      <c r="AF33" s="205"/>
      <c r="AG33" s="205"/>
      <c r="AH33" s="205"/>
      <c r="AI33" s="205"/>
      <c r="AJ33" s="205"/>
      <c r="AK33" s="205"/>
      <c r="AL33" s="205"/>
      <c r="AM33" s="205"/>
      <c r="AN33" s="205"/>
      <c r="AO33" s="205"/>
      <c r="AP33" s="205"/>
      <c r="AQ33" s="205"/>
      <c r="AR33" s="205"/>
      <c r="AS33" s="205"/>
      <c r="AT33" s="205"/>
      <c r="AU33" s="205"/>
      <c r="AV33" s="205"/>
      <c r="AW33" s="205"/>
      <c r="AX33" s="205"/>
      <c r="AY33" s="205"/>
      <c r="AZ33" s="205"/>
      <c r="BA33" s="205"/>
      <c r="BB33" s="205"/>
      <c r="BC33" s="205"/>
      <c r="BD33" s="205"/>
      <c r="BE33" s="205"/>
      <c r="BF33" s="205"/>
      <c r="BG33" s="205"/>
      <c r="BH33" s="205"/>
      <c r="BI33" s="205"/>
      <c r="BJ33" s="205"/>
      <c r="BK33" s="205"/>
      <c r="BL33" s="205"/>
      <c r="BM33" s="205"/>
      <c r="BN33" s="205"/>
      <c r="BO33" s="205"/>
      <c r="BP33" s="205"/>
      <c r="BQ33" s="205"/>
      <c r="BR33" s="205"/>
      <c r="BS33" s="205"/>
      <c r="BT33" s="205"/>
      <c r="BU33" s="205"/>
      <c r="BV33" s="205"/>
      <c r="BW33" s="205"/>
      <c r="BX33" s="205"/>
      <c r="BY33" s="205"/>
      <c r="BZ33" s="200"/>
      <c r="CA33" s="202"/>
      <c r="CB33" s="201"/>
      <c r="CC33" s="200">
        <v>0.8</v>
      </c>
      <c r="CD33" s="202">
        <f>TRUNC(CC33*AK33,2)</f>
        <v>0</v>
      </c>
      <c r="CE33" s="201">
        <f>TRUNC(CD33*AL33)+0.32</f>
        <v>0.32</v>
      </c>
      <c r="CF33" s="200">
        <v>0.2</v>
      </c>
      <c r="CG33" s="202">
        <f>TRUNC(CF33*AK33,2)</f>
        <v>0</v>
      </c>
      <c r="CH33" s="201">
        <f>TRUNC(CG33*AL33)</f>
        <v>0</v>
      </c>
      <c r="CI33" s="201"/>
      <c r="CJ33" s="201"/>
      <c r="CK33" s="198">
        <f>TRUNC(AL33*CJ33)+0</f>
        <v>0</v>
      </c>
      <c r="CL33" s="200"/>
      <c r="CM33" s="199">
        <f>TRUNC(CL33*AK33,2)</f>
        <v>0</v>
      </c>
      <c r="CN33" s="198">
        <f>TRUNC(CM33*AL33)+0</f>
        <v>0</v>
      </c>
    </row>
    <row r="34" spans="1:92" ht="42">
      <c r="A34" s="208" t="s">
        <v>206</v>
      </c>
      <c r="B34" s="207">
        <v>92762</v>
      </c>
      <c r="C34" s="206" t="s">
        <v>205</v>
      </c>
      <c r="D34" s="205"/>
      <c r="E34" s="205"/>
      <c r="F34" s="205"/>
      <c r="G34" s="205"/>
      <c r="H34" s="205"/>
      <c r="I34" s="205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  <c r="AQ34" s="205"/>
      <c r="AR34" s="205"/>
      <c r="AS34" s="205"/>
      <c r="AT34" s="205"/>
      <c r="AU34" s="205"/>
      <c r="AV34" s="205"/>
      <c r="AW34" s="205"/>
      <c r="AX34" s="205"/>
      <c r="AY34" s="205"/>
      <c r="AZ34" s="205"/>
      <c r="BA34" s="205"/>
      <c r="BB34" s="205"/>
      <c r="BC34" s="205"/>
      <c r="BD34" s="205"/>
      <c r="BE34" s="205"/>
      <c r="BF34" s="205"/>
      <c r="BG34" s="205"/>
      <c r="BH34" s="205"/>
      <c r="BI34" s="205"/>
      <c r="BJ34" s="205"/>
      <c r="BK34" s="205"/>
      <c r="BL34" s="205"/>
      <c r="BM34" s="205"/>
      <c r="BN34" s="205"/>
      <c r="BO34" s="205"/>
      <c r="BP34" s="205"/>
      <c r="BQ34" s="205"/>
      <c r="BR34" s="205"/>
      <c r="BS34" s="205"/>
      <c r="BT34" s="205"/>
      <c r="BU34" s="205"/>
      <c r="BV34" s="205"/>
      <c r="BW34" s="205"/>
      <c r="BX34" s="205"/>
      <c r="BY34" s="205"/>
      <c r="BZ34" s="200"/>
      <c r="CA34" s="202"/>
      <c r="CB34" s="201"/>
      <c r="CC34" s="200">
        <v>0.8</v>
      </c>
      <c r="CD34" s="202">
        <f>TRUNC(CC34*AK34,2)</f>
        <v>0</v>
      </c>
      <c r="CE34" s="201">
        <f>TRUNC(CD34*AL34)+0.23</f>
        <v>0.23</v>
      </c>
      <c r="CF34" s="200">
        <v>0.2</v>
      </c>
      <c r="CG34" s="202">
        <f>TRUNC(CF34*AK34,2)</f>
        <v>0</v>
      </c>
      <c r="CH34" s="201">
        <f>TRUNC(CG34*AL34)</f>
        <v>0</v>
      </c>
      <c r="CI34" s="201"/>
      <c r="CJ34" s="201"/>
      <c r="CK34" s="198">
        <f>TRUNC(AL34*CJ34)+0</f>
        <v>0</v>
      </c>
      <c r="CL34" s="200"/>
      <c r="CM34" s="199">
        <f>TRUNC(CL34*AK34,2)</f>
        <v>0</v>
      </c>
      <c r="CN34" s="198">
        <f>TRUNC(CM34*AL34)+0</f>
        <v>0</v>
      </c>
    </row>
    <row r="35" spans="1:92" ht="42">
      <c r="A35" s="208" t="s">
        <v>204</v>
      </c>
      <c r="B35" s="207">
        <v>92763</v>
      </c>
      <c r="C35" s="206" t="s">
        <v>203</v>
      </c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5"/>
      <c r="AP35" s="205"/>
      <c r="AQ35" s="205"/>
      <c r="AR35" s="205"/>
      <c r="AS35" s="205"/>
      <c r="AT35" s="205"/>
      <c r="AU35" s="205"/>
      <c r="AV35" s="205"/>
      <c r="AW35" s="205"/>
      <c r="AX35" s="205"/>
      <c r="AY35" s="205"/>
      <c r="AZ35" s="205"/>
      <c r="BA35" s="205"/>
      <c r="BB35" s="205"/>
      <c r="BC35" s="205"/>
      <c r="BD35" s="205"/>
      <c r="BE35" s="205"/>
      <c r="BF35" s="205"/>
      <c r="BG35" s="205"/>
      <c r="BH35" s="205"/>
      <c r="BI35" s="205"/>
      <c r="BJ35" s="205"/>
      <c r="BK35" s="205"/>
      <c r="BL35" s="205"/>
      <c r="BM35" s="205"/>
      <c r="BN35" s="205"/>
      <c r="BO35" s="205"/>
      <c r="BP35" s="205"/>
      <c r="BQ35" s="205"/>
      <c r="BR35" s="205"/>
      <c r="BS35" s="205"/>
      <c r="BT35" s="205"/>
      <c r="BU35" s="205"/>
      <c r="BV35" s="205"/>
      <c r="BW35" s="205"/>
      <c r="BX35" s="205"/>
      <c r="BY35" s="205"/>
      <c r="BZ35" s="200"/>
      <c r="CA35" s="202"/>
      <c r="CB35" s="201"/>
      <c r="CC35" s="200">
        <v>0.8</v>
      </c>
      <c r="CD35" s="202">
        <f>TRUNC(CC35*AK35,2)</f>
        <v>0</v>
      </c>
      <c r="CE35" s="201">
        <f>TRUNC(CD35*AL35)+0.11</f>
        <v>0.11</v>
      </c>
      <c r="CF35" s="200">
        <v>0.2</v>
      </c>
      <c r="CG35" s="202">
        <f>TRUNC(CF35*AK35,2)</f>
        <v>0</v>
      </c>
      <c r="CH35" s="201">
        <f>TRUNC(CG35*AL35)</f>
        <v>0</v>
      </c>
      <c r="CI35" s="201"/>
      <c r="CJ35" s="201"/>
      <c r="CK35" s="198">
        <f>TRUNC(AL35*CJ35)+0</f>
        <v>0</v>
      </c>
      <c r="CL35" s="200"/>
      <c r="CM35" s="199">
        <f>TRUNC(CL35*AK35,2)</f>
        <v>0</v>
      </c>
      <c r="CN35" s="198">
        <f>TRUNC(CM35*AL35)+0</f>
        <v>0</v>
      </c>
    </row>
    <row r="36" spans="1:92" ht="42">
      <c r="A36" s="208" t="s">
        <v>202</v>
      </c>
      <c r="B36" s="207">
        <v>92759</v>
      </c>
      <c r="C36" s="206" t="s">
        <v>201</v>
      </c>
      <c r="D36" s="205"/>
      <c r="E36" s="205"/>
      <c r="F36" s="205"/>
      <c r="G36" s="205"/>
      <c r="H36" s="205"/>
      <c r="I36" s="205"/>
      <c r="J36" s="205"/>
      <c r="K36" s="205"/>
      <c r="L36" s="205"/>
      <c r="M36" s="205"/>
      <c r="N36" s="205"/>
      <c r="O36" s="205"/>
      <c r="P36" s="205"/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  <c r="AQ36" s="205"/>
      <c r="AR36" s="205"/>
      <c r="AS36" s="205"/>
      <c r="AT36" s="205"/>
      <c r="AU36" s="205"/>
      <c r="AV36" s="205"/>
      <c r="AW36" s="205"/>
      <c r="AX36" s="205"/>
      <c r="AY36" s="205"/>
      <c r="AZ36" s="205"/>
      <c r="BA36" s="205"/>
      <c r="BB36" s="205"/>
      <c r="BC36" s="205"/>
      <c r="BD36" s="205"/>
      <c r="BE36" s="205"/>
      <c r="BF36" s="205"/>
      <c r="BG36" s="205"/>
      <c r="BH36" s="205"/>
      <c r="BI36" s="205"/>
      <c r="BJ36" s="205"/>
      <c r="BK36" s="205"/>
      <c r="BL36" s="205"/>
      <c r="BM36" s="205"/>
      <c r="BN36" s="205"/>
      <c r="BO36" s="205"/>
      <c r="BP36" s="205"/>
      <c r="BQ36" s="205"/>
      <c r="BR36" s="205"/>
      <c r="BS36" s="205"/>
      <c r="BT36" s="205"/>
      <c r="BU36" s="205"/>
      <c r="BV36" s="205"/>
      <c r="BW36" s="205"/>
      <c r="BX36" s="205"/>
      <c r="BY36" s="205"/>
      <c r="BZ36" s="200"/>
      <c r="CA36" s="202"/>
      <c r="CB36" s="201"/>
      <c r="CC36" s="200">
        <v>0.8</v>
      </c>
      <c r="CD36" s="202">
        <f>TRUNC(CC36*AK36,2)</f>
        <v>0</v>
      </c>
      <c r="CE36" s="201">
        <f>TRUNC(CD36*AL36)+0.85</f>
        <v>0.85</v>
      </c>
      <c r="CF36" s="200">
        <v>0.2</v>
      </c>
      <c r="CG36" s="202">
        <f>TRUNC(CF36*AK36,2)</f>
        <v>0</v>
      </c>
      <c r="CH36" s="201">
        <f>TRUNC(CG36*AL36)</f>
        <v>0</v>
      </c>
      <c r="CI36" s="201"/>
      <c r="CJ36" s="201"/>
      <c r="CK36" s="198">
        <f>TRUNC(AL36*CJ36)+0</f>
        <v>0</v>
      </c>
      <c r="CL36" s="200"/>
      <c r="CM36" s="199">
        <f>TRUNC(CL36*AK36,2)</f>
        <v>0</v>
      </c>
      <c r="CN36" s="198">
        <f>TRUNC(CM36*AL36)+0</f>
        <v>0</v>
      </c>
    </row>
    <row r="37" spans="1:92" ht="28">
      <c r="A37" s="208" t="s">
        <v>200</v>
      </c>
      <c r="B37" s="207">
        <v>92265</v>
      </c>
      <c r="C37" s="206" t="s">
        <v>199</v>
      </c>
      <c r="D37" s="205"/>
      <c r="E37" s="205"/>
      <c r="F37" s="205"/>
      <c r="G37" s="205"/>
      <c r="H37" s="205"/>
      <c r="I37" s="205"/>
      <c r="J37" s="205"/>
      <c r="K37" s="205"/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5"/>
      <c r="Y37" s="205"/>
      <c r="Z37" s="205"/>
      <c r="AA37" s="205"/>
      <c r="AB37" s="205"/>
      <c r="AC37" s="205"/>
      <c r="AD37" s="205"/>
      <c r="AE37" s="205"/>
      <c r="AF37" s="205"/>
      <c r="AG37" s="205"/>
      <c r="AH37" s="205"/>
      <c r="AI37" s="205"/>
      <c r="AJ37" s="205"/>
      <c r="AK37" s="205"/>
      <c r="AL37" s="205"/>
      <c r="AM37" s="205"/>
      <c r="AN37" s="205"/>
      <c r="AO37" s="205"/>
      <c r="AP37" s="205"/>
      <c r="AQ37" s="205"/>
      <c r="AR37" s="205"/>
      <c r="AS37" s="205"/>
      <c r="AT37" s="205"/>
      <c r="AU37" s="205"/>
      <c r="AV37" s="205"/>
      <c r="AW37" s="205"/>
      <c r="AX37" s="205"/>
      <c r="AY37" s="205"/>
      <c r="AZ37" s="205"/>
      <c r="BA37" s="205"/>
      <c r="BB37" s="205"/>
      <c r="BC37" s="205"/>
      <c r="BD37" s="205"/>
      <c r="BE37" s="205"/>
      <c r="BF37" s="205"/>
      <c r="BG37" s="205"/>
      <c r="BH37" s="205"/>
      <c r="BI37" s="205"/>
      <c r="BJ37" s="205"/>
      <c r="BK37" s="205"/>
      <c r="BL37" s="205"/>
      <c r="BM37" s="205"/>
      <c r="BN37" s="205"/>
      <c r="BO37" s="205"/>
      <c r="BP37" s="205"/>
      <c r="BQ37" s="205"/>
      <c r="BR37" s="205"/>
      <c r="BS37" s="205"/>
      <c r="BT37" s="205"/>
      <c r="BU37" s="205"/>
      <c r="BV37" s="205"/>
      <c r="BW37" s="205"/>
      <c r="BX37" s="205"/>
      <c r="BY37" s="205"/>
      <c r="BZ37" s="200"/>
      <c r="CA37" s="202"/>
      <c r="CB37" s="201"/>
      <c r="CC37" s="200">
        <v>1</v>
      </c>
      <c r="CD37" s="202">
        <f>TRUNC(CC37*AK37,2)</f>
        <v>0</v>
      </c>
      <c r="CE37" s="201">
        <f>TRUNC(CD37*AL37)+0.11</f>
        <v>0.11</v>
      </c>
      <c r="CF37" s="200"/>
      <c r="CG37" s="202"/>
      <c r="CH37" s="201"/>
      <c r="CI37" s="201"/>
      <c r="CJ37" s="201"/>
      <c r="CK37" s="198">
        <f>TRUNC(AL37*CJ37)+0</f>
        <v>0</v>
      </c>
      <c r="CL37" s="200"/>
      <c r="CM37" s="199">
        <f>TRUNC(CL37*AK37,2)</f>
        <v>0</v>
      </c>
      <c r="CN37" s="198">
        <f>TRUNC(CM37*AL37)+0</f>
        <v>0</v>
      </c>
    </row>
    <row r="38" spans="1:92" ht="20.149999999999999" customHeight="1">
      <c r="A38" s="210" t="s">
        <v>198</v>
      </c>
      <c r="B38" s="209" t="s">
        <v>197</v>
      </c>
      <c r="C38" s="209"/>
      <c r="D38" s="209"/>
      <c r="E38" s="209"/>
      <c r="F38" s="209"/>
      <c r="G38" s="209"/>
      <c r="H38" s="209"/>
      <c r="I38" s="209"/>
      <c r="J38" s="209"/>
      <c r="K38" s="209"/>
      <c r="L38" s="209"/>
      <c r="M38" s="209"/>
      <c r="N38" s="209"/>
      <c r="O38" s="209"/>
      <c r="P38" s="209"/>
      <c r="Q38" s="209"/>
      <c r="R38" s="209"/>
      <c r="S38" s="209"/>
      <c r="T38" s="209"/>
      <c r="U38" s="209"/>
      <c r="V38" s="209"/>
      <c r="W38" s="209"/>
      <c r="X38" s="209"/>
      <c r="Y38" s="209"/>
      <c r="Z38" s="209"/>
      <c r="AA38" s="209"/>
      <c r="AB38" s="209"/>
      <c r="AC38" s="209"/>
      <c r="AD38" s="209"/>
      <c r="AE38" s="209"/>
      <c r="AF38" s="209"/>
      <c r="AG38" s="209"/>
      <c r="AH38" s="209"/>
      <c r="AI38" s="209"/>
      <c r="AJ38" s="209"/>
      <c r="AK38" s="209"/>
      <c r="AL38" s="209"/>
      <c r="AM38" s="209"/>
      <c r="AN38" s="209"/>
      <c r="AO38" s="209"/>
      <c r="AP38" s="209"/>
      <c r="AQ38" s="209"/>
      <c r="AR38" s="209"/>
      <c r="AS38" s="209"/>
      <c r="AT38" s="209"/>
      <c r="AU38" s="209"/>
      <c r="AV38" s="209"/>
      <c r="AW38" s="209"/>
      <c r="AX38" s="209"/>
      <c r="AY38" s="209"/>
      <c r="AZ38" s="209"/>
      <c r="BA38" s="209"/>
      <c r="BB38" s="209"/>
      <c r="BC38" s="209"/>
      <c r="BD38" s="209"/>
      <c r="BE38" s="209"/>
      <c r="BF38" s="209"/>
      <c r="BG38" s="209"/>
      <c r="BH38" s="209"/>
      <c r="BI38" s="209"/>
      <c r="BJ38" s="209"/>
      <c r="BK38" s="209"/>
      <c r="BL38" s="209"/>
      <c r="BM38" s="209"/>
      <c r="BN38" s="209"/>
      <c r="BO38" s="209"/>
      <c r="BP38" s="209"/>
      <c r="BQ38" s="209"/>
      <c r="BR38" s="209"/>
      <c r="BS38" s="209"/>
      <c r="BT38" s="209"/>
      <c r="BU38" s="209"/>
      <c r="BV38" s="209"/>
      <c r="BW38" s="209"/>
      <c r="BX38" s="209"/>
      <c r="BY38" s="209"/>
      <c r="BZ38" s="204"/>
      <c r="CA38" s="204"/>
      <c r="CB38" s="204"/>
      <c r="CC38" s="204"/>
      <c r="CD38" s="204"/>
      <c r="CE38" s="204"/>
      <c r="CF38" s="204"/>
      <c r="CG38" s="204"/>
      <c r="CH38" s="204"/>
      <c r="CI38" s="204"/>
      <c r="CJ38" s="204"/>
      <c r="CK38" s="204"/>
      <c r="CL38" s="204"/>
      <c r="CM38" s="204"/>
      <c r="CN38" s="204"/>
    </row>
    <row r="39" spans="1:92" s="280" customFormat="1" ht="42">
      <c r="A39" s="288" t="s">
        <v>196</v>
      </c>
      <c r="B39" s="289">
        <v>94965</v>
      </c>
      <c r="C39" s="286" t="s">
        <v>195</v>
      </c>
      <c r="D39" s="285"/>
      <c r="E39" s="285"/>
      <c r="F39" s="285"/>
      <c r="G39" s="285"/>
      <c r="H39" s="285"/>
      <c r="I39" s="285"/>
      <c r="J39" s="285"/>
      <c r="K39" s="285"/>
      <c r="L39" s="285"/>
      <c r="M39" s="285"/>
      <c r="N39" s="285"/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5"/>
      <c r="Z39" s="285"/>
      <c r="AA39" s="285"/>
      <c r="AB39" s="285"/>
      <c r="AC39" s="285"/>
      <c r="AD39" s="285"/>
      <c r="AE39" s="285"/>
      <c r="AF39" s="285"/>
      <c r="AG39" s="285"/>
      <c r="AH39" s="285"/>
      <c r="AI39" s="285"/>
      <c r="AJ39" s="285"/>
      <c r="AK39" s="285"/>
      <c r="AL39" s="285"/>
      <c r="AM39" s="285"/>
      <c r="AN39" s="285"/>
      <c r="AO39" s="285"/>
      <c r="AP39" s="285"/>
      <c r="AQ39" s="285"/>
      <c r="AR39" s="285"/>
      <c r="AS39" s="285"/>
      <c r="AT39" s="285"/>
      <c r="AU39" s="285"/>
      <c r="AV39" s="285"/>
      <c r="AW39" s="285"/>
      <c r="AX39" s="285"/>
      <c r="AY39" s="285"/>
      <c r="AZ39" s="285"/>
      <c r="BA39" s="285"/>
      <c r="BB39" s="285"/>
      <c r="BC39" s="285"/>
      <c r="BD39" s="285"/>
      <c r="BE39" s="285"/>
      <c r="BF39" s="285"/>
      <c r="BG39" s="285"/>
      <c r="BH39" s="285"/>
      <c r="BI39" s="285"/>
      <c r="BJ39" s="285"/>
      <c r="BK39" s="285"/>
      <c r="BL39" s="285"/>
      <c r="BM39" s="285"/>
      <c r="BN39" s="285"/>
      <c r="BO39" s="285"/>
      <c r="BP39" s="285"/>
      <c r="BQ39" s="285"/>
      <c r="BR39" s="285"/>
      <c r="BS39" s="285"/>
      <c r="BT39" s="285"/>
      <c r="BU39" s="285"/>
      <c r="BV39" s="285"/>
      <c r="BW39" s="285"/>
      <c r="BX39" s="285"/>
      <c r="BY39" s="285"/>
      <c r="BZ39" s="284"/>
      <c r="CA39" s="282"/>
      <c r="CB39" s="281"/>
      <c r="CC39" s="284"/>
      <c r="CD39" s="282"/>
      <c r="CE39" s="281"/>
      <c r="CF39" s="284"/>
      <c r="CG39" s="282"/>
      <c r="CH39" s="281"/>
      <c r="CI39" s="281"/>
      <c r="CJ39" s="281"/>
      <c r="CK39" s="198">
        <f>TRUNC(AL39*CJ39)+0</f>
        <v>0</v>
      </c>
      <c r="CL39" s="283">
        <v>0</v>
      </c>
      <c r="CM39" s="282">
        <f>TRUNC(CL39*AK39,2)</f>
        <v>0</v>
      </c>
      <c r="CN39" s="281">
        <f>TRUNC(CM39*AL39)+0</f>
        <v>0</v>
      </c>
    </row>
    <row r="40" spans="1:92" s="280" customFormat="1" ht="28">
      <c r="A40" s="288" t="s">
        <v>194</v>
      </c>
      <c r="B40" s="289">
        <v>92267</v>
      </c>
      <c r="C40" s="286" t="s">
        <v>193</v>
      </c>
      <c r="D40" s="285"/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285"/>
      <c r="P40" s="285"/>
      <c r="Q40" s="285"/>
      <c r="R40" s="285"/>
      <c r="S40" s="285"/>
      <c r="T40" s="285"/>
      <c r="U40" s="285"/>
      <c r="V40" s="285"/>
      <c r="W40" s="285"/>
      <c r="X40" s="285"/>
      <c r="Y40" s="285"/>
      <c r="Z40" s="285"/>
      <c r="AA40" s="285"/>
      <c r="AB40" s="285"/>
      <c r="AC40" s="285"/>
      <c r="AD40" s="285"/>
      <c r="AE40" s="285"/>
      <c r="AF40" s="285"/>
      <c r="AG40" s="285"/>
      <c r="AH40" s="285"/>
      <c r="AI40" s="285"/>
      <c r="AJ40" s="285"/>
      <c r="AK40" s="285"/>
      <c r="AL40" s="285"/>
      <c r="AM40" s="285"/>
      <c r="AN40" s="285"/>
      <c r="AO40" s="285"/>
      <c r="AP40" s="285"/>
      <c r="AQ40" s="285"/>
      <c r="AR40" s="285"/>
      <c r="AS40" s="285"/>
      <c r="AT40" s="285"/>
      <c r="AU40" s="285"/>
      <c r="AV40" s="285"/>
      <c r="AW40" s="285"/>
      <c r="AX40" s="285"/>
      <c r="AY40" s="285"/>
      <c r="AZ40" s="285"/>
      <c r="BA40" s="285"/>
      <c r="BB40" s="285"/>
      <c r="BC40" s="285"/>
      <c r="BD40" s="285"/>
      <c r="BE40" s="285"/>
      <c r="BF40" s="285"/>
      <c r="BG40" s="285"/>
      <c r="BH40" s="285"/>
      <c r="BI40" s="285"/>
      <c r="BJ40" s="285"/>
      <c r="BK40" s="285"/>
      <c r="BL40" s="285"/>
      <c r="BM40" s="285"/>
      <c r="BN40" s="285"/>
      <c r="BO40" s="285"/>
      <c r="BP40" s="285"/>
      <c r="BQ40" s="285"/>
      <c r="BR40" s="285"/>
      <c r="BS40" s="285"/>
      <c r="BT40" s="285"/>
      <c r="BU40" s="285"/>
      <c r="BV40" s="285"/>
      <c r="BW40" s="285"/>
      <c r="BX40" s="285"/>
      <c r="BY40" s="285"/>
      <c r="BZ40" s="284"/>
      <c r="CA40" s="282"/>
      <c r="CB40" s="281"/>
      <c r="CC40" s="284"/>
      <c r="CD40" s="282"/>
      <c r="CE40" s="281"/>
      <c r="CF40" s="284"/>
      <c r="CG40" s="282"/>
      <c r="CH40" s="281"/>
      <c r="CI40" s="281"/>
      <c r="CJ40" s="281"/>
      <c r="CK40" s="198">
        <f>TRUNC(AL40*CJ40)+0</f>
        <v>0</v>
      </c>
      <c r="CL40" s="283">
        <v>0</v>
      </c>
      <c r="CM40" s="282">
        <f>TRUNC(CL40*AK40,2)</f>
        <v>0</v>
      </c>
      <c r="CN40" s="281">
        <f>TRUNC(CM40*AL40)+0</f>
        <v>0</v>
      </c>
    </row>
    <row r="41" spans="1:92" s="280" customFormat="1" ht="42">
      <c r="A41" s="288" t="s">
        <v>192</v>
      </c>
      <c r="B41" s="289">
        <v>92769</v>
      </c>
      <c r="C41" s="286" t="s">
        <v>191</v>
      </c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5"/>
      <c r="P41" s="285"/>
      <c r="Q41" s="285"/>
      <c r="R41" s="285"/>
      <c r="S41" s="285"/>
      <c r="T41" s="285"/>
      <c r="U41" s="285"/>
      <c r="V41" s="285"/>
      <c r="W41" s="285"/>
      <c r="X41" s="285"/>
      <c r="Y41" s="285"/>
      <c r="Z41" s="285"/>
      <c r="AA41" s="285"/>
      <c r="AB41" s="285"/>
      <c r="AC41" s="285"/>
      <c r="AD41" s="285"/>
      <c r="AE41" s="285"/>
      <c r="AF41" s="285"/>
      <c r="AG41" s="285"/>
      <c r="AH41" s="285"/>
      <c r="AI41" s="285"/>
      <c r="AJ41" s="285"/>
      <c r="AK41" s="285"/>
      <c r="AL41" s="285"/>
      <c r="AM41" s="285"/>
      <c r="AN41" s="285"/>
      <c r="AO41" s="285"/>
      <c r="AP41" s="285"/>
      <c r="AQ41" s="285"/>
      <c r="AR41" s="285"/>
      <c r="AS41" s="285"/>
      <c r="AT41" s="285"/>
      <c r="AU41" s="285"/>
      <c r="AV41" s="285"/>
      <c r="AW41" s="285"/>
      <c r="AX41" s="285"/>
      <c r="AY41" s="285"/>
      <c r="AZ41" s="285"/>
      <c r="BA41" s="285"/>
      <c r="BB41" s="285"/>
      <c r="BC41" s="285"/>
      <c r="BD41" s="285"/>
      <c r="BE41" s="285"/>
      <c r="BF41" s="285"/>
      <c r="BG41" s="285"/>
      <c r="BH41" s="285"/>
      <c r="BI41" s="285"/>
      <c r="BJ41" s="285"/>
      <c r="BK41" s="285"/>
      <c r="BL41" s="285"/>
      <c r="BM41" s="285"/>
      <c r="BN41" s="285"/>
      <c r="BO41" s="285"/>
      <c r="BP41" s="285"/>
      <c r="BQ41" s="285"/>
      <c r="BR41" s="285"/>
      <c r="BS41" s="285"/>
      <c r="BT41" s="285"/>
      <c r="BU41" s="285"/>
      <c r="BV41" s="285"/>
      <c r="BW41" s="285"/>
      <c r="BX41" s="285"/>
      <c r="BY41" s="285"/>
      <c r="BZ41" s="284"/>
      <c r="CA41" s="282"/>
      <c r="CB41" s="281"/>
      <c r="CC41" s="284"/>
      <c r="CD41" s="282"/>
      <c r="CE41" s="281"/>
      <c r="CF41" s="284"/>
      <c r="CG41" s="282"/>
      <c r="CH41" s="281"/>
      <c r="CI41" s="281"/>
      <c r="CJ41" s="281"/>
      <c r="CK41" s="198">
        <f>TRUNC(AL41*CJ41)+0</f>
        <v>0</v>
      </c>
      <c r="CL41" s="283">
        <v>0</v>
      </c>
      <c r="CM41" s="282">
        <f>TRUNC(CL41*AK41,2)</f>
        <v>0</v>
      </c>
      <c r="CN41" s="281">
        <f>TRUNC(CM41*AL41)+0</f>
        <v>0</v>
      </c>
    </row>
    <row r="42" spans="1:92" s="280" customFormat="1" ht="42">
      <c r="A42" s="288" t="s">
        <v>190</v>
      </c>
      <c r="B42" s="289">
        <v>92770</v>
      </c>
      <c r="C42" s="286" t="s">
        <v>189</v>
      </c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5"/>
      <c r="P42" s="285"/>
      <c r="Q42" s="285"/>
      <c r="R42" s="285"/>
      <c r="S42" s="285"/>
      <c r="T42" s="285"/>
      <c r="U42" s="285"/>
      <c r="V42" s="285"/>
      <c r="W42" s="285"/>
      <c r="X42" s="285"/>
      <c r="Y42" s="285"/>
      <c r="Z42" s="285"/>
      <c r="AA42" s="285"/>
      <c r="AB42" s="285"/>
      <c r="AC42" s="285"/>
      <c r="AD42" s="285"/>
      <c r="AE42" s="285"/>
      <c r="AF42" s="285"/>
      <c r="AG42" s="285"/>
      <c r="AH42" s="285"/>
      <c r="AI42" s="285"/>
      <c r="AJ42" s="285"/>
      <c r="AK42" s="285"/>
      <c r="AL42" s="285"/>
      <c r="AM42" s="285"/>
      <c r="AN42" s="285"/>
      <c r="AO42" s="285"/>
      <c r="AP42" s="285"/>
      <c r="AQ42" s="285"/>
      <c r="AR42" s="285"/>
      <c r="AS42" s="285"/>
      <c r="AT42" s="285"/>
      <c r="AU42" s="285"/>
      <c r="AV42" s="285"/>
      <c r="AW42" s="285"/>
      <c r="AX42" s="285"/>
      <c r="AY42" s="285"/>
      <c r="AZ42" s="285"/>
      <c r="BA42" s="285"/>
      <c r="BB42" s="285"/>
      <c r="BC42" s="285"/>
      <c r="BD42" s="285"/>
      <c r="BE42" s="285"/>
      <c r="BF42" s="285"/>
      <c r="BG42" s="285"/>
      <c r="BH42" s="285"/>
      <c r="BI42" s="285"/>
      <c r="BJ42" s="285"/>
      <c r="BK42" s="285"/>
      <c r="BL42" s="285"/>
      <c r="BM42" s="285"/>
      <c r="BN42" s="285"/>
      <c r="BO42" s="285"/>
      <c r="BP42" s="285"/>
      <c r="BQ42" s="285"/>
      <c r="BR42" s="285"/>
      <c r="BS42" s="285"/>
      <c r="BT42" s="285"/>
      <c r="BU42" s="285"/>
      <c r="BV42" s="285"/>
      <c r="BW42" s="285"/>
      <c r="BX42" s="285"/>
      <c r="BY42" s="285"/>
      <c r="BZ42" s="284"/>
      <c r="CA42" s="282"/>
      <c r="CB42" s="281"/>
      <c r="CC42" s="284"/>
      <c r="CD42" s="282"/>
      <c r="CE42" s="281"/>
      <c r="CF42" s="284"/>
      <c r="CG42" s="282"/>
      <c r="CH42" s="281"/>
      <c r="CI42" s="281"/>
      <c r="CJ42" s="281"/>
      <c r="CK42" s="198">
        <f>TRUNC(AL42*CJ42)+0</f>
        <v>0</v>
      </c>
      <c r="CL42" s="283">
        <v>0</v>
      </c>
      <c r="CM42" s="282">
        <f>TRUNC(CL42*AK42,2)</f>
        <v>0</v>
      </c>
      <c r="CN42" s="281">
        <f>TRUNC(CM42*AL42)+0</f>
        <v>0</v>
      </c>
    </row>
    <row r="43" spans="1:92" s="280" customFormat="1" ht="42">
      <c r="A43" s="288" t="s">
        <v>188</v>
      </c>
      <c r="B43" s="289">
        <v>92771</v>
      </c>
      <c r="C43" s="286" t="s">
        <v>187</v>
      </c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  <c r="AA43" s="285"/>
      <c r="AB43" s="285"/>
      <c r="AC43" s="285"/>
      <c r="AD43" s="285"/>
      <c r="AE43" s="285"/>
      <c r="AF43" s="285"/>
      <c r="AG43" s="285"/>
      <c r="AH43" s="285"/>
      <c r="AI43" s="285"/>
      <c r="AJ43" s="285"/>
      <c r="AK43" s="285"/>
      <c r="AL43" s="285"/>
      <c r="AM43" s="285"/>
      <c r="AN43" s="285"/>
      <c r="AO43" s="285"/>
      <c r="AP43" s="285"/>
      <c r="AQ43" s="285"/>
      <c r="AR43" s="285"/>
      <c r="AS43" s="285"/>
      <c r="AT43" s="285"/>
      <c r="AU43" s="285"/>
      <c r="AV43" s="285"/>
      <c r="AW43" s="285"/>
      <c r="AX43" s="285"/>
      <c r="AY43" s="285"/>
      <c r="AZ43" s="285"/>
      <c r="BA43" s="285"/>
      <c r="BB43" s="285"/>
      <c r="BC43" s="285"/>
      <c r="BD43" s="285"/>
      <c r="BE43" s="285"/>
      <c r="BF43" s="285"/>
      <c r="BG43" s="285"/>
      <c r="BH43" s="285"/>
      <c r="BI43" s="285"/>
      <c r="BJ43" s="285"/>
      <c r="BK43" s="285"/>
      <c r="BL43" s="285"/>
      <c r="BM43" s="285"/>
      <c r="BN43" s="285"/>
      <c r="BO43" s="285"/>
      <c r="BP43" s="285"/>
      <c r="BQ43" s="285"/>
      <c r="BR43" s="285"/>
      <c r="BS43" s="285"/>
      <c r="BT43" s="285"/>
      <c r="BU43" s="285"/>
      <c r="BV43" s="285"/>
      <c r="BW43" s="285"/>
      <c r="BX43" s="285"/>
      <c r="BY43" s="285"/>
      <c r="BZ43" s="284"/>
      <c r="CA43" s="282"/>
      <c r="CB43" s="281"/>
      <c r="CC43" s="284"/>
      <c r="CD43" s="282"/>
      <c r="CE43" s="281"/>
      <c r="CF43" s="284"/>
      <c r="CG43" s="282"/>
      <c r="CH43" s="281"/>
      <c r="CI43" s="281"/>
      <c r="CJ43" s="281"/>
      <c r="CK43" s="198">
        <f>TRUNC(AL43*CJ43)+0</f>
        <v>0</v>
      </c>
      <c r="CL43" s="283">
        <v>0</v>
      </c>
      <c r="CM43" s="282">
        <f>TRUNC(CL43*AK43,2)</f>
        <v>0</v>
      </c>
      <c r="CN43" s="281">
        <f>TRUNC(CM43*AL43)+0</f>
        <v>0</v>
      </c>
    </row>
    <row r="44" spans="1:92" s="280" customFormat="1" ht="42">
      <c r="A44" s="288" t="s">
        <v>186</v>
      </c>
      <c r="B44" s="287">
        <v>92768</v>
      </c>
      <c r="C44" s="286" t="s">
        <v>185</v>
      </c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A44" s="285"/>
      <c r="AB44" s="285"/>
      <c r="AC44" s="285"/>
      <c r="AD44" s="285"/>
      <c r="AE44" s="285"/>
      <c r="AF44" s="285"/>
      <c r="AG44" s="285"/>
      <c r="AH44" s="285"/>
      <c r="AI44" s="285"/>
      <c r="AJ44" s="285"/>
      <c r="AK44" s="285"/>
      <c r="AL44" s="285"/>
      <c r="AM44" s="285"/>
      <c r="AN44" s="285"/>
      <c r="AO44" s="285"/>
      <c r="AP44" s="285"/>
      <c r="AQ44" s="285"/>
      <c r="AR44" s="285"/>
      <c r="AS44" s="285"/>
      <c r="AT44" s="285"/>
      <c r="AU44" s="285"/>
      <c r="AV44" s="285"/>
      <c r="AW44" s="285"/>
      <c r="AX44" s="285"/>
      <c r="AY44" s="285"/>
      <c r="AZ44" s="285"/>
      <c r="BA44" s="285"/>
      <c r="BB44" s="285"/>
      <c r="BC44" s="285"/>
      <c r="BD44" s="285"/>
      <c r="BE44" s="285"/>
      <c r="BF44" s="285"/>
      <c r="BG44" s="285"/>
      <c r="BH44" s="285"/>
      <c r="BI44" s="285"/>
      <c r="BJ44" s="285"/>
      <c r="BK44" s="285"/>
      <c r="BL44" s="285"/>
      <c r="BM44" s="285"/>
      <c r="BN44" s="285"/>
      <c r="BO44" s="285"/>
      <c r="BP44" s="285"/>
      <c r="BQ44" s="285"/>
      <c r="BR44" s="285"/>
      <c r="BS44" s="285"/>
      <c r="BT44" s="285"/>
      <c r="BU44" s="285"/>
      <c r="BV44" s="285"/>
      <c r="BW44" s="285"/>
      <c r="BX44" s="285"/>
      <c r="BY44" s="285"/>
      <c r="BZ44" s="284"/>
      <c r="CA44" s="282"/>
      <c r="CB44" s="281"/>
      <c r="CC44" s="284"/>
      <c r="CD44" s="282"/>
      <c r="CE44" s="281"/>
      <c r="CF44" s="284"/>
      <c r="CG44" s="282"/>
      <c r="CH44" s="281"/>
      <c r="CI44" s="281"/>
      <c r="CJ44" s="281"/>
      <c r="CK44" s="198">
        <f>TRUNC(AL44*CJ44)+0</f>
        <v>0</v>
      </c>
      <c r="CL44" s="283">
        <v>0</v>
      </c>
      <c r="CM44" s="282">
        <f>TRUNC(CL44*AK44,2)</f>
        <v>0</v>
      </c>
      <c r="CN44" s="281">
        <f>TRUNC(CM44*AL44)+0</f>
        <v>0</v>
      </c>
    </row>
    <row r="45" spans="1:92" ht="20.149999999999999" customHeight="1">
      <c r="A45" s="210">
        <v>4</v>
      </c>
      <c r="B45" s="209" t="s">
        <v>183</v>
      </c>
      <c r="C45" s="209"/>
      <c r="D45" s="209"/>
      <c r="E45" s="209"/>
      <c r="F45" s="209"/>
      <c r="G45" s="209"/>
      <c r="H45" s="209"/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209"/>
      <c r="T45" s="209"/>
      <c r="U45" s="209"/>
      <c r="V45" s="209"/>
      <c r="W45" s="209"/>
      <c r="X45" s="209"/>
      <c r="Y45" s="209"/>
      <c r="Z45" s="209"/>
      <c r="AA45" s="209"/>
      <c r="AB45" s="209"/>
      <c r="AC45" s="209"/>
      <c r="AD45" s="209"/>
      <c r="AE45" s="209"/>
      <c r="AF45" s="209"/>
      <c r="AG45" s="209"/>
      <c r="AH45" s="209"/>
      <c r="AI45" s="209"/>
      <c r="AJ45" s="209"/>
      <c r="AK45" s="209"/>
      <c r="AL45" s="209"/>
      <c r="AM45" s="209"/>
      <c r="AN45" s="209"/>
      <c r="AO45" s="209"/>
      <c r="AP45" s="209"/>
      <c r="AQ45" s="209"/>
      <c r="AR45" s="209"/>
      <c r="AS45" s="209"/>
      <c r="AT45" s="209"/>
      <c r="AU45" s="209"/>
      <c r="AV45" s="209"/>
      <c r="AW45" s="209"/>
      <c r="AX45" s="209"/>
      <c r="AY45" s="209"/>
      <c r="AZ45" s="209"/>
      <c r="BA45" s="209"/>
      <c r="BB45" s="209"/>
      <c r="BC45" s="209"/>
      <c r="BD45" s="209"/>
      <c r="BE45" s="209"/>
      <c r="BF45" s="209"/>
      <c r="BG45" s="209"/>
      <c r="BH45" s="209"/>
      <c r="BI45" s="209"/>
      <c r="BJ45" s="209"/>
      <c r="BK45" s="209"/>
      <c r="BL45" s="209"/>
      <c r="BM45" s="209"/>
      <c r="BN45" s="209"/>
      <c r="BO45" s="209"/>
      <c r="BP45" s="209"/>
      <c r="BQ45" s="209"/>
      <c r="BR45" s="209"/>
      <c r="BS45" s="209"/>
      <c r="BT45" s="209"/>
      <c r="BU45" s="209"/>
      <c r="BV45" s="209"/>
      <c r="BW45" s="209"/>
      <c r="BX45" s="209"/>
      <c r="BY45" s="209"/>
      <c r="BZ45" s="204"/>
      <c r="CA45" s="204"/>
      <c r="CB45" s="204"/>
      <c r="CC45" s="204"/>
      <c r="CD45" s="204"/>
      <c r="CE45" s="204"/>
      <c r="CF45" s="204"/>
      <c r="CG45" s="204"/>
      <c r="CH45" s="204"/>
      <c r="CI45" s="204"/>
      <c r="CJ45" s="204"/>
      <c r="CK45" s="204"/>
      <c r="CL45" s="204"/>
      <c r="CM45" s="204"/>
      <c r="CN45" s="204"/>
    </row>
    <row r="46" spans="1:92" ht="56">
      <c r="A46" s="279" t="s">
        <v>182</v>
      </c>
      <c r="B46" s="213">
        <v>103328</v>
      </c>
      <c r="C46" s="206" t="s">
        <v>181</v>
      </c>
      <c r="D46" s="205"/>
      <c r="E46" s="205"/>
      <c r="F46" s="205"/>
      <c r="G46" s="205"/>
      <c r="H46" s="205"/>
      <c r="I46" s="205"/>
      <c r="J46" s="205"/>
      <c r="K46" s="205"/>
      <c r="L46" s="205"/>
      <c r="M46" s="205"/>
      <c r="N46" s="205"/>
      <c r="O46" s="205"/>
      <c r="P46" s="205"/>
      <c r="Q46" s="205"/>
      <c r="R46" s="205"/>
      <c r="S46" s="205"/>
      <c r="T46" s="205"/>
      <c r="U46" s="205"/>
      <c r="V46" s="205"/>
      <c r="W46" s="205"/>
      <c r="X46" s="205"/>
      <c r="Y46" s="205"/>
      <c r="Z46" s="205"/>
      <c r="AA46" s="205"/>
      <c r="AB46" s="205"/>
      <c r="AC46" s="205"/>
      <c r="AD46" s="205"/>
      <c r="AE46" s="205"/>
      <c r="AF46" s="205"/>
      <c r="AG46" s="205"/>
      <c r="AH46" s="205"/>
      <c r="AI46" s="205"/>
      <c r="AJ46" s="205"/>
      <c r="AK46" s="205"/>
      <c r="AL46" s="205"/>
      <c r="AM46" s="205"/>
      <c r="AN46" s="205"/>
      <c r="AO46" s="205"/>
      <c r="AP46" s="205"/>
      <c r="AQ46" s="205"/>
      <c r="AR46" s="205"/>
      <c r="AS46" s="205"/>
      <c r="AT46" s="205"/>
      <c r="AU46" s="205"/>
      <c r="AV46" s="205"/>
      <c r="AW46" s="205"/>
      <c r="AX46" s="205"/>
      <c r="AY46" s="205"/>
      <c r="AZ46" s="205"/>
      <c r="BA46" s="205"/>
      <c r="BB46" s="205"/>
      <c r="BC46" s="205"/>
      <c r="BD46" s="205"/>
      <c r="BE46" s="205"/>
      <c r="BF46" s="205"/>
      <c r="BG46" s="205"/>
      <c r="BH46" s="205"/>
      <c r="BI46" s="205"/>
      <c r="BJ46" s="205"/>
      <c r="BK46" s="205"/>
      <c r="BL46" s="205"/>
      <c r="BM46" s="205"/>
      <c r="BN46" s="205"/>
      <c r="BO46" s="205"/>
      <c r="BP46" s="205"/>
      <c r="BQ46" s="205"/>
      <c r="BR46" s="205"/>
      <c r="BS46" s="205"/>
      <c r="BT46" s="205"/>
      <c r="BU46" s="205"/>
      <c r="BV46" s="205"/>
      <c r="BW46" s="205"/>
      <c r="BX46" s="205"/>
      <c r="BY46" s="205"/>
      <c r="BZ46" s="200">
        <v>0.3</v>
      </c>
      <c r="CA46" s="202">
        <f>TRUNC(BZ46*AK46,2)</f>
        <v>0</v>
      </c>
      <c r="CB46" s="201">
        <f>TRUNC(CA46*AL46)+1.33</f>
        <v>1.33</v>
      </c>
      <c r="CC46" s="200">
        <v>0.6</v>
      </c>
      <c r="CD46" s="202">
        <f>TRUNC(CC46*AK46,2)</f>
        <v>0</v>
      </c>
      <c r="CE46" s="201">
        <f>TRUNC(CD46*AL46)+1.66</f>
        <v>1.66</v>
      </c>
      <c r="CF46" s="200"/>
      <c r="CG46" s="202"/>
      <c r="CH46" s="201"/>
      <c r="CI46" s="201"/>
      <c r="CJ46" s="201">
        <v>60.94</v>
      </c>
      <c r="CK46" s="198">
        <f>TRUNC(AL46*CJ46)+0</f>
        <v>0</v>
      </c>
      <c r="CL46" s="200">
        <v>0.1</v>
      </c>
      <c r="CM46" s="199">
        <f>TRUNC(CL46*AK46,2)</f>
        <v>0</v>
      </c>
      <c r="CN46" s="198">
        <v>0</v>
      </c>
    </row>
    <row r="47" spans="1:92" ht="20.149999999999999" customHeight="1">
      <c r="A47" s="210">
        <v>5</v>
      </c>
      <c r="B47" s="209" t="s">
        <v>180</v>
      </c>
      <c r="C47" s="209"/>
      <c r="D47" s="209"/>
      <c r="E47" s="209"/>
      <c r="F47" s="209"/>
      <c r="G47" s="209"/>
      <c r="H47" s="209"/>
      <c r="I47" s="209"/>
      <c r="J47" s="209"/>
      <c r="K47" s="209"/>
      <c r="L47" s="209"/>
      <c r="M47" s="209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  <c r="Y47" s="209"/>
      <c r="Z47" s="209"/>
      <c r="AA47" s="209"/>
      <c r="AB47" s="209"/>
      <c r="AC47" s="209"/>
      <c r="AD47" s="209"/>
      <c r="AE47" s="209"/>
      <c r="AF47" s="209"/>
      <c r="AG47" s="209"/>
      <c r="AH47" s="209"/>
      <c r="AI47" s="209"/>
      <c r="AJ47" s="209"/>
      <c r="AK47" s="209"/>
      <c r="AL47" s="209"/>
      <c r="AM47" s="209"/>
      <c r="AN47" s="209"/>
      <c r="AO47" s="209"/>
      <c r="AP47" s="209"/>
      <c r="AQ47" s="209"/>
      <c r="AR47" s="209"/>
      <c r="AS47" s="209"/>
      <c r="AT47" s="209"/>
      <c r="AU47" s="209"/>
      <c r="AV47" s="209"/>
      <c r="AW47" s="209"/>
      <c r="AX47" s="209"/>
      <c r="AY47" s="209"/>
      <c r="AZ47" s="209"/>
      <c r="BA47" s="209"/>
      <c r="BB47" s="209"/>
      <c r="BC47" s="209"/>
      <c r="BD47" s="209"/>
      <c r="BE47" s="209"/>
      <c r="BF47" s="209"/>
      <c r="BG47" s="209"/>
      <c r="BH47" s="209"/>
      <c r="BI47" s="209"/>
      <c r="BJ47" s="209"/>
      <c r="BK47" s="209"/>
      <c r="BL47" s="209"/>
      <c r="BM47" s="209"/>
      <c r="BN47" s="209"/>
      <c r="BO47" s="209"/>
      <c r="BP47" s="209"/>
      <c r="BQ47" s="209"/>
      <c r="BR47" s="209"/>
      <c r="BS47" s="209"/>
      <c r="BT47" s="209"/>
      <c r="BU47" s="209"/>
      <c r="BV47" s="209"/>
      <c r="BW47" s="209"/>
      <c r="BX47" s="209"/>
      <c r="BY47" s="209"/>
      <c r="BZ47" s="204"/>
      <c r="CA47" s="204"/>
      <c r="CB47" s="204"/>
      <c r="CC47" s="204"/>
      <c r="CD47" s="204"/>
      <c r="CE47" s="204"/>
      <c r="CF47" s="204"/>
      <c r="CG47" s="204"/>
      <c r="CH47" s="204"/>
      <c r="CI47" s="204"/>
      <c r="CJ47" s="204"/>
      <c r="CK47" s="204"/>
      <c r="CL47" s="204"/>
      <c r="CM47" s="204"/>
      <c r="CN47" s="204"/>
    </row>
    <row r="48" spans="1:92" ht="56">
      <c r="A48" s="208" t="s">
        <v>179</v>
      </c>
      <c r="B48" s="207">
        <v>87894</v>
      </c>
      <c r="C48" s="278" t="s">
        <v>178</v>
      </c>
      <c r="D48" s="205"/>
      <c r="E48" s="205"/>
      <c r="F48" s="205"/>
      <c r="G48" s="205"/>
      <c r="H48" s="205"/>
      <c r="I48" s="205"/>
      <c r="J48" s="205"/>
      <c r="K48" s="205"/>
      <c r="L48" s="205"/>
      <c r="M48" s="205"/>
      <c r="N48" s="205"/>
      <c r="O48" s="205"/>
      <c r="P48" s="205"/>
      <c r="Q48" s="205"/>
      <c r="R48" s="205"/>
      <c r="S48" s="205"/>
      <c r="T48" s="205"/>
      <c r="U48" s="205"/>
      <c r="V48" s="205"/>
      <c r="W48" s="205"/>
      <c r="X48" s="205"/>
      <c r="Y48" s="205"/>
      <c r="Z48" s="205"/>
      <c r="AA48" s="205"/>
      <c r="AB48" s="205"/>
      <c r="AC48" s="205"/>
      <c r="AD48" s="205"/>
      <c r="AE48" s="205"/>
      <c r="AF48" s="205"/>
      <c r="AG48" s="205"/>
      <c r="AH48" s="205"/>
      <c r="AI48" s="205"/>
      <c r="AJ48" s="205"/>
      <c r="AK48" s="205"/>
      <c r="AL48" s="205"/>
      <c r="AM48" s="205"/>
      <c r="AN48" s="205"/>
      <c r="AO48" s="205"/>
      <c r="AP48" s="205"/>
      <c r="AQ48" s="205"/>
      <c r="AR48" s="205"/>
      <c r="AS48" s="205"/>
      <c r="AT48" s="205"/>
      <c r="AU48" s="205"/>
      <c r="AV48" s="205"/>
      <c r="AW48" s="205"/>
      <c r="AX48" s="205"/>
      <c r="AY48" s="205"/>
      <c r="AZ48" s="205"/>
      <c r="BA48" s="205"/>
      <c r="BB48" s="205"/>
      <c r="BC48" s="205"/>
      <c r="BD48" s="205"/>
      <c r="BE48" s="205"/>
      <c r="BF48" s="205"/>
      <c r="BG48" s="205"/>
      <c r="BH48" s="205"/>
      <c r="BI48" s="205"/>
      <c r="BJ48" s="205"/>
      <c r="BK48" s="205"/>
      <c r="BL48" s="205"/>
      <c r="BM48" s="205"/>
      <c r="BN48" s="205"/>
      <c r="BO48" s="205"/>
      <c r="BP48" s="205"/>
      <c r="BQ48" s="205"/>
      <c r="BR48" s="205"/>
      <c r="BS48" s="205"/>
      <c r="BT48" s="205"/>
      <c r="BU48" s="205"/>
      <c r="BV48" s="205"/>
      <c r="BW48" s="205"/>
      <c r="BX48" s="205"/>
      <c r="BY48" s="205"/>
      <c r="BZ48" s="204"/>
      <c r="CA48" s="204"/>
      <c r="CB48" s="204"/>
      <c r="CC48" s="200"/>
      <c r="CD48" s="202"/>
      <c r="CE48" s="201"/>
      <c r="CF48" s="200">
        <v>0.5</v>
      </c>
      <c r="CG48" s="202">
        <f>TRUNC(CF48*AK48,2)</f>
        <v>0</v>
      </c>
      <c r="CH48" s="201">
        <f>TRUNC(CG48*AL48)</f>
        <v>0</v>
      </c>
      <c r="CI48" s="201"/>
      <c r="CJ48" s="201">
        <v>1078.6600000000001</v>
      </c>
      <c r="CK48" s="198">
        <f>TRUNC(AL48*CJ48)+0</f>
        <v>0</v>
      </c>
      <c r="CL48" s="200">
        <v>0.5</v>
      </c>
      <c r="CM48" s="199">
        <f>TRUNC(CL48*AK48,2)</f>
        <v>0</v>
      </c>
      <c r="CN48" s="198">
        <v>0</v>
      </c>
    </row>
    <row r="49" spans="1:92" ht="56">
      <c r="A49" s="208" t="s">
        <v>177</v>
      </c>
      <c r="B49" s="207">
        <v>87548</v>
      </c>
      <c r="C49" s="278" t="s">
        <v>176</v>
      </c>
      <c r="D49" s="205"/>
      <c r="E49" s="205"/>
      <c r="F49" s="205"/>
      <c r="G49" s="205"/>
      <c r="H49" s="205"/>
      <c r="I49" s="205"/>
      <c r="J49" s="205"/>
      <c r="K49" s="205"/>
      <c r="L49" s="205"/>
      <c r="M49" s="205"/>
      <c r="N49" s="205"/>
      <c r="O49" s="205"/>
      <c r="P49" s="205"/>
      <c r="Q49" s="205"/>
      <c r="R49" s="205"/>
      <c r="S49" s="205"/>
      <c r="T49" s="205"/>
      <c r="U49" s="205"/>
      <c r="V49" s="205"/>
      <c r="W49" s="205"/>
      <c r="X49" s="205"/>
      <c r="Y49" s="205"/>
      <c r="Z49" s="205"/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205"/>
      <c r="AS49" s="205"/>
      <c r="AT49" s="205"/>
      <c r="AU49" s="205"/>
      <c r="AV49" s="205"/>
      <c r="AW49" s="205"/>
      <c r="AX49" s="205"/>
      <c r="AY49" s="205"/>
      <c r="AZ49" s="205"/>
      <c r="BA49" s="205"/>
      <c r="BB49" s="205"/>
      <c r="BC49" s="205"/>
      <c r="BD49" s="205"/>
      <c r="BE49" s="205"/>
      <c r="BF49" s="205"/>
      <c r="BG49" s="205"/>
      <c r="BH49" s="205"/>
      <c r="BI49" s="205"/>
      <c r="BJ49" s="205"/>
      <c r="BK49" s="205"/>
      <c r="BL49" s="205"/>
      <c r="BM49" s="205"/>
      <c r="BN49" s="205"/>
      <c r="BO49" s="205"/>
      <c r="BP49" s="205"/>
      <c r="BQ49" s="205"/>
      <c r="BR49" s="205"/>
      <c r="BS49" s="205"/>
      <c r="BT49" s="205"/>
      <c r="BU49" s="205"/>
      <c r="BV49" s="205"/>
      <c r="BW49" s="205"/>
      <c r="BX49" s="205"/>
      <c r="BY49" s="205"/>
      <c r="BZ49" s="204"/>
      <c r="CA49" s="204"/>
      <c r="CB49" s="204"/>
      <c r="CC49" s="200"/>
      <c r="CD49" s="202"/>
      <c r="CE49" s="201"/>
      <c r="CF49" s="200">
        <v>0.5</v>
      </c>
      <c r="CG49" s="202">
        <f>TRUNC(CF49*AK49,2)</f>
        <v>0</v>
      </c>
      <c r="CH49" s="201">
        <f>TRUNC(CG49*AL49)</f>
        <v>0</v>
      </c>
      <c r="CI49" s="201"/>
      <c r="CJ49" s="201">
        <v>1078.6600000000001</v>
      </c>
      <c r="CK49" s="198">
        <f>TRUNC(AL49*CJ49)+0</f>
        <v>0</v>
      </c>
      <c r="CL49" s="200">
        <v>0.5</v>
      </c>
      <c r="CM49" s="199">
        <f>TRUNC(CL49*AK49,2)</f>
        <v>0</v>
      </c>
      <c r="CN49" s="198">
        <v>0</v>
      </c>
    </row>
    <row r="50" spans="1:92" ht="56">
      <c r="A50" s="208" t="s">
        <v>175</v>
      </c>
      <c r="B50" s="207">
        <v>104817</v>
      </c>
      <c r="C50" s="278" t="s">
        <v>174</v>
      </c>
      <c r="D50" s="205"/>
      <c r="E50" s="205"/>
      <c r="F50" s="205"/>
      <c r="G50" s="205"/>
      <c r="H50" s="205"/>
      <c r="I50" s="205"/>
      <c r="J50" s="205"/>
      <c r="K50" s="205"/>
      <c r="L50" s="205"/>
      <c r="M50" s="205"/>
      <c r="N50" s="205"/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205"/>
      <c r="Z50" s="205"/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205"/>
      <c r="AS50" s="205"/>
      <c r="AT50" s="205"/>
      <c r="AU50" s="205"/>
      <c r="AV50" s="205"/>
      <c r="AW50" s="205"/>
      <c r="AX50" s="205"/>
      <c r="AY50" s="205"/>
      <c r="AZ50" s="205"/>
      <c r="BA50" s="205"/>
      <c r="BB50" s="205"/>
      <c r="BC50" s="205"/>
      <c r="BD50" s="205"/>
      <c r="BE50" s="205"/>
      <c r="BF50" s="205"/>
      <c r="BG50" s="205"/>
      <c r="BH50" s="205"/>
      <c r="BI50" s="205"/>
      <c r="BJ50" s="205"/>
      <c r="BK50" s="205"/>
      <c r="BL50" s="205"/>
      <c r="BM50" s="205"/>
      <c r="BN50" s="205"/>
      <c r="BO50" s="205"/>
      <c r="BP50" s="205"/>
      <c r="BQ50" s="205"/>
      <c r="BR50" s="205"/>
      <c r="BS50" s="205"/>
      <c r="BT50" s="205"/>
      <c r="BU50" s="205"/>
      <c r="BV50" s="205"/>
      <c r="BW50" s="205"/>
      <c r="BX50" s="205"/>
      <c r="BY50" s="205"/>
      <c r="BZ50" s="204"/>
      <c r="CA50" s="204"/>
      <c r="CB50" s="204"/>
      <c r="CC50" s="200"/>
      <c r="CD50" s="202"/>
      <c r="CE50" s="201"/>
      <c r="CF50" s="200"/>
      <c r="CG50" s="202">
        <f>TRUNC(CF50*AK50,2)</f>
        <v>0</v>
      </c>
      <c r="CH50" s="201">
        <f>TRUNC(CG50*AL50)</f>
        <v>0</v>
      </c>
      <c r="CI50" s="201"/>
      <c r="CJ50" s="201">
        <v>72.010000000000005</v>
      </c>
      <c r="CK50" s="198">
        <f>TRUNC(AL50*CJ50)+0</f>
        <v>0</v>
      </c>
      <c r="CL50" s="200">
        <v>1</v>
      </c>
      <c r="CM50" s="199">
        <f>TRUNC(CL50*AK50,2)</f>
        <v>0</v>
      </c>
      <c r="CN50" s="198">
        <v>36700.129999999997</v>
      </c>
    </row>
    <row r="51" spans="1:92" ht="42">
      <c r="A51" s="208" t="s">
        <v>173</v>
      </c>
      <c r="B51" s="207">
        <v>87262</v>
      </c>
      <c r="C51" s="278" t="s">
        <v>172</v>
      </c>
      <c r="D51" s="205"/>
      <c r="E51" s="205"/>
      <c r="F51" s="205"/>
      <c r="G51" s="205"/>
      <c r="H51" s="205"/>
      <c r="I51" s="205"/>
      <c r="J51" s="205"/>
      <c r="K51" s="205"/>
      <c r="L51" s="205"/>
      <c r="M51" s="205"/>
      <c r="N51" s="205"/>
      <c r="O51" s="205"/>
      <c r="P51" s="205"/>
      <c r="Q51" s="205"/>
      <c r="R51" s="205"/>
      <c r="S51" s="205"/>
      <c r="T51" s="205"/>
      <c r="U51" s="205"/>
      <c r="V51" s="205"/>
      <c r="W51" s="205"/>
      <c r="X51" s="205"/>
      <c r="Y51" s="205"/>
      <c r="Z51" s="205"/>
      <c r="AA51" s="205"/>
      <c r="AB51" s="205"/>
      <c r="AC51" s="205"/>
      <c r="AD51" s="205"/>
      <c r="AE51" s="205"/>
      <c r="AF51" s="205"/>
      <c r="AG51" s="205"/>
      <c r="AH51" s="205"/>
      <c r="AI51" s="205"/>
      <c r="AJ51" s="205"/>
      <c r="AK51" s="205"/>
      <c r="AL51" s="205"/>
      <c r="AM51" s="205"/>
      <c r="AN51" s="205"/>
      <c r="AO51" s="205"/>
      <c r="AP51" s="205"/>
      <c r="AQ51" s="205"/>
      <c r="AR51" s="205"/>
      <c r="AS51" s="205"/>
      <c r="AT51" s="205"/>
      <c r="AU51" s="205"/>
      <c r="AV51" s="205"/>
      <c r="AW51" s="205"/>
      <c r="AX51" s="205"/>
      <c r="AY51" s="205"/>
      <c r="AZ51" s="205"/>
      <c r="BA51" s="205"/>
      <c r="BB51" s="205"/>
      <c r="BC51" s="205"/>
      <c r="BD51" s="205"/>
      <c r="BE51" s="205"/>
      <c r="BF51" s="205"/>
      <c r="BG51" s="205"/>
      <c r="BH51" s="205"/>
      <c r="BI51" s="205"/>
      <c r="BJ51" s="205"/>
      <c r="BK51" s="205"/>
      <c r="BL51" s="205"/>
      <c r="BM51" s="205"/>
      <c r="BN51" s="205"/>
      <c r="BO51" s="205"/>
      <c r="BP51" s="205"/>
      <c r="BQ51" s="205"/>
      <c r="BR51" s="205"/>
      <c r="BS51" s="205"/>
      <c r="BT51" s="205"/>
      <c r="BU51" s="205"/>
      <c r="BV51" s="205"/>
      <c r="BW51" s="205"/>
      <c r="BX51" s="205"/>
      <c r="BY51" s="205"/>
      <c r="BZ51" s="204"/>
      <c r="CA51" s="204"/>
      <c r="CB51" s="204"/>
      <c r="CC51" s="200"/>
      <c r="CD51" s="202"/>
      <c r="CE51" s="201"/>
      <c r="CF51" s="200"/>
      <c r="CG51" s="202"/>
      <c r="CH51" s="201"/>
      <c r="CI51" s="201"/>
      <c r="CJ51" s="201"/>
      <c r="CK51" s="198">
        <f>TRUNC(AL51*CJ51)+0</f>
        <v>0</v>
      </c>
      <c r="CL51" s="200">
        <v>0</v>
      </c>
      <c r="CM51" s="199">
        <f>TRUNC(CL51*AK51,2)</f>
        <v>0</v>
      </c>
      <c r="CN51" s="198">
        <f>TRUNC(CM51*AL51)+0</f>
        <v>0</v>
      </c>
    </row>
    <row r="52" spans="1:92">
      <c r="A52" s="208"/>
      <c r="B52" s="207"/>
      <c r="C52" s="206"/>
      <c r="D52" s="265" t="s">
        <v>370</v>
      </c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Z52" s="264"/>
      <c r="AA52" s="264"/>
      <c r="AB52" s="264"/>
      <c r="AC52" s="264"/>
      <c r="AD52" s="264"/>
      <c r="AE52" s="264"/>
      <c r="AF52" s="264"/>
      <c r="AG52" s="264"/>
      <c r="AH52" s="264"/>
      <c r="AI52" s="264"/>
      <c r="AJ52" s="264"/>
      <c r="AK52" s="264"/>
      <c r="AL52" s="264"/>
      <c r="AM52" s="264"/>
      <c r="AN52" s="264"/>
      <c r="AO52" s="264"/>
      <c r="AP52" s="264"/>
      <c r="AQ52" s="264"/>
      <c r="AR52" s="264"/>
      <c r="AS52" s="264"/>
      <c r="AT52" s="264"/>
      <c r="AU52" s="264"/>
      <c r="AV52" s="264"/>
      <c r="AW52" s="264"/>
      <c r="AX52" s="264"/>
      <c r="AY52" s="264"/>
      <c r="AZ52" s="264"/>
      <c r="BA52" s="264"/>
      <c r="BB52" s="264"/>
      <c r="BC52" s="264"/>
      <c r="BD52" s="264"/>
      <c r="BE52" s="264"/>
      <c r="BF52" s="264"/>
      <c r="BG52" s="264"/>
      <c r="BH52" s="264"/>
      <c r="BI52" s="264"/>
      <c r="BJ52" s="264"/>
      <c r="BK52" s="264"/>
      <c r="BL52" s="264"/>
      <c r="BM52" s="264"/>
      <c r="BN52" s="264"/>
      <c r="BO52" s="264"/>
      <c r="BP52" s="264"/>
      <c r="BQ52" s="264"/>
      <c r="BR52" s="264"/>
      <c r="BS52" s="264"/>
      <c r="BT52" s="264"/>
      <c r="BU52" s="264"/>
      <c r="BV52" s="264"/>
      <c r="BW52" s="263"/>
      <c r="BX52" s="214"/>
      <c r="BY52" s="214"/>
      <c r="BZ52" s="204"/>
      <c r="CA52" s="204"/>
      <c r="CB52" s="204"/>
      <c r="CC52" s="200"/>
      <c r="CD52" s="202"/>
      <c r="CE52" s="201"/>
      <c r="CF52" s="200"/>
      <c r="CG52" s="202"/>
      <c r="CH52" s="201"/>
      <c r="CI52" s="201"/>
      <c r="CJ52" s="201"/>
      <c r="CK52" s="198"/>
      <c r="CL52" s="200"/>
      <c r="CM52" s="199"/>
      <c r="CN52" s="198"/>
    </row>
    <row r="53" spans="1:92">
      <c r="A53" s="208"/>
      <c r="B53" s="207"/>
      <c r="C53" s="221" t="s">
        <v>322</v>
      </c>
      <c r="D53" s="234">
        <v>3.5</v>
      </c>
      <c r="E53" s="234" t="s">
        <v>310</v>
      </c>
      <c r="F53" s="229">
        <v>3.65</v>
      </c>
      <c r="G53" s="229" t="s">
        <v>310</v>
      </c>
      <c r="H53" s="229">
        <v>3.5</v>
      </c>
      <c r="I53" s="229" t="s">
        <v>310</v>
      </c>
      <c r="J53" s="229">
        <v>3.65</v>
      </c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29"/>
      <c r="W53" s="236"/>
      <c r="X53" s="251"/>
      <c r="Y53" s="235"/>
      <c r="Z53" s="227"/>
      <c r="AA53" s="224"/>
      <c r="AB53" s="228"/>
      <c r="AC53" s="227"/>
      <c r="AD53" s="93"/>
      <c r="AE53" s="226"/>
      <c r="AF53" s="227"/>
      <c r="AG53" s="93"/>
      <c r="AH53" s="226"/>
      <c r="AI53" s="227"/>
      <c r="AJ53" s="93"/>
      <c r="AK53" s="226"/>
      <c r="AL53" s="227"/>
      <c r="AM53" s="93"/>
      <c r="AN53" s="226"/>
      <c r="AO53" s="95"/>
      <c r="AP53" s="93"/>
      <c r="AQ53" s="226"/>
      <c r="AR53" s="225"/>
      <c r="AS53" s="224"/>
      <c r="AT53" s="204"/>
      <c r="AU53" s="204"/>
      <c r="AV53" s="214"/>
      <c r="AW53" s="214"/>
      <c r="AX53" s="214"/>
      <c r="AY53" s="214"/>
      <c r="AZ53" s="214"/>
      <c r="BA53" s="214"/>
      <c r="BB53" s="214"/>
      <c r="BC53" s="214"/>
      <c r="BD53" s="214"/>
      <c r="BE53" s="214"/>
      <c r="BF53" s="214"/>
      <c r="BG53" s="214"/>
      <c r="BH53" s="214"/>
      <c r="BI53" s="214"/>
      <c r="BJ53" s="214"/>
      <c r="BK53" s="214"/>
      <c r="BL53" s="214"/>
      <c r="BM53" s="214"/>
      <c r="BN53" s="214"/>
      <c r="BO53" s="214"/>
      <c r="BP53" s="214"/>
      <c r="BQ53" s="214"/>
      <c r="BR53" s="214"/>
      <c r="BS53" s="214"/>
      <c r="BT53" s="214"/>
      <c r="BU53" s="214"/>
      <c r="BV53" s="214" t="s">
        <v>338</v>
      </c>
      <c r="BW53" s="258">
        <v>2.7</v>
      </c>
      <c r="BX53" s="223" t="s">
        <v>10</v>
      </c>
      <c r="BY53" s="222">
        <f>(D53+F53+H53+J53+L53+N53+P53)*BW53</f>
        <v>38.610000000000007</v>
      </c>
      <c r="BZ53" s="204"/>
      <c r="CA53" s="204"/>
      <c r="CB53" s="204"/>
      <c r="CC53" s="200"/>
      <c r="CD53" s="202"/>
      <c r="CE53" s="201"/>
      <c r="CF53" s="200"/>
      <c r="CG53" s="202"/>
      <c r="CH53" s="201"/>
      <c r="CI53" s="201"/>
      <c r="CJ53" s="201"/>
      <c r="CK53" s="198"/>
      <c r="CL53" s="200"/>
      <c r="CM53" s="199"/>
      <c r="CN53" s="198"/>
    </row>
    <row r="54" spans="1:92">
      <c r="A54" s="208"/>
      <c r="B54" s="207"/>
      <c r="C54" s="221" t="s">
        <v>321</v>
      </c>
      <c r="D54" s="234">
        <v>3.5</v>
      </c>
      <c r="E54" s="234" t="s">
        <v>310</v>
      </c>
      <c r="F54" s="229">
        <v>1.3</v>
      </c>
      <c r="G54" s="229" t="s">
        <v>310</v>
      </c>
      <c r="H54" s="229">
        <v>3.5</v>
      </c>
      <c r="I54" s="229" t="s">
        <v>310</v>
      </c>
      <c r="J54" s="229">
        <v>1.3</v>
      </c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36"/>
      <c r="X54" s="251"/>
      <c r="Y54" s="235"/>
      <c r="Z54" s="227"/>
      <c r="AA54" s="224"/>
      <c r="AB54" s="228"/>
      <c r="AC54" s="227"/>
      <c r="AD54" s="93"/>
      <c r="AE54" s="226"/>
      <c r="AF54" s="227"/>
      <c r="AG54" s="93"/>
      <c r="AH54" s="226"/>
      <c r="AI54" s="227"/>
      <c r="AJ54" s="93"/>
      <c r="AK54" s="226"/>
      <c r="AL54" s="227"/>
      <c r="AM54" s="93"/>
      <c r="AN54" s="226"/>
      <c r="AO54" s="95"/>
      <c r="AP54" s="93"/>
      <c r="AQ54" s="226"/>
      <c r="AR54" s="225"/>
      <c r="AS54" s="224"/>
      <c r="AT54" s="204"/>
      <c r="AU54" s="204"/>
      <c r="AV54" s="214"/>
      <c r="AW54" s="214"/>
      <c r="AX54" s="214"/>
      <c r="AY54" s="214"/>
      <c r="AZ54" s="214"/>
      <c r="BA54" s="214"/>
      <c r="BB54" s="214"/>
      <c r="BC54" s="214"/>
      <c r="BD54" s="214"/>
      <c r="BE54" s="214"/>
      <c r="BF54" s="214"/>
      <c r="BG54" s="214"/>
      <c r="BH54" s="214"/>
      <c r="BI54" s="214"/>
      <c r="BJ54" s="214"/>
      <c r="BK54" s="214"/>
      <c r="BL54" s="214"/>
      <c r="BM54" s="214"/>
      <c r="BN54" s="214"/>
      <c r="BO54" s="214"/>
      <c r="BP54" s="214"/>
      <c r="BQ54" s="214"/>
      <c r="BR54" s="214"/>
      <c r="BS54" s="214"/>
      <c r="BT54" s="214"/>
      <c r="BU54" s="214"/>
      <c r="BV54" s="214" t="s">
        <v>338</v>
      </c>
      <c r="BW54" s="258">
        <v>2.7</v>
      </c>
      <c r="BX54" s="223" t="s">
        <v>10</v>
      </c>
      <c r="BY54" s="222">
        <f>(D54+F54+H54+J54+L54+N54+P54)*BW54</f>
        <v>25.920000000000005</v>
      </c>
      <c r="BZ54" s="204"/>
      <c r="CA54" s="204"/>
      <c r="CB54" s="204"/>
      <c r="CC54" s="200"/>
      <c r="CD54" s="202"/>
      <c r="CE54" s="201"/>
      <c r="CF54" s="200"/>
      <c r="CG54" s="202"/>
      <c r="CH54" s="201"/>
      <c r="CI54" s="201"/>
      <c r="CJ54" s="201"/>
      <c r="CK54" s="198"/>
      <c r="CL54" s="200"/>
      <c r="CM54" s="199"/>
      <c r="CN54" s="198"/>
    </row>
    <row r="55" spans="1:92">
      <c r="A55" s="208"/>
      <c r="B55" s="207"/>
      <c r="C55" s="221" t="s">
        <v>330</v>
      </c>
      <c r="D55" s="234">
        <v>1.8</v>
      </c>
      <c r="E55" s="234" t="s">
        <v>310</v>
      </c>
      <c r="F55" s="229">
        <v>1.6</v>
      </c>
      <c r="G55" s="246" t="s">
        <v>310</v>
      </c>
      <c r="H55" s="245">
        <v>1.8</v>
      </c>
      <c r="I55" s="229" t="s">
        <v>310</v>
      </c>
      <c r="J55" s="244">
        <v>1.6</v>
      </c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04"/>
      <c r="X55" s="204"/>
      <c r="Y55" s="204"/>
      <c r="Z55" s="204"/>
      <c r="AA55" s="242"/>
      <c r="AB55" s="223"/>
      <c r="AC55" s="241"/>
      <c r="AD55" s="240"/>
      <c r="AE55" s="239"/>
      <c r="AF55" s="241"/>
      <c r="AG55" s="240"/>
      <c r="AH55" s="239"/>
      <c r="AI55" s="241"/>
      <c r="AJ55" s="240"/>
      <c r="AK55" s="239"/>
      <c r="AL55" s="241"/>
      <c r="AM55" s="240"/>
      <c r="AN55" s="239"/>
      <c r="AO55" s="204"/>
      <c r="AP55" s="237"/>
      <c r="AQ55" s="226"/>
      <c r="AR55" s="225"/>
      <c r="AS55" s="224"/>
      <c r="AT55" s="204"/>
      <c r="AU55" s="204"/>
      <c r="AV55" s="214"/>
      <c r="AW55" s="214"/>
      <c r="AX55" s="214"/>
      <c r="AY55" s="214"/>
      <c r="AZ55" s="214"/>
      <c r="BA55" s="214"/>
      <c r="BB55" s="214"/>
      <c r="BC55" s="214"/>
      <c r="BD55" s="214"/>
      <c r="BE55" s="214"/>
      <c r="BF55" s="214"/>
      <c r="BG55" s="214"/>
      <c r="BH55" s="214"/>
      <c r="BI55" s="214"/>
      <c r="BJ55" s="214"/>
      <c r="BK55" s="214"/>
      <c r="BL55" s="214"/>
      <c r="BM55" s="214"/>
      <c r="BN55" s="214"/>
      <c r="BO55" s="214"/>
      <c r="BP55" s="214"/>
      <c r="BQ55" s="214"/>
      <c r="BR55" s="214"/>
      <c r="BS55" s="214"/>
      <c r="BT55" s="214"/>
      <c r="BU55" s="214"/>
      <c r="BV55" s="214" t="s">
        <v>338</v>
      </c>
      <c r="BW55" s="258">
        <v>4.4000000000000004</v>
      </c>
      <c r="BX55" s="223" t="s">
        <v>10</v>
      </c>
      <c r="BY55" s="222">
        <f>(D55+F55+H55+J55+L55+N55+P55)*BW55</f>
        <v>29.920000000000005</v>
      </c>
      <c r="BZ55" s="204"/>
      <c r="CA55" s="204"/>
      <c r="CB55" s="204"/>
      <c r="CC55" s="200"/>
      <c r="CD55" s="202"/>
      <c r="CE55" s="201"/>
      <c r="CF55" s="200"/>
      <c r="CG55" s="202"/>
      <c r="CH55" s="201"/>
      <c r="CI55" s="201"/>
      <c r="CJ55" s="201"/>
      <c r="CK55" s="198"/>
      <c r="CL55" s="200"/>
      <c r="CM55" s="199"/>
      <c r="CN55" s="198"/>
    </row>
    <row r="56" spans="1:92">
      <c r="A56" s="208"/>
      <c r="B56" s="207"/>
      <c r="C56" s="221" t="s">
        <v>369</v>
      </c>
      <c r="D56" s="234">
        <v>4.51</v>
      </c>
      <c r="E56" s="234" t="s">
        <v>310</v>
      </c>
      <c r="F56" s="229">
        <v>5.0999999999999996</v>
      </c>
      <c r="G56" s="246"/>
      <c r="H56" s="245"/>
      <c r="I56" s="229"/>
      <c r="J56" s="244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04"/>
      <c r="X56" s="204"/>
      <c r="Y56" s="204"/>
      <c r="Z56" s="204"/>
      <c r="AA56" s="242"/>
      <c r="AB56" s="223"/>
      <c r="AC56" s="241"/>
      <c r="AD56" s="240"/>
      <c r="AE56" s="239"/>
      <c r="AF56" s="241"/>
      <c r="AG56" s="240"/>
      <c r="AH56" s="239"/>
      <c r="AI56" s="241"/>
      <c r="AJ56" s="240"/>
      <c r="AK56" s="239"/>
      <c r="AL56" s="241"/>
      <c r="AM56" s="240"/>
      <c r="AN56" s="239"/>
      <c r="AO56" s="204"/>
      <c r="AP56" s="237"/>
      <c r="AQ56" s="226"/>
      <c r="AR56" s="225"/>
      <c r="AS56" s="224"/>
      <c r="AT56" s="204"/>
      <c r="AU56" s="204"/>
      <c r="AV56" s="214"/>
      <c r="AW56" s="214"/>
      <c r="AX56" s="214"/>
      <c r="AY56" s="214"/>
      <c r="AZ56" s="214"/>
      <c r="BA56" s="214"/>
      <c r="BB56" s="214"/>
      <c r="BC56" s="214"/>
      <c r="BD56" s="214"/>
      <c r="BE56" s="214"/>
      <c r="BF56" s="214"/>
      <c r="BG56" s="214"/>
      <c r="BH56" s="214"/>
      <c r="BI56" s="214"/>
      <c r="BJ56" s="214"/>
      <c r="BK56" s="214"/>
      <c r="BL56" s="214"/>
      <c r="BM56" s="214"/>
      <c r="BN56" s="214"/>
      <c r="BO56" s="214"/>
      <c r="BP56" s="214"/>
      <c r="BQ56" s="214"/>
      <c r="BR56" s="214"/>
      <c r="BS56" s="214"/>
      <c r="BT56" s="214"/>
      <c r="BU56" s="214"/>
      <c r="BV56" s="214" t="s">
        <v>309</v>
      </c>
      <c r="BW56" s="258">
        <v>5.3</v>
      </c>
      <c r="BX56" s="223" t="s">
        <v>10</v>
      </c>
      <c r="BY56" s="222">
        <f>(D56+F56+H56+J56+L56+N56+P56)*BW56</f>
        <v>50.932999999999993</v>
      </c>
      <c r="BZ56" s="204"/>
      <c r="CA56" s="204"/>
      <c r="CB56" s="204"/>
      <c r="CC56" s="200"/>
      <c r="CD56" s="202"/>
      <c r="CE56" s="201"/>
      <c r="CF56" s="200"/>
      <c r="CG56" s="202"/>
      <c r="CH56" s="201"/>
      <c r="CI56" s="201"/>
      <c r="CJ56" s="201"/>
      <c r="CK56" s="198"/>
      <c r="CL56" s="200"/>
      <c r="CM56" s="199"/>
      <c r="CN56" s="198"/>
    </row>
    <row r="57" spans="1:92">
      <c r="A57" s="208"/>
      <c r="B57" s="207"/>
      <c r="C57" s="221"/>
      <c r="D57" s="220" t="s">
        <v>361</v>
      </c>
      <c r="E57" s="219"/>
      <c r="F57" s="219"/>
      <c r="G57" s="219"/>
      <c r="H57" s="219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Y57" s="219"/>
      <c r="Z57" s="219"/>
      <c r="AA57" s="219"/>
      <c r="AB57" s="219"/>
      <c r="AC57" s="219"/>
      <c r="AD57" s="219"/>
      <c r="AE57" s="219"/>
      <c r="AF57" s="219"/>
      <c r="AG57" s="219"/>
      <c r="AH57" s="219"/>
      <c r="AI57" s="219"/>
      <c r="AJ57" s="219"/>
      <c r="AK57" s="219"/>
      <c r="AL57" s="219"/>
      <c r="AM57" s="219"/>
      <c r="AN57" s="219"/>
      <c r="AO57" s="219"/>
      <c r="AP57" s="219"/>
      <c r="AQ57" s="219"/>
      <c r="AR57" s="219"/>
      <c r="AS57" s="219"/>
      <c r="AT57" s="219"/>
      <c r="AU57" s="219"/>
      <c r="AV57" s="219"/>
      <c r="AW57" s="219"/>
      <c r="AX57" s="219"/>
      <c r="AY57" s="219"/>
      <c r="AZ57" s="219"/>
      <c r="BA57" s="219"/>
      <c r="BB57" s="219"/>
      <c r="BC57" s="219"/>
      <c r="BD57" s="219"/>
      <c r="BE57" s="219"/>
      <c r="BF57" s="219"/>
      <c r="BG57" s="219"/>
      <c r="BH57" s="219"/>
      <c r="BI57" s="219"/>
      <c r="BJ57" s="219"/>
      <c r="BK57" s="219"/>
      <c r="BL57" s="219"/>
      <c r="BM57" s="219"/>
      <c r="BN57" s="219"/>
      <c r="BO57" s="219"/>
      <c r="BP57" s="219"/>
      <c r="BQ57" s="219"/>
      <c r="BR57" s="219"/>
      <c r="BS57" s="219"/>
      <c r="BT57" s="219"/>
      <c r="BU57" s="219"/>
      <c r="BV57" s="219"/>
      <c r="BW57" s="218"/>
      <c r="BX57" s="217" t="s">
        <v>10</v>
      </c>
      <c r="BY57" s="216">
        <f>SUM(BY53:BY56)</f>
        <v>145.38300000000001</v>
      </c>
      <c r="BZ57" s="204"/>
      <c r="CA57" s="204"/>
      <c r="CB57" s="204"/>
      <c r="CC57" s="200"/>
      <c r="CD57" s="202"/>
      <c r="CE57" s="201"/>
      <c r="CF57" s="200"/>
      <c r="CG57" s="202"/>
      <c r="CH57" s="201"/>
      <c r="CI57" s="201"/>
      <c r="CJ57" s="201"/>
      <c r="CK57" s="198"/>
      <c r="CL57" s="200"/>
      <c r="CM57" s="199"/>
      <c r="CN57" s="198"/>
    </row>
    <row r="58" spans="1:92">
      <c r="A58" s="208"/>
      <c r="B58" s="207"/>
      <c r="D58" s="265" t="s">
        <v>346</v>
      </c>
      <c r="E58" s="264"/>
      <c r="F58" s="264"/>
      <c r="G58" s="264"/>
      <c r="H58" s="264"/>
      <c r="I58" s="264"/>
      <c r="J58" s="264"/>
      <c r="K58" s="264"/>
      <c r="L58" s="264"/>
      <c r="M58" s="264"/>
      <c r="N58" s="264"/>
      <c r="O58" s="264"/>
      <c r="P58" s="264"/>
      <c r="Q58" s="264"/>
      <c r="R58" s="264"/>
      <c r="S58" s="264"/>
      <c r="T58" s="264"/>
      <c r="U58" s="264"/>
      <c r="V58" s="264"/>
      <c r="W58" s="264"/>
      <c r="X58" s="264"/>
      <c r="Y58" s="264"/>
      <c r="Z58" s="264"/>
      <c r="AA58" s="264"/>
      <c r="AB58" s="264"/>
      <c r="AC58" s="264"/>
      <c r="AD58" s="264"/>
      <c r="AE58" s="264"/>
      <c r="AF58" s="264"/>
      <c r="AG58" s="264"/>
      <c r="AH58" s="264"/>
      <c r="AI58" s="264"/>
      <c r="AJ58" s="264"/>
      <c r="AK58" s="264"/>
      <c r="AL58" s="264"/>
      <c r="AM58" s="264"/>
      <c r="AN58" s="264"/>
      <c r="AO58" s="264"/>
      <c r="AP58" s="264"/>
      <c r="AQ58" s="264"/>
      <c r="AR58" s="264"/>
      <c r="AS58" s="264"/>
      <c r="AT58" s="264"/>
      <c r="AU58" s="264"/>
      <c r="AV58" s="264"/>
      <c r="AW58" s="264"/>
      <c r="AX58" s="264"/>
      <c r="AY58" s="264"/>
      <c r="AZ58" s="264"/>
      <c r="BA58" s="264"/>
      <c r="BB58" s="264"/>
      <c r="BC58" s="264"/>
      <c r="BD58" s="264"/>
      <c r="BE58" s="264"/>
      <c r="BF58" s="264"/>
      <c r="BG58" s="264"/>
      <c r="BH58" s="264"/>
      <c r="BI58" s="264"/>
      <c r="BJ58" s="264"/>
      <c r="BK58" s="264"/>
      <c r="BL58" s="264"/>
      <c r="BM58" s="264"/>
      <c r="BN58" s="264"/>
      <c r="BO58" s="264"/>
      <c r="BP58" s="264"/>
      <c r="BQ58" s="264"/>
      <c r="BR58" s="264"/>
      <c r="BS58" s="264"/>
      <c r="BT58" s="264"/>
      <c r="BU58" s="264"/>
      <c r="BV58" s="264"/>
      <c r="BW58" s="263"/>
      <c r="BX58" s="253"/>
      <c r="BY58" s="253"/>
      <c r="BZ58" s="204"/>
      <c r="CA58" s="204"/>
      <c r="CB58" s="204"/>
      <c r="CC58" s="200"/>
      <c r="CD58" s="202"/>
      <c r="CE58" s="201"/>
      <c r="CF58" s="200"/>
      <c r="CG58" s="202"/>
      <c r="CH58" s="201"/>
      <c r="CI58" s="201"/>
      <c r="CJ58" s="201"/>
      <c r="CK58" s="198"/>
      <c r="CL58" s="200"/>
      <c r="CM58" s="199"/>
      <c r="CN58" s="198"/>
    </row>
    <row r="59" spans="1:92">
      <c r="A59" s="208"/>
      <c r="B59" s="207"/>
      <c r="C59" s="250" t="s">
        <v>355</v>
      </c>
      <c r="D59" s="214">
        <v>0.8</v>
      </c>
      <c r="E59" s="214" t="s">
        <v>338</v>
      </c>
      <c r="F59" s="214">
        <v>2.1</v>
      </c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273"/>
      <c r="X59" s="273"/>
      <c r="Y59" s="273"/>
      <c r="Z59" s="273"/>
      <c r="AA59" s="273"/>
      <c r="AB59" s="272"/>
      <c r="AC59" s="272"/>
      <c r="AD59" s="272"/>
      <c r="AE59" s="272"/>
      <c r="AF59" s="272"/>
      <c r="AG59" s="272"/>
      <c r="AH59" s="272"/>
      <c r="AI59" s="272"/>
      <c r="AJ59" s="272"/>
      <c r="AK59" s="272"/>
      <c r="AL59" s="272"/>
      <c r="AM59" s="272"/>
      <c r="AN59" s="272"/>
      <c r="AO59" s="272"/>
      <c r="AP59" s="272"/>
      <c r="AQ59" s="272"/>
      <c r="AR59" s="272"/>
      <c r="AS59" s="272"/>
      <c r="AT59" s="272"/>
      <c r="AU59" s="272"/>
      <c r="AV59" s="272"/>
      <c r="AW59" s="272"/>
      <c r="AX59" s="272"/>
      <c r="AY59" s="272"/>
      <c r="AZ59" s="272"/>
      <c r="BA59" s="272"/>
      <c r="BB59" s="272"/>
      <c r="BC59" s="272"/>
      <c r="BD59" s="272"/>
      <c r="BE59" s="272"/>
      <c r="BF59" s="272"/>
      <c r="BG59" s="272"/>
      <c r="BH59" s="272"/>
      <c r="BI59" s="272"/>
      <c r="BJ59" s="272"/>
      <c r="BK59" s="272"/>
      <c r="BL59" s="272"/>
      <c r="BM59" s="272"/>
      <c r="BN59" s="272"/>
      <c r="BO59" s="272"/>
      <c r="BP59" s="272"/>
      <c r="BQ59" s="272"/>
      <c r="BR59" s="272"/>
      <c r="BS59" s="272"/>
      <c r="BT59" s="272"/>
      <c r="BU59" s="272"/>
      <c r="BV59" s="214" t="s">
        <v>338</v>
      </c>
      <c r="BW59" s="214">
        <v>3</v>
      </c>
      <c r="BX59" s="253" t="s">
        <v>10</v>
      </c>
      <c r="BY59" s="214">
        <f>(D59*F59)*BW59</f>
        <v>5.0400000000000009</v>
      </c>
      <c r="BZ59" s="204"/>
      <c r="CA59" s="204"/>
      <c r="CB59" s="204"/>
      <c r="CC59" s="200"/>
      <c r="CD59" s="202"/>
      <c r="CE59" s="201"/>
      <c r="CF59" s="200"/>
      <c r="CG59" s="202"/>
      <c r="CH59" s="201"/>
      <c r="CI59" s="201"/>
      <c r="CJ59" s="201"/>
      <c r="CK59" s="198"/>
      <c r="CL59" s="200"/>
      <c r="CM59" s="199"/>
      <c r="CN59" s="198"/>
    </row>
    <row r="60" spans="1:92">
      <c r="A60" s="208"/>
      <c r="B60" s="207"/>
      <c r="C60" s="250" t="s">
        <v>341</v>
      </c>
      <c r="D60" s="214">
        <v>1.4</v>
      </c>
      <c r="E60" s="214" t="s">
        <v>338</v>
      </c>
      <c r="F60" s="214">
        <v>1</v>
      </c>
      <c r="G60" s="271"/>
      <c r="H60" s="271"/>
      <c r="I60" s="271"/>
      <c r="J60" s="270"/>
      <c r="K60" s="270"/>
      <c r="L60" s="270"/>
      <c r="M60" s="270"/>
      <c r="N60" s="270"/>
      <c r="O60" s="270"/>
      <c r="P60" s="270"/>
      <c r="Q60" s="270"/>
      <c r="R60" s="270"/>
      <c r="S60" s="270"/>
      <c r="T60" s="270"/>
      <c r="U60" s="270"/>
      <c r="V60" s="270"/>
      <c r="W60" s="270"/>
      <c r="X60" s="270"/>
      <c r="Y60" s="270"/>
      <c r="Z60" s="270"/>
      <c r="AA60" s="270"/>
      <c r="AB60" s="270"/>
      <c r="AC60" s="270"/>
      <c r="AD60" s="270"/>
      <c r="AE60" s="270"/>
      <c r="AF60" s="270"/>
      <c r="AG60" s="270"/>
      <c r="AH60" s="270"/>
      <c r="AI60" s="270"/>
      <c r="AJ60" s="270"/>
      <c r="AK60" s="270"/>
      <c r="AL60" s="270"/>
      <c r="AM60" s="270"/>
      <c r="AN60" s="270"/>
      <c r="AO60" s="270"/>
      <c r="AP60" s="270"/>
      <c r="AQ60" s="270"/>
      <c r="AR60" s="270"/>
      <c r="AS60" s="270"/>
      <c r="AT60" s="270"/>
      <c r="AU60" s="270"/>
      <c r="AV60" s="270"/>
      <c r="AW60" s="270"/>
      <c r="AX60" s="270"/>
      <c r="AY60" s="270"/>
      <c r="AZ60" s="270"/>
      <c r="BA60" s="270"/>
      <c r="BB60" s="270"/>
      <c r="BC60" s="270"/>
      <c r="BD60" s="270"/>
      <c r="BE60" s="270"/>
      <c r="BF60" s="270"/>
      <c r="BG60" s="270"/>
      <c r="BH60" s="270"/>
      <c r="BI60" s="270"/>
      <c r="BJ60" s="270"/>
      <c r="BK60" s="270"/>
      <c r="BL60" s="270"/>
      <c r="BM60" s="270"/>
      <c r="BN60" s="270"/>
      <c r="BO60" s="270"/>
      <c r="BP60" s="270"/>
      <c r="BQ60" s="270"/>
      <c r="BR60" s="270"/>
      <c r="BS60" s="270"/>
      <c r="BT60" s="270"/>
      <c r="BU60" s="270"/>
      <c r="BV60" s="214" t="s">
        <v>338</v>
      </c>
      <c r="BW60" s="214">
        <v>1</v>
      </c>
      <c r="BX60" s="253" t="s">
        <v>10</v>
      </c>
      <c r="BY60" s="214">
        <f>(D60*F60)*BW60</f>
        <v>1.4</v>
      </c>
      <c r="BZ60" s="204"/>
      <c r="CA60" s="204"/>
      <c r="CB60" s="204"/>
      <c r="CC60" s="200"/>
      <c r="CD60" s="202"/>
      <c r="CE60" s="201"/>
      <c r="CF60" s="200"/>
      <c r="CG60" s="202"/>
      <c r="CH60" s="201"/>
      <c r="CI60" s="201"/>
      <c r="CJ60" s="201"/>
      <c r="CK60" s="198"/>
      <c r="CL60" s="200"/>
      <c r="CM60" s="199"/>
      <c r="CN60" s="198"/>
    </row>
    <row r="61" spans="1:92">
      <c r="A61" s="208"/>
      <c r="B61" s="207"/>
      <c r="C61" s="250" t="s">
        <v>340</v>
      </c>
      <c r="D61" s="214">
        <v>1.5</v>
      </c>
      <c r="E61" s="214" t="s">
        <v>338</v>
      </c>
      <c r="F61" s="214">
        <v>0.4</v>
      </c>
      <c r="G61" s="271"/>
      <c r="H61" s="271"/>
      <c r="I61" s="271"/>
      <c r="J61" s="270"/>
      <c r="K61" s="270"/>
      <c r="L61" s="270"/>
      <c r="M61" s="270"/>
      <c r="N61" s="270"/>
      <c r="O61" s="270"/>
      <c r="P61" s="270"/>
      <c r="Q61" s="270"/>
      <c r="R61" s="270"/>
      <c r="S61" s="270"/>
      <c r="T61" s="270"/>
      <c r="U61" s="270"/>
      <c r="V61" s="270"/>
      <c r="W61" s="270"/>
      <c r="X61" s="270"/>
      <c r="Y61" s="270"/>
      <c r="Z61" s="270"/>
      <c r="AA61" s="270"/>
      <c r="AB61" s="270"/>
      <c r="AC61" s="270"/>
      <c r="AD61" s="270"/>
      <c r="AE61" s="270"/>
      <c r="AF61" s="270"/>
      <c r="AG61" s="270"/>
      <c r="AH61" s="270"/>
      <c r="AI61" s="270"/>
      <c r="AJ61" s="270"/>
      <c r="AK61" s="270"/>
      <c r="AL61" s="270"/>
      <c r="AM61" s="270"/>
      <c r="AN61" s="270"/>
      <c r="AO61" s="270"/>
      <c r="AP61" s="270"/>
      <c r="AQ61" s="270"/>
      <c r="AR61" s="270"/>
      <c r="AS61" s="270"/>
      <c r="AT61" s="270"/>
      <c r="AU61" s="270"/>
      <c r="AV61" s="270"/>
      <c r="AW61" s="270"/>
      <c r="AX61" s="270"/>
      <c r="AY61" s="270"/>
      <c r="AZ61" s="270"/>
      <c r="BA61" s="270"/>
      <c r="BB61" s="270"/>
      <c r="BC61" s="270"/>
      <c r="BD61" s="270"/>
      <c r="BE61" s="270"/>
      <c r="BF61" s="270"/>
      <c r="BG61" s="270"/>
      <c r="BH61" s="270"/>
      <c r="BI61" s="270"/>
      <c r="BJ61" s="270"/>
      <c r="BK61" s="270"/>
      <c r="BL61" s="270"/>
      <c r="BM61" s="270"/>
      <c r="BN61" s="270"/>
      <c r="BO61" s="270"/>
      <c r="BP61" s="270"/>
      <c r="BQ61" s="270"/>
      <c r="BR61" s="270"/>
      <c r="BS61" s="270"/>
      <c r="BT61" s="270"/>
      <c r="BU61" s="270"/>
      <c r="BV61" s="214" t="s">
        <v>338</v>
      </c>
      <c r="BW61" s="214">
        <v>2</v>
      </c>
      <c r="BX61" s="253" t="s">
        <v>10</v>
      </c>
      <c r="BY61" s="214">
        <f>(D61*F61)*BW61</f>
        <v>1.2000000000000002</v>
      </c>
      <c r="BZ61" s="204"/>
      <c r="CA61" s="204"/>
      <c r="CB61" s="204"/>
      <c r="CC61" s="200"/>
      <c r="CD61" s="202"/>
      <c r="CE61" s="201"/>
      <c r="CF61" s="200"/>
      <c r="CG61" s="202"/>
      <c r="CH61" s="201"/>
      <c r="CI61" s="201"/>
      <c r="CJ61" s="201"/>
      <c r="CK61" s="198"/>
      <c r="CL61" s="200"/>
      <c r="CM61" s="199"/>
      <c r="CN61" s="198"/>
    </row>
    <row r="62" spans="1:92">
      <c r="A62" s="208"/>
      <c r="B62" s="207"/>
      <c r="C62" s="250" t="s">
        <v>339</v>
      </c>
      <c r="D62" s="269">
        <v>1.3</v>
      </c>
      <c r="E62" s="214" t="s">
        <v>338</v>
      </c>
      <c r="F62" s="269">
        <v>0.4</v>
      </c>
      <c r="G62" s="268"/>
      <c r="H62" s="268"/>
      <c r="I62" s="268"/>
      <c r="J62" s="267"/>
      <c r="K62" s="267"/>
      <c r="L62" s="267"/>
      <c r="M62" s="267"/>
      <c r="N62" s="267"/>
      <c r="O62" s="267"/>
      <c r="P62" s="267"/>
      <c r="Q62" s="267"/>
      <c r="R62" s="267"/>
      <c r="S62" s="267"/>
      <c r="T62" s="267"/>
      <c r="U62" s="267"/>
      <c r="V62" s="267"/>
      <c r="W62" s="267"/>
      <c r="X62" s="267"/>
      <c r="Y62" s="267"/>
      <c r="Z62" s="267"/>
      <c r="AA62" s="267"/>
      <c r="AB62" s="267"/>
      <c r="AC62" s="267"/>
      <c r="AD62" s="267"/>
      <c r="AE62" s="267"/>
      <c r="AF62" s="267"/>
      <c r="AG62" s="267"/>
      <c r="AH62" s="267"/>
      <c r="AI62" s="267"/>
      <c r="AJ62" s="267"/>
      <c r="AK62" s="267"/>
      <c r="AL62" s="267"/>
      <c r="AM62" s="267"/>
      <c r="AN62" s="267"/>
      <c r="AO62" s="267"/>
      <c r="AP62" s="267"/>
      <c r="AQ62" s="267"/>
      <c r="AR62" s="267"/>
      <c r="AS62" s="267"/>
      <c r="AT62" s="267"/>
      <c r="AU62" s="267"/>
      <c r="AV62" s="267"/>
      <c r="AW62" s="267"/>
      <c r="AX62" s="267"/>
      <c r="AY62" s="267"/>
      <c r="AZ62" s="267"/>
      <c r="BA62" s="267"/>
      <c r="BB62" s="267"/>
      <c r="BC62" s="267"/>
      <c r="BD62" s="267"/>
      <c r="BE62" s="267"/>
      <c r="BF62" s="267"/>
      <c r="BG62" s="267"/>
      <c r="BH62" s="267"/>
      <c r="BI62" s="267"/>
      <c r="BJ62" s="267"/>
      <c r="BK62" s="267"/>
      <c r="BL62" s="267"/>
      <c r="BM62" s="267"/>
      <c r="BN62" s="267"/>
      <c r="BO62" s="267"/>
      <c r="BP62" s="267"/>
      <c r="BQ62" s="267"/>
      <c r="BR62" s="267"/>
      <c r="BS62" s="267"/>
      <c r="BT62" s="267"/>
      <c r="BU62" s="267"/>
      <c r="BV62" s="214" t="s">
        <v>338</v>
      </c>
      <c r="BW62" s="269">
        <v>1</v>
      </c>
      <c r="BX62" s="253" t="s">
        <v>10</v>
      </c>
      <c r="BY62" s="214">
        <f>(D62*F62)*BW62</f>
        <v>0.52</v>
      </c>
      <c r="BZ62" s="204"/>
      <c r="CA62" s="204"/>
      <c r="CB62" s="204"/>
      <c r="CC62" s="200"/>
      <c r="CD62" s="202"/>
      <c r="CE62" s="201"/>
      <c r="CF62" s="200"/>
      <c r="CG62" s="202"/>
      <c r="CH62" s="201"/>
      <c r="CI62" s="201"/>
      <c r="CJ62" s="201"/>
      <c r="CK62" s="198"/>
      <c r="CL62" s="200"/>
      <c r="CM62" s="199"/>
      <c r="CN62" s="198"/>
    </row>
    <row r="63" spans="1:92">
      <c r="A63" s="208"/>
      <c r="B63" s="207"/>
      <c r="C63" s="221"/>
      <c r="D63" s="220" t="s">
        <v>337</v>
      </c>
      <c r="E63" s="219"/>
      <c r="F63" s="219"/>
      <c r="G63" s="219"/>
      <c r="H63" s="219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Y63" s="219"/>
      <c r="Z63" s="219"/>
      <c r="AA63" s="219"/>
      <c r="AB63" s="219"/>
      <c r="AC63" s="219"/>
      <c r="AD63" s="219"/>
      <c r="AE63" s="219"/>
      <c r="AF63" s="219"/>
      <c r="AG63" s="219"/>
      <c r="AH63" s="219"/>
      <c r="AI63" s="219"/>
      <c r="AJ63" s="219"/>
      <c r="AK63" s="219"/>
      <c r="AL63" s="219"/>
      <c r="AM63" s="219"/>
      <c r="AN63" s="219"/>
      <c r="AO63" s="219"/>
      <c r="AP63" s="219"/>
      <c r="AQ63" s="219"/>
      <c r="AR63" s="219"/>
      <c r="AS63" s="219"/>
      <c r="AT63" s="219"/>
      <c r="AU63" s="219"/>
      <c r="AV63" s="219"/>
      <c r="AW63" s="219"/>
      <c r="AX63" s="219"/>
      <c r="AY63" s="219"/>
      <c r="AZ63" s="219"/>
      <c r="BA63" s="219"/>
      <c r="BB63" s="219"/>
      <c r="BC63" s="219"/>
      <c r="BD63" s="219"/>
      <c r="BE63" s="219"/>
      <c r="BF63" s="219"/>
      <c r="BG63" s="219"/>
      <c r="BH63" s="219"/>
      <c r="BI63" s="219"/>
      <c r="BJ63" s="219"/>
      <c r="BK63" s="219"/>
      <c r="BL63" s="219"/>
      <c r="BM63" s="219"/>
      <c r="BN63" s="219"/>
      <c r="BO63" s="219"/>
      <c r="BP63" s="219"/>
      <c r="BQ63" s="219"/>
      <c r="BR63" s="219"/>
      <c r="BS63" s="219"/>
      <c r="BT63" s="219"/>
      <c r="BU63" s="219"/>
      <c r="BV63" s="219"/>
      <c r="BW63" s="218"/>
      <c r="BX63" s="217" t="s">
        <v>10</v>
      </c>
      <c r="BY63" s="216">
        <f>SUM(BY59:BY62)</f>
        <v>8.1600000000000019</v>
      </c>
      <c r="BZ63" s="204"/>
      <c r="CA63" s="204"/>
      <c r="CB63" s="204"/>
      <c r="CC63" s="200"/>
      <c r="CD63" s="202"/>
      <c r="CE63" s="201"/>
      <c r="CF63" s="200"/>
      <c r="CG63" s="202"/>
      <c r="CH63" s="201"/>
      <c r="CI63" s="201"/>
      <c r="CJ63" s="201"/>
      <c r="CK63" s="198"/>
      <c r="CL63" s="200"/>
      <c r="CM63" s="199"/>
      <c r="CN63" s="198"/>
    </row>
    <row r="64" spans="1:92">
      <c r="A64" s="208"/>
      <c r="B64" s="207"/>
      <c r="C64" s="221"/>
      <c r="D64" s="220" t="s">
        <v>367</v>
      </c>
      <c r="E64" s="219"/>
      <c r="F64" s="219"/>
      <c r="G64" s="219"/>
      <c r="H64" s="219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Y64" s="219"/>
      <c r="Z64" s="219"/>
      <c r="AA64" s="219"/>
      <c r="AB64" s="219"/>
      <c r="AC64" s="219"/>
      <c r="AD64" s="219"/>
      <c r="AE64" s="219"/>
      <c r="AF64" s="219"/>
      <c r="AG64" s="219"/>
      <c r="AH64" s="219"/>
      <c r="AI64" s="219"/>
      <c r="AJ64" s="219"/>
      <c r="AK64" s="219"/>
      <c r="AL64" s="219"/>
      <c r="AM64" s="219"/>
      <c r="AN64" s="219"/>
      <c r="AO64" s="219"/>
      <c r="AP64" s="219"/>
      <c r="AQ64" s="219"/>
      <c r="AR64" s="219"/>
      <c r="AS64" s="219"/>
      <c r="AT64" s="219"/>
      <c r="AU64" s="219"/>
      <c r="AV64" s="219"/>
      <c r="AW64" s="219"/>
      <c r="AX64" s="219"/>
      <c r="AY64" s="219"/>
      <c r="AZ64" s="219"/>
      <c r="BA64" s="219"/>
      <c r="BB64" s="219"/>
      <c r="BC64" s="219"/>
      <c r="BD64" s="219"/>
      <c r="BE64" s="219"/>
      <c r="BF64" s="219"/>
      <c r="BG64" s="219"/>
      <c r="BH64" s="219"/>
      <c r="BI64" s="219"/>
      <c r="BJ64" s="219"/>
      <c r="BK64" s="219"/>
      <c r="BL64" s="219"/>
      <c r="BM64" s="219"/>
      <c r="BN64" s="219"/>
      <c r="BO64" s="219"/>
      <c r="BP64" s="219"/>
      <c r="BQ64" s="219"/>
      <c r="BR64" s="219"/>
      <c r="BS64" s="219"/>
      <c r="BT64" s="219"/>
      <c r="BU64" s="219"/>
      <c r="BV64" s="219"/>
      <c r="BW64" s="218"/>
      <c r="BX64" s="217" t="s">
        <v>10</v>
      </c>
      <c r="BY64" s="216">
        <f>BY57-BY63</f>
        <v>137.22300000000001</v>
      </c>
      <c r="BZ64" s="204"/>
      <c r="CA64" s="204"/>
      <c r="CB64" s="204"/>
      <c r="CC64" s="200"/>
      <c r="CD64" s="202"/>
      <c r="CE64" s="201"/>
      <c r="CF64" s="200"/>
      <c r="CG64" s="202"/>
      <c r="CH64" s="201"/>
      <c r="CI64" s="201"/>
      <c r="CJ64" s="201"/>
      <c r="CK64" s="198"/>
      <c r="CL64" s="200"/>
      <c r="CM64" s="199"/>
      <c r="CN64" s="198"/>
    </row>
    <row r="65" spans="1:92" ht="20.149999999999999" customHeight="1">
      <c r="A65" s="210">
        <v>6</v>
      </c>
      <c r="B65" s="209" t="s">
        <v>171</v>
      </c>
      <c r="C65" s="209"/>
      <c r="D65" s="209"/>
      <c r="E65" s="209"/>
      <c r="F65" s="209"/>
      <c r="G65" s="209"/>
      <c r="H65" s="209"/>
      <c r="I65" s="209"/>
      <c r="J65" s="209"/>
      <c r="K65" s="209"/>
      <c r="L65" s="209"/>
      <c r="M65" s="209"/>
      <c r="N65" s="209"/>
      <c r="O65" s="209"/>
      <c r="P65" s="209"/>
      <c r="Q65" s="209"/>
      <c r="R65" s="209"/>
      <c r="S65" s="209"/>
      <c r="T65" s="209"/>
      <c r="U65" s="209"/>
      <c r="V65" s="209"/>
      <c r="W65" s="209"/>
      <c r="X65" s="209"/>
      <c r="Y65" s="209"/>
      <c r="Z65" s="209"/>
      <c r="AA65" s="209"/>
      <c r="AB65" s="209"/>
      <c r="AC65" s="209"/>
      <c r="AD65" s="209"/>
      <c r="AE65" s="209"/>
      <c r="AF65" s="209"/>
      <c r="AG65" s="209"/>
      <c r="AH65" s="209"/>
      <c r="AI65" s="209"/>
      <c r="AJ65" s="209"/>
      <c r="AK65" s="209"/>
      <c r="AL65" s="209"/>
      <c r="AM65" s="209"/>
      <c r="AN65" s="209"/>
      <c r="AO65" s="209"/>
      <c r="AP65" s="209"/>
      <c r="AQ65" s="209"/>
      <c r="AR65" s="209"/>
      <c r="AS65" s="209"/>
      <c r="AT65" s="209"/>
      <c r="AU65" s="209"/>
      <c r="AV65" s="209"/>
      <c r="AW65" s="209"/>
      <c r="AX65" s="209"/>
      <c r="AY65" s="209"/>
      <c r="AZ65" s="209"/>
      <c r="BA65" s="209"/>
      <c r="BB65" s="209"/>
      <c r="BC65" s="209"/>
      <c r="BD65" s="209"/>
      <c r="BE65" s="209"/>
      <c r="BF65" s="209"/>
      <c r="BG65" s="209"/>
      <c r="BH65" s="209"/>
      <c r="BI65" s="209"/>
      <c r="BJ65" s="209"/>
      <c r="BK65" s="209"/>
      <c r="BL65" s="209"/>
      <c r="BM65" s="209"/>
      <c r="BN65" s="209"/>
      <c r="BO65" s="209"/>
      <c r="BP65" s="209"/>
      <c r="BQ65" s="209"/>
      <c r="BR65" s="209"/>
      <c r="BS65" s="209"/>
      <c r="BT65" s="209"/>
      <c r="BU65" s="209"/>
      <c r="BV65" s="209"/>
      <c r="BW65" s="209"/>
      <c r="BX65" s="209"/>
      <c r="BY65" s="209"/>
      <c r="BZ65" s="204"/>
      <c r="CA65" s="204"/>
      <c r="CB65" s="204"/>
      <c r="CC65" s="204"/>
      <c r="CD65" s="204"/>
      <c r="CE65" s="204"/>
      <c r="CF65" s="204"/>
      <c r="CG65" s="204"/>
      <c r="CH65" s="204"/>
      <c r="CI65" s="204"/>
      <c r="CJ65" s="204"/>
      <c r="CK65" s="204"/>
      <c r="CL65" s="204"/>
      <c r="CM65" s="204"/>
      <c r="CN65" s="204"/>
    </row>
    <row r="66" spans="1:92" ht="42">
      <c r="A66" s="208" t="s">
        <v>170</v>
      </c>
      <c r="B66" s="207">
        <v>87298</v>
      </c>
      <c r="C66" s="206" t="s">
        <v>169</v>
      </c>
      <c r="D66" s="205"/>
      <c r="E66" s="205"/>
      <c r="F66" s="205"/>
      <c r="G66" s="205"/>
      <c r="H66" s="205"/>
      <c r="I66" s="205"/>
      <c r="J66" s="205"/>
      <c r="K66" s="205"/>
      <c r="L66" s="205"/>
      <c r="M66" s="205"/>
      <c r="N66" s="205"/>
      <c r="O66" s="205"/>
      <c r="P66" s="205"/>
      <c r="Q66" s="205"/>
      <c r="R66" s="205"/>
      <c r="S66" s="205"/>
      <c r="T66" s="205"/>
      <c r="U66" s="205"/>
      <c r="V66" s="205"/>
      <c r="W66" s="205"/>
      <c r="X66" s="205"/>
      <c r="Y66" s="205"/>
      <c r="Z66" s="205"/>
      <c r="AA66" s="205"/>
      <c r="AB66" s="205"/>
      <c r="AC66" s="205"/>
      <c r="AD66" s="205"/>
      <c r="AE66" s="205"/>
      <c r="AF66" s="205"/>
      <c r="AG66" s="205"/>
      <c r="AH66" s="205"/>
      <c r="AI66" s="205"/>
      <c r="AJ66" s="205"/>
      <c r="AK66" s="205"/>
      <c r="AL66" s="205"/>
      <c r="AM66" s="205"/>
      <c r="AN66" s="205"/>
      <c r="AO66" s="205"/>
      <c r="AP66" s="205"/>
      <c r="AQ66" s="205"/>
      <c r="AR66" s="205"/>
      <c r="AS66" s="205"/>
      <c r="AT66" s="205"/>
      <c r="AU66" s="205"/>
      <c r="AV66" s="205"/>
      <c r="AW66" s="205"/>
      <c r="AX66" s="205"/>
      <c r="AY66" s="205"/>
      <c r="AZ66" s="205"/>
      <c r="BA66" s="205"/>
      <c r="BB66" s="205"/>
      <c r="BC66" s="205"/>
      <c r="BD66" s="205"/>
      <c r="BE66" s="205"/>
      <c r="BF66" s="205"/>
      <c r="BG66" s="205"/>
      <c r="BH66" s="205"/>
      <c r="BI66" s="205"/>
      <c r="BJ66" s="205"/>
      <c r="BK66" s="205"/>
      <c r="BL66" s="205"/>
      <c r="BM66" s="205"/>
      <c r="BN66" s="205"/>
      <c r="BO66" s="205"/>
      <c r="BP66" s="205"/>
      <c r="BQ66" s="205"/>
      <c r="BR66" s="205"/>
      <c r="BS66" s="205"/>
      <c r="BT66" s="205"/>
      <c r="BU66" s="205"/>
      <c r="BV66" s="205"/>
      <c r="BW66" s="205"/>
      <c r="BX66" s="205"/>
      <c r="BY66" s="205"/>
      <c r="BZ66" s="204"/>
      <c r="CA66" s="204"/>
      <c r="CB66" s="204"/>
      <c r="CC66" s="200"/>
      <c r="CD66" s="202"/>
      <c r="CE66" s="201"/>
      <c r="CF66" s="200"/>
      <c r="CG66" s="202"/>
      <c r="CH66" s="201"/>
      <c r="CI66" s="201">
        <v>0</v>
      </c>
      <c r="CJ66" s="201">
        <v>8.48</v>
      </c>
      <c r="CK66" s="198">
        <f>TRUNC(AL66*CJ66)+0</f>
        <v>0</v>
      </c>
      <c r="CL66" s="200">
        <v>1</v>
      </c>
      <c r="CM66" s="199">
        <f>TRUNC(CL66*AK66,2)</f>
        <v>0</v>
      </c>
      <c r="CN66" s="198">
        <v>4913.8900000000003</v>
      </c>
    </row>
    <row r="67" spans="1:92" ht="56">
      <c r="A67" s="208" t="s">
        <v>167</v>
      </c>
      <c r="B67" s="214">
        <v>104597</v>
      </c>
      <c r="C67" s="206" t="s">
        <v>166</v>
      </c>
      <c r="D67" s="205"/>
      <c r="E67" s="205"/>
      <c r="F67" s="205"/>
      <c r="G67" s="205"/>
      <c r="H67" s="205"/>
      <c r="I67" s="205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5"/>
      <c r="AB67" s="205"/>
      <c r="AC67" s="205"/>
      <c r="AD67" s="205"/>
      <c r="AE67" s="205"/>
      <c r="AF67" s="205"/>
      <c r="AG67" s="205"/>
      <c r="AH67" s="205"/>
      <c r="AI67" s="205"/>
      <c r="AJ67" s="205"/>
      <c r="AK67" s="205"/>
      <c r="AL67" s="205"/>
      <c r="AM67" s="205"/>
      <c r="AN67" s="205"/>
      <c r="AO67" s="205"/>
      <c r="AP67" s="205"/>
      <c r="AQ67" s="205"/>
      <c r="AR67" s="205"/>
      <c r="AS67" s="205"/>
      <c r="AT67" s="205"/>
      <c r="AU67" s="205"/>
      <c r="AV67" s="205"/>
      <c r="AW67" s="205"/>
      <c r="AX67" s="205"/>
      <c r="AY67" s="205"/>
      <c r="AZ67" s="205"/>
      <c r="BA67" s="205"/>
      <c r="BB67" s="205"/>
      <c r="BC67" s="205"/>
      <c r="BD67" s="205"/>
      <c r="BE67" s="205"/>
      <c r="BF67" s="205"/>
      <c r="BG67" s="205"/>
      <c r="BH67" s="205"/>
      <c r="BI67" s="205"/>
      <c r="BJ67" s="205"/>
      <c r="BK67" s="205"/>
      <c r="BL67" s="205"/>
      <c r="BM67" s="205"/>
      <c r="BN67" s="205"/>
      <c r="BO67" s="205"/>
      <c r="BP67" s="205"/>
      <c r="BQ67" s="205"/>
      <c r="BR67" s="205"/>
      <c r="BS67" s="205"/>
      <c r="BT67" s="205"/>
      <c r="BU67" s="205"/>
      <c r="BV67" s="205"/>
      <c r="BW67" s="205"/>
      <c r="BX67" s="205"/>
      <c r="BY67" s="205"/>
      <c r="BZ67" s="204"/>
      <c r="CA67" s="204"/>
      <c r="CB67" s="204"/>
      <c r="CC67" s="200"/>
      <c r="CD67" s="202"/>
      <c r="CE67" s="201"/>
      <c r="CF67" s="200"/>
      <c r="CG67" s="202"/>
      <c r="CH67" s="201"/>
      <c r="CI67" s="201"/>
      <c r="CJ67" s="201"/>
      <c r="CK67" s="198">
        <f>TRUNC(AL67*CJ67)+0</f>
        <v>0</v>
      </c>
      <c r="CL67" s="200"/>
      <c r="CM67" s="199">
        <f>TRUNC(CL67*AK67,2)</f>
        <v>0</v>
      </c>
      <c r="CN67" s="198">
        <f>TRUNC(CM67*AL67)+0</f>
        <v>0</v>
      </c>
    </row>
    <row r="68" spans="1:92">
      <c r="A68" s="208"/>
      <c r="B68" s="214"/>
      <c r="C68" s="250"/>
      <c r="D68" s="265" t="s">
        <v>368</v>
      </c>
      <c r="E68" s="264"/>
      <c r="F68" s="264"/>
      <c r="G68" s="264"/>
      <c r="H68" s="264"/>
      <c r="I68" s="264"/>
      <c r="J68" s="264"/>
      <c r="K68" s="264"/>
      <c r="L68" s="264"/>
      <c r="M68" s="264"/>
      <c r="N68" s="264"/>
      <c r="O68" s="264"/>
      <c r="P68" s="264"/>
      <c r="Q68" s="264"/>
      <c r="R68" s="264"/>
      <c r="S68" s="264"/>
      <c r="T68" s="264"/>
      <c r="U68" s="264"/>
      <c r="V68" s="264"/>
      <c r="W68" s="264"/>
      <c r="X68" s="264"/>
      <c r="Y68" s="264"/>
      <c r="Z68" s="264"/>
      <c r="AA68" s="264"/>
      <c r="AB68" s="264"/>
      <c r="AC68" s="264"/>
      <c r="AD68" s="264"/>
      <c r="AE68" s="264"/>
      <c r="AF68" s="264"/>
      <c r="AG68" s="264"/>
      <c r="AH68" s="264"/>
      <c r="AI68" s="264"/>
      <c r="AJ68" s="264"/>
      <c r="AK68" s="264"/>
      <c r="AL68" s="264"/>
      <c r="AM68" s="264"/>
      <c r="AN68" s="264"/>
      <c r="AO68" s="264"/>
      <c r="AP68" s="264"/>
      <c r="AQ68" s="264"/>
      <c r="AR68" s="264"/>
      <c r="AS68" s="264"/>
      <c r="AT68" s="264"/>
      <c r="AU68" s="264"/>
      <c r="AV68" s="264"/>
      <c r="AW68" s="264"/>
      <c r="AX68" s="264"/>
      <c r="AY68" s="264"/>
      <c r="AZ68" s="264"/>
      <c r="BA68" s="264"/>
      <c r="BB68" s="264"/>
      <c r="BC68" s="264"/>
      <c r="BD68" s="264"/>
      <c r="BE68" s="264"/>
      <c r="BF68" s="264"/>
      <c r="BG68" s="264"/>
      <c r="BH68" s="264"/>
      <c r="BI68" s="264"/>
      <c r="BJ68" s="264"/>
      <c r="BK68" s="264"/>
      <c r="BL68" s="264"/>
      <c r="BM68" s="264"/>
      <c r="BN68" s="264"/>
      <c r="BO68" s="264"/>
      <c r="BP68" s="264"/>
      <c r="BQ68" s="264"/>
      <c r="BR68" s="264"/>
      <c r="BS68" s="264"/>
      <c r="BT68" s="264"/>
      <c r="BU68" s="264"/>
      <c r="BV68" s="264"/>
      <c r="BW68" s="263"/>
      <c r="BX68" s="253"/>
      <c r="BY68" s="253"/>
      <c r="BZ68" s="204"/>
      <c r="CA68" s="204"/>
      <c r="CB68" s="204"/>
      <c r="CC68" s="200"/>
      <c r="CD68" s="202"/>
      <c r="CE68" s="201"/>
      <c r="CF68" s="200"/>
      <c r="CG68" s="202"/>
      <c r="CH68" s="201"/>
      <c r="CI68" s="201"/>
      <c r="CJ68" s="201"/>
      <c r="CK68" s="198"/>
      <c r="CL68" s="200"/>
      <c r="CM68" s="199"/>
      <c r="CN68" s="198"/>
    </row>
    <row r="69" spans="1:92">
      <c r="A69" s="208"/>
      <c r="B69" s="214"/>
      <c r="C69" s="221" t="s">
        <v>331</v>
      </c>
      <c r="D69" s="234">
        <v>1.6</v>
      </c>
      <c r="E69" s="234" t="s">
        <v>309</v>
      </c>
      <c r="F69" s="229">
        <v>1.6</v>
      </c>
      <c r="G69" s="229"/>
      <c r="H69" s="229"/>
      <c r="I69" s="229"/>
      <c r="J69" s="229"/>
      <c r="K69" s="229"/>
      <c r="L69" s="229"/>
      <c r="M69" s="229"/>
      <c r="N69" s="229"/>
      <c r="O69" s="229"/>
      <c r="P69" s="229"/>
      <c r="Q69" s="229"/>
      <c r="R69" s="229"/>
      <c r="S69" s="229"/>
      <c r="T69" s="229"/>
      <c r="U69" s="229"/>
      <c r="V69" s="229"/>
      <c r="W69" s="236"/>
      <c r="X69" s="232"/>
      <c r="Y69" s="235"/>
      <c r="Z69" s="227"/>
      <c r="AA69" s="224"/>
      <c r="AB69" s="228"/>
      <c r="AC69" s="227"/>
      <c r="AD69" s="93"/>
      <c r="AE69" s="226"/>
      <c r="AF69" s="227"/>
      <c r="AG69" s="93"/>
      <c r="AH69" s="226"/>
      <c r="AI69" s="227"/>
      <c r="AJ69" s="93"/>
      <c r="AK69" s="226"/>
      <c r="AL69" s="227"/>
      <c r="AM69" s="93"/>
      <c r="AN69" s="226"/>
      <c r="AO69" s="95"/>
      <c r="AP69" s="93"/>
      <c r="AQ69" s="226"/>
      <c r="AR69" s="225"/>
      <c r="AS69" s="224"/>
      <c r="AT69" s="204"/>
      <c r="AU69" s="204"/>
      <c r="AV69" s="214"/>
      <c r="AW69" s="214"/>
      <c r="AX69" s="214"/>
      <c r="AY69" s="214"/>
      <c r="AZ69" s="214"/>
      <c r="BA69" s="214"/>
      <c r="BB69" s="214"/>
      <c r="BC69" s="214"/>
      <c r="BD69" s="214"/>
      <c r="BE69" s="214"/>
      <c r="BF69" s="214"/>
      <c r="BG69" s="214"/>
      <c r="BH69" s="214"/>
      <c r="BI69" s="214"/>
      <c r="BJ69" s="214"/>
      <c r="BK69" s="214"/>
      <c r="BL69" s="214"/>
      <c r="BM69" s="214"/>
      <c r="BN69" s="214"/>
      <c r="BO69" s="214"/>
      <c r="BP69" s="214"/>
      <c r="BQ69" s="214"/>
      <c r="BR69" s="214"/>
      <c r="BS69" s="214"/>
      <c r="BT69" s="214"/>
      <c r="BU69" s="214"/>
      <c r="BV69" s="214"/>
      <c r="BW69" s="214"/>
      <c r="BX69" s="223" t="s">
        <v>10</v>
      </c>
      <c r="BY69" s="222">
        <f>D69*F69+H69*J69</f>
        <v>2.5600000000000005</v>
      </c>
      <c r="BZ69" s="204"/>
      <c r="CA69" s="204"/>
      <c r="CB69" s="204"/>
      <c r="CC69" s="200"/>
      <c r="CD69" s="202"/>
      <c r="CE69" s="201"/>
      <c r="CF69" s="200"/>
      <c r="CG69" s="202"/>
      <c r="CH69" s="201"/>
      <c r="CI69" s="201"/>
      <c r="CJ69" s="201"/>
      <c r="CK69" s="198"/>
      <c r="CL69" s="200"/>
      <c r="CM69" s="199"/>
      <c r="CN69" s="198"/>
    </row>
    <row r="70" spans="1:92">
      <c r="A70" s="208"/>
      <c r="B70" s="214"/>
      <c r="C70" s="221" t="s">
        <v>330</v>
      </c>
      <c r="D70" s="234">
        <v>1.8</v>
      </c>
      <c r="E70" s="234" t="s">
        <v>309</v>
      </c>
      <c r="F70" s="229">
        <v>1.6</v>
      </c>
      <c r="G70" s="229"/>
      <c r="H70" s="229"/>
      <c r="I70" s="229"/>
      <c r="J70" s="229"/>
      <c r="K70" s="229"/>
      <c r="L70" s="229"/>
      <c r="M70" s="229"/>
      <c r="N70" s="229"/>
      <c r="O70" s="229"/>
      <c r="P70" s="229"/>
      <c r="Q70" s="229"/>
      <c r="R70" s="229"/>
      <c r="S70" s="229"/>
      <c r="T70" s="229"/>
      <c r="U70" s="229"/>
      <c r="V70" s="229"/>
      <c r="W70" s="236"/>
      <c r="X70" s="232"/>
      <c r="Y70" s="235"/>
      <c r="Z70" s="227"/>
      <c r="AA70" s="224"/>
      <c r="AB70" s="228"/>
      <c r="AC70" s="227"/>
      <c r="AD70" s="93"/>
      <c r="AE70" s="226"/>
      <c r="AF70" s="227"/>
      <c r="AG70" s="93"/>
      <c r="AH70" s="226"/>
      <c r="AI70" s="227"/>
      <c r="AJ70" s="93"/>
      <c r="AK70" s="226"/>
      <c r="AL70" s="227"/>
      <c r="AM70" s="93"/>
      <c r="AN70" s="226"/>
      <c r="AO70" s="95"/>
      <c r="AP70" s="93"/>
      <c r="AQ70" s="226"/>
      <c r="AR70" s="225"/>
      <c r="AS70" s="224"/>
      <c r="AT70" s="204"/>
      <c r="AU70" s="204"/>
      <c r="AV70" s="214"/>
      <c r="AW70" s="214"/>
      <c r="AX70" s="214"/>
      <c r="AY70" s="214"/>
      <c r="AZ70" s="214"/>
      <c r="BA70" s="214"/>
      <c r="BB70" s="214"/>
      <c r="BC70" s="214"/>
      <c r="BD70" s="214"/>
      <c r="BE70" s="214"/>
      <c r="BF70" s="214"/>
      <c r="BG70" s="214"/>
      <c r="BH70" s="214"/>
      <c r="BI70" s="214"/>
      <c r="BJ70" s="214"/>
      <c r="BK70" s="214"/>
      <c r="BL70" s="214"/>
      <c r="BM70" s="214"/>
      <c r="BN70" s="214"/>
      <c r="BO70" s="214"/>
      <c r="BP70" s="214"/>
      <c r="BQ70" s="214"/>
      <c r="BR70" s="214"/>
      <c r="BS70" s="214"/>
      <c r="BT70" s="214"/>
      <c r="BU70" s="214"/>
      <c r="BV70" s="214"/>
      <c r="BW70" s="214"/>
      <c r="BX70" s="223" t="s">
        <v>10</v>
      </c>
      <c r="BY70" s="222">
        <f>D70*F70+H70*J70</f>
        <v>2.8800000000000003</v>
      </c>
      <c r="BZ70" s="204"/>
      <c r="CA70" s="204"/>
      <c r="CB70" s="204"/>
      <c r="CC70" s="200"/>
      <c r="CD70" s="202"/>
      <c r="CE70" s="201"/>
      <c r="CF70" s="200"/>
      <c r="CG70" s="202"/>
      <c r="CH70" s="201"/>
      <c r="CI70" s="201"/>
      <c r="CJ70" s="201"/>
      <c r="CK70" s="198"/>
      <c r="CL70" s="200"/>
      <c r="CM70" s="199"/>
      <c r="CN70" s="198"/>
    </row>
    <row r="71" spans="1:92">
      <c r="A71" s="208"/>
      <c r="B71" s="214"/>
      <c r="C71" s="221" t="s">
        <v>329</v>
      </c>
      <c r="D71" s="234">
        <v>2.75</v>
      </c>
      <c r="E71" s="234" t="s">
        <v>309</v>
      </c>
      <c r="F71" s="229">
        <v>3.55</v>
      </c>
      <c r="G71" s="229"/>
      <c r="H71" s="229"/>
      <c r="I71" s="229"/>
      <c r="J71" s="229"/>
      <c r="K71" s="229"/>
      <c r="L71" s="229"/>
      <c r="M71" s="229"/>
      <c r="N71" s="229"/>
      <c r="O71" s="229"/>
      <c r="P71" s="229"/>
      <c r="Q71" s="229"/>
      <c r="R71" s="229"/>
      <c r="S71" s="229"/>
      <c r="T71" s="229"/>
      <c r="U71" s="229"/>
      <c r="V71" s="229"/>
      <c r="W71" s="236"/>
      <c r="X71" s="232"/>
      <c r="Y71" s="235"/>
      <c r="Z71" s="227"/>
      <c r="AA71" s="224"/>
      <c r="AB71" s="228"/>
      <c r="AC71" s="227"/>
      <c r="AD71" s="93"/>
      <c r="AE71" s="226"/>
      <c r="AF71" s="227"/>
      <c r="AG71" s="93"/>
      <c r="AH71" s="226"/>
      <c r="AI71" s="227"/>
      <c r="AJ71" s="93"/>
      <c r="AK71" s="226"/>
      <c r="AL71" s="227"/>
      <c r="AM71" s="93"/>
      <c r="AN71" s="226"/>
      <c r="AO71" s="95"/>
      <c r="AP71" s="93"/>
      <c r="AQ71" s="226"/>
      <c r="AR71" s="225"/>
      <c r="AS71" s="224"/>
      <c r="AT71" s="204"/>
      <c r="AU71" s="204"/>
      <c r="AV71" s="214"/>
      <c r="AW71" s="214"/>
      <c r="AX71" s="214"/>
      <c r="AY71" s="214"/>
      <c r="AZ71" s="214"/>
      <c r="BA71" s="214"/>
      <c r="BB71" s="214"/>
      <c r="BC71" s="214"/>
      <c r="BD71" s="214"/>
      <c r="BE71" s="214"/>
      <c r="BF71" s="214"/>
      <c r="BG71" s="214"/>
      <c r="BH71" s="214"/>
      <c r="BI71" s="214"/>
      <c r="BJ71" s="214"/>
      <c r="BK71" s="214"/>
      <c r="BL71" s="214"/>
      <c r="BM71" s="214"/>
      <c r="BN71" s="214"/>
      <c r="BO71" s="214"/>
      <c r="BP71" s="214"/>
      <c r="BQ71" s="214"/>
      <c r="BR71" s="214"/>
      <c r="BS71" s="214"/>
      <c r="BT71" s="214"/>
      <c r="BU71" s="214"/>
      <c r="BV71" s="214"/>
      <c r="BW71" s="214"/>
      <c r="BX71" s="223" t="s">
        <v>10</v>
      </c>
      <c r="BY71" s="222">
        <f>D71*F71+H71*J71</f>
        <v>9.7624999999999993</v>
      </c>
      <c r="BZ71" s="204"/>
      <c r="CA71" s="204"/>
      <c r="CB71" s="204"/>
      <c r="CC71" s="200"/>
      <c r="CD71" s="202"/>
      <c r="CE71" s="201"/>
      <c r="CF71" s="200"/>
      <c r="CG71" s="202"/>
      <c r="CH71" s="201"/>
      <c r="CI71" s="201"/>
      <c r="CJ71" s="201"/>
      <c r="CK71" s="198"/>
      <c r="CL71" s="200"/>
      <c r="CM71" s="199"/>
      <c r="CN71" s="198"/>
    </row>
    <row r="72" spans="1:92">
      <c r="A72" s="208"/>
      <c r="B72" s="214"/>
      <c r="C72" s="221" t="s">
        <v>328</v>
      </c>
      <c r="D72" s="234">
        <v>2.4</v>
      </c>
      <c r="E72" s="234" t="s">
        <v>309</v>
      </c>
      <c r="F72" s="229">
        <v>2.2000000000000002</v>
      </c>
      <c r="G72" s="229"/>
      <c r="H72" s="229"/>
      <c r="I72" s="229"/>
      <c r="J72" s="229"/>
      <c r="K72" s="229"/>
      <c r="L72" s="229"/>
      <c r="M72" s="229"/>
      <c r="N72" s="229"/>
      <c r="O72" s="229"/>
      <c r="P72" s="229"/>
      <c r="Q72" s="229"/>
      <c r="R72" s="229"/>
      <c r="S72" s="229"/>
      <c r="T72" s="229"/>
      <c r="U72" s="229"/>
      <c r="V72" s="229"/>
      <c r="W72" s="236"/>
      <c r="X72" s="251"/>
      <c r="Y72" s="235"/>
      <c r="Z72" s="227"/>
      <c r="AA72" s="224"/>
      <c r="AB72" s="228"/>
      <c r="AC72" s="227"/>
      <c r="AD72" s="93"/>
      <c r="AE72" s="226"/>
      <c r="AF72" s="227"/>
      <c r="AG72" s="93"/>
      <c r="AH72" s="226"/>
      <c r="AI72" s="227"/>
      <c r="AJ72" s="93"/>
      <c r="AK72" s="226"/>
      <c r="AL72" s="227"/>
      <c r="AM72" s="93"/>
      <c r="AN72" s="226"/>
      <c r="AO72" s="95"/>
      <c r="AP72" s="93"/>
      <c r="AQ72" s="226"/>
      <c r="AR72" s="225"/>
      <c r="AS72" s="224"/>
      <c r="AT72" s="204"/>
      <c r="AU72" s="204"/>
      <c r="AV72" s="214"/>
      <c r="AW72" s="214"/>
      <c r="AX72" s="214"/>
      <c r="AY72" s="214"/>
      <c r="AZ72" s="214"/>
      <c r="BA72" s="214"/>
      <c r="BB72" s="214"/>
      <c r="BC72" s="214"/>
      <c r="BD72" s="214"/>
      <c r="BE72" s="214"/>
      <c r="BF72" s="214"/>
      <c r="BG72" s="214"/>
      <c r="BH72" s="214"/>
      <c r="BI72" s="214"/>
      <c r="BJ72" s="214"/>
      <c r="BK72" s="214"/>
      <c r="BL72" s="214"/>
      <c r="BM72" s="214"/>
      <c r="BN72" s="214"/>
      <c r="BO72" s="214"/>
      <c r="BP72" s="214"/>
      <c r="BQ72" s="214"/>
      <c r="BR72" s="214"/>
      <c r="BS72" s="214"/>
      <c r="BT72" s="214"/>
      <c r="BU72" s="214"/>
      <c r="BV72" s="214"/>
      <c r="BW72" s="214"/>
      <c r="BX72" s="223" t="s">
        <v>10</v>
      </c>
      <c r="BY72" s="222">
        <f>D72*F72+H72*J72</f>
        <v>5.28</v>
      </c>
      <c r="BZ72" s="204"/>
      <c r="CA72" s="204"/>
      <c r="CB72" s="204"/>
      <c r="CC72" s="200"/>
      <c r="CD72" s="202"/>
      <c r="CE72" s="201"/>
      <c r="CF72" s="200"/>
      <c r="CG72" s="202"/>
      <c r="CH72" s="201"/>
      <c r="CI72" s="201"/>
      <c r="CJ72" s="201"/>
      <c r="CK72" s="198"/>
      <c r="CL72" s="200"/>
      <c r="CM72" s="199"/>
      <c r="CN72" s="198"/>
    </row>
    <row r="73" spans="1:92">
      <c r="A73" s="208"/>
      <c r="B73" s="214"/>
      <c r="C73" s="221" t="s">
        <v>327</v>
      </c>
      <c r="D73" s="234">
        <v>3.4</v>
      </c>
      <c r="E73" s="234" t="s">
        <v>309</v>
      </c>
      <c r="F73" s="229">
        <v>3.2</v>
      </c>
      <c r="G73" s="229"/>
      <c r="H73" s="229"/>
      <c r="I73" s="229"/>
      <c r="J73" s="229"/>
      <c r="K73" s="229"/>
      <c r="L73" s="229"/>
      <c r="M73" s="229"/>
      <c r="N73" s="229"/>
      <c r="O73" s="229"/>
      <c r="P73" s="229"/>
      <c r="Q73" s="229"/>
      <c r="R73" s="229"/>
      <c r="S73" s="229"/>
      <c r="T73" s="229"/>
      <c r="U73" s="229"/>
      <c r="V73" s="229"/>
      <c r="W73" s="236"/>
      <c r="X73" s="251"/>
      <c r="Y73" s="235"/>
      <c r="Z73" s="227"/>
      <c r="AA73" s="224"/>
      <c r="AB73" s="228"/>
      <c r="AC73" s="227"/>
      <c r="AD73" s="93"/>
      <c r="AE73" s="226"/>
      <c r="AF73" s="227"/>
      <c r="AG73" s="93"/>
      <c r="AH73" s="226"/>
      <c r="AI73" s="227"/>
      <c r="AJ73" s="93"/>
      <c r="AK73" s="226"/>
      <c r="AL73" s="227"/>
      <c r="AM73" s="93"/>
      <c r="AN73" s="226"/>
      <c r="AO73" s="95"/>
      <c r="AP73" s="93"/>
      <c r="AQ73" s="226"/>
      <c r="AR73" s="225"/>
      <c r="AS73" s="224"/>
      <c r="AT73" s="204"/>
      <c r="AU73" s="204"/>
      <c r="AV73" s="214"/>
      <c r="AW73" s="214"/>
      <c r="AX73" s="214"/>
      <c r="AY73" s="214"/>
      <c r="AZ73" s="214"/>
      <c r="BA73" s="214"/>
      <c r="BB73" s="214"/>
      <c r="BC73" s="214"/>
      <c r="BD73" s="214"/>
      <c r="BE73" s="214"/>
      <c r="BF73" s="214"/>
      <c r="BG73" s="214"/>
      <c r="BH73" s="214"/>
      <c r="BI73" s="214"/>
      <c r="BJ73" s="214"/>
      <c r="BK73" s="214"/>
      <c r="BL73" s="214"/>
      <c r="BM73" s="214"/>
      <c r="BN73" s="214"/>
      <c r="BO73" s="214"/>
      <c r="BP73" s="214"/>
      <c r="BQ73" s="214"/>
      <c r="BR73" s="214"/>
      <c r="BS73" s="214"/>
      <c r="BT73" s="214"/>
      <c r="BU73" s="214"/>
      <c r="BV73" s="214"/>
      <c r="BW73" s="214"/>
      <c r="BX73" s="223" t="s">
        <v>10</v>
      </c>
      <c r="BY73" s="222">
        <f>D73*F73+H73*J73</f>
        <v>10.88</v>
      </c>
      <c r="BZ73" s="204"/>
      <c r="CA73" s="204"/>
      <c r="CB73" s="204"/>
      <c r="CC73" s="200"/>
      <c r="CD73" s="202"/>
      <c r="CE73" s="201"/>
      <c r="CF73" s="200"/>
      <c r="CG73" s="202"/>
      <c r="CH73" s="201"/>
      <c r="CI73" s="201"/>
      <c r="CJ73" s="201"/>
      <c r="CK73" s="198"/>
      <c r="CL73" s="200"/>
      <c r="CM73" s="199"/>
      <c r="CN73" s="198"/>
    </row>
    <row r="74" spans="1:92">
      <c r="A74" s="208"/>
      <c r="B74" s="214"/>
      <c r="C74" s="221" t="s">
        <v>326</v>
      </c>
      <c r="D74" s="234">
        <v>6.41</v>
      </c>
      <c r="E74" s="234" t="s">
        <v>309</v>
      </c>
      <c r="F74" s="229">
        <v>6.39</v>
      </c>
      <c r="G74" s="246" t="s">
        <v>310</v>
      </c>
      <c r="H74" s="245">
        <v>1.35</v>
      </c>
      <c r="I74" s="229" t="s">
        <v>309</v>
      </c>
      <c r="J74" s="244">
        <v>4.95</v>
      </c>
      <c r="K74" s="229"/>
      <c r="L74" s="229"/>
      <c r="M74" s="229"/>
      <c r="N74" s="229"/>
      <c r="O74" s="229"/>
      <c r="P74" s="229"/>
      <c r="Q74" s="229"/>
      <c r="R74" s="229"/>
      <c r="S74" s="229"/>
      <c r="T74" s="229"/>
      <c r="U74" s="229"/>
      <c r="V74" s="229"/>
      <c r="W74" s="204"/>
      <c r="X74" s="204"/>
      <c r="Y74" s="204"/>
      <c r="Z74" s="204"/>
      <c r="AA74" s="242"/>
      <c r="AB74" s="223"/>
      <c r="AC74" s="241"/>
      <c r="AD74" s="240"/>
      <c r="AE74" s="239"/>
      <c r="AF74" s="241"/>
      <c r="AG74" s="240"/>
      <c r="AH74" s="239"/>
      <c r="AI74" s="241"/>
      <c r="AJ74" s="240"/>
      <c r="AK74" s="239"/>
      <c r="AL74" s="241"/>
      <c r="AM74" s="240"/>
      <c r="AN74" s="239"/>
      <c r="AP74" s="237"/>
      <c r="AQ74" s="226"/>
      <c r="AR74" s="225"/>
      <c r="AS74" s="224"/>
      <c r="AT74" s="204"/>
      <c r="AU74" s="204"/>
      <c r="AV74" s="214"/>
      <c r="AW74" s="214"/>
      <c r="AX74" s="214"/>
      <c r="AY74" s="214"/>
      <c r="AZ74" s="214"/>
      <c r="BA74" s="214"/>
      <c r="BB74" s="214"/>
      <c r="BC74" s="214"/>
      <c r="BD74" s="214"/>
      <c r="BE74" s="214"/>
      <c r="BF74" s="214"/>
      <c r="BG74" s="214"/>
      <c r="BH74" s="214"/>
      <c r="BI74" s="214"/>
      <c r="BJ74" s="214"/>
      <c r="BK74" s="214"/>
      <c r="BL74" s="214"/>
      <c r="BM74" s="214"/>
      <c r="BN74" s="214"/>
      <c r="BO74" s="214"/>
      <c r="BP74" s="214"/>
      <c r="BQ74" s="214"/>
      <c r="BR74" s="214"/>
      <c r="BS74" s="214"/>
      <c r="BT74" s="214"/>
      <c r="BU74" s="214"/>
      <c r="BV74" s="214"/>
      <c r="BW74" s="214"/>
      <c r="BX74" s="223" t="s">
        <v>10</v>
      </c>
      <c r="BY74" s="222">
        <f>D74*F74+H74*J74</f>
        <v>47.642399999999995</v>
      </c>
      <c r="BZ74" s="204"/>
      <c r="CA74" s="204"/>
      <c r="CB74" s="204"/>
      <c r="CC74" s="200"/>
      <c r="CD74" s="202"/>
      <c r="CE74" s="201"/>
      <c r="CF74" s="200"/>
      <c r="CG74" s="202"/>
      <c r="CH74" s="201"/>
      <c r="CI74" s="201"/>
      <c r="CJ74" s="201"/>
      <c r="CK74" s="198"/>
      <c r="CL74" s="200"/>
      <c r="CM74" s="199"/>
      <c r="CN74" s="198"/>
    </row>
    <row r="75" spans="1:92">
      <c r="A75" s="208"/>
      <c r="B75" s="214"/>
      <c r="C75" s="221" t="s">
        <v>325</v>
      </c>
      <c r="D75" s="234">
        <v>3.06</v>
      </c>
      <c r="E75" s="234" t="s">
        <v>309</v>
      </c>
      <c r="F75" s="229">
        <v>1.1000000000000001</v>
      </c>
      <c r="G75" s="229"/>
      <c r="H75" s="229"/>
      <c r="I75" s="229"/>
      <c r="J75" s="229"/>
      <c r="K75" s="229"/>
      <c r="L75" s="229"/>
      <c r="M75" s="229"/>
      <c r="N75" s="229"/>
      <c r="O75" s="229"/>
      <c r="P75" s="229"/>
      <c r="Q75" s="229"/>
      <c r="R75" s="229"/>
      <c r="S75" s="229"/>
      <c r="T75" s="229"/>
      <c r="U75" s="229"/>
      <c r="V75" s="229"/>
      <c r="W75" s="236"/>
      <c r="X75" s="235"/>
      <c r="Y75" s="231"/>
      <c r="Z75" s="204"/>
      <c r="AA75" s="242"/>
      <c r="AB75" s="223"/>
      <c r="AC75" s="241"/>
      <c r="AD75" s="240"/>
      <c r="AE75" s="239"/>
      <c r="AF75" s="241"/>
      <c r="AG75" s="240"/>
      <c r="AH75" s="239"/>
      <c r="AI75" s="241"/>
      <c r="AJ75" s="240"/>
      <c r="AK75" s="239"/>
      <c r="AL75" s="241"/>
      <c r="AM75" s="240"/>
      <c r="AN75" s="239"/>
      <c r="AO75" s="238"/>
      <c r="AP75" s="237"/>
      <c r="AQ75" s="226"/>
      <c r="AR75" s="225"/>
      <c r="AS75" s="224"/>
      <c r="AT75" s="204"/>
      <c r="AU75" s="204"/>
      <c r="AV75" s="214"/>
      <c r="AW75" s="214"/>
      <c r="AX75" s="214"/>
      <c r="AY75" s="214"/>
      <c r="AZ75" s="214"/>
      <c r="BA75" s="214"/>
      <c r="BB75" s="214"/>
      <c r="BC75" s="214"/>
      <c r="BD75" s="214"/>
      <c r="BE75" s="214"/>
      <c r="BF75" s="214"/>
      <c r="BG75" s="214"/>
      <c r="BH75" s="214"/>
      <c r="BI75" s="214"/>
      <c r="BJ75" s="214"/>
      <c r="BK75" s="214"/>
      <c r="BL75" s="214"/>
      <c r="BM75" s="214"/>
      <c r="BN75" s="214"/>
      <c r="BO75" s="214"/>
      <c r="BP75" s="214"/>
      <c r="BQ75" s="214"/>
      <c r="BR75" s="214"/>
      <c r="BS75" s="214"/>
      <c r="BT75" s="214"/>
      <c r="BU75" s="214"/>
      <c r="BV75" s="214"/>
      <c r="BW75" s="214"/>
      <c r="BX75" s="223" t="s">
        <v>10</v>
      </c>
      <c r="BY75" s="222">
        <f>D75*F75+H75*J75</f>
        <v>3.3660000000000005</v>
      </c>
      <c r="BZ75" s="204"/>
      <c r="CA75" s="204"/>
      <c r="CB75" s="204"/>
      <c r="CC75" s="200"/>
      <c r="CD75" s="202"/>
      <c r="CE75" s="201"/>
      <c r="CF75" s="200"/>
      <c r="CG75" s="202"/>
      <c r="CH75" s="201"/>
      <c r="CI75" s="201"/>
      <c r="CJ75" s="201"/>
      <c r="CK75" s="198"/>
      <c r="CL75" s="200"/>
      <c r="CM75" s="199"/>
      <c r="CN75" s="198"/>
    </row>
    <row r="76" spans="1:92">
      <c r="A76" s="208"/>
      <c r="B76" s="214"/>
      <c r="C76" s="221" t="s">
        <v>324</v>
      </c>
      <c r="D76" s="234">
        <v>2.8</v>
      </c>
      <c r="E76" s="234" t="s">
        <v>309</v>
      </c>
      <c r="F76" s="229">
        <v>3.05</v>
      </c>
      <c r="G76" s="229"/>
      <c r="H76" s="229"/>
      <c r="I76" s="229"/>
      <c r="J76" s="229"/>
      <c r="K76" s="229"/>
      <c r="L76" s="229"/>
      <c r="M76" s="229"/>
      <c r="N76" s="229"/>
      <c r="O76" s="229"/>
      <c r="P76" s="229"/>
      <c r="Q76" s="229"/>
      <c r="R76" s="229"/>
      <c r="S76" s="229"/>
      <c r="T76" s="229"/>
      <c r="U76" s="229"/>
      <c r="V76" s="229"/>
      <c r="W76" s="236"/>
      <c r="X76" s="251"/>
      <c r="Y76" s="235"/>
      <c r="Z76" s="227"/>
      <c r="AA76" s="224"/>
      <c r="AB76" s="228"/>
      <c r="AC76" s="227"/>
      <c r="AD76" s="93"/>
      <c r="AE76" s="226"/>
      <c r="AF76" s="227"/>
      <c r="AG76" s="93"/>
      <c r="AH76" s="226"/>
      <c r="AI76" s="227"/>
      <c r="AJ76" s="93"/>
      <c r="AK76" s="226"/>
      <c r="AL76" s="227"/>
      <c r="AM76" s="93"/>
      <c r="AN76" s="226"/>
      <c r="AO76" s="95"/>
      <c r="AP76" s="93"/>
      <c r="AQ76" s="226"/>
      <c r="AR76" s="225"/>
      <c r="AS76" s="224"/>
      <c r="AT76" s="204"/>
      <c r="AU76" s="204"/>
      <c r="AV76" s="214"/>
      <c r="AW76" s="214"/>
      <c r="AX76" s="214"/>
      <c r="AY76" s="214"/>
      <c r="AZ76" s="214"/>
      <c r="BA76" s="214"/>
      <c r="BB76" s="214"/>
      <c r="BC76" s="214"/>
      <c r="BD76" s="214"/>
      <c r="BE76" s="214"/>
      <c r="BF76" s="214"/>
      <c r="BG76" s="214"/>
      <c r="BH76" s="214"/>
      <c r="BI76" s="214"/>
      <c r="BJ76" s="214"/>
      <c r="BK76" s="214"/>
      <c r="BL76" s="214"/>
      <c r="BM76" s="214"/>
      <c r="BN76" s="214"/>
      <c r="BO76" s="214"/>
      <c r="BP76" s="214"/>
      <c r="BQ76" s="214"/>
      <c r="BR76" s="214"/>
      <c r="BS76" s="214"/>
      <c r="BT76" s="214"/>
      <c r="BU76" s="214"/>
      <c r="BV76" s="214"/>
      <c r="BW76" s="214"/>
      <c r="BX76" s="223" t="s">
        <v>10</v>
      </c>
      <c r="BY76" s="222">
        <f>D76*F76+H76*J76</f>
        <v>8.5399999999999991</v>
      </c>
      <c r="BZ76" s="204"/>
      <c r="CA76" s="204"/>
      <c r="CB76" s="204"/>
      <c r="CC76" s="200"/>
      <c r="CD76" s="202"/>
      <c r="CE76" s="201"/>
      <c r="CF76" s="200"/>
      <c r="CG76" s="202"/>
      <c r="CH76" s="201"/>
      <c r="CI76" s="201"/>
      <c r="CJ76" s="201"/>
      <c r="CK76" s="198"/>
      <c r="CL76" s="200"/>
      <c r="CM76" s="199"/>
      <c r="CN76" s="198"/>
    </row>
    <row r="77" spans="1:92">
      <c r="A77" s="208"/>
      <c r="B77" s="214"/>
      <c r="C77" s="221" t="s">
        <v>323</v>
      </c>
      <c r="D77" s="234">
        <v>2</v>
      </c>
      <c r="E77" s="234" t="s">
        <v>309</v>
      </c>
      <c r="F77" s="229">
        <v>14.75</v>
      </c>
      <c r="G77" s="229"/>
      <c r="H77" s="229"/>
      <c r="I77" s="229"/>
      <c r="J77" s="229"/>
      <c r="K77" s="229"/>
      <c r="L77" s="229"/>
      <c r="M77" s="229"/>
      <c r="N77" s="229"/>
      <c r="O77" s="229"/>
      <c r="P77" s="229"/>
      <c r="Q77" s="229"/>
      <c r="R77" s="229"/>
      <c r="S77" s="229"/>
      <c r="T77" s="229"/>
      <c r="U77" s="229"/>
      <c r="V77" s="229"/>
      <c r="W77" s="236"/>
      <c r="X77" s="251"/>
      <c r="Y77" s="235"/>
      <c r="Z77" s="227"/>
      <c r="AA77" s="224"/>
      <c r="AB77" s="228"/>
      <c r="AC77" s="227"/>
      <c r="AD77" s="93"/>
      <c r="AE77" s="226"/>
      <c r="AF77" s="227"/>
      <c r="AG77" s="93"/>
      <c r="AH77" s="226"/>
      <c r="AI77" s="227"/>
      <c r="AJ77" s="93"/>
      <c r="AK77" s="226"/>
      <c r="AL77" s="227"/>
      <c r="AM77" s="93"/>
      <c r="AN77" s="226"/>
      <c r="AO77" s="95"/>
      <c r="AP77" s="93"/>
      <c r="AQ77" s="226"/>
      <c r="AR77" s="225"/>
      <c r="AS77" s="224"/>
      <c r="AT77" s="204"/>
      <c r="AU77" s="204"/>
      <c r="AV77" s="214"/>
      <c r="AW77" s="214"/>
      <c r="AX77" s="214"/>
      <c r="AY77" s="214"/>
      <c r="AZ77" s="214"/>
      <c r="BA77" s="214"/>
      <c r="BB77" s="214"/>
      <c r="BC77" s="214"/>
      <c r="BD77" s="214"/>
      <c r="BE77" s="214"/>
      <c r="BF77" s="214"/>
      <c r="BG77" s="214"/>
      <c r="BH77" s="214"/>
      <c r="BI77" s="214"/>
      <c r="BJ77" s="214"/>
      <c r="BK77" s="214"/>
      <c r="BL77" s="214"/>
      <c r="BM77" s="214"/>
      <c r="BN77" s="214"/>
      <c r="BO77" s="214"/>
      <c r="BP77" s="214"/>
      <c r="BQ77" s="214"/>
      <c r="BR77" s="214"/>
      <c r="BS77" s="214"/>
      <c r="BT77" s="214"/>
      <c r="BU77" s="214"/>
      <c r="BV77" s="214"/>
      <c r="BW77" s="214"/>
      <c r="BX77" s="223" t="s">
        <v>10</v>
      </c>
      <c r="BY77" s="222">
        <f>D77*F77+H77*J77</f>
        <v>29.5</v>
      </c>
      <c r="BZ77" s="204"/>
      <c r="CA77" s="204"/>
      <c r="CB77" s="204"/>
      <c r="CC77" s="200"/>
      <c r="CD77" s="202"/>
      <c r="CE77" s="201"/>
      <c r="CF77" s="200"/>
      <c r="CG77" s="202"/>
      <c r="CH77" s="201"/>
      <c r="CI77" s="201"/>
      <c r="CJ77" s="201"/>
      <c r="CK77" s="198"/>
      <c r="CL77" s="200"/>
      <c r="CM77" s="199"/>
      <c r="CN77" s="198"/>
    </row>
    <row r="78" spans="1:92">
      <c r="A78" s="208"/>
      <c r="B78" s="214"/>
      <c r="C78" s="221" t="s">
        <v>322</v>
      </c>
      <c r="D78" s="234">
        <v>3.65</v>
      </c>
      <c r="E78" s="234" t="s">
        <v>309</v>
      </c>
      <c r="F78" s="229">
        <v>3.5</v>
      </c>
      <c r="G78" s="229"/>
      <c r="H78" s="229"/>
      <c r="I78" s="229"/>
      <c r="J78" s="229"/>
      <c r="K78" s="229"/>
      <c r="L78" s="229"/>
      <c r="M78" s="229"/>
      <c r="N78" s="229"/>
      <c r="O78" s="229"/>
      <c r="P78" s="229"/>
      <c r="Q78" s="229"/>
      <c r="R78" s="229"/>
      <c r="S78" s="229"/>
      <c r="T78" s="229"/>
      <c r="U78" s="229"/>
      <c r="V78" s="229"/>
      <c r="W78" s="236"/>
      <c r="X78" s="251"/>
      <c r="Y78" s="235"/>
      <c r="Z78" s="227"/>
      <c r="AA78" s="224"/>
      <c r="AB78" s="228"/>
      <c r="AC78" s="227"/>
      <c r="AD78" s="93"/>
      <c r="AE78" s="226"/>
      <c r="AF78" s="227"/>
      <c r="AG78" s="93"/>
      <c r="AH78" s="226"/>
      <c r="AI78" s="227"/>
      <c r="AJ78" s="93"/>
      <c r="AK78" s="226"/>
      <c r="AL78" s="227"/>
      <c r="AM78" s="93"/>
      <c r="AN78" s="226"/>
      <c r="AO78" s="95"/>
      <c r="AP78" s="93"/>
      <c r="AQ78" s="226"/>
      <c r="AR78" s="225"/>
      <c r="AS78" s="224"/>
      <c r="AT78" s="204"/>
      <c r="AU78" s="204"/>
      <c r="AV78" s="214"/>
      <c r="AW78" s="214"/>
      <c r="AX78" s="214"/>
      <c r="AY78" s="214"/>
      <c r="AZ78" s="214"/>
      <c r="BA78" s="214"/>
      <c r="BB78" s="214"/>
      <c r="BC78" s="214"/>
      <c r="BD78" s="214"/>
      <c r="BE78" s="214"/>
      <c r="BF78" s="214"/>
      <c r="BG78" s="214"/>
      <c r="BH78" s="214"/>
      <c r="BI78" s="214"/>
      <c r="BJ78" s="214"/>
      <c r="BK78" s="214"/>
      <c r="BL78" s="214"/>
      <c r="BM78" s="214"/>
      <c r="BN78" s="214"/>
      <c r="BO78" s="214"/>
      <c r="BP78" s="214"/>
      <c r="BQ78" s="214"/>
      <c r="BR78" s="214"/>
      <c r="BS78" s="214"/>
      <c r="BT78" s="214"/>
      <c r="BU78" s="214"/>
      <c r="BV78" s="214"/>
      <c r="BW78" s="214"/>
      <c r="BX78" s="223" t="s">
        <v>10</v>
      </c>
      <c r="BY78" s="222">
        <f>D78*F78+H78*J78</f>
        <v>12.775</v>
      </c>
      <c r="BZ78" s="204"/>
      <c r="CA78" s="204"/>
      <c r="CB78" s="204"/>
      <c r="CC78" s="200"/>
      <c r="CD78" s="202"/>
      <c r="CE78" s="201"/>
      <c r="CF78" s="200"/>
      <c r="CG78" s="202"/>
      <c r="CH78" s="201"/>
      <c r="CI78" s="201"/>
      <c r="CJ78" s="201"/>
      <c r="CK78" s="198"/>
      <c r="CL78" s="200"/>
      <c r="CM78" s="199"/>
      <c r="CN78" s="198"/>
    </row>
    <row r="79" spans="1:92">
      <c r="A79" s="208"/>
      <c r="B79" s="214"/>
      <c r="C79" s="221" t="s">
        <v>321</v>
      </c>
      <c r="D79" s="234">
        <v>3.5</v>
      </c>
      <c r="E79" s="234" t="s">
        <v>309</v>
      </c>
      <c r="F79" s="229">
        <v>1.3</v>
      </c>
      <c r="G79" s="229"/>
      <c r="H79" s="229"/>
      <c r="I79" s="229"/>
      <c r="J79" s="229"/>
      <c r="K79" s="229"/>
      <c r="L79" s="229"/>
      <c r="M79" s="229"/>
      <c r="N79" s="229"/>
      <c r="O79" s="229"/>
      <c r="P79" s="229"/>
      <c r="Q79" s="229"/>
      <c r="R79" s="229"/>
      <c r="S79" s="229"/>
      <c r="T79" s="229"/>
      <c r="U79" s="229"/>
      <c r="V79" s="229"/>
      <c r="W79" s="236"/>
      <c r="X79" s="232"/>
      <c r="Y79" s="235"/>
      <c r="Z79" s="227"/>
      <c r="AA79" s="224"/>
      <c r="AB79" s="228"/>
      <c r="AC79" s="227"/>
      <c r="AD79" s="93"/>
      <c r="AE79" s="226"/>
      <c r="AF79" s="227"/>
      <c r="AG79" s="93"/>
      <c r="AH79" s="226"/>
      <c r="AI79" s="227"/>
      <c r="AJ79" s="93"/>
      <c r="AK79" s="226"/>
      <c r="AL79" s="227"/>
      <c r="AM79" s="93"/>
      <c r="AN79" s="226"/>
      <c r="AO79" s="95"/>
      <c r="AP79" s="93"/>
      <c r="AQ79" s="226"/>
      <c r="AR79" s="225"/>
      <c r="AS79" s="224"/>
      <c r="AT79" s="204"/>
      <c r="AU79" s="204"/>
      <c r="AV79" s="214"/>
      <c r="AW79" s="214"/>
      <c r="AX79" s="214"/>
      <c r="AY79" s="214"/>
      <c r="AZ79" s="214"/>
      <c r="BA79" s="214"/>
      <c r="BB79" s="214"/>
      <c r="BC79" s="214"/>
      <c r="BD79" s="214"/>
      <c r="BE79" s="214"/>
      <c r="BF79" s="214"/>
      <c r="BG79" s="214"/>
      <c r="BH79" s="214"/>
      <c r="BI79" s="214"/>
      <c r="BJ79" s="214"/>
      <c r="BK79" s="214"/>
      <c r="BL79" s="214"/>
      <c r="BM79" s="214"/>
      <c r="BN79" s="214"/>
      <c r="BO79" s="214"/>
      <c r="BP79" s="214"/>
      <c r="BQ79" s="214"/>
      <c r="BR79" s="214"/>
      <c r="BS79" s="214"/>
      <c r="BT79" s="214"/>
      <c r="BU79" s="214"/>
      <c r="BV79" s="214"/>
      <c r="BW79" s="214"/>
      <c r="BX79" s="223" t="s">
        <v>10</v>
      </c>
      <c r="BY79" s="222">
        <f>D79*F79+H79*J79</f>
        <v>4.55</v>
      </c>
      <c r="BZ79" s="204"/>
      <c r="CA79" s="204"/>
      <c r="CB79" s="204"/>
      <c r="CC79" s="200"/>
      <c r="CD79" s="202"/>
      <c r="CE79" s="201"/>
      <c r="CF79" s="200"/>
      <c r="CG79" s="202"/>
      <c r="CH79" s="201"/>
      <c r="CI79" s="201"/>
      <c r="CJ79" s="201"/>
      <c r="CK79" s="198"/>
      <c r="CL79" s="200"/>
      <c r="CM79" s="199"/>
      <c r="CN79" s="198"/>
    </row>
    <row r="80" spans="1:92">
      <c r="A80" s="208"/>
      <c r="B80" s="214"/>
      <c r="C80" s="221" t="s">
        <v>320</v>
      </c>
      <c r="D80" s="234">
        <v>3.65</v>
      </c>
      <c r="E80" s="234" t="s">
        <v>309</v>
      </c>
      <c r="F80" s="229">
        <v>3.5</v>
      </c>
      <c r="G80" s="229"/>
      <c r="H80" s="229"/>
      <c r="I80" s="229"/>
      <c r="J80" s="229"/>
      <c r="K80" s="229"/>
      <c r="L80" s="229"/>
      <c r="M80" s="229"/>
      <c r="N80" s="229"/>
      <c r="O80" s="229"/>
      <c r="P80" s="229"/>
      <c r="Q80" s="229"/>
      <c r="R80" s="229"/>
      <c r="S80" s="229"/>
      <c r="T80" s="229"/>
      <c r="U80" s="229"/>
      <c r="V80" s="229"/>
      <c r="W80" s="236"/>
      <c r="X80" s="232"/>
      <c r="Y80" s="235"/>
      <c r="Z80" s="227"/>
      <c r="AA80" s="224"/>
      <c r="AB80" s="228"/>
      <c r="AC80" s="227"/>
      <c r="AD80" s="93"/>
      <c r="AE80" s="226"/>
      <c r="AF80" s="227"/>
      <c r="AG80" s="93"/>
      <c r="AH80" s="226"/>
      <c r="AI80" s="227"/>
      <c r="AJ80" s="93"/>
      <c r="AK80" s="226"/>
      <c r="AL80" s="227"/>
      <c r="AM80" s="93"/>
      <c r="AN80" s="226"/>
      <c r="AO80" s="95"/>
      <c r="AP80" s="93"/>
      <c r="AQ80" s="226"/>
      <c r="AR80" s="225"/>
      <c r="AS80" s="224"/>
      <c r="AT80" s="204"/>
      <c r="AU80" s="204"/>
      <c r="AV80" s="214"/>
      <c r="AW80" s="214"/>
      <c r="AX80" s="214"/>
      <c r="AY80" s="214"/>
      <c r="AZ80" s="214"/>
      <c r="BA80" s="214"/>
      <c r="BB80" s="214"/>
      <c r="BC80" s="214"/>
      <c r="BD80" s="214"/>
      <c r="BE80" s="214"/>
      <c r="BF80" s="214"/>
      <c r="BG80" s="214"/>
      <c r="BH80" s="214"/>
      <c r="BI80" s="214"/>
      <c r="BJ80" s="214"/>
      <c r="BK80" s="214"/>
      <c r="BL80" s="214"/>
      <c r="BM80" s="214"/>
      <c r="BN80" s="214"/>
      <c r="BO80" s="214"/>
      <c r="BP80" s="214"/>
      <c r="BQ80" s="214"/>
      <c r="BR80" s="214"/>
      <c r="BS80" s="214"/>
      <c r="BT80" s="214"/>
      <c r="BU80" s="214"/>
      <c r="BV80" s="214"/>
      <c r="BW80" s="214"/>
      <c r="BX80" s="223" t="s">
        <v>10</v>
      </c>
      <c r="BY80" s="222">
        <f>D80*F80+H80*J80</f>
        <v>12.775</v>
      </c>
      <c r="BZ80" s="204"/>
      <c r="CA80" s="204"/>
      <c r="CB80" s="204"/>
      <c r="CC80" s="200"/>
      <c r="CD80" s="202"/>
      <c r="CE80" s="201"/>
      <c r="CF80" s="200"/>
      <c r="CG80" s="202"/>
      <c r="CH80" s="201"/>
      <c r="CI80" s="201"/>
      <c r="CJ80" s="201"/>
      <c r="CK80" s="198"/>
      <c r="CL80" s="200"/>
      <c r="CM80" s="199"/>
      <c r="CN80" s="198"/>
    </row>
    <row r="81" spans="1:92">
      <c r="A81" s="208"/>
      <c r="B81" s="214"/>
      <c r="C81" s="221" t="s">
        <v>314</v>
      </c>
      <c r="D81" s="234">
        <v>2.4</v>
      </c>
      <c r="E81" s="234" t="s">
        <v>309</v>
      </c>
      <c r="F81" s="229">
        <v>1.3</v>
      </c>
      <c r="G81" s="229"/>
      <c r="H81" s="229"/>
      <c r="I81" s="229"/>
      <c r="J81" s="229"/>
      <c r="K81" s="229"/>
      <c r="L81" s="229"/>
      <c r="M81" s="229"/>
      <c r="N81" s="229"/>
      <c r="O81" s="229"/>
      <c r="P81" s="229"/>
      <c r="Q81" s="229"/>
      <c r="R81" s="229"/>
      <c r="S81" s="229"/>
      <c r="T81" s="229"/>
      <c r="U81" s="229"/>
      <c r="V81" s="229"/>
      <c r="W81" s="236"/>
      <c r="X81" s="232"/>
      <c r="Y81" s="235"/>
      <c r="Z81" s="227"/>
      <c r="AA81" s="224"/>
      <c r="AB81" s="228"/>
      <c r="AC81" s="227"/>
      <c r="AD81" s="93"/>
      <c r="AE81" s="226"/>
      <c r="AF81" s="227"/>
      <c r="AG81" s="93"/>
      <c r="AH81" s="226"/>
      <c r="AI81" s="227"/>
      <c r="AJ81" s="93"/>
      <c r="AK81" s="226"/>
      <c r="AL81" s="227"/>
      <c r="AM81" s="93"/>
      <c r="AN81" s="226"/>
      <c r="AO81" s="95"/>
      <c r="AP81" s="93"/>
      <c r="AQ81" s="226"/>
      <c r="AR81" s="225"/>
      <c r="AS81" s="224"/>
      <c r="AT81" s="204"/>
      <c r="AU81" s="204"/>
      <c r="AV81" s="214"/>
      <c r="AW81" s="214"/>
      <c r="AX81" s="214"/>
      <c r="AY81" s="214"/>
      <c r="AZ81" s="214"/>
      <c r="BA81" s="214"/>
      <c r="BB81" s="214"/>
      <c r="BC81" s="214"/>
      <c r="BD81" s="214"/>
      <c r="BE81" s="214"/>
      <c r="BF81" s="214"/>
      <c r="BG81" s="214"/>
      <c r="BH81" s="214"/>
      <c r="BI81" s="214"/>
      <c r="BJ81" s="214"/>
      <c r="BK81" s="214"/>
      <c r="BL81" s="214"/>
      <c r="BM81" s="214"/>
      <c r="BN81" s="214"/>
      <c r="BO81" s="214"/>
      <c r="BP81" s="214"/>
      <c r="BQ81" s="214"/>
      <c r="BR81" s="214"/>
      <c r="BS81" s="214"/>
      <c r="BT81" s="214"/>
      <c r="BU81" s="214"/>
      <c r="BV81" s="214"/>
      <c r="BW81" s="214"/>
      <c r="BX81" s="223" t="s">
        <v>10</v>
      </c>
      <c r="BY81" s="222">
        <f>D81*F81+H81*J81</f>
        <v>3.12</v>
      </c>
      <c r="BZ81" s="204"/>
      <c r="CA81" s="204"/>
      <c r="CB81" s="204"/>
      <c r="CC81" s="200"/>
      <c r="CD81" s="202"/>
      <c r="CE81" s="201"/>
      <c r="CF81" s="200"/>
      <c r="CG81" s="202"/>
      <c r="CH81" s="201"/>
      <c r="CI81" s="201"/>
      <c r="CJ81" s="201"/>
      <c r="CK81" s="198"/>
      <c r="CL81" s="200"/>
      <c r="CM81" s="199"/>
      <c r="CN81" s="198"/>
    </row>
    <row r="82" spans="1:92">
      <c r="A82" s="208"/>
      <c r="B82" s="214"/>
      <c r="C82" s="221" t="s">
        <v>319</v>
      </c>
      <c r="D82" s="234">
        <v>3.65</v>
      </c>
      <c r="E82" s="234" t="s">
        <v>309</v>
      </c>
      <c r="F82" s="229">
        <v>3.5</v>
      </c>
      <c r="G82" s="229"/>
      <c r="H82" s="229"/>
      <c r="I82" s="229"/>
      <c r="J82" s="229"/>
      <c r="K82" s="229"/>
      <c r="L82" s="229"/>
      <c r="M82" s="229"/>
      <c r="N82" s="229"/>
      <c r="O82" s="229"/>
      <c r="P82" s="229"/>
      <c r="Q82" s="229"/>
      <c r="R82" s="229"/>
      <c r="S82" s="229"/>
      <c r="T82" s="229"/>
      <c r="U82" s="229"/>
      <c r="V82" s="229"/>
      <c r="W82" s="236"/>
      <c r="X82" s="232"/>
      <c r="Y82" s="235"/>
      <c r="Z82" s="227"/>
      <c r="AA82" s="224"/>
      <c r="AB82" s="228"/>
      <c r="AC82" s="227"/>
      <c r="AD82" s="93"/>
      <c r="AE82" s="226"/>
      <c r="AF82" s="227"/>
      <c r="AG82" s="93"/>
      <c r="AH82" s="226"/>
      <c r="AI82" s="227"/>
      <c r="AJ82" s="93"/>
      <c r="AK82" s="226"/>
      <c r="AL82" s="227"/>
      <c r="AM82" s="93"/>
      <c r="AN82" s="226"/>
      <c r="AO82" s="95"/>
      <c r="AP82" s="93"/>
      <c r="AQ82" s="226"/>
      <c r="AR82" s="225"/>
      <c r="AS82" s="224"/>
      <c r="AT82" s="204"/>
      <c r="AU82" s="204"/>
      <c r="AV82" s="214"/>
      <c r="AW82" s="214"/>
      <c r="AX82" s="214"/>
      <c r="AY82" s="214"/>
      <c r="AZ82" s="214"/>
      <c r="BA82" s="214"/>
      <c r="BB82" s="214"/>
      <c r="BC82" s="214"/>
      <c r="BD82" s="214"/>
      <c r="BE82" s="214"/>
      <c r="BF82" s="214"/>
      <c r="BG82" s="214"/>
      <c r="BH82" s="214"/>
      <c r="BI82" s="214"/>
      <c r="BJ82" s="214"/>
      <c r="BK82" s="214"/>
      <c r="BL82" s="214"/>
      <c r="BM82" s="214"/>
      <c r="BN82" s="214"/>
      <c r="BO82" s="214"/>
      <c r="BP82" s="214"/>
      <c r="BQ82" s="214"/>
      <c r="BR82" s="214"/>
      <c r="BS82" s="214"/>
      <c r="BT82" s="214"/>
      <c r="BU82" s="214"/>
      <c r="BV82" s="214"/>
      <c r="BW82" s="214"/>
      <c r="BX82" s="223" t="s">
        <v>10</v>
      </c>
      <c r="BY82" s="222">
        <f>D82*F82+H82*J82</f>
        <v>12.775</v>
      </c>
      <c r="BZ82" s="204"/>
      <c r="CA82" s="204"/>
      <c r="CB82" s="204"/>
      <c r="CC82" s="200"/>
      <c r="CD82" s="202"/>
      <c r="CE82" s="201"/>
      <c r="CF82" s="200"/>
      <c r="CG82" s="202"/>
      <c r="CH82" s="201"/>
      <c r="CI82" s="201"/>
      <c r="CJ82" s="201"/>
      <c r="CK82" s="198"/>
      <c r="CL82" s="200"/>
      <c r="CM82" s="199"/>
      <c r="CN82" s="198"/>
    </row>
    <row r="83" spans="1:92">
      <c r="A83" s="208"/>
      <c r="B83" s="214"/>
      <c r="C83" s="221" t="s">
        <v>314</v>
      </c>
      <c r="D83" s="234">
        <v>2.4</v>
      </c>
      <c r="E83" s="234" t="s">
        <v>309</v>
      </c>
      <c r="F83" s="229">
        <v>1.3</v>
      </c>
      <c r="G83" s="229"/>
      <c r="H83" s="229"/>
      <c r="I83" s="229"/>
      <c r="J83" s="229"/>
      <c r="K83" s="229"/>
      <c r="L83" s="229"/>
      <c r="M83" s="229"/>
      <c r="N83" s="229"/>
      <c r="O83" s="229"/>
      <c r="P83" s="229"/>
      <c r="Q83" s="229"/>
      <c r="R83" s="229"/>
      <c r="S83" s="229"/>
      <c r="T83" s="229"/>
      <c r="U83" s="229"/>
      <c r="V83" s="229"/>
      <c r="W83" s="236"/>
      <c r="X83" s="232"/>
      <c r="Y83" s="235"/>
      <c r="Z83" s="227"/>
      <c r="AA83" s="224"/>
      <c r="AB83" s="228"/>
      <c r="AC83" s="227"/>
      <c r="AD83" s="93"/>
      <c r="AE83" s="226"/>
      <c r="AF83" s="227"/>
      <c r="AG83" s="93"/>
      <c r="AH83" s="226"/>
      <c r="AI83" s="227"/>
      <c r="AJ83" s="93"/>
      <c r="AK83" s="226"/>
      <c r="AL83" s="227"/>
      <c r="AM83" s="93"/>
      <c r="AN83" s="226"/>
      <c r="AO83" s="95"/>
      <c r="AP83" s="93"/>
      <c r="AQ83" s="226"/>
      <c r="AR83" s="225"/>
      <c r="AS83" s="224"/>
      <c r="AT83" s="204"/>
      <c r="AU83" s="204"/>
      <c r="AV83" s="214"/>
      <c r="AW83" s="214"/>
      <c r="AX83" s="214"/>
      <c r="AY83" s="214"/>
      <c r="AZ83" s="214"/>
      <c r="BA83" s="214"/>
      <c r="BB83" s="214"/>
      <c r="BC83" s="214"/>
      <c r="BD83" s="214"/>
      <c r="BE83" s="214"/>
      <c r="BF83" s="214"/>
      <c r="BG83" s="214"/>
      <c r="BH83" s="214"/>
      <c r="BI83" s="214"/>
      <c r="BJ83" s="214"/>
      <c r="BK83" s="214"/>
      <c r="BL83" s="214"/>
      <c r="BM83" s="214"/>
      <c r="BN83" s="214"/>
      <c r="BO83" s="214"/>
      <c r="BP83" s="214"/>
      <c r="BQ83" s="214"/>
      <c r="BR83" s="214"/>
      <c r="BS83" s="214"/>
      <c r="BT83" s="214"/>
      <c r="BU83" s="214"/>
      <c r="BV83" s="214"/>
      <c r="BW83" s="214"/>
      <c r="BX83" s="223" t="s">
        <v>10</v>
      </c>
      <c r="BY83" s="222">
        <f>D83*F83+H83*J83</f>
        <v>3.12</v>
      </c>
      <c r="BZ83" s="204"/>
      <c r="CA83" s="204"/>
      <c r="CB83" s="204"/>
      <c r="CC83" s="200"/>
      <c r="CD83" s="202"/>
      <c r="CE83" s="201"/>
      <c r="CF83" s="200"/>
      <c r="CG83" s="202"/>
      <c r="CH83" s="201"/>
      <c r="CI83" s="201"/>
      <c r="CJ83" s="201"/>
      <c r="CK83" s="198"/>
      <c r="CL83" s="200"/>
      <c r="CM83" s="199"/>
      <c r="CN83" s="198"/>
    </row>
    <row r="84" spans="1:92">
      <c r="A84" s="208"/>
      <c r="B84" s="214"/>
      <c r="C84" s="221" t="s">
        <v>318</v>
      </c>
      <c r="D84" s="234">
        <v>3.65</v>
      </c>
      <c r="E84" s="234" t="s">
        <v>309</v>
      </c>
      <c r="F84" s="229">
        <v>3.5</v>
      </c>
      <c r="G84" s="229"/>
      <c r="H84" s="229"/>
      <c r="I84" s="229"/>
      <c r="J84" s="229"/>
      <c r="K84" s="229"/>
      <c r="L84" s="229"/>
      <c r="M84" s="229"/>
      <c r="N84" s="229"/>
      <c r="O84" s="229"/>
      <c r="P84" s="229"/>
      <c r="Q84" s="229"/>
      <c r="R84" s="229"/>
      <c r="S84" s="229"/>
      <c r="T84" s="229"/>
      <c r="U84" s="229"/>
      <c r="V84" s="229"/>
      <c r="W84" s="236"/>
      <c r="X84" s="232"/>
      <c r="Y84" s="235"/>
      <c r="Z84" s="227"/>
      <c r="AA84" s="224"/>
      <c r="AB84" s="228"/>
      <c r="AC84" s="227"/>
      <c r="AD84" s="93"/>
      <c r="AE84" s="226"/>
      <c r="AF84" s="227"/>
      <c r="AG84" s="93"/>
      <c r="AH84" s="226"/>
      <c r="AI84" s="227"/>
      <c r="AJ84" s="93"/>
      <c r="AK84" s="226"/>
      <c r="AL84" s="227"/>
      <c r="AM84" s="93"/>
      <c r="AN84" s="226"/>
      <c r="AO84" s="95"/>
      <c r="AP84" s="93"/>
      <c r="AQ84" s="226"/>
      <c r="AR84" s="225"/>
      <c r="AS84" s="224"/>
      <c r="AT84" s="204"/>
      <c r="AU84" s="204"/>
      <c r="AV84" s="214"/>
      <c r="AW84" s="214"/>
      <c r="AX84" s="214"/>
      <c r="AY84" s="214"/>
      <c r="AZ84" s="214"/>
      <c r="BA84" s="214"/>
      <c r="BB84" s="214"/>
      <c r="BC84" s="214"/>
      <c r="BD84" s="214"/>
      <c r="BE84" s="214"/>
      <c r="BF84" s="214"/>
      <c r="BG84" s="214"/>
      <c r="BH84" s="214"/>
      <c r="BI84" s="214"/>
      <c r="BJ84" s="214"/>
      <c r="BK84" s="214"/>
      <c r="BL84" s="214"/>
      <c r="BM84" s="214"/>
      <c r="BN84" s="214"/>
      <c r="BO84" s="214"/>
      <c r="BP84" s="214"/>
      <c r="BQ84" s="214"/>
      <c r="BR84" s="214"/>
      <c r="BS84" s="214"/>
      <c r="BT84" s="214"/>
      <c r="BU84" s="214"/>
      <c r="BV84" s="214"/>
      <c r="BW84" s="214"/>
      <c r="BX84" s="223" t="s">
        <v>10</v>
      </c>
      <c r="BY84" s="222">
        <f>D84*F84+H84*J84</f>
        <v>12.775</v>
      </c>
      <c r="BZ84" s="204"/>
      <c r="CA84" s="204"/>
      <c r="CB84" s="204"/>
      <c r="CC84" s="200"/>
      <c r="CD84" s="202"/>
      <c r="CE84" s="201"/>
      <c r="CF84" s="200"/>
      <c r="CG84" s="202"/>
      <c r="CH84" s="201"/>
      <c r="CI84" s="201"/>
      <c r="CJ84" s="201"/>
      <c r="CK84" s="198"/>
      <c r="CL84" s="200"/>
      <c r="CM84" s="199"/>
      <c r="CN84" s="198"/>
    </row>
    <row r="85" spans="1:92">
      <c r="A85" s="208"/>
      <c r="B85" s="214"/>
      <c r="C85" s="221" t="s">
        <v>314</v>
      </c>
      <c r="D85" s="234">
        <v>2.4</v>
      </c>
      <c r="E85" s="234" t="s">
        <v>309</v>
      </c>
      <c r="F85" s="229">
        <v>1.3</v>
      </c>
      <c r="G85" s="229"/>
      <c r="H85" s="229"/>
      <c r="I85" s="229"/>
      <c r="J85" s="229"/>
      <c r="K85" s="229"/>
      <c r="L85" s="229"/>
      <c r="M85" s="229"/>
      <c r="N85" s="229"/>
      <c r="O85" s="229"/>
      <c r="P85" s="229"/>
      <c r="Q85" s="229"/>
      <c r="R85" s="229"/>
      <c r="S85" s="229"/>
      <c r="T85" s="229"/>
      <c r="U85" s="229"/>
      <c r="V85" s="229"/>
      <c r="W85" s="236"/>
      <c r="X85" s="232"/>
      <c r="Y85" s="235"/>
      <c r="Z85" s="227"/>
      <c r="AA85" s="224"/>
      <c r="AB85" s="228"/>
      <c r="AC85" s="227"/>
      <c r="AD85" s="93"/>
      <c r="AE85" s="226"/>
      <c r="AF85" s="227"/>
      <c r="AG85" s="93"/>
      <c r="AH85" s="226"/>
      <c r="AI85" s="227"/>
      <c r="AJ85" s="93"/>
      <c r="AK85" s="226"/>
      <c r="AL85" s="227"/>
      <c r="AM85" s="93"/>
      <c r="AN85" s="226"/>
      <c r="AO85" s="95"/>
      <c r="AP85" s="93"/>
      <c r="AQ85" s="226"/>
      <c r="AR85" s="225"/>
      <c r="AS85" s="224"/>
      <c r="AT85" s="204"/>
      <c r="AU85" s="204"/>
      <c r="AV85" s="214"/>
      <c r="AW85" s="214"/>
      <c r="AX85" s="214"/>
      <c r="AY85" s="214"/>
      <c r="AZ85" s="214"/>
      <c r="BA85" s="214"/>
      <c r="BB85" s="214"/>
      <c r="BC85" s="214"/>
      <c r="BD85" s="214"/>
      <c r="BE85" s="214"/>
      <c r="BF85" s="214"/>
      <c r="BG85" s="214"/>
      <c r="BH85" s="214"/>
      <c r="BI85" s="214"/>
      <c r="BJ85" s="214"/>
      <c r="BK85" s="214"/>
      <c r="BL85" s="214"/>
      <c r="BM85" s="214"/>
      <c r="BN85" s="214"/>
      <c r="BO85" s="214"/>
      <c r="BP85" s="214"/>
      <c r="BQ85" s="214"/>
      <c r="BR85" s="214"/>
      <c r="BS85" s="214"/>
      <c r="BT85" s="214"/>
      <c r="BU85" s="214"/>
      <c r="BV85" s="214"/>
      <c r="BW85" s="214"/>
      <c r="BX85" s="223" t="s">
        <v>10</v>
      </c>
      <c r="BY85" s="222">
        <f>D85*F85+H85*J85</f>
        <v>3.12</v>
      </c>
      <c r="BZ85" s="204"/>
      <c r="CA85" s="204"/>
      <c r="CB85" s="204"/>
      <c r="CC85" s="200"/>
      <c r="CD85" s="202"/>
      <c r="CE85" s="201"/>
      <c r="CF85" s="200"/>
      <c r="CG85" s="202"/>
      <c r="CH85" s="201"/>
      <c r="CI85" s="201"/>
      <c r="CJ85" s="201"/>
      <c r="CK85" s="198"/>
      <c r="CL85" s="200"/>
      <c r="CM85" s="199"/>
      <c r="CN85" s="198"/>
    </row>
    <row r="86" spans="1:92">
      <c r="A86" s="208"/>
      <c r="B86" s="214"/>
      <c r="C86" s="221" t="s">
        <v>317</v>
      </c>
      <c r="D86" s="234">
        <v>3.65</v>
      </c>
      <c r="E86" s="234" t="s">
        <v>309</v>
      </c>
      <c r="F86" s="229">
        <v>3.5</v>
      </c>
      <c r="G86" s="229"/>
      <c r="H86" s="229"/>
      <c r="I86" s="229"/>
      <c r="J86" s="229"/>
      <c r="K86" s="229"/>
      <c r="L86" s="229"/>
      <c r="M86" s="229"/>
      <c r="N86" s="229"/>
      <c r="O86" s="229"/>
      <c r="P86" s="229"/>
      <c r="Q86" s="229"/>
      <c r="R86" s="229"/>
      <c r="S86" s="229"/>
      <c r="T86" s="229"/>
      <c r="U86" s="229"/>
      <c r="V86" s="229"/>
      <c r="W86" s="236"/>
      <c r="X86" s="232"/>
      <c r="Y86" s="235"/>
      <c r="Z86" s="227"/>
      <c r="AA86" s="224"/>
      <c r="AB86" s="228"/>
      <c r="AC86" s="227"/>
      <c r="AD86" s="93"/>
      <c r="AE86" s="226"/>
      <c r="AF86" s="227"/>
      <c r="AG86" s="93"/>
      <c r="AH86" s="226"/>
      <c r="AI86" s="227"/>
      <c r="AJ86" s="93"/>
      <c r="AK86" s="226"/>
      <c r="AL86" s="227"/>
      <c r="AM86" s="93"/>
      <c r="AN86" s="226"/>
      <c r="AO86" s="95"/>
      <c r="AP86" s="93"/>
      <c r="AQ86" s="226"/>
      <c r="AR86" s="225"/>
      <c r="AS86" s="224"/>
      <c r="AT86" s="204"/>
      <c r="AU86" s="204"/>
      <c r="AV86" s="214"/>
      <c r="AW86" s="214"/>
      <c r="AX86" s="214"/>
      <c r="AY86" s="214"/>
      <c r="AZ86" s="214"/>
      <c r="BA86" s="214"/>
      <c r="BB86" s="214"/>
      <c r="BC86" s="214"/>
      <c r="BD86" s="214"/>
      <c r="BE86" s="214"/>
      <c r="BF86" s="214"/>
      <c r="BG86" s="214"/>
      <c r="BH86" s="214"/>
      <c r="BI86" s="214"/>
      <c r="BJ86" s="214"/>
      <c r="BK86" s="214"/>
      <c r="BL86" s="214"/>
      <c r="BM86" s="214"/>
      <c r="BN86" s="214"/>
      <c r="BO86" s="214"/>
      <c r="BP86" s="214"/>
      <c r="BQ86" s="214"/>
      <c r="BR86" s="214"/>
      <c r="BS86" s="214"/>
      <c r="BT86" s="214"/>
      <c r="BU86" s="214"/>
      <c r="BV86" s="214"/>
      <c r="BW86" s="214"/>
      <c r="BX86" s="223" t="s">
        <v>10</v>
      </c>
      <c r="BY86" s="222">
        <f>D86*F86+H86*J86</f>
        <v>12.775</v>
      </c>
      <c r="BZ86" s="204"/>
      <c r="CA86" s="204"/>
      <c r="CB86" s="204"/>
      <c r="CC86" s="200"/>
      <c r="CD86" s="202"/>
      <c r="CE86" s="201"/>
      <c r="CF86" s="200"/>
      <c r="CG86" s="202"/>
      <c r="CH86" s="201"/>
      <c r="CI86" s="201"/>
      <c r="CJ86" s="201"/>
      <c r="CK86" s="198"/>
      <c r="CL86" s="200"/>
      <c r="CM86" s="199"/>
      <c r="CN86" s="198"/>
    </row>
    <row r="87" spans="1:92">
      <c r="A87" s="208"/>
      <c r="B87" s="214"/>
      <c r="C87" s="221" t="s">
        <v>314</v>
      </c>
      <c r="D87" s="234">
        <v>2.4</v>
      </c>
      <c r="E87" s="234" t="s">
        <v>309</v>
      </c>
      <c r="F87" s="229">
        <v>1.3</v>
      </c>
      <c r="G87" s="229"/>
      <c r="H87" s="229"/>
      <c r="I87" s="229"/>
      <c r="J87" s="229"/>
      <c r="K87" s="229"/>
      <c r="L87" s="229"/>
      <c r="M87" s="229"/>
      <c r="N87" s="229"/>
      <c r="O87" s="229"/>
      <c r="P87" s="229"/>
      <c r="Q87" s="229"/>
      <c r="R87" s="229"/>
      <c r="S87" s="229"/>
      <c r="T87" s="229"/>
      <c r="U87" s="229"/>
      <c r="V87" s="229"/>
      <c r="W87" s="236"/>
      <c r="X87" s="232"/>
      <c r="Y87" s="235"/>
      <c r="Z87" s="227"/>
      <c r="AA87" s="224"/>
      <c r="AB87" s="228"/>
      <c r="AC87" s="227"/>
      <c r="AD87" s="93"/>
      <c r="AE87" s="226"/>
      <c r="AF87" s="227"/>
      <c r="AG87" s="93"/>
      <c r="AH87" s="226"/>
      <c r="AI87" s="227"/>
      <c r="AJ87" s="93"/>
      <c r="AK87" s="226"/>
      <c r="AL87" s="227"/>
      <c r="AM87" s="93"/>
      <c r="AN87" s="226"/>
      <c r="AO87" s="95"/>
      <c r="AP87" s="93"/>
      <c r="AQ87" s="226"/>
      <c r="AR87" s="225"/>
      <c r="AS87" s="224"/>
      <c r="AT87" s="204"/>
      <c r="AU87" s="204"/>
      <c r="AV87" s="214"/>
      <c r="AW87" s="214"/>
      <c r="AX87" s="214"/>
      <c r="AY87" s="214"/>
      <c r="AZ87" s="214"/>
      <c r="BA87" s="214"/>
      <c r="BB87" s="214"/>
      <c r="BC87" s="214"/>
      <c r="BD87" s="214"/>
      <c r="BE87" s="214"/>
      <c r="BF87" s="214"/>
      <c r="BG87" s="214"/>
      <c r="BH87" s="214"/>
      <c r="BI87" s="214"/>
      <c r="BJ87" s="214"/>
      <c r="BK87" s="214"/>
      <c r="BL87" s="214"/>
      <c r="BM87" s="214"/>
      <c r="BN87" s="214"/>
      <c r="BO87" s="214"/>
      <c r="BP87" s="214"/>
      <c r="BQ87" s="214"/>
      <c r="BR87" s="214"/>
      <c r="BS87" s="214"/>
      <c r="BT87" s="214"/>
      <c r="BU87" s="214"/>
      <c r="BV87" s="214"/>
      <c r="BW87" s="214"/>
      <c r="BX87" s="223" t="s">
        <v>10</v>
      </c>
      <c r="BY87" s="222">
        <f>D87*F87+H87*J87</f>
        <v>3.12</v>
      </c>
      <c r="BZ87" s="204"/>
      <c r="CA87" s="204"/>
      <c r="CB87" s="204"/>
      <c r="CC87" s="200"/>
      <c r="CD87" s="202"/>
      <c r="CE87" s="201"/>
      <c r="CF87" s="200"/>
      <c r="CG87" s="202"/>
      <c r="CH87" s="201"/>
      <c r="CI87" s="201"/>
      <c r="CJ87" s="201"/>
      <c r="CK87" s="198"/>
      <c r="CL87" s="200"/>
      <c r="CM87" s="199"/>
      <c r="CN87" s="198"/>
    </row>
    <row r="88" spans="1:92">
      <c r="A88" s="208"/>
      <c r="B88" s="214"/>
      <c r="C88" s="221" t="s">
        <v>316</v>
      </c>
      <c r="D88" s="234">
        <v>3.65</v>
      </c>
      <c r="E88" s="234" t="s">
        <v>309</v>
      </c>
      <c r="F88" s="229">
        <v>3.5</v>
      </c>
      <c r="G88" s="229"/>
      <c r="H88" s="229"/>
      <c r="I88" s="229"/>
      <c r="J88" s="229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36"/>
      <c r="X88" s="232"/>
      <c r="Y88" s="235"/>
      <c r="Z88" s="227"/>
      <c r="AA88" s="224"/>
      <c r="AB88" s="228"/>
      <c r="AC88" s="227"/>
      <c r="AD88" s="93"/>
      <c r="AE88" s="226"/>
      <c r="AF88" s="227"/>
      <c r="AG88" s="93"/>
      <c r="AH88" s="226"/>
      <c r="AI88" s="227"/>
      <c r="AJ88" s="93"/>
      <c r="AK88" s="226"/>
      <c r="AL88" s="227"/>
      <c r="AM88" s="93"/>
      <c r="AN88" s="226"/>
      <c r="AO88" s="95"/>
      <c r="AP88" s="93"/>
      <c r="AQ88" s="226"/>
      <c r="AR88" s="225"/>
      <c r="AS88" s="224"/>
      <c r="AT88" s="204"/>
      <c r="AU88" s="204"/>
      <c r="AV88" s="214"/>
      <c r="AW88" s="214"/>
      <c r="AX88" s="214"/>
      <c r="AY88" s="214"/>
      <c r="AZ88" s="214"/>
      <c r="BA88" s="214"/>
      <c r="BB88" s="214"/>
      <c r="BC88" s="214"/>
      <c r="BD88" s="214"/>
      <c r="BE88" s="214"/>
      <c r="BF88" s="214"/>
      <c r="BG88" s="214"/>
      <c r="BH88" s="214"/>
      <c r="BI88" s="214"/>
      <c r="BJ88" s="214"/>
      <c r="BK88" s="214"/>
      <c r="BL88" s="214"/>
      <c r="BM88" s="214"/>
      <c r="BN88" s="214"/>
      <c r="BO88" s="214"/>
      <c r="BP88" s="214"/>
      <c r="BQ88" s="214"/>
      <c r="BR88" s="214"/>
      <c r="BS88" s="214"/>
      <c r="BT88" s="214"/>
      <c r="BU88" s="214"/>
      <c r="BV88" s="214"/>
      <c r="BW88" s="214"/>
      <c r="BX88" s="223" t="s">
        <v>10</v>
      </c>
      <c r="BY88" s="222">
        <f>D88*F88+H88*J88</f>
        <v>12.775</v>
      </c>
      <c r="BZ88" s="204"/>
      <c r="CA88" s="204"/>
      <c r="CB88" s="204"/>
      <c r="CC88" s="200"/>
      <c r="CD88" s="202"/>
      <c r="CE88" s="201"/>
      <c r="CF88" s="200"/>
      <c r="CG88" s="202"/>
      <c r="CH88" s="201"/>
      <c r="CI88" s="201"/>
      <c r="CJ88" s="201"/>
      <c r="CK88" s="198"/>
      <c r="CL88" s="200"/>
      <c r="CM88" s="199"/>
      <c r="CN88" s="198"/>
    </row>
    <row r="89" spans="1:92">
      <c r="A89" s="208"/>
      <c r="B89" s="214"/>
      <c r="C89" s="221" t="s">
        <v>314</v>
      </c>
      <c r="D89" s="234">
        <v>2.4</v>
      </c>
      <c r="E89" s="234" t="s">
        <v>309</v>
      </c>
      <c r="F89" s="229">
        <v>1.3</v>
      </c>
      <c r="G89" s="229"/>
      <c r="H89" s="229"/>
      <c r="I89" s="229"/>
      <c r="J89" s="229"/>
      <c r="K89" s="229"/>
      <c r="L89" s="229"/>
      <c r="M89" s="229"/>
      <c r="N89" s="229"/>
      <c r="O89" s="229"/>
      <c r="P89" s="229"/>
      <c r="Q89" s="229"/>
      <c r="R89" s="229"/>
      <c r="S89" s="229"/>
      <c r="T89" s="229"/>
      <c r="U89" s="229"/>
      <c r="V89" s="229"/>
      <c r="W89" s="236"/>
      <c r="X89" s="232"/>
      <c r="Y89" s="235"/>
      <c r="Z89" s="227"/>
      <c r="AA89" s="224"/>
      <c r="AB89" s="228"/>
      <c r="AC89" s="227"/>
      <c r="AD89" s="93"/>
      <c r="AE89" s="226"/>
      <c r="AF89" s="227"/>
      <c r="AG89" s="93"/>
      <c r="AH89" s="226"/>
      <c r="AI89" s="227"/>
      <c r="AJ89" s="93"/>
      <c r="AK89" s="226"/>
      <c r="AL89" s="227"/>
      <c r="AM89" s="93"/>
      <c r="AN89" s="226"/>
      <c r="AO89" s="95"/>
      <c r="AP89" s="93"/>
      <c r="AQ89" s="226"/>
      <c r="AR89" s="225"/>
      <c r="AS89" s="224"/>
      <c r="AT89" s="204"/>
      <c r="AU89" s="204"/>
      <c r="AV89" s="214"/>
      <c r="AW89" s="214"/>
      <c r="AX89" s="214"/>
      <c r="AY89" s="214"/>
      <c r="AZ89" s="214"/>
      <c r="BA89" s="214"/>
      <c r="BB89" s="214"/>
      <c r="BC89" s="214"/>
      <c r="BD89" s="214"/>
      <c r="BE89" s="214"/>
      <c r="BF89" s="214"/>
      <c r="BG89" s="214"/>
      <c r="BH89" s="214"/>
      <c r="BI89" s="214"/>
      <c r="BJ89" s="214"/>
      <c r="BK89" s="214"/>
      <c r="BL89" s="214"/>
      <c r="BM89" s="214"/>
      <c r="BN89" s="214"/>
      <c r="BO89" s="214"/>
      <c r="BP89" s="214"/>
      <c r="BQ89" s="214"/>
      <c r="BR89" s="214"/>
      <c r="BS89" s="214"/>
      <c r="BT89" s="214"/>
      <c r="BU89" s="214"/>
      <c r="BV89" s="214"/>
      <c r="BW89" s="214"/>
      <c r="BX89" s="223" t="s">
        <v>10</v>
      </c>
      <c r="BY89" s="222">
        <f>D89*F89+H89*J89</f>
        <v>3.12</v>
      </c>
      <c r="BZ89" s="204"/>
      <c r="CA89" s="204"/>
      <c r="CB89" s="204"/>
      <c r="CC89" s="200"/>
      <c r="CD89" s="202"/>
      <c r="CE89" s="201"/>
      <c r="CF89" s="200"/>
      <c r="CG89" s="202"/>
      <c r="CH89" s="201"/>
      <c r="CI89" s="201"/>
      <c r="CJ89" s="201"/>
      <c r="CK89" s="198"/>
      <c r="CL89" s="200"/>
      <c r="CM89" s="199"/>
      <c r="CN89" s="198"/>
    </row>
    <row r="90" spans="1:92">
      <c r="A90" s="208"/>
      <c r="B90" s="214"/>
      <c r="C90" s="221" t="s">
        <v>315</v>
      </c>
      <c r="D90" s="234">
        <v>3.65</v>
      </c>
      <c r="E90" s="234" t="s">
        <v>309</v>
      </c>
      <c r="F90" s="229">
        <v>3.5</v>
      </c>
      <c r="G90" s="229"/>
      <c r="H90" s="229"/>
      <c r="I90" s="229"/>
      <c r="J90" s="229"/>
      <c r="K90" s="229"/>
      <c r="L90" s="229"/>
      <c r="M90" s="229"/>
      <c r="N90" s="229"/>
      <c r="O90" s="229"/>
      <c r="P90" s="229"/>
      <c r="Q90" s="229"/>
      <c r="R90" s="229"/>
      <c r="S90" s="229"/>
      <c r="T90" s="229"/>
      <c r="U90" s="229"/>
      <c r="V90" s="229"/>
      <c r="W90" s="236"/>
      <c r="X90" s="232"/>
      <c r="Y90" s="235"/>
      <c r="Z90" s="227"/>
      <c r="AA90" s="224"/>
      <c r="AB90" s="228"/>
      <c r="AC90" s="227"/>
      <c r="AD90" s="93"/>
      <c r="AE90" s="226"/>
      <c r="AF90" s="227"/>
      <c r="AG90" s="93"/>
      <c r="AH90" s="226"/>
      <c r="AI90" s="227"/>
      <c r="AJ90" s="93"/>
      <c r="AK90" s="226"/>
      <c r="AL90" s="227"/>
      <c r="AM90" s="93"/>
      <c r="AN90" s="226"/>
      <c r="AO90" s="95"/>
      <c r="AP90" s="93"/>
      <c r="AQ90" s="226"/>
      <c r="AR90" s="225"/>
      <c r="AS90" s="224"/>
      <c r="AT90" s="204"/>
      <c r="AU90" s="204"/>
      <c r="AV90" s="214"/>
      <c r="AW90" s="214"/>
      <c r="AX90" s="214"/>
      <c r="AY90" s="214"/>
      <c r="AZ90" s="214"/>
      <c r="BA90" s="214"/>
      <c r="BB90" s="214"/>
      <c r="BC90" s="214"/>
      <c r="BD90" s="214"/>
      <c r="BE90" s="214"/>
      <c r="BF90" s="214"/>
      <c r="BG90" s="214"/>
      <c r="BH90" s="214"/>
      <c r="BI90" s="214"/>
      <c r="BJ90" s="214"/>
      <c r="BK90" s="214"/>
      <c r="BL90" s="214"/>
      <c r="BM90" s="214"/>
      <c r="BN90" s="214"/>
      <c r="BO90" s="214"/>
      <c r="BP90" s="214"/>
      <c r="BQ90" s="214"/>
      <c r="BR90" s="214"/>
      <c r="BS90" s="214"/>
      <c r="BT90" s="214"/>
      <c r="BU90" s="214"/>
      <c r="BV90" s="214"/>
      <c r="BW90" s="214"/>
      <c r="BX90" s="223" t="s">
        <v>10</v>
      </c>
      <c r="BY90" s="222">
        <f>D90*F90+H90*J90</f>
        <v>12.775</v>
      </c>
      <c r="BZ90" s="204"/>
      <c r="CA90" s="204"/>
      <c r="CB90" s="204"/>
      <c r="CC90" s="200"/>
      <c r="CD90" s="202"/>
      <c r="CE90" s="201"/>
      <c r="CF90" s="200"/>
      <c r="CG90" s="202"/>
      <c r="CH90" s="201"/>
      <c r="CI90" s="201"/>
      <c r="CJ90" s="201"/>
      <c r="CK90" s="198"/>
      <c r="CL90" s="200"/>
      <c r="CM90" s="199"/>
      <c r="CN90" s="198"/>
    </row>
    <row r="91" spans="1:92">
      <c r="A91" s="208"/>
      <c r="B91" s="214"/>
      <c r="C91" s="221" t="s">
        <v>314</v>
      </c>
      <c r="D91" s="234">
        <v>2.4</v>
      </c>
      <c r="E91" s="234" t="s">
        <v>309</v>
      </c>
      <c r="F91" s="229">
        <v>1.3</v>
      </c>
      <c r="G91" s="229"/>
      <c r="H91" s="229"/>
      <c r="I91" s="229"/>
      <c r="J91" s="229"/>
      <c r="K91" s="229"/>
      <c r="L91" s="229"/>
      <c r="M91" s="229"/>
      <c r="N91" s="229"/>
      <c r="O91" s="229"/>
      <c r="P91" s="229"/>
      <c r="Q91" s="229"/>
      <c r="R91" s="229"/>
      <c r="S91" s="229"/>
      <c r="T91" s="229"/>
      <c r="U91" s="229"/>
      <c r="V91" s="229"/>
      <c r="W91" s="236"/>
      <c r="X91" s="232"/>
      <c r="Y91" s="235"/>
      <c r="Z91" s="227"/>
      <c r="AA91" s="224"/>
      <c r="AB91" s="228"/>
      <c r="AC91" s="227"/>
      <c r="AD91" s="93"/>
      <c r="AE91" s="226"/>
      <c r="AF91" s="227"/>
      <c r="AG91" s="93"/>
      <c r="AH91" s="226"/>
      <c r="AI91" s="227"/>
      <c r="AJ91" s="93"/>
      <c r="AK91" s="226"/>
      <c r="AL91" s="227"/>
      <c r="AM91" s="93"/>
      <c r="AN91" s="226"/>
      <c r="AO91" s="95"/>
      <c r="AP91" s="93"/>
      <c r="AQ91" s="226"/>
      <c r="AR91" s="225"/>
      <c r="AS91" s="224"/>
      <c r="AT91" s="204"/>
      <c r="AU91" s="204"/>
      <c r="AV91" s="214"/>
      <c r="AW91" s="214"/>
      <c r="AX91" s="214"/>
      <c r="AY91" s="214"/>
      <c r="AZ91" s="214"/>
      <c r="BA91" s="214"/>
      <c r="BB91" s="214"/>
      <c r="BC91" s="214"/>
      <c r="BD91" s="214"/>
      <c r="BE91" s="214"/>
      <c r="BF91" s="214"/>
      <c r="BG91" s="214"/>
      <c r="BH91" s="214"/>
      <c r="BI91" s="214"/>
      <c r="BJ91" s="214"/>
      <c r="BK91" s="214"/>
      <c r="BL91" s="214"/>
      <c r="BM91" s="214"/>
      <c r="BN91" s="214"/>
      <c r="BO91" s="214"/>
      <c r="BP91" s="214"/>
      <c r="BQ91" s="214"/>
      <c r="BR91" s="214"/>
      <c r="BS91" s="214"/>
      <c r="BT91" s="214"/>
      <c r="BU91" s="214"/>
      <c r="BV91" s="214"/>
      <c r="BW91" s="214"/>
      <c r="BX91" s="223" t="s">
        <v>10</v>
      </c>
      <c r="BY91" s="222">
        <f>D91*F91+H91*J91</f>
        <v>3.12</v>
      </c>
      <c r="BZ91" s="204"/>
      <c r="CA91" s="204"/>
      <c r="CB91" s="204"/>
      <c r="CC91" s="200"/>
      <c r="CD91" s="202"/>
      <c r="CE91" s="201"/>
      <c r="CF91" s="200"/>
      <c r="CG91" s="202"/>
      <c r="CH91" s="201"/>
      <c r="CI91" s="201"/>
      <c r="CJ91" s="201"/>
      <c r="CK91" s="198"/>
      <c r="CL91" s="200"/>
      <c r="CM91" s="199"/>
      <c r="CN91" s="198"/>
    </row>
    <row r="92" spans="1:92">
      <c r="A92" s="208"/>
      <c r="B92" s="214"/>
      <c r="C92" s="221" t="s">
        <v>313</v>
      </c>
      <c r="D92" s="234">
        <v>3.65</v>
      </c>
      <c r="E92" s="234" t="s">
        <v>309</v>
      </c>
      <c r="F92" s="229">
        <v>3.5</v>
      </c>
      <c r="G92" s="229"/>
      <c r="H92" s="229"/>
      <c r="I92" s="229"/>
      <c r="J92" s="229"/>
      <c r="K92" s="229"/>
      <c r="L92" s="229"/>
      <c r="M92" s="229"/>
      <c r="N92" s="229"/>
      <c r="O92" s="229"/>
      <c r="P92" s="229"/>
      <c r="Q92" s="229"/>
      <c r="R92" s="229"/>
      <c r="S92" s="229"/>
      <c r="T92" s="229"/>
      <c r="U92" s="229"/>
      <c r="V92" s="229"/>
      <c r="W92" s="236"/>
      <c r="X92" s="232"/>
      <c r="Y92" s="235"/>
      <c r="Z92" s="227"/>
      <c r="AA92" s="224"/>
      <c r="AB92" s="228"/>
      <c r="AC92" s="227"/>
      <c r="AD92" s="93"/>
      <c r="AE92" s="226"/>
      <c r="AF92" s="227"/>
      <c r="AG92" s="93"/>
      <c r="AH92" s="226"/>
      <c r="AI92" s="227"/>
      <c r="AJ92" s="93"/>
      <c r="AK92" s="226"/>
      <c r="AL92" s="227"/>
      <c r="AM92" s="93"/>
      <c r="AN92" s="226"/>
      <c r="AO92" s="95"/>
      <c r="AP92" s="93"/>
      <c r="AQ92" s="226"/>
      <c r="AR92" s="225"/>
      <c r="AS92" s="224"/>
      <c r="AT92" s="204"/>
      <c r="AU92" s="204"/>
      <c r="AV92" s="214"/>
      <c r="AW92" s="214"/>
      <c r="AX92" s="214"/>
      <c r="AY92" s="214"/>
      <c r="AZ92" s="214"/>
      <c r="BA92" s="214"/>
      <c r="BB92" s="214"/>
      <c r="BC92" s="214"/>
      <c r="BD92" s="214"/>
      <c r="BE92" s="214"/>
      <c r="BF92" s="214"/>
      <c r="BG92" s="214"/>
      <c r="BH92" s="214"/>
      <c r="BI92" s="214"/>
      <c r="BJ92" s="214"/>
      <c r="BK92" s="214"/>
      <c r="BL92" s="214"/>
      <c r="BM92" s="214"/>
      <c r="BN92" s="214"/>
      <c r="BO92" s="214"/>
      <c r="BP92" s="214"/>
      <c r="BQ92" s="214"/>
      <c r="BR92" s="214"/>
      <c r="BS92" s="214"/>
      <c r="BT92" s="214"/>
      <c r="BU92" s="214"/>
      <c r="BV92" s="214"/>
      <c r="BW92" s="214"/>
      <c r="BX92" s="223" t="s">
        <v>10</v>
      </c>
      <c r="BY92" s="222">
        <f>D92*F92+H92*J92</f>
        <v>12.775</v>
      </c>
      <c r="BZ92" s="204"/>
      <c r="CA92" s="204"/>
      <c r="CB92" s="204"/>
      <c r="CC92" s="200"/>
      <c r="CD92" s="202"/>
      <c r="CE92" s="201"/>
      <c r="CF92" s="200"/>
      <c r="CG92" s="202"/>
      <c r="CH92" s="201"/>
      <c r="CI92" s="201"/>
      <c r="CJ92" s="201"/>
      <c r="CK92" s="198"/>
      <c r="CL92" s="200"/>
      <c r="CM92" s="199"/>
      <c r="CN92" s="198"/>
    </row>
    <row r="93" spans="1:92">
      <c r="A93" s="208"/>
      <c r="B93" s="214"/>
      <c r="C93" s="221" t="s">
        <v>312</v>
      </c>
      <c r="D93" s="234">
        <v>2.4</v>
      </c>
      <c r="E93" s="234" t="s">
        <v>309</v>
      </c>
      <c r="F93" s="229">
        <v>1.3</v>
      </c>
      <c r="G93" s="229"/>
      <c r="H93" s="229"/>
      <c r="I93" s="229"/>
      <c r="J93" s="229"/>
      <c r="K93" s="229"/>
      <c r="L93" s="229"/>
      <c r="M93" s="229"/>
      <c r="N93" s="229"/>
      <c r="O93" s="229"/>
      <c r="P93" s="229"/>
      <c r="Q93" s="229"/>
      <c r="R93" s="229"/>
      <c r="S93" s="229"/>
      <c r="T93" s="229"/>
      <c r="U93" s="229"/>
      <c r="V93" s="229"/>
      <c r="W93" s="236"/>
      <c r="X93" s="232"/>
      <c r="Y93" s="235"/>
      <c r="Z93" s="227"/>
      <c r="AA93" s="224"/>
      <c r="AB93" s="228"/>
      <c r="AC93" s="227"/>
      <c r="AD93" s="93"/>
      <c r="AE93" s="226"/>
      <c r="AF93" s="227"/>
      <c r="AG93" s="93"/>
      <c r="AH93" s="226"/>
      <c r="AI93" s="227"/>
      <c r="AJ93" s="93"/>
      <c r="AK93" s="226"/>
      <c r="AL93" s="227"/>
      <c r="AM93" s="93"/>
      <c r="AN93" s="226"/>
      <c r="AO93" s="95"/>
      <c r="AP93" s="93"/>
      <c r="AQ93" s="226"/>
      <c r="AR93" s="225"/>
      <c r="AS93" s="224"/>
      <c r="AT93" s="204"/>
      <c r="AU93" s="204"/>
      <c r="AV93" s="214"/>
      <c r="AW93" s="214"/>
      <c r="AX93" s="214"/>
      <c r="AY93" s="214"/>
      <c r="AZ93" s="214"/>
      <c r="BA93" s="214"/>
      <c r="BB93" s="214"/>
      <c r="BC93" s="214"/>
      <c r="BD93" s="214"/>
      <c r="BE93" s="214"/>
      <c r="BF93" s="214"/>
      <c r="BG93" s="214"/>
      <c r="BH93" s="214"/>
      <c r="BI93" s="214"/>
      <c r="BJ93" s="214"/>
      <c r="BK93" s="214"/>
      <c r="BL93" s="214"/>
      <c r="BM93" s="214"/>
      <c r="BN93" s="214"/>
      <c r="BO93" s="214"/>
      <c r="BP93" s="214"/>
      <c r="BQ93" s="214"/>
      <c r="BR93" s="214"/>
      <c r="BS93" s="214"/>
      <c r="BT93" s="214"/>
      <c r="BU93" s="214"/>
      <c r="BV93" s="214"/>
      <c r="BW93" s="214"/>
      <c r="BX93" s="223" t="s">
        <v>10</v>
      </c>
      <c r="BY93" s="222">
        <f>D93*F93+H93*J93</f>
        <v>3.12</v>
      </c>
      <c r="BZ93" s="204"/>
      <c r="CA93" s="204"/>
      <c r="CB93" s="204"/>
      <c r="CC93" s="200"/>
      <c r="CD93" s="202"/>
      <c r="CE93" s="201"/>
      <c r="CF93" s="200"/>
      <c r="CG93" s="202"/>
      <c r="CH93" s="201"/>
      <c r="CI93" s="201"/>
      <c r="CJ93" s="201"/>
      <c r="CK93" s="198"/>
      <c r="CL93" s="200"/>
      <c r="CM93" s="199"/>
      <c r="CN93" s="198"/>
    </row>
    <row r="94" spans="1:92" ht="15.5" hidden="1">
      <c r="A94" s="208"/>
      <c r="B94" s="214"/>
      <c r="C94" s="221" t="s">
        <v>311</v>
      </c>
      <c r="D94" s="234">
        <v>7.38</v>
      </c>
      <c r="E94" s="233" t="s">
        <v>310</v>
      </c>
      <c r="F94" s="229">
        <v>6.75</v>
      </c>
      <c r="G94" s="229" t="s">
        <v>309</v>
      </c>
      <c r="H94" s="232">
        <v>7.9</v>
      </c>
      <c r="I94" s="231" t="s">
        <v>308</v>
      </c>
      <c r="J94" s="230">
        <v>2</v>
      </c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AA94" s="224"/>
      <c r="AB94" s="228"/>
      <c r="AC94" s="227"/>
      <c r="AD94" s="93"/>
      <c r="AE94" s="226"/>
      <c r="AF94" s="227"/>
      <c r="AG94" s="93"/>
      <c r="AH94" s="226"/>
      <c r="AI94" s="227"/>
      <c r="AJ94" s="93"/>
      <c r="AK94" s="226"/>
      <c r="AL94" s="227"/>
      <c r="AM94" s="93"/>
      <c r="AN94" s="226"/>
      <c r="AP94" s="93"/>
      <c r="AQ94" s="226"/>
      <c r="AR94" s="225"/>
      <c r="AS94" s="224"/>
      <c r="AT94" s="204"/>
      <c r="AU94" s="204"/>
      <c r="AV94" s="214"/>
      <c r="AW94" s="214"/>
      <c r="AX94" s="214"/>
      <c r="AY94" s="214"/>
      <c r="AZ94" s="214"/>
      <c r="BA94" s="214"/>
      <c r="BB94" s="214"/>
      <c r="BC94" s="214"/>
      <c r="BD94" s="214"/>
      <c r="BE94" s="214"/>
      <c r="BF94" s="214"/>
      <c r="BG94" s="214"/>
      <c r="BH94" s="214"/>
      <c r="BI94" s="214"/>
      <c r="BJ94" s="214"/>
      <c r="BK94" s="214"/>
      <c r="BL94" s="214"/>
      <c r="BM94" s="214"/>
      <c r="BN94" s="214"/>
      <c r="BO94" s="214"/>
      <c r="BP94" s="214"/>
      <c r="BQ94" s="214"/>
      <c r="BR94" s="214"/>
      <c r="BS94" s="214"/>
      <c r="BT94" s="214"/>
      <c r="BU94" s="214"/>
      <c r="BV94" s="214"/>
      <c r="BW94" s="214"/>
      <c r="BX94" s="223" t="s">
        <v>10</v>
      </c>
      <c r="BY94" s="222">
        <f>((D94+F94)*H94)/2</f>
        <v>55.813499999999998</v>
      </c>
      <c r="BZ94" s="204"/>
      <c r="CA94" s="204"/>
      <c r="CB94" s="204"/>
      <c r="CC94" s="200"/>
      <c r="CD94" s="202"/>
      <c r="CE94" s="201"/>
      <c r="CF94" s="200"/>
      <c r="CG94" s="202"/>
      <c r="CH94" s="201"/>
      <c r="CI94" s="201"/>
      <c r="CJ94" s="201"/>
      <c r="CK94" s="198"/>
      <c r="CL94" s="200"/>
      <c r="CM94" s="199"/>
      <c r="CN94" s="198"/>
    </row>
    <row r="95" spans="1:92">
      <c r="A95" s="208"/>
      <c r="B95" s="214"/>
      <c r="C95" s="221"/>
      <c r="D95" s="220" t="s">
        <v>367</v>
      </c>
      <c r="E95" s="219"/>
      <c r="F95" s="219"/>
      <c r="G95" s="219"/>
      <c r="H95" s="219"/>
      <c r="I95" s="219"/>
      <c r="J95" s="219"/>
      <c r="K95" s="219"/>
      <c r="L95" s="219"/>
      <c r="M95" s="219"/>
      <c r="N95" s="219"/>
      <c r="O95" s="219"/>
      <c r="P95" s="219"/>
      <c r="Q95" s="219"/>
      <c r="R95" s="219"/>
      <c r="S95" s="219"/>
      <c r="T95" s="219"/>
      <c r="U95" s="219"/>
      <c r="V95" s="219"/>
      <c r="W95" s="219"/>
      <c r="X95" s="219"/>
      <c r="Y95" s="219"/>
      <c r="Z95" s="219"/>
      <c r="AA95" s="219"/>
      <c r="AB95" s="219"/>
      <c r="AC95" s="219"/>
      <c r="AD95" s="219"/>
      <c r="AE95" s="219"/>
      <c r="AF95" s="219"/>
      <c r="AG95" s="219"/>
      <c r="AH95" s="219"/>
      <c r="AI95" s="219"/>
      <c r="AJ95" s="219"/>
      <c r="AK95" s="219"/>
      <c r="AL95" s="219"/>
      <c r="AM95" s="219"/>
      <c r="AN95" s="219"/>
      <c r="AO95" s="219"/>
      <c r="AP95" s="219"/>
      <c r="AQ95" s="219"/>
      <c r="AR95" s="219"/>
      <c r="AS95" s="219"/>
      <c r="AT95" s="219"/>
      <c r="AU95" s="219"/>
      <c r="AV95" s="219"/>
      <c r="AW95" s="219"/>
      <c r="AX95" s="219"/>
      <c r="AY95" s="219"/>
      <c r="AZ95" s="219"/>
      <c r="BA95" s="219"/>
      <c r="BB95" s="219"/>
      <c r="BC95" s="219"/>
      <c r="BD95" s="219"/>
      <c r="BE95" s="219"/>
      <c r="BF95" s="219"/>
      <c r="BG95" s="219"/>
      <c r="BH95" s="219"/>
      <c r="BI95" s="219"/>
      <c r="BJ95" s="219"/>
      <c r="BK95" s="219"/>
      <c r="BL95" s="219"/>
      <c r="BM95" s="219"/>
      <c r="BN95" s="219"/>
      <c r="BO95" s="219"/>
      <c r="BP95" s="219"/>
      <c r="BQ95" s="219"/>
      <c r="BR95" s="219"/>
      <c r="BS95" s="219"/>
      <c r="BT95" s="219"/>
      <c r="BU95" s="219"/>
      <c r="BV95" s="219"/>
      <c r="BW95" s="218"/>
      <c r="BX95" s="217" t="s">
        <v>10</v>
      </c>
      <c r="BY95" s="216">
        <f>SUM(BY69:BY93)</f>
        <v>249.00090000000009</v>
      </c>
      <c r="BZ95" s="204"/>
      <c r="CA95" s="204"/>
      <c r="CB95" s="204"/>
      <c r="CC95" s="200"/>
      <c r="CD95" s="202"/>
      <c r="CE95" s="201"/>
      <c r="CF95" s="200"/>
      <c r="CG95" s="202"/>
      <c r="CH95" s="201"/>
      <c r="CI95" s="201"/>
      <c r="CJ95" s="201"/>
      <c r="CK95" s="198"/>
      <c r="CL95" s="200"/>
      <c r="CM95" s="199"/>
      <c r="CN95" s="198"/>
    </row>
    <row r="96" spans="1:92" ht="20.149999999999999" customHeight="1">
      <c r="A96" s="210">
        <v>7</v>
      </c>
      <c r="B96" s="209" t="s">
        <v>165</v>
      </c>
      <c r="C96" s="209"/>
      <c r="D96" s="209"/>
      <c r="E96" s="209"/>
      <c r="F96" s="209"/>
      <c r="G96" s="209"/>
      <c r="H96" s="209"/>
      <c r="I96" s="209"/>
      <c r="J96" s="209"/>
      <c r="K96" s="209"/>
      <c r="L96" s="209"/>
      <c r="M96" s="209"/>
      <c r="N96" s="209"/>
      <c r="O96" s="209"/>
      <c r="P96" s="209"/>
      <c r="Q96" s="209"/>
      <c r="R96" s="209"/>
      <c r="S96" s="209"/>
      <c r="T96" s="209"/>
      <c r="U96" s="209"/>
      <c r="V96" s="209"/>
      <c r="W96" s="209"/>
      <c r="X96" s="209"/>
      <c r="Y96" s="209"/>
      <c r="Z96" s="209"/>
      <c r="AA96" s="209"/>
      <c r="AB96" s="209"/>
      <c r="AC96" s="209"/>
      <c r="AD96" s="209"/>
      <c r="AE96" s="209"/>
      <c r="AF96" s="209"/>
      <c r="AG96" s="209"/>
      <c r="AH96" s="209"/>
      <c r="AI96" s="209"/>
      <c r="AJ96" s="209"/>
      <c r="AK96" s="209"/>
      <c r="AL96" s="209"/>
      <c r="AM96" s="209"/>
      <c r="AN96" s="209"/>
      <c r="AO96" s="209"/>
      <c r="AP96" s="209"/>
      <c r="AQ96" s="209"/>
      <c r="AR96" s="209"/>
      <c r="AS96" s="209"/>
      <c r="AT96" s="209"/>
      <c r="AU96" s="209"/>
      <c r="AV96" s="209"/>
      <c r="AW96" s="209"/>
      <c r="AX96" s="209"/>
      <c r="AY96" s="209"/>
      <c r="AZ96" s="209"/>
      <c r="BA96" s="209"/>
      <c r="BB96" s="209"/>
      <c r="BC96" s="209"/>
      <c r="BD96" s="209"/>
      <c r="BE96" s="209"/>
      <c r="BF96" s="209"/>
      <c r="BG96" s="209"/>
      <c r="BH96" s="209"/>
      <c r="BI96" s="209"/>
      <c r="BJ96" s="209"/>
      <c r="BK96" s="209"/>
      <c r="BL96" s="209"/>
      <c r="BM96" s="209"/>
      <c r="BN96" s="209"/>
      <c r="BO96" s="209"/>
      <c r="BP96" s="209"/>
      <c r="BQ96" s="209"/>
      <c r="BR96" s="209"/>
      <c r="BS96" s="209"/>
      <c r="BT96" s="209"/>
      <c r="BU96" s="209"/>
      <c r="BV96" s="209"/>
      <c r="BW96" s="209"/>
      <c r="BX96" s="209"/>
      <c r="BY96" s="209"/>
      <c r="BZ96" s="204"/>
      <c r="CA96" s="204"/>
      <c r="CB96" s="204"/>
      <c r="CC96" s="204"/>
      <c r="CD96" s="204"/>
      <c r="CE96" s="204"/>
      <c r="CF96" s="204"/>
      <c r="CG96" s="204"/>
      <c r="CH96" s="204"/>
      <c r="CI96" s="204"/>
      <c r="CJ96" s="204"/>
      <c r="CK96" s="204"/>
      <c r="CL96" s="204"/>
      <c r="CM96" s="204"/>
      <c r="CN96" s="204"/>
    </row>
    <row r="97" spans="1:92" ht="20.149999999999999" customHeight="1">
      <c r="A97" s="210" t="s">
        <v>164</v>
      </c>
      <c r="B97" s="209" t="s">
        <v>163</v>
      </c>
      <c r="C97" s="209"/>
      <c r="D97" s="209"/>
      <c r="E97" s="209"/>
      <c r="F97" s="209"/>
      <c r="G97" s="209"/>
      <c r="H97" s="209"/>
      <c r="I97" s="209"/>
      <c r="J97" s="209"/>
      <c r="K97" s="209"/>
      <c r="L97" s="209"/>
      <c r="M97" s="209"/>
      <c r="N97" s="209"/>
      <c r="O97" s="209"/>
      <c r="P97" s="209"/>
      <c r="Q97" s="209"/>
      <c r="R97" s="209"/>
      <c r="S97" s="209"/>
      <c r="T97" s="209"/>
      <c r="U97" s="209"/>
      <c r="V97" s="209"/>
      <c r="W97" s="209"/>
      <c r="X97" s="209"/>
      <c r="Y97" s="209"/>
      <c r="Z97" s="209"/>
      <c r="AA97" s="209"/>
      <c r="AB97" s="209"/>
      <c r="AC97" s="209"/>
      <c r="AD97" s="209"/>
      <c r="AE97" s="209"/>
      <c r="AF97" s="209"/>
      <c r="AG97" s="209"/>
      <c r="AH97" s="209"/>
      <c r="AI97" s="209"/>
      <c r="AJ97" s="209"/>
      <c r="AK97" s="209"/>
      <c r="AL97" s="209"/>
      <c r="AM97" s="209"/>
      <c r="AN97" s="209"/>
      <c r="AO97" s="209"/>
      <c r="AP97" s="209"/>
      <c r="AQ97" s="209"/>
      <c r="AR97" s="209"/>
      <c r="AS97" s="209"/>
      <c r="AT97" s="209"/>
      <c r="AU97" s="209"/>
      <c r="AV97" s="209"/>
      <c r="AW97" s="209"/>
      <c r="AX97" s="209"/>
      <c r="AY97" s="209"/>
      <c r="AZ97" s="209"/>
      <c r="BA97" s="209"/>
      <c r="BB97" s="209"/>
      <c r="BC97" s="209"/>
      <c r="BD97" s="209"/>
      <c r="BE97" s="209"/>
      <c r="BF97" s="209"/>
      <c r="BG97" s="209"/>
      <c r="BH97" s="209"/>
      <c r="BI97" s="209"/>
      <c r="BJ97" s="209"/>
      <c r="BK97" s="209"/>
      <c r="BL97" s="209"/>
      <c r="BM97" s="209"/>
      <c r="BN97" s="209"/>
      <c r="BO97" s="209"/>
      <c r="BP97" s="209"/>
      <c r="BQ97" s="209"/>
      <c r="BR97" s="209"/>
      <c r="BS97" s="209"/>
      <c r="BT97" s="209"/>
      <c r="BU97" s="209"/>
      <c r="BV97" s="209"/>
      <c r="BW97" s="209"/>
      <c r="BX97" s="209"/>
      <c r="BY97" s="209"/>
      <c r="BZ97" s="204"/>
      <c r="CA97" s="204"/>
      <c r="CB97" s="204"/>
      <c r="CC97" s="204"/>
      <c r="CD97" s="204"/>
      <c r="CE97" s="204"/>
      <c r="CF97" s="204"/>
      <c r="CG97" s="204"/>
      <c r="CH97" s="204"/>
      <c r="CI97" s="204"/>
      <c r="CJ97" s="204"/>
      <c r="CK97" s="204"/>
      <c r="CL97" s="204"/>
      <c r="CM97" s="204"/>
      <c r="CN97" s="204"/>
    </row>
    <row r="98" spans="1:92" ht="56">
      <c r="A98" s="208" t="s">
        <v>162</v>
      </c>
      <c r="B98" s="213">
        <v>86931</v>
      </c>
      <c r="C98" s="206" t="s">
        <v>161</v>
      </c>
      <c r="D98" s="277"/>
      <c r="E98" s="277"/>
      <c r="F98" s="277"/>
      <c r="G98" s="277"/>
      <c r="H98" s="277"/>
      <c r="I98" s="277"/>
      <c r="J98" s="277"/>
      <c r="K98" s="277"/>
      <c r="L98" s="277"/>
      <c r="M98" s="277"/>
      <c r="N98" s="277"/>
      <c r="O98" s="277"/>
      <c r="P98" s="277"/>
      <c r="Q98" s="277"/>
      <c r="R98" s="277"/>
      <c r="S98" s="277"/>
      <c r="T98" s="277"/>
      <c r="U98" s="277"/>
      <c r="V98" s="277"/>
      <c r="W98" s="277"/>
      <c r="X98" s="277"/>
      <c r="Y98" s="277"/>
      <c r="Z98" s="277"/>
      <c r="AA98" s="277"/>
      <c r="AB98" s="277"/>
      <c r="AC98" s="277"/>
      <c r="AD98" s="277"/>
      <c r="AE98" s="277"/>
      <c r="AF98" s="277"/>
      <c r="AG98" s="277"/>
      <c r="AH98" s="277"/>
      <c r="AI98" s="277"/>
      <c r="AJ98" s="277"/>
      <c r="AK98" s="277"/>
      <c r="AL98" s="277"/>
      <c r="AM98" s="277"/>
      <c r="AN98" s="277"/>
      <c r="AO98" s="277"/>
      <c r="AP98" s="277"/>
      <c r="AQ98" s="277"/>
      <c r="AR98" s="277"/>
      <c r="AS98" s="277"/>
      <c r="AT98" s="277"/>
      <c r="AU98" s="277"/>
      <c r="AV98" s="277"/>
      <c r="AW98" s="277"/>
      <c r="AX98" s="277"/>
      <c r="AY98" s="277"/>
      <c r="AZ98" s="277"/>
      <c r="BA98" s="277"/>
      <c r="BB98" s="277"/>
      <c r="BC98" s="277"/>
      <c r="BD98" s="277"/>
      <c r="BE98" s="277"/>
      <c r="BF98" s="277"/>
      <c r="BG98" s="277"/>
      <c r="BH98" s="277"/>
      <c r="BI98" s="277"/>
      <c r="BJ98" s="277"/>
      <c r="BK98" s="277"/>
      <c r="BL98" s="277"/>
      <c r="BM98" s="277"/>
      <c r="BN98" s="277"/>
      <c r="BO98" s="277"/>
      <c r="BP98" s="277"/>
      <c r="BQ98" s="277"/>
      <c r="BR98" s="277"/>
      <c r="BS98" s="277"/>
      <c r="BT98" s="277"/>
      <c r="BU98" s="277"/>
      <c r="BV98" s="277"/>
      <c r="BW98" s="277"/>
      <c r="BX98" s="277"/>
      <c r="BY98" s="277"/>
      <c r="BZ98" s="204"/>
      <c r="CA98" s="204"/>
      <c r="CB98" s="204"/>
      <c r="CC98" s="200"/>
      <c r="CD98" s="202"/>
      <c r="CE98" s="201"/>
      <c r="CF98" s="211"/>
      <c r="CG98" s="202"/>
      <c r="CH98" s="201"/>
      <c r="CI98" s="201"/>
      <c r="CJ98" s="201"/>
      <c r="CK98" s="198">
        <f>TRUNC(AL98*CJ98)+0</f>
        <v>0</v>
      </c>
      <c r="CL98" s="211"/>
      <c r="CM98" s="199">
        <f>TRUNC(CL98*AK98,2)</f>
        <v>0</v>
      </c>
      <c r="CN98" s="198">
        <f>TRUNC(CM98*AL98)+0</f>
        <v>0</v>
      </c>
    </row>
    <row r="99" spans="1:92" ht="70">
      <c r="A99" s="208" t="s">
        <v>160</v>
      </c>
      <c r="B99" s="213">
        <v>86939</v>
      </c>
      <c r="C99" s="206" t="s">
        <v>159</v>
      </c>
      <c r="D99" s="277"/>
      <c r="E99" s="277"/>
      <c r="F99" s="277"/>
      <c r="G99" s="277"/>
      <c r="H99" s="277"/>
      <c r="I99" s="277"/>
      <c r="J99" s="277"/>
      <c r="K99" s="277"/>
      <c r="L99" s="277"/>
      <c r="M99" s="277"/>
      <c r="N99" s="277"/>
      <c r="O99" s="277"/>
      <c r="P99" s="277"/>
      <c r="Q99" s="277"/>
      <c r="R99" s="277"/>
      <c r="S99" s="277"/>
      <c r="T99" s="277"/>
      <c r="U99" s="277"/>
      <c r="V99" s="277"/>
      <c r="W99" s="277"/>
      <c r="X99" s="277"/>
      <c r="Y99" s="277"/>
      <c r="Z99" s="277"/>
      <c r="AA99" s="277"/>
      <c r="AB99" s="277"/>
      <c r="AC99" s="277"/>
      <c r="AD99" s="277"/>
      <c r="AE99" s="277"/>
      <c r="AF99" s="277"/>
      <c r="AG99" s="277"/>
      <c r="AH99" s="277"/>
      <c r="AI99" s="277"/>
      <c r="AJ99" s="277"/>
      <c r="AK99" s="277"/>
      <c r="AL99" s="277"/>
      <c r="AM99" s="277"/>
      <c r="AN99" s="277"/>
      <c r="AO99" s="277"/>
      <c r="AP99" s="277"/>
      <c r="AQ99" s="277"/>
      <c r="AR99" s="277"/>
      <c r="AS99" s="277"/>
      <c r="AT99" s="277"/>
      <c r="AU99" s="277"/>
      <c r="AV99" s="277"/>
      <c r="AW99" s="277"/>
      <c r="AX99" s="277"/>
      <c r="AY99" s="277"/>
      <c r="AZ99" s="277"/>
      <c r="BA99" s="277"/>
      <c r="BB99" s="277"/>
      <c r="BC99" s="277"/>
      <c r="BD99" s="277"/>
      <c r="BE99" s="277"/>
      <c r="BF99" s="277"/>
      <c r="BG99" s="277"/>
      <c r="BH99" s="277"/>
      <c r="BI99" s="277"/>
      <c r="BJ99" s="277"/>
      <c r="BK99" s="277"/>
      <c r="BL99" s="277"/>
      <c r="BM99" s="277"/>
      <c r="BN99" s="277"/>
      <c r="BO99" s="277"/>
      <c r="BP99" s="277"/>
      <c r="BQ99" s="277"/>
      <c r="BR99" s="277"/>
      <c r="BS99" s="277"/>
      <c r="BT99" s="277"/>
      <c r="BU99" s="277"/>
      <c r="BV99" s="277"/>
      <c r="BW99" s="277"/>
      <c r="BX99" s="277"/>
      <c r="BY99" s="277"/>
      <c r="BZ99" s="204"/>
      <c r="CA99" s="204"/>
      <c r="CB99" s="204"/>
      <c r="CC99" s="200"/>
      <c r="CD99" s="202"/>
      <c r="CE99" s="201"/>
      <c r="CF99" s="200"/>
      <c r="CG99" s="202"/>
      <c r="CH99" s="201"/>
      <c r="CI99" s="201"/>
      <c r="CJ99" s="201"/>
      <c r="CK99" s="198">
        <f>TRUNC(AL99*CJ99)+0</f>
        <v>0</v>
      </c>
      <c r="CL99" s="200"/>
      <c r="CM99" s="199">
        <f>TRUNC(CL99*AK99,2)</f>
        <v>0</v>
      </c>
      <c r="CN99" s="198">
        <f>TRUNC(CM99*AL99)+0</f>
        <v>0</v>
      </c>
    </row>
    <row r="100" spans="1:92" ht="42">
      <c r="A100" s="208" t="s">
        <v>158</v>
      </c>
      <c r="B100" s="213">
        <v>89714</v>
      </c>
      <c r="C100" s="206" t="s">
        <v>157</v>
      </c>
      <c r="D100" s="277"/>
      <c r="E100" s="277"/>
      <c r="F100" s="277"/>
      <c r="G100" s="277"/>
      <c r="H100" s="277"/>
      <c r="I100" s="277"/>
      <c r="J100" s="277"/>
      <c r="K100" s="277"/>
      <c r="L100" s="277"/>
      <c r="M100" s="277"/>
      <c r="N100" s="277"/>
      <c r="O100" s="277"/>
      <c r="P100" s="277"/>
      <c r="Q100" s="277"/>
      <c r="R100" s="277"/>
      <c r="S100" s="277"/>
      <c r="T100" s="277"/>
      <c r="U100" s="277"/>
      <c r="V100" s="277"/>
      <c r="W100" s="277"/>
      <c r="X100" s="277"/>
      <c r="Y100" s="277"/>
      <c r="Z100" s="277"/>
      <c r="AA100" s="277"/>
      <c r="AB100" s="277"/>
      <c r="AC100" s="277"/>
      <c r="AD100" s="277"/>
      <c r="AE100" s="277"/>
      <c r="AF100" s="277"/>
      <c r="AG100" s="277"/>
      <c r="AH100" s="277"/>
      <c r="AI100" s="277"/>
      <c r="AJ100" s="277"/>
      <c r="AK100" s="277"/>
      <c r="AL100" s="277"/>
      <c r="AM100" s="277"/>
      <c r="AN100" s="277"/>
      <c r="AO100" s="277"/>
      <c r="AP100" s="277"/>
      <c r="AQ100" s="277"/>
      <c r="AR100" s="277"/>
      <c r="AS100" s="277"/>
      <c r="AT100" s="277"/>
      <c r="AU100" s="277"/>
      <c r="AV100" s="277"/>
      <c r="AW100" s="277"/>
      <c r="AX100" s="277"/>
      <c r="AY100" s="277"/>
      <c r="AZ100" s="277"/>
      <c r="BA100" s="277"/>
      <c r="BB100" s="277"/>
      <c r="BC100" s="277"/>
      <c r="BD100" s="277"/>
      <c r="BE100" s="277"/>
      <c r="BF100" s="277"/>
      <c r="BG100" s="277"/>
      <c r="BH100" s="277"/>
      <c r="BI100" s="277"/>
      <c r="BJ100" s="277"/>
      <c r="BK100" s="277"/>
      <c r="BL100" s="277"/>
      <c r="BM100" s="277"/>
      <c r="BN100" s="277"/>
      <c r="BO100" s="277"/>
      <c r="BP100" s="277"/>
      <c r="BQ100" s="277"/>
      <c r="BR100" s="277"/>
      <c r="BS100" s="277"/>
      <c r="BT100" s="277"/>
      <c r="BU100" s="277"/>
      <c r="BV100" s="277"/>
      <c r="BW100" s="277"/>
      <c r="BX100" s="277"/>
      <c r="BY100" s="277"/>
      <c r="BZ100" s="204"/>
      <c r="CA100" s="204"/>
      <c r="CB100" s="204"/>
      <c r="CC100" s="200"/>
      <c r="CD100" s="202"/>
      <c r="CE100" s="201"/>
      <c r="CF100" s="200">
        <v>0.8</v>
      </c>
      <c r="CG100" s="202">
        <f>TRUNC(CF100*AK100,2)</f>
        <v>0</v>
      </c>
      <c r="CH100" s="201">
        <f>TRUNC(CG100*AL100)</f>
        <v>0</v>
      </c>
      <c r="CI100" s="201"/>
      <c r="CJ100" s="201">
        <v>20</v>
      </c>
      <c r="CK100" s="198">
        <f>TRUNC(AL100*CJ100)+0</f>
        <v>0</v>
      </c>
      <c r="CL100" s="200">
        <v>0.2</v>
      </c>
      <c r="CM100" s="199">
        <f>TRUNC(CL100*AK100,2)</f>
        <v>0</v>
      </c>
      <c r="CN100" s="198">
        <v>0</v>
      </c>
    </row>
    <row r="101" spans="1:92" ht="42">
      <c r="A101" s="208" t="s">
        <v>156</v>
      </c>
      <c r="B101" s="213">
        <v>89711</v>
      </c>
      <c r="C101" s="206" t="s">
        <v>155</v>
      </c>
      <c r="D101" s="277"/>
      <c r="E101" s="277"/>
      <c r="F101" s="277"/>
      <c r="G101" s="277"/>
      <c r="H101" s="277"/>
      <c r="I101" s="277"/>
      <c r="J101" s="277"/>
      <c r="K101" s="277"/>
      <c r="L101" s="277"/>
      <c r="M101" s="277"/>
      <c r="N101" s="277"/>
      <c r="O101" s="277"/>
      <c r="P101" s="277"/>
      <c r="Q101" s="277"/>
      <c r="R101" s="277"/>
      <c r="S101" s="277"/>
      <c r="T101" s="277"/>
      <c r="U101" s="277"/>
      <c r="V101" s="277"/>
      <c r="W101" s="277"/>
      <c r="X101" s="277"/>
      <c r="Y101" s="277"/>
      <c r="Z101" s="277"/>
      <c r="AA101" s="277"/>
      <c r="AB101" s="277"/>
      <c r="AC101" s="277"/>
      <c r="AD101" s="277"/>
      <c r="AE101" s="277"/>
      <c r="AF101" s="277"/>
      <c r="AG101" s="277"/>
      <c r="AH101" s="277"/>
      <c r="AI101" s="277"/>
      <c r="AJ101" s="277"/>
      <c r="AK101" s="277"/>
      <c r="AL101" s="277"/>
      <c r="AM101" s="277"/>
      <c r="AN101" s="277"/>
      <c r="AO101" s="277"/>
      <c r="AP101" s="277"/>
      <c r="AQ101" s="277"/>
      <c r="AR101" s="277"/>
      <c r="AS101" s="277"/>
      <c r="AT101" s="277"/>
      <c r="AU101" s="277"/>
      <c r="AV101" s="277"/>
      <c r="AW101" s="277"/>
      <c r="AX101" s="277"/>
      <c r="AY101" s="277"/>
      <c r="AZ101" s="277"/>
      <c r="BA101" s="277"/>
      <c r="BB101" s="277"/>
      <c r="BC101" s="277"/>
      <c r="BD101" s="277"/>
      <c r="BE101" s="277"/>
      <c r="BF101" s="277"/>
      <c r="BG101" s="277"/>
      <c r="BH101" s="277"/>
      <c r="BI101" s="277"/>
      <c r="BJ101" s="277"/>
      <c r="BK101" s="277"/>
      <c r="BL101" s="277"/>
      <c r="BM101" s="277"/>
      <c r="BN101" s="277"/>
      <c r="BO101" s="277"/>
      <c r="BP101" s="277"/>
      <c r="BQ101" s="277"/>
      <c r="BR101" s="277"/>
      <c r="BS101" s="277"/>
      <c r="BT101" s="277"/>
      <c r="BU101" s="277"/>
      <c r="BV101" s="277"/>
      <c r="BW101" s="277"/>
      <c r="BX101" s="277"/>
      <c r="BY101" s="277"/>
      <c r="BZ101" s="204"/>
      <c r="CA101" s="204"/>
      <c r="CB101" s="204"/>
      <c r="CC101" s="200"/>
      <c r="CD101" s="202"/>
      <c r="CE101" s="201"/>
      <c r="CF101" s="200">
        <v>0.8</v>
      </c>
      <c r="CG101" s="202">
        <f>TRUNC(CF101*AK101,2)</f>
        <v>0</v>
      </c>
      <c r="CH101" s="201">
        <f>TRUNC(CG101*AL101)</f>
        <v>0</v>
      </c>
      <c r="CI101" s="201"/>
      <c r="CJ101" s="201">
        <v>4</v>
      </c>
      <c r="CK101" s="198">
        <f>TRUNC(AL101*CJ101)+0</f>
        <v>0</v>
      </c>
      <c r="CL101" s="200">
        <v>0.2</v>
      </c>
      <c r="CM101" s="199">
        <f>TRUNC(CL101*AK101,2)</f>
        <v>0</v>
      </c>
      <c r="CN101" s="198">
        <v>0</v>
      </c>
    </row>
    <row r="102" spans="1:92" ht="42">
      <c r="A102" s="208" t="s">
        <v>154</v>
      </c>
      <c r="B102" s="213">
        <v>89798</v>
      </c>
      <c r="C102" s="206" t="s">
        <v>153</v>
      </c>
      <c r="D102" s="277"/>
      <c r="E102" s="277"/>
      <c r="F102" s="277"/>
      <c r="G102" s="277"/>
      <c r="H102" s="277"/>
      <c r="I102" s="277"/>
      <c r="J102" s="277"/>
      <c r="K102" s="277"/>
      <c r="L102" s="277"/>
      <c r="M102" s="277"/>
      <c r="N102" s="277"/>
      <c r="O102" s="277"/>
      <c r="P102" s="277"/>
      <c r="Q102" s="277"/>
      <c r="R102" s="277"/>
      <c r="S102" s="277"/>
      <c r="T102" s="277"/>
      <c r="U102" s="277"/>
      <c r="V102" s="277"/>
      <c r="W102" s="277"/>
      <c r="X102" s="277"/>
      <c r="Y102" s="277"/>
      <c r="Z102" s="277"/>
      <c r="AA102" s="277"/>
      <c r="AB102" s="277"/>
      <c r="AC102" s="277"/>
      <c r="AD102" s="277"/>
      <c r="AE102" s="277"/>
      <c r="AF102" s="277"/>
      <c r="AG102" s="277"/>
      <c r="AH102" s="277"/>
      <c r="AI102" s="277"/>
      <c r="AJ102" s="277"/>
      <c r="AK102" s="277"/>
      <c r="AL102" s="277"/>
      <c r="AM102" s="277"/>
      <c r="AN102" s="277"/>
      <c r="AO102" s="277"/>
      <c r="AP102" s="277"/>
      <c r="AQ102" s="277"/>
      <c r="AR102" s="277"/>
      <c r="AS102" s="277"/>
      <c r="AT102" s="277"/>
      <c r="AU102" s="277"/>
      <c r="AV102" s="277"/>
      <c r="AW102" s="277"/>
      <c r="AX102" s="277"/>
      <c r="AY102" s="277"/>
      <c r="AZ102" s="277"/>
      <c r="BA102" s="277"/>
      <c r="BB102" s="277"/>
      <c r="BC102" s="277"/>
      <c r="BD102" s="277"/>
      <c r="BE102" s="277"/>
      <c r="BF102" s="277"/>
      <c r="BG102" s="277"/>
      <c r="BH102" s="277"/>
      <c r="BI102" s="277"/>
      <c r="BJ102" s="277"/>
      <c r="BK102" s="277"/>
      <c r="BL102" s="277"/>
      <c r="BM102" s="277"/>
      <c r="BN102" s="277"/>
      <c r="BO102" s="277"/>
      <c r="BP102" s="277"/>
      <c r="BQ102" s="277"/>
      <c r="BR102" s="277"/>
      <c r="BS102" s="277"/>
      <c r="BT102" s="277"/>
      <c r="BU102" s="277"/>
      <c r="BV102" s="277"/>
      <c r="BW102" s="277"/>
      <c r="BX102" s="277"/>
      <c r="BY102" s="277"/>
      <c r="BZ102" s="204"/>
      <c r="CA102" s="204"/>
      <c r="CB102" s="204"/>
      <c r="CC102" s="200"/>
      <c r="CD102" s="202"/>
      <c r="CE102" s="201"/>
      <c r="CF102" s="200">
        <v>0.8</v>
      </c>
      <c r="CG102" s="202">
        <f>TRUNC(CF102*AK102,2)</f>
        <v>0</v>
      </c>
      <c r="CH102" s="201">
        <f>TRUNC(CG102*AL102)</f>
        <v>0</v>
      </c>
      <c r="CI102" s="201"/>
      <c r="CJ102" s="201"/>
      <c r="CK102" s="198">
        <f>TRUNC(AL102*CJ102)+0</f>
        <v>0</v>
      </c>
      <c r="CL102" s="200"/>
      <c r="CM102" s="199">
        <f>TRUNC(CL102*AK102,2)</f>
        <v>0</v>
      </c>
      <c r="CN102" s="198">
        <f>TRUNC(CM102*AL102)+0</f>
        <v>0</v>
      </c>
    </row>
    <row r="103" spans="1:92" ht="56">
      <c r="A103" s="208" t="s">
        <v>152</v>
      </c>
      <c r="B103" s="213">
        <v>104326</v>
      </c>
      <c r="C103" s="206" t="s">
        <v>151</v>
      </c>
      <c r="D103" s="277"/>
      <c r="E103" s="277"/>
      <c r="F103" s="277"/>
      <c r="G103" s="277"/>
      <c r="H103" s="277"/>
      <c r="I103" s="277"/>
      <c r="J103" s="277"/>
      <c r="K103" s="277"/>
      <c r="L103" s="277"/>
      <c r="M103" s="277"/>
      <c r="N103" s="277"/>
      <c r="O103" s="277"/>
      <c r="P103" s="277"/>
      <c r="Q103" s="277"/>
      <c r="R103" s="277"/>
      <c r="S103" s="277"/>
      <c r="T103" s="277"/>
      <c r="U103" s="277"/>
      <c r="V103" s="277"/>
      <c r="W103" s="277"/>
      <c r="X103" s="277"/>
      <c r="Y103" s="277"/>
      <c r="Z103" s="277"/>
      <c r="AA103" s="277"/>
      <c r="AB103" s="277"/>
      <c r="AC103" s="277"/>
      <c r="AD103" s="277"/>
      <c r="AE103" s="277"/>
      <c r="AF103" s="277"/>
      <c r="AG103" s="277"/>
      <c r="AH103" s="277"/>
      <c r="AI103" s="277"/>
      <c r="AJ103" s="277"/>
      <c r="AK103" s="277"/>
      <c r="AL103" s="277"/>
      <c r="AM103" s="277"/>
      <c r="AN103" s="277"/>
      <c r="AO103" s="277"/>
      <c r="AP103" s="277"/>
      <c r="AQ103" s="277"/>
      <c r="AR103" s="277"/>
      <c r="AS103" s="277"/>
      <c r="AT103" s="277"/>
      <c r="AU103" s="277"/>
      <c r="AV103" s="277"/>
      <c r="AW103" s="277"/>
      <c r="AX103" s="277"/>
      <c r="AY103" s="277"/>
      <c r="AZ103" s="277"/>
      <c r="BA103" s="277"/>
      <c r="BB103" s="277"/>
      <c r="BC103" s="277"/>
      <c r="BD103" s="277"/>
      <c r="BE103" s="277"/>
      <c r="BF103" s="277"/>
      <c r="BG103" s="277"/>
      <c r="BH103" s="277"/>
      <c r="BI103" s="277"/>
      <c r="BJ103" s="277"/>
      <c r="BK103" s="277"/>
      <c r="BL103" s="277"/>
      <c r="BM103" s="277"/>
      <c r="BN103" s="277"/>
      <c r="BO103" s="277"/>
      <c r="BP103" s="277"/>
      <c r="BQ103" s="277"/>
      <c r="BR103" s="277"/>
      <c r="BS103" s="277"/>
      <c r="BT103" s="277"/>
      <c r="BU103" s="277"/>
      <c r="BV103" s="277"/>
      <c r="BW103" s="277"/>
      <c r="BX103" s="277"/>
      <c r="BY103" s="277"/>
      <c r="BZ103" s="204"/>
      <c r="CA103" s="204"/>
      <c r="CB103" s="204"/>
      <c r="CC103" s="200"/>
      <c r="CD103" s="202"/>
      <c r="CE103" s="201"/>
      <c r="CF103" s="200"/>
      <c r="CG103" s="202"/>
      <c r="CH103" s="201"/>
      <c r="CI103" s="201"/>
      <c r="CJ103" s="201"/>
      <c r="CK103" s="198">
        <f>TRUNC(AL103*CJ103)+0</f>
        <v>0</v>
      </c>
      <c r="CL103" s="200"/>
      <c r="CM103" s="199">
        <f>TRUNC(CL103*AK103,2)</f>
        <v>0</v>
      </c>
      <c r="CN103" s="198">
        <f>TRUNC(CM103*AL103)+0</f>
        <v>0</v>
      </c>
    </row>
    <row r="104" spans="1:92" ht="56">
      <c r="A104" s="208" t="s">
        <v>150</v>
      </c>
      <c r="B104" s="213">
        <v>104327</v>
      </c>
      <c r="C104" s="206" t="s">
        <v>149</v>
      </c>
      <c r="D104" s="277"/>
      <c r="E104" s="277"/>
      <c r="F104" s="277"/>
      <c r="G104" s="277"/>
      <c r="H104" s="277"/>
      <c r="I104" s="277"/>
      <c r="J104" s="277"/>
      <c r="K104" s="277"/>
      <c r="L104" s="277"/>
      <c r="M104" s="277"/>
      <c r="N104" s="277"/>
      <c r="O104" s="277"/>
      <c r="P104" s="277"/>
      <c r="Q104" s="277"/>
      <c r="R104" s="277"/>
      <c r="S104" s="277"/>
      <c r="T104" s="277"/>
      <c r="U104" s="277"/>
      <c r="V104" s="277"/>
      <c r="W104" s="277"/>
      <c r="X104" s="277"/>
      <c r="Y104" s="277"/>
      <c r="Z104" s="277"/>
      <c r="AA104" s="277"/>
      <c r="AB104" s="277"/>
      <c r="AC104" s="277"/>
      <c r="AD104" s="277"/>
      <c r="AE104" s="277"/>
      <c r="AF104" s="277"/>
      <c r="AG104" s="277"/>
      <c r="AH104" s="277"/>
      <c r="AI104" s="277"/>
      <c r="AJ104" s="277"/>
      <c r="AK104" s="277"/>
      <c r="AL104" s="277"/>
      <c r="AM104" s="277"/>
      <c r="AN104" s="277"/>
      <c r="AO104" s="277"/>
      <c r="AP104" s="277"/>
      <c r="AQ104" s="277"/>
      <c r="AR104" s="277"/>
      <c r="AS104" s="277"/>
      <c r="AT104" s="277"/>
      <c r="AU104" s="277"/>
      <c r="AV104" s="277"/>
      <c r="AW104" s="277"/>
      <c r="AX104" s="277"/>
      <c r="AY104" s="277"/>
      <c r="AZ104" s="277"/>
      <c r="BA104" s="277"/>
      <c r="BB104" s="277"/>
      <c r="BC104" s="277"/>
      <c r="BD104" s="277"/>
      <c r="BE104" s="277"/>
      <c r="BF104" s="277"/>
      <c r="BG104" s="277"/>
      <c r="BH104" s="277"/>
      <c r="BI104" s="277"/>
      <c r="BJ104" s="277"/>
      <c r="BK104" s="277"/>
      <c r="BL104" s="277"/>
      <c r="BM104" s="277"/>
      <c r="BN104" s="277"/>
      <c r="BO104" s="277"/>
      <c r="BP104" s="277"/>
      <c r="BQ104" s="277"/>
      <c r="BR104" s="277"/>
      <c r="BS104" s="277"/>
      <c r="BT104" s="277"/>
      <c r="BU104" s="277"/>
      <c r="BV104" s="277"/>
      <c r="BW104" s="277"/>
      <c r="BX104" s="277"/>
      <c r="BY104" s="277"/>
      <c r="BZ104" s="204"/>
      <c r="CA104" s="204"/>
      <c r="CB104" s="204"/>
      <c r="CC104" s="200"/>
      <c r="CD104" s="202"/>
      <c r="CE104" s="201"/>
      <c r="CF104" s="200"/>
      <c r="CG104" s="202"/>
      <c r="CH104" s="201"/>
      <c r="CI104" s="201"/>
      <c r="CJ104" s="201"/>
      <c r="CK104" s="198">
        <f>TRUNC(AL104*CJ104)+0</f>
        <v>0</v>
      </c>
      <c r="CL104" s="200"/>
      <c r="CM104" s="199">
        <f>TRUNC(CL104*AK104,2)</f>
        <v>0</v>
      </c>
      <c r="CN104" s="198">
        <f>TRUNC(CM104*AL104)+0</f>
        <v>0</v>
      </c>
    </row>
    <row r="105" spans="1:92" ht="56">
      <c r="A105" s="208" t="s">
        <v>148</v>
      </c>
      <c r="B105" s="213">
        <v>89726</v>
      </c>
      <c r="C105" s="206" t="s">
        <v>147</v>
      </c>
      <c r="D105" s="277"/>
      <c r="E105" s="277"/>
      <c r="F105" s="277"/>
      <c r="G105" s="277"/>
      <c r="H105" s="277"/>
      <c r="I105" s="277"/>
      <c r="J105" s="277"/>
      <c r="K105" s="277"/>
      <c r="L105" s="277"/>
      <c r="M105" s="277"/>
      <c r="N105" s="277"/>
      <c r="O105" s="277"/>
      <c r="P105" s="277"/>
      <c r="Q105" s="277"/>
      <c r="R105" s="277"/>
      <c r="S105" s="277"/>
      <c r="T105" s="277"/>
      <c r="U105" s="277"/>
      <c r="V105" s="277"/>
      <c r="W105" s="277"/>
      <c r="X105" s="277"/>
      <c r="Y105" s="277"/>
      <c r="Z105" s="277"/>
      <c r="AA105" s="277"/>
      <c r="AB105" s="277"/>
      <c r="AC105" s="277"/>
      <c r="AD105" s="277"/>
      <c r="AE105" s="277"/>
      <c r="AF105" s="277"/>
      <c r="AG105" s="277"/>
      <c r="AH105" s="277"/>
      <c r="AI105" s="277"/>
      <c r="AJ105" s="277"/>
      <c r="AK105" s="277"/>
      <c r="AL105" s="277"/>
      <c r="AM105" s="277"/>
      <c r="AN105" s="277"/>
      <c r="AO105" s="277"/>
      <c r="AP105" s="277"/>
      <c r="AQ105" s="277"/>
      <c r="AR105" s="277"/>
      <c r="AS105" s="277"/>
      <c r="AT105" s="277"/>
      <c r="AU105" s="277"/>
      <c r="AV105" s="277"/>
      <c r="AW105" s="277"/>
      <c r="AX105" s="277"/>
      <c r="AY105" s="277"/>
      <c r="AZ105" s="277"/>
      <c r="BA105" s="277"/>
      <c r="BB105" s="277"/>
      <c r="BC105" s="277"/>
      <c r="BD105" s="277"/>
      <c r="BE105" s="277"/>
      <c r="BF105" s="277"/>
      <c r="BG105" s="277"/>
      <c r="BH105" s="277"/>
      <c r="BI105" s="277"/>
      <c r="BJ105" s="277"/>
      <c r="BK105" s="277"/>
      <c r="BL105" s="277"/>
      <c r="BM105" s="277"/>
      <c r="BN105" s="277"/>
      <c r="BO105" s="277"/>
      <c r="BP105" s="277"/>
      <c r="BQ105" s="277"/>
      <c r="BR105" s="277"/>
      <c r="BS105" s="277"/>
      <c r="BT105" s="277"/>
      <c r="BU105" s="277"/>
      <c r="BV105" s="277"/>
      <c r="BW105" s="277"/>
      <c r="BX105" s="277"/>
      <c r="BY105" s="277"/>
      <c r="BZ105" s="204"/>
      <c r="CA105" s="204"/>
      <c r="CB105" s="204"/>
      <c r="CC105" s="200"/>
      <c r="CD105" s="202"/>
      <c r="CE105" s="201"/>
      <c r="CF105" s="200">
        <v>0.8</v>
      </c>
      <c r="CG105" s="202">
        <f>TRUNC(CF105*AK105,2)</f>
        <v>0</v>
      </c>
      <c r="CH105" s="201">
        <f>TRUNC(CG105*AL105)</f>
        <v>0</v>
      </c>
      <c r="CI105" s="201"/>
      <c r="CJ105" s="201">
        <v>1.4</v>
      </c>
      <c r="CK105" s="198">
        <f>TRUNC(AL105*CJ105)+0</f>
        <v>0</v>
      </c>
      <c r="CL105" s="200">
        <v>0.2</v>
      </c>
      <c r="CM105" s="199">
        <f>TRUNC(CL105*AK105,2)</f>
        <v>0</v>
      </c>
      <c r="CN105" s="198">
        <v>0</v>
      </c>
    </row>
    <row r="106" spans="1:92" ht="56">
      <c r="A106" s="208" t="s">
        <v>146</v>
      </c>
      <c r="B106" s="213">
        <v>89732</v>
      </c>
      <c r="C106" s="206" t="s">
        <v>145</v>
      </c>
      <c r="D106" s="277"/>
      <c r="E106" s="277"/>
      <c r="F106" s="277"/>
      <c r="G106" s="277"/>
      <c r="H106" s="277"/>
      <c r="I106" s="277"/>
      <c r="J106" s="277"/>
      <c r="K106" s="277"/>
      <c r="L106" s="277"/>
      <c r="M106" s="277"/>
      <c r="N106" s="277"/>
      <c r="O106" s="277"/>
      <c r="P106" s="277"/>
      <c r="Q106" s="277"/>
      <c r="R106" s="277"/>
      <c r="S106" s="277"/>
      <c r="T106" s="277"/>
      <c r="U106" s="277"/>
      <c r="V106" s="277"/>
      <c r="W106" s="277"/>
      <c r="X106" s="277"/>
      <c r="Y106" s="277"/>
      <c r="Z106" s="277"/>
      <c r="AA106" s="277"/>
      <c r="AB106" s="277"/>
      <c r="AC106" s="277"/>
      <c r="AD106" s="277"/>
      <c r="AE106" s="277"/>
      <c r="AF106" s="277"/>
      <c r="AG106" s="277"/>
      <c r="AH106" s="277"/>
      <c r="AI106" s="277"/>
      <c r="AJ106" s="277"/>
      <c r="AK106" s="277"/>
      <c r="AL106" s="277"/>
      <c r="AM106" s="277"/>
      <c r="AN106" s="277"/>
      <c r="AO106" s="277"/>
      <c r="AP106" s="277"/>
      <c r="AQ106" s="277"/>
      <c r="AR106" s="277"/>
      <c r="AS106" s="277"/>
      <c r="AT106" s="277"/>
      <c r="AU106" s="277"/>
      <c r="AV106" s="277"/>
      <c r="AW106" s="277"/>
      <c r="AX106" s="277"/>
      <c r="AY106" s="277"/>
      <c r="AZ106" s="277"/>
      <c r="BA106" s="277"/>
      <c r="BB106" s="277"/>
      <c r="BC106" s="277"/>
      <c r="BD106" s="277"/>
      <c r="BE106" s="277"/>
      <c r="BF106" s="277"/>
      <c r="BG106" s="277"/>
      <c r="BH106" s="277"/>
      <c r="BI106" s="277"/>
      <c r="BJ106" s="277"/>
      <c r="BK106" s="277"/>
      <c r="BL106" s="277"/>
      <c r="BM106" s="277"/>
      <c r="BN106" s="277"/>
      <c r="BO106" s="277"/>
      <c r="BP106" s="277"/>
      <c r="BQ106" s="277"/>
      <c r="BR106" s="277"/>
      <c r="BS106" s="277"/>
      <c r="BT106" s="277"/>
      <c r="BU106" s="277"/>
      <c r="BV106" s="277"/>
      <c r="BW106" s="277"/>
      <c r="BX106" s="277"/>
      <c r="BY106" s="277"/>
      <c r="BZ106" s="204"/>
      <c r="CA106" s="204"/>
      <c r="CB106" s="204"/>
      <c r="CC106" s="200"/>
      <c r="CD106" s="202"/>
      <c r="CE106" s="201"/>
      <c r="CF106" s="200">
        <v>0.8</v>
      </c>
      <c r="CG106" s="202">
        <f>TRUNC(CF106*AK106,2)</f>
        <v>0</v>
      </c>
      <c r="CH106" s="201">
        <f>TRUNC(CG106*AL106)</f>
        <v>0</v>
      </c>
      <c r="CI106" s="201"/>
      <c r="CJ106" s="201">
        <v>1.4</v>
      </c>
      <c r="CK106" s="198">
        <f>TRUNC(AL106*CJ106)+0</f>
        <v>0</v>
      </c>
      <c r="CL106" s="200">
        <v>0.2</v>
      </c>
      <c r="CM106" s="199">
        <f>TRUNC(CL106*AK106,2)</f>
        <v>0</v>
      </c>
      <c r="CN106" s="198">
        <v>0</v>
      </c>
    </row>
    <row r="107" spans="1:92" ht="56">
      <c r="A107" s="208" t="s">
        <v>144</v>
      </c>
      <c r="B107" s="213">
        <v>89809</v>
      </c>
      <c r="C107" s="206" t="s">
        <v>143</v>
      </c>
      <c r="D107" s="277"/>
      <c r="E107" s="277"/>
      <c r="F107" s="277"/>
      <c r="G107" s="277"/>
      <c r="H107" s="277"/>
      <c r="I107" s="277"/>
      <c r="J107" s="277"/>
      <c r="K107" s="277"/>
      <c r="L107" s="277"/>
      <c r="M107" s="277"/>
      <c r="N107" s="277"/>
      <c r="O107" s="277"/>
      <c r="P107" s="277"/>
      <c r="Q107" s="277"/>
      <c r="R107" s="277"/>
      <c r="S107" s="277"/>
      <c r="T107" s="277"/>
      <c r="U107" s="277"/>
      <c r="V107" s="277"/>
      <c r="W107" s="277"/>
      <c r="X107" s="277"/>
      <c r="Y107" s="277"/>
      <c r="Z107" s="277"/>
      <c r="AA107" s="277"/>
      <c r="AB107" s="277"/>
      <c r="AC107" s="277"/>
      <c r="AD107" s="277"/>
      <c r="AE107" s="277"/>
      <c r="AF107" s="277"/>
      <c r="AG107" s="277"/>
      <c r="AH107" s="277"/>
      <c r="AI107" s="277"/>
      <c r="AJ107" s="277"/>
      <c r="AK107" s="277"/>
      <c r="AL107" s="277"/>
      <c r="AM107" s="277"/>
      <c r="AN107" s="277"/>
      <c r="AO107" s="277"/>
      <c r="AP107" s="277"/>
      <c r="AQ107" s="277"/>
      <c r="AR107" s="277"/>
      <c r="AS107" s="277"/>
      <c r="AT107" s="277"/>
      <c r="AU107" s="277"/>
      <c r="AV107" s="277"/>
      <c r="AW107" s="277"/>
      <c r="AX107" s="277"/>
      <c r="AY107" s="277"/>
      <c r="AZ107" s="277"/>
      <c r="BA107" s="277"/>
      <c r="BB107" s="277"/>
      <c r="BC107" s="277"/>
      <c r="BD107" s="277"/>
      <c r="BE107" s="277"/>
      <c r="BF107" s="277"/>
      <c r="BG107" s="277"/>
      <c r="BH107" s="277"/>
      <c r="BI107" s="277"/>
      <c r="BJ107" s="277"/>
      <c r="BK107" s="277"/>
      <c r="BL107" s="277"/>
      <c r="BM107" s="277"/>
      <c r="BN107" s="277"/>
      <c r="BO107" s="277"/>
      <c r="BP107" s="277"/>
      <c r="BQ107" s="277"/>
      <c r="BR107" s="277"/>
      <c r="BS107" s="277"/>
      <c r="BT107" s="277"/>
      <c r="BU107" s="277"/>
      <c r="BV107" s="277"/>
      <c r="BW107" s="277"/>
      <c r="BX107" s="277"/>
      <c r="BY107" s="277"/>
      <c r="BZ107" s="204"/>
      <c r="CA107" s="204"/>
      <c r="CB107" s="204"/>
      <c r="CC107" s="200"/>
      <c r="CD107" s="202"/>
      <c r="CE107" s="201"/>
      <c r="CF107" s="200">
        <v>0.8</v>
      </c>
      <c r="CG107" s="202">
        <f>TRUNC(CF107*AK107,2)</f>
        <v>0</v>
      </c>
      <c r="CH107" s="201">
        <f>TRUNC(CG107*AL107)</f>
        <v>0</v>
      </c>
      <c r="CI107" s="201"/>
      <c r="CJ107" s="201">
        <v>2</v>
      </c>
      <c r="CK107" s="198">
        <f>TRUNC(AL107*CJ107)+0</f>
        <v>0</v>
      </c>
      <c r="CL107" s="200">
        <v>0.2</v>
      </c>
      <c r="CM107" s="199">
        <f>TRUNC(CL107*AK107,2)</f>
        <v>0</v>
      </c>
      <c r="CN107" s="198">
        <v>0</v>
      </c>
    </row>
    <row r="108" spans="1:92" ht="56">
      <c r="A108" s="208" t="s">
        <v>142</v>
      </c>
      <c r="B108" s="213">
        <v>69810</v>
      </c>
      <c r="C108" s="206" t="s">
        <v>141</v>
      </c>
      <c r="D108" s="277"/>
      <c r="E108" s="277"/>
      <c r="F108" s="277"/>
      <c r="G108" s="277"/>
      <c r="H108" s="277"/>
      <c r="I108" s="277"/>
      <c r="J108" s="277"/>
      <c r="K108" s="277"/>
      <c r="L108" s="277"/>
      <c r="M108" s="277"/>
      <c r="N108" s="277"/>
      <c r="O108" s="277"/>
      <c r="P108" s="277"/>
      <c r="Q108" s="277"/>
      <c r="R108" s="277"/>
      <c r="S108" s="277"/>
      <c r="T108" s="277"/>
      <c r="U108" s="277"/>
      <c r="V108" s="277"/>
      <c r="W108" s="277"/>
      <c r="X108" s="277"/>
      <c r="Y108" s="277"/>
      <c r="Z108" s="277"/>
      <c r="AA108" s="277"/>
      <c r="AB108" s="277"/>
      <c r="AC108" s="277"/>
      <c r="AD108" s="277"/>
      <c r="AE108" s="277"/>
      <c r="AF108" s="277"/>
      <c r="AG108" s="277"/>
      <c r="AH108" s="277"/>
      <c r="AI108" s="277"/>
      <c r="AJ108" s="277"/>
      <c r="AK108" s="277"/>
      <c r="AL108" s="277"/>
      <c r="AM108" s="277"/>
      <c r="AN108" s="277"/>
      <c r="AO108" s="277"/>
      <c r="AP108" s="277"/>
      <c r="AQ108" s="277"/>
      <c r="AR108" s="277"/>
      <c r="AS108" s="277"/>
      <c r="AT108" s="277"/>
      <c r="AU108" s="277"/>
      <c r="AV108" s="277"/>
      <c r="AW108" s="277"/>
      <c r="AX108" s="277"/>
      <c r="AY108" s="277"/>
      <c r="AZ108" s="277"/>
      <c r="BA108" s="277"/>
      <c r="BB108" s="277"/>
      <c r="BC108" s="277"/>
      <c r="BD108" s="277"/>
      <c r="BE108" s="277"/>
      <c r="BF108" s="277"/>
      <c r="BG108" s="277"/>
      <c r="BH108" s="277"/>
      <c r="BI108" s="277"/>
      <c r="BJ108" s="277"/>
      <c r="BK108" s="277"/>
      <c r="BL108" s="277"/>
      <c r="BM108" s="277"/>
      <c r="BN108" s="277"/>
      <c r="BO108" s="277"/>
      <c r="BP108" s="277"/>
      <c r="BQ108" s="277"/>
      <c r="BR108" s="277"/>
      <c r="BS108" s="277"/>
      <c r="BT108" s="277"/>
      <c r="BU108" s="277"/>
      <c r="BV108" s="277"/>
      <c r="BW108" s="277"/>
      <c r="BX108" s="277"/>
      <c r="BY108" s="277"/>
      <c r="BZ108" s="204"/>
      <c r="CA108" s="204"/>
      <c r="CB108" s="204"/>
      <c r="CC108" s="200"/>
      <c r="CD108" s="202"/>
      <c r="CE108" s="201"/>
      <c r="CF108" s="200">
        <v>0.8</v>
      </c>
      <c r="CG108" s="202">
        <f>TRUNC(CF108*AK108,2)</f>
        <v>0</v>
      </c>
      <c r="CH108" s="201">
        <f>TRUNC(CG108*AL108)</f>
        <v>0</v>
      </c>
      <c r="CI108" s="201"/>
      <c r="CJ108" s="201">
        <v>1.2</v>
      </c>
      <c r="CK108" s="198">
        <f>TRUNC(AL108*CJ108)+0</f>
        <v>0</v>
      </c>
      <c r="CL108" s="200">
        <v>0.2</v>
      </c>
      <c r="CM108" s="199">
        <f>TRUNC(CL108*AK108,2)</f>
        <v>0</v>
      </c>
      <c r="CN108" s="198">
        <v>0</v>
      </c>
    </row>
    <row r="109" spans="1:92" ht="42">
      <c r="A109" s="208" t="s">
        <v>140</v>
      </c>
      <c r="B109" s="213">
        <v>100864</v>
      </c>
      <c r="C109" s="206" t="s">
        <v>139</v>
      </c>
      <c r="D109" s="277"/>
      <c r="E109" s="277"/>
      <c r="F109" s="277"/>
      <c r="G109" s="277"/>
      <c r="H109" s="277"/>
      <c r="I109" s="277"/>
      <c r="J109" s="277"/>
      <c r="K109" s="277"/>
      <c r="L109" s="277"/>
      <c r="M109" s="277"/>
      <c r="N109" s="277"/>
      <c r="O109" s="277"/>
      <c r="P109" s="277"/>
      <c r="Q109" s="277"/>
      <c r="R109" s="277"/>
      <c r="S109" s="277"/>
      <c r="T109" s="277"/>
      <c r="U109" s="277"/>
      <c r="V109" s="277"/>
      <c r="W109" s="277"/>
      <c r="X109" s="277"/>
      <c r="Y109" s="277"/>
      <c r="Z109" s="277"/>
      <c r="AA109" s="277"/>
      <c r="AB109" s="277"/>
      <c r="AC109" s="277"/>
      <c r="AD109" s="277"/>
      <c r="AE109" s="277"/>
      <c r="AF109" s="277"/>
      <c r="AG109" s="277"/>
      <c r="AH109" s="277"/>
      <c r="AI109" s="277"/>
      <c r="AJ109" s="277"/>
      <c r="AK109" s="277"/>
      <c r="AL109" s="277"/>
      <c r="AM109" s="277"/>
      <c r="AN109" s="277"/>
      <c r="AO109" s="277"/>
      <c r="AP109" s="277"/>
      <c r="AQ109" s="277"/>
      <c r="AR109" s="277"/>
      <c r="AS109" s="277"/>
      <c r="AT109" s="277"/>
      <c r="AU109" s="277"/>
      <c r="AV109" s="277"/>
      <c r="AW109" s="277"/>
      <c r="AX109" s="277"/>
      <c r="AY109" s="277"/>
      <c r="AZ109" s="277"/>
      <c r="BA109" s="277"/>
      <c r="BB109" s="277"/>
      <c r="BC109" s="277"/>
      <c r="BD109" s="277"/>
      <c r="BE109" s="277"/>
      <c r="BF109" s="277"/>
      <c r="BG109" s="277"/>
      <c r="BH109" s="277"/>
      <c r="BI109" s="277"/>
      <c r="BJ109" s="277"/>
      <c r="BK109" s="277"/>
      <c r="BL109" s="277"/>
      <c r="BM109" s="277"/>
      <c r="BN109" s="277"/>
      <c r="BO109" s="277"/>
      <c r="BP109" s="277"/>
      <c r="BQ109" s="277"/>
      <c r="BR109" s="277"/>
      <c r="BS109" s="277"/>
      <c r="BT109" s="277"/>
      <c r="BU109" s="277"/>
      <c r="BV109" s="277"/>
      <c r="BW109" s="277"/>
      <c r="BX109" s="277"/>
      <c r="BY109" s="277"/>
      <c r="BZ109" s="204"/>
      <c r="CA109" s="204"/>
      <c r="CB109" s="204"/>
      <c r="CC109" s="200"/>
      <c r="CD109" s="202"/>
      <c r="CE109" s="201"/>
      <c r="CF109" s="200"/>
      <c r="CG109" s="202"/>
      <c r="CH109" s="201"/>
      <c r="CI109" s="201"/>
      <c r="CJ109" s="201"/>
      <c r="CK109" s="198">
        <f>TRUNC(AL109*CJ109)+0</f>
        <v>0</v>
      </c>
      <c r="CL109" s="200"/>
      <c r="CM109" s="199">
        <f>TRUNC(CL109*AK109,2)</f>
        <v>0</v>
      </c>
      <c r="CN109" s="198">
        <f>TRUNC(CM109*AL109)+0</f>
        <v>0</v>
      </c>
    </row>
    <row r="110" spans="1:92" ht="56">
      <c r="A110" s="208" t="s">
        <v>138</v>
      </c>
      <c r="B110" s="213">
        <v>89833</v>
      </c>
      <c r="C110" s="206" t="s">
        <v>137</v>
      </c>
      <c r="D110" s="277"/>
      <c r="E110" s="277"/>
      <c r="F110" s="277"/>
      <c r="G110" s="277"/>
      <c r="H110" s="277"/>
      <c r="I110" s="277"/>
      <c r="J110" s="277"/>
      <c r="K110" s="277"/>
      <c r="L110" s="277"/>
      <c r="M110" s="277"/>
      <c r="N110" s="277"/>
      <c r="O110" s="277"/>
      <c r="P110" s="277"/>
      <c r="Q110" s="277"/>
      <c r="R110" s="277"/>
      <c r="S110" s="277"/>
      <c r="T110" s="277"/>
      <c r="U110" s="277"/>
      <c r="V110" s="277"/>
      <c r="W110" s="277"/>
      <c r="X110" s="277"/>
      <c r="Y110" s="277"/>
      <c r="Z110" s="277"/>
      <c r="AA110" s="277"/>
      <c r="AB110" s="277"/>
      <c r="AC110" s="277"/>
      <c r="AD110" s="277"/>
      <c r="AE110" s="277"/>
      <c r="AF110" s="277"/>
      <c r="AG110" s="277"/>
      <c r="AH110" s="277"/>
      <c r="AI110" s="277"/>
      <c r="AJ110" s="277"/>
      <c r="AK110" s="277"/>
      <c r="AL110" s="277"/>
      <c r="AM110" s="277"/>
      <c r="AN110" s="277"/>
      <c r="AO110" s="277"/>
      <c r="AP110" s="277"/>
      <c r="AQ110" s="277"/>
      <c r="AR110" s="277"/>
      <c r="AS110" s="277"/>
      <c r="AT110" s="277"/>
      <c r="AU110" s="277"/>
      <c r="AV110" s="277"/>
      <c r="AW110" s="277"/>
      <c r="AX110" s="277"/>
      <c r="AY110" s="277"/>
      <c r="AZ110" s="277"/>
      <c r="BA110" s="277"/>
      <c r="BB110" s="277"/>
      <c r="BC110" s="277"/>
      <c r="BD110" s="277"/>
      <c r="BE110" s="277"/>
      <c r="BF110" s="277"/>
      <c r="BG110" s="277"/>
      <c r="BH110" s="277"/>
      <c r="BI110" s="277"/>
      <c r="BJ110" s="277"/>
      <c r="BK110" s="277"/>
      <c r="BL110" s="277"/>
      <c r="BM110" s="277"/>
      <c r="BN110" s="277"/>
      <c r="BO110" s="277"/>
      <c r="BP110" s="277"/>
      <c r="BQ110" s="277"/>
      <c r="BR110" s="277"/>
      <c r="BS110" s="277"/>
      <c r="BT110" s="277"/>
      <c r="BU110" s="277"/>
      <c r="BV110" s="277"/>
      <c r="BW110" s="277"/>
      <c r="BX110" s="277"/>
      <c r="BY110" s="277"/>
      <c r="BZ110" s="204"/>
      <c r="CA110" s="204"/>
      <c r="CB110" s="204"/>
      <c r="CC110" s="200"/>
      <c r="CD110" s="202"/>
      <c r="CE110" s="201"/>
      <c r="CF110" s="200">
        <v>0.8</v>
      </c>
      <c r="CG110" s="202">
        <f>TRUNC(CF110*AK110,2)</f>
        <v>0</v>
      </c>
      <c r="CH110" s="201">
        <f>TRUNC(CG110*AL110)</f>
        <v>0</v>
      </c>
      <c r="CI110" s="201"/>
      <c r="CJ110" s="201">
        <v>0.6</v>
      </c>
      <c r="CK110" s="198">
        <f>TRUNC(AL110*CJ110)+0</f>
        <v>0</v>
      </c>
      <c r="CL110" s="200">
        <v>0.2</v>
      </c>
      <c r="CM110" s="199">
        <f>TRUNC(CL110*AK110,2)</f>
        <v>0</v>
      </c>
      <c r="CN110" s="198">
        <v>0</v>
      </c>
    </row>
    <row r="111" spans="1:92" ht="42">
      <c r="A111" s="208" t="s">
        <v>136</v>
      </c>
      <c r="B111" s="213">
        <v>102711</v>
      </c>
      <c r="C111" s="206" t="s">
        <v>135</v>
      </c>
      <c r="D111" s="277"/>
      <c r="E111" s="277"/>
      <c r="F111" s="277"/>
      <c r="G111" s="277"/>
      <c r="H111" s="277"/>
      <c r="I111" s="277"/>
      <c r="J111" s="277"/>
      <c r="K111" s="277"/>
      <c r="L111" s="277"/>
      <c r="M111" s="277"/>
      <c r="N111" s="277"/>
      <c r="O111" s="277"/>
      <c r="P111" s="277"/>
      <c r="Q111" s="277"/>
      <c r="R111" s="277"/>
      <c r="S111" s="277"/>
      <c r="T111" s="277"/>
      <c r="U111" s="277"/>
      <c r="V111" s="277"/>
      <c r="W111" s="277"/>
      <c r="X111" s="277"/>
      <c r="Y111" s="277"/>
      <c r="Z111" s="277"/>
      <c r="AA111" s="277"/>
      <c r="AB111" s="277"/>
      <c r="AC111" s="277"/>
      <c r="AD111" s="277"/>
      <c r="AE111" s="277"/>
      <c r="AF111" s="277"/>
      <c r="AG111" s="277"/>
      <c r="AH111" s="277"/>
      <c r="AI111" s="277"/>
      <c r="AJ111" s="277"/>
      <c r="AK111" s="277"/>
      <c r="AL111" s="277"/>
      <c r="AM111" s="277"/>
      <c r="AN111" s="277"/>
      <c r="AO111" s="277"/>
      <c r="AP111" s="277"/>
      <c r="AQ111" s="277"/>
      <c r="AR111" s="277"/>
      <c r="AS111" s="277"/>
      <c r="AT111" s="277"/>
      <c r="AU111" s="277"/>
      <c r="AV111" s="277"/>
      <c r="AW111" s="277"/>
      <c r="AX111" s="277"/>
      <c r="AY111" s="277"/>
      <c r="AZ111" s="277"/>
      <c r="BA111" s="277"/>
      <c r="BB111" s="277"/>
      <c r="BC111" s="277"/>
      <c r="BD111" s="277"/>
      <c r="BE111" s="277"/>
      <c r="BF111" s="277"/>
      <c r="BG111" s="277"/>
      <c r="BH111" s="277"/>
      <c r="BI111" s="277"/>
      <c r="BJ111" s="277"/>
      <c r="BK111" s="277"/>
      <c r="BL111" s="277"/>
      <c r="BM111" s="277"/>
      <c r="BN111" s="277"/>
      <c r="BO111" s="277"/>
      <c r="BP111" s="277"/>
      <c r="BQ111" s="277"/>
      <c r="BR111" s="277"/>
      <c r="BS111" s="277"/>
      <c r="BT111" s="277"/>
      <c r="BU111" s="277"/>
      <c r="BV111" s="277"/>
      <c r="BW111" s="277"/>
      <c r="BX111" s="277"/>
      <c r="BY111" s="277"/>
      <c r="BZ111" s="204"/>
      <c r="CA111" s="204"/>
      <c r="CB111" s="204"/>
      <c r="CC111" s="200"/>
      <c r="CD111" s="202"/>
      <c r="CE111" s="201"/>
      <c r="CF111" s="200">
        <v>0.8</v>
      </c>
      <c r="CG111" s="202">
        <f>TRUNC(CF111*AK111,2)</f>
        <v>0</v>
      </c>
      <c r="CH111" s="201">
        <f>TRUNC(CG111*AL111)</f>
        <v>0</v>
      </c>
      <c r="CI111" s="201"/>
      <c r="CJ111" s="201">
        <v>0.8</v>
      </c>
      <c r="CK111" s="198">
        <f>TRUNC(AL111*CJ111)+0</f>
        <v>0</v>
      </c>
      <c r="CL111" s="200">
        <v>0.2</v>
      </c>
      <c r="CM111" s="199">
        <f>TRUNC(CL111*AK111,2)</f>
        <v>0</v>
      </c>
      <c r="CN111" s="198">
        <v>0</v>
      </c>
    </row>
    <row r="112" spans="1:92" ht="19.5" customHeight="1">
      <c r="A112" s="210" t="s">
        <v>134</v>
      </c>
      <c r="B112" s="209" t="s">
        <v>133</v>
      </c>
      <c r="C112" s="209"/>
      <c r="D112" s="209"/>
      <c r="E112" s="209"/>
      <c r="F112" s="209"/>
      <c r="G112" s="209"/>
      <c r="H112" s="209"/>
      <c r="I112" s="209"/>
      <c r="J112" s="209"/>
      <c r="K112" s="209"/>
      <c r="L112" s="209"/>
      <c r="M112" s="209"/>
      <c r="N112" s="209"/>
      <c r="O112" s="209"/>
      <c r="P112" s="209"/>
      <c r="Q112" s="209"/>
      <c r="R112" s="209"/>
      <c r="S112" s="209"/>
      <c r="T112" s="209"/>
      <c r="U112" s="209"/>
      <c r="V112" s="209"/>
      <c r="W112" s="209"/>
      <c r="X112" s="209"/>
      <c r="Y112" s="209"/>
      <c r="Z112" s="209"/>
      <c r="AA112" s="209"/>
      <c r="AB112" s="209"/>
      <c r="AC112" s="209"/>
      <c r="AD112" s="209"/>
      <c r="AE112" s="209"/>
      <c r="AF112" s="209"/>
      <c r="AG112" s="209"/>
      <c r="AH112" s="209"/>
      <c r="AI112" s="209"/>
      <c r="AJ112" s="209"/>
      <c r="AK112" s="209"/>
      <c r="AL112" s="209"/>
      <c r="AM112" s="209"/>
      <c r="AN112" s="209"/>
      <c r="AO112" s="209"/>
      <c r="AP112" s="209"/>
      <c r="AQ112" s="209"/>
      <c r="AR112" s="209"/>
      <c r="AS112" s="209"/>
      <c r="AT112" s="209"/>
      <c r="AU112" s="209"/>
      <c r="AV112" s="209"/>
      <c r="AW112" s="209"/>
      <c r="AX112" s="209"/>
      <c r="AY112" s="209"/>
      <c r="AZ112" s="209"/>
      <c r="BA112" s="209"/>
      <c r="BB112" s="209"/>
      <c r="BC112" s="209"/>
      <c r="BD112" s="209"/>
      <c r="BE112" s="209"/>
      <c r="BF112" s="209"/>
      <c r="BG112" s="209"/>
      <c r="BH112" s="209"/>
      <c r="BI112" s="209"/>
      <c r="BJ112" s="209"/>
      <c r="BK112" s="209"/>
      <c r="BL112" s="209"/>
      <c r="BM112" s="209"/>
      <c r="BN112" s="209"/>
      <c r="BO112" s="209"/>
      <c r="BP112" s="209"/>
      <c r="BQ112" s="209"/>
      <c r="BR112" s="209"/>
      <c r="BS112" s="209"/>
      <c r="BT112" s="209"/>
      <c r="BU112" s="209"/>
      <c r="BV112" s="209"/>
      <c r="BW112" s="209"/>
      <c r="BX112" s="209"/>
      <c r="BY112" s="209"/>
      <c r="BZ112" s="204"/>
      <c r="CA112" s="204"/>
      <c r="CB112" s="204"/>
      <c r="CC112" s="204"/>
      <c r="CD112" s="204"/>
      <c r="CE112" s="204"/>
      <c r="CF112" s="204"/>
      <c r="CG112" s="204"/>
      <c r="CH112" s="204"/>
      <c r="CI112" s="204"/>
      <c r="CJ112" s="204"/>
      <c r="CK112" s="204"/>
      <c r="CL112" s="204"/>
      <c r="CM112" s="204"/>
      <c r="CN112" s="204"/>
    </row>
    <row r="113" spans="1:92" ht="42">
      <c r="A113" s="208" t="s">
        <v>132</v>
      </c>
      <c r="B113" s="207">
        <v>102616</v>
      </c>
      <c r="C113" s="206" t="s">
        <v>131</v>
      </c>
      <c r="D113" s="212" t="s">
        <v>366</v>
      </c>
      <c r="E113" s="212"/>
      <c r="F113" s="212"/>
      <c r="G113" s="212"/>
      <c r="H113" s="212"/>
      <c r="I113" s="212"/>
      <c r="J113" s="212"/>
      <c r="K113" s="212"/>
      <c r="L113" s="212"/>
      <c r="M113" s="212"/>
      <c r="N113" s="212"/>
      <c r="O113" s="212"/>
      <c r="P113" s="212"/>
      <c r="Q113" s="212"/>
      <c r="R113" s="212"/>
      <c r="S113" s="212"/>
      <c r="T113" s="212"/>
      <c r="U113" s="212"/>
      <c r="V113" s="212"/>
      <c r="W113" s="212"/>
      <c r="X113" s="212"/>
      <c r="Y113" s="212"/>
      <c r="Z113" s="212"/>
      <c r="AA113" s="212"/>
      <c r="AB113" s="212"/>
      <c r="AC113" s="212"/>
      <c r="AD113" s="212"/>
      <c r="AE113" s="212"/>
      <c r="AF113" s="212"/>
      <c r="AG113" s="212"/>
      <c r="AH113" s="212"/>
      <c r="AI113" s="212"/>
      <c r="AJ113" s="212"/>
      <c r="AK113" s="212"/>
      <c r="AL113" s="212"/>
      <c r="AM113" s="212"/>
      <c r="AN113" s="212"/>
      <c r="AO113" s="212"/>
      <c r="AP113" s="212"/>
      <c r="AQ113" s="212"/>
      <c r="AR113" s="212"/>
      <c r="AS113" s="212"/>
      <c r="AT113" s="212"/>
      <c r="AU113" s="212"/>
      <c r="AV113" s="212"/>
      <c r="AW113" s="212"/>
      <c r="AX113" s="212"/>
      <c r="AY113" s="212"/>
      <c r="AZ113" s="212"/>
      <c r="BA113" s="212"/>
      <c r="BB113" s="212"/>
      <c r="BC113" s="212"/>
      <c r="BD113" s="212"/>
      <c r="BE113" s="212"/>
      <c r="BF113" s="212"/>
      <c r="BG113" s="212"/>
      <c r="BH113" s="212"/>
      <c r="BI113" s="212"/>
      <c r="BJ113" s="212"/>
      <c r="BK113" s="212"/>
      <c r="BL113" s="212"/>
      <c r="BM113" s="212"/>
      <c r="BN113" s="212"/>
      <c r="BO113" s="212"/>
      <c r="BP113" s="212"/>
      <c r="BQ113" s="212"/>
      <c r="BR113" s="212"/>
      <c r="BS113" s="212"/>
      <c r="BT113" s="212"/>
      <c r="BU113" s="212"/>
      <c r="BV113" s="212"/>
      <c r="BW113" s="212"/>
      <c r="BX113" s="212"/>
      <c r="BY113" s="212"/>
      <c r="BZ113" s="204"/>
      <c r="CA113" s="204"/>
      <c r="CB113" s="204"/>
      <c r="CC113" s="200"/>
      <c r="CD113" s="202"/>
      <c r="CE113" s="201"/>
      <c r="CF113" s="200"/>
      <c r="CG113" s="202"/>
      <c r="CH113" s="201"/>
      <c r="CI113" s="201"/>
      <c r="CJ113" s="201"/>
      <c r="CK113" s="198">
        <f>TRUNC(AL113*CJ113)+0</f>
        <v>0</v>
      </c>
      <c r="CL113" s="200"/>
      <c r="CM113" s="199">
        <f>TRUNC(CL113*AK113,2)</f>
        <v>0</v>
      </c>
      <c r="CN113" s="198">
        <f>TRUNC(CM113*AL113)+0</f>
        <v>0</v>
      </c>
    </row>
    <row r="114" spans="1:92" ht="42">
      <c r="A114" s="208" t="s">
        <v>130</v>
      </c>
      <c r="B114" s="207">
        <v>89446</v>
      </c>
      <c r="C114" s="206" t="s">
        <v>129</v>
      </c>
      <c r="D114" s="212" t="s">
        <v>366</v>
      </c>
      <c r="E114" s="212"/>
      <c r="F114" s="212"/>
      <c r="G114" s="212"/>
      <c r="H114" s="212"/>
      <c r="I114" s="212"/>
      <c r="J114" s="212"/>
      <c r="K114" s="212"/>
      <c r="L114" s="212"/>
      <c r="M114" s="212"/>
      <c r="N114" s="212"/>
      <c r="O114" s="212"/>
      <c r="P114" s="212"/>
      <c r="Q114" s="212"/>
      <c r="R114" s="212"/>
      <c r="S114" s="212"/>
      <c r="T114" s="212"/>
      <c r="U114" s="212"/>
      <c r="V114" s="212"/>
      <c r="W114" s="212"/>
      <c r="X114" s="212"/>
      <c r="Y114" s="212"/>
      <c r="Z114" s="212"/>
      <c r="AA114" s="212"/>
      <c r="AB114" s="212"/>
      <c r="AC114" s="212"/>
      <c r="AD114" s="212"/>
      <c r="AE114" s="212"/>
      <c r="AF114" s="212"/>
      <c r="AG114" s="212"/>
      <c r="AH114" s="212"/>
      <c r="AI114" s="212"/>
      <c r="AJ114" s="212"/>
      <c r="AK114" s="212"/>
      <c r="AL114" s="212"/>
      <c r="AM114" s="212"/>
      <c r="AN114" s="212"/>
      <c r="AO114" s="212"/>
      <c r="AP114" s="212"/>
      <c r="AQ114" s="212"/>
      <c r="AR114" s="212"/>
      <c r="AS114" s="212"/>
      <c r="AT114" s="212"/>
      <c r="AU114" s="212"/>
      <c r="AV114" s="212"/>
      <c r="AW114" s="212"/>
      <c r="AX114" s="212"/>
      <c r="AY114" s="212"/>
      <c r="AZ114" s="212"/>
      <c r="BA114" s="212"/>
      <c r="BB114" s="212"/>
      <c r="BC114" s="212"/>
      <c r="BD114" s="212"/>
      <c r="BE114" s="212"/>
      <c r="BF114" s="212"/>
      <c r="BG114" s="212"/>
      <c r="BH114" s="212"/>
      <c r="BI114" s="212"/>
      <c r="BJ114" s="212"/>
      <c r="BK114" s="212"/>
      <c r="BL114" s="212"/>
      <c r="BM114" s="212"/>
      <c r="BN114" s="212"/>
      <c r="BO114" s="212"/>
      <c r="BP114" s="212"/>
      <c r="BQ114" s="212"/>
      <c r="BR114" s="212"/>
      <c r="BS114" s="212"/>
      <c r="BT114" s="212"/>
      <c r="BU114" s="212"/>
      <c r="BV114" s="212"/>
      <c r="BW114" s="212"/>
      <c r="BX114" s="212"/>
      <c r="BY114" s="212"/>
      <c r="BZ114" s="204"/>
      <c r="CA114" s="204"/>
      <c r="CB114" s="204"/>
      <c r="CC114" s="200"/>
      <c r="CD114" s="202"/>
      <c r="CE114" s="201"/>
      <c r="CF114" s="200"/>
      <c r="CG114" s="202"/>
      <c r="CH114" s="201"/>
      <c r="CI114" s="201"/>
      <c r="CJ114" s="201"/>
      <c r="CK114" s="198">
        <f>TRUNC(AL114*CJ114)+0</f>
        <v>0</v>
      </c>
      <c r="CL114" s="200"/>
      <c r="CM114" s="199">
        <f>TRUNC(CL114*AK114,2)</f>
        <v>0</v>
      </c>
      <c r="CN114" s="198">
        <f>TRUNC(CM114*AL114)+0</f>
        <v>0</v>
      </c>
    </row>
    <row r="115" spans="1:92" ht="42">
      <c r="A115" s="208" t="s">
        <v>128</v>
      </c>
      <c r="B115" s="207">
        <v>89366</v>
      </c>
      <c r="C115" s="206" t="s">
        <v>127</v>
      </c>
      <c r="D115" s="212" t="s">
        <v>366</v>
      </c>
      <c r="E115" s="212"/>
      <c r="F115" s="212"/>
      <c r="G115" s="212"/>
      <c r="H115" s="212"/>
      <c r="I115" s="212"/>
      <c r="J115" s="212"/>
      <c r="K115" s="212"/>
      <c r="L115" s="212"/>
      <c r="M115" s="212"/>
      <c r="N115" s="212"/>
      <c r="O115" s="212"/>
      <c r="P115" s="212"/>
      <c r="Q115" s="212"/>
      <c r="R115" s="212"/>
      <c r="S115" s="212"/>
      <c r="T115" s="212"/>
      <c r="U115" s="212"/>
      <c r="V115" s="212"/>
      <c r="W115" s="212"/>
      <c r="X115" s="212"/>
      <c r="Y115" s="212"/>
      <c r="Z115" s="212"/>
      <c r="AA115" s="212"/>
      <c r="AB115" s="212"/>
      <c r="AC115" s="212"/>
      <c r="AD115" s="212"/>
      <c r="AE115" s="212"/>
      <c r="AF115" s="212"/>
      <c r="AG115" s="212"/>
      <c r="AH115" s="212"/>
      <c r="AI115" s="212"/>
      <c r="AJ115" s="212"/>
      <c r="AK115" s="212"/>
      <c r="AL115" s="212"/>
      <c r="AM115" s="212"/>
      <c r="AN115" s="212"/>
      <c r="AO115" s="212"/>
      <c r="AP115" s="212"/>
      <c r="AQ115" s="212"/>
      <c r="AR115" s="212"/>
      <c r="AS115" s="212"/>
      <c r="AT115" s="212"/>
      <c r="AU115" s="212"/>
      <c r="AV115" s="212"/>
      <c r="AW115" s="212"/>
      <c r="AX115" s="212"/>
      <c r="AY115" s="212"/>
      <c r="AZ115" s="212"/>
      <c r="BA115" s="212"/>
      <c r="BB115" s="212"/>
      <c r="BC115" s="212"/>
      <c r="BD115" s="212"/>
      <c r="BE115" s="212"/>
      <c r="BF115" s="212"/>
      <c r="BG115" s="212"/>
      <c r="BH115" s="212"/>
      <c r="BI115" s="212"/>
      <c r="BJ115" s="212"/>
      <c r="BK115" s="212"/>
      <c r="BL115" s="212"/>
      <c r="BM115" s="212"/>
      <c r="BN115" s="212"/>
      <c r="BO115" s="212"/>
      <c r="BP115" s="212"/>
      <c r="BQ115" s="212"/>
      <c r="BR115" s="212"/>
      <c r="BS115" s="212"/>
      <c r="BT115" s="212"/>
      <c r="BU115" s="212"/>
      <c r="BV115" s="212"/>
      <c r="BW115" s="212"/>
      <c r="BX115" s="212"/>
      <c r="BY115" s="212"/>
      <c r="BZ115" s="204"/>
      <c r="CA115" s="204"/>
      <c r="CB115" s="204"/>
      <c r="CC115" s="200"/>
      <c r="CD115" s="202"/>
      <c r="CE115" s="201"/>
      <c r="CF115" s="200"/>
      <c r="CG115" s="202"/>
      <c r="CH115" s="201"/>
      <c r="CI115" s="201"/>
      <c r="CJ115" s="201"/>
      <c r="CK115" s="198">
        <f>TRUNC(AL115*CJ115)+0</f>
        <v>0</v>
      </c>
      <c r="CL115" s="200"/>
      <c r="CM115" s="199">
        <f>TRUNC(CL115*AK115,2)</f>
        <v>0</v>
      </c>
      <c r="CN115" s="198">
        <f>TRUNC(CM115*AL115)+0</f>
        <v>0</v>
      </c>
    </row>
    <row r="116" spans="1:92" ht="42">
      <c r="A116" s="208" t="s">
        <v>126</v>
      </c>
      <c r="B116" s="207">
        <v>89355</v>
      </c>
      <c r="C116" s="206" t="s">
        <v>125</v>
      </c>
      <c r="D116" s="212" t="s">
        <v>366</v>
      </c>
      <c r="E116" s="212"/>
      <c r="F116" s="212"/>
      <c r="G116" s="212"/>
      <c r="H116" s="212"/>
      <c r="I116" s="212"/>
      <c r="J116" s="212"/>
      <c r="K116" s="212"/>
      <c r="L116" s="212"/>
      <c r="M116" s="212"/>
      <c r="N116" s="212"/>
      <c r="O116" s="212"/>
      <c r="P116" s="212"/>
      <c r="Q116" s="212"/>
      <c r="R116" s="212"/>
      <c r="S116" s="212"/>
      <c r="T116" s="212"/>
      <c r="U116" s="212"/>
      <c r="V116" s="212"/>
      <c r="W116" s="212"/>
      <c r="X116" s="212"/>
      <c r="Y116" s="212"/>
      <c r="Z116" s="212"/>
      <c r="AA116" s="212"/>
      <c r="AB116" s="212"/>
      <c r="AC116" s="212"/>
      <c r="AD116" s="212"/>
      <c r="AE116" s="212"/>
      <c r="AF116" s="212"/>
      <c r="AG116" s="212"/>
      <c r="AH116" s="212"/>
      <c r="AI116" s="212"/>
      <c r="AJ116" s="212"/>
      <c r="AK116" s="212"/>
      <c r="AL116" s="212"/>
      <c r="AM116" s="212"/>
      <c r="AN116" s="212"/>
      <c r="AO116" s="212"/>
      <c r="AP116" s="212"/>
      <c r="AQ116" s="212"/>
      <c r="AR116" s="212"/>
      <c r="AS116" s="212"/>
      <c r="AT116" s="212"/>
      <c r="AU116" s="212"/>
      <c r="AV116" s="212"/>
      <c r="AW116" s="212"/>
      <c r="AX116" s="212"/>
      <c r="AY116" s="212"/>
      <c r="AZ116" s="212"/>
      <c r="BA116" s="212"/>
      <c r="BB116" s="212"/>
      <c r="BC116" s="212"/>
      <c r="BD116" s="212"/>
      <c r="BE116" s="212"/>
      <c r="BF116" s="212"/>
      <c r="BG116" s="212"/>
      <c r="BH116" s="212"/>
      <c r="BI116" s="212"/>
      <c r="BJ116" s="212"/>
      <c r="BK116" s="212"/>
      <c r="BL116" s="212"/>
      <c r="BM116" s="212"/>
      <c r="BN116" s="212"/>
      <c r="BO116" s="212"/>
      <c r="BP116" s="212"/>
      <c r="BQ116" s="212"/>
      <c r="BR116" s="212"/>
      <c r="BS116" s="212"/>
      <c r="BT116" s="212"/>
      <c r="BU116" s="212"/>
      <c r="BV116" s="212"/>
      <c r="BW116" s="212"/>
      <c r="BX116" s="212"/>
      <c r="BY116" s="212"/>
      <c r="BZ116" s="204"/>
      <c r="CA116" s="204"/>
      <c r="CB116" s="204"/>
      <c r="CC116" s="200"/>
      <c r="CD116" s="202"/>
      <c r="CE116" s="201"/>
      <c r="CF116" s="200"/>
      <c r="CG116" s="202"/>
      <c r="CH116" s="201"/>
      <c r="CI116" s="201"/>
      <c r="CJ116" s="201"/>
      <c r="CK116" s="198">
        <f>TRUNC(AL116*CJ116)+0</f>
        <v>0</v>
      </c>
      <c r="CL116" s="200"/>
      <c r="CM116" s="199">
        <f>TRUNC(CL116*AK116,2)</f>
        <v>0</v>
      </c>
      <c r="CN116" s="198">
        <f>TRUNC(CM116*AL116)+0</f>
        <v>0</v>
      </c>
    </row>
    <row r="117" spans="1:92" ht="28">
      <c r="A117" s="208" t="s">
        <v>124</v>
      </c>
      <c r="B117" s="207">
        <v>100860</v>
      </c>
      <c r="C117" s="206" t="s">
        <v>123</v>
      </c>
      <c r="D117" s="212" t="s">
        <v>366</v>
      </c>
      <c r="E117" s="212"/>
      <c r="F117" s="212"/>
      <c r="G117" s="212"/>
      <c r="H117" s="212"/>
      <c r="I117" s="212"/>
      <c r="J117" s="212"/>
      <c r="K117" s="212"/>
      <c r="L117" s="212"/>
      <c r="M117" s="212"/>
      <c r="N117" s="212"/>
      <c r="O117" s="212"/>
      <c r="P117" s="212"/>
      <c r="Q117" s="212"/>
      <c r="R117" s="212"/>
      <c r="S117" s="212"/>
      <c r="T117" s="212"/>
      <c r="U117" s="212"/>
      <c r="V117" s="212"/>
      <c r="W117" s="212"/>
      <c r="X117" s="212"/>
      <c r="Y117" s="212"/>
      <c r="Z117" s="212"/>
      <c r="AA117" s="212"/>
      <c r="AB117" s="212"/>
      <c r="AC117" s="212"/>
      <c r="AD117" s="212"/>
      <c r="AE117" s="212"/>
      <c r="AF117" s="212"/>
      <c r="AG117" s="212"/>
      <c r="AH117" s="212"/>
      <c r="AI117" s="212"/>
      <c r="AJ117" s="212"/>
      <c r="AK117" s="212"/>
      <c r="AL117" s="212"/>
      <c r="AM117" s="212"/>
      <c r="AN117" s="212"/>
      <c r="AO117" s="212"/>
      <c r="AP117" s="212"/>
      <c r="AQ117" s="212"/>
      <c r="AR117" s="212"/>
      <c r="AS117" s="212"/>
      <c r="AT117" s="212"/>
      <c r="AU117" s="212"/>
      <c r="AV117" s="212"/>
      <c r="AW117" s="212"/>
      <c r="AX117" s="212"/>
      <c r="AY117" s="212"/>
      <c r="AZ117" s="212"/>
      <c r="BA117" s="212"/>
      <c r="BB117" s="212"/>
      <c r="BC117" s="212"/>
      <c r="BD117" s="212"/>
      <c r="BE117" s="212"/>
      <c r="BF117" s="212"/>
      <c r="BG117" s="212"/>
      <c r="BH117" s="212"/>
      <c r="BI117" s="212"/>
      <c r="BJ117" s="212"/>
      <c r="BK117" s="212"/>
      <c r="BL117" s="212"/>
      <c r="BM117" s="212"/>
      <c r="BN117" s="212"/>
      <c r="BO117" s="212"/>
      <c r="BP117" s="212"/>
      <c r="BQ117" s="212"/>
      <c r="BR117" s="212"/>
      <c r="BS117" s="212"/>
      <c r="BT117" s="212"/>
      <c r="BU117" s="212"/>
      <c r="BV117" s="212"/>
      <c r="BW117" s="212"/>
      <c r="BX117" s="212"/>
      <c r="BY117" s="212"/>
      <c r="BZ117" s="204"/>
      <c r="CA117" s="204"/>
      <c r="CB117" s="204"/>
      <c r="CC117" s="200"/>
      <c r="CD117" s="202"/>
      <c r="CE117" s="201"/>
      <c r="CF117" s="200"/>
      <c r="CG117" s="202"/>
      <c r="CH117" s="201"/>
      <c r="CI117" s="201"/>
      <c r="CJ117" s="201"/>
      <c r="CK117" s="198">
        <f>TRUNC(AL117*CJ117)+0</f>
        <v>0</v>
      </c>
      <c r="CL117" s="200"/>
      <c r="CM117" s="199">
        <f>TRUNC(CL117*AK117,2)</f>
        <v>0</v>
      </c>
      <c r="CN117" s="198">
        <f>TRUNC(CM117*AL117)+0</f>
        <v>0</v>
      </c>
    </row>
    <row r="118" spans="1:92" ht="28">
      <c r="A118" s="208" t="s">
        <v>122</v>
      </c>
      <c r="B118" s="207">
        <v>89528</v>
      </c>
      <c r="C118" s="206" t="s">
        <v>121</v>
      </c>
      <c r="D118" s="212" t="s">
        <v>366</v>
      </c>
      <c r="E118" s="212"/>
      <c r="F118" s="212"/>
      <c r="G118" s="212"/>
      <c r="H118" s="212"/>
      <c r="I118" s="212"/>
      <c r="J118" s="212"/>
      <c r="K118" s="212"/>
      <c r="L118" s="212"/>
      <c r="M118" s="212"/>
      <c r="N118" s="212"/>
      <c r="O118" s="212"/>
      <c r="P118" s="212"/>
      <c r="Q118" s="212"/>
      <c r="R118" s="212"/>
      <c r="S118" s="212"/>
      <c r="T118" s="212"/>
      <c r="U118" s="212"/>
      <c r="V118" s="212"/>
      <c r="W118" s="212"/>
      <c r="X118" s="212"/>
      <c r="Y118" s="212"/>
      <c r="Z118" s="212"/>
      <c r="AA118" s="212"/>
      <c r="AB118" s="212"/>
      <c r="AC118" s="212"/>
      <c r="AD118" s="212"/>
      <c r="AE118" s="212"/>
      <c r="AF118" s="212"/>
      <c r="AG118" s="212"/>
      <c r="AH118" s="212"/>
      <c r="AI118" s="212"/>
      <c r="AJ118" s="212"/>
      <c r="AK118" s="212"/>
      <c r="AL118" s="212"/>
      <c r="AM118" s="212"/>
      <c r="AN118" s="212"/>
      <c r="AO118" s="212"/>
      <c r="AP118" s="212"/>
      <c r="AQ118" s="212"/>
      <c r="AR118" s="212"/>
      <c r="AS118" s="212"/>
      <c r="AT118" s="212"/>
      <c r="AU118" s="212"/>
      <c r="AV118" s="212"/>
      <c r="AW118" s="212"/>
      <c r="AX118" s="212"/>
      <c r="AY118" s="212"/>
      <c r="AZ118" s="212"/>
      <c r="BA118" s="212"/>
      <c r="BB118" s="212"/>
      <c r="BC118" s="212"/>
      <c r="BD118" s="212"/>
      <c r="BE118" s="212"/>
      <c r="BF118" s="212"/>
      <c r="BG118" s="212"/>
      <c r="BH118" s="212"/>
      <c r="BI118" s="212"/>
      <c r="BJ118" s="212"/>
      <c r="BK118" s="212"/>
      <c r="BL118" s="212"/>
      <c r="BM118" s="212"/>
      <c r="BN118" s="212"/>
      <c r="BO118" s="212"/>
      <c r="BP118" s="212"/>
      <c r="BQ118" s="212"/>
      <c r="BR118" s="212"/>
      <c r="BS118" s="212"/>
      <c r="BT118" s="212"/>
      <c r="BU118" s="212"/>
      <c r="BV118" s="212"/>
      <c r="BW118" s="212"/>
      <c r="BX118" s="212"/>
      <c r="BY118" s="212"/>
      <c r="BZ118" s="204"/>
      <c r="CA118" s="204"/>
      <c r="CB118" s="204"/>
      <c r="CC118" s="200"/>
      <c r="CD118" s="202"/>
      <c r="CE118" s="201"/>
      <c r="CF118" s="200"/>
      <c r="CG118" s="202"/>
      <c r="CH118" s="201"/>
      <c r="CI118" s="201"/>
      <c r="CJ118" s="201"/>
      <c r="CK118" s="198">
        <f>TRUNC(AL118*CJ118)+0</f>
        <v>0</v>
      </c>
      <c r="CL118" s="200"/>
      <c r="CM118" s="199">
        <f>TRUNC(CL118*AK118,2)</f>
        <v>0</v>
      </c>
      <c r="CN118" s="198">
        <f>TRUNC(CM118*AL118)+0</f>
        <v>0</v>
      </c>
    </row>
    <row r="119" spans="1:92" ht="42">
      <c r="A119" s="208" t="s">
        <v>120</v>
      </c>
      <c r="B119" s="207">
        <v>104199</v>
      </c>
      <c r="C119" s="206" t="s">
        <v>119</v>
      </c>
      <c r="D119" s="212" t="s">
        <v>366</v>
      </c>
      <c r="E119" s="212"/>
      <c r="F119" s="212"/>
      <c r="G119" s="212"/>
      <c r="H119" s="212"/>
      <c r="I119" s="212"/>
      <c r="J119" s="212"/>
      <c r="K119" s="212"/>
      <c r="L119" s="212"/>
      <c r="M119" s="212"/>
      <c r="N119" s="212"/>
      <c r="O119" s="212"/>
      <c r="P119" s="212"/>
      <c r="Q119" s="212"/>
      <c r="R119" s="212"/>
      <c r="S119" s="212"/>
      <c r="T119" s="212"/>
      <c r="U119" s="212"/>
      <c r="V119" s="212"/>
      <c r="W119" s="212"/>
      <c r="X119" s="212"/>
      <c r="Y119" s="212"/>
      <c r="Z119" s="212"/>
      <c r="AA119" s="212"/>
      <c r="AB119" s="212"/>
      <c r="AC119" s="212"/>
      <c r="AD119" s="212"/>
      <c r="AE119" s="212"/>
      <c r="AF119" s="212"/>
      <c r="AG119" s="212"/>
      <c r="AH119" s="212"/>
      <c r="AI119" s="212"/>
      <c r="AJ119" s="212"/>
      <c r="AK119" s="212"/>
      <c r="AL119" s="212"/>
      <c r="AM119" s="212"/>
      <c r="AN119" s="212"/>
      <c r="AO119" s="212"/>
      <c r="AP119" s="212"/>
      <c r="AQ119" s="212"/>
      <c r="AR119" s="212"/>
      <c r="AS119" s="212"/>
      <c r="AT119" s="212"/>
      <c r="AU119" s="212"/>
      <c r="AV119" s="212"/>
      <c r="AW119" s="212"/>
      <c r="AX119" s="212"/>
      <c r="AY119" s="212"/>
      <c r="AZ119" s="212"/>
      <c r="BA119" s="212"/>
      <c r="BB119" s="212"/>
      <c r="BC119" s="212"/>
      <c r="BD119" s="212"/>
      <c r="BE119" s="212"/>
      <c r="BF119" s="212"/>
      <c r="BG119" s="212"/>
      <c r="BH119" s="212"/>
      <c r="BI119" s="212"/>
      <c r="BJ119" s="212"/>
      <c r="BK119" s="212"/>
      <c r="BL119" s="212"/>
      <c r="BM119" s="212"/>
      <c r="BN119" s="212"/>
      <c r="BO119" s="212"/>
      <c r="BP119" s="212"/>
      <c r="BQ119" s="212"/>
      <c r="BR119" s="212"/>
      <c r="BS119" s="212"/>
      <c r="BT119" s="212"/>
      <c r="BU119" s="212"/>
      <c r="BV119" s="212"/>
      <c r="BW119" s="212"/>
      <c r="BX119" s="212"/>
      <c r="BY119" s="212"/>
      <c r="BZ119" s="204"/>
      <c r="CA119" s="204"/>
      <c r="CB119" s="204"/>
      <c r="CC119" s="200"/>
      <c r="CD119" s="202"/>
      <c r="CE119" s="201"/>
      <c r="CF119" s="200"/>
      <c r="CG119" s="202"/>
      <c r="CH119" s="201"/>
      <c r="CI119" s="201"/>
      <c r="CJ119" s="201"/>
      <c r="CK119" s="198">
        <f>TRUNC(AL119*CJ119)+0</f>
        <v>0</v>
      </c>
      <c r="CL119" s="200"/>
      <c r="CM119" s="199">
        <f>TRUNC(CL119*AK119,2)</f>
        <v>0</v>
      </c>
      <c r="CN119" s="198">
        <f>TRUNC(CM119*AL119)+0</f>
        <v>0</v>
      </c>
    </row>
    <row r="120" spans="1:92" ht="56">
      <c r="A120" s="208" t="s">
        <v>118</v>
      </c>
      <c r="B120" s="207">
        <v>101964</v>
      </c>
      <c r="C120" s="206" t="s">
        <v>117</v>
      </c>
      <c r="D120" s="212" t="s">
        <v>366</v>
      </c>
      <c r="E120" s="212"/>
      <c r="F120" s="212"/>
      <c r="G120" s="212"/>
      <c r="H120" s="212"/>
      <c r="I120" s="212"/>
      <c r="J120" s="212"/>
      <c r="K120" s="212"/>
      <c r="L120" s="212"/>
      <c r="M120" s="212"/>
      <c r="N120" s="212"/>
      <c r="O120" s="212"/>
      <c r="P120" s="212"/>
      <c r="Q120" s="212"/>
      <c r="R120" s="212"/>
      <c r="S120" s="212"/>
      <c r="T120" s="212"/>
      <c r="U120" s="212"/>
      <c r="V120" s="212"/>
      <c r="W120" s="212"/>
      <c r="X120" s="212"/>
      <c r="Y120" s="212"/>
      <c r="Z120" s="212"/>
      <c r="AA120" s="212"/>
      <c r="AB120" s="212"/>
      <c r="AC120" s="212"/>
      <c r="AD120" s="212"/>
      <c r="AE120" s="212"/>
      <c r="AF120" s="212"/>
      <c r="AG120" s="212"/>
      <c r="AH120" s="212"/>
      <c r="AI120" s="212"/>
      <c r="AJ120" s="212"/>
      <c r="AK120" s="212"/>
      <c r="AL120" s="212"/>
      <c r="AM120" s="212"/>
      <c r="AN120" s="212"/>
      <c r="AO120" s="212"/>
      <c r="AP120" s="212"/>
      <c r="AQ120" s="212"/>
      <c r="AR120" s="212"/>
      <c r="AS120" s="212"/>
      <c r="AT120" s="212"/>
      <c r="AU120" s="212"/>
      <c r="AV120" s="212"/>
      <c r="AW120" s="212"/>
      <c r="AX120" s="212"/>
      <c r="AY120" s="212"/>
      <c r="AZ120" s="212"/>
      <c r="BA120" s="212"/>
      <c r="BB120" s="212"/>
      <c r="BC120" s="212"/>
      <c r="BD120" s="212"/>
      <c r="BE120" s="212"/>
      <c r="BF120" s="212"/>
      <c r="BG120" s="212"/>
      <c r="BH120" s="212"/>
      <c r="BI120" s="212"/>
      <c r="BJ120" s="212"/>
      <c r="BK120" s="212"/>
      <c r="BL120" s="212"/>
      <c r="BM120" s="212"/>
      <c r="BN120" s="212"/>
      <c r="BO120" s="212"/>
      <c r="BP120" s="212"/>
      <c r="BQ120" s="212"/>
      <c r="BR120" s="212"/>
      <c r="BS120" s="212"/>
      <c r="BT120" s="212"/>
      <c r="BU120" s="212"/>
      <c r="BV120" s="212"/>
      <c r="BW120" s="212"/>
      <c r="BX120" s="212"/>
      <c r="BY120" s="212"/>
      <c r="BZ120" s="204"/>
      <c r="CA120" s="204"/>
      <c r="CB120" s="204"/>
      <c r="CC120" s="200"/>
      <c r="CD120" s="202"/>
      <c r="CE120" s="201"/>
      <c r="CF120" s="200"/>
      <c r="CG120" s="202"/>
      <c r="CH120" s="201"/>
      <c r="CI120" s="201"/>
      <c r="CJ120" s="201"/>
      <c r="CK120" s="198">
        <f>TRUNC(AL120*CJ120)+0</f>
        <v>0</v>
      </c>
      <c r="CL120" s="200"/>
      <c r="CM120" s="199">
        <f>TRUNC(CL120*AK120,2)</f>
        <v>0</v>
      </c>
      <c r="CN120" s="198">
        <f>TRUNC(CM120*AL120)+0</f>
        <v>0</v>
      </c>
    </row>
    <row r="121" spans="1:92" ht="28">
      <c r="A121" s="208" t="s">
        <v>116</v>
      </c>
      <c r="B121" s="207">
        <v>95545</v>
      </c>
      <c r="C121" s="206" t="s">
        <v>115</v>
      </c>
      <c r="D121" s="212"/>
      <c r="E121" s="212"/>
      <c r="F121" s="212"/>
      <c r="G121" s="212"/>
      <c r="H121" s="212"/>
      <c r="I121" s="212"/>
      <c r="J121" s="212"/>
      <c r="K121" s="212"/>
      <c r="L121" s="212"/>
      <c r="M121" s="212"/>
      <c r="N121" s="212"/>
      <c r="O121" s="212"/>
      <c r="P121" s="212"/>
      <c r="Q121" s="212"/>
      <c r="R121" s="212"/>
      <c r="S121" s="212"/>
      <c r="T121" s="212"/>
      <c r="U121" s="212"/>
      <c r="V121" s="212"/>
      <c r="W121" s="212"/>
      <c r="X121" s="212"/>
      <c r="Y121" s="212"/>
      <c r="Z121" s="212"/>
      <c r="AA121" s="212"/>
      <c r="AB121" s="212"/>
      <c r="AC121" s="212"/>
      <c r="AD121" s="212"/>
      <c r="AE121" s="212"/>
      <c r="AF121" s="212"/>
      <c r="AG121" s="212"/>
      <c r="AH121" s="212"/>
      <c r="AI121" s="212"/>
      <c r="AJ121" s="212"/>
      <c r="AK121" s="212"/>
      <c r="AL121" s="212"/>
      <c r="AM121" s="212"/>
      <c r="AN121" s="212"/>
      <c r="AO121" s="212"/>
      <c r="AP121" s="212"/>
      <c r="AQ121" s="212"/>
      <c r="AR121" s="212"/>
      <c r="AS121" s="212"/>
      <c r="AT121" s="212"/>
      <c r="AU121" s="212"/>
      <c r="AV121" s="212"/>
      <c r="AW121" s="212"/>
      <c r="AX121" s="212"/>
      <c r="AY121" s="212"/>
      <c r="AZ121" s="212"/>
      <c r="BA121" s="212"/>
      <c r="BB121" s="212"/>
      <c r="BC121" s="212"/>
      <c r="BD121" s="212"/>
      <c r="BE121" s="212"/>
      <c r="BF121" s="212"/>
      <c r="BG121" s="212"/>
      <c r="BH121" s="212"/>
      <c r="BI121" s="212"/>
      <c r="BJ121" s="212"/>
      <c r="BK121" s="212"/>
      <c r="BL121" s="212"/>
      <c r="BM121" s="212"/>
      <c r="BN121" s="212"/>
      <c r="BO121" s="212"/>
      <c r="BP121" s="212"/>
      <c r="BQ121" s="212"/>
      <c r="BR121" s="212"/>
      <c r="BS121" s="212"/>
      <c r="BT121" s="212"/>
      <c r="BU121" s="212"/>
      <c r="BV121" s="212"/>
      <c r="BW121" s="212"/>
      <c r="BX121" s="212"/>
      <c r="BY121" s="212"/>
      <c r="BZ121" s="204"/>
      <c r="CA121" s="204"/>
      <c r="CB121" s="204"/>
      <c r="CC121" s="200"/>
      <c r="CD121" s="202"/>
      <c r="CE121" s="201"/>
      <c r="CF121" s="200"/>
      <c r="CG121" s="202"/>
      <c r="CH121" s="201"/>
      <c r="CI121" s="201"/>
      <c r="CJ121" s="201"/>
      <c r="CK121" s="198">
        <f>TRUNC(AL121*CJ121)+0</f>
        <v>0</v>
      </c>
      <c r="CL121" s="200"/>
      <c r="CM121" s="199">
        <f>TRUNC(CL121*AK121,2)</f>
        <v>0</v>
      </c>
      <c r="CN121" s="198">
        <f>TRUNC(CM121*AL121)+0</f>
        <v>0</v>
      </c>
    </row>
    <row r="122" spans="1:92" ht="42">
      <c r="A122" s="208" t="s">
        <v>114</v>
      </c>
      <c r="B122" s="207">
        <v>95547</v>
      </c>
      <c r="C122" s="206" t="s">
        <v>113</v>
      </c>
      <c r="D122" s="212"/>
      <c r="E122" s="212"/>
      <c r="F122" s="212"/>
      <c r="G122" s="212"/>
      <c r="H122" s="212"/>
      <c r="I122" s="212"/>
      <c r="J122" s="212"/>
      <c r="K122" s="212"/>
      <c r="L122" s="212"/>
      <c r="M122" s="212"/>
      <c r="N122" s="212"/>
      <c r="O122" s="212"/>
      <c r="P122" s="212"/>
      <c r="Q122" s="212"/>
      <c r="R122" s="212"/>
      <c r="S122" s="212"/>
      <c r="T122" s="212"/>
      <c r="U122" s="212"/>
      <c r="V122" s="212"/>
      <c r="W122" s="212"/>
      <c r="X122" s="212"/>
      <c r="Y122" s="212"/>
      <c r="Z122" s="212"/>
      <c r="AA122" s="212"/>
      <c r="AB122" s="212"/>
      <c r="AC122" s="212"/>
      <c r="AD122" s="212"/>
      <c r="AE122" s="212"/>
      <c r="AF122" s="212"/>
      <c r="AG122" s="212"/>
      <c r="AH122" s="212"/>
      <c r="AI122" s="212"/>
      <c r="AJ122" s="212"/>
      <c r="AK122" s="212"/>
      <c r="AL122" s="212"/>
      <c r="AM122" s="212"/>
      <c r="AN122" s="212"/>
      <c r="AO122" s="212"/>
      <c r="AP122" s="212"/>
      <c r="AQ122" s="212"/>
      <c r="AR122" s="212"/>
      <c r="AS122" s="212"/>
      <c r="AT122" s="212"/>
      <c r="AU122" s="212"/>
      <c r="AV122" s="212"/>
      <c r="AW122" s="212"/>
      <c r="AX122" s="212"/>
      <c r="AY122" s="212"/>
      <c r="AZ122" s="212"/>
      <c r="BA122" s="212"/>
      <c r="BB122" s="212"/>
      <c r="BC122" s="212"/>
      <c r="BD122" s="212"/>
      <c r="BE122" s="212"/>
      <c r="BF122" s="212"/>
      <c r="BG122" s="212"/>
      <c r="BH122" s="212"/>
      <c r="BI122" s="212"/>
      <c r="BJ122" s="212"/>
      <c r="BK122" s="212"/>
      <c r="BL122" s="212"/>
      <c r="BM122" s="212"/>
      <c r="BN122" s="212"/>
      <c r="BO122" s="212"/>
      <c r="BP122" s="212"/>
      <c r="BQ122" s="212"/>
      <c r="BR122" s="212"/>
      <c r="BS122" s="212"/>
      <c r="BT122" s="212"/>
      <c r="BU122" s="212"/>
      <c r="BV122" s="212"/>
      <c r="BW122" s="212"/>
      <c r="BX122" s="212"/>
      <c r="BY122" s="212"/>
      <c r="BZ122" s="204"/>
      <c r="CA122" s="204"/>
      <c r="CB122" s="204"/>
      <c r="CC122" s="200"/>
      <c r="CD122" s="202"/>
      <c r="CE122" s="201"/>
      <c r="CF122" s="200"/>
      <c r="CG122" s="202"/>
      <c r="CH122" s="201"/>
      <c r="CI122" s="201"/>
      <c r="CJ122" s="201"/>
      <c r="CK122" s="198">
        <f>TRUNC(AL122*CJ122)+0</f>
        <v>0</v>
      </c>
      <c r="CL122" s="200"/>
      <c r="CM122" s="199">
        <f>TRUNC(CL122*AK122,2)</f>
        <v>0</v>
      </c>
      <c r="CN122" s="198">
        <f>TRUNC(CM122*AL122)+0</f>
        <v>0</v>
      </c>
    </row>
    <row r="123" spans="1:92" ht="42">
      <c r="A123" s="208" t="s">
        <v>112</v>
      </c>
      <c r="B123" s="207">
        <v>95547</v>
      </c>
      <c r="C123" s="206" t="s">
        <v>111</v>
      </c>
      <c r="D123" s="212"/>
      <c r="E123" s="212"/>
      <c r="F123" s="212"/>
      <c r="G123" s="212"/>
      <c r="H123" s="212"/>
      <c r="I123" s="212"/>
      <c r="J123" s="212"/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2"/>
      <c r="X123" s="212"/>
      <c r="Y123" s="212"/>
      <c r="Z123" s="212"/>
      <c r="AA123" s="212"/>
      <c r="AB123" s="212"/>
      <c r="AC123" s="212"/>
      <c r="AD123" s="212"/>
      <c r="AE123" s="212"/>
      <c r="AF123" s="212"/>
      <c r="AG123" s="212"/>
      <c r="AH123" s="212"/>
      <c r="AI123" s="212"/>
      <c r="AJ123" s="212"/>
      <c r="AK123" s="212"/>
      <c r="AL123" s="212"/>
      <c r="AM123" s="212"/>
      <c r="AN123" s="212"/>
      <c r="AO123" s="212"/>
      <c r="AP123" s="212"/>
      <c r="AQ123" s="212"/>
      <c r="AR123" s="212"/>
      <c r="AS123" s="212"/>
      <c r="AT123" s="212"/>
      <c r="AU123" s="212"/>
      <c r="AV123" s="212"/>
      <c r="AW123" s="212"/>
      <c r="AX123" s="212"/>
      <c r="AY123" s="212"/>
      <c r="AZ123" s="212"/>
      <c r="BA123" s="212"/>
      <c r="BB123" s="212"/>
      <c r="BC123" s="212"/>
      <c r="BD123" s="212"/>
      <c r="BE123" s="212"/>
      <c r="BF123" s="212"/>
      <c r="BG123" s="212"/>
      <c r="BH123" s="212"/>
      <c r="BI123" s="212"/>
      <c r="BJ123" s="212"/>
      <c r="BK123" s="212"/>
      <c r="BL123" s="212"/>
      <c r="BM123" s="212"/>
      <c r="BN123" s="212"/>
      <c r="BO123" s="212"/>
      <c r="BP123" s="212"/>
      <c r="BQ123" s="212"/>
      <c r="BR123" s="212"/>
      <c r="BS123" s="212"/>
      <c r="BT123" s="212"/>
      <c r="BU123" s="212"/>
      <c r="BV123" s="212"/>
      <c r="BW123" s="212"/>
      <c r="BX123" s="212"/>
      <c r="BY123" s="212"/>
      <c r="BZ123" s="204"/>
      <c r="CA123" s="204"/>
      <c r="CB123" s="204"/>
      <c r="CC123" s="200"/>
      <c r="CD123" s="202"/>
      <c r="CE123" s="201"/>
      <c r="CF123" s="200"/>
      <c r="CG123" s="202"/>
      <c r="CH123" s="201"/>
      <c r="CI123" s="201"/>
      <c r="CJ123" s="201"/>
      <c r="CK123" s="198">
        <f>TRUNC(AL123*CJ123)+0</f>
        <v>0</v>
      </c>
      <c r="CL123" s="200"/>
      <c r="CM123" s="199">
        <f>TRUNC(CL123*AK123,2)</f>
        <v>0</v>
      </c>
      <c r="CN123" s="198">
        <f>TRUNC(CM123*AL123)+0</f>
        <v>0</v>
      </c>
    </row>
    <row r="124" spans="1:92" ht="42">
      <c r="A124" s="208" t="s">
        <v>110</v>
      </c>
      <c r="B124" s="207">
        <v>90373</v>
      </c>
      <c r="C124" s="206" t="s">
        <v>109</v>
      </c>
      <c r="D124" s="212" t="s">
        <v>366</v>
      </c>
      <c r="E124" s="212"/>
      <c r="F124" s="212"/>
      <c r="G124" s="212"/>
      <c r="H124" s="212"/>
      <c r="I124" s="212"/>
      <c r="J124" s="212"/>
      <c r="K124" s="212"/>
      <c r="L124" s="212"/>
      <c r="M124" s="212"/>
      <c r="N124" s="212"/>
      <c r="O124" s="212"/>
      <c r="P124" s="212"/>
      <c r="Q124" s="212"/>
      <c r="R124" s="212"/>
      <c r="S124" s="212"/>
      <c r="T124" s="212"/>
      <c r="U124" s="212"/>
      <c r="V124" s="212"/>
      <c r="W124" s="212"/>
      <c r="X124" s="212"/>
      <c r="Y124" s="212"/>
      <c r="Z124" s="212"/>
      <c r="AA124" s="212"/>
      <c r="AB124" s="212"/>
      <c r="AC124" s="212"/>
      <c r="AD124" s="212"/>
      <c r="AE124" s="212"/>
      <c r="AF124" s="212"/>
      <c r="AG124" s="212"/>
      <c r="AH124" s="212"/>
      <c r="AI124" s="212"/>
      <c r="AJ124" s="212"/>
      <c r="AK124" s="212"/>
      <c r="AL124" s="212"/>
      <c r="AM124" s="212"/>
      <c r="AN124" s="212"/>
      <c r="AO124" s="212"/>
      <c r="AP124" s="212"/>
      <c r="AQ124" s="212"/>
      <c r="AR124" s="212"/>
      <c r="AS124" s="212"/>
      <c r="AT124" s="212"/>
      <c r="AU124" s="212"/>
      <c r="AV124" s="212"/>
      <c r="AW124" s="212"/>
      <c r="AX124" s="212"/>
      <c r="AY124" s="212"/>
      <c r="AZ124" s="212"/>
      <c r="BA124" s="212"/>
      <c r="BB124" s="212"/>
      <c r="BC124" s="212"/>
      <c r="BD124" s="212"/>
      <c r="BE124" s="212"/>
      <c r="BF124" s="212"/>
      <c r="BG124" s="212"/>
      <c r="BH124" s="212"/>
      <c r="BI124" s="212"/>
      <c r="BJ124" s="212"/>
      <c r="BK124" s="212"/>
      <c r="BL124" s="212"/>
      <c r="BM124" s="212"/>
      <c r="BN124" s="212"/>
      <c r="BO124" s="212"/>
      <c r="BP124" s="212"/>
      <c r="BQ124" s="212"/>
      <c r="BR124" s="212"/>
      <c r="BS124" s="212"/>
      <c r="BT124" s="212"/>
      <c r="BU124" s="212"/>
      <c r="BV124" s="212"/>
      <c r="BW124" s="212"/>
      <c r="BX124" s="212"/>
      <c r="BY124" s="212"/>
      <c r="BZ124" s="204"/>
      <c r="CA124" s="204"/>
      <c r="CB124" s="204"/>
      <c r="CC124" s="200"/>
      <c r="CD124" s="202"/>
      <c r="CE124" s="201"/>
      <c r="CF124" s="200"/>
      <c r="CG124" s="202"/>
      <c r="CH124" s="201"/>
      <c r="CI124" s="201"/>
      <c r="CJ124" s="201"/>
      <c r="CK124" s="198">
        <f>TRUNC(AL124*CJ124)+0</f>
        <v>0</v>
      </c>
      <c r="CL124" s="200"/>
      <c r="CM124" s="199">
        <f>TRUNC(CL124*AK124,2)</f>
        <v>0</v>
      </c>
      <c r="CN124" s="198">
        <f>TRUNC(CM124*AL124)+0</f>
        <v>0</v>
      </c>
    </row>
    <row r="125" spans="1:92" ht="42">
      <c r="A125" s="208" t="s">
        <v>108</v>
      </c>
      <c r="B125" s="207">
        <v>89985</v>
      </c>
      <c r="C125" s="206" t="s">
        <v>107</v>
      </c>
      <c r="D125" s="212" t="s">
        <v>366</v>
      </c>
      <c r="E125" s="212"/>
      <c r="F125" s="212"/>
      <c r="G125" s="212"/>
      <c r="H125" s="212"/>
      <c r="I125" s="212"/>
      <c r="J125" s="212"/>
      <c r="K125" s="212"/>
      <c r="L125" s="212"/>
      <c r="M125" s="212"/>
      <c r="N125" s="212"/>
      <c r="O125" s="212"/>
      <c r="P125" s="212"/>
      <c r="Q125" s="212"/>
      <c r="R125" s="212"/>
      <c r="S125" s="212"/>
      <c r="T125" s="212"/>
      <c r="U125" s="212"/>
      <c r="V125" s="212"/>
      <c r="W125" s="212"/>
      <c r="X125" s="212"/>
      <c r="Y125" s="212"/>
      <c r="Z125" s="212"/>
      <c r="AA125" s="212"/>
      <c r="AB125" s="212"/>
      <c r="AC125" s="212"/>
      <c r="AD125" s="212"/>
      <c r="AE125" s="212"/>
      <c r="AF125" s="212"/>
      <c r="AG125" s="212"/>
      <c r="AH125" s="212"/>
      <c r="AI125" s="212"/>
      <c r="AJ125" s="212"/>
      <c r="AK125" s="212"/>
      <c r="AL125" s="212"/>
      <c r="AM125" s="212"/>
      <c r="AN125" s="212"/>
      <c r="AO125" s="212"/>
      <c r="AP125" s="212"/>
      <c r="AQ125" s="212"/>
      <c r="AR125" s="212"/>
      <c r="AS125" s="212"/>
      <c r="AT125" s="212"/>
      <c r="AU125" s="212"/>
      <c r="AV125" s="212"/>
      <c r="AW125" s="212"/>
      <c r="AX125" s="212"/>
      <c r="AY125" s="212"/>
      <c r="AZ125" s="212"/>
      <c r="BA125" s="212"/>
      <c r="BB125" s="212"/>
      <c r="BC125" s="212"/>
      <c r="BD125" s="212"/>
      <c r="BE125" s="212"/>
      <c r="BF125" s="212"/>
      <c r="BG125" s="212"/>
      <c r="BH125" s="212"/>
      <c r="BI125" s="212"/>
      <c r="BJ125" s="212"/>
      <c r="BK125" s="212"/>
      <c r="BL125" s="212"/>
      <c r="BM125" s="212"/>
      <c r="BN125" s="212"/>
      <c r="BO125" s="212"/>
      <c r="BP125" s="212"/>
      <c r="BQ125" s="212"/>
      <c r="BR125" s="212"/>
      <c r="BS125" s="212"/>
      <c r="BT125" s="212"/>
      <c r="BU125" s="212"/>
      <c r="BV125" s="212"/>
      <c r="BW125" s="212"/>
      <c r="BX125" s="212"/>
      <c r="BY125" s="212"/>
      <c r="BZ125" s="204"/>
      <c r="CA125" s="204"/>
      <c r="CB125" s="204"/>
      <c r="CC125" s="200"/>
      <c r="CD125" s="202"/>
      <c r="CE125" s="201"/>
      <c r="CF125" s="200"/>
      <c r="CG125" s="202"/>
      <c r="CH125" s="201"/>
      <c r="CI125" s="201"/>
      <c r="CJ125" s="201"/>
      <c r="CK125" s="198">
        <f>TRUNC(AL125*CJ125)+0</f>
        <v>0</v>
      </c>
      <c r="CL125" s="200"/>
      <c r="CM125" s="199">
        <f>TRUNC(CL125*AK125,2)</f>
        <v>0</v>
      </c>
      <c r="CN125" s="198">
        <f>TRUNC(CM125*AL125)+0</f>
        <v>0</v>
      </c>
    </row>
    <row r="126" spans="1:92" ht="42">
      <c r="A126" s="208" t="s">
        <v>106</v>
      </c>
      <c r="B126" s="207">
        <v>86915</v>
      </c>
      <c r="C126" s="206" t="s">
        <v>105</v>
      </c>
      <c r="D126" s="212"/>
      <c r="E126" s="212"/>
      <c r="F126" s="212"/>
      <c r="G126" s="212"/>
      <c r="H126" s="212"/>
      <c r="I126" s="212"/>
      <c r="J126" s="212"/>
      <c r="K126" s="212"/>
      <c r="L126" s="212"/>
      <c r="M126" s="212"/>
      <c r="N126" s="212"/>
      <c r="O126" s="212"/>
      <c r="P126" s="212"/>
      <c r="Q126" s="212"/>
      <c r="R126" s="212"/>
      <c r="S126" s="212"/>
      <c r="T126" s="212"/>
      <c r="U126" s="212"/>
      <c r="V126" s="212"/>
      <c r="W126" s="212"/>
      <c r="X126" s="212"/>
      <c r="Y126" s="212"/>
      <c r="Z126" s="212"/>
      <c r="AA126" s="212"/>
      <c r="AB126" s="212"/>
      <c r="AC126" s="212"/>
      <c r="AD126" s="212"/>
      <c r="AE126" s="212"/>
      <c r="AF126" s="212"/>
      <c r="AG126" s="212"/>
      <c r="AH126" s="212"/>
      <c r="AI126" s="212"/>
      <c r="AJ126" s="212"/>
      <c r="AK126" s="212"/>
      <c r="AL126" s="212"/>
      <c r="AM126" s="212"/>
      <c r="AN126" s="212"/>
      <c r="AO126" s="212"/>
      <c r="AP126" s="212"/>
      <c r="AQ126" s="212"/>
      <c r="AR126" s="212"/>
      <c r="AS126" s="212"/>
      <c r="AT126" s="212"/>
      <c r="AU126" s="212"/>
      <c r="AV126" s="212"/>
      <c r="AW126" s="212"/>
      <c r="AX126" s="212"/>
      <c r="AY126" s="212"/>
      <c r="AZ126" s="212"/>
      <c r="BA126" s="212"/>
      <c r="BB126" s="212"/>
      <c r="BC126" s="212"/>
      <c r="BD126" s="212"/>
      <c r="BE126" s="212"/>
      <c r="BF126" s="212"/>
      <c r="BG126" s="212"/>
      <c r="BH126" s="212"/>
      <c r="BI126" s="212"/>
      <c r="BJ126" s="212"/>
      <c r="BK126" s="212"/>
      <c r="BL126" s="212"/>
      <c r="BM126" s="212"/>
      <c r="BN126" s="212"/>
      <c r="BO126" s="212"/>
      <c r="BP126" s="212"/>
      <c r="BQ126" s="212"/>
      <c r="BR126" s="212"/>
      <c r="BS126" s="212"/>
      <c r="BT126" s="212"/>
      <c r="BU126" s="212"/>
      <c r="BV126" s="212"/>
      <c r="BW126" s="212"/>
      <c r="BX126" s="212"/>
      <c r="BY126" s="212"/>
      <c r="BZ126" s="204"/>
      <c r="CA126" s="204"/>
      <c r="CB126" s="204"/>
      <c r="CC126" s="200"/>
      <c r="CD126" s="202"/>
      <c r="CE126" s="201"/>
      <c r="CF126" s="200"/>
      <c r="CG126" s="202"/>
      <c r="CH126" s="201"/>
      <c r="CI126" s="201"/>
      <c r="CJ126" s="201"/>
      <c r="CK126" s="198">
        <f>TRUNC(AL126*CJ126)+0</f>
        <v>0</v>
      </c>
      <c r="CL126" s="200"/>
      <c r="CM126" s="199">
        <f>TRUNC(CL126*AK126,2)</f>
        <v>0</v>
      </c>
      <c r="CN126" s="198">
        <f>TRUNC(CM126*AL126)+0</f>
        <v>0</v>
      </c>
    </row>
    <row r="127" spans="1:92" ht="42">
      <c r="A127" s="208" t="s">
        <v>104</v>
      </c>
      <c r="B127" s="207">
        <v>86911</v>
      </c>
      <c r="C127" s="206" t="s">
        <v>103</v>
      </c>
      <c r="D127" s="212"/>
      <c r="E127" s="212"/>
      <c r="F127" s="212"/>
      <c r="G127" s="212"/>
      <c r="H127" s="212"/>
      <c r="I127" s="212"/>
      <c r="J127" s="212"/>
      <c r="K127" s="212"/>
      <c r="L127" s="212"/>
      <c r="M127" s="212"/>
      <c r="N127" s="212"/>
      <c r="O127" s="212"/>
      <c r="P127" s="212"/>
      <c r="Q127" s="212"/>
      <c r="R127" s="212"/>
      <c r="S127" s="212"/>
      <c r="T127" s="212"/>
      <c r="U127" s="212"/>
      <c r="V127" s="212"/>
      <c r="W127" s="212"/>
      <c r="X127" s="212"/>
      <c r="Y127" s="212"/>
      <c r="Z127" s="212"/>
      <c r="AA127" s="212"/>
      <c r="AB127" s="212"/>
      <c r="AC127" s="212"/>
      <c r="AD127" s="212"/>
      <c r="AE127" s="212"/>
      <c r="AF127" s="212"/>
      <c r="AG127" s="212"/>
      <c r="AH127" s="212"/>
      <c r="AI127" s="212"/>
      <c r="AJ127" s="212"/>
      <c r="AK127" s="212"/>
      <c r="AL127" s="212"/>
      <c r="AM127" s="212"/>
      <c r="AN127" s="212"/>
      <c r="AO127" s="212"/>
      <c r="AP127" s="212"/>
      <c r="AQ127" s="212"/>
      <c r="AR127" s="212"/>
      <c r="AS127" s="212"/>
      <c r="AT127" s="212"/>
      <c r="AU127" s="212"/>
      <c r="AV127" s="212"/>
      <c r="AW127" s="212"/>
      <c r="AX127" s="212"/>
      <c r="AY127" s="212"/>
      <c r="AZ127" s="212"/>
      <c r="BA127" s="212"/>
      <c r="BB127" s="212"/>
      <c r="BC127" s="212"/>
      <c r="BD127" s="212"/>
      <c r="BE127" s="212"/>
      <c r="BF127" s="212"/>
      <c r="BG127" s="212"/>
      <c r="BH127" s="212"/>
      <c r="BI127" s="212"/>
      <c r="BJ127" s="212"/>
      <c r="BK127" s="212"/>
      <c r="BL127" s="212"/>
      <c r="BM127" s="212"/>
      <c r="BN127" s="212"/>
      <c r="BO127" s="212"/>
      <c r="BP127" s="212"/>
      <c r="BQ127" s="212"/>
      <c r="BR127" s="212"/>
      <c r="BS127" s="212"/>
      <c r="BT127" s="212"/>
      <c r="BU127" s="212"/>
      <c r="BV127" s="212"/>
      <c r="BW127" s="212"/>
      <c r="BX127" s="212"/>
      <c r="BY127" s="212"/>
      <c r="BZ127" s="204"/>
      <c r="CA127" s="204"/>
      <c r="CB127" s="204"/>
      <c r="CC127" s="200"/>
      <c r="CD127" s="202"/>
      <c r="CE127" s="201"/>
      <c r="CF127" s="200"/>
      <c r="CG127" s="202"/>
      <c r="CH127" s="201"/>
      <c r="CI127" s="201"/>
      <c r="CJ127" s="201"/>
      <c r="CK127" s="198">
        <f>TRUNC(AL127*CJ127)+0</f>
        <v>0</v>
      </c>
      <c r="CL127" s="200"/>
      <c r="CM127" s="199">
        <f>TRUNC(CL127*AK127,2)</f>
        <v>0</v>
      </c>
      <c r="CN127" s="198">
        <f>TRUNC(CM127*AL127)+0</f>
        <v>0</v>
      </c>
    </row>
    <row r="128" spans="1:92" ht="28">
      <c r="A128" s="208" t="s">
        <v>102</v>
      </c>
      <c r="B128" s="207">
        <v>94497</v>
      </c>
      <c r="C128" s="206" t="s">
        <v>101</v>
      </c>
      <c r="D128" s="212" t="s">
        <v>366</v>
      </c>
      <c r="E128" s="212"/>
      <c r="F128" s="212"/>
      <c r="G128" s="212"/>
      <c r="H128" s="212"/>
      <c r="I128" s="212"/>
      <c r="J128" s="212"/>
      <c r="K128" s="212"/>
      <c r="L128" s="212"/>
      <c r="M128" s="212"/>
      <c r="N128" s="212"/>
      <c r="O128" s="212"/>
      <c r="P128" s="212"/>
      <c r="Q128" s="212"/>
      <c r="R128" s="212"/>
      <c r="S128" s="212"/>
      <c r="T128" s="212"/>
      <c r="U128" s="212"/>
      <c r="V128" s="212"/>
      <c r="W128" s="212"/>
      <c r="X128" s="212"/>
      <c r="Y128" s="212"/>
      <c r="Z128" s="212"/>
      <c r="AA128" s="212"/>
      <c r="AB128" s="212"/>
      <c r="AC128" s="212"/>
      <c r="AD128" s="212"/>
      <c r="AE128" s="212"/>
      <c r="AF128" s="212"/>
      <c r="AG128" s="212"/>
      <c r="AH128" s="212"/>
      <c r="AI128" s="212"/>
      <c r="AJ128" s="212"/>
      <c r="AK128" s="212"/>
      <c r="AL128" s="212"/>
      <c r="AM128" s="212"/>
      <c r="AN128" s="212"/>
      <c r="AO128" s="212"/>
      <c r="AP128" s="212"/>
      <c r="AQ128" s="212"/>
      <c r="AR128" s="212"/>
      <c r="AS128" s="212"/>
      <c r="AT128" s="212"/>
      <c r="AU128" s="212"/>
      <c r="AV128" s="212"/>
      <c r="AW128" s="212"/>
      <c r="AX128" s="212"/>
      <c r="AY128" s="212"/>
      <c r="AZ128" s="212"/>
      <c r="BA128" s="212"/>
      <c r="BB128" s="212"/>
      <c r="BC128" s="212"/>
      <c r="BD128" s="212"/>
      <c r="BE128" s="212"/>
      <c r="BF128" s="212"/>
      <c r="BG128" s="212"/>
      <c r="BH128" s="212"/>
      <c r="BI128" s="212"/>
      <c r="BJ128" s="212"/>
      <c r="BK128" s="212"/>
      <c r="BL128" s="212"/>
      <c r="BM128" s="212"/>
      <c r="BN128" s="212"/>
      <c r="BO128" s="212"/>
      <c r="BP128" s="212"/>
      <c r="BQ128" s="212"/>
      <c r="BR128" s="212"/>
      <c r="BS128" s="212"/>
      <c r="BT128" s="212"/>
      <c r="BU128" s="212"/>
      <c r="BV128" s="212"/>
      <c r="BW128" s="212"/>
      <c r="BX128" s="212"/>
      <c r="BY128" s="212"/>
      <c r="BZ128" s="204"/>
      <c r="CA128" s="204"/>
      <c r="CB128" s="204"/>
      <c r="CC128" s="200"/>
      <c r="CD128" s="202"/>
      <c r="CE128" s="201"/>
      <c r="CF128" s="200"/>
      <c r="CG128" s="202"/>
      <c r="CH128" s="201"/>
      <c r="CI128" s="201"/>
      <c r="CJ128" s="201"/>
      <c r="CK128" s="198">
        <f>TRUNC(AL128*CJ128)+0</f>
        <v>0</v>
      </c>
      <c r="CL128" s="200"/>
      <c r="CM128" s="199">
        <f>TRUNC(CL128*AK128,2)</f>
        <v>0</v>
      </c>
      <c r="CN128" s="198">
        <f>TRUNC(CM128*AL128)+0</f>
        <v>0</v>
      </c>
    </row>
    <row r="129" spans="1:92" ht="28">
      <c r="A129" s="208" t="s">
        <v>100</v>
      </c>
      <c r="B129" s="207">
        <v>103039</v>
      </c>
      <c r="C129" s="206" t="s">
        <v>99</v>
      </c>
      <c r="D129" s="212" t="s">
        <v>366</v>
      </c>
      <c r="E129" s="212"/>
      <c r="F129" s="212"/>
      <c r="G129" s="212"/>
      <c r="H129" s="212"/>
      <c r="I129" s="212"/>
      <c r="J129" s="212"/>
      <c r="K129" s="212"/>
      <c r="L129" s="212"/>
      <c r="M129" s="212"/>
      <c r="N129" s="212"/>
      <c r="O129" s="212"/>
      <c r="P129" s="212"/>
      <c r="Q129" s="212"/>
      <c r="R129" s="212"/>
      <c r="S129" s="212"/>
      <c r="T129" s="212"/>
      <c r="U129" s="212"/>
      <c r="V129" s="212"/>
      <c r="W129" s="212"/>
      <c r="X129" s="212"/>
      <c r="Y129" s="212"/>
      <c r="Z129" s="212"/>
      <c r="AA129" s="212"/>
      <c r="AB129" s="212"/>
      <c r="AC129" s="212"/>
      <c r="AD129" s="212"/>
      <c r="AE129" s="212"/>
      <c r="AF129" s="212"/>
      <c r="AG129" s="212"/>
      <c r="AH129" s="212"/>
      <c r="AI129" s="212"/>
      <c r="AJ129" s="212"/>
      <c r="AK129" s="212"/>
      <c r="AL129" s="212"/>
      <c r="AM129" s="212"/>
      <c r="AN129" s="212"/>
      <c r="AO129" s="212"/>
      <c r="AP129" s="212"/>
      <c r="AQ129" s="212"/>
      <c r="AR129" s="212"/>
      <c r="AS129" s="212"/>
      <c r="AT129" s="212"/>
      <c r="AU129" s="212"/>
      <c r="AV129" s="212"/>
      <c r="AW129" s="212"/>
      <c r="AX129" s="212"/>
      <c r="AY129" s="212"/>
      <c r="AZ129" s="212"/>
      <c r="BA129" s="212"/>
      <c r="BB129" s="212"/>
      <c r="BC129" s="212"/>
      <c r="BD129" s="212"/>
      <c r="BE129" s="212"/>
      <c r="BF129" s="212"/>
      <c r="BG129" s="212"/>
      <c r="BH129" s="212"/>
      <c r="BI129" s="212"/>
      <c r="BJ129" s="212"/>
      <c r="BK129" s="212"/>
      <c r="BL129" s="212"/>
      <c r="BM129" s="212"/>
      <c r="BN129" s="212"/>
      <c r="BO129" s="212"/>
      <c r="BP129" s="212"/>
      <c r="BQ129" s="212"/>
      <c r="BR129" s="212"/>
      <c r="BS129" s="212"/>
      <c r="BT129" s="212"/>
      <c r="BU129" s="212"/>
      <c r="BV129" s="212"/>
      <c r="BW129" s="212"/>
      <c r="BX129" s="212"/>
      <c r="BY129" s="212"/>
      <c r="BZ129" s="204"/>
      <c r="CA129" s="204"/>
      <c r="CB129" s="204"/>
      <c r="CC129" s="200"/>
      <c r="CD129" s="202"/>
      <c r="CE129" s="201"/>
      <c r="CF129" s="200"/>
      <c r="CG129" s="202"/>
      <c r="CH129" s="201"/>
      <c r="CI129" s="201"/>
      <c r="CJ129" s="201"/>
      <c r="CK129" s="198">
        <f>TRUNC(AL129*CJ129)+0</f>
        <v>0</v>
      </c>
      <c r="CL129" s="200"/>
      <c r="CM129" s="199">
        <f>TRUNC(CL129*AK129,2)</f>
        <v>0</v>
      </c>
      <c r="CN129" s="198">
        <f>TRUNC(CM129*AL129)+0</f>
        <v>0</v>
      </c>
    </row>
    <row r="130" spans="1:92" ht="84">
      <c r="A130" s="208" t="s">
        <v>98</v>
      </c>
      <c r="B130" s="207">
        <v>94782</v>
      </c>
      <c r="C130" s="278" t="s">
        <v>97</v>
      </c>
      <c r="D130" s="212"/>
      <c r="E130" s="212"/>
      <c r="F130" s="212"/>
      <c r="G130" s="212"/>
      <c r="H130" s="212"/>
      <c r="I130" s="212"/>
      <c r="J130" s="212"/>
      <c r="K130" s="212"/>
      <c r="L130" s="212"/>
      <c r="M130" s="212"/>
      <c r="N130" s="212"/>
      <c r="O130" s="212"/>
      <c r="P130" s="212"/>
      <c r="Q130" s="212"/>
      <c r="R130" s="212"/>
      <c r="S130" s="212"/>
      <c r="T130" s="212"/>
      <c r="U130" s="212"/>
      <c r="V130" s="212"/>
      <c r="W130" s="212"/>
      <c r="X130" s="212"/>
      <c r="Y130" s="212"/>
      <c r="Z130" s="212"/>
      <c r="AA130" s="212"/>
      <c r="AB130" s="212"/>
      <c r="AC130" s="212"/>
      <c r="AD130" s="212"/>
      <c r="AE130" s="212"/>
      <c r="AF130" s="212"/>
      <c r="AG130" s="212"/>
      <c r="AH130" s="212"/>
      <c r="AI130" s="212"/>
      <c r="AJ130" s="212"/>
      <c r="AK130" s="212"/>
      <c r="AL130" s="212"/>
      <c r="AM130" s="212"/>
      <c r="AN130" s="212"/>
      <c r="AO130" s="212"/>
      <c r="AP130" s="212"/>
      <c r="AQ130" s="212"/>
      <c r="AR130" s="212"/>
      <c r="AS130" s="212"/>
      <c r="AT130" s="212"/>
      <c r="AU130" s="212"/>
      <c r="AV130" s="212"/>
      <c r="AW130" s="212"/>
      <c r="AX130" s="212"/>
      <c r="AY130" s="212"/>
      <c r="AZ130" s="212"/>
      <c r="BA130" s="212"/>
      <c r="BB130" s="212"/>
      <c r="BC130" s="212"/>
      <c r="BD130" s="212"/>
      <c r="BE130" s="212"/>
      <c r="BF130" s="212"/>
      <c r="BG130" s="212"/>
      <c r="BH130" s="212"/>
      <c r="BI130" s="212"/>
      <c r="BJ130" s="212"/>
      <c r="BK130" s="212"/>
      <c r="BL130" s="212"/>
      <c r="BM130" s="212"/>
      <c r="BN130" s="212"/>
      <c r="BO130" s="212"/>
      <c r="BP130" s="212"/>
      <c r="BQ130" s="212"/>
      <c r="BR130" s="212"/>
      <c r="BS130" s="212"/>
      <c r="BT130" s="212"/>
      <c r="BU130" s="212"/>
      <c r="BV130" s="212"/>
      <c r="BW130" s="212"/>
      <c r="BX130" s="212"/>
      <c r="BY130" s="212"/>
      <c r="BZ130" s="204"/>
      <c r="CA130" s="204"/>
      <c r="CB130" s="204"/>
      <c r="CC130" s="200"/>
      <c r="CD130" s="202"/>
      <c r="CE130" s="201"/>
      <c r="CF130" s="200"/>
      <c r="CG130" s="202"/>
      <c r="CH130" s="201"/>
      <c r="CI130" s="201"/>
      <c r="CJ130" s="201"/>
      <c r="CK130" s="198">
        <f>TRUNC(AL130*CJ130)+0</f>
        <v>0</v>
      </c>
      <c r="CL130" s="200"/>
      <c r="CM130" s="199">
        <f>TRUNC(CL130*AK130,2)</f>
        <v>0</v>
      </c>
      <c r="CN130" s="198">
        <f>TRUNC(CM130*AL130)+0</f>
        <v>0</v>
      </c>
    </row>
    <row r="131" spans="1:92" ht="28">
      <c r="A131" s="208" t="s">
        <v>96</v>
      </c>
      <c r="B131" s="207">
        <v>98557</v>
      </c>
      <c r="C131" s="206" t="s">
        <v>95</v>
      </c>
      <c r="D131" s="277"/>
      <c r="E131" s="277"/>
      <c r="F131" s="277"/>
      <c r="G131" s="277"/>
      <c r="H131" s="277"/>
      <c r="I131" s="277"/>
      <c r="J131" s="277"/>
      <c r="K131" s="277"/>
      <c r="L131" s="277"/>
      <c r="M131" s="277"/>
      <c r="N131" s="277"/>
      <c r="O131" s="277"/>
      <c r="P131" s="277"/>
      <c r="Q131" s="277"/>
      <c r="R131" s="277"/>
      <c r="S131" s="277"/>
      <c r="T131" s="277"/>
      <c r="U131" s="277"/>
      <c r="V131" s="277"/>
      <c r="W131" s="277"/>
      <c r="X131" s="277"/>
      <c r="Y131" s="277"/>
      <c r="Z131" s="277"/>
      <c r="AA131" s="277"/>
      <c r="AB131" s="277"/>
      <c r="AC131" s="277"/>
      <c r="AD131" s="277"/>
      <c r="AE131" s="277"/>
      <c r="AF131" s="277"/>
      <c r="AG131" s="277"/>
      <c r="AH131" s="277"/>
      <c r="AI131" s="277"/>
      <c r="AJ131" s="277"/>
      <c r="AK131" s="277"/>
      <c r="AL131" s="277"/>
      <c r="AM131" s="277"/>
      <c r="AN131" s="277"/>
      <c r="AO131" s="277"/>
      <c r="AP131" s="277"/>
      <c r="AQ131" s="277"/>
      <c r="AR131" s="277"/>
      <c r="AS131" s="277"/>
      <c r="AT131" s="277"/>
      <c r="AU131" s="277"/>
      <c r="AV131" s="277"/>
      <c r="AW131" s="277"/>
      <c r="AX131" s="277"/>
      <c r="AY131" s="277"/>
      <c r="AZ131" s="277"/>
      <c r="BA131" s="277"/>
      <c r="BB131" s="277"/>
      <c r="BC131" s="277"/>
      <c r="BD131" s="277"/>
      <c r="BE131" s="277"/>
      <c r="BF131" s="277"/>
      <c r="BG131" s="277"/>
      <c r="BH131" s="277"/>
      <c r="BI131" s="277"/>
      <c r="BJ131" s="277"/>
      <c r="BK131" s="277"/>
      <c r="BL131" s="277"/>
      <c r="BM131" s="277"/>
      <c r="BN131" s="277"/>
      <c r="BO131" s="277"/>
      <c r="BP131" s="277"/>
      <c r="BQ131" s="277"/>
      <c r="BR131" s="277"/>
      <c r="BS131" s="277"/>
      <c r="BT131" s="277"/>
      <c r="BU131" s="277"/>
      <c r="BV131" s="277"/>
      <c r="BW131" s="277"/>
      <c r="BX131" s="277"/>
      <c r="BY131" s="277"/>
      <c r="BZ131" s="204"/>
      <c r="CA131" s="204"/>
      <c r="CB131" s="204"/>
      <c r="CC131" s="200"/>
      <c r="CD131" s="202"/>
      <c r="CE131" s="201"/>
      <c r="CF131" s="200">
        <v>1</v>
      </c>
      <c r="CG131" s="202">
        <f>TRUNC(CF131*AK131,2)</f>
        <v>0</v>
      </c>
      <c r="CH131" s="201">
        <f>TRUNC(CG131*AL131)</f>
        <v>0</v>
      </c>
      <c r="CI131" s="201"/>
      <c r="CJ131" s="201"/>
      <c r="CK131" s="198">
        <f>TRUNC(AL131*CJ131)+0</f>
        <v>0</v>
      </c>
      <c r="CL131" s="200"/>
      <c r="CM131" s="199">
        <f>TRUNC(CL131*AK131,2)</f>
        <v>0</v>
      </c>
      <c r="CN131" s="198">
        <f>TRUNC(CM131*AL131)+0</f>
        <v>0</v>
      </c>
    </row>
    <row r="132" spans="1:92" ht="20.149999999999999" customHeight="1">
      <c r="A132" s="210">
        <v>8</v>
      </c>
      <c r="B132" s="209" t="s">
        <v>94</v>
      </c>
      <c r="C132" s="209"/>
      <c r="D132" s="209"/>
      <c r="E132" s="209"/>
      <c r="F132" s="209"/>
      <c r="G132" s="209"/>
      <c r="H132" s="209"/>
      <c r="I132" s="209"/>
      <c r="J132" s="209"/>
      <c r="K132" s="209"/>
      <c r="L132" s="209"/>
      <c r="M132" s="209"/>
      <c r="N132" s="209"/>
      <c r="O132" s="209"/>
      <c r="P132" s="209"/>
      <c r="Q132" s="209"/>
      <c r="R132" s="209"/>
      <c r="S132" s="209"/>
      <c r="T132" s="209"/>
      <c r="U132" s="209"/>
      <c r="V132" s="209"/>
      <c r="W132" s="209"/>
      <c r="X132" s="209"/>
      <c r="Y132" s="209"/>
      <c r="Z132" s="209"/>
      <c r="AA132" s="209"/>
      <c r="AB132" s="209"/>
      <c r="AC132" s="209"/>
      <c r="AD132" s="209"/>
      <c r="AE132" s="209"/>
      <c r="AF132" s="209"/>
      <c r="AG132" s="209"/>
      <c r="AH132" s="209"/>
      <c r="AI132" s="209"/>
      <c r="AJ132" s="209"/>
      <c r="AK132" s="209"/>
      <c r="AL132" s="209"/>
      <c r="AM132" s="209"/>
      <c r="AN132" s="209"/>
      <c r="AO132" s="209"/>
      <c r="AP132" s="209"/>
      <c r="AQ132" s="209"/>
      <c r="AR132" s="209"/>
      <c r="AS132" s="209"/>
      <c r="AT132" s="209"/>
      <c r="AU132" s="209"/>
      <c r="AV132" s="209"/>
      <c r="AW132" s="209"/>
      <c r="AX132" s="209"/>
      <c r="AY132" s="209"/>
      <c r="AZ132" s="209"/>
      <c r="BA132" s="209"/>
      <c r="BB132" s="209"/>
      <c r="BC132" s="209"/>
      <c r="BD132" s="209"/>
      <c r="BE132" s="209"/>
      <c r="BF132" s="209"/>
      <c r="BG132" s="209"/>
      <c r="BH132" s="209"/>
      <c r="BI132" s="209"/>
      <c r="BJ132" s="209"/>
      <c r="BK132" s="209"/>
      <c r="BL132" s="209"/>
      <c r="BM132" s="209"/>
      <c r="BN132" s="209"/>
      <c r="BO132" s="209"/>
      <c r="BP132" s="209"/>
      <c r="BQ132" s="209"/>
      <c r="BR132" s="209"/>
      <c r="BS132" s="209"/>
      <c r="BT132" s="209"/>
      <c r="BU132" s="209"/>
      <c r="BV132" s="209"/>
      <c r="BW132" s="209"/>
      <c r="BX132" s="209"/>
      <c r="BY132" s="209"/>
      <c r="BZ132" s="204"/>
      <c r="CA132" s="204"/>
      <c r="CB132" s="204"/>
      <c r="CC132" s="204"/>
      <c r="CD132" s="204"/>
      <c r="CE132" s="204"/>
      <c r="CF132" s="204"/>
      <c r="CG132" s="204"/>
      <c r="CH132" s="204"/>
      <c r="CI132" s="204"/>
      <c r="CJ132" s="204"/>
      <c r="CK132" s="204"/>
      <c r="CL132" s="204"/>
      <c r="CM132" s="204"/>
      <c r="CN132" s="204"/>
    </row>
    <row r="133" spans="1:92" ht="28">
      <c r="A133" s="208" t="s">
        <v>93</v>
      </c>
      <c r="B133" s="207">
        <v>98135</v>
      </c>
      <c r="C133" s="206" t="s">
        <v>92</v>
      </c>
      <c r="D133" s="205"/>
      <c r="E133" s="205"/>
      <c r="F133" s="205"/>
      <c r="G133" s="205"/>
      <c r="H133" s="205"/>
      <c r="I133" s="205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  <c r="U133" s="205"/>
      <c r="V133" s="205"/>
      <c r="W133" s="205"/>
      <c r="X133" s="205"/>
      <c r="Y133" s="205"/>
      <c r="Z133" s="205"/>
      <c r="AA133" s="205"/>
      <c r="AB133" s="205"/>
      <c r="AC133" s="205"/>
      <c r="AD133" s="205"/>
      <c r="AE133" s="205"/>
      <c r="AF133" s="205"/>
      <c r="AG133" s="205"/>
      <c r="AH133" s="205"/>
      <c r="AI133" s="205"/>
      <c r="AJ133" s="205"/>
      <c r="AK133" s="205"/>
      <c r="AL133" s="205"/>
      <c r="AM133" s="205"/>
      <c r="AN133" s="205"/>
      <c r="AO133" s="205"/>
      <c r="AP133" s="205"/>
      <c r="AQ133" s="205"/>
      <c r="AR133" s="205"/>
      <c r="AS133" s="205"/>
      <c r="AT133" s="205"/>
      <c r="AU133" s="205"/>
      <c r="AV133" s="205"/>
      <c r="AW133" s="205"/>
      <c r="AX133" s="205"/>
      <c r="AY133" s="205"/>
      <c r="AZ133" s="205"/>
      <c r="BA133" s="205"/>
      <c r="BB133" s="205"/>
      <c r="BC133" s="205"/>
      <c r="BD133" s="205"/>
      <c r="BE133" s="205"/>
      <c r="BF133" s="205"/>
      <c r="BG133" s="205"/>
      <c r="BH133" s="205"/>
      <c r="BI133" s="205"/>
      <c r="BJ133" s="205"/>
      <c r="BK133" s="205"/>
      <c r="BL133" s="205"/>
      <c r="BM133" s="205"/>
      <c r="BN133" s="205"/>
      <c r="BO133" s="205"/>
      <c r="BP133" s="205"/>
      <c r="BQ133" s="205"/>
      <c r="BR133" s="205"/>
      <c r="BS133" s="205"/>
      <c r="BT133" s="205"/>
      <c r="BU133" s="205"/>
      <c r="BV133" s="205"/>
      <c r="BW133" s="205"/>
      <c r="BX133" s="205"/>
      <c r="BY133" s="205"/>
      <c r="BZ133" s="204"/>
      <c r="CA133" s="204"/>
      <c r="CB133" s="204"/>
      <c r="CC133" s="200"/>
      <c r="CD133" s="202"/>
      <c r="CE133" s="201"/>
      <c r="CF133" s="200"/>
      <c r="CG133" s="202"/>
      <c r="CH133" s="201"/>
      <c r="CI133" s="201"/>
      <c r="CJ133" s="201"/>
      <c r="CK133" s="198">
        <f>TRUNC(AL133*CJ133)+0</f>
        <v>0</v>
      </c>
      <c r="CL133" s="200"/>
      <c r="CM133" s="199">
        <f>TRUNC(CL133*AK133,2)</f>
        <v>0</v>
      </c>
      <c r="CN133" s="198">
        <f>TRUNC(CM133*AL133)+0</f>
        <v>0</v>
      </c>
    </row>
    <row r="134" spans="1:92">
      <c r="A134" s="208"/>
      <c r="B134" s="207"/>
      <c r="C134" s="250" t="s">
        <v>351</v>
      </c>
      <c r="D134" s="214">
        <v>4.51</v>
      </c>
      <c r="E134" s="214" t="s">
        <v>338</v>
      </c>
      <c r="F134" s="214">
        <v>5.3</v>
      </c>
      <c r="G134" s="266" t="s">
        <v>310</v>
      </c>
      <c r="H134" s="214">
        <v>11</v>
      </c>
      <c r="I134" s="214" t="s">
        <v>338</v>
      </c>
      <c r="J134" s="214">
        <v>0.6</v>
      </c>
      <c r="K134" s="214" t="s">
        <v>310</v>
      </c>
      <c r="L134" s="214">
        <v>11</v>
      </c>
      <c r="M134" s="214" t="s">
        <v>338</v>
      </c>
      <c r="N134" s="214">
        <v>0.6</v>
      </c>
      <c r="O134" s="214" t="s">
        <v>310</v>
      </c>
      <c r="P134" s="214">
        <v>5.45</v>
      </c>
      <c r="Q134" s="214" t="s">
        <v>338</v>
      </c>
      <c r="R134" s="214">
        <v>0.6</v>
      </c>
      <c r="S134" s="214" t="s">
        <v>310</v>
      </c>
      <c r="T134" s="214">
        <v>5.45</v>
      </c>
      <c r="U134" s="214" t="s">
        <v>338</v>
      </c>
      <c r="V134" s="214">
        <v>0.6</v>
      </c>
      <c r="W134" s="214" t="s">
        <v>310</v>
      </c>
      <c r="X134" s="214">
        <v>6.6</v>
      </c>
      <c r="Y134" s="214" t="s">
        <v>338</v>
      </c>
      <c r="Z134" s="214">
        <v>0.6</v>
      </c>
      <c r="AA134" s="214" t="s">
        <v>310</v>
      </c>
      <c r="AB134" s="214">
        <v>6.6</v>
      </c>
      <c r="AC134" s="214" t="s">
        <v>338</v>
      </c>
      <c r="AD134" s="214">
        <v>0.6</v>
      </c>
      <c r="AE134" s="214" t="s">
        <v>310</v>
      </c>
      <c r="AF134" s="214">
        <v>0.3</v>
      </c>
      <c r="AG134" s="214" t="s">
        <v>338</v>
      </c>
      <c r="AH134" s="214">
        <v>0.6</v>
      </c>
      <c r="AI134" s="214" t="s">
        <v>310</v>
      </c>
      <c r="AJ134" s="214">
        <v>0.3</v>
      </c>
      <c r="AK134" s="214" t="s">
        <v>338</v>
      </c>
      <c r="AL134" s="214">
        <v>0.6</v>
      </c>
      <c r="AM134" s="214" t="s">
        <v>310</v>
      </c>
      <c r="AN134" s="214">
        <v>5.75</v>
      </c>
      <c r="AO134" s="214" t="s">
        <v>338</v>
      </c>
      <c r="AP134" s="214">
        <v>5.3</v>
      </c>
      <c r="AQ134" s="214" t="s">
        <v>310</v>
      </c>
      <c r="AR134" s="214">
        <v>0.9</v>
      </c>
      <c r="AS134" s="214" t="s">
        <v>338</v>
      </c>
      <c r="AT134" s="214">
        <v>4.4000000000000004</v>
      </c>
      <c r="AU134" s="214" t="s">
        <v>310</v>
      </c>
      <c r="AV134" s="214">
        <v>1.45</v>
      </c>
      <c r="AW134" s="214" t="s">
        <v>338</v>
      </c>
      <c r="AX134" s="214">
        <v>4.4000000000000004</v>
      </c>
      <c r="AY134" s="214" t="s">
        <v>310</v>
      </c>
      <c r="AZ134" s="214">
        <v>5.25</v>
      </c>
      <c r="BA134" s="214" t="s">
        <v>338</v>
      </c>
      <c r="BB134" s="214">
        <v>4.4000000000000004</v>
      </c>
      <c r="BC134" s="214" t="s">
        <v>310</v>
      </c>
      <c r="BD134" s="214">
        <v>1.45</v>
      </c>
      <c r="BE134" s="214" t="s">
        <v>338</v>
      </c>
      <c r="BF134" s="214">
        <v>4.4000000000000004</v>
      </c>
      <c r="BG134" s="214" t="s">
        <v>310</v>
      </c>
      <c r="BH134" s="214">
        <v>2.0499999999999998</v>
      </c>
      <c r="BI134" s="214" t="s">
        <v>338</v>
      </c>
      <c r="BJ134" s="214">
        <v>4.4000000000000004</v>
      </c>
      <c r="BK134" s="214" t="s">
        <v>310</v>
      </c>
      <c r="BL134" s="214">
        <v>1.45</v>
      </c>
      <c r="BM134" s="214" t="s">
        <v>338</v>
      </c>
      <c r="BN134" s="214">
        <v>4.4000000000000004</v>
      </c>
      <c r="BO134" s="214" t="s">
        <v>310</v>
      </c>
      <c r="BP134" s="214">
        <v>5.25</v>
      </c>
      <c r="BQ134" s="214" t="s">
        <v>338</v>
      </c>
      <c r="BR134" s="214">
        <v>4.4000000000000004</v>
      </c>
      <c r="BS134" s="214" t="s">
        <v>310</v>
      </c>
      <c r="BT134" s="214">
        <v>7.12</v>
      </c>
      <c r="BU134" s="214" t="s">
        <v>338</v>
      </c>
      <c r="BV134" s="214">
        <v>2.1</v>
      </c>
      <c r="BW134" s="214"/>
      <c r="BX134" s="214" t="s">
        <v>10</v>
      </c>
      <c r="BY134" s="214">
        <f>D134*F134+H134*J134+L134*N134+P134*R134+T134*V134+X134*Z134+AB134*AD134+AF134*AH134+AJ134*AL134+AN134*AP134+AR134*AT134+AV134*AX134+AZ134*BB134+BD134*BF134+BH134*BJ134+BL134*BN134+BP134*BR134+BT134*BV134</f>
        <v>175.67</v>
      </c>
      <c r="BZ134" s="204"/>
      <c r="CA134" s="204"/>
      <c r="CB134" s="204"/>
      <c r="CC134" s="200"/>
      <c r="CD134" s="202"/>
      <c r="CE134" s="201"/>
      <c r="CF134" s="200"/>
      <c r="CG134" s="202"/>
      <c r="CH134" s="201"/>
      <c r="CI134" s="201"/>
      <c r="CJ134" s="201"/>
      <c r="CK134" s="198"/>
      <c r="CL134" s="200"/>
      <c r="CM134" s="199"/>
      <c r="CN134" s="198"/>
    </row>
    <row r="135" spans="1:92">
      <c r="A135" s="208"/>
      <c r="B135" s="207"/>
      <c r="C135" s="250" t="s">
        <v>350</v>
      </c>
      <c r="D135" s="214">
        <v>5.0999999999999996</v>
      </c>
      <c r="E135" s="214" t="s">
        <v>338</v>
      </c>
      <c r="F135" s="214">
        <v>5.3</v>
      </c>
      <c r="G135" s="214" t="s">
        <v>310</v>
      </c>
      <c r="H135" s="214">
        <v>7.05</v>
      </c>
      <c r="I135" s="214" t="s">
        <v>338</v>
      </c>
      <c r="J135" s="214">
        <v>5.3</v>
      </c>
      <c r="K135" s="214" t="s">
        <v>310</v>
      </c>
      <c r="L135" s="214">
        <v>5.85</v>
      </c>
      <c r="M135" s="214" t="s">
        <v>338</v>
      </c>
      <c r="N135" s="214">
        <v>0.6</v>
      </c>
      <c r="O135" s="214" t="s">
        <v>310</v>
      </c>
      <c r="P135" s="214">
        <v>5.85</v>
      </c>
      <c r="Q135" s="214" t="s">
        <v>338</v>
      </c>
      <c r="R135" s="214">
        <v>1.6</v>
      </c>
      <c r="S135" s="214"/>
      <c r="T135" s="214"/>
      <c r="U135" s="214"/>
      <c r="V135" s="214"/>
      <c r="W135" s="214"/>
      <c r="X135" s="214"/>
      <c r="Y135" s="214"/>
      <c r="Z135" s="214"/>
      <c r="AA135" s="214"/>
      <c r="AB135" s="214"/>
      <c r="AC135" s="214"/>
      <c r="AD135" s="214"/>
      <c r="AE135" s="214"/>
      <c r="AF135" s="214"/>
      <c r="AG135" s="214"/>
      <c r="AH135" s="214"/>
      <c r="AI135" s="214"/>
      <c r="AJ135" s="214"/>
      <c r="AK135" s="214"/>
      <c r="AL135" s="214"/>
      <c r="AM135" s="214"/>
      <c r="AN135" s="214"/>
      <c r="AO135" s="214"/>
      <c r="AP135" s="214"/>
      <c r="AQ135" s="214"/>
      <c r="AR135" s="214"/>
      <c r="AS135" s="214"/>
      <c r="AT135" s="214"/>
      <c r="AU135" s="214"/>
      <c r="AV135" s="214"/>
      <c r="AW135" s="214"/>
      <c r="AX135" s="214"/>
      <c r="AY135" s="214"/>
      <c r="AZ135" s="214"/>
      <c r="BA135" s="214"/>
      <c r="BB135" s="214"/>
      <c r="BC135" s="214"/>
      <c r="BD135" s="214"/>
      <c r="BE135" s="214"/>
      <c r="BF135" s="214"/>
      <c r="BG135" s="214"/>
      <c r="BH135" s="214"/>
      <c r="BI135" s="214"/>
      <c r="BJ135" s="214"/>
      <c r="BK135" s="214"/>
      <c r="BL135" s="214"/>
      <c r="BM135" s="214"/>
      <c r="BN135" s="214"/>
      <c r="BO135" s="214"/>
      <c r="BP135" s="214"/>
      <c r="BQ135" s="214"/>
      <c r="BR135" s="214"/>
      <c r="BS135" s="214"/>
      <c r="BT135" s="214"/>
      <c r="BU135" s="214"/>
      <c r="BV135" s="214"/>
      <c r="BW135" s="214"/>
      <c r="BX135" s="214" t="s">
        <v>10</v>
      </c>
      <c r="BY135" s="214">
        <f>D135*F135+H135*J135+L135*N135+P135*R135+T135*V135+X135*Z135+AB135*AD135+AF135*AH135+AJ135*AL135+AN135*AP135+AR135*AT135+AV135*AX135+AZ135*BB135+BD135*BF135+BH135*BJ135+BL135*BN135+BP135*BR135+BT135*BV135</f>
        <v>77.265000000000001</v>
      </c>
      <c r="BZ135" s="204"/>
      <c r="CA135" s="204"/>
      <c r="CB135" s="204"/>
      <c r="CC135" s="200"/>
      <c r="CD135" s="202"/>
      <c r="CE135" s="201"/>
      <c r="CF135" s="200"/>
      <c r="CG135" s="202"/>
      <c r="CH135" s="201"/>
      <c r="CI135" s="201"/>
      <c r="CJ135" s="201"/>
      <c r="CK135" s="198"/>
      <c r="CL135" s="200"/>
      <c r="CM135" s="199"/>
      <c r="CN135" s="198"/>
    </row>
    <row r="136" spans="1:92">
      <c r="A136" s="208"/>
      <c r="B136" s="207"/>
      <c r="C136" s="250" t="s">
        <v>349</v>
      </c>
      <c r="D136" s="214">
        <v>1.3</v>
      </c>
      <c r="E136" s="214" t="s">
        <v>338</v>
      </c>
      <c r="F136" s="214">
        <v>4.4000000000000004</v>
      </c>
      <c r="G136" s="214" t="s">
        <v>310</v>
      </c>
      <c r="H136" s="214">
        <v>1.1000000000000001</v>
      </c>
      <c r="I136" s="214" t="s">
        <v>338</v>
      </c>
      <c r="J136" s="214">
        <v>4.4000000000000004</v>
      </c>
      <c r="K136" s="214" t="s">
        <v>310</v>
      </c>
      <c r="L136" s="214">
        <v>9.9</v>
      </c>
      <c r="M136" s="214" t="s">
        <v>338</v>
      </c>
      <c r="N136" s="214">
        <v>4.4000000000000004</v>
      </c>
      <c r="O136" s="214" t="s">
        <v>310</v>
      </c>
      <c r="P136" s="214">
        <v>1.1000000000000001</v>
      </c>
      <c r="Q136" s="214" t="s">
        <v>338</v>
      </c>
      <c r="R136" s="214">
        <v>4.4000000000000004</v>
      </c>
      <c r="S136" s="214" t="s">
        <v>310</v>
      </c>
      <c r="T136" s="214">
        <v>1.45</v>
      </c>
      <c r="U136" s="214" t="s">
        <v>338</v>
      </c>
      <c r="V136" s="214">
        <v>4.4000000000000004</v>
      </c>
      <c r="W136" s="214" t="s">
        <v>310</v>
      </c>
      <c r="X136" s="214">
        <v>14.11</v>
      </c>
      <c r="Y136" s="214" t="s">
        <v>338</v>
      </c>
      <c r="Z136" s="214">
        <v>2.2000000000000002</v>
      </c>
      <c r="AA136" s="214" t="s">
        <v>310</v>
      </c>
      <c r="AB136" s="214">
        <v>14.11</v>
      </c>
      <c r="AC136" s="214" t="s">
        <v>338</v>
      </c>
      <c r="AD136" s="214">
        <v>2.2000000000000002</v>
      </c>
      <c r="AE136" s="214"/>
      <c r="AF136" s="214"/>
      <c r="AG136" s="214"/>
      <c r="AH136" s="214"/>
      <c r="AI136" s="214"/>
      <c r="AJ136" s="214"/>
      <c r="AK136" s="214"/>
      <c r="AL136" s="214"/>
      <c r="AM136" s="214"/>
      <c r="AN136" s="214"/>
      <c r="AO136" s="214"/>
      <c r="AP136" s="214"/>
      <c r="AQ136" s="214"/>
      <c r="AR136" s="214"/>
      <c r="AS136" s="214"/>
      <c r="AT136" s="214"/>
      <c r="AU136" s="214"/>
      <c r="AV136" s="214"/>
      <c r="AW136" s="214"/>
      <c r="AX136" s="214"/>
      <c r="AY136" s="214"/>
      <c r="AZ136" s="214"/>
      <c r="BA136" s="214"/>
      <c r="BB136" s="214"/>
      <c r="BC136" s="214"/>
      <c r="BD136" s="214"/>
      <c r="BE136" s="214"/>
      <c r="BF136" s="214"/>
      <c r="BG136" s="214"/>
      <c r="BH136" s="214"/>
      <c r="BI136" s="214"/>
      <c r="BJ136" s="214"/>
      <c r="BK136" s="214"/>
      <c r="BL136" s="214"/>
      <c r="BM136" s="214"/>
      <c r="BN136" s="214"/>
      <c r="BO136" s="214"/>
      <c r="BP136" s="214"/>
      <c r="BQ136" s="214"/>
      <c r="BR136" s="214"/>
      <c r="BS136" s="214"/>
      <c r="BT136" s="214"/>
      <c r="BU136" s="214"/>
      <c r="BV136" s="214"/>
      <c r="BW136" s="214"/>
      <c r="BX136" s="214" t="s">
        <v>10</v>
      </c>
      <c r="BY136" s="214">
        <f>D136*F136+H136*J136+L136*N136+P136*R136+T136*V136+X136*Z136+AB136*AD136+AF136*AH136+AJ136*AL136+AN136*AP136+AR136*AT136+AV136*AX136+AZ136*BB136+BD136*BF136+BH136*BJ136+BL136*BN136+BP136*BR136+BT136*BV136</f>
        <v>127.42400000000001</v>
      </c>
      <c r="BZ136" s="204"/>
      <c r="CA136" s="204"/>
      <c r="CB136" s="204"/>
      <c r="CC136" s="200"/>
      <c r="CD136" s="202"/>
      <c r="CE136" s="201"/>
      <c r="CF136" s="200"/>
      <c r="CG136" s="202"/>
      <c r="CH136" s="201"/>
      <c r="CI136" s="201"/>
      <c r="CJ136" s="201"/>
      <c r="CK136" s="198"/>
      <c r="CL136" s="200"/>
      <c r="CM136" s="199"/>
      <c r="CN136" s="198"/>
    </row>
    <row r="137" spans="1:92">
      <c r="A137" s="208"/>
      <c r="B137" s="207"/>
      <c r="C137" s="250" t="s">
        <v>348</v>
      </c>
      <c r="D137" s="214">
        <v>7.91</v>
      </c>
      <c r="E137" s="214" t="s">
        <v>338</v>
      </c>
      <c r="F137" s="214">
        <v>5.3</v>
      </c>
      <c r="G137" s="214" t="s">
        <v>310</v>
      </c>
      <c r="H137" s="214">
        <v>3.21</v>
      </c>
      <c r="I137" s="214" t="s">
        <v>338</v>
      </c>
      <c r="J137" s="214">
        <v>5.3</v>
      </c>
      <c r="K137" s="214" t="s">
        <v>310</v>
      </c>
      <c r="L137" s="214">
        <v>4.6500000000000004</v>
      </c>
      <c r="M137" s="214" t="s">
        <v>338</v>
      </c>
      <c r="N137" s="214">
        <v>5.3</v>
      </c>
      <c r="O137" s="214" t="s">
        <v>310</v>
      </c>
      <c r="P137" s="214">
        <v>6.35</v>
      </c>
      <c r="Q137" s="214" t="s">
        <v>338</v>
      </c>
      <c r="R137" s="214">
        <v>4.4000000000000004</v>
      </c>
      <c r="S137" s="214" t="s">
        <v>310</v>
      </c>
      <c r="T137" s="214">
        <v>1.45</v>
      </c>
      <c r="U137" s="214" t="s">
        <v>338</v>
      </c>
      <c r="V137" s="214">
        <v>4.4000000000000004</v>
      </c>
      <c r="W137" s="214" t="s">
        <v>310</v>
      </c>
      <c r="X137" s="214">
        <v>2.0499999999999998</v>
      </c>
      <c r="Y137" s="214" t="s">
        <v>338</v>
      </c>
      <c r="Z137" s="214">
        <v>4.4000000000000004</v>
      </c>
      <c r="AA137" s="214" t="s">
        <v>310</v>
      </c>
      <c r="AB137" s="214">
        <v>1.45</v>
      </c>
      <c r="AC137" s="214" t="s">
        <v>338</v>
      </c>
      <c r="AD137" s="214">
        <v>4.4000000000000004</v>
      </c>
      <c r="AE137" s="214" t="s">
        <v>310</v>
      </c>
      <c r="AF137" s="214">
        <v>5.25</v>
      </c>
      <c r="AG137" s="214" t="s">
        <v>338</v>
      </c>
      <c r="AH137" s="214">
        <v>4.4000000000000004</v>
      </c>
      <c r="AI137" s="214" t="s">
        <v>310</v>
      </c>
      <c r="AJ137" s="214">
        <v>33.549999999999997</v>
      </c>
      <c r="AK137" s="214" t="s">
        <v>338</v>
      </c>
      <c r="AL137" s="214">
        <v>2.1</v>
      </c>
      <c r="AM137" s="214" t="s">
        <v>310</v>
      </c>
      <c r="AN137" s="214">
        <v>33.549999999999997</v>
      </c>
      <c r="AO137" s="214" t="s">
        <v>338</v>
      </c>
      <c r="AP137" s="214">
        <v>2.1</v>
      </c>
      <c r="AQ137" s="214"/>
      <c r="AR137" s="214"/>
      <c r="AS137" s="214"/>
      <c r="AT137" s="214"/>
      <c r="AU137" s="214"/>
      <c r="AV137" s="214"/>
      <c r="AW137" s="214"/>
      <c r="AX137" s="214"/>
      <c r="AY137" s="214"/>
      <c r="AZ137" s="214"/>
      <c r="BA137" s="214"/>
      <c r="BB137" s="214"/>
      <c r="BC137" s="214"/>
      <c r="BD137" s="214"/>
      <c r="BE137" s="214"/>
      <c r="BF137" s="214"/>
      <c r="BG137" s="214"/>
      <c r="BH137" s="214"/>
      <c r="BI137" s="214"/>
      <c r="BJ137" s="214"/>
      <c r="BK137" s="214"/>
      <c r="BL137" s="214"/>
      <c r="BM137" s="214"/>
      <c r="BN137" s="214"/>
      <c r="BO137" s="214"/>
      <c r="BP137" s="214"/>
      <c r="BQ137" s="214"/>
      <c r="BR137" s="214"/>
      <c r="BS137" s="214"/>
      <c r="BT137" s="214"/>
      <c r="BU137" s="214"/>
      <c r="BV137" s="214"/>
      <c r="BW137" s="214"/>
      <c r="BX137" s="214" t="s">
        <v>10</v>
      </c>
      <c r="BY137" s="214">
        <f>D137*F137+H137*J137+L137*N137+P137*R137+T137*V137+X137*Z137+AB137*AD137+AF137*AH137+AJ137*AL137+AN137*AP137+AR137*AT137+AV137*AX137+AZ137*BB137+BD137*BF137+BH137*BJ137+BL137*BN137+BP137*BR137+BT137*BV137</f>
        <v>297.31099999999998</v>
      </c>
      <c r="BZ137" s="204"/>
      <c r="CA137" s="204"/>
      <c r="CB137" s="204"/>
      <c r="CC137" s="200"/>
      <c r="CD137" s="202"/>
      <c r="CE137" s="201"/>
      <c r="CF137" s="200"/>
      <c r="CG137" s="202"/>
      <c r="CH137" s="201"/>
      <c r="CI137" s="201"/>
      <c r="CJ137" s="201"/>
      <c r="CK137" s="198"/>
      <c r="CL137" s="200"/>
      <c r="CM137" s="199"/>
      <c r="CN137" s="198"/>
    </row>
    <row r="138" spans="1:92">
      <c r="A138" s="208"/>
      <c r="B138" s="207"/>
      <c r="C138" s="250"/>
      <c r="D138" s="257" t="s">
        <v>347</v>
      </c>
      <c r="E138" s="256"/>
      <c r="F138" s="256"/>
      <c r="G138" s="256"/>
      <c r="H138" s="256"/>
      <c r="I138" s="256"/>
      <c r="J138" s="256"/>
      <c r="K138" s="256"/>
      <c r="L138" s="256"/>
      <c r="M138" s="256"/>
      <c r="N138" s="256"/>
      <c r="O138" s="256"/>
      <c r="P138" s="256"/>
      <c r="Q138" s="256"/>
      <c r="R138" s="256"/>
      <c r="S138" s="256"/>
      <c r="T138" s="256"/>
      <c r="U138" s="256"/>
      <c r="V138" s="256"/>
      <c r="W138" s="256"/>
      <c r="X138" s="256"/>
      <c r="Y138" s="256"/>
      <c r="Z138" s="256"/>
      <c r="AA138" s="256"/>
      <c r="AB138" s="256"/>
      <c r="AC138" s="256"/>
      <c r="AD138" s="256"/>
      <c r="AE138" s="256"/>
      <c r="AF138" s="256"/>
      <c r="AG138" s="256"/>
      <c r="AH138" s="256"/>
      <c r="AI138" s="256"/>
      <c r="AJ138" s="256"/>
      <c r="AK138" s="256"/>
      <c r="AL138" s="256"/>
      <c r="AM138" s="256"/>
      <c r="AN138" s="256"/>
      <c r="AO138" s="256"/>
      <c r="AP138" s="256"/>
      <c r="AQ138" s="256"/>
      <c r="AR138" s="256"/>
      <c r="AS138" s="256"/>
      <c r="AT138" s="256"/>
      <c r="AU138" s="256"/>
      <c r="AV138" s="256"/>
      <c r="AW138" s="256"/>
      <c r="AX138" s="256"/>
      <c r="AY138" s="256"/>
      <c r="AZ138" s="256"/>
      <c r="BA138" s="256"/>
      <c r="BB138" s="256"/>
      <c r="BC138" s="256"/>
      <c r="BD138" s="256"/>
      <c r="BE138" s="256"/>
      <c r="BF138" s="256"/>
      <c r="BG138" s="256"/>
      <c r="BH138" s="256"/>
      <c r="BI138" s="256"/>
      <c r="BJ138" s="256"/>
      <c r="BK138" s="256"/>
      <c r="BL138" s="256"/>
      <c r="BM138" s="256"/>
      <c r="BN138" s="256"/>
      <c r="BO138" s="256"/>
      <c r="BP138" s="256"/>
      <c r="BQ138" s="256"/>
      <c r="BR138" s="256"/>
      <c r="BS138" s="256"/>
      <c r="BT138" s="256"/>
      <c r="BU138" s="256"/>
      <c r="BV138" s="256"/>
      <c r="BW138" s="255"/>
      <c r="BX138" s="253" t="s">
        <v>10</v>
      </c>
      <c r="BY138" s="253">
        <f>SUM(BY134:BY137)</f>
        <v>677.67000000000007</v>
      </c>
      <c r="BZ138" s="204"/>
      <c r="CA138" s="204"/>
      <c r="CB138" s="204"/>
      <c r="CC138" s="200"/>
      <c r="CD138" s="202"/>
      <c r="CE138" s="201"/>
      <c r="CF138" s="200"/>
      <c r="CG138" s="202"/>
      <c r="CH138" s="201"/>
      <c r="CI138" s="201"/>
      <c r="CJ138" s="201"/>
      <c r="CK138" s="198"/>
      <c r="CL138" s="200"/>
      <c r="CM138" s="199"/>
      <c r="CN138" s="198"/>
    </row>
    <row r="139" spans="1:92">
      <c r="A139" s="208"/>
      <c r="B139" s="207"/>
      <c r="D139" s="265" t="s">
        <v>346</v>
      </c>
      <c r="E139" s="264"/>
      <c r="F139" s="264"/>
      <c r="G139" s="264"/>
      <c r="H139" s="264"/>
      <c r="I139" s="264"/>
      <c r="J139" s="264"/>
      <c r="K139" s="264"/>
      <c r="L139" s="264"/>
      <c r="M139" s="264"/>
      <c r="N139" s="264"/>
      <c r="O139" s="264"/>
      <c r="P139" s="264"/>
      <c r="Q139" s="264"/>
      <c r="R139" s="264"/>
      <c r="S139" s="264"/>
      <c r="T139" s="264"/>
      <c r="U139" s="264"/>
      <c r="V139" s="264"/>
      <c r="W139" s="264"/>
      <c r="X139" s="264"/>
      <c r="Y139" s="264"/>
      <c r="Z139" s="264"/>
      <c r="AA139" s="264"/>
      <c r="AB139" s="264"/>
      <c r="AC139" s="264"/>
      <c r="AD139" s="264"/>
      <c r="AE139" s="264"/>
      <c r="AF139" s="264"/>
      <c r="AG139" s="264"/>
      <c r="AH139" s="264"/>
      <c r="AI139" s="264"/>
      <c r="AJ139" s="264"/>
      <c r="AK139" s="264"/>
      <c r="AL139" s="264"/>
      <c r="AM139" s="264"/>
      <c r="AN139" s="264"/>
      <c r="AO139" s="264"/>
      <c r="AP139" s="264"/>
      <c r="AQ139" s="264"/>
      <c r="AR139" s="264"/>
      <c r="AS139" s="264"/>
      <c r="AT139" s="264"/>
      <c r="AU139" s="264"/>
      <c r="AV139" s="264"/>
      <c r="AW139" s="264"/>
      <c r="AX139" s="264"/>
      <c r="AY139" s="264"/>
      <c r="AZ139" s="264"/>
      <c r="BA139" s="264"/>
      <c r="BB139" s="264"/>
      <c r="BC139" s="264"/>
      <c r="BD139" s="264"/>
      <c r="BE139" s="264"/>
      <c r="BF139" s="264"/>
      <c r="BG139" s="264"/>
      <c r="BH139" s="264"/>
      <c r="BI139" s="264"/>
      <c r="BJ139" s="264"/>
      <c r="BK139" s="264"/>
      <c r="BL139" s="264"/>
      <c r="BM139" s="264"/>
      <c r="BN139" s="264"/>
      <c r="BO139" s="264"/>
      <c r="BP139" s="264"/>
      <c r="BQ139" s="264"/>
      <c r="BR139" s="264"/>
      <c r="BS139" s="264"/>
      <c r="BT139" s="264"/>
      <c r="BU139" s="264"/>
      <c r="BV139" s="264"/>
      <c r="BW139" s="263"/>
      <c r="BX139" s="253"/>
      <c r="BY139" s="253"/>
      <c r="BZ139" s="204"/>
      <c r="CA139" s="204"/>
      <c r="CB139" s="204"/>
      <c r="CC139" s="200"/>
      <c r="CD139" s="202"/>
      <c r="CE139" s="201"/>
      <c r="CF139" s="200"/>
      <c r="CG139" s="202"/>
      <c r="CH139" s="201"/>
      <c r="CI139" s="201"/>
      <c r="CJ139" s="201"/>
      <c r="CK139" s="198"/>
      <c r="CL139" s="200"/>
      <c r="CM139" s="199"/>
      <c r="CN139" s="198"/>
    </row>
    <row r="140" spans="1:92">
      <c r="A140" s="208"/>
      <c r="B140" s="207"/>
      <c r="C140" s="250" t="s">
        <v>345</v>
      </c>
      <c r="D140" s="262">
        <v>2.2000000000000002</v>
      </c>
      <c r="E140" s="259" t="s">
        <v>338</v>
      </c>
      <c r="F140" s="259">
        <v>2.5</v>
      </c>
      <c r="G140" s="259"/>
      <c r="H140" s="259"/>
      <c r="I140" s="259"/>
      <c r="J140" s="259"/>
      <c r="K140" s="259"/>
      <c r="L140" s="259"/>
      <c r="M140" s="259"/>
      <c r="N140" s="259"/>
      <c r="O140" s="259"/>
      <c r="P140" s="259"/>
      <c r="Q140" s="259"/>
      <c r="R140" s="259"/>
      <c r="S140" s="259"/>
      <c r="T140" s="259"/>
      <c r="U140" s="259"/>
      <c r="V140" s="259"/>
      <c r="W140" s="261"/>
      <c r="X140" s="261"/>
      <c r="Y140" s="261"/>
      <c r="Z140" s="261"/>
      <c r="AA140" s="261"/>
      <c r="AB140" s="260"/>
      <c r="AC140" s="260"/>
      <c r="AD140" s="260"/>
      <c r="AE140" s="260"/>
      <c r="AF140" s="260"/>
      <c r="AG140" s="260"/>
      <c r="AH140" s="260"/>
      <c r="AI140" s="260"/>
      <c r="AJ140" s="260"/>
      <c r="AK140" s="260"/>
      <c r="AL140" s="260"/>
      <c r="AM140" s="260"/>
      <c r="AN140" s="260"/>
      <c r="AO140" s="260"/>
      <c r="AP140" s="260"/>
      <c r="AQ140" s="260"/>
      <c r="AR140" s="260"/>
      <c r="AS140" s="260"/>
      <c r="AT140" s="260"/>
      <c r="AU140" s="260"/>
      <c r="AV140" s="260"/>
      <c r="AW140" s="260"/>
      <c r="AX140" s="260"/>
      <c r="AY140" s="260"/>
      <c r="AZ140" s="260"/>
      <c r="BA140" s="260"/>
      <c r="BB140" s="260"/>
      <c r="BC140" s="260"/>
      <c r="BD140" s="260"/>
      <c r="BE140" s="260"/>
      <c r="BF140" s="260"/>
      <c r="BG140" s="260"/>
      <c r="BH140" s="260"/>
      <c r="BI140" s="260"/>
      <c r="BJ140" s="260"/>
      <c r="BK140" s="260"/>
      <c r="BL140" s="260"/>
      <c r="BM140" s="260"/>
      <c r="BN140" s="260"/>
      <c r="BO140" s="260"/>
      <c r="BP140" s="260"/>
      <c r="BQ140" s="260"/>
      <c r="BR140" s="260"/>
      <c r="BS140" s="260"/>
      <c r="BT140" s="260"/>
      <c r="BU140" s="260"/>
      <c r="BV140" s="259" t="s">
        <v>338</v>
      </c>
      <c r="BW140" s="258">
        <v>1</v>
      </c>
      <c r="BX140" s="253" t="s">
        <v>10</v>
      </c>
      <c r="BY140" s="214">
        <f>(D140*F140)*BW140</f>
        <v>5.5</v>
      </c>
      <c r="BZ140" s="204"/>
      <c r="CA140" s="204"/>
      <c r="CB140" s="204"/>
      <c r="CC140" s="200"/>
      <c r="CD140" s="202"/>
      <c r="CE140" s="201"/>
      <c r="CF140" s="200"/>
      <c r="CG140" s="202"/>
      <c r="CH140" s="201"/>
      <c r="CI140" s="201"/>
      <c r="CJ140" s="201"/>
      <c r="CK140" s="198"/>
      <c r="CL140" s="200"/>
      <c r="CM140" s="199"/>
      <c r="CN140" s="198"/>
    </row>
    <row r="141" spans="1:92">
      <c r="A141" s="208"/>
      <c r="B141" s="207"/>
      <c r="C141" s="250" t="s">
        <v>344</v>
      </c>
      <c r="D141" s="262">
        <v>2</v>
      </c>
      <c r="E141" s="259" t="s">
        <v>338</v>
      </c>
      <c r="F141" s="259">
        <v>2.1</v>
      </c>
      <c r="G141" s="259"/>
      <c r="H141" s="259"/>
      <c r="I141" s="259"/>
      <c r="J141" s="259"/>
      <c r="K141" s="259"/>
      <c r="L141" s="259"/>
      <c r="M141" s="259"/>
      <c r="N141" s="259"/>
      <c r="O141" s="259"/>
      <c r="P141" s="259"/>
      <c r="Q141" s="259"/>
      <c r="R141" s="259"/>
      <c r="S141" s="259"/>
      <c r="T141" s="259"/>
      <c r="U141" s="259"/>
      <c r="V141" s="259"/>
      <c r="W141" s="261"/>
      <c r="X141" s="261"/>
      <c r="Y141" s="261"/>
      <c r="Z141" s="261"/>
      <c r="AA141" s="261"/>
      <c r="AB141" s="260"/>
      <c r="AC141" s="260"/>
      <c r="AD141" s="260"/>
      <c r="AE141" s="260"/>
      <c r="AF141" s="260"/>
      <c r="AG141" s="260"/>
      <c r="AH141" s="260"/>
      <c r="AI141" s="260"/>
      <c r="AJ141" s="260"/>
      <c r="AK141" s="260"/>
      <c r="AL141" s="260"/>
      <c r="AM141" s="260"/>
      <c r="AN141" s="260"/>
      <c r="AO141" s="260"/>
      <c r="AP141" s="260"/>
      <c r="AQ141" s="260"/>
      <c r="AR141" s="260"/>
      <c r="AS141" s="260"/>
      <c r="AT141" s="260"/>
      <c r="AU141" s="260"/>
      <c r="AV141" s="260"/>
      <c r="AW141" s="260"/>
      <c r="AX141" s="260"/>
      <c r="AY141" s="260"/>
      <c r="AZ141" s="260"/>
      <c r="BA141" s="260"/>
      <c r="BB141" s="260"/>
      <c r="BC141" s="260"/>
      <c r="BD141" s="260"/>
      <c r="BE141" s="260"/>
      <c r="BF141" s="260"/>
      <c r="BG141" s="260"/>
      <c r="BH141" s="260"/>
      <c r="BI141" s="260"/>
      <c r="BJ141" s="260"/>
      <c r="BK141" s="260"/>
      <c r="BL141" s="260"/>
      <c r="BM141" s="260"/>
      <c r="BN141" s="260"/>
      <c r="BO141" s="260"/>
      <c r="BP141" s="260"/>
      <c r="BQ141" s="260"/>
      <c r="BR141" s="260"/>
      <c r="BS141" s="260"/>
      <c r="BT141" s="260"/>
      <c r="BU141" s="260"/>
      <c r="BV141" s="259" t="s">
        <v>338</v>
      </c>
      <c r="BW141" s="258">
        <v>1</v>
      </c>
      <c r="BX141" s="253" t="s">
        <v>10</v>
      </c>
      <c r="BY141" s="214">
        <f>(D141*F141)*BW141</f>
        <v>4.2</v>
      </c>
      <c r="BZ141" s="204"/>
      <c r="CA141" s="204"/>
      <c r="CB141" s="204"/>
      <c r="CC141" s="200"/>
      <c r="CD141" s="202"/>
      <c r="CE141" s="201"/>
      <c r="CF141" s="200"/>
      <c r="CG141" s="202"/>
      <c r="CH141" s="201"/>
      <c r="CI141" s="201"/>
      <c r="CJ141" s="201"/>
      <c r="CK141" s="198"/>
      <c r="CL141" s="200"/>
      <c r="CM141" s="199"/>
      <c r="CN141" s="198"/>
    </row>
    <row r="142" spans="1:92">
      <c r="A142" s="208"/>
      <c r="B142" s="207"/>
      <c r="C142" s="250" t="s">
        <v>343</v>
      </c>
      <c r="D142" s="262">
        <v>0.8</v>
      </c>
      <c r="E142" s="259" t="s">
        <v>338</v>
      </c>
      <c r="F142" s="259">
        <v>2.5</v>
      </c>
      <c r="G142" s="259"/>
      <c r="H142" s="259"/>
      <c r="I142" s="259"/>
      <c r="J142" s="259"/>
      <c r="K142" s="259"/>
      <c r="L142" s="259"/>
      <c r="M142" s="259"/>
      <c r="N142" s="259"/>
      <c r="O142" s="259"/>
      <c r="P142" s="259"/>
      <c r="Q142" s="259"/>
      <c r="R142" s="259"/>
      <c r="S142" s="259"/>
      <c r="T142" s="259"/>
      <c r="U142" s="259"/>
      <c r="V142" s="259"/>
      <c r="W142" s="261"/>
      <c r="X142" s="261"/>
      <c r="Y142" s="261"/>
      <c r="Z142" s="261"/>
      <c r="AA142" s="261"/>
      <c r="AB142" s="260"/>
      <c r="AC142" s="260"/>
      <c r="AD142" s="260"/>
      <c r="AE142" s="260"/>
      <c r="AF142" s="260"/>
      <c r="AG142" s="260"/>
      <c r="AH142" s="260"/>
      <c r="AI142" s="260"/>
      <c r="AJ142" s="260"/>
      <c r="AK142" s="260"/>
      <c r="AL142" s="260"/>
      <c r="AM142" s="260"/>
      <c r="AN142" s="260"/>
      <c r="AO142" s="260"/>
      <c r="AP142" s="260"/>
      <c r="AQ142" s="260"/>
      <c r="AR142" s="260"/>
      <c r="AS142" s="260"/>
      <c r="AT142" s="260"/>
      <c r="AU142" s="260"/>
      <c r="AV142" s="260"/>
      <c r="AW142" s="260"/>
      <c r="AX142" s="260"/>
      <c r="AY142" s="260"/>
      <c r="AZ142" s="260"/>
      <c r="BA142" s="260"/>
      <c r="BB142" s="260"/>
      <c r="BC142" s="260"/>
      <c r="BD142" s="260"/>
      <c r="BE142" s="260"/>
      <c r="BF142" s="260"/>
      <c r="BG142" s="260"/>
      <c r="BH142" s="260"/>
      <c r="BI142" s="260"/>
      <c r="BJ142" s="260"/>
      <c r="BK142" s="260"/>
      <c r="BL142" s="260"/>
      <c r="BM142" s="260"/>
      <c r="BN142" s="260"/>
      <c r="BO142" s="260"/>
      <c r="BP142" s="260"/>
      <c r="BQ142" s="260"/>
      <c r="BR142" s="260"/>
      <c r="BS142" s="260"/>
      <c r="BT142" s="260"/>
      <c r="BU142" s="260"/>
      <c r="BV142" s="259" t="s">
        <v>338</v>
      </c>
      <c r="BW142" s="258">
        <v>3</v>
      </c>
      <c r="BX142" s="253" t="s">
        <v>10</v>
      </c>
      <c r="BY142" s="214">
        <f>(D142*F142)*BW142</f>
        <v>6</v>
      </c>
      <c r="BZ142" s="204"/>
      <c r="CA142" s="204"/>
      <c r="CB142" s="204"/>
      <c r="CC142" s="200"/>
      <c r="CD142" s="202"/>
      <c r="CE142" s="201"/>
      <c r="CF142" s="200"/>
      <c r="CG142" s="202"/>
      <c r="CH142" s="201"/>
      <c r="CI142" s="201"/>
      <c r="CJ142" s="201"/>
      <c r="CK142" s="198"/>
      <c r="CL142" s="200"/>
      <c r="CM142" s="199"/>
      <c r="CN142" s="198"/>
    </row>
    <row r="143" spans="1:92">
      <c r="A143" s="208"/>
      <c r="B143" s="207"/>
      <c r="C143" s="250" t="s">
        <v>342</v>
      </c>
      <c r="D143" s="262">
        <v>1.1000000000000001</v>
      </c>
      <c r="E143" s="259" t="s">
        <v>338</v>
      </c>
      <c r="F143" s="259">
        <v>1</v>
      </c>
      <c r="G143" s="259"/>
      <c r="H143" s="259"/>
      <c r="I143" s="259"/>
      <c r="J143" s="259"/>
      <c r="K143" s="259"/>
      <c r="L143" s="259"/>
      <c r="M143" s="259"/>
      <c r="N143" s="259"/>
      <c r="O143" s="259"/>
      <c r="P143" s="259"/>
      <c r="Q143" s="259"/>
      <c r="R143" s="259"/>
      <c r="S143" s="259"/>
      <c r="T143" s="259"/>
      <c r="U143" s="259"/>
      <c r="V143" s="259"/>
      <c r="W143" s="261"/>
      <c r="X143" s="261"/>
      <c r="Y143" s="261"/>
      <c r="Z143" s="261"/>
      <c r="AA143" s="261"/>
      <c r="AB143" s="260"/>
      <c r="AC143" s="260"/>
      <c r="AD143" s="260"/>
      <c r="AE143" s="260"/>
      <c r="AF143" s="260"/>
      <c r="AG143" s="260"/>
      <c r="AH143" s="260"/>
      <c r="AI143" s="260"/>
      <c r="AJ143" s="260"/>
      <c r="AK143" s="260"/>
      <c r="AL143" s="260"/>
      <c r="AM143" s="260"/>
      <c r="AN143" s="260"/>
      <c r="AO143" s="260"/>
      <c r="AP143" s="260"/>
      <c r="AQ143" s="260"/>
      <c r="AR143" s="260"/>
      <c r="AS143" s="260"/>
      <c r="AT143" s="260"/>
      <c r="AU143" s="260"/>
      <c r="AV143" s="260"/>
      <c r="AW143" s="260"/>
      <c r="AX143" s="260"/>
      <c r="AY143" s="260"/>
      <c r="AZ143" s="260"/>
      <c r="BA143" s="260"/>
      <c r="BB143" s="260"/>
      <c r="BC143" s="260"/>
      <c r="BD143" s="260"/>
      <c r="BE143" s="260"/>
      <c r="BF143" s="260"/>
      <c r="BG143" s="260"/>
      <c r="BH143" s="260"/>
      <c r="BI143" s="260"/>
      <c r="BJ143" s="260"/>
      <c r="BK143" s="260"/>
      <c r="BL143" s="260"/>
      <c r="BM143" s="260"/>
      <c r="BN143" s="260"/>
      <c r="BO143" s="260"/>
      <c r="BP143" s="260"/>
      <c r="BQ143" s="260"/>
      <c r="BR143" s="260"/>
      <c r="BS143" s="260"/>
      <c r="BT143" s="260"/>
      <c r="BU143" s="260"/>
      <c r="BV143" s="259" t="s">
        <v>338</v>
      </c>
      <c r="BW143" s="258">
        <v>7</v>
      </c>
      <c r="BX143" s="253" t="s">
        <v>10</v>
      </c>
      <c r="BY143" s="214">
        <f>(D143*F143)*BW143</f>
        <v>7.7000000000000011</v>
      </c>
      <c r="BZ143" s="204"/>
      <c r="CA143" s="204"/>
      <c r="CB143" s="204"/>
      <c r="CC143" s="200"/>
      <c r="CD143" s="202"/>
      <c r="CE143" s="201"/>
      <c r="CF143" s="200"/>
      <c r="CG143" s="202"/>
      <c r="CH143" s="201"/>
      <c r="CI143" s="201"/>
      <c r="CJ143" s="201"/>
      <c r="CK143" s="198"/>
      <c r="CL143" s="200"/>
      <c r="CM143" s="199"/>
      <c r="CN143" s="198"/>
    </row>
    <row r="144" spans="1:92">
      <c r="A144" s="208"/>
      <c r="B144" s="207"/>
      <c r="C144" s="250" t="s">
        <v>341</v>
      </c>
      <c r="D144" s="262">
        <v>1.4</v>
      </c>
      <c r="E144" s="259" t="s">
        <v>338</v>
      </c>
      <c r="F144" s="259">
        <v>1</v>
      </c>
      <c r="G144" s="259"/>
      <c r="H144" s="259"/>
      <c r="I144" s="259"/>
      <c r="J144" s="259"/>
      <c r="K144" s="259"/>
      <c r="L144" s="259"/>
      <c r="M144" s="259"/>
      <c r="N144" s="259"/>
      <c r="O144" s="259"/>
      <c r="P144" s="259"/>
      <c r="Q144" s="259"/>
      <c r="R144" s="259"/>
      <c r="S144" s="259"/>
      <c r="T144" s="259"/>
      <c r="U144" s="259"/>
      <c r="V144" s="259"/>
      <c r="W144" s="261"/>
      <c r="X144" s="261"/>
      <c r="Y144" s="261"/>
      <c r="Z144" s="261"/>
      <c r="AA144" s="261"/>
      <c r="AB144" s="260"/>
      <c r="AC144" s="260"/>
      <c r="AD144" s="260"/>
      <c r="AE144" s="260"/>
      <c r="AF144" s="260"/>
      <c r="AG144" s="260"/>
      <c r="AH144" s="260"/>
      <c r="AI144" s="260"/>
      <c r="AJ144" s="260"/>
      <c r="AK144" s="260"/>
      <c r="AL144" s="260"/>
      <c r="AM144" s="260"/>
      <c r="AN144" s="260"/>
      <c r="AO144" s="260"/>
      <c r="AP144" s="260"/>
      <c r="AQ144" s="260"/>
      <c r="AR144" s="260"/>
      <c r="AS144" s="260"/>
      <c r="AT144" s="260"/>
      <c r="AU144" s="260"/>
      <c r="AV144" s="260"/>
      <c r="AW144" s="260"/>
      <c r="AX144" s="260"/>
      <c r="AY144" s="260"/>
      <c r="AZ144" s="260"/>
      <c r="BA144" s="260"/>
      <c r="BB144" s="260"/>
      <c r="BC144" s="260"/>
      <c r="BD144" s="260"/>
      <c r="BE144" s="260"/>
      <c r="BF144" s="260"/>
      <c r="BG144" s="260"/>
      <c r="BH144" s="260"/>
      <c r="BI144" s="260"/>
      <c r="BJ144" s="260"/>
      <c r="BK144" s="260"/>
      <c r="BL144" s="260"/>
      <c r="BM144" s="260"/>
      <c r="BN144" s="260"/>
      <c r="BO144" s="260"/>
      <c r="BP144" s="260"/>
      <c r="BQ144" s="260"/>
      <c r="BR144" s="260"/>
      <c r="BS144" s="260"/>
      <c r="BT144" s="260"/>
      <c r="BU144" s="260"/>
      <c r="BV144" s="259" t="s">
        <v>338</v>
      </c>
      <c r="BW144" s="258">
        <v>2</v>
      </c>
      <c r="BX144" s="253" t="s">
        <v>10</v>
      </c>
      <c r="BY144" s="214">
        <f>(D144*F144)*BW144</f>
        <v>2.8</v>
      </c>
      <c r="BZ144" s="204"/>
      <c r="CA144" s="204"/>
      <c r="CB144" s="204"/>
      <c r="CC144" s="200"/>
      <c r="CD144" s="202"/>
      <c r="CE144" s="201"/>
      <c r="CF144" s="200"/>
      <c r="CG144" s="202"/>
      <c r="CH144" s="201"/>
      <c r="CI144" s="201"/>
      <c r="CJ144" s="201"/>
      <c r="CK144" s="198"/>
      <c r="CL144" s="200"/>
      <c r="CM144" s="199"/>
      <c r="CN144" s="198"/>
    </row>
    <row r="145" spans="1:92">
      <c r="A145" s="208"/>
      <c r="B145" s="207"/>
      <c r="C145" s="250" t="s">
        <v>340</v>
      </c>
      <c r="D145" s="262">
        <v>1.5</v>
      </c>
      <c r="E145" s="259" t="s">
        <v>338</v>
      </c>
      <c r="F145" s="259">
        <v>0.4</v>
      </c>
      <c r="G145" s="259"/>
      <c r="H145" s="259"/>
      <c r="I145" s="259"/>
      <c r="J145" s="259"/>
      <c r="K145" s="259"/>
      <c r="L145" s="259"/>
      <c r="M145" s="259"/>
      <c r="N145" s="259"/>
      <c r="O145" s="259"/>
      <c r="P145" s="259"/>
      <c r="Q145" s="259"/>
      <c r="R145" s="259"/>
      <c r="S145" s="259"/>
      <c r="T145" s="259"/>
      <c r="U145" s="259"/>
      <c r="V145" s="259"/>
      <c r="W145" s="261"/>
      <c r="X145" s="261"/>
      <c r="Y145" s="261"/>
      <c r="Z145" s="261"/>
      <c r="AA145" s="261"/>
      <c r="AB145" s="260"/>
      <c r="AC145" s="260"/>
      <c r="AD145" s="260"/>
      <c r="AE145" s="260"/>
      <c r="AF145" s="260"/>
      <c r="AG145" s="260"/>
      <c r="AH145" s="260"/>
      <c r="AI145" s="260"/>
      <c r="AJ145" s="260"/>
      <c r="AK145" s="260"/>
      <c r="AL145" s="260"/>
      <c r="AM145" s="260"/>
      <c r="AN145" s="260"/>
      <c r="AO145" s="260"/>
      <c r="AP145" s="260"/>
      <c r="AQ145" s="260"/>
      <c r="AR145" s="260"/>
      <c r="AS145" s="260"/>
      <c r="AT145" s="260"/>
      <c r="AU145" s="260"/>
      <c r="AV145" s="260"/>
      <c r="AW145" s="260"/>
      <c r="AX145" s="260"/>
      <c r="AY145" s="260"/>
      <c r="AZ145" s="260"/>
      <c r="BA145" s="260"/>
      <c r="BB145" s="260"/>
      <c r="BC145" s="260"/>
      <c r="BD145" s="260"/>
      <c r="BE145" s="260"/>
      <c r="BF145" s="260"/>
      <c r="BG145" s="260"/>
      <c r="BH145" s="260"/>
      <c r="BI145" s="260"/>
      <c r="BJ145" s="260"/>
      <c r="BK145" s="260"/>
      <c r="BL145" s="260"/>
      <c r="BM145" s="260"/>
      <c r="BN145" s="260"/>
      <c r="BO145" s="260"/>
      <c r="BP145" s="260"/>
      <c r="BQ145" s="260"/>
      <c r="BR145" s="260"/>
      <c r="BS145" s="260"/>
      <c r="BT145" s="260"/>
      <c r="BU145" s="260"/>
      <c r="BV145" s="259" t="s">
        <v>338</v>
      </c>
      <c r="BW145" s="258">
        <v>3</v>
      </c>
      <c r="BX145" s="253" t="s">
        <v>10</v>
      </c>
      <c r="BY145" s="214">
        <f>(D145*F145)*BW145</f>
        <v>1.8000000000000003</v>
      </c>
      <c r="BZ145" s="204"/>
      <c r="CA145" s="204"/>
      <c r="CB145" s="204"/>
      <c r="CC145" s="200"/>
      <c r="CD145" s="202"/>
      <c r="CE145" s="201"/>
      <c r="CF145" s="200"/>
      <c r="CG145" s="202"/>
      <c r="CH145" s="201"/>
      <c r="CI145" s="201"/>
      <c r="CJ145" s="201"/>
      <c r="CK145" s="198"/>
      <c r="CL145" s="200"/>
      <c r="CM145" s="199"/>
      <c r="CN145" s="198"/>
    </row>
    <row r="146" spans="1:92">
      <c r="A146" s="208"/>
      <c r="B146" s="207"/>
      <c r="C146" s="250" t="s">
        <v>339</v>
      </c>
      <c r="D146" s="262">
        <v>1.3</v>
      </c>
      <c r="E146" s="259" t="s">
        <v>338</v>
      </c>
      <c r="F146" s="259">
        <v>0.4</v>
      </c>
      <c r="G146" s="259"/>
      <c r="H146" s="259"/>
      <c r="I146" s="259"/>
      <c r="J146" s="259"/>
      <c r="K146" s="259"/>
      <c r="L146" s="259"/>
      <c r="M146" s="259"/>
      <c r="N146" s="259"/>
      <c r="O146" s="259"/>
      <c r="P146" s="259"/>
      <c r="Q146" s="259"/>
      <c r="R146" s="259"/>
      <c r="S146" s="259"/>
      <c r="T146" s="259"/>
      <c r="U146" s="259"/>
      <c r="V146" s="259"/>
      <c r="W146" s="261"/>
      <c r="X146" s="261"/>
      <c r="Y146" s="261"/>
      <c r="Z146" s="261"/>
      <c r="AA146" s="261"/>
      <c r="AB146" s="260"/>
      <c r="AC146" s="260"/>
      <c r="AD146" s="260"/>
      <c r="AE146" s="260"/>
      <c r="AF146" s="260"/>
      <c r="AG146" s="260"/>
      <c r="AH146" s="260"/>
      <c r="AI146" s="260"/>
      <c r="AJ146" s="260"/>
      <c r="AK146" s="260"/>
      <c r="AL146" s="260"/>
      <c r="AM146" s="260"/>
      <c r="AN146" s="260"/>
      <c r="AO146" s="260"/>
      <c r="AP146" s="260"/>
      <c r="AQ146" s="260"/>
      <c r="AR146" s="260"/>
      <c r="AS146" s="260"/>
      <c r="AT146" s="260"/>
      <c r="AU146" s="260"/>
      <c r="AV146" s="260"/>
      <c r="AW146" s="260"/>
      <c r="AX146" s="260"/>
      <c r="AY146" s="260"/>
      <c r="AZ146" s="260"/>
      <c r="BA146" s="260"/>
      <c r="BB146" s="260"/>
      <c r="BC146" s="260"/>
      <c r="BD146" s="260"/>
      <c r="BE146" s="260"/>
      <c r="BF146" s="260"/>
      <c r="BG146" s="260"/>
      <c r="BH146" s="260"/>
      <c r="BI146" s="260"/>
      <c r="BJ146" s="260"/>
      <c r="BK146" s="260"/>
      <c r="BL146" s="260"/>
      <c r="BM146" s="260"/>
      <c r="BN146" s="260"/>
      <c r="BO146" s="260"/>
      <c r="BP146" s="260"/>
      <c r="BQ146" s="260"/>
      <c r="BR146" s="260"/>
      <c r="BS146" s="260"/>
      <c r="BT146" s="260"/>
      <c r="BU146" s="260"/>
      <c r="BV146" s="259" t="s">
        <v>338</v>
      </c>
      <c r="BW146" s="258">
        <v>8</v>
      </c>
      <c r="BX146" s="253" t="s">
        <v>10</v>
      </c>
      <c r="BY146" s="214">
        <f>(D146*F146)*BW146</f>
        <v>4.16</v>
      </c>
      <c r="BZ146" s="204"/>
      <c r="CA146" s="204"/>
      <c r="CB146" s="204"/>
      <c r="CC146" s="200"/>
      <c r="CD146" s="202"/>
      <c r="CE146" s="201"/>
      <c r="CF146" s="200"/>
      <c r="CG146" s="202"/>
      <c r="CH146" s="201"/>
      <c r="CI146" s="201"/>
      <c r="CJ146" s="201"/>
      <c r="CK146" s="198"/>
      <c r="CL146" s="200"/>
      <c r="CM146" s="199"/>
      <c r="CN146" s="198"/>
    </row>
    <row r="147" spans="1:92">
      <c r="A147" s="208"/>
      <c r="B147" s="207"/>
      <c r="C147" s="250"/>
      <c r="D147" s="257" t="s">
        <v>337</v>
      </c>
      <c r="E147" s="256"/>
      <c r="F147" s="256"/>
      <c r="G147" s="256"/>
      <c r="H147" s="256"/>
      <c r="I147" s="256"/>
      <c r="J147" s="256"/>
      <c r="K147" s="256"/>
      <c r="L147" s="256"/>
      <c r="M147" s="256"/>
      <c r="N147" s="256"/>
      <c r="O147" s="256"/>
      <c r="P147" s="256"/>
      <c r="Q147" s="256"/>
      <c r="R147" s="256"/>
      <c r="S147" s="256"/>
      <c r="T147" s="256"/>
      <c r="U147" s="256"/>
      <c r="V147" s="256"/>
      <c r="W147" s="256"/>
      <c r="X147" s="256"/>
      <c r="Y147" s="256"/>
      <c r="Z147" s="256"/>
      <c r="AA147" s="256"/>
      <c r="AB147" s="256"/>
      <c r="AC147" s="256"/>
      <c r="AD147" s="256"/>
      <c r="AE147" s="256"/>
      <c r="AF147" s="256"/>
      <c r="AG147" s="256"/>
      <c r="AH147" s="256"/>
      <c r="AI147" s="256"/>
      <c r="AJ147" s="256"/>
      <c r="AK147" s="256"/>
      <c r="AL147" s="256"/>
      <c r="AM147" s="256"/>
      <c r="AN147" s="256"/>
      <c r="AO147" s="256"/>
      <c r="AP147" s="256"/>
      <c r="AQ147" s="256"/>
      <c r="AR147" s="256"/>
      <c r="AS147" s="256"/>
      <c r="AT147" s="256"/>
      <c r="AU147" s="256"/>
      <c r="AV147" s="256"/>
      <c r="AW147" s="256"/>
      <c r="AX147" s="256"/>
      <c r="AY147" s="256"/>
      <c r="AZ147" s="256"/>
      <c r="BA147" s="256"/>
      <c r="BB147" s="256"/>
      <c r="BC147" s="256"/>
      <c r="BD147" s="256"/>
      <c r="BE147" s="256"/>
      <c r="BF147" s="256"/>
      <c r="BG147" s="256"/>
      <c r="BH147" s="256"/>
      <c r="BI147" s="256"/>
      <c r="BJ147" s="256"/>
      <c r="BK147" s="256"/>
      <c r="BL147" s="256"/>
      <c r="BM147" s="256"/>
      <c r="BN147" s="256"/>
      <c r="BO147" s="256"/>
      <c r="BP147" s="256"/>
      <c r="BQ147" s="256"/>
      <c r="BR147" s="256"/>
      <c r="BS147" s="256"/>
      <c r="BT147" s="256"/>
      <c r="BU147" s="256"/>
      <c r="BV147" s="256"/>
      <c r="BW147" s="255"/>
      <c r="BX147" s="253" t="s">
        <v>10</v>
      </c>
      <c r="BY147" s="253">
        <f>SUM(BY140:BY146)</f>
        <v>32.159999999999997</v>
      </c>
      <c r="BZ147" s="204"/>
      <c r="CA147" s="204"/>
      <c r="CB147" s="204"/>
      <c r="CC147" s="200"/>
      <c r="CD147" s="202"/>
      <c r="CE147" s="201"/>
      <c r="CF147" s="200"/>
      <c r="CG147" s="202"/>
      <c r="CH147" s="201"/>
      <c r="CI147" s="201"/>
      <c r="CJ147" s="201"/>
      <c r="CK147" s="198"/>
      <c r="CL147" s="200"/>
      <c r="CM147" s="199"/>
      <c r="CN147" s="198"/>
    </row>
    <row r="148" spans="1:92">
      <c r="A148" s="208"/>
      <c r="B148" s="207"/>
      <c r="C148" s="250"/>
      <c r="D148" s="257" t="s">
        <v>365</v>
      </c>
      <c r="E148" s="256"/>
      <c r="F148" s="256"/>
      <c r="G148" s="256"/>
      <c r="H148" s="256"/>
      <c r="I148" s="256"/>
      <c r="J148" s="256"/>
      <c r="K148" s="256"/>
      <c r="L148" s="256"/>
      <c r="M148" s="256"/>
      <c r="N148" s="256"/>
      <c r="O148" s="256"/>
      <c r="P148" s="256"/>
      <c r="Q148" s="256"/>
      <c r="R148" s="256"/>
      <c r="S148" s="256"/>
      <c r="T148" s="256"/>
      <c r="U148" s="256"/>
      <c r="V148" s="256"/>
      <c r="W148" s="256"/>
      <c r="X148" s="256"/>
      <c r="Y148" s="256"/>
      <c r="Z148" s="256"/>
      <c r="AA148" s="256"/>
      <c r="AB148" s="256"/>
      <c r="AC148" s="256"/>
      <c r="AD148" s="256"/>
      <c r="AE148" s="256"/>
      <c r="AF148" s="256"/>
      <c r="AG148" s="256"/>
      <c r="AH148" s="256"/>
      <c r="AI148" s="256"/>
      <c r="AJ148" s="256"/>
      <c r="AK148" s="256"/>
      <c r="AL148" s="256"/>
      <c r="AM148" s="256"/>
      <c r="AN148" s="256"/>
      <c r="AO148" s="256"/>
      <c r="AP148" s="256"/>
      <c r="AQ148" s="256"/>
      <c r="AR148" s="256"/>
      <c r="AS148" s="256"/>
      <c r="AT148" s="256"/>
      <c r="AU148" s="256"/>
      <c r="AV148" s="256"/>
      <c r="AW148" s="256"/>
      <c r="AX148" s="256"/>
      <c r="AY148" s="256"/>
      <c r="AZ148" s="256"/>
      <c r="BA148" s="256"/>
      <c r="BB148" s="256"/>
      <c r="BC148" s="256"/>
      <c r="BD148" s="256"/>
      <c r="BE148" s="256"/>
      <c r="BF148" s="256"/>
      <c r="BG148" s="256"/>
      <c r="BH148" s="256"/>
      <c r="BI148" s="256"/>
      <c r="BJ148" s="256"/>
      <c r="BK148" s="256"/>
      <c r="BL148" s="256"/>
      <c r="BM148" s="256"/>
      <c r="BN148" s="256"/>
      <c r="BO148" s="256"/>
      <c r="BP148" s="256"/>
      <c r="BQ148" s="256"/>
      <c r="BR148" s="256"/>
      <c r="BS148" s="256"/>
      <c r="BT148" s="256"/>
      <c r="BU148" s="256"/>
      <c r="BV148" s="256"/>
      <c r="BW148" s="255"/>
      <c r="BX148" s="253" t="s">
        <v>10</v>
      </c>
      <c r="BY148" s="276">
        <f>BY138-BY147</f>
        <v>645.5100000000001</v>
      </c>
      <c r="BZ148" s="204"/>
      <c r="CA148" s="204"/>
      <c r="CB148" s="204"/>
      <c r="CC148" s="200"/>
      <c r="CD148" s="202"/>
      <c r="CE148" s="201"/>
      <c r="CF148" s="200"/>
      <c r="CG148" s="202"/>
      <c r="CH148" s="201"/>
      <c r="CI148" s="201"/>
      <c r="CJ148" s="201"/>
      <c r="CK148" s="198"/>
      <c r="CL148" s="200"/>
      <c r="CM148" s="199"/>
      <c r="CN148" s="198"/>
    </row>
    <row r="149" spans="1:92">
      <c r="A149" s="208"/>
      <c r="B149" s="207"/>
      <c r="C149" s="250"/>
      <c r="D149" s="257" t="s">
        <v>364</v>
      </c>
      <c r="E149" s="256"/>
      <c r="F149" s="256"/>
      <c r="G149" s="256"/>
      <c r="H149" s="256"/>
      <c r="I149" s="256"/>
      <c r="J149" s="256"/>
      <c r="K149" s="256"/>
      <c r="L149" s="256"/>
      <c r="M149" s="256"/>
      <c r="N149" s="256"/>
      <c r="O149" s="256"/>
      <c r="P149" s="256"/>
      <c r="Q149" s="256"/>
      <c r="R149" s="256"/>
      <c r="S149" s="256"/>
      <c r="T149" s="256"/>
      <c r="U149" s="256"/>
      <c r="V149" s="256"/>
      <c r="W149" s="256"/>
      <c r="X149" s="256"/>
      <c r="Y149" s="256"/>
      <c r="Z149" s="256"/>
      <c r="AA149" s="256"/>
      <c r="AB149" s="256"/>
      <c r="AC149" s="256"/>
      <c r="AD149" s="256"/>
      <c r="AE149" s="256"/>
      <c r="AF149" s="256"/>
      <c r="AG149" s="256"/>
      <c r="AH149" s="256"/>
      <c r="AI149" s="256"/>
      <c r="AJ149" s="256"/>
      <c r="AK149" s="256"/>
      <c r="AL149" s="256"/>
      <c r="AM149" s="256"/>
      <c r="AN149" s="256"/>
      <c r="AO149" s="256"/>
      <c r="AP149" s="256"/>
      <c r="AQ149" s="256"/>
      <c r="AR149" s="256"/>
      <c r="AS149" s="256"/>
      <c r="AT149" s="256"/>
      <c r="AU149" s="256"/>
      <c r="AV149" s="256"/>
      <c r="AW149" s="256"/>
      <c r="AX149" s="256"/>
      <c r="AY149" s="256"/>
      <c r="AZ149" s="256"/>
      <c r="BA149" s="256"/>
      <c r="BB149" s="256"/>
      <c r="BC149" s="256"/>
      <c r="BD149" s="256"/>
      <c r="BE149" s="256"/>
      <c r="BF149" s="256"/>
      <c r="BG149" s="256"/>
      <c r="BH149" s="256"/>
      <c r="BI149" s="256"/>
      <c r="BJ149" s="256"/>
      <c r="BK149" s="256"/>
      <c r="BL149" s="256"/>
      <c r="BM149" s="256"/>
      <c r="BN149" s="256"/>
      <c r="BO149" s="256"/>
      <c r="BP149" s="256"/>
      <c r="BQ149" s="256"/>
      <c r="BR149" s="256"/>
      <c r="BS149" s="256"/>
      <c r="BT149" s="256"/>
      <c r="BU149" s="256"/>
      <c r="BV149" s="256"/>
      <c r="BW149" s="255"/>
      <c r="BX149" s="253" t="s">
        <v>10</v>
      </c>
      <c r="BY149" s="275">
        <v>346.40800000000002</v>
      </c>
      <c r="BZ149" s="204"/>
      <c r="CA149" s="204"/>
      <c r="CB149" s="204"/>
      <c r="CC149" s="200"/>
      <c r="CD149" s="202"/>
      <c r="CE149" s="201"/>
      <c r="CF149" s="200"/>
      <c r="CG149" s="202"/>
      <c r="CH149" s="201"/>
      <c r="CI149" s="201"/>
      <c r="CJ149" s="201"/>
      <c r="CK149" s="198"/>
      <c r="CL149" s="200"/>
      <c r="CM149" s="199"/>
      <c r="CN149" s="198"/>
    </row>
    <row r="150" spans="1:92">
      <c r="A150" s="208"/>
      <c r="B150" s="207"/>
      <c r="C150" s="250"/>
      <c r="D150" s="257" t="s">
        <v>363</v>
      </c>
      <c r="E150" s="256"/>
      <c r="F150" s="256"/>
      <c r="G150" s="256"/>
      <c r="H150" s="256"/>
      <c r="I150" s="256"/>
      <c r="J150" s="256"/>
      <c r="K150" s="256"/>
      <c r="L150" s="256"/>
      <c r="M150" s="256"/>
      <c r="N150" s="256"/>
      <c r="O150" s="256"/>
      <c r="P150" s="256"/>
      <c r="Q150" s="256"/>
      <c r="R150" s="256"/>
      <c r="S150" s="256"/>
      <c r="T150" s="256"/>
      <c r="U150" s="256"/>
      <c r="V150" s="256"/>
      <c r="W150" s="256"/>
      <c r="X150" s="256"/>
      <c r="Y150" s="256"/>
      <c r="Z150" s="256"/>
      <c r="AA150" s="256"/>
      <c r="AB150" s="256"/>
      <c r="AC150" s="256"/>
      <c r="AD150" s="256"/>
      <c r="AE150" s="256"/>
      <c r="AF150" s="256"/>
      <c r="AG150" s="256"/>
      <c r="AH150" s="256"/>
      <c r="AI150" s="256"/>
      <c r="AJ150" s="256"/>
      <c r="AK150" s="256"/>
      <c r="AL150" s="256"/>
      <c r="AM150" s="256"/>
      <c r="AN150" s="256"/>
      <c r="AO150" s="256"/>
      <c r="AP150" s="256"/>
      <c r="AQ150" s="256"/>
      <c r="AR150" s="256"/>
      <c r="AS150" s="256"/>
      <c r="AT150" s="256"/>
      <c r="AU150" s="256"/>
      <c r="AV150" s="256"/>
      <c r="AW150" s="256"/>
      <c r="AX150" s="256"/>
      <c r="AY150" s="256"/>
      <c r="AZ150" s="256"/>
      <c r="BA150" s="256"/>
      <c r="BB150" s="256"/>
      <c r="BC150" s="256"/>
      <c r="BD150" s="256"/>
      <c r="BE150" s="256"/>
      <c r="BF150" s="256"/>
      <c r="BG150" s="256"/>
      <c r="BH150" s="256"/>
      <c r="BI150" s="256"/>
      <c r="BJ150" s="256"/>
      <c r="BK150" s="256"/>
      <c r="BL150" s="256"/>
      <c r="BM150" s="256"/>
      <c r="BN150" s="256"/>
      <c r="BO150" s="256"/>
      <c r="BP150" s="256"/>
      <c r="BQ150" s="256"/>
      <c r="BR150" s="256"/>
      <c r="BS150" s="256"/>
      <c r="BT150" s="256"/>
      <c r="BU150" s="256"/>
      <c r="BV150" s="256"/>
      <c r="BW150" s="255"/>
      <c r="BX150" s="253" t="s">
        <v>10</v>
      </c>
      <c r="BY150" s="275">
        <f>BY148-BY149</f>
        <v>299.10200000000009</v>
      </c>
      <c r="BZ150" s="204"/>
      <c r="CA150" s="204"/>
      <c r="CB150" s="204"/>
      <c r="CC150" s="200"/>
      <c r="CD150" s="202"/>
      <c r="CE150" s="201"/>
      <c r="CF150" s="200"/>
      <c r="CG150" s="202"/>
      <c r="CH150" s="201"/>
      <c r="CI150" s="201"/>
      <c r="CJ150" s="201"/>
      <c r="CK150" s="198"/>
      <c r="CL150" s="200"/>
      <c r="CM150" s="199"/>
      <c r="CN150" s="198"/>
    </row>
    <row r="151" spans="1:92" ht="42">
      <c r="A151" s="208" t="s">
        <v>91</v>
      </c>
      <c r="B151" s="207">
        <v>96129</v>
      </c>
      <c r="C151" s="206" t="s">
        <v>90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  <c r="AA151" s="205"/>
      <c r="AB151" s="205"/>
      <c r="AC151" s="205"/>
      <c r="AD151" s="205"/>
      <c r="AE151" s="205"/>
      <c r="AF151" s="205"/>
      <c r="AG151" s="205"/>
      <c r="AH151" s="205"/>
      <c r="AI151" s="205"/>
      <c r="AJ151" s="205"/>
      <c r="AK151" s="205"/>
      <c r="AL151" s="205"/>
      <c r="AM151" s="205"/>
      <c r="AN151" s="205"/>
      <c r="AO151" s="205"/>
      <c r="AP151" s="205"/>
      <c r="AQ151" s="205"/>
      <c r="AR151" s="205"/>
      <c r="AS151" s="205"/>
      <c r="AT151" s="205"/>
      <c r="AU151" s="205"/>
      <c r="AV151" s="205"/>
      <c r="AW151" s="205"/>
      <c r="AX151" s="205"/>
      <c r="AY151" s="205"/>
      <c r="AZ151" s="205"/>
      <c r="BA151" s="205"/>
      <c r="BB151" s="205"/>
      <c r="BC151" s="205"/>
      <c r="BD151" s="205"/>
      <c r="BE151" s="205"/>
      <c r="BF151" s="205"/>
      <c r="BG151" s="205"/>
      <c r="BH151" s="205"/>
      <c r="BI151" s="205"/>
      <c r="BJ151" s="205"/>
      <c r="BK151" s="205"/>
      <c r="BL151" s="205"/>
      <c r="BM151" s="205"/>
      <c r="BN151" s="205"/>
      <c r="BO151" s="205"/>
      <c r="BP151" s="205"/>
      <c r="BQ151" s="205"/>
      <c r="BR151" s="205"/>
      <c r="BS151" s="205"/>
      <c r="BT151" s="205"/>
      <c r="BU151" s="205"/>
      <c r="BV151" s="205"/>
      <c r="BW151" s="205"/>
      <c r="BX151" s="205"/>
      <c r="BY151" s="205"/>
      <c r="BZ151" s="204"/>
      <c r="CA151" s="204"/>
      <c r="CB151" s="204"/>
      <c r="CC151" s="200"/>
      <c r="CD151" s="202"/>
      <c r="CE151" s="201"/>
      <c r="CF151" s="200"/>
      <c r="CG151" s="202"/>
      <c r="CH151" s="201"/>
      <c r="CI151" s="201"/>
      <c r="CJ151" s="201"/>
      <c r="CK151" s="198">
        <f>TRUNC(AL151*CJ151)+0</f>
        <v>0</v>
      </c>
      <c r="CL151" s="200"/>
      <c r="CM151" s="199">
        <f>TRUNC(CL151*AK151,2)</f>
        <v>0</v>
      </c>
      <c r="CN151" s="198">
        <f>TRUNC(CM151*AL151)+0</f>
        <v>0</v>
      </c>
    </row>
    <row r="152" spans="1:92" ht="15" customHeight="1">
      <c r="A152" s="208"/>
      <c r="B152" s="207"/>
      <c r="C152" s="206"/>
      <c r="D152" s="265" t="s">
        <v>362</v>
      </c>
      <c r="E152" s="264"/>
      <c r="F152" s="264"/>
      <c r="G152" s="264"/>
      <c r="H152" s="264"/>
      <c r="I152" s="264"/>
      <c r="J152" s="264"/>
      <c r="K152" s="264"/>
      <c r="L152" s="264"/>
      <c r="M152" s="264"/>
      <c r="N152" s="264"/>
      <c r="O152" s="264"/>
      <c r="P152" s="264"/>
      <c r="Q152" s="264"/>
      <c r="R152" s="264"/>
      <c r="S152" s="264"/>
      <c r="T152" s="264"/>
      <c r="U152" s="264"/>
      <c r="V152" s="264"/>
      <c r="W152" s="264"/>
      <c r="X152" s="264"/>
      <c r="Y152" s="264"/>
      <c r="Z152" s="264"/>
      <c r="AA152" s="264"/>
      <c r="AB152" s="264"/>
      <c r="AC152" s="264"/>
      <c r="AD152" s="264"/>
      <c r="AE152" s="264"/>
      <c r="AF152" s="264"/>
      <c r="AG152" s="264"/>
      <c r="AH152" s="264"/>
      <c r="AI152" s="264"/>
      <c r="AJ152" s="264"/>
      <c r="AK152" s="264"/>
      <c r="AL152" s="264"/>
      <c r="AM152" s="264"/>
      <c r="AN152" s="264"/>
      <c r="AO152" s="264"/>
      <c r="AP152" s="264"/>
      <c r="AQ152" s="264"/>
      <c r="AR152" s="264"/>
      <c r="AS152" s="264"/>
      <c r="AT152" s="264"/>
      <c r="AU152" s="264"/>
      <c r="AV152" s="264"/>
      <c r="AW152" s="264"/>
      <c r="AX152" s="264"/>
      <c r="AY152" s="264"/>
      <c r="AZ152" s="264"/>
      <c r="BA152" s="264"/>
      <c r="BB152" s="264"/>
      <c r="BC152" s="264"/>
      <c r="BD152" s="264"/>
      <c r="BE152" s="264"/>
      <c r="BF152" s="264"/>
      <c r="BG152" s="264"/>
      <c r="BH152" s="264"/>
      <c r="BI152" s="264"/>
      <c r="BJ152" s="264"/>
      <c r="BK152" s="264"/>
      <c r="BL152" s="264"/>
      <c r="BM152" s="264"/>
      <c r="BN152" s="264"/>
      <c r="BO152" s="264"/>
      <c r="BP152" s="264"/>
      <c r="BQ152" s="264"/>
      <c r="BR152" s="264"/>
      <c r="BS152" s="264"/>
      <c r="BT152" s="264"/>
      <c r="BU152" s="264"/>
      <c r="BV152" s="264"/>
      <c r="BW152" s="263"/>
      <c r="BX152" s="214"/>
      <c r="BY152" s="214"/>
      <c r="BZ152" s="204"/>
      <c r="CA152" s="204"/>
      <c r="CB152" s="204"/>
      <c r="CC152" s="200"/>
      <c r="CD152" s="202"/>
      <c r="CE152" s="201"/>
      <c r="CF152" s="200"/>
      <c r="CG152" s="202"/>
      <c r="CH152" s="201"/>
      <c r="CI152" s="201"/>
      <c r="CJ152" s="201"/>
      <c r="CK152" s="198"/>
      <c r="CL152" s="200"/>
      <c r="CM152" s="199"/>
      <c r="CN152" s="198"/>
    </row>
    <row r="153" spans="1:92">
      <c r="A153" s="208"/>
      <c r="B153" s="207"/>
      <c r="C153" s="221" t="s">
        <v>331</v>
      </c>
      <c r="D153" s="234">
        <v>1.6</v>
      </c>
      <c r="E153" s="234" t="s">
        <v>310</v>
      </c>
      <c r="F153" s="229">
        <v>1.6</v>
      </c>
      <c r="G153" s="229" t="s">
        <v>310</v>
      </c>
      <c r="H153" s="229">
        <v>1.6</v>
      </c>
      <c r="I153" s="229" t="s">
        <v>310</v>
      </c>
      <c r="J153" s="229">
        <v>1.6</v>
      </c>
      <c r="K153" s="229"/>
      <c r="L153" s="229"/>
      <c r="M153" s="229"/>
      <c r="N153" s="229"/>
      <c r="O153" s="229"/>
      <c r="P153" s="229"/>
      <c r="Q153" s="229"/>
      <c r="R153" s="229"/>
      <c r="S153" s="229"/>
      <c r="T153" s="229"/>
      <c r="U153" s="229"/>
      <c r="V153" s="229"/>
      <c r="W153" s="236"/>
      <c r="X153" s="232"/>
      <c r="Y153" s="235"/>
      <c r="Z153" s="227"/>
      <c r="AA153" s="224"/>
      <c r="AB153" s="228"/>
      <c r="AC153" s="227"/>
      <c r="AD153" s="93"/>
      <c r="AE153" s="226"/>
      <c r="AF153" s="227"/>
      <c r="AG153" s="93"/>
      <c r="AH153" s="226"/>
      <c r="AI153" s="227"/>
      <c r="AJ153" s="93"/>
      <c r="AK153" s="226"/>
      <c r="AL153" s="227"/>
      <c r="AM153" s="93"/>
      <c r="AN153" s="226"/>
      <c r="AO153" s="95"/>
      <c r="AP153" s="93"/>
      <c r="AQ153" s="226"/>
      <c r="AR153" s="225"/>
      <c r="AS153" s="224"/>
      <c r="AT153" s="204"/>
      <c r="AU153" s="204"/>
      <c r="AV153" s="214"/>
      <c r="AW153" s="214"/>
      <c r="AX153" s="214"/>
      <c r="AY153" s="214"/>
      <c r="AZ153" s="214"/>
      <c r="BA153" s="214"/>
      <c r="BB153" s="214"/>
      <c r="BC153" s="214"/>
      <c r="BD153" s="214"/>
      <c r="BE153" s="214"/>
      <c r="BF153" s="214"/>
      <c r="BG153" s="214"/>
      <c r="BH153" s="214"/>
      <c r="BI153" s="214"/>
      <c r="BJ153" s="214"/>
      <c r="BK153" s="214"/>
      <c r="BL153" s="214"/>
      <c r="BM153" s="214"/>
      <c r="BN153" s="214"/>
      <c r="BO153" s="214"/>
      <c r="BP153" s="214"/>
      <c r="BQ153" s="214"/>
      <c r="BR153" s="214"/>
      <c r="BS153" s="214"/>
      <c r="BT153" s="214"/>
      <c r="BU153" s="214"/>
      <c r="BV153" s="214" t="s">
        <v>338</v>
      </c>
      <c r="BW153" s="214">
        <v>2.7</v>
      </c>
      <c r="BX153" s="223" t="s">
        <v>10</v>
      </c>
      <c r="BY153" s="222">
        <f>(D153+F153+H153+J153+L153+N153+P153)*BW153</f>
        <v>17.28</v>
      </c>
      <c r="BZ153" s="204"/>
      <c r="CA153" s="204"/>
      <c r="CB153" s="204"/>
      <c r="CC153" s="200"/>
      <c r="CD153" s="202"/>
      <c r="CE153" s="201"/>
      <c r="CF153" s="200"/>
      <c r="CG153" s="202"/>
      <c r="CH153" s="201"/>
      <c r="CI153" s="201"/>
      <c r="CJ153" s="201"/>
      <c r="CK153" s="198"/>
      <c r="CL153" s="200"/>
      <c r="CM153" s="199"/>
      <c r="CN153" s="198"/>
    </row>
    <row r="154" spans="1:92">
      <c r="A154" s="208"/>
      <c r="B154" s="207"/>
      <c r="C154" s="221" t="s">
        <v>329</v>
      </c>
      <c r="D154" s="234">
        <v>3.55</v>
      </c>
      <c r="E154" s="234" t="s">
        <v>310</v>
      </c>
      <c r="F154" s="229">
        <v>2.75</v>
      </c>
      <c r="G154" s="229" t="s">
        <v>310</v>
      </c>
      <c r="H154" s="229">
        <v>3.55</v>
      </c>
      <c r="I154" s="229" t="s">
        <v>310</v>
      </c>
      <c r="J154" s="229">
        <v>2.75</v>
      </c>
      <c r="K154" s="229"/>
      <c r="L154" s="229"/>
      <c r="M154" s="229"/>
      <c r="N154" s="229"/>
      <c r="O154" s="229"/>
      <c r="P154" s="229"/>
      <c r="Q154" s="229"/>
      <c r="R154" s="229"/>
      <c r="S154" s="229"/>
      <c r="T154" s="229"/>
      <c r="U154" s="229"/>
      <c r="V154" s="229"/>
      <c r="W154" s="236"/>
      <c r="X154" s="232"/>
      <c r="Y154" s="235"/>
      <c r="Z154" s="227"/>
      <c r="AA154" s="224"/>
      <c r="AB154" s="228"/>
      <c r="AC154" s="227"/>
      <c r="AD154" s="93"/>
      <c r="AE154" s="226"/>
      <c r="AF154" s="227"/>
      <c r="AG154" s="93"/>
      <c r="AH154" s="226"/>
      <c r="AI154" s="227"/>
      <c r="AJ154" s="93"/>
      <c r="AK154" s="226"/>
      <c r="AL154" s="227"/>
      <c r="AM154" s="93"/>
      <c r="AN154" s="226"/>
      <c r="AO154" s="95"/>
      <c r="AP154" s="93"/>
      <c r="AQ154" s="226"/>
      <c r="AR154" s="225"/>
      <c r="AS154" s="224"/>
      <c r="AT154" s="204"/>
      <c r="AU154" s="204"/>
      <c r="AV154" s="214"/>
      <c r="AW154" s="214"/>
      <c r="AX154" s="214"/>
      <c r="AY154" s="214"/>
      <c r="AZ154" s="214"/>
      <c r="BA154" s="214"/>
      <c r="BB154" s="214"/>
      <c r="BC154" s="214"/>
      <c r="BD154" s="214"/>
      <c r="BE154" s="214"/>
      <c r="BF154" s="214"/>
      <c r="BG154" s="214"/>
      <c r="BH154" s="214"/>
      <c r="BI154" s="214"/>
      <c r="BJ154" s="214"/>
      <c r="BK154" s="214"/>
      <c r="BL154" s="214"/>
      <c r="BM154" s="214"/>
      <c r="BN154" s="214"/>
      <c r="BO154" s="214"/>
      <c r="BP154" s="214"/>
      <c r="BQ154" s="214"/>
      <c r="BR154" s="214"/>
      <c r="BS154" s="214"/>
      <c r="BT154" s="214"/>
      <c r="BU154" s="214"/>
      <c r="BV154" s="214" t="s">
        <v>338</v>
      </c>
      <c r="BW154" s="214">
        <v>2.7</v>
      </c>
      <c r="BX154" s="223" t="s">
        <v>10</v>
      </c>
      <c r="BY154" s="222">
        <f>(D154+F154+H154+J154+L154+N154+P154)*BW154</f>
        <v>34.020000000000003</v>
      </c>
      <c r="BZ154" s="204"/>
      <c r="CA154" s="204"/>
      <c r="CB154" s="204"/>
      <c r="CC154" s="200"/>
      <c r="CD154" s="202"/>
      <c r="CE154" s="201"/>
      <c r="CF154" s="200"/>
      <c r="CG154" s="202"/>
      <c r="CH154" s="201"/>
      <c r="CI154" s="201"/>
      <c r="CJ154" s="201"/>
      <c r="CK154" s="198"/>
      <c r="CL154" s="200"/>
      <c r="CM154" s="199"/>
      <c r="CN154" s="198"/>
    </row>
    <row r="155" spans="1:92">
      <c r="A155" s="208"/>
      <c r="B155" s="207"/>
      <c r="C155" s="221" t="s">
        <v>326</v>
      </c>
      <c r="D155" s="234">
        <v>1.44</v>
      </c>
      <c r="E155" s="234" t="s">
        <v>310</v>
      </c>
      <c r="F155" s="229">
        <v>6.41</v>
      </c>
      <c r="G155" s="246" t="s">
        <v>310</v>
      </c>
      <c r="H155" s="245">
        <v>0.59</v>
      </c>
      <c r="I155" s="229" t="s">
        <v>310</v>
      </c>
      <c r="J155" s="244">
        <v>1.35</v>
      </c>
      <c r="K155" s="229" t="s">
        <v>310</v>
      </c>
      <c r="L155" s="229">
        <v>4.95</v>
      </c>
      <c r="M155" s="229" t="s">
        <v>310</v>
      </c>
      <c r="N155" s="229">
        <v>7.76</v>
      </c>
      <c r="O155" s="229" t="s">
        <v>310</v>
      </c>
      <c r="P155" s="229">
        <v>3.8</v>
      </c>
      <c r="Q155" s="229"/>
      <c r="R155" s="229"/>
      <c r="S155" s="229"/>
      <c r="T155" s="229"/>
      <c r="U155" s="229"/>
      <c r="V155" s="229"/>
      <c r="W155" s="204"/>
      <c r="X155" s="204"/>
      <c r="Y155" s="204"/>
      <c r="Z155" s="204"/>
      <c r="AA155" s="242"/>
      <c r="AB155" s="223"/>
      <c r="AC155" s="241"/>
      <c r="AD155" s="240"/>
      <c r="AE155" s="239"/>
      <c r="AF155" s="241"/>
      <c r="AG155" s="240"/>
      <c r="AH155" s="239"/>
      <c r="AI155" s="241"/>
      <c r="AJ155" s="240"/>
      <c r="AK155" s="239"/>
      <c r="AL155" s="241"/>
      <c r="AM155" s="240"/>
      <c r="AN155" s="239"/>
      <c r="AP155" s="237"/>
      <c r="AQ155" s="226"/>
      <c r="AR155" s="225"/>
      <c r="AS155" s="224"/>
      <c r="AT155" s="204"/>
      <c r="AU155" s="204"/>
      <c r="AV155" s="214"/>
      <c r="AW155" s="214"/>
      <c r="AX155" s="214"/>
      <c r="AY155" s="214"/>
      <c r="AZ155" s="214"/>
      <c r="BA155" s="214"/>
      <c r="BB155" s="214"/>
      <c r="BC155" s="214"/>
      <c r="BD155" s="214"/>
      <c r="BE155" s="214"/>
      <c r="BF155" s="214"/>
      <c r="BG155" s="214"/>
      <c r="BH155" s="214"/>
      <c r="BI155" s="214"/>
      <c r="BJ155" s="214"/>
      <c r="BK155" s="214"/>
      <c r="BL155" s="214"/>
      <c r="BM155" s="214"/>
      <c r="BN155" s="214"/>
      <c r="BO155" s="214"/>
      <c r="BP155" s="214"/>
      <c r="BQ155" s="214"/>
      <c r="BR155" s="214"/>
      <c r="BS155" s="214"/>
      <c r="BT155" s="214"/>
      <c r="BU155" s="214"/>
      <c r="BV155" s="214" t="s">
        <v>338</v>
      </c>
      <c r="BW155" s="214">
        <v>4.4000000000000004</v>
      </c>
      <c r="BX155" s="223" t="s">
        <v>10</v>
      </c>
      <c r="BY155" s="222">
        <f>(D155+F155+H155+J155+L155+N155+P155)*BW155</f>
        <v>115.72000000000001</v>
      </c>
      <c r="BZ155" s="204"/>
      <c r="CA155" s="204"/>
      <c r="CB155" s="204"/>
      <c r="CC155" s="200"/>
      <c r="CD155" s="202"/>
      <c r="CE155" s="201"/>
      <c r="CF155" s="200"/>
      <c r="CG155" s="202"/>
      <c r="CH155" s="201"/>
      <c r="CI155" s="201"/>
      <c r="CJ155" s="201"/>
      <c r="CK155" s="198"/>
      <c r="CL155" s="200"/>
      <c r="CM155" s="199"/>
      <c r="CN155" s="198"/>
    </row>
    <row r="156" spans="1:92">
      <c r="A156" s="208"/>
      <c r="B156" s="207"/>
      <c r="C156" s="221" t="s">
        <v>325</v>
      </c>
      <c r="D156" s="234">
        <v>3.06</v>
      </c>
      <c r="E156" s="234" t="s">
        <v>310</v>
      </c>
      <c r="F156" s="229">
        <v>1.1000000000000001</v>
      </c>
      <c r="G156" s="246" t="s">
        <v>310</v>
      </c>
      <c r="H156" s="245">
        <v>3.06</v>
      </c>
      <c r="I156" s="229"/>
      <c r="J156" s="244"/>
      <c r="K156" s="229"/>
      <c r="L156" s="229"/>
      <c r="M156" s="229"/>
      <c r="N156" s="229"/>
      <c r="O156" s="229"/>
      <c r="P156" s="274">
        <v>0</v>
      </c>
      <c r="Q156" s="229"/>
      <c r="R156" s="229"/>
      <c r="S156" s="229"/>
      <c r="T156" s="229"/>
      <c r="U156" s="229"/>
      <c r="V156" s="229"/>
      <c r="W156" s="236"/>
      <c r="X156" s="235"/>
      <c r="Y156" s="231"/>
      <c r="Z156" s="204"/>
      <c r="AA156" s="242"/>
      <c r="AB156" s="223"/>
      <c r="AC156" s="241"/>
      <c r="AD156" s="240"/>
      <c r="AE156" s="239"/>
      <c r="AF156" s="241"/>
      <c r="AG156" s="240"/>
      <c r="AH156" s="239"/>
      <c r="AI156" s="241"/>
      <c r="AJ156" s="240"/>
      <c r="AK156" s="239"/>
      <c r="AL156" s="241"/>
      <c r="AM156" s="240"/>
      <c r="AN156" s="239"/>
      <c r="AO156" s="238"/>
      <c r="AP156" s="237"/>
      <c r="AQ156" s="226"/>
      <c r="AR156" s="225"/>
      <c r="AS156" s="224"/>
      <c r="AT156" s="204"/>
      <c r="AU156" s="204"/>
      <c r="AV156" s="214"/>
      <c r="AW156" s="214"/>
      <c r="AX156" s="214"/>
      <c r="AY156" s="214"/>
      <c r="AZ156" s="214"/>
      <c r="BA156" s="214"/>
      <c r="BB156" s="214"/>
      <c r="BC156" s="214"/>
      <c r="BD156" s="214"/>
      <c r="BE156" s="214"/>
      <c r="BF156" s="214"/>
      <c r="BG156" s="214"/>
      <c r="BH156" s="214"/>
      <c r="BI156" s="214"/>
      <c r="BJ156" s="214"/>
      <c r="BK156" s="214"/>
      <c r="BL156" s="214"/>
      <c r="BM156" s="214"/>
      <c r="BN156" s="214"/>
      <c r="BO156" s="214"/>
      <c r="BP156" s="214"/>
      <c r="BQ156" s="214"/>
      <c r="BR156" s="214"/>
      <c r="BS156" s="214"/>
      <c r="BT156" s="214"/>
      <c r="BU156" s="214"/>
      <c r="BV156" s="214" t="s">
        <v>338</v>
      </c>
      <c r="BW156" s="214">
        <v>2.7</v>
      </c>
      <c r="BX156" s="223" t="s">
        <v>10</v>
      </c>
      <c r="BY156" s="222">
        <f>(D156+F156+H156+J156+L156+N156+P156)*BW156</f>
        <v>19.494000000000003</v>
      </c>
      <c r="BZ156" s="204"/>
      <c r="CA156" s="204"/>
      <c r="CB156" s="204"/>
      <c r="CC156" s="200"/>
      <c r="CD156" s="202"/>
      <c r="CE156" s="201"/>
      <c r="CF156" s="200"/>
      <c r="CG156" s="202"/>
      <c r="CH156" s="201"/>
      <c r="CI156" s="201"/>
      <c r="CJ156" s="201"/>
      <c r="CK156" s="198"/>
      <c r="CL156" s="200"/>
      <c r="CM156" s="199"/>
      <c r="CN156" s="198"/>
    </row>
    <row r="157" spans="1:92">
      <c r="A157" s="208"/>
      <c r="B157" s="207"/>
      <c r="C157" s="221" t="s">
        <v>324</v>
      </c>
      <c r="D157" s="234">
        <v>2.8</v>
      </c>
      <c r="E157" s="234" t="s">
        <v>310</v>
      </c>
      <c r="F157" s="229">
        <v>3.06</v>
      </c>
      <c r="G157" s="229" t="s">
        <v>310</v>
      </c>
      <c r="H157" s="229">
        <v>2.8</v>
      </c>
      <c r="I157" s="229" t="s">
        <v>310</v>
      </c>
      <c r="J157" s="229">
        <v>3.06</v>
      </c>
      <c r="K157" s="229"/>
      <c r="L157" s="229"/>
      <c r="M157" s="229"/>
      <c r="N157" s="229"/>
      <c r="O157" s="229"/>
      <c r="P157" s="229"/>
      <c r="Q157" s="229"/>
      <c r="R157" s="229"/>
      <c r="S157" s="229"/>
      <c r="T157" s="229"/>
      <c r="U157" s="229"/>
      <c r="V157" s="229"/>
      <c r="W157" s="236"/>
      <c r="X157" s="251"/>
      <c r="Y157" s="235"/>
      <c r="Z157" s="227"/>
      <c r="AA157" s="224"/>
      <c r="AB157" s="228"/>
      <c r="AC157" s="227"/>
      <c r="AD157" s="93"/>
      <c r="AE157" s="226"/>
      <c r="AF157" s="227"/>
      <c r="AG157" s="93"/>
      <c r="AH157" s="226"/>
      <c r="AI157" s="227"/>
      <c r="AJ157" s="93"/>
      <c r="AK157" s="226"/>
      <c r="AL157" s="227"/>
      <c r="AM157" s="93"/>
      <c r="AN157" s="226"/>
      <c r="AO157" s="95"/>
      <c r="AP157" s="93"/>
      <c r="AQ157" s="226"/>
      <c r="AR157" s="225"/>
      <c r="AS157" s="224"/>
      <c r="AT157" s="204"/>
      <c r="AU157" s="204"/>
      <c r="AV157" s="214"/>
      <c r="AW157" s="214"/>
      <c r="AX157" s="214"/>
      <c r="AY157" s="214"/>
      <c r="AZ157" s="214"/>
      <c r="BA157" s="214"/>
      <c r="BB157" s="214"/>
      <c r="BC157" s="214"/>
      <c r="BD157" s="214"/>
      <c r="BE157" s="214"/>
      <c r="BF157" s="214"/>
      <c r="BG157" s="214"/>
      <c r="BH157" s="214"/>
      <c r="BI157" s="214"/>
      <c r="BJ157" s="214"/>
      <c r="BK157" s="214"/>
      <c r="BL157" s="214"/>
      <c r="BM157" s="214"/>
      <c r="BN157" s="214"/>
      <c r="BO157" s="214"/>
      <c r="BP157" s="214"/>
      <c r="BQ157" s="214"/>
      <c r="BR157" s="214"/>
      <c r="BS157" s="214"/>
      <c r="BT157" s="214"/>
      <c r="BU157" s="214"/>
      <c r="BV157" s="214" t="s">
        <v>338</v>
      </c>
      <c r="BW157" s="214">
        <v>2.7</v>
      </c>
      <c r="BX157" s="223" t="s">
        <v>10</v>
      </c>
      <c r="BY157" s="222">
        <f>(D157+F157+H157+J157+L157+N157+P157)*BW157</f>
        <v>31.644000000000005</v>
      </c>
      <c r="BZ157" s="204"/>
      <c r="CA157" s="204"/>
      <c r="CB157" s="204"/>
      <c r="CC157" s="200"/>
      <c r="CD157" s="202"/>
      <c r="CE157" s="201"/>
      <c r="CF157" s="200"/>
      <c r="CG157" s="202"/>
      <c r="CH157" s="201"/>
      <c r="CI157" s="201"/>
      <c r="CJ157" s="201"/>
      <c r="CK157" s="198"/>
      <c r="CL157" s="200"/>
      <c r="CM157" s="199"/>
      <c r="CN157" s="198"/>
    </row>
    <row r="158" spans="1:92">
      <c r="A158" s="208"/>
      <c r="B158" s="207"/>
      <c r="C158" s="221" t="s">
        <v>323</v>
      </c>
      <c r="D158" s="234">
        <v>14.75</v>
      </c>
      <c r="E158" s="234" t="s">
        <v>310</v>
      </c>
      <c r="F158" s="229">
        <v>14.75</v>
      </c>
      <c r="G158" s="229"/>
      <c r="H158" s="229"/>
      <c r="I158" s="229"/>
      <c r="J158" s="229"/>
      <c r="K158" s="229"/>
      <c r="L158" s="229"/>
      <c r="M158" s="229"/>
      <c r="N158" s="229"/>
      <c r="O158" s="229"/>
      <c r="P158" s="229"/>
      <c r="Q158" s="229"/>
      <c r="R158" s="229"/>
      <c r="S158" s="229"/>
      <c r="T158" s="229"/>
      <c r="U158" s="229"/>
      <c r="V158" s="229"/>
      <c r="W158" s="236"/>
      <c r="X158" s="251"/>
      <c r="Y158" s="235"/>
      <c r="Z158" s="227"/>
      <c r="AA158" s="224"/>
      <c r="AB158" s="228"/>
      <c r="AC158" s="227"/>
      <c r="AD158" s="93"/>
      <c r="AE158" s="226"/>
      <c r="AF158" s="227"/>
      <c r="AG158" s="93"/>
      <c r="AH158" s="226"/>
      <c r="AI158" s="227"/>
      <c r="AJ158" s="93"/>
      <c r="AK158" s="226"/>
      <c r="AL158" s="227"/>
      <c r="AM158" s="93"/>
      <c r="AN158" s="226"/>
      <c r="AO158" s="95"/>
      <c r="AP158" s="93"/>
      <c r="AQ158" s="226"/>
      <c r="AR158" s="225"/>
      <c r="AS158" s="224"/>
      <c r="AT158" s="204"/>
      <c r="AU158" s="204"/>
      <c r="AV158" s="214"/>
      <c r="AW158" s="214"/>
      <c r="AX158" s="214"/>
      <c r="AY158" s="214"/>
      <c r="AZ158" s="214"/>
      <c r="BA158" s="214"/>
      <c r="BB158" s="214"/>
      <c r="BC158" s="214"/>
      <c r="BD158" s="214"/>
      <c r="BE158" s="214"/>
      <c r="BF158" s="214"/>
      <c r="BG158" s="214"/>
      <c r="BH158" s="214"/>
      <c r="BI158" s="214"/>
      <c r="BJ158" s="214"/>
      <c r="BK158" s="214"/>
      <c r="BL158" s="214"/>
      <c r="BM158" s="214"/>
      <c r="BN158" s="214"/>
      <c r="BO158" s="214"/>
      <c r="BP158" s="214"/>
      <c r="BQ158" s="214"/>
      <c r="BR158" s="214"/>
      <c r="BS158" s="214"/>
      <c r="BT158" s="214"/>
      <c r="BU158" s="214"/>
      <c r="BV158" s="214" t="s">
        <v>338</v>
      </c>
      <c r="BW158" s="214">
        <v>2.7</v>
      </c>
      <c r="BX158" s="223" t="s">
        <v>10</v>
      </c>
      <c r="BY158" s="222">
        <f>(D158+F158+H158+J158+L158+N158+P158)*BW158</f>
        <v>79.650000000000006</v>
      </c>
      <c r="BZ158" s="204"/>
      <c r="CA158" s="204"/>
      <c r="CB158" s="204"/>
      <c r="CC158" s="200"/>
      <c r="CD158" s="202"/>
      <c r="CE158" s="201"/>
      <c r="CF158" s="200"/>
      <c r="CG158" s="202"/>
      <c r="CH158" s="201"/>
      <c r="CI158" s="201"/>
      <c r="CJ158" s="201"/>
      <c r="CK158" s="198"/>
      <c r="CL158" s="200"/>
      <c r="CM158" s="199"/>
      <c r="CN158" s="198"/>
    </row>
    <row r="159" spans="1:92">
      <c r="A159" s="208"/>
      <c r="B159" s="207"/>
      <c r="C159" s="221" t="s">
        <v>320</v>
      </c>
      <c r="D159" s="234">
        <v>3.5</v>
      </c>
      <c r="E159" s="234" t="s">
        <v>310</v>
      </c>
      <c r="F159" s="229">
        <v>3.65</v>
      </c>
      <c r="G159" s="229" t="s">
        <v>310</v>
      </c>
      <c r="H159" s="229">
        <v>3.5</v>
      </c>
      <c r="I159" s="229" t="s">
        <v>310</v>
      </c>
      <c r="J159" s="229">
        <v>3.65</v>
      </c>
      <c r="K159" s="229"/>
      <c r="L159" s="229"/>
      <c r="M159" s="229"/>
      <c r="N159" s="229"/>
      <c r="O159" s="229"/>
      <c r="P159" s="229"/>
      <c r="Q159" s="229"/>
      <c r="R159" s="229"/>
      <c r="S159" s="229"/>
      <c r="T159" s="229"/>
      <c r="U159" s="229"/>
      <c r="V159" s="229"/>
      <c r="W159" s="236"/>
      <c r="X159" s="232"/>
      <c r="Y159" s="235"/>
      <c r="Z159" s="227"/>
      <c r="AA159" s="224"/>
      <c r="AB159" s="228"/>
      <c r="AC159" s="227"/>
      <c r="AD159" s="93"/>
      <c r="AE159" s="226"/>
      <c r="AF159" s="227"/>
      <c r="AG159" s="93"/>
      <c r="AH159" s="226"/>
      <c r="AI159" s="227"/>
      <c r="AJ159" s="93"/>
      <c r="AK159" s="226"/>
      <c r="AL159" s="227"/>
      <c r="AM159" s="93"/>
      <c r="AN159" s="226"/>
      <c r="AO159" s="95"/>
      <c r="AP159" s="93"/>
      <c r="AQ159" s="226"/>
      <c r="AR159" s="225"/>
      <c r="AS159" s="224"/>
      <c r="AT159" s="204"/>
      <c r="AU159" s="204"/>
      <c r="AV159" s="214"/>
      <c r="AW159" s="214"/>
      <c r="AX159" s="214"/>
      <c r="AY159" s="214"/>
      <c r="AZ159" s="214"/>
      <c r="BA159" s="214"/>
      <c r="BB159" s="214"/>
      <c r="BC159" s="214"/>
      <c r="BD159" s="214"/>
      <c r="BE159" s="214"/>
      <c r="BF159" s="214"/>
      <c r="BG159" s="214"/>
      <c r="BH159" s="214"/>
      <c r="BI159" s="214"/>
      <c r="BJ159" s="214"/>
      <c r="BK159" s="214"/>
      <c r="BL159" s="214"/>
      <c r="BM159" s="214"/>
      <c r="BN159" s="214"/>
      <c r="BO159" s="214"/>
      <c r="BP159" s="214"/>
      <c r="BQ159" s="214"/>
      <c r="BR159" s="214"/>
      <c r="BS159" s="214"/>
      <c r="BT159" s="214"/>
      <c r="BU159" s="214"/>
      <c r="BV159" s="214" t="s">
        <v>338</v>
      </c>
      <c r="BW159" s="214">
        <v>2.7</v>
      </c>
      <c r="BX159" s="223" t="s">
        <v>10</v>
      </c>
      <c r="BY159" s="222">
        <f>(D159+F159+H159+J159+L159+N159+P159)*BW159</f>
        <v>38.610000000000007</v>
      </c>
      <c r="BZ159" s="204"/>
      <c r="CA159" s="204"/>
      <c r="CB159" s="204"/>
      <c r="CC159" s="200"/>
      <c r="CD159" s="202"/>
      <c r="CE159" s="201"/>
      <c r="CF159" s="200"/>
      <c r="CG159" s="202"/>
      <c r="CH159" s="201"/>
      <c r="CI159" s="201"/>
      <c r="CJ159" s="201"/>
      <c r="CK159" s="198"/>
      <c r="CL159" s="200"/>
      <c r="CM159" s="199"/>
      <c r="CN159" s="198"/>
    </row>
    <row r="160" spans="1:92">
      <c r="A160" s="208"/>
      <c r="B160" s="207"/>
      <c r="C160" s="221" t="s">
        <v>319</v>
      </c>
      <c r="D160" s="234">
        <v>3.5</v>
      </c>
      <c r="E160" s="234" t="s">
        <v>310</v>
      </c>
      <c r="F160" s="229">
        <v>3.65</v>
      </c>
      <c r="G160" s="229" t="s">
        <v>310</v>
      </c>
      <c r="H160" s="229">
        <v>3.5</v>
      </c>
      <c r="I160" s="229" t="s">
        <v>310</v>
      </c>
      <c r="J160" s="229">
        <v>3.65</v>
      </c>
      <c r="K160" s="229"/>
      <c r="L160" s="229"/>
      <c r="M160" s="229"/>
      <c r="N160" s="229"/>
      <c r="O160" s="229"/>
      <c r="P160" s="229"/>
      <c r="Q160" s="229"/>
      <c r="R160" s="229"/>
      <c r="S160" s="229"/>
      <c r="T160" s="229"/>
      <c r="U160" s="229"/>
      <c r="V160" s="229"/>
      <c r="W160" s="236"/>
      <c r="X160" s="232"/>
      <c r="Y160" s="235"/>
      <c r="Z160" s="227"/>
      <c r="AA160" s="224"/>
      <c r="AB160" s="228"/>
      <c r="AC160" s="227"/>
      <c r="AD160" s="93"/>
      <c r="AE160" s="226"/>
      <c r="AF160" s="227"/>
      <c r="AG160" s="93"/>
      <c r="AH160" s="226"/>
      <c r="AI160" s="227"/>
      <c r="AJ160" s="93"/>
      <c r="AK160" s="226"/>
      <c r="AL160" s="227"/>
      <c r="AM160" s="93"/>
      <c r="AN160" s="226"/>
      <c r="AO160" s="95"/>
      <c r="AP160" s="93"/>
      <c r="AQ160" s="226"/>
      <c r="AR160" s="225"/>
      <c r="AS160" s="224"/>
      <c r="AT160" s="204"/>
      <c r="AU160" s="204"/>
      <c r="AV160" s="214"/>
      <c r="AW160" s="214"/>
      <c r="AX160" s="214"/>
      <c r="AY160" s="214"/>
      <c r="AZ160" s="214"/>
      <c r="BA160" s="214"/>
      <c r="BB160" s="214"/>
      <c r="BC160" s="214"/>
      <c r="BD160" s="214"/>
      <c r="BE160" s="214"/>
      <c r="BF160" s="214"/>
      <c r="BG160" s="214"/>
      <c r="BH160" s="214"/>
      <c r="BI160" s="214"/>
      <c r="BJ160" s="214"/>
      <c r="BK160" s="214"/>
      <c r="BL160" s="214"/>
      <c r="BM160" s="214"/>
      <c r="BN160" s="214"/>
      <c r="BO160" s="214"/>
      <c r="BP160" s="214"/>
      <c r="BQ160" s="214"/>
      <c r="BR160" s="214"/>
      <c r="BS160" s="214"/>
      <c r="BT160" s="214"/>
      <c r="BU160" s="214"/>
      <c r="BV160" s="214" t="s">
        <v>338</v>
      </c>
      <c r="BW160" s="214">
        <v>2.7</v>
      </c>
      <c r="BX160" s="223" t="s">
        <v>10</v>
      </c>
      <c r="BY160" s="222">
        <f>(D160+F160+H160+J160+L160+N160+P160)*BW160</f>
        <v>38.610000000000007</v>
      </c>
      <c r="BZ160" s="204"/>
      <c r="CA160" s="204"/>
      <c r="CB160" s="204"/>
      <c r="CC160" s="200"/>
      <c r="CD160" s="202"/>
      <c r="CE160" s="201"/>
      <c r="CF160" s="200"/>
      <c r="CG160" s="202"/>
      <c r="CH160" s="201"/>
      <c r="CI160" s="201"/>
      <c r="CJ160" s="201"/>
      <c r="CK160" s="198"/>
      <c r="CL160" s="200"/>
      <c r="CM160" s="199"/>
      <c r="CN160" s="198"/>
    </row>
    <row r="161" spans="1:92">
      <c r="A161" s="208"/>
      <c r="B161" s="207"/>
      <c r="C161" s="221" t="s">
        <v>318</v>
      </c>
      <c r="D161" s="234">
        <v>3.5</v>
      </c>
      <c r="E161" s="234" t="s">
        <v>310</v>
      </c>
      <c r="F161" s="229">
        <v>3.65</v>
      </c>
      <c r="G161" s="229" t="s">
        <v>310</v>
      </c>
      <c r="H161" s="229">
        <v>3.5</v>
      </c>
      <c r="I161" s="229" t="s">
        <v>310</v>
      </c>
      <c r="J161" s="229">
        <v>3.65</v>
      </c>
      <c r="K161" s="229"/>
      <c r="L161" s="229"/>
      <c r="M161" s="229"/>
      <c r="N161" s="229"/>
      <c r="O161" s="229"/>
      <c r="P161" s="229"/>
      <c r="Q161" s="229"/>
      <c r="R161" s="229"/>
      <c r="S161" s="229"/>
      <c r="T161" s="229"/>
      <c r="U161" s="229"/>
      <c r="V161" s="229"/>
      <c r="W161" s="236"/>
      <c r="X161" s="232"/>
      <c r="Y161" s="235"/>
      <c r="Z161" s="227"/>
      <c r="AA161" s="224"/>
      <c r="AB161" s="228"/>
      <c r="AC161" s="227"/>
      <c r="AD161" s="93"/>
      <c r="AE161" s="226"/>
      <c r="AF161" s="227"/>
      <c r="AG161" s="93"/>
      <c r="AH161" s="226"/>
      <c r="AI161" s="227"/>
      <c r="AJ161" s="93"/>
      <c r="AK161" s="226"/>
      <c r="AL161" s="227"/>
      <c r="AM161" s="93"/>
      <c r="AN161" s="226"/>
      <c r="AO161" s="95"/>
      <c r="AP161" s="93"/>
      <c r="AQ161" s="226"/>
      <c r="AR161" s="225"/>
      <c r="AS161" s="224"/>
      <c r="AT161" s="204"/>
      <c r="AU161" s="204"/>
      <c r="AV161" s="214"/>
      <c r="AW161" s="214"/>
      <c r="AX161" s="214"/>
      <c r="AY161" s="214"/>
      <c r="AZ161" s="214"/>
      <c r="BA161" s="214"/>
      <c r="BB161" s="214"/>
      <c r="BC161" s="214"/>
      <c r="BD161" s="214"/>
      <c r="BE161" s="214"/>
      <c r="BF161" s="214"/>
      <c r="BG161" s="214"/>
      <c r="BH161" s="214"/>
      <c r="BI161" s="214"/>
      <c r="BJ161" s="214"/>
      <c r="BK161" s="214"/>
      <c r="BL161" s="214"/>
      <c r="BM161" s="214"/>
      <c r="BN161" s="214"/>
      <c r="BO161" s="214"/>
      <c r="BP161" s="214"/>
      <c r="BQ161" s="214"/>
      <c r="BR161" s="214"/>
      <c r="BS161" s="214"/>
      <c r="BT161" s="214"/>
      <c r="BU161" s="214"/>
      <c r="BV161" s="214" t="s">
        <v>338</v>
      </c>
      <c r="BW161" s="214">
        <v>2.7</v>
      </c>
      <c r="BX161" s="223" t="s">
        <v>10</v>
      </c>
      <c r="BY161" s="222">
        <f>(D161+F161+H161+J161+L161+N161+P161)*BW161</f>
        <v>38.610000000000007</v>
      </c>
      <c r="BZ161" s="204"/>
      <c r="CA161" s="204"/>
      <c r="CB161" s="204"/>
      <c r="CC161" s="200"/>
      <c r="CD161" s="202"/>
      <c r="CE161" s="201"/>
      <c r="CF161" s="200"/>
      <c r="CG161" s="202"/>
      <c r="CH161" s="201"/>
      <c r="CI161" s="201"/>
      <c r="CJ161" s="201"/>
      <c r="CK161" s="198"/>
      <c r="CL161" s="200"/>
      <c r="CM161" s="199"/>
      <c r="CN161" s="198"/>
    </row>
    <row r="162" spans="1:92">
      <c r="A162" s="208"/>
      <c r="B162" s="207"/>
      <c r="C162" s="221" t="s">
        <v>317</v>
      </c>
      <c r="D162" s="234">
        <v>3.5</v>
      </c>
      <c r="E162" s="234" t="s">
        <v>310</v>
      </c>
      <c r="F162" s="229">
        <v>3.65</v>
      </c>
      <c r="G162" s="229" t="s">
        <v>310</v>
      </c>
      <c r="H162" s="229">
        <v>3.5</v>
      </c>
      <c r="I162" s="229" t="s">
        <v>310</v>
      </c>
      <c r="J162" s="229">
        <v>3.65</v>
      </c>
      <c r="K162" s="229"/>
      <c r="L162" s="229"/>
      <c r="M162" s="229"/>
      <c r="N162" s="229"/>
      <c r="O162" s="229"/>
      <c r="P162" s="229"/>
      <c r="Q162" s="229"/>
      <c r="R162" s="229"/>
      <c r="S162" s="229"/>
      <c r="T162" s="229"/>
      <c r="U162" s="229"/>
      <c r="V162" s="229"/>
      <c r="W162" s="236"/>
      <c r="X162" s="232"/>
      <c r="Y162" s="235"/>
      <c r="Z162" s="227"/>
      <c r="AA162" s="224"/>
      <c r="AB162" s="228"/>
      <c r="AC162" s="227"/>
      <c r="AD162" s="93"/>
      <c r="AE162" s="226"/>
      <c r="AF162" s="227"/>
      <c r="AG162" s="93"/>
      <c r="AH162" s="226"/>
      <c r="AI162" s="227"/>
      <c r="AJ162" s="93"/>
      <c r="AK162" s="226"/>
      <c r="AL162" s="227"/>
      <c r="AM162" s="93"/>
      <c r="AN162" s="226"/>
      <c r="AO162" s="95"/>
      <c r="AP162" s="93"/>
      <c r="AQ162" s="226"/>
      <c r="AR162" s="225"/>
      <c r="AS162" s="224"/>
      <c r="AT162" s="204"/>
      <c r="AU162" s="204"/>
      <c r="AV162" s="214"/>
      <c r="AW162" s="214"/>
      <c r="AX162" s="214"/>
      <c r="AY162" s="214"/>
      <c r="AZ162" s="214"/>
      <c r="BA162" s="214"/>
      <c r="BB162" s="214"/>
      <c r="BC162" s="214"/>
      <c r="BD162" s="214"/>
      <c r="BE162" s="214"/>
      <c r="BF162" s="214"/>
      <c r="BG162" s="214"/>
      <c r="BH162" s="214"/>
      <c r="BI162" s="214"/>
      <c r="BJ162" s="214"/>
      <c r="BK162" s="214"/>
      <c r="BL162" s="214"/>
      <c r="BM162" s="214"/>
      <c r="BN162" s="214"/>
      <c r="BO162" s="214"/>
      <c r="BP162" s="214"/>
      <c r="BQ162" s="214"/>
      <c r="BR162" s="214"/>
      <c r="BS162" s="214"/>
      <c r="BT162" s="214"/>
      <c r="BU162" s="214"/>
      <c r="BV162" s="214" t="s">
        <v>338</v>
      </c>
      <c r="BW162" s="214">
        <v>2.7</v>
      </c>
      <c r="BX162" s="223" t="s">
        <v>10</v>
      </c>
      <c r="BY162" s="222">
        <f>(D162+F162+H162+J162+L162+N162+P162)*BW162</f>
        <v>38.610000000000007</v>
      </c>
      <c r="BZ162" s="204"/>
      <c r="CA162" s="204"/>
      <c r="CB162" s="204"/>
      <c r="CC162" s="200"/>
      <c r="CD162" s="202"/>
      <c r="CE162" s="201"/>
      <c r="CF162" s="200"/>
      <c r="CG162" s="202"/>
      <c r="CH162" s="201"/>
      <c r="CI162" s="201"/>
      <c r="CJ162" s="201"/>
      <c r="CK162" s="198"/>
      <c r="CL162" s="200"/>
      <c r="CM162" s="199"/>
      <c r="CN162" s="198"/>
    </row>
    <row r="163" spans="1:92">
      <c r="A163" s="208"/>
      <c r="B163" s="207"/>
      <c r="C163" s="221" t="s">
        <v>316</v>
      </c>
      <c r="D163" s="234">
        <v>3.5</v>
      </c>
      <c r="E163" s="234" t="s">
        <v>310</v>
      </c>
      <c r="F163" s="229">
        <v>3.65</v>
      </c>
      <c r="G163" s="229" t="s">
        <v>310</v>
      </c>
      <c r="H163" s="229">
        <v>3.5</v>
      </c>
      <c r="I163" s="229" t="s">
        <v>310</v>
      </c>
      <c r="J163" s="229">
        <v>3.65</v>
      </c>
      <c r="K163" s="229"/>
      <c r="L163" s="229"/>
      <c r="M163" s="229"/>
      <c r="N163" s="229"/>
      <c r="O163" s="229"/>
      <c r="P163" s="229"/>
      <c r="Q163" s="229"/>
      <c r="R163" s="229"/>
      <c r="S163" s="229"/>
      <c r="T163" s="229"/>
      <c r="U163" s="229"/>
      <c r="V163" s="229"/>
      <c r="W163" s="236"/>
      <c r="X163" s="232"/>
      <c r="Y163" s="235"/>
      <c r="Z163" s="227"/>
      <c r="AA163" s="224"/>
      <c r="AB163" s="228"/>
      <c r="AC163" s="227"/>
      <c r="AD163" s="93"/>
      <c r="AE163" s="226"/>
      <c r="AF163" s="227"/>
      <c r="AG163" s="93"/>
      <c r="AH163" s="226"/>
      <c r="AI163" s="227"/>
      <c r="AJ163" s="93"/>
      <c r="AK163" s="226"/>
      <c r="AL163" s="227"/>
      <c r="AM163" s="93"/>
      <c r="AN163" s="226"/>
      <c r="AO163" s="95"/>
      <c r="AP163" s="93"/>
      <c r="AQ163" s="226"/>
      <c r="AR163" s="225"/>
      <c r="AS163" s="224"/>
      <c r="AT163" s="204"/>
      <c r="AU163" s="204"/>
      <c r="AV163" s="214"/>
      <c r="AW163" s="214"/>
      <c r="AX163" s="214"/>
      <c r="AY163" s="214"/>
      <c r="AZ163" s="214"/>
      <c r="BA163" s="214"/>
      <c r="BB163" s="214"/>
      <c r="BC163" s="214"/>
      <c r="BD163" s="214"/>
      <c r="BE163" s="214"/>
      <c r="BF163" s="214"/>
      <c r="BG163" s="214"/>
      <c r="BH163" s="214"/>
      <c r="BI163" s="214"/>
      <c r="BJ163" s="214"/>
      <c r="BK163" s="214"/>
      <c r="BL163" s="214"/>
      <c r="BM163" s="214"/>
      <c r="BN163" s="214"/>
      <c r="BO163" s="214"/>
      <c r="BP163" s="214"/>
      <c r="BQ163" s="214"/>
      <c r="BR163" s="214"/>
      <c r="BS163" s="214"/>
      <c r="BT163" s="214"/>
      <c r="BU163" s="214"/>
      <c r="BV163" s="214" t="s">
        <v>338</v>
      </c>
      <c r="BW163" s="214">
        <v>2.7</v>
      </c>
      <c r="BX163" s="223" t="s">
        <v>10</v>
      </c>
      <c r="BY163" s="222">
        <f>(D163+F163+H163+J163+L163+N163+P163)*BW163</f>
        <v>38.610000000000007</v>
      </c>
      <c r="BZ163" s="204"/>
      <c r="CA163" s="204"/>
      <c r="CB163" s="204"/>
      <c r="CC163" s="200"/>
      <c r="CD163" s="202"/>
      <c r="CE163" s="201"/>
      <c r="CF163" s="200"/>
      <c r="CG163" s="202"/>
      <c r="CH163" s="201"/>
      <c r="CI163" s="201"/>
      <c r="CJ163" s="201"/>
      <c r="CK163" s="198"/>
      <c r="CL163" s="200"/>
      <c r="CM163" s="199"/>
      <c r="CN163" s="198"/>
    </row>
    <row r="164" spans="1:92">
      <c r="A164" s="208"/>
      <c r="B164" s="207"/>
      <c r="C164" s="221" t="s">
        <v>315</v>
      </c>
      <c r="D164" s="234">
        <v>3.5</v>
      </c>
      <c r="E164" s="234" t="s">
        <v>310</v>
      </c>
      <c r="F164" s="229">
        <v>3.65</v>
      </c>
      <c r="G164" s="229" t="s">
        <v>310</v>
      </c>
      <c r="H164" s="229">
        <v>3.5</v>
      </c>
      <c r="I164" s="229" t="s">
        <v>310</v>
      </c>
      <c r="J164" s="229">
        <v>3.65</v>
      </c>
      <c r="K164" s="229"/>
      <c r="L164" s="229"/>
      <c r="M164" s="229"/>
      <c r="N164" s="229"/>
      <c r="O164" s="229"/>
      <c r="P164" s="229"/>
      <c r="Q164" s="229"/>
      <c r="R164" s="229"/>
      <c r="S164" s="229"/>
      <c r="T164" s="229"/>
      <c r="U164" s="229"/>
      <c r="V164" s="229"/>
      <c r="W164" s="236"/>
      <c r="X164" s="232"/>
      <c r="Y164" s="235"/>
      <c r="Z164" s="227"/>
      <c r="AA164" s="224"/>
      <c r="AB164" s="228"/>
      <c r="AC164" s="227"/>
      <c r="AD164" s="93"/>
      <c r="AE164" s="226"/>
      <c r="AF164" s="227"/>
      <c r="AG164" s="93"/>
      <c r="AH164" s="226"/>
      <c r="AI164" s="227"/>
      <c r="AJ164" s="93"/>
      <c r="AK164" s="226"/>
      <c r="AL164" s="227"/>
      <c r="AM164" s="93"/>
      <c r="AN164" s="226"/>
      <c r="AO164" s="95"/>
      <c r="AP164" s="93"/>
      <c r="AQ164" s="226"/>
      <c r="AR164" s="225"/>
      <c r="AS164" s="224"/>
      <c r="AT164" s="204"/>
      <c r="AU164" s="204"/>
      <c r="AV164" s="214"/>
      <c r="AW164" s="214"/>
      <c r="AX164" s="214"/>
      <c r="AY164" s="214"/>
      <c r="AZ164" s="214"/>
      <c r="BA164" s="214"/>
      <c r="BB164" s="214"/>
      <c r="BC164" s="214"/>
      <c r="BD164" s="214"/>
      <c r="BE164" s="214"/>
      <c r="BF164" s="214"/>
      <c r="BG164" s="214"/>
      <c r="BH164" s="214"/>
      <c r="BI164" s="214"/>
      <c r="BJ164" s="214"/>
      <c r="BK164" s="214"/>
      <c r="BL164" s="214"/>
      <c r="BM164" s="214"/>
      <c r="BN164" s="214"/>
      <c r="BO164" s="214"/>
      <c r="BP164" s="214"/>
      <c r="BQ164" s="214"/>
      <c r="BR164" s="214"/>
      <c r="BS164" s="214"/>
      <c r="BT164" s="214"/>
      <c r="BU164" s="214"/>
      <c r="BV164" s="214" t="s">
        <v>338</v>
      </c>
      <c r="BW164" s="214">
        <v>2.7</v>
      </c>
      <c r="BX164" s="223" t="s">
        <v>10</v>
      </c>
      <c r="BY164" s="222">
        <f>(D164+F164+H164+J164+L164+N164+P164)*BW164</f>
        <v>38.610000000000007</v>
      </c>
      <c r="BZ164" s="204"/>
      <c r="CA164" s="204"/>
      <c r="CB164" s="204"/>
      <c r="CC164" s="200"/>
      <c r="CD164" s="202"/>
      <c r="CE164" s="201"/>
      <c r="CF164" s="200"/>
      <c r="CG164" s="202"/>
      <c r="CH164" s="201"/>
      <c r="CI164" s="201"/>
      <c r="CJ164" s="201"/>
      <c r="CK164" s="198"/>
      <c r="CL164" s="200"/>
      <c r="CM164" s="199"/>
      <c r="CN164" s="198"/>
    </row>
    <row r="165" spans="1:92">
      <c r="A165" s="208"/>
      <c r="B165" s="207"/>
      <c r="C165" s="221" t="s">
        <v>313</v>
      </c>
      <c r="D165" s="234">
        <v>3.5</v>
      </c>
      <c r="E165" s="234" t="s">
        <v>310</v>
      </c>
      <c r="F165" s="229">
        <v>3.65</v>
      </c>
      <c r="G165" s="229" t="s">
        <v>310</v>
      </c>
      <c r="H165" s="229">
        <v>3.5</v>
      </c>
      <c r="I165" s="229" t="s">
        <v>310</v>
      </c>
      <c r="J165" s="229">
        <v>3.65</v>
      </c>
      <c r="K165" s="229"/>
      <c r="L165" s="229"/>
      <c r="M165" s="229"/>
      <c r="N165" s="229"/>
      <c r="O165" s="229"/>
      <c r="P165" s="229"/>
      <c r="Q165" s="229"/>
      <c r="R165" s="229"/>
      <c r="S165" s="229"/>
      <c r="T165" s="229"/>
      <c r="U165" s="229"/>
      <c r="V165" s="229"/>
      <c r="W165" s="236"/>
      <c r="X165" s="232"/>
      <c r="Y165" s="235"/>
      <c r="Z165" s="227"/>
      <c r="AA165" s="224"/>
      <c r="AB165" s="228"/>
      <c r="AC165" s="227"/>
      <c r="AD165" s="93"/>
      <c r="AE165" s="226"/>
      <c r="AF165" s="227"/>
      <c r="AG165" s="93"/>
      <c r="AH165" s="226"/>
      <c r="AI165" s="227"/>
      <c r="AJ165" s="93"/>
      <c r="AK165" s="226"/>
      <c r="AL165" s="227"/>
      <c r="AM165" s="93"/>
      <c r="AN165" s="226"/>
      <c r="AO165" s="95"/>
      <c r="AP165" s="93"/>
      <c r="AQ165" s="226"/>
      <c r="AR165" s="225"/>
      <c r="AS165" s="224"/>
      <c r="AT165" s="204"/>
      <c r="AU165" s="204"/>
      <c r="AV165" s="214"/>
      <c r="AW165" s="214"/>
      <c r="AX165" s="214"/>
      <c r="AY165" s="214"/>
      <c r="AZ165" s="214"/>
      <c r="BA165" s="214"/>
      <c r="BB165" s="214"/>
      <c r="BC165" s="214"/>
      <c r="BD165" s="214"/>
      <c r="BE165" s="214"/>
      <c r="BF165" s="214"/>
      <c r="BG165" s="214"/>
      <c r="BH165" s="214"/>
      <c r="BI165" s="214"/>
      <c r="BJ165" s="214"/>
      <c r="BK165" s="214"/>
      <c r="BL165" s="214"/>
      <c r="BM165" s="214"/>
      <c r="BN165" s="214"/>
      <c r="BO165" s="214"/>
      <c r="BP165" s="214"/>
      <c r="BQ165" s="214"/>
      <c r="BR165" s="214"/>
      <c r="BS165" s="214"/>
      <c r="BT165" s="214"/>
      <c r="BU165" s="214"/>
      <c r="BV165" s="214" t="s">
        <v>338</v>
      </c>
      <c r="BW165" s="214">
        <v>2.7</v>
      </c>
      <c r="BX165" s="223" t="s">
        <v>10</v>
      </c>
      <c r="BY165" s="222">
        <f>(D165+F165+H165+J165+L165+N165+P165)*BW165</f>
        <v>38.610000000000007</v>
      </c>
      <c r="BZ165" s="204"/>
      <c r="CA165" s="204"/>
      <c r="CB165" s="204"/>
      <c r="CC165" s="200"/>
      <c r="CD165" s="202"/>
      <c r="CE165" s="201"/>
      <c r="CF165" s="200"/>
      <c r="CG165" s="202"/>
      <c r="CH165" s="201"/>
      <c r="CI165" s="201"/>
      <c r="CJ165" s="201"/>
      <c r="CK165" s="198"/>
      <c r="CL165" s="200"/>
      <c r="CM165" s="199"/>
      <c r="CN165" s="198"/>
    </row>
    <row r="166" spans="1:92">
      <c r="A166" s="208"/>
      <c r="B166" s="207"/>
      <c r="C166" s="221"/>
      <c r="D166" s="220" t="s">
        <v>361</v>
      </c>
      <c r="E166" s="219"/>
      <c r="F166" s="219"/>
      <c r="G166" s="219"/>
      <c r="H166" s="219"/>
      <c r="I166" s="219"/>
      <c r="J166" s="219"/>
      <c r="K166" s="219"/>
      <c r="L166" s="219"/>
      <c r="M166" s="219"/>
      <c r="N166" s="219"/>
      <c r="O166" s="219"/>
      <c r="P166" s="219"/>
      <c r="Q166" s="219"/>
      <c r="R166" s="219"/>
      <c r="S166" s="219"/>
      <c r="T166" s="219"/>
      <c r="U166" s="219"/>
      <c r="V166" s="219"/>
      <c r="W166" s="219"/>
      <c r="X166" s="219"/>
      <c r="Y166" s="219"/>
      <c r="Z166" s="219"/>
      <c r="AA166" s="219"/>
      <c r="AB166" s="219"/>
      <c r="AC166" s="219"/>
      <c r="AD166" s="219"/>
      <c r="AE166" s="219"/>
      <c r="AF166" s="219"/>
      <c r="AG166" s="219"/>
      <c r="AH166" s="219"/>
      <c r="AI166" s="219"/>
      <c r="AJ166" s="219"/>
      <c r="AK166" s="219"/>
      <c r="AL166" s="219"/>
      <c r="AM166" s="219"/>
      <c r="AN166" s="219"/>
      <c r="AO166" s="219"/>
      <c r="AP166" s="219"/>
      <c r="AQ166" s="219"/>
      <c r="AR166" s="219"/>
      <c r="AS166" s="219"/>
      <c r="AT166" s="219"/>
      <c r="AU166" s="219"/>
      <c r="AV166" s="219"/>
      <c r="AW166" s="219"/>
      <c r="AX166" s="219"/>
      <c r="AY166" s="219"/>
      <c r="AZ166" s="219"/>
      <c r="BA166" s="219"/>
      <c r="BB166" s="219"/>
      <c r="BC166" s="219"/>
      <c r="BD166" s="219"/>
      <c r="BE166" s="219"/>
      <c r="BF166" s="219"/>
      <c r="BG166" s="219"/>
      <c r="BH166" s="219"/>
      <c r="BI166" s="219"/>
      <c r="BJ166" s="219"/>
      <c r="BK166" s="219"/>
      <c r="BL166" s="219"/>
      <c r="BM166" s="219"/>
      <c r="BN166" s="219"/>
      <c r="BO166" s="219"/>
      <c r="BP166" s="219"/>
      <c r="BQ166" s="219"/>
      <c r="BR166" s="219"/>
      <c r="BS166" s="219"/>
      <c r="BT166" s="219"/>
      <c r="BU166" s="219"/>
      <c r="BV166" s="219"/>
      <c r="BW166" s="218"/>
      <c r="BX166" s="217" t="s">
        <v>10</v>
      </c>
      <c r="BY166" s="216">
        <f>SUM(BY153:BY165)</f>
        <v>568.07800000000009</v>
      </c>
      <c r="BZ166" s="204"/>
      <c r="CA166" s="204"/>
      <c r="CB166" s="204"/>
      <c r="CC166" s="200"/>
      <c r="CD166" s="202"/>
      <c r="CE166" s="201"/>
      <c r="CF166" s="200"/>
      <c r="CG166" s="202"/>
      <c r="CH166" s="201"/>
      <c r="CI166" s="201"/>
      <c r="CJ166" s="201"/>
      <c r="CK166" s="198"/>
      <c r="CL166" s="200"/>
      <c r="CM166" s="199"/>
      <c r="CN166" s="198"/>
    </row>
    <row r="167" spans="1:92">
      <c r="A167" s="208"/>
      <c r="B167" s="207"/>
      <c r="D167" s="265" t="s">
        <v>346</v>
      </c>
      <c r="E167" s="264"/>
      <c r="F167" s="264"/>
      <c r="G167" s="264"/>
      <c r="H167" s="264"/>
      <c r="I167" s="264"/>
      <c r="J167" s="264"/>
      <c r="K167" s="264"/>
      <c r="L167" s="264"/>
      <c r="M167" s="264"/>
      <c r="N167" s="264"/>
      <c r="O167" s="264"/>
      <c r="P167" s="264"/>
      <c r="Q167" s="264"/>
      <c r="R167" s="264"/>
      <c r="S167" s="264"/>
      <c r="T167" s="264"/>
      <c r="U167" s="264"/>
      <c r="V167" s="264"/>
      <c r="W167" s="264"/>
      <c r="X167" s="264"/>
      <c r="Y167" s="264"/>
      <c r="Z167" s="264"/>
      <c r="AA167" s="264"/>
      <c r="AB167" s="264"/>
      <c r="AC167" s="264"/>
      <c r="AD167" s="264"/>
      <c r="AE167" s="264"/>
      <c r="AF167" s="264"/>
      <c r="AG167" s="264"/>
      <c r="AH167" s="264"/>
      <c r="AI167" s="264"/>
      <c r="AJ167" s="264"/>
      <c r="AK167" s="264"/>
      <c r="AL167" s="264"/>
      <c r="AM167" s="264"/>
      <c r="AN167" s="264"/>
      <c r="AO167" s="264"/>
      <c r="AP167" s="264"/>
      <c r="AQ167" s="264"/>
      <c r="AR167" s="264"/>
      <c r="AS167" s="264"/>
      <c r="AT167" s="264"/>
      <c r="AU167" s="264"/>
      <c r="AV167" s="264"/>
      <c r="AW167" s="264"/>
      <c r="AX167" s="264"/>
      <c r="AY167" s="264"/>
      <c r="AZ167" s="264"/>
      <c r="BA167" s="264"/>
      <c r="BB167" s="264"/>
      <c r="BC167" s="264"/>
      <c r="BD167" s="264"/>
      <c r="BE167" s="264"/>
      <c r="BF167" s="264"/>
      <c r="BG167" s="264"/>
      <c r="BH167" s="264"/>
      <c r="BI167" s="264"/>
      <c r="BJ167" s="264"/>
      <c r="BK167" s="264"/>
      <c r="BL167" s="264"/>
      <c r="BM167" s="264"/>
      <c r="BN167" s="264"/>
      <c r="BO167" s="264"/>
      <c r="BP167" s="264"/>
      <c r="BQ167" s="264"/>
      <c r="BR167" s="264"/>
      <c r="BS167" s="264"/>
      <c r="BT167" s="264"/>
      <c r="BU167" s="264"/>
      <c r="BV167" s="264"/>
      <c r="BW167" s="263"/>
      <c r="BX167" s="253"/>
      <c r="BY167" s="253"/>
      <c r="BZ167" s="204"/>
      <c r="CA167" s="204"/>
      <c r="CB167" s="204"/>
      <c r="CC167" s="200"/>
      <c r="CD167" s="202"/>
      <c r="CE167" s="201"/>
      <c r="CF167" s="200"/>
      <c r="CG167" s="202"/>
      <c r="CH167" s="201"/>
      <c r="CI167" s="201"/>
      <c r="CJ167" s="201"/>
      <c r="CK167" s="198"/>
      <c r="CL167" s="200"/>
      <c r="CM167" s="199"/>
      <c r="CN167" s="198"/>
    </row>
    <row r="168" spans="1:92">
      <c r="A168" s="208"/>
      <c r="B168" s="207"/>
      <c r="C168" s="250" t="s">
        <v>345</v>
      </c>
      <c r="D168" s="214">
        <v>2.2000000000000002</v>
      </c>
      <c r="E168" s="214" t="s">
        <v>338</v>
      </c>
      <c r="F168" s="214">
        <v>2.5</v>
      </c>
      <c r="G168" s="214"/>
      <c r="H168" s="214"/>
      <c r="I168" s="214"/>
      <c r="J168" s="214"/>
      <c r="K168" s="214"/>
      <c r="L168" s="214"/>
      <c r="M168" s="214"/>
      <c r="N168" s="214"/>
      <c r="O168" s="214"/>
      <c r="P168" s="214"/>
      <c r="Q168" s="214"/>
      <c r="R168" s="214"/>
      <c r="S168" s="214"/>
      <c r="T168" s="214"/>
      <c r="U168" s="214"/>
      <c r="V168" s="214"/>
      <c r="W168" s="273"/>
      <c r="X168" s="273"/>
      <c r="Y168" s="273"/>
      <c r="Z168" s="273"/>
      <c r="AA168" s="273"/>
      <c r="AB168" s="272"/>
      <c r="AC168" s="272"/>
      <c r="AD168" s="272"/>
      <c r="AE168" s="272"/>
      <c r="AF168" s="272"/>
      <c r="AG168" s="272"/>
      <c r="AH168" s="272"/>
      <c r="AI168" s="272"/>
      <c r="AJ168" s="272"/>
      <c r="AK168" s="272"/>
      <c r="AL168" s="272"/>
      <c r="AM168" s="272"/>
      <c r="AN168" s="272"/>
      <c r="AO168" s="272"/>
      <c r="AP168" s="272"/>
      <c r="AQ168" s="272"/>
      <c r="AR168" s="272"/>
      <c r="AS168" s="272"/>
      <c r="AT168" s="272"/>
      <c r="AU168" s="272"/>
      <c r="AV168" s="272"/>
      <c r="AW168" s="272"/>
      <c r="AX168" s="272"/>
      <c r="AY168" s="272"/>
      <c r="AZ168" s="272"/>
      <c r="BA168" s="272"/>
      <c r="BB168" s="272"/>
      <c r="BC168" s="272"/>
      <c r="BD168" s="272"/>
      <c r="BE168" s="272"/>
      <c r="BF168" s="272"/>
      <c r="BG168" s="272"/>
      <c r="BH168" s="272"/>
      <c r="BI168" s="272"/>
      <c r="BJ168" s="272"/>
      <c r="BK168" s="272"/>
      <c r="BL168" s="272"/>
      <c r="BM168" s="272"/>
      <c r="BN168" s="272"/>
      <c r="BO168" s="272"/>
      <c r="BP168" s="272"/>
      <c r="BQ168" s="272"/>
      <c r="BR168" s="272"/>
      <c r="BS168" s="272"/>
      <c r="BT168" s="272"/>
      <c r="BU168" s="272"/>
      <c r="BV168" s="214" t="s">
        <v>338</v>
      </c>
      <c r="BW168" s="214">
        <v>1</v>
      </c>
      <c r="BX168" s="253" t="s">
        <v>10</v>
      </c>
      <c r="BY168" s="214">
        <f>(D168*F168)*BW168</f>
        <v>5.5</v>
      </c>
      <c r="BZ168" s="204"/>
      <c r="CA168" s="204"/>
      <c r="CB168" s="204"/>
      <c r="CC168" s="200"/>
      <c r="CD168" s="202"/>
      <c r="CE168" s="201"/>
      <c r="CF168" s="200"/>
      <c r="CG168" s="202"/>
      <c r="CH168" s="201"/>
      <c r="CI168" s="201"/>
      <c r="CJ168" s="201"/>
      <c r="CK168" s="198"/>
      <c r="CL168" s="200"/>
      <c r="CM168" s="199"/>
      <c r="CN168" s="198"/>
    </row>
    <row r="169" spans="1:92">
      <c r="A169" s="208"/>
      <c r="B169" s="207"/>
      <c r="C169" s="250" t="s">
        <v>355</v>
      </c>
      <c r="D169" s="214">
        <v>0.8</v>
      </c>
      <c r="E169" s="214" t="s">
        <v>338</v>
      </c>
      <c r="F169" s="214">
        <v>2.1</v>
      </c>
      <c r="G169" s="214"/>
      <c r="H169" s="214"/>
      <c r="I169" s="214"/>
      <c r="J169" s="214"/>
      <c r="K169" s="214"/>
      <c r="L169" s="214"/>
      <c r="M169" s="214"/>
      <c r="N169" s="214"/>
      <c r="O169" s="214"/>
      <c r="P169" s="214"/>
      <c r="Q169" s="214"/>
      <c r="R169" s="214"/>
      <c r="S169" s="214"/>
      <c r="T169" s="214"/>
      <c r="U169" s="214"/>
      <c r="V169" s="214"/>
      <c r="W169" s="273"/>
      <c r="X169" s="273"/>
      <c r="Y169" s="273"/>
      <c r="Z169" s="273"/>
      <c r="AA169" s="273"/>
      <c r="AB169" s="272"/>
      <c r="AC169" s="272"/>
      <c r="AD169" s="272"/>
      <c r="AE169" s="272"/>
      <c r="AF169" s="272"/>
      <c r="AG169" s="272"/>
      <c r="AH169" s="272"/>
      <c r="AI169" s="272"/>
      <c r="AJ169" s="272"/>
      <c r="AK169" s="272"/>
      <c r="AL169" s="272"/>
      <c r="AM169" s="272"/>
      <c r="AN169" s="272"/>
      <c r="AO169" s="272"/>
      <c r="AP169" s="272"/>
      <c r="AQ169" s="272"/>
      <c r="AR169" s="272"/>
      <c r="AS169" s="272"/>
      <c r="AT169" s="272"/>
      <c r="AU169" s="272"/>
      <c r="AV169" s="272"/>
      <c r="AW169" s="272"/>
      <c r="AX169" s="272"/>
      <c r="AY169" s="272"/>
      <c r="AZ169" s="272"/>
      <c r="BA169" s="272"/>
      <c r="BB169" s="272"/>
      <c r="BC169" s="272"/>
      <c r="BD169" s="272"/>
      <c r="BE169" s="272"/>
      <c r="BF169" s="272"/>
      <c r="BG169" s="272"/>
      <c r="BH169" s="272"/>
      <c r="BI169" s="272"/>
      <c r="BJ169" s="272"/>
      <c r="BK169" s="272"/>
      <c r="BL169" s="272"/>
      <c r="BM169" s="272"/>
      <c r="BN169" s="272"/>
      <c r="BO169" s="272"/>
      <c r="BP169" s="272"/>
      <c r="BQ169" s="272"/>
      <c r="BR169" s="272"/>
      <c r="BS169" s="272"/>
      <c r="BT169" s="272"/>
      <c r="BU169" s="272"/>
      <c r="BV169" s="214" t="s">
        <v>338</v>
      </c>
      <c r="BW169" s="214">
        <v>33</v>
      </c>
      <c r="BX169" s="253" t="s">
        <v>10</v>
      </c>
      <c r="BY169" s="214">
        <f>(D169*F169)*BW169</f>
        <v>55.440000000000005</v>
      </c>
      <c r="BZ169" s="204"/>
      <c r="CA169" s="204"/>
      <c r="CB169" s="204"/>
      <c r="CC169" s="200"/>
      <c r="CD169" s="202"/>
      <c r="CE169" s="201"/>
      <c r="CF169" s="200"/>
      <c r="CG169" s="202"/>
      <c r="CH169" s="201"/>
      <c r="CI169" s="201"/>
      <c r="CJ169" s="201"/>
      <c r="CK169" s="198"/>
      <c r="CL169" s="200"/>
      <c r="CM169" s="199"/>
      <c r="CN169" s="198"/>
    </row>
    <row r="170" spans="1:92">
      <c r="A170" s="208"/>
      <c r="B170" s="207"/>
      <c r="C170" s="250" t="s">
        <v>344</v>
      </c>
      <c r="D170" s="214">
        <v>2</v>
      </c>
      <c r="E170" s="214" t="s">
        <v>338</v>
      </c>
      <c r="F170" s="214">
        <v>2.1</v>
      </c>
      <c r="G170" s="214"/>
      <c r="H170" s="214"/>
      <c r="I170" s="214"/>
      <c r="J170" s="214"/>
      <c r="K170" s="214"/>
      <c r="L170" s="214"/>
      <c r="M170" s="214"/>
      <c r="N170" s="214"/>
      <c r="O170" s="214"/>
      <c r="P170" s="214"/>
      <c r="Q170" s="214"/>
      <c r="R170" s="214"/>
      <c r="S170" s="214"/>
      <c r="T170" s="214"/>
      <c r="U170" s="214"/>
      <c r="V170" s="214"/>
      <c r="W170" s="273"/>
      <c r="X170" s="273"/>
      <c r="Y170" s="273"/>
      <c r="Z170" s="273"/>
      <c r="AA170" s="273"/>
      <c r="AB170" s="272"/>
      <c r="AC170" s="272"/>
      <c r="AD170" s="272"/>
      <c r="AE170" s="272"/>
      <c r="AF170" s="272"/>
      <c r="AG170" s="272"/>
      <c r="AH170" s="272"/>
      <c r="AI170" s="272"/>
      <c r="AJ170" s="272"/>
      <c r="AK170" s="272"/>
      <c r="AL170" s="272"/>
      <c r="AM170" s="272"/>
      <c r="AN170" s="272"/>
      <c r="AO170" s="272"/>
      <c r="AP170" s="272"/>
      <c r="AQ170" s="272"/>
      <c r="AR170" s="272"/>
      <c r="AS170" s="272"/>
      <c r="AT170" s="272"/>
      <c r="AU170" s="272"/>
      <c r="AV170" s="272"/>
      <c r="AW170" s="272"/>
      <c r="AX170" s="272"/>
      <c r="AY170" s="272"/>
      <c r="AZ170" s="272"/>
      <c r="BA170" s="272"/>
      <c r="BB170" s="272"/>
      <c r="BC170" s="272"/>
      <c r="BD170" s="272"/>
      <c r="BE170" s="272"/>
      <c r="BF170" s="272"/>
      <c r="BG170" s="272"/>
      <c r="BH170" s="272"/>
      <c r="BI170" s="272"/>
      <c r="BJ170" s="272"/>
      <c r="BK170" s="272"/>
      <c r="BL170" s="272"/>
      <c r="BM170" s="272"/>
      <c r="BN170" s="272"/>
      <c r="BO170" s="272"/>
      <c r="BP170" s="272"/>
      <c r="BQ170" s="272"/>
      <c r="BR170" s="272"/>
      <c r="BS170" s="272"/>
      <c r="BT170" s="272"/>
      <c r="BU170" s="272"/>
      <c r="BV170" s="214" t="s">
        <v>338</v>
      </c>
      <c r="BW170" s="214">
        <v>1</v>
      </c>
      <c r="BX170" s="253" t="s">
        <v>10</v>
      </c>
      <c r="BY170" s="214">
        <f>(D170*F170)*BW170</f>
        <v>4.2</v>
      </c>
      <c r="BZ170" s="204"/>
      <c r="CA170" s="204"/>
      <c r="CB170" s="204"/>
      <c r="CC170" s="200"/>
      <c r="CD170" s="202"/>
      <c r="CE170" s="201"/>
      <c r="CF170" s="200"/>
      <c r="CG170" s="202"/>
      <c r="CH170" s="201"/>
      <c r="CI170" s="201"/>
      <c r="CJ170" s="201"/>
      <c r="CK170" s="198"/>
      <c r="CL170" s="200"/>
      <c r="CM170" s="199"/>
      <c r="CN170" s="198"/>
    </row>
    <row r="171" spans="1:92">
      <c r="A171" s="208"/>
      <c r="B171" s="207"/>
      <c r="C171" s="250" t="s">
        <v>343</v>
      </c>
      <c r="D171" s="214">
        <v>0.8</v>
      </c>
      <c r="E171" s="214" t="s">
        <v>338</v>
      </c>
      <c r="F171" s="214">
        <v>2.5</v>
      </c>
      <c r="G171" s="214"/>
      <c r="H171" s="214"/>
      <c r="I171" s="214"/>
      <c r="J171" s="214"/>
      <c r="K171" s="214"/>
      <c r="L171" s="214"/>
      <c r="M171" s="214"/>
      <c r="N171" s="214"/>
      <c r="O171" s="214"/>
      <c r="P171" s="214"/>
      <c r="Q171" s="214"/>
      <c r="R171" s="214"/>
      <c r="S171" s="214"/>
      <c r="T171" s="214"/>
      <c r="U171" s="214"/>
      <c r="V171" s="214"/>
      <c r="W171" s="273"/>
      <c r="X171" s="273"/>
      <c r="Y171" s="273"/>
      <c r="Z171" s="273"/>
      <c r="AA171" s="273"/>
      <c r="AB171" s="272"/>
      <c r="AC171" s="272"/>
      <c r="AD171" s="272"/>
      <c r="AE171" s="272"/>
      <c r="AF171" s="272"/>
      <c r="AG171" s="272"/>
      <c r="AH171" s="272"/>
      <c r="AI171" s="272"/>
      <c r="AJ171" s="272"/>
      <c r="AK171" s="272"/>
      <c r="AL171" s="272"/>
      <c r="AM171" s="272"/>
      <c r="AN171" s="272"/>
      <c r="AO171" s="272"/>
      <c r="AP171" s="272"/>
      <c r="AQ171" s="272"/>
      <c r="AR171" s="272"/>
      <c r="AS171" s="272"/>
      <c r="AT171" s="272"/>
      <c r="AU171" s="272"/>
      <c r="AV171" s="272"/>
      <c r="AW171" s="272"/>
      <c r="AX171" s="272"/>
      <c r="AY171" s="272"/>
      <c r="AZ171" s="272"/>
      <c r="BA171" s="272"/>
      <c r="BB171" s="272"/>
      <c r="BC171" s="272"/>
      <c r="BD171" s="272"/>
      <c r="BE171" s="272"/>
      <c r="BF171" s="272"/>
      <c r="BG171" s="272"/>
      <c r="BH171" s="272"/>
      <c r="BI171" s="272"/>
      <c r="BJ171" s="272"/>
      <c r="BK171" s="272"/>
      <c r="BL171" s="272"/>
      <c r="BM171" s="272"/>
      <c r="BN171" s="272"/>
      <c r="BO171" s="272"/>
      <c r="BP171" s="272"/>
      <c r="BQ171" s="272"/>
      <c r="BR171" s="272"/>
      <c r="BS171" s="272"/>
      <c r="BT171" s="272"/>
      <c r="BU171" s="272"/>
      <c r="BV171" s="214" t="s">
        <v>338</v>
      </c>
      <c r="BW171" s="266">
        <v>3</v>
      </c>
      <c r="BX171" s="253" t="s">
        <v>10</v>
      </c>
      <c r="BY171" s="214">
        <f>(D171*F171)*BW171</f>
        <v>6</v>
      </c>
      <c r="BZ171" s="204"/>
      <c r="CA171" s="204"/>
      <c r="CB171" s="204"/>
      <c r="CC171" s="200"/>
      <c r="CD171" s="202"/>
      <c r="CE171" s="201"/>
      <c r="CF171" s="200"/>
      <c r="CG171" s="202"/>
      <c r="CH171" s="201"/>
      <c r="CI171" s="201"/>
      <c r="CJ171" s="201"/>
      <c r="CK171" s="198"/>
      <c r="CL171" s="200"/>
      <c r="CM171" s="199"/>
      <c r="CN171" s="198"/>
    </row>
    <row r="172" spans="1:92">
      <c r="A172" s="208"/>
      <c r="B172" s="207"/>
      <c r="C172" s="250" t="s">
        <v>342</v>
      </c>
      <c r="D172" s="214">
        <v>1.1000000000000001</v>
      </c>
      <c r="E172" s="214" t="s">
        <v>338</v>
      </c>
      <c r="F172" s="214">
        <v>1</v>
      </c>
      <c r="G172" s="214"/>
      <c r="H172" s="214"/>
      <c r="I172" s="214"/>
      <c r="J172" s="214"/>
      <c r="K172" s="214"/>
      <c r="L172" s="214"/>
      <c r="M172" s="214"/>
      <c r="N172" s="214"/>
      <c r="O172" s="214"/>
      <c r="P172" s="214"/>
      <c r="Q172" s="214"/>
      <c r="R172" s="214"/>
      <c r="S172" s="214"/>
      <c r="T172" s="214"/>
      <c r="U172" s="214"/>
      <c r="V172" s="214"/>
      <c r="W172" s="273"/>
      <c r="X172" s="273"/>
      <c r="Y172" s="273"/>
      <c r="Z172" s="273"/>
      <c r="AA172" s="273"/>
      <c r="AB172" s="272"/>
      <c r="AC172" s="272"/>
      <c r="AD172" s="272"/>
      <c r="AE172" s="272"/>
      <c r="AF172" s="272"/>
      <c r="AG172" s="272"/>
      <c r="AH172" s="272"/>
      <c r="AI172" s="272"/>
      <c r="AJ172" s="272"/>
      <c r="AK172" s="272"/>
      <c r="AL172" s="272"/>
      <c r="AM172" s="272"/>
      <c r="AN172" s="272"/>
      <c r="AO172" s="272"/>
      <c r="AP172" s="272"/>
      <c r="AQ172" s="272"/>
      <c r="AR172" s="272"/>
      <c r="AS172" s="272"/>
      <c r="AT172" s="272"/>
      <c r="AU172" s="272"/>
      <c r="AV172" s="272"/>
      <c r="AW172" s="272"/>
      <c r="AX172" s="272"/>
      <c r="AY172" s="272"/>
      <c r="AZ172" s="272"/>
      <c r="BA172" s="272"/>
      <c r="BB172" s="272"/>
      <c r="BC172" s="272"/>
      <c r="BD172" s="272"/>
      <c r="BE172" s="272"/>
      <c r="BF172" s="272"/>
      <c r="BG172" s="272"/>
      <c r="BH172" s="272"/>
      <c r="BI172" s="272"/>
      <c r="BJ172" s="272"/>
      <c r="BK172" s="272"/>
      <c r="BL172" s="272"/>
      <c r="BM172" s="272"/>
      <c r="BN172" s="272"/>
      <c r="BO172" s="272"/>
      <c r="BP172" s="272"/>
      <c r="BQ172" s="272"/>
      <c r="BR172" s="272"/>
      <c r="BS172" s="272"/>
      <c r="BT172" s="272"/>
      <c r="BU172" s="272"/>
      <c r="BV172" s="214" t="s">
        <v>338</v>
      </c>
      <c r="BW172" s="214">
        <v>7</v>
      </c>
      <c r="BX172" s="253" t="s">
        <v>10</v>
      </c>
      <c r="BY172" s="214">
        <f>(D172*F172)*BW172</f>
        <v>7.7000000000000011</v>
      </c>
      <c r="BZ172" s="204"/>
      <c r="CA172" s="204"/>
      <c r="CB172" s="204"/>
      <c r="CC172" s="200"/>
      <c r="CD172" s="202"/>
      <c r="CE172" s="201"/>
      <c r="CF172" s="200"/>
      <c r="CG172" s="202"/>
      <c r="CH172" s="201"/>
      <c r="CI172" s="201"/>
      <c r="CJ172" s="201"/>
      <c r="CK172" s="198"/>
      <c r="CL172" s="200"/>
      <c r="CM172" s="199"/>
      <c r="CN172" s="198"/>
    </row>
    <row r="173" spans="1:92">
      <c r="A173" s="208"/>
      <c r="B173" s="207"/>
      <c r="C173" s="250" t="s">
        <v>354</v>
      </c>
      <c r="D173" s="214">
        <v>1.3</v>
      </c>
      <c r="E173" s="214" t="s">
        <v>338</v>
      </c>
      <c r="F173" s="214">
        <v>1.5</v>
      </c>
      <c r="G173" s="214"/>
      <c r="H173" s="214"/>
      <c r="I173" s="214"/>
      <c r="J173" s="214"/>
      <c r="K173" s="214"/>
      <c r="L173" s="214"/>
      <c r="M173" s="214"/>
      <c r="N173" s="214"/>
      <c r="O173" s="214"/>
      <c r="P173" s="214"/>
      <c r="Q173" s="214"/>
      <c r="R173" s="214"/>
      <c r="S173" s="214"/>
      <c r="T173" s="214"/>
      <c r="U173" s="214"/>
      <c r="V173" s="214"/>
      <c r="W173" s="273"/>
      <c r="X173" s="273"/>
      <c r="Y173" s="273"/>
      <c r="Z173" s="273"/>
      <c r="AA173" s="273"/>
      <c r="AB173" s="272"/>
      <c r="AC173" s="272"/>
      <c r="AD173" s="272"/>
      <c r="AE173" s="272"/>
      <c r="AF173" s="272"/>
      <c r="AG173" s="272"/>
      <c r="AH173" s="272"/>
      <c r="AI173" s="272"/>
      <c r="AJ173" s="272"/>
      <c r="AK173" s="272"/>
      <c r="AL173" s="272"/>
      <c r="AM173" s="272"/>
      <c r="AN173" s="272"/>
      <c r="AO173" s="272"/>
      <c r="AP173" s="272"/>
      <c r="AQ173" s="272"/>
      <c r="AR173" s="272"/>
      <c r="AS173" s="272"/>
      <c r="AT173" s="272"/>
      <c r="AU173" s="272"/>
      <c r="AV173" s="272"/>
      <c r="AW173" s="272"/>
      <c r="AX173" s="272"/>
      <c r="AY173" s="272"/>
      <c r="AZ173" s="272"/>
      <c r="BA173" s="272"/>
      <c r="BB173" s="272"/>
      <c r="BC173" s="272"/>
      <c r="BD173" s="272"/>
      <c r="BE173" s="272"/>
      <c r="BF173" s="272"/>
      <c r="BG173" s="272"/>
      <c r="BH173" s="272"/>
      <c r="BI173" s="272"/>
      <c r="BJ173" s="272"/>
      <c r="BK173" s="272"/>
      <c r="BL173" s="272"/>
      <c r="BM173" s="272"/>
      <c r="BN173" s="272"/>
      <c r="BO173" s="272"/>
      <c r="BP173" s="272"/>
      <c r="BQ173" s="272"/>
      <c r="BR173" s="272"/>
      <c r="BS173" s="272"/>
      <c r="BT173" s="272"/>
      <c r="BU173" s="272"/>
      <c r="BV173" s="214" t="s">
        <v>338</v>
      </c>
      <c r="BW173" s="214">
        <v>1</v>
      </c>
      <c r="BX173" s="253" t="s">
        <v>10</v>
      </c>
      <c r="BY173" s="214">
        <f>(D173*F173)*BW173</f>
        <v>1.9500000000000002</v>
      </c>
      <c r="BZ173" s="204"/>
      <c r="CA173" s="204"/>
      <c r="CB173" s="204"/>
      <c r="CC173" s="200"/>
      <c r="CD173" s="202"/>
      <c r="CE173" s="201"/>
      <c r="CF173" s="200"/>
      <c r="CG173" s="202"/>
      <c r="CH173" s="201"/>
      <c r="CI173" s="201"/>
      <c r="CJ173" s="201"/>
      <c r="CK173" s="198"/>
      <c r="CL173" s="200"/>
      <c r="CM173" s="199"/>
      <c r="CN173" s="198"/>
    </row>
    <row r="174" spans="1:92">
      <c r="A174" s="208"/>
      <c r="B174" s="207"/>
      <c r="C174" s="250" t="s">
        <v>341</v>
      </c>
      <c r="D174" s="214">
        <v>1.4</v>
      </c>
      <c r="E174" s="214" t="s">
        <v>338</v>
      </c>
      <c r="F174" s="214">
        <v>1</v>
      </c>
      <c r="G174" s="271"/>
      <c r="H174" s="271"/>
      <c r="I174" s="271"/>
      <c r="J174" s="270"/>
      <c r="K174" s="270"/>
      <c r="L174" s="270"/>
      <c r="M174" s="270"/>
      <c r="N174" s="270"/>
      <c r="O174" s="270"/>
      <c r="P174" s="270"/>
      <c r="Q174" s="270"/>
      <c r="R174" s="270"/>
      <c r="S174" s="270"/>
      <c r="T174" s="270"/>
      <c r="U174" s="270"/>
      <c r="V174" s="270"/>
      <c r="W174" s="270"/>
      <c r="X174" s="270"/>
      <c r="Y174" s="270"/>
      <c r="Z174" s="270"/>
      <c r="AA174" s="270"/>
      <c r="AB174" s="270"/>
      <c r="AC174" s="270"/>
      <c r="AD174" s="270"/>
      <c r="AE174" s="270"/>
      <c r="AF174" s="270"/>
      <c r="AG174" s="270"/>
      <c r="AH174" s="270"/>
      <c r="AI174" s="270"/>
      <c r="AJ174" s="270"/>
      <c r="AK174" s="270"/>
      <c r="AL174" s="270"/>
      <c r="AM174" s="270"/>
      <c r="AN174" s="270"/>
      <c r="AO174" s="270"/>
      <c r="AP174" s="270"/>
      <c r="AQ174" s="270"/>
      <c r="AR174" s="270"/>
      <c r="AS174" s="270"/>
      <c r="AT174" s="270"/>
      <c r="AU174" s="270"/>
      <c r="AV174" s="270"/>
      <c r="AW174" s="270"/>
      <c r="AX174" s="270"/>
      <c r="AY174" s="270"/>
      <c r="AZ174" s="270"/>
      <c r="BA174" s="270"/>
      <c r="BB174" s="270"/>
      <c r="BC174" s="270"/>
      <c r="BD174" s="270"/>
      <c r="BE174" s="270"/>
      <c r="BF174" s="270"/>
      <c r="BG174" s="270"/>
      <c r="BH174" s="270"/>
      <c r="BI174" s="270"/>
      <c r="BJ174" s="270"/>
      <c r="BK174" s="270"/>
      <c r="BL174" s="270"/>
      <c r="BM174" s="270"/>
      <c r="BN174" s="270"/>
      <c r="BO174" s="270"/>
      <c r="BP174" s="270"/>
      <c r="BQ174" s="270"/>
      <c r="BR174" s="270"/>
      <c r="BS174" s="270"/>
      <c r="BT174" s="270"/>
      <c r="BU174" s="270"/>
      <c r="BV174" s="214" t="s">
        <v>338</v>
      </c>
      <c r="BW174" s="214">
        <v>2</v>
      </c>
      <c r="BX174" s="253" t="s">
        <v>10</v>
      </c>
      <c r="BY174" s="214">
        <f>(D174*F174)*BW174</f>
        <v>2.8</v>
      </c>
      <c r="BZ174" s="204"/>
      <c r="CA174" s="204"/>
      <c r="CB174" s="204"/>
      <c r="CC174" s="200"/>
      <c r="CD174" s="202"/>
      <c r="CE174" s="201"/>
      <c r="CF174" s="200"/>
      <c r="CG174" s="202"/>
      <c r="CH174" s="201"/>
      <c r="CI174" s="201"/>
      <c r="CJ174" s="201"/>
      <c r="CK174" s="198"/>
      <c r="CL174" s="200"/>
      <c r="CM174" s="199"/>
      <c r="CN174" s="198"/>
    </row>
    <row r="175" spans="1:92">
      <c r="A175" s="208"/>
      <c r="B175" s="207"/>
      <c r="C175" s="250" t="s">
        <v>340</v>
      </c>
      <c r="D175" s="214">
        <v>1.5</v>
      </c>
      <c r="E175" s="214" t="s">
        <v>338</v>
      </c>
      <c r="F175" s="214">
        <v>0.4</v>
      </c>
      <c r="G175" s="271"/>
      <c r="H175" s="271"/>
      <c r="I175" s="271"/>
      <c r="J175" s="270"/>
      <c r="K175" s="270"/>
      <c r="L175" s="270"/>
      <c r="M175" s="270"/>
      <c r="N175" s="270"/>
      <c r="O175" s="270"/>
      <c r="P175" s="270"/>
      <c r="Q175" s="270"/>
      <c r="R175" s="270"/>
      <c r="S175" s="270"/>
      <c r="T175" s="270"/>
      <c r="U175" s="270"/>
      <c r="V175" s="270"/>
      <c r="W175" s="270"/>
      <c r="X175" s="270"/>
      <c r="Y175" s="270"/>
      <c r="Z175" s="270"/>
      <c r="AA175" s="270"/>
      <c r="AB175" s="270"/>
      <c r="AC175" s="270"/>
      <c r="AD175" s="270"/>
      <c r="AE175" s="270"/>
      <c r="AF175" s="270"/>
      <c r="AG175" s="270"/>
      <c r="AH175" s="270"/>
      <c r="AI175" s="270"/>
      <c r="AJ175" s="270"/>
      <c r="AK175" s="270"/>
      <c r="AL175" s="270"/>
      <c r="AM175" s="270"/>
      <c r="AN175" s="270"/>
      <c r="AO175" s="270"/>
      <c r="AP175" s="270"/>
      <c r="AQ175" s="270"/>
      <c r="AR175" s="270"/>
      <c r="AS175" s="270"/>
      <c r="AT175" s="270"/>
      <c r="AU175" s="270"/>
      <c r="AV175" s="270"/>
      <c r="AW175" s="270"/>
      <c r="AX175" s="270"/>
      <c r="AY175" s="270"/>
      <c r="AZ175" s="270"/>
      <c r="BA175" s="270"/>
      <c r="BB175" s="270"/>
      <c r="BC175" s="270"/>
      <c r="BD175" s="270"/>
      <c r="BE175" s="270"/>
      <c r="BF175" s="270"/>
      <c r="BG175" s="270"/>
      <c r="BH175" s="270"/>
      <c r="BI175" s="270"/>
      <c r="BJ175" s="270"/>
      <c r="BK175" s="270"/>
      <c r="BL175" s="270"/>
      <c r="BM175" s="270"/>
      <c r="BN175" s="270"/>
      <c r="BO175" s="270"/>
      <c r="BP175" s="270"/>
      <c r="BQ175" s="270"/>
      <c r="BR175" s="270"/>
      <c r="BS175" s="270"/>
      <c r="BT175" s="270"/>
      <c r="BU175" s="270"/>
      <c r="BV175" s="214" t="s">
        <v>338</v>
      </c>
      <c r="BW175" s="214">
        <v>6</v>
      </c>
      <c r="BX175" s="253" t="s">
        <v>10</v>
      </c>
      <c r="BY175" s="214">
        <f>(D175*F175)*BW175</f>
        <v>3.6000000000000005</v>
      </c>
      <c r="BZ175" s="204"/>
      <c r="CA175" s="204"/>
      <c r="CB175" s="204"/>
      <c r="CC175" s="200"/>
      <c r="CD175" s="202"/>
      <c r="CE175" s="201"/>
      <c r="CF175" s="200"/>
      <c r="CG175" s="202"/>
      <c r="CH175" s="201"/>
      <c r="CI175" s="201"/>
      <c r="CJ175" s="201"/>
      <c r="CK175" s="198"/>
      <c r="CL175" s="200"/>
      <c r="CM175" s="199"/>
      <c r="CN175" s="198"/>
    </row>
    <row r="176" spans="1:92">
      <c r="A176" s="208"/>
      <c r="B176" s="207"/>
      <c r="C176" s="250" t="s">
        <v>339</v>
      </c>
      <c r="D176" s="269">
        <v>1.3</v>
      </c>
      <c r="E176" s="214" t="s">
        <v>338</v>
      </c>
      <c r="F176" s="269">
        <v>0.4</v>
      </c>
      <c r="G176" s="268"/>
      <c r="H176" s="268"/>
      <c r="I176" s="268"/>
      <c r="J176" s="267"/>
      <c r="K176" s="267"/>
      <c r="L176" s="267"/>
      <c r="M176" s="267"/>
      <c r="N176" s="267"/>
      <c r="O176" s="267"/>
      <c r="P176" s="267"/>
      <c r="Q176" s="267"/>
      <c r="R176" s="267"/>
      <c r="S176" s="267"/>
      <c r="T176" s="267"/>
      <c r="U176" s="267"/>
      <c r="V176" s="267"/>
      <c r="W176" s="267"/>
      <c r="X176" s="267"/>
      <c r="Y176" s="267"/>
      <c r="Z176" s="267"/>
      <c r="AA176" s="267"/>
      <c r="AB176" s="267"/>
      <c r="AC176" s="267"/>
      <c r="AD176" s="267"/>
      <c r="AE176" s="267"/>
      <c r="AF176" s="267"/>
      <c r="AG176" s="267"/>
      <c r="AH176" s="267"/>
      <c r="AI176" s="267"/>
      <c r="AJ176" s="267"/>
      <c r="AK176" s="267"/>
      <c r="AL176" s="267"/>
      <c r="AM176" s="267"/>
      <c r="AN176" s="267"/>
      <c r="AO176" s="267"/>
      <c r="AP176" s="267"/>
      <c r="AQ176" s="267"/>
      <c r="AR176" s="267"/>
      <c r="AS176" s="267"/>
      <c r="AT176" s="267"/>
      <c r="AU176" s="267"/>
      <c r="AV176" s="267"/>
      <c r="AW176" s="267"/>
      <c r="AX176" s="267"/>
      <c r="AY176" s="267"/>
      <c r="AZ176" s="267"/>
      <c r="BA176" s="267"/>
      <c r="BB176" s="267"/>
      <c r="BC176" s="267"/>
      <c r="BD176" s="267"/>
      <c r="BE176" s="267"/>
      <c r="BF176" s="267"/>
      <c r="BG176" s="267"/>
      <c r="BH176" s="267"/>
      <c r="BI176" s="267"/>
      <c r="BJ176" s="267"/>
      <c r="BK176" s="267"/>
      <c r="BL176" s="267"/>
      <c r="BM176" s="267"/>
      <c r="BN176" s="267"/>
      <c r="BO176" s="267"/>
      <c r="BP176" s="267"/>
      <c r="BQ176" s="267"/>
      <c r="BR176" s="267"/>
      <c r="BS176" s="267"/>
      <c r="BT176" s="267"/>
      <c r="BU176" s="267"/>
      <c r="BV176" s="214" t="s">
        <v>338</v>
      </c>
      <c r="BW176" s="214">
        <v>8</v>
      </c>
      <c r="BX176" s="253" t="s">
        <v>10</v>
      </c>
      <c r="BY176" s="214">
        <f>(D176*F176)*BW176</f>
        <v>4.16</v>
      </c>
      <c r="BZ176" s="204"/>
      <c r="CA176" s="204"/>
      <c r="CB176" s="204"/>
      <c r="CC176" s="200"/>
      <c r="CD176" s="202"/>
      <c r="CE176" s="201"/>
      <c r="CF176" s="200"/>
      <c r="CG176" s="202"/>
      <c r="CH176" s="201"/>
      <c r="CI176" s="201"/>
      <c r="CJ176" s="201"/>
      <c r="CK176" s="198"/>
      <c r="CL176" s="200"/>
      <c r="CM176" s="199"/>
      <c r="CN176" s="198"/>
    </row>
    <row r="177" spans="1:92">
      <c r="A177" s="208"/>
      <c r="B177" s="207"/>
      <c r="C177" s="221"/>
      <c r="D177" s="220" t="s">
        <v>337</v>
      </c>
      <c r="E177" s="219"/>
      <c r="F177" s="219"/>
      <c r="G177" s="219"/>
      <c r="H177" s="219"/>
      <c r="I177" s="219"/>
      <c r="J177" s="219"/>
      <c r="K177" s="219"/>
      <c r="L177" s="219"/>
      <c r="M177" s="219"/>
      <c r="N177" s="219"/>
      <c r="O177" s="219"/>
      <c r="P177" s="219"/>
      <c r="Q177" s="219"/>
      <c r="R177" s="219"/>
      <c r="S177" s="219"/>
      <c r="T177" s="219"/>
      <c r="U177" s="219"/>
      <c r="V177" s="219"/>
      <c r="W177" s="219"/>
      <c r="X177" s="219"/>
      <c r="Y177" s="219"/>
      <c r="Z177" s="219"/>
      <c r="AA177" s="219"/>
      <c r="AB177" s="219"/>
      <c r="AC177" s="219"/>
      <c r="AD177" s="219"/>
      <c r="AE177" s="219"/>
      <c r="AF177" s="219"/>
      <c r="AG177" s="219"/>
      <c r="AH177" s="219"/>
      <c r="AI177" s="219"/>
      <c r="AJ177" s="219"/>
      <c r="AK177" s="219"/>
      <c r="AL177" s="219"/>
      <c r="AM177" s="219"/>
      <c r="AN177" s="219"/>
      <c r="AO177" s="219"/>
      <c r="AP177" s="219"/>
      <c r="AQ177" s="219"/>
      <c r="AR177" s="219"/>
      <c r="AS177" s="219"/>
      <c r="AT177" s="219"/>
      <c r="AU177" s="219"/>
      <c r="AV177" s="219"/>
      <c r="AW177" s="219"/>
      <c r="AX177" s="219"/>
      <c r="AY177" s="219"/>
      <c r="AZ177" s="219"/>
      <c r="BA177" s="219"/>
      <c r="BB177" s="219"/>
      <c r="BC177" s="219"/>
      <c r="BD177" s="219"/>
      <c r="BE177" s="219"/>
      <c r="BF177" s="219"/>
      <c r="BG177" s="219"/>
      <c r="BH177" s="219"/>
      <c r="BI177" s="219"/>
      <c r="BJ177" s="219"/>
      <c r="BK177" s="219"/>
      <c r="BL177" s="219"/>
      <c r="BM177" s="219"/>
      <c r="BN177" s="219"/>
      <c r="BO177" s="219"/>
      <c r="BP177" s="219"/>
      <c r="BQ177" s="219"/>
      <c r="BR177" s="219"/>
      <c r="BS177" s="219"/>
      <c r="BT177" s="219"/>
      <c r="BU177" s="219"/>
      <c r="BV177" s="219"/>
      <c r="BW177" s="218"/>
      <c r="BX177" s="217" t="s">
        <v>10</v>
      </c>
      <c r="BY177" s="216">
        <f>SUM(BY168:BY176)</f>
        <v>91.35</v>
      </c>
      <c r="BZ177" s="204"/>
      <c r="CA177" s="204"/>
      <c r="CB177" s="204"/>
      <c r="CC177" s="200"/>
      <c r="CD177" s="202"/>
      <c r="CE177" s="201"/>
      <c r="CF177" s="200"/>
      <c r="CG177" s="202"/>
      <c r="CH177" s="201"/>
      <c r="CI177" s="201"/>
      <c r="CJ177" s="201"/>
      <c r="CK177" s="198"/>
      <c r="CL177" s="200"/>
      <c r="CM177" s="199"/>
      <c r="CN177" s="198"/>
    </row>
    <row r="178" spans="1:92">
      <c r="A178" s="208"/>
      <c r="B178" s="207"/>
      <c r="C178" s="221"/>
      <c r="D178" s="220" t="s">
        <v>360</v>
      </c>
      <c r="E178" s="219"/>
      <c r="F178" s="219"/>
      <c r="G178" s="219"/>
      <c r="H178" s="219"/>
      <c r="I178" s="219"/>
      <c r="J178" s="219"/>
      <c r="K178" s="219"/>
      <c r="L178" s="219"/>
      <c r="M178" s="219"/>
      <c r="N178" s="219"/>
      <c r="O178" s="219"/>
      <c r="P178" s="219"/>
      <c r="Q178" s="219"/>
      <c r="R178" s="219"/>
      <c r="S178" s="219"/>
      <c r="T178" s="219"/>
      <c r="U178" s="219"/>
      <c r="V178" s="219"/>
      <c r="W178" s="219"/>
      <c r="X178" s="219"/>
      <c r="Y178" s="219"/>
      <c r="Z178" s="219"/>
      <c r="AA178" s="219"/>
      <c r="AB178" s="219"/>
      <c r="AC178" s="219"/>
      <c r="AD178" s="219"/>
      <c r="AE178" s="219"/>
      <c r="AF178" s="219"/>
      <c r="AG178" s="219"/>
      <c r="AH178" s="219"/>
      <c r="AI178" s="219"/>
      <c r="AJ178" s="219"/>
      <c r="AK178" s="219"/>
      <c r="AL178" s="219"/>
      <c r="AM178" s="219"/>
      <c r="AN178" s="219"/>
      <c r="AO178" s="219"/>
      <c r="AP178" s="219"/>
      <c r="AQ178" s="219"/>
      <c r="AR178" s="219"/>
      <c r="AS178" s="219"/>
      <c r="AT178" s="219"/>
      <c r="AU178" s="219"/>
      <c r="AV178" s="219"/>
      <c r="AW178" s="219"/>
      <c r="AX178" s="219"/>
      <c r="AY178" s="219"/>
      <c r="AZ178" s="219"/>
      <c r="BA178" s="219"/>
      <c r="BB178" s="219"/>
      <c r="BC178" s="219"/>
      <c r="BD178" s="219"/>
      <c r="BE178" s="219"/>
      <c r="BF178" s="219"/>
      <c r="BG178" s="219"/>
      <c r="BH178" s="219"/>
      <c r="BI178" s="219"/>
      <c r="BJ178" s="219"/>
      <c r="BK178" s="219"/>
      <c r="BL178" s="219"/>
      <c r="BM178" s="219"/>
      <c r="BN178" s="219"/>
      <c r="BO178" s="219"/>
      <c r="BP178" s="219"/>
      <c r="BQ178" s="219"/>
      <c r="BR178" s="219"/>
      <c r="BS178" s="219"/>
      <c r="BT178" s="219"/>
      <c r="BU178" s="219"/>
      <c r="BV178" s="219"/>
      <c r="BW178" s="218"/>
      <c r="BX178" s="217" t="s">
        <v>10</v>
      </c>
      <c r="BY178" s="216">
        <f>BY166-BY177</f>
        <v>476.72800000000007</v>
      </c>
      <c r="BZ178" s="204"/>
      <c r="CA178" s="204"/>
      <c r="CB178" s="204"/>
      <c r="CC178" s="200"/>
      <c r="CD178" s="202"/>
      <c r="CE178" s="201"/>
      <c r="CF178" s="200"/>
      <c r="CG178" s="202"/>
      <c r="CH178" s="201"/>
      <c r="CI178" s="201"/>
      <c r="CJ178" s="201"/>
      <c r="CK178" s="198"/>
      <c r="CL178" s="200"/>
      <c r="CM178" s="199"/>
      <c r="CN178" s="198"/>
    </row>
    <row r="179" spans="1:92" ht="28">
      <c r="A179" s="208" t="s">
        <v>89</v>
      </c>
      <c r="B179" s="207">
        <v>104641</v>
      </c>
      <c r="C179" s="206" t="s">
        <v>88</v>
      </c>
      <c r="D179" s="205"/>
      <c r="E179" s="205"/>
      <c r="F179" s="205"/>
      <c r="G179" s="205"/>
      <c r="H179" s="205"/>
      <c r="I179" s="205"/>
      <c r="J179" s="205"/>
      <c r="K179" s="205"/>
      <c r="L179" s="205"/>
      <c r="M179" s="205"/>
      <c r="N179" s="205"/>
      <c r="O179" s="205"/>
      <c r="P179" s="205"/>
      <c r="Q179" s="205"/>
      <c r="R179" s="205"/>
      <c r="S179" s="205"/>
      <c r="T179" s="205"/>
      <c r="U179" s="205"/>
      <c r="V179" s="205"/>
      <c r="W179" s="205"/>
      <c r="X179" s="205"/>
      <c r="Y179" s="205"/>
      <c r="Z179" s="205"/>
      <c r="AA179" s="205"/>
      <c r="AB179" s="205"/>
      <c r="AC179" s="205"/>
      <c r="AD179" s="205"/>
      <c r="AE179" s="205"/>
      <c r="AF179" s="205"/>
      <c r="AG179" s="205"/>
      <c r="AH179" s="205"/>
      <c r="AI179" s="205"/>
      <c r="AJ179" s="205"/>
      <c r="AK179" s="205"/>
      <c r="AL179" s="205"/>
      <c r="AM179" s="205"/>
      <c r="AN179" s="205"/>
      <c r="AO179" s="205"/>
      <c r="AP179" s="205"/>
      <c r="AQ179" s="205"/>
      <c r="AR179" s="205"/>
      <c r="AS179" s="205"/>
      <c r="AT179" s="205"/>
      <c r="AU179" s="205"/>
      <c r="AV179" s="205"/>
      <c r="AW179" s="205"/>
      <c r="AX179" s="205"/>
      <c r="AY179" s="205"/>
      <c r="AZ179" s="205"/>
      <c r="BA179" s="205"/>
      <c r="BB179" s="205"/>
      <c r="BC179" s="205"/>
      <c r="BD179" s="205"/>
      <c r="BE179" s="205"/>
      <c r="BF179" s="205"/>
      <c r="BG179" s="205"/>
      <c r="BH179" s="205"/>
      <c r="BI179" s="205"/>
      <c r="BJ179" s="205"/>
      <c r="BK179" s="205"/>
      <c r="BL179" s="205"/>
      <c r="BM179" s="205"/>
      <c r="BN179" s="205"/>
      <c r="BO179" s="205"/>
      <c r="BP179" s="205"/>
      <c r="BQ179" s="205"/>
      <c r="BR179" s="205"/>
      <c r="BS179" s="205"/>
      <c r="BT179" s="205"/>
      <c r="BU179" s="205"/>
      <c r="BV179" s="205"/>
      <c r="BW179" s="205"/>
      <c r="BX179" s="205"/>
      <c r="BY179" s="205"/>
      <c r="BZ179" s="204"/>
      <c r="CA179" s="204"/>
      <c r="CB179" s="204"/>
      <c r="CC179" s="200"/>
      <c r="CD179" s="202"/>
      <c r="CE179" s="201"/>
      <c r="CF179" s="200"/>
      <c r="CG179" s="202"/>
      <c r="CH179" s="201"/>
      <c r="CI179" s="201"/>
      <c r="CJ179" s="201"/>
      <c r="CK179" s="198">
        <f>TRUNC(AL179*CJ179)+0</f>
        <v>0</v>
      </c>
      <c r="CL179" s="200"/>
      <c r="CM179" s="199">
        <f>TRUNC(CL179*AK179,2)</f>
        <v>0</v>
      </c>
      <c r="CN179" s="198">
        <f>TRUNC(CM179*AL179)+0</f>
        <v>0</v>
      </c>
    </row>
    <row r="180" spans="1:92">
      <c r="A180" s="208"/>
      <c r="B180" s="207"/>
      <c r="C180" s="206"/>
      <c r="D180" s="265" t="s">
        <v>359</v>
      </c>
      <c r="E180" s="264"/>
      <c r="F180" s="264"/>
      <c r="G180" s="264"/>
      <c r="H180" s="264"/>
      <c r="I180" s="264"/>
      <c r="J180" s="264"/>
      <c r="K180" s="264"/>
      <c r="L180" s="264"/>
      <c r="M180" s="264"/>
      <c r="N180" s="264"/>
      <c r="O180" s="264"/>
      <c r="P180" s="264"/>
      <c r="Q180" s="264"/>
      <c r="R180" s="264"/>
      <c r="S180" s="264"/>
      <c r="T180" s="264"/>
      <c r="U180" s="264"/>
      <c r="V180" s="264"/>
      <c r="W180" s="264"/>
      <c r="X180" s="264"/>
      <c r="Y180" s="264"/>
      <c r="Z180" s="264"/>
      <c r="AA180" s="264"/>
      <c r="AB180" s="264"/>
      <c r="AC180" s="264"/>
      <c r="AD180" s="264"/>
      <c r="AE180" s="264"/>
      <c r="AF180" s="264"/>
      <c r="AG180" s="264"/>
      <c r="AH180" s="264"/>
      <c r="AI180" s="264"/>
      <c r="AJ180" s="264"/>
      <c r="AK180" s="264"/>
      <c r="AL180" s="264"/>
      <c r="AM180" s="264"/>
      <c r="AN180" s="264"/>
      <c r="AO180" s="264"/>
      <c r="AP180" s="264"/>
      <c r="AQ180" s="264"/>
      <c r="AR180" s="264"/>
      <c r="AS180" s="264"/>
      <c r="AT180" s="264"/>
      <c r="AU180" s="264"/>
      <c r="AV180" s="264"/>
      <c r="AW180" s="264"/>
      <c r="AX180" s="264"/>
      <c r="AY180" s="264"/>
      <c r="AZ180" s="264"/>
      <c r="BA180" s="264"/>
      <c r="BB180" s="264"/>
      <c r="BC180" s="264"/>
      <c r="BD180" s="264"/>
      <c r="BE180" s="264"/>
      <c r="BF180" s="264"/>
      <c r="BG180" s="264"/>
      <c r="BH180" s="264"/>
      <c r="BI180" s="264"/>
      <c r="BJ180" s="264"/>
      <c r="BK180" s="264"/>
      <c r="BL180" s="264"/>
      <c r="BM180" s="264"/>
      <c r="BN180" s="264"/>
      <c r="BO180" s="264"/>
      <c r="BP180" s="264"/>
      <c r="BQ180" s="264"/>
      <c r="BR180" s="264"/>
      <c r="BS180" s="264"/>
      <c r="BT180" s="264"/>
      <c r="BU180" s="264"/>
      <c r="BV180" s="264"/>
      <c r="BW180" s="263"/>
      <c r="BX180" s="214"/>
      <c r="BY180" s="214"/>
      <c r="BZ180" s="204"/>
      <c r="CA180" s="204"/>
      <c r="CB180" s="204"/>
      <c r="CC180" s="200"/>
      <c r="CD180" s="202"/>
      <c r="CE180" s="201"/>
      <c r="CF180" s="200"/>
      <c r="CG180" s="202"/>
      <c r="CH180" s="201"/>
      <c r="CI180" s="201"/>
      <c r="CJ180" s="201"/>
      <c r="CK180" s="198"/>
      <c r="CL180" s="200"/>
      <c r="CM180" s="199"/>
      <c r="CN180" s="198"/>
    </row>
    <row r="181" spans="1:92">
      <c r="A181" s="208"/>
      <c r="B181" s="207"/>
      <c r="C181" s="250" t="s">
        <v>351</v>
      </c>
      <c r="D181" s="214">
        <v>4.51</v>
      </c>
      <c r="E181" s="214" t="s">
        <v>338</v>
      </c>
      <c r="F181" s="214">
        <v>5.3</v>
      </c>
      <c r="G181" s="266" t="s">
        <v>310</v>
      </c>
      <c r="H181" s="214">
        <v>11</v>
      </c>
      <c r="I181" s="214" t="s">
        <v>338</v>
      </c>
      <c r="J181" s="214">
        <v>0.6</v>
      </c>
      <c r="K181" s="214" t="s">
        <v>310</v>
      </c>
      <c r="L181" s="214">
        <v>11</v>
      </c>
      <c r="M181" s="214" t="s">
        <v>338</v>
      </c>
      <c r="N181" s="214">
        <v>0.6</v>
      </c>
      <c r="O181" s="214" t="s">
        <v>310</v>
      </c>
      <c r="P181" s="214">
        <v>5.45</v>
      </c>
      <c r="Q181" s="214" t="s">
        <v>338</v>
      </c>
      <c r="R181" s="214">
        <v>0.6</v>
      </c>
      <c r="S181" s="214" t="s">
        <v>310</v>
      </c>
      <c r="T181" s="214">
        <v>5.45</v>
      </c>
      <c r="U181" s="214" t="s">
        <v>338</v>
      </c>
      <c r="V181" s="214">
        <v>0.6</v>
      </c>
      <c r="W181" s="214" t="s">
        <v>310</v>
      </c>
      <c r="X181" s="214">
        <v>6.6</v>
      </c>
      <c r="Y181" s="214" t="s">
        <v>338</v>
      </c>
      <c r="Z181" s="214">
        <v>0.6</v>
      </c>
      <c r="AA181" s="214" t="s">
        <v>310</v>
      </c>
      <c r="AB181" s="214">
        <v>6.6</v>
      </c>
      <c r="AC181" s="214" t="s">
        <v>338</v>
      </c>
      <c r="AD181" s="214">
        <v>0.6</v>
      </c>
      <c r="AE181" s="214" t="s">
        <v>310</v>
      </c>
      <c r="AF181" s="214">
        <v>0.3</v>
      </c>
      <c r="AG181" s="214" t="s">
        <v>338</v>
      </c>
      <c r="AH181" s="214">
        <v>0.6</v>
      </c>
      <c r="AI181" s="214" t="s">
        <v>310</v>
      </c>
      <c r="AJ181" s="214">
        <v>0.3</v>
      </c>
      <c r="AK181" s="214" t="s">
        <v>338</v>
      </c>
      <c r="AL181" s="214">
        <v>0.6</v>
      </c>
      <c r="AM181" s="214" t="s">
        <v>310</v>
      </c>
      <c r="AN181" s="214">
        <v>5.75</v>
      </c>
      <c r="AO181" s="214" t="s">
        <v>338</v>
      </c>
      <c r="AP181" s="214">
        <v>5.3</v>
      </c>
      <c r="AQ181" s="214" t="s">
        <v>310</v>
      </c>
      <c r="AR181" s="214">
        <v>0.9</v>
      </c>
      <c r="AS181" s="214" t="s">
        <v>338</v>
      </c>
      <c r="AT181" s="214">
        <v>4.4000000000000004</v>
      </c>
      <c r="AU181" s="214" t="s">
        <v>310</v>
      </c>
      <c r="AV181" s="214">
        <v>1.45</v>
      </c>
      <c r="AW181" s="214" t="s">
        <v>338</v>
      </c>
      <c r="AX181" s="214">
        <v>4.4000000000000004</v>
      </c>
      <c r="AY181" s="214" t="s">
        <v>310</v>
      </c>
      <c r="AZ181" s="214">
        <v>5.25</v>
      </c>
      <c r="BA181" s="214" t="s">
        <v>338</v>
      </c>
      <c r="BB181" s="214">
        <v>4.4000000000000004</v>
      </c>
      <c r="BC181" s="214" t="s">
        <v>310</v>
      </c>
      <c r="BD181" s="214">
        <v>1.45</v>
      </c>
      <c r="BE181" s="214" t="s">
        <v>338</v>
      </c>
      <c r="BF181" s="214">
        <v>4.4000000000000004</v>
      </c>
      <c r="BG181" s="214" t="s">
        <v>310</v>
      </c>
      <c r="BH181" s="214">
        <v>2.0499999999999998</v>
      </c>
      <c r="BI181" s="214" t="s">
        <v>338</v>
      </c>
      <c r="BJ181" s="214">
        <v>4.4000000000000004</v>
      </c>
      <c r="BK181" s="214" t="s">
        <v>310</v>
      </c>
      <c r="BL181" s="214">
        <v>1.45</v>
      </c>
      <c r="BM181" s="214" t="s">
        <v>338</v>
      </c>
      <c r="BN181" s="214">
        <v>4.4000000000000004</v>
      </c>
      <c r="BO181" s="214" t="s">
        <v>310</v>
      </c>
      <c r="BP181" s="214">
        <v>5.25</v>
      </c>
      <c r="BQ181" s="214" t="s">
        <v>338</v>
      </c>
      <c r="BR181" s="214">
        <v>4.4000000000000004</v>
      </c>
      <c r="BS181" s="214" t="s">
        <v>310</v>
      </c>
      <c r="BT181" s="214">
        <v>7.12</v>
      </c>
      <c r="BU181" s="214" t="s">
        <v>338</v>
      </c>
      <c r="BV181" s="214">
        <v>2.1</v>
      </c>
      <c r="BW181" s="214"/>
      <c r="BX181" s="214" t="s">
        <v>10</v>
      </c>
      <c r="BY181" s="214">
        <f>D181*F181+H181*J181+L181*N181+P181*R181+T181*V181+X181*Z181+AB181*AD181+AF181*AH181+AJ181*AL181+AN181*AP181+AR181*AT181+AV181*AX181+AZ181*BB181+BD181*BF181+BH181*BJ181+BL181*BN181+BP181*BR181+BT181*BV181</f>
        <v>175.67</v>
      </c>
      <c r="BZ181" s="204"/>
      <c r="CA181" s="204"/>
      <c r="CB181" s="204"/>
      <c r="CC181" s="200"/>
      <c r="CD181" s="202"/>
      <c r="CE181" s="201"/>
      <c r="CF181" s="200"/>
      <c r="CG181" s="202"/>
      <c r="CH181" s="201"/>
      <c r="CI181" s="201"/>
      <c r="CJ181" s="201"/>
      <c r="CK181" s="198"/>
      <c r="CL181" s="200"/>
      <c r="CM181" s="199"/>
      <c r="CN181" s="198"/>
    </row>
    <row r="182" spans="1:92">
      <c r="A182" s="208"/>
      <c r="B182" s="207"/>
      <c r="C182" s="250" t="s">
        <v>350</v>
      </c>
      <c r="D182" s="214">
        <v>5.0999999999999996</v>
      </c>
      <c r="E182" s="214" t="s">
        <v>338</v>
      </c>
      <c r="F182" s="214">
        <v>5.3</v>
      </c>
      <c r="G182" s="214" t="s">
        <v>310</v>
      </c>
      <c r="H182" s="214">
        <v>7.05</v>
      </c>
      <c r="I182" s="214" t="s">
        <v>338</v>
      </c>
      <c r="J182" s="214">
        <v>5.3</v>
      </c>
      <c r="K182" s="214" t="s">
        <v>310</v>
      </c>
      <c r="L182" s="214">
        <v>5.85</v>
      </c>
      <c r="M182" s="214" t="s">
        <v>338</v>
      </c>
      <c r="N182" s="214">
        <v>0.6</v>
      </c>
      <c r="O182" s="214" t="s">
        <v>310</v>
      </c>
      <c r="P182" s="214">
        <v>5.85</v>
      </c>
      <c r="Q182" s="214" t="s">
        <v>338</v>
      </c>
      <c r="R182" s="214">
        <v>1.6</v>
      </c>
      <c r="S182" s="214"/>
      <c r="T182" s="214"/>
      <c r="U182" s="214"/>
      <c r="V182" s="214"/>
      <c r="W182" s="214"/>
      <c r="X182" s="214"/>
      <c r="Y182" s="214"/>
      <c r="Z182" s="214"/>
      <c r="AA182" s="214"/>
      <c r="AB182" s="214"/>
      <c r="AC182" s="214"/>
      <c r="AD182" s="214"/>
      <c r="AE182" s="214"/>
      <c r="AF182" s="214"/>
      <c r="AG182" s="214"/>
      <c r="AH182" s="214"/>
      <c r="AI182" s="214"/>
      <c r="AJ182" s="214"/>
      <c r="AK182" s="214"/>
      <c r="AL182" s="214"/>
      <c r="AM182" s="214"/>
      <c r="AN182" s="214"/>
      <c r="AO182" s="214"/>
      <c r="AP182" s="214"/>
      <c r="AQ182" s="214"/>
      <c r="AR182" s="214"/>
      <c r="AS182" s="214"/>
      <c r="AT182" s="214"/>
      <c r="AU182" s="214"/>
      <c r="AV182" s="214"/>
      <c r="AW182" s="214"/>
      <c r="AX182" s="214"/>
      <c r="AY182" s="214"/>
      <c r="AZ182" s="214"/>
      <c r="BA182" s="214"/>
      <c r="BB182" s="214"/>
      <c r="BC182" s="214"/>
      <c r="BD182" s="214"/>
      <c r="BE182" s="214"/>
      <c r="BF182" s="214"/>
      <c r="BG182" s="214"/>
      <c r="BH182" s="214"/>
      <c r="BI182" s="214"/>
      <c r="BJ182" s="214"/>
      <c r="BK182" s="214"/>
      <c r="BL182" s="214"/>
      <c r="BM182" s="214"/>
      <c r="BN182" s="214"/>
      <c r="BO182" s="214"/>
      <c r="BP182" s="214"/>
      <c r="BQ182" s="214"/>
      <c r="BR182" s="214"/>
      <c r="BS182" s="214"/>
      <c r="BT182" s="214"/>
      <c r="BU182" s="214"/>
      <c r="BV182" s="214"/>
      <c r="BW182" s="214"/>
      <c r="BX182" s="214" t="s">
        <v>10</v>
      </c>
      <c r="BY182" s="214">
        <f>D182*F182+H182*J182+L182*N182+P182*R182+T182*V182+X182*Z182+AB182*AD182+AF182*AH182+AJ182*AL182+AN182*AP182+AR182*AT182+AV182*AX182+AZ182*BB182+BD182*BF182+BH182*BJ182+BL182*BN182+BP182*BR182+BT182*BV182</f>
        <v>77.265000000000001</v>
      </c>
      <c r="BZ182" s="204"/>
      <c r="CA182" s="204"/>
      <c r="CB182" s="204"/>
      <c r="CC182" s="200"/>
      <c r="CD182" s="202"/>
      <c r="CE182" s="201"/>
      <c r="CF182" s="200"/>
      <c r="CG182" s="202"/>
      <c r="CH182" s="201"/>
      <c r="CI182" s="201"/>
      <c r="CJ182" s="201"/>
      <c r="CK182" s="198"/>
      <c r="CL182" s="200"/>
      <c r="CM182" s="199"/>
      <c r="CN182" s="198"/>
    </row>
    <row r="183" spans="1:92">
      <c r="A183" s="208"/>
      <c r="B183" s="207"/>
      <c r="C183" s="250" t="s">
        <v>349</v>
      </c>
      <c r="D183" s="214">
        <v>1.3</v>
      </c>
      <c r="E183" s="214" t="s">
        <v>338</v>
      </c>
      <c r="F183" s="214">
        <v>4.4000000000000004</v>
      </c>
      <c r="G183" s="214" t="s">
        <v>310</v>
      </c>
      <c r="H183" s="214">
        <v>1.1000000000000001</v>
      </c>
      <c r="I183" s="214" t="s">
        <v>338</v>
      </c>
      <c r="J183" s="214">
        <v>4.4000000000000004</v>
      </c>
      <c r="K183" s="214" t="s">
        <v>310</v>
      </c>
      <c r="L183" s="214">
        <v>9.9</v>
      </c>
      <c r="M183" s="214" t="s">
        <v>338</v>
      </c>
      <c r="N183" s="214">
        <v>4.4000000000000004</v>
      </c>
      <c r="O183" s="214" t="s">
        <v>310</v>
      </c>
      <c r="P183" s="214">
        <v>1.1000000000000001</v>
      </c>
      <c r="Q183" s="214" t="s">
        <v>338</v>
      </c>
      <c r="R183" s="214">
        <v>4.4000000000000004</v>
      </c>
      <c r="S183" s="214" t="s">
        <v>310</v>
      </c>
      <c r="T183" s="214">
        <v>1.45</v>
      </c>
      <c r="U183" s="214" t="s">
        <v>338</v>
      </c>
      <c r="V183" s="214">
        <v>4.4000000000000004</v>
      </c>
      <c r="W183" s="214" t="s">
        <v>310</v>
      </c>
      <c r="X183" s="214">
        <v>14.11</v>
      </c>
      <c r="Y183" s="214" t="s">
        <v>338</v>
      </c>
      <c r="Z183" s="214">
        <v>2.2000000000000002</v>
      </c>
      <c r="AA183" s="214" t="s">
        <v>310</v>
      </c>
      <c r="AB183" s="214">
        <v>14.11</v>
      </c>
      <c r="AC183" s="214" t="s">
        <v>338</v>
      </c>
      <c r="AD183" s="214">
        <v>2.2000000000000002</v>
      </c>
      <c r="AE183" s="214"/>
      <c r="AF183" s="214"/>
      <c r="AG183" s="214"/>
      <c r="AH183" s="214"/>
      <c r="AI183" s="214"/>
      <c r="AJ183" s="214"/>
      <c r="AK183" s="214"/>
      <c r="AL183" s="214"/>
      <c r="AM183" s="214"/>
      <c r="AN183" s="214"/>
      <c r="AO183" s="214"/>
      <c r="AP183" s="214"/>
      <c r="AQ183" s="214"/>
      <c r="AR183" s="214"/>
      <c r="AS183" s="214"/>
      <c r="AT183" s="214"/>
      <c r="AU183" s="214"/>
      <c r="AV183" s="214"/>
      <c r="AW183" s="214"/>
      <c r="AX183" s="214"/>
      <c r="AY183" s="214"/>
      <c r="AZ183" s="214"/>
      <c r="BA183" s="214"/>
      <c r="BB183" s="214"/>
      <c r="BC183" s="214"/>
      <c r="BD183" s="214"/>
      <c r="BE183" s="214"/>
      <c r="BF183" s="214"/>
      <c r="BG183" s="214"/>
      <c r="BH183" s="214"/>
      <c r="BI183" s="214"/>
      <c r="BJ183" s="214"/>
      <c r="BK183" s="214"/>
      <c r="BL183" s="214"/>
      <c r="BM183" s="214"/>
      <c r="BN183" s="214"/>
      <c r="BO183" s="214"/>
      <c r="BP183" s="214"/>
      <c r="BQ183" s="214"/>
      <c r="BR183" s="214"/>
      <c r="BS183" s="214"/>
      <c r="BT183" s="214"/>
      <c r="BU183" s="214"/>
      <c r="BV183" s="214"/>
      <c r="BW183" s="214"/>
      <c r="BX183" s="214" t="s">
        <v>10</v>
      </c>
      <c r="BY183" s="214">
        <f>D183*F183+H183*J183+L183*N183+P183*R183+T183*V183+X183*Z183+AB183*AD183+AF183*AH183+AJ183*AL183+AN183*AP183+AR183*AT183+AV183*AX183+AZ183*BB183+BD183*BF183+BH183*BJ183+BL183*BN183+BP183*BR183+BT183*BV183</f>
        <v>127.42400000000001</v>
      </c>
      <c r="BZ183" s="204"/>
      <c r="CA183" s="204"/>
      <c r="CB183" s="204"/>
      <c r="CC183" s="200"/>
      <c r="CD183" s="202"/>
      <c r="CE183" s="201"/>
      <c r="CF183" s="200"/>
      <c r="CG183" s="202"/>
      <c r="CH183" s="201"/>
      <c r="CI183" s="201"/>
      <c r="CJ183" s="201"/>
      <c r="CK183" s="198"/>
      <c r="CL183" s="200"/>
      <c r="CM183" s="199"/>
      <c r="CN183" s="198"/>
    </row>
    <row r="184" spans="1:92">
      <c r="A184" s="208"/>
      <c r="B184" s="207"/>
      <c r="C184" s="250" t="s">
        <v>348</v>
      </c>
      <c r="D184" s="214">
        <v>7.91</v>
      </c>
      <c r="E184" s="214" t="s">
        <v>338</v>
      </c>
      <c r="F184" s="214">
        <v>5.3</v>
      </c>
      <c r="G184" s="214" t="s">
        <v>310</v>
      </c>
      <c r="H184" s="214">
        <v>3.21</v>
      </c>
      <c r="I184" s="214" t="s">
        <v>338</v>
      </c>
      <c r="J184" s="214">
        <v>5.3</v>
      </c>
      <c r="K184" s="214" t="s">
        <v>310</v>
      </c>
      <c r="L184" s="214">
        <v>4.6500000000000004</v>
      </c>
      <c r="M184" s="214" t="s">
        <v>338</v>
      </c>
      <c r="N184" s="214">
        <v>5.3</v>
      </c>
      <c r="O184" s="214" t="s">
        <v>310</v>
      </c>
      <c r="P184" s="214">
        <v>6.35</v>
      </c>
      <c r="Q184" s="214" t="s">
        <v>338</v>
      </c>
      <c r="R184" s="214">
        <v>4.4000000000000004</v>
      </c>
      <c r="S184" s="214" t="s">
        <v>310</v>
      </c>
      <c r="T184" s="214">
        <v>1.45</v>
      </c>
      <c r="U184" s="214" t="s">
        <v>338</v>
      </c>
      <c r="V184" s="214">
        <v>4.4000000000000004</v>
      </c>
      <c r="W184" s="214" t="s">
        <v>310</v>
      </c>
      <c r="X184" s="214">
        <v>2.0499999999999998</v>
      </c>
      <c r="Y184" s="214" t="s">
        <v>338</v>
      </c>
      <c r="Z184" s="214">
        <v>4.4000000000000004</v>
      </c>
      <c r="AA184" s="214" t="s">
        <v>310</v>
      </c>
      <c r="AB184" s="214">
        <v>1.45</v>
      </c>
      <c r="AC184" s="214" t="s">
        <v>338</v>
      </c>
      <c r="AD184" s="214">
        <v>4.4000000000000004</v>
      </c>
      <c r="AE184" s="214" t="s">
        <v>310</v>
      </c>
      <c r="AF184" s="214">
        <v>5.25</v>
      </c>
      <c r="AG184" s="214" t="s">
        <v>338</v>
      </c>
      <c r="AH184" s="214">
        <v>4.4000000000000004</v>
      </c>
      <c r="AI184" s="214" t="s">
        <v>310</v>
      </c>
      <c r="AJ184" s="214">
        <v>33.549999999999997</v>
      </c>
      <c r="AK184" s="214" t="s">
        <v>338</v>
      </c>
      <c r="AL184" s="214">
        <v>2.1</v>
      </c>
      <c r="AM184" s="214" t="s">
        <v>310</v>
      </c>
      <c r="AN184" s="214">
        <v>33.549999999999997</v>
      </c>
      <c r="AO184" s="214" t="s">
        <v>338</v>
      </c>
      <c r="AP184" s="214">
        <v>2.1</v>
      </c>
      <c r="AQ184" s="214"/>
      <c r="AR184" s="214"/>
      <c r="AS184" s="214"/>
      <c r="AT184" s="214"/>
      <c r="AU184" s="214"/>
      <c r="AV184" s="214"/>
      <c r="AW184" s="214"/>
      <c r="AX184" s="214"/>
      <c r="AY184" s="214"/>
      <c r="AZ184" s="214"/>
      <c r="BA184" s="214"/>
      <c r="BB184" s="214"/>
      <c r="BC184" s="214"/>
      <c r="BD184" s="214"/>
      <c r="BE184" s="214"/>
      <c r="BF184" s="214"/>
      <c r="BG184" s="214"/>
      <c r="BH184" s="214"/>
      <c r="BI184" s="214"/>
      <c r="BJ184" s="214"/>
      <c r="BK184" s="214"/>
      <c r="BL184" s="214"/>
      <c r="BM184" s="214"/>
      <c r="BN184" s="214"/>
      <c r="BO184" s="214"/>
      <c r="BP184" s="214"/>
      <c r="BQ184" s="214"/>
      <c r="BR184" s="214"/>
      <c r="BS184" s="214"/>
      <c r="BT184" s="214"/>
      <c r="BU184" s="214"/>
      <c r="BV184" s="214"/>
      <c r="BW184" s="214"/>
      <c r="BX184" s="214" t="s">
        <v>10</v>
      </c>
      <c r="BY184" s="214">
        <f>D184*F184+H184*J184+L184*N184+P184*R184+T184*V184+X184*Z184+AB184*AD184+AF184*AH184+AJ184*AL184+AN184*AP184+AR184*AT184+AV184*AX184+AZ184*BB184+BD184*BF184+BH184*BJ184+BL184*BN184+BP184*BR184+BT184*BV184</f>
        <v>297.31099999999998</v>
      </c>
      <c r="BZ184" s="204"/>
      <c r="CA184" s="204"/>
      <c r="CB184" s="204"/>
      <c r="CC184" s="200"/>
      <c r="CD184" s="202"/>
      <c r="CE184" s="201"/>
      <c r="CF184" s="200"/>
      <c r="CG184" s="202"/>
      <c r="CH184" s="201"/>
      <c r="CI184" s="201"/>
      <c r="CJ184" s="201"/>
      <c r="CK184" s="198"/>
      <c r="CL184" s="200"/>
      <c r="CM184" s="199"/>
      <c r="CN184" s="198"/>
    </row>
    <row r="185" spans="1:92">
      <c r="A185" s="208"/>
      <c r="B185" s="207"/>
      <c r="C185" s="250"/>
      <c r="D185" s="257" t="s">
        <v>347</v>
      </c>
      <c r="E185" s="256"/>
      <c r="F185" s="256"/>
      <c r="G185" s="256"/>
      <c r="H185" s="256"/>
      <c r="I185" s="256"/>
      <c r="J185" s="256"/>
      <c r="K185" s="256"/>
      <c r="L185" s="256"/>
      <c r="M185" s="256"/>
      <c r="N185" s="256"/>
      <c r="O185" s="256"/>
      <c r="P185" s="256"/>
      <c r="Q185" s="256"/>
      <c r="R185" s="256"/>
      <c r="S185" s="256"/>
      <c r="T185" s="256"/>
      <c r="U185" s="256"/>
      <c r="V185" s="256"/>
      <c r="W185" s="256"/>
      <c r="X185" s="256"/>
      <c r="Y185" s="256"/>
      <c r="Z185" s="256"/>
      <c r="AA185" s="256"/>
      <c r="AB185" s="256"/>
      <c r="AC185" s="256"/>
      <c r="AD185" s="256"/>
      <c r="AE185" s="256"/>
      <c r="AF185" s="256"/>
      <c r="AG185" s="256"/>
      <c r="AH185" s="256"/>
      <c r="AI185" s="256"/>
      <c r="AJ185" s="256"/>
      <c r="AK185" s="256"/>
      <c r="AL185" s="256"/>
      <c r="AM185" s="256"/>
      <c r="AN185" s="256"/>
      <c r="AO185" s="256"/>
      <c r="AP185" s="256"/>
      <c r="AQ185" s="256"/>
      <c r="AR185" s="256"/>
      <c r="AS185" s="256"/>
      <c r="AT185" s="256"/>
      <c r="AU185" s="256"/>
      <c r="AV185" s="256"/>
      <c r="AW185" s="256"/>
      <c r="AX185" s="256"/>
      <c r="AY185" s="256"/>
      <c r="AZ185" s="256"/>
      <c r="BA185" s="256"/>
      <c r="BB185" s="256"/>
      <c r="BC185" s="256"/>
      <c r="BD185" s="256"/>
      <c r="BE185" s="256"/>
      <c r="BF185" s="256"/>
      <c r="BG185" s="256"/>
      <c r="BH185" s="256"/>
      <c r="BI185" s="256"/>
      <c r="BJ185" s="256"/>
      <c r="BK185" s="256"/>
      <c r="BL185" s="256"/>
      <c r="BM185" s="256"/>
      <c r="BN185" s="256"/>
      <c r="BO185" s="256"/>
      <c r="BP185" s="256"/>
      <c r="BQ185" s="256"/>
      <c r="BR185" s="256"/>
      <c r="BS185" s="256"/>
      <c r="BT185" s="256"/>
      <c r="BU185" s="256"/>
      <c r="BV185" s="256"/>
      <c r="BW185" s="255"/>
      <c r="BX185" s="253" t="s">
        <v>10</v>
      </c>
      <c r="BY185" s="253">
        <f>SUM(BY181:BY184)</f>
        <v>677.67000000000007</v>
      </c>
      <c r="BZ185" s="204"/>
      <c r="CA185" s="204"/>
      <c r="CB185" s="204"/>
      <c r="CC185" s="200"/>
      <c r="CD185" s="202"/>
      <c r="CE185" s="201"/>
      <c r="CF185" s="200"/>
      <c r="CG185" s="202"/>
      <c r="CH185" s="201"/>
      <c r="CI185" s="201"/>
      <c r="CJ185" s="201"/>
      <c r="CK185" s="198"/>
      <c r="CL185" s="200"/>
      <c r="CM185" s="199"/>
      <c r="CN185" s="198"/>
    </row>
    <row r="186" spans="1:92">
      <c r="A186" s="208"/>
      <c r="B186" s="207"/>
      <c r="D186" s="265" t="s">
        <v>346</v>
      </c>
      <c r="E186" s="264"/>
      <c r="F186" s="264"/>
      <c r="G186" s="264"/>
      <c r="H186" s="264"/>
      <c r="I186" s="264"/>
      <c r="J186" s="264"/>
      <c r="K186" s="264"/>
      <c r="L186" s="264"/>
      <c r="M186" s="264"/>
      <c r="N186" s="264"/>
      <c r="O186" s="264"/>
      <c r="P186" s="264"/>
      <c r="Q186" s="264"/>
      <c r="R186" s="264"/>
      <c r="S186" s="264"/>
      <c r="T186" s="264"/>
      <c r="U186" s="264"/>
      <c r="V186" s="264"/>
      <c r="W186" s="264"/>
      <c r="X186" s="264"/>
      <c r="Y186" s="264"/>
      <c r="Z186" s="264"/>
      <c r="AA186" s="264"/>
      <c r="AB186" s="264"/>
      <c r="AC186" s="264"/>
      <c r="AD186" s="264"/>
      <c r="AE186" s="264"/>
      <c r="AF186" s="264"/>
      <c r="AG186" s="264"/>
      <c r="AH186" s="264"/>
      <c r="AI186" s="264"/>
      <c r="AJ186" s="264"/>
      <c r="AK186" s="264"/>
      <c r="AL186" s="264"/>
      <c r="AM186" s="264"/>
      <c r="AN186" s="264"/>
      <c r="AO186" s="264"/>
      <c r="AP186" s="264"/>
      <c r="AQ186" s="264"/>
      <c r="AR186" s="264"/>
      <c r="AS186" s="264"/>
      <c r="AT186" s="264"/>
      <c r="AU186" s="264"/>
      <c r="AV186" s="264"/>
      <c r="AW186" s="264"/>
      <c r="AX186" s="264"/>
      <c r="AY186" s="264"/>
      <c r="AZ186" s="264"/>
      <c r="BA186" s="264"/>
      <c r="BB186" s="264"/>
      <c r="BC186" s="264"/>
      <c r="BD186" s="264"/>
      <c r="BE186" s="264"/>
      <c r="BF186" s="264"/>
      <c r="BG186" s="264"/>
      <c r="BH186" s="264"/>
      <c r="BI186" s="264"/>
      <c r="BJ186" s="264"/>
      <c r="BK186" s="264"/>
      <c r="BL186" s="264"/>
      <c r="BM186" s="264"/>
      <c r="BN186" s="264"/>
      <c r="BO186" s="264"/>
      <c r="BP186" s="264"/>
      <c r="BQ186" s="264"/>
      <c r="BR186" s="264"/>
      <c r="BS186" s="264"/>
      <c r="BT186" s="264"/>
      <c r="BU186" s="264"/>
      <c r="BV186" s="264"/>
      <c r="BW186" s="263"/>
      <c r="BX186" s="253"/>
      <c r="BY186" s="253"/>
      <c r="BZ186" s="204"/>
      <c r="CA186" s="204"/>
      <c r="CB186" s="204"/>
      <c r="CC186" s="200"/>
      <c r="CD186" s="202"/>
      <c r="CE186" s="201"/>
      <c r="CF186" s="200"/>
      <c r="CG186" s="202"/>
      <c r="CH186" s="201"/>
      <c r="CI186" s="201"/>
      <c r="CJ186" s="201"/>
      <c r="CK186" s="198"/>
      <c r="CL186" s="200"/>
      <c r="CM186" s="199"/>
      <c r="CN186" s="198"/>
    </row>
    <row r="187" spans="1:92">
      <c r="A187" s="208"/>
      <c r="B187" s="207"/>
      <c r="C187" s="250" t="s">
        <v>345</v>
      </c>
      <c r="D187" s="262">
        <v>2.2000000000000002</v>
      </c>
      <c r="E187" s="259" t="s">
        <v>338</v>
      </c>
      <c r="F187" s="259">
        <v>2.5</v>
      </c>
      <c r="G187" s="259"/>
      <c r="H187" s="259"/>
      <c r="I187" s="259"/>
      <c r="J187" s="259"/>
      <c r="K187" s="259"/>
      <c r="L187" s="259"/>
      <c r="M187" s="259"/>
      <c r="N187" s="259"/>
      <c r="O187" s="259"/>
      <c r="P187" s="259"/>
      <c r="Q187" s="259"/>
      <c r="R187" s="259"/>
      <c r="S187" s="259"/>
      <c r="T187" s="259"/>
      <c r="U187" s="259"/>
      <c r="V187" s="259"/>
      <c r="W187" s="261"/>
      <c r="X187" s="261"/>
      <c r="Y187" s="261"/>
      <c r="Z187" s="261"/>
      <c r="AA187" s="261"/>
      <c r="AB187" s="260"/>
      <c r="AC187" s="260"/>
      <c r="AD187" s="260"/>
      <c r="AE187" s="260"/>
      <c r="AF187" s="260"/>
      <c r="AG187" s="260"/>
      <c r="AH187" s="260"/>
      <c r="AI187" s="260"/>
      <c r="AJ187" s="260"/>
      <c r="AK187" s="260"/>
      <c r="AL187" s="260"/>
      <c r="AM187" s="260"/>
      <c r="AN187" s="260"/>
      <c r="AO187" s="260"/>
      <c r="AP187" s="260"/>
      <c r="AQ187" s="260"/>
      <c r="AR187" s="260"/>
      <c r="AS187" s="260"/>
      <c r="AT187" s="260"/>
      <c r="AU187" s="260"/>
      <c r="AV187" s="260"/>
      <c r="AW187" s="260"/>
      <c r="AX187" s="260"/>
      <c r="AY187" s="260"/>
      <c r="AZ187" s="260"/>
      <c r="BA187" s="260"/>
      <c r="BB187" s="260"/>
      <c r="BC187" s="260"/>
      <c r="BD187" s="260"/>
      <c r="BE187" s="260"/>
      <c r="BF187" s="260"/>
      <c r="BG187" s="260"/>
      <c r="BH187" s="260"/>
      <c r="BI187" s="260"/>
      <c r="BJ187" s="260"/>
      <c r="BK187" s="260"/>
      <c r="BL187" s="260"/>
      <c r="BM187" s="260"/>
      <c r="BN187" s="260"/>
      <c r="BO187" s="260"/>
      <c r="BP187" s="260"/>
      <c r="BQ187" s="260"/>
      <c r="BR187" s="260"/>
      <c r="BS187" s="260"/>
      <c r="BT187" s="260"/>
      <c r="BU187" s="260"/>
      <c r="BV187" s="259" t="s">
        <v>338</v>
      </c>
      <c r="BW187" s="258">
        <v>1</v>
      </c>
      <c r="BX187" s="253" t="s">
        <v>10</v>
      </c>
      <c r="BY187" s="214">
        <f>(D187*F187)*BW187</f>
        <v>5.5</v>
      </c>
      <c r="BZ187" s="204"/>
      <c r="CA187" s="204"/>
      <c r="CB187" s="204"/>
      <c r="CC187" s="200"/>
      <c r="CD187" s="202"/>
      <c r="CE187" s="201"/>
      <c r="CF187" s="200"/>
      <c r="CG187" s="202"/>
      <c r="CH187" s="201"/>
      <c r="CI187" s="201"/>
      <c r="CJ187" s="201"/>
      <c r="CK187" s="198"/>
      <c r="CL187" s="200"/>
      <c r="CM187" s="199"/>
      <c r="CN187" s="198"/>
    </row>
    <row r="188" spans="1:92">
      <c r="A188" s="208"/>
      <c r="B188" s="207"/>
      <c r="C188" s="250" t="s">
        <v>344</v>
      </c>
      <c r="D188" s="262">
        <v>2</v>
      </c>
      <c r="E188" s="259" t="s">
        <v>338</v>
      </c>
      <c r="F188" s="259">
        <v>2.1</v>
      </c>
      <c r="G188" s="259"/>
      <c r="H188" s="259"/>
      <c r="I188" s="259"/>
      <c r="J188" s="259"/>
      <c r="K188" s="259"/>
      <c r="L188" s="259"/>
      <c r="M188" s="259"/>
      <c r="N188" s="259"/>
      <c r="O188" s="259"/>
      <c r="P188" s="259"/>
      <c r="Q188" s="259"/>
      <c r="R188" s="259"/>
      <c r="S188" s="259"/>
      <c r="T188" s="259"/>
      <c r="U188" s="259"/>
      <c r="V188" s="259"/>
      <c r="W188" s="261"/>
      <c r="X188" s="261"/>
      <c r="Y188" s="261"/>
      <c r="Z188" s="261"/>
      <c r="AA188" s="261"/>
      <c r="AB188" s="260"/>
      <c r="AC188" s="260"/>
      <c r="AD188" s="260"/>
      <c r="AE188" s="260"/>
      <c r="AF188" s="260"/>
      <c r="AG188" s="260"/>
      <c r="AH188" s="260"/>
      <c r="AI188" s="260"/>
      <c r="AJ188" s="260"/>
      <c r="AK188" s="260"/>
      <c r="AL188" s="260"/>
      <c r="AM188" s="260"/>
      <c r="AN188" s="260"/>
      <c r="AO188" s="260"/>
      <c r="AP188" s="260"/>
      <c r="AQ188" s="260"/>
      <c r="AR188" s="260"/>
      <c r="AS188" s="260"/>
      <c r="AT188" s="260"/>
      <c r="AU188" s="260"/>
      <c r="AV188" s="260"/>
      <c r="AW188" s="260"/>
      <c r="AX188" s="260"/>
      <c r="AY188" s="260"/>
      <c r="AZ188" s="260"/>
      <c r="BA188" s="260"/>
      <c r="BB188" s="260"/>
      <c r="BC188" s="260"/>
      <c r="BD188" s="260"/>
      <c r="BE188" s="260"/>
      <c r="BF188" s="260"/>
      <c r="BG188" s="260"/>
      <c r="BH188" s="260"/>
      <c r="BI188" s="260"/>
      <c r="BJ188" s="260"/>
      <c r="BK188" s="260"/>
      <c r="BL188" s="260"/>
      <c r="BM188" s="260"/>
      <c r="BN188" s="260"/>
      <c r="BO188" s="260"/>
      <c r="BP188" s="260"/>
      <c r="BQ188" s="260"/>
      <c r="BR188" s="260"/>
      <c r="BS188" s="260"/>
      <c r="BT188" s="260"/>
      <c r="BU188" s="260"/>
      <c r="BV188" s="259" t="s">
        <v>338</v>
      </c>
      <c r="BW188" s="258">
        <v>1</v>
      </c>
      <c r="BX188" s="253" t="s">
        <v>10</v>
      </c>
      <c r="BY188" s="214">
        <f>(D188*F188)*BW188</f>
        <v>4.2</v>
      </c>
      <c r="BZ188" s="204"/>
      <c r="CA188" s="204"/>
      <c r="CB188" s="204"/>
      <c r="CC188" s="200"/>
      <c r="CD188" s="202"/>
      <c r="CE188" s="201"/>
      <c r="CF188" s="200"/>
      <c r="CG188" s="202"/>
      <c r="CH188" s="201"/>
      <c r="CI188" s="201"/>
      <c r="CJ188" s="201"/>
      <c r="CK188" s="198"/>
      <c r="CL188" s="200"/>
      <c r="CM188" s="199"/>
      <c r="CN188" s="198"/>
    </row>
    <row r="189" spans="1:92">
      <c r="A189" s="208"/>
      <c r="B189" s="207"/>
      <c r="C189" s="250" t="s">
        <v>343</v>
      </c>
      <c r="D189" s="262">
        <v>0.8</v>
      </c>
      <c r="E189" s="259" t="s">
        <v>338</v>
      </c>
      <c r="F189" s="259">
        <v>2.5</v>
      </c>
      <c r="G189" s="259"/>
      <c r="H189" s="259"/>
      <c r="I189" s="259"/>
      <c r="J189" s="259"/>
      <c r="K189" s="259"/>
      <c r="L189" s="259"/>
      <c r="M189" s="259"/>
      <c r="N189" s="259"/>
      <c r="O189" s="259"/>
      <c r="P189" s="259"/>
      <c r="Q189" s="259"/>
      <c r="R189" s="259"/>
      <c r="S189" s="259"/>
      <c r="T189" s="259"/>
      <c r="U189" s="259"/>
      <c r="V189" s="259"/>
      <c r="W189" s="261"/>
      <c r="X189" s="261"/>
      <c r="Y189" s="261"/>
      <c r="Z189" s="261"/>
      <c r="AA189" s="261"/>
      <c r="AB189" s="260"/>
      <c r="AC189" s="260"/>
      <c r="AD189" s="260"/>
      <c r="AE189" s="260"/>
      <c r="AF189" s="260"/>
      <c r="AG189" s="260"/>
      <c r="AH189" s="260"/>
      <c r="AI189" s="260"/>
      <c r="AJ189" s="260"/>
      <c r="AK189" s="260"/>
      <c r="AL189" s="260"/>
      <c r="AM189" s="260"/>
      <c r="AN189" s="260"/>
      <c r="AO189" s="260"/>
      <c r="AP189" s="260"/>
      <c r="AQ189" s="260"/>
      <c r="AR189" s="260"/>
      <c r="AS189" s="260"/>
      <c r="AT189" s="260"/>
      <c r="AU189" s="260"/>
      <c r="AV189" s="260"/>
      <c r="AW189" s="260"/>
      <c r="AX189" s="260"/>
      <c r="AY189" s="260"/>
      <c r="AZ189" s="260"/>
      <c r="BA189" s="260"/>
      <c r="BB189" s="260"/>
      <c r="BC189" s="260"/>
      <c r="BD189" s="260"/>
      <c r="BE189" s="260"/>
      <c r="BF189" s="260"/>
      <c r="BG189" s="260"/>
      <c r="BH189" s="260"/>
      <c r="BI189" s="260"/>
      <c r="BJ189" s="260"/>
      <c r="BK189" s="260"/>
      <c r="BL189" s="260"/>
      <c r="BM189" s="260"/>
      <c r="BN189" s="260"/>
      <c r="BO189" s="260"/>
      <c r="BP189" s="260"/>
      <c r="BQ189" s="260"/>
      <c r="BR189" s="260"/>
      <c r="BS189" s="260"/>
      <c r="BT189" s="260"/>
      <c r="BU189" s="260"/>
      <c r="BV189" s="259" t="s">
        <v>338</v>
      </c>
      <c r="BW189" s="258">
        <v>3</v>
      </c>
      <c r="BX189" s="253" t="s">
        <v>10</v>
      </c>
      <c r="BY189" s="214">
        <f>(D189*F189)*BW189</f>
        <v>6</v>
      </c>
      <c r="BZ189" s="204"/>
      <c r="CA189" s="204"/>
      <c r="CB189" s="204"/>
      <c r="CC189" s="200"/>
      <c r="CD189" s="202"/>
      <c r="CE189" s="201"/>
      <c r="CF189" s="200"/>
      <c r="CG189" s="202"/>
      <c r="CH189" s="201"/>
      <c r="CI189" s="201"/>
      <c r="CJ189" s="201"/>
      <c r="CK189" s="198"/>
      <c r="CL189" s="200"/>
      <c r="CM189" s="199"/>
      <c r="CN189" s="198"/>
    </row>
    <row r="190" spans="1:92">
      <c r="A190" s="208"/>
      <c r="B190" s="207"/>
      <c r="C190" s="250" t="s">
        <v>342</v>
      </c>
      <c r="D190" s="262">
        <v>1.1000000000000001</v>
      </c>
      <c r="E190" s="259" t="s">
        <v>338</v>
      </c>
      <c r="F190" s="259">
        <v>1</v>
      </c>
      <c r="G190" s="259"/>
      <c r="H190" s="259"/>
      <c r="I190" s="259"/>
      <c r="J190" s="259"/>
      <c r="K190" s="259"/>
      <c r="L190" s="259"/>
      <c r="M190" s="259"/>
      <c r="N190" s="259"/>
      <c r="O190" s="259"/>
      <c r="P190" s="259"/>
      <c r="Q190" s="259"/>
      <c r="R190" s="259"/>
      <c r="S190" s="259"/>
      <c r="T190" s="259"/>
      <c r="U190" s="259"/>
      <c r="V190" s="259"/>
      <c r="W190" s="261"/>
      <c r="X190" s="261"/>
      <c r="Y190" s="261"/>
      <c r="Z190" s="261"/>
      <c r="AA190" s="261"/>
      <c r="AB190" s="260"/>
      <c r="AC190" s="260"/>
      <c r="AD190" s="260"/>
      <c r="AE190" s="260"/>
      <c r="AF190" s="260"/>
      <c r="AG190" s="260"/>
      <c r="AH190" s="260"/>
      <c r="AI190" s="260"/>
      <c r="AJ190" s="260"/>
      <c r="AK190" s="260"/>
      <c r="AL190" s="260"/>
      <c r="AM190" s="260"/>
      <c r="AN190" s="260"/>
      <c r="AO190" s="260"/>
      <c r="AP190" s="260"/>
      <c r="AQ190" s="260"/>
      <c r="AR190" s="260"/>
      <c r="AS190" s="260"/>
      <c r="AT190" s="260"/>
      <c r="AU190" s="260"/>
      <c r="AV190" s="260"/>
      <c r="AW190" s="260"/>
      <c r="AX190" s="260"/>
      <c r="AY190" s="260"/>
      <c r="AZ190" s="260"/>
      <c r="BA190" s="260"/>
      <c r="BB190" s="260"/>
      <c r="BC190" s="260"/>
      <c r="BD190" s="260"/>
      <c r="BE190" s="260"/>
      <c r="BF190" s="260"/>
      <c r="BG190" s="260"/>
      <c r="BH190" s="260"/>
      <c r="BI190" s="260"/>
      <c r="BJ190" s="260"/>
      <c r="BK190" s="260"/>
      <c r="BL190" s="260"/>
      <c r="BM190" s="260"/>
      <c r="BN190" s="260"/>
      <c r="BO190" s="260"/>
      <c r="BP190" s="260"/>
      <c r="BQ190" s="260"/>
      <c r="BR190" s="260"/>
      <c r="BS190" s="260"/>
      <c r="BT190" s="260"/>
      <c r="BU190" s="260"/>
      <c r="BV190" s="259" t="s">
        <v>338</v>
      </c>
      <c r="BW190" s="258">
        <v>7</v>
      </c>
      <c r="BX190" s="253" t="s">
        <v>10</v>
      </c>
      <c r="BY190" s="214">
        <f>(D190*F190)*BW190</f>
        <v>7.7000000000000011</v>
      </c>
      <c r="BZ190" s="204"/>
      <c r="CA190" s="204"/>
      <c r="CB190" s="204"/>
      <c r="CC190" s="200"/>
      <c r="CD190" s="202"/>
      <c r="CE190" s="201"/>
      <c r="CF190" s="200"/>
      <c r="CG190" s="202"/>
      <c r="CH190" s="201"/>
      <c r="CI190" s="201"/>
      <c r="CJ190" s="201"/>
      <c r="CK190" s="198"/>
      <c r="CL190" s="200"/>
      <c r="CM190" s="199"/>
      <c r="CN190" s="198"/>
    </row>
    <row r="191" spans="1:92">
      <c r="A191" s="208"/>
      <c r="B191" s="207"/>
      <c r="C191" s="250" t="s">
        <v>341</v>
      </c>
      <c r="D191" s="262">
        <v>1.4</v>
      </c>
      <c r="E191" s="259" t="s">
        <v>338</v>
      </c>
      <c r="F191" s="259">
        <v>1</v>
      </c>
      <c r="G191" s="259"/>
      <c r="H191" s="259"/>
      <c r="I191" s="259"/>
      <c r="J191" s="259"/>
      <c r="K191" s="259"/>
      <c r="L191" s="259"/>
      <c r="M191" s="259"/>
      <c r="N191" s="259"/>
      <c r="O191" s="259"/>
      <c r="P191" s="259"/>
      <c r="Q191" s="259"/>
      <c r="R191" s="259"/>
      <c r="S191" s="259"/>
      <c r="T191" s="259"/>
      <c r="U191" s="259"/>
      <c r="V191" s="259"/>
      <c r="W191" s="261"/>
      <c r="X191" s="261"/>
      <c r="Y191" s="261"/>
      <c r="Z191" s="261"/>
      <c r="AA191" s="261"/>
      <c r="AB191" s="260"/>
      <c r="AC191" s="260"/>
      <c r="AD191" s="260"/>
      <c r="AE191" s="260"/>
      <c r="AF191" s="260"/>
      <c r="AG191" s="260"/>
      <c r="AH191" s="260"/>
      <c r="AI191" s="260"/>
      <c r="AJ191" s="260"/>
      <c r="AK191" s="260"/>
      <c r="AL191" s="260"/>
      <c r="AM191" s="260"/>
      <c r="AN191" s="260"/>
      <c r="AO191" s="260"/>
      <c r="AP191" s="260"/>
      <c r="AQ191" s="260"/>
      <c r="AR191" s="260"/>
      <c r="AS191" s="260"/>
      <c r="AT191" s="260"/>
      <c r="AU191" s="260"/>
      <c r="AV191" s="260"/>
      <c r="AW191" s="260"/>
      <c r="AX191" s="260"/>
      <c r="AY191" s="260"/>
      <c r="AZ191" s="260"/>
      <c r="BA191" s="260"/>
      <c r="BB191" s="260"/>
      <c r="BC191" s="260"/>
      <c r="BD191" s="260"/>
      <c r="BE191" s="260"/>
      <c r="BF191" s="260"/>
      <c r="BG191" s="260"/>
      <c r="BH191" s="260"/>
      <c r="BI191" s="260"/>
      <c r="BJ191" s="260"/>
      <c r="BK191" s="260"/>
      <c r="BL191" s="260"/>
      <c r="BM191" s="260"/>
      <c r="BN191" s="260"/>
      <c r="BO191" s="260"/>
      <c r="BP191" s="260"/>
      <c r="BQ191" s="260"/>
      <c r="BR191" s="260"/>
      <c r="BS191" s="260"/>
      <c r="BT191" s="260"/>
      <c r="BU191" s="260"/>
      <c r="BV191" s="259" t="s">
        <v>338</v>
      </c>
      <c r="BW191" s="258">
        <v>2</v>
      </c>
      <c r="BX191" s="253" t="s">
        <v>10</v>
      </c>
      <c r="BY191" s="214">
        <f>(D191*F191)*BW191</f>
        <v>2.8</v>
      </c>
      <c r="BZ191" s="204"/>
      <c r="CA191" s="204"/>
      <c r="CB191" s="204"/>
      <c r="CC191" s="200"/>
      <c r="CD191" s="202"/>
      <c r="CE191" s="201"/>
      <c r="CF191" s="200"/>
      <c r="CG191" s="202"/>
      <c r="CH191" s="201"/>
      <c r="CI191" s="201"/>
      <c r="CJ191" s="201"/>
      <c r="CK191" s="198"/>
      <c r="CL191" s="200"/>
      <c r="CM191" s="199"/>
      <c r="CN191" s="198"/>
    </row>
    <row r="192" spans="1:92">
      <c r="A192" s="208"/>
      <c r="B192" s="207"/>
      <c r="C192" s="250" t="s">
        <v>340</v>
      </c>
      <c r="D192" s="262">
        <v>1.5</v>
      </c>
      <c r="E192" s="259" t="s">
        <v>338</v>
      </c>
      <c r="F192" s="259">
        <v>0.4</v>
      </c>
      <c r="G192" s="259"/>
      <c r="H192" s="259"/>
      <c r="I192" s="259"/>
      <c r="J192" s="259"/>
      <c r="K192" s="259"/>
      <c r="L192" s="259"/>
      <c r="M192" s="259"/>
      <c r="N192" s="259"/>
      <c r="O192" s="259"/>
      <c r="P192" s="259"/>
      <c r="Q192" s="259"/>
      <c r="R192" s="259"/>
      <c r="S192" s="259"/>
      <c r="T192" s="259"/>
      <c r="U192" s="259"/>
      <c r="V192" s="259"/>
      <c r="W192" s="261"/>
      <c r="X192" s="261"/>
      <c r="Y192" s="261"/>
      <c r="Z192" s="261"/>
      <c r="AA192" s="261"/>
      <c r="AB192" s="260"/>
      <c r="AC192" s="260"/>
      <c r="AD192" s="260"/>
      <c r="AE192" s="260"/>
      <c r="AF192" s="260"/>
      <c r="AG192" s="260"/>
      <c r="AH192" s="260"/>
      <c r="AI192" s="260"/>
      <c r="AJ192" s="260"/>
      <c r="AK192" s="260"/>
      <c r="AL192" s="260"/>
      <c r="AM192" s="260"/>
      <c r="AN192" s="260"/>
      <c r="AO192" s="260"/>
      <c r="AP192" s="260"/>
      <c r="AQ192" s="260"/>
      <c r="AR192" s="260"/>
      <c r="AS192" s="260"/>
      <c r="AT192" s="260"/>
      <c r="AU192" s="260"/>
      <c r="AV192" s="260"/>
      <c r="AW192" s="260"/>
      <c r="AX192" s="260"/>
      <c r="AY192" s="260"/>
      <c r="AZ192" s="260"/>
      <c r="BA192" s="260"/>
      <c r="BB192" s="260"/>
      <c r="BC192" s="260"/>
      <c r="BD192" s="260"/>
      <c r="BE192" s="260"/>
      <c r="BF192" s="260"/>
      <c r="BG192" s="260"/>
      <c r="BH192" s="260"/>
      <c r="BI192" s="260"/>
      <c r="BJ192" s="260"/>
      <c r="BK192" s="260"/>
      <c r="BL192" s="260"/>
      <c r="BM192" s="260"/>
      <c r="BN192" s="260"/>
      <c r="BO192" s="260"/>
      <c r="BP192" s="260"/>
      <c r="BQ192" s="260"/>
      <c r="BR192" s="260"/>
      <c r="BS192" s="260"/>
      <c r="BT192" s="260"/>
      <c r="BU192" s="260"/>
      <c r="BV192" s="259" t="s">
        <v>338</v>
      </c>
      <c r="BW192" s="258">
        <v>3</v>
      </c>
      <c r="BX192" s="253" t="s">
        <v>10</v>
      </c>
      <c r="BY192" s="214">
        <f>(D192*F192)*BW192</f>
        <v>1.8000000000000003</v>
      </c>
      <c r="BZ192" s="204"/>
      <c r="CA192" s="204"/>
      <c r="CB192" s="204"/>
      <c r="CC192" s="200"/>
      <c r="CD192" s="202"/>
      <c r="CE192" s="201"/>
      <c r="CF192" s="200"/>
      <c r="CG192" s="202"/>
      <c r="CH192" s="201"/>
      <c r="CI192" s="201"/>
      <c r="CJ192" s="201"/>
      <c r="CK192" s="198"/>
      <c r="CL192" s="200"/>
      <c r="CM192" s="199"/>
      <c r="CN192" s="198"/>
    </row>
    <row r="193" spans="1:92">
      <c r="A193" s="208"/>
      <c r="B193" s="207"/>
      <c r="C193" s="250" t="s">
        <v>339</v>
      </c>
      <c r="D193" s="262">
        <v>1.3</v>
      </c>
      <c r="E193" s="259" t="s">
        <v>338</v>
      </c>
      <c r="F193" s="259">
        <v>0.4</v>
      </c>
      <c r="G193" s="259"/>
      <c r="H193" s="259"/>
      <c r="I193" s="259"/>
      <c r="J193" s="259"/>
      <c r="K193" s="259"/>
      <c r="L193" s="259"/>
      <c r="M193" s="259"/>
      <c r="N193" s="259"/>
      <c r="O193" s="259"/>
      <c r="P193" s="259"/>
      <c r="Q193" s="259"/>
      <c r="R193" s="259"/>
      <c r="S193" s="259"/>
      <c r="T193" s="259"/>
      <c r="U193" s="259"/>
      <c r="V193" s="259"/>
      <c r="W193" s="261"/>
      <c r="X193" s="261"/>
      <c r="Y193" s="261"/>
      <c r="Z193" s="261"/>
      <c r="AA193" s="261"/>
      <c r="AB193" s="260"/>
      <c r="AC193" s="260"/>
      <c r="AD193" s="260"/>
      <c r="AE193" s="260"/>
      <c r="AF193" s="260"/>
      <c r="AG193" s="260"/>
      <c r="AH193" s="260"/>
      <c r="AI193" s="260"/>
      <c r="AJ193" s="260"/>
      <c r="AK193" s="260"/>
      <c r="AL193" s="260"/>
      <c r="AM193" s="260"/>
      <c r="AN193" s="260"/>
      <c r="AO193" s="260"/>
      <c r="AP193" s="260"/>
      <c r="AQ193" s="260"/>
      <c r="AR193" s="260"/>
      <c r="AS193" s="260"/>
      <c r="AT193" s="260"/>
      <c r="AU193" s="260"/>
      <c r="AV193" s="260"/>
      <c r="AW193" s="260"/>
      <c r="AX193" s="260"/>
      <c r="AY193" s="260"/>
      <c r="AZ193" s="260"/>
      <c r="BA193" s="260"/>
      <c r="BB193" s="260"/>
      <c r="BC193" s="260"/>
      <c r="BD193" s="260"/>
      <c r="BE193" s="260"/>
      <c r="BF193" s="260"/>
      <c r="BG193" s="260"/>
      <c r="BH193" s="260"/>
      <c r="BI193" s="260"/>
      <c r="BJ193" s="260"/>
      <c r="BK193" s="260"/>
      <c r="BL193" s="260"/>
      <c r="BM193" s="260"/>
      <c r="BN193" s="260"/>
      <c r="BO193" s="260"/>
      <c r="BP193" s="260"/>
      <c r="BQ193" s="260"/>
      <c r="BR193" s="260"/>
      <c r="BS193" s="260"/>
      <c r="BT193" s="260"/>
      <c r="BU193" s="260"/>
      <c r="BV193" s="259" t="s">
        <v>338</v>
      </c>
      <c r="BW193" s="258">
        <v>8</v>
      </c>
      <c r="BX193" s="253" t="s">
        <v>10</v>
      </c>
      <c r="BY193" s="214">
        <f>(D193*F193)*BW193</f>
        <v>4.16</v>
      </c>
      <c r="BZ193" s="204"/>
      <c r="CA193" s="204"/>
      <c r="CB193" s="204"/>
      <c r="CC193" s="200"/>
      <c r="CD193" s="202"/>
      <c r="CE193" s="201"/>
      <c r="CF193" s="200"/>
      <c r="CG193" s="202"/>
      <c r="CH193" s="201"/>
      <c r="CI193" s="201"/>
      <c r="CJ193" s="201"/>
      <c r="CK193" s="198"/>
      <c r="CL193" s="200"/>
      <c r="CM193" s="199"/>
      <c r="CN193" s="198"/>
    </row>
    <row r="194" spans="1:92">
      <c r="A194" s="208"/>
      <c r="B194" s="207"/>
      <c r="C194" s="250"/>
      <c r="D194" s="257" t="s">
        <v>337</v>
      </c>
      <c r="E194" s="256"/>
      <c r="F194" s="256"/>
      <c r="G194" s="256"/>
      <c r="H194" s="256"/>
      <c r="I194" s="256"/>
      <c r="J194" s="256"/>
      <c r="K194" s="256"/>
      <c r="L194" s="256"/>
      <c r="M194" s="256"/>
      <c r="N194" s="256"/>
      <c r="O194" s="256"/>
      <c r="P194" s="256"/>
      <c r="Q194" s="256"/>
      <c r="R194" s="256"/>
      <c r="S194" s="256"/>
      <c r="T194" s="256"/>
      <c r="U194" s="256"/>
      <c r="V194" s="256"/>
      <c r="W194" s="256"/>
      <c r="X194" s="256"/>
      <c r="Y194" s="256"/>
      <c r="Z194" s="256"/>
      <c r="AA194" s="256"/>
      <c r="AB194" s="256"/>
      <c r="AC194" s="256"/>
      <c r="AD194" s="256"/>
      <c r="AE194" s="256"/>
      <c r="AF194" s="256"/>
      <c r="AG194" s="256"/>
      <c r="AH194" s="256"/>
      <c r="AI194" s="256"/>
      <c r="AJ194" s="256"/>
      <c r="AK194" s="256"/>
      <c r="AL194" s="256"/>
      <c r="AM194" s="256"/>
      <c r="AN194" s="256"/>
      <c r="AO194" s="256"/>
      <c r="AP194" s="256"/>
      <c r="AQ194" s="256"/>
      <c r="AR194" s="256"/>
      <c r="AS194" s="256"/>
      <c r="AT194" s="256"/>
      <c r="AU194" s="256"/>
      <c r="AV194" s="256"/>
      <c r="AW194" s="256"/>
      <c r="AX194" s="256"/>
      <c r="AY194" s="256"/>
      <c r="AZ194" s="256"/>
      <c r="BA194" s="256"/>
      <c r="BB194" s="256"/>
      <c r="BC194" s="256"/>
      <c r="BD194" s="256"/>
      <c r="BE194" s="256"/>
      <c r="BF194" s="256"/>
      <c r="BG194" s="256"/>
      <c r="BH194" s="256"/>
      <c r="BI194" s="256"/>
      <c r="BJ194" s="256"/>
      <c r="BK194" s="256"/>
      <c r="BL194" s="256"/>
      <c r="BM194" s="256"/>
      <c r="BN194" s="256"/>
      <c r="BO194" s="256"/>
      <c r="BP194" s="256"/>
      <c r="BQ194" s="256"/>
      <c r="BR194" s="256"/>
      <c r="BS194" s="256"/>
      <c r="BT194" s="256"/>
      <c r="BU194" s="256"/>
      <c r="BV194" s="256"/>
      <c r="BW194" s="255"/>
      <c r="BX194" s="253" t="s">
        <v>10</v>
      </c>
      <c r="BY194" s="253">
        <f>SUM(BY187:BY193)</f>
        <v>32.159999999999997</v>
      </c>
      <c r="BZ194" s="204"/>
      <c r="CA194" s="204"/>
      <c r="CB194" s="204"/>
      <c r="CC194" s="200"/>
      <c r="CD194" s="202"/>
      <c r="CE194" s="201"/>
      <c r="CF194" s="200"/>
      <c r="CG194" s="202"/>
      <c r="CH194" s="201"/>
      <c r="CI194" s="201"/>
      <c r="CJ194" s="201"/>
      <c r="CK194" s="198"/>
      <c r="CL194" s="200"/>
      <c r="CM194" s="199"/>
      <c r="CN194" s="198"/>
    </row>
    <row r="195" spans="1:92">
      <c r="A195" s="208"/>
      <c r="B195" s="207"/>
      <c r="C195" s="206"/>
      <c r="D195" s="257" t="s">
        <v>358</v>
      </c>
      <c r="E195" s="256"/>
      <c r="F195" s="256"/>
      <c r="G195" s="256"/>
      <c r="H195" s="256"/>
      <c r="I195" s="256"/>
      <c r="J195" s="256"/>
      <c r="K195" s="256"/>
      <c r="L195" s="256"/>
      <c r="M195" s="256"/>
      <c r="N195" s="256"/>
      <c r="O195" s="256"/>
      <c r="P195" s="256"/>
      <c r="Q195" s="256"/>
      <c r="R195" s="256"/>
      <c r="S195" s="256"/>
      <c r="T195" s="256"/>
      <c r="U195" s="256"/>
      <c r="V195" s="256"/>
      <c r="W195" s="256"/>
      <c r="X195" s="256"/>
      <c r="Y195" s="256"/>
      <c r="Z195" s="256"/>
      <c r="AA195" s="256"/>
      <c r="AB195" s="256"/>
      <c r="AC195" s="256"/>
      <c r="AD195" s="256"/>
      <c r="AE195" s="256"/>
      <c r="AF195" s="256"/>
      <c r="AG195" s="256"/>
      <c r="AH195" s="256"/>
      <c r="AI195" s="256"/>
      <c r="AJ195" s="256"/>
      <c r="AK195" s="256"/>
      <c r="AL195" s="256"/>
      <c r="AM195" s="256"/>
      <c r="AN195" s="256"/>
      <c r="AO195" s="256"/>
      <c r="AP195" s="256"/>
      <c r="AQ195" s="256"/>
      <c r="AR195" s="256"/>
      <c r="AS195" s="256"/>
      <c r="AT195" s="256"/>
      <c r="AU195" s="256"/>
      <c r="AV195" s="256"/>
      <c r="AW195" s="256"/>
      <c r="AX195" s="256"/>
      <c r="AY195" s="256"/>
      <c r="AZ195" s="256"/>
      <c r="BA195" s="256"/>
      <c r="BB195" s="256"/>
      <c r="BC195" s="256"/>
      <c r="BD195" s="256"/>
      <c r="BE195" s="256"/>
      <c r="BF195" s="256"/>
      <c r="BG195" s="256"/>
      <c r="BH195" s="256"/>
      <c r="BI195" s="256"/>
      <c r="BJ195" s="256"/>
      <c r="BK195" s="256"/>
      <c r="BL195" s="256"/>
      <c r="BM195" s="256"/>
      <c r="BN195" s="256"/>
      <c r="BO195" s="256"/>
      <c r="BP195" s="256"/>
      <c r="BQ195" s="256"/>
      <c r="BR195" s="256"/>
      <c r="BS195" s="256"/>
      <c r="BT195" s="256"/>
      <c r="BU195" s="256"/>
      <c r="BV195" s="256"/>
      <c r="BW195" s="255"/>
      <c r="BX195" s="253" t="s">
        <v>10</v>
      </c>
      <c r="BY195" s="253">
        <f>BY185-BY194</f>
        <v>645.5100000000001</v>
      </c>
      <c r="BZ195" s="204"/>
      <c r="CA195" s="204"/>
      <c r="CB195" s="204"/>
      <c r="CC195" s="200"/>
      <c r="CD195" s="202"/>
      <c r="CE195" s="201"/>
      <c r="CF195" s="200"/>
      <c r="CG195" s="202"/>
      <c r="CH195" s="201"/>
      <c r="CI195" s="201"/>
      <c r="CJ195" s="201"/>
      <c r="CK195" s="198"/>
      <c r="CL195" s="200"/>
      <c r="CM195" s="199"/>
      <c r="CN195" s="198"/>
    </row>
    <row r="196" spans="1:92">
      <c r="A196" s="208"/>
      <c r="B196" s="207"/>
      <c r="C196" s="206"/>
      <c r="D196" s="265" t="s">
        <v>357</v>
      </c>
      <c r="E196" s="264"/>
      <c r="F196" s="264"/>
      <c r="G196" s="264"/>
      <c r="H196" s="264"/>
      <c r="I196" s="264"/>
      <c r="J196" s="264"/>
      <c r="K196" s="264"/>
      <c r="L196" s="264"/>
      <c r="M196" s="264"/>
      <c r="N196" s="264"/>
      <c r="O196" s="264"/>
      <c r="P196" s="264"/>
      <c r="Q196" s="264"/>
      <c r="R196" s="264"/>
      <c r="S196" s="264"/>
      <c r="T196" s="264"/>
      <c r="U196" s="264"/>
      <c r="V196" s="264"/>
      <c r="W196" s="264"/>
      <c r="X196" s="264"/>
      <c r="Y196" s="264"/>
      <c r="Z196" s="264"/>
      <c r="AA196" s="264"/>
      <c r="AB196" s="264"/>
      <c r="AC196" s="264"/>
      <c r="AD196" s="264"/>
      <c r="AE196" s="264"/>
      <c r="AF196" s="264"/>
      <c r="AG196" s="264"/>
      <c r="AH196" s="264"/>
      <c r="AI196" s="264"/>
      <c r="AJ196" s="264"/>
      <c r="AK196" s="264"/>
      <c r="AL196" s="264"/>
      <c r="AM196" s="264"/>
      <c r="AN196" s="264"/>
      <c r="AO196" s="264"/>
      <c r="AP196" s="264"/>
      <c r="AQ196" s="264"/>
      <c r="AR196" s="264"/>
      <c r="AS196" s="264"/>
      <c r="AT196" s="264"/>
      <c r="AU196" s="264"/>
      <c r="AV196" s="264"/>
      <c r="AW196" s="264"/>
      <c r="AX196" s="264"/>
      <c r="AY196" s="264"/>
      <c r="AZ196" s="264"/>
      <c r="BA196" s="264"/>
      <c r="BB196" s="264"/>
      <c r="BC196" s="264"/>
      <c r="BD196" s="264"/>
      <c r="BE196" s="264"/>
      <c r="BF196" s="264"/>
      <c r="BG196" s="264"/>
      <c r="BH196" s="264"/>
      <c r="BI196" s="264"/>
      <c r="BJ196" s="264"/>
      <c r="BK196" s="264"/>
      <c r="BL196" s="264"/>
      <c r="BM196" s="264"/>
      <c r="BN196" s="264"/>
      <c r="BO196" s="264"/>
      <c r="BP196" s="264"/>
      <c r="BQ196" s="264"/>
      <c r="BR196" s="264"/>
      <c r="BS196" s="264"/>
      <c r="BT196" s="264"/>
      <c r="BU196" s="264"/>
      <c r="BV196" s="264"/>
      <c r="BW196" s="263"/>
      <c r="BX196" s="214"/>
      <c r="BY196" s="214"/>
      <c r="BZ196" s="204"/>
      <c r="CA196" s="204"/>
      <c r="CB196" s="204"/>
      <c r="CC196" s="200"/>
      <c r="CD196" s="202"/>
      <c r="CE196" s="201"/>
      <c r="CF196" s="200"/>
      <c r="CG196" s="202"/>
      <c r="CH196" s="201"/>
      <c r="CI196" s="201"/>
      <c r="CJ196" s="201"/>
      <c r="CK196" s="198"/>
      <c r="CL196" s="200"/>
      <c r="CM196" s="199"/>
      <c r="CN196" s="198"/>
    </row>
    <row r="197" spans="1:92">
      <c r="A197" s="208"/>
      <c r="B197" s="207"/>
      <c r="C197" s="221" t="s">
        <v>331</v>
      </c>
      <c r="D197" s="234">
        <v>1.6</v>
      </c>
      <c r="E197" s="234" t="s">
        <v>310</v>
      </c>
      <c r="F197" s="229">
        <v>1.6</v>
      </c>
      <c r="G197" s="229" t="s">
        <v>310</v>
      </c>
      <c r="H197" s="229">
        <v>1.6</v>
      </c>
      <c r="I197" s="229" t="s">
        <v>310</v>
      </c>
      <c r="J197" s="229">
        <v>1.6</v>
      </c>
      <c r="K197" s="229"/>
      <c r="L197" s="229"/>
      <c r="M197" s="229"/>
      <c r="N197" s="229"/>
      <c r="O197" s="229"/>
      <c r="P197" s="229"/>
      <c r="Q197" s="229"/>
      <c r="R197" s="229"/>
      <c r="S197" s="229"/>
      <c r="T197" s="229"/>
      <c r="U197" s="229"/>
      <c r="V197" s="229"/>
      <c r="W197" s="236"/>
      <c r="X197" s="232"/>
      <c r="Y197" s="235"/>
      <c r="Z197" s="227"/>
      <c r="AA197" s="224"/>
      <c r="AB197" s="228"/>
      <c r="AC197" s="227"/>
      <c r="AD197" s="93"/>
      <c r="AE197" s="226"/>
      <c r="AF197" s="227"/>
      <c r="AG197" s="93"/>
      <c r="AH197" s="226"/>
      <c r="AI197" s="227"/>
      <c r="AJ197" s="93"/>
      <c r="AK197" s="226"/>
      <c r="AL197" s="227"/>
      <c r="AM197" s="93"/>
      <c r="AN197" s="226"/>
      <c r="AO197" s="95"/>
      <c r="AP197" s="93"/>
      <c r="AQ197" s="226"/>
      <c r="AR197" s="225"/>
      <c r="AS197" s="224"/>
      <c r="AT197" s="204"/>
      <c r="AU197" s="204"/>
      <c r="AV197" s="214"/>
      <c r="AW197" s="214"/>
      <c r="AX197" s="214"/>
      <c r="AY197" s="214"/>
      <c r="AZ197" s="214"/>
      <c r="BA197" s="214"/>
      <c r="BB197" s="214"/>
      <c r="BC197" s="214"/>
      <c r="BD197" s="214"/>
      <c r="BE197" s="214"/>
      <c r="BF197" s="214"/>
      <c r="BG197" s="214"/>
      <c r="BH197" s="214"/>
      <c r="BI197" s="214"/>
      <c r="BJ197" s="214"/>
      <c r="BK197" s="214"/>
      <c r="BL197" s="214"/>
      <c r="BM197" s="214"/>
      <c r="BN197" s="214"/>
      <c r="BO197" s="214"/>
      <c r="BP197" s="214"/>
      <c r="BQ197" s="214"/>
      <c r="BR197" s="214"/>
      <c r="BS197" s="214"/>
      <c r="BT197" s="214"/>
      <c r="BU197" s="214"/>
      <c r="BV197" s="214" t="s">
        <v>338</v>
      </c>
      <c r="BW197" s="214">
        <v>2.7</v>
      </c>
      <c r="BX197" s="223" t="s">
        <v>10</v>
      </c>
      <c r="BY197" s="222">
        <f>(D197+F197+H197+J197+L197+N197+P197)*BW197</f>
        <v>17.28</v>
      </c>
      <c r="BZ197" s="204"/>
      <c r="CA197" s="204"/>
      <c r="CB197" s="204"/>
      <c r="CC197" s="200"/>
      <c r="CD197" s="202"/>
      <c r="CE197" s="201"/>
      <c r="CF197" s="200"/>
      <c r="CG197" s="202"/>
      <c r="CH197" s="201"/>
      <c r="CI197" s="201"/>
      <c r="CJ197" s="201"/>
      <c r="CK197" s="198"/>
      <c r="CL197" s="200"/>
      <c r="CM197" s="199"/>
      <c r="CN197" s="198"/>
    </row>
    <row r="198" spans="1:92">
      <c r="A198" s="208"/>
      <c r="B198" s="207"/>
      <c r="C198" s="221" t="s">
        <v>329</v>
      </c>
      <c r="D198" s="234">
        <v>3.55</v>
      </c>
      <c r="E198" s="234" t="s">
        <v>310</v>
      </c>
      <c r="F198" s="229">
        <v>2.75</v>
      </c>
      <c r="G198" s="229" t="s">
        <v>310</v>
      </c>
      <c r="H198" s="229">
        <v>3.55</v>
      </c>
      <c r="I198" s="229" t="s">
        <v>310</v>
      </c>
      <c r="J198" s="229">
        <v>2.75</v>
      </c>
      <c r="K198" s="229"/>
      <c r="L198" s="229"/>
      <c r="M198" s="229"/>
      <c r="N198" s="229"/>
      <c r="O198" s="229"/>
      <c r="P198" s="229"/>
      <c r="Q198" s="229"/>
      <c r="R198" s="229"/>
      <c r="S198" s="229"/>
      <c r="T198" s="229"/>
      <c r="U198" s="229"/>
      <c r="V198" s="229"/>
      <c r="W198" s="236"/>
      <c r="X198" s="232"/>
      <c r="Y198" s="235"/>
      <c r="Z198" s="227"/>
      <c r="AA198" s="224"/>
      <c r="AB198" s="228"/>
      <c r="AC198" s="227"/>
      <c r="AD198" s="93"/>
      <c r="AE198" s="226"/>
      <c r="AF198" s="227"/>
      <c r="AG198" s="93"/>
      <c r="AH198" s="226"/>
      <c r="AI198" s="227"/>
      <c r="AJ198" s="93"/>
      <c r="AK198" s="226"/>
      <c r="AL198" s="227"/>
      <c r="AM198" s="93"/>
      <c r="AN198" s="226"/>
      <c r="AO198" s="95"/>
      <c r="AP198" s="93"/>
      <c r="AQ198" s="226"/>
      <c r="AR198" s="225"/>
      <c r="AS198" s="224"/>
      <c r="AT198" s="204"/>
      <c r="AU198" s="204"/>
      <c r="AV198" s="214"/>
      <c r="AW198" s="214"/>
      <c r="AX198" s="214"/>
      <c r="AY198" s="214"/>
      <c r="AZ198" s="214"/>
      <c r="BA198" s="214"/>
      <c r="BB198" s="214"/>
      <c r="BC198" s="214"/>
      <c r="BD198" s="214"/>
      <c r="BE198" s="214"/>
      <c r="BF198" s="214"/>
      <c r="BG198" s="214"/>
      <c r="BH198" s="214"/>
      <c r="BI198" s="214"/>
      <c r="BJ198" s="214"/>
      <c r="BK198" s="214"/>
      <c r="BL198" s="214"/>
      <c r="BM198" s="214"/>
      <c r="BN198" s="214"/>
      <c r="BO198" s="214"/>
      <c r="BP198" s="214"/>
      <c r="BQ198" s="214"/>
      <c r="BR198" s="214"/>
      <c r="BS198" s="214"/>
      <c r="BT198" s="214"/>
      <c r="BU198" s="214"/>
      <c r="BV198" s="214" t="s">
        <v>338</v>
      </c>
      <c r="BW198" s="214">
        <v>2.7</v>
      </c>
      <c r="BX198" s="223" t="s">
        <v>10</v>
      </c>
      <c r="BY198" s="222">
        <f>(D198+F198+H198+J198+L198+N198+P198)*BW198</f>
        <v>34.020000000000003</v>
      </c>
      <c r="BZ198" s="204"/>
      <c r="CA198" s="204"/>
      <c r="CB198" s="204"/>
      <c r="CC198" s="200"/>
      <c r="CD198" s="202"/>
      <c r="CE198" s="201"/>
      <c r="CF198" s="200"/>
      <c r="CG198" s="202"/>
      <c r="CH198" s="201"/>
      <c r="CI198" s="201"/>
      <c r="CJ198" s="201"/>
      <c r="CK198" s="198"/>
      <c r="CL198" s="200"/>
      <c r="CM198" s="199"/>
      <c r="CN198" s="198"/>
    </row>
    <row r="199" spans="1:92">
      <c r="A199" s="208"/>
      <c r="B199" s="207"/>
      <c r="C199" s="221" t="s">
        <v>326</v>
      </c>
      <c r="D199" s="234">
        <v>1.44</v>
      </c>
      <c r="E199" s="234" t="s">
        <v>310</v>
      </c>
      <c r="F199" s="229">
        <v>6.41</v>
      </c>
      <c r="G199" s="246" t="s">
        <v>310</v>
      </c>
      <c r="H199" s="245">
        <v>0.59</v>
      </c>
      <c r="I199" s="229" t="s">
        <v>310</v>
      </c>
      <c r="J199" s="244">
        <v>1.35</v>
      </c>
      <c r="K199" s="229" t="s">
        <v>310</v>
      </c>
      <c r="L199" s="229">
        <v>4.95</v>
      </c>
      <c r="M199" s="229" t="s">
        <v>310</v>
      </c>
      <c r="N199" s="229">
        <v>7.76</v>
      </c>
      <c r="O199" s="229" t="s">
        <v>310</v>
      </c>
      <c r="P199" s="229">
        <v>3.8</v>
      </c>
      <c r="Q199" s="229"/>
      <c r="R199" s="229"/>
      <c r="S199" s="229"/>
      <c r="T199" s="229"/>
      <c r="U199" s="229"/>
      <c r="V199" s="229"/>
      <c r="W199" s="204"/>
      <c r="X199" s="204"/>
      <c r="Y199" s="204"/>
      <c r="Z199" s="204"/>
      <c r="AA199" s="242"/>
      <c r="AB199" s="223"/>
      <c r="AC199" s="241"/>
      <c r="AD199" s="240"/>
      <c r="AE199" s="239"/>
      <c r="AF199" s="241"/>
      <c r="AG199" s="240"/>
      <c r="AH199" s="239"/>
      <c r="AI199" s="241"/>
      <c r="AJ199" s="240"/>
      <c r="AK199" s="239"/>
      <c r="AL199" s="241"/>
      <c r="AM199" s="240"/>
      <c r="AN199" s="239"/>
      <c r="AP199" s="237"/>
      <c r="AQ199" s="226"/>
      <c r="AR199" s="225"/>
      <c r="AS199" s="224"/>
      <c r="AT199" s="204"/>
      <c r="AU199" s="204"/>
      <c r="AV199" s="214"/>
      <c r="AW199" s="214"/>
      <c r="AX199" s="214"/>
      <c r="AY199" s="214"/>
      <c r="AZ199" s="214"/>
      <c r="BA199" s="214"/>
      <c r="BB199" s="214"/>
      <c r="BC199" s="214"/>
      <c r="BD199" s="214"/>
      <c r="BE199" s="214"/>
      <c r="BF199" s="214"/>
      <c r="BG199" s="214"/>
      <c r="BH199" s="214"/>
      <c r="BI199" s="214"/>
      <c r="BJ199" s="214"/>
      <c r="BK199" s="214"/>
      <c r="BL199" s="214"/>
      <c r="BM199" s="214"/>
      <c r="BN199" s="214"/>
      <c r="BO199" s="214"/>
      <c r="BP199" s="214"/>
      <c r="BQ199" s="214"/>
      <c r="BR199" s="214"/>
      <c r="BS199" s="214"/>
      <c r="BT199" s="214"/>
      <c r="BU199" s="214"/>
      <c r="BV199" s="214" t="s">
        <v>338</v>
      </c>
      <c r="BW199" s="214">
        <v>4.4000000000000004</v>
      </c>
      <c r="BX199" s="223" t="s">
        <v>10</v>
      </c>
      <c r="BY199" s="222">
        <f>(D199+F199+H199+J199+L199+N199+P199)*BW199</f>
        <v>115.72000000000001</v>
      </c>
      <c r="BZ199" s="204"/>
      <c r="CA199" s="204"/>
      <c r="CB199" s="204"/>
      <c r="CC199" s="200"/>
      <c r="CD199" s="202"/>
      <c r="CE199" s="201"/>
      <c r="CF199" s="200"/>
      <c r="CG199" s="202"/>
      <c r="CH199" s="201"/>
      <c r="CI199" s="201"/>
      <c r="CJ199" s="201"/>
      <c r="CK199" s="198"/>
      <c r="CL199" s="200"/>
      <c r="CM199" s="199"/>
      <c r="CN199" s="198"/>
    </row>
    <row r="200" spans="1:92">
      <c r="A200" s="208"/>
      <c r="B200" s="207"/>
      <c r="C200" s="221" t="s">
        <v>325</v>
      </c>
      <c r="D200" s="234">
        <v>3.06</v>
      </c>
      <c r="E200" s="234" t="s">
        <v>310</v>
      </c>
      <c r="F200" s="229">
        <v>1.1000000000000001</v>
      </c>
      <c r="G200" s="246" t="s">
        <v>310</v>
      </c>
      <c r="H200" s="245">
        <v>3.06</v>
      </c>
      <c r="I200" s="229"/>
      <c r="J200" s="244"/>
      <c r="K200" s="229"/>
      <c r="L200" s="229"/>
      <c r="M200" s="229"/>
      <c r="N200" s="229"/>
      <c r="O200" s="229"/>
      <c r="P200" s="274">
        <v>0</v>
      </c>
      <c r="Q200" s="229"/>
      <c r="R200" s="229"/>
      <c r="S200" s="229"/>
      <c r="T200" s="229"/>
      <c r="U200" s="229"/>
      <c r="V200" s="229"/>
      <c r="W200" s="236"/>
      <c r="X200" s="235"/>
      <c r="Y200" s="231"/>
      <c r="Z200" s="204"/>
      <c r="AA200" s="242"/>
      <c r="AB200" s="223"/>
      <c r="AC200" s="241"/>
      <c r="AD200" s="240"/>
      <c r="AE200" s="239"/>
      <c r="AF200" s="241"/>
      <c r="AG200" s="240"/>
      <c r="AH200" s="239"/>
      <c r="AI200" s="241"/>
      <c r="AJ200" s="240"/>
      <c r="AK200" s="239"/>
      <c r="AL200" s="241"/>
      <c r="AM200" s="240"/>
      <c r="AN200" s="239"/>
      <c r="AO200" s="238"/>
      <c r="AP200" s="237"/>
      <c r="AQ200" s="226"/>
      <c r="AR200" s="225"/>
      <c r="AS200" s="224"/>
      <c r="AT200" s="204"/>
      <c r="AU200" s="204"/>
      <c r="AV200" s="214"/>
      <c r="AW200" s="214"/>
      <c r="AX200" s="214"/>
      <c r="AY200" s="214"/>
      <c r="AZ200" s="214"/>
      <c r="BA200" s="214"/>
      <c r="BB200" s="214"/>
      <c r="BC200" s="214"/>
      <c r="BD200" s="214"/>
      <c r="BE200" s="214"/>
      <c r="BF200" s="214"/>
      <c r="BG200" s="214"/>
      <c r="BH200" s="214"/>
      <c r="BI200" s="214"/>
      <c r="BJ200" s="214"/>
      <c r="BK200" s="214"/>
      <c r="BL200" s="214"/>
      <c r="BM200" s="214"/>
      <c r="BN200" s="214"/>
      <c r="BO200" s="214"/>
      <c r="BP200" s="214"/>
      <c r="BQ200" s="214"/>
      <c r="BR200" s="214"/>
      <c r="BS200" s="214"/>
      <c r="BT200" s="214"/>
      <c r="BU200" s="214"/>
      <c r="BV200" s="214" t="s">
        <v>338</v>
      </c>
      <c r="BW200" s="214">
        <v>2.7</v>
      </c>
      <c r="BX200" s="223" t="s">
        <v>10</v>
      </c>
      <c r="BY200" s="222">
        <f>(D200+F200+H200+J200+L200+N200+P200)*BW200</f>
        <v>19.494000000000003</v>
      </c>
      <c r="BZ200" s="204"/>
      <c r="CA200" s="204"/>
      <c r="CB200" s="204"/>
      <c r="CC200" s="200"/>
      <c r="CD200" s="202"/>
      <c r="CE200" s="201"/>
      <c r="CF200" s="200"/>
      <c r="CG200" s="202"/>
      <c r="CH200" s="201"/>
      <c r="CI200" s="201"/>
      <c r="CJ200" s="201"/>
      <c r="CK200" s="198"/>
      <c r="CL200" s="200"/>
      <c r="CM200" s="199"/>
      <c r="CN200" s="198"/>
    </row>
    <row r="201" spans="1:92">
      <c r="A201" s="208"/>
      <c r="B201" s="207"/>
      <c r="C201" s="221" t="s">
        <v>324</v>
      </c>
      <c r="D201" s="234">
        <v>2.8</v>
      </c>
      <c r="E201" s="234" t="s">
        <v>310</v>
      </c>
      <c r="F201" s="229">
        <v>3.06</v>
      </c>
      <c r="G201" s="229" t="s">
        <v>310</v>
      </c>
      <c r="H201" s="229">
        <v>2.8</v>
      </c>
      <c r="I201" s="229" t="s">
        <v>310</v>
      </c>
      <c r="J201" s="229">
        <v>3.06</v>
      </c>
      <c r="K201" s="229"/>
      <c r="L201" s="229"/>
      <c r="M201" s="229"/>
      <c r="N201" s="229"/>
      <c r="O201" s="229"/>
      <c r="P201" s="229"/>
      <c r="Q201" s="229"/>
      <c r="R201" s="229"/>
      <c r="S201" s="229"/>
      <c r="T201" s="229"/>
      <c r="U201" s="229"/>
      <c r="V201" s="229"/>
      <c r="W201" s="236"/>
      <c r="X201" s="251"/>
      <c r="Y201" s="235"/>
      <c r="Z201" s="227"/>
      <c r="AA201" s="224"/>
      <c r="AB201" s="228"/>
      <c r="AC201" s="227"/>
      <c r="AD201" s="93"/>
      <c r="AE201" s="226"/>
      <c r="AF201" s="227"/>
      <c r="AG201" s="93"/>
      <c r="AH201" s="226"/>
      <c r="AI201" s="227"/>
      <c r="AJ201" s="93"/>
      <c r="AK201" s="226"/>
      <c r="AL201" s="227"/>
      <c r="AM201" s="93"/>
      <c r="AN201" s="226"/>
      <c r="AO201" s="95"/>
      <c r="AP201" s="93"/>
      <c r="AQ201" s="226"/>
      <c r="AR201" s="225"/>
      <c r="AS201" s="224"/>
      <c r="AT201" s="204"/>
      <c r="AU201" s="204"/>
      <c r="AV201" s="214"/>
      <c r="AW201" s="214"/>
      <c r="AX201" s="214"/>
      <c r="AY201" s="214"/>
      <c r="AZ201" s="214"/>
      <c r="BA201" s="214"/>
      <c r="BB201" s="214"/>
      <c r="BC201" s="214"/>
      <c r="BD201" s="214"/>
      <c r="BE201" s="214"/>
      <c r="BF201" s="214"/>
      <c r="BG201" s="214"/>
      <c r="BH201" s="214"/>
      <c r="BI201" s="214"/>
      <c r="BJ201" s="214"/>
      <c r="BK201" s="214"/>
      <c r="BL201" s="214"/>
      <c r="BM201" s="214"/>
      <c r="BN201" s="214"/>
      <c r="BO201" s="214"/>
      <c r="BP201" s="214"/>
      <c r="BQ201" s="214"/>
      <c r="BR201" s="214"/>
      <c r="BS201" s="214"/>
      <c r="BT201" s="214"/>
      <c r="BU201" s="214"/>
      <c r="BV201" s="214" t="s">
        <v>338</v>
      </c>
      <c r="BW201" s="214">
        <v>2.7</v>
      </c>
      <c r="BX201" s="223" t="s">
        <v>10</v>
      </c>
      <c r="BY201" s="222">
        <f>(D201+F201+H201+J201+L201+N201+P201)*BW201</f>
        <v>31.644000000000005</v>
      </c>
      <c r="BZ201" s="204"/>
      <c r="CA201" s="204"/>
      <c r="CB201" s="204"/>
      <c r="CC201" s="200"/>
      <c r="CD201" s="202"/>
      <c r="CE201" s="201"/>
      <c r="CF201" s="200"/>
      <c r="CG201" s="202"/>
      <c r="CH201" s="201"/>
      <c r="CI201" s="201"/>
      <c r="CJ201" s="201"/>
      <c r="CK201" s="198"/>
      <c r="CL201" s="200"/>
      <c r="CM201" s="199"/>
      <c r="CN201" s="198"/>
    </row>
    <row r="202" spans="1:92">
      <c r="A202" s="208"/>
      <c r="B202" s="207"/>
      <c r="C202" s="221" t="s">
        <v>323</v>
      </c>
      <c r="D202" s="234">
        <v>14.75</v>
      </c>
      <c r="E202" s="234" t="s">
        <v>310</v>
      </c>
      <c r="F202" s="229">
        <v>14.75</v>
      </c>
      <c r="G202" s="229"/>
      <c r="H202" s="229"/>
      <c r="I202" s="229"/>
      <c r="J202" s="229"/>
      <c r="K202" s="229"/>
      <c r="L202" s="229"/>
      <c r="M202" s="229"/>
      <c r="N202" s="229"/>
      <c r="O202" s="229"/>
      <c r="P202" s="229"/>
      <c r="Q202" s="229"/>
      <c r="R202" s="229"/>
      <c r="S202" s="229"/>
      <c r="T202" s="229"/>
      <c r="U202" s="229"/>
      <c r="V202" s="229"/>
      <c r="W202" s="236"/>
      <c r="X202" s="251"/>
      <c r="Y202" s="235"/>
      <c r="Z202" s="227"/>
      <c r="AA202" s="224"/>
      <c r="AB202" s="228"/>
      <c r="AC202" s="227"/>
      <c r="AD202" s="93"/>
      <c r="AE202" s="226"/>
      <c r="AF202" s="227"/>
      <c r="AG202" s="93"/>
      <c r="AH202" s="226"/>
      <c r="AI202" s="227"/>
      <c r="AJ202" s="93"/>
      <c r="AK202" s="226"/>
      <c r="AL202" s="227"/>
      <c r="AM202" s="93"/>
      <c r="AN202" s="226"/>
      <c r="AO202" s="95"/>
      <c r="AP202" s="93"/>
      <c r="AQ202" s="226"/>
      <c r="AR202" s="225"/>
      <c r="AS202" s="224"/>
      <c r="AT202" s="204"/>
      <c r="AU202" s="204"/>
      <c r="AV202" s="214"/>
      <c r="AW202" s="214"/>
      <c r="AX202" s="214"/>
      <c r="AY202" s="214"/>
      <c r="AZ202" s="214"/>
      <c r="BA202" s="214"/>
      <c r="BB202" s="214"/>
      <c r="BC202" s="214"/>
      <c r="BD202" s="214"/>
      <c r="BE202" s="214"/>
      <c r="BF202" s="214"/>
      <c r="BG202" s="214"/>
      <c r="BH202" s="214"/>
      <c r="BI202" s="214"/>
      <c r="BJ202" s="214"/>
      <c r="BK202" s="214"/>
      <c r="BL202" s="214"/>
      <c r="BM202" s="214"/>
      <c r="BN202" s="214"/>
      <c r="BO202" s="214"/>
      <c r="BP202" s="214"/>
      <c r="BQ202" s="214"/>
      <c r="BR202" s="214"/>
      <c r="BS202" s="214"/>
      <c r="BT202" s="214"/>
      <c r="BU202" s="214"/>
      <c r="BV202" s="214" t="s">
        <v>338</v>
      </c>
      <c r="BW202" s="214">
        <v>2.7</v>
      </c>
      <c r="BX202" s="223" t="s">
        <v>10</v>
      </c>
      <c r="BY202" s="222">
        <f>(D202+F202+H202+J202+L202+N202+P202)*BW202</f>
        <v>79.650000000000006</v>
      </c>
      <c r="BZ202" s="204"/>
      <c r="CA202" s="204"/>
      <c r="CB202" s="204"/>
      <c r="CC202" s="200"/>
      <c r="CD202" s="202"/>
      <c r="CE202" s="201"/>
      <c r="CF202" s="200"/>
      <c r="CG202" s="202"/>
      <c r="CH202" s="201"/>
      <c r="CI202" s="201"/>
      <c r="CJ202" s="201"/>
      <c r="CK202" s="198"/>
      <c r="CL202" s="200"/>
      <c r="CM202" s="199"/>
      <c r="CN202" s="198"/>
    </row>
    <row r="203" spans="1:92">
      <c r="A203" s="208"/>
      <c r="B203" s="207"/>
      <c r="C203" s="221" t="s">
        <v>320</v>
      </c>
      <c r="D203" s="234">
        <v>3.5</v>
      </c>
      <c r="E203" s="234" t="s">
        <v>310</v>
      </c>
      <c r="F203" s="229">
        <v>3.65</v>
      </c>
      <c r="G203" s="229" t="s">
        <v>310</v>
      </c>
      <c r="H203" s="229">
        <v>3.5</v>
      </c>
      <c r="I203" s="229" t="s">
        <v>310</v>
      </c>
      <c r="J203" s="229">
        <v>3.65</v>
      </c>
      <c r="K203" s="229"/>
      <c r="L203" s="229"/>
      <c r="M203" s="229"/>
      <c r="N203" s="229"/>
      <c r="O203" s="229"/>
      <c r="P203" s="229"/>
      <c r="Q203" s="229"/>
      <c r="R203" s="229"/>
      <c r="S203" s="229"/>
      <c r="T203" s="229"/>
      <c r="U203" s="229"/>
      <c r="V203" s="229"/>
      <c r="W203" s="236"/>
      <c r="X203" s="232"/>
      <c r="Y203" s="235"/>
      <c r="Z203" s="227"/>
      <c r="AA203" s="224"/>
      <c r="AB203" s="228"/>
      <c r="AC203" s="227"/>
      <c r="AD203" s="93"/>
      <c r="AE203" s="226"/>
      <c r="AF203" s="227"/>
      <c r="AG203" s="93"/>
      <c r="AH203" s="226"/>
      <c r="AI203" s="227"/>
      <c r="AJ203" s="93"/>
      <c r="AK203" s="226"/>
      <c r="AL203" s="227"/>
      <c r="AM203" s="93"/>
      <c r="AN203" s="226"/>
      <c r="AO203" s="95"/>
      <c r="AP203" s="93"/>
      <c r="AQ203" s="226"/>
      <c r="AR203" s="225"/>
      <c r="AS203" s="224"/>
      <c r="AT203" s="204"/>
      <c r="AU203" s="204"/>
      <c r="AV203" s="214"/>
      <c r="AW203" s="214"/>
      <c r="AX203" s="214"/>
      <c r="AY203" s="214"/>
      <c r="AZ203" s="214"/>
      <c r="BA203" s="214"/>
      <c r="BB203" s="214"/>
      <c r="BC203" s="214"/>
      <c r="BD203" s="214"/>
      <c r="BE203" s="214"/>
      <c r="BF203" s="214"/>
      <c r="BG203" s="214"/>
      <c r="BH203" s="214"/>
      <c r="BI203" s="214"/>
      <c r="BJ203" s="214"/>
      <c r="BK203" s="214"/>
      <c r="BL203" s="214"/>
      <c r="BM203" s="214"/>
      <c r="BN203" s="214"/>
      <c r="BO203" s="214"/>
      <c r="BP203" s="214"/>
      <c r="BQ203" s="214"/>
      <c r="BR203" s="214"/>
      <c r="BS203" s="214"/>
      <c r="BT203" s="214"/>
      <c r="BU203" s="214"/>
      <c r="BV203" s="214" t="s">
        <v>338</v>
      </c>
      <c r="BW203" s="214">
        <v>2.7</v>
      </c>
      <c r="BX203" s="223" t="s">
        <v>10</v>
      </c>
      <c r="BY203" s="222">
        <f>(D203+F203+H203+J203+L203+N203+P203)*BW203</f>
        <v>38.610000000000007</v>
      </c>
      <c r="BZ203" s="204"/>
      <c r="CA203" s="204"/>
      <c r="CB203" s="204"/>
      <c r="CC203" s="200"/>
      <c r="CD203" s="202"/>
      <c r="CE203" s="201"/>
      <c r="CF203" s="200"/>
      <c r="CG203" s="202"/>
      <c r="CH203" s="201"/>
      <c r="CI203" s="201"/>
      <c r="CJ203" s="201"/>
      <c r="CK203" s="198"/>
      <c r="CL203" s="200"/>
      <c r="CM203" s="199"/>
      <c r="CN203" s="198"/>
    </row>
    <row r="204" spans="1:92">
      <c r="A204" s="208"/>
      <c r="B204" s="207"/>
      <c r="C204" s="221" t="s">
        <v>319</v>
      </c>
      <c r="D204" s="234">
        <v>3.5</v>
      </c>
      <c r="E204" s="234" t="s">
        <v>310</v>
      </c>
      <c r="F204" s="229">
        <v>3.65</v>
      </c>
      <c r="G204" s="229" t="s">
        <v>310</v>
      </c>
      <c r="H204" s="229">
        <v>3.5</v>
      </c>
      <c r="I204" s="229" t="s">
        <v>310</v>
      </c>
      <c r="J204" s="229">
        <v>3.65</v>
      </c>
      <c r="K204" s="229"/>
      <c r="L204" s="229"/>
      <c r="M204" s="229"/>
      <c r="N204" s="229"/>
      <c r="O204" s="229"/>
      <c r="P204" s="229"/>
      <c r="Q204" s="229"/>
      <c r="R204" s="229"/>
      <c r="S204" s="229"/>
      <c r="T204" s="229"/>
      <c r="U204" s="229"/>
      <c r="V204" s="229"/>
      <c r="W204" s="236"/>
      <c r="X204" s="232"/>
      <c r="Y204" s="235"/>
      <c r="Z204" s="227"/>
      <c r="AA204" s="224"/>
      <c r="AB204" s="228"/>
      <c r="AC204" s="227"/>
      <c r="AD204" s="93"/>
      <c r="AE204" s="226"/>
      <c r="AF204" s="227"/>
      <c r="AG204" s="93"/>
      <c r="AH204" s="226"/>
      <c r="AI204" s="227"/>
      <c r="AJ204" s="93"/>
      <c r="AK204" s="226"/>
      <c r="AL204" s="227"/>
      <c r="AM204" s="93"/>
      <c r="AN204" s="226"/>
      <c r="AO204" s="95"/>
      <c r="AP204" s="93"/>
      <c r="AQ204" s="226"/>
      <c r="AR204" s="225"/>
      <c r="AS204" s="224"/>
      <c r="AT204" s="204"/>
      <c r="AU204" s="204"/>
      <c r="AV204" s="214"/>
      <c r="AW204" s="214"/>
      <c r="AX204" s="214"/>
      <c r="AY204" s="214"/>
      <c r="AZ204" s="214"/>
      <c r="BA204" s="214"/>
      <c r="BB204" s="214"/>
      <c r="BC204" s="214"/>
      <c r="BD204" s="214"/>
      <c r="BE204" s="214"/>
      <c r="BF204" s="214"/>
      <c r="BG204" s="214"/>
      <c r="BH204" s="214"/>
      <c r="BI204" s="214"/>
      <c r="BJ204" s="214"/>
      <c r="BK204" s="214"/>
      <c r="BL204" s="214"/>
      <c r="BM204" s="214"/>
      <c r="BN204" s="214"/>
      <c r="BO204" s="214"/>
      <c r="BP204" s="214"/>
      <c r="BQ204" s="214"/>
      <c r="BR204" s="214"/>
      <c r="BS204" s="214"/>
      <c r="BT204" s="214"/>
      <c r="BU204" s="214"/>
      <c r="BV204" s="214" t="s">
        <v>338</v>
      </c>
      <c r="BW204" s="214">
        <v>2.7</v>
      </c>
      <c r="BX204" s="223" t="s">
        <v>10</v>
      </c>
      <c r="BY204" s="222">
        <f>(D204+F204+H204+J204+L204+N204+P204)*BW204</f>
        <v>38.610000000000007</v>
      </c>
      <c r="BZ204" s="204"/>
      <c r="CA204" s="204"/>
      <c r="CB204" s="204"/>
      <c r="CC204" s="200"/>
      <c r="CD204" s="202"/>
      <c r="CE204" s="201"/>
      <c r="CF204" s="200"/>
      <c r="CG204" s="202"/>
      <c r="CH204" s="201"/>
      <c r="CI204" s="201"/>
      <c r="CJ204" s="201"/>
      <c r="CK204" s="198"/>
      <c r="CL204" s="200"/>
      <c r="CM204" s="199"/>
      <c r="CN204" s="198"/>
    </row>
    <row r="205" spans="1:92">
      <c r="A205" s="208"/>
      <c r="B205" s="207"/>
      <c r="C205" s="221" t="s">
        <v>318</v>
      </c>
      <c r="D205" s="234">
        <v>3.5</v>
      </c>
      <c r="E205" s="234" t="s">
        <v>310</v>
      </c>
      <c r="F205" s="229">
        <v>3.65</v>
      </c>
      <c r="G205" s="229" t="s">
        <v>310</v>
      </c>
      <c r="H205" s="229">
        <v>3.5</v>
      </c>
      <c r="I205" s="229" t="s">
        <v>310</v>
      </c>
      <c r="J205" s="229">
        <v>3.65</v>
      </c>
      <c r="K205" s="229"/>
      <c r="L205" s="229"/>
      <c r="M205" s="229"/>
      <c r="N205" s="229"/>
      <c r="O205" s="229"/>
      <c r="P205" s="229"/>
      <c r="Q205" s="229"/>
      <c r="R205" s="229"/>
      <c r="S205" s="229"/>
      <c r="T205" s="229"/>
      <c r="U205" s="229"/>
      <c r="V205" s="229"/>
      <c r="W205" s="236"/>
      <c r="X205" s="232"/>
      <c r="Y205" s="235"/>
      <c r="Z205" s="227"/>
      <c r="AA205" s="224"/>
      <c r="AB205" s="228"/>
      <c r="AC205" s="227"/>
      <c r="AD205" s="93"/>
      <c r="AE205" s="226"/>
      <c r="AF205" s="227"/>
      <c r="AG205" s="93"/>
      <c r="AH205" s="226"/>
      <c r="AI205" s="227"/>
      <c r="AJ205" s="93"/>
      <c r="AK205" s="226"/>
      <c r="AL205" s="227"/>
      <c r="AM205" s="93"/>
      <c r="AN205" s="226"/>
      <c r="AO205" s="95"/>
      <c r="AP205" s="93"/>
      <c r="AQ205" s="226"/>
      <c r="AR205" s="225"/>
      <c r="AS205" s="224"/>
      <c r="AT205" s="204"/>
      <c r="AU205" s="204"/>
      <c r="AV205" s="214"/>
      <c r="AW205" s="214"/>
      <c r="AX205" s="214"/>
      <c r="AY205" s="214"/>
      <c r="AZ205" s="214"/>
      <c r="BA205" s="214"/>
      <c r="BB205" s="214"/>
      <c r="BC205" s="214"/>
      <c r="BD205" s="214"/>
      <c r="BE205" s="214"/>
      <c r="BF205" s="214"/>
      <c r="BG205" s="214"/>
      <c r="BH205" s="214"/>
      <c r="BI205" s="214"/>
      <c r="BJ205" s="214"/>
      <c r="BK205" s="214"/>
      <c r="BL205" s="214"/>
      <c r="BM205" s="214"/>
      <c r="BN205" s="214"/>
      <c r="BO205" s="214"/>
      <c r="BP205" s="214"/>
      <c r="BQ205" s="214"/>
      <c r="BR205" s="214"/>
      <c r="BS205" s="214"/>
      <c r="BT205" s="214"/>
      <c r="BU205" s="214"/>
      <c r="BV205" s="214" t="s">
        <v>338</v>
      </c>
      <c r="BW205" s="214">
        <v>2.7</v>
      </c>
      <c r="BX205" s="223" t="s">
        <v>10</v>
      </c>
      <c r="BY205" s="222">
        <f>(D205+F205+H205+J205+L205+N205+P205)*BW205</f>
        <v>38.610000000000007</v>
      </c>
      <c r="BZ205" s="204"/>
      <c r="CA205" s="204"/>
      <c r="CB205" s="204"/>
      <c r="CC205" s="200"/>
      <c r="CD205" s="202"/>
      <c r="CE205" s="201"/>
      <c r="CF205" s="200"/>
      <c r="CG205" s="202"/>
      <c r="CH205" s="201"/>
      <c r="CI205" s="201"/>
      <c r="CJ205" s="201"/>
      <c r="CK205" s="198"/>
      <c r="CL205" s="200"/>
      <c r="CM205" s="199"/>
      <c r="CN205" s="198"/>
    </row>
    <row r="206" spans="1:92">
      <c r="A206" s="208"/>
      <c r="B206" s="207"/>
      <c r="C206" s="221" t="s">
        <v>317</v>
      </c>
      <c r="D206" s="234">
        <v>3.5</v>
      </c>
      <c r="E206" s="234" t="s">
        <v>310</v>
      </c>
      <c r="F206" s="229">
        <v>3.65</v>
      </c>
      <c r="G206" s="229" t="s">
        <v>310</v>
      </c>
      <c r="H206" s="229">
        <v>3.5</v>
      </c>
      <c r="I206" s="229" t="s">
        <v>310</v>
      </c>
      <c r="J206" s="229">
        <v>3.65</v>
      </c>
      <c r="K206" s="229"/>
      <c r="L206" s="229"/>
      <c r="M206" s="229"/>
      <c r="N206" s="229"/>
      <c r="O206" s="229"/>
      <c r="P206" s="229"/>
      <c r="Q206" s="229"/>
      <c r="R206" s="229"/>
      <c r="S206" s="229"/>
      <c r="T206" s="229"/>
      <c r="U206" s="229"/>
      <c r="V206" s="229"/>
      <c r="W206" s="236"/>
      <c r="X206" s="232"/>
      <c r="Y206" s="235"/>
      <c r="Z206" s="227"/>
      <c r="AA206" s="224"/>
      <c r="AB206" s="228"/>
      <c r="AC206" s="227"/>
      <c r="AD206" s="93"/>
      <c r="AE206" s="226"/>
      <c r="AF206" s="227"/>
      <c r="AG206" s="93"/>
      <c r="AH206" s="226"/>
      <c r="AI206" s="227"/>
      <c r="AJ206" s="93"/>
      <c r="AK206" s="226"/>
      <c r="AL206" s="227"/>
      <c r="AM206" s="93"/>
      <c r="AN206" s="226"/>
      <c r="AO206" s="95"/>
      <c r="AP206" s="93"/>
      <c r="AQ206" s="226"/>
      <c r="AR206" s="225"/>
      <c r="AS206" s="224"/>
      <c r="AT206" s="204"/>
      <c r="AU206" s="204"/>
      <c r="AV206" s="214"/>
      <c r="AW206" s="214"/>
      <c r="AX206" s="214"/>
      <c r="AY206" s="214"/>
      <c r="AZ206" s="214"/>
      <c r="BA206" s="214"/>
      <c r="BB206" s="214"/>
      <c r="BC206" s="214"/>
      <c r="BD206" s="214"/>
      <c r="BE206" s="214"/>
      <c r="BF206" s="214"/>
      <c r="BG206" s="214"/>
      <c r="BH206" s="214"/>
      <c r="BI206" s="214"/>
      <c r="BJ206" s="214"/>
      <c r="BK206" s="214"/>
      <c r="BL206" s="214"/>
      <c r="BM206" s="214"/>
      <c r="BN206" s="214"/>
      <c r="BO206" s="214"/>
      <c r="BP206" s="214"/>
      <c r="BQ206" s="214"/>
      <c r="BR206" s="214"/>
      <c r="BS206" s="214"/>
      <c r="BT206" s="214"/>
      <c r="BU206" s="214"/>
      <c r="BV206" s="214" t="s">
        <v>338</v>
      </c>
      <c r="BW206" s="214">
        <v>2.7</v>
      </c>
      <c r="BX206" s="223" t="s">
        <v>10</v>
      </c>
      <c r="BY206" s="222">
        <f>(D206+F206+H206+J206+L206+N206+P206)*BW206</f>
        <v>38.610000000000007</v>
      </c>
      <c r="BZ206" s="204"/>
      <c r="CA206" s="204"/>
      <c r="CB206" s="204"/>
      <c r="CC206" s="200"/>
      <c r="CD206" s="202"/>
      <c r="CE206" s="201"/>
      <c r="CF206" s="200"/>
      <c r="CG206" s="202"/>
      <c r="CH206" s="201"/>
      <c r="CI206" s="201"/>
      <c r="CJ206" s="201"/>
      <c r="CK206" s="198"/>
      <c r="CL206" s="200"/>
      <c r="CM206" s="199"/>
      <c r="CN206" s="198"/>
    </row>
    <row r="207" spans="1:92">
      <c r="A207" s="208"/>
      <c r="B207" s="207"/>
      <c r="C207" s="221" t="s">
        <v>316</v>
      </c>
      <c r="D207" s="234">
        <v>3.5</v>
      </c>
      <c r="E207" s="234" t="s">
        <v>310</v>
      </c>
      <c r="F207" s="229">
        <v>3.65</v>
      </c>
      <c r="G207" s="229" t="s">
        <v>310</v>
      </c>
      <c r="H207" s="229">
        <v>3.5</v>
      </c>
      <c r="I207" s="229" t="s">
        <v>310</v>
      </c>
      <c r="J207" s="229">
        <v>3.65</v>
      </c>
      <c r="K207" s="229"/>
      <c r="L207" s="229"/>
      <c r="M207" s="229"/>
      <c r="N207" s="229"/>
      <c r="O207" s="229"/>
      <c r="P207" s="229"/>
      <c r="Q207" s="229"/>
      <c r="R207" s="229"/>
      <c r="S207" s="229"/>
      <c r="T207" s="229"/>
      <c r="U207" s="229"/>
      <c r="V207" s="229"/>
      <c r="W207" s="236"/>
      <c r="X207" s="232"/>
      <c r="Y207" s="235"/>
      <c r="Z207" s="227"/>
      <c r="AA207" s="224"/>
      <c r="AB207" s="228"/>
      <c r="AC207" s="227"/>
      <c r="AD207" s="93"/>
      <c r="AE207" s="226"/>
      <c r="AF207" s="227"/>
      <c r="AG207" s="93"/>
      <c r="AH207" s="226"/>
      <c r="AI207" s="227"/>
      <c r="AJ207" s="93"/>
      <c r="AK207" s="226"/>
      <c r="AL207" s="227"/>
      <c r="AM207" s="93"/>
      <c r="AN207" s="226"/>
      <c r="AO207" s="95"/>
      <c r="AP207" s="93"/>
      <c r="AQ207" s="226"/>
      <c r="AR207" s="225"/>
      <c r="AS207" s="224"/>
      <c r="AT207" s="204"/>
      <c r="AU207" s="204"/>
      <c r="AV207" s="214"/>
      <c r="AW207" s="214"/>
      <c r="AX207" s="214"/>
      <c r="AY207" s="214"/>
      <c r="AZ207" s="214"/>
      <c r="BA207" s="214"/>
      <c r="BB207" s="214"/>
      <c r="BC207" s="214"/>
      <c r="BD207" s="214"/>
      <c r="BE207" s="214"/>
      <c r="BF207" s="214"/>
      <c r="BG207" s="214"/>
      <c r="BH207" s="214"/>
      <c r="BI207" s="214"/>
      <c r="BJ207" s="214"/>
      <c r="BK207" s="214"/>
      <c r="BL207" s="214"/>
      <c r="BM207" s="214"/>
      <c r="BN207" s="214"/>
      <c r="BO207" s="214"/>
      <c r="BP207" s="214"/>
      <c r="BQ207" s="214"/>
      <c r="BR207" s="214"/>
      <c r="BS207" s="214"/>
      <c r="BT207" s="214"/>
      <c r="BU207" s="214"/>
      <c r="BV207" s="214" t="s">
        <v>338</v>
      </c>
      <c r="BW207" s="214">
        <v>2.7</v>
      </c>
      <c r="BX207" s="223" t="s">
        <v>10</v>
      </c>
      <c r="BY207" s="222">
        <f>(D207+F207+H207+J207+L207+N207+P207)*BW207</f>
        <v>38.610000000000007</v>
      </c>
      <c r="BZ207" s="204"/>
      <c r="CA207" s="204"/>
      <c r="CB207" s="204"/>
      <c r="CC207" s="200"/>
      <c r="CD207" s="202"/>
      <c r="CE207" s="201"/>
      <c r="CF207" s="200"/>
      <c r="CG207" s="202"/>
      <c r="CH207" s="201"/>
      <c r="CI207" s="201"/>
      <c r="CJ207" s="201"/>
      <c r="CK207" s="198"/>
      <c r="CL207" s="200"/>
      <c r="CM207" s="199"/>
      <c r="CN207" s="198"/>
    </row>
    <row r="208" spans="1:92">
      <c r="A208" s="208"/>
      <c r="B208" s="207"/>
      <c r="C208" s="221" t="s">
        <v>315</v>
      </c>
      <c r="D208" s="234">
        <v>3.5</v>
      </c>
      <c r="E208" s="234" t="s">
        <v>310</v>
      </c>
      <c r="F208" s="229">
        <v>3.65</v>
      </c>
      <c r="G208" s="229" t="s">
        <v>310</v>
      </c>
      <c r="H208" s="229">
        <v>3.5</v>
      </c>
      <c r="I208" s="229" t="s">
        <v>310</v>
      </c>
      <c r="J208" s="229">
        <v>3.65</v>
      </c>
      <c r="K208" s="229"/>
      <c r="L208" s="229"/>
      <c r="M208" s="229"/>
      <c r="N208" s="229"/>
      <c r="O208" s="229"/>
      <c r="P208" s="229"/>
      <c r="Q208" s="229"/>
      <c r="R208" s="229"/>
      <c r="S208" s="229"/>
      <c r="T208" s="229"/>
      <c r="U208" s="229"/>
      <c r="V208" s="229"/>
      <c r="W208" s="236"/>
      <c r="X208" s="232"/>
      <c r="Y208" s="235"/>
      <c r="Z208" s="227"/>
      <c r="AA208" s="224"/>
      <c r="AB208" s="228"/>
      <c r="AC208" s="227"/>
      <c r="AD208" s="93"/>
      <c r="AE208" s="226"/>
      <c r="AF208" s="227"/>
      <c r="AG208" s="93"/>
      <c r="AH208" s="226"/>
      <c r="AI208" s="227"/>
      <c r="AJ208" s="93"/>
      <c r="AK208" s="226"/>
      <c r="AL208" s="227"/>
      <c r="AM208" s="93"/>
      <c r="AN208" s="226"/>
      <c r="AO208" s="95"/>
      <c r="AP208" s="93"/>
      <c r="AQ208" s="226"/>
      <c r="AR208" s="225"/>
      <c r="AS208" s="224"/>
      <c r="AT208" s="204"/>
      <c r="AU208" s="204"/>
      <c r="AV208" s="214"/>
      <c r="AW208" s="214"/>
      <c r="AX208" s="214"/>
      <c r="AY208" s="214"/>
      <c r="AZ208" s="214"/>
      <c r="BA208" s="214"/>
      <c r="BB208" s="214"/>
      <c r="BC208" s="214"/>
      <c r="BD208" s="214"/>
      <c r="BE208" s="214"/>
      <c r="BF208" s="214"/>
      <c r="BG208" s="214"/>
      <c r="BH208" s="214"/>
      <c r="BI208" s="214"/>
      <c r="BJ208" s="214"/>
      <c r="BK208" s="214"/>
      <c r="BL208" s="214"/>
      <c r="BM208" s="214"/>
      <c r="BN208" s="214"/>
      <c r="BO208" s="214"/>
      <c r="BP208" s="214"/>
      <c r="BQ208" s="214"/>
      <c r="BR208" s="214"/>
      <c r="BS208" s="214"/>
      <c r="BT208" s="214"/>
      <c r="BU208" s="214"/>
      <c r="BV208" s="214" t="s">
        <v>338</v>
      </c>
      <c r="BW208" s="214">
        <v>2.7</v>
      </c>
      <c r="BX208" s="223" t="s">
        <v>10</v>
      </c>
      <c r="BY208" s="222">
        <f>(D208+F208+H208+J208+L208+N208+P208)*BW208</f>
        <v>38.610000000000007</v>
      </c>
      <c r="BZ208" s="204"/>
      <c r="CA208" s="204"/>
      <c r="CB208" s="204"/>
      <c r="CC208" s="200"/>
      <c r="CD208" s="202"/>
      <c r="CE208" s="201"/>
      <c r="CF208" s="200"/>
      <c r="CG208" s="202"/>
      <c r="CH208" s="201"/>
      <c r="CI208" s="201"/>
      <c r="CJ208" s="201"/>
      <c r="CK208" s="198"/>
      <c r="CL208" s="200"/>
      <c r="CM208" s="199"/>
      <c r="CN208" s="198"/>
    </row>
    <row r="209" spans="1:92">
      <c r="A209" s="208"/>
      <c r="B209" s="207"/>
      <c r="C209" s="221" t="s">
        <v>313</v>
      </c>
      <c r="D209" s="234">
        <v>3.5</v>
      </c>
      <c r="E209" s="234" t="s">
        <v>310</v>
      </c>
      <c r="F209" s="229">
        <v>3.65</v>
      </c>
      <c r="G209" s="229" t="s">
        <v>310</v>
      </c>
      <c r="H209" s="229">
        <v>3.5</v>
      </c>
      <c r="I209" s="229" t="s">
        <v>310</v>
      </c>
      <c r="J209" s="229">
        <v>3.65</v>
      </c>
      <c r="K209" s="229"/>
      <c r="L209" s="229"/>
      <c r="M209" s="229"/>
      <c r="N209" s="229"/>
      <c r="O209" s="229"/>
      <c r="P209" s="229"/>
      <c r="Q209" s="229"/>
      <c r="R209" s="229"/>
      <c r="S209" s="229"/>
      <c r="T209" s="229"/>
      <c r="U209" s="229"/>
      <c r="V209" s="229"/>
      <c r="W209" s="236"/>
      <c r="X209" s="232"/>
      <c r="Y209" s="235"/>
      <c r="Z209" s="227"/>
      <c r="AA209" s="224"/>
      <c r="AB209" s="228"/>
      <c r="AC209" s="227"/>
      <c r="AD209" s="93"/>
      <c r="AE209" s="226"/>
      <c r="AF209" s="227"/>
      <c r="AG209" s="93"/>
      <c r="AH209" s="226"/>
      <c r="AI209" s="227"/>
      <c r="AJ209" s="93"/>
      <c r="AK209" s="226"/>
      <c r="AL209" s="227"/>
      <c r="AM209" s="93"/>
      <c r="AN209" s="226"/>
      <c r="AO209" s="95"/>
      <c r="AP209" s="93"/>
      <c r="AQ209" s="226"/>
      <c r="AR209" s="225"/>
      <c r="AS209" s="224"/>
      <c r="AT209" s="204"/>
      <c r="AU209" s="204"/>
      <c r="AV209" s="214"/>
      <c r="AW209" s="214"/>
      <c r="AX209" s="214"/>
      <c r="AY209" s="214"/>
      <c r="AZ209" s="214"/>
      <c r="BA209" s="214"/>
      <c r="BB209" s="214"/>
      <c r="BC209" s="214"/>
      <c r="BD209" s="214"/>
      <c r="BE209" s="214"/>
      <c r="BF209" s="214"/>
      <c r="BG209" s="214"/>
      <c r="BH209" s="214"/>
      <c r="BI209" s="214"/>
      <c r="BJ209" s="214"/>
      <c r="BK209" s="214"/>
      <c r="BL209" s="214"/>
      <c r="BM209" s="214"/>
      <c r="BN209" s="214"/>
      <c r="BO209" s="214"/>
      <c r="BP209" s="214"/>
      <c r="BQ209" s="214"/>
      <c r="BR209" s="214"/>
      <c r="BS209" s="214"/>
      <c r="BT209" s="214"/>
      <c r="BU209" s="214"/>
      <c r="BV209" s="214" t="s">
        <v>338</v>
      </c>
      <c r="BW209" s="214">
        <v>2.7</v>
      </c>
      <c r="BX209" s="223" t="s">
        <v>10</v>
      </c>
      <c r="BY209" s="222">
        <f>(D209+F209+H209+J209+L209+N209+P209)*BW209</f>
        <v>38.610000000000007</v>
      </c>
      <c r="BZ209" s="204"/>
      <c r="CA209" s="204"/>
      <c r="CB209" s="204"/>
      <c r="CC209" s="200"/>
      <c r="CD209" s="202"/>
      <c r="CE209" s="201"/>
      <c r="CF209" s="200"/>
      <c r="CG209" s="202"/>
      <c r="CH209" s="201"/>
      <c r="CI209" s="201"/>
      <c r="CJ209" s="201"/>
      <c r="CK209" s="198"/>
      <c r="CL209" s="200"/>
      <c r="CM209" s="199"/>
      <c r="CN209" s="198"/>
    </row>
    <row r="210" spans="1:92">
      <c r="A210" s="208"/>
      <c r="B210" s="207"/>
      <c r="C210" s="221"/>
      <c r="D210" s="220" t="s">
        <v>356</v>
      </c>
      <c r="E210" s="219"/>
      <c r="F210" s="219"/>
      <c r="G210" s="219"/>
      <c r="H210" s="219"/>
      <c r="I210" s="219"/>
      <c r="J210" s="219"/>
      <c r="K210" s="219"/>
      <c r="L210" s="219"/>
      <c r="M210" s="219"/>
      <c r="N210" s="219"/>
      <c r="O210" s="219"/>
      <c r="P210" s="219"/>
      <c r="Q210" s="219"/>
      <c r="R210" s="219"/>
      <c r="S210" s="219"/>
      <c r="T210" s="219"/>
      <c r="U210" s="219"/>
      <c r="V210" s="219"/>
      <c r="W210" s="219"/>
      <c r="X210" s="219"/>
      <c r="Y210" s="219"/>
      <c r="Z210" s="219"/>
      <c r="AA210" s="219"/>
      <c r="AB210" s="219"/>
      <c r="AC210" s="219"/>
      <c r="AD210" s="219"/>
      <c r="AE210" s="219"/>
      <c r="AF210" s="219"/>
      <c r="AG210" s="219"/>
      <c r="AH210" s="219"/>
      <c r="AI210" s="219"/>
      <c r="AJ210" s="219"/>
      <c r="AK210" s="219"/>
      <c r="AL210" s="219"/>
      <c r="AM210" s="219"/>
      <c r="AN210" s="219"/>
      <c r="AO210" s="219"/>
      <c r="AP210" s="219"/>
      <c r="AQ210" s="219"/>
      <c r="AR210" s="219"/>
      <c r="AS210" s="219"/>
      <c r="AT210" s="219"/>
      <c r="AU210" s="219"/>
      <c r="AV210" s="219"/>
      <c r="AW210" s="219"/>
      <c r="AX210" s="219"/>
      <c r="AY210" s="219"/>
      <c r="AZ210" s="219"/>
      <c r="BA210" s="219"/>
      <c r="BB210" s="219"/>
      <c r="BC210" s="219"/>
      <c r="BD210" s="219"/>
      <c r="BE210" s="219"/>
      <c r="BF210" s="219"/>
      <c r="BG210" s="219"/>
      <c r="BH210" s="219"/>
      <c r="BI210" s="219"/>
      <c r="BJ210" s="219"/>
      <c r="BK210" s="219"/>
      <c r="BL210" s="219"/>
      <c r="BM210" s="219"/>
      <c r="BN210" s="219"/>
      <c r="BO210" s="219"/>
      <c r="BP210" s="219"/>
      <c r="BQ210" s="219"/>
      <c r="BR210" s="219"/>
      <c r="BS210" s="219"/>
      <c r="BT210" s="219"/>
      <c r="BU210" s="219"/>
      <c r="BV210" s="219"/>
      <c r="BW210" s="218"/>
      <c r="BX210" s="217" t="s">
        <v>10</v>
      </c>
      <c r="BY210" s="216">
        <f>SUM(BY197:BY209)</f>
        <v>568.07800000000009</v>
      </c>
      <c r="BZ210" s="204"/>
      <c r="CA210" s="204"/>
      <c r="CB210" s="204"/>
      <c r="CC210" s="200"/>
      <c r="CD210" s="202"/>
      <c r="CE210" s="201"/>
      <c r="CF210" s="200"/>
      <c r="CG210" s="202"/>
      <c r="CH210" s="201"/>
      <c r="CI210" s="201"/>
      <c r="CJ210" s="201"/>
      <c r="CK210" s="198"/>
      <c r="CL210" s="200"/>
      <c r="CM210" s="199"/>
      <c r="CN210" s="198"/>
    </row>
    <row r="211" spans="1:92">
      <c r="A211" s="208"/>
      <c r="B211" s="207"/>
      <c r="D211" s="265" t="s">
        <v>346</v>
      </c>
      <c r="E211" s="264"/>
      <c r="F211" s="264"/>
      <c r="G211" s="264"/>
      <c r="H211" s="264"/>
      <c r="I211" s="264"/>
      <c r="J211" s="264"/>
      <c r="K211" s="264"/>
      <c r="L211" s="264"/>
      <c r="M211" s="264"/>
      <c r="N211" s="264"/>
      <c r="O211" s="264"/>
      <c r="P211" s="264"/>
      <c r="Q211" s="264"/>
      <c r="R211" s="264"/>
      <c r="S211" s="264"/>
      <c r="T211" s="264"/>
      <c r="U211" s="264"/>
      <c r="V211" s="264"/>
      <c r="W211" s="264"/>
      <c r="X211" s="264"/>
      <c r="Y211" s="264"/>
      <c r="Z211" s="264"/>
      <c r="AA211" s="264"/>
      <c r="AB211" s="264"/>
      <c r="AC211" s="264"/>
      <c r="AD211" s="264"/>
      <c r="AE211" s="264"/>
      <c r="AF211" s="264"/>
      <c r="AG211" s="264"/>
      <c r="AH211" s="264"/>
      <c r="AI211" s="264"/>
      <c r="AJ211" s="264"/>
      <c r="AK211" s="264"/>
      <c r="AL211" s="264"/>
      <c r="AM211" s="264"/>
      <c r="AN211" s="264"/>
      <c r="AO211" s="264"/>
      <c r="AP211" s="264"/>
      <c r="AQ211" s="264"/>
      <c r="AR211" s="264"/>
      <c r="AS211" s="264"/>
      <c r="AT211" s="264"/>
      <c r="AU211" s="264"/>
      <c r="AV211" s="264"/>
      <c r="AW211" s="264"/>
      <c r="AX211" s="264"/>
      <c r="AY211" s="264"/>
      <c r="AZ211" s="264"/>
      <c r="BA211" s="264"/>
      <c r="BB211" s="264"/>
      <c r="BC211" s="264"/>
      <c r="BD211" s="264"/>
      <c r="BE211" s="264"/>
      <c r="BF211" s="264"/>
      <c r="BG211" s="264"/>
      <c r="BH211" s="264"/>
      <c r="BI211" s="264"/>
      <c r="BJ211" s="264"/>
      <c r="BK211" s="264"/>
      <c r="BL211" s="264"/>
      <c r="BM211" s="264"/>
      <c r="BN211" s="264"/>
      <c r="BO211" s="264"/>
      <c r="BP211" s="264"/>
      <c r="BQ211" s="264"/>
      <c r="BR211" s="264"/>
      <c r="BS211" s="264"/>
      <c r="BT211" s="264"/>
      <c r="BU211" s="264"/>
      <c r="BV211" s="264"/>
      <c r="BW211" s="263"/>
      <c r="BX211" s="253"/>
      <c r="BY211" s="253"/>
      <c r="BZ211" s="204"/>
      <c r="CA211" s="204"/>
      <c r="CB211" s="204"/>
      <c r="CC211" s="200"/>
      <c r="CD211" s="202"/>
      <c r="CE211" s="201"/>
      <c r="CF211" s="200"/>
      <c r="CG211" s="202"/>
      <c r="CH211" s="201"/>
      <c r="CI211" s="201"/>
      <c r="CJ211" s="201"/>
      <c r="CK211" s="198"/>
      <c r="CL211" s="200"/>
      <c r="CM211" s="199"/>
      <c r="CN211" s="198"/>
    </row>
    <row r="212" spans="1:92">
      <c r="A212" s="208"/>
      <c r="B212" s="207"/>
      <c r="C212" s="250" t="s">
        <v>345</v>
      </c>
      <c r="D212" s="214">
        <v>2.2000000000000002</v>
      </c>
      <c r="E212" s="214" t="s">
        <v>338</v>
      </c>
      <c r="F212" s="214">
        <v>2.5</v>
      </c>
      <c r="G212" s="214"/>
      <c r="H212" s="214"/>
      <c r="I212" s="214"/>
      <c r="J212" s="214"/>
      <c r="K212" s="214"/>
      <c r="L212" s="214"/>
      <c r="M212" s="214"/>
      <c r="N212" s="214"/>
      <c r="O212" s="214"/>
      <c r="P212" s="214"/>
      <c r="Q212" s="214"/>
      <c r="R212" s="214"/>
      <c r="S212" s="214"/>
      <c r="T212" s="214"/>
      <c r="U212" s="214"/>
      <c r="V212" s="214"/>
      <c r="W212" s="273"/>
      <c r="X212" s="273"/>
      <c r="Y212" s="273"/>
      <c r="Z212" s="273"/>
      <c r="AA212" s="273"/>
      <c r="AB212" s="272"/>
      <c r="AC212" s="272"/>
      <c r="AD212" s="272"/>
      <c r="AE212" s="272"/>
      <c r="AF212" s="272"/>
      <c r="AG212" s="272"/>
      <c r="AH212" s="272"/>
      <c r="AI212" s="272"/>
      <c r="AJ212" s="272"/>
      <c r="AK212" s="272"/>
      <c r="AL212" s="272"/>
      <c r="AM212" s="272"/>
      <c r="AN212" s="272"/>
      <c r="AO212" s="272"/>
      <c r="AP212" s="272"/>
      <c r="AQ212" s="272"/>
      <c r="AR212" s="272"/>
      <c r="AS212" s="272"/>
      <c r="AT212" s="272"/>
      <c r="AU212" s="272"/>
      <c r="AV212" s="272"/>
      <c r="AW212" s="272"/>
      <c r="AX212" s="272"/>
      <c r="AY212" s="272"/>
      <c r="AZ212" s="272"/>
      <c r="BA212" s="272"/>
      <c r="BB212" s="272"/>
      <c r="BC212" s="272"/>
      <c r="BD212" s="272"/>
      <c r="BE212" s="272"/>
      <c r="BF212" s="272"/>
      <c r="BG212" s="272"/>
      <c r="BH212" s="272"/>
      <c r="BI212" s="272"/>
      <c r="BJ212" s="272"/>
      <c r="BK212" s="272"/>
      <c r="BL212" s="272"/>
      <c r="BM212" s="272"/>
      <c r="BN212" s="272"/>
      <c r="BO212" s="272"/>
      <c r="BP212" s="272"/>
      <c r="BQ212" s="272"/>
      <c r="BR212" s="272"/>
      <c r="BS212" s="272"/>
      <c r="BT212" s="272"/>
      <c r="BU212" s="272"/>
      <c r="BV212" s="214" t="s">
        <v>338</v>
      </c>
      <c r="BW212" s="214">
        <v>1</v>
      </c>
      <c r="BX212" s="253" t="s">
        <v>10</v>
      </c>
      <c r="BY212" s="214">
        <f>(D212*F212)*BW212</f>
        <v>5.5</v>
      </c>
      <c r="BZ212" s="204"/>
      <c r="CA212" s="204"/>
      <c r="CB212" s="204"/>
      <c r="CC212" s="200"/>
      <c r="CD212" s="202"/>
      <c r="CE212" s="201"/>
      <c r="CF212" s="200"/>
      <c r="CG212" s="202"/>
      <c r="CH212" s="201"/>
      <c r="CI212" s="201"/>
      <c r="CJ212" s="201"/>
      <c r="CK212" s="198"/>
      <c r="CL212" s="200"/>
      <c r="CM212" s="199"/>
      <c r="CN212" s="198"/>
    </row>
    <row r="213" spans="1:92">
      <c r="A213" s="208"/>
      <c r="B213" s="207"/>
      <c r="C213" s="250" t="s">
        <v>355</v>
      </c>
      <c r="D213" s="214">
        <v>0.8</v>
      </c>
      <c r="E213" s="214" t="s">
        <v>338</v>
      </c>
      <c r="F213" s="214">
        <v>2.1</v>
      </c>
      <c r="G213" s="214"/>
      <c r="H213" s="214"/>
      <c r="I213" s="214"/>
      <c r="J213" s="214"/>
      <c r="K213" s="214"/>
      <c r="L213" s="214"/>
      <c r="M213" s="214"/>
      <c r="N213" s="214"/>
      <c r="O213" s="214"/>
      <c r="P213" s="214"/>
      <c r="Q213" s="214"/>
      <c r="R213" s="214"/>
      <c r="S213" s="214"/>
      <c r="T213" s="214"/>
      <c r="U213" s="214"/>
      <c r="V213" s="214"/>
      <c r="W213" s="273"/>
      <c r="X213" s="273"/>
      <c r="Y213" s="273"/>
      <c r="Z213" s="273"/>
      <c r="AA213" s="273"/>
      <c r="AB213" s="272"/>
      <c r="AC213" s="272"/>
      <c r="AD213" s="272"/>
      <c r="AE213" s="272"/>
      <c r="AF213" s="272"/>
      <c r="AG213" s="272"/>
      <c r="AH213" s="272"/>
      <c r="AI213" s="272"/>
      <c r="AJ213" s="272"/>
      <c r="AK213" s="272"/>
      <c r="AL213" s="272"/>
      <c r="AM213" s="272"/>
      <c r="AN213" s="272"/>
      <c r="AO213" s="272"/>
      <c r="AP213" s="272"/>
      <c r="AQ213" s="272"/>
      <c r="AR213" s="272"/>
      <c r="AS213" s="272"/>
      <c r="AT213" s="272"/>
      <c r="AU213" s="272"/>
      <c r="AV213" s="272"/>
      <c r="AW213" s="272"/>
      <c r="AX213" s="272"/>
      <c r="AY213" s="272"/>
      <c r="AZ213" s="272"/>
      <c r="BA213" s="272"/>
      <c r="BB213" s="272"/>
      <c r="BC213" s="272"/>
      <c r="BD213" s="272"/>
      <c r="BE213" s="272"/>
      <c r="BF213" s="272"/>
      <c r="BG213" s="272"/>
      <c r="BH213" s="272"/>
      <c r="BI213" s="272"/>
      <c r="BJ213" s="272"/>
      <c r="BK213" s="272"/>
      <c r="BL213" s="272"/>
      <c r="BM213" s="272"/>
      <c r="BN213" s="272"/>
      <c r="BO213" s="272"/>
      <c r="BP213" s="272"/>
      <c r="BQ213" s="272"/>
      <c r="BR213" s="272"/>
      <c r="BS213" s="272"/>
      <c r="BT213" s="272"/>
      <c r="BU213" s="272"/>
      <c r="BV213" s="214" t="s">
        <v>338</v>
      </c>
      <c r="BW213" s="214">
        <v>33</v>
      </c>
      <c r="BX213" s="253" t="s">
        <v>10</v>
      </c>
      <c r="BY213" s="214">
        <f>(D213*F213)*BW213</f>
        <v>55.440000000000005</v>
      </c>
      <c r="BZ213" s="204"/>
      <c r="CA213" s="204"/>
      <c r="CB213" s="204"/>
      <c r="CC213" s="200"/>
      <c r="CD213" s="202"/>
      <c r="CE213" s="201"/>
      <c r="CF213" s="200"/>
      <c r="CG213" s="202"/>
      <c r="CH213" s="201"/>
      <c r="CI213" s="201"/>
      <c r="CJ213" s="201"/>
      <c r="CK213" s="198"/>
      <c r="CL213" s="200"/>
      <c r="CM213" s="199"/>
      <c r="CN213" s="198"/>
    </row>
    <row r="214" spans="1:92">
      <c r="A214" s="208"/>
      <c r="B214" s="207"/>
      <c r="C214" s="250" t="s">
        <v>344</v>
      </c>
      <c r="D214" s="214">
        <v>2</v>
      </c>
      <c r="E214" s="214" t="s">
        <v>338</v>
      </c>
      <c r="F214" s="214">
        <v>2.1</v>
      </c>
      <c r="G214" s="214"/>
      <c r="H214" s="214"/>
      <c r="I214" s="214"/>
      <c r="J214" s="214"/>
      <c r="K214" s="214"/>
      <c r="L214" s="214"/>
      <c r="M214" s="214"/>
      <c r="N214" s="214"/>
      <c r="O214" s="214"/>
      <c r="P214" s="214"/>
      <c r="Q214" s="214"/>
      <c r="R214" s="214"/>
      <c r="S214" s="214"/>
      <c r="T214" s="214"/>
      <c r="U214" s="214"/>
      <c r="V214" s="214"/>
      <c r="W214" s="273"/>
      <c r="X214" s="273"/>
      <c r="Y214" s="273"/>
      <c r="Z214" s="273"/>
      <c r="AA214" s="273"/>
      <c r="AB214" s="272"/>
      <c r="AC214" s="272"/>
      <c r="AD214" s="272"/>
      <c r="AE214" s="272"/>
      <c r="AF214" s="272"/>
      <c r="AG214" s="272"/>
      <c r="AH214" s="272"/>
      <c r="AI214" s="272"/>
      <c r="AJ214" s="272"/>
      <c r="AK214" s="272"/>
      <c r="AL214" s="272"/>
      <c r="AM214" s="272"/>
      <c r="AN214" s="272"/>
      <c r="AO214" s="272"/>
      <c r="AP214" s="272"/>
      <c r="AQ214" s="272"/>
      <c r="AR214" s="272"/>
      <c r="AS214" s="272"/>
      <c r="AT214" s="272"/>
      <c r="AU214" s="272"/>
      <c r="AV214" s="272"/>
      <c r="AW214" s="272"/>
      <c r="AX214" s="272"/>
      <c r="AY214" s="272"/>
      <c r="AZ214" s="272"/>
      <c r="BA214" s="272"/>
      <c r="BB214" s="272"/>
      <c r="BC214" s="272"/>
      <c r="BD214" s="272"/>
      <c r="BE214" s="272"/>
      <c r="BF214" s="272"/>
      <c r="BG214" s="272"/>
      <c r="BH214" s="272"/>
      <c r="BI214" s="272"/>
      <c r="BJ214" s="272"/>
      <c r="BK214" s="272"/>
      <c r="BL214" s="272"/>
      <c r="BM214" s="272"/>
      <c r="BN214" s="272"/>
      <c r="BO214" s="272"/>
      <c r="BP214" s="272"/>
      <c r="BQ214" s="272"/>
      <c r="BR214" s="272"/>
      <c r="BS214" s="272"/>
      <c r="BT214" s="272"/>
      <c r="BU214" s="272"/>
      <c r="BV214" s="214" t="s">
        <v>338</v>
      </c>
      <c r="BW214" s="214">
        <v>1</v>
      </c>
      <c r="BX214" s="253" t="s">
        <v>10</v>
      </c>
      <c r="BY214" s="214">
        <f>(D214*F214)*BW214</f>
        <v>4.2</v>
      </c>
      <c r="BZ214" s="204"/>
      <c r="CA214" s="204"/>
      <c r="CB214" s="204"/>
      <c r="CC214" s="200"/>
      <c r="CD214" s="202"/>
      <c r="CE214" s="201"/>
      <c r="CF214" s="200"/>
      <c r="CG214" s="202"/>
      <c r="CH214" s="201"/>
      <c r="CI214" s="201"/>
      <c r="CJ214" s="201"/>
      <c r="CK214" s="198"/>
      <c r="CL214" s="200"/>
      <c r="CM214" s="199"/>
      <c r="CN214" s="198"/>
    </row>
    <row r="215" spans="1:92">
      <c r="A215" s="208"/>
      <c r="B215" s="207"/>
      <c r="C215" s="250" t="s">
        <v>343</v>
      </c>
      <c r="D215" s="214">
        <v>0.8</v>
      </c>
      <c r="E215" s="214" t="s">
        <v>338</v>
      </c>
      <c r="F215" s="214">
        <v>2.5</v>
      </c>
      <c r="G215" s="214"/>
      <c r="H215" s="214"/>
      <c r="I215" s="214"/>
      <c r="J215" s="214"/>
      <c r="K215" s="214"/>
      <c r="L215" s="214"/>
      <c r="M215" s="214"/>
      <c r="N215" s="214"/>
      <c r="O215" s="214"/>
      <c r="P215" s="214"/>
      <c r="Q215" s="214"/>
      <c r="R215" s="214"/>
      <c r="S215" s="214"/>
      <c r="T215" s="214"/>
      <c r="U215" s="214"/>
      <c r="V215" s="214"/>
      <c r="W215" s="273"/>
      <c r="X215" s="273"/>
      <c r="Y215" s="273"/>
      <c r="Z215" s="273"/>
      <c r="AA215" s="273"/>
      <c r="AB215" s="272"/>
      <c r="AC215" s="272"/>
      <c r="AD215" s="272"/>
      <c r="AE215" s="272"/>
      <c r="AF215" s="272"/>
      <c r="AG215" s="272"/>
      <c r="AH215" s="272"/>
      <c r="AI215" s="272"/>
      <c r="AJ215" s="272"/>
      <c r="AK215" s="272"/>
      <c r="AL215" s="272"/>
      <c r="AM215" s="272"/>
      <c r="AN215" s="272"/>
      <c r="AO215" s="272"/>
      <c r="AP215" s="272"/>
      <c r="AQ215" s="272"/>
      <c r="AR215" s="272"/>
      <c r="AS215" s="272"/>
      <c r="AT215" s="272"/>
      <c r="AU215" s="272"/>
      <c r="AV215" s="272"/>
      <c r="AW215" s="272"/>
      <c r="AX215" s="272"/>
      <c r="AY215" s="272"/>
      <c r="AZ215" s="272"/>
      <c r="BA215" s="272"/>
      <c r="BB215" s="272"/>
      <c r="BC215" s="272"/>
      <c r="BD215" s="272"/>
      <c r="BE215" s="272"/>
      <c r="BF215" s="272"/>
      <c r="BG215" s="272"/>
      <c r="BH215" s="272"/>
      <c r="BI215" s="272"/>
      <c r="BJ215" s="272"/>
      <c r="BK215" s="272"/>
      <c r="BL215" s="272"/>
      <c r="BM215" s="272"/>
      <c r="BN215" s="272"/>
      <c r="BO215" s="272"/>
      <c r="BP215" s="272"/>
      <c r="BQ215" s="272"/>
      <c r="BR215" s="272"/>
      <c r="BS215" s="272"/>
      <c r="BT215" s="272"/>
      <c r="BU215" s="272"/>
      <c r="BV215" s="214" t="s">
        <v>338</v>
      </c>
      <c r="BW215" s="266">
        <v>3</v>
      </c>
      <c r="BX215" s="253" t="s">
        <v>10</v>
      </c>
      <c r="BY215" s="214">
        <f>(D215*F215)*BW215</f>
        <v>6</v>
      </c>
      <c r="BZ215" s="204"/>
      <c r="CA215" s="204"/>
      <c r="CB215" s="204"/>
      <c r="CC215" s="200"/>
      <c r="CD215" s="202"/>
      <c r="CE215" s="201"/>
      <c r="CF215" s="200"/>
      <c r="CG215" s="202"/>
      <c r="CH215" s="201"/>
      <c r="CI215" s="201"/>
      <c r="CJ215" s="201"/>
      <c r="CK215" s="198"/>
      <c r="CL215" s="200"/>
      <c r="CM215" s="199"/>
      <c r="CN215" s="198"/>
    </row>
    <row r="216" spans="1:92">
      <c r="A216" s="208"/>
      <c r="B216" s="207"/>
      <c r="C216" s="250" t="s">
        <v>342</v>
      </c>
      <c r="D216" s="214">
        <v>1.1000000000000001</v>
      </c>
      <c r="E216" s="214" t="s">
        <v>338</v>
      </c>
      <c r="F216" s="214">
        <v>1</v>
      </c>
      <c r="G216" s="214"/>
      <c r="H216" s="214"/>
      <c r="I216" s="214"/>
      <c r="J216" s="214"/>
      <c r="K216" s="214"/>
      <c r="L216" s="214"/>
      <c r="M216" s="214"/>
      <c r="N216" s="214"/>
      <c r="O216" s="214"/>
      <c r="P216" s="214"/>
      <c r="Q216" s="214"/>
      <c r="R216" s="214"/>
      <c r="S216" s="214"/>
      <c r="T216" s="214"/>
      <c r="U216" s="214"/>
      <c r="V216" s="214"/>
      <c r="W216" s="273"/>
      <c r="X216" s="273"/>
      <c r="Y216" s="273"/>
      <c r="Z216" s="273"/>
      <c r="AA216" s="273"/>
      <c r="AB216" s="272"/>
      <c r="AC216" s="272"/>
      <c r="AD216" s="272"/>
      <c r="AE216" s="272"/>
      <c r="AF216" s="272"/>
      <c r="AG216" s="272"/>
      <c r="AH216" s="272"/>
      <c r="AI216" s="272"/>
      <c r="AJ216" s="272"/>
      <c r="AK216" s="272"/>
      <c r="AL216" s="272"/>
      <c r="AM216" s="272"/>
      <c r="AN216" s="272"/>
      <c r="AO216" s="272"/>
      <c r="AP216" s="272"/>
      <c r="AQ216" s="272"/>
      <c r="AR216" s="272"/>
      <c r="AS216" s="272"/>
      <c r="AT216" s="272"/>
      <c r="AU216" s="272"/>
      <c r="AV216" s="272"/>
      <c r="AW216" s="272"/>
      <c r="AX216" s="272"/>
      <c r="AY216" s="272"/>
      <c r="AZ216" s="272"/>
      <c r="BA216" s="272"/>
      <c r="BB216" s="272"/>
      <c r="BC216" s="272"/>
      <c r="BD216" s="272"/>
      <c r="BE216" s="272"/>
      <c r="BF216" s="272"/>
      <c r="BG216" s="272"/>
      <c r="BH216" s="272"/>
      <c r="BI216" s="272"/>
      <c r="BJ216" s="272"/>
      <c r="BK216" s="272"/>
      <c r="BL216" s="272"/>
      <c r="BM216" s="272"/>
      <c r="BN216" s="272"/>
      <c r="BO216" s="272"/>
      <c r="BP216" s="272"/>
      <c r="BQ216" s="272"/>
      <c r="BR216" s="272"/>
      <c r="BS216" s="272"/>
      <c r="BT216" s="272"/>
      <c r="BU216" s="272"/>
      <c r="BV216" s="214" t="s">
        <v>338</v>
      </c>
      <c r="BW216" s="214">
        <v>7</v>
      </c>
      <c r="BX216" s="253" t="s">
        <v>10</v>
      </c>
      <c r="BY216" s="214">
        <f>(D216*F216)*BW216</f>
        <v>7.7000000000000011</v>
      </c>
      <c r="BZ216" s="204"/>
      <c r="CA216" s="204"/>
      <c r="CB216" s="204"/>
      <c r="CC216" s="200"/>
      <c r="CD216" s="202"/>
      <c r="CE216" s="201"/>
      <c r="CF216" s="200"/>
      <c r="CG216" s="202"/>
      <c r="CH216" s="201"/>
      <c r="CI216" s="201"/>
      <c r="CJ216" s="201"/>
      <c r="CK216" s="198"/>
      <c r="CL216" s="200"/>
      <c r="CM216" s="199"/>
      <c r="CN216" s="198"/>
    </row>
    <row r="217" spans="1:92">
      <c r="A217" s="208"/>
      <c r="B217" s="207"/>
      <c r="C217" s="250" t="s">
        <v>354</v>
      </c>
      <c r="D217" s="214">
        <v>1.3</v>
      </c>
      <c r="E217" s="214" t="s">
        <v>338</v>
      </c>
      <c r="F217" s="214">
        <v>1.5</v>
      </c>
      <c r="G217" s="214"/>
      <c r="H217" s="214"/>
      <c r="I217" s="214"/>
      <c r="J217" s="214"/>
      <c r="K217" s="214"/>
      <c r="L217" s="214"/>
      <c r="M217" s="214"/>
      <c r="N217" s="214"/>
      <c r="O217" s="214"/>
      <c r="P217" s="214"/>
      <c r="Q217" s="214"/>
      <c r="R217" s="214"/>
      <c r="S217" s="214"/>
      <c r="T217" s="214"/>
      <c r="U217" s="214"/>
      <c r="V217" s="214"/>
      <c r="W217" s="273"/>
      <c r="X217" s="273"/>
      <c r="Y217" s="273"/>
      <c r="Z217" s="273"/>
      <c r="AA217" s="273"/>
      <c r="AB217" s="272"/>
      <c r="AC217" s="272"/>
      <c r="AD217" s="272"/>
      <c r="AE217" s="272"/>
      <c r="AF217" s="272"/>
      <c r="AG217" s="272"/>
      <c r="AH217" s="272"/>
      <c r="AI217" s="272"/>
      <c r="AJ217" s="272"/>
      <c r="AK217" s="272"/>
      <c r="AL217" s="272"/>
      <c r="AM217" s="272"/>
      <c r="AN217" s="272"/>
      <c r="AO217" s="272"/>
      <c r="AP217" s="272"/>
      <c r="AQ217" s="272"/>
      <c r="AR217" s="272"/>
      <c r="AS217" s="272"/>
      <c r="AT217" s="272"/>
      <c r="AU217" s="272"/>
      <c r="AV217" s="272"/>
      <c r="AW217" s="272"/>
      <c r="AX217" s="272"/>
      <c r="AY217" s="272"/>
      <c r="AZ217" s="272"/>
      <c r="BA217" s="272"/>
      <c r="BB217" s="272"/>
      <c r="BC217" s="272"/>
      <c r="BD217" s="272"/>
      <c r="BE217" s="272"/>
      <c r="BF217" s="272"/>
      <c r="BG217" s="272"/>
      <c r="BH217" s="272"/>
      <c r="BI217" s="272"/>
      <c r="BJ217" s="272"/>
      <c r="BK217" s="272"/>
      <c r="BL217" s="272"/>
      <c r="BM217" s="272"/>
      <c r="BN217" s="272"/>
      <c r="BO217" s="272"/>
      <c r="BP217" s="272"/>
      <c r="BQ217" s="272"/>
      <c r="BR217" s="272"/>
      <c r="BS217" s="272"/>
      <c r="BT217" s="272"/>
      <c r="BU217" s="272"/>
      <c r="BV217" s="214" t="s">
        <v>338</v>
      </c>
      <c r="BW217" s="214">
        <v>1</v>
      </c>
      <c r="BX217" s="253" t="s">
        <v>10</v>
      </c>
      <c r="BY217" s="214">
        <f>(D217*F217)*BW217</f>
        <v>1.9500000000000002</v>
      </c>
      <c r="BZ217" s="204"/>
      <c r="CA217" s="204"/>
      <c r="CB217" s="204"/>
      <c r="CC217" s="200"/>
      <c r="CD217" s="202"/>
      <c r="CE217" s="201"/>
      <c r="CF217" s="200"/>
      <c r="CG217" s="202"/>
      <c r="CH217" s="201"/>
      <c r="CI217" s="201"/>
      <c r="CJ217" s="201"/>
      <c r="CK217" s="198"/>
      <c r="CL217" s="200"/>
      <c r="CM217" s="199"/>
      <c r="CN217" s="198"/>
    </row>
    <row r="218" spans="1:92" ht="15" customHeight="1">
      <c r="A218" s="208"/>
      <c r="B218" s="207"/>
      <c r="C218" s="250" t="s">
        <v>341</v>
      </c>
      <c r="D218" s="214">
        <v>1.4</v>
      </c>
      <c r="E218" s="214" t="s">
        <v>338</v>
      </c>
      <c r="F218" s="214">
        <v>1</v>
      </c>
      <c r="G218" s="271"/>
      <c r="H218" s="271"/>
      <c r="I218" s="271"/>
      <c r="J218" s="270"/>
      <c r="K218" s="270"/>
      <c r="L218" s="270"/>
      <c r="M218" s="270"/>
      <c r="N218" s="270"/>
      <c r="O218" s="270"/>
      <c r="P218" s="270"/>
      <c r="Q218" s="270"/>
      <c r="R218" s="270"/>
      <c r="S218" s="270"/>
      <c r="T218" s="270"/>
      <c r="U218" s="270"/>
      <c r="V218" s="270"/>
      <c r="W218" s="270"/>
      <c r="X218" s="270"/>
      <c r="Y218" s="270"/>
      <c r="Z218" s="270"/>
      <c r="AA218" s="270"/>
      <c r="AB218" s="270"/>
      <c r="AC218" s="270"/>
      <c r="AD218" s="270"/>
      <c r="AE218" s="270"/>
      <c r="AF218" s="270"/>
      <c r="AG218" s="270"/>
      <c r="AH218" s="270"/>
      <c r="AI218" s="270"/>
      <c r="AJ218" s="270"/>
      <c r="AK218" s="270"/>
      <c r="AL218" s="270"/>
      <c r="AM218" s="270"/>
      <c r="AN218" s="270"/>
      <c r="AO218" s="270"/>
      <c r="AP218" s="270"/>
      <c r="AQ218" s="270"/>
      <c r="AR218" s="270"/>
      <c r="AS218" s="270"/>
      <c r="AT218" s="270"/>
      <c r="AU218" s="270"/>
      <c r="AV218" s="270"/>
      <c r="AW218" s="270"/>
      <c r="AX218" s="270"/>
      <c r="AY218" s="270"/>
      <c r="AZ218" s="270"/>
      <c r="BA218" s="270"/>
      <c r="BB218" s="270"/>
      <c r="BC218" s="270"/>
      <c r="BD218" s="270"/>
      <c r="BE218" s="270"/>
      <c r="BF218" s="270"/>
      <c r="BG218" s="270"/>
      <c r="BH218" s="270"/>
      <c r="BI218" s="270"/>
      <c r="BJ218" s="270"/>
      <c r="BK218" s="270"/>
      <c r="BL218" s="270"/>
      <c r="BM218" s="270"/>
      <c r="BN218" s="270"/>
      <c r="BO218" s="270"/>
      <c r="BP218" s="270"/>
      <c r="BQ218" s="270"/>
      <c r="BR218" s="270"/>
      <c r="BS218" s="270"/>
      <c r="BT218" s="270"/>
      <c r="BU218" s="270"/>
      <c r="BV218" s="214" t="s">
        <v>338</v>
      </c>
      <c r="BW218" s="214">
        <v>2</v>
      </c>
      <c r="BX218" s="253" t="s">
        <v>10</v>
      </c>
      <c r="BY218" s="214">
        <f>(D218*F218)*BW218</f>
        <v>2.8</v>
      </c>
      <c r="BZ218" s="204"/>
      <c r="CA218" s="204"/>
      <c r="CB218" s="204"/>
      <c r="CC218" s="200"/>
      <c r="CD218" s="202"/>
      <c r="CE218" s="201"/>
      <c r="CF218" s="200"/>
      <c r="CG218" s="202"/>
      <c r="CH218" s="201"/>
      <c r="CI218" s="201"/>
      <c r="CJ218" s="201"/>
      <c r="CK218" s="198"/>
      <c r="CL218" s="200"/>
      <c r="CM218" s="199"/>
      <c r="CN218" s="198"/>
    </row>
    <row r="219" spans="1:92" ht="15" customHeight="1">
      <c r="A219" s="208"/>
      <c r="B219" s="207"/>
      <c r="C219" s="250" t="s">
        <v>340</v>
      </c>
      <c r="D219" s="214">
        <v>1.5</v>
      </c>
      <c r="E219" s="214" t="s">
        <v>338</v>
      </c>
      <c r="F219" s="214">
        <v>0.4</v>
      </c>
      <c r="G219" s="271"/>
      <c r="H219" s="271"/>
      <c r="I219" s="271"/>
      <c r="J219" s="270"/>
      <c r="K219" s="270"/>
      <c r="L219" s="270"/>
      <c r="M219" s="270"/>
      <c r="N219" s="270"/>
      <c r="O219" s="270"/>
      <c r="P219" s="270"/>
      <c r="Q219" s="270"/>
      <c r="R219" s="270"/>
      <c r="S219" s="270"/>
      <c r="T219" s="270"/>
      <c r="U219" s="270"/>
      <c r="V219" s="270"/>
      <c r="W219" s="270"/>
      <c r="X219" s="270"/>
      <c r="Y219" s="270"/>
      <c r="Z219" s="270"/>
      <c r="AA219" s="270"/>
      <c r="AB219" s="270"/>
      <c r="AC219" s="270"/>
      <c r="AD219" s="270"/>
      <c r="AE219" s="270"/>
      <c r="AF219" s="270"/>
      <c r="AG219" s="270"/>
      <c r="AH219" s="270"/>
      <c r="AI219" s="270"/>
      <c r="AJ219" s="270"/>
      <c r="AK219" s="270"/>
      <c r="AL219" s="270"/>
      <c r="AM219" s="270"/>
      <c r="AN219" s="270"/>
      <c r="AO219" s="270"/>
      <c r="AP219" s="270"/>
      <c r="AQ219" s="270"/>
      <c r="AR219" s="270"/>
      <c r="AS219" s="270"/>
      <c r="AT219" s="270"/>
      <c r="AU219" s="270"/>
      <c r="AV219" s="270"/>
      <c r="AW219" s="270"/>
      <c r="AX219" s="270"/>
      <c r="AY219" s="270"/>
      <c r="AZ219" s="270"/>
      <c r="BA219" s="270"/>
      <c r="BB219" s="270"/>
      <c r="BC219" s="270"/>
      <c r="BD219" s="270"/>
      <c r="BE219" s="270"/>
      <c r="BF219" s="270"/>
      <c r="BG219" s="270"/>
      <c r="BH219" s="270"/>
      <c r="BI219" s="270"/>
      <c r="BJ219" s="270"/>
      <c r="BK219" s="270"/>
      <c r="BL219" s="270"/>
      <c r="BM219" s="270"/>
      <c r="BN219" s="270"/>
      <c r="BO219" s="270"/>
      <c r="BP219" s="270"/>
      <c r="BQ219" s="270"/>
      <c r="BR219" s="270"/>
      <c r="BS219" s="270"/>
      <c r="BT219" s="270"/>
      <c r="BU219" s="270"/>
      <c r="BV219" s="214" t="s">
        <v>338</v>
      </c>
      <c r="BW219" s="214">
        <v>6</v>
      </c>
      <c r="BX219" s="253" t="s">
        <v>10</v>
      </c>
      <c r="BY219" s="214">
        <f>(D219*F219)*BW219</f>
        <v>3.6000000000000005</v>
      </c>
      <c r="BZ219" s="204"/>
      <c r="CA219" s="204"/>
      <c r="CB219" s="204"/>
      <c r="CC219" s="200"/>
      <c r="CD219" s="202"/>
      <c r="CE219" s="201"/>
      <c r="CF219" s="200"/>
      <c r="CG219" s="202"/>
      <c r="CH219" s="201"/>
      <c r="CI219" s="201"/>
      <c r="CJ219" s="201"/>
      <c r="CK219" s="198"/>
      <c r="CL219" s="200"/>
      <c r="CM219" s="199"/>
      <c r="CN219" s="198"/>
    </row>
    <row r="220" spans="1:92">
      <c r="A220" s="208"/>
      <c r="B220" s="207"/>
      <c r="C220" s="250" t="s">
        <v>339</v>
      </c>
      <c r="D220" s="269">
        <v>1.3</v>
      </c>
      <c r="E220" s="214" t="s">
        <v>338</v>
      </c>
      <c r="F220" s="269">
        <v>0.4</v>
      </c>
      <c r="G220" s="268"/>
      <c r="H220" s="268"/>
      <c r="I220" s="268"/>
      <c r="J220" s="267"/>
      <c r="K220" s="267"/>
      <c r="L220" s="267"/>
      <c r="M220" s="267"/>
      <c r="N220" s="267"/>
      <c r="O220" s="267"/>
      <c r="P220" s="267"/>
      <c r="Q220" s="267"/>
      <c r="R220" s="267"/>
      <c r="S220" s="267"/>
      <c r="T220" s="267"/>
      <c r="U220" s="267"/>
      <c r="V220" s="267"/>
      <c r="W220" s="267"/>
      <c r="X220" s="267"/>
      <c r="Y220" s="267"/>
      <c r="Z220" s="267"/>
      <c r="AA220" s="267"/>
      <c r="AB220" s="267"/>
      <c r="AC220" s="267"/>
      <c r="AD220" s="267"/>
      <c r="AE220" s="267"/>
      <c r="AF220" s="267"/>
      <c r="AG220" s="267"/>
      <c r="AH220" s="267"/>
      <c r="AI220" s="267"/>
      <c r="AJ220" s="267"/>
      <c r="AK220" s="267"/>
      <c r="AL220" s="267"/>
      <c r="AM220" s="267"/>
      <c r="AN220" s="267"/>
      <c r="AO220" s="267"/>
      <c r="AP220" s="267"/>
      <c r="AQ220" s="267"/>
      <c r="AR220" s="267"/>
      <c r="AS220" s="267"/>
      <c r="AT220" s="267"/>
      <c r="AU220" s="267"/>
      <c r="AV220" s="267"/>
      <c r="AW220" s="267"/>
      <c r="AX220" s="267"/>
      <c r="AY220" s="267"/>
      <c r="AZ220" s="267"/>
      <c r="BA220" s="267"/>
      <c r="BB220" s="267"/>
      <c r="BC220" s="267"/>
      <c r="BD220" s="267"/>
      <c r="BE220" s="267"/>
      <c r="BF220" s="267"/>
      <c r="BG220" s="267"/>
      <c r="BH220" s="267"/>
      <c r="BI220" s="267"/>
      <c r="BJ220" s="267"/>
      <c r="BK220" s="267"/>
      <c r="BL220" s="267"/>
      <c r="BM220" s="267"/>
      <c r="BN220" s="267"/>
      <c r="BO220" s="267"/>
      <c r="BP220" s="267"/>
      <c r="BQ220" s="267"/>
      <c r="BR220" s="267"/>
      <c r="BS220" s="267"/>
      <c r="BT220" s="267"/>
      <c r="BU220" s="267"/>
      <c r="BV220" s="214" t="s">
        <v>338</v>
      </c>
      <c r="BW220" s="214">
        <v>8</v>
      </c>
      <c r="BX220" s="253" t="s">
        <v>10</v>
      </c>
      <c r="BY220" s="214">
        <f>(D220*F220)*BW220</f>
        <v>4.16</v>
      </c>
      <c r="BZ220" s="204"/>
      <c r="CA220" s="204"/>
      <c r="CB220" s="204"/>
      <c r="CC220" s="200"/>
      <c r="CD220" s="202"/>
      <c r="CE220" s="201"/>
      <c r="CF220" s="200"/>
      <c r="CG220" s="202"/>
      <c r="CH220" s="201"/>
      <c r="CI220" s="201"/>
      <c r="CJ220" s="201"/>
      <c r="CK220" s="198"/>
      <c r="CL220" s="200"/>
      <c r="CM220" s="199"/>
      <c r="CN220" s="198"/>
    </row>
    <row r="221" spans="1:92">
      <c r="A221" s="208"/>
      <c r="B221" s="207"/>
      <c r="C221" s="221"/>
      <c r="D221" s="220" t="s">
        <v>337</v>
      </c>
      <c r="E221" s="219"/>
      <c r="F221" s="219"/>
      <c r="G221" s="219"/>
      <c r="H221" s="219"/>
      <c r="I221" s="219"/>
      <c r="J221" s="219"/>
      <c r="K221" s="219"/>
      <c r="L221" s="219"/>
      <c r="M221" s="219"/>
      <c r="N221" s="219"/>
      <c r="O221" s="219"/>
      <c r="P221" s="219"/>
      <c r="Q221" s="219"/>
      <c r="R221" s="219"/>
      <c r="S221" s="219"/>
      <c r="T221" s="219"/>
      <c r="U221" s="219"/>
      <c r="V221" s="219"/>
      <c r="W221" s="219"/>
      <c r="X221" s="219"/>
      <c r="Y221" s="219"/>
      <c r="Z221" s="219"/>
      <c r="AA221" s="219"/>
      <c r="AB221" s="219"/>
      <c r="AC221" s="219"/>
      <c r="AD221" s="219"/>
      <c r="AE221" s="219"/>
      <c r="AF221" s="219"/>
      <c r="AG221" s="219"/>
      <c r="AH221" s="219"/>
      <c r="AI221" s="219"/>
      <c r="AJ221" s="219"/>
      <c r="AK221" s="219"/>
      <c r="AL221" s="219"/>
      <c r="AM221" s="219"/>
      <c r="AN221" s="219"/>
      <c r="AO221" s="219"/>
      <c r="AP221" s="219"/>
      <c r="AQ221" s="219"/>
      <c r="AR221" s="219"/>
      <c r="AS221" s="219"/>
      <c r="AT221" s="219"/>
      <c r="AU221" s="219"/>
      <c r="AV221" s="219"/>
      <c r="AW221" s="219"/>
      <c r="AX221" s="219"/>
      <c r="AY221" s="219"/>
      <c r="AZ221" s="219"/>
      <c r="BA221" s="219"/>
      <c r="BB221" s="219"/>
      <c r="BC221" s="219"/>
      <c r="BD221" s="219"/>
      <c r="BE221" s="219"/>
      <c r="BF221" s="219"/>
      <c r="BG221" s="219"/>
      <c r="BH221" s="219"/>
      <c r="BI221" s="219"/>
      <c r="BJ221" s="219"/>
      <c r="BK221" s="219"/>
      <c r="BL221" s="219"/>
      <c r="BM221" s="219"/>
      <c r="BN221" s="219"/>
      <c r="BO221" s="219"/>
      <c r="BP221" s="219"/>
      <c r="BQ221" s="219"/>
      <c r="BR221" s="219"/>
      <c r="BS221" s="219"/>
      <c r="BT221" s="219"/>
      <c r="BU221" s="219"/>
      <c r="BV221" s="219"/>
      <c r="BW221" s="218"/>
      <c r="BX221" s="217" t="s">
        <v>10</v>
      </c>
      <c r="BY221" s="216">
        <f>SUM(BY212:BY220)</f>
        <v>91.35</v>
      </c>
      <c r="BZ221" s="204"/>
      <c r="CA221" s="204"/>
      <c r="CB221" s="204"/>
      <c r="CC221" s="200"/>
      <c r="CD221" s="202"/>
      <c r="CE221" s="201"/>
      <c r="CF221" s="200"/>
      <c r="CG221" s="202"/>
      <c r="CH221" s="201"/>
      <c r="CI221" s="201"/>
      <c r="CJ221" s="201"/>
      <c r="CK221" s="198"/>
      <c r="CL221" s="200"/>
      <c r="CM221" s="199"/>
      <c r="CN221" s="198"/>
    </row>
    <row r="222" spans="1:92">
      <c r="A222" s="208"/>
      <c r="B222" s="207"/>
      <c r="C222" s="221"/>
      <c r="D222" s="220" t="s">
        <v>353</v>
      </c>
      <c r="E222" s="219"/>
      <c r="F222" s="219"/>
      <c r="G222" s="219"/>
      <c r="H222" s="219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  <c r="AA222" s="219"/>
      <c r="AB222" s="219"/>
      <c r="AC222" s="219"/>
      <c r="AD222" s="219"/>
      <c r="AE222" s="219"/>
      <c r="AF222" s="219"/>
      <c r="AG222" s="219"/>
      <c r="AH222" s="219"/>
      <c r="AI222" s="219"/>
      <c r="AJ222" s="219"/>
      <c r="AK222" s="219"/>
      <c r="AL222" s="219"/>
      <c r="AM222" s="219"/>
      <c r="AN222" s="219"/>
      <c r="AO222" s="219"/>
      <c r="AP222" s="219"/>
      <c r="AQ222" s="219"/>
      <c r="AR222" s="219"/>
      <c r="AS222" s="219"/>
      <c r="AT222" s="219"/>
      <c r="AU222" s="219"/>
      <c r="AV222" s="219"/>
      <c r="AW222" s="219"/>
      <c r="AX222" s="219"/>
      <c r="AY222" s="219"/>
      <c r="AZ222" s="219"/>
      <c r="BA222" s="219"/>
      <c r="BB222" s="219"/>
      <c r="BC222" s="219"/>
      <c r="BD222" s="219"/>
      <c r="BE222" s="219"/>
      <c r="BF222" s="219"/>
      <c r="BG222" s="219"/>
      <c r="BH222" s="219"/>
      <c r="BI222" s="219"/>
      <c r="BJ222" s="219"/>
      <c r="BK222" s="219"/>
      <c r="BL222" s="219"/>
      <c r="BM222" s="219"/>
      <c r="BN222" s="219"/>
      <c r="BO222" s="219"/>
      <c r="BP222" s="219"/>
      <c r="BQ222" s="219"/>
      <c r="BR222" s="219"/>
      <c r="BS222" s="219"/>
      <c r="BT222" s="219"/>
      <c r="BU222" s="219"/>
      <c r="BV222" s="219"/>
      <c r="BW222" s="218"/>
      <c r="BX222" s="217" t="s">
        <v>10</v>
      </c>
      <c r="BY222" s="216">
        <f>BY210-BY221</f>
        <v>476.72800000000007</v>
      </c>
      <c r="BZ222" s="204"/>
      <c r="CA222" s="204"/>
      <c r="CB222" s="204"/>
      <c r="CC222" s="200"/>
      <c r="CD222" s="202"/>
      <c r="CE222" s="201"/>
      <c r="CF222" s="200"/>
      <c r="CG222" s="202"/>
      <c r="CH222" s="201"/>
      <c r="CI222" s="201"/>
      <c r="CJ222" s="201"/>
      <c r="CK222" s="198"/>
      <c r="CL222" s="200"/>
      <c r="CM222" s="199"/>
      <c r="CN222" s="198"/>
    </row>
    <row r="223" spans="1:92">
      <c r="A223" s="208"/>
      <c r="B223" s="207"/>
      <c r="C223" s="221"/>
      <c r="D223" s="220" t="s">
        <v>352</v>
      </c>
      <c r="E223" s="219"/>
      <c r="F223" s="219"/>
      <c r="G223" s="219"/>
      <c r="H223" s="219"/>
      <c r="I223" s="219"/>
      <c r="J223" s="219"/>
      <c r="K223" s="219"/>
      <c r="L223" s="219"/>
      <c r="M223" s="219"/>
      <c r="N223" s="219"/>
      <c r="O223" s="219"/>
      <c r="P223" s="219"/>
      <c r="Q223" s="219"/>
      <c r="R223" s="219"/>
      <c r="S223" s="219"/>
      <c r="T223" s="219"/>
      <c r="U223" s="219"/>
      <c r="V223" s="219"/>
      <c r="W223" s="219"/>
      <c r="X223" s="219"/>
      <c r="Y223" s="219"/>
      <c r="Z223" s="219"/>
      <c r="AA223" s="219"/>
      <c r="AB223" s="219"/>
      <c r="AC223" s="219"/>
      <c r="AD223" s="219"/>
      <c r="AE223" s="219"/>
      <c r="AF223" s="219"/>
      <c r="AG223" s="219"/>
      <c r="AH223" s="219"/>
      <c r="AI223" s="219"/>
      <c r="AJ223" s="219"/>
      <c r="AK223" s="219"/>
      <c r="AL223" s="219"/>
      <c r="AM223" s="219"/>
      <c r="AN223" s="219"/>
      <c r="AO223" s="219"/>
      <c r="AP223" s="219"/>
      <c r="AQ223" s="219"/>
      <c r="AR223" s="219"/>
      <c r="AS223" s="219"/>
      <c r="AT223" s="219"/>
      <c r="AU223" s="219"/>
      <c r="AV223" s="219"/>
      <c r="AW223" s="219"/>
      <c r="AX223" s="219"/>
      <c r="AY223" s="219"/>
      <c r="AZ223" s="219"/>
      <c r="BA223" s="219"/>
      <c r="BB223" s="219"/>
      <c r="BC223" s="219"/>
      <c r="BD223" s="219"/>
      <c r="BE223" s="219"/>
      <c r="BF223" s="219"/>
      <c r="BG223" s="219"/>
      <c r="BH223" s="219"/>
      <c r="BI223" s="219"/>
      <c r="BJ223" s="219"/>
      <c r="BK223" s="219"/>
      <c r="BL223" s="219"/>
      <c r="BM223" s="219"/>
      <c r="BN223" s="219"/>
      <c r="BO223" s="219"/>
      <c r="BP223" s="219"/>
      <c r="BQ223" s="219"/>
      <c r="BR223" s="219"/>
      <c r="BS223" s="219"/>
      <c r="BT223" s="219"/>
      <c r="BU223" s="219"/>
      <c r="BV223" s="219"/>
      <c r="BW223" s="218"/>
      <c r="BX223" s="217" t="s">
        <v>10</v>
      </c>
      <c r="BY223" s="216">
        <f>BY222+BY195</f>
        <v>1122.2380000000003</v>
      </c>
      <c r="BZ223" s="204"/>
      <c r="CA223" s="204"/>
      <c r="CB223" s="204"/>
      <c r="CC223" s="200"/>
      <c r="CD223" s="202"/>
      <c r="CE223" s="201"/>
      <c r="CF223" s="200"/>
      <c r="CG223" s="202"/>
      <c r="CH223" s="201"/>
      <c r="CI223" s="201"/>
      <c r="CJ223" s="201"/>
      <c r="CK223" s="198"/>
      <c r="CL223" s="200"/>
      <c r="CM223" s="199"/>
      <c r="CN223" s="198"/>
    </row>
    <row r="224" spans="1:92" ht="28">
      <c r="A224" s="208" t="s">
        <v>87</v>
      </c>
      <c r="B224" s="214">
        <v>88415</v>
      </c>
      <c r="C224" s="206" t="s">
        <v>86</v>
      </c>
      <c r="D224" s="205"/>
      <c r="E224" s="205"/>
      <c r="F224" s="205"/>
      <c r="G224" s="205"/>
      <c r="H224" s="205"/>
      <c r="I224" s="205"/>
      <c r="J224" s="205"/>
      <c r="K224" s="205"/>
      <c r="L224" s="205"/>
      <c r="M224" s="205"/>
      <c r="N224" s="205"/>
      <c r="O224" s="205"/>
      <c r="P224" s="205"/>
      <c r="Q224" s="205"/>
      <c r="R224" s="205"/>
      <c r="S224" s="205"/>
      <c r="T224" s="205"/>
      <c r="U224" s="205"/>
      <c r="V224" s="205"/>
      <c r="W224" s="205"/>
      <c r="X224" s="205"/>
      <c r="Y224" s="205"/>
      <c r="Z224" s="205"/>
      <c r="AA224" s="205"/>
      <c r="AB224" s="205"/>
      <c r="AC224" s="205"/>
      <c r="AD224" s="205"/>
      <c r="AE224" s="205"/>
      <c r="AF224" s="205"/>
      <c r="AG224" s="205"/>
      <c r="AH224" s="205"/>
      <c r="AI224" s="205"/>
      <c r="AJ224" s="205"/>
      <c r="AK224" s="205"/>
      <c r="AL224" s="205"/>
      <c r="AM224" s="205"/>
      <c r="AN224" s="205"/>
      <c r="AO224" s="205"/>
      <c r="AP224" s="205"/>
      <c r="AQ224" s="205"/>
      <c r="AR224" s="205"/>
      <c r="AS224" s="205"/>
      <c r="AT224" s="205"/>
      <c r="AU224" s="205"/>
      <c r="AV224" s="205"/>
      <c r="AW224" s="205"/>
      <c r="AX224" s="205"/>
      <c r="AY224" s="205"/>
      <c r="AZ224" s="205"/>
      <c r="BA224" s="205"/>
      <c r="BB224" s="205"/>
      <c r="BC224" s="205"/>
      <c r="BD224" s="205"/>
      <c r="BE224" s="205"/>
      <c r="BF224" s="205"/>
      <c r="BG224" s="205"/>
      <c r="BH224" s="205"/>
      <c r="BI224" s="205"/>
      <c r="BJ224" s="205"/>
      <c r="BK224" s="205"/>
      <c r="BL224" s="205"/>
      <c r="BM224" s="205"/>
      <c r="BN224" s="205"/>
      <c r="BO224" s="205"/>
      <c r="BP224" s="205"/>
      <c r="BQ224" s="205"/>
      <c r="BR224" s="205"/>
      <c r="BS224" s="205"/>
      <c r="BT224" s="205"/>
      <c r="BU224" s="205"/>
      <c r="BV224" s="205"/>
      <c r="BW224" s="205"/>
      <c r="BX224" s="205"/>
      <c r="BY224" s="205"/>
      <c r="BZ224" s="204"/>
      <c r="CA224" s="204"/>
      <c r="CB224" s="204"/>
      <c r="CC224" s="200"/>
      <c r="CD224" s="202"/>
      <c r="CE224" s="201"/>
      <c r="CF224" s="200"/>
      <c r="CG224" s="202"/>
      <c r="CH224" s="201"/>
      <c r="CI224" s="201"/>
      <c r="CJ224" s="201"/>
      <c r="CK224" s="198">
        <f>TRUNC(AL224*CJ224)+0</f>
        <v>0</v>
      </c>
      <c r="CL224" s="200"/>
      <c r="CM224" s="199">
        <f>TRUNC(CL224*AK224,2)</f>
        <v>0</v>
      </c>
      <c r="CN224" s="198">
        <f>TRUNC(CM224*AL224)+0</f>
        <v>0</v>
      </c>
    </row>
    <row r="225" spans="1:92">
      <c r="A225" s="208"/>
      <c r="B225" s="214"/>
      <c r="C225" s="250" t="s">
        <v>351</v>
      </c>
      <c r="D225" s="214">
        <v>4.51</v>
      </c>
      <c r="E225" s="214" t="s">
        <v>338</v>
      </c>
      <c r="F225" s="214">
        <v>5.3</v>
      </c>
      <c r="G225" s="266" t="s">
        <v>310</v>
      </c>
      <c r="H225" s="214">
        <v>11</v>
      </c>
      <c r="I225" s="214" t="s">
        <v>338</v>
      </c>
      <c r="J225" s="214">
        <v>0.6</v>
      </c>
      <c r="K225" s="214" t="s">
        <v>310</v>
      </c>
      <c r="L225" s="214">
        <v>11</v>
      </c>
      <c r="M225" s="214" t="s">
        <v>338</v>
      </c>
      <c r="N225" s="214">
        <v>0.6</v>
      </c>
      <c r="O225" s="214" t="s">
        <v>310</v>
      </c>
      <c r="P225" s="214">
        <v>5.45</v>
      </c>
      <c r="Q225" s="214" t="s">
        <v>338</v>
      </c>
      <c r="R225" s="214">
        <v>0.6</v>
      </c>
      <c r="S225" s="214" t="s">
        <v>310</v>
      </c>
      <c r="T225" s="214">
        <v>5.45</v>
      </c>
      <c r="U225" s="214" t="s">
        <v>338</v>
      </c>
      <c r="V225" s="214">
        <v>0.6</v>
      </c>
      <c r="W225" s="214" t="s">
        <v>310</v>
      </c>
      <c r="X225" s="214">
        <v>6.6</v>
      </c>
      <c r="Y225" s="214" t="s">
        <v>338</v>
      </c>
      <c r="Z225" s="214">
        <v>0.6</v>
      </c>
      <c r="AA225" s="214" t="s">
        <v>310</v>
      </c>
      <c r="AB225" s="214">
        <v>6.6</v>
      </c>
      <c r="AC225" s="214" t="s">
        <v>338</v>
      </c>
      <c r="AD225" s="214">
        <v>0.6</v>
      </c>
      <c r="AE225" s="214" t="s">
        <v>310</v>
      </c>
      <c r="AF225" s="214">
        <v>0.3</v>
      </c>
      <c r="AG225" s="214" t="s">
        <v>338</v>
      </c>
      <c r="AH225" s="214">
        <v>0.6</v>
      </c>
      <c r="AI225" s="214" t="s">
        <v>310</v>
      </c>
      <c r="AJ225" s="214">
        <v>0.3</v>
      </c>
      <c r="AK225" s="214" t="s">
        <v>338</v>
      </c>
      <c r="AL225" s="214">
        <v>0.6</v>
      </c>
      <c r="AM225" s="214" t="s">
        <v>310</v>
      </c>
      <c r="AN225" s="214">
        <v>5.75</v>
      </c>
      <c r="AO225" s="214" t="s">
        <v>338</v>
      </c>
      <c r="AP225" s="214">
        <v>5.3</v>
      </c>
      <c r="AQ225" s="214" t="s">
        <v>310</v>
      </c>
      <c r="AR225" s="214">
        <v>0.9</v>
      </c>
      <c r="AS225" s="214" t="s">
        <v>338</v>
      </c>
      <c r="AT225" s="214">
        <v>4.4000000000000004</v>
      </c>
      <c r="AU225" s="214" t="s">
        <v>310</v>
      </c>
      <c r="AV225" s="214">
        <v>1.45</v>
      </c>
      <c r="AW225" s="214" t="s">
        <v>338</v>
      </c>
      <c r="AX225" s="214">
        <v>4.4000000000000004</v>
      </c>
      <c r="AY225" s="214" t="s">
        <v>310</v>
      </c>
      <c r="AZ225" s="214">
        <v>5.25</v>
      </c>
      <c r="BA225" s="214" t="s">
        <v>338</v>
      </c>
      <c r="BB225" s="214">
        <v>4.4000000000000004</v>
      </c>
      <c r="BC225" s="214" t="s">
        <v>310</v>
      </c>
      <c r="BD225" s="214">
        <v>1.45</v>
      </c>
      <c r="BE225" s="214" t="s">
        <v>338</v>
      </c>
      <c r="BF225" s="214">
        <v>4.4000000000000004</v>
      </c>
      <c r="BG225" s="214" t="s">
        <v>310</v>
      </c>
      <c r="BH225" s="214">
        <v>2.0499999999999998</v>
      </c>
      <c r="BI225" s="214" t="s">
        <v>338</v>
      </c>
      <c r="BJ225" s="214">
        <v>4.4000000000000004</v>
      </c>
      <c r="BK225" s="214" t="s">
        <v>310</v>
      </c>
      <c r="BL225" s="214">
        <v>1.45</v>
      </c>
      <c r="BM225" s="214" t="s">
        <v>338</v>
      </c>
      <c r="BN225" s="214">
        <v>4.4000000000000004</v>
      </c>
      <c r="BO225" s="214" t="s">
        <v>310</v>
      </c>
      <c r="BP225" s="214">
        <v>5.25</v>
      </c>
      <c r="BQ225" s="214" t="s">
        <v>338</v>
      </c>
      <c r="BR225" s="214">
        <v>4.4000000000000004</v>
      </c>
      <c r="BS225" s="214" t="s">
        <v>310</v>
      </c>
      <c r="BT225" s="214">
        <v>7.12</v>
      </c>
      <c r="BU225" s="214" t="s">
        <v>338</v>
      </c>
      <c r="BV225" s="214">
        <v>2.1</v>
      </c>
      <c r="BW225" s="214"/>
      <c r="BX225" s="214" t="s">
        <v>10</v>
      </c>
      <c r="BY225" s="214">
        <f>D225*F225+H225*J225+L225*N225+P225*R225+T225*V225+X225*Z225+AB225*AD225+AF225*AH225+AJ225*AL225+AN225*AP225+AR225*AT225+AV225*AX225+AZ225*BB225+BD225*BF225+BH225*BJ225+BL225*BN225+BP225*BR225+BT225*BV225</f>
        <v>175.67</v>
      </c>
      <c r="BZ225" s="204"/>
      <c r="CA225" s="204"/>
      <c r="CB225" s="204"/>
      <c r="CC225" s="200"/>
      <c r="CD225" s="202"/>
      <c r="CE225" s="201"/>
      <c r="CF225" s="200"/>
      <c r="CG225" s="202"/>
      <c r="CH225" s="201"/>
      <c r="CI225" s="201"/>
      <c r="CJ225" s="201"/>
      <c r="CK225" s="198"/>
      <c r="CL225" s="200"/>
      <c r="CM225" s="199"/>
      <c r="CN225" s="198"/>
    </row>
    <row r="226" spans="1:92">
      <c r="A226" s="208"/>
      <c r="B226" s="214"/>
      <c r="C226" s="250" t="s">
        <v>350</v>
      </c>
      <c r="D226" s="214">
        <v>5.0999999999999996</v>
      </c>
      <c r="E226" s="214" t="s">
        <v>338</v>
      </c>
      <c r="F226" s="214">
        <v>5.3</v>
      </c>
      <c r="G226" s="214" t="s">
        <v>310</v>
      </c>
      <c r="H226" s="214">
        <v>7.05</v>
      </c>
      <c r="I226" s="214" t="s">
        <v>338</v>
      </c>
      <c r="J226" s="214">
        <v>5.3</v>
      </c>
      <c r="K226" s="214" t="s">
        <v>310</v>
      </c>
      <c r="L226" s="214">
        <v>5.85</v>
      </c>
      <c r="M226" s="214" t="s">
        <v>338</v>
      </c>
      <c r="N226" s="214">
        <v>0.6</v>
      </c>
      <c r="O226" s="214" t="s">
        <v>310</v>
      </c>
      <c r="P226" s="214">
        <v>5.85</v>
      </c>
      <c r="Q226" s="214" t="s">
        <v>338</v>
      </c>
      <c r="R226" s="214">
        <v>1.6</v>
      </c>
      <c r="S226" s="214"/>
      <c r="T226" s="214"/>
      <c r="U226" s="214"/>
      <c r="V226" s="214"/>
      <c r="W226" s="214"/>
      <c r="X226" s="214"/>
      <c r="Y226" s="214"/>
      <c r="Z226" s="214"/>
      <c r="AA226" s="214"/>
      <c r="AB226" s="214"/>
      <c r="AC226" s="214"/>
      <c r="AD226" s="214"/>
      <c r="AE226" s="214"/>
      <c r="AF226" s="214"/>
      <c r="AG226" s="214"/>
      <c r="AH226" s="214"/>
      <c r="AI226" s="214"/>
      <c r="AJ226" s="214"/>
      <c r="AK226" s="214"/>
      <c r="AL226" s="214"/>
      <c r="AM226" s="214"/>
      <c r="AN226" s="214"/>
      <c r="AO226" s="214"/>
      <c r="AP226" s="214"/>
      <c r="AQ226" s="214"/>
      <c r="AR226" s="214"/>
      <c r="AS226" s="214"/>
      <c r="AT226" s="214"/>
      <c r="AU226" s="214"/>
      <c r="AV226" s="214"/>
      <c r="AW226" s="214"/>
      <c r="AX226" s="214"/>
      <c r="AY226" s="214"/>
      <c r="AZ226" s="214"/>
      <c r="BA226" s="214"/>
      <c r="BB226" s="214"/>
      <c r="BC226" s="214"/>
      <c r="BD226" s="214"/>
      <c r="BE226" s="214"/>
      <c r="BF226" s="214"/>
      <c r="BG226" s="214"/>
      <c r="BH226" s="214"/>
      <c r="BI226" s="214"/>
      <c r="BJ226" s="214"/>
      <c r="BK226" s="214"/>
      <c r="BL226" s="214"/>
      <c r="BM226" s="214"/>
      <c r="BN226" s="214"/>
      <c r="BO226" s="214"/>
      <c r="BP226" s="214"/>
      <c r="BQ226" s="214"/>
      <c r="BR226" s="214"/>
      <c r="BS226" s="214"/>
      <c r="BT226" s="214"/>
      <c r="BU226" s="214"/>
      <c r="BV226" s="214"/>
      <c r="BW226" s="214"/>
      <c r="BX226" s="214" t="s">
        <v>10</v>
      </c>
      <c r="BY226" s="214">
        <f>D226*F226+H226*J226+L226*N226+P226*R226+T226*V226+X226*Z226+AB226*AD226+AF226*AH226+AJ226*AL226+AN226*AP226+AR226*AT226+AV226*AX226+AZ226*BB226+BD226*BF226+BH226*BJ226+BL226*BN226+BP226*BR226+BT226*BV226</f>
        <v>77.265000000000001</v>
      </c>
      <c r="BZ226" s="204"/>
      <c r="CA226" s="204"/>
      <c r="CB226" s="204"/>
      <c r="CC226" s="200"/>
      <c r="CD226" s="202"/>
      <c r="CE226" s="201"/>
      <c r="CF226" s="200"/>
      <c r="CG226" s="202"/>
      <c r="CH226" s="201"/>
      <c r="CI226" s="201"/>
      <c r="CJ226" s="201"/>
      <c r="CK226" s="198"/>
      <c r="CL226" s="200"/>
      <c r="CM226" s="199"/>
      <c r="CN226" s="198"/>
    </row>
    <row r="227" spans="1:92">
      <c r="A227" s="208"/>
      <c r="B227" s="214"/>
      <c r="C227" s="250" t="s">
        <v>349</v>
      </c>
      <c r="D227" s="214">
        <v>1.3</v>
      </c>
      <c r="E227" s="214" t="s">
        <v>338</v>
      </c>
      <c r="F227" s="214">
        <v>4.4000000000000004</v>
      </c>
      <c r="G227" s="214" t="s">
        <v>310</v>
      </c>
      <c r="H227" s="214">
        <v>1.1000000000000001</v>
      </c>
      <c r="I227" s="214" t="s">
        <v>338</v>
      </c>
      <c r="J227" s="214">
        <v>4.4000000000000004</v>
      </c>
      <c r="K227" s="214" t="s">
        <v>310</v>
      </c>
      <c r="L227" s="214">
        <v>9.9</v>
      </c>
      <c r="M227" s="214" t="s">
        <v>338</v>
      </c>
      <c r="N227" s="214">
        <v>4.4000000000000004</v>
      </c>
      <c r="O227" s="214" t="s">
        <v>310</v>
      </c>
      <c r="P227" s="214">
        <v>1.1000000000000001</v>
      </c>
      <c r="Q227" s="214" t="s">
        <v>338</v>
      </c>
      <c r="R227" s="214">
        <v>4.4000000000000004</v>
      </c>
      <c r="S227" s="214" t="s">
        <v>310</v>
      </c>
      <c r="T227" s="214">
        <v>1.45</v>
      </c>
      <c r="U227" s="214" t="s">
        <v>338</v>
      </c>
      <c r="V227" s="214">
        <v>4.4000000000000004</v>
      </c>
      <c r="W227" s="214" t="s">
        <v>310</v>
      </c>
      <c r="X227" s="214">
        <v>14.11</v>
      </c>
      <c r="Y227" s="214" t="s">
        <v>338</v>
      </c>
      <c r="Z227" s="214">
        <v>2.2000000000000002</v>
      </c>
      <c r="AA227" s="214" t="s">
        <v>310</v>
      </c>
      <c r="AB227" s="214">
        <v>14.11</v>
      </c>
      <c r="AC227" s="214" t="s">
        <v>338</v>
      </c>
      <c r="AD227" s="214">
        <v>2.2000000000000002</v>
      </c>
      <c r="AE227" s="214"/>
      <c r="AF227" s="214"/>
      <c r="AG227" s="214"/>
      <c r="AH227" s="214"/>
      <c r="AI227" s="214"/>
      <c r="AJ227" s="214"/>
      <c r="AK227" s="214"/>
      <c r="AL227" s="214"/>
      <c r="AM227" s="214"/>
      <c r="AN227" s="214"/>
      <c r="AO227" s="214"/>
      <c r="AP227" s="214"/>
      <c r="AQ227" s="214"/>
      <c r="AR227" s="214"/>
      <c r="AS227" s="214"/>
      <c r="AT227" s="214"/>
      <c r="AU227" s="214"/>
      <c r="AV227" s="214"/>
      <c r="AW227" s="214"/>
      <c r="AX227" s="214"/>
      <c r="AY227" s="214"/>
      <c r="AZ227" s="214"/>
      <c r="BA227" s="214"/>
      <c r="BB227" s="214"/>
      <c r="BC227" s="214"/>
      <c r="BD227" s="214"/>
      <c r="BE227" s="214"/>
      <c r="BF227" s="214"/>
      <c r="BG227" s="214"/>
      <c r="BH227" s="214"/>
      <c r="BI227" s="214"/>
      <c r="BJ227" s="214"/>
      <c r="BK227" s="214"/>
      <c r="BL227" s="214"/>
      <c r="BM227" s="214"/>
      <c r="BN227" s="214"/>
      <c r="BO227" s="214"/>
      <c r="BP227" s="214"/>
      <c r="BQ227" s="214"/>
      <c r="BR227" s="214"/>
      <c r="BS227" s="214"/>
      <c r="BT227" s="214"/>
      <c r="BU227" s="214"/>
      <c r="BV227" s="214"/>
      <c r="BW227" s="214"/>
      <c r="BX227" s="214" t="s">
        <v>10</v>
      </c>
      <c r="BY227" s="214">
        <f>D227*F227+H227*J227+L227*N227+P227*R227+T227*V227+X227*Z227+AB227*AD227+AF227*AH227+AJ227*AL227+AN227*AP227+AR227*AT227+AV227*AX227+AZ227*BB227+BD227*BF227+BH227*BJ227+BL227*BN227+BP227*BR227+BT227*BV227</f>
        <v>127.42400000000001</v>
      </c>
      <c r="BZ227" s="204"/>
      <c r="CA227" s="204"/>
      <c r="CB227" s="204"/>
      <c r="CC227" s="200"/>
      <c r="CD227" s="202"/>
      <c r="CE227" s="201"/>
      <c r="CF227" s="200"/>
      <c r="CG227" s="202"/>
      <c r="CH227" s="201"/>
      <c r="CI227" s="201"/>
      <c r="CJ227" s="201"/>
      <c r="CK227" s="198"/>
      <c r="CL227" s="200"/>
      <c r="CM227" s="199"/>
      <c r="CN227" s="198"/>
    </row>
    <row r="228" spans="1:92">
      <c r="A228" s="208"/>
      <c r="B228" s="214"/>
      <c r="C228" s="250" t="s">
        <v>348</v>
      </c>
      <c r="D228" s="214">
        <v>7.91</v>
      </c>
      <c r="E228" s="214" t="s">
        <v>338</v>
      </c>
      <c r="F228" s="214">
        <v>5.3</v>
      </c>
      <c r="G228" s="214" t="s">
        <v>310</v>
      </c>
      <c r="H228" s="214">
        <v>3.21</v>
      </c>
      <c r="I228" s="214" t="s">
        <v>338</v>
      </c>
      <c r="J228" s="214">
        <v>5.3</v>
      </c>
      <c r="K228" s="214" t="s">
        <v>310</v>
      </c>
      <c r="L228" s="214">
        <v>4.6500000000000004</v>
      </c>
      <c r="M228" s="214" t="s">
        <v>338</v>
      </c>
      <c r="N228" s="214">
        <v>5.3</v>
      </c>
      <c r="O228" s="214" t="s">
        <v>310</v>
      </c>
      <c r="P228" s="214">
        <v>6.35</v>
      </c>
      <c r="Q228" s="214" t="s">
        <v>338</v>
      </c>
      <c r="R228" s="214">
        <v>4.4000000000000004</v>
      </c>
      <c r="S228" s="214" t="s">
        <v>310</v>
      </c>
      <c r="T228" s="214">
        <v>1.45</v>
      </c>
      <c r="U228" s="214" t="s">
        <v>338</v>
      </c>
      <c r="V228" s="214">
        <v>4.4000000000000004</v>
      </c>
      <c r="W228" s="214" t="s">
        <v>310</v>
      </c>
      <c r="X228" s="214">
        <v>2.0499999999999998</v>
      </c>
      <c r="Y228" s="214" t="s">
        <v>338</v>
      </c>
      <c r="Z228" s="214">
        <v>4.4000000000000004</v>
      </c>
      <c r="AA228" s="214" t="s">
        <v>310</v>
      </c>
      <c r="AB228" s="214">
        <v>1.45</v>
      </c>
      <c r="AC228" s="214" t="s">
        <v>338</v>
      </c>
      <c r="AD228" s="214">
        <v>4.4000000000000004</v>
      </c>
      <c r="AE228" s="214" t="s">
        <v>310</v>
      </c>
      <c r="AF228" s="214">
        <v>5.25</v>
      </c>
      <c r="AG228" s="214" t="s">
        <v>338</v>
      </c>
      <c r="AH228" s="214">
        <v>4.4000000000000004</v>
      </c>
      <c r="AI228" s="214" t="s">
        <v>310</v>
      </c>
      <c r="AJ228" s="214">
        <v>33.549999999999997</v>
      </c>
      <c r="AK228" s="214" t="s">
        <v>338</v>
      </c>
      <c r="AL228" s="214">
        <v>2.1</v>
      </c>
      <c r="AM228" s="214" t="s">
        <v>310</v>
      </c>
      <c r="AN228" s="214">
        <v>33.549999999999997</v>
      </c>
      <c r="AO228" s="214" t="s">
        <v>338</v>
      </c>
      <c r="AP228" s="214">
        <v>2.1</v>
      </c>
      <c r="AQ228" s="214"/>
      <c r="AR228" s="214"/>
      <c r="AS228" s="214"/>
      <c r="AT228" s="214"/>
      <c r="AU228" s="214"/>
      <c r="AV228" s="214"/>
      <c r="AW228" s="214"/>
      <c r="AX228" s="214"/>
      <c r="AY228" s="214"/>
      <c r="AZ228" s="214"/>
      <c r="BA228" s="214"/>
      <c r="BB228" s="214"/>
      <c r="BC228" s="214"/>
      <c r="BD228" s="214"/>
      <c r="BE228" s="214"/>
      <c r="BF228" s="214"/>
      <c r="BG228" s="214"/>
      <c r="BH228" s="214"/>
      <c r="BI228" s="214"/>
      <c r="BJ228" s="214"/>
      <c r="BK228" s="214"/>
      <c r="BL228" s="214"/>
      <c r="BM228" s="214"/>
      <c r="BN228" s="214"/>
      <c r="BO228" s="214"/>
      <c r="BP228" s="214"/>
      <c r="BQ228" s="214"/>
      <c r="BR228" s="214"/>
      <c r="BS228" s="214"/>
      <c r="BT228" s="214"/>
      <c r="BU228" s="214"/>
      <c r="BV228" s="214"/>
      <c r="BW228" s="214"/>
      <c r="BX228" s="214" t="s">
        <v>10</v>
      </c>
      <c r="BY228" s="214">
        <f>D228*F228+H228*J228+L228*N228+P228*R228+T228*V228+X228*Z228+AB228*AD228+AF228*AH228+AJ228*AL228+AN228*AP228+AR228*AT228+AV228*AX228+AZ228*BB228+BD228*BF228+BH228*BJ228+BL228*BN228+BP228*BR228+BT228*BV228</f>
        <v>297.31099999999998</v>
      </c>
      <c r="BZ228" s="204"/>
      <c r="CA228" s="204"/>
      <c r="CB228" s="204"/>
      <c r="CC228" s="200"/>
      <c r="CD228" s="202"/>
      <c r="CE228" s="201"/>
      <c r="CF228" s="200"/>
      <c r="CG228" s="202"/>
      <c r="CH228" s="201"/>
      <c r="CI228" s="201"/>
      <c r="CJ228" s="201"/>
      <c r="CK228" s="198"/>
      <c r="CL228" s="200"/>
      <c r="CM228" s="199"/>
      <c r="CN228" s="198"/>
    </row>
    <row r="229" spans="1:92">
      <c r="A229" s="208"/>
      <c r="B229" s="214"/>
      <c r="C229" s="250"/>
      <c r="D229" s="257" t="s">
        <v>347</v>
      </c>
      <c r="E229" s="256"/>
      <c r="F229" s="256"/>
      <c r="G229" s="256"/>
      <c r="H229" s="256"/>
      <c r="I229" s="256"/>
      <c r="J229" s="256"/>
      <c r="K229" s="256"/>
      <c r="L229" s="256"/>
      <c r="M229" s="256"/>
      <c r="N229" s="256"/>
      <c r="O229" s="256"/>
      <c r="P229" s="256"/>
      <c r="Q229" s="256"/>
      <c r="R229" s="256"/>
      <c r="S229" s="256"/>
      <c r="T229" s="256"/>
      <c r="U229" s="256"/>
      <c r="V229" s="256"/>
      <c r="W229" s="256"/>
      <c r="X229" s="256"/>
      <c r="Y229" s="256"/>
      <c r="Z229" s="256"/>
      <c r="AA229" s="256"/>
      <c r="AB229" s="256"/>
      <c r="AC229" s="256"/>
      <c r="AD229" s="256"/>
      <c r="AE229" s="256"/>
      <c r="AF229" s="256"/>
      <c r="AG229" s="256"/>
      <c r="AH229" s="256"/>
      <c r="AI229" s="256"/>
      <c r="AJ229" s="256"/>
      <c r="AK229" s="256"/>
      <c r="AL229" s="256"/>
      <c r="AM229" s="256"/>
      <c r="AN229" s="256"/>
      <c r="AO229" s="256"/>
      <c r="AP229" s="256"/>
      <c r="AQ229" s="256"/>
      <c r="AR229" s="256"/>
      <c r="AS229" s="256"/>
      <c r="AT229" s="256"/>
      <c r="AU229" s="256"/>
      <c r="AV229" s="256"/>
      <c r="AW229" s="256"/>
      <c r="AX229" s="256"/>
      <c r="AY229" s="256"/>
      <c r="AZ229" s="256"/>
      <c r="BA229" s="256"/>
      <c r="BB229" s="256"/>
      <c r="BC229" s="256"/>
      <c r="BD229" s="256"/>
      <c r="BE229" s="256"/>
      <c r="BF229" s="256"/>
      <c r="BG229" s="256"/>
      <c r="BH229" s="256"/>
      <c r="BI229" s="256"/>
      <c r="BJ229" s="256"/>
      <c r="BK229" s="256"/>
      <c r="BL229" s="256"/>
      <c r="BM229" s="256"/>
      <c r="BN229" s="256"/>
      <c r="BO229" s="256"/>
      <c r="BP229" s="256"/>
      <c r="BQ229" s="256"/>
      <c r="BR229" s="256"/>
      <c r="BS229" s="256"/>
      <c r="BT229" s="256"/>
      <c r="BU229" s="256"/>
      <c r="BV229" s="256"/>
      <c r="BW229" s="255"/>
      <c r="BX229" s="253" t="s">
        <v>10</v>
      </c>
      <c r="BY229" s="253">
        <f>SUM(BY225:BY228)</f>
        <v>677.67000000000007</v>
      </c>
      <c r="BZ229" s="204"/>
      <c r="CA229" s="204"/>
      <c r="CB229" s="204"/>
      <c r="CC229" s="200"/>
      <c r="CD229" s="202"/>
      <c r="CE229" s="201"/>
      <c r="CF229" s="200"/>
      <c r="CG229" s="202"/>
      <c r="CH229" s="201"/>
      <c r="CI229" s="201"/>
      <c r="CJ229" s="201"/>
      <c r="CK229" s="198"/>
      <c r="CL229" s="200"/>
      <c r="CM229" s="199"/>
      <c r="CN229" s="198"/>
    </row>
    <row r="230" spans="1:92">
      <c r="A230" s="208"/>
      <c r="B230" s="214"/>
      <c r="D230" s="265" t="s">
        <v>346</v>
      </c>
      <c r="E230" s="264"/>
      <c r="F230" s="264"/>
      <c r="G230" s="264"/>
      <c r="H230" s="264"/>
      <c r="I230" s="264"/>
      <c r="J230" s="264"/>
      <c r="K230" s="264"/>
      <c r="L230" s="264"/>
      <c r="M230" s="264"/>
      <c r="N230" s="264"/>
      <c r="O230" s="264"/>
      <c r="P230" s="264"/>
      <c r="Q230" s="264"/>
      <c r="R230" s="264"/>
      <c r="S230" s="264"/>
      <c r="T230" s="264"/>
      <c r="U230" s="264"/>
      <c r="V230" s="264"/>
      <c r="W230" s="264"/>
      <c r="X230" s="264"/>
      <c r="Y230" s="264"/>
      <c r="Z230" s="264"/>
      <c r="AA230" s="264"/>
      <c r="AB230" s="264"/>
      <c r="AC230" s="264"/>
      <c r="AD230" s="264"/>
      <c r="AE230" s="264"/>
      <c r="AF230" s="264"/>
      <c r="AG230" s="264"/>
      <c r="AH230" s="264"/>
      <c r="AI230" s="264"/>
      <c r="AJ230" s="264"/>
      <c r="AK230" s="264"/>
      <c r="AL230" s="264"/>
      <c r="AM230" s="264"/>
      <c r="AN230" s="264"/>
      <c r="AO230" s="264"/>
      <c r="AP230" s="264"/>
      <c r="AQ230" s="264"/>
      <c r="AR230" s="264"/>
      <c r="AS230" s="264"/>
      <c r="AT230" s="264"/>
      <c r="AU230" s="264"/>
      <c r="AV230" s="264"/>
      <c r="AW230" s="264"/>
      <c r="AX230" s="264"/>
      <c r="AY230" s="264"/>
      <c r="AZ230" s="264"/>
      <c r="BA230" s="264"/>
      <c r="BB230" s="264"/>
      <c r="BC230" s="264"/>
      <c r="BD230" s="264"/>
      <c r="BE230" s="264"/>
      <c r="BF230" s="264"/>
      <c r="BG230" s="264"/>
      <c r="BH230" s="264"/>
      <c r="BI230" s="264"/>
      <c r="BJ230" s="264"/>
      <c r="BK230" s="264"/>
      <c r="BL230" s="264"/>
      <c r="BM230" s="264"/>
      <c r="BN230" s="264"/>
      <c r="BO230" s="264"/>
      <c r="BP230" s="264"/>
      <c r="BQ230" s="264"/>
      <c r="BR230" s="264"/>
      <c r="BS230" s="264"/>
      <c r="BT230" s="264"/>
      <c r="BU230" s="264"/>
      <c r="BV230" s="264"/>
      <c r="BW230" s="263"/>
      <c r="BX230" s="253"/>
      <c r="BY230" s="253"/>
      <c r="BZ230" s="204"/>
      <c r="CA230" s="204"/>
      <c r="CB230" s="204"/>
      <c r="CC230" s="200"/>
      <c r="CD230" s="202"/>
      <c r="CE230" s="201"/>
      <c r="CF230" s="200"/>
      <c r="CG230" s="202"/>
      <c r="CH230" s="201"/>
      <c r="CI230" s="201"/>
      <c r="CJ230" s="201"/>
      <c r="CK230" s="198"/>
      <c r="CL230" s="200"/>
      <c r="CM230" s="199"/>
      <c r="CN230" s="198"/>
    </row>
    <row r="231" spans="1:92">
      <c r="A231" s="208"/>
      <c r="B231" s="214"/>
      <c r="C231" s="250" t="s">
        <v>345</v>
      </c>
      <c r="D231" s="262">
        <v>2.2000000000000002</v>
      </c>
      <c r="E231" s="259" t="s">
        <v>338</v>
      </c>
      <c r="F231" s="259">
        <v>2.5</v>
      </c>
      <c r="G231" s="259"/>
      <c r="H231" s="259"/>
      <c r="I231" s="259"/>
      <c r="J231" s="259"/>
      <c r="K231" s="259"/>
      <c r="L231" s="259"/>
      <c r="M231" s="259"/>
      <c r="N231" s="259"/>
      <c r="O231" s="259"/>
      <c r="P231" s="259"/>
      <c r="Q231" s="259"/>
      <c r="R231" s="259"/>
      <c r="S231" s="259"/>
      <c r="T231" s="259"/>
      <c r="U231" s="259"/>
      <c r="V231" s="259"/>
      <c r="W231" s="261"/>
      <c r="X231" s="261"/>
      <c r="Y231" s="261"/>
      <c r="Z231" s="261"/>
      <c r="AA231" s="261"/>
      <c r="AB231" s="260"/>
      <c r="AC231" s="260"/>
      <c r="AD231" s="260"/>
      <c r="AE231" s="260"/>
      <c r="AF231" s="260"/>
      <c r="AG231" s="260"/>
      <c r="AH231" s="260"/>
      <c r="AI231" s="260"/>
      <c r="AJ231" s="260"/>
      <c r="AK231" s="260"/>
      <c r="AL231" s="260"/>
      <c r="AM231" s="260"/>
      <c r="AN231" s="260"/>
      <c r="AO231" s="260"/>
      <c r="AP231" s="260"/>
      <c r="AQ231" s="260"/>
      <c r="AR231" s="260"/>
      <c r="AS231" s="260"/>
      <c r="AT231" s="260"/>
      <c r="AU231" s="260"/>
      <c r="AV231" s="260"/>
      <c r="AW231" s="260"/>
      <c r="AX231" s="260"/>
      <c r="AY231" s="260"/>
      <c r="AZ231" s="260"/>
      <c r="BA231" s="260"/>
      <c r="BB231" s="260"/>
      <c r="BC231" s="260"/>
      <c r="BD231" s="260"/>
      <c r="BE231" s="260"/>
      <c r="BF231" s="260"/>
      <c r="BG231" s="260"/>
      <c r="BH231" s="260"/>
      <c r="BI231" s="260"/>
      <c r="BJ231" s="260"/>
      <c r="BK231" s="260"/>
      <c r="BL231" s="260"/>
      <c r="BM231" s="260"/>
      <c r="BN231" s="260"/>
      <c r="BO231" s="260"/>
      <c r="BP231" s="260"/>
      <c r="BQ231" s="260"/>
      <c r="BR231" s="260"/>
      <c r="BS231" s="260"/>
      <c r="BT231" s="260"/>
      <c r="BU231" s="260"/>
      <c r="BV231" s="259" t="s">
        <v>338</v>
      </c>
      <c r="BW231" s="258">
        <v>1</v>
      </c>
      <c r="BX231" s="253" t="s">
        <v>10</v>
      </c>
      <c r="BY231" s="214">
        <f>(D231*F231)*BW231</f>
        <v>5.5</v>
      </c>
      <c r="BZ231" s="204"/>
      <c r="CA231" s="204"/>
      <c r="CB231" s="204"/>
      <c r="CC231" s="200"/>
      <c r="CD231" s="202"/>
      <c r="CE231" s="201"/>
      <c r="CF231" s="200"/>
      <c r="CG231" s="202"/>
      <c r="CH231" s="201"/>
      <c r="CI231" s="201"/>
      <c r="CJ231" s="201"/>
      <c r="CK231" s="198"/>
      <c r="CL231" s="200"/>
      <c r="CM231" s="199"/>
      <c r="CN231" s="198"/>
    </row>
    <row r="232" spans="1:92">
      <c r="A232" s="208"/>
      <c r="B232" s="214"/>
      <c r="C232" s="250" t="s">
        <v>344</v>
      </c>
      <c r="D232" s="262">
        <v>2</v>
      </c>
      <c r="E232" s="259" t="s">
        <v>338</v>
      </c>
      <c r="F232" s="259">
        <v>2.1</v>
      </c>
      <c r="G232" s="259"/>
      <c r="H232" s="259"/>
      <c r="I232" s="259"/>
      <c r="J232" s="259"/>
      <c r="K232" s="259"/>
      <c r="L232" s="259"/>
      <c r="M232" s="259"/>
      <c r="N232" s="259"/>
      <c r="O232" s="259"/>
      <c r="P232" s="259"/>
      <c r="Q232" s="259"/>
      <c r="R232" s="259"/>
      <c r="S232" s="259"/>
      <c r="T232" s="259"/>
      <c r="U232" s="259"/>
      <c r="V232" s="259"/>
      <c r="W232" s="261"/>
      <c r="X232" s="261"/>
      <c r="Y232" s="261"/>
      <c r="Z232" s="261"/>
      <c r="AA232" s="261"/>
      <c r="AB232" s="260"/>
      <c r="AC232" s="260"/>
      <c r="AD232" s="260"/>
      <c r="AE232" s="260"/>
      <c r="AF232" s="260"/>
      <c r="AG232" s="260"/>
      <c r="AH232" s="260"/>
      <c r="AI232" s="260"/>
      <c r="AJ232" s="260"/>
      <c r="AK232" s="260"/>
      <c r="AL232" s="260"/>
      <c r="AM232" s="260"/>
      <c r="AN232" s="260"/>
      <c r="AO232" s="260"/>
      <c r="AP232" s="260"/>
      <c r="AQ232" s="260"/>
      <c r="AR232" s="260"/>
      <c r="AS232" s="260"/>
      <c r="AT232" s="260"/>
      <c r="AU232" s="260"/>
      <c r="AV232" s="260"/>
      <c r="AW232" s="260"/>
      <c r="AX232" s="260"/>
      <c r="AY232" s="260"/>
      <c r="AZ232" s="260"/>
      <c r="BA232" s="260"/>
      <c r="BB232" s="260"/>
      <c r="BC232" s="260"/>
      <c r="BD232" s="260"/>
      <c r="BE232" s="260"/>
      <c r="BF232" s="260"/>
      <c r="BG232" s="260"/>
      <c r="BH232" s="260"/>
      <c r="BI232" s="260"/>
      <c r="BJ232" s="260"/>
      <c r="BK232" s="260"/>
      <c r="BL232" s="260"/>
      <c r="BM232" s="260"/>
      <c r="BN232" s="260"/>
      <c r="BO232" s="260"/>
      <c r="BP232" s="260"/>
      <c r="BQ232" s="260"/>
      <c r="BR232" s="260"/>
      <c r="BS232" s="260"/>
      <c r="BT232" s="260"/>
      <c r="BU232" s="260"/>
      <c r="BV232" s="259" t="s">
        <v>338</v>
      </c>
      <c r="BW232" s="258">
        <v>1</v>
      </c>
      <c r="BX232" s="253" t="s">
        <v>10</v>
      </c>
      <c r="BY232" s="214">
        <f>(D232*F232)*BW232</f>
        <v>4.2</v>
      </c>
      <c r="BZ232" s="204"/>
      <c r="CA232" s="204"/>
      <c r="CB232" s="204"/>
      <c r="CC232" s="200"/>
      <c r="CD232" s="202"/>
      <c r="CE232" s="201"/>
      <c r="CF232" s="200"/>
      <c r="CG232" s="202"/>
      <c r="CH232" s="201"/>
      <c r="CI232" s="201"/>
      <c r="CJ232" s="201"/>
      <c r="CK232" s="198"/>
      <c r="CL232" s="200"/>
      <c r="CM232" s="199"/>
      <c r="CN232" s="198"/>
    </row>
    <row r="233" spans="1:92">
      <c r="A233" s="208"/>
      <c r="B233" s="214"/>
      <c r="C233" s="250" t="s">
        <v>343</v>
      </c>
      <c r="D233" s="262">
        <v>0.8</v>
      </c>
      <c r="E233" s="259" t="s">
        <v>338</v>
      </c>
      <c r="F233" s="259">
        <v>2.5</v>
      </c>
      <c r="G233" s="259"/>
      <c r="H233" s="259"/>
      <c r="I233" s="259"/>
      <c r="J233" s="259"/>
      <c r="K233" s="259"/>
      <c r="L233" s="259"/>
      <c r="M233" s="259"/>
      <c r="N233" s="259"/>
      <c r="O233" s="259"/>
      <c r="P233" s="259"/>
      <c r="Q233" s="259"/>
      <c r="R233" s="259"/>
      <c r="S233" s="259"/>
      <c r="T233" s="259"/>
      <c r="U233" s="259"/>
      <c r="V233" s="259"/>
      <c r="W233" s="261"/>
      <c r="X233" s="261"/>
      <c r="Y233" s="261"/>
      <c r="Z233" s="261"/>
      <c r="AA233" s="261"/>
      <c r="AB233" s="260"/>
      <c r="AC233" s="260"/>
      <c r="AD233" s="260"/>
      <c r="AE233" s="260"/>
      <c r="AF233" s="260"/>
      <c r="AG233" s="260"/>
      <c r="AH233" s="260"/>
      <c r="AI233" s="260"/>
      <c r="AJ233" s="260"/>
      <c r="AK233" s="260"/>
      <c r="AL233" s="260"/>
      <c r="AM233" s="260"/>
      <c r="AN233" s="260"/>
      <c r="AO233" s="260"/>
      <c r="AP233" s="260"/>
      <c r="AQ233" s="260"/>
      <c r="AR233" s="260"/>
      <c r="AS233" s="260"/>
      <c r="AT233" s="260"/>
      <c r="AU233" s="260"/>
      <c r="AV233" s="260"/>
      <c r="AW233" s="260"/>
      <c r="AX233" s="260"/>
      <c r="AY233" s="260"/>
      <c r="AZ233" s="260"/>
      <c r="BA233" s="260"/>
      <c r="BB233" s="260"/>
      <c r="BC233" s="260"/>
      <c r="BD233" s="260"/>
      <c r="BE233" s="260"/>
      <c r="BF233" s="260"/>
      <c r="BG233" s="260"/>
      <c r="BH233" s="260"/>
      <c r="BI233" s="260"/>
      <c r="BJ233" s="260"/>
      <c r="BK233" s="260"/>
      <c r="BL233" s="260"/>
      <c r="BM233" s="260"/>
      <c r="BN233" s="260"/>
      <c r="BO233" s="260"/>
      <c r="BP233" s="260"/>
      <c r="BQ233" s="260"/>
      <c r="BR233" s="260"/>
      <c r="BS233" s="260"/>
      <c r="BT233" s="260"/>
      <c r="BU233" s="260"/>
      <c r="BV233" s="259" t="s">
        <v>338</v>
      </c>
      <c r="BW233" s="258">
        <v>3</v>
      </c>
      <c r="BX233" s="253" t="s">
        <v>10</v>
      </c>
      <c r="BY233" s="214">
        <f>(D233*F233)*BW233</f>
        <v>6</v>
      </c>
      <c r="BZ233" s="204"/>
      <c r="CA233" s="204"/>
      <c r="CB233" s="204"/>
      <c r="CC233" s="200"/>
      <c r="CD233" s="202"/>
      <c r="CE233" s="201"/>
      <c r="CF233" s="200"/>
      <c r="CG233" s="202"/>
      <c r="CH233" s="201"/>
      <c r="CI233" s="201"/>
      <c r="CJ233" s="201"/>
      <c r="CK233" s="198"/>
      <c r="CL233" s="200"/>
      <c r="CM233" s="199"/>
      <c r="CN233" s="198"/>
    </row>
    <row r="234" spans="1:92">
      <c r="A234" s="208"/>
      <c r="B234" s="214"/>
      <c r="C234" s="250" t="s">
        <v>342</v>
      </c>
      <c r="D234" s="262">
        <v>1.1000000000000001</v>
      </c>
      <c r="E234" s="259" t="s">
        <v>338</v>
      </c>
      <c r="F234" s="259">
        <v>1</v>
      </c>
      <c r="G234" s="259"/>
      <c r="H234" s="259"/>
      <c r="I234" s="259"/>
      <c r="J234" s="259"/>
      <c r="K234" s="259"/>
      <c r="L234" s="259"/>
      <c r="M234" s="259"/>
      <c r="N234" s="259"/>
      <c r="O234" s="259"/>
      <c r="P234" s="259"/>
      <c r="Q234" s="259"/>
      <c r="R234" s="259"/>
      <c r="S234" s="259"/>
      <c r="T234" s="259"/>
      <c r="U234" s="259"/>
      <c r="V234" s="259"/>
      <c r="W234" s="261"/>
      <c r="X234" s="261"/>
      <c r="Y234" s="261"/>
      <c r="Z234" s="261"/>
      <c r="AA234" s="261"/>
      <c r="AB234" s="260"/>
      <c r="AC234" s="260"/>
      <c r="AD234" s="260"/>
      <c r="AE234" s="260"/>
      <c r="AF234" s="260"/>
      <c r="AG234" s="260"/>
      <c r="AH234" s="260"/>
      <c r="AI234" s="260"/>
      <c r="AJ234" s="260"/>
      <c r="AK234" s="260"/>
      <c r="AL234" s="260"/>
      <c r="AM234" s="260"/>
      <c r="AN234" s="260"/>
      <c r="AO234" s="260"/>
      <c r="AP234" s="260"/>
      <c r="AQ234" s="260"/>
      <c r="AR234" s="260"/>
      <c r="AS234" s="260"/>
      <c r="AT234" s="260"/>
      <c r="AU234" s="260"/>
      <c r="AV234" s="260"/>
      <c r="AW234" s="260"/>
      <c r="AX234" s="260"/>
      <c r="AY234" s="260"/>
      <c r="AZ234" s="260"/>
      <c r="BA234" s="260"/>
      <c r="BB234" s="260"/>
      <c r="BC234" s="260"/>
      <c r="BD234" s="260"/>
      <c r="BE234" s="260"/>
      <c r="BF234" s="260"/>
      <c r="BG234" s="260"/>
      <c r="BH234" s="260"/>
      <c r="BI234" s="260"/>
      <c r="BJ234" s="260"/>
      <c r="BK234" s="260"/>
      <c r="BL234" s="260"/>
      <c r="BM234" s="260"/>
      <c r="BN234" s="260"/>
      <c r="BO234" s="260"/>
      <c r="BP234" s="260"/>
      <c r="BQ234" s="260"/>
      <c r="BR234" s="260"/>
      <c r="BS234" s="260"/>
      <c r="BT234" s="260"/>
      <c r="BU234" s="260"/>
      <c r="BV234" s="259" t="s">
        <v>338</v>
      </c>
      <c r="BW234" s="258">
        <v>7</v>
      </c>
      <c r="BX234" s="253" t="s">
        <v>10</v>
      </c>
      <c r="BY234" s="214">
        <f>(D234*F234)*BW234</f>
        <v>7.7000000000000011</v>
      </c>
      <c r="BZ234" s="204"/>
      <c r="CA234" s="204"/>
      <c r="CB234" s="204"/>
      <c r="CC234" s="200"/>
      <c r="CD234" s="202"/>
      <c r="CE234" s="201"/>
      <c r="CF234" s="200"/>
      <c r="CG234" s="202"/>
      <c r="CH234" s="201"/>
      <c r="CI234" s="201"/>
      <c r="CJ234" s="201"/>
      <c r="CK234" s="198"/>
      <c r="CL234" s="200"/>
      <c r="CM234" s="199"/>
      <c r="CN234" s="198"/>
    </row>
    <row r="235" spans="1:92">
      <c r="A235" s="208"/>
      <c r="B235" s="214"/>
      <c r="C235" s="250" t="s">
        <v>341</v>
      </c>
      <c r="D235" s="262">
        <v>1.4</v>
      </c>
      <c r="E235" s="259" t="s">
        <v>338</v>
      </c>
      <c r="F235" s="259">
        <v>1</v>
      </c>
      <c r="G235" s="259"/>
      <c r="H235" s="259"/>
      <c r="I235" s="259"/>
      <c r="J235" s="259"/>
      <c r="K235" s="259"/>
      <c r="L235" s="259"/>
      <c r="M235" s="259"/>
      <c r="N235" s="259"/>
      <c r="O235" s="259"/>
      <c r="P235" s="259"/>
      <c r="Q235" s="259"/>
      <c r="R235" s="259"/>
      <c r="S235" s="259"/>
      <c r="T235" s="259"/>
      <c r="U235" s="259"/>
      <c r="V235" s="259"/>
      <c r="W235" s="261"/>
      <c r="X235" s="261"/>
      <c r="Y235" s="261"/>
      <c r="Z235" s="261"/>
      <c r="AA235" s="261"/>
      <c r="AB235" s="260"/>
      <c r="AC235" s="260"/>
      <c r="AD235" s="260"/>
      <c r="AE235" s="260"/>
      <c r="AF235" s="260"/>
      <c r="AG235" s="260"/>
      <c r="AH235" s="260"/>
      <c r="AI235" s="260"/>
      <c r="AJ235" s="260"/>
      <c r="AK235" s="260"/>
      <c r="AL235" s="260"/>
      <c r="AM235" s="260"/>
      <c r="AN235" s="260"/>
      <c r="AO235" s="260"/>
      <c r="AP235" s="260"/>
      <c r="AQ235" s="260"/>
      <c r="AR235" s="260"/>
      <c r="AS235" s="260"/>
      <c r="AT235" s="260"/>
      <c r="AU235" s="260"/>
      <c r="AV235" s="260"/>
      <c r="AW235" s="260"/>
      <c r="AX235" s="260"/>
      <c r="AY235" s="260"/>
      <c r="AZ235" s="260"/>
      <c r="BA235" s="260"/>
      <c r="BB235" s="260"/>
      <c r="BC235" s="260"/>
      <c r="BD235" s="260"/>
      <c r="BE235" s="260"/>
      <c r="BF235" s="260"/>
      <c r="BG235" s="260"/>
      <c r="BH235" s="260"/>
      <c r="BI235" s="260"/>
      <c r="BJ235" s="260"/>
      <c r="BK235" s="260"/>
      <c r="BL235" s="260"/>
      <c r="BM235" s="260"/>
      <c r="BN235" s="260"/>
      <c r="BO235" s="260"/>
      <c r="BP235" s="260"/>
      <c r="BQ235" s="260"/>
      <c r="BR235" s="260"/>
      <c r="BS235" s="260"/>
      <c r="BT235" s="260"/>
      <c r="BU235" s="260"/>
      <c r="BV235" s="259" t="s">
        <v>338</v>
      </c>
      <c r="BW235" s="258">
        <v>2</v>
      </c>
      <c r="BX235" s="253" t="s">
        <v>10</v>
      </c>
      <c r="BY235" s="214">
        <f>(D235*F235)*BW235</f>
        <v>2.8</v>
      </c>
      <c r="BZ235" s="204"/>
      <c r="CA235" s="204"/>
      <c r="CB235" s="204"/>
      <c r="CC235" s="200"/>
      <c r="CD235" s="202"/>
      <c r="CE235" s="201"/>
      <c r="CF235" s="200"/>
      <c r="CG235" s="202"/>
      <c r="CH235" s="201"/>
      <c r="CI235" s="201"/>
      <c r="CJ235" s="201"/>
      <c r="CK235" s="198"/>
      <c r="CL235" s="200"/>
      <c r="CM235" s="199"/>
      <c r="CN235" s="198"/>
    </row>
    <row r="236" spans="1:92">
      <c r="A236" s="208"/>
      <c r="B236" s="214"/>
      <c r="C236" s="250" t="s">
        <v>340</v>
      </c>
      <c r="D236" s="262">
        <v>1.5</v>
      </c>
      <c r="E236" s="259" t="s">
        <v>338</v>
      </c>
      <c r="F236" s="259">
        <v>0.4</v>
      </c>
      <c r="G236" s="259"/>
      <c r="H236" s="259"/>
      <c r="I236" s="259"/>
      <c r="J236" s="259"/>
      <c r="K236" s="259"/>
      <c r="L236" s="259"/>
      <c r="M236" s="259"/>
      <c r="N236" s="259"/>
      <c r="O236" s="259"/>
      <c r="P236" s="259"/>
      <c r="Q236" s="259"/>
      <c r="R236" s="259"/>
      <c r="S236" s="259"/>
      <c r="T236" s="259"/>
      <c r="U236" s="259"/>
      <c r="V236" s="259"/>
      <c r="W236" s="261"/>
      <c r="X236" s="261"/>
      <c r="Y236" s="261"/>
      <c r="Z236" s="261"/>
      <c r="AA236" s="261"/>
      <c r="AB236" s="260"/>
      <c r="AC236" s="260"/>
      <c r="AD236" s="260"/>
      <c r="AE236" s="260"/>
      <c r="AF236" s="260"/>
      <c r="AG236" s="260"/>
      <c r="AH236" s="260"/>
      <c r="AI236" s="260"/>
      <c r="AJ236" s="260"/>
      <c r="AK236" s="260"/>
      <c r="AL236" s="260"/>
      <c r="AM236" s="260"/>
      <c r="AN236" s="260"/>
      <c r="AO236" s="260"/>
      <c r="AP236" s="260"/>
      <c r="AQ236" s="260"/>
      <c r="AR236" s="260"/>
      <c r="AS236" s="260"/>
      <c r="AT236" s="260"/>
      <c r="AU236" s="260"/>
      <c r="AV236" s="260"/>
      <c r="AW236" s="260"/>
      <c r="AX236" s="260"/>
      <c r="AY236" s="260"/>
      <c r="AZ236" s="260"/>
      <c r="BA236" s="260"/>
      <c r="BB236" s="260"/>
      <c r="BC236" s="260"/>
      <c r="BD236" s="260"/>
      <c r="BE236" s="260"/>
      <c r="BF236" s="260"/>
      <c r="BG236" s="260"/>
      <c r="BH236" s="260"/>
      <c r="BI236" s="260"/>
      <c r="BJ236" s="260"/>
      <c r="BK236" s="260"/>
      <c r="BL236" s="260"/>
      <c r="BM236" s="260"/>
      <c r="BN236" s="260"/>
      <c r="BO236" s="260"/>
      <c r="BP236" s="260"/>
      <c r="BQ236" s="260"/>
      <c r="BR236" s="260"/>
      <c r="BS236" s="260"/>
      <c r="BT236" s="260"/>
      <c r="BU236" s="260"/>
      <c r="BV236" s="259" t="s">
        <v>338</v>
      </c>
      <c r="BW236" s="258">
        <v>3</v>
      </c>
      <c r="BX236" s="253" t="s">
        <v>10</v>
      </c>
      <c r="BY236" s="214">
        <f>(D236*F236)*BW236</f>
        <v>1.8000000000000003</v>
      </c>
      <c r="BZ236" s="204"/>
      <c r="CA236" s="204"/>
      <c r="CB236" s="204"/>
      <c r="CC236" s="200"/>
      <c r="CD236" s="202"/>
      <c r="CE236" s="201"/>
      <c r="CF236" s="200"/>
      <c r="CG236" s="202"/>
      <c r="CH236" s="201"/>
      <c r="CI236" s="201"/>
      <c r="CJ236" s="201"/>
      <c r="CK236" s="198"/>
      <c r="CL236" s="200"/>
      <c r="CM236" s="199"/>
      <c r="CN236" s="198"/>
    </row>
    <row r="237" spans="1:92">
      <c r="A237" s="208"/>
      <c r="B237" s="214"/>
      <c r="C237" s="250" t="s">
        <v>339</v>
      </c>
      <c r="D237" s="262">
        <v>1.3</v>
      </c>
      <c r="E237" s="259" t="s">
        <v>338</v>
      </c>
      <c r="F237" s="259">
        <v>0.4</v>
      </c>
      <c r="G237" s="259"/>
      <c r="H237" s="259"/>
      <c r="I237" s="259"/>
      <c r="J237" s="259"/>
      <c r="K237" s="259"/>
      <c r="L237" s="259"/>
      <c r="M237" s="259"/>
      <c r="N237" s="259"/>
      <c r="O237" s="259"/>
      <c r="P237" s="259"/>
      <c r="Q237" s="259"/>
      <c r="R237" s="259"/>
      <c r="S237" s="259"/>
      <c r="T237" s="259"/>
      <c r="U237" s="259"/>
      <c r="V237" s="259"/>
      <c r="W237" s="261"/>
      <c r="X237" s="261"/>
      <c r="Y237" s="261"/>
      <c r="Z237" s="261"/>
      <c r="AA237" s="261"/>
      <c r="AB237" s="260"/>
      <c r="AC237" s="260"/>
      <c r="AD237" s="260"/>
      <c r="AE237" s="260"/>
      <c r="AF237" s="260"/>
      <c r="AG237" s="260"/>
      <c r="AH237" s="260"/>
      <c r="AI237" s="260"/>
      <c r="AJ237" s="260"/>
      <c r="AK237" s="260"/>
      <c r="AL237" s="260"/>
      <c r="AM237" s="260"/>
      <c r="AN237" s="260"/>
      <c r="AO237" s="260"/>
      <c r="AP237" s="260"/>
      <c r="AQ237" s="260"/>
      <c r="AR237" s="260"/>
      <c r="AS237" s="260"/>
      <c r="AT237" s="260"/>
      <c r="AU237" s="260"/>
      <c r="AV237" s="260"/>
      <c r="AW237" s="260"/>
      <c r="AX237" s="260"/>
      <c r="AY237" s="260"/>
      <c r="AZ237" s="260"/>
      <c r="BA237" s="260"/>
      <c r="BB237" s="260"/>
      <c r="BC237" s="260"/>
      <c r="BD237" s="260"/>
      <c r="BE237" s="260"/>
      <c r="BF237" s="260"/>
      <c r="BG237" s="260"/>
      <c r="BH237" s="260"/>
      <c r="BI237" s="260"/>
      <c r="BJ237" s="260"/>
      <c r="BK237" s="260"/>
      <c r="BL237" s="260"/>
      <c r="BM237" s="260"/>
      <c r="BN237" s="260"/>
      <c r="BO237" s="260"/>
      <c r="BP237" s="260"/>
      <c r="BQ237" s="260"/>
      <c r="BR237" s="260"/>
      <c r="BS237" s="260"/>
      <c r="BT237" s="260"/>
      <c r="BU237" s="260"/>
      <c r="BV237" s="259" t="s">
        <v>338</v>
      </c>
      <c r="BW237" s="258">
        <v>8</v>
      </c>
      <c r="BX237" s="253" t="s">
        <v>10</v>
      </c>
      <c r="BY237" s="214">
        <f>(D237*F237)*BW237</f>
        <v>4.16</v>
      </c>
      <c r="BZ237" s="204"/>
      <c r="CA237" s="204"/>
      <c r="CB237" s="204"/>
      <c r="CC237" s="200"/>
      <c r="CD237" s="202"/>
      <c r="CE237" s="201"/>
      <c r="CF237" s="200"/>
      <c r="CG237" s="202"/>
      <c r="CH237" s="201"/>
      <c r="CI237" s="201"/>
      <c r="CJ237" s="201"/>
      <c r="CK237" s="198"/>
      <c r="CL237" s="200"/>
      <c r="CM237" s="199"/>
      <c r="CN237" s="198"/>
    </row>
    <row r="238" spans="1:92">
      <c r="A238" s="208"/>
      <c r="B238" s="214"/>
      <c r="C238" s="250"/>
      <c r="D238" s="257" t="s">
        <v>337</v>
      </c>
      <c r="E238" s="256"/>
      <c r="F238" s="256"/>
      <c r="G238" s="256"/>
      <c r="H238" s="256"/>
      <c r="I238" s="256"/>
      <c r="J238" s="256"/>
      <c r="K238" s="256"/>
      <c r="L238" s="256"/>
      <c r="M238" s="256"/>
      <c r="N238" s="256"/>
      <c r="O238" s="256"/>
      <c r="P238" s="256"/>
      <c r="Q238" s="256"/>
      <c r="R238" s="256"/>
      <c r="S238" s="256"/>
      <c r="T238" s="256"/>
      <c r="U238" s="256"/>
      <c r="V238" s="256"/>
      <c r="W238" s="256"/>
      <c r="X238" s="256"/>
      <c r="Y238" s="256"/>
      <c r="Z238" s="256"/>
      <c r="AA238" s="256"/>
      <c r="AB238" s="256"/>
      <c r="AC238" s="256"/>
      <c r="AD238" s="256"/>
      <c r="AE238" s="256"/>
      <c r="AF238" s="256"/>
      <c r="AG238" s="256"/>
      <c r="AH238" s="256"/>
      <c r="AI238" s="256"/>
      <c r="AJ238" s="256"/>
      <c r="AK238" s="256"/>
      <c r="AL238" s="256"/>
      <c r="AM238" s="256"/>
      <c r="AN238" s="256"/>
      <c r="AO238" s="256"/>
      <c r="AP238" s="256"/>
      <c r="AQ238" s="256"/>
      <c r="AR238" s="256"/>
      <c r="AS238" s="256"/>
      <c r="AT238" s="256"/>
      <c r="AU238" s="256"/>
      <c r="AV238" s="256"/>
      <c r="AW238" s="256"/>
      <c r="AX238" s="256"/>
      <c r="AY238" s="256"/>
      <c r="AZ238" s="256"/>
      <c r="BA238" s="256"/>
      <c r="BB238" s="256"/>
      <c r="BC238" s="256"/>
      <c r="BD238" s="256"/>
      <c r="BE238" s="256"/>
      <c r="BF238" s="256"/>
      <c r="BG238" s="256"/>
      <c r="BH238" s="256"/>
      <c r="BI238" s="256"/>
      <c r="BJ238" s="256"/>
      <c r="BK238" s="256"/>
      <c r="BL238" s="256"/>
      <c r="BM238" s="256"/>
      <c r="BN238" s="256"/>
      <c r="BO238" s="256"/>
      <c r="BP238" s="256"/>
      <c r="BQ238" s="256"/>
      <c r="BR238" s="256"/>
      <c r="BS238" s="256"/>
      <c r="BT238" s="256"/>
      <c r="BU238" s="256"/>
      <c r="BV238" s="256"/>
      <c r="BW238" s="255"/>
      <c r="BX238" s="253" t="s">
        <v>10</v>
      </c>
      <c r="BY238" s="253">
        <f>SUM(BY231:BY237)</f>
        <v>32.159999999999997</v>
      </c>
      <c r="BZ238" s="204"/>
      <c r="CA238" s="204"/>
      <c r="CB238" s="204"/>
      <c r="CC238" s="200"/>
      <c r="CD238" s="202"/>
      <c r="CE238" s="201"/>
      <c r="CF238" s="200"/>
      <c r="CG238" s="202"/>
      <c r="CH238" s="201"/>
      <c r="CI238" s="201"/>
      <c r="CJ238" s="201"/>
      <c r="CK238" s="198"/>
      <c r="CL238" s="200"/>
      <c r="CM238" s="199"/>
      <c r="CN238" s="198"/>
    </row>
    <row r="239" spans="1:92">
      <c r="A239" s="208"/>
      <c r="B239" s="214"/>
      <c r="C239" s="250"/>
      <c r="D239" s="257" t="s">
        <v>336</v>
      </c>
      <c r="E239" s="256"/>
      <c r="F239" s="256"/>
      <c r="G239" s="256"/>
      <c r="H239" s="256"/>
      <c r="I239" s="256"/>
      <c r="J239" s="256"/>
      <c r="K239" s="256"/>
      <c r="L239" s="256"/>
      <c r="M239" s="256"/>
      <c r="N239" s="256"/>
      <c r="O239" s="256"/>
      <c r="P239" s="256"/>
      <c r="Q239" s="256"/>
      <c r="R239" s="256"/>
      <c r="S239" s="256"/>
      <c r="T239" s="256"/>
      <c r="U239" s="256"/>
      <c r="V239" s="256"/>
      <c r="W239" s="256"/>
      <c r="X239" s="256"/>
      <c r="Y239" s="256"/>
      <c r="Z239" s="256"/>
      <c r="AA239" s="256"/>
      <c r="AB239" s="256"/>
      <c r="AC239" s="256"/>
      <c r="AD239" s="256"/>
      <c r="AE239" s="256"/>
      <c r="AF239" s="256"/>
      <c r="AG239" s="256"/>
      <c r="AH239" s="256"/>
      <c r="AI239" s="256"/>
      <c r="AJ239" s="256"/>
      <c r="AK239" s="256"/>
      <c r="AL239" s="256"/>
      <c r="AM239" s="256"/>
      <c r="AN239" s="256"/>
      <c r="AO239" s="256"/>
      <c r="AP239" s="256"/>
      <c r="AQ239" s="256"/>
      <c r="AR239" s="256"/>
      <c r="AS239" s="256"/>
      <c r="AT239" s="256"/>
      <c r="AU239" s="256"/>
      <c r="AV239" s="256"/>
      <c r="AW239" s="256"/>
      <c r="AX239" s="256"/>
      <c r="AY239" s="256"/>
      <c r="AZ239" s="256"/>
      <c r="BA239" s="256"/>
      <c r="BB239" s="256"/>
      <c r="BC239" s="256"/>
      <c r="BD239" s="256"/>
      <c r="BE239" s="256"/>
      <c r="BF239" s="256"/>
      <c r="BG239" s="256"/>
      <c r="BH239" s="256"/>
      <c r="BI239" s="256"/>
      <c r="BJ239" s="256"/>
      <c r="BK239" s="256"/>
      <c r="BL239" s="256"/>
      <c r="BM239" s="256"/>
      <c r="BN239" s="256"/>
      <c r="BO239" s="256"/>
      <c r="BP239" s="256"/>
      <c r="BQ239" s="256"/>
      <c r="BR239" s="256"/>
      <c r="BS239" s="256"/>
      <c r="BT239" s="256"/>
      <c r="BU239" s="256"/>
      <c r="BV239" s="256"/>
      <c r="BW239" s="255"/>
      <c r="BX239" s="253" t="s">
        <v>10</v>
      </c>
      <c r="BY239" s="253">
        <f>BY229-BY238</f>
        <v>645.5100000000001</v>
      </c>
      <c r="BZ239" s="204"/>
      <c r="CA239" s="204"/>
      <c r="CB239" s="204"/>
      <c r="CC239" s="200"/>
      <c r="CD239" s="202"/>
      <c r="CE239" s="201"/>
      <c r="CF239" s="200"/>
      <c r="CG239" s="202"/>
      <c r="CH239" s="201"/>
      <c r="CI239" s="201"/>
      <c r="CJ239" s="201"/>
      <c r="CK239" s="198"/>
      <c r="CL239" s="200"/>
      <c r="CM239" s="199"/>
      <c r="CN239" s="198"/>
    </row>
    <row r="240" spans="1:92">
      <c r="A240" s="208"/>
      <c r="B240" s="214"/>
      <c r="C240" s="250"/>
      <c r="D240" s="265" t="s">
        <v>335</v>
      </c>
      <c r="E240" s="264"/>
      <c r="F240" s="264"/>
      <c r="G240" s="264"/>
      <c r="H240" s="264"/>
      <c r="I240" s="264"/>
      <c r="J240" s="264"/>
      <c r="K240" s="264"/>
      <c r="L240" s="264"/>
      <c r="M240" s="264"/>
      <c r="N240" s="264"/>
      <c r="O240" s="264"/>
      <c r="P240" s="264"/>
      <c r="Q240" s="264"/>
      <c r="R240" s="264"/>
      <c r="S240" s="264"/>
      <c r="T240" s="264"/>
      <c r="U240" s="264"/>
      <c r="V240" s="264"/>
      <c r="W240" s="264"/>
      <c r="X240" s="264"/>
      <c r="Y240" s="264"/>
      <c r="Z240" s="264"/>
      <c r="AA240" s="264"/>
      <c r="AB240" s="264"/>
      <c r="AC240" s="264"/>
      <c r="AD240" s="264"/>
      <c r="AE240" s="264"/>
      <c r="AF240" s="264"/>
      <c r="AG240" s="264"/>
      <c r="AH240" s="264"/>
      <c r="AI240" s="264"/>
      <c r="AJ240" s="264"/>
      <c r="AK240" s="264"/>
      <c r="AL240" s="264"/>
      <c r="AM240" s="264"/>
      <c r="AN240" s="264"/>
      <c r="AO240" s="264"/>
      <c r="AP240" s="264"/>
      <c r="AQ240" s="264"/>
      <c r="AR240" s="264"/>
      <c r="AS240" s="264"/>
      <c r="AT240" s="264"/>
      <c r="AU240" s="264"/>
      <c r="AV240" s="264"/>
      <c r="AW240" s="264"/>
      <c r="AX240" s="264"/>
      <c r="AY240" s="264"/>
      <c r="AZ240" s="264"/>
      <c r="BA240" s="264"/>
      <c r="BB240" s="264"/>
      <c r="BC240" s="264"/>
      <c r="BD240" s="264"/>
      <c r="BE240" s="264"/>
      <c r="BF240" s="264"/>
      <c r="BG240" s="264"/>
      <c r="BH240" s="264"/>
      <c r="BI240" s="264"/>
      <c r="BJ240" s="264"/>
      <c r="BK240" s="264"/>
      <c r="BL240" s="264"/>
      <c r="BM240" s="264"/>
      <c r="BN240" s="264"/>
      <c r="BO240" s="264"/>
      <c r="BP240" s="264"/>
      <c r="BQ240" s="264"/>
      <c r="BR240" s="264"/>
      <c r="BS240" s="264"/>
      <c r="BT240" s="264"/>
      <c r="BU240" s="264"/>
      <c r="BV240" s="264"/>
      <c r="BW240" s="263"/>
      <c r="BX240" s="253"/>
      <c r="BY240" s="253"/>
      <c r="BZ240" s="204"/>
      <c r="CA240" s="204"/>
      <c r="CB240" s="204"/>
      <c r="CC240" s="200"/>
      <c r="CD240" s="202"/>
      <c r="CE240" s="201"/>
      <c r="CF240" s="200"/>
      <c r="CG240" s="202"/>
      <c r="CH240" s="201"/>
      <c r="CI240" s="201"/>
      <c r="CJ240" s="201"/>
      <c r="CK240" s="198"/>
      <c r="CL240" s="200"/>
      <c r="CM240" s="199"/>
      <c r="CN240" s="198"/>
    </row>
    <row r="241" spans="1:92">
      <c r="A241" s="208"/>
      <c r="B241" s="214"/>
      <c r="C241" s="221" t="s">
        <v>331</v>
      </c>
      <c r="D241" s="234">
        <v>1.6</v>
      </c>
      <c r="E241" s="234" t="s">
        <v>309</v>
      </c>
      <c r="F241" s="229">
        <v>1.6</v>
      </c>
      <c r="G241" s="229"/>
      <c r="H241" s="229"/>
      <c r="I241" s="229"/>
      <c r="J241" s="229"/>
      <c r="K241" s="229"/>
      <c r="L241" s="229"/>
      <c r="M241" s="229"/>
      <c r="N241" s="229"/>
      <c r="O241" s="229"/>
      <c r="P241" s="229"/>
      <c r="Q241" s="229"/>
      <c r="R241" s="229"/>
      <c r="S241" s="229"/>
      <c r="T241" s="229"/>
      <c r="U241" s="229"/>
      <c r="V241" s="229"/>
      <c r="W241" s="236"/>
      <c r="X241" s="232"/>
      <c r="Y241" s="235"/>
      <c r="Z241" s="227"/>
      <c r="AA241" s="224"/>
      <c r="AB241" s="228"/>
      <c r="AC241" s="227"/>
      <c r="AD241" s="93"/>
      <c r="AE241" s="226"/>
      <c r="AF241" s="227"/>
      <c r="AG241" s="93"/>
      <c r="AH241" s="226"/>
      <c r="AI241" s="227"/>
      <c r="AJ241" s="93"/>
      <c r="AK241" s="226"/>
      <c r="AL241" s="227"/>
      <c r="AM241" s="93"/>
      <c r="AN241" s="226"/>
      <c r="AO241" s="95"/>
      <c r="AP241" s="93"/>
      <c r="AQ241" s="226"/>
      <c r="AR241" s="225"/>
      <c r="AS241" s="224"/>
      <c r="AT241" s="204"/>
      <c r="AU241" s="204"/>
      <c r="AV241" s="214"/>
      <c r="AW241" s="214"/>
      <c r="AX241" s="214"/>
      <c r="AY241" s="214"/>
      <c r="AZ241" s="214"/>
      <c r="BA241" s="214"/>
      <c r="BB241" s="214"/>
      <c r="BC241" s="214"/>
      <c r="BD241" s="214"/>
      <c r="BE241" s="214"/>
      <c r="BF241" s="214"/>
      <c r="BG241" s="214"/>
      <c r="BH241" s="214"/>
      <c r="BI241" s="214"/>
      <c r="BJ241" s="214"/>
      <c r="BK241" s="214"/>
      <c r="BL241" s="214"/>
      <c r="BM241" s="214"/>
      <c r="BN241" s="214"/>
      <c r="BO241" s="214"/>
      <c r="BP241" s="214"/>
      <c r="BQ241" s="214"/>
      <c r="BR241" s="214"/>
      <c r="BS241" s="214"/>
      <c r="BT241" s="214"/>
      <c r="BU241" s="214"/>
      <c r="BV241" s="214"/>
      <c r="BW241" s="214"/>
      <c r="BX241" s="223" t="s">
        <v>10</v>
      </c>
      <c r="BY241" s="222">
        <f>D241*F241+H241*J241</f>
        <v>2.5600000000000005</v>
      </c>
      <c r="BZ241" s="204"/>
      <c r="CA241" s="204"/>
      <c r="CB241" s="204"/>
      <c r="CC241" s="200"/>
      <c r="CD241" s="202"/>
      <c r="CE241" s="201"/>
      <c r="CF241" s="200"/>
      <c r="CG241" s="202"/>
      <c r="CH241" s="201"/>
      <c r="CI241" s="201"/>
      <c r="CJ241" s="201"/>
      <c r="CK241" s="198"/>
      <c r="CL241" s="200"/>
      <c r="CM241" s="199"/>
      <c r="CN241" s="198"/>
    </row>
    <row r="242" spans="1:92">
      <c r="A242" s="208"/>
      <c r="B242" s="214"/>
      <c r="C242" s="221" t="s">
        <v>330</v>
      </c>
      <c r="D242" s="234">
        <v>1.8</v>
      </c>
      <c r="E242" s="234" t="s">
        <v>309</v>
      </c>
      <c r="F242" s="229">
        <v>1.6</v>
      </c>
      <c r="G242" s="229"/>
      <c r="H242" s="229"/>
      <c r="I242" s="229"/>
      <c r="J242" s="229"/>
      <c r="K242" s="229"/>
      <c r="L242" s="229"/>
      <c r="M242" s="229"/>
      <c r="N242" s="229"/>
      <c r="O242" s="229"/>
      <c r="P242" s="229"/>
      <c r="Q242" s="229"/>
      <c r="R242" s="229"/>
      <c r="S242" s="229"/>
      <c r="T242" s="229"/>
      <c r="U242" s="229"/>
      <c r="V242" s="229"/>
      <c r="W242" s="236"/>
      <c r="X242" s="232"/>
      <c r="Y242" s="235"/>
      <c r="Z242" s="227"/>
      <c r="AA242" s="224"/>
      <c r="AB242" s="228"/>
      <c r="AC242" s="227"/>
      <c r="AD242" s="93"/>
      <c r="AE242" s="226"/>
      <c r="AF242" s="227"/>
      <c r="AG242" s="93"/>
      <c r="AH242" s="226"/>
      <c r="AI242" s="227"/>
      <c r="AJ242" s="93"/>
      <c r="AK242" s="226"/>
      <c r="AL242" s="227"/>
      <c r="AM242" s="93"/>
      <c r="AN242" s="226"/>
      <c r="AO242" s="95"/>
      <c r="AP242" s="93"/>
      <c r="AQ242" s="226"/>
      <c r="AR242" s="225"/>
      <c r="AS242" s="224"/>
      <c r="AT242" s="204"/>
      <c r="AU242" s="204"/>
      <c r="AV242" s="214"/>
      <c r="AW242" s="214"/>
      <c r="AX242" s="214"/>
      <c r="AY242" s="214"/>
      <c r="AZ242" s="214"/>
      <c r="BA242" s="214"/>
      <c r="BB242" s="214"/>
      <c r="BC242" s="214"/>
      <c r="BD242" s="214"/>
      <c r="BE242" s="214"/>
      <c r="BF242" s="214"/>
      <c r="BG242" s="214"/>
      <c r="BH242" s="214"/>
      <c r="BI242" s="214"/>
      <c r="BJ242" s="214"/>
      <c r="BK242" s="214"/>
      <c r="BL242" s="214"/>
      <c r="BM242" s="214"/>
      <c r="BN242" s="214"/>
      <c r="BO242" s="214"/>
      <c r="BP242" s="214"/>
      <c r="BQ242" s="214"/>
      <c r="BR242" s="214"/>
      <c r="BS242" s="214"/>
      <c r="BT242" s="214"/>
      <c r="BU242" s="214"/>
      <c r="BV242" s="214"/>
      <c r="BW242" s="214"/>
      <c r="BX242" s="223" t="s">
        <v>10</v>
      </c>
      <c r="BY242" s="222">
        <f>D242*F242+H242*J242</f>
        <v>2.8800000000000003</v>
      </c>
      <c r="BZ242" s="204"/>
      <c r="CA242" s="204"/>
      <c r="CB242" s="204"/>
      <c r="CC242" s="200"/>
      <c r="CD242" s="202"/>
      <c r="CE242" s="201"/>
      <c r="CF242" s="200"/>
      <c r="CG242" s="202"/>
      <c r="CH242" s="201"/>
      <c r="CI242" s="201"/>
      <c r="CJ242" s="201"/>
      <c r="CK242" s="198"/>
      <c r="CL242" s="200"/>
      <c r="CM242" s="199"/>
      <c r="CN242" s="198"/>
    </row>
    <row r="243" spans="1:92">
      <c r="A243" s="208"/>
      <c r="B243" s="214"/>
      <c r="C243" s="221" t="s">
        <v>329</v>
      </c>
      <c r="D243" s="234">
        <v>2.75</v>
      </c>
      <c r="E243" s="234" t="s">
        <v>309</v>
      </c>
      <c r="F243" s="229">
        <v>3.55</v>
      </c>
      <c r="G243" s="229"/>
      <c r="H243" s="229"/>
      <c r="I243" s="229"/>
      <c r="J243" s="229"/>
      <c r="K243" s="229"/>
      <c r="L243" s="229"/>
      <c r="M243" s="229"/>
      <c r="N243" s="229"/>
      <c r="O243" s="229"/>
      <c r="P243" s="229"/>
      <c r="Q243" s="229"/>
      <c r="R243" s="229"/>
      <c r="S243" s="229"/>
      <c r="T243" s="229"/>
      <c r="U243" s="229"/>
      <c r="V243" s="229"/>
      <c r="W243" s="236"/>
      <c r="X243" s="232"/>
      <c r="Y243" s="235"/>
      <c r="Z243" s="227"/>
      <c r="AA243" s="224"/>
      <c r="AB243" s="228"/>
      <c r="AC243" s="227"/>
      <c r="AD243" s="93"/>
      <c r="AE243" s="226"/>
      <c r="AF243" s="227"/>
      <c r="AG243" s="93"/>
      <c r="AH243" s="226"/>
      <c r="AI243" s="227"/>
      <c r="AJ243" s="93"/>
      <c r="AK243" s="226"/>
      <c r="AL243" s="227"/>
      <c r="AM243" s="93"/>
      <c r="AN243" s="226"/>
      <c r="AO243" s="95"/>
      <c r="AP243" s="93"/>
      <c r="AQ243" s="226"/>
      <c r="AR243" s="225"/>
      <c r="AS243" s="224"/>
      <c r="AT243" s="204"/>
      <c r="AU243" s="204"/>
      <c r="AV243" s="214"/>
      <c r="AW243" s="214"/>
      <c r="AX243" s="214"/>
      <c r="AY243" s="214"/>
      <c r="AZ243" s="214"/>
      <c r="BA243" s="214"/>
      <c r="BB243" s="214"/>
      <c r="BC243" s="214"/>
      <c r="BD243" s="214"/>
      <c r="BE243" s="214"/>
      <c r="BF243" s="214"/>
      <c r="BG243" s="214"/>
      <c r="BH243" s="214"/>
      <c r="BI243" s="214"/>
      <c r="BJ243" s="214"/>
      <c r="BK243" s="214"/>
      <c r="BL243" s="214"/>
      <c r="BM243" s="214"/>
      <c r="BN243" s="214"/>
      <c r="BO243" s="214"/>
      <c r="BP243" s="214"/>
      <c r="BQ243" s="214"/>
      <c r="BR243" s="214"/>
      <c r="BS243" s="214"/>
      <c r="BT243" s="214"/>
      <c r="BU243" s="214"/>
      <c r="BV243" s="214"/>
      <c r="BW243" s="214"/>
      <c r="BX243" s="223" t="s">
        <v>10</v>
      </c>
      <c r="BY243" s="222">
        <f>D243*F243+H243*J243</f>
        <v>9.7624999999999993</v>
      </c>
      <c r="BZ243" s="204"/>
      <c r="CA243" s="204"/>
      <c r="CB243" s="204"/>
      <c r="CC243" s="200"/>
      <c r="CD243" s="202"/>
      <c r="CE243" s="201"/>
      <c r="CF243" s="200"/>
      <c r="CG243" s="202"/>
      <c r="CH243" s="201"/>
      <c r="CI243" s="201"/>
      <c r="CJ243" s="201"/>
      <c r="CK243" s="198"/>
      <c r="CL243" s="200"/>
      <c r="CM243" s="199"/>
      <c r="CN243" s="198"/>
    </row>
    <row r="244" spans="1:92">
      <c r="A244" s="208"/>
      <c r="B244" s="214"/>
      <c r="C244" s="221" t="s">
        <v>328</v>
      </c>
      <c r="D244" s="234">
        <v>2.4</v>
      </c>
      <c r="E244" s="234" t="s">
        <v>309</v>
      </c>
      <c r="F244" s="229">
        <v>2.2000000000000002</v>
      </c>
      <c r="G244" s="229"/>
      <c r="H244" s="229"/>
      <c r="I244" s="229"/>
      <c r="J244" s="229"/>
      <c r="K244" s="229"/>
      <c r="L244" s="229"/>
      <c r="M244" s="229"/>
      <c r="N244" s="229"/>
      <c r="O244" s="229"/>
      <c r="P244" s="229"/>
      <c r="Q244" s="229"/>
      <c r="R244" s="229"/>
      <c r="S244" s="229"/>
      <c r="T244" s="229"/>
      <c r="U244" s="229"/>
      <c r="V244" s="229"/>
      <c r="W244" s="236"/>
      <c r="X244" s="251"/>
      <c r="Y244" s="235"/>
      <c r="Z244" s="227"/>
      <c r="AA244" s="224"/>
      <c r="AB244" s="228"/>
      <c r="AC244" s="227"/>
      <c r="AD244" s="93"/>
      <c r="AE244" s="226"/>
      <c r="AF244" s="227"/>
      <c r="AG244" s="93"/>
      <c r="AH244" s="226"/>
      <c r="AI244" s="227"/>
      <c r="AJ244" s="93"/>
      <c r="AK244" s="226"/>
      <c r="AL244" s="227"/>
      <c r="AM244" s="93"/>
      <c r="AN244" s="226"/>
      <c r="AO244" s="95"/>
      <c r="AP244" s="93"/>
      <c r="AQ244" s="226"/>
      <c r="AR244" s="225"/>
      <c r="AS244" s="224"/>
      <c r="AT244" s="204"/>
      <c r="AU244" s="204"/>
      <c r="AV244" s="214"/>
      <c r="AW244" s="214"/>
      <c r="AX244" s="214"/>
      <c r="AY244" s="214"/>
      <c r="AZ244" s="214"/>
      <c r="BA244" s="214"/>
      <c r="BB244" s="214"/>
      <c r="BC244" s="214"/>
      <c r="BD244" s="214"/>
      <c r="BE244" s="214"/>
      <c r="BF244" s="214"/>
      <c r="BG244" s="214"/>
      <c r="BH244" s="214"/>
      <c r="BI244" s="214"/>
      <c r="BJ244" s="214"/>
      <c r="BK244" s="214"/>
      <c r="BL244" s="214"/>
      <c r="BM244" s="214"/>
      <c r="BN244" s="214"/>
      <c r="BO244" s="214"/>
      <c r="BP244" s="214"/>
      <c r="BQ244" s="214"/>
      <c r="BR244" s="214"/>
      <c r="BS244" s="214"/>
      <c r="BT244" s="214"/>
      <c r="BU244" s="214"/>
      <c r="BV244" s="214"/>
      <c r="BW244" s="214"/>
      <c r="BX244" s="223" t="s">
        <v>10</v>
      </c>
      <c r="BY244" s="222">
        <f>D244*F244+H244*J244</f>
        <v>5.28</v>
      </c>
      <c r="BZ244" s="204"/>
      <c r="CA244" s="204"/>
      <c r="CB244" s="204"/>
      <c r="CC244" s="200"/>
      <c r="CD244" s="202"/>
      <c r="CE244" s="201"/>
      <c r="CF244" s="200"/>
      <c r="CG244" s="202"/>
      <c r="CH244" s="201"/>
      <c r="CI244" s="201"/>
      <c r="CJ244" s="201"/>
      <c r="CK244" s="198"/>
      <c r="CL244" s="200"/>
      <c r="CM244" s="199"/>
      <c r="CN244" s="198"/>
    </row>
    <row r="245" spans="1:92">
      <c r="A245" s="208"/>
      <c r="B245" s="214"/>
      <c r="C245" s="221" t="s">
        <v>327</v>
      </c>
      <c r="D245" s="234">
        <v>3.4</v>
      </c>
      <c r="E245" s="234" t="s">
        <v>309</v>
      </c>
      <c r="F245" s="229">
        <v>3.2</v>
      </c>
      <c r="G245" s="229"/>
      <c r="H245" s="229"/>
      <c r="I245" s="229"/>
      <c r="J245" s="229"/>
      <c r="K245" s="229"/>
      <c r="L245" s="229"/>
      <c r="M245" s="229"/>
      <c r="N245" s="229"/>
      <c r="O245" s="229"/>
      <c r="P245" s="229"/>
      <c r="Q245" s="229"/>
      <c r="R245" s="229"/>
      <c r="S245" s="229"/>
      <c r="T245" s="229"/>
      <c r="U245" s="229"/>
      <c r="V245" s="229"/>
      <c r="W245" s="236"/>
      <c r="X245" s="251"/>
      <c r="Y245" s="235"/>
      <c r="Z245" s="227"/>
      <c r="AA245" s="224"/>
      <c r="AB245" s="228"/>
      <c r="AC245" s="227"/>
      <c r="AD245" s="93"/>
      <c r="AE245" s="226"/>
      <c r="AF245" s="227"/>
      <c r="AG245" s="93"/>
      <c r="AH245" s="226"/>
      <c r="AI245" s="227"/>
      <c r="AJ245" s="93"/>
      <c r="AK245" s="226"/>
      <c r="AL245" s="227"/>
      <c r="AM245" s="93"/>
      <c r="AN245" s="226"/>
      <c r="AO245" s="95"/>
      <c r="AP245" s="93"/>
      <c r="AQ245" s="226"/>
      <c r="AR245" s="225"/>
      <c r="AS245" s="224"/>
      <c r="AT245" s="204"/>
      <c r="AU245" s="204"/>
      <c r="AV245" s="214"/>
      <c r="AW245" s="214"/>
      <c r="AX245" s="214"/>
      <c r="AY245" s="214"/>
      <c r="AZ245" s="214"/>
      <c r="BA245" s="214"/>
      <c r="BB245" s="214"/>
      <c r="BC245" s="214"/>
      <c r="BD245" s="214"/>
      <c r="BE245" s="214"/>
      <c r="BF245" s="214"/>
      <c r="BG245" s="214"/>
      <c r="BH245" s="214"/>
      <c r="BI245" s="214"/>
      <c r="BJ245" s="214"/>
      <c r="BK245" s="214"/>
      <c r="BL245" s="214"/>
      <c r="BM245" s="214"/>
      <c r="BN245" s="214"/>
      <c r="BO245" s="214"/>
      <c r="BP245" s="214"/>
      <c r="BQ245" s="214"/>
      <c r="BR245" s="214"/>
      <c r="BS245" s="214"/>
      <c r="BT245" s="214"/>
      <c r="BU245" s="214"/>
      <c r="BV245" s="214"/>
      <c r="BW245" s="214"/>
      <c r="BX245" s="223" t="s">
        <v>10</v>
      </c>
      <c r="BY245" s="222">
        <f>D245*F245+H245*J245</f>
        <v>10.88</v>
      </c>
      <c r="BZ245" s="204"/>
      <c r="CA245" s="204"/>
      <c r="CB245" s="204"/>
      <c r="CC245" s="200"/>
      <c r="CD245" s="202"/>
      <c r="CE245" s="201"/>
      <c r="CF245" s="200"/>
      <c r="CG245" s="202"/>
      <c r="CH245" s="201"/>
      <c r="CI245" s="201"/>
      <c r="CJ245" s="201"/>
      <c r="CK245" s="198"/>
      <c r="CL245" s="200"/>
      <c r="CM245" s="199"/>
      <c r="CN245" s="198"/>
    </row>
    <row r="246" spans="1:92">
      <c r="A246" s="208"/>
      <c r="B246" s="214"/>
      <c r="C246" s="221" t="s">
        <v>326</v>
      </c>
      <c r="D246" s="234">
        <v>6.41</v>
      </c>
      <c r="E246" s="234" t="s">
        <v>309</v>
      </c>
      <c r="F246" s="229">
        <v>6.39</v>
      </c>
      <c r="G246" s="246" t="s">
        <v>310</v>
      </c>
      <c r="H246" s="245">
        <v>1.35</v>
      </c>
      <c r="I246" s="229" t="s">
        <v>309</v>
      </c>
      <c r="J246" s="244">
        <v>4.95</v>
      </c>
      <c r="K246" s="229"/>
      <c r="L246" s="229"/>
      <c r="M246" s="229"/>
      <c r="N246" s="229"/>
      <c r="O246" s="229"/>
      <c r="P246" s="229"/>
      <c r="Q246" s="229"/>
      <c r="R246" s="229"/>
      <c r="S246" s="229"/>
      <c r="T246" s="229"/>
      <c r="U246" s="229"/>
      <c r="V246" s="229"/>
      <c r="W246" s="204"/>
      <c r="X246" s="204"/>
      <c r="Y246" s="204"/>
      <c r="Z246" s="204"/>
      <c r="AA246" s="242"/>
      <c r="AB246" s="223"/>
      <c r="AC246" s="241"/>
      <c r="AD246" s="240"/>
      <c r="AE246" s="239"/>
      <c r="AF246" s="241"/>
      <c r="AG246" s="240"/>
      <c r="AH246" s="239"/>
      <c r="AI246" s="241"/>
      <c r="AJ246" s="240"/>
      <c r="AK246" s="239"/>
      <c r="AL246" s="241"/>
      <c r="AM246" s="240"/>
      <c r="AN246" s="239"/>
      <c r="AP246" s="237"/>
      <c r="AQ246" s="226"/>
      <c r="AR246" s="225"/>
      <c r="AS246" s="224"/>
      <c r="AT246" s="204"/>
      <c r="AU246" s="204"/>
      <c r="AV246" s="214"/>
      <c r="AW246" s="214"/>
      <c r="AX246" s="214"/>
      <c r="AY246" s="214"/>
      <c r="AZ246" s="214"/>
      <c r="BA246" s="214"/>
      <c r="BB246" s="214"/>
      <c r="BC246" s="214"/>
      <c r="BD246" s="214"/>
      <c r="BE246" s="214"/>
      <c r="BF246" s="214"/>
      <c r="BG246" s="214"/>
      <c r="BH246" s="214"/>
      <c r="BI246" s="214"/>
      <c r="BJ246" s="214"/>
      <c r="BK246" s="214"/>
      <c r="BL246" s="214"/>
      <c r="BM246" s="214"/>
      <c r="BN246" s="214"/>
      <c r="BO246" s="214"/>
      <c r="BP246" s="214"/>
      <c r="BQ246" s="214"/>
      <c r="BR246" s="214"/>
      <c r="BS246" s="214"/>
      <c r="BT246" s="214"/>
      <c r="BU246" s="214"/>
      <c r="BV246" s="214"/>
      <c r="BW246" s="214"/>
      <c r="BX246" s="223" t="s">
        <v>10</v>
      </c>
      <c r="BY246" s="222">
        <f>D246*F246+H246*J246</f>
        <v>47.642399999999995</v>
      </c>
      <c r="BZ246" s="204"/>
      <c r="CA246" s="204"/>
      <c r="CB246" s="204"/>
      <c r="CC246" s="200"/>
      <c r="CD246" s="202"/>
      <c r="CE246" s="201"/>
      <c r="CF246" s="200"/>
      <c r="CG246" s="202"/>
      <c r="CH246" s="201"/>
      <c r="CI246" s="201"/>
      <c r="CJ246" s="201"/>
      <c r="CK246" s="198"/>
      <c r="CL246" s="200"/>
      <c r="CM246" s="199"/>
      <c r="CN246" s="198"/>
    </row>
    <row r="247" spans="1:92">
      <c r="A247" s="208"/>
      <c r="B247" s="214"/>
      <c r="C247" s="221" t="s">
        <v>325</v>
      </c>
      <c r="D247" s="234">
        <v>3.06</v>
      </c>
      <c r="E247" s="234" t="s">
        <v>309</v>
      </c>
      <c r="F247" s="229">
        <v>1.1000000000000001</v>
      </c>
      <c r="G247" s="229"/>
      <c r="H247" s="229"/>
      <c r="I247" s="229"/>
      <c r="J247" s="229"/>
      <c r="K247" s="229"/>
      <c r="L247" s="229"/>
      <c r="M247" s="229"/>
      <c r="N247" s="229"/>
      <c r="O247" s="229"/>
      <c r="P247" s="229"/>
      <c r="Q247" s="229"/>
      <c r="R247" s="229"/>
      <c r="S247" s="229"/>
      <c r="T247" s="229"/>
      <c r="U247" s="229"/>
      <c r="V247" s="229"/>
      <c r="W247" s="236"/>
      <c r="X247" s="235"/>
      <c r="Y247" s="231"/>
      <c r="Z247" s="204"/>
      <c r="AA247" s="242"/>
      <c r="AB247" s="223"/>
      <c r="AC247" s="241"/>
      <c r="AD247" s="240"/>
      <c r="AE247" s="239"/>
      <c r="AF247" s="241"/>
      <c r="AG247" s="240"/>
      <c r="AH247" s="239"/>
      <c r="AI247" s="241"/>
      <c r="AJ247" s="240"/>
      <c r="AK247" s="239"/>
      <c r="AL247" s="241"/>
      <c r="AM247" s="240"/>
      <c r="AN247" s="239"/>
      <c r="AO247" s="238"/>
      <c r="AP247" s="237"/>
      <c r="AQ247" s="226"/>
      <c r="AR247" s="225"/>
      <c r="AS247" s="224"/>
      <c r="AT247" s="204"/>
      <c r="AU247" s="204"/>
      <c r="AV247" s="214"/>
      <c r="AW247" s="214"/>
      <c r="AX247" s="214"/>
      <c r="AY247" s="214"/>
      <c r="AZ247" s="214"/>
      <c r="BA247" s="214"/>
      <c r="BB247" s="214"/>
      <c r="BC247" s="214"/>
      <c r="BD247" s="214"/>
      <c r="BE247" s="214"/>
      <c r="BF247" s="214"/>
      <c r="BG247" s="214"/>
      <c r="BH247" s="214"/>
      <c r="BI247" s="214"/>
      <c r="BJ247" s="214"/>
      <c r="BK247" s="214"/>
      <c r="BL247" s="214"/>
      <c r="BM247" s="214"/>
      <c r="BN247" s="214"/>
      <c r="BO247" s="214"/>
      <c r="BP247" s="214"/>
      <c r="BQ247" s="214"/>
      <c r="BR247" s="214"/>
      <c r="BS247" s="214"/>
      <c r="BT247" s="214"/>
      <c r="BU247" s="214"/>
      <c r="BV247" s="214"/>
      <c r="BW247" s="214"/>
      <c r="BX247" s="223" t="s">
        <v>10</v>
      </c>
      <c r="BY247" s="222">
        <f>D247*F247+H247*J247</f>
        <v>3.3660000000000005</v>
      </c>
      <c r="BZ247" s="204"/>
      <c r="CA247" s="204"/>
      <c r="CB247" s="204"/>
      <c r="CC247" s="200"/>
      <c r="CD247" s="202"/>
      <c r="CE247" s="201"/>
      <c r="CF247" s="200"/>
      <c r="CG247" s="202"/>
      <c r="CH247" s="201"/>
      <c r="CI247" s="201"/>
      <c r="CJ247" s="201"/>
      <c r="CK247" s="198"/>
      <c r="CL247" s="200"/>
      <c r="CM247" s="199"/>
      <c r="CN247" s="198"/>
    </row>
    <row r="248" spans="1:92">
      <c r="A248" s="208"/>
      <c r="B248" s="214"/>
      <c r="C248" s="221" t="s">
        <v>324</v>
      </c>
      <c r="D248" s="234">
        <v>2.8</v>
      </c>
      <c r="E248" s="234" t="s">
        <v>309</v>
      </c>
      <c r="F248" s="229">
        <v>3.05</v>
      </c>
      <c r="G248" s="229"/>
      <c r="H248" s="229"/>
      <c r="I248" s="229"/>
      <c r="J248" s="229"/>
      <c r="K248" s="229"/>
      <c r="L248" s="229"/>
      <c r="M248" s="229"/>
      <c r="N248" s="229"/>
      <c r="O248" s="229"/>
      <c r="P248" s="229"/>
      <c r="Q248" s="229"/>
      <c r="R248" s="229"/>
      <c r="S248" s="229"/>
      <c r="T248" s="229"/>
      <c r="U248" s="229"/>
      <c r="V248" s="229"/>
      <c r="W248" s="236"/>
      <c r="X248" s="251"/>
      <c r="Y248" s="235"/>
      <c r="Z248" s="227"/>
      <c r="AA248" s="224"/>
      <c r="AB248" s="228"/>
      <c r="AC248" s="227"/>
      <c r="AD248" s="93"/>
      <c r="AE248" s="226"/>
      <c r="AF248" s="227"/>
      <c r="AG248" s="93"/>
      <c r="AH248" s="226"/>
      <c r="AI248" s="227"/>
      <c r="AJ248" s="93"/>
      <c r="AK248" s="226"/>
      <c r="AL248" s="227"/>
      <c r="AM248" s="93"/>
      <c r="AN248" s="226"/>
      <c r="AO248" s="95"/>
      <c r="AP248" s="93"/>
      <c r="AQ248" s="226"/>
      <c r="AR248" s="225"/>
      <c r="AS248" s="224"/>
      <c r="AT248" s="204"/>
      <c r="AU248" s="204"/>
      <c r="AV248" s="214"/>
      <c r="AW248" s="214"/>
      <c r="AX248" s="214"/>
      <c r="AY248" s="214"/>
      <c r="AZ248" s="214"/>
      <c r="BA248" s="214"/>
      <c r="BB248" s="214"/>
      <c r="BC248" s="214"/>
      <c r="BD248" s="214"/>
      <c r="BE248" s="214"/>
      <c r="BF248" s="214"/>
      <c r="BG248" s="214"/>
      <c r="BH248" s="214"/>
      <c r="BI248" s="214"/>
      <c r="BJ248" s="214"/>
      <c r="BK248" s="214"/>
      <c r="BL248" s="214"/>
      <c r="BM248" s="214"/>
      <c r="BN248" s="214"/>
      <c r="BO248" s="214"/>
      <c r="BP248" s="214"/>
      <c r="BQ248" s="214"/>
      <c r="BR248" s="214"/>
      <c r="BS248" s="214"/>
      <c r="BT248" s="214"/>
      <c r="BU248" s="214"/>
      <c r="BV248" s="214"/>
      <c r="BW248" s="214"/>
      <c r="BX248" s="223" t="s">
        <v>10</v>
      </c>
      <c r="BY248" s="222">
        <f>D248*F248+H248*J248</f>
        <v>8.5399999999999991</v>
      </c>
      <c r="BZ248" s="204"/>
      <c r="CA248" s="204"/>
      <c r="CB248" s="204"/>
      <c r="CC248" s="200"/>
      <c r="CD248" s="202"/>
      <c r="CE248" s="201"/>
      <c r="CF248" s="200"/>
      <c r="CG248" s="202"/>
      <c r="CH248" s="201"/>
      <c r="CI248" s="201"/>
      <c r="CJ248" s="201"/>
      <c r="CK248" s="198"/>
      <c r="CL248" s="200"/>
      <c r="CM248" s="199"/>
      <c r="CN248" s="198"/>
    </row>
    <row r="249" spans="1:92">
      <c r="A249" s="208"/>
      <c r="B249" s="214"/>
      <c r="C249" s="221" t="s">
        <v>323</v>
      </c>
      <c r="D249" s="234">
        <v>2</v>
      </c>
      <c r="E249" s="234" t="s">
        <v>309</v>
      </c>
      <c r="F249" s="229">
        <v>14.75</v>
      </c>
      <c r="G249" s="229"/>
      <c r="H249" s="229"/>
      <c r="I249" s="229"/>
      <c r="J249" s="229"/>
      <c r="K249" s="229"/>
      <c r="L249" s="229"/>
      <c r="M249" s="229"/>
      <c r="N249" s="229"/>
      <c r="O249" s="229"/>
      <c r="P249" s="229"/>
      <c r="Q249" s="229"/>
      <c r="R249" s="229"/>
      <c r="S249" s="229"/>
      <c r="T249" s="229"/>
      <c r="U249" s="229"/>
      <c r="V249" s="229"/>
      <c r="W249" s="236"/>
      <c r="X249" s="251"/>
      <c r="Y249" s="235"/>
      <c r="Z249" s="227"/>
      <c r="AA249" s="224"/>
      <c r="AB249" s="228"/>
      <c r="AC249" s="227"/>
      <c r="AD249" s="93"/>
      <c r="AE249" s="226"/>
      <c r="AF249" s="227"/>
      <c r="AG249" s="93"/>
      <c r="AH249" s="226"/>
      <c r="AI249" s="227"/>
      <c r="AJ249" s="93"/>
      <c r="AK249" s="226"/>
      <c r="AL249" s="227"/>
      <c r="AM249" s="93"/>
      <c r="AN249" s="226"/>
      <c r="AO249" s="95"/>
      <c r="AP249" s="93"/>
      <c r="AQ249" s="226"/>
      <c r="AR249" s="225"/>
      <c r="AS249" s="224"/>
      <c r="AT249" s="204"/>
      <c r="AU249" s="204"/>
      <c r="AV249" s="214"/>
      <c r="AW249" s="214"/>
      <c r="AX249" s="214"/>
      <c r="AY249" s="214"/>
      <c r="AZ249" s="214"/>
      <c r="BA249" s="214"/>
      <c r="BB249" s="214"/>
      <c r="BC249" s="214"/>
      <c r="BD249" s="214"/>
      <c r="BE249" s="214"/>
      <c r="BF249" s="214"/>
      <c r="BG249" s="214"/>
      <c r="BH249" s="214"/>
      <c r="BI249" s="214"/>
      <c r="BJ249" s="214"/>
      <c r="BK249" s="214"/>
      <c r="BL249" s="214"/>
      <c r="BM249" s="214"/>
      <c r="BN249" s="214"/>
      <c r="BO249" s="214"/>
      <c r="BP249" s="214"/>
      <c r="BQ249" s="214"/>
      <c r="BR249" s="214"/>
      <c r="BS249" s="214"/>
      <c r="BT249" s="214"/>
      <c r="BU249" s="214"/>
      <c r="BV249" s="214"/>
      <c r="BW249" s="214"/>
      <c r="BX249" s="223" t="s">
        <v>10</v>
      </c>
      <c r="BY249" s="222">
        <f>D249*F249+H249*J249</f>
        <v>29.5</v>
      </c>
      <c r="BZ249" s="204"/>
      <c r="CA249" s="204"/>
      <c r="CB249" s="204"/>
      <c r="CC249" s="200"/>
      <c r="CD249" s="202"/>
      <c r="CE249" s="201"/>
      <c r="CF249" s="200"/>
      <c r="CG249" s="202"/>
      <c r="CH249" s="201"/>
      <c r="CI249" s="201"/>
      <c r="CJ249" s="201"/>
      <c r="CK249" s="198"/>
      <c r="CL249" s="200"/>
      <c r="CM249" s="199"/>
      <c r="CN249" s="198"/>
    </row>
    <row r="250" spans="1:92">
      <c r="A250" s="208"/>
      <c r="B250" s="214"/>
      <c r="C250" s="221" t="s">
        <v>322</v>
      </c>
      <c r="D250" s="234">
        <v>3.65</v>
      </c>
      <c r="E250" s="234" t="s">
        <v>309</v>
      </c>
      <c r="F250" s="229">
        <v>3.5</v>
      </c>
      <c r="G250" s="229"/>
      <c r="H250" s="229"/>
      <c r="I250" s="229"/>
      <c r="J250" s="229"/>
      <c r="K250" s="229"/>
      <c r="L250" s="229"/>
      <c r="M250" s="229"/>
      <c r="N250" s="229"/>
      <c r="O250" s="229"/>
      <c r="P250" s="229"/>
      <c r="Q250" s="229"/>
      <c r="R250" s="229"/>
      <c r="S250" s="229"/>
      <c r="T250" s="229"/>
      <c r="U250" s="229"/>
      <c r="V250" s="229"/>
      <c r="W250" s="236"/>
      <c r="X250" s="251"/>
      <c r="Y250" s="235"/>
      <c r="Z250" s="227"/>
      <c r="AA250" s="224"/>
      <c r="AB250" s="228"/>
      <c r="AC250" s="227"/>
      <c r="AD250" s="93"/>
      <c r="AE250" s="226"/>
      <c r="AF250" s="227"/>
      <c r="AG250" s="93"/>
      <c r="AH250" s="226"/>
      <c r="AI250" s="227"/>
      <c r="AJ250" s="93"/>
      <c r="AK250" s="226"/>
      <c r="AL250" s="227"/>
      <c r="AM250" s="93"/>
      <c r="AN250" s="226"/>
      <c r="AO250" s="95"/>
      <c r="AP250" s="93"/>
      <c r="AQ250" s="226"/>
      <c r="AR250" s="225"/>
      <c r="AS250" s="224"/>
      <c r="AT250" s="204"/>
      <c r="AU250" s="204"/>
      <c r="AV250" s="214"/>
      <c r="AW250" s="214"/>
      <c r="AX250" s="214"/>
      <c r="AY250" s="214"/>
      <c r="AZ250" s="214"/>
      <c r="BA250" s="214"/>
      <c r="BB250" s="214"/>
      <c r="BC250" s="214"/>
      <c r="BD250" s="214"/>
      <c r="BE250" s="214"/>
      <c r="BF250" s="214"/>
      <c r="BG250" s="214"/>
      <c r="BH250" s="214"/>
      <c r="BI250" s="214"/>
      <c r="BJ250" s="214"/>
      <c r="BK250" s="214"/>
      <c r="BL250" s="214"/>
      <c r="BM250" s="214"/>
      <c r="BN250" s="214"/>
      <c r="BO250" s="214"/>
      <c r="BP250" s="214"/>
      <c r="BQ250" s="214"/>
      <c r="BR250" s="214"/>
      <c r="BS250" s="214"/>
      <c r="BT250" s="214"/>
      <c r="BU250" s="214"/>
      <c r="BV250" s="214"/>
      <c r="BW250" s="214"/>
      <c r="BX250" s="223" t="s">
        <v>10</v>
      </c>
      <c r="BY250" s="222">
        <f>D250*F250+H250*J250</f>
        <v>12.775</v>
      </c>
      <c r="BZ250" s="204"/>
      <c r="CA250" s="204"/>
      <c r="CB250" s="204"/>
      <c r="CC250" s="200"/>
      <c r="CD250" s="202"/>
      <c r="CE250" s="201"/>
      <c r="CF250" s="200"/>
      <c r="CG250" s="202"/>
      <c r="CH250" s="201"/>
      <c r="CI250" s="201"/>
      <c r="CJ250" s="201"/>
      <c r="CK250" s="198"/>
      <c r="CL250" s="200"/>
      <c r="CM250" s="199"/>
      <c r="CN250" s="198"/>
    </row>
    <row r="251" spans="1:92">
      <c r="A251" s="208"/>
      <c r="B251" s="214"/>
      <c r="C251" s="221" t="s">
        <v>321</v>
      </c>
      <c r="D251" s="234">
        <v>3.5</v>
      </c>
      <c r="E251" s="234" t="s">
        <v>309</v>
      </c>
      <c r="F251" s="229">
        <v>1.3</v>
      </c>
      <c r="G251" s="229"/>
      <c r="H251" s="229"/>
      <c r="I251" s="229"/>
      <c r="J251" s="229"/>
      <c r="K251" s="229"/>
      <c r="L251" s="229"/>
      <c r="M251" s="229"/>
      <c r="N251" s="229"/>
      <c r="O251" s="229"/>
      <c r="P251" s="229"/>
      <c r="Q251" s="229"/>
      <c r="R251" s="229"/>
      <c r="S251" s="229"/>
      <c r="T251" s="229"/>
      <c r="U251" s="229"/>
      <c r="V251" s="229"/>
      <c r="W251" s="236"/>
      <c r="X251" s="232"/>
      <c r="Y251" s="235"/>
      <c r="Z251" s="227"/>
      <c r="AA251" s="224"/>
      <c r="AB251" s="228"/>
      <c r="AC251" s="227"/>
      <c r="AD251" s="93"/>
      <c r="AE251" s="226"/>
      <c r="AF251" s="227"/>
      <c r="AG251" s="93"/>
      <c r="AH251" s="226"/>
      <c r="AI251" s="227"/>
      <c r="AJ251" s="93"/>
      <c r="AK251" s="226"/>
      <c r="AL251" s="227"/>
      <c r="AM251" s="93"/>
      <c r="AN251" s="226"/>
      <c r="AO251" s="95"/>
      <c r="AP251" s="93"/>
      <c r="AQ251" s="226"/>
      <c r="AR251" s="225"/>
      <c r="AS251" s="224"/>
      <c r="AT251" s="204"/>
      <c r="AU251" s="204"/>
      <c r="AV251" s="214"/>
      <c r="AW251" s="214"/>
      <c r="AX251" s="214"/>
      <c r="AY251" s="214"/>
      <c r="AZ251" s="214"/>
      <c r="BA251" s="214"/>
      <c r="BB251" s="214"/>
      <c r="BC251" s="214"/>
      <c r="BD251" s="214"/>
      <c r="BE251" s="214"/>
      <c r="BF251" s="214"/>
      <c r="BG251" s="214"/>
      <c r="BH251" s="214"/>
      <c r="BI251" s="214"/>
      <c r="BJ251" s="214"/>
      <c r="BK251" s="214"/>
      <c r="BL251" s="214"/>
      <c r="BM251" s="214"/>
      <c r="BN251" s="214"/>
      <c r="BO251" s="214"/>
      <c r="BP251" s="214"/>
      <c r="BQ251" s="214"/>
      <c r="BR251" s="214"/>
      <c r="BS251" s="214"/>
      <c r="BT251" s="214"/>
      <c r="BU251" s="214"/>
      <c r="BV251" s="214"/>
      <c r="BW251" s="214"/>
      <c r="BX251" s="223" t="s">
        <v>10</v>
      </c>
      <c r="BY251" s="222">
        <f>D251*F251+H251*J251</f>
        <v>4.55</v>
      </c>
      <c r="BZ251" s="204"/>
      <c r="CA251" s="204"/>
      <c r="CB251" s="204"/>
      <c r="CC251" s="200"/>
      <c r="CD251" s="202"/>
      <c r="CE251" s="201"/>
      <c r="CF251" s="200"/>
      <c r="CG251" s="202"/>
      <c r="CH251" s="201"/>
      <c r="CI251" s="201"/>
      <c r="CJ251" s="201"/>
      <c r="CK251" s="198"/>
      <c r="CL251" s="200"/>
      <c r="CM251" s="199"/>
      <c r="CN251" s="198"/>
    </row>
    <row r="252" spans="1:92">
      <c r="A252" s="208"/>
      <c r="B252" s="214"/>
      <c r="C252" s="221" t="s">
        <v>320</v>
      </c>
      <c r="D252" s="234">
        <v>3.65</v>
      </c>
      <c r="E252" s="234" t="s">
        <v>309</v>
      </c>
      <c r="F252" s="229">
        <v>3.5</v>
      </c>
      <c r="G252" s="229"/>
      <c r="H252" s="229"/>
      <c r="I252" s="229"/>
      <c r="J252" s="229"/>
      <c r="K252" s="229"/>
      <c r="L252" s="229"/>
      <c r="M252" s="229"/>
      <c r="N252" s="229"/>
      <c r="O252" s="229"/>
      <c r="P252" s="229"/>
      <c r="Q252" s="229"/>
      <c r="R252" s="229"/>
      <c r="S252" s="229"/>
      <c r="T252" s="229"/>
      <c r="U252" s="229"/>
      <c r="V252" s="229"/>
      <c r="W252" s="236"/>
      <c r="X252" s="232"/>
      <c r="Y252" s="235"/>
      <c r="Z252" s="227"/>
      <c r="AA252" s="224"/>
      <c r="AB252" s="228"/>
      <c r="AC252" s="227"/>
      <c r="AD252" s="93"/>
      <c r="AE252" s="226"/>
      <c r="AF252" s="227"/>
      <c r="AG252" s="93"/>
      <c r="AH252" s="226"/>
      <c r="AI252" s="227"/>
      <c r="AJ252" s="93"/>
      <c r="AK252" s="226"/>
      <c r="AL252" s="227"/>
      <c r="AM252" s="93"/>
      <c r="AN252" s="226"/>
      <c r="AO252" s="95"/>
      <c r="AP252" s="93"/>
      <c r="AQ252" s="226"/>
      <c r="AR252" s="225"/>
      <c r="AS252" s="224"/>
      <c r="AT252" s="204"/>
      <c r="AU252" s="204"/>
      <c r="AV252" s="214"/>
      <c r="AW252" s="214"/>
      <c r="AX252" s="214"/>
      <c r="AY252" s="214"/>
      <c r="AZ252" s="214"/>
      <c r="BA252" s="214"/>
      <c r="BB252" s="214"/>
      <c r="BC252" s="214"/>
      <c r="BD252" s="214"/>
      <c r="BE252" s="214"/>
      <c r="BF252" s="214"/>
      <c r="BG252" s="214"/>
      <c r="BH252" s="214"/>
      <c r="BI252" s="214"/>
      <c r="BJ252" s="214"/>
      <c r="BK252" s="214"/>
      <c r="BL252" s="214"/>
      <c r="BM252" s="214"/>
      <c r="BN252" s="214"/>
      <c r="BO252" s="214"/>
      <c r="BP252" s="214"/>
      <c r="BQ252" s="214"/>
      <c r="BR252" s="214"/>
      <c r="BS252" s="214"/>
      <c r="BT252" s="214"/>
      <c r="BU252" s="214"/>
      <c r="BV252" s="214"/>
      <c r="BW252" s="214"/>
      <c r="BX252" s="223" t="s">
        <v>10</v>
      </c>
      <c r="BY252" s="222">
        <f>D252*F252+H252*J252</f>
        <v>12.775</v>
      </c>
      <c r="BZ252" s="204"/>
      <c r="CA252" s="204"/>
      <c r="CB252" s="204"/>
      <c r="CC252" s="200"/>
      <c r="CD252" s="202"/>
      <c r="CE252" s="201"/>
      <c r="CF252" s="200"/>
      <c r="CG252" s="202"/>
      <c r="CH252" s="201"/>
      <c r="CI252" s="201"/>
      <c r="CJ252" s="201"/>
      <c r="CK252" s="198"/>
      <c r="CL252" s="200"/>
      <c r="CM252" s="199"/>
      <c r="CN252" s="198"/>
    </row>
    <row r="253" spans="1:92">
      <c r="A253" s="208"/>
      <c r="B253" s="214"/>
      <c r="C253" s="221" t="s">
        <v>314</v>
      </c>
      <c r="D253" s="234">
        <v>2.4</v>
      </c>
      <c r="E253" s="234" t="s">
        <v>309</v>
      </c>
      <c r="F253" s="229">
        <v>1.3</v>
      </c>
      <c r="G253" s="229"/>
      <c r="H253" s="229"/>
      <c r="I253" s="229"/>
      <c r="J253" s="229"/>
      <c r="K253" s="229"/>
      <c r="L253" s="229"/>
      <c r="M253" s="229"/>
      <c r="N253" s="229"/>
      <c r="O253" s="229"/>
      <c r="P253" s="229"/>
      <c r="Q253" s="229"/>
      <c r="R253" s="229"/>
      <c r="S253" s="229"/>
      <c r="T253" s="229"/>
      <c r="U253" s="229"/>
      <c r="V253" s="229"/>
      <c r="W253" s="236"/>
      <c r="X253" s="232"/>
      <c r="Y253" s="235"/>
      <c r="Z253" s="227"/>
      <c r="AA253" s="224"/>
      <c r="AB253" s="228"/>
      <c r="AC253" s="227"/>
      <c r="AD253" s="93"/>
      <c r="AE253" s="226"/>
      <c r="AF253" s="227"/>
      <c r="AG253" s="93"/>
      <c r="AH253" s="226"/>
      <c r="AI253" s="227"/>
      <c r="AJ253" s="93"/>
      <c r="AK253" s="226"/>
      <c r="AL253" s="227"/>
      <c r="AM253" s="93"/>
      <c r="AN253" s="226"/>
      <c r="AO253" s="95"/>
      <c r="AP253" s="93"/>
      <c r="AQ253" s="226"/>
      <c r="AR253" s="225"/>
      <c r="AS253" s="224"/>
      <c r="AT253" s="204"/>
      <c r="AU253" s="204"/>
      <c r="AV253" s="214"/>
      <c r="AW253" s="214"/>
      <c r="AX253" s="214"/>
      <c r="AY253" s="214"/>
      <c r="AZ253" s="214"/>
      <c r="BA253" s="214"/>
      <c r="BB253" s="214"/>
      <c r="BC253" s="214"/>
      <c r="BD253" s="214"/>
      <c r="BE253" s="214"/>
      <c r="BF253" s="214"/>
      <c r="BG253" s="214"/>
      <c r="BH253" s="214"/>
      <c r="BI253" s="214"/>
      <c r="BJ253" s="214"/>
      <c r="BK253" s="214"/>
      <c r="BL253" s="214"/>
      <c r="BM253" s="214"/>
      <c r="BN253" s="214"/>
      <c r="BO253" s="214"/>
      <c r="BP253" s="214"/>
      <c r="BQ253" s="214"/>
      <c r="BR253" s="214"/>
      <c r="BS253" s="214"/>
      <c r="BT253" s="214"/>
      <c r="BU253" s="214"/>
      <c r="BV253" s="214"/>
      <c r="BW253" s="214"/>
      <c r="BX253" s="223" t="s">
        <v>10</v>
      </c>
      <c r="BY253" s="222">
        <f>D253*F253+H253*J253</f>
        <v>3.12</v>
      </c>
      <c r="BZ253" s="204"/>
      <c r="CA253" s="204"/>
      <c r="CB253" s="204"/>
      <c r="CC253" s="200"/>
      <c r="CD253" s="202"/>
      <c r="CE253" s="201"/>
      <c r="CF253" s="200"/>
      <c r="CG253" s="202"/>
      <c r="CH253" s="201"/>
      <c r="CI253" s="201"/>
      <c r="CJ253" s="201"/>
      <c r="CK253" s="198"/>
      <c r="CL253" s="200"/>
      <c r="CM253" s="199"/>
      <c r="CN253" s="198"/>
    </row>
    <row r="254" spans="1:92">
      <c r="A254" s="208"/>
      <c r="B254" s="214"/>
      <c r="C254" s="221" t="s">
        <v>319</v>
      </c>
      <c r="D254" s="234">
        <v>3.65</v>
      </c>
      <c r="E254" s="234" t="s">
        <v>309</v>
      </c>
      <c r="F254" s="229">
        <v>3.5</v>
      </c>
      <c r="G254" s="229"/>
      <c r="H254" s="229"/>
      <c r="I254" s="229"/>
      <c r="J254" s="229"/>
      <c r="K254" s="229"/>
      <c r="L254" s="229"/>
      <c r="M254" s="229"/>
      <c r="N254" s="229"/>
      <c r="O254" s="229"/>
      <c r="P254" s="229"/>
      <c r="Q254" s="229"/>
      <c r="R254" s="229"/>
      <c r="S254" s="229"/>
      <c r="T254" s="229"/>
      <c r="U254" s="229"/>
      <c r="V254" s="229"/>
      <c r="W254" s="236"/>
      <c r="X254" s="232"/>
      <c r="Y254" s="235"/>
      <c r="Z254" s="227"/>
      <c r="AA254" s="224"/>
      <c r="AB254" s="228"/>
      <c r="AC254" s="227"/>
      <c r="AD254" s="93"/>
      <c r="AE254" s="226"/>
      <c r="AF254" s="227"/>
      <c r="AG254" s="93"/>
      <c r="AH254" s="226"/>
      <c r="AI254" s="227"/>
      <c r="AJ254" s="93"/>
      <c r="AK254" s="226"/>
      <c r="AL254" s="227"/>
      <c r="AM254" s="93"/>
      <c r="AN254" s="226"/>
      <c r="AO254" s="95"/>
      <c r="AP254" s="93"/>
      <c r="AQ254" s="226"/>
      <c r="AR254" s="225"/>
      <c r="AS254" s="224"/>
      <c r="AT254" s="204"/>
      <c r="AU254" s="204"/>
      <c r="AV254" s="214"/>
      <c r="AW254" s="214"/>
      <c r="AX254" s="214"/>
      <c r="AY254" s="214"/>
      <c r="AZ254" s="214"/>
      <c r="BA254" s="214"/>
      <c r="BB254" s="214"/>
      <c r="BC254" s="214"/>
      <c r="BD254" s="214"/>
      <c r="BE254" s="214"/>
      <c r="BF254" s="214"/>
      <c r="BG254" s="214"/>
      <c r="BH254" s="214"/>
      <c r="BI254" s="214"/>
      <c r="BJ254" s="214"/>
      <c r="BK254" s="214"/>
      <c r="BL254" s="214"/>
      <c r="BM254" s="214"/>
      <c r="BN254" s="214"/>
      <c r="BO254" s="214"/>
      <c r="BP254" s="214"/>
      <c r="BQ254" s="214"/>
      <c r="BR254" s="214"/>
      <c r="BS254" s="214"/>
      <c r="BT254" s="214"/>
      <c r="BU254" s="214"/>
      <c r="BV254" s="214"/>
      <c r="BW254" s="214"/>
      <c r="BX254" s="223" t="s">
        <v>10</v>
      </c>
      <c r="BY254" s="222">
        <f>D254*F254+H254*J254</f>
        <v>12.775</v>
      </c>
      <c r="BZ254" s="204"/>
      <c r="CA254" s="204"/>
      <c r="CB254" s="204"/>
      <c r="CC254" s="200"/>
      <c r="CD254" s="202"/>
      <c r="CE254" s="201"/>
      <c r="CF254" s="200"/>
      <c r="CG254" s="202"/>
      <c r="CH254" s="201"/>
      <c r="CI254" s="201"/>
      <c r="CJ254" s="201"/>
      <c r="CK254" s="198"/>
      <c r="CL254" s="200"/>
      <c r="CM254" s="199"/>
      <c r="CN254" s="198"/>
    </row>
    <row r="255" spans="1:92">
      <c r="A255" s="208"/>
      <c r="B255" s="214"/>
      <c r="C255" s="221" t="s">
        <v>314</v>
      </c>
      <c r="D255" s="234">
        <v>2.4</v>
      </c>
      <c r="E255" s="234" t="s">
        <v>309</v>
      </c>
      <c r="F255" s="229">
        <v>1.3</v>
      </c>
      <c r="G255" s="229"/>
      <c r="H255" s="229"/>
      <c r="I255" s="229"/>
      <c r="J255" s="229"/>
      <c r="K255" s="229"/>
      <c r="L255" s="229"/>
      <c r="M255" s="229"/>
      <c r="N255" s="229"/>
      <c r="O255" s="229"/>
      <c r="P255" s="229"/>
      <c r="Q255" s="229"/>
      <c r="R255" s="229"/>
      <c r="S255" s="229"/>
      <c r="T255" s="229"/>
      <c r="U255" s="229"/>
      <c r="V255" s="229"/>
      <c r="W255" s="236"/>
      <c r="X255" s="232"/>
      <c r="Y255" s="235"/>
      <c r="Z255" s="227"/>
      <c r="AA255" s="224"/>
      <c r="AB255" s="228"/>
      <c r="AC255" s="227"/>
      <c r="AD255" s="93"/>
      <c r="AE255" s="226"/>
      <c r="AF255" s="227"/>
      <c r="AG255" s="93"/>
      <c r="AH255" s="226"/>
      <c r="AI255" s="227"/>
      <c r="AJ255" s="93"/>
      <c r="AK255" s="226"/>
      <c r="AL255" s="227"/>
      <c r="AM255" s="93"/>
      <c r="AN255" s="226"/>
      <c r="AO255" s="95"/>
      <c r="AP255" s="93"/>
      <c r="AQ255" s="226"/>
      <c r="AR255" s="225"/>
      <c r="AS255" s="224"/>
      <c r="AT255" s="204"/>
      <c r="AU255" s="204"/>
      <c r="AV255" s="214"/>
      <c r="AW255" s="214"/>
      <c r="AX255" s="214"/>
      <c r="AY255" s="214"/>
      <c r="AZ255" s="214"/>
      <c r="BA255" s="214"/>
      <c r="BB255" s="214"/>
      <c r="BC255" s="214"/>
      <c r="BD255" s="214"/>
      <c r="BE255" s="214"/>
      <c r="BF255" s="214"/>
      <c r="BG255" s="214"/>
      <c r="BH255" s="214"/>
      <c r="BI255" s="214"/>
      <c r="BJ255" s="214"/>
      <c r="BK255" s="214"/>
      <c r="BL255" s="214"/>
      <c r="BM255" s="214"/>
      <c r="BN255" s="214"/>
      <c r="BO255" s="214"/>
      <c r="BP255" s="214"/>
      <c r="BQ255" s="214"/>
      <c r="BR255" s="214"/>
      <c r="BS255" s="214"/>
      <c r="BT255" s="214"/>
      <c r="BU255" s="214"/>
      <c r="BV255" s="214"/>
      <c r="BW255" s="214"/>
      <c r="BX255" s="223" t="s">
        <v>10</v>
      </c>
      <c r="BY255" s="222">
        <f>D255*F255+H255*J255</f>
        <v>3.12</v>
      </c>
      <c r="BZ255" s="204"/>
      <c r="CA255" s="204"/>
      <c r="CB255" s="204"/>
      <c r="CC255" s="200"/>
      <c r="CD255" s="202"/>
      <c r="CE255" s="201"/>
      <c r="CF255" s="200"/>
      <c r="CG255" s="202"/>
      <c r="CH255" s="201"/>
      <c r="CI255" s="201"/>
      <c r="CJ255" s="201"/>
      <c r="CK255" s="198"/>
      <c r="CL255" s="200"/>
      <c r="CM255" s="199"/>
      <c r="CN255" s="198"/>
    </row>
    <row r="256" spans="1:92">
      <c r="A256" s="208"/>
      <c r="B256" s="214"/>
      <c r="C256" s="221" t="s">
        <v>318</v>
      </c>
      <c r="D256" s="234">
        <v>3.65</v>
      </c>
      <c r="E256" s="234" t="s">
        <v>309</v>
      </c>
      <c r="F256" s="229">
        <v>3.5</v>
      </c>
      <c r="G256" s="229"/>
      <c r="H256" s="229"/>
      <c r="I256" s="229"/>
      <c r="J256" s="229"/>
      <c r="K256" s="229"/>
      <c r="L256" s="229"/>
      <c r="M256" s="229"/>
      <c r="N256" s="229"/>
      <c r="O256" s="229"/>
      <c r="P256" s="229"/>
      <c r="Q256" s="229"/>
      <c r="R256" s="229"/>
      <c r="S256" s="229"/>
      <c r="T256" s="229"/>
      <c r="U256" s="229"/>
      <c r="V256" s="229"/>
      <c r="W256" s="236"/>
      <c r="X256" s="232"/>
      <c r="Y256" s="235"/>
      <c r="Z256" s="227"/>
      <c r="AA256" s="224"/>
      <c r="AB256" s="228"/>
      <c r="AC256" s="227"/>
      <c r="AD256" s="93"/>
      <c r="AE256" s="226"/>
      <c r="AF256" s="227"/>
      <c r="AG256" s="93"/>
      <c r="AH256" s="226"/>
      <c r="AI256" s="227"/>
      <c r="AJ256" s="93"/>
      <c r="AK256" s="226"/>
      <c r="AL256" s="227"/>
      <c r="AM256" s="93"/>
      <c r="AN256" s="226"/>
      <c r="AO256" s="95"/>
      <c r="AP256" s="93"/>
      <c r="AQ256" s="226"/>
      <c r="AR256" s="225"/>
      <c r="AS256" s="224"/>
      <c r="AT256" s="204"/>
      <c r="AU256" s="204"/>
      <c r="AV256" s="214"/>
      <c r="AW256" s="214"/>
      <c r="AX256" s="214"/>
      <c r="AY256" s="214"/>
      <c r="AZ256" s="214"/>
      <c r="BA256" s="214"/>
      <c r="BB256" s="214"/>
      <c r="BC256" s="214"/>
      <c r="BD256" s="214"/>
      <c r="BE256" s="214"/>
      <c r="BF256" s="214"/>
      <c r="BG256" s="214"/>
      <c r="BH256" s="214"/>
      <c r="BI256" s="214"/>
      <c r="BJ256" s="214"/>
      <c r="BK256" s="214"/>
      <c r="BL256" s="214"/>
      <c r="BM256" s="214"/>
      <c r="BN256" s="214"/>
      <c r="BO256" s="214"/>
      <c r="BP256" s="214"/>
      <c r="BQ256" s="214"/>
      <c r="BR256" s="214"/>
      <c r="BS256" s="214"/>
      <c r="BT256" s="214"/>
      <c r="BU256" s="214"/>
      <c r="BV256" s="214"/>
      <c r="BW256" s="214"/>
      <c r="BX256" s="223" t="s">
        <v>10</v>
      </c>
      <c r="BY256" s="222">
        <f>D256*F256+H256*J256</f>
        <v>12.775</v>
      </c>
      <c r="BZ256" s="204"/>
      <c r="CA256" s="204"/>
      <c r="CB256" s="204"/>
      <c r="CC256" s="200"/>
      <c r="CD256" s="202"/>
      <c r="CE256" s="201"/>
      <c r="CF256" s="200"/>
      <c r="CG256" s="202"/>
      <c r="CH256" s="201"/>
      <c r="CI256" s="201"/>
      <c r="CJ256" s="201"/>
      <c r="CK256" s="198"/>
      <c r="CL256" s="200"/>
      <c r="CM256" s="199"/>
      <c r="CN256" s="198"/>
    </row>
    <row r="257" spans="1:92">
      <c r="A257" s="208"/>
      <c r="B257" s="214"/>
      <c r="C257" s="221" t="s">
        <v>314</v>
      </c>
      <c r="D257" s="234">
        <v>2.4</v>
      </c>
      <c r="E257" s="234" t="s">
        <v>309</v>
      </c>
      <c r="F257" s="229">
        <v>1.3</v>
      </c>
      <c r="G257" s="229"/>
      <c r="H257" s="229"/>
      <c r="I257" s="229"/>
      <c r="J257" s="229"/>
      <c r="K257" s="229"/>
      <c r="L257" s="229"/>
      <c r="M257" s="229"/>
      <c r="N257" s="229"/>
      <c r="O257" s="229"/>
      <c r="P257" s="229"/>
      <c r="Q257" s="229"/>
      <c r="R257" s="229"/>
      <c r="S257" s="229"/>
      <c r="T257" s="229"/>
      <c r="U257" s="229"/>
      <c r="V257" s="229"/>
      <c r="W257" s="236"/>
      <c r="X257" s="232"/>
      <c r="Y257" s="235"/>
      <c r="Z257" s="227"/>
      <c r="AA257" s="224"/>
      <c r="AB257" s="228"/>
      <c r="AC257" s="227"/>
      <c r="AD257" s="93"/>
      <c r="AE257" s="226"/>
      <c r="AF257" s="227"/>
      <c r="AG257" s="93"/>
      <c r="AH257" s="226"/>
      <c r="AI257" s="227"/>
      <c r="AJ257" s="93"/>
      <c r="AK257" s="226"/>
      <c r="AL257" s="227"/>
      <c r="AM257" s="93"/>
      <c r="AN257" s="226"/>
      <c r="AO257" s="95"/>
      <c r="AP257" s="93"/>
      <c r="AQ257" s="226"/>
      <c r="AR257" s="225"/>
      <c r="AS257" s="224"/>
      <c r="AT257" s="204"/>
      <c r="AU257" s="204"/>
      <c r="AV257" s="214"/>
      <c r="AW257" s="214"/>
      <c r="AX257" s="214"/>
      <c r="AY257" s="214"/>
      <c r="AZ257" s="214"/>
      <c r="BA257" s="214"/>
      <c r="BB257" s="214"/>
      <c r="BC257" s="214"/>
      <c r="BD257" s="214"/>
      <c r="BE257" s="214"/>
      <c r="BF257" s="214"/>
      <c r="BG257" s="214"/>
      <c r="BH257" s="214"/>
      <c r="BI257" s="214"/>
      <c r="BJ257" s="214"/>
      <c r="BK257" s="214"/>
      <c r="BL257" s="214"/>
      <c r="BM257" s="214"/>
      <c r="BN257" s="214"/>
      <c r="BO257" s="214"/>
      <c r="BP257" s="214"/>
      <c r="BQ257" s="214"/>
      <c r="BR257" s="214"/>
      <c r="BS257" s="214"/>
      <c r="BT257" s="214"/>
      <c r="BU257" s="214"/>
      <c r="BV257" s="214"/>
      <c r="BW257" s="214"/>
      <c r="BX257" s="223" t="s">
        <v>10</v>
      </c>
      <c r="BY257" s="222">
        <f>D257*F257+H257*J257</f>
        <v>3.12</v>
      </c>
      <c r="BZ257" s="204"/>
      <c r="CA257" s="204"/>
      <c r="CB257" s="204"/>
      <c r="CC257" s="200"/>
      <c r="CD257" s="202"/>
      <c r="CE257" s="201"/>
      <c r="CF257" s="200"/>
      <c r="CG257" s="202"/>
      <c r="CH257" s="201"/>
      <c r="CI257" s="201"/>
      <c r="CJ257" s="201"/>
      <c r="CK257" s="198"/>
      <c r="CL257" s="200"/>
      <c r="CM257" s="199"/>
      <c r="CN257" s="198"/>
    </row>
    <row r="258" spans="1:92">
      <c r="A258" s="208"/>
      <c r="B258" s="214"/>
      <c r="C258" s="221" t="s">
        <v>317</v>
      </c>
      <c r="D258" s="234">
        <v>3.65</v>
      </c>
      <c r="E258" s="234" t="s">
        <v>309</v>
      </c>
      <c r="F258" s="229">
        <v>3.5</v>
      </c>
      <c r="G258" s="229"/>
      <c r="H258" s="229"/>
      <c r="I258" s="229"/>
      <c r="J258" s="229"/>
      <c r="K258" s="229"/>
      <c r="L258" s="229"/>
      <c r="M258" s="229"/>
      <c r="N258" s="229"/>
      <c r="O258" s="229"/>
      <c r="P258" s="229"/>
      <c r="Q258" s="229"/>
      <c r="R258" s="229"/>
      <c r="S258" s="229"/>
      <c r="T258" s="229"/>
      <c r="U258" s="229"/>
      <c r="V258" s="229"/>
      <c r="W258" s="236"/>
      <c r="X258" s="232"/>
      <c r="Y258" s="235"/>
      <c r="Z258" s="227"/>
      <c r="AA258" s="224"/>
      <c r="AB258" s="228"/>
      <c r="AC258" s="227"/>
      <c r="AD258" s="93"/>
      <c r="AE258" s="226"/>
      <c r="AF258" s="227"/>
      <c r="AG258" s="93"/>
      <c r="AH258" s="226"/>
      <c r="AI258" s="227"/>
      <c r="AJ258" s="93"/>
      <c r="AK258" s="226"/>
      <c r="AL258" s="227"/>
      <c r="AM258" s="93"/>
      <c r="AN258" s="226"/>
      <c r="AO258" s="95"/>
      <c r="AP258" s="93"/>
      <c r="AQ258" s="226"/>
      <c r="AR258" s="225"/>
      <c r="AS258" s="224"/>
      <c r="AT258" s="204"/>
      <c r="AU258" s="204"/>
      <c r="AV258" s="214"/>
      <c r="AW258" s="214"/>
      <c r="AX258" s="214"/>
      <c r="AY258" s="214"/>
      <c r="AZ258" s="214"/>
      <c r="BA258" s="214"/>
      <c r="BB258" s="214"/>
      <c r="BC258" s="214"/>
      <c r="BD258" s="214"/>
      <c r="BE258" s="214"/>
      <c r="BF258" s="214"/>
      <c r="BG258" s="214"/>
      <c r="BH258" s="214"/>
      <c r="BI258" s="214"/>
      <c r="BJ258" s="214"/>
      <c r="BK258" s="214"/>
      <c r="BL258" s="214"/>
      <c r="BM258" s="214"/>
      <c r="BN258" s="214"/>
      <c r="BO258" s="214"/>
      <c r="BP258" s="214"/>
      <c r="BQ258" s="214"/>
      <c r="BR258" s="214"/>
      <c r="BS258" s="214"/>
      <c r="BT258" s="214"/>
      <c r="BU258" s="214"/>
      <c r="BV258" s="214"/>
      <c r="BW258" s="214"/>
      <c r="BX258" s="223" t="s">
        <v>10</v>
      </c>
      <c r="BY258" s="222">
        <f>D258*F258+H258*J258</f>
        <v>12.775</v>
      </c>
      <c r="BZ258" s="204"/>
      <c r="CA258" s="204"/>
      <c r="CB258" s="204"/>
      <c r="CC258" s="200"/>
      <c r="CD258" s="202"/>
      <c r="CE258" s="201"/>
      <c r="CF258" s="200"/>
      <c r="CG258" s="202"/>
      <c r="CH258" s="201"/>
      <c r="CI258" s="201"/>
      <c r="CJ258" s="201"/>
      <c r="CK258" s="198"/>
      <c r="CL258" s="200"/>
      <c r="CM258" s="199"/>
      <c r="CN258" s="198"/>
    </row>
    <row r="259" spans="1:92">
      <c r="A259" s="208"/>
      <c r="B259" s="214"/>
      <c r="C259" s="221" t="s">
        <v>314</v>
      </c>
      <c r="D259" s="234">
        <v>2.4</v>
      </c>
      <c r="E259" s="234" t="s">
        <v>309</v>
      </c>
      <c r="F259" s="229">
        <v>1.3</v>
      </c>
      <c r="G259" s="229"/>
      <c r="H259" s="229"/>
      <c r="I259" s="229"/>
      <c r="J259" s="229"/>
      <c r="K259" s="229"/>
      <c r="L259" s="229"/>
      <c r="M259" s="229"/>
      <c r="N259" s="229"/>
      <c r="O259" s="229"/>
      <c r="P259" s="229"/>
      <c r="Q259" s="229"/>
      <c r="R259" s="229"/>
      <c r="S259" s="229"/>
      <c r="T259" s="229"/>
      <c r="U259" s="229"/>
      <c r="V259" s="229"/>
      <c r="W259" s="236"/>
      <c r="X259" s="232"/>
      <c r="Y259" s="235"/>
      <c r="Z259" s="227"/>
      <c r="AA259" s="224"/>
      <c r="AB259" s="228"/>
      <c r="AC259" s="227"/>
      <c r="AD259" s="93"/>
      <c r="AE259" s="226"/>
      <c r="AF259" s="227"/>
      <c r="AG259" s="93"/>
      <c r="AH259" s="226"/>
      <c r="AI259" s="227"/>
      <c r="AJ259" s="93"/>
      <c r="AK259" s="226"/>
      <c r="AL259" s="227"/>
      <c r="AM259" s="93"/>
      <c r="AN259" s="226"/>
      <c r="AO259" s="95"/>
      <c r="AP259" s="93"/>
      <c r="AQ259" s="226"/>
      <c r="AR259" s="225"/>
      <c r="AS259" s="224"/>
      <c r="AT259" s="204"/>
      <c r="AU259" s="204"/>
      <c r="AV259" s="214"/>
      <c r="AW259" s="214"/>
      <c r="AX259" s="214"/>
      <c r="AY259" s="214"/>
      <c r="AZ259" s="214"/>
      <c r="BA259" s="214"/>
      <c r="BB259" s="214"/>
      <c r="BC259" s="214"/>
      <c r="BD259" s="214"/>
      <c r="BE259" s="214"/>
      <c r="BF259" s="214"/>
      <c r="BG259" s="214"/>
      <c r="BH259" s="214"/>
      <c r="BI259" s="214"/>
      <c r="BJ259" s="214"/>
      <c r="BK259" s="214"/>
      <c r="BL259" s="214"/>
      <c r="BM259" s="214"/>
      <c r="BN259" s="214"/>
      <c r="BO259" s="214"/>
      <c r="BP259" s="214"/>
      <c r="BQ259" s="214"/>
      <c r="BR259" s="214"/>
      <c r="BS259" s="214"/>
      <c r="BT259" s="214"/>
      <c r="BU259" s="214"/>
      <c r="BV259" s="214"/>
      <c r="BW259" s="214"/>
      <c r="BX259" s="223" t="s">
        <v>10</v>
      </c>
      <c r="BY259" s="222">
        <f>D259*F259+H259*J259</f>
        <v>3.12</v>
      </c>
      <c r="BZ259" s="204"/>
      <c r="CA259" s="204"/>
      <c r="CB259" s="204"/>
      <c r="CC259" s="200"/>
      <c r="CD259" s="202"/>
      <c r="CE259" s="201"/>
      <c r="CF259" s="200"/>
      <c r="CG259" s="202"/>
      <c r="CH259" s="201"/>
      <c r="CI259" s="201"/>
      <c r="CJ259" s="201"/>
      <c r="CK259" s="198"/>
      <c r="CL259" s="200"/>
      <c r="CM259" s="199"/>
      <c r="CN259" s="198"/>
    </row>
    <row r="260" spans="1:92">
      <c r="A260" s="208"/>
      <c r="B260" s="214"/>
      <c r="C260" s="221" t="s">
        <v>316</v>
      </c>
      <c r="D260" s="234">
        <v>3.65</v>
      </c>
      <c r="E260" s="234" t="s">
        <v>309</v>
      </c>
      <c r="F260" s="229">
        <v>3.5</v>
      </c>
      <c r="G260" s="229"/>
      <c r="H260" s="229"/>
      <c r="I260" s="229"/>
      <c r="J260" s="229"/>
      <c r="K260" s="229"/>
      <c r="L260" s="229"/>
      <c r="M260" s="229"/>
      <c r="N260" s="229"/>
      <c r="O260" s="229"/>
      <c r="P260" s="229"/>
      <c r="Q260" s="229"/>
      <c r="R260" s="229"/>
      <c r="S260" s="229"/>
      <c r="T260" s="229"/>
      <c r="U260" s="229"/>
      <c r="V260" s="229"/>
      <c r="W260" s="236"/>
      <c r="X260" s="232"/>
      <c r="Y260" s="235"/>
      <c r="Z260" s="227"/>
      <c r="AA260" s="224"/>
      <c r="AB260" s="228"/>
      <c r="AC260" s="227"/>
      <c r="AD260" s="93"/>
      <c r="AE260" s="226"/>
      <c r="AF260" s="227"/>
      <c r="AG260" s="93"/>
      <c r="AH260" s="226"/>
      <c r="AI260" s="227"/>
      <c r="AJ260" s="93"/>
      <c r="AK260" s="226"/>
      <c r="AL260" s="227"/>
      <c r="AM260" s="93"/>
      <c r="AN260" s="226"/>
      <c r="AO260" s="95"/>
      <c r="AP260" s="93"/>
      <c r="AQ260" s="226"/>
      <c r="AR260" s="225"/>
      <c r="AS260" s="224"/>
      <c r="AT260" s="204"/>
      <c r="AU260" s="204"/>
      <c r="AV260" s="214"/>
      <c r="AW260" s="214"/>
      <c r="AX260" s="214"/>
      <c r="AY260" s="214"/>
      <c r="AZ260" s="214"/>
      <c r="BA260" s="214"/>
      <c r="BB260" s="214"/>
      <c r="BC260" s="214"/>
      <c r="BD260" s="214"/>
      <c r="BE260" s="214"/>
      <c r="BF260" s="214"/>
      <c r="BG260" s="214"/>
      <c r="BH260" s="214"/>
      <c r="BI260" s="214"/>
      <c r="BJ260" s="214"/>
      <c r="BK260" s="214"/>
      <c r="BL260" s="214"/>
      <c r="BM260" s="214"/>
      <c r="BN260" s="214"/>
      <c r="BO260" s="214"/>
      <c r="BP260" s="214"/>
      <c r="BQ260" s="214"/>
      <c r="BR260" s="214"/>
      <c r="BS260" s="214"/>
      <c r="BT260" s="214"/>
      <c r="BU260" s="214"/>
      <c r="BV260" s="214"/>
      <c r="BW260" s="214"/>
      <c r="BX260" s="223" t="s">
        <v>10</v>
      </c>
      <c r="BY260" s="222">
        <f>D260*F260+H260*J260</f>
        <v>12.775</v>
      </c>
      <c r="BZ260" s="204"/>
      <c r="CA260" s="204"/>
      <c r="CB260" s="204"/>
      <c r="CC260" s="200"/>
      <c r="CD260" s="202"/>
      <c r="CE260" s="201"/>
      <c r="CF260" s="200"/>
      <c r="CG260" s="202"/>
      <c r="CH260" s="201"/>
      <c r="CI260" s="201"/>
      <c r="CJ260" s="201"/>
      <c r="CK260" s="198"/>
      <c r="CL260" s="200"/>
      <c r="CM260" s="199"/>
      <c r="CN260" s="198"/>
    </row>
    <row r="261" spans="1:92">
      <c r="A261" s="208"/>
      <c r="B261" s="214"/>
      <c r="C261" s="221" t="s">
        <v>314</v>
      </c>
      <c r="D261" s="234">
        <v>2.4</v>
      </c>
      <c r="E261" s="234" t="s">
        <v>309</v>
      </c>
      <c r="F261" s="229">
        <v>1.3</v>
      </c>
      <c r="G261" s="229"/>
      <c r="H261" s="229"/>
      <c r="I261" s="229"/>
      <c r="J261" s="229"/>
      <c r="K261" s="229"/>
      <c r="L261" s="229"/>
      <c r="M261" s="229"/>
      <c r="N261" s="229"/>
      <c r="O261" s="229"/>
      <c r="P261" s="229"/>
      <c r="Q261" s="229"/>
      <c r="R261" s="229"/>
      <c r="S261" s="229"/>
      <c r="T261" s="229"/>
      <c r="U261" s="229"/>
      <c r="V261" s="229"/>
      <c r="W261" s="236"/>
      <c r="X261" s="232"/>
      <c r="Y261" s="235"/>
      <c r="Z261" s="227"/>
      <c r="AA261" s="224"/>
      <c r="AB261" s="228"/>
      <c r="AC261" s="227"/>
      <c r="AD261" s="93"/>
      <c r="AE261" s="226"/>
      <c r="AF261" s="227"/>
      <c r="AG261" s="93"/>
      <c r="AH261" s="226"/>
      <c r="AI261" s="227"/>
      <c r="AJ261" s="93"/>
      <c r="AK261" s="226"/>
      <c r="AL261" s="227"/>
      <c r="AM261" s="93"/>
      <c r="AN261" s="226"/>
      <c r="AO261" s="95"/>
      <c r="AP261" s="93"/>
      <c r="AQ261" s="226"/>
      <c r="AR261" s="225"/>
      <c r="AS261" s="224"/>
      <c r="AT261" s="204"/>
      <c r="AU261" s="204"/>
      <c r="AV261" s="214"/>
      <c r="AW261" s="214"/>
      <c r="AX261" s="214"/>
      <c r="AY261" s="214"/>
      <c r="AZ261" s="214"/>
      <c r="BA261" s="214"/>
      <c r="BB261" s="214"/>
      <c r="BC261" s="214"/>
      <c r="BD261" s="214"/>
      <c r="BE261" s="214"/>
      <c r="BF261" s="214"/>
      <c r="BG261" s="214"/>
      <c r="BH261" s="214"/>
      <c r="BI261" s="214"/>
      <c r="BJ261" s="214"/>
      <c r="BK261" s="214"/>
      <c r="BL261" s="214"/>
      <c r="BM261" s="214"/>
      <c r="BN261" s="214"/>
      <c r="BO261" s="214"/>
      <c r="BP261" s="214"/>
      <c r="BQ261" s="214"/>
      <c r="BR261" s="214"/>
      <c r="BS261" s="214"/>
      <c r="BT261" s="214"/>
      <c r="BU261" s="214"/>
      <c r="BV261" s="214"/>
      <c r="BW261" s="214"/>
      <c r="BX261" s="223" t="s">
        <v>10</v>
      </c>
      <c r="BY261" s="222">
        <f>D261*F261+H261*J261</f>
        <v>3.12</v>
      </c>
      <c r="BZ261" s="204"/>
      <c r="CA261" s="204"/>
      <c r="CB261" s="204"/>
      <c r="CC261" s="200"/>
      <c r="CD261" s="202"/>
      <c r="CE261" s="201"/>
      <c r="CF261" s="200"/>
      <c r="CG261" s="202"/>
      <c r="CH261" s="201"/>
      <c r="CI261" s="201"/>
      <c r="CJ261" s="201"/>
      <c r="CK261" s="198"/>
      <c r="CL261" s="200"/>
      <c r="CM261" s="199"/>
      <c r="CN261" s="198"/>
    </row>
    <row r="262" spans="1:92">
      <c r="A262" s="208"/>
      <c r="B262" s="214"/>
      <c r="C262" s="221" t="s">
        <v>315</v>
      </c>
      <c r="D262" s="234">
        <v>3.65</v>
      </c>
      <c r="E262" s="234" t="s">
        <v>309</v>
      </c>
      <c r="F262" s="229">
        <v>3.5</v>
      </c>
      <c r="G262" s="229"/>
      <c r="H262" s="229"/>
      <c r="I262" s="229"/>
      <c r="J262" s="229"/>
      <c r="K262" s="229"/>
      <c r="L262" s="229"/>
      <c r="M262" s="229"/>
      <c r="N262" s="229"/>
      <c r="O262" s="229"/>
      <c r="P262" s="229"/>
      <c r="Q262" s="229"/>
      <c r="R262" s="229"/>
      <c r="S262" s="229"/>
      <c r="T262" s="229"/>
      <c r="U262" s="229"/>
      <c r="V262" s="229"/>
      <c r="W262" s="236"/>
      <c r="X262" s="232"/>
      <c r="Y262" s="235"/>
      <c r="Z262" s="227"/>
      <c r="AA262" s="224"/>
      <c r="AB262" s="228"/>
      <c r="AC262" s="227"/>
      <c r="AD262" s="93"/>
      <c r="AE262" s="226"/>
      <c r="AF262" s="227"/>
      <c r="AG262" s="93"/>
      <c r="AH262" s="226"/>
      <c r="AI262" s="227"/>
      <c r="AJ262" s="93"/>
      <c r="AK262" s="226"/>
      <c r="AL262" s="227"/>
      <c r="AM262" s="93"/>
      <c r="AN262" s="226"/>
      <c r="AO262" s="95"/>
      <c r="AP262" s="93"/>
      <c r="AQ262" s="226"/>
      <c r="AR262" s="225"/>
      <c r="AS262" s="224"/>
      <c r="AT262" s="204"/>
      <c r="AU262" s="204"/>
      <c r="AV262" s="214"/>
      <c r="AW262" s="214"/>
      <c r="AX262" s="214"/>
      <c r="AY262" s="214"/>
      <c r="AZ262" s="214"/>
      <c r="BA262" s="214"/>
      <c r="BB262" s="214"/>
      <c r="BC262" s="214"/>
      <c r="BD262" s="214"/>
      <c r="BE262" s="214"/>
      <c r="BF262" s="214"/>
      <c r="BG262" s="214"/>
      <c r="BH262" s="214"/>
      <c r="BI262" s="214"/>
      <c r="BJ262" s="214"/>
      <c r="BK262" s="214"/>
      <c r="BL262" s="214"/>
      <c r="BM262" s="214"/>
      <c r="BN262" s="214"/>
      <c r="BO262" s="214"/>
      <c r="BP262" s="214"/>
      <c r="BQ262" s="214"/>
      <c r="BR262" s="214"/>
      <c r="BS262" s="214"/>
      <c r="BT262" s="214"/>
      <c r="BU262" s="214"/>
      <c r="BV262" s="214"/>
      <c r="BW262" s="214"/>
      <c r="BX262" s="223" t="s">
        <v>10</v>
      </c>
      <c r="BY262" s="222">
        <f>D262*F262+H262*J262</f>
        <v>12.775</v>
      </c>
      <c r="BZ262" s="204"/>
      <c r="CA262" s="204"/>
      <c r="CB262" s="204"/>
      <c r="CC262" s="200"/>
      <c r="CD262" s="202"/>
      <c r="CE262" s="201"/>
      <c r="CF262" s="200"/>
      <c r="CG262" s="202"/>
      <c r="CH262" s="201"/>
      <c r="CI262" s="201"/>
      <c r="CJ262" s="201"/>
      <c r="CK262" s="198"/>
      <c r="CL262" s="200"/>
      <c r="CM262" s="199"/>
      <c r="CN262" s="198"/>
    </row>
    <row r="263" spans="1:92">
      <c r="A263" s="208"/>
      <c r="B263" s="214"/>
      <c r="C263" s="221" t="s">
        <v>314</v>
      </c>
      <c r="D263" s="234">
        <v>2.4</v>
      </c>
      <c r="E263" s="234" t="s">
        <v>309</v>
      </c>
      <c r="F263" s="229">
        <v>1.3</v>
      </c>
      <c r="G263" s="229"/>
      <c r="H263" s="229"/>
      <c r="I263" s="229"/>
      <c r="J263" s="229"/>
      <c r="K263" s="229"/>
      <c r="L263" s="229"/>
      <c r="M263" s="229"/>
      <c r="N263" s="229"/>
      <c r="O263" s="229"/>
      <c r="P263" s="229"/>
      <c r="Q263" s="229"/>
      <c r="R263" s="229"/>
      <c r="S263" s="229"/>
      <c r="T263" s="229"/>
      <c r="U263" s="229"/>
      <c r="V263" s="229"/>
      <c r="W263" s="236"/>
      <c r="X263" s="232"/>
      <c r="Y263" s="235"/>
      <c r="Z263" s="227"/>
      <c r="AA263" s="224"/>
      <c r="AB263" s="228"/>
      <c r="AC263" s="227"/>
      <c r="AD263" s="93"/>
      <c r="AE263" s="226"/>
      <c r="AF263" s="227"/>
      <c r="AG263" s="93"/>
      <c r="AH263" s="226"/>
      <c r="AI263" s="227"/>
      <c r="AJ263" s="93"/>
      <c r="AK263" s="226"/>
      <c r="AL263" s="227"/>
      <c r="AM263" s="93"/>
      <c r="AN263" s="226"/>
      <c r="AO263" s="95"/>
      <c r="AP263" s="93"/>
      <c r="AQ263" s="226"/>
      <c r="AR263" s="225"/>
      <c r="AS263" s="224"/>
      <c r="AT263" s="204"/>
      <c r="AU263" s="204"/>
      <c r="AV263" s="214"/>
      <c r="AW263" s="214"/>
      <c r="AX263" s="214"/>
      <c r="AY263" s="214"/>
      <c r="AZ263" s="214"/>
      <c r="BA263" s="214"/>
      <c r="BB263" s="214"/>
      <c r="BC263" s="214"/>
      <c r="BD263" s="214"/>
      <c r="BE263" s="214"/>
      <c r="BF263" s="214"/>
      <c r="BG263" s="214"/>
      <c r="BH263" s="214"/>
      <c r="BI263" s="214"/>
      <c r="BJ263" s="214"/>
      <c r="BK263" s="214"/>
      <c r="BL263" s="214"/>
      <c r="BM263" s="214"/>
      <c r="BN263" s="214"/>
      <c r="BO263" s="214"/>
      <c r="BP263" s="214"/>
      <c r="BQ263" s="214"/>
      <c r="BR263" s="214"/>
      <c r="BS263" s="214"/>
      <c r="BT263" s="214"/>
      <c r="BU263" s="214"/>
      <c r="BV263" s="214"/>
      <c r="BW263" s="214"/>
      <c r="BX263" s="223" t="s">
        <v>10</v>
      </c>
      <c r="BY263" s="222">
        <f>D263*F263+H263*J263</f>
        <v>3.12</v>
      </c>
      <c r="BZ263" s="204"/>
      <c r="CA263" s="204"/>
      <c r="CB263" s="204"/>
      <c r="CC263" s="200"/>
      <c r="CD263" s="202"/>
      <c r="CE263" s="201"/>
      <c r="CF263" s="200"/>
      <c r="CG263" s="202"/>
      <c r="CH263" s="201"/>
      <c r="CI263" s="201"/>
      <c r="CJ263" s="201"/>
      <c r="CK263" s="198"/>
      <c r="CL263" s="200"/>
      <c r="CM263" s="199"/>
      <c r="CN263" s="198"/>
    </row>
    <row r="264" spans="1:92">
      <c r="A264" s="208"/>
      <c r="B264" s="214"/>
      <c r="C264" s="221" t="s">
        <v>313</v>
      </c>
      <c r="D264" s="234">
        <v>3.65</v>
      </c>
      <c r="E264" s="234" t="s">
        <v>309</v>
      </c>
      <c r="F264" s="229">
        <v>3.5</v>
      </c>
      <c r="G264" s="229"/>
      <c r="H264" s="229"/>
      <c r="I264" s="229"/>
      <c r="J264" s="229"/>
      <c r="K264" s="229"/>
      <c r="L264" s="229"/>
      <c r="M264" s="229"/>
      <c r="N264" s="229"/>
      <c r="O264" s="229"/>
      <c r="P264" s="229"/>
      <c r="Q264" s="229"/>
      <c r="R264" s="229"/>
      <c r="S264" s="229"/>
      <c r="T264" s="229"/>
      <c r="U264" s="229"/>
      <c r="V264" s="229"/>
      <c r="W264" s="236"/>
      <c r="X264" s="232"/>
      <c r="Y264" s="235"/>
      <c r="Z264" s="227"/>
      <c r="AA264" s="224"/>
      <c r="AB264" s="228"/>
      <c r="AC264" s="227"/>
      <c r="AD264" s="93"/>
      <c r="AE264" s="226"/>
      <c r="AF264" s="227"/>
      <c r="AG264" s="93"/>
      <c r="AH264" s="226"/>
      <c r="AI264" s="227"/>
      <c r="AJ264" s="93"/>
      <c r="AK264" s="226"/>
      <c r="AL264" s="227"/>
      <c r="AM264" s="93"/>
      <c r="AN264" s="226"/>
      <c r="AO264" s="95"/>
      <c r="AP264" s="93"/>
      <c r="AQ264" s="226"/>
      <c r="AR264" s="225"/>
      <c r="AS264" s="224"/>
      <c r="AT264" s="204"/>
      <c r="AU264" s="204"/>
      <c r="AV264" s="214"/>
      <c r="AW264" s="214"/>
      <c r="AX264" s="214"/>
      <c r="AY264" s="214"/>
      <c r="AZ264" s="214"/>
      <c r="BA264" s="214"/>
      <c r="BB264" s="214"/>
      <c r="BC264" s="214"/>
      <c r="BD264" s="214"/>
      <c r="BE264" s="214"/>
      <c r="BF264" s="214"/>
      <c r="BG264" s="214"/>
      <c r="BH264" s="214"/>
      <c r="BI264" s="214"/>
      <c r="BJ264" s="214"/>
      <c r="BK264" s="214"/>
      <c r="BL264" s="214"/>
      <c r="BM264" s="214"/>
      <c r="BN264" s="214"/>
      <c r="BO264" s="214"/>
      <c r="BP264" s="214"/>
      <c r="BQ264" s="214"/>
      <c r="BR264" s="214"/>
      <c r="BS264" s="214"/>
      <c r="BT264" s="214"/>
      <c r="BU264" s="214"/>
      <c r="BV264" s="214"/>
      <c r="BW264" s="214"/>
      <c r="BX264" s="223" t="s">
        <v>10</v>
      </c>
      <c r="BY264" s="222">
        <f>D264*F264+H264*J264</f>
        <v>12.775</v>
      </c>
      <c r="BZ264" s="204"/>
      <c r="CA264" s="204"/>
      <c r="CB264" s="204"/>
      <c r="CC264" s="200"/>
      <c r="CD264" s="202"/>
      <c r="CE264" s="201"/>
      <c r="CF264" s="200"/>
      <c r="CG264" s="202"/>
      <c r="CH264" s="201"/>
      <c r="CI264" s="201"/>
      <c r="CJ264" s="201"/>
      <c r="CK264" s="198"/>
      <c r="CL264" s="200"/>
      <c r="CM264" s="199"/>
      <c r="CN264" s="198"/>
    </row>
    <row r="265" spans="1:92">
      <c r="A265" s="208"/>
      <c r="B265" s="214"/>
      <c r="C265" s="221" t="s">
        <v>312</v>
      </c>
      <c r="D265" s="234">
        <v>2.4</v>
      </c>
      <c r="E265" s="234" t="s">
        <v>309</v>
      </c>
      <c r="F265" s="229">
        <v>1.3</v>
      </c>
      <c r="G265" s="229"/>
      <c r="H265" s="229"/>
      <c r="I265" s="229"/>
      <c r="J265" s="229"/>
      <c r="K265" s="229"/>
      <c r="L265" s="229"/>
      <c r="M265" s="229"/>
      <c r="N265" s="229"/>
      <c r="O265" s="229"/>
      <c r="P265" s="229"/>
      <c r="Q265" s="229"/>
      <c r="R265" s="229"/>
      <c r="S265" s="229"/>
      <c r="T265" s="229"/>
      <c r="U265" s="229"/>
      <c r="V265" s="229"/>
      <c r="W265" s="236"/>
      <c r="X265" s="232"/>
      <c r="Y265" s="235"/>
      <c r="Z265" s="227"/>
      <c r="AA265" s="224"/>
      <c r="AB265" s="228"/>
      <c r="AC265" s="227"/>
      <c r="AD265" s="93"/>
      <c r="AE265" s="226"/>
      <c r="AF265" s="227"/>
      <c r="AG265" s="93"/>
      <c r="AH265" s="226"/>
      <c r="AI265" s="227"/>
      <c r="AJ265" s="93"/>
      <c r="AK265" s="226"/>
      <c r="AL265" s="227"/>
      <c r="AM265" s="93"/>
      <c r="AN265" s="226"/>
      <c r="AO265" s="95"/>
      <c r="AP265" s="93"/>
      <c r="AQ265" s="226"/>
      <c r="AR265" s="225"/>
      <c r="AS265" s="224"/>
      <c r="AT265" s="204"/>
      <c r="AU265" s="204"/>
      <c r="AV265" s="214"/>
      <c r="AW265" s="214"/>
      <c r="AX265" s="214"/>
      <c r="AY265" s="214"/>
      <c r="AZ265" s="214"/>
      <c r="BA265" s="214"/>
      <c r="BB265" s="214"/>
      <c r="BC265" s="214"/>
      <c r="BD265" s="214"/>
      <c r="BE265" s="214"/>
      <c r="BF265" s="214"/>
      <c r="BG265" s="214"/>
      <c r="BH265" s="214"/>
      <c r="BI265" s="214"/>
      <c r="BJ265" s="214"/>
      <c r="BK265" s="214"/>
      <c r="BL265" s="214"/>
      <c r="BM265" s="214"/>
      <c r="BN265" s="214"/>
      <c r="BO265" s="214"/>
      <c r="BP265" s="214"/>
      <c r="BQ265" s="214"/>
      <c r="BR265" s="214"/>
      <c r="BS265" s="214"/>
      <c r="BT265" s="214"/>
      <c r="BU265" s="214"/>
      <c r="BV265" s="214"/>
      <c r="BW265" s="214"/>
      <c r="BX265" s="223" t="s">
        <v>10</v>
      </c>
      <c r="BY265" s="222">
        <f>D265*F265+H265*J265</f>
        <v>3.12</v>
      </c>
      <c r="BZ265" s="204"/>
      <c r="CA265" s="204"/>
      <c r="CB265" s="204"/>
      <c r="CC265" s="200"/>
      <c r="CD265" s="202"/>
      <c r="CE265" s="201"/>
      <c r="CF265" s="200"/>
      <c r="CG265" s="202"/>
      <c r="CH265" s="201"/>
      <c r="CI265" s="201"/>
      <c r="CJ265" s="201"/>
      <c r="CK265" s="198"/>
      <c r="CL265" s="200"/>
      <c r="CM265" s="199"/>
      <c r="CN265" s="198"/>
    </row>
    <row r="266" spans="1:92" ht="15.5">
      <c r="A266" s="208"/>
      <c r="B266" s="214"/>
      <c r="C266" s="221" t="s">
        <v>311</v>
      </c>
      <c r="D266" s="234">
        <v>7.38</v>
      </c>
      <c r="E266" s="233" t="s">
        <v>310</v>
      </c>
      <c r="F266" s="229">
        <v>6.75</v>
      </c>
      <c r="G266" s="229" t="s">
        <v>309</v>
      </c>
      <c r="H266" s="232">
        <v>7.9</v>
      </c>
      <c r="I266" s="231" t="s">
        <v>308</v>
      </c>
      <c r="J266" s="230">
        <v>2</v>
      </c>
      <c r="K266" s="229"/>
      <c r="L266" s="229"/>
      <c r="M266" s="229"/>
      <c r="N266" s="229"/>
      <c r="O266" s="229"/>
      <c r="P266" s="229"/>
      <c r="Q266" s="229"/>
      <c r="R266" s="229"/>
      <c r="S266" s="229"/>
      <c r="T266" s="229"/>
      <c r="U266" s="229"/>
      <c r="V266" s="229"/>
      <c r="AA266" s="224"/>
      <c r="AB266" s="228"/>
      <c r="AC266" s="227"/>
      <c r="AD266" s="93"/>
      <c r="AE266" s="226"/>
      <c r="AF266" s="227"/>
      <c r="AG266" s="93"/>
      <c r="AH266" s="226"/>
      <c r="AI266" s="227"/>
      <c r="AJ266" s="93"/>
      <c r="AK266" s="226"/>
      <c r="AL266" s="227"/>
      <c r="AM266" s="93"/>
      <c r="AN266" s="226"/>
      <c r="AP266" s="93"/>
      <c r="AQ266" s="226"/>
      <c r="AR266" s="225"/>
      <c r="AS266" s="224"/>
      <c r="AT266" s="204"/>
      <c r="AU266" s="204"/>
      <c r="AV266" s="214"/>
      <c r="AW266" s="214"/>
      <c r="AX266" s="214"/>
      <c r="AY266" s="214"/>
      <c r="AZ266" s="214"/>
      <c r="BA266" s="214"/>
      <c r="BB266" s="214"/>
      <c r="BC266" s="214"/>
      <c r="BD266" s="214"/>
      <c r="BE266" s="214"/>
      <c r="BF266" s="214"/>
      <c r="BG266" s="214"/>
      <c r="BH266" s="214"/>
      <c r="BI266" s="214"/>
      <c r="BJ266" s="214"/>
      <c r="BK266" s="214"/>
      <c r="BL266" s="214"/>
      <c r="BM266" s="214"/>
      <c r="BN266" s="214"/>
      <c r="BO266" s="214"/>
      <c r="BP266" s="214"/>
      <c r="BQ266" s="214"/>
      <c r="BR266" s="214"/>
      <c r="BS266" s="214"/>
      <c r="BT266" s="214"/>
      <c r="BU266" s="214"/>
      <c r="BV266" s="214"/>
      <c r="BW266" s="214"/>
      <c r="BX266" s="223" t="s">
        <v>10</v>
      </c>
      <c r="BY266" s="222">
        <f>((D266+F266)*H266)/2</f>
        <v>55.813499999999998</v>
      </c>
      <c r="BZ266" s="204"/>
      <c r="CA266" s="204"/>
      <c r="CB266" s="204"/>
      <c r="CC266" s="200"/>
      <c r="CD266" s="202"/>
      <c r="CE266" s="201"/>
      <c r="CF266" s="200"/>
      <c r="CG266" s="202"/>
      <c r="CH266" s="201"/>
      <c r="CI266" s="201"/>
      <c r="CJ266" s="201"/>
      <c r="CK266" s="198"/>
      <c r="CL266" s="200"/>
      <c r="CM266" s="199"/>
      <c r="CN266" s="198"/>
    </row>
    <row r="267" spans="1:92">
      <c r="A267" s="208"/>
      <c r="B267" s="214"/>
      <c r="C267" s="221"/>
      <c r="D267" s="220" t="s">
        <v>334</v>
      </c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  <c r="AB267" s="219"/>
      <c r="AC267" s="219"/>
      <c r="AD267" s="219"/>
      <c r="AE267" s="219"/>
      <c r="AF267" s="219"/>
      <c r="AG267" s="219"/>
      <c r="AH267" s="219"/>
      <c r="AI267" s="219"/>
      <c r="AJ267" s="219"/>
      <c r="AK267" s="219"/>
      <c r="AL267" s="219"/>
      <c r="AM267" s="219"/>
      <c r="AN267" s="219"/>
      <c r="AO267" s="219"/>
      <c r="AP267" s="219"/>
      <c r="AQ267" s="219"/>
      <c r="AR267" s="219"/>
      <c r="AS267" s="219"/>
      <c r="AT267" s="219"/>
      <c r="AU267" s="219"/>
      <c r="AV267" s="219"/>
      <c r="AW267" s="219"/>
      <c r="AX267" s="219"/>
      <c r="AY267" s="219"/>
      <c r="AZ267" s="219"/>
      <c r="BA267" s="219"/>
      <c r="BB267" s="219"/>
      <c r="BC267" s="219"/>
      <c r="BD267" s="219"/>
      <c r="BE267" s="219"/>
      <c r="BF267" s="219"/>
      <c r="BG267" s="219"/>
      <c r="BH267" s="219"/>
      <c r="BI267" s="219"/>
      <c r="BJ267" s="219"/>
      <c r="BK267" s="219"/>
      <c r="BL267" s="219"/>
      <c r="BM267" s="219"/>
      <c r="BN267" s="219"/>
      <c r="BO267" s="219"/>
      <c r="BP267" s="219"/>
      <c r="BQ267" s="219"/>
      <c r="BR267" s="219"/>
      <c r="BS267" s="219"/>
      <c r="BT267" s="219"/>
      <c r="BU267" s="219"/>
      <c r="BV267" s="219"/>
      <c r="BW267" s="218"/>
      <c r="BX267" s="217" t="s">
        <v>10</v>
      </c>
      <c r="BY267" s="216">
        <f>SUM(BY241:BY266)</f>
        <v>304.81440000000009</v>
      </c>
      <c r="BZ267" s="204"/>
      <c r="CA267" s="204"/>
      <c r="CB267" s="204"/>
      <c r="CC267" s="200"/>
      <c r="CD267" s="202"/>
      <c r="CE267" s="201"/>
      <c r="CF267" s="200"/>
      <c r="CG267" s="202"/>
      <c r="CH267" s="201"/>
      <c r="CI267" s="201"/>
      <c r="CJ267" s="201"/>
      <c r="CK267" s="198"/>
      <c r="CL267" s="200"/>
      <c r="CM267" s="199"/>
      <c r="CN267" s="198"/>
    </row>
    <row r="268" spans="1:92">
      <c r="A268" s="208"/>
      <c r="B268" s="214"/>
      <c r="C268" s="250"/>
      <c r="D268" s="220" t="s">
        <v>332</v>
      </c>
      <c r="E268" s="219"/>
      <c r="F268" s="219"/>
      <c r="G268" s="219"/>
      <c r="H268" s="219"/>
      <c r="I268" s="219"/>
      <c r="J268" s="219"/>
      <c r="K268" s="219"/>
      <c r="L268" s="219"/>
      <c r="M268" s="219"/>
      <c r="N268" s="219"/>
      <c r="O268" s="219"/>
      <c r="P268" s="219"/>
      <c r="Q268" s="219"/>
      <c r="R268" s="219"/>
      <c r="S268" s="219"/>
      <c r="T268" s="219"/>
      <c r="U268" s="219"/>
      <c r="V268" s="219"/>
      <c r="W268" s="219"/>
      <c r="X268" s="219"/>
      <c r="Y268" s="219"/>
      <c r="Z268" s="219"/>
      <c r="AA268" s="219"/>
      <c r="AB268" s="219"/>
      <c r="AC268" s="219"/>
      <c r="AD268" s="219"/>
      <c r="AE268" s="219"/>
      <c r="AF268" s="219"/>
      <c r="AG268" s="219"/>
      <c r="AH268" s="219"/>
      <c r="AI268" s="219"/>
      <c r="AJ268" s="219"/>
      <c r="AK268" s="219"/>
      <c r="AL268" s="219"/>
      <c r="AM268" s="219"/>
      <c r="AN268" s="219"/>
      <c r="AO268" s="219"/>
      <c r="AP268" s="219"/>
      <c r="AQ268" s="219"/>
      <c r="AR268" s="219"/>
      <c r="AS268" s="219"/>
      <c r="AT268" s="219"/>
      <c r="AU268" s="219"/>
      <c r="AV268" s="219"/>
      <c r="AW268" s="219"/>
      <c r="AX268" s="219"/>
      <c r="AY268" s="219"/>
      <c r="AZ268" s="219"/>
      <c r="BA268" s="219"/>
      <c r="BB268" s="219"/>
      <c r="BC268" s="219"/>
      <c r="BD268" s="219"/>
      <c r="BE268" s="219"/>
      <c r="BF268" s="219"/>
      <c r="BG268" s="219"/>
      <c r="BH268" s="219"/>
      <c r="BI268" s="219"/>
      <c r="BJ268" s="219"/>
      <c r="BK268" s="219"/>
      <c r="BL268" s="219"/>
      <c r="BM268" s="219"/>
      <c r="BN268" s="219"/>
      <c r="BO268" s="219"/>
      <c r="BP268" s="219"/>
      <c r="BQ268" s="219"/>
      <c r="BR268" s="219"/>
      <c r="BS268" s="219"/>
      <c r="BT268" s="219"/>
      <c r="BU268" s="219"/>
      <c r="BV268" s="219"/>
      <c r="BW268" s="218"/>
      <c r="BX268" s="217" t="s">
        <v>10</v>
      </c>
      <c r="BY268" s="216">
        <f>BY267+BY239</f>
        <v>950.3244000000002</v>
      </c>
      <c r="BZ268" s="204"/>
      <c r="CA268" s="204"/>
      <c r="CB268" s="204"/>
      <c r="CC268" s="200"/>
      <c r="CD268" s="202"/>
      <c r="CE268" s="201"/>
      <c r="CF268" s="200"/>
      <c r="CG268" s="202"/>
      <c r="CH268" s="201"/>
      <c r="CI268" s="201"/>
      <c r="CJ268" s="201"/>
      <c r="CK268" s="198"/>
      <c r="CL268" s="200"/>
      <c r="CM268" s="199"/>
      <c r="CN268" s="198"/>
    </row>
    <row r="269" spans="1:92">
      <c r="A269" s="208"/>
      <c r="B269" s="214"/>
      <c r="C269" s="250"/>
      <c r="D269" s="220" t="s">
        <v>333</v>
      </c>
      <c r="E269" s="219"/>
      <c r="F269" s="219"/>
      <c r="G269" s="219"/>
      <c r="H269" s="219"/>
      <c r="I269" s="219"/>
      <c r="J269" s="219"/>
      <c r="K269" s="219"/>
      <c r="L269" s="219"/>
      <c r="M269" s="219"/>
      <c r="N269" s="219"/>
      <c r="O269" s="219"/>
      <c r="P269" s="219"/>
      <c r="Q269" s="219"/>
      <c r="R269" s="219"/>
      <c r="S269" s="219"/>
      <c r="T269" s="219"/>
      <c r="U269" s="219"/>
      <c r="V269" s="219"/>
      <c r="W269" s="219"/>
      <c r="X269" s="219"/>
      <c r="Y269" s="219"/>
      <c r="Z269" s="219"/>
      <c r="AA269" s="219"/>
      <c r="AB269" s="219"/>
      <c r="AC269" s="219"/>
      <c r="AD269" s="219"/>
      <c r="AE269" s="219"/>
      <c r="AF269" s="219"/>
      <c r="AG269" s="219"/>
      <c r="AH269" s="219"/>
      <c r="AI269" s="219"/>
      <c r="AJ269" s="219"/>
      <c r="AK269" s="219"/>
      <c r="AL269" s="219"/>
      <c r="AM269" s="219"/>
      <c r="AN269" s="219"/>
      <c r="AO269" s="219"/>
      <c r="AP269" s="219"/>
      <c r="AQ269" s="219"/>
      <c r="AR269" s="219"/>
      <c r="AS269" s="219"/>
      <c r="AT269" s="219"/>
      <c r="AU269" s="219"/>
      <c r="AV269" s="219"/>
      <c r="AW269" s="219"/>
      <c r="AX269" s="219"/>
      <c r="AY269" s="219"/>
      <c r="AZ269" s="219"/>
      <c r="BA269" s="219"/>
      <c r="BB269" s="219"/>
      <c r="BC269" s="219"/>
      <c r="BD269" s="219"/>
      <c r="BE269" s="219"/>
      <c r="BF269" s="219"/>
      <c r="BG269" s="219"/>
      <c r="BH269" s="219"/>
      <c r="BI269" s="219"/>
      <c r="BJ269" s="219"/>
      <c r="BK269" s="219"/>
      <c r="BL269" s="219"/>
      <c r="BM269" s="219"/>
      <c r="BN269" s="219"/>
      <c r="BO269" s="219"/>
      <c r="BP269" s="219"/>
      <c r="BQ269" s="219"/>
      <c r="BR269" s="219"/>
      <c r="BS269" s="219"/>
      <c r="BT269" s="219"/>
      <c r="BU269" s="219"/>
      <c r="BV269" s="219"/>
      <c r="BW269" s="218"/>
      <c r="BX269" s="217" t="s">
        <v>10</v>
      </c>
      <c r="BY269" s="216">
        <v>651.22239999999999</v>
      </c>
      <c r="BZ269" s="204"/>
      <c r="CA269" s="204"/>
      <c r="CB269" s="204"/>
      <c r="CC269" s="200"/>
      <c r="CD269" s="202"/>
      <c r="CE269" s="201"/>
      <c r="CF269" s="200"/>
      <c r="CG269" s="202"/>
      <c r="CH269" s="201"/>
      <c r="CI269" s="201"/>
      <c r="CJ269" s="201"/>
      <c r="CK269" s="198"/>
      <c r="CL269" s="200"/>
      <c r="CM269" s="199"/>
      <c r="CN269" s="198"/>
    </row>
    <row r="270" spans="1:92">
      <c r="A270" s="208"/>
      <c r="B270" s="214"/>
      <c r="C270" s="250"/>
      <c r="D270" s="220" t="s">
        <v>332</v>
      </c>
      <c r="E270" s="219"/>
      <c r="F270" s="219"/>
      <c r="G270" s="219"/>
      <c r="H270" s="219"/>
      <c r="I270" s="219"/>
      <c r="J270" s="219"/>
      <c r="K270" s="219"/>
      <c r="L270" s="219"/>
      <c r="M270" s="219"/>
      <c r="N270" s="219"/>
      <c r="O270" s="219"/>
      <c r="P270" s="219"/>
      <c r="Q270" s="219"/>
      <c r="R270" s="219"/>
      <c r="S270" s="219"/>
      <c r="T270" s="219"/>
      <c r="U270" s="219"/>
      <c r="V270" s="219"/>
      <c r="W270" s="219"/>
      <c r="X270" s="219"/>
      <c r="Y270" s="219"/>
      <c r="Z270" s="219"/>
      <c r="AA270" s="219"/>
      <c r="AB270" s="219"/>
      <c r="AC270" s="219"/>
      <c r="AD270" s="219"/>
      <c r="AE270" s="219"/>
      <c r="AF270" s="219"/>
      <c r="AG270" s="219"/>
      <c r="AH270" s="219"/>
      <c r="AI270" s="219"/>
      <c r="AJ270" s="219"/>
      <c r="AK270" s="219"/>
      <c r="AL270" s="219"/>
      <c r="AM270" s="219"/>
      <c r="AN270" s="219"/>
      <c r="AO270" s="219"/>
      <c r="AP270" s="219"/>
      <c r="AQ270" s="219"/>
      <c r="AR270" s="219"/>
      <c r="AS270" s="219"/>
      <c r="AT270" s="219"/>
      <c r="AU270" s="219"/>
      <c r="AV270" s="219"/>
      <c r="AW270" s="219"/>
      <c r="AX270" s="219"/>
      <c r="AY270" s="219"/>
      <c r="AZ270" s="219"/>
      <c r="BA270" s="219"/>
      <c r="BB270" s="219"/>
      <c r="BC270" s="219"/>
      <c r="BD270" s="219"/>
      <c r="BE270" s="219"/>
      <c r="BF270" s="219"/>
      <c r="BG270" s="219"/>
      <c r="BH270" s="219"/>
      <c r="BI270" s="219"/>
      <c r="BJ270" s="219"/>
      <c r="BK270" s="219"/>
      <c r="BL270" s="219"/>
      <c r="BM270" s="219"/>
      <c r="BN270" s="219"/>
      <c r="BO270" s="219"/>
      <c r="BP270" s="219"/>
      <c r="BQ270" s="219"/>
      <c r="BR270" s="219"/>
      <c r="BS270" s="219"/>
      <c r="BT270" s="219"/>
      <c r="BU270" s="219"/>
      <c r="BV270" s="219"/>
      <c r="BW270" s="218"/>
      <c r="BX270" s="217" t="s">
        <v>10</v>
      </c>
      <c r="BY270" s="216">
        <f>BY268-BY269</f>
        <v>299.1020000000002</v>
      </c>
      <c r="BZ270" s="204"/>
      <c r="CA270" s="204"/>
      <c r="CB270" s="204"/>
      <c r="CC270" s="200"/>
      <c r="CD270" s="202"/>
      <c r="CE270" s="201"/>
      <c r="CF270" s="200"/>
      <c r="CG270" s="202"/>
      <c r="CH270" s="201"/>
      <c r="CI270" s="201"/>
      <c r="CJ270" s="201"/>
      <c r="CK270" s="198"/>
      <c r="CL270" s="200"/>
      <c r="CM270" s="199"/>
      <c r="CN270" s="198"/>
    </row>
    <row r="271" spans="1:92" ht="28">
      <c r="A271" s="208" t="s">
        <v>85</v>
      </c>
      <c r="B271" s="214">
        <v>88485</v>
      </c>
      <c r="C271" s="206" t="s">
        <v>84</v>
      </c>
      <c r="D271" s="205"/>
      <c r="E271" s="205"/>
      <c r="F271" s="205"/>
      <c r="G271" s="205"/>
      <c r="H271" s="205"/>
      <c r="I271" s="205"/>
      <c r="J271" s="205"/>
      <c r="K271" s="205"/>
      <c r="L271" s="205"/>
      <c r="M271" s="205"/>
      <c r="N271" s="205"/>
      <c r="O271" s="205"/>
      <c r="P271" s="205"/>
      <c r="Q271" s="205"/>
      <c r="R271" s="205"/>
      <c r="S271" s="205"/>
      <c r="T271" s="205"/>
      <c r="U271" s="205"/>
      <c r="V271" s="205"/>
      <c r="W271" s="205"/>
      <c r="X271" s="205"/>
      <c r="Y271" s="205"/>
      <c r="Z271" s="205"/>
      <c r="AA271" s="205"/>
      <c r="AB271" s="205"/>
      <c r="AC271" s="205"/>
      <c r="AD271" s="205"/>
      <c r="AE271" s="205"/>
      <c r="AF271" s="205"/>
      <c r="AG271" s="205"/>
      <c r="AH271" s="205"/>
      <c r="AI271" s="205"/>
      <c r="AJ271" s="205"/>
      <c r="AK271" s="205"/>
      <c r="AL271" s="205"/>
      <c r="AM271" s="205"/>
      <c r="AN271" s="205"/>
      <c r="AO271" s="205"/>
      <c r="AP271" s="205"/>
      <c r="AQ271" s="205"/>
      <c r="AR271" s="205"/>
      <c r="AS271" s="205"/>
      <c r="AT271" s="205"/>
      <c r="AU271" s="205"/>
      <c r="AV271" s="205"/>
      <c r="AW271" s="205"/>
      <c r="AX271" s="205"/>
      <c r="AY271" s="205"/>
      <c r="AZ271" s="205"/>
      <c r="BA271" s="205"/>
      <c r="BB271" s="205"/>
      <c r="BC271" s="205"/>
      <c r="BD271" s="205"/>
      <c r="BE271" s="205"/>
      <c r="BF271" s="205"/>
      <c r="BG271" s="205"/>
      <c r="BH271" s="205"/>
      <c r="BI271" s="205"/>
      <c r="BJ271" s="205"/>
      <c r="BK271" s="205"/>
      <c r="BL271" s="205"/>
      <c r="BM271" s="205"/>
      <c r="BN271" s="205"/>
      <c r="BO271" s="205"/>
      <c r="BP271" s="205"/>
      <c r="BQ271" s="205"/>
      <c r="BR271" s="205"/>
      <c r="BS271" s="205"/>
      <c r="BT271" s="205"/>
      <c r="BU271" s="205"/>
      <c r="BV271" s="205"/>
      <c r="BW271" s="205"/>
      <c r="BX271" s="205"/>
      <c r="BY271" s="205"/>
      <c r="BZ271" s="204"/>
      <c r="CA271" s="204"/>
      <c r="CB271" s="204"/>
      <c r="CC271" s="200"/>
      <c r="CD271" s="202"/>
      <c r="CE271" s="201"/>
      <c r="CF271" s="200"/>
      <c r="CG271" s="202"/>
      <c r="CH271" s="201"/>
      <c r="CI271" s="201"/>
      <c r="CJ271" s="201"/>
      <c r="CK271" s="198">
        <f>TRUNC(AL271*CJ271)+0</f>
        <v>0</v>
      </c>
      <c r="CL271" s="200"/>
      <c r="CM271" s="199">
        <f>TRUNC(CL271*AK271,2)</f>
        <v>0</v>
      </c>
      <c r="CN271" s="198">
        <f>TRUNC(CM271*AL271)+0</f>
        <v>0</v>
      </c>
    </row>
    <row r="272" spans="1:92">
      <c r="A272" s="208"/>
      <c r="B272" s="214"/>
      <c r="C272" s="250" t="s">
        <v>351</v>
      </c>
      <c r="D272" s="214">
        <v>4.51</v>
      </c>
      <c r="E272" s="214" t="s">
        <v>338</v>
      </c>
      <c r="F272" s="214">
        <v>5.3</v>
      </c>
      <c r="G272" s="266" t="s">
        <v>310</v>
      </c>
      <c r="H272" s="214">
        <v>11</v>
      </c>
      <c r="I272" s="214" t="s">
        <v>338</v>
      </c>
      <c r="J272" s="214">
        <v>0.6</v>
      </c>
      <c r="K272" s="214" t="s">
        <v>310</v>
      </c>
      <c r="L272" s="214">
        <v>11</v>
      </c>
      <c r="M272" s="214" t="s">
        <v>338</v>
      </c>
      <c r="N272" s="214">
        <v>0.6</v>
      </c>
      <c r="O272" s="214" t="s">
        <v>310</v>
      </c>
      <c r="P272" s="214">
        <v>5.45</v>
      </c>
      <c r="Q272" s="214" t="s">
        <v>338</v>
      </c>
      <c r="R272" s="214">
        <v>0.6</v>
      </c>
      <c r="S272" s="214" t="s">
        <v>310</v>
      </c>
      <c r="T272" s="214">
        <v>5.45</v>
      </c>
      <c r="U272" s="214" t="s">
        <v>338</v>
      </c>
      <c r="V272" s="214">
        <v>0.6</v>
      </c>
      <c r="W272" s="214" t="s">
        <v>310</v>
      </c>
      <c r="X272" s="214">
        <v>6.6</v>
      </c>
      <c r="Y272" s="214" t="s">
        <v>338</v>
      </c>
      <c r="Z272" s="214">
        <v>0.6</v>
      </c>
      <c r="AA272" s="214" t="s">
        <v>310</v>
      </c>
      <c r="AB272" s="214">
        <v>6.6</v>
      </c>
      <c r="AC272" s="214" t="s">
        <v>338</v>
      </c>
      <c r="AD272" s="214">
        <v>0.6</v>
      </c>
      <c r="AE272" s="214" t="s">
        <v>310</v>
      </c>
      <c r="AF272" s="214">
        <v>0.3</v>
      </c>
      <c r="AG272" s="214" t="s">
        <v>338</v>
      </c>
      <c r="AH272" s="214">
        <v>0.6</v>
      </c>
      <c r="AI272" s="214" t="s">
        <v>310</v>
      </c>
      <c r="AJ272" s="214">
        <v>0.3</v>
      </c>
      <c r="AK272" s="214" t="s">
        <v>338</v>
      </c>
      <c r="AL272" s="214">
        <v>0.6</v>
      </c>
      <c r="AM272" s="214" t="s">
        <v>310</v>
      </c>
      <c r="AN272" s="214">
        <v>5.75</v>
      </c>
      <c r="AO272" s="214" t="s">
        <v>338</v>
      </c>
      <c r="AP272" s="214">
        <v>5.3</v>
      </c>
      <c r="AQ272" s="214" t="s">
        <v>310</v>
      </c>
      <c r="AR272" s="214">
        <v>0.9</v>
      </c>
      <c r="AS272" s="214" t="s">
        <v>338</v>
      </c>
      <c r="AT272" s="214">
        <v>4.4000000000000004</v>
      </c>
      <c r="AU272" s="214" t="s">
        <v>310</v>
      </c>
      <c r="AV272" s="214">
        <v>1.45</v>
      </c>
      <c r="AW272" s="214" t="s">
        <v>338</v>
      </c>
      <c r="AX272" s="214">
        <v>4.4000000000000004</v>
      </c>
      <c r="AY272" s="214" t="s">
        <v>310</v>
      </c>
      <c r="AZ272" s="214">
        <v>5.25</v>
      </c>
      <c r="BA272" s="214" t="s">
        <v>338</v>
      </c>
      <c r="BB272" s="214">
        <v>4.4000000000000004</v>
      </c>
      <c r="BC272" s="214" t="s">
        <v>310</v>
      </c>
      <c r="BD272" s="214">
        <v>1.45</v>
      </c>
      <c r="BE272" s="214" t="s">
        <v>338</v>
      </c>
      <c r="BF272" s="214">
        <v>4.4000000000000004</v>
      </c>
      <c r="BG272" s="214" t="s">
        <v>310</v>
      </c>
      <c r="BH272" s="214">
        <v>2.0499999999999998</v>
      </c>
      <c r="BI272" s="214" t="s">
        <v>338</v>
      </c>
      <c r="BJ272" s="214">
        <v>4.4000000000000004</v>
      </c>
      <c r="BK272" s="214" t="s">
        <v>310</v>
      </c>
      <c r="BL272" s="214">
        <v>1.45</v>
      </c>
      <c r="BM272" s="214" t="s">
        <v>338</v>
      </c>
      <c r="BN272" s="214">
        <v>4.4000000000000004</v>
      </c>
      <c r="BO272" s="214" t="s">
        <v>310</v>
      </c>
      <c r="BP272" s="214">
        <v>5.25</v>
      </c>
      <c r="BQ272" s="214" t="s">
        <v>338</v>
      </c>
      <c r="BR272" s="214">
        <v>4.4000000000000004</v>
      </c>
      <c r="BS272" s="214" t="s">
        <v>310</v>
      </c>
      <c r="BT272" s="214">
        <v>7.12</v>
      </c>
      <c r="BU272" s="214" t="s">
        <v>338</v>
      </c>
      <c r="BV272" s="214">
        <v>2.1</v>
      </c>
      <c r="BW272" s="214"/>
      <c r="BX272" s="214" t="s">
        <v>10</v>
      </c>
      <c r="BY272" s="214">
        <f>D272*F272+H272*J272+L272*N272+P272*R272+T272*V272+X272*Z272+AB272*AD272+AF272*AH272+AJ272*AL272+AN272*AP272+AR272*AT272+AV272*AX272+AZ272*BB272+BD272*BF272+BH272*BJ272+BL272*BN272+BP272*BR272+BT272*BV272</f>
        <v>175.67</v>
      </c>
      <c r="BZ272" s="204"/>
      <c r="CA272" s="204"/>
      <c r="CB272" s="204"/>
      <c r="CC272" s="200"/>
      <c r="CD272" s="202"/>
      <c r="CE272" s="201"/>
      <c r="CF272" s="200"/>
      <c r="CG272" s="202"/>
      <c r="CH272" s="201"/>
      <c r="CI272" s="201"/>
      <c r="CJ272" s="201"/>
      <c r="CK272" s="198"/>
      <c r="CL272" s="200"/>
      <c r="CM272" s="199"/>
      <c r="CN272" s="198"/>
    </row>
    <row r="273" spans="1:92">
      <c r="A273" s="208"/>
      <c r="B273" s="214"/>
      <c r="C273" s="250" t="s">
        <v>350</v>
      </c>
      <c r="D273" s="214">
        <v>5.0999999999999996</v>
      </c>
      <c r="E273" s="214" t="s">
        <v>338</v>
      </c>
      <c r="F273" s="214">
        <v>5.3</v>
      </c>
      <c r="G273" s="214" t="s">
        <v>310</v>
      </c>
      <c r="H273" s="214">
        <v>7.05</v>
      </c>
      <c r="I273" s="214" t="s">
        <v>338</v>
      </c>
      <c r="J273" s="214">
        <v>5.3</v>
      </c>
      <c r="K273" s="214" t="s">
        <v>310</v>
      </c>
      <c r="L273" s="214">
        <v>5.85</v>
      </c>
      <c r="M273" s="214" t="s">
        <v>338</v>
      </c>
      <c r="N273" s="214">
        <v>0.6</v>
      </c>
      <c r="O273" s="214" t="s">
        <v>310</v>
      </c>
      <c r="P273" s="214">
        <v>5.85</v>
      </c>
      <c r="Q273" s="214" t="s">
        <v>338</v>
      </c>
      <c r="R273" s="214">
        <v>1.6</v>
      </c>
      <c r="S273" s="214"/>
      <c r="T273" s="214"/>
      <c r="U273" s="214"/>
      <c r="V273" s="214"/>
      <c r="W273" s="214"/>
      <c r="X273" s="214"/>
      <c r="Y273" s="214"/>
      <c r="Z273" s="214"/>
      <c r="AA273" s="214"/>
      <c r="AB273" s="214"/>
      <c r="AC273" s="214"/>
      <c r="AD273" s="214"/>
      <c r="AE273" s="214"/>
      <c r="AF273" s="214"/>
      <c r="AG273" s="214"/>
      <c r="AH273" s="214"/>
      <c r="AI273" s="214"/>
      <c r="AJ273" s="214"/>
      <c r="AK273" s="214"/>
      <c r="AL273" s="214"/>
      <c r="AM273" s="214"/>
      <c r="AN273" s="214"/>
      <c r="AO273" s="214"/>
      <c r="AP273" s="214"/>
      <c r="AQ273" s="214"/>
      <c r="AR273" s="214"/>
      <c r="AS273" s="214"/>
      <c r="AT273" s="214"/>
      <c r="AU273" s="214"/>
      <c r="AV273" s="214"/>
      <c r="AW273" s="214"/>
      <c r="AX273" s="214"/>
      <c r="AY273" s="214"/>
      <c r="AZ273" s="214"/>
      <c r="BA273" s="214"/>
      <c r="BB273" s="214"/>
      <c r="BC273" s="214"/>
      <c r="BD273" s="214"/>
      <c r="BE273" s="214"/>
      <c r="BF273" s="214"/>
      <c r="BG273" s="214"/>
      <c r="BH273" s="214"/>
      <c r="BI273" s="214"/>
      <c r="BJ273" s="214"/>
      <c r="BK273" s="214"/>
      <c r="BL273" s="214"/>
      <c r="BM273" s="214"/>
      <c r="BN273" s="214"/>
      <c r="BO273" s="214"/>
      <c r="BP273" s="214"/>
      <c r="BQ273" s="214"/>
      <c r="BR273" s="214"/>
      <c r="BS273" s="214"/>
      <c r="BT273" s="214"/>
      <c r="BU273" s="214"/>
      <c r="BV273" s="214"/>
      <c r="BW273" s="214"/>
      <c r="BX273" s="214" t="s">
        <v>10</v>
      </c>
      <c r="BY273" s="214">
        <f>D273*F273+H273*J273+L273*N273+P273*R273+T273*V273+X273*Z273+AB273*AD273+AF273*AH273+AJ273*AL273+AN273*AP273+AR273*AT273+AV273*AX273+AZ273*BB273+BD273*BF273+BH273*BJ273+BL273*BN273+BP273*BR273+BT273*BV273</f>
        <v>77.265000000000001</v>
      </c>
      <c r="BZ273" s="204"/>
      <c r="CA273" s="204"/>
      <c r="CB273" s="204"/>
      <c r="CC273" s="200"/>
      <c r="CD273" s="202"/>
      <c r="CE273" s="201"/>
      <c r="CF273" s="200"/>
      <c r="CG273" s="202"/>
      <c r="CH273" s="201"/>
      <c r="CI273" s="201"/>
      <c r="CJ273" s="201"/>
      <c r="CK273" s="198"/>
      <c r="CL273" s="200"/>
      <c r="CM273" s="199"/>
      <c r="CN273" s="198"/>
    </row>
    <row r="274" spans="1:92">
      <c r="A274" s="208"/>
      <c r="B274" s="214"/>
      <c r="C274" s="250" t="s">
        <v>349</v>
      </c>
      <c r="D274" s="214">
        <v>1.3</v>
      </c>
      <c r="E274" s="214" t="s">
        <v>338</v>
      </c>
      <c r="F274" s="214">
        <v>4.4000000000000004</v>
      </c>
      <c r="G274" s="214" t="s">
        <v>310</v>
      </c>
      <c r="H274" s="214">
        <v>1.1000000000000001</v>
      </c>
      <c r="I274" s="214" t="s">
        <v>338</v>
      </c>
      <c r="J274" s="214">
        <v>4.4000000000000004</v>
      </c>
      <c r="K274" s="214" t="s">
        <v>310</v>
      </c>
      <c r="L274" s="214">
        <v>9.9</v>
      </c>
      <c r="M274" s="214" t="s">
        <v>338</v>
      </c>
      <c r="N274" s="214">
        <v>4.4000000000000004</v>
      </c>
      <c r="O274" s="214" t="s">
        <v>310</v>
      </c>
      <c r="P274" s="214">
        <v>1.1000000000000001</v>
      </c>
      <c r="Q274" s="214" t="s">
        <v>338</v>
      </c>
      <c r="R274" s="214">
        <v>4.4000000000000004</v>
      </c>
      <c r="S274" s="214" t="s">
        <v>310</v>
      </c>
      <c r="T274" s="214">
        <v>1.45</v>
      </c>
      <c r="U274" s="214" t="s">
        <v>338</v>
      </c>
      <c r="V274" s="214">
        <v>4.4000000000000004</v>
      </c>
      <c r="W274" s="214" t="s">
        <v>310</v>
      </c>
      <c r="X274" s="214">
        <v>14.11</v>
      </c>
      <c r="Y274" s="214" t="s">
        <v>338</v>
      </c>
      <c r="Z274" s="214">
        <v>2.2000000000000002</v>
      </c>
      <c r="AA274" s="214" t="s">
        <v>310</v>
      </c>
      <c r="AB274" s="214">
        <v>14.11</v>
      </c>
      <c r="AC274" s="214" t="s">
        <v>338</v>
      </c>
      <c r="AD274" s="214">
        <v>2.2000000000000002</v>
      </c>
      <c r="AE274" s="214"/>
      <c r="AF274" s="214"/>
      <c r="AG274" s="214"/>
      <c r="AH274" s="214"/>
      <c r="AI274" s="214"/>
      <c r="AJ274" s="214"/>
      <c r="AK274" s="214"/>
      <c r="AL274" s="214"/>
      <c r="AM274" s="214"/>
      <c r="AN274" s="214"/>
      <c r="AO274" s="214"/>
      <c r="AP274" s="214"/>
      <c r="AQ274" s="214"/>
      <c r="AR274" s="214"/>
      <c r="AS274" s="214"/>
      <c r="AT274" s="214"/>
      <c r="AU274" s="214"/>
      <c r="AV274" s="214"/>
      <c r="AW274" s="214"/>
      <c r="AX274" s="214"/>
      <c r="AY274" s="214"/>
      <c r="AZ274" s="214"/>
      <c r="BA274" s="214"/>
      <c r="BB274" s="214"/>
      <c r="BC274" s="214"/>
      <c r="BD274" s="214"/>
      <c r="BE274" s="214"/>
      <c r="BF274" s="214"/>
      <c r="BG274" s="214"/>
      <c r="BH274" s="214"/>
      <c r="BI274" s="214"/>
      <c r="BJ274" s="214"/>
      <c r="BK274" s="214"/>
      <c r="BL274" s="214"/>
      <c r="BM274" s="214"/>
      <c r="BN274" s="214"/>
      <c r="BO274" s="214"/>
      <c r="BP274" s="214"/>
      <c r="BQ274" s="214"/>
      <c r="BR274" s="214"/>
      <c r="BS274" s="214"/>
      <c r="BT274" s="214"/>
      <c r="BU274" s="214"/>
      <c r="BV274" s="214"/>
      <c r="BW274" s="214"/>
      <c r="BX274" s="214" t="s">
        <v>10</v>
      </c>
      <c r="BY274" s="214">
        <f>D274*F274+H274*J274+L274*N274+P274*R274+T274*V274+X274*Z274+AB274*AD274+AF274*AH274+AJ274*AL274+AN274*AP274+AR274*AT274+AV274*AX274+AZ274*BB274+BD274*BF274+BH274*BJ274+BL274*BN274+BP274*BR274+BT274*BV274</f>
        <v>127.42400000000001</v>
      </c>
      <c r="BZ274" s="204"/>
      <c r="CA274" s="204"/>
      <c r="CB274" s="204"/>
      <c r="CC274" s="200"/>
      <c r="CD274" s="202"/>
      <c r="CE274" s="201"/>
      <c r="CF274" s="200"/>
      <c r="CG274" s="202"/>
      <c r="CH274" s="201"/>
      <c r="CI274" s="201"/>
      <c r="CJ274" s="201"/>
      <c r="CK274" s="198"/>
      <c r="CL274" s="200"/>
      <c r="CM274" s="199"/>
      <c r="CN274" s="198"/>
    </row>
    <row r="275" spans="1:92">
      <c r="A275" s="208"/>
      <c r="B275" s="214"/>
      <c r="C275" s="250" t="s">
        <v>348</v>
      </c>
      <c r="D275" s="214">
        <v>7.91</v>
      </c>
      <c r="E275" s="214" t="s">
        <v>338</v>
      </c>
      <c r="F275" s="214">
        <v>5.3</v>
      </c>
      <c r="G275" s="214" t="s">
        <v>310</v>
      </c>
      <c r="H275" s="214">
        <v>3.21</v>
      </c>
      <c r="I275" s="214" t="s">
        <v>338</v>
      </c>
      <c r="J275" s="214">
        <v>5.3</v>
      </c>
      <c r="K275" s="214" t="s">
        <v>310</v>
      </c>
      <c r="L275" s="214">
        <v>4.6500000000000004</v>
      </c>
      <c r="M275" s="214" t="s">
        <v>338</v>
      </c>
      <c r="N275" s="214">
        <v>5.3</v>
      </c>
      <c r="O275" s="214" t="s">
        <v>310</v>
      </c>
      <c r="P275" s="214">
        <v>6.35</v>
      </c>
      <c r="Q275" s="214" t="s">
        <v>338</v>
      </c>
      <c r="R275" s="214">
        <v>4.4000000000000004</v>
      </c>
      <c r="S275" s="214" t="s">
        <v>310</v>
      </c>
      <c r="T275" s="214">
        <v>1.45</v>
      </c>
      <c r="U275" s="214" t="s">
        <v>338</v>
      </c>
      <c r="V275" s="214">
        <v>4.4000000000000004</v>
      </c>
      <c r="W275" s="214" t="s">
        <v>310</v>
      </c>
      <c r="X275" s="214">
        <v>2.0499999999999998</v>
      </c>
      <c r="Y275" s="214" t="s">
        <v>338</v>
      </c>
      <c r="Z275" s="214">
        <v>4.4000000000000004</v>
      </c>
      <c r="AA275" s="214" t="s">
        <v>310</v>
      </c>
      <c r="AB275" s="214">
        <v>1.45</v>
      </c>
      <c r="AC275" s="214" t="s">
        <v>338</v>
      </c>
      <c r="AD275" s="214">
        <v>4.4000000000000004</v>
      </c>
      <c r="AE275" s="214" t="s">
        <v>310</v>
      </c>
      <c r="AF275" s="214">
        <v>5.25</v>
      </c>
      <c r="AG275" s="214" t="s">
        <v>338</v>
      </c>
      <c r="AH275" s="214">
        <v>4.4000000000000004</v>
      </c>
      <c r="AI275" s="214" t="s">
        <v>310</v>
      </c>
      <c r="AJ275" s="214">
        <v>33.549999999999997</v>
      </c>
      <c r="AK275" s="214" t="s">
        <v>338</v>
      </c>
      <c r="AL275" s="214">
        <v>2.1</v>
      </c>
      <c r="AM275" s="214" t="s">
        <v>310</v>
      </c>
      <c r="AN275" s="214">
        <v>33.549999999999997</v>
      </c>
      <c r="AO275" s="214" t="s">
        <v>338</v>
      </c>
      <c r="AP275" s="214">
        <v>2.1</v>
      </c>
      <c r="AQ275" s="214"/>
      <c r="AR275" s="214"/>
      <c r="AS275" s="214"/>
      <c r="AT275" s="214"/>
      <c r="AU275" s="214"/>
      <c r="AV275" s="214"/>
      <c r="AW275" s="214"/>
      <c r="AX275" s="214"/>
      <c r="AY275" s="214"/>
      <c r="AZ275" s="214"/>
      <c r="BA275" s="214"/>
      <c r="BB275" s="214"/>
      <c r="BC275" s="214"/>
      <c r="BD275" s="214"/>
      <c r="BE275" s="214"/>
      <c r="BF275" s="214"/>
      <c r="BG275" s="214"/>
      <c r="BH275" s="214"/>
      <c r="BI275" s="214"/>
      <c r="BJ275" s="214"/>
      <c r="BK275" s="214"/>
      <c r="BL275" s="214"/>
      <c r="BM275" s="214"/>
      <c r="BN275" s="214"/>
      <c r="BO275" s="214"/>
      <c r="BP275" s="214"/>
      <c r="BQ275" s="214"/>
      <c r="BR275" s="214"/>
      <c r="BS275" s="214"/>
      <c r="BT275" s="214"/>
      <c r="BU275" s="214"/>
      <c r="BV275" s="214"/>
      <c r="BW275" s="214"/>
      <c r="BX275" s="214" t="s">
        <v>10</v>
      </c>
      <c r="BY275" s="214">
        <f>D275*F275+H275*J275+L275*N275+P275*R275+T275*V275+X275*Z275+AB275*AD275+AF275*AH275+AJ275*AL275+AN275*AP275+AR275*AT275+AV275*AX275+AZ275*BB275+BD275*BF275+BH275*BJ275+BL275*BN275+BP275*BR275+BT275*BV275</f>
        <v>297.31099999999998</v>
      </c>
      <c r="BZ275" s="204"/>
      <c r="CA275" s="204"/>
      <c r="CB275" s="204"/>
      <c r="CC275" s="200"/>
      <c r="CD275" s="202"/>
      <c r="CE275" s="201"/>
      <c r="CF275" s="200"/>
      <c r="CG275" s="202"/>
      <c r="CH275" s="201"/>
      <c r="CI275" s="201"/>
      <c r="CJ275" s="201"/>
      <c r="CK275" s="198"/>
      <c r="CL275" s="200"/>
      <c r="CM275" s="199"/>
      <c r="CN275" s="198"/>
    </row>
    <row r="276" spans="1:92" ht="15" customHeight="1">
      <c r="A276" s="208"/>
      <c r="B276" s="214"/>
      <c r="C276" s="250"/>
      <c r="D276" s="257" t="s">
        <v>347</v>
      </c>
      <c r="E276" s="256"/>
      <c r="F276" s="256"/>
      <c r="G276" s="256"/>
      <c r="H276" s="256"/>
      <c r="I276" s="256"/>
      <c r="J276" s="256"/>
      <c r="K276" s="256"/>
      <c r="L276" s="256"/>
      <c r="M276" s="256"/>
      <c r="N276" s="256"/>
      <c r="O276" s="256"/>
      <c r="P276" s="256"/>
      <c r="Q276" s="256"/>
      <c r="R276" s="256"/>
      <c r="S276" s="256"/>
      <c r="T276" s="256"/>
      <c r="U276" s="256"/>
      <c r="V276" s="256"/>
      <c r="W276" s="256"/>
      <c r="X276" s="256"/>
      <c r="Y276" s="256"/>
      <c r="Z276" s="256"/>
      <c r="AA276" s="256"/>
      <c r="AB276" s="256"/>
      <c r="AC276" s="256"/>
      <c r="AD276" s="256"/>
      <c r="AE276" s="256"/>
      <c r="AF276" s="256"/>
      <c r="AG276" s="256"/>
      <c r="AH276" s="256"/>
      <c r="AI276" s="256"/>
      <c r="AJ276" s="256"/>
      <c r="AK276" s="256"/>
      <c r="AL276" s="256"/>
      <c r="AM276" s="256"/>
      <c r="AN276" s="256"/>
      <c r="AO276" s="256"/>
      <c r="AP276" s="256"/>
      <c r="AQ276" s="256"/>
      <c r="AR276" s="256"/>
      <c r="AS276" s="256"/>
      <c r="AT276" s="256"/>
      <c r="AU276" s="256"/>
      <c r="AV276" s="256"/>
      <c r="AW276" s="256"/>
      <c r="AX276" s="256"/>
      <c r="AY276" s="256"/>
      <c r="AZ276" s="256"/>
      <c r="BA276" s="256"/>
      <c r="BB276" s="256"/>
      <c r="BC276" s="256"/>
      <c r="BD276" s="256"/>
      <c r="BE276" s="256"/>
      <c r="BF276" s="256"/>
      <c r="BG276" s="256"/>
      <c r="BH276" s="256"/>
      <c r="BI276" s="256"/>
      <c r="BJ276" s="256"/>
      <c r="BK276" s="256"/>
      <c r="BL276" s="256"/>
      <c r="BM276" s="256"/>
      <c r="BN276" s="256"/>
      <c r="BO276" s="256"/>
      <c r="BP276" s="256"/>
      <c r="BQ276" s="256"/>
      <c r="BR276" s="256"/>
      <c r="BS276" s="256"/>
      <c r="BT276" s="256"/>
      <c r="BU276" s="256"/>
      <c r="BV276" s="256"/>
      <c r="BW276" s="255"/>
      <c r="BX276" s="253" t="s">
        <v>10</v>
      </c>
      <c r="BY276" s="253">
        <f>SUM(BY272:BY275)</f>
        <v>677.67000000000007</v>
      </c>
      <c r="BZ276" s="204"/>
      <c r="CA276" s="204"/>
      <c r="CB276" s="204"/>
      <c r="CC276" s="200"/>
      <c r="CD276" s="202"/>
      <c r="CE276" s="201"/>
      <c r="CF276" s="200"/>
      <c r="CG276" s="202"/>
      <c r="CH276" s="201"/>
      <c r="CI276" s="201"/>
      <c r="CJ276" s="201"/>
      <c r="CK276" s="198"/>
      <c r="CL276" s="200"/>
      <c r="CM276" s="199"/>
      <c r="CN276" s="198"/>
    </row>
    <row r="277" spans="1:92" ht="15" customHeight="1">
      <c r="A277" s="208"/>
      <c r="B277" s="214"/>
      <c r="D277" s="265" t="s">
        <v>346</v>
      </c>
      <c r="E277" s="264"/>
      <c r="F277" s="264"/>
      <c r="G277" s="264"/>
      <c r="H277" s="264"/>
      <c r="I277" s="264"/>
      <c r="J277" s="264"/>
      <c r="K277" s="264"/>
      <c r="L277" s="264"/>
      <c r="M277" s="264"/>
      <c r="N277" s="264"/>
      <c r="O277" s="264"/>
      <c r="P277" s="264"/>
      <c r="Q277" s="264"/>
      <c r="R277" s="264"/>
      <c r="S277" s="264"/>
      <c r="T277" s="264"/>
      <c r="U277" s="264"/>
      <c r="V277" s="264"/>
      <c r="W277" s="264"/>
      <c r="X277" s="264"/>
      <c r="Y277" s="264"/>
      <c r="Z277" s="264"/>
      <c r="AA277" s="264"/>
      <c r="AB277" s="264"/>
      <c r="AC277" s="264"/>
      <c r="AD277" s="264"/>
      <c r="AE277" s="264"/>
      <c r="AF277" s="264"/>
      <c r="AG277" s="264"/>
      <c r="AH277" s="264"/>
      <c r="AI277" s="264"/>
      <c r="AJ277" s="264"/>
      <c r="AK277" s="264"/>
      <c r="AL277" s="264"/>
      <c r="AM277" s="264"/>
      <c r="AN277" s="264"/>
      <c r="AO277" s="264"/>
      <c r="AP277" s="264"/>
      <c r="AQ277" s="264"/>
      <c r="AR277" s="264"/>
      <c r="AS277" s="264"/>
      <c r="AT277" s="264"/>
      <c r="AU277" s="264"/>
      <c r="AV277" s="264"/>
      <c r="AW277" s="264"/>
      <c r="AX277" s="264"/>
      <c r="AY277" s="264"/>
      <c r="AZ277" s="264"/>
      <c r="BA277" s="264"/>
      <c r="BB277" s="264"/>
      <c r="BC277" s="264"/>
      <c r="BD277" s="264"/>
      <c r="BE277" s="264"/>
      <c r="BF277" s="264"/>
      <c r="BG277" s="264"/>
      <c r="BH277" s="264"/>
      <c r="BI277" s="264"/>
      <c r="BJ277" s="264"/>
      <c r="BK277" s="264"/>
      <c r="BL277" s="264"/>
      <c r="BM277" s="264"/>
      <c r="BN277" s="264"/>
      <c r="BO277" s="264"/>
      <c r="BP277" s="264"/>
      <c r="BQ277" s="264"/>
      <c r="BR277" s="264"/>
      <c r="BS277" s="264"/>
      <c r="BT277" s="264"/>
      <c r="BU277" s="264"/>
      <c r="BV277" s="264"/>
      <c r="BW277" s="263"/>
      <c r="BX277" s="253"/>
      <c r="BY277" s="253"/>
      <c r="BZ277" s="204"/>
      <c r="CA277" s="204"/>
      <c r="CB277" s="204"/>
      <c r="CC277" s="200"/>
      <c r="CD277" s="202"/>
      <c r="CE277" s="201"/>
      <c r="CF277" s="200"/>
      <c r="CG277" s="202"/>
      <c r="CH277" s="201"/>
      <c r="CI277" s="201"/>
      <c r="CJ277" s="201"/>
      <c r="CK277" s="198"/>
      <c r="CL277" s="200"/>
      <c r="CM277" s="199"/>
      <c r="CN277" s="198"/>
    </row>
    <row r="278" spans="1:92">
      <c r="A278" s="208"/>
      <c r="B278" s="214"/>
      <c r="C278" s="250" t="s">
        <v>345</v>
      </c>
      <c r="D278" s="262">
        <v>2.2000000000000002</v>
      </c>
      <c r="E278" s="259" t="s">
        <v>338</v>
      </c>
      <c r="F278" s="259">
        <v>2.5</v>
      </c>
      <c r="G278" s="259"/>
      <c r="H278" s="259"/>
      <c r="I278" s="259"/>
      <c r="J278" s="259"/>
      <c r="K278" s="259"/>
      <c r="L278" s="259"/>
      <c r="M278" s="259"/>
      <c r="N278" s="259"/>
      <c r="O278" s="259"/>
      <c r="P278" s="259"/>
      <c r="Q278" s="259"/>
      <c r="R278" s="259"/>
      <c r="S278" s="259"/>
      <c r="T278" s="259"/>
      <c r="U278" s="259"/>
      <c r="V278" s="259"/>
      <c r="W278" s="261"/>
      <c r="X278" s="261"/>
      <c r="Y278" s="261"/>
      <c r="Z278" s="261"/>
      <c r="AA278" s="261"/>
      <c r="AB278" s="260"/>
      <c r="AC278" s="260"/>
      <c r="AD278" s="260"/>
      <c r="AE278" s="260"/>
      <c r="AF278" s="260"/>
      <c r="AG278" s="260"/>
      <c r="AH278" s="260"/>
      <c r="AI278" s="260"/>
      <c r="AJ278" s="260"/>
      <c r="AK278" s="260"/>
      <c r="AL278" s="260"/>
      <c r="AM278" s="260"/>
      <c r="AN278" s="260"/>
      <c r="AO278" s="260"/>
      <c r="AP278" s="260"/>
      <c r="AQ278" s="260"/>
      <c r="AR278" s="260"/>
      <c r="AS278" s="260"/>
      <c r="AT278" s="260"/>
      <c r="AU278" s="260"/>
      <c r="AV278" s="260"/>
      <c r="AW278" s="260"/>
      <c r="AX278" s="260"/>
      <c r="AY278" s="260"/>
      <c r="AZ278" s="260"/>
      <c r="BA278" s="260"/>
      <c r="BB278" s="260"/>
      <c r="BC278" s="260"/>
      <c r="BD278" s="260"/>
      <c r="BE278" s="260"/>
      <c r="BF278" s="260"/>
      <c r="BG278" s="260"/>
      <c r="BH278" s="260"/>
      <c r="BI278" s="260"/>
      <c r="BJ278" s="260"/>
      <c r="BK278" s="260"/>
      <c r="BL278" s="260"/>
      <c r="BM278" s="260"/>
      <c r="BN278" s="260"/>
      <c r="BO278" s="260"/>
      <c r="BP278" s="260"/>
      <c r="BQ278" s="260"/>
      <c r="BR278" s="260"/>
      <c r="BS278" s="260"/>
      <c r="BT278" s="260"/>
      <c r="BU278" s="260"/>
      <c r="BV278" s="259" t="s">
        <v>338</v>
      </c>
      <c r="BW278" s="258">
        <v>1</v>
      </c>
      <c r="BX278" s="253" t="s">
        <v>10</v>
      </c>
      <c r="BY278" s="214">
        <f>(D278*F278)*BW278</f>
        <v>5.5</v>
      </c>
      <c r="BZ278" s="204"/>
      <c r="CA278" s="204"/>
      <c r="CB278" s="204"/>
      <c r="CC278" s="200"/>
      <c r="CD278" s="202"/>
      <c r="CE278" s="201"/>
      <c r="CF278" s="200"/>
      <c r="CG278" s="202"/>
      <c r="CH278" s="201"/>
      <c r="CI278" s="201"/>
      <c r="CJ278" s="201"/>
      <c r="CK278" s="198"/>
      <c r="CL278" s="200"/>
      <c r="CM278" s="199"/>
      <c r="CN278" s="198"/>
    </row>
    <row r="279" spans="1:92">
      <c r="A279" s="208"/>
      <c r="B279" s="214"/>
      <c r="C279" s="250" t="s">
        <v>344</v>
      </c>
      <c r="D279" s="262">
        <v>2</v>
      </c>
      <c r="E279" s="259" t="s">
        <v>338</v>
      </c>
      <c r="F279" s="259">
        <v>2.1</v>
      </c>
      <c r="G279" s="259"/>
      <c r="H279" s="259"/>
      <c r="I279" s="259"/>
      <c r="J279" s="259"/>
      <c r="K279" s="259"/>
      <c r="L279" s="259"/>
      <c r="M279" s="259"/>
      <c r="N279" s="259"/>
      <c r="O279" s="259"/>
      <c r="P279" s="259"/>
      <c r="Q279" s="259"/>
      <c r="R279" s="259"/>
      <c r="S279" s="259"/>
      <c r="T279" s="259"/>
      <c r="U279" s="259"/>
      <c r="V279" s="259"/>
      <c r="W279" s="261"/>
      <c r="X279" s="261"/>
      <c r="Y279" s="261"/>
      <c r="Z279" s="261"/>
      <c r="AA279" s="261"/>
      <c r="AB279" s="260"/>
      <c r="AC279" s="260"/>
      <c r="AD279" s="260"/>
      <c r="AE279" s="260"/>
      <c r="AF279" s="260"/>
      <c r="AG279" s="260"/>
      <c r="AH279" s="260"/>
      <c r="AI279" s="260"/>
      <c r="AJ279" s="260"/>
      <c r="AK279" s="260"/>
      <c r="AL279" s="260"/>
      <c r="AM279" s="260"/>
      <c r="AN279" s="260"/>
      <c r="AO279" s="260"/>
      <c r="AP279" s="260"/>
      <c r="AQ279" s="260"/>
      <c r="AR279" s="260"/>
      <c r="AS279" s="260"/>
      <c r="AT279" s="260"/>
      <c r="AU279" s="260"/>
      <c r="AV279" s="260"/>
      <c r="AW279" s="260"/>
      <c r="AX279" s="260"/>
      <c r="AY279" s="260"/>
      <c r="AZ279" s="260"/>
      <c r="BA279" s="260"/>
      <c r="BB279" s="260"/>
      <c r="BC279" s="260"/>
      <c r="BD279" s="260"/>
      <c r="BE279" s="260"/>
      <c r="BF279" s="260"/>
      <c r="BG279" s="260"/>
      <c r="BH279" s="260"/>
      <c r="BI279" s="260"/>
      <c r="BJ279" s="260"/>
      <c r="BK279" s="260"/>
      <c r="BL279" s="260"/>
      <c r="BM279" s="260"/>
      <c r="BN279" s="260"/>
      <c r="BO279" s="260"/>
      <c r="BP279" s="260"/>
      <c r="BQ279" s="260"/>
      <c r="BR279" s="260"/>
      <c r="BS279" s="260"/>
      <c r="BT279" s="260"/>
      <c r="BU279" s="260"/>
      <c r="BV279" s="259" t="s">
        <v>338</v>
      </c>
      <c r="BW279" s="258">
        <v>1</v>
      </c>
      <c r="BX279" s="253" t="s">
        <v>10</v>
      </c>
      <c r="BY279" s="214">
        <f>(D279*F279)*BW279</f>
        <v>4.2</v>
      </c>
      <c r="BZ279" s="204"/>
      <c r="CA279" s="204"/>
      <c r="CB279" s="204"/>
      <c r="CC279" s="200"/>
      <c r="CD279" s="202"/>
      <c r="CE279" s="201"/>
      <c r="CF279" s="200"/>
      <c r="CG279" s="202"/>
      <c r="CH279" s="201"/>
      <c r="CI279" s="201"/>
      <c r="CJ279" s="201"/>
      <c r="CK279" s="198"/>
      <c r="CL279" s="200"/>
      <c r="CM279" s="199"/>
      <c r="CN279" s="198"/>
    </row>
    <row r="280" spans="1:92">
      <c r="A280" s="208"/>
      <c r="B280" s="214"/>
      <c r="C280" s="250" t="s">
        <v>343</v>
      </c>
      <c r="D280" s="262">
        <v>0.8</v>
      </c>
      <c r="E280" s="259" t="s">
        <v>338</v>
      </c>
      <c r="F280" s="259">
        <v>2.5</v>
      </c>
      <c r="G280" s="259"/>
      <c r="H280" s="259"/>
      <c r="I280" s="259"/>
      <c r="J280" s="259"/>
      <c r="K280" s="259"/>
      <c r="L280" s="259"/>
      <c r="M280" s="259"/>
      <c r="N280" s="259"/>
      <c r="O280" s="259"/>
      <c r="P280" s="259"/>
      <c r="Q280" s="259"/>
      <c r="R280" s="259"/>
      <c r="S280" s="259"/>
      <c r="T280" s="259"/>
      <c r="U280" s="259"/>
      <c r="V280" s="259"/>
      <c r="W280" s="261"/>
      <c r="X280" s="261"/>
      <c r="Y280" s="261"/>
      <c r="Z280" s="261"/>
      <c r="AA280" s="261"/>
      <c r="AB280" s="260"/>
      <c r="AC280" s="260"/>
      <c r="AD280" s="260"/>
      <c r="AE280" s="260"/>
      <c r="AF280" s="260"/>
      <c r="AG280" s="260"/>
      <c r="AH280" s="260"/>
      <c r="AI280" s="260"/>
      <c r="AJ280" s="260"/>
      <c r="AK280" s="260"/>
      <c r="AL280" s="260"/>
      <c r="AM280" s="260"/>
      <c r="AN280" s="260"/>
      <c r="AO280" s="260"/>
      <c r="AP280" s="260"/>
      <c r="AQ280" s="260"/>
      <c r="AR280" s="260"/>
      <c r="AS280" s="260"/>
      <c r="AT280" s="260"/>
      <c r="AU280" s="260"/>
      <c r="AV280" s="260"/>
      <c r="AW280" s="260"/>
      <c r="AX280" s="260"/>
      <c r="AY280" s="260"/>
      <c r="AZ280" s="260"/>
      <c r="BA280" s="260"/>
      <c r="BB280" s="260"/>
      <c r="BC280" s="260"/>
      <c r="BD280" s="260"/>
      <c r="BE280" s="260"/>
      <c r="BF280" s="260"/>
      <c r="BG280" s="260"/>
      <c r="BH280" s="260"/>
      <c r="BI280" s="260"/>
      <c r="BJ280" s="260"/>
      <c r="BK280" s="260"/>
      <c r="BL280" s="260"/>
      <c r="BM280" s="260"/>
      <c r="BN280" s="260"/>
      <c r="BO280" s="260"/>
      <c r="BP280" s="260"/>
      <c r="BQ280" s="260"/>
      <c r="BR280" s="260"/>
      <c r="BS280" s="260"/>
      <c r="BT280" s="260"/>
      <c r="BU280" s="260"/>
      <c r="BV280" s="259" t="s">
        <v>338</v>
      </c>
      <c r="BW280" s="258">
        <v>3</v>
      </c>
      <c r="BX280" s="253" t="s">
        <v>10</v>
      </c>
      <c r="BY280" s="214">
        <f>(D280*F280)*BW280</f>
        <v>6</v>
      </c>
      <c r="BZ280" s="204"/>
      <c r="CA280" s="204"/>
      <c r="CB280" s="204"/>
      <c r="CC280" s="200"/>
      <c r="CD280" s="202"/>
      <c r="CE280" s="201"/>
      <c r="CF280" s="200"/>
      <c r="CG280" s="202"/>
      <c r="CH280" s="201"/>
      <c r="CI280" s="201"/>
      <c r="CJ280" s="201"/>
      <c r="CK280" s="198"/>
      <c r="CL280" s="200"/>
      <c r="CM280" s="199"/>
      <c r="CN280" s="198"/>
    </row>
    <row r="281" spans="1:92">
      <c r="A281" s="208"/>
      <c r="B281" s="214"/>
      <c r="C281" s="250" t="s">
        <v>342</v>
      </c>
      <c r="D281" s="262">
        <v>1.1000000000000001</v>
      </c>
      <c r="E281" s="259" t="s">
        <v>338</v>
      </c>
      <c r="F281" s="259">
        <v>1</v>
      </c>
      <c r="G281" s="259"/>
      <c r="H281" s="259"/>
      <c r="I281" s="259"/>
      <c r="J281" s="259"/>
      <c r="K281" s="259"/>
      <c r="L281" s="259"/>
      <c r="M281" s="259"/>
      <c r="N281" s="259"/>
      <c r="O281" s="259"/>
      <c r="P281" s="259"/>
      <c r="Q281" s="259"/>
      <c r="R281" s="259"/>
      <c r="S281" s="259"/>
      <c r="T281" s="259"/>
      <c r="U281" s="259"/>
      <c r="V281" s="259"/>
      <c r="W281" s="261"/>
      <c r="X281" s="261"/>
      <c r="Y281" s="261"/>
      <c r="Z281" s="261"/>
      <c r="AA281" s="261"/>
      <c r="AB281" s="260"/>
      <c r="AC281" s="260"/>
      <c r="AD281" s="260"/>
      <c r="AE281" s="260"/>
      <c r="AF281" s="260"/>
      <c r="AG281" s="260"/>
      <c r="AH281" s="260"/>
      <c r="AI281" s="260"/>
      <c r="AJ281" s="260"/>
      <c r="AK281" s="260"/>
      <c r="AL281" s="260"/>
      <c r="AM281" s="260"/>
      <c r="AN281" s="260"/>
      <c r="AO281" s="260"/>
      <c r="AP281" s="260"/>
      <c r="AQ281" s="260"/>
      <c r="AR281" s="260"/>
      <c r="AS281" s="260"/>
      <c r="AT281" s="260"/>
      <c r="AU281" s="260"/>
      <c r="AV281" s="260"/>
      <c r="AW281" s="260"/>
      <c r="AX281" s="260"/>
      <c r="AY281" s="260"/>
      <c r="AZ281" s="260"/>
      <c r="BA281" s="260"/>
      <c r="BB281" s="260"/>
      <c r="BC281" s="260"/>
      <c r="BD281" s="260"/>
      <c r="BE281" s="260"/>
      <c r="BF281" s="260"/>
      <c r="BG281" s="260"/>
      <c r="BH281" s="260"/>
      <c r="BI281" s="260"/>
      <c r="BJ281" s="260"/>
      <c r="BK281" s="260"/>
      <c r="BL281" s="260"/>
      <c r="BM281" s="260"/>
      <c r="BN281" s="260"/>
      <c r="BO281" s="260"/>
      <c r="BP281" s="260"/>
      <c r="BQ281" s="260"/>
      <c r="BR281" s="260"/>
      <c r="BS281" s="260"/>
      <c r="BT281" s="260"/>
      <c r="BU281" s="260"/>
      <c r="BV281" s="259" t="s">
        <v>338</v>
      </c>
      <c r="BW281" s="258">
        <v>7</v>
      </c>
      <c r="BX281" s="253" t="s">
        <v>10</v>
      </c>
      <c r="BY281" s="214">
        <f>(D281*F281)*BW281</f>
        <v>7.7000000000000011</v>
      </c>
      <c r="BZ281" s="204"/>
      <c r="CA281" s="204"/>
      <c r="CB281" s="204"/>
      <c r="CC281" s="200"/>
      <c r="CD281" s="202"/>
      <c r="CE281" s="201"/>
      <c r="CF281" s="200"/>
      <c r="CG281" s="202"/>
      <c r="CH281" s="201"/>
      <c r="CI281" s="201"/>
      <c r="CJ281" s="201"/>
      <c r="CK281" s="198"/>
      <c r="CL281" s="200"/>
      <c r="CM281" s="199"/>
      <c r="CN281" s="198"/>
    </row>
    <row r="282" spans="1:92">
      <c r="A282" s="208"/>
      <c r="B282" s="214"/>
      <c r="C282" s="250" t="s">
        <v>341</v>
      </c>
      <c r="D282" s="262">
        <v>1.4</v>
      </c>
      <c r="E282" s="259" t="s">
        <v>338</v>
      </c>
      <c r="F282" s="259">
        <v>1</v>
      </c>
      <c r="G282" s="259"/>
      <c r="H282" s="259"/>
      <c r="I282" s="259"/>
      <c r="J282" s="259"/>
      <c r="K282" s="259"/>
      <c r="L282" s="259"/>
      <c r="M282" s="259"/>
      <c r="N282" s="259"/>
      <c r="O282" s="259"/>
      <c r="P282" s="259"/>
      <c r="Q282" s="259"/>
      <c r="R282" s="259"/>
      <c r="S282" s="259"/>
      <c r="T282" s="259"/>
      <c r="U282" s="259"/>
      <c r="V282" s="259"/>
      <c r="W282" s="261"/>
      <c r="X282" s="261"/>
      <c r="Y282" s="261"/>
      <c r="Z282" s="261"/>
      <c r="AA282" s="261"/>
      <c r="AB282" s="260"/>
      <c r="AC282" s="260"/>
      <c r="AD282" s="260"/>
      <c r="AE282" s="260"/>
      <c r="AF282" s="260"/>
      <c r="AG282" s="260"/>
      <c r="AH282" s="260"/>
      <c r="AI282" s="260"/>
      <c r="AJ282" s="260"/>
      <c r="AK282" s="260"/>
      <c r="AL282" s="260"/>
      <c r="AM282" s="260"/>
      <c r="AN282" s="260"/>
      <c r="AO282" s="260"/>
      <c r="AP282" s="260"/>
      <c r="AQ282" s="260"/>
      <c r="AR282" s="260"/>
      <c r="AS282" s="260"/>
      <c r="AT282" s="260"/>
      <c r="AU282" s="260"/>
      <c r="AV282" s="260"/>
      <c r="AW282" s="260"/>
      <c r="AX282" s="260"/>
      <c r="AY282" s="260"/>
      <c r="AZ282" s="260"/>
      <c r="BA282" s="260"/>
      <c r="BB282" s="260"/>
      <c r="BC282" s="260"/>
      <c r="BD282" s="260"/>
      <c r="BE282" s="260"/>
      <c r="BF282" s="260"/>
      <c r="BG282" s="260"/>
      <c r="BH282" s="260"/>
      <c r="BI282" s="260"/>
      <c r="BJ282" s="260"/>
      <c r="BK282" s="260"/>
      <c r="BL282" s="260"/>
      <c r="BM282" s="260"/>
      <c r="BN282" s="260"/>
      <c r="BO282" s="260"/>
      <c r="BP282" s="260"/>
      <c r="BQ282" s="260"/>
      <c r="BR282" s="260"/>
      <c r="BS282" s="260"/>
      <c r="BT282" s="260"/>
      <c r="BU282" s="260"/>
      <c r="BV282" s="259" t="s">
        <v>338</v>
      </c>
      <c r="BW282" s="258">
        <v>2</v>
      </c>
      <c r="BX282" s="253" t="s">
        <v>10</v>
      </c>
      <c r="BY282" s="214">
        <f>(D282*F282)*BW282</f>
        <v>2.8</v>
      </c>
      <c r="BZ282" s="204"/>
      <c r="CA282" s="204"/>
      <c r="CB282" s="204"/>
      <c r="CC282" s="200"/>
      <c r="CD282" s="202"/>
      <c r="CE282" s="201"/>
      <c r="CF282" s="200"/>
      <c r="CG282" s="202"/>
      <c r="CH282" s="201"/>
      <c r="CI282" s="201"/>
      <c r="CJ282" s="201"/>
      <c r="CK282" s="198"/>
      <c r="CL282" s="200"/>
      <c r="CM282" s="199"/>
      <c r="CN282" s="198"/>
    </row>
    <row r="283" spans="1:92">
      <c r="A283" s="208"/>
      <c r="B283" s="214"/>
      <c r="C283" s="250" t="s">
        <v>340</v>
      </c>
      <c r="D283" s="262">
        <v>1.5</v>
      </c>
      <c r="E283" s="259" t="s">
        <v>338</v>
      </c>
      <c r="F283" s="259">
        <v>0.4</v>
      </c>
      <c r="G283" s="259"/>
      <c r="H283" s="259"/>
      <c r="I283" s="259"/>
      <c r="J283" s="259"/>
      <c r="K283" s="259"/>
      <c r="L283" s="259"/>
      <c r="M283" s="259"/>
      <c r="N283" s="259"/>
      <c r="O283" s="259"/>
      <c r="P283" s="259"/>
      <c r="Q283" s="259"/>
      <c r="R283" s="259"/>
      <c r="S283" s="259"/>
      <c r="T283" s="259"/>
      <c r="U283" s="259"/>
      <c r="V283" s="259"/>
      <c r="W283" s="261"/>
      <c r="X283" s="261"/>
      <c r="Y283" s="261"/>
      <c r="Z283" s="261"/>
      <c r="AA283" s="261"/>
      <c r="AB283" s="260"/>
      <c r="AC283" s="260"/>
      <c r="AD283" s="260"/>
      <c r="AE283" s="260"/>
      <c r="AF283" s="260"/>
      <c r="AG283" s="260"/>
      <c r="AH283" s="260"/>
      <c r="AI283" s="260"/>
      <c r="AJ283" s="260"/>
      <c r="AK283" s="260"/>
      <c r="AL283" s="260"/>
      <c r="AM283" s="260"/>
      <c r="AN283" s="260"/>
      <c r="AO283" s="260"/>
      <c r="AP283" s="260"/>
      <c r="AQ283" s="260"/>
      <c r="AR283" s="260"/>
      <c r="AS283" s="260"/>
      <c r="AT283" s="260"/>
      <c r="AU283" s="260"/>
      <c r="AV283" s="260"/>
      <c r="AW283" s="260"/>
      <c r="AX283" s="260"/>
      <c r="AY283" s="260"/>
      <c r="AZ283" s="260"/>
      <c r="BA283" s="260"/>
      <c r="BB283" s="260"/>
      <c r="BC283" s="260"/>
      <c r="BD283" s="260"/>
      <c r="BE283" s="260"/>
      <c r="BF283" s="260"/>
      <c r="BG283" s="260"/>
      <c r="BH283" s="260"/>
      <c r="BI283" s="260"/>
      <c r="BJ283" s="260"/>
      <c r="BK283" s="260"/>
      <c r="BL283" s="260"/>
      <c r="BM283" s="260"/>
      <c r="BN283" s="260"/>
      <c r="BO283" s="260"/>
      <c r="BP283" s="260"/>
      <c r="BQ283" s="260"/>
      <c r="BR283" s="260"/>
      <c r="BS283" s="260"/>
      <c r="BT283" s="260"/>
      <c r="BU283" s="260"/>
      <c r="BV283" s="259" t="s">
        <v>338</v>
      </c>
      <c r="BW283" s="258">
        <v>3</v>
      </c>
      <c r="BX283" s="253" t="s">
        <v>10</v>
      </c>
      <c r="BY283" s="214">
        <f>(D283*F283)*BW283</f>
        <v>1.8000000000000003</v>
      </c>
      <c r="BZ283" s="204"/>
      <c r="CA283" s="204"/>
      <c r="CB283" s="204"/>
      <c r="CC283" s="200"/>
      <c r="CD283" s="202"/>
      <c r="CE283" s="201"/>
      <c r="CF283" s="200"/>
      <c r="CG283" s="202"/>
      <c r="CH283" s="201"/>
      <c r="CI283" s="201"/>
      <c r="CJ283" s="201"/>
      <c r="CK283" s="198"/>
      <c r="CL283" s="200"/>
      <c r="CM283" s="199"/>
      <c r="CN283" s="198"/>
    </row>
    <row r="284" spans="1:92">
      <c r="A284" s="208"/>
      <c r="B284" s="214"/>
      <c r="C284" s="250" t="s">
        <v>339</v>
      </c>
      <c r="D284" s="262">
        <v>1.3</v>
      </c>
      <c r="E284" s="259" t="s">
        <v>338</v>
      </c>
      <c r="F284" s="259">
        <v>0.4</v>
      </c>
      <c r="G284" s="259"/>
      <c r="H284" s="259"/>
      <c r="I284" s="259"/>
      <c r="J284" s="259"/>
      <c r="K284" s="259"/>
      <c r="L284" s="259"/>
      <c r="M284" s="259"/>
      <c r="N284" s="259"/>
      <c r="O284" s="259"/>
      <c r="P284" s="259"/>
      <c r="Q284" s="259"/>
      <c r="R284" s="259"/>
      <c r="S284" s="259"/>
      <c r="T284" s="259"/>
      <c r="U284" s="259"/>
      <c r="V284" s="259"/>
      <c r="W284" s="261"/>
      <c r="X284" s="261"/>
      <c r="Y284" s="261"/>
      <c r="Z284" s="261"/>
      <c r="AA284" s="261"/>
      <c r="AB284" s="260"/>
      <c r="AC284" s="260"/>
      <c r="AD284" s="260"/>
      <c r="AE284" s="260"/>
      <c r="AF284" s="260"/>
      <c r="AG284" s="260"/>
      <c r="AH284" s="260"/>
      <c r="AI284" s="260"/>
      <c r="AJ284" s="260"/>
      <c r="AK284" s="260"/>
      <c r="AL284" s="260"/>
      <c r="AM284" s="260"/>
      <c r="AN284" s="260"/>
      <c r="AO284" s="260"/>
      <c r="AP284" s="260"/>
      <c r="AQ284" s="260"/>
      <c r="AR284" s="260"/>
      <c r="AS284" s="260"/>
      <c r="AT284" s="260"/>
      <c r="AU284" s="260"/>
      <c r="AV284" s="260"/>
      <c r="AW284" s="260"/>
      <c r="AX284" s="260"/>
      <c r="AY284" s="260"/>
      <c r="AZ284" s="260"/>
      <c r="BA284" s="260"/>
      <c r="BB284" s="260"/>
      <c r="BC284" s="260"/>
      <c r="BD284" s="260"/>
      <c r="BE284" s="260"/>
      <c r="BF284" s="260"/>
      <c r="BG284" s="260"/>
      <c r="BH284" s="260"/>
      <c r="BI284" s="260"/>
      <c r="BJ284" s="260"/>
      <c r="BK284" s="260"/>
      <c r="BL284" s="260"/>
      <c r="BM284" s="260"/>
      <c r="BN284" s="260"/>
      <c r="BO284" s="260"/>
      <c r="BP284" s="260"/>
      <c r="BQ284" s="260"/>
      <c r="BR284" s="260"/>
      <c r="BS284" s="260"/>
      <c r="BT284" s="260"/>
      <c r="BU284" s="260"/>
      <c r="BV284" s="259" t="s">
        <v>338</v>
      </c>
      <c r="BW284" s="258">
        <v>8</v>
      </c>
      <c r="BX284" s="253" t="s">
        <v>10</v>
      </c>
      <c r="BY284" s="214">
        <f>(D284*F284)*BW284</f>
        <v>4.16</v>
      </c>
      <c r="BZ284" s="204"/>
      <c r="CA284" s="204"/>
      <c r="CB284" s="204"/>
      <c r="CC284" s="200"/>
      <c r="CD284" s="202"/>
      <c r="CE284" s="201"/>
      <c r="CF284" s="200"/>
      <c r="CG284" s="202"/>
      <c r="CH284" s="201"/>
      <c r="CI284" s="201"/>
      <c r="CJ284" s="201"/>
      <c r="CK284" s="198"/>
      <c r="CL284" s="200"/>
      <c r="CM284" s="199"/>
      <c r="CN284" s="198"/>
    </row>
    <row r="285" spans="1:92" ht="15" customHeight="1">
      <c r="A285" s="208"/>
      <c r="B285" s="214"/>
      <c r="C285" s="250"/>
      <c r="D285" s="257" t="s">
        <v>337</v>
      </c>
      <c r="E285" s="256"/>
      <c r="F285" s="256"/>
      <c r="G285" s="256"/>
      <c r="H285" s="256"/>
      <c r="I285" s="256"/>
      <c r="J285" s="256"/>
      <c r="K285" s="256"/>
      <c r="L285" s="256"/>
      <c r="M285" s="256"/>
      <c r="N285" s="256"/>
      <c r="O285" s="256"/>
      <c r="P285" s="256"/>
      <c r="Q285" s="256"/>
      <c r="R285" s="256"/>
      <c r="S285" s="256"/>
      <c r="T285" s="256"/>
      <c r="U285" s="256"/>
      <c r="V285" s="256"/>
      <c r="W285" s="256"/>
      <c r="X285" s="256"/>
      <c r="Y285" s="256"/>
      <c r="Z285" s="256"/>
      <c r="AA285" s="256"/>
      <c r="AB285" s="256"/>
      <c r="AC285" s="256"/>
      <c r="AD285" s="256"/>
      <c r="AE285" s="256"/>
      <c r="AF285" s="256"/>
      <c r="AG285" s="256"/>
      <c r="AH285" s="256"/>
      <c r="AI285" s="256"/>
      <c r="AJ285" s="256"/>
      <c r="AK285" s="256"/>
      <c r="AL285" s="256"/>
      <c r="AM285" s="256"/>
      <c r="AN285" s="256"/>
      <c r="AO285" s="256"/>
      <c r="AP285" s="256"/>
      <c r="AQ285" s="256"/>
      <c r="AR285" s="256"/>
      <c r="AS285" s="256"/>
      <c r="AT285" s="256"/>
      <c r="AU285" s="256"/>
      <c r="AV285" s="256"/>
      <c r="AW285" s="256"/>
      <c r="AX285" s="256"/>
      <c r="AY285" s="256"/>
      <c r="AZ285" s="256"/>
      <c r="BA285" s="256"/>
      <c r="BB285" s="256"/>
      <c r="BC285" s="256"/>
      <c r="BD285" s="256"/>
      <c r="BE285" s="256"/>
      <c r="BF285" s="256"/>
      <c r="BG285" s="256"/>
      <c r="BH285" s="256"/>
      <c r="BI285" s="256"/>
      <c r="BJ285" s="256"/>
      <c r="BK285" s="256"/>
      <c r="BL285" s="256"/>
      <c r="BM285" s="256"/>
      <c r="BN285" s="256"/>
      <c r="BO285" s="256"/>
      <c r="BP285" s="256"/>
      <c r="BQ285" s="256"/>
      <c r="BR285" s="256"/>
      <c r="BS285" s="256"/>
      <c r="BT285" s="256"/>
      <c r="BU285" s="256"/>
      <c r="BV285" s="256"/>
      <c r="BW285" s="255"/>
      <c r="BX285" s="253" t="s">
        <v>10</v>
      </c>
      <c r="BY285" s="253">
        <f>SUM(BY278:BY284)</f>
        <v>32.159999999999997</v>
      </c>
      <c r="BZ285" s="204"/>
      <c r="CA285" s="204"/>
      <c r="CB285" s="204"/>
      <c r="CC285" s="200"/>
      <c r="CD285" s="202"/>
      <c r="CE285" s="201"/>
      <c r="CF285" s="200"/>
      <c r="CG285" s="202"/>
      <c r="CH285" s="201"/>
      <c r="CI285" s="201"/>
      <c r="CJ285" s="201"/>
      <c r="CK285" s="198"/>
      <c r="CL285" s="200"/>
      <c r="CM285" s="199"/>
      <c r="CN285" s="198"/>
    </row>
    <row r="286" spans="1:92" ht="15" customHeight="1">
      <c r="A286" s="208"/>
      <c r="B286" s="214"/>
      <c r="C286" s="250"/>
      <c r="D286" s="257" t="s">
        <v>336</v>
      </c>
      <c r="E286" s="256"/>
      <c r="F286" s="256"/>
      <c r="G286" s="256"/>
      <c r="H286" s="256"/>
      <c r="I286" s="256"/>
      <c r="J286" s="256"/>
      <c r="K286" s="256"/>
      <c r="L286" s="256"/>
      <c r="M286" s="256"/>
      <c r="N286" s="256"/>
      <c r="O286" s="256"/>
      <c r="P286" s="256"/>
      <c r="Q286" s="256"/>
      <c r="R286" s="256"/>
      <c r="S286" s="256"/>
      <c r="T286" s="256"/>
      <c r="U286" s="256"/>
      <c r="V286" s="256"/>
      <c r="W286" s="256"/>
      <c r="X286" s="256"/>
      <c r="Y286" s="256"/>
      <c r="Z286" s="256"/>
      <c r="AA286" s="256"/>
      <c r="AB286" s="256"/>
      <c r="AC286" s="256"/>
      <c r="AD286" s="256"/>
      <c r="AE286" s="256"/>
      <c r="AF286" s="256"/>
      <c r="AG286" s="256"/>
      <c r="AH286" s="256"/>
      <c r="AI286" s="256"/>
      <c r="AJ286" s="256"/>
      <c r="AK286" s="256"/>
      <c r="AL286" s="256"/>
      <c r="AM286" s="256"/>
      <c r="AN286" s="256"/>
      <c r="AO286" s="256"/>
      <c r="AP286" s="256"/>
      <c r="AQ286" s="256"/>
      <c r="AR286" s="256"/>
      <c r="AS286" s="256"/>
      <c r="AT286" s="256"/>
      <c r="AU286" s="256"/>
      <c r="AV286" s="256"/>
      <c r="AW286" s="256"/>
      <c r="AX286" s="256"/>
      <c r="AY286" s="256"/>
      <c r="AZ286" s="256"/>
      <c r="BA286" s="256"/>
      <c r="BB286" s="256"/>
      <c r="BC286" s="256"/>
      <c r="BD286" s="256"/>
      <c r="BE286" s="256"/>
      <c r="BF286" s="256"/>
      <c r="BG286" s="256"/>
      <c r="BH286" s="256"/>
      <c r="BI286" s="256"/>
      <c r="BJ286" s="256"/>
      <c r="BK286" s="256"/>
      <c r="BL286" s="256"/>
      <c r="BM286" s="256"/>
      <c r="BN286" s="256"/>
      <c r="BO286" s="256"/>
      <c r="BP286" s="256"/>
      <c r="BQ286" s="256"/>
      <c r="BR286" s="256"/>
      <c r="BS286" s="256"/>
      <c r="BT286" s="256"/>
      <c r="BU286" s="256"/>
      <c r="BV286" s="256"/>
      <c r="BW286" s="255"/>
      <c r="BX286" s="253" t="s">
        <v>10</v>
      </c>
      <c r="BY286" s="253">
        <f>BY276-BY285</f>
        <v>645.5100000000001</v>
      </c>
      <c r="BZ286" s="204"/>
      <c r="CA286" s="204"/>
      <c r="CB286" s="204"/>
      <c r="CC286" s="200"/>
      <c r="CD286" s="202"/>
      <c r="CE286" s="201"/>
      <c r="CF286" s="200"/>
      <c r="CG286" s="202"/>
      <c r="CH286" s="201"/>
      <c r="CI286" s="201"/>
      <c r="CJ286" s="201"/>
      <c r="CK286" s="198"/>
      <c r="CL286" s="200"/>
      <c r="CM286" s="199"/>
      <c r="CN286" s="198"/>
    </row>
    <row r="287" spans="1:92" ht="15" customHeight="1">
      <c r="A287" s="208"/>
      <c r="B287" s="214"/>
      <c r="C287" s="250"/>
      <c r="D287" s="254" t="s">
        <v>335</v>
      </c>
      <c r="E287" s="254"/>
      <c r="F287" s="254"/>
      <c r="G287" s="254"/>
      <c r="H287" s="254"/>
      <c r="I287" s="254"/>
      <c r="J287" s="254"/>
      <c r="K287" s="254"/>
      <c r="L287" s="254"/>
      <c r="M287" s="254"/>
      <c r="N287" s="254"/>
      <c r="O287" s="254"/>
      <c r="P287" s="254"/>
      <c r="Q287" s="254"/>
      <c r="R287" s="254"/>
      <c r="S287" s="254"/>
      <c r="T287" s="254"/>
      <c r="U287" s="254"/>
      <c r="V287" s="254"/>
      <c r="W287" s="254"/>
      <c r="X287" s="254"/>
      <c r="Y287" s="254"/>
      <c r="Z287" s="254"/>
      <c r="AA287" s="254"/>
      <c r="AB287" s="254"/>
      <c r="AC287" s="254"/>
      <c r="AD287" s="254"/>
      <c r="AE287" s="254"/>
      <c r="AF287" s="254"/>
      <c r="AG287" s="254"/>
      <c r="AH287" s="254"/>
      <c r="AI287" s="254"/>
      <c r="AJ287" s="254"/>
      <c r="AK287" s="254"/>
      <c r="AL287" s="254"/>
      <c r="AM287" s="254"/>
      <c r="AN287" s="254"/>
      <c r="AO287" s="254"/>
      <c r="AP287" s="254"/>
      <c r="AQ287" s="254"/>
      <c r="AR287" s="254"/>
      <c r="AS287" s="254"/>
      <c r="AT287" s="254"/>
      <c r="AU287" s="254"/>
      <c r="AV287" s="254"/>
      <c r="AW287" s="254"/>
      <c r="AX287" s="254"/>
      <c r="AY287" s="254"/>
      <c r="AZ287" s="254"/>
      <c r="BA287" s="254"/>
      <c r="BB287" s="254"/>
      <c r="BC287" s="254"/>
      <c r="BD287" s="254"/>
      <c r="BE287" s="254"/>
      <c r="BF287" s="254"/>
      <c r="BG287" s="254"/>
      <c r="BH287" s="254"/>
      <c r="BI287" s="254"/>
      <c r="BJ287" s="254"/>
      <c r="BK287" s="254"/>
      <c r="BL287" s="254"/>
      <c r="BM287" s="254"/>
      <c r="BN287" s="254"/>
      <c r="BO287" s="254"/>
      <c r="BP287" s="254"/>
      <c r="BQ287" s="254"/>
      <c r="BR287" s="254"/>
      <c r="BS287" s="254"/>
      <c r="BT287" s="254"/>
      <c r="BU287" s="254"/>
      <c r="BV287" s="254"/>
      <c r="BW287" s="254"/>
      <c r="BX287" s="253"/>
      <c r="BY287" s="253"/>
      <c r="BZ287" s="204"/>
      <c r="CA287" s="204"/>
      <c r="CB287" s="204"/>
      <c r="CC287" s="200"/>
      <c r="CD287" s="202"/>
      <c r="CE287" s="201"/>
      <c r="CF287" s="200"/>
      <c r="CG287" s="202"/>
      <c r="CH287" s="201"/>
      <c r="CI287" s="201"/>
      <c r="CJ287" s="201"/>
      <c r="CK287" s="198"/>
      <c r="CL287" s="200"/>
      <c r="CM287" s="199"/>
      <c r="CN287" s="198"/>
    </row>
    <row r="288" spans="1:92">
      <c r="A288" s="208"/>
      <c r="B288" s="214"/>
      <c r="C288" s="221" t="s">
        <v>331</v>
      </c>
      <c r="D288" s="234">
        <v>1.6</v>
      </c>
      <c r="E288" s="234" t="s">
        <v>309</v>
      </c>
      <c r="F288" s="229">
        <v>1.6</v>
      </c>
      <c r="G288" s="229"/>
      <c r="H288" s="229"/>
      <c r="I288" s="229"/>
      <c r="J288" s="229"/>
      <c r="K288" s="229"/>
      <c r="L288" s="229"/>
      <c r="M288" s="229"/>
      <c r="N288" s="229"/>
      <c r="O288" s="229"/>
      <c r="P288" s="229"/>
      <c r="Q288" s="229"/>
      <c r="R288" s="229"/>
      <c r="S288" s="229"/>
      <c r="T288" s="229"/>
      <c r="U288" s="229"/>
      <c r="V288" s="229"/>
      <c r="W288" s="236"/>
      <c r="X288" s="251"/>
      <c r="Y288" s="235"/>
      <c r="Z288" s="227"/>
      <c r="AA288" s="224"/>
      <c r="AB288" s="228"/>
      <c r="AC288" s="227"/>
      <c r="AD288" s="93"/>
      <c r="AE288" s="226"/>
      <c r="AF288" s="227"/>
      <c r="AG288" s="93"/>
      <c r="AH288" s="226"/>
      <c r="AI288" s="227"/>
      <c r="AJ288" s="93"/>
      <c r="AK288" s="226"/>
      <c r="AL288" s="227"/>
      <c r="AM288" s="93"/>
      <c r="AN288" s="226"/>
      <c r="AO288" s="95"/>
      <c r="AP288" s="93"/>
      <c r="AQ288" s="226"/>
      <c r="AR288" s="225"/>
      <c r="AS288" s="224"/>
      <c r="AT288" s="204"/>
      <c r="AU288" s="204"/>
      <c r="AV288" s="214"/>
      <c r="AW288" s="214"/>
      <c r="AX288" s="214"/>
      <c r="AY288" s="214"/>
      <c r="AZ288" s="214"/>
      <c r="BA288" s="214"/>
      <c r="BB288" s="214"/>
      <c r="BC288" s="214"/>
      <c r="BD288" s="214"/>
      <c r="BE288" s="214"/>
      <c r="BF288" s="214"/>
      <c r="BG288" s="214"/>
      <c r="BH288" s="214"/>
      <c r="BI288" s="214"/>
      <c r="BJ288" s="214"/>
      <c r="BK288" s="214"/>
      <c r="BL288" s="214"/>
      <c r="BM288" s="214"/>
      <c r="BN288" s="214"/>
      <c r="BO288" s="214"/>
      <c r="BP288" s="214"/>
      <c r="BQ288" s="214"/>
      <c r="BR288" s="214"/>
      <c r="BS288" s="214"/>
      <c r="BT288" s="214"/>
      <c r="BU288" s="214"/>
      <c r="BV288" s="214"/>
      <c r="BW288" s="214"/>
      <c r="BX288" s="223" t="s">
        <v>10</v>
      </c>
      <c r="BY288" s="252">
        <f>D288*F288+H288*J288</f>
        <v>2.5600000000000005</v>
      </c>
      <c r="BZ288" s="204"/>
      <c r="CA288" s="204"/>
      <c r="CB288" s="204"/>
      <c r="CC288" s="200"/>
      <c r="CD288" s="202"/>
      <c r="CE288" s="201"/>
      <c r="CF288" s="200"/>
      <c r="CG288" s="202"/>
      <c r="CH288" s="201"/>
      <c r="CI288" s="201"/>
      <c r="CJ288" s="201"/>
      <c r="CK288" s="198"/>
      <c r="CL288" s="200"/>
      <c r="CM288" s="199"/>
      <c r="CN288" s="198"/>
    </row>
    <row r="289" spans="1:92">
      <c r="A289" s="208"/>
      <c r="B289" s="214"/>
      <c r="C289" s="221" t="s">
        <v>330</v>
      </c>
      <c r="D289" s="234">
        <v>1.8</v>
      </c>
      <c r="E289" s="234" t="s">
        <v>309</v>
      </c>
      <c r="F289" s="229">
        <v>1.6</v>
      </c>
      <c r="G289" s="229"/>
      <c r="H289" s="229"/>
      <c r="I289" s="229"/>
      <c r="J289" s="229"/>
      <c r="K289" s="229"/>
      <c r="L289" s="229"/>
      <c r="M289" s="229"/>
      <c r="N289" s="229"/>
      <c r="O289" s="229"/>
      <c r="P289" s="229"/>
      <c r="Q289" s="229"/>
      <c r="R289" s="229"/>
      <c r="S289" s="229"/>
      <c r="T289" s="229"/>
      <c r="U289" s="229"/>
      <c r="V289" s="229"/>
      <c r="W289" s="236"/>
      <c r="X289" s="251"/>
      <c r="Y289" s="235"/>
      <c r="Z289" s="227"/>
      <c r="AA289" s="224"/>
      <c r="AB289" s="228"/>
      <c r="AC289" s="227"/>
      <c r="AD289" s="93"/>
      <c r="AE289" s="226"/>
      <c r="AF289" s="227"/>
      <c r="AG289" s="93"/>
      <c r="AH289" s="226"/>
      <c r="AI289" s="227"/>
      <c r="AJ289" s="93"/>
      <c r="AK289" s="226"/>
      <c r="AL289" s="227"/>
      <c r="AM289" s="93"/>
      <c r="AN289" s="226"/>
      <c r="AO289" s="95"/>
      <c r="AP289" s="93"/>
      <c r="AQ289" s="226"/>
      <c r="AR289" s="225"/>
      <c r="AS289" s="224"/>
      <c r="AT289" s="204"/>
      <c r="AU289" s="204"/>
      <c r="AV289" s="214"/>
      <c r="AW289" s="214"/>
      <c r="AX289" s="214"/>
      <c r="AY289" s="214"/>
      <c r="AZ289" s="214"/>
      <c r="BA289" s="214"/>
      <c r="BB289" s="214"/>
      <c r="BC289" s="214"/>
      <c r="BD289" s="214"/>
      <c r="BE289" s="214"/>
      <c r="BF289" s="214"/>
      <c r="BG289" s="214"/>
      <c r="BH289" s="214"/>
      <c r="BI289" s="214"/>
      <c r="BJ289" s="214"/>
      <c r="BK289" s="214"/>
      <c r="BL289" s="214"/>
      <c r="BM289" s="214"/>
      <c r="BN289" s="214"/>
      <c r="BO289" s="214"/>
      <c r="BP289" s="214"/>
      <c r="BQ289" s="214"/>
      <c r="BR289" s="214"/>
      <c r="BS289" s="214"/>
      <c r="BT289" s="214"/>
      <c r="BU289" s="214"/>
      <c r="BV289" s="214"/>
      <c r="BW289" s="214"/>
      <c r="BX289" s="223" t="s">
        <v>10</v>
      </c>
      <c r="BY289" s="222">
        <f>D289*F289+H289*J289</f>
        <v>2.8800000000000003</v>
      </c>
      <c r="BZ289" s="204"/>
      <c r="CA289" s="204"/>
      <c r="CB289" s="204"/>
      <c r="CC289" s="200"/>
      <c r="CD289" s="202"/>
      <c r="CE289" s="201"/>
      <c r="CF289" s="200"/>
      <c r="CG289" s="202"/>
      <c r="CH289" s="201"/>
      <c r="CI289" s="201"/>
      <c r="CJ289" s="201"/>
      <c r="CK289" s="198"/>
      <c r="CL289" s="200"/>
      <c r="CM289" s="199"/>
      <c r="CN289" s="198"/>
    </row>
    <row r="290" spans="1:92">
      <c r="A290" s="208"/>
      <c r="B290" s="214"/>
      <c r="C290" s="221" t="s">
        <v>329</v>
      </c>
      <c r="D290" s="234">
        <v>2.75</v>
      </c>
      <c r="E290" s="234" t="s">
        <v>309</v>
      </c>
      <c r="F290" s="229">
        <v>3.55</v>
      </c>
      <c r="G290" s="229"/>
      <c r="H290" s="229"/>
      <c r="I290" s="229"/>
      <c r="J290" s="229"/>
      <c r="K290" s="229"/>
      <c r="L290" s="229"/>
      <c r="M290" s="229"/>
      <c r="N290" s="229"/>
      <c r="O290" s="229"/>
      <c r="P290" s="229"/>
      <c r="Q290" s="229"/>
      <c r="R290" s="229"/>
      <c r="S290" s="229"/>
      <c r="T290" s="229"/>
      <c r="U290" s="229"/>
      <c r="V290" s="229"/>
      <c r="W290" s="236"/>
      <c r="X290" s="251"/>
      <c r="Y290" s="235"/>
      <c r="Z290" s="227"/>
      <c r="AA290" s="224"/>
      <c r="AB290" s="228"/>
      <c r="AC290" s="227"/>
      <c r="AD290" s="93"/>
      <c r="AE290" s="226"/>
      <c r="AF290" s="227"/>
      <c r="AG290" s="93"/>
      <c r="AH290" s="226"/>
      <c r="AI290" s="227"/>
      <c r="AJ290" s="93"/>
      <c r="AK290" s="226"/>
      <c r="AL290" s="227"/>
      <c r="AM290" s="93"/>
      <c r="AN290" s="226"/>
      <c r="AO290" s="95"/>
      <c r="AP290" s="93"/>
      <c r="AQ290" s="226"/>
      <c r="AR290" s="225"/>
      <c r="AS290" s="224"/>
      <c r="AT290" s="204"/>
      <c r="AU290" s="204"/>
      <c r="AV290" s="214"/>
      <c r="AW290" s="214"/>
      <c r="AX290" s="214"/>
      <c r="AY290" s="214"/>
      <c r="AZ290" s="214"/>
      <c r="BA290" s="214"/>
      <c r="BB290" s="214"/>
      <c r="BC290" s="214"/>
      <c r="BD290" s="214"/>
      <c r="BE290" s="214"/>
      <c r="BF290" s="214"/>
      <c r="BG290" s="214"/>
      <c r="BH290" s="214"/>
      <c r="BI290" s="214"/>
      <c r="BJ290" s="214"/>
      <c r="BK290" s="214"/>
      <c r="BL290" s="214"/>
      <c r="BM290" s="214"/>
      <c r="BN290" s="214"/>
      <c r="BO290" s="214"/>
      <c r="BP290" s="214"/>
      <c r="BQ290" s="214"/>
      <c r="BR290" s="214"/>
      <c r="BS290" s="214"/>
      <c r="BT290" s="214"/>
      <c r="BU290" s="214"/>
      <c r="BV290" s="214"/>
      <c r="BW290" s="214"/>
      <c r="BX290" s="223" t="s">
        <v>10</v>
      </c>
      <c r="BY290" s="222">
        <f>D290*F290+H290*J290</f>
        <v>9.7624999999999993</v>
      </c>
      <c r="BZ290" s="204"/>
      <c r="CA290" s="204"/>
      <c r="CB290" s="204"/>
      <c r="CC290" s="200"/>
      <c r="CD290" s="202"/>
      <c r="CE290" s="201"/>
      <c r="CF290" s="200"/>
      <c r="CG290" s="202"/>
      <c r="CH290" s="201"/>
      <c r="CI290" s="201"/>
      <c r="CJ290" s="201"/>
      <c r="CK290" s="198"/>
      <c r="CL290" s="200"/>
      <c r="CM290" s="199"/>
      <c r="CN290" s="198"/>
    </row>
    <row r="291" spans="1:92">
      <c r="A291" s="208"/>
      <c r="B291" s="214"/>
      <c r="C291" s="221" t="s">
        <v>328</v>
      </c>
      <c r="D291" s="234">
        <v>2.4</v>
      </c>
      <c r="E291" s="234" t="s">
        <v>309</v>
      </c>
      <c r="F291" s="229">
        <v>2.2000000000000002</v>
      </c>
      <c r="G291" s="229"/>
      <c r="H291" s="229"/>
      <c r="I291" s="229"/>
      <c r="J291" s="229"/>
      <c r="K291" s="229"/>
      <c r="L291" s="229"/>
      <c r="M291" s="229"/>
      <c r="N291" s="229"/>
      <c r="O291" s="229"/>
      <c r="P291" s="229"/>
      <c r="Q291" s="229"/>
      <c r="R291" s="229"/>
      <c r="S291" s="229"/>
      <c r="T291" s="229"/>
      <c r="U291" s="229"/>
      <c r="V291" s="229"/>
      <c r="W291" s="236"/>
      <c r="X291" s="251"/>
      <c r="Y291" s="235"/>
      <c r="Z291" s="227"/>
      <c r="AA291" s="224"/>
      <c r="AB291" s="228"/>
      <c r="AC291" s="227"/>
      <c r="AD291" s="93"/>
      <c r="AE291" s="226"/>
      <c r="AF291" s="227"/>
      <c r="AG291" s="93"/>
      <c r="AH291" s="226"/>
      <c r="AI291" s="227"/>
      <c r="AJ291" s="93"/>
      <c r="AK291" s="226"/>
      <c r="AL291" s="227"/>
      <c r="AM291" s="93"/>
      <c r="AN291" s="226"/>
      <c r="AO291" s="95"/>
      <c r="AP291" s="93"/>
      <c r="AQ291" s="226"/>
      <c r="AR291" s="225"/>
      <c r="AS291" s="224"/>
      <c r="AT291" s="204"/>
      <c r="AU291" s="204"/>
      <c r="AV291" s="214"/>
      <c r="AW291" s="214"/>
      <c r="AX291" s="214"/>
      <c r="AY291" s="214"/>
      <c r="AZ291" s="214"/>
      <c r="BA291" s="214"/>
      <c r="BB291" s="214"/>
      <c r="BC291" s="214"/>
      <c r="BD291" s="214"/>
      <c r="BE291" s="214"/>
      <c r="BF291" s="214"/>
      <c r="BG291" s="214"/>
      <c r="BH291" s="214"/>
      <c r="BI291" s="214"/>
      <c r="BJ291" s="214"/>
      <c r="BK291" s="214"/>
      <c r="BL291" s="214"/>
      <c r="BM291" s="214"/>
      <c r="BN291" s="214"/>
      <c r="BO291" s="214"/>
      <c r="BP291" s="214"/>
      <c r="BQ291" s="214"/>
      <c r="BR291" s="214"/>
      <c r="BS291" s="214"/>
      <c r="BT291" s="214"/>
      <c r="BU291" s="214"/>
      <c r="BV291" s="214"/>
      <c r="BW291" s="214"/>
      <c r="BX291" s="223" t="s">
        <v>10</v>
      </c>
      <c r="BY291" s="222">
        <f>D291*F291+H291*J291</f>
        <v>5.28</v>
      </c>
      <c r="BZ291" s="204"/>
      <c r="CA291" s="204"/>
      <c r="CB291" s="204"/>
      <c r="CC291" s="200"/>
      <c r="CD291" s="202"/>
      <c r="CE291" s="201"/>
      <c r="CF291" s="200"/>
      <c r="CG291" s="202"/>
      <c r="CH291" s="201"/>
      <c r="CI291" s="201"/>
      <c r="CJ291" s="201"/>
      <c r="CK291" s="198"/>
      <c r="CL291" s="200"/>
      <c r="CM291" s="199"/>
      <c r="CN291" s="198"/>
    </row>
    <row r="292" spans="1:92">
      <c r="A292" s="208"/>
      <c r="B292" s="214"/>
      <c r="C292" s="221" t="s">
        <v>327</v>
      </c>
      <c r="D292" s="234">
        <v>3.4</v>
      </c>
      <c r="E292" s="234" t="s">
        <v>309</v>
      </c>
      <c r="F292" s="229">
        <v>3.2</v>
      </c>
      <c r="G292" s="229"/>
      <c r="H292" s="229"/>
      <c r="I292" s="229"/>
      <c r="J292" s="229"/>
      <c r="K292" s="229"/>
      <c r="L292" s="229"/>
      <c r="M292" s="229"/>
      <c r="N292" s="229"/>
      <c r="O292" s="229"/>
      <c r="P292" s="229"/>
      <c r="Q292" s="229"/>
      <c r="R292" s="229"/>
      <c r="S292" s="229"/>
      <c r="T292" s="229"/>
      <c r="U292" s="229"/>
      <c r="V292" s="229"/>
      <c r="W292" s="236"/>
      <c r="X292" s="251"/>
      <c r="Y292" s="235"/>
      <c r="Z292" s="227"/>
      <c r="AA292" s="224"/>
      <c r="AB292" s="228"/>
      <c r="AC292" s="227"/>
      <c r="AD292" s="93"/>
      <c r="AE292" s="226"/>
      <c r="AF292" s="227"/>
      <c r="AG292" s="93"/>
      <c r="AH292" s="226"/>
      <c r="AI292" s="227"/>
      <c r="AJ292" s="93"/>
      <c r="AK292" s="226"/>
      <c r="AL292" s="227"/>
      <c r="AM292" s="93"/>
      <c r="AN292" s="226"/>
      <c r="AO292" s="95"/>
      <c r="AP292" s="93"/>
      <c r="AQ292" s="226"/>
      <c r="AR292" s="225"/>
      <c r="AS292" s="224"/>
      <c r="AT292" s="204"/>
      <c r="AU292" s="204"/>
      <c r="AV292" s="214"/>
      <c r="AW292" s="214"/>
      <c r="AX292" s="214"/>
      <c r="AY292" s="214"/>
      <c r="AZ292" s="214"/>
      <c r="BA292" s="214"/>
      <c r="BB292" s="214"/>
      <c r="BC292" s="214"/>
      <c r="BD292" s="214"/>
      <c r="BE292" s="214"/>
      <c r="BF292" s="214"/>
      <c r="BG292" s="214"/>
      <c r="BH292" s="214"/>
      <c r="BI292" s="214"/>
      <c r="BJ292" s="214"/>
      <c r="BK292" s="214"/>
      <c r="BL292" s="214"/>
      <c r="BM292" s="214"/>
      <c r="BN292" s="214"/>
      <c r="BO292" s="214"/>
      <c r="BP292" s="214"/>
      <c r="BQ292" s="214"/>
      <c r="BR292" s="214"/>
      <c r="BS292" s="214"/>
      <c r="BT292" s="214"/>
      <c r="BU292" s="214"/>
      <c r="BV292" s="214"/>
      <c r="BW292" s="214"/>
      <c r="BX292" s="223" t="s">
        <v>10</v>
      </c>
      <c r="BY292" s="222">
        <f>D292*F292+H292*J292</f>
        <v>10.88</v>
      </c>
      <c r="BZ292" s="204"/>
      <c r="CA292" s="204"/>
      <c r="CB292" s="204"/>
      <c r="CC292" s="200"/>
      <c r="CD292" s="202"/>
      <c r="CE292" s="201"/>
      <c r="CF292" s="200"/>
      <c r="CG292" s="202"/>
      <c r="CH292" s="201"/>
      <c r="CI292" s="201"/>
      <c r="CJ292" s="201"/>
      <c r="CK292" s="198"/>
      <c r="CL292" s="200"/>
      <c r="CM292" s="199"/>
      <c r="CN292" s="198"/>
    </row>
    <row r="293" spans="1:92">
      <c r="A293" s="208"/>
      <c r="B293" s="214"/>
      <c r="C293" s="221" t="s">
        <v>326</v>
      </c>
      <c r="D293" s="234">
        <v>6.41</v>
      </c>
      <c r="E293" s="234" t="s">
        <v>309</v>
      </c>
      <c r="F293" s="229">
        <v>6.39</v>
      </c>
      <c r="G293" s="246" t="s">
        <v>310</v>
      </c>
      <c r="H293" s="245">
        <v>1.35</v>
      </c>
      <c r="I293" s="229" t="s">
        <v>309</v>
      </c>
      <c r="J293" s="244">
        <v>4.95</v>
      </c>
      <c r="K293" s="229"/>
      <c r="L293" s="229"/>
      <c r="M293" s="229"/>
      <c r="N293" s="229"/>
      <c r="O293" s="229"/>
      <c r="P293" s="229"/>
      <c r="Q293" s="229"/>
      <c r="R293" s="229"/>
      <c r="S293" s="229"/>
      <c r="T293" s="229"/>
      <c r="U293" s="229"/>
      <c r="V293" s="229"/>
      <c r="W293" s="204"/>
      <c r="X293" s="204"/>
      <c r="Y293" s="204"/>
      <c r="Z293" s="204"/>
      <c r="AA293" s="242"/>
      <c r="AB293" s="223"/>
      <c r="AC293" s="241"/>
      <c r="AD293" s="240"/>
      <c r="AE293" s="239"/>
      <c r="AF293" s="241"/>
      <c r="AG293" s="240"/>
      <c r="AH293" s="239"/>
      <c r="AI293" s="241"/>
      <c r="AJ293" s="240"/>
      <c r="AK293" s="239"/>
      <c r="AL293" s="241"/>
      <c r="AM293" s="240"/>
      <c r="AN293" s="239"/>
      <c r="AO293" s="204"/>
      <c r="AP293" s="237"/>
      <c r="AQ293" s="226"/>
      <c r="AR293" s="225"/>
      <c r="AS293" s="224"/>
      <c r="AT293" s="204"/>
      <c r="AU293" s="204"/>
      <c r="AV293" s="214"/>
      <c r="AW293" s="214"/>
      <c r="AX293" s="214"/>
      <c r="AY293" s="214"/>
      <c r="AZ293" s="214"/>
      <c r="BA293" s="214"/>
      <c r="BB293" s="214"/>
      <c r="BC293" s="214"/>
      <c r="BD293" s="214"/>
      <c r="BE293" s="214"/>
      <c r="BF293" s="214"/>
      <c r="BG293" s="214"/>
      <c r="BH293" s="214"/>
      <c r="BI293" s="214"/>
      <c r="BJ293" s="214"/>
      <c r="BK293" s="214"/>
      <c r="BL293" s="214"/>
      <c r="BM293" s="214"/>
      <c r="BN293" s="214"/>
      <c r="BO293" s="214"/>
      <c r="BP293" s="214"/>
      <c r="BQ293" s="214"/>
      <c r="BR293" s="214"/>
      <c r="BS293" s="214"/>
      <c r="BT293" s="214"/>
      <c r="BU293" s="214"/>
      <c r="BV293" s="214"/>
      <c r="BW293" s="214"/>
      <c r="BX293" s="223" t="s">
        <v>10</v>
      </c>
      <c r="BY293" s="222">
        <f>D293*F293+H293*J293</f>
        <v>47.642399999999995</v>
      </c>
      <c r="BZ293" s="204"/>
      <c r="CA293" s="204"/>
      <c r="CB293" s="204"/>
      <c r="CC293" s="200"/>
      <c r="CD293" s="202"/>
      <c r="CE293" s="201"/>
      <c r="CF293" s="200"/>
      <c r="CG293" s="202"/>
      <c r="CH293" s="201"/>
      <c r="CI293" s="201"/>
      <c r="CJ293" s="201"/>
      <c r="CK293" s="198"/>
      <c r="CL293" s="200"/>
      <c r="CM293" s="199"/>
      <c r="CN293" s="198"/>
    </row>
    <row r="294" spans="1:92" ht="15" customHeight="1">
      <c r="A294" s="208"/>
      <c r="B294" s="214"/>
      <c r="C294" s="221" t="s">
        <v>325</v>
      </c>
      <c r="D294" s="234">
        <v>3.06</v>
      </c>
      <c r="E294" s="234" t="s">
        <v>309</v>
      </c>
      <c r="F294" s="229">
        <v>1.1000000000000001</v>
      </c>
      <c r="G294" s="229"/>
      <c r="H294" s="229"/>
      <c r="I294" s="229"/>
      <c r="J294" s="229"/>
      <c r="K294" s="229"/>
      <c r="L294" s="229"/>
      <c r="M294" s="229"/>
      <c r="N294" s="229"/>
      <c r="O294" s="229"/>
      <c r="P294" s="229"/>
      <c r="Q294" s="229"/>
      <c r="R294" s="229"/>
      <c r="S294" s="229"/>
      <c r="T294" s="229"/>
      <c r="U294" s="229"/>
      <c r="V294" s="229"/>
      <c r="W294" s="236"/>
      <c r="X294" s="235"/>
      <c r="Y294" s="231"/>
      <c r="Z294" s="204"/>
      <c r="AA294" s="242"/>
      <c r="AB294" s="223"/>
      <c r="AC294" s="241"/>
      <c r="AD294" s="240"/>
      <c r="AE294" s="239"/>
      <c r="AF294" s="241"/>
      <c r="AG294" s="240"/>
      <c r="AH294" s="239"/>
      <c r="AI294" s="241"/>
      <c r="AJ294" s="240"/>
      <c r="AK294" s="239"/>
      <c r="AL294" s="241"/>
      <c r="AM294" s="240"/>
      <c r="AN294" s="239"/>
      <c r="AO294" s="238"/>
      <c r="AP294" s="237"/>
      <c r="AQ294" s="226"/>
      <c r="AR294" s="225"/>
      <c r="AS294" s="224"/>
      <c r="AT294" s="204"/>
      <c r="AU294" s="204"/>
      <c r="AV294" s="214"/>
      <c r="AW294" s="214"/>
      <c r="AX294" s="214"/>
      <c r="AY294" s="214"/>
      <c r="AZ294" s="214"/>
      <c r="BA294" s="214"/>
      <c r="BB294" s="214"/>
      <c r="BC294" s="214"/>
      <c r="BD294" s="214"/>
      <c r="BE294" s="214"/>
      <c r="BF294" s="214"/>
      <c r="BG294" s="214"/>
      <c r="BH294" s="214"/>
      <c r="BI294" s="214"/>
      <c r="BJ294" s="214"/>
      <c r="BK294" s="214"/>
      <c r="BL294" s="214"/>
      <c r="BM294" s="214"/>
      <c r="BN294" s="214"/>
      <c r="BO294" s="214"/>
      <c r="BP294" s="214"/>
      <c r="BQ294" s="214"/>
      <c r="BR294" s="214"/>
      <c r="BS294" s="214"/>
      <c r="BT294" s="214"/>
      <c r="BU294" s="214"/>
      <c r="BV294" s="214"/>
      <c r="BW294" s="214"/>
      <c r="BX294" s="223" t="s">
        <v>10</v>
      </c>
      <c r="BY294" s="222">
        <f>D294*F294+H294*J294</f>
        <v>3.3660000000000005</v>
      </c>
      <c r="BZ294" s="204"/>
      <c r="CA294" s="204"/>
      <c r="CB294" s="204"/>
      <c r="CC294" s="200"/>
      <c r="CD294" s="202"/>
      <c r="CE294" s="201"/>
      <c r="CF294" s="200"/>
      <c r="CG294" s="202"/>
      <c r="CH294" s="201"/>
      <c r="CI294" s="201"/>
      <c r="CJ294" s="201"/>
      <c r="CK294" s="198"/>
      <c r="CL294" s="200"/>
      <c r="CM294" s="199"/>
      <c r="CN294" s="198"/>
    </row>
    <row r="295" spans="1:92" ht="15" customHeight="1">
      <c r="A295" s="208"/>
      <c r="B295" s="214"/>
      <c r="C295" s="221" t="s">
        <v>324</v>
      </c>
      <c r="D295" s="234">
        <v>2.8</v>
      </c>
      <c r="E295" s="234" t="s">
        <v>309</v>
      </c>
      <c r="F295" s="229">
        <v>3.05</v>
      </c>
      <c r="G295" s="229"/>
      <c r="H295" s="229"/>
      <c r="I295" s="229"/>
      <c r="J295" s="229"/>
      <c r="K295" s="229"/>
      <c r="L295" s="229"/>
      <c r="M295" s="229"/>
      <c r="N295" s="229"/>
      <c r="O295" s="229"/>
      <c r="P295" s="229"/>
      <c r="Q295" s="229"/>
      <c r="R295" s="229"/>
      <c r="S295" s="229"/>
      <c r="T295" s="229"/>
      <c r="U295" s="229"/>
      <c r="V295" s="229"/>
      <c r="W295" s="236"/>
      <c r="X295" s="251"/>
      <c r="Y295" s="235"/>
      <c r="Z295" s="227"/>
      <c r="AA295" s="224"/>
      <c r="AB295" s="228"/>
      <c r="AC295" s="227"/>
      <c r="AD295" s="93"/>
      <c r="AE295" s="226"/>
      <c r="AF295" s="227"/>
      <c r="AG295" s="93"/>
      <c r="AH295" s="226"/>
      <c r="AI295" s="227"/>
      <c r="AJ295" s="93"/>
      <c r="AK295" s="226"/>
      <c r="AL295" s="227"/>
      <c r="AM295" s="93"/>
      <c r="AN295" s="226"/>
      <c r="AO295" s="95"/>
      <c r="AP295" s="93"/>
      <c r="AQ295" s="226"/>
      <c r="AR295" s="225"/>
      <c r="AS295" s="224"/>
      <c r="AT295" s="204"/>
      <c r="AU295" s="204"/>
      <c r="AV295" s="214"/>
      <c r="AW295" s="214"/>
      <c r="AX295" s="214"/>
      <c r="AY295" s="214"/>
      <c r="AZ295" s="214"/>
      <c r="BA295" s="214"/>
      <c r="BB295" s="214"/>
      <c r="BC295" s="214"/>
      <c r="BD295" s="214"/>
      <c r="BE295" s="214"/>
      <c r="BF295" s="214"/>
      <c r="BG295" s="214"/>
      <c r="BH295" s="214"/>
      <c r="BI295" s="214"/>
      <c r="BJ295" s="214"/>
      <c r="BK295" s="214"/>
      <c r="BL295" s="214"/>
      <c r="BM295" s="214"/>
      <c r="BN295" s="214"/>
      <c r="BO295" s="214"/>
      <c r="BP295" s="214"/>
      <c r="BQ295" s="214"/>
      <c r="BR295" s="214"/>
      <c r="BS295" s="214"/>
      <c r="BT295" s="214"/>
      <c r="BU295" s="214"/>
      <c r="BV295" s="214"/>
      <c r="BW295" s="214"/>
      <c r="BX295" s="223" t="s">
        <v>10</v>
      </c>
      <c r="BY295" s="222">
        <f>D295*F295+H295*J295</f>
        <v>8.5399999999999991</v>
      </c>
      <c r="BZ295" s="204"/>
      <c r="CA295" s="204"/>
      <c r="CB295" s="204"/>
      <c r="CC295" s="200"/>
      <c r="CD295" s="202"/>
      <c r="CE295" s="201"/>
      <c r="CF295" s="200"/>
      <c r="CG295" s="202"/>
      <c r="CH295" s="201"/>
      <c r="CI295" s="201"/>
      <c r="CJ295" s="201"/>
      <c r="CK295" s="198"/>
      <c r="CL295" s="200"/>
      <c r="CM295" s="199"/>
      <c r="CN295" s="198"/>
    </row>
    <row r="296" spans="1:92" ht="15" customHeight="1">
      <c r="A296" s="208"/>
      <c r="B296" s="214"/>
      <c r="C296" s="221" t="s">
        <v>323</v>
      </c>
      <c r="D296" s="234">
        <v>2</v>
      </c>
      <c r="E296" s="234" t="s">
        <v>309</v>
      </c>
      <c r="F296" s="229">
        <v>14.75</v>
      </c>
      <c r="G296" s="229"/>
      <c r="H296" s="229"/>
      <c r="I296" s="229"/>
      <c r="J296" s="229"/>
      <c r="K296" s="229"/>
      <c r="L296" s="229"/>
      <c r="M296" s="229"/>
      <c r="N296" s="229"/>
      <c r="O296" s="229"/>
      <c r="P296" s="229"/>
      <c r="Q296" s="229"/>
      <c r="R296" s="229"/>
      <c r="S296" s="229"/>
      <c r="T296" s="229"/>
      <c r="U296" s="229"/>
      <c r="V296" s="229"/>
      <c r="W296" s="236"/>
      <c r="X296" s="251"/>
      <c r="Y296" s="235"/>
      <c r="Z296" s="227"/>
      <c r="AA296" s="224"/>
      <c r="AB296" s="228"/>
      <c r="AC296" s="227"/>
      <c r="AD296" s="93"/>
      <c r="AE296" s="226"/>
      <c r="AF296" s="227"/>
      <c r="AG296" s="93"/>
      <c r="AH296" s="226"/>
      <c r="AI296" s="227"/>
      <c r="AJ296" s="93"/>
      <c r="AK296" s="226"/>
      <c r="AL296" s="227"/>
      <c r="AM296" s="93"/>
      <c r="AN296" s="226"/>
      <c r="AO296" s="95"/>
      <c r="AP296" s="93"/>
      <c r="AQ296" s="226"/>
      <c r="AR296" s="225"/>
      <c r="AS296" s="224"/>
      <c r="AT296" s="204"/>
      <c r="AU296" s="204"/>
      <c r="AV296" s="214"/>
      <c r="AW296" s="214"/>
      <c r="AX296" s="214"/>
      <c r="AY296" s="214"/>
      <c r="AZ296" s="214"/>
      <c r="BA296" s="214"/>
      <c r="BB296" s="214"/>
      <c r="BC296" s="214"/>
      <c r="BD296" s="214"/>
      <c r="BE296" s="214"/>
      <c r="BF296" s="214"/>
      <c r="BG296" s="214"/>
      <c r="BH296" s="214"/>
      <c r="BI296" s="214"/>
      <c r="BJ296" s="214"/>
      <c r="BK296" s="214"/>
      <c r="BL296" s="214"/>
      <c r="BM296" s="214"/>
      <c r="BN296" s="214"/>
      <c r="BO296" s="214"/>
      <c r="BP296" s="214"/>
      <c r="BQ296" s="214"/>
      <c r="BR296" s="214"/>
      <c r="BS296" s="214"/>
      <c r="BT296" s="214"/>
      <c r="BU296" s="214"/>
      <c r="BV296" s="214"/>
      <c r="BW296" s="214"/>
      <c r="BX296" s="223" t="s">
        <v>10</v>
      </c>
      <c r="BY296" s="222">
        <f>D296*F296+H296*J296</f>
        <v>29.5</v>
      </c>
      <c r="BZ296" s="204"/>
      <c r="CA296" s="204"/>
      <c r="CB296" s="204"/>
      <c r="CC296" s="200"/>
      <c r="CD296" s="202"/>
      <c r="CE296" s="201"/>
      <c r="CF296" s="200"/>
      <c r="CG296" s="202"/>
      <c r="CH296" s="201"/>
      <c r="CI296" s="201"/>
      <c r="CJ296" s="201"/>
      <c r="CK296" s="198"/>
      <c r="CL296" s="200"/>
      <c r="CM296" s="199"/>
      <c r="CN296" s="198"/>
    </row>
    <row r="297" spans="1:92">
      <c r="A297" s="208"/>
      <c r="B297" s="214"/>
      <c r="C297" s="221" t="s">
        <v>322</v>
      </c>
      <c r="D297" s="234">
        <v>3.65</v>
      </c>
      <c r="E297" s="234" t="s">
        <v>309</v>
      </c>
      <c r="F297" s="229">
        <v>3.5</v>
      </c>
      <c r="G297" s="229"/>
      <c r="H297" s="229"/>
      <c r="I297" s="229"/>
      <c r="J297" s="229"/>
      <c r="K297" s="229"/>
      <c r="L297" s="229"/>
      <c r="M297" s="229"/>
      <c r="N297" s="229"/>
      <c r="O297" s="229"/>
      <c r="P297" s="229"/>
      <c r="Q297" s="229"/>
      <c r="R297" s="229"/>
      <c r="S297" s="229"/>
      <c r="T297" s="229"/>
      <c r="U297" s="229"/>
      <c r="V297" s="229"/>
      <c r="W297" s="236"/>
      <c r="X297" s="251"/>
      <c r="Y297" s="235"/>
      <c r="Z297" s="227"/>
      <c r="AA297" s="224"/>
      <c r="AB297" s="228"/>
      <c r="AC297" s="227"/>
      <c r="AD297" s="93"/>
      <c r="AE297" s="226"/>
      <c r="AF297" s="227"/>
      <c r="AG297" s="93"/>
      <c r="AH297" s="226"/>
      <c r="AI297" s="227"/>
      <c r="AJ297" s="93"/>
      <c r="AK297" s="226"/>
      <c r="AL297" s="227"/>
      <c r="AM297" s="93"/>
      <c r="AN297" s="226"/>
      <c r="AO297" s="95"/>
      <c r="AP297" s="93"/>
      <c r="AQ297" s="226"/>
      <c r="AR297" s="225"/>
      <c r="AS297" s="224"/>
      <c r="AT297" s="204"/>
      <c r="AU297" s="204"/>
      <c r="AV297" s="214"/>
      <c r="AW297" s="214"/>
      <c r="AX297" s="214"/>
      <c r="AY297" s="214"/>
      <c r="AZ297" s="214"/>
      <c r="BA297" s="214"/>
      <c r="BB297" s="214"/>
      <c r="BC297" s="214"/>
      <c r="BD297" s="214"/>
      <c r="BE297" s="214"/>
      <c r="BF297" s="214"/>
      <c r="BG297" s="214"/>
      <c r="BH297" s="214"/>
      <c r="BI297" s="214"/>
      <c r="BJ297" s="214"/>
      <c r="BK297" s="214"/>
      <c r="BL297" s="214"/>
      <c r="BM297" s="214"/>
      <c r="BN297" s="214"/>
      <c r="BO297" s="214"/>
      <c r="BP297" s="214"/>
      <c r="BQ297" s="214"/>
      <c r="BR297" s="214"/>
      <c r="BS297" s="214"/>
      <c r="BT297" s="214"/>
      <c r="BU297" s="214"/>
      <c r="BV297" s="214"/>
      <c r="BW297" s="214"/>
      <c r="BX297" s="223" t="s">
        <v>10</v>
      </c>
      <c r="BY297" s="222">
        <f>D297*F297+H297*J297</f>
        <v>12.775</v>
      </c>
      <c r="BZ297" s="204"/>
      <c r="CA297" s="204"/>
      <c r="CB297" s="204"/>
      <c r="CC297" s="200"/>
      <c r="CD297" s="202"/>
      <c r="CE297" s="201"/>
      <c r="CF297" s="200"/>
      <c r="CG297" s="202"/>
      <c r="CH297" s="201"/>
      <c r="CI297" s="201"/>
      <c r="CJ297" s="201"/>
      <c r="CK297" s="198"/>
      <c r="CL297" s="200"/>
      <c r="CM297" s="199"/>
      <c r="CN297" s="198"/>
    </row>
    <row r="298" spans="1:92">
      <c r="A298" s="208"/>
      <c r="B298" s="214"/>
      <c r="C298" s="221" t="s">
        <v>321</v>
      </c>
      <c r="D298" s="234">
        <v>3.5</v>
      </c>
      <c r="E298" s="234" t="s">
        <v>309</v>
      </c>
      <c r="F298" s="229">
        <v>1.3</v>
      </c>
      <c r="G298" s="229"/>
      <c r="H298" s="229"/>
      <c r="I298" s="229"/>
      <c r="J298" s="229"/>
      <c r="K298" s="229"/>
      <c r="L298" s="229"/>
      <c r="M298" s="229"/>
      <c r="N298" s="229"/>
      <c r="O298" s="229"/>
      <c r="P298" s="229"/>
      <c r="Q298" s="229"/>
      <c r="R298" s="229"/>
      <c r="S298" s="229"/>
      <c r="T298" s="229"/>
      <c r="U298" s="229"/>
      <c r="V298" s="229"/>
      <c r="W298" s="236"/>
      <c r="X298" s="232"/>
      <c r="Y298" s="235"/>
      <c r="Z298" s="227"/>
      <c r="AA298" s="224"/>
      <c r="AB298" s="228"/>
      <c r="AC298" s="227"/>
      <c r="AD298" s="93"/>
      <c r="AE298" s="226"/>
      <c r="AF298" s="227"/>
      <c r="AG298" s="93"/>
      <c r="AH298" s="226"/>
      <c r="AI298" s="227"/>
      <c r="AJ298" s="93"/>
      <c r="AK298" s="226"/>
      <c r="AL298" s="227"/>
      <c r="AM298" s="93"/>
      <c r="AN298" s="226"/>
      <c r="AO298" s="95"/>
      <c r="AP298" s="93"/>
      <c r="AQ298" s="226"/>
      <c r="AR298" s="225"/>
      <c r="AS298" s="224"/>
      <c r="AT298" s="204"/>
      <c r="AU298" s="204"/>
      <c r="AV298" s="214"/>
      <c r="AW298" s="214"/>
      <c r="AX298" s="214"/>
      <c r="AY298" s="214"/>
      <c r="AZ298" s="214"/>
      <c r="BA298" s="214"/>
      <c r="BB298" s="214"/>
      <c r="BC298" s="214"/>
      <c r="BD298" s="214"/>
      <c r="BE298" s="214"/>
      <c r="BF298" s="214"/>
      <c r="BG298" s="214"/>
      <c r="BH298" s="214"/>
      <c r="BI298" s="214"/>
      <c r="BJ298" s="214"/>
      <c r="BK298" s="214"/>
      <c r="BL298" s="214"/>
      <c r="BM298" s="214"/>
      <c r="BN298" s="214"/>
      <c r="BO298" s="214"/>
      <c r="BP298" s="214"/>
      <c r="BQ298" s="214"/>
      <c r="BR298" s="214"/>
      <c r="BS298" s="214"/>
      <c r="BT298" s="214"/>
      <c r="BU298" s="214"/>
      <c r="BV298" s="214"/>
      <c r="BW298" s="214"/>
      <c r="BX298" s="223" t="s">
        <v>10</v>
      </c>
      <c r="BY298" s="222">
        <f>D298*F298+H298*J298</f>
        <v>4.55</v>
      </c>
      <c r="BZ298" s="204"/>
      <c r="CA298" s="204"/>
      <c r="CB298" s="204"/>
      <c r="CC298" s="200"/>
      <c r="CD298" s="202"/>
      <c r="CE298" s="201"/>
      <c r="CF298" s="200"/>
      <c r="CG298" s="202"/>
      <c r="CH298" s="201"/>
      <c r="CI298" s="201"/>
      <c r="CJ298" s="201"/>
      <c r="CK298" s="198"/>
      <c r="CL298" s="200"/>
      <c r="CM298" s="199"/>
      <c r="CN298" s="198"/>
    </row>
    <row r="299" spans="1:92">
      <c r="A299" s="208"/>
      <c r="B299" s="214"/>
      <c r="C299" s="221" t="s">
        <v>320</v>
      </c>
      <c r="D299" s="234">
        <v>3.65</v>
      </c>
      <c r="E299" s="234" t="s">
        <v>309</v>
      </c>
      <c r="F299" s="229">
        <v>3.5</v>
      </c>
      <c r="G299" s="229"/>
      <c r="H299" s="229"/>
      <c r="I299" s="229"/>
      <c r="J299" s="229"/>
      <c r="K299" s="229"/>
      <c r="L299" s="229"/>
      <c r="M299" s="229"/>
      <c r="N299" s="229"/>
      <c r="O299" s="229"/>
      <c r="P299" s="229"/>
      <c r="Q299" s="229"/>
      <c r="R299" s="229"/>
      <c r="S299" s="229"/>
      <c r="T299" s="229"/>
      <c r="U299" s="229"/>
      <c r="V299" s="229"/>
      <c r="W299" s="236"/>
      <c r="X299" s="232"/>
      <c r="Y299" s="235"/>
      <c r="Z299" s="227"/>
      <c r="AA299" s="224"/>
      <c r="AB299" s="228"/>
      <c r="AC299" s="227"/>
      <c r="AD299" s="93"/>
      <c r="AE299" s="226"/>
      <c r="AF299" s="227"/>
      <c r="AG299" s="93"/>
      <c r="AH299" s="226"/>
      <c r="AI299" s="227"/>
      <c r="AJ299" s="93"/>
      <c r="AK299" s="226"/>
      <c r="AL299" s="227"/>
      <c r="AM299" s="93"/>
      <c r="AN299" s="226"/>
      <c r="AO299" s="95"/>
      <c r="AP299" s="93"/>
      <c r="AQ299" s="226"/>
      <c r="AR299" s="225"/>
      <c r="AS299" s="224"/>
      <c r="AT299" s="204"/>
      <c r="AU299" s="204"/>
      <c r="AV299" s="214"/>
      <c r="AW299" s="214"/>
      <c r="AX299" s="214"/>
      <c r="AY299" s="214"/>
      <c r="AZ299" s="214"/>
      <c r="BA299" s="214"/>
      <c r="BB299" s="214"/>
      <c r="BC299" s="214"/>
      <c r="BD299" s="214"/>
      <c r="BE299" s="214"/>
      <c r="BF299" s="214"/>
      <c r="BG299" s="214"/>
      <c r="BH299" s="214"/>
      <c r="BI299" s="214"/>
      <c r="BJ299" s="214"/>
      <c r="BK299" s="214"/>
      <c r="BL299" s="214"/>
      <c r="BM299" s="214"/>
      <c r="BN299" s="214"/>
      <c r="BO299" s="214"/>
      <c r="BP299" s="214"/>
      <c r="BQ299" s="214"/>
      <c r="BR299" s="214"/>
      <c r="BS299" s="214"/>
      <c r="BT299" s="214"/>
      <c r="BU299" s="214"/>
      <c r="BV299" s="214"/>
      <c r="BW299" s="214"/>
      <c r="BX299" s="223" t="s">
        <v>10</v>
      </c>
      <c r="BY299" s="222">
        <f>D299*F299+H299*J299</f>
        <v>12.775</v>
      </c>
      <c r="BZ299" s="204"/>
      <c r="CA299" s="204"/>
      <c r="CB299" s="204"/>
      <c r="CC299" s="200"/>
      <c r="CD299" s="202"/>
      <c r="CE299" s="201"/>
      <c r="CF299" s="200"/>
      <c r="CG299" s="202"/>
      <c r="CH299" s="201"/>
      <c r="CI299" s="201"/>
      <c r="CJ299" s="201"/>
      <c r="CK299" s="198"/>
      <c r="CL299" s="200"/>
      <c r="CM299" s="199"/>
      <c r="CN299" s="198"/>
    </row>
    <row r="300" spans="1:92">
      <c r="A300" s="208"/>
      <c r="B300" s="214"/>
      <c r="C300" s="221" t="s">
        <v>314</v>
      </c>
      <c r="D300" s="234">
        <v>2.4</v>
      </c>
      <c r="E300" s="234" t="s">
        <v>309</v>
      </c>
      <c r="F300" s="229">
        <v>1.3</v>
      </c>
      <c r="G300" s="229"/>
      <c r="H300" s="229"/>
      <c r="I300" s="229"/>
      <c r="J300" s="229"/>
      <c r="K300" s="229"/>
      <c r="L300" s="229"/>
      <c r="M300" s="229"/>
      <c r="N300" s="229"/>
      <c r="O300" s="229"/>
      <c r="P300" s="229"/>
      <c r="Q300" s="229"/>
      <c r="R300" s="229"/>
      <c r="S300" s="229"/>
      <c r="T300" s="229"/>
      <c r="U300" s="229"/>
      <c r="V300" s="229"/>
      <c r="W300" s="236"/>
      <c r="X300" s="232"/>
      <c r="Y300" s="235"/>
      <c r="Z300" s="227"/>
      <c r="AA300" s="224"/>
      <c r="AB300" s="228"/>
      <c r="AC300" s="227"/>
      <c r="AD300" s="93"/>
      <c r="AE300" s="226"/>
      <c r="AF300" s="227"/>
      <c r="AG300" s="93"/>
      <c r="AH300" s="226"/>
      <c r="AI300" s="227"/>
      <c r="AJ300" s="93"/>
      <c r="AK300" s="226"/>
      <c r="AL300" s="227"/>
      <c r="AM300" s="93"/>
      <c r="AN300" s="226"/>
      <c r="AO300" s="95"/>
      <c r="AP300" s="93"/>
      <c r="AQ300" s="226"/>
      <c r="AR300" s="225"/>
      <c r="AS300" s="224"/>
      <c r="AT300" s="204"/>
      <c r="AU300" s="204"/>
      <c r="AV300" s="214"/>
      <c r="AW300" s="214"/>
      <c r="AX300" s="214"/>
      <c r="AY300" s="214"/>
      <c r="AZ300" s="214"/>
      <c r="BA300" s="214"/>
      <c r="BB300" s="214"/>
      <c r="BC300" s="214"/>
      <c r="BD300" s="214"/>
      <c r="BE300" s="214"/>
      <c r="BF300" s="214"/>
      <c r="BG300" s="214"/>
      <c r="BH300" s="214"/>
      <c r="BI300" s="214"/>
      <c r="BJ300" s="214"/>
      <c r="BK300" s="214"/>
      <c r="BL300" s="214"/>
      <c r="BM300" s="214"/>
      <c r="BN300" s="214"/>
      <c r="BO300" s="214"/>
      <c r="BP300" s="214"/>
      <c r="BQ300" s="214"/>
      <c r="BR300" s="214"/>
      <c r="BS300" s="214"/>
      <c r="BT300" s="214"/>
      <c r="BU300" s="214"/>
      <c r="BV300" s="214"/>
      <c r="BW300" s="214"/>
      <c r="BX300" s="223" t="s">
        <v>10</v>
      </c>
      <c r="BY300" s="222">
        <f>D300*F300+H300*J300</f>
        <v>3.12</v>
      </c>
      <c r="BZ300" s="204"/>
      <c r="CA300" s="204"/>
      <c r="CB300" s="204"/>
      <c r="CC300" s="200"/>
      <c r="CD300" s="202"/>
      <c r="CE300" s="201"/>
      <c r="CF300" s="200"/>
      <c r="CG300" s="202"/>
      <c r="CH300" s="201"/>
      <c r="CI300" s="201"/>
      <c r="CJ300" s="201"/>
      <c r="CK300" s="198"/>
      <c r="CL300" s="200"/>
      <c r="CM300" s="199"/>
      <c r="CN300" s="198"/>
    </row>
    <row r="301" spans="1:92">
      <c r="A301" s="208"/>
      <c r="B301" s="214"/>
      <c r="C301" s="221" t="s">
        <v>319</v>
      </c>
      <c r="D301" s="234">
        <v>3.65</v>
      </c>
      <c r="E301" s="234" t="s">
        <v>309</v>
      </c>
      <c r="F301" s="229">
        <v>3.5</v>
      </c>
      <c r="G301" s="229"/>
      <c r="H301" s="229"/>
      <c r="I301" s="229"/>
      <c r="J301" s="229"/>
      <c r="K301" s="229"/>
      <c r="L301" s="229"/>
      <c r="M301" s="229"/>
      <c r="N301" s="229"/>
      <c r="O301" s="229"/>
      <c r="P301" s="229"/>
      <c r="Q301" s="229"/>
      <c r="R301" s="229"/>
      <c r="S301" s="229"/>
      <c r="T301" s="229"/>
      <c r="U301" s="229"/>
      <c r="V301" s="229"/>
      <c r="W301" s="236"/>
      <c r="X301" s="232"/>
      <c r="Y301" s="235"/>
      <c r="Z301" s="227"/>
      <c r="AA301" s="224"/>
      <c r="AB301" s="228"/>
      <c r="AC301" s="227"/>
      <c r="AD301" s="93"/>
      <c r="AE301" s="226"/>
      <c r="AF301" s="227"/>
      <c r="AG301" s="93"/>
      <c r="AH301" s="226"/>
      <c r="AI301" s="227"/>
      <c r="AJ301" s="93"/>
      <c r="AK301" s="226"/>
      <c r="AL301" s="227"/>
      <c r="AM301" s="93"/>
      <c r="AN301" s="226"/>
      <c r="AO301" s="95"/>
      <c r="AP301" s="93"/>
      <c r="AQ301" s="226"/>
      <c r="AR301" s="225"/>
      <c r="AS301" s="224"/>
      <c r="AT301" s="204"/>
      <c r="AU301" s="204"/>
      <c r="AV301" s="214"/>
      <c r="AW301" s="214"/>
      <c r="AX301" s="214"/>
      <c r="AY301" s="214"/>
      <c r="AZ301" s="214"/>
      <c r="BA301" s="214"/>
      <c r="BB301" s="214"/>
      <c r="BC301" s="214"/>
      <c r="BD301" s="214"/>
      <c r="BE301" s="214"/>
      <c r="BF301" s="214"/>
      <c r="BG301" s="214"/>
      <c r="BH301" s="214"/>
      <c r="BI301" s="214"/>
      <c r="BJ301" s="214"/>
      <c r="BK301" s="214"/>
      <c r="BL301" s="214"/>
      <c r="BM301" s="214"/>
      <c r="BN301" s="214"/>
      <c r="BO301" s="214"/>
      <c r="BP301" s="214"/>
      <c r="BQ301" s="214"/>
      <c r="BR301" s="214"/>
      <c r="BS301" s="214"/>
      <c r="BT301" s="214"/>
      <c r="BU301" s="214"/>
      <c r="BV301" s="214"/>
      <c r="BW301" s="214"/>
      <c r="BX301" s="223" t="s">
        <v>10</v>
      </c>
      <c r="BY301" s="222">
        <f>D301*F301+H301*J301</f>
        <v>12.775</v>
      </c>
      <c r="BZ301" s="204"/>
      <c r="CA301" s="204"/>
      <c r="CB301" s="204"/>
      <c r="CC301" s="200"/>
      <c r="CD301" s="202"/>
      <c r="CE301" s="201"/>
      <c r="CF301" s="200"/>
      <c r="CG301" s="202"/>
      <c r="CH301" s="201"/>
      <c r="CI301" s="201"/>
      <c r="CJ301" s="201"/>
      <c r="CK301" s="198"/>
      <c r="CL301" s="200"/>
      <c r="CM301" s="199"/>
      <c r="CN301" s="198"/>
    </row>
    <row r="302" spans="1:92">
      <c r="A302" s="208"/>
      <c r="B302" s="214"/>
      <c r="C302" s="221" t="s">
        <v>314</v>
      </c>
      <c r="D302" s="234">
        <v>2.4</v>
      </c>
      <c r="E302" s="234" t="s">
        <v>309</v>
      </c>
      <c r="F302" s="229">
        <v>1.3</v>
      </c>
      <c r="G302" s="229"/>
      <c r="H302" s="229"/>
      <c r="I302" s="229"/>
      <c r="J302" s="229"/>
      <c r="K302" s="229"/>
      <c r="L302" s="229"/>
      <c r="M302" s="229"/>
      <c r="N302" s="229"/>
      <c r="O302" s="229"/>
      <c r="P302" s="229"/>
      <c r="Q302" s="229"/>
      <c r="R302" s="229"/>
      <c r="S302" s="229"/>
      <c r="T302" s="229"/>
      <c r="U302" s="229"/>
      <c r="V302" s="229"/>
      <c r="W302" s="236"/>
      <c r="X302" s="232"/>
      <c r="Y302" s="235"/>
      <c r="Z302" s="227"/>
      <c r="AA302" s="224"/>
      <c r="AB302" s="228"/>
      <c r="AC302" s="227"/>
      <c r="AD302" s="93"/>
      <c r="AE302" s="226"/>
      <c r="AF302" s="227"/>
      <c r="AG302" s="93"/>
      <c r="AH302" s="226"/>
      <c r="AI302" s="227"/>
      <c r="AJ302" s="93"/>
      <c r="AK302" s="226"/>
      <c r="AL302" s="227"/>
      <c r="AM302" s="93"/>
      <c r="AN302" s="226"/>
      <c r="AO302" s="95"/>
      <c r="AP302" s="93"/>
      <c r="AQ302" s="226"/>
      <c r="AR302" s="225"/>
      <c r="AS302" s="224"/>
      <c r="AT302" s="204"/>
      <c r="AU302" s="204"/>
      <c r="AV302" s="214"/>
      <c r="AW302" s="214"/>
      <c r="AX302" s="214"/>
      <c r="AY302" s="214"/>
      <c r="AZ302" s="214"/>
      <c r="BA302" s="214"/>
      <c r="BB302" s="214"/>
      <c r="BC302" s="214"/>
      <c r="BD302" s="214"/>
      <c r="BE302" s="214"/>
      <c r="BF302" s="214"/>
      <c r="BG302" s="214"/>
      <c r="BH302" s="214"/>
      <c r="BI302" s="214"/>
      <c r="BJ302" s="214"/>
      <c r="BK302" s="214"/>
      <c r="BL302" s="214"/>
      <c r="BM302" s="214"/>
      <c r="BN302" s="214"/>
      <c r="BO302" s="214"/>
      <c r="BP302" s="214"/>
      <c r="BQ302" s="214"/>
      <c r="BR302" s="214"/>
      <c r="BS302" s="214"/>
      <c r="BT302" s="214"/>
      <c r="BU302" s="214"/>
      <c r="BV302" s="214"/>
      <c r="BW302" s="214"/>
      <c r="BX302" s="223" t="s">
        <v>10</v>
      </c>
      <c r="BY302" s="222">
        <f>D302*F302+H302*J302</f>
        <v>3.12</v>
      </c>
      <c r="BZ302" s="204"/>
      <c r="CA302" s="204"/>
      <c r="CB302" s="204"/>
      <c r="CC302" s="200"/>
      <c r="CD302" s="202"/>
      <c r="CE302" s="201"/>
      <c r="CF302" s="200"/>
      <c r="CG302" s="202"/>
      <c r="CH302" s="201"/>
      <c r="CI302" s="201"/>
      <c r="CJ302" s="201"/>
      <c r="CK302" s="198"/>
      <c r="CL302" s="200"/>
      <c r="CM302" s="199"/>
      <c r="CN302" s="198"/>
    </row>
    <row r="303" spans="1:92">
      <c r="A303" s="208"/>
      <c r="B303" s="214"/>
      <c r="C303" s="221" t="s">
        <v>318</v>
      </c>
      <c r="D303" s="234">
        <v>3.65</v>
      </c>
      <c r="E303" s="234" t="s">
        <v>309</v>
      </c>
      <c r="F303" s="229">
        <v>3.5</v>
      </c>
      <c r="G303" s="229"/>
      <c r="H303" s="229"/>
      <c r="I303" s="229"/>
      <c r="J303" s="229"/>
      <c r="K303" s="229"/>
      <c r="L303" s="229"/>
      <c r="M303" s="229"/>
      <c r="N303" s="229"/>
      <c r="O303" s="229"/>
      <c r="P303" s="229"/>
      <c r="Q303" s="229"/>
      <c r="R303" s="229"/>
      <c r="S303" s="229"/>
      <c r="T303" s="229"/>
      <c r="U303" s="229"/>
      <c r="V303" s="229"/>
      <c r="W303" s="236"/>
      <c r="X303" s="232"/>
      <c r="Y303" s="235"/>
      <c r="Z303" s="227"/>
      <c r="AA303" s="224"/>
      <c r="AB303" s="228"/>
      <c r="AC303" s="227"/>
      <c r="AD303" s="93"/>
      <c r="AE303" s="226"/>
      <c r="AF303" s="227"/>
      <c r="AG303" s="93"/>
      <c r="AH303" s="226"/>
      <c r="AI303" s="227"/>
      <c r="AJ303" s="93"/>
      <c r="AK303" s="226"/>
      <c r="AL303" s="227"/>
      <c r="AM303" s="93"/>
      <c r="AN303" s="226"/>
      <c r="AO303" s="95"/>
      <c r="AP303" s="93"/>
      <c r="AQ303" s="226"/>
      <c r="AR303" s="225"/>
      <c r="AS303" s="224"/>
      <c r="AT303" s="204"/>
      <c r="AU303" s="204"/>
      <c r="AV303" s="214"/>
      <c r="AW303" s="214"/>
      <c r="AX303" s="214"/>
      <c r="AY303" s="214"/>
      <c r="AZ303" s="214"/>
      <c r="BA303" s="214"/>
      <c r="BB303" s="214"/>
      <c r="BC303" s="214"/>
      <c r="BD303" s="214"/>
      <c r="BE303" s="214"/>
      <c r="BF303" s="214"/>
      <c r="BG303" s="214"/>
      <c r="BH303" s="214"/>
      <c r="BI303" s="214"/>
      <c r="BJ303" s="214"/>
      <c r="BK303" s="214"/>
      <c r="BL303" s="214"/>
      <c r="BM303" s="214"/>
      <c r="BN303" s="214"/>
      <c r="BO303" s="214"/>
      <c r="BP303" s="214"/>
      <c r="BQ303" s="214"/>
      <c r="BR303" s="214"/>
      <c r="BS303" s="214"/>
      <c r="BT303" s="214"/>
      <c r="BU303" s="214"/>
      <c r="BV303" s="214"/>
      <c r="BW303" s="214"/>
      <c r="BX303" s="223" t="s">
        <v>10</v>
      </c>
      <c r="BY303" s="222">
        <f>D303*F303+H303*J303</f>
        <v>12.775</v>
      </c>
      <c r="BZ303" s="204"/>
      <c r="CA303" s="204"/>
      <c r="CB303" s="204"/>
      <c r="CC303" s="200"/>
      <c r="CD303" s="202"/>
      <c r="CE303" s="201"/>
      <c r="CF303" s="200"/>
      <c r="CG303" s="202"/>
      <c r="CH303" s="201"/>
      <c r="CI303" s="201"/>
      <c r="CJ303" s="201"/>
      <c r="CK303" s="198"/>
      <c r="CL303" s="200"/>
      <c r="CM303" s="199"/>
      <c r="CN303" s="198"/>
    </row>
    <row r="304" spans="1:92">
      <c r="A304" s="208"/>
      <c r="B304" s="214"/>
      <c r="C304" s="221" t="s">
        <v>314</v>
      </c>
      <c r="D304" s="234">
        <v>2.4</v>
      </c>
      <c r="E304" s="234" t="s">
        <v>309</v>
      </c>
      <c r="F304" s="229">
        <v>1.3</v>
      </c>
      <c r="G304" s="229"/>
      <c r="H304" s="229"/>
      <c r="I304" s="229"/>
      <c r="J304" s="229"/>
      <c r="K304" s="229"/>
      <c r="L304" s="229"/>
      <c r="M304" s="229"/>
      <c r="N304" s="229"/>
      <c r="O304" s="229"/>
      <c r="P304" s="229"/>
      <c r="Q304" s="229"/>
      <c r="R304" s="229"/>
      <c r="S304" s="229"/>
      <c r="T304" s="229"/>
      <c r="U304" s="229"/>
      <c r="V304" s="229"/>
      <c r="W304" s="236"/>
      <c r="X304" s="232"/>
      <c r="Y304" s="235"/>
      <c r="Z304" s="227"/>
      <c r="AA304" s="224"/>
      <c r="AB304" s="228"/>
      <c r="AC304" s="227"/>
      <c r="AD304" s="93"/>
      <c r="AE304" s="226"/>
      <c r="AF304" s="227"/>
      <c r="AG304" s="93"/>
      <c r="AH304" s="226"/>
      <c r="AI304" s="227"/>
      <c r="AJ304" s="93"/>
      <c r="AK304" s="226"/>
      <c r="AL304" s="227"/>
      <c r="AM304" s="93"/>
      <c r="AN304" s="226"/>
      <c r="AO304" s="95"/>
      <c r="AP304" s="93"/>
      <c r="AQ304" s="226"/>
      <c r="AR304" s="225"/>
      <c r="AS304" s="224"/>
      <c r="AT304" s="204"/>
      <c r="AU304" s="204"/>
      <c r="AV304" s="214"/>
      <c r="AW304" s="214"/>
      <c r="AX304" s="214"/>
      <c r="AY304" s="214"/>
      <c r="AZ304" s="214"/>
      <c r="BA304" s="214"/>
      <c r="BB304" s="214"/>
      <c r="BC304" s="214"/>
      <c r="BD304" s="214"/>
      <c r="BE304" s="214"/>
      <c r="BF304" s="214"/>
      <c r="BG304" s="214"/>
      <c r="BH304" s="214"/>
      <c r="BI304" s="214"/>
      <c r="BJ304" s="214"/>
      <c r="BK304" s="214"/>
      <c r="BL304" s="214"/>
      <c r="BM304" s="214"/>
      <c r="BN304" s="214"/>
      <c r="BO304" s="214"/>
      <c r="BP304" s="214"/>
      <c r="BQ304" s="214"/>
      <c r="BR304" s="214"/>
      <c r="BS304" s="214"/>
      <c r="BT304" s="214"/>
      <c r="BU304" s="214"/>
      <c r="BV304" s="214"/>
      <c r="BW304" s="214"/>
      <c r="BX304" s="223" t="s">
        <v>10</v>
      </c>
      <c r="BY304" s="222">
        <f>D304*F304+H304*J304</f>
        <v>3.12</v>
      </c>
      <c r="BZ304" s="204"/>
      <c r="CA304" s="204"/>
      <c r="CB304" s="204"/>
      <c r="CC304" s="200"/>
      <c r="CD304" s="202"/>
      <c r="CE304" s="201"/>
      <c r="CF304" s="200"/>
      <c r="CG304" s="202"/>
      <c r="CH304" s="201"/>
      <c r="CI304" s="201"/>
      <c r="CJ304" s="201"/>
      <c r="CK304" s="198"/>
      <c r="CL304" s="200"/>
      <c r="CM304" s="199"/>
      <c r="CN304" s="198"/>
    </row>
    <row r="305" spans="1:92">
      <c r="A305" s="208"/>
      <c r="B305" s="214"/>
      <c r="C305" s="221" t="s">
        <v>317</v>
      </c>
      <c r="D305" s="234">
        <v>3.65</v>
      </c>
      <c r="E305" s="234" t="s">
        <v>309</v>
      </c>
      <c r="F305" s="229">
        <v>3.5</v>
      </c>
      <c r="G305" s="229"/>
      <c r="H305" s="229"/>
      <c r="I305" s="229"/>
      <c r="J305" s="229"/>
      <c r="K305" s="229"/>
      <c r="L305" s="229"/>
      <c r="M305" s="229"/>
      <c r="N305" s="229"/>
      <c r="O305" s="229"/>
      <c r="P305" s="229"/>
      <c r="Q305" s="229"/>
      <c r="R305" s="229"/>
      <c r="S305" s="229"/>
      <c r="T305" s="229"/>
      <c r="U305" s="229"/>
      <c r="V305" s="229"/>
      <c r="W305" s="236"/>
      <c r="X305" s="232"/>
      <c r="Y305" s="235"/>
      <c r="Z305" s="227"/>
      <c r="AA305" s="224"/>
      <c r="AB305" s="228"/>
      <c r="AC305" s="227"/>
      <c r="AD305" s="93"/>
      <c r="AE305" s="226"/>
      <c r="AF305" s="227"/>
      <c r="AG305" s="93"/>
      <c r="AH305" s="226"/>
      <c r="AI305" s="227"/>
      <c r="AJ305" s="93"/>
      <c r="AK305" s="226"/>
      <c r="AL305" s="227"/>
      <c r="AM305" s="93"/>
      <c r="AN305" s="226"/>
      <c r="AO305" s="95"/>
      <c r="AP305" s="93"/>
      <c r="AQ305" s="226"/>
      <c r="AR305" s="225"/>
      <c r="AS305" s="224"/>
      <c r="AT305" s="204"/>
      <c r="AU305" s="204"/>
      <c r="AV305" s="214"/>
      <c r="AW305" s="214"/>
      <c r="AX305" s="214"/>
      <c r="AY305" s="214"/>
      <c r="AZ305" s="214"/>
      <c r="BA305" s="214"/>
      <c r="BB305" s="214"/>
      <c r="BC305" s="214"/>
      <c r="BD305" s="214"/>
      <c r="BE305" s="214"/>
      <c r="BF305" s="214"/>
      <c r="BG305" s="214"/>
      <c r="BH305" s="214"/>
      <c r="BI305" s="214"/>
      <c r="BJ305" s="214"/>
      <c r="BK305" s="214"/>
      <c r="BL305" s="214"/>
      <c r="BM305" s="214"/>
      <c r="BN305" s="214"/>
      <c r="BO305" s="214"/>
      <c r="BP305" s="214"/>
      <c r="BQ305" s="214"/>
      <c r="BR305" s="214"/>
      <c r="BS305" s="214"/>
      <c r="BT305" s="214"/>
      <c r="BU305" s="214"/>
      <c r="BV305" s="214"/>
      <c r="BW305" s="214"/>
      <c r="BX305" s="223" t="s">
        <v>10</v>
      </c>
      <c r="BY305" s="222">
        <f>D305*F305+H305*J305</f>
        <v>12.775</v>
      </c>
      <c r="BZ305" s="204"/>
      <c r="CA305" s="204"/>
      <c r="CB305" s="204"/>
      <c r="CC305" s="200"/>
      <c r="CD305" s="202"/>
      <c r="CE305" s="201"/>
      <c r="CF305" s="200"/>
      <c r="CG305" s="202"/>
      <c r="CH305" s="201"/>
      <c r="CI305" s="201"/>
      <c r="CJ305" s="201"/>
      <c r="CK305" s="198"/>
      <c r="CL305" s="200"/>
      <c r="CM305" s="199"/>
      <c r="CN305" s="198"/>
    </row>
    <row r="306" spans="1:92">
      <c r="A306" s="208"/>
      <c r="B306" s="214"/>
      <c r="C306" s="221" t="s">
        <v>314</v>
      </c>
      <c r="D306" s="234">
        <v>2.4</v>
      </c>
      <c r="E306" s="234" t="s">
        <v>309</v>
      </c>
      <c r="F306" s="229">
        <v>1.3</v>
      </c>
      <c r="G306" s="229"/>
      <c r="H306" s="229"/>
      <c r="I306" s="229"/>
      <c r="J306" s="229"/>
      <c r="K306" s="229"/>
      <c r="L306" s="229"/>
      <c r="M306" s="229"/>
      <c r="N306" s="229"/>
      <c r="O306" s="229"/>
      <c r="P306" s="229"/>
      <c r="Q306" s="229"/>
      <c r="R306" s="229"/>
      <c r="S306" s="229"/>
      <c r="T306" s="229"/>
      <c r="U306" s="229"/>
      <c r="V306" s="229"/>
      <c r="W306" s="236"/>
      <c r="X306" s="232"/>
      <c r="Y306" s="235"/>
      <c r="Z306" s="227"/>
      <c r="AA306" s="224"/>
      <c r="AB306" s="228"/>
      <c r="AC306" s="227"/>
      <c r="AD306" s="93"/>
      <c r="AE306" s="226"/>
      <c r="AF306" s="227"/>
      <c r="AG306" s="93"/>
      <c r="AH306" s="226"/>
      <c r="AI306" s="227"/>
      <c r="AJ306" s="93"/>
      <c r="AK306" s="226"/>
      <c r="AL306" s="227"/>
      <c r="AM306" s="93"/>
      <c r="AN306" s="226"/>
      <c r="AO306" s="95"/>
      <c r="AP306" s="93"/>
      <c r="AQ306" s="226"/>
      <c r="AR306" s="225"/>
      <c r="AS306" s="224"/>
      <c r="AT306" s="204"/>
      <c r="AU306" s="204"/>
      <c r="AV306" s="214"/>
      <c r="AW306" s="214"/>
      <c r="AX306" s="214"/>
      <c r="AY306" s="214"/>
      <c r="AZ306" s="214"/>
      <c r="BA306" s="214"/>
      <c r="BB306" s="214"/>
      <c r="BC306" s="214"/>
      <c r="BD306" s="214"/>
      <c r="BE306" s="214"/>
      <c r="BF306" s="214"/>
      <c r="BG306" s="214"/>
      <c r="BH306" s="214"/>
      <c r="BI306" s="214"/>
      <c r="BJ306" s="214"/>
      <c r="BK306" s="214"/>
      <c r="BL306" s="214"/>
      <c r="BM306" s="214"/>
      <c r="BN306" s="214"/>
      <c r="BO306" s="214"/>
      <c r="BP306" s="214"/>
      <c r="BQ306" s="214"/>
      <c r="BR306" s="214"/>
      <c r="BS306" s="214"/>
      <c r="BT306" s="214"/>
      <c r="BU306" s="214"/>
      <c r="BV306" s="214"/>
      <c r="BW306" s="214"/>
      <c r="BX306" s="223" t="s">
        <v>10</v>
      </c>
      <c r="BY306" s="222">
        <f>D306*F306+H306*J306</f>
        <v>3.12</v>
      </c>
      <c r="BZ306" s="204"/>
      <c r="CA306" s="204"/>
      <c r="CB306" s="204"/>
      <c r="CC306" s="200"/>
      <c r="CD306" s="202"/>
      <c r="CE306" s="201"/>
      <c r="CF306" s="200"/>
      <c r="CG306" s="202"/>
      <c r="CH306" s="201"/>
      <c r="CI306" s="201"/>
      <c r="CJ306" s="201"/>
      <c r="CK306" s="198"/>
      <c r="CL306" s="200"/>
      <c r="CM306" s="199"/>
      <c r="CN306" s="198"/>
    </row>
    <row r="307" spans="1:92">
      <c r="A307" s="208"/>
      <c r="B307" s="214"/>
      <c r="C307" s="221" t="s">
        <v>316</v>
      </c>
      <c r="D307" s="234">
        <v>3.65</v>
      </c>
      <c r="E307" s="234" t="s">
        <v>309</v>
      </c>
      <c r="F307" s="229">
        <v>3.5</v>
      </c>
      <c r="G307" s="229"/>
      <c r="H307" s="229"/>
      <c r="I307" s="229"/>
      <c r="J307" s="229"/>
      <c r="K307" s="229"/>
      <c r="L307" s="229"/>
      <c r="M307" s="229"/>
      <c r="N307" s="229"/>
      <c r="O307" s="229"/>
      <c r="P307" s="229"/>
      <c r="Q307" s="229"/>
      <c r="R307" s="229"/>
      <c r="S307" s="229"/>
      <c r="T307" s="229"/>
      <c r="U307" s="229"/>
      <c r="V307" s="229"/>
      <c r="W307" s="236"/>
      <c r="X307" s="232"/>
      <c r="Y307" s="235"/>
      <c r="Z307" s="227"/>
      <c r="AA307" s="224"/>
      <c r="AB307" s="228"/>
      <c r="AC307" s="227"/>
      <c r="AD307" s="93"/>
      <c r="AE307" s="226"/>
      <c r="AF307" s="227"/>
      <c r="AG307" s="93"/>
      <c r="AH307" s="226"/>
      <c r="AI307" s="227"/>
      <c r="AJ307" s="93"/>
      <c r="AK307" s="226"/>
      <c r="AL307" s="227"/>
      <c r="AM307" s="93"/>
      <c r="AN307" s="226"/>
      <c r="AO307" s="95"/>
      <c r="AP307" s="93"/>
      <c r="AQ307" s="226"/>
      <c r="AR307" s="225"/>
      <c r="AS307" s="224"/>
      <c r="AT307" s="204"/>
      <c r="AU307" s="204"/>
      <c r="AV307" s="214"/>
      <c r="AW307" s="214"/>
      <c r="AX307" s="214"/>
      <c r="AY307" s="214"/>
      <c r="AZ307" s="214"/>
      <c r="BA307" s="214"/>
      <c r="BB307" s="214"/>
      <c r="BC307" s="214"/>
      <c r="BD307" s="214"/>
      <c r="BE307" s="214"/>
      <c r="BF307" s="214"/>
      <c r="BG307" s="214"/>
      <c r="BH307" s="214"/>
      <c r="BI307" s="214"/>
      <c r="BJ307" s="214"/>
      <c r="BK307" s="214"/>
      <c r="BL307" s="214"/>
      <c r="BM307" s="214"/>
      <c r="BN307" s="214"/>
      <c r="BO307" s="214"/>
      <c r="BP307" s="214"/>
      <c r="BQ307" s="214"/>
      <c r="BR307" s="214"/>
      <c r="BS307" s="214"/>
      <c r="BT307" s="214"/>
      <c r="BU307" s="214"/>
      <c r="BV307" s="214"/>
      <c r="BW307" s="214"/>
      <c r="BX307" s="223" t="s">
        <v>10</v>
      </c>
      <c r="BY307" s="222">
        <f>D307*F307+H307*J307</f>
        <v>12.775</v>
      </c>
      <c r="BZ307" s="204"/>
      <c r="CA307" s="204"/>
      <c r="CB307" s="204"/>
      <c r="CC307" s="200"/>
      <c r="CD307" s="202"/>
      <c r="CE307" s="201"/>
      <c r="CF307" s="200"/>
      <c r="CG307" s="202"/>
      <c r="CH307" s="201"/>
      <c r="CI307" s="201"/>
      <c r="CJ307" s="201"/>
      <c r="CK307" s="198"/>
      <c r="CL307" s="200"/>
      <c r="CM307" s="199"/>
      <c r="CN307" s="198"/>
    </row>
    <row r="308" spans="1:92">
      <c r="A308" s="208"/>
      <c r="B308" s="214"/>
      <c r="C308" s="221" t="s">
        <v>314</v>
      </c>
      <c r="D308" s="234">
        <v>2.4</v>
      </c>
      <c r="E308" s="234" t="s">
        <v>309</v>
      </c>
      <c r="F308" s="229">
        <v>1.3</v>
      </c>
      <c r="G308" s="229"/>
      <c r="H308" s="229"/>
      <c r="I308" s="229"/>
      <c r="J308" s="229"/>
      <c r="K308" s="229"/>
      <c r="L308" s="229"/>
      <c r="M308" s="229"/>
      <c r="N308" s="229"/>
      <c r="O308" s="229"/>
      <c r="P308" s="229"/>
      <c r="Q308" s="229"/>
      <c r="R308" s="229"/>
      <c r="S308" s="229"/>
      <c r="T308" s="229"/>
      <c r="U308" s="229"/>
      <c r="V308" s="229"/>
      <c r="W308" s="236"/>
      <c r="X308" s="232"/>
      <c r="Y308" s="235"/>
      <c r="Z308" s="227"/>
      <c r="AA308" s="224"/>
      <c r="AB308" s="228"/>
      <c r="AC308" s="227"/>
      <c r="AD308" s="93"/>
      <c r="AE308" s="226"/>
      <c r="AF308" s="227"/>
      <c r="AG308" s="93"/>
      <c r="AH308" s="226"/>
      <c r="AI308" s="227"/>
      <c r="AJ308" s="93"/>
      <c r="AK308" s="226"/>
      <c r="AL308" s="227"/>
      <c r="AM308" s="93"/>
      <c r="AN308" s="226"/>
      <c r="AO308" s="95"/>
      <c r="AP308" s="93"/>
      <c r="AQ308" s="226"/>
      <c r="AR308" s="225"/>
      <c r="AS308" s="224"/>
      <c r="AT308" s="204"/>
      <c r="AU308" s="204"/>
      <c r="AV308" s="214"/>
      <c r="AW308" s="214"/>
      <c r="AX308" s="214"/>
      <c r="AY308" s="214"/>
      <c r="AZ308" s="214"/>
      <c r="BA308" s="214"/>
      <c r="BB308" s="214"/>
      <c r="BC308" s="214"/>
      <c r="BD308" s="214"/>
      <c r="BE308" s="214"/>
      <c r="BF308" s="214"/>
      <c r="BG308" s="214"/>
      <c r="BH308" s="214"/>
      <c r="BI308" s="214"/>
      <c r="BJ308" s="214"/>
      <c r="BK308" s="214"/>
      <c r="BL308" s="214"/>
      <c r="BM308" s="214"/>
      <c r="BN308" s="214"/>
      <c r="BO308" s="214"/>
      <c r="BP308" s="214"/>
      <c r="BQ308" s="214"/>
      <c r="BR308" s="214"/>
      <c r="BS308" s="214"/>
      <c r="BT308" s="214"/>
      <c r="BU308" s="214"/>
      <c r="BV308" s="214"/>
      <c r="BW308" s="214"/>
      <c r="BX308" s="223" t="s">
        <v>10</v>
      </c>
      <c r="BY308" s="222">
        <f>D308*F308+H308*J308</f>
        <v>3.12</v>
      </c>
      <c r="BZ308" s="204"/>
      <c r="CA308" s="204"/>
      <c r="CB308" s="204"/>
      <c r="CC308" s="200"/>
      <c r="CD308" s="202"/>
      <c r="CE308" s="201"/>
      <c r="CF308" s="200"/>
      <c r="CG308" s="202"/>
      <c r="CH308" s="201"/>
      <c r="CI308" s="201"/>
      <c r="CJ308" s="201"/>
      <c r="CK308" s="198"/>
      <c r="CL308" s="200"/>
      <c r="CM308" s="199"/>
      <c r="CN308" s="198"/>
    </row>
    <row r="309" spans="1:92">
      <c r="A309" s="208"/>
      <c r="B309" s="214"/>
      <c r="C309" s="221" t="s">
        <v>315</v>
      </c>
      <c r="D309" s="234">
        <v>3.65</v>
      </c>
      <c r="E309" s="234" t="s">
        <v>309</v>
      </c>
      <c r="F309" s="229">
        <v>3.5</v>
      </c>
      <c r="G309" s="229"/>
      <c r="H309" s="229"/>
      <c r="I309" s="229"/>
      <c r="J309" s="229"/>
      <c r="K309" s="229"/>
      <c r="L309" s="229"/>
      <c r="M309" s="229"/>
      <c r="N309" s="229"/>
      <c r="O309" s="229"/>
      <c r="P309" s="229"/>
      <c r="Q309" s="229"/>
      <c r="R309" s="229"/>
      <c r="S309" s="229"/>
      <c r="T309" s="229"/>
      <c r="U309" s="229"/>
      <c r="V309" s="229"/>
      <c r="W309" s="236"/>
      <c r="X309" s="232"/>
      <c r="Y309" s="235"/>
      <c r="Z309" s="227"/>
      <c r="AA309" s="224"/>
      <c r="AB309" s="228"/>
      <c r="AC309" s="227"/>
      <c r="AD309" s="93"/>
      <c r="AE309" s="226"/>
      <c r="AF309" s="227"/>
      <c r="AG309" s="93"/>
      <c r="AH309" s="226"/>
      <c r="AI309" s="227"/>
      <c r="AJ309" s="93"/>
      <c r="AK309" s="226"/>
      <c r="AL309" s="227"/>
      <c r="AM309" s="93"/>
      <c r="AN309" s="226"/>
      <c r="AO309" s="95"/>
      <c r="AP309" s="93"/>
      <c r="AQ309" s="226"/>
      <c r="AR309" s="225"/>
      <c r="AS309" s="224"/>
      <c r="AT309" s="204"/>
      <c r="AU309" s="204"/>
      <c r="AV309" s="214"/>
      <c r="AW309" s="214"/>
      <c r="AX309" s="214"/>
      <c r="AY309" s="214"/>
      <c r="AZ309" s="214"/>
      <c r="BA309" s="214"/>
      <c r="BB309" s="214"/>
      <c r="BC309" s="214"/>
      <c r="BD309" s="214"/>
      <c r="BE309" s="214"/>
      <c r="BF309" s="214"/>
      <c r="BG309" s="214"/>
      <c r="BH309" s="214"/>
      <c r="BI309" s="214"/>
      <c r="BJ309" s="214"/>
      <c r="BK309" s="214"/>
      <c r="BL309" s="214"/>
      <c r="BM309" s="214"/>
      <c r="BN309" s="214"/>
      <c r="BO309" s="214"/>
      <c r="BP309" s="214"/>
      <c r="BQ309" s="214"/>
      <c r="BR309" s="214"/>
      <c r="BS309" s="214"/>
      <c r="BT309" s="214"/>
      <c r="BU309" s="214"/>
      <c r="BV309" s="214"/>
      <c r="BW309" s="214"/>
      <c r="BX309" s="223" t="s">
        <v>10</v>
      </c>
      <c r="BY309" s="222">
        <f>D309*F309+H309*J309</f>
        <v>12.775</v>
      </c>
      <c r="BZ309" s="204"/>
      <c r="CA309" s="204"/>
      <c r="CB309" s="204"/>
      <c r="CC309" s="200"/>
      <c r="CD309" s="202"/>
      <c r="CE309" s="201"/>
      <c r="CF309" s="200"/>
      <c r="CG309" s="202"/>
      <c r="CH309" s="201"/>
      <c r="CI309" s="201"/>
      <c r="CJ309" s="201"/>
      <c r="CK309" s="198"/>
      <c r="CL309" s="200"/>
      <c r="CM309" s="199"/>
      <c r="CN309" s="198"/>
    </row>
    <row r="310" spans="1:92">
      <c r="A310" s="208"/>
      <c r="B310" s="214"/>
      <c r="C310" s="221" t="s">
        <v>314</v>
      </c>
      <c r="D310" s="234">
        <v>2.4</v>
      </c>
      <c r="E310" s="234" t="s">
        <v>309</v>
      </c>
      <c r="F310" s="229">
        <v>1.3</v>
      </c>
      <c r="G310" s="229"/>
      <c r="H310" s="229"/>
      <c r="I310" s="229"/>
      <c r="J310" s="229"/>
      <c r="K310" s="229"/>
      <c r="L310" s="229"/>
      <c r="M310" s="229"/>
      <c r="N310" s="229"/>
      <c r="O310" s="229"/>
      <c r="P310" s="229"/>
      <c r="Q310" s="229"/>
      <c r="R310" s="229"/>
      <c r="S310" s="229"/>
      <c r="T310" s="229"/>
      <c r="U310" s="229"/>
      <c r="V310" s="229"/>
      <c r="W310" s="236"/>
      <c r="X310" s="232"/>
      <c r="Y310" s="235"/>
      <c r="Z310" s="227"/>
      <c r="AA310" s="224"/>
      <c r="AB310" s="228"/>
      <c r="AC310" s="227"/>
      <c r="AD310" s="93"/>
      <c r="AE310" s="226"/>
      <c r="AF310" s="227"/>
      <c r="AG310" s="93"/>
      <c r="AH310" s="226"/>
      <c r="AI310" s="227"/>
      <c r="AJ310" s="93"/>
      <c r="AK310" s="226"/>
      <c r="AL310" s="227"/>
      <c r="AM310" s="93"/>
      <c r="AN310" s="226"/>
      <c r="AO310" s="95"/>
      <c r="AP310" s="93"/>
      <c r="AQ310" s="226"/>
      <c r="AR310" s="225"/>
      <c r="AS310" s="224"/>
      <c r="AT310" s="204"/>
      <c r="AU310" s="204"/>
      <c r="AV310" s="214"/>
      <c r="AW310" s="214"/>
      <c r="AX310" s="214"/>
      <c r="AY310" s="214"/>
      <c r="AZ310" s="214"/>
      <c r="BA310" s="214"/>
      <c r="BB310" s="214"/>
      <c r="BC310" s="214"/>
      <c r="BD310" s="214"/>
      <c r="BE310" s="214"/>
      <c r="BF310" s="214"/>
      <c r="BG310" s="214"/>
      <c r="BH310" s="214"/>
      <c r="BI310" s="214"/>
      <c r="BJ310" s="214"/>
      <c r="BK310" s="214"/>
      <c r="BL310" s="214"/>
      <c r="BM310" s="214"/>
      <c r="BN310" s="214"/>
      <c r="BO310" s="214"/>
      <c r="BP310" s="214"/>
      <c r="BQ310" s="214"/>
      <c r="BR310" s="214"/>
      <c r="BS310" s="214"/>
      <c r="BT310" s="214"/>
      <c r="BU310" s="214"/>
      <c r="BV310" s="214"/>
      <c r="BW310" s="214"/>
      <c r="BX310" s="223" t="s">
        <v>10</v>
      </c>
      <c r="BY310" s="222">
        <f>D310*F310+H310*J310</f>
        <v>3.12</v>
      </c>
      <c r="BZ310" s="204"/>
      <c r="CA310" s="204"/>
      <c r="CB310" s="204"/>
      <c r="CC310" s="200"/>
      <c r="CD310" s="202"/>
      <c r="CE310" s="201"/>
      <c r="CF310" s="200"/>
      <c r="CG310" s="202"/>
      <c r="CH310" s="201"/>
      <c r="CI310" s="201"/>
      <c r="CJ310" s="201"/>
      <c r="CK310" s="198"/>
      <c r="CL310" s="200"/>
      <c r="CM310" s="199"/>
      <c r="CN310" s="198"/>
    </row>
    <row r="311" spans="1:92">
      <c r="A311" s="208"/>
      <c r="B311" s="214"/>
      <c r="C311" s="221" t="s">
        <v>313</v>
      </c>
      <c r="D311" s="234">
        <v>3.65</v>
      </c>
      <c r="E311" s="234" t="s">
        <v>309</v>
      </c>
      <c r="F311" s="229">
        <v>3.5</v>
      </c>
      <c r="G311" s="229"/>
      <c r="H311" s="229"/>
      <c r="I311" s="229"/>
      <c r="J311" s="229"/>
      <c r="K311" s="229"/>
      <c r="L311" s="229"/>
      <c r="M311" s="229"/>
      <c r="N311" s="229"/>
      <c r="O311" s="229"/>
      <c r="P311" s="229"/>
      <c r="Q311" s="229"/>
      <c r="R311" s="229"/>
      <c r="S311" s="229"/>
      <c r="T311" s="229"/>
      <c r="U311" s="229"/>
      <c r="V311" s="229"/>
      <c r="W311" s="236"/>
      <c r="X311" s="232"/>
      <c r="Y311" s="235"/>
      <c r="Z311" s="227"/>
      <c r="AA311" s="224"/>
      <c r="AB311" s="228"/>
      <c r="AC311" s="227"/>
      <c r="AD311" s="93"/>
      <c r="AE311" s="226"/>
      <c r="AF311" s="227"/>
      <c r="AG311" s="93"/>
      <c r="AH311" s="226"/>
      <c r="AI311" s="227"/>
      <c r="AJ311" s="93"/>
      <c r="AK311" s="226"/>
      <c r="AL311" s="227"/>
      <c r="AM311" s="93"/>
      <c r="AN311" s="226"/>
      <c r="AO311" s="95"/>
      <c r="AP311" s="93"/>
      <c r="AQ311" s="226"/>
      <c r="AR311" s="225"/>
      <c r="AS311" s="224"/>
      <c r="AT311" s="204"/>
      <c r="AU311" s="204"/>
      <c r="AV311" s="214"/>
      <c r="AW311" s="214"/>
      <c r="AX311" s="214"/>
      <c r="AY311" s="214"/>
      <c r="AZ311" s="214"/>
      <c r="BA311" s="214"/>
      <c r="BB311" s="214"/>
      <c r="BC311" s="214"/>
      <c r="BD311" s="214"/>
      <c r="BE311" s="214"/>
      <c r="BF311" s="214"/>
      <c r="BG311" s="214"/>
      <c r="BH311" s="214"/>
      <c r="BI311" s="214"/>
      <c r="BJ311" s="214"/>
      <c r="BK311" s="214"/>
      <c r="BL311" s="214"/>
      <c r="BM311" s="214"/>
      <c r="BN311" s="214"/>
      <c r="BO311" s="214"/>
      <c r="BP311" s="214"/>
      <c r="BQ311" s="214"/>
      <c r="BR311" s="214"/>
      <c r="BS311" s="214"/>
      <c r="BT311" s="214"/>
      <c r="BU311" s="214"/>
      <c r="BV311" s="214"/>
      <c r="BW311" s="214"/>
      <c r="BX311" s="223" t="s">
        <v>10</v>
      </c>
      <c r="BY311" s="222">
        <f>D311*F311+H311*J311</f>
        <v>12.775</v>
      </c>
      <c r="BZ311" s="204"/>
      <c r="CA311" s="204"/>
      <c r="CB311" s="204"/>
      <c r="CC311" s="200"/>
      <c r="CD311" s="202"/>
      <c r="CE311" s="201"/>
      <c r="CF311" s="200"/>
      <c r="CG311" s="202"/>
      <c r="CH311" s="201"/>
      <c r="CI311" s="201"/>
      <c r="CJ311" s="201"/>
      <c r="CK311" s="198"/>
      <c r="CL311" s="200"/>
      <c r="CM311" s="199"/>
      <c r="CN311" s="198"/>
    </row>
    <row r="312" spans="1:92">
      <c r="A312" s="208"/>
      <c r="B312" s="214"/>
      <c r="C312" s="221" t="s">
        <v>312</v>
      </c>
      <c r="D312" s="234">
        <v>2.4</v>
      </c>
      <c r="E312" s="234" t="s">
        <v>309</v>
      </c>
      <c r="F312" s="229">
        <v>1.3</v>
      </c>
      <c r="G312" s="229"/>
      <c r="H312" s="229"/>
      <c r="I312" s="229"/>
      <c r="J312" s="229"/>
      <c r="K312" s="229"/>
      <c r="L312" s="229"/>
      <c r="M312" s="229"/>
      <c r="N312" s="229"/>
      <c r="O312" s="229"/>
      <c r="P312" s="229"/>
      <c r="Q312" s="229"/>
      <c r="R312" s="229"/>
      <c r="S312" s="229"/>
      <c r="T312" s="229"/>
      <c r="U312" s="229"/>
      <c r="V312" s="229"/>
      <c r="W312" s="236"/>
      <c r="X312" s="232"/>
      <c r="Y312" s="235"/>
      <c r="Z312" s="227"/>
      <c r="AA312" s="224"/>
      <c r="AB312" s="228"/>
      <c r="AC312" s="227"/>
      <c r="AD312" s="93"/>
      <c r="AE312" s="226"/>
      <c r="AF312" s="227"/>
      <c r="AG312" s="93"/>
      <c r="AH312" s="226"/>
      <c r="AI312" s="227"/>
      <c r="AJ312" s="93"/>
      <c r="AK312" s="226"/>
      <c r="AL312" s="227"/>
      <c r="AM312" s="93"/>
      <c r="AN312" s="226"/>
      <c r="AO312" s="95"/>
      <c r="AP312" s="93"/>
      <c r="AQ312" s="226"/>
      <c r="AR312" s="225"/>
      <c r="AS312" s="224"/>
      <c r="AT312" s="204"/>
      <c r="AU312" s="204"/>
      <c r="AV312" s="214"/>
      <c r="AW312" s="214"/>
      <c r="AX312" s="214"/>
      <c r="AY312" s="214"/>
      <c r="AZ312" s="214"/>
      <c r="BA312" s="214"/>
      <c r="BB312" s="214"/>
      <c r="BC312" s="214"/>
      <c r="BD312" s="214"/>
      <c r="BE312" s="214"/>
      <c r="BF312" s="214"/>
      <c r="BG312" s="214"/>
      <c r="BH312" s="214"/>
      <c r="BI312" s="214"/>
      <c r="BJ312" s="214"/>
      <c r="BK312" s="214"/>
      <c r="BL312" s="214"/>
      <c r="BM312" s="214"/>
      <c r="BN312" s="214"/>
      <c r="BO312" s="214"/>
      <c r="BP312" s="214"/>
      <c r="BQ312" s="214"/>
      <c r="BR312" s="214"/>
      <c r="BS312" s="214"/>
      <c r="BT312" s="214"/>
      <c r="BU312" s="214"/>
      <c r="BV312" s="214"/>
      <c r="BW312" s="214"/>
      <c r="BX312" s="223" t="s">
        <v>10</v>
      </c>
      <c r="BY312" s="222">
        <f>D312*F312+H312*J312</f>
        <v>3.12</v>
      </c>
      <c r="BZ312" s="204"/>
      <c r="CA312" s="204"/>
      <c r="CB312" s="204"/>
      <c r="CC312" s="200"/>
      <c r="CD312" s="202"/>
      <c r="CE312" s="201"/>
      <c r="CF312" s="200"/>
      <c r="CG312" s="202"/>
      <c r="CH312" s="201"/>
      <c r="CI312" s="201"/>
      <c r="CJ312" s="201"/>
      <c r="CK312" s="198"/>
      <c r="CL312" s="200"/>
      <c r="CM312" s="199"/>
      <c r="CN312" s="198"/>
    </row>
    <row r="313" spans="1:92" ht="15.5">
      <c r="A313" s="208"/>
      <c r="B313" s="214"/>
      <c r="C313" s="221" t="s">
        <v>311</v>
      </c>
      <c r="D313" s="234">
        <v>7.38</v>
      </c>
      <c r="E313" s="233" t="s">
        <v>310</v>
      </c>
      <c r="F313" s="229">
        <v>6.75</v>
      </c>
      <c r="G313" s="229" t="s">
        <v>309</v>
      </c>
      <c r="H313" s="232">
        <v>7.9</v>
      </c>
      <c r="I313" s="231" t="s">
        <v>308</v>
      </c>
      <c r="J313" s="230">
        <v>2</v>
      </c>
      <c r="K313" s="229"/>
      <c r="L313" s="229"/>
      <c r="M313" s="229"/>
      <c r="N313" s="229"/>
      <c r="O313" s="229"/>
      <c r="P313" s="229"/>
      <c r="Q313" s="229"/>
      <c r="R313" s="229"/>
      <c r="S313" s="229"/>
      <c r="T313" s="229"/>
      <c r="U313" s="229"/>
      <c r="V313" s="229"/>
      <c r="AA313" s="224"/>
      <c r="AB313" s="228"/>
      <c r="AC313" s="227"/>
      <c r="AD313" s="93"/>
      <c r="AE313" s="226"/>
      <c r="AF313" s="227"/>
      <c r="AG313" s="93"/>
      <c r="AH313" s="226"/>
      <c r="AI313" s="227"/>
      <c r="AJ313" s="93"/>
      <c r="AK313" s="226"/>
      <c r="AL313" s="227"/>
      <c r="AM313" s="93"/>
      <c r="AN313" s="226"/>
      <c r="AP313" s="93"/>
      <c r="AQ313" s="226"/>
      <c r="AR313" s="225"/>
      <c r="AS313" s="224"/>
      <c r="AT313" s="204"/>
      <c r="AU313" s="204"/>
      <c r="AV313" s="214"/>
      <c r="AW313" s="214"/>
      <c r="AX313" s="214"/>
      <c r="AY313" s="214"/>
      <c r="AZ313" s="214"/>
      <c r="BA313" s="214"/>
      <c r="BB313" s="214"/>
      <c r="BC313" s="214"/>
      <c r="BD313" s="214"/>
      <c r="BE313" s="214"/>
      <c r="BF313" s="214"/>
      <c r="BG313" s="214"/>
      <c r="BH313" s="214"/>
      <c r="BI313" s="214"/>
      <c r="BJ313" s="214"/>
      <c r="BK313" s="214"/>
      <c r="BL313" s="214"/>
      <c r="BM313" s="214"/>
      <c r="BN313" s="214"/>
      <c r="BO313" s="214"/>
      <c r="BP313" s="214"/>
      <c r="BQ313" s="214"/>
      <c r="BR313" s="214"/>
      <c r="BS313" s="214"/>
      <c r="BT313" s="214"/>
      <c r="BU313" s="214"/>
      <c r="BV313" s="214"/>
      <c r="BW313" s="214"/>
      <c r="BX313" s="223" t="s">
        <v>10</v>
      </c>
      <c r="BY313" s="222">
        <f>((D313+F313)*H313)/2</f>
        <v>55.813499999999998</v>
      </c>
      <c r="BZ313" s="204"/>
      <c r="CA313" s="204"/>
      <c r="CB313" s="204"/>
      <c r="CC313" s="200"/>
      <c r="CD313" s="202"/>
      <c r="CE313" s="201"/>
      <c r="CF313" s="200"/>
      <c r="CG313" s="202"/>
      <c r="CH313" s="201"/>
      <c r="CI313" s="201"/>
      <c r="CJ313" s="201"/>
      <c r="CK313" s="198"/>
      <c r="CL313" s="200"/>
      <c r="CM313" s="199"/>
      <c r="CN313" s="198"/>
    </row>
    <row r="314" spans="1:92" ht="15" customHeight="1">
      <c r="A314" s="208"/>
      <c r="B314" s="214"/>
      <c r="C314" s="221"/>
      <c r="D314" s="220" t="s">
        <v>334</v>
      </c>
      <c r="E314" s="219"/>
      <c r="F314" s="219"/>
      <c r="G314" s="219"/>
      <c r="H314" s="219"/>
      <c r="I314" s="219"/>
      <c r="J314" s="219"/>
      <c r="K314" s="219"/>
      <c r="L314" s="219"/>
      <c r="M314" s="219"/>
      <c r="N314" s="219"/>
      <c r="O314" s="219"/>
      <c r="P314" s="219"/>
      <c r="Q314" s="219"/>
      <c r="R314" s="219"/>
      <c r="S314" s="219"/>
      <c r="T314" s="219"/>
      <c r="U314" s="219"/>
      <c r="V314" s="219"/>
      <c r="W314" s="219"/>
      <c r="X314" s="219"/>
      <c r="Y314" s="219"/>
      <c r="Z314" s="219"/>
      <c r="AA314" s="219"/>
      <c r="AB314" s="219"/>
      <c r="AC314" s="219"/>
      <c r="AD314" s="219"/>
      <c r="AE314" s="219"/>
      <c r="AF314" s="219"/>
      <c r="AG314" s="219"/>
      <c r="AH314" s="219"/>
      <c r="AI314" s="219"/>
      <c r="AJ314" s="219"/>
      <c r="AK314" s="219"/>
      <c r="AL314" s="219"/>
      <c r="AM314" s="219"/>
      <c r="AN314" s="219"/>
      <c r="AO314" s="219"/>
      <c r="AP314" s="219"/>
      <c r="AQ314" s="219"/>
      <c r="AR314" s="219"/>
      <c r="AS314" s="219"/>
      <c r="AT314" s="219"/>
      <c r="AU314" s="219"/>
      <c r="AV314" s="219"/>
      <c r="AW314" s="219"/>
      <c r="AX314" s="219"/>
      <c r="AY314" s="219"/>
      <c r="AZ314" s="219"/>
      <c r="BA314" s="219"/>
      <c r="BB314" s="219"/>
      <c r="BC314" s="219"/>
      <c r="BD314" s="219"/>
      <c r="BE314" s="219"/>
      <c r="BF314" s="219"/>
      <c r="BG314" s="219"/>
      <c r="BH314" s="219"/>
      <c r="BI314" s="219"/>
      <c r="BJ314" s="219"/>
      <c r="BK314" s="219"/>
      <c r="BL314" s="219"/>
      <c r="BM314" s="219"/>
      <c r="BN314" s="219"/>
      <c r="BO314" s="219"/>
      <c r="BP314" s="219"/>
      <c r="BQ314" s="219"/>
      <c r="BR314" s="219"/>
      <c r="BS314" s="219"/>
      <c r="BT314" s="219"/>
      <c r="BU314" s="219"/>
      <c r="BV314" s="219"/>
      <c r="BW314" s="218"/>
      <c r="BX314" s="217" t="s">
        <v>10</v>
      </c>
      <c r="BY314" s="216">
        <f>SUM(BY288:BY313)</f>
        <v>304.81440000000009</v>
      </c>
      <c r="BZ314" s="204"/>
      <c r="CA314" s="204"/>
      <c r="CB314" s="204"/>
      <c r="CC314" s="200"/>
      <c r="CD314" s="202"/>
      <c r="CE314" s="201"/>
      <c r="CF314" s="200"/>
      <c r="CG314" s="202"/>
      <c r="CH314" s="201"/>
      <c r="CI314" s="201"/>
      <c r="CJ314" s="201"/>
      <c r="CK314" s="198"/>
      <c r="CL314" s="200"/>
      <c r="CM314" s="199"/>
      <c r="CN314" s="198"/>
    </row>
    <row r="315" spans="1:92" ht="15" customHeight="1">
      <c r="A315" s="208"/>
      <c r="B315" s="214"/>
      <c r="C315" s="250"/>
      <c r="D315" s="220" t="s">
        <v>332</v>
      </c>
      <c r="E315" s="219"/>
      <c r="F315" s="219"/>
      <c r="G315" s="219"/>
      <c r="H315" s="219"/>
      <c r="I315" s="219"/>
      <c r="J315" s="219"/>
      <c r="K315" s="219"/>
      <c r="L315" s="219"/>
      <c r="M315" s="219"/>
      <c r="N315" s="219"/>
      <c r="O315" s="219"/>
      <c r="P315" s="219"/>
      <c r="Q315" s="219"/>
      <c r="R315" s="219"/>
      <c r="S315" s="219"/>
      <c r="T315" s="219"/>
      <c r="U315" s="219"/>
      <c r="V315" s="219"/>
      <c r="W315" s="219"/>
      <c r="X315" s="219"/>
      <c r="Y315" s="219"/>
      <c r="Z315" s="219"/>
      <c r="AA315" s="219"/>
      <c r="AB315" s="219"/>
      <c r="AC315" s="219"/>
      <c r="AD315" s="219"/>
      <c r="AE315" s="219"/>
      <c r="AF315" s="219"/>
      <c r="AG315" s="219"/>
      <c r="AH315" s="219"/>
      <c r="AI315" s="219"/>
      <c r="AJ315" s="219"/>
      <c r="AK315" s="219"/>
      <c r="AL315" s="219"/>
      <c r="AM315" s="219"/>
      <c r="AN315" s="219"/>
      <c r="AO315" s="219"/>
      <c r="AP315" s="219"/>
      <c r="AQ315" s="219"/>
      <c r="AR315" s="219"/>
      <c r="AS315" s="219"/>
      <c r="AT315" s="219"/>
      <c r="AU315" s="219"/>
      <c r="AV315" s="219"/>
      <c r="AW315" s="219"/>
      <c r="AX315" s="219"/>
      <c r="AY315" s="219"/>
      <c r="AZ315" s="219"/>
      <c r="BA315" s="219"/>
      <c r="BB315" s="219"/>
      <c r="BC315" s="219"/>
      <c r="BD315" s="219"/>
      <c r="BE315" s="219"/>
      <c r="BF315" s="219"/>
      <c r="BG315" s="219"/>
      <c r="BH315" s="219"/>
      <c r="BI315" s="219"/>
      <c r="BJ315" s="219"/>
      <c r="BK315" s="219"/>
      <c r="BL315" s="219"/>
      <c r="BM315" s="219"/>
      <c r="BN315" s="219"/>
      <c r="BO315" s="219"/>
      <c r="BP315" s="219"/>
      <c r="BQ315" s="219"/>
      <c r="BR315" s="219"/>
      <c r="BS315" s="219"/>
      <c r="BT315" s="219"/>
      <c r="BU315" s="219"/>
      <c r="BV315" s="219"/>
      <c r="BW315" s="218"/>
      <c r="BX315" s="217" t="s">
        <v>10</v>
      </c>
      <c r="BY315" s="216">
        <f>BY314+BY286</f>
        <v>950.3244000000002</v>
      </c>
      <c r="BZ315" s="204"/>
      <c r="CA315" s="204"/>
      <c r="CB315" s="204"/>
      <c r="CC315" s="200"/>
      <c r="CD315" s="202"/>
      <c r="CE315" s="201"/>
      <c r="CF315" s="200"/>
      <c r="CG315" s="202"/>
      <c r="CH315" s="201"/>
      <c r="CI315" s="201"/>
      <c r="CJ315" s="201"/>
      <c r="CK315" s="198"/>
      <c r="CL315" s="200"/>
      <c r="CM315" s="199"/>
      <c r="CN315" s="198"/>
    </row>
    <row r="316" spans="1:92" ht="15" customHeight="1">
      <c r="A316" s="208"/>
      <c r="B316" s="214"/>
      <c r="C316" s="250"/>
      <c r="D316" s="220" t="s">
        <v>333</v>
      </c>
      <c r="E316" s="219"/>
      <c r="F316" s="219"/>
      <c r="G316" s="219"/>
      <c r="H316" s="219"/>
      <c r="I316" s="219"/>
      <c r="J316" s="219"/>
      <c r="K316" s="219"/>
      <c r="L316" s="219"/>
      <c r="M316" s="219"/>
      <c r="N316" s="219"/>
      <c r="O316" s="219"/>
      <c r="P316" s="219"/>
      <c r="Q316" s="219"/>
      <c r="R316" s="219"/>
      <c r="S316" s="219"/>
      <c r="T316" s="219"/>
      <c r="U316" s="219"/>
      <c r="V316" s="219"/>
      <c r="W316" s="219"/>
      <c r="X316" s="219"/>
      <c r="Y316" s="219"/>
      <c r="Z316" s="219"/>
      <c r="AA316" s="219"/>
      <c r="AB316" s="219"/>
      <c r="AC316" s="219"/>
      <c r="AD316" s="219"/>
      <c r="AE316" s="219"/>
      <c r="AF316" s="219"/>
      <c r="AG316" s="219"/>
      <c r="AH316" s="219"/>
      <c r="AI316" s="219"/>
      <c r="AJ316" s="219"/>
      <c r="AK316" s="219"/>
      <c r="AL316" s="219"/>
      <c r="AM316" s="219"/>
      <c r="AN316" s="219"/>
      <c r="AO316" s="219"/>
      <c r="AP316" s="219"/>
      <c r="AQ316" s="219"/>
      <c r="AR316" s="219"/>
      <c r="AS316" s="219"/>
      <c r="AT316" s="219"/>
      <c r="AU316" s="219"/>
      <c r="AV316" s="219"/>
      <c r="AW316" s="219"/>
      <c r="AX316" s="219"/>
      <c r="AY316" s="219"/>
      <c r="AZ316" s="219"/>
      <c r="BA316" s="219"/>
      <c r="BB316" s="219"/>
      <c r="BC316" s="219"/>
      <c r="BD316" s="219"/>
      <c r="BE316" s="219"/>
      <c r="BF316" s="219"/>
      <c r="BG316" s="219"/>
      <c r="BH316" s="219"/>
      <c r="BI316" s="219"/>
      <c r="BJ316" s="219"/>
      <c r="BK316" s="219"/>
      <c r="BL316" s="219"/>
      <c r="BM316" s="219"/>
      <c r="BN316" s="219"/>
      <c r="BO316" s="219"/>
      <c r="BP316" s="219"/>
      <c r="BQ316" s="219"/>
      <c r="BR316" s="219"/>
      <c r="BS316" s="219"/>
      <c r="BT316" s="219"/>
      <c r="BU316" s="219"/>
      <c r="BV316" s="219"/>
      <c r="BW316" s="218"/>
      <c r="BX316" s="217" t="s">
        <v>10</v>
      </c>
      <c r="BY316" s="216">
        <v>651.22239999999999</v>
      </c>
      <c r="BZ316" s="204"/>
      <c r="CA316" s="204"/>
      <c r="CB316" s="204"/>
      <c r="CC316" s="200"/>
      <c r="CD316" s="202"/>
      <c r="CE316" s="201"/>
      <c r="CF316" s="200"/>
      <c r="CG316" s="202"/>
      <c r="CH316" s="201"/>
      <c r="CI316" s="201"/>
      <c r="CJ316" s="201"/>
      <c r="CK316" s="198"/>
      <c r="CL316" s="200"/>
      <c r="CM316" s="199"/>
      <c r="CN316" s="198"/>
    </row>
    <row r="317" spans="1:92" ht="15" customHeight="1">
      <c r="A317" s="208"/>
      <c r="B317" s="214"/>
      <c r="C317" s="250"/>
      <c r="D317" s="220" t="s">
        <v>332</v>
      </c>
      <c r="E317" s="219"/>
      <c r="F317" s="219"/>
      <c r="G317" s="219"/>
      <c r="H317" s="219"/>
      <c r="I317" s="219"/>
      <c r="J317" s="219"/>
      <c r="K317" s="219"/>
      <c r="L317" s="219"/>
      <c r="M317" s="219"/>
      <c r="N317" s="219"/>
      <c r="O317" s="219"/>
      <c r="P317" s="219"/>
      <c r="Q317" s="219"/>
      <c r="R317" s="219"/>
      <c r="S317" s="219"/>
      <c r="T317" s="219"/>
      <c r="U317" s="219"/>
      <c r="V317" s="219"/>
      <c r="W317" s="219"/>
      <c r="X317" s="219"/>
      <c r="Y317" s="219"/>
      <c r="Z317" s="219"/>
      <c r="AA317" s="219"/>
      <c r="AB317" s="219"/>
      <c r="AC317" s="219"/>
      <c r="AD317" s="219"/>
      <c r="AE317" s="219"/>
      <c r="AF317" s="219"/>
      <c r="AG317" s="219"/>
      <c r="AH317" s="219"/>
      <c r="AI317" s="219"/>
      <c r="AJ317" s="219"/>
      <c r="AK317" s="219"/>
      <c r="AL317" s="219"/>
      <c r="AM317" s="219"/>
      <c r="AN317" s="219"/>
      <c r="AO317" s="219"/>
      <c r="AP317" s="219"/>
      <c r="AQ317" s="219"/>
      <c r="AR317" s="219"/>
      <c r="AS317" s="219"/>
      <c r="AT317" s="219"/>
      <c r="AU317" s="219"/>
      <c r="AV317" s="219"/>
      <c r="AW317" s="219"/>
      <c r="AX317" s="219"/>
      <c r="AY317" s="219"/>
      <c r="AZ317" s="219"/>
      <c r="BA317" s="219"/>
      <c r="BB317" s="219"/>
      <c r="BC317" s="219"/>
      <c r="BD317" s="219"/>
      <c r="BE317" s="219"/>
      <c r="BF317" s="219"/>
      <c r="BG317" s="219"/>
      <c r="BH317" s="219"/>
      <c r="BI317" s="219"/>
      <c r="BJ317" s="219"/>
      <c r="BK317" s="219"/>
      <c r="BL317" s="219"/>
      <c r="BM317" s="219"/>
      <c r="BN317" s="219"/>
      <c r="BO317" s="219"/>
      <c r="BP317" s="219"/>
      <c r="BQ317" s="219"/>
      <c r="BR317" s="219"/>
      <c r="BS317" s="219"/>
      <c r="BT317" s="219"/>
      <c r="BU317" s="219"/>
      <c r="BV317" s="219"/>
      <c r="BW317" s="218"/>
      <c r="BX317" s="217" t="s">
        <v>10</v>
      </c>
      <c r="BY317" s="216">
        <f>BY315-BY316</f>
        <v>299.1020000000002</v>
      </c>
      <c r="BZ317" s="204"/>
      <c r="CA317" s="204"/>
      <c r="CB317" s="204"/>
      <c r="CC317" s="200"/>
      <c r="CD317" s="202"/>
      <c r="CE317" s="201"/>
      <c r="CF317" s="200"/>
      <c r="CG317" s="202"/>
      <c r="CH317" s="201"/>
      <c r="CI317" s="201"/>
      <c r="CJ317" s="201"/>
      <c r="CK317" s="198"/>
      <c r="CL317" s="200"/>
      <c r="CM317" s="199"/>
      <c r="CN317" s="198"/>
    </row>
    <row r="318" spans="1:92" ht="28">
      <c r="A318" s="208" t="s">
        <v>83</v>
      </c>
      <c r="B318" s="207">
        <v>95306</v>
      </c>
      <c r="C318" s="206" t="s">
        <v>82</v>
      </c>
      <c r="D318" s="249"/>
      <c r="E318" s="248"/>
      <c r="F318" s="248"/>
      <c r="G318" s="248"/>
      <c r="H318" s="248"/>
      <c r="I318" s="248"/>
      <c r="J318" s="248"/>
      <c r="K318" s="248"/>
      <c r="L318" s="248"/>
      <c r="M318" s="248"/>
      <c r="N318" s="248"/>
      <c r="O318" s="248"/>
      <c r="P318" s="248"/>
      <c r="Q318" s="248"/>
      <c r="R318" s="248"/>
      <c r="S318" s="248"/>
      <c r="T318" s="248"/>
      <c r="U318" s="248"/>
      <c r="V318" s="248"/>
      <c r="W318" s="248"/>
      <c r="X318" s="248"/>
      <c r="Y318" s="248"/>
      <c r="Z318" s="248"/>
      <c r="AA318" s="248"/>
      <c r="AB318" s="248"/>
      <c r="AC318" s="248"/>
      <c r="AD318" s="248"/>
      <c r="AE318" s="248"/>
      <c r="AF318" s="248"/>
      <c r="AG318" s="248"/>
      <c r="AH318" s="248"/>
      <c r="AI318" s="248"/>
      <c r="AJ318" s="248"/>
      <c r="AK318" s="248"/>
      <c r="AL318" s="248"/>
      <c r="AM318" s="248"/>
      <c r="AN318" s="248"/>
      <c r="AO318" s="248"/>
      <c r="AP318" s="248"/>
      <c r="AQ318" s="248"/>
      <c r="AR318" s="248"/>
      <c r="AS318" s="248"/>
      <c r="AT318" s="248"/>
      <c r="AU318" s="248"/>
      <c r="AV318" s="248"/>
      <c r="AW318" s="248"/>
      <c r="AX318" s="248"/>
      <c r="AY318" s="248"/>
      <c r="AZ318" s="248"/>
      <c r="BA318" s="248"/>
      <c r="BB318" s="248"/>
      <c r="BC318" s="248"/>
      <c r="BD318" s="248"/>
      <c r="BE318" s="248"/>
      <c r="BF318" s="248"/>
      <c r="BG318" s="248"/>
      <c r="BH318" s="248"/>
      <c r="BI318" s="248"/>
      <c r="BJ318" s="248"/>
      <c r="BK318" s="248"/>
      <c r="BL318" s="248"/>
      <c r="BM318" s="248"/>
      <c r="BN318" s="248"/>
      <c r="BO318" s="248"/>
      <c r="BP318" s="248"/>
      <c r="BQ318" s="248"/>
      <c r="BR318" s="248"/>
      <c r="BS318" s="248"/>
      <c r="BT318" s="248"/>
      <c r="BU318" s="248"/>
      <c r="BV318" s="248"/>
      <c r="BW318" s="248"/>
      <c r="BX318" s="248"/>
      <c r="BY318" s="247"/>
      <c r="BZ318" s="204"/>
      <c r="CA318" s="204"/>
      <c r="CB318" s="204"/>
      <c r="CC318" s="200"/>
      <c r="CD318" s="202"/>
      <c r="CE318" s="201"/>
      <c r="CF318" s="200"/>
      <c r="CG318" s="202"/>
      <c r="CH318" s="201"/>
      <c r="CI318" s="201"/>
      <c r="CJ318" s="201"/>
      <c r="CK318" s="198">
        <f>TRUNC(AL318*CJ318)+0</f>
        <v>0</v>
      </c>
      <c r="CL318" s="200"/>
      <c r="CM318" s="199">
        <f>TRUNC(CL318*AK318,2)</f>
        <v>0</v>
      </c>
      <c r="CN318" s="198">
        <f>TRUNC(CM318*AL318)+0</f>
        <v>0</v>
      </c>
    </row>
    <row r="319" spans="1:92">
      <c r="A319" s="208"/>
      <c r="B319" s="207"/>
      <c r="C319" s="221" t="s">
        <v>331</v>
      </c>
      <c r="D319" s="234">
        <v>1.6</v>
      </c>
      <c r="E319" s="234" t="s">
        <v>309</v>
      </c>
      <c r="F319" s="229">
        <v>1.6</v>
      </c>
      <c r="G319" s="229"/>
      <c r="H319" s="229"/>
      <c r="I319" s="229"/>
      <c r="J319" s="229"/>
      <c r="K319" s="229"/>
      <c r="L319" s="229"/>
      <c r="M319" s="229"/>
      <c r="N319" s="229"/>
      <c r="O319" s="229"/>
      <c r="P319" s="229"/>
      <c r="Q319" s="229"/>
      <c r="R319" s="229"/>
      <c r="S319" s="229"/>
      <c r="T319" s="229"/>
      <c r="U319" s="229"/>
      <c r="V319" s="229"/>
      <c r="W319" s="236"/>
      <c r="X319" s="232"/>
      <c r="Y319" s="235"/>
      <c r="Z319" s="227"/>
      <c r="AA319" s="224"/>
      <c r="AB319" s="228"/>
      <c r="AC319" s="227"/>
      <c r="AD319" s="93"/>
      <c r="AE319" s="226"/>
      <c r="AF319" s="227"/>
      <c r="AG319" s="93"/>
      <c r="AH319" s="226"/>
      <c r="AI319" s="227"/>
      <c r="AJ319" s="93"/>
      <c r="AK319" s="226"/>
      <c r="AL319" s="227"/>
      <c r="AM319" s="93"/>
      <c r="AN319" s="226"/>
      <c r="AO319" s="95"/>
      <c r="AP319" s="93"/>
      <c r="AQ319" s="226"/>
      <c r="AR319" s="225"/>
      <c r="AS319" s="224"/>
      <c r="AT319" s="204"/>
      <c r="AU319" s="204"/>
      <c r="AV319" s="214"/>
      <c r="AW319" s="214"/>
      <c r="AX319" s="214"/>
      <c r="AY319" s="214"/>
      <c r="AZ319" s="214"/>
      <c r="BA319" s="214"/>
      <c r="BB319" s="214"/>
      <c r="BC319" s="214"/>
      <c r="BD319" s="214"/>
      <c r="BE319" s="214"/>
      <c r="BF319" s="214"/>
      <c r="BG319" s="214"/>
      <c r="BH319" s="214"/>
      <c r="BI319" s="214"/>
      <c r="BJ319" s="214"/>
      <c r="BK319" s="214"/>
      <c r="BL319" s="214"/>
      <c r="BM319" s="214"/>
      <c r="BN319" s="214"/>
      <c r="BO319" s="214"/>
      <c r="BP319" s="214"/>
      <c r="BQ319" s="214"/>
      <c r="BR319" s="214"/>
      <c r="BS319" s="214"/>
      <c r="BT319" s="214"/>
      <c r="BU319" s="214"/>
      <c r="BV319" s="214"/>
      <c r="BW319" s="214"/>
      <c r="BX319" s="223" t="s">
        <v>10</v>
      </c>
      <c r="BY319" s="222">
        <f>D319*F319+X319*AO319</f>
        <v>2.5600000000000005</v>
      </c>
      <c r="BZ319" s="204"/>
      <c r="CA319" s="204"/>
      <c r="CB319" s="204"/>
      <c r="CC319" s="200"/>
      <c r="CD319" s="202"/>
      <c r="CE319" s="201"/>
      <c r="CF319" s="200"/>
      <c r="CG319" s="202"/>
      <c r="CH319" s="201"/>
      <c r="CI319" s="201"/>
      <c r="CJ319" s="201"/>
      <c r="CK319" s="198"/>
      <c r="CL319" s="200"/>
      <c r="CM319" s="199"/>
      <c r="CN319" s="198"/>
    </row>
    <row r="320" spans="1:92">
      <c r="A320" s="208"/>
      <c r="B320" s="207"/>
      <c r="C320" s="221" t="s">
        <v>330</v>
      </c>
      <c r="D320" s="234">
        <v>1.8</v>
      </c>
      <c r="E320" s="234" t="s">
        <v>309</v>
      </c>
      <c r="F320" s="229">
        <v>1.6</v>
      </c>
      <c r="G320" s="229"/>
      <c r="H320" s="229"/>
      <c r="I320" s="229"/>
      <c r="J320" s="229"/>
      <c r="K320" s="229"/>
      <c r="L320" s="229"/>
      <c r="M320" s="229"/>
      <c r="N320" s="229"/>
      <c r="O320" s="229"/>
      <c r="P320" s="229"/>
      <c r="Q320" s="229"/>
      <c r="R320" s="229"/>
      <c r="S320" s="229"/>
      <c r="T320" s="229"/>
      <c r="U320" s="229"/>
      <c r="V320" s="229"/>
      <c r="W320" s="236"/>
      <c r="X320" s="232"/>
      <c r="Y320" s="235"/>
      <c r="Z320" s="227"/>
      <c r="AA320" s="224"/>
      <c r="AB320" s="228"/>
      <c r="AC320" s="227"/>
      <c r="AD320" s="93"/>
      <c r="AE320" s="226"/>
      <c r="AF320" s="227"/>
      <c r="AG320" s="93"/>
      <c r="AH320" s="226"/>
      <c r="AI320" s="227"/>
      <c r="AJ320" s="93"/>
      <c r="AK320" s="226"/>
      <c r="AL320" s="227"/>
      <c r="AM320" s="93"/>
      <c r="AN320" s="226"/>
      <c r="AO320" s="95"/>
      <c r="AP320" s="93"/>
      <c r="AQ320" s="226"/>
      <c r="AR320" s="225"/>
      <c r="AS320" s="224"/>
      <c r="AT320" s="204"/>
      <c r="AU320" s="204"/>
      <c r="AV320" s="214"/>
      <c r="AW320" s="214"/>
      <c r="AX320" s="214"/>
      <c r="AY320" s="214"/>
      <c r="AZ320" s="214"/>
      <c r="BA320" s="214"/>
      <c r="BB320" s="214"/>
      <c r="BC320" s="214"/>
      <c r="BD320" s="214"/>
      <c r="BE320" s="214"/>
      <c r="BF320" s="214"/>
      <c r="BG320" s="214"/>
      <c r="BH320" s="214"/>
      <c r="BI320" s="214"/>
      <c r="BJ320" s="214"/>
      <c r="BK320" s="214"/>
      <c r="BL320" s="214"/>
      <c r="BM320" s="214"/>
      <c r="BN320" s="214"/>
      <c r="BO320" s="214"/>
      <c r="BP320" s="214"/>
      <c r="BQ320" s="214"/>
      <c r="BR320" s="214"/>
      <c r="BS320" s="214"/>
      <c r="BT320" s="214"/>
      <c r="BU320" s="214"/>
      <c r="BV320" s="214"/>
      <c r="BW320" s="214"/>
      <c r="BX320" s="223" t="s">
        <v>10</v>
      </c>
      <c r="BY320" s="222">
        <f>D320*F320+X320*AO320</f>
        <v>2.8800000000000003</v>
      </c>
      <c r="BZ320" s="204"/>
      <c r="CA320" s="204"/>
      <c r="CB320" s="204"/>
      <c r="CC320" s="200"/>
      <c r="CD320" s="202"/>
      <c r="CE320" s="201"/>
      <c r="CF320" s="200"/>
      <c r="CG320" s="202"/>
      <c r="CH320" s="201"/>
      <c r="CI320" s="201"/>
      <c r="CJ320" s="201"/>
      <c r="CK320" s="198"/>
      <c r="CL320" s="200"/>
      <c r="CM320" s="199"/>
      <c r="CN320" s="198"/>
    </row>
    <row r="321" spans="1:92">
      <c r="A321" s="208"/>
      <c r="B321" s="207"/>
      <c r="C321" s="221" t="s">
        <v>329</v>
      </c>
      <c r="D321" s="234">
        <v>2.75</v>
      </c>
      <c r="E321" s="234" t="s">
        <v>309</v>
      </c>
      <c r="F321" s="229">
        <v>3.55</v>
      </c>
      <c r="G321" s="229"/>
      <c r="H321" s="229"/>
      <c r="I321" s="229"/>
      <c r="J321" s="229"/>
      <c r="K321" s="229"/>
      <c r="L321" s="229"/>
      <c r="M321" s="229"/>
      <c r="N321" s="229"/>
      <c r="O321" s="229"/>
      <c r="P321" s="229"/>
      <c r="Q321" s="229"/>
      <c r="R321" s="229"/>
      <c r="S321" s="229"/>
      <c r="T321" s="229"/>
      <c r="U321" s="229"/>
      <c r="V321" s="229"/>
      <c r="W321" s="236"/>
      <c r="X321" s="232"/>
      <c r="Y321" s="235"/>
      <c r="Z321" s="227"/>
      <c r="AA321" s="224"/>
      <c r="AB321" s="228"/>
      <c r="AC321" s="227"/>
      <c r="AD321" s="93"/>
      <c r="AE321" s="226"/>
      <c r="AF321" s="227"/>
      <c r="AG321" s="93"/>
      <c r="AH321" s="226"/>
      <c r="AI321" s="227"/>
      <c r="AJ321" s="93"/>
      <c r="AK321" s="226"/>
      <c r="AL321" s="227"/>
      <c r="AM321" s="93"/>
      <c r="AN321" s="226"/>
      <c r="AO321" s="95"/>
      <c r="AP321" s="93"/>
      <c r="AQ321" s="226"/>
      <c r="AR321" s="225"/>
      <c r="AS321" s="224"/>
      <c r="AT321" s="204"/>
      <c r="AU321" s="204"/>
      <c r="AV321" s="214"/>
      <c r="AW321" s="214"/>
      <c r="AX321" s="214"/>
      <c r="AY321" s="214"/>
      <c r="AZ321" s="214"/>
      <c r="BA321" s="214"/>
      <c r="BB321" s="214"/>
      <c r="BC321" s="214"/>
      <c r="BD321" s="214"/>
      <c r="BE321" s="214"/>
      <c r="BF321" s="214"/>
      <c r="BG321" s="214"/>
      <c r="BH321" s="214"/>
      <c r="BI321" s="214"/>
      <c r="BJ321" s="214"/>
      <c r="BK321" s="214"/>
      <c r="BL321" s="214"/>
      <c r="BM321" s="214"/>
      <c r="BN321" s="214"/>
      <c r="BO321" s="214"/>
      <c r="BP321" s="214"/>
      <c r="BQ321" s="214"/>
      <c r="BR321" s="214"/>
      <c r="BS321" s="214"/>
      <c r="BT321" s="214"/>
      <c r="BU321" s="214"/>
      <c r="BV321" s="214"/>
      <c r="BW321" s="214"/>
      <c r="BX321" s="223" t="s">
        <v>10</v>
      </c>
      <c r="BY321" s="222">
        <f>D321*F321+X321*AO321</f>
        <v>9.7624999999999993</v>
      </c>
      <c r="BZ321" s="204"/>
      <c r="CA321" s="204"/>
      <c r="CB321" s="204"/>
      <c r="CC321" s="200"/>
      <c r="CD321" s="202"/>
      <c r="CE321" s="201"/>
      <c r="CF321" s="200"/>
      <c r="CG321" s="202"/>
      <c r="CH321" s="201"/>
      <c r="CI321" s="201"/>
      <c r="CJ321" s="201"/>
      <c r="CK321" s="198"/>
      <c r="CL321" s="200"/>
      <c r="CM321" s="199"/>
      <c r="CN321" s="198"/>
    </row>
    <row r="322" spans="1:92">
      <c r="A322" s="208"/>
      <c r="B322" s="207"/>
      <c r="C322" s="221" t="s">
        <v>328</v>
      </c>
      <c r="D322" s="234">
        <v>2.4</v>
      </c>
      <c r="E322" s="234" t="s">
        <v>309</v>
      </c>
      <c r="F322" s="229">
        <v>2.2000000000000002</v>
      </c>
      <c r="G322" s="229"/>
      <c r="H322" s="229"/>
      <c r="I322" s="229"/>
      <c r="J322" s="229"/>
      <c r="K322" s="229"/>
      <c r="L322" s="229"/>
      <c r="M322" s="229"/>
      <c r="N322" s="229"/>
      <c r="O322" s="229"/>
      <c r="P322" s="229"/>
      <c r="Q322" s="229"/>
      <c r="R322" s="229"/>
      <c r="S322" s="229"/>
      <c r="T322" s="229"/>
      <c r="U322" s="229"/>
      <c r="V322" s="229"/>
      <c r="W322" s="236"/>
      <c r="X322" s="232"/>
      <c r="Y322" s="235"/>
      <c r="Z322" s="227"/>
      <c r="AA322" s="224"/>
      <c r="AB322" s="228"/>
      <c r="AC322" s="227"/>
      <c r="AD322" s="93"/>
      <c r="AE322" s="226"/>
      <c r="AF322" s="227"/>
      <c r="AG322" s="93"/>
      <c r="AH322" s="226"/>
      <c r="AI322" s="227"/>
      <c r="AJ322" s="93"/>
      <c r="AK322" s="226"/>
      <c r="AL322" s="227"/>
      <c r="AM322" s="93"/>
      <c r="AN322" s="226"/>
      <c r="AO322" s="95"/>
      <c r="AP322" s="93"/>
      <c r="AQ322" s="226"/>
      <c r="AR322" s="225"/>
      <c r="AS322" s="224"/>
      <c r="AT322" s="204"/>
      <c r="AU322" s="204"/>
      <c r="AV322" s="214"/>
      <c r="AW322" s="214"/>
      <c r="AX322" s="214"/>
      <c r="AY322" s="214"/>
      <c r="AZ322" s="214"/>
      <c r="BA322" s="214"/>
      <c r="BB322" s="214"/>
      <c r="BC322" s="214"/>
      <c r="BD322" s="214"/>
      <c r="BE322" s="214"/>
      <c r="BF322" s="214"/>
      <c r="BG322" s="214"/>
      <c r="BH322" s="214"/>
      <c r="BI322" s="214"/>
      <c r="BJ322" s="214"/>
      <c r="BK322" s="214"/>
      <c r="BL322" s="214"/>
      <c r="BM322" s="214"/>
      <c r="BN322" s="214"/>
      <c r="BO322" s="214"/>
      <c r="BP322" s="214"/>
      <c r="BQ322" s="214"/>
      <c r="BR322" s="214"/>
      <c r="BS322" s="214"/>
      <c r="BT322" s="214"/>
      <c r="BU322" s="214"/>
      <c r="BV322" s="214"/>
      <c r="BW322" s="214"/>
      <c r="BX322" s="223" t="s">
        <v>10</v>
      </c>
      <c r="BY322" s="222">
        <f>D322*F322+X322*AO322</f>
        <v>5.28</v>
      </c>
      <c r="BZ322" s="204"/>
      <c r="CA322" s="204"/>
      <c r="CB322" s="204"/>
      <c r="CC322" s="200"/>
      <c r="CD322" s="202"/>
      <c r="CE322" s="201"/>
      <c r="CF322" s="200"/>
      <c r="CG322" s="202"/>
      <c r="CH322" s="201"/>
      <c r="CI322" s="201"/>
      <c r="CJ322" s="201"/>
      <c r="CK322" s="198"/>
      <c r="CL322" s="200"/>
      <c r="CM322" s="199"/>
      <c r="CN322" s="198"/>
    </row>
    <row r="323" spans="1:92">
      <c r="A323" s="208"/>
      <c r="B323" s="207"/>
      <c r="C323" s="221" t="s">
        <v>327</v>
      </c>
      <c r="D323" s="234">
        <v>3.4</v>
      </c>
      <c r="E323" s="234" t="s">
        <v>309</v>
      </c>
      <c r="F323" s="229">
        <v>3.2</v>
      </c>
      <c r="G323" s="229"/>
      <c r="H323" s="229"/>
      <c r="I323" s="229"/>
      <c r="J323" s="229"/>
      <c r="K323" s="229"/>
      <c r="L323" s="229"/>
      <c r="M323" s="229"/>
      <c r="N323" s="229"/>
      <c r="O323" s="229"/>
      <c r="P323" s="229"/>
      <c r="Q323" s="229"/>
      <c r="R323" s="229"/>
      <c r="S323" s="229"/>
      <c r="T323" s="229"/>
      <c r="U323" s="229"/>
      <c r="V323" s="229"/>
      <c r="W323" s="236"/>
      <c r="X323" s="232"/>
      <c r="Y323" s="235"/>
      <c r="Z323" s="227"/>
      <c r="AA323" s="224"/>
      <c r="AB323" s="228"/>
      <c r="AC323" s="227"/>
      <c r="AD323" s="93"/>
      <c r="AE323" s="226"/>
      <c r="AF323" s="227"/>
      <c r="AG323" s="93"/>
      <c r="AH323" s="226"/>
      <c r="AI323" s="227"/>
      <c r="AJ323" s="93"/>
      <c r="AK323" s="226"/>
      <c r="AL323" s="227"/>
      <c r="AM323" s="93"/>
      <c r="AN323" s="226"/>
      <c r="AO323" s="95"/>
      <c r="AP323" s="93"/>
      <c r="AQ323" s="226"/>
      <c r="AR323" s="225"/>
      <c r="AS323" s="224"/>
      <c r="AT323" s="204"/>
      <c r="AU323" s="204"/>
      <c r="AV323" s="214"/>
      <c r="AW323" s="214"/>
      <c r="AX323" s="214"/>
      <c r="AY323" s="214"/>
      <c r="AZ323" s="214"/>
      <c r="BA323" s="214"/>
      <c r="BB323" s="214"/>
      <c r="BC323" s="214"/>
      <c r="BD323" s="214"/>
      <c r="BE323" s="214"/>
      <c r="BF323" s="214"/>
      <c r="BG323" s="214"/>
      <c r="BH323" s="214"/>
      <c r="BI323" s="214"/>
      <c r="BJ323" s="214"/>
      <c r="BK323" s="214"/>
      <c r="BL323" s="214"/>
      <c r="BM323" s="214"/>
      <c r="BN323" s="214"/>
      <c r="BO323" s="214"/>
      <c r="BP323" s="214"/>
      <c r="BQ323" s="214"/>
      <c r="BR323" s="214"/>
      <c r="BS323" s="214"/>
      <c r="BT323" s="214"/>
      <c r="BU323" s="214"/>
      <c r="BV323" s="214"/>
      <c r="BW323" s="214"/>
      <c r="BX323" s="223" t="s">
        <v>10</v>
      </c>
      <c r="BY323" s="222">
        <f>D323*F323+X323*AO323</f>
        <v>10.88</v>
      </c>
      <c r="BZ323" s="204"/>
      <c r="CA323" s="204"/>
      <c r="CB323" s="204"/>
      <c r="CC323" s="200"/>
      <c r="CD323" s="202"/>
      <c r="CE323" s="201"/>
      <c r="CF323" s="200"/>
      <c r="CG323" s="202"/>
      <c r="CH323" s="201"/>
      <c r="CI323" s="201"/>
      <c r="CJ323" s="201"/>
      <c r="CK323" s="198"/>
      <c r="CL323" s="200"/>
      <c r="CM323" s="199"/>
      <c r="CN323" s="198"/>
    </row>
    <row r="324" spans="1:92">
      <c r="A324" s="208"/>
      <c r="B324" s="207"/>
      <c r="C324" s="221" t="s">
        <v>326</v>
      </c>
      <c r="D324" s="234">
        <v>6.41</v>
      </c>
      <c r="E324" s="234" t="s">
        <v>309</v>
      </c>
      <c r="F324" s="229">
        <v>6.39</v>
      </c>
      <c r="G324" s="229"/>
      <c r="H324" s="229"/>
      <c r="I324" s="229"/>
      <c r="J324" s="229"/>
      <c r="K324" s="229"/>
      <c r="L324" s="229"/>
      <c r="M324" s="229"/>
      <c r="N324" s="229"/>
      <c r="O324" s="229"/>
      <c r="P324" s="229"/>
      <c r="Q324" s="229"/>
      <c r="R324" s="229"/>
      <c r="S324" s="229"/>
      <c r="T324" s="229"/>
      <c r="U324" s="229"/>
      <c r="V324" s="229"/>
      <c r="W324" s="246" t="s">
        <v>310</v>
      </c>
      <c r="X324" s="245">
        <v>1.35</v>
      </c>
      <c r="Y324" s="229" t="s">
        <v>309</v>
      </c>
      <c r="Z324" s="244">
        <v>4.95</v>
      </c>
      <c r="AA324" s="242"/>
      <c r="AB324" s="223"/>
      <c r="AC324" s="241"/>
      <c r="AD324" s="240"/>
      <c r="AE324" s="239"/>
      <c r="AF324" s="241"/>
      <c r="AG324" s="240"/>
      <c r="AH324" s="239"/>
      <c r="AI324" s="241"/>
      <c r="AJ324" s="240"/>
      <c r="AK324" s="239"/>
      <c r="AL324" s="241"/>
      <c r="AM324" s="240"/>
      <c r="AN324" s="239"/>
      <c r="AP324" s="237"/>
      <c r="AQ324" s="226"/>
      <c r="AR324" s="225"/>
      <c r="AS324" s="224"/>
      <c r="AT324" s="204"/>
      <c r="AU324" s="204"/>
      <c r="AV324" s="214"/>
      <c r="AW324" s="214"/>
      <c r="AX324" s="214"/>
      <c r="AY324" s="214"/>
      <c r="AZ324" s="214"/>
      <c r="BA324" s="214"/>
      <c r="BB324" s="214"/>
      <c r="BC324" s="214"/>
      <c r="BD324" s="214"/>
      <c r="BE324" s="214"/>
      <c r="BF324" s="214"/>
      <c r="BG324" s="214"/>
      <c r="BH324" s="214"/>
      <c r="BI324" s="214"/>
      <c r="BJ324" s="214"/>
      <c r="BK324" s="214"/>
      <c r="BL324" s="214"/>
      <c r="BM324" s="214"/>
      <c r="BN324" s="214"/>
      <c r="BO324" s="214"/>
      <c r="BP324" s="214"/>
      <c r="BQ324" s="214"/>
      <c r="BR324" s="214"/>
      <c r="BS324" s="214"/>
      <c r="BT324" s="214"/>
      <c r="BU324" s="214"/>
      <c r="BV324" s="214"/>
      <c r="BW324" s="214"/>
      <c r="BX324" s="223" t="s">
        <v>10</v>
      </c>
      <c r="BY324" s="222">
        <f>D324*F324+X324*Z324</f>
        <v>47.642399999999995</v>
      </c>
      <c r="BZ324" s="204"/>
      <c r="CA324" s="204"/>
      <c r="CB324" s="204"/>
      <c r="CC324" s="200"/>
      <c r="CD324" s="202"/>
      <c r="CE324" s="201"/>
      <c r="CF324" s="200"/>
      <c r="CG324" s="202"/>
      <c r="CH324" s="201"/>
      <c r="CI324" s="201"/>
      <c r="CJ324" s="201"/>
      <c r="CK324" s="198"/>
      <c r="CL324" s="200"/>
      <c r="CM324" s="199"/>
      <c r="CN324" s="198"/>
    </row>
    <row r="325" spans="1:92">
      <c r="A325" s="208"/>
      <c r="B325" s="207"/>
      <c r="C325" s="221" t="s">
        <v>325</v>
      </c>
      <c r="D325" s="234">
        <v>3.06</v>
      </c>
      <c r="E325" s="234" t="s">
        <v>309</v>
      </c>
      <c r="F325" s="229">
        <v>1.1000000000000001</v>
      </c>
      <c r="G325" s="229"/>
      <c r="H325" s="229"/>
      <c r="I325" s="229"/>
      <c r="J325" s="229"/>
      <c r="K325" s="229"/>
      <c r="L325" s="229"/>
      <c r="M325" s="229"/>
      <c r="N325" s="229"/>
      <c r="O325" s="229"/>
      <c r="P325" s="229"/>
      <c r="Q325" s="229"/>
      <c r="R325" s="229"/>
      <c r="S325" s="229"/>
      <c r="T325" s="229"/>
      <c r="U325" s="229"/>
      <c r="V325" s="229"/>
      <c r="W325" s="236"/>
      <c r="X325" s="243"/>
      <c r="Y325" s="231"/>
      <c r="AA325" s="242"/>
      <c r="AB325" s="223"/>
      <c r="AC325" s="241"/>
      <c r="AD325" s="240"/>
      <c r="AE325" s="239"/>
      <c r="AF325" s="241"/>
      <c r="AG325" s="240"/>
      <c r="AH325" s="239"/>
      <c r="AI325" s="241"/>
      <c r="AJ325" s="240"/>
      <c r="AK325" s="239"/>
      <c r="AL325" s="241"/>
      <c r="AM325" s="240"/>
      <c r="AN325" s="239"/>
      <c r="AO325" s="238"/>
      <c r="AP325" s="237"/>
      <c r="AQ325" s="226"/>
      <c r="AR325" s="225"/>
      <c r="AS325" s="224"/>
      <c r="AT325" s="204"/>
      <c r="AU325" s="204"/>
      <c r="AV325" s="214"/>
      <c r="AW325" s="214"/>
      <c r="AX325" s="214"/>
      <c r="AY325" s="214"/>
      <c r="AZ325" s="214"/>
      <c r="BA325" s="214"/>
      <c r="BB325" s="214"/>
      <c r="BC325" s="214"/>
      <c r="BD325" s="214"/>
      <c r="BE325" s="214"/>
      <c r="BF325" s="214"/>
      <c r="BG325" s="214"/>
      <c r="BH325" s="214"/>
      <c r="BI325" s="214"/>
      <c r="BJ325" s="214"/>
      <c r="BK325" s="214"/>
      <c r="BL325" s="214"/>
      <c r="BM325" s="214"/>
      <c r="BN325" s="214"/>
      <c r="BO325" s="214"/>
      <c r="BP325" s="214"/>
      <c r="BQ325" s="214"/>
      <c r="BR325" s="214"/>
      <c r="BS325" s="214"/>
      <c r="BT325" s="214"/>
      <c r="BU325" s="214"/>
      <c r="BV325" s="214"/>
      <c r="BW325" s="214"/>
      <c r="BX325" s="223" t="s">
        <v>10</v>
      </c>
      <c r="BY325" s="222">
        <f>D325*F325+X325*AO325</f>
        <v>3.3660000000000005</v>
      </c>
      <c r="BZ325" s="204"/>
      <c r="CA325" s="204"/>
      <c r="CB325" s="204"/>
      <c r="CC325" s="200"/>
      <c r="CD325" s="202"/>
      <c r="CE325" s="201"/>
      <c r="CF325" s="200"/>
      <c r="CG325" s="202"/>
      <c r="CH325" s="201"/>
      <c r="CI325" s="201"/>
      <c r="CJ325" s="201"/>
      <c r="CK325" s="198"/>
      <c r="CL325" s="200"/>
      <c r="CM325" s="199"/>
      <c r="CN325" s="198"/>
    </row>
    <row r="326" spans="1:92">
      <c r="A326" s="208"/>
      <c r="B326" s="207"/>
      <c r="C326" s="221" t="s">
        <v>324</v>
      </c>
      <c r="D326" s="234">
        <v>2.8</v>
      </c>
      <c r="E326" s="234" t="s">
        <v>309</v>
      </c>
      <c r="F326" s="229">
        <v>3.05</v>
      </c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36"/>
      <c r="X326" s="232"/>
      <c r="Y326" s="235"/>
      <c r="Z326" s="227"/>
      <c r="AA326" s="224"/>
      <c r="AB326" s="228"/>
      <c r="AC326" s="227"/>
      <c r="AD326" s="93"/>
      <c r="AE326" s="226"/>
      <c r="AF326" s="227"/>
      <c r="AG326" s="93"/>
      <c r="AH326" s="226"/>
      <c r="AI326" s="227"/>
      <c r="AJ326" s="93"/>
      <c r="AK326" s="226"/>
      <c r="AL326" s="227"/>
      <c r="AM326" s="93"/>
      <c r="AN326" s="226"/>
      <c r="AO326" s="95"/>
      <c r="AP326" s="93"/>
      <c r="AQ326" s="226"/>
      <c r="AR326" s="225"/>
      <c r="AS326" s="224"/>
      <c r="AT326" s="204"/>
      <c r="AU326" s="204"/>
      <c r="AV326" s="214"/>
      <c r="AW326" s="214"/>
      <c r="AX326" s="214"/>
      <c r="AY326" s="214"/>
      <c r="AZ326" s="214"/>
      <c r="BA326" s="214"/>
      <c r="BB326" s="214"/>
      <c r="BC326" s="214"/>
      <c r="BD326" s="214"/>
      <c r="BE326" s="214"/>
      <c r="BF326" s="214"/>
      <c r="BG326" s="214"/>
      <c r="BH326" s="214"/>
      <c r="BI326" s="214"/>
      <c r="BJ326" s="214"/>
      <c r="BK326" s="214"/>
      <c r="BL326" s="214"/>
      <c r="BM326" s="214"/>
      <c r="BN326" s="214"/>
      <c r="BO326" s="214"/>
      <c r="BP326" s="214"/>
      <c r="BQ326" s="214"/>
      <c r="BR326" s="214"/>
      <c r="BS326" s="214"/>
      <c r="BT326" s="214"/>
      <c r="BU326" s="214"/>
      <c r="BV326" s="214"/>
      <c r="BW326" s="214"/>
      <c r="BX326" s="223" t="s">
        <v>10</v>
      </c>
      <c r="BY326" s="222">
        <f>D326*F326+X326*AO326</f>
        <v>8.5399999999999991</v>
      </c>
      <c r="BZ326" s="204"/>
      <c r="CA326" s="204"/>
      <c r="CB326" s="204"/>
      <c r="CC326" s="200"/>
      <c r="CD326" s="202"/>
      <c r="CE326" s="201"/>
      <c r="CF326" s="200"/>
      <c r="CG326" s="202"/>
      <c r="CH326" s="201"/>
      <c r="CI326" s="201"/>
      <c r="CJ326" s="201"/>
      <c r="CK326" s="198"/>
      <c r="CL326" s="200"/>
      <c r="CM326" s="199"/>
      <c r="CN326" s="198"/>
    </row>
    <row r="327" spans="1:92">
      <c r="A327" s="208"/>
      <c r="B327" s="207"/>
      <c r="C327" s="221" t="s">
        <v>323</v>
      </c>
      <c r="D327" s="234">
        <v>2</v>
      </c>
      <c r="E327" s="234" t="s">
        <v>309</v>
      </c>
      <c r="F327" s="229">
        <v>14.75</v>
      </c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36"/>
      <c r="X327" s="232"/>
      <c r="Y327" s="235"/>
      <c r="Z327" s="227"/>
      <c r="AA327" s="224"/>
      <c r="AB327" s="228"/>
      <c r="AC327" s="227"/>
      <c r="AD327" s="93"/>
      <c r="AE327" s="226"/>
      <c r="AF327" s="227"/>
      <c r="AG327" s="93"/>
      <c r="AH327" s="226"/>
      <c r="AI327" s="227"/>
      <c r="AJ327" s="93"/>
      <c r="AK327" s="226"/>
      <c r="AL327" s="227"/>
      <c r="AM327" s="93"/>
      <c r="AN327" s="226"/>
      <c r="AO327" s="95"/>
      <c r="AP327" s="93"/>
      <c r="AQ327" s="226"/>
      <c r="AR327" s="225"/>
      <c r="AS327" s="224"/>
      <c r="AT327" s="204"/>
      <c r="AU327" s="204"/>
      <c r="AV327" s="214"/>
      <c r="AW327" s="214"/>
      <c r="AX327" s="214"/>
      <c r="AY327" s="214"/>
      <c r="AZ327" s="214"/>
      <c r="BA327" s="214"/>
      <c r="BB327" s="214"/>
      <c r="BC327" s="214"/>
      <c r="BD327" s="214"/>
      <c r="BE327" s="214"/>
      <c r="BF327" s="214"/>
      <c r="BG327" s="214"/>
      <c r="BH327" s="214"/>
      <c r="BI327" s="214"/>
      <c r="BJ327" s="214"/>
      <c r="BK327" s="214"/>
      <c r="BL327" s="214"/>
      <c r="BM327" s="214"/>
      <c r="BN327" s="214"/>
      <c r="BO327" s="214"/>
      <c r="BP327" s="214"/>
      <c r="BQ327" s="214"/>
      <c r="BR327" s="214"/>
      <c r="BS327" s="214"/>
      <c r="BT327" s="214"/>
      <c r="BU327" s="214"/>
      <c r="BV327" s="214"/>
      <c r="BW327" s="214"/>
      <c r="BX327" s="223" t="s">
        <v>10</v>
      </c>
      <c r="BY327" s="222">
        <f>D327*F327+X327*AO327</f>
        <v>29.5</v>
      </c>
      <c r="BZ327" s="204"/>
      <c r="CA327" s="204"/>
      <c r="CB327" s="204"/>
      <c r="CC327" s="200"/>
      <c r="CD327" s="202"/>
      <c r="CE327" s="201"/>
      <c r="CF327" s="200"/>
      <c r="CG327" s="202"/>
      <c r="CH327" s="201"/>
      <c r="CI327" s="201"/>
      <c r="CJ327" s="201"/>
      <c r="CK327" s="198"/>
      <c r="CL327" s="200"/>
      <c r="CM327" s="199"/>
      <c r="CN327" s="198"/>
    </row>
    <row r="328" spans="1:92">
      <c r="A328" s="208"/>
      <c r="B328" s="207"/>
      <c r="C328" s="221" t="s">
        <v>322</v>
      </c>
      <c r="D328" s="234">
        <v>3.65</v>
      </c>
      <c r="E328" s="234" t="s">
        <v>309</v>
      </c>
      <c r="F328" s="229">
        <v>3.5</v>
      </c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36"/>
      <c r="X328" s="232"/>
      <c r="Y328" s="235"/>
      <c r="Z328" s="227"/>
      <c r="AA328" s="224"/>
      <c r="AB328" s="228"/>
      <c r="AC328" s="227"/>
      <c r="AD328" s="93"/>
      <c r="AE328" s="226"/>
      <c r="AF328" s="227"/>
      <c r="AG328" s="93"/>
      <c r="AH328" s="226"/>
      <c r="AI328" s="227"/>
      <c r="AJ328" s="93"/>
      <c r="AK328" s="226"/>
      <c r="AL328" s="227"/>
      <c r="AM328" s="93"/>
      <c r="AN328" s="226"/>
      <c r="AO328" s="95"/>
      <c r="AP328" s="93"/>
      <c r="AQ328" s="226"/>
      <c r="AR328" s="225"/>
      <c r="AS328" s="224"/>
      <c r="AT328" s="204"/>
      <c r="AU328" s="204"/>
      <c r="AV328" s="214"/>
      <c r="AW328" s="214"/>
      <c r="AX328" s="214"/>
      <c r="AY328" s="214"/>
      <c r="AZ328" s="214"/>
      <c r="BA328" s="214"/>
      <c r="BB328" s="214"/>
      <c r="BC328" s="214"/>
      <c r="BD328" s="214"/>
      <c r="BE328" s="214"/>
      <c r="BF328" s="214"/>
      <c r="BG328" s="214"/>
      <c r="BH328" s="214"/>
      <c r="BI328" s="214"/>
      <c r="BJ328" s="214"/>
      <c r="BK328" s="214"/>
      <c r="BL328" s="214"/>
      <c r="BM328" s="214"/>
      <c r="BN328" s="214"/>
      <c r="BO328" s="214"/>
      <c r="BP328" s="214"/>
      <c r="BQ328" s="214"/>
      <c r="BR328" s="214"/>
      <c r="BS328" s="214"/>
      <c r="BT328" s="214"/>
      <c r="BU328" s="214"/>
      <c r="BV328" s="214"/>
      <c r="BW328" s="214"/>
      <c r="BX328" s="223" t="s">
        <v>10</v>
      </c>
      <c r="BY328" s="222">
        <f>D328*F328+X328*AO328</f>
        <v>12.775</v>
      </c>
      <c r="BZ328" s="204"/>
      <c r="CA328" s="204"/>
      <c r="CB328" s="204"/>
      <c r="CC328" s="200"/>
      <c r="CD328" s="202"/>
      <c r="CE328" s="201"/>
      <c r="CF328" s="200"/>
      <c r="CG328" s="202"/>
      <c r="CH328" s="201"/>
      <c r="CI328" s="201"/>
      <c r="CJ328" s="201"/>
      <c r="CK328" s="198"/>
      <c r="CL328" s="200"/>
      <c r="CM328" s="199"/>
      <c r="CN328" s="198"/>
    </row>
    <row r="329" spans="1:92">
      <c r="A329" s="208"/>
      <c r="B329" s="207"/>
      <c r="C329" s="221" t="s">
        <v>321</v>
      </c>
      <c r="D329" s="234">
        <v>3.5</v>
      </c>
      <c r="E329" s="234" t="s">
        <v>309</v>
      </c>
      <c r="F329" s="229">
        <v>1.3</v>
      </c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36"/>
      <c r="X329" s="232"/>
      <c r="Y329" s="235"/>
      <c r="Z329" s="227"/>
      <c r="AA329" s="224"/>
      <c r="AB329" s="228"/>
      <c r="AC329" s="227"/>
      <c r="AD329" s="93"/>
      <c r="AE329" s="226"/>
      <c r="AF329" s="227"/>
      <c r="AG329" s="93"/>
      <c r="AH329" s="226"/>
      <c r="AI329" s="227"/>
      <c r="AJ329" s="93"/>
      <c r="AK329" s="226"/>
      <c r="AL329" s="227"/>
      <c r="AM329" s="93"/>
      <c r="AN329" s="226"/>
      <c r="AO329" s="95"/>
      <c r="AP329" s="93"/>
      <c r="AQ329" s="226"/>
      <c r="AR329" s="225"/>
      <c r="AS329" s="224"/>
      <c r="AT329" s="204"/>
      <c r="AU329" s="204"/>
      <c r="AV329" s="214"/>
      <c r="AW329" s="214"/>
      <c r="AX329" s="214"/>
      <c r="AY329" s="214"/>
      <c r="AZ329" s="214"/>
      <c r="BA329" s="214"/>
      <c r="BB329" s="214"/>
      <c r="BC329" s="214"/>
      <c r="BD329" s="214"/>
      <c r="BE329" s="214"/>
      <c r="BF329" s="214"/>
      <c r="BG329" s="214"/>
      <c r="BH329" s="214"/>
      <c r="BI329" s="214"/>
      <c r="BJ329" s="214"/>
      <c r="BK329" s="214"/>
      <c r="BL329" s="214"/>
      <c r="BM329" s="214"/>
      <c r="BN329" s="214"/>
      <c r="BO329" s="214"/>
      <c r="BP329" s="214"/>
      <c r="BQ329" s="214"/>
      <c r="BR329" s="214"/>
      <c r="BS329" s="214"/>
      <c r="BT329" s="214"/>
      <c r="BU329" s="214"/>
      <c r="BV329" s="214"/>
      <c r="BW329" s="214"/>
      <c r="BX329" s="223" t="s">
        <v>10</v>
      </c>
      <c r="BY329" s="222">
        <f>D329*F329+X329*AO329</f>
        <v>4.55</v>
      </c>
      <c r="BZ329" s="204"/>
      <c r="CA329" s="204"/>
      <c r="CB329" s="204"/>
      <c r="CC329" s="200"/>
      <c r="CD329" s="202"/>
      <c r="CE329" s="201"/>
      <c r="CF329" s="200"/>
      <c r="CG329" s="202"/>
      <c r="CH329" s="201"/>
      <c r="CI329" s="201"/>
      <c r="CJ329" s="201"/>
      <c r="CK329" s="198"/>
      <c r="CL329" s="200"/>
      <c r="CM329" s="199"/>
      <c r="CN329" s="198"/>
    </row>
    <row r="330" spans="1:92">
      <c r="A330" s="208"/>
      <c r="B330" s="207"/>
      <c r="C330" s="221" t="s">
        <v>320</v>
      </c>
      <c r="D330" s="234">
        <v>3.65</v>
      </c>
      <c r="E330" s="234" t="s">
        <v>309</v>
      </c>
      <c r="F330" s="229">
        <v>3.5</v>
      </c>
      <c r="G330" s="229"/>
      <c r="H330" s="229"/>
      <c r="I330" s="229"/>
      <c r="J330" s="229"/>
      <c r="K330" s="229"/>
      <c r="L330" s="229"/>
      <c r="M330" s="229"/>
      <c r="N330" s="229"/>
      <c r="O330" s="229"/>
      <c r="P330" s="229"/>
      <c r="Q330" s="229"/>
      <c r="R330" s="229"/>
      <c r="S330" s="229"/>
      <c r="T330" s="229"/>
      <c r="U330" s="229"/>
      <c r="V330" s="229"/>
      <c r="W330" s="236"/>
      <c r="X330" s="232"/>
      <c r="Y330" s="235"/>
      <c r="Z330" s="227"/>
      <c r="AA330" s="224"/>
      <c r="AB330" s="228"/>
      <c r="AC330" s="227"/>
      <c r="AD330" s="93"/>
      <c r="AE330" s="226"/>
      <c r="AF330" s="227"/>
      <c r="AG330" s="93"/>
      <c r="AH330" s="226"/>
      <c r="AI330" s="227"/>
      <c r="AJ330" s="93"/>
      <c r="AK330" s="226"/>
      <c r="AL330" s="227"/>
      <c r="AM330" s="93"/>
      <c r="AN330" s="226"/>
      <c r="AO330" s="95"/>
      <c r="AP330" s="93"/>
      <c r="AQ330" s="226"/>
      <c r="AR330" s="225"/>
      <c r="AS330" s="224"/>
      <c r="AT330" s="204"/>
      <c r="AU330" s="204"/>
      <c r="AV330" s="214"/>
      <c r="AW330" s="214"/>
      <c r="AX330" s="214"/>
      <c r="AY330" s="214"/>
      <c r="AZ330" s="214"/>
      <c r="BA330" s="214"/>
      <c r="BB330" s="214"/>
      <c r="BC330" s="214"/>
      <c r="BD330" s="214"/>
      <c r="BE330" s="214"/>
      <c r="BF330" s="214"/>
      <c r="BG330" s="214"/>
      <c r="BH330" s="214"/>
      <c r="BI330" s="214"/>
      <c r="BJ330" s="214"/>
      <c r="BK330" s="214"/>
      <c r="BL330" s="214"/>
      <c r="BM330" s="214"/>
      <c r="BN330" s="214"/>
      <c r="BO330" s="214"/>
      <c r="BP330" s="214"/>
      <c r="BQ330" s="214"/>
      <c r="BR330" s="214"/>
      <c r="BS330" s="214"/>
      <c r="BT330" s="214"/>
      <c r="BU330" s="214"/>
      <c r="BV330" s="214"/>
      <c r="BW330" s="214"/>
      <c r="BX330" s="223" t="s">
        <v>10</v>
      </c>
      <c r="BY330" s="222">
        <f>D330*F330+X330*AO330</f>
        <v>12.775</v>
      </c>
      <c r="BZ330" s="204"/>
      <c r="CA330" s="204"/>
      <c r="CB330" s="204"/>
      <c r="CC330" s="200"/>
      <c r="CD330" s="202"/>
      <c r="CE330" s="201"/>
      <c r="CF330" s="200"/>
      <c r="CG330" s="202"/>
      <c r="CH330" s="201"/>
      <c r="CI330" s="201"/>
      <c r="CJ330" s="201"/>
      <c r="CK330" s="198"/>
      <c r="CL330" s="200"/>
      <c r="CM330" s="199"/>
      <c r="CN330" s="198"/>
    </row>
    <row r="331" spans="1:92">
      <c r="A331" s="208"/>
      <c r="B331" s="207"/>
      <c r="C331" s="221" t="s">
        <v>314</v>
      </c>
      <c r="D331" s="234">
        <v>2.4</v>
      </c>
      <c r="E331" s="234" t="s">
        <v>309</v>
      </c>
      <c r="F331" s="229">
        <v>1.3</v>
      </c>
      <c r="G331" s="229"/>
      <c r="H331" s="229"/>
      <c r="I331" s="229"/>
      <c r="J331" s="229"/>
      <c r="K331" s="229"/>
      <c r="L331" s="229"/>
      <c r="M331" s="229"/>
      <c r="N331" s="229"/>
      <c r="O331" s="229"/>
      <c r="P331" s="229"/>
      <c r="Q331" s="229"/>
      <c r="R331" s="229"/>
      <c r="S331" s="229"/>
      <c r="T331" s="229"/>
      <c r="U331" s="229"/>
      <c r="V331" s="229"/>
      <c r="W331" s="236"/>
      <c r="X331" s="232"/>
      <c r="Y331" s="235"/>
      <c r="Z331" s="227"/>
      <c r="AA331" s="224"/>
      <c r="AB331" s="228"/>
      <c r="AC331" s="227"/>
      <c r="AD331" s="93"/>
      <c r="AE331" s="226"/>
      <c r="AF331" s="227"/>
      <c r="AG331" s="93"/>
      <c r="AH331" s="226"/>
      <c r="AI331" s="227"/>
      <c r="AJ331" s="93"/>
      <c r="AK331" s="226"/>
      <c r="AL331" s="227"/>
      <c r="AM331" s="93"/>
      <c r="AN331" s="226"/>
      <c r="AO331" s="95"/>
      <c r="AP331" s="93"/>
      <c r="AQ331" s="226"/>
      <c r="AR331" s="225"/>
      <c r="AS331" s="224"/>
      <c r="AT331" s="204"/>
      <c r="AU331" s="204"/>
      <c r="AV331" s="214"/>
      <c r="AW331" s="214"/>
      <c r="AX331" s="214"/>
      <c r="AY331" s="214"/>
      <c r="AZ331" s="214"/>
      <c r="BA331" s="214"/>
      <c r="BB331" s="214"/>
      <c r="BC331" s="214"/>
      <c r="BD331" s="214"/>
      <c r="BE331" s="214"/>
      <c r="BF331" s="214"/>
      <c r="BG331" s="214"/>
      <c r="BH331" s="214"/>
      <c r="BI331" s="214"/>
      <c r="BJ331" s="214"/>
      <c r="BK331" s="214"/>
      <c r="BL331" s="214"/>
      <c r="BM331" s="214"/>
      <c r="BN331" s="214"/>
      <c r="BO331" s="214"/>
      <c r="BP331" s="214"/>
      <c r="BQ331" s="214"/>
      <c r="BR331" s="214"/>
      <c r="BS331" s="214"/>
      <c r="BT331" s="214"/>
      <c r="BU331" s="214"/>
      <c r="BV331" s="214"/>
      <c r="BW331" s="214"/>
      <c r="BX331" s="223" t="s">
        <v>10</v>
      </c>
      <c r="BY331" s="222">
        <f>D331*F331+X331*AO331</f>
        <v>3.12</v>
      </c>
      <c r="BZ331" s="204"/>
      <c r="CA331" s="204"/>
      <c r="CB331" s="204"/>
      <c r="CC331" s="200"/>
      <c r="CD331" s="202"/>
      <c r="CE331" s="201"/>
      <c r="CF331" s="200"/>
      <c r="CG331" s="202"/>
      <c r="CH331" s="201"/>
      <c r="CI331" s="201"/>
      <c r="CJ331" s="201"/>
      <c r="CK331" s="198"/>
      <c r="CL331" s="200"/>
      <c r="CM331" s="199"/>
      <c r="CN331" s="198"/>
    </row>
    <row r="332" spans="1:92">
      <c r="A332" s="208"/>
      <c r="B332" s="207"/>
      <c r="C332" s="221" t="s">
        <v>319</v>
      </c>
      <c r="D332" s="234">
        <v>3.65</v>
      </c>
      <c r="E332" s="234" t="s">
        <v>309</v>
      </c>
      <c r="F332" s="229">
        <v>3.5</v>
      </c>
      <c r="G332" s="229"/>
      <c r="H332" s="229"/>
      <c r="I332" s="229"/>
      <c r="J332" s="229"/>
      <c r="K332" s="229"/>
      <c r="L332" s="229"/>
      <c r="M332" s="229"/>
      <c r="N332" s="229"/>
      <c r="O332" s="229"/>
      <c r="P332" s="229"/>
      <c r="Q332" s="229"/>
      <c r="R332" s="229"/>
      <c r="S332" s="229"/>
      <c r="T332" s="229"/>
      <c r="U332" s="229"/>
      <c r="V332" s="229"/>
      <c r="W332" s="236"/>
      <c r="X332" s="232"/>
      <c r="Y332" s="235"/>
      <c r="Z332" s="227"/>
      <c r="AA332" s="224"/>
      <c r="AB332" s="228"/>
      <c r="AC332" s="227"/>
      <c r="AD332" s="93"/>
      <c r="AE332" s="226"/>
      <c r="AF332" s="227"/>
      <c r="AG332" s="93"/>
      <c r="AH332" s="226"/>
      <c r="AI332" s="227"/>
      <c r="AJ332" s="93"/>
      <c r="AK332" s="226"/>
      <c r="AL332" s="227"/>
      <c r="AM332" s="93"/>
      <c r="AN332" s="226"/>
      <c r="AO332" s="95"/>
      <c r="AP332" s="93"/>
      <c r="AQ332" s="226"/>
      <c r="AR332" s="225"/>
      <c r="AS332" s="224"/>
      <c r="AT332" s="204"/>
      <c r="AU332" s="204"/>
      <c r="AV332" s="214"/>
      <c r="AW332" s="214"/>
      <c r="AX332" s="214"/>
      <c r="AY332" s="214"/>
      <c r="AZ332" s="214"/>
      <c r="BA332" s="214"/>
      <c r="BB332" s="214"/>
      <c r="BC332" s="214"/>
      <c r="BD332" s="214"/>
      <c r="BE332" s="214"/>
      <c r="BF332" s="214"/>
      <c r="BG332" s="214"/>
      <c r="BH332" s="214"/>
      <c r="BI332" s="214"/>
      <c r="BJ332" s="214"/>
      <c r="BK332" s="214"/>
      <c r="BL332" s="214"/>
      <c r="BM332" s="214"/>
      <c r="BN332" s="214"/>
      <c r="BO332" s="214"/>
      <c r="BP332" s="214"/>
      <c r="BQ332" s="214"/>
      <c r="BR332" s="214"/>
      <c r="BS332" s="214"/>
      <c r="BT332" s="214"/>
      <c r="BU332" s="214"/>
      <c r="BV332" s="214"/>
      <c r="BW332" s="214"/>
      <c r="BX332" s="223" t="s">
        <v>10</v>
      </c>
      <c r="BY332" s="222">
        <f>D332*F332+X332*AO332</f>
        <v>12.775</v>
      </c>
      <c r="BZ332" s="204"/>
      <c r="CA332" s="204"/>
      <c r="CB332" s="204"/>
      <c r="CC332" s="200"/>
      <c r="CD332" s="202"/>
      <c r="CE332" s="201"/>
      <c r="CF332" s="200"/>
      <c r="CG332" s="202"/>
      <c r="CH332" s="201"/>
      <c r="CI332" s="201"/>
      <c r="CJ332" s="201"/>
      <c r="CK332" s="198"/>
      <c r="CL332" s="200"/>
      <c r="CM332" s="199"/>
      <c r="CN332" s="198"/>
    </row>
    <row r="333" spans="1:92">
      <c r="A333" s="208"/>
      <c r="B333" s="207"/>
      <c r="C333" s="221" t="s">
        <v>314</v>
      </c>
      <c r="D333" s="234">
        <v>2.4</v>
      </c>
      <c r="E333" s="234" t="s">
        <v>309</v>
      </c>
      <c r="F333" s="229">
        <v>1.3</v>
      </c>
      <c r="G333" s="229"/>
      <c r="H333" s="229"/>
      <c r="I333" s="229"/>
      <c r="J333" s="229"/>
      <c r="K333" s="229"/>
      <c r="L333" s="229"/>
      <c r="M333" s="229"/>
      <c r="N333" s="229"/>
      <c r="O333" s="229"/>
      <c r="P333" s="229"/>
      <c r="Q333" s="229"/>
      <c r="R333" s="229"/>
      <c r="S333" s="229"/>
      <c r="T333" s="229"/>
      <c r="U333" s="229"/>
      <c r="V333" s="229"/>
      <c r="W333" s="236"/>
      <c r="X333" s="232"/>
      <c r="Y333" s="235"/>
      <c r="Z333" s="227"/>
      <c r="AA333" s="224"/>
      <c r="AB333" s="228"/>
      <c r="AC333" s="227"/>
      <c r="AD333" s="93"/>
      <c r="AE333" s="226"/>
      <c r="AF333" s="227"/>
      <c r="AG333" s="93"/>
      <c r="AH333" s="226"/>
      <c r="AI333" s="227"/>
      <c r="AJ333" s="93"/>
      <c r="AK333" s="226"/>
      <c r="AL333" s="227"/>
      <c r="AM333" s="93"/>
      <c r="AN333" s="226"/>
      <c r="AO333" s="95"/>
      <c r="AP333" s="93"/>
      <c r="AQ333" s="226"/>
      <c r="AR333" s="225"/>
      <c r="AS333" s="224"/>
      <c r="AT333" s="204"/>
      <c r="AU333" s="204"/>
      <c r="AV333" s="214"/>
      <c r="AW333" s="214"/>
      <c r="AX333" s="214"/>
      <c r="AY333" s="214"/>
      <c r="AZ333" s="214"/>
      <c r="BA333" s="214"/>
      <c r="BB333" s="214"/>
      <c r="BC333" s="214"/>
      <c r="BD333" s="214"/>
      <c r="BE333" s="214"/>
      <c r="BF333" s="214"/>
      <c r="BG333" s="214"/>
      <c r="BH333" s="214"/>
      <c r="BI333" s="214"/>
      <c r="BJ333" s="214"/>
      <c r="BK333" s="214"/>
      <c r="BL333" s="214"/>
      <c r="BM333" s="214"/>
      <c r="BN333" s="214"/>
      <c r="BO333" s="214"/>
      <c r="BP333" s="214"/>
      <c r="BQ333" s="214"/>
      <c r="BR333" s="214"/>
      <c r="BS333" s="214"/>
      <c r="BT333" s="214"/>
      <c r="BU333" s="214"/>
      <c r="BV333" s="214"/>
      <c r="BW333" s="214"/>
      <c r="BX333" s="223" t="s">
        <v>10</v>
      </c>
      <c r="BY333" s="222">
        <f>D333*F333+X333*AO333</f>
        <v>3.12</v>
      </c>
      <c r="BZ333" s="204"/>
      <c r="CA333" s="204"/>
      <c r="CB333" s="204"/>
      <c r="CC333" s="200"/>
      <c r="CD333" s="202"/>
      <c r="CE333" s="201"/>
      <c r="CF333" s="200"/>
      <c r="CG333" s="202"/>
      <c r="CH333" s="201"/>
      <c r="CI333" s="201"/>
      <c r="CJ333" s="201"/>
      <c r="CK333" s="198"/>
      <c r="CL333" s="200"/>
      <c r="CM333" s="199"/>
      <c r="CN333" s="198"/>
    </row>
    <row r="334" spans="1:92">
      <c r="A334" s="208"/>
      <c r="B334" s="207"/>
      <c r="C334" s="221" t="s">
        <v>318</v>
      </c>
      <c r="D334" s="234">
        <v>3.65</v>
      </c>
      <c r="E334" s="234" t="s">
        <v>309</v>
      </c>
      <c r="F334" s="229">
        <v>3.5</v>
      </c>
      <c r="G334" s="229"/>
      <c r="H334" s="229"/>
      <c r="I334" s="229"/>
      <c r="J334" s="229"/>
      <c r="K334" s="229"/>
      <c r="L334" s="229"/>
      <c r="M334" s="229"/>
      <c r="N334" s="229"/>
      <c r="O334" s="229"/>
      <c r="P334" s="229"/>
      <c r="Q334" s="229"/>
      <c r="R334" s="229"/>
      <c r="S334" s="229"/>
      <c r="T334" s="229"/>
      <c r="U334" s="229"/>
      <c r="V334" s="229"/>
      <c r="W334" s="236"/>
      <c r="X334" s="232"/>
      <c r="Y334" s="235"/>
      <c r="Z334" s="227"/>
      <c r="AA334" s="224"/>
      <c r="AB334" s="228"/>
      <c r="AC334" s="227"/>
      <c r="AD334" s="93"/>
      <c r="AE334" s="226"/>
      <c r="AF334" s="227"/>
      <c r="AG334" s="93"/>
      <c r="AH334" s="226"/>
      <c r="AI334" s="227"/>
      <c r="AJ334" s="93"/>
      <c r="AK334" s="226"/>
      <c r="AL334" s="227"/>
      <c r="AM334" s="93"/>
      <c r="AN334" s="226"/>
      <c r="AO334" s="95"/>
      <c r="AP334" s="93"/>
      <c r="AQ334" s="226"/>
      <c r="AR334" s="225"/>
      <c r="AS334" s="224"/>
      <c r="AT334" s="204"/>
      <c r="AU334" s="204"/>
      <c r="AV334" s="214"/>
      <c r="AW334" s="214"/>
      <c r="AX334" s="214"/>
      <c r="AY334" s="214"/>
      <c r="AZ334" s="214"/>
      <c r="BA334" s="214"/>
      <c r="BB334" s="214"/>
      <c r="BC334" s="214"/>
      <c r="BD334" s="214"/>
      <c r="BE334" s="214"/>
      <c r="BF334" s="214"/>
      <c r="BG334" s="214"/>
      <c r="BH334" s="214"/>
      <c r="BI334" s="214"/>
      <c r="BJ334" s="214"/>
      <c r="BK334" s="214"/>
      <c r="BL334" s="214"/>
      <c r="BM334" s="214"/>
      <c r="BN334" s="214"/>
      <c r="BO334" s="214"/>
      <c r="BP334" s="214"/>
      <c r="BQ334" s="214"/>
      <c r="BR334" s="214"/>
      <c r="BS334" s="214"/>
      <c r="BT334" s="214"/>
      <c r="BU334" s="214"/>
      <c r="BV334" s="214"/>
      <c r="BW334" s="214"/>
      <c r="BX334" s="223" t="s">
        <v>10</v>
      </c>
      <c r="BY334" s="222">
        <f>D334*F334+X334*AO334</f>
        <v>12.775</v>
      </c>
      <c r="BZ334" s="204"/>
      <c r="CA334" s="204"/>
      <c r="CB334" s="204"/>
      <c r="CC334" s="200"/>
      <c r="CD334" s="202"/>
      <c r="CE334" s="201"/>
      <c r="CF334" s="200"/>
      <c r="CG334" s="202"/>
      <c r="CH334" s="201"/>
      <c r="CI334" s="201"/>
      <c r="CJ334" s="201"/>
      <c r="CK334" s="198"/>
      <c r="CL334" s="200"/>
      <c r="CM334" s="199"/>
      <c r="CN334" s="198"/>
    </row>
    <row r="335" spans="1:92">
      <c r="A335" s="208"/>
      <c r="B335" s="207"/>
      <c r="C335" s="221" t="s">
        <v>314</v>
      </c>
      <c r="D335" s="234">
        <v>2.4</v>
      </c>
      <c r="E335" s="234" t="s">
        <v>309</v>
      </c>
      <c r="F335" s="229">
        <v>1.3</v>
      </c>
      <c r="G335" s="229"/>
      <c r="H335" s="229"/>
      <c r="I335" s="229"/>
      <c r="J335" s="229"/>
      <c r="K335" s="229"/>
      <c r="L335" s="229"/>
      <c r="M335" s="229"/>
      <c r="N335" s="229"/>
      <c r="O335" s="229"/>
      <c r="P335" s="229"/>
      <c r="Q335" s="229"/>
      <c r="R335" s="229"/>
      <c r="S335" s="229"/>
      <c r="T335" s="229"/>
      <c r="U335" s="229"/>
      <c r="V335" s="229"/>
      <c r="W335" s="236"/>
      <c r="X335" s="232"/>
      <c r="Y335" s="235"/>
      <c r="Z335" s="227"/>
      <c r="AA335" s="224"/>
      <c r="AB335" s="228"/>
      <c r="AC335" s="227"/>
      <c r="AD335" s="93"/>
      <c r="AE335" s="226"/>
      <c r="AF335" s="227"/>
      <c r="AG335" s="93"/>
      <c r="AH335" s="226"/>
      <c r="AI335" s="227"/>
      <c r="AJ335" s="93"/>
      <c r="AK335" s="226"/>
      <c r="AL335" s="227"/>
      <c r="AM335" s="93"/>
      <c r="AN335" s="226"/>
      <c r="AO335" s="95"/>
      <c r="AP335" s="93"/>
      <c r="AQ335" s="226"/>
      <c r="AR335" s="225"/>
      <c r="AS335" s="224"/>
      <c r="AT335" s="204"/>
      <c r="AU335" s="204"/>
      <c r="AV335" s="214"/>
      <c r="AW335" s="214"/>
      <c r="AX335" s="214"/>
      <c r="AY335" s="214"/>
      <c r="AZ335" s="214"/>
      <c r="BA335" s="214"/>
      <c r="BB335" s="214"/>
      <c r="BC335" s="214"/>
      <c r="BD335" s="214"/>
      <c r="BE335" s="214"/>
      <c r="BF335" s="214"/>
      <c r="BG335" s="214"/>
      <c r="BH335" s="214"/>
      <c r="BI335" s="214"/>
      <c r="BJ335" s="214"/>
      <c r="BK335" s="214"/>
      <c r="BL335" s="214"/>
      <c r="BM335" s="214"/>
      <c r="BN335" s="214"/>
      <c r="BO335" s="214"/>
      <c r="BP335" s="214"/>
      <c r="BQ335" s="214"/>
      <c r="BR335" s="214"/>
      <c r="BS335" s="214"/>
      <c r="BT335" s="214"/>
      <c r="BU335" s="214"/>
      <c r="BV335" s="214"/>
      <c r="BW335" s="214"/>
      <c r="BX335" s="223" t="s">
        <v>10</v>
      </c>
      <c r="BY335" s="222">
        <f>D335*F335+X335*AO335</f>
        <v>3.12</v>
      </c>
      <c r="BZ335" s="204"/>
      <c r="CA335" s="204"/>
      <c r="CB335" s="204"/>
      <c r="CC335" s="200"/>
      <c r="CD335" s="202"/>
      <c r="CE335" s="201"/>
      <c r="CF335" s="200"/>
      <c r="CG335" s="202"/>
      <c r="CH335" s="201"/>
      <c r="CI335" s="201"/>
      <c r="CJ335" s="201"/>
      <c r="CK335" s="198"/>
      <c r="CL335" s="200"/>
      <c r="CM335" s="199"/>
      <c r="CN335" s="198"/>
    </row>
    <row r="336" spans="1:92">
      <c r="A336" s="208"/>
      <c r="B336" s="207"/>
      <c r="C336" s="221" t="s">
        <v>317</v>
      </c>
      <c r="D336" s="234">
        <v>3.65</v>
      </c>
      <c r="E336" s="234" t="s">
        <v>309</v>
      </c>
      <c r="F336" s="229">
        <v>3.5</v>
      </c>
      <c r="G336" s="229"/>
      <c r="H336" s="229"/>
      <c r="I336" s="229"/>
      <c r="J336" s="229"/>
      <c r="K336" s="229"/>
      <c r="L336" s="229"/>
      <c r="M336" s="229"/>
      <c r="N336" s="229"/>
      <c r="O336" s="229"/>
      <c r="P336" s="229"/>
      <c r="Q336" s="229"/>
      <c r="R336" s="229"/>
      <c r="S336" s="229"/>
      <c r="T336" s="229"/>
      <c r="U336" s="229"/>
      <c r="V336" s="229"/>
      <c r="W336" s="236"/>
      <c r="X336" s="232"/>
      <c r="Y336" s="235"/>
      <c r="Z336" s="227"/>
      <c r="AA336" s="224"/>
      <c r="AB336" s="228"/>
      <c r="AC336" s="227"/>
      <c r="AD336" s="93"/>
      <c r="AE336" s="226"/>
      <c r="AF336" s="227"/>
      <c r="AG336" s="93"/>
      <c r="AH336" s="226"/>
      <c r="AI336" s="227"/>
      <c r="AJ336" s="93"/>
      <c r="AK336" s="226"/>
      <c r="AL336" s="227"/>
      <c r="AM336" s="93"/>
      <c r="AN336" s="226"/>
      <c r="AO336" s="95"/>
      <c r="AP336" s="93"/>
      <c r="AQ336" s="226"/>
      <c r="AR336" s="225"/>
      <c r="AS336" s="224"/>
      <c r="AT336" s="204"/>
      <c r="AU336" s="204"/>
      <c r="AV336" s="214"/>
      <c r="AW336" s="214"/>
      <c r="AX336" s="214"/>
      <c r="AY336" s="214"/>
      <c r="AZ336" s="214"/>
      <c r="BA336" s="214"/>
      <c r="BB336" s="214"/>
      <c r="BC336" s="214"/>
      <c r="BD336" s="214"/>
      <c r="BE336" s="214"/>
      <c r="BF336" s="214"/>
      <c r="BG336" s="214"/>
      <c r="BH336" s="214"/>
      <c r="BI336" s="214"/>
      <c r="BJ336" s="214"/>
      <c r="BK336" s="214"/>
      <c r="BL336" s="214"/>
      <c r="BM336" s="214"/>
      <c r="BN336" s="214"/>
      <c r="BO336" s="214"/>
      <c r="BP336" s="214"/>
      <c r="BQ336" s="214"/>
      <c r="BR336" s="214"/>
      <c r="BS336" s="214"/>
      <c r="BT336" s="214"/>
      <c r="BU336" s="214"/>
      <c r="BV336" s="214"/>
      <c r="BW336" s="214"/>
      <c r="BX336" s="223" t="s">
        <v>10</v>
      </c>
      <c r="BY336" s="222">
        <f>D336*F336+X336*AO336</f>
        <v>12.775</v>
      </c>
      <c r="BZ336" s="204"/>
      <c r="CA336" s="204"/>
      <c r="CB336" s="204"/>
      <c r="CC336" s="200"/>
      <c r="CD336" s="202"/>
      <c r="CE336" s="201"/>
      <c r="CF336" s="200"/>
      <c r="CG336" s="202"/>
      <c r="CH336" s="201"/>
      <c r="CI336" s="201"/>
      <c r="CJ336" s="201"/>
      <c r="CK336" s="198"/>
      <c r="CL336" s="200"/>
      <c r="CM336" s="199"/>
      <c r="CN336" s="198"/>
    </row>
    <row r="337" spans="1:92">
      <c r="A337" s="208"/>
      <c r="B337" s="207"/>
      <c r="C337" s="221" t="s">
        <v>314</v>
      </c>
      <c r="D337" s="234">
        <v>2.4</v>
      </c>
      <c r="E337" s="234" t="s">
        <v>309</v>
      </c>
      <c r="F337" s="229">
        <v>1.3</v>
      </c>
      <c r="G337" s="229"/>
      <c r="H337" s="229"/>
      <c r="I337" s="229"/>
      <c r="J337" s="229"/>
      <c r="K337" s="229"/>
      <c r="L337" s="229"/>
      <c r="M337" s="229"/>
      <c r="N337" s="229"/>
      <c r="O337" s="229"/>
      <c r="P337" s="229"/>
      <c r="Q337" s="229"/>
      <c r="R337" s="229"/>
      <c r="S337" s="229"/>
      <c r="T337" s="229"/>
      <c r="U337" s="229"/>
      <c r="V337" s="229"/>
      <c r="W337" s="236"/>
      <c r="X337" s="232"/>
      <c r="Y337" s="235"/>
      <c r="Z337" s="227"/>
      <c r="AA337" s="224"/>
      <c r="AB337" s="228"/>
      <c r="AC337" s="227"/>
      <c r="AD337" s="93"/>
      <c r="AE337" s="226"/>
      <c r="AF337" s="227"/>
      <c r="AG337" s="93"/>
      <c r="AH337" s="226"/>
      <c r="AI337" s="227"/>
      <c r="AJ337" s="93"/>
      <c r="AK337" s="226"/>
      <c r="AL337" s="227"/>
      <c r="AM337" s="93"/>
      <c r="AN337" s="226"/>
      <c r="AO337" s="95"/>
      <c r="AP337" s="93"/>
      <c r="AQ337" s="226"/>
      <c r="AR337" s="225"/>
      <c r="AS337" s="224"/>
      <c r="AT337" s="204"/>
      <c r="AU337" s="204"/>
      <c r="AV337" s="214"/>
      <c r="AW337" s="214"/>
      <c r="AX337" s="214"/>
      <c r="AY337" s="214"/>
      <c r="AZ337" s="214"/>
      <c r="BA337" s="214"/>
      <c r="BB337" s="214"/>
      <c r="BC337" s="214"/>
      <c r="BD337" s="214"/>
      <c r="BE337" s="214"/>
      <c r="BF337" s="214"/>
      <c r="BG337" s="214"/>
      <c r="BH337" s="214"/>
      <c r="BI337" s="214"/>
      <c r="BJ337" s="214"/>
      <c r="BK337" s="214"/>
      <c r="BL337" s="214"/>
      <c r="BM337" s="214"/>
      <c r="BN337" s="214"/>
      <c r="BO337" s="214"/>
      <c r="BP337" s="214"/>
      <c r="BQ337" s="214"/>
      <c r="BR337" s="214"/>
      <c r="BS337" s="214"/>
      <c r="BT337" s="214"/>
      <c r="BU337" s="214"/>
      <c r="BV337" s="214"/>
      <c r="BW337" s="214"/>
      <c r="BX337" s="223" t="s">
        <v>10</v>
      </c>
      <c r="BY337" s="222">
        <f>D337*F337+X337*AO337</f>
        <v>3.12</v>
      </c>
      <c r="BZ337" s="204"/>
      <c r="CA337" s="204"/>
      <c r="CB337" s="204"/>
      <c r="CC337" s="200"/>
      <c r="CD337" s="202"/>
      <c r="CE337" s="201"/>
      <c r="CF337" s="200"/>
      <c r="CG337" s="202"/>
      <c r="CH337" s="201"/>
      <c r="CI337" s="201"/>
      <c r="CJ337" s="201"/>
      <c r="CK337" s="198"/>
      <c r="CL337" s="200"/>
      <c r="CM337" s="199"/>
      <c r="CN337" s="198"/>
    </row>
    <row r="338" spans="1:92">
      <c r="A338" s="208"/>
      <c r="B338" s="207"/>
      <c r="C338" s="221" t="s">
        <v>316</v>
      </c>
      <c r="D338" s="234">
        <v>3.65</v>
      </c>
      <c r="E338" s="234" t="s">
        <v>309</v>
      </c>
      <c r="F338" s="229">
        <v>3.5</v>
      </c>
      <c r="G338" s="229"/>
      <c r="H338" s="229"/>
      <c r="I338" s="229"/>
      <c r="J338" s="229"/>
      <c r="K338" s="229"/>
      <c r="L338" s="229"/>
      <c r="M338" s="229"/>
      <c r="N338" s="229"/>
      <c r="O338" s="229"/>
      <c r="P338" s="229"/>
      <c r="Q338" s="229"/>
      <c r="R338" s="229"/>
      <c r="S338" s="229"/>
      <c r="T338" s="229"/>
      <c r="U338" s="229"/>
      <c r="V338" s="229"/>
      <c r="W338" s="236"/>
      <c r="X338" s="232"/>
      <c r="Y338" s="235"/>
      <c r="Z338" s="227"/>
      <c r="AA338" s="224"/>
      <c r="AB338" s="228"/>
      <c r="AC338" s="227"/>
      <c r="AD338" s="93"/>
      <c r="AE338" s="226"/>
      <c r="AF338" s="227"/>
      <c r="AG338" s="93"/>
      <c r="AH338" s="226"/>
      <c r="AI338" s="227"/>
      <c r="AJ338" s="93"/>
      <c r="AK338" s="226"/>
      <c r="AL338" s="227"/>
      <c r="AM338" s="93"/>
      <c r="AN338" s="226"/>
      <c r="AO338" s="95"/>
      <c r="AP338" s="93"/>
      <c r="AQ338" s="226"/>
      <c r="AR338" s="225"/>
      <c r="AS338" s="224"/>
      <c r="AT338" s="204"/>
      <c r="AU338" s="204"/>
      <c r="AV338" s="214"/>
      <c r="AW338" s="214"/>
      <c r="AX338" s="214"/>
      <c r="AY338" s="214"/>
      <c r="AZ338" s="214"/>
      <c r="BA338" s="214"/>
      <c r="BB338" s="214"/>
      <c r="BC338" s="214"/>
      <c r="BD338" s="214"/>
      <c r="BE338" s="214"/>
      <c r="BF338" s="214"/>
      <c r="BG338" s="214"/>
      <c r="BH338" s="214"/>
      <c r="BI338" s="214"/>
      <c r="BJ338" s="214"/>
      <c r="BK338" s="214"/>
      <c r="BL338" s="214"/>
      <c r="BM338" s="214"/>
      <c r="BN338" s="214"/>
      <c r="BO338" s="214"/>
      <c r="BP338" s="214"/>
      <c r="BQ338" s="214"/>
      <c r="BR338" s="214"/>
      <c r="BS338" s="214"/>
      <c r="BT338" s="214"/>
      <c r="BU338" s="214"/>
      <c r="BV338" s="214"/>
      <c r="BW338" s="214"/>
      <c r="BX338" s="223" t="s">
        <v>10</v>
      </c>
      <c r="BY338" s="222">
        <f>D338*F338+X338*AO338</f>
        <v>12.775</v>
      </c>
      <c r="BZ338" s="204"/>
      <c r="CA338" s="204"/>
      <c r="CB338" s="204"/>
      <c r="CC338" s="200"/>
      <c r="CD338" s="202"/>
      <c r="CE338" s="201"/>
      <c r="CF338" s="200"/>
      <c r="CG338" s="202"/>
      <c r="CH338" s="201"/>
      <c r="CI338" s="201"/>
      <c r="CJ338" s="201"/>
      <c r="CK338" s="198"/>
      <c r="CL338" s="200"/>
      <c r="CM338" s="199"/>
      <c r="CN338" s="198"/>
    </row>
    <row r="339" spans="1:92">
      <c r="A339" s="208"/>
      <c r="B339" s="207"/>
      <c r="C339" s="221" t="s">
        <v>314</v>
      </c>
      <c r="D339" s="234">
        <v>2.4</v>
      </c>
      <c r="E339" s="234" t="s">
        <v>309</v>
      </c>
      <c r="F339" s="229">
        <v>1.3</v>
      </c>
      <c r="G339" s="229"/>
      <c r="H339" s="229"/>
      <c r="I339" s="229"/>
      <c r="J339" s="229"/>
      <c r="K339" s="229"/>
      <c r="L339" s="229"/>
      <c r="M339" s="229"/>
      <c r="N339" s="229"/>
      <c r="O339" s="229"/>
      <c r="P339" s="229"/>
      <c r="Q339" s="229"/>
      <c r="R339" s="229"/>
      <c r="S339" s="229"/>
      <c r="T339" s="229"/>
      <c r="U339" s="229"/>
      <c r="V339" s="229"/>
      <c r="W339" s="236"/>
      <c r="X339" s="232"/>
      <c r="Y339" s="235"/>
      <c r="Z339" s="227"/>
      <c r="AA339" s="224"/>
      <c r="AB339" s="228"/>
      <c r="AC339" s="227"/>
      <c r="AD339" s="93"/>
      <c r="AE339" s="226"/>
      <c r="AF339" s="227"/>
      <c r="AG339" s="93"/>
      <c r="AH339" s="226"/>
      <c r="AI339" s="227"/>
      <c r="AJ339" s="93"/>
      <c r="AK339" s="226"/>
      <c r="AL339" s="227"/>
      <c r="AM339" s="93"/>
      <c r="AN339" s="226"/>
      <c r="AO339" s="95"/>
      <c r="AP339" s="93"/>
      <c r="AQ339" s="226"/>
      <c r="AR339" s="225"/>
      <c r="AS339" s="224"/>
      <c r="AT339" s="204"/>
      <c r="AU339" s="204"/>
      <c r="AV339" s="214"/>
      <c r="AW339" s="214"/>
      <c r="AX339" s="214"/>
      <c r="AY339" s="214"/>
      <c r="AZ339" s="214"/>
      <c r="BA339" s="214"/>
      <c r="BB339" s="214"/>
      <c r="BC339" s="214"/>
      <c r="BD339" s="214"/>
      <c r="BE339" s="214"/>
      <c r="BF339" s="214"/>
      <c r="BG339" s="214"/>
      <c r="BH339" s="214"/>
      <c r="BI339" s="214"/>
      <c r="BJ339" s="214"/>
      <c r="BK339" s="214"/>
      <c r="BL339" s="214"/>
      <c r="BM339" s="214"/>
      <c r="BN339" s="214"/>
      <c r="BO339" s="214"/>
      <c r="BP339" s="214"/>
      <c r="BQ339" s="214"/>
      <c r="BR339" s="214"/>
      <c r="BS339" s="214"/>
      <c r="BT339" s="214"/>
      <c r="BU339" s="214"/>
      <c r="BV339" s="214"/>
      <c r="BW339" s="214"/>
      <c r="BX339" s="223" t="s">
        <v>10</v>
      </c>
      <c r="BY339" s="222">
        <f>D339*F339+X339*AO339</f>
        <v>3.12</v>
      </c>
      <c r="BZ339" s="204"/>
      <c r="CA339" s="204"/>
      <c r="CB339" s="204"/>
      <c r="CC339" s="200"/>
      <c r="CD339" s="202"/>
      <c r="CE339" s="201"/>
      <c r="CF339" s="200"/>
      <c r="CG339" s="202"/>
      <c r="CH339" s="201"/>
      <c r="CI339" s="201"/>
      <c r="CJ339" s="201"/>
      <c r="CK339" s="198"/>
      <c r="CL339" s="200"/>
      <c r="CM339" s="199"/>
      <c r="CN339" s="198"/>
    </row>
    <row r="340" spans="1:92">
      <c r="A340" s="208"/>
      <c r="B340" s="207"/>
      <c r="C340" s="221" t="s">
        <v>315</v>
      </c>
      <c r="D340" s="234">
        <v>3.65</v>
      </c>
      <c r="E340" s="234" t="s">
        <v>309</v>
      </c>
      <c r="F340" s="229">
        <v>3.5</v>
      </c>
      <c r="G340" s="229"/>
      <c r="H340" s="229"/>
      <c r="I340" s="229"/>
      <c r="J340" s="229"/>
      <c r="K340" s="229"/>
      <c r="L340" s="229"/>
      <c r="M340" s="229"/>
      <c r="N340" s="229"/>
      <c r="O340" s="229"/>
      <c r="P340" s="229"/>
      <c r="Q340" s="229"/>
      <c r="R340" s="229"/>
      <c r="S340" s="229"/>
      <c r="T340" s="229"/>
      <c r="U340" s="229"/>
      <c r="V340" s="229"/>
      <c r="W340" s="236"/>
      <c r="X340" s="232"/>
      <c r="Y340" s="235"/>
      <c r="Z340" s="227"/>
      <c r="AA340" s="224"/>
      <c r="AB340" s="228"/>
      <c r="AC340" s="227"/>
      <c r="AD340" s="93"/>
      <c r="AE340" s="226"/>
      <c r="AF340" s="227"/>
      <c r="AG340" s="93"/>
      <c r="AH340" s="226"/>
      <c r="AI340" s="227"/>
      <c r="AJ340" s="93"/>
      <c r="AK340" s="226"/>
      <c r="AL340" s="227"/>
      <c r="AM340" s="93"/>
      <c r="AN340" s="226"/>
      <c r="AO340" s="95"/>
      <c r="AP340" s="93"/>
      <c r="AQ340" s="226"/>
      <c r="AR340" s="225"/>
      <c r="AS340" s="224"/>
      <c r="AT340" s="204"/>
      <c r="AU340" s="204"/>
      <c r="AV340" s="214"/>
      <c r="AW340" s="214"/>
      <c r="AX340" s="214"/>
      <c r="AY340" s="214"/>
      <c r="AZ340" s="214"/>
      <c r="BA340" s="214"/>
      <c r="BB340" s="214"/>
      <c r="BC340" s="214"/>
      <c r="BD340" s="214"/>
      <c r="BE340" s="214"/>
      <c r="BF340" s="214"/>
      <c r="BG340" s="214"/>
      <c r="BH340" s="214"/>
      <c r="BI340" s="214"/>
      <c r="BJ340" s="214"/>
      <c r="BK340" s="214"/>
      <c r="BL340" s="214"/>
      <c r="BM340" s="214"/>
      <c r="BN340" s="214"/>
      <c r="BO340" s="214"/>
      <c r="BP340" s="214"/>
      <c r="BQ340" s="214"/>
      <c r="BR340" s="214"/>
      <c r="BS340" s="214"/>
      <c r="BT340" s="214"/>
      <c r="BU340" s="214"/>
      <c r="BV340" s="214"/>
      <c r="BW340" s="214"/>
      <c r="BX340" s="223" t="s">
        <v>10</v>
      </c>
      <c r="BY340" s="222">
        <f>D340*F340+X340*AO340</f>
        <v>12.775</v>
      </c>
      <c r="BZ340" s="204"/>
      <c r="CA340" s="204"/>
      <c r="CB340" s="204"/>
      <c r="CC340" s="200"/>
      <c r="CD340" s="202"/>
      <c r="CE340" s="201"/>
      <c r="CF340" s="200"/>
      <c r="CG340" s="202"/>
      <c r="CH340" s="201"/>
      <c r="CI340" s="201"/>
      <c r="CJ340" s="201"/>
      <c r="CK340" s="198"/>
      <c r="CL340" s="200"/>
      <c r="CM340" s="199"/>
      <c r="CN340" s="198"/>
    </row>
    <row r="341" spans="1:92">
      <c r="A341" s="208"/>
      <c r="B341" s="207"/>
      <c r="C341" s="221" t="s">
        <v>314</v>
      </c>
      <c r="D341" s="234">
        <v>2.4</v>
      </c>
      <c r="E341" s="234" t="s">
        <v>309</v>
      </c>
      <c r="F341" s="229">
        <v>1.3</v>
      </c>
      <c r="G341" s="229"/>
      <c r="H341" s="229"/>
      <c r="I341" s="229"/>
      <c r="J341" s="229"/>
      <c r="K341" s="229"/>
      <c r="L341" s="229"/>
      <c r="M341" s="229"/>
      <c r="N341" s="229"/>
      <c r="O341" s="229"/>
      <c r="P341" s="229"/>
      <c r="Q341" s="229"/>
      <c r="R341" s="229"/>
      <c r="S341" s="229"/>
      <c r="T341" s="229"/>
      <c r="U341" s="229"/>
      <c r="V341" s="229"/>
      <c r="W341" s="236"/>
      <c r="X341" s="232"/>
      <c r="Y341" s="235"/>
      <c r="Z341" s="227"/>
      <c r="AA341" s="224"/>
      <c r="AB341" s="228"/>
      <c r="AC341" s="227"/>
      <c r="AD341" s="93"/>
      <c r="AE341" s="226"/>
      <c r="AF341" s="227"/>
      <c r="AG341" s="93"/>
      <c r="AH341" s="226"/>
      <c r="AI341" s="227"/>
      <c r="AJ341" s="93"/>
      <c r="AK341" s="226"/>
      <c r="AL341" s="227"/>
      <c r="AM341" s="93"/>
      <c r="AN341" s="226"/>
      <c r="AO341" s="95"/>
      <c r="AP341" s="93"/>
      <c r="AQ341" s="226"/>
      <c r="AR341" s="225"/>
      <c r="AS341" s="224"/>
      <c r="AT341" s="204"/>
      <c r="AU341" s="204"/>
      <c r="AV341" s="214"/>
      <c r="AW341" s="214"/>
      <c r="AX341" s="214"/>
      <c r="AY341" s="214"/>
      <c r="AZ341" s="214"/>
      <c r="BA341" s="214"/>
      <c r="BB341" s="214"/>
      <c r="BC341" s="214"/>
      <c r="BD341" s="214"/>
      <c r="BE341" s="214"/>
      <c r="BF341" s="214"/>
      <c r="BG341" s="214"/>
      <c r="BH341" s="214"/>
      <c r="BI341" s="214"/>
      <c r="BJ341" s="214"/>
      <c r="BK341" s="214"/>
      <c r="BL341" s="214"/>
      <c r="BM341" s="214"/>
      <c r="BN341" s="214"/>
      <c r="BO341" s="214"/>
      <c r="BP341" s="214"/>
      <c r="BQ341" s="214"/>
      <c r="BR341" s="214"/>
      <c r="BS341" s="214"/>
      <c r="BT341" s="214"/>
      <c r="BU341" s="214"/>
      <c r="BV341" s="214"/>
      <c r="BW341" s="214"/>
      <c r="BX341" s="223" t="s">
        <v>10</v>
      </c>
      <c r="BY341" s="222">
        <f>D341*F341+X341*AO341</f>
        <v>3.12</v>
      </c>
      <c r="BZ341" s="204"/>
      <c r="CA341" s="204"/>
      <c r="CB341" s="204"/>
      <c r="CC341" s="200"/>
      <c r="CD341" s="202"/>
      <c r="CE341" s="201"/>
      <c r="CF341" s="200"/>
      <c r="CG341" s="202"/>
      <c r="CH341" s="201"/>
      <c r="CI341" s="201"/>
      <c r="CJ341" s="201"/>
      <c r="CK341" s="198"/>
      <c r="CL341" s="200"/>
      <c r="CM341" s="199"/>
      <c r="CN341" s="198"/>
    </row>
    <row r="342" spans="1:92">
      <c r="A342" s="208"/>
      <c r="B342" s="207"/>
      <c r="C342" s="221" t="s">
        <v>313</v>
      </c>
      <c r="D342" s="234">
        <v>3.65</v>
      </c>
      <c r="E342" s="234" t="s">
        <v>309</v>
      </c>
      <c r="F342" s="229">
        <v>3.5</v>
      </c>
      <c r="G342" s="229"/>
      <c r="H342" s="229"/>
      <c r="I342" s="229"/>
      <c r="J342" s="229"/>
      <c r="K342" s="229"/>
      <c r="L342" s="229"/>
      <c r="M342" s="229"/>
      <c r="N342" s="229"/>
      <c r="O342" s="229"/>
      <c r="P342" s="229"/>
      <c r="Q342" s="229"/>
      <c r="R342" s="229"/>
      <c r="S342" s="229"/>
      <c r="T342" s="229"/>
      <c r="U342" s="229"/>
      <c r="V342" s="229"/>
      <c r="W342" s="236"/>
      <c r="X342" s="232"/>
      <c r="Y342" s="235"/>
      <c r="Z342" s="227"/>
      <c r="AA342" s="224"/>
      <c r="AB342" s="228"/>
      <c r="AC342" s="227"/>
      <c r="AD342" s="93"/>
      <c r="AE342" s="226"/>
      <c r="AF342" s="227"/>
      <c r="AG342" s="93"/>
      <c r="AH342" s="226"/>
      <c r="AI342" s="227"/>
      <c r="AJ342" s="93"/>
      <c r="AK342" s="226"/>
      <c r="AL342" s="227"/>
      <c r="AM342" s="93"/>
      <c r="AN342" s="226"/>
      <c r="AO342" s="95"/>
      <c r="AP342" s="93"/>
      <c r="AQ342" s="226"/>
      <c r="AR342" s="225"/>
      <c r="AS342" s="224"/>
      <c r="AT342" s="204"/>
      <c r="AU342" s="204"/>
      <c r="AV342" s="214"/>
      <c r="AW342" s="214"/>
      <c r="AX342" s="214"/>
      <c r="AY342" s="214"/>
      <c r="AZ342" s="214"/>
      <c r="BA342" s="214"/>
      <c r="BB342" s="214"/>
      <c r="BC342" s="214"/>
      <c r="BD342" s="214"/>
      <c r="BE342" s="214"/>
      <c r="BF342" s="214"/>
      <c r="BG342" s="214"/>
      <c r="BH342" s="214"/>
      <c r="BI342" s="214"/>
      <c r="BJ342" s="214"/>
      <c r="BK342" s="214"/>
      <c r="BL342" s="214"/>
      <c r="BM342" s="214"/>
      <c r="BN342" s="214"/>
      <c r="BO342" s="214"/>
      <c r="BP342" s="214"/>
      <c r="BQ342" s="214"/>
      <c r="BR342" s="214"/>
      <c r="BS342" s="214"/>
      <c r="BT342" s="214"/>
      <c r="BU342" s="214"/>
      <c r="BV342" s="214"/>
      <c r="BW342" s="214"/>
      <c r="BX342" s="223" t="s">
        <v>10</v>
      </c>
      <c r="BY342" s="222">
        <f>D342*F342+X342*AO342</f>
        <v>12.775</v>
      </c>
      <c r="BZ342" s="204"/>
      <c r="CA342" s="204"/>
      <c r="CB342" s="204"/>
      <c r="CC342" s="200"/>
      <c r="CD342" s="202"/>
      <c r="CE342" s="201"/>
      <c r="CF342" s="200"/>
      <c r="CG342" s="202"/>
      <c r="CH342" s="201"/>
      <c r="CI342" s="201"/>
      <c r="CJ342" s="201"/>
      <c r="CK342" s="198"/>
      <c r="CL342" s="200"/>
      <c r="CM342" s="199"/>
      <c r="CN342" s="198"/>
    </row>
    <row r="343" spans="1:92">
      <c r="A343" s="208"/>
      <c r="B343" s="207"/>
      <c r="C343" s="221" t="s">
        <v>312</v>
      </c>
      <c r="D343" s="234">
        <v>2.4</v>
      </c>
      <c r="E343" s="234" t="s">
        <v>309</v>
      </c>
      <c r="F343" s="229">
        <v>1.3</v>
      </c>
      <c r="G343" s="229"/>
      <c r="H343" s="229"/>
      <c r="I343" s="229"/>
      <c r="J343" s="229"/>
      <c r="K343" s="229"/>
      <c r="L343" s="229"/>
      <c r="M343" s="229"/>
      <c r="N343" s="229"/>
      <c r="O343" s="229"/>
      <c r="P343" s="229"/>
      <c r="Q343" s="229"/>
      <c r="R343" s="229"/>
      <c r="S343" s="229"/>
      <c r="T343" s="229"/>
      <c r="U343" s="229"/>
      <c r="V343" s="229"/>
      <c r="W343" s="236"/>
      <c r="X343" s="232"/>
      <c r="Y343" s="235"/>
      <c r="Z343" s="227"/>
      <c r="AA343" s="224"/>
      <c r="AB343" s="228"/>
      <c r="AC343" s="227"/>
      <c r="AD343" s="93"/>
      <c r="AE343" s="226"/>
      <c r="AF343" s="227"/>
      <c r="AG343" s="93"/>
      <c r="AH343" s="226"/>
      <c r="AI343" s="227"/>
      <c r="AJ343" s="93"/>
      <c r="AK343" s="226"/>
      <c r="AL343" s="227"/>
      <c r="AM343" s="93"/>
      <c r="AN343" s="226"/>
      <c r="AO343" s="95"/>
      <c r="AP343" s="93"/>
      <c r="AQ343" s="226"/>
      <c r="AR343" s="225"/>
      <c r="AS343" s="224"/>
      <c r="AT343" s="204"/>
      <c r="AU343" s="204"/>
      <c r="AV343" s="214"/>
      <c r="AW343" s="214"/>
      <c r="AX343" s="214"/>
      <c r="AY343" s="214"/>
      <c r="AZ343" s="214"/>
      <c r="BA343" s="214"/>
      <c r="BB343" s="214"/>
      <c r="BC343" s="214"/>
      <c r="BD343" s="214"/>
      <c r="BE343" s="214"/>
      <c r="BF343" s="214"/>
      <c r="BG343" s="214"/>
      <c r="BH343" s="214"/>
      <c r="BI343" s="214"/>
      <c r="BJ343" s="214"/>
      <c r="BK343" s="214"/>
      <c r="BL343" s="214"/>
      <c r="BM343" s="214"/>
      <c r="BN343" s="214"/>
      <c r="BO343" s="214"/>
      <c r="BP343" s="214"/>
      <c r="BQ343" s="214"/>
      <c r="BR343" s="214"/>
      <c r="BS343" s="214"/>
      <c r="BT343" s="214"/>
      <c r="BU343" s="214"/>
      <c r="BV343" s="214"/>
      <c r="BW343" s="214"/>
      <c r="BX343" s="223" t="s">
        <v>10</v>
      </c>
      <c r="BY343" s="222">
        <f>D343*F343+X343*AO343</f>
        <v>3.12</v>
      </c>
      <c r="BZ343" s="204"/>
      <c r="CA343" s="204"/>
      <c r="CB343" s="204"/>
      <c r="CC343" s="200"/>
      <c r="CD343" s="202"/>
      <c r="CE343" s="201"/>
      <c r="CF343" s="200"/>
      <c r="CG343" s="202"/>
      <c r="CH343" s="201"/>
      <c r="CI343" s="201"/>
      <c r="CJ343" s="201"/>
      <c r="CK343" s="198"/>
      <c r="CL343" s="200"/>
      <c r="CM343" s="199"/>
      <c r="CN343" s="198"/>
    </row>
    <row r="344" spans="1:92" ht="15.5">
      <c r="A344" s="208"/>
      <c r="B344" s="207"/>
      <c r="C344" s="221" t="s">
        <v>311</v>
      </c>
      <c r="D344" s="234">
        <v>7.38</v>
      </c>
      <c r="E344" s="233" t="s">
        <v>310</v>
      </c>
      <c r="F344" s="229">
        <v>6.75</v>
      </c>
      <c r="G344" s="229" t="s">
        <v>309</v>
      </c>
      <c r="H344" s="232">
        <v>7.9</v>
      </c>
      <c r="I344" s="231" t="s">
        <v>308</v>
      </c>
      <c r="J344" s="230">
        <v>2</v>
      </c>
      <c r="K344" s="229"/>
      <c r="L344" s="229"/>
      <c r="M344" s="229"/>
      <c r="N344" s="229"/>
      <c r="O344" s="229"/>
      <c r="P344" s="229"/>
      <c r="Q344" s="229"/>
      <c r="R344" s="229"/>
      <c r="S344" s="229"/>
      <c r="T344" s="229"/>
      <c r="U344" s="229"/>
      <c r="V344" s="229"/>
      <c r="AA344" s="224"/>
      <c r="AB344" s="228"/>
      <c r="AC344" s="227"/>
      <c r="AD344" s="93"/>
      <c r="AE344" s="226"/>
      <c r="AF344" s="227"/>
      <c r="AG344" s="93"/>
      <c r="AH344" s="226"/>
      <c r="AI344" s="227"/>
      <c r="AJ344" s="93"/>
      <c r="AK344" s="226"/>
      <c r="AL344" s="227"/>
      <c r="AM344" s="93"/>
      <c r="AN344" s="226"/>
      <c r="AP344" s="93"/>
      <c r="AQ344" s="226"/>
      <c r="AR344" s="225"/>
      <c r="AS344" s="224"/>
      <c r="AT344" s="204"/>
      <c r="AU344" s="204"/>
      <c r="AV344" s="214"/>
      <c r="AW344" s="214"/>
      <c r="AX344" s="214"/>
      <c r="AY344" s="214"/>
      <c r="AZ344" s="214"/>
      <c r="BA344" s="214"/>
      <c r="BB344" s="214"/>
      <c r="BC344" s="214"/>
      <c r="BD344" s="214"/>
      <c r="BE344" s="214"/>
      <c r="BF344" s="214"/>
      <c r="BG344" s="214"/>
      <c r="BH344" s="214"/>
      <c r="BI344" s="214"/>
      <c r="BJ344" s="214"/>
      <c r="BK344" s="214"/>
      <c r="BL344" s="214"/>
      <c r="BM344" s="214"/>
      <c r="BN344" s="214"/>
      <c r="BO344" s="214"/>
      <c r="BP344" s="214"/>
      <c r="BQ344" s="214"/>
      <c r="BR344" s="214"/>
      <c r="BS344" s="214"/>
      <c r="BT344" s="214"/>
      <c r="BU344" s="214"/>
      <c r="BV344" s="214"/>
      <c r="BW344" s="214"/>
      <c r="BX344" s="223" t="s">
        <v>10</v>
      </c>
      <c r="BY344" s="222">
        <f>((D344+F344)*H344)/2</f>
        <v>55.813499999999998</v>
      </c>
      <c r="BZ344" s="204"/>
      <c r="CA344" s="204"/>
      <c r="CB344" s="204"/>
      <c r="CC344" s="200"/>
      <c r="CD344" s="202"/>
      <c r="CE344" s="201"/>
      <c r="CF344" s="200"/>
      <c r="CG344" s="202"/>
      <c r="CH344" s="201"/>
      <c r="CI344" s="201"/>
      <c r="CJ344" s="201"/>
      <c r="CK344" s="198"/>
      <c r="CL344" s="200"/>
      <c r="CM344" s="199"/>
      <c r="CN344" s="198"/>
    </row>
    <row r="345" spans="1:92">
      <c r="A345" s="208"/>
      <c r="B345" s="207"/>
      <c r="C345" s="221"/>
      <c r="D345" s="220" t="s">
        <v>307</v>
      </c>
      <c r="E345" s="219"/>
      <c r="F345" s="219"/>
      <c r="G345" s="219"/>
      <c r="H345" s="219"/>
      <c r="I345" s="219"/>
      <c r="J345" s="219"/>
      <c r="K345" s="219"/>
      <c r="L345" s="219"/>
      <c r="M345" s="219"/>
      <c r="N345" s="219"/>
      <c r="O345" s="219"/>
      <c r="P345" s="219"/>
      <c r="Q345" s="219"/>
      <c r="R345" s="219"/>
      <c r="S345" s="219"/>
      <c r="T345" s="219"/>
      <c r="U345" s="219"/>
      <c r="V345" s="219"/>
      <c r="W345" s="219"/>
      <c r="X345" s="219"/>
      <c r="Y345" s="219"/>
      <c r="Z345" s="219"/>
      <c r="AA345" s="219"/>
      <c r="AB345" s="219"/>
      <c r="AC345" s="219"/>
      <c r="AD345" s="219"/>
      <c r="AE345" s="219"/>
      <c r="AF345" s="219"/>
      <c r="AG345" s="219"/>
      <c r="AH345" s="219"/>
      <c r="AI345" s="219"/>
      <c r="AJ345" s="219"/>
      <c r="AK345" s="219"/>
      <c r="AL345" s="219"/>
      <c r="AM345" s="219"/>
      <c r="AN345" s="219"/>
      <c r="AO345" s="219"/>
      <c r="AP345" s="219"/>
      <c r="AQ345" s="219"/>
      <c r="AR345" s="219"/>
      <c r="AS345" s="219"/>
      <c r="AT345" s="219"/>
      <c r="AU345" s="219"/>
      <c r="AV345" s="219"/>
      <c r="AW345" s="219"/>
      <c r="AX345" s="219"/>
      <c r="AY345" s="219"/>
      <c r="AZ345" s="219"/>
      <c r="BA345" s="219"/>
      <c r="BB345" s="219"/>
      <c r="BC345" s="219"/>
      <c r="BD345" s="219"/>
      <c r="BE345" s="219"/>
      <c r="BF345" s="219"/>
      <c r="BG345" s="219"/>
      <c r="BH345" s="219"/>
      <c r="BI345" s="219"/>
      <c r="BJ345" s="219"/>
      <c r="BK345" s="219"/>
      <c r="BL345" s="219"/>
      <c r="BM345" s="219"/>
      <c r="BN345" s="219"/>
      <c r="BO345" s="219"/>
      <c r="BP345" s="219"/>
      <c r="BQ345" s="219"/>
      <c r="BR345" s="219"/>
      <c r="BS345" s="219"/>
      <c r="BT345" s="219"/>
      <c r="BU345" s="219"/>
      <c r="BV345" s="219"/>
      <c r="BW345" s="218"/>
      <c r="BX345" s="217" t="s">
        <v>10</v>
      </c>
      <c r="BY345" s="216">
        <f>SUM(BY319:BY344)</f>
        <v>304.81440000000009</v>
      </c>
      <c r="BZ345" s="204"/>
      <c r="CA345" s="204"/>
      <c r="CB345" s="204"/>
      <c r="CC345" s="200"/>
      <c r="CD345" s="202"/>
      <c r="CE345" s="201"/>
      <c r="CF345" s="200"/>
      <c r="CG345" s="202"/>
      <c r="CH345" s="201"/>
      <c r="CI345" s="201"/>
      <c r="CJ345" s="201"/>
      <c r="CK345" s="198"/>
      <c r="CL345" s="200"/>
      <c r="CM345" s="199"/>
      <c r="CN345" s="198"/>
    </row>
    <row r="346" spans="1:92" ht="20.149999999999999" customHeight="1">
      <c r="A346" s="210">
        <v>9</v>
      </c>
      <c r="B346" s="209" t="s">
        <v>81</v>
      </c>
      <c r="C346" s="209"/>
      <c r="D346" s="209"/>
      <c r="E346" s="209"/>
      <c r="F346" s="209"/>
      <c r="G346" s="209"/>
      <c r="H346" s="209"/>
      <c r="I346" s="209"/>
      <c r="J346" s="209"/>
      <c r="K346" s="209"/>
      <c r="L346" s="209"/>
      <c r="M346" s="209"/>
      <c r="N346" s="209"/>
      <c r="O346" s="209"/>
      <c r="P346" s="209"/>
      <c r="Q346" s="209"/>
      <c r="R346" s="209"/>
      <c r="S346" s="209"/>
      <c r="T346" s="209"/>
      <c r="U346" s="209"/>
      <c r="V346" s="209"/>
      <c r="W346" s="209"/>
      <c r="X346" s="209"/>
      <c r="Y346" s="209"/>
      <c r="Z346" s="209"/>
      <c r="AA346" s="209"/>
      <c r="AB346" s="209"/>
      <c r="AC346" s="209"/>
      <c r="AD346" s="209"/>
      <c r="AE346" s="209"/>
      <c r="AF346" s="209"/>
      <c r="AG346" s="209"/>
      <c r="AH346" s="209"/>
      <c r="AI346" s="209"/>
      <c r="AJ346" s="209"/>
      <c r="AK346" s="209"/>
      <c r="AL346" s="209"/>
      <c r="AM346" s="209"/>
      <c r="AN346" s="209"/>
      <c r="AO346" s="209"/>
      <c r="AP346" s="209"/>
      <c r="AQ346" s="209"/>
      <c r="AR346" s="209"/>
      <c r="AS346" s="209"/>
      <c r="AT346" s="209"/>
      <c r="AU346" s="209"/>
      <c r="AV346" s="209"/>
      <c r="AW346" s="209"/>
      <c r="AX346" s="209"/>
      <c r="AY346" s="209"/>
      <c r="AZ346" s="209"/>
      <c r="BA346" s="209"/>
      <c r="BB346" s="209"/>
      <c r="BC346" s="209"/>
      <c r="BD346" s="209"/>
      <c r="BE346" s="209"/>
      <c r="BF346" s="209"/>
      <c r="BG346" s="209"/>
      <c r="BH346" s="209"/>
      <c r="BI346" s="209"/>
      <c r="BJ346" s="209"/>
      <c r="BK346" s="209"/>
      <c r="BL346" s="209"/>
      <c r="BM346" s="209"/>
      <c r="BN346" s="209"/>
      <c r="BO346" s="209"/>
      <c r="BP346" s="209"/>
      <c r="BQ346" s="209"/>
      <c r="BR346" s="209"/>
      <c r="BS346" s="209"/>
      <c r="BT346" s="209"/>
      <c r="BU346" s="209"/>
      <c r="BV346" s="209"/>
      <c r="BW346" s="209"/>
      <c r="BX346" s="209"/>
      <c r="BY346" s="209"/>
      <c r="BZ346" s="204"/>
      <c r="CA346" s="204"/>
      <c r="CB346" s="204"/>
      <c r="CC346" s="204"/>
      <c r="CD346" s="204"/>
      <c r="CE346" s="204"/>
      <c r="CF346" s="204"/>
      <c r="CG346" s="204"/>
      <c r="CH346" s="204"/>
      <c r="CI346" s="204"/>
      <c r="CJ346" s="204"/>
      <c r="CK346" s="204"/>
      <c r="CL346" s="204"/>
      <c r="CM346" s="204"/>
      <c r="CN346" s="204"/>
    </row>
    <row r="347" spans="1:92" ht="56">
      <c r="A347" s="208" t="s">
        <v>80</v>
      </c>
      <c r="B347" s="213">
        <v>101492</v>
      </c>
      <c r="C347" s="206" t="s">
        <v>79</v>
      </c>
      <c r="D347" s="212" t="s">
        <v>306</v>
      </c>
      <c r="E347" s="212"/>
      <c r="F347" s="212"/>
      <c r="G347" s="212"/>
      <c r="H347" s="212"/>
      <c r="I347" s="212"/>
      <c r="J347" s="212"/>
      <c r="K347" s="212"/>
      <c r="L347" s="212"/>
      <c r="M347" s="212"/>
      <c r="N347" s="212"/>
      <c r="O347" s="212"/>
      <c r="P347" s="212"/>
      <c r="Q347" s="212"/>
      <c r="R347" s="212"/>
      <c r="S347" s="212"/>
      <c r="T347" s="212"/>
      <c r="U347" s="212"/>
      <c r="V347" s="212"/>
      <c r="W347" s="212"/>
      <c r="X347" s="212"/>
      <c r="Y347" s="212"/>
      <c r="Z347" s="212"/>
      <c r="AA347" s="212"/>
      <c r="AB347" s="212"/>
      <c r="AC347" s="212"/>
      <c r="AD347" s="212"/>
      <c r="AE347" s="212"/>
      <c r="AF347" s="212"/>
      <c r="AG347" s="212"/>
      <c r="AH347" s="212"/>
      <c r="AI347" s="212"/>
      <c r="AJ347" s="212"/>
      <c r="AK347" s="212"/>
      <c r="AL347" s="212"/>
      <c r="AM347" s="212"/>
      <c r="AN347" s="212"/>
      <c r="AO347" s="212"/>
      <c r="AP347" s="212"/>
      <c r="AQ347" s="212"/>
      <c r="AR347" s="212"/>
      <c r="AS347" s="212"/>
      <c r="AT347" s="212"/>
      <c r="AU347" s="212"/>
      <c r="AV347" s="212"/>
      <c r="AW347" s="212"/>
      <c r="AX347" s="212"/>
      <c r="AY347" s="212"/>
      <c r="AZ347" s="212"/>
      <c r="BA347" s="212"/>
      <c r="BB347" s="212"/>
      <c r="BC347" s="212"/>
      <c r="BD347" s="212"/>
      <c r="BE347" s="212"/>
      <c r="BF347" s="212"/>
      <c r="BG347" s="212"/>
      <c r="BH347" s="212"/>
      <c r="BI347" s="212"/>
      <c r="BJ347" s="212"/>
      <c r="BK347" s="212"/>
      <c r="BL347" s="212"/>
      <c r="BM347" s="212"/>
      <c r="BN347" s="212"/>
      <c r="BO347" s="212"/>
      <c r="BP347" s="212"/>
      <c r="BQ347" s="212"/>
      <c r="BR347" s="212"/>
      <c r="BS347" s="212"/>
      <c r="BT347" s="212"/>
      <c r="BU347" s="212"/>
      <c r="BV347" s="212"/>
      <c r="BW347" s="212"/>
      <c r="BX347" s="212"/>
      <c r="BY347" s="212"/>
      <c r="BZ347" s="204"/>
      <c r="CA347" s="204"/>
      <c r="CB347" s="204"/>
      <c r="CC347" s="200"/>
      <c r="CD347" s="202"/>
      <c r="CE347" s="201"/>
      <c r="CF347" s="200"/>
      <c r="CG347" s="202"/>
      <c r="CH347" s="201"/>
      <c r="CI347" s="201"/>
      <c r="CJ347" s="201"/>
      <c r="CK347" s="198">
        <f>TRUNC(AL347*CJ347)+0</f>
        <v>0</v>
      </c>
      <c r="CL347" s="200"/>
      <c r="CM347" s="199">
        <f>TRUNC(CL347*AK347,2)</f>
        <v>0</v>
      </c>
      <c r="CN347" s="198">
        <f>TRUNC(CM347*AL347)+0</f>
        <v>0</v>
      </c>
    </row>
    <row r="348" spans="1:92" ht="28">
      <c r="A348" s="208" t="s">
        <v>78</v>
      </c>
      <c r="B348" s="213">
        <v>93660</v>
      </c>
      <c r="C348" s="206" t="s">
        <v>77</v>
      </c>
      <c r="D348" s="212" t="s">
        <v>306</v>
      </c>
      <c r="E348" s="212"/>
      <c r="F348" s="212"/>
      <c r="G348" s="212"/>
      <c r="H348" s="212"/>
      <c r="I348" s="212"/>
      <c r="J348" s="212"/>
      <c r="K348" s="212"/>
      <c r="L348" s="212"/>
      <c r="M348" s="212"/>
      <c r="N348" s="212"/>
      <c r="O348" s="212"/>
      <c r="P348" s="212"/>
      <c r="Q348" s="212"/>
      <c r="R348" s="212"/>
      <c r="S348" s="212"/>
      <c r="T348" s="212"/>
      <c r="U348" s="212"/>
      <c r="V348" s="212"/>
      <c r="W348" s="212"/>
      <c r="X348" s="212"/>
      <c r="Y348" s="212"/>
      <c r="Z348" s="212"/>
      <c r="AA348" s="212"/>
      <c r="AB348" s="212"/>
      <c r="AC348" s="212"/>
      <c r="AD348" s="212"/>
      <c r="AE348" s="212"/>
      <c r="AF348" s="212"/>
      <c r="AG348" s="212"/>
      <c r="AH348" s="212"/>
      <c r="AI348" s="212"/>
      <c r="AJ348" s="212"/>
      <c r="AK348" s="212"/>
      <c r="AL348" s="212"/>
      <c r="AM348" s="212"/>
      <c r="AN348" s="212"/>
      <c r="AO348" s="212"/>
      <c r="AP348" s="212"/>
      <c r="AQ348" s="212"/>
      <c r="AR348" s="212"/>
      <c r="AS348" s="212"/>
      <c r="AT348" s="212"/>
      <c r="AU348" s="212"/>
      <c r="AV348" s="212"/>
      <c r="AW348" s="212"/>
      <c r="AX348" s="212"/>
      <c r="AY348" s="212"/>
      <c r="AZ348" s="212"/>
      <c r="BA348" s="212"/>
      <c r="BB348" s="212"/>
      <c r="BC348" s="212"/>
      <c r="BD348" s="212"/>
      <c r="BE348" s="212"/>
      <c r="BF348" s="212"/>
      <c r="BG348" s="212"/>
      <c r="BH348" s="212"/>
      <c r="BI348" s="212"/>
      <c r="BJ348" s="212"/>
      <c r="BK348" s="212"/>
      <c r="BL348" s="212"/>
      <c r="BM348" s="212"/>
      <c r="BN348" s="212"/>
      <c r="BO348" s="212"/>
      <c r="BP348" s="212"/>
      <c r="BQ348" s="212"/>
      <c r="BR348" s="212"/>
      <c r="BS348" s="212"/>
      <c r="BT348" s="212"/>
      <c r="BU348" s="212"/>
      <c r="BV348" s="212"/>
      <c r="BW348" s="212"/>
      <c r="BX348" s="212"/>
      <c r="BY348" s="212"/>
      <c r="BZ348" s="204"/>
      <c r="CA348" s="204"/>
      <c r="CB348" s="204"/>
      <c r="CC348" s="200"/>
      <c r="CD348" s="202"/>
      <c r="CE348" s="201"/>
      <c r="CF348" s="200"/>
      <c r="CG348" s="202"/>
      <c r="CH348" s="201"/>
      <c r="CI348" s="201"/>
      <c r="CJ348" s="201"/>
      <c r="CK348" s="198">
        <f>TRUNC(AL348*CJ348)+0</f>
        <v>0</v>
      </c>
      <c r="CL348" s="200"/>
      <c r="CM348" s="199">
        <f>TRUNC(CL348*AK348,2)</f>
        <v>0</v>
      </c>
      <c r="CN348" s="198">
        <f>TRUNC(CM348*AL348)+0</f>
        <v>0</v>
      </c>
    </row>
    <row r="349" spans="1:92" ht="84">
      <c r="A349" s="208" t="s">
        <v>76</v>
      </c>
      <c r="B349" s="213">
        <v>104473</v>
      </c>
      <c r="C349" s="206" t="s">
        <v>75</v>
      </c>
      <c r="D349" s="212" t="s">
        <v>306</v>
      </c>
      <c r="E349" s="212"/>
      <c r="F349" s="212"/>
      <c r="G349" s="212"/>
      <c r="H349" s="212"/>
      <c r="I349" s="212"/>
      <c r="J349" s="212"/>
      <c r="K349" s="212"/>
      <c r="L349" s="212"/>
      <c r="M349" s="212"/>
      <c r="N349" s="212"/>
      <c r="O349" s="212"/>
      <c r="P349" s="212"/>
      <c r="Q349" s="212"/>
      <c r="R349" s="212"/>
      <c r="S349" s="212"/>
      <c r="T349" s="212"/>
      <c r="U349" s="212"/>
      <c r="V349" s="212"/>
      <c r="W349" s="212"/>
      <c r="X349" s="212"/>
      <c r="Y349" s="212"/>
      <c r="Z349" s="212"/>
      <c r="AA349" s="212"/>
      <c r="AB349" s="212"/>
      <c r="AC349" s="212"/>
      <c r="AD349" s="212"/>
      <c r="AE349" s="212"/>
      <c r="AF349" s="212"/>
      <c r="AG349" s="212"/>
      <c r="AH349" s="212"/>
      <c r="AI349" s="212"/>
      <c r="AJ349" s="212"/>
      <c r="AK349" s="212"/>
      <c r="AL349" s="212"/>
      <c r="AM349" s="212"/>
      <c r="AN349" s="212"/>
      <c r="AO349" s="212"/>
      <c r="AP349" s="212"/>
      <c r="AQ349" s="212"/>
      <c r="AR349" s="212"/>
      <c r="AS349" s="212"/>
      <c r="AT349" s="212"/>
      <c r="AU349" s="212"/>
      <c r="AV349" s="212"/>
      <c r="AW349" s="212"/>
      <c r="AX349" s="212"/>
      <c r="AY349" s="212"/>
      <c r="AZ349" s="212"/>
      <c r="BA349" s="212"/>
      <c r="BB349" s="212"/>
      <c r="BC349" s="212"/>
      <c r="BD349" s="212"/>
      <c r="BE349" s="212"/>
      <c r="BF349" s="212"/>
      <c r="BG349" s="212"/>
      <c r="BH349" s="212"/>
      <c r="BI349" s="212"/>
      <c r="BJ349" s="212"/>
      <c r="BK349" s="212"/>
      <c r="BL349" s="212"/>
      <c r="BM349" s="212"/>
      <c r="BN349" s="212"/>
      <c r="BO349" s="212"/>
      <c r="BP349" s="212"/>
      <c r="BQ349" s="212"/>
      <c r="BR349" s="212"/>
      <c r="BS349" s="212"/>
      <c r="BT349" s="212"/>
      <c r="BU349" s="212"/>
      <c r="BV349" s="212"/>
      <c r="BW349" s="212"/>
      <c r="BX349" s="212"/>
      <c r="BY349" s="212"/>
      <c r="BZ349" s="204"/>
      <c r="CA349" s="204"/>
      <c r="CB349" s="204"/>
      <c r="CC349" s="200"/>
      <c r="CD349" s="202"/>
      <c r="CE349" s="201"/>
      <c r="CF349" s="200"/>
      <c r="CG349" s="202"/>
      <c r="CH349" s="201"/>
      <c r="CI349" s="201"/>
      <c r="CJ349" s="201"/>
      <c r="CK349" s="198">
        <f>TRUNC(AL349*CJ349)+0</f>
        <v>0</v>
      </c>
      <c r="CL349" s="200"/>
      <c r="CM349" s="199">
        <f>TRUNC(CL349*AK349,2)</f>
        <v>0</v>
      </c>
      <c r="CN349" s="198">
        <f>TRUNC(CM349*AL349)+0</f>
        <v>0</v>
      </c>
    </row>
    <row r="350" spans="1:92" ht="28">
      <c r="A350" s="208" t="s">
        <v>74</v>
      </c>
      <c r="B350" s="213">
        <v>93664</v>
      </c>
      <c r="C350" s="206" t="s">
        <v>73</v>
      </c>
      <c r="D350" s="212" t="s">
        <v>306</v>
      </c>
      <c r="E350" s="212"/>
      <c r="F350" s="212"/>
      <c r="G350" s="212"/>
      <c r="H350" s="212"/>
      <c r="I350" s="212"/>
      <c r="J350" s="212"/>
      <c r="K350" s="212"/>
      <c r="L350" s="212"/>
      <c r="M350" s="212"/>
      <c r="N350" s="212"/>
      <c r="O350" s="212"/>
      <c r="P350" s="212"/>
      <c r="Q350" s="212"/>
      <c r="R350" s="212"/>
      <c r="S350" s="212"/>
      <c r="T350" s="212"/>
      <c r="U350" s="212"/>
      <c r="V350" s="212"/>
      <c r="W350" s="212"/>
      <c r="X350" s="212"/>
      <c r="Y350" s="212"/>
      <c r="Z350" s="212"/>
      <c r="AA350" s="212"/>
      <c r="AB350" s="212"/>
      <c r="AC350" s="212"/>
      <c r="AD350" s="212"/>
      <c r="AE350" s="212"/>
      <c r="AF350" s="212"/>
      <c r="AG350" s="212"/>
      <c r="AH350" s="212"/>
      <c r="AI350" s="212"/>
      <c r="AJ350" s="212"/>
      <c r="AK350" s="212"/>
      <c r="AL350" s="212"/>
      <c r="AM350" s="212"/>
      <c r="AN350" s="212"/>
      <c r="AO350" s="212"/>
      <c r="AP350" s="212"/>
      <c r="AQ350" s="212"/>
      <c r="AR350" s="212"/>
      <c r="AS350" s="212"/>
      <c r="AT350" s="212"/>
      <c r="AU350" s="212"/>
      <c r="AV350" s="212"/>
      <c r="AW350" s="212"/>
      <c r="AX350" s="212"/>
      <c r="AY350" s="212"/>
      <c r="AZ350" s="212"/>
      <c r="BA350" s="212"/>
      <c r="BB350" s="212"/>
      <c r="BC350" s="212"/>
      <c r="BD350" s="212"/>
      <c r="BE350" s="212"/>
      <c r="BF350" s="212"/>
      <c r="BG350" s="212"/>
      <c r="BH350" s="212"/>
      <c r="BI350" s="212"/>
      <c r="BJ350" s="212"/>
      <c r="BK350" s="212"/>
      <c r="BL350" s="212"/>
      <c r="BM350" s="212"/>
      <c r="BN350" s="212"/>
      <c r="BO350" s="212"/>
      <c r="BP350" s="212"/>
      <c r="BQ350" s="212"/>
      <c r="BR350" s="212"/>
      <c r="BS350" s="212"/>
      <c r="BT350" s="212"/>
      <c r="BU350" s="212"/>
      <c r="BV350" s="212"/>
      <c r="BW350" s="212"/>
      <c r="BX350" s="212"/>
      <c r="BY350" s="212"/>
      <c r="BZ350" s="204"/>
      <c r="CA350" s="204"/>
      <c r="CB350" s="204"/>
      <c r="CC350" s="200"/>
      <c r="CD350" s="202"/>
      <c r="CE350" s="201"/>
      <c r="CF350" s="200"/>
      <c r="CG350" s="202"/>
      <c r="CH350" s="201"/>
      <c r="CI350" s="201"/>
      <c r="CJ350" s="201"/>
      <c r="CK350" s="198">
        <f>TRUNC(AL350*CJ350)+0</f>
        <v>0</v>
      </c>
      <c r="CL350" s="200"/>
      <c r="CM350" s="199">
        <f>TRUNC(CL350*AK350,2)</f>
        <v>0</v>
      </c>
      <c r="CN350" s="198">
        <f>TRUNC(CM350*AL350)+0</f>
        <v>0</v>
      </c>
    </row>
    <row r="351" spans="1:92" ht="28">
      <c r="A351" s="208" t="s">
        <v>72</v>
      </c>
      <c r="B351" s="213">
        <v>93854</v>
      </c>
      <c r="C351" s="206" t="s">
        <v>71</v>
      </c>
      <c r="D351" s="212" t="s">
        <v>306</v>
      </c>
      <c r="E351" s="212"/>
      <c r="F351" s="212"/>
      <c r="G351" s="212"/>
      <c r="H351" s="212"/>
      <c r="I351" s="212"/>
      <c r="J351" s="212"/>
      <c r="K351" s="212"/>
      <c r="L351" s="212"/>
      <c r="M351" s="212"/>
      <c r="N351" s="212"/>
      <c r="O351" s="212"/>
      <c r="P351" s="212"/>
      <c r="Q351" s="212"/>
      <c r="R351" s="212"/>
      <c r="S351" s="212"/>
      <c r="T351" s="212"/>
      <c r="U351" s="212"/>
      <c r="V351" s="212"/>
      <c r="W351" s="212"/>
      <c r="X351" s="212"/>
      <c r="Y351" s="212"/>
      <c r="Z351" s="212"/>
      <c r="AA351" s="212"/>
      <c r="AB351" s="212"/>
      <c r="AC351" s="212"/>
      <c r="AD351" s="212"/>
      <c r="AE351" s="212"/>
      <c r="AF351" s="212"/>
      <c r="AG351" s="212"/>
      <c r="AH351" s="212"/>
      <c r="AI351" s="212"/>
      <c r="AJ351" s="212"/>
      <c r="AK351" s="212"/>
      <c r="AL351" s="212"/>
      <c r="AM351" s="212"/>
      <c r="AN351" s="212"/>
      <c r="AO351" s="212"/>
      <c r="AP351" s="212"/>
      <c r="AQ351" s="212"/>
      <c r="AR351" s="212"/>
      <c r="AS351" s="212"/>
      <c r="AT351" s="212"/>
      <c r="AU351" s="212"/>
      <c r="AV351" s="212"/>
      <c r="AW351" s="212"/>
      <c r="AX351" s="212"/>
      <c r="AY351" s="212"/>
      <c r="AZ351" s="212"/>
      <c r="BA351" s="212"/>
      <c r="BB351" s="212"/>
      <c r="BC351" s="212"/>
      <c r="BD351" s="212"/>
      <c r="BE351" s="212"/>
      <c r="BF351" s="212"/>
      <c r="BG351" s="212"/>
      <c r="BH351" s="212"/>
      <c r="BI351" s="212"/>
      <c r="BJ351" s="212"/>
      <c r="BK351" s="212"/>
      <c r="BL351" s="212"/>
      <c r="BM351" s="212"/>
      <c r="BN351" s="212"/>
      <c r="BO351" s="212"/>
      <c r="BP351" s="212"/>
      <c r="BQ351" s="212"/>
      <c r="BR351" s="212"/>
      <c r="BS351" s="212"/>
      <c r="BT351" s="212"/>
      <c r="BU351" s="212"/>
      <c r="BV351" s="212"/>
      <c r="BW351" s="212"/>
      <c r="BX351" s="212"/>
      <c r="BY351" s="212"/>
      <c r="BZ351" s="204"/>
      <c r="CA351" s="204"/>
      <c r="CB351" s="204"/>
      <c r="CC351" s="200"/>
      <c r="CD351" s="202"/>
      <c r="CE351" s="201"/>
      <c r="CF351" s="200"/>
      <c r="CG351" s="202"/>
      <c r="CH351" s="201"/>
      <c r="CI351" s="201"/>
      <c r="CJ351" s="201"/>
      <c r="CK351" s="198">
        <f>TRUNC(AL351*CJ351)+0</f>
        <v>0</v>
      </c>
      <c r="CL351" s="200"/>
      <c r="CM351" s="199">
        <f>TRUNC(CL351*AK351,2)</f>
        <v>0</v>
      </c>
      <c r="CN351" s="198">
        <f>TRUNC(CM351*AL351)+0</f>
        <v>0</v>
      </c>
    </row>
    <row r="352" spans="1:92" ht="84">
      <c r="A352" s="208" t="s">
        <v>70</v>
      </c>
      <c r="B352" s="213">
        <v>104478</v>
      </c>
      <c r="C352" s="206" t="s">
        <v>69</v>
      </c>
      <c r="D352" s="212" t="s">
        <v>306</v>
      </c>
      <c r="E352" s="212"/>
      <c r="F352" s="212"/>
      <c r="G352" s="212"/>
      <c r="H352" s="212"/>
      <c r="I352" s="212"/>
      <c r="J352" s="212"/>
      <c r="K352" s="212"/>
      <c r="L352" s="212"/>
      <c r="M352" s="212"/>
      <c r="N352" s="212"/>
      <c r="O352" s="212"/>
      <c r="P352" s="212"/>
      <c r="Q352" s="212"/>
      <c r="R352" s="212"/>
      <c r="S352" s="212"/>
      <c r="T352" s="212"/>
      <c r="U352" s="212"/>
      <c r="V352" s="212"/>
      <c r="W352" s="212"/>
      <c r="X352" s="212"/>
      <c r="Y352" s="212"/>
      <c r="Z352" s="212"/>
      <c r="AA352" s="212"/>
      <c r="AB352" s="212"/>
      <c r="AC352" s="212"/>
      <c r="AD352" s="212"/>
      <c r="AE352" s="212"/>
      <c r="AF352" s="212"/>
      <c r="AG352" s="212"/>
      <c r="AH352" s="212"/>
      <c r="AI352" s="212"/>
      <c r="AJ352" s="212"/>
      <c r="AK352" s="212"/>
      <c r="AL352" s="212"/>
      <c r="AM352" s="212"/>
      <c r="AN352" s="212"/>
      <c r="AO352" s="212"/>
      <c r="AP352" s="212"/>
      <c r="AQ352" s="212"/>
      <c r="AR352" s="212"/>
      <c r="AS352" s="212"/>
      <c r="AT352" s="212"/>
      <c r="AU352" s="212"/>
      <c r="AV352" s="212"/>
      <c r="AW352" s="212"/>
      <c r="AX352" s="212"/>
      <c r="AY352" s="212"/>
      <c r="AZ352" s="212"/>
      <c r="BA352" s="212"/>
      <c r="BB352" s="212"/>
      <c r="BC352" s="212"/>
      <c r="BD352" s="212"/>
      <c r="BE352" s="212"/>
      <c r="BF352" s="212"/>
      <c r="BG352" s="212"/>
      <c r="BH352" s="212"/>
      <c r="BI352" s="212"/>
      <c r="BJ352" s="212"/>
      <c r="BK352" s="212"/>
      <c r="BL352" s="212"/>
      <c r="BM352" s="212"/>
      <c r="BN352" s="212"/>
      <c r="BO352" s="212"/>
      <c r="BP352" s="212"/>
      <c r="BQ352" s="212"/>
      <c r="BR352" s="212"/>
      <c r="BS352" s="212"/>
      <c r="BT352" s="212"/>
      <c r="BU352" s="212"/>
      <c r="BV352" s="212"/>
      <c r="BW352" s="212"/>
      <c r="BX352" s="212"/>
      <c r="BY352" s="212"/>
      <c r="BZ352" s="204"/>
      <c r="CA352" s="204"/>
      <c r="CB352" s="204"/>
      <c r="CC352" s="200"/>
      <c r="CD352" s="202"/>
      <c r="CE352" s="201"/>
      <c r="CF352" s="200"/>
      <c r="CG352" s="202"/>
      <c r="CH352" s="201"/>
      <c r="CI352" s="201"/>
      <c r="CJ352" s="201"/>
      <c r="CK352" s="198">
        <f>TRUNC(AL352*CJ352)+0</f>
        <v>0</v>
      </c>
      <c r="CL352" s="200"/>
      <c r="CM352" s="199">
        <f>TRUNC(CL352*AK352,2)</f>
        <v>0</v>
      </c>
      <c r="CN352" s="198">
        <f>TRUNC(CM352*AL352)+0</f>
        <v>0</v>
      </c>
    </row>
    <row r="353" spans="1:92" ht="70">
      <c r="A353" s="208" t="s">
        <v>68</v>
      </c>
      <c r="B353" s="213">
        <v>104475</v>
      </c>
      <c r="C353" s="206" t="s">
        <v>67</v>
      </c>
      <c r="D353" s="212" t="s">
        <v>306</v>
      </c>
      <c r="E353" s="212"/>
      <c r="F353" s="212"/>
      <c r="G353" s="212"/>
      <c r="H353" s="212"/>
      <c r="I353" s="212"/>
      <c r="J353" s="212"/>
      <c r="K353" s="212"/>
      <c r="L353" s="212"/>
      <c r="M353" s="212"/>
      <c r="N353" s="212"/>
      <c r="O353" s="212"/>
      <c r="P353" s="212"/>
      <c r="Q353" s="212"/>
      <c r="R353" s="212"/>
      <c r="S353" s="212"/>
      <c r="T353" s="212"/>
      <c r="U353" s="212"/>
      <c r="V353" s="212"/>
      <c r="W353" s="212"/>
      <c r="X353" s="212"/>
      <c r="Y353" s="212"/>
      <c r="Z353" s="212"/>
      <c r="AA353" s="212"/>
      <c r="AB353" s="212"/>
      <c r="AC353" s="212"/>
      <c r="AD353" s="212"/>
      <c r="AE353" s="212"/>
      <c r="AF353" s="212"/>
      <c r="AG353" s="212"/>
      <c r="AH353" s="212"/>
      <c r="AI353" s="212"/>
      <c r="AJ353" s="212"/>
      <c r="AK353" s="212"/>
      <c r="AL353" s="212"/>
      <c r="AM353" s="212"/>
      <c r="AN353" s="212"/>
      <c r="AO353" s="212"/>
      <c r="AP353" s="212"/>
      <c r="AQ353" s="212"/>
      <c r="AR353" s="212"/>
      <c r="AS353" s="212"/>
      <c r="AT353" s="212"/>
      <c r="AU353" s="212"/>
      <c r="AV353" s="212"/>
      <c r="AW353" s="212"/>
      <c r="AX353" s="212"/>
      <c r="AY353" s="212"/>
      <c r="AZ353" s="212"/>
      <c r="BA353" s="212"/>
      <c r="BB353" s="212"/>
      <c r="BC353" s="212"/>
      <c r="BD353" s="212"/>
      <c r="BE353" s="212"/>
      <c r="BF353" s="212"/>
      <c r="BG353" s="212"/>
      <c r="BH353" s="212"/>
      <c r="BI353" s="212"/>
      <c r="BJ353" s="212"/>
      <c r="BK353" s="212"/>
      <c r="BL353" s="212"/>
      <c r="BM353" s="212"/>
      <c r="BN353" s="212"/>
      <c r="BO353" s="212"/>
      <c r="BP353" s="212"/>
      <c r="BQ353" s="212"/>
      <c r="BR353" s="212"/>
      <c r="BS353" s="212"/>
      <c r="BT353" s="212"/>
      <c r="BU353" s="212"/>
      <c r="BV353" s="212"/>
      <c r="BW353" s="212"/>
      <c r="BX353" s="212"/>
      <c r="BY353" s="212"/>
      <c r="BZ353" s="204"/>
      <c r="CA353" s="204"/>
      <c r="CB353" s="204"/>
      <c r="CC353" s="200"/>
      <c r="CD353" s="202"/>
      <c r="CE353" s="201"/>
      <c r="CF353" s="200"/>
      <c r="CG353" s="202"/>
      <c r="CH353" s="201"/>
      <c r="CI353" s="201"/>
      <c r="CJ353" s="201"/>
      <c r="CK353" s="198">
        <f>TRUNC(AL353*CJ353)+0</f>
        <v>0</v>
      </c>
      <c r="CL353" s="200"/>
      <c r="CM353" s="199">
        <f>TRUNC(CL353*AK353,2)</f>
        <v>0</v>
      </c>
      <c r="CN353" s="198">
        <f>TRUNC(CM353*AL353)+0</f>
        <v>0</v>
      </c>
    </row>
    <row r="354" spans="1:92" ht="42">
      <c r="A354" s="208" t="s">
        <v>66</v>
      </c>
      <c r="B354" s="213">
        <v>97589</v>
      </c>
      <c r="C354" s="206" t="s">
        <v>65</v>
      </c>
      <c r="D354" s="212" t="s">
        <v>306</v>
      </c>
      <c r="E354" s="212"/>
      <c r="F354" s="212"/>
      <c r="G354" s="212"/>
      <c r="H354" s="212"/>
      <c r="I354" s="212"/>
      <c r="J354" s="212"/>
      <c r="K354" s="212"/>
      <c r="L354" s="212"/>
      <c r="M354" s="212"/>
      <c r="N354" s="212"/>
      <c r="O354" s="212"/>
      <c r="P354" s="212"/>
      <c r="Q354" s="212"/>
      <c r="R354" s="212"/>
      <c r="S354" s="212"/>
      <c r="T354" s="212"/>
      <c r="U354" s="212"/>
      <c r="V354" s="212"/>
      <c r="W354" s="212"/>
      <c r="X354" s="212"/>
      <c r="Y354" s="212"/>
      <c r="Z354" s="212"/>
      <c r="AA354" s="212"/>
      <c r="AB354" s="212"/>
      <c r="AC354" s="212"/>
      <c r="AD354" s="212"/>
      <c r="AE354" s="212"/>
      <c r="AF354" s="212"/>
      <c r="AG354" s="212"/>
      <c r="AH354" s="212"/>
      <c r="AI354" s="212"/>
      <c r="AJ354" s="212"/>
      <c r="AK354" s="212"/>
      <c r="AL354" s="212"/>
      <c r="AM354" s="212"/>
      <c r="AN354" s="212"/>
      <c r="AO354" s="212"/>
      <c r="AP354" s="212"/>
      <c r="AQ354" s="212"/>
      <c r="AR354" s="212"/>
      <c r="AS354" s="212"/>
      <c r="AT354" s="212"/>
      <c r="AU354" s="212"/>
      <c r="AV354" s="212"/>
      <c r="AW354" s="212"/>
      <c r="AX354" s="212"/>
      <c r="AY354" s="212"/>
      <c r="AZ354" s="212"/>
      <c r="BA354" s="212"/>
      <c r="BB354" s="212"/>
      <c r="BC354" s="212"/>
      <c r="BD354" s="212"/>
      <c r="BE354" s="212"/>
      <c r="BF354" s="212"/>
      <c r="BG354" s="212"/>
      <c r="BH354" s="212"/>
      <c r="BI354" s="212"/>
      <c r="BJ354" s="212"/>
      <c r="BK354" s="212"/>
      <c r="BL354" s="212"/>
      <c r="BM354" s="212"/>
      <c r="BN354" s="212"/>
      <c r="BO354" s="212"/>
      <c r="BP354" s="212"/>
      <c r="BQ354" s="212"/>
      <c r="BR354" s="212"/>
      <c r="BS354" s="212"/>
      <c r="BT354" s="212"/>
      <c r="BU354" s="212"/>
      <c r="BV354" s="212"/>
      <c r="BW354" s="212"/>
      <c r="BX354" s="212"/>
      <c r="BY354" s="212"/>
      <c r="BZ354" s="204"/>
      <c r="CA354" s="204"/>
      <c r="CB354" s="204"/>
      <c r="CC354" s="200"/>
      <c r="CD354" s="202"/>
      <c r="CE354" s="201"/>
      <c r="CF354" s="200"/>
      <c r="CG354" s="202"/>
      <c r="CH354" s="201"/>
      <c r="CI354" s="201"/>
      <c r="CJ354" s="201"/>
      <c r="CK354" s="198">
        <f>TRUNC(AL354*CJ354)+0</f>
        <v>0</v>
      </c>
      <c r="CL354" s="200"/>
      <c r="CM354" s="199">
        <f>TRUNC(CL354*AK354,2)</f>
        <v>0</v>
      </c>
      <c r="CN354" s="198">
        <f>TRUNC(CM354*AL354)+0</f>
        <v>0</v>
      </c>
    </row>
    <row r="355" spans="1:92" ht="56">
      <c r="A355" s="208" t="s">
        <v>64</v>
      </c>
      <c r="B355" s="213">
        <v>101560</v>
      </c>
      <c r="C355" s="206" t="s">
        <v>63</v>
      </c>
      <c r="D355" s="212" t="s">
        <v>306</v>
      </c>
      <c r="E355" s="212"/>
      <c r="F355" s="212"/>
      <c r="G355" s="212"/>
      <c r="H355" s="212"/>
      <c r="I355" s="212"/>
      <c r="J355" s="212"/>
      <c r="K355" s="212"/>
      <c r="L355" s="212"/>
      <c r="M355" s="212"/>
      <c r="N355" s="212"/>
      <c r="O355" s="212"/>
      <c r="P355" s="212"/>
      <c r="Q355" s="212"/>
      <c r="R355" s="212"/>
      <c r="S355" s="212"/>
      <c r="T355" s="212"/>
      <c r="U355" s="212"/>
      <c r="V355" s="212"/>
      <c r="W355" s="212"/>
      <c r="X355" s="212"/>
      <c r="Y355" s="212"/>
      <c r="Z355" s="212"/>
      <c r="AA355" s="212"/>
      <c r="AB355" s="212"/>
      <c r="AC355" s="212"/>
      <c r="AD355" s="212"/>
      <c r="AE355" s="212"/>
      <c r="AF355" s="212"/>
      <c r="AG355" s="212"/>
      <c r="AH355" s="212"/>
      <c r="AI355" s="212"/>
      <c r="AJ355" s="212"/>
      <c r="AK355" s="212"/>
      <c r="AL355" s="212"/>
      <c r="AM355" s="212"/>
      <c r="AN355" s="212"/>
      <c r="AO355" s="212"/>
      <c r="AP355" s="212"/>
      <c r="AQ355" s="212"/>
      <c r="AR355" s="212"/>
      <c r="AS355" s="212"/>
      <c r="AT355" s="212"/>
      <c r="AU355" s="212"/>
      <c r="AV355" s="212"/>
      <c r="AW355" s="212"/>
      <c r="AX355" s="212"/>
      <c r="AY355" s="212"/>
      <c r="AZ355" s="212"/>
      <c r="BA355" s="212"/>
      <c r="BB355" s="212"/>
      <c r="BC355" s="212"/>
      <c r="BD355" s="212"/>
      <c r="BE355" s="212"/>
      <c r="BF355" s="212"/>
      <c r="BG355" s="212"/>
      <c r="BH355" s="212"/>
      <c r="BI355" s="212"/>
      <c r="BJ355" s="212"/>
      <c r="BK355" s="212"/>
      <c r="BL355" s="212"/>
      <c r="BM355" s="212"/>
      <c r="BN355" s="212"/>
      <c r="BO355" s="212"/>
      <c r="BP355" s="212"/>
      <c r="BQ355" s="212"/>
      <c r="BR355" s="212"/>
      <c r="BS355" s="212"/>
      <c r="BT355" s="212"/>
      <c r="BU355" s="212"/>
      <c r="BV355" s="212"/>
      <c r="BW355" s="212"/>
      <c r="BX355" s="212"/>
      <c r="BY355" s="212"/>
      <c r="BZ355" s="204"/>
      <c r="CA355" s="204"/>
      <c r="CB355" s="204"/>
      <c r="CC355" s="200"/>
      <c r="CD355" s="202"/>
      <c r="CE355" s="201"/>
      <c r="CF355" s="200"/>
      <c r="CG355" s="202"/>
      <c r="CH355" s="201"/>
      <c r="CI355" s="201"/>
      <c r="CJ355" s="201"/>
      <c r="CK355" s="198">
        <f>TRUNC(AL355*CJ355)+0</f>
        <v>0</v>
      </c>
      <c r="CL355" s="200"/>
      <c r="CM355" s="199">
        <f>TRUNC(CL355*AK355,2)</f>
        <v>0</v>
      </c>
      <c r="CN355" s="198">
        <f>TRUNC(CM355*AL355)+0</f>
        <v>0</v>
      </c>
    </row>
    <row r="356" spans="1:92" ht="28">
      <c r="A356" s="208" t="s">
        <v>61</v>
      </c>
      <c r="B356" s="213">
        <v>7996</v>
      </c>
      <c r="C356" s="206" t="s">
        <v>60</v>
      </c>
      <c r="D356" s="212" t="s">
        <v>306</v>
      </c>
      <c r="E356" s="212"/>
      <c r="F356" s="212"/>
      <c r="G356" s="212"/>
      <c r="H356" s="212"/>
      <c r="I356" s="212"/>
      <c r="J356" s="212"/>
      <c r="K356" s="212"/>
      <c r="L356" s="212"/>
      <c r="M356" s="212"/>
      <c r="N356" s="212"/>
      <c r="O356" s="212"/>
      <c r="P356" s="212"/>
      <c r="Q356" s="212"/>
      <c r="R356" s="212"/>
      <c r="S356" s="212"/>
      <c r="T356" s="212"/>
      <c r="U356" s="212"/>
      <c r="V356" s="212"/>
      <c r="W356" s="212"/>
      <c r="X356" s="212"/>
      <c r="Y356" s="212"/>
      <c r="Z356" s="212"/>
      <c r="AA356" s="212"/>
      <c r="AB356" s="212"/>
      <c r="AC356" s="212"/>
      <c r="AD356" s="212"/>
      <c r="AE356" s="212"/>
      <c r="AF356" s="212"/>
      <c r="AG356" s="212"/>
      <c r="AH356" s="212"/>
      <c r="AI356" s="212"/>
      <c r="AJ356" s="212"/>
      <c r="AK356" s="212"/>
      <c r="AL356" s="212"/>
      <c r="AM356" s="212"/>
      <c r="AN356" s="212"/>
      <c r="AO356" s="212"/>
      <c r="AP356" s="212"/>
      <c r="AQ356" s="212"/>
      <c r="AR356" s="212"/>
      <c r="AS356" s="212"/>
      <c r="AT356" s="212"/>
      <c r="AU356" s="212"/>
      <c r="AV356" s="212"/>
      <c r="AW356" s="212"/>
      <c r="AX356" s="212"/>
      <c r="AY356" s="212"/>
      <c r="AZ356" s="212"/>
      <c r="BA356" s="212"/>
      <c r="BB356" s="212"/>
      <c r="BC356" s="212"/>
      <c r="BD356" s="212"/>
      <c r="BE356" s="212"/>
      <c r="BF356" s="212"/>
      <c r="BG356" s="212"/>
      <c r="BH356" s="212"/>
      <c r="BI356" s="212"/>
      <c r="BJ356" s="212"/>
      <c r="BK356" s="212"/>
      <c r="BL356" s="212"/>
      <c r="BM356" s="212"/>
      <c r="BN356" s="212"/>
      <c r="BO356" s="212"/>
      <c r="BP356" s="212"/>
      <c r="BQ356" s="212"/>
      <c r="BR356" s="212"/>
      <c r="BS356" s="212"/>
      <c r="BT356" s="212"/>
      <c r="BU356" s="212"/>
      <c r="BV356" s="212"/>
      <c r="BW356" s="212"/>
      <c r="BX356" s="212"/>
      <c r="BY356" s="212"/>
      <c r="BZ356" s="204"/>
      <c r="CA356" s="204"/>
      <c r="CB356" s="204"/>
      <c r="CC356" s="200"/>
      <c r="CD356" s="202"/>
      <c r="CE356" s="201"/>
      <c r="CF356" s="200"/>
      <c r="CG356" s="202"/>
      <c r="CH356" s="201"/>
      <c r="CI356" s="201"/>
      <c r="CJ356" s="201"/>
      <c r="CK356" s="198">
        <f>TRUNC(AL356*CJ356)+0</f>
        <v>0</v>
      </c>
      <c r="CL356" s="200"/>
      <c r="CM356" s="199">
        <f>TRUNC(CL356*AK356,2)</f>
        <v>0</v>
      </c>
      <c r="CN356" s="198">
        <f>TRUNC(CM356*AL356)+0</f>
        <v>0</v>
      </c>
    </row>
    <row r="357" spans="1:92" ht="20.149999999999999" customHeight="1">
      <c r="A357" s="210">
        <v>10</v>
      </c>
      <c r="B357" s="209" t="s">
        <v>59</v>
      </c>
      <c r="C357" s="209"/>
      <c r="D357" s="209"/>
      <c r="E357" s="209"/>
      <c r="F357" s="209"/>
      <c r="G357" s="209"/>
      <c r="H357" s="209"/>
      <c r="I357" s="209"/>
      <c r="J357" s="209"/>
      <c r="K357" s="209"/>
      <c r="L357" s="209"/>
      <c r="M357" s="209"/>
      <c r="N357" s="209"/>
      <c r="O357" s="209"/>
      <c r="P357" s="209"/>
      <c r="Q357" s="209"/>
      <c r="R357" s="209"/>
      <c r="S357" s="209"/>
      <c r="T357" s="209"/>
      <c r="U357" s="209"/>
      <c r="V357" s="209"/>
      <c r="W357" s="209"/>
      <c r="X357" s="209"/>
      <c r="Y357" s="209"/>
      <c r="Z357" s="209"/>
      <c r="AA357" s="209"/>
      <c r="AB357" s="209"/>
      <c r="AC357" s="209"/>
      <c r="AD357" s="209"/>
      <c r="AE357" s="209"/>
      <c r="AF357" s="209"/>
      <c r="AG357" s="209"/>
      <c r="AH357" s="209"/>
      <c r="AI357" s="209"/>
      <c r="AJ357" s="209"/>
      <c r="AK357" s="209"/>
      <c r="AL357" s="209"/>
      <c r="AM357" s="209"/>
      <c r="AN357" s="209"/>
      <c r="AO357" s="209"/>
      <c r="AP357" s="209"/>
      <c r="AQ357" s="209"/>
      <c r="AR357" s="209"/>
      <c r="AS357" s="209"/>
      <c r="AT357" s="209"/>
      <c r="AU357" s="209"/>
      <c r="AV357" s="209"/>
      <c r="AW357" s="209"/>
      <c r="AX357" s="209"/>
      <c r="AY357" s="209"/>
      <c r="AZ357" s="209"/>
      <c r="BA357" s="209"/>
      <c r="BB357" s="209"/>
      <c r="BC357" s="209"/>
      <c r="BD357" s="209"/>
      <c r="BE357" s="209"/>
      <c r="BF357" s="209"/>
      <c r="BG357" s="209"/>
      <c r="BH357" s="209"/>
      <c r="BI357" s="209"/>
      <c r="BJ357" s="209"/>
      <c r="BK357" s="209"/>
      <c r="BL357" s="209"/>
      <c r="BM357" s="209"/>
      <c r="BN357" s="209"/>
      <c r="BO357" s="209"/>
      <c r="BP357" s="209"/>
      <c r="BQ357" s="209"/>
      <c r="BR357" s="209"/>
      <c r="BS357" s="209"/>
      <c r="BT357" s="209"/>
      <c r="BU357" s="209"/>
      <c r="BV357" s="209"/>
      <c r="BW357" s="209"/>
      <c r="BX357" s="209"/>
      <c r="BY357" s="209"/>
      <c r="BZ357" s="204"/>
      <c r="CA357" s="204"/>
      <c r="CB357" s="204"/>
      <c r="CC357" s="204"/>
      <c r="CD357" s="204"/>
      <c r="CE357" s="204"/>
      <c r="CF357" s="204"/>
      <c r="CG357" s="204"/>
      <c r="CH357" s="204"/>
      <c r="CI357" s="204"/>
      <c r="CJ357" s="204"/>
      <c r="CK357" s="204"/>
      <c r="CL357" s="204"/>
      <c r="CM357" s="204"/>
      <c r="CN357" s="204"/>
    </row>
    <row r="358" spans="1:92" ht="42">
      <c r="A358" s="208" t="s">
        <v>58</v>
      </c>
      <c r="B358" s="213">
        <v>103244</v>
      </c>
      <c r="C358" s="208" t="s">
        <v>57</v>
      </c>
      <c r="D358" s="205"/>
      <c r="E358" s="205"/>
      <c r="F358" s="205"/>
      <c r="G358" s="205"/>
      <c r="H358" s="205"/>
      <c r="I358" s="205"/>
      <c r="J358" s="205"/>
      <c r="K358" s="205"/>
      <c r="L358" s="205"/>
      <c r="M358" s="205"/>
      <c r="N358" s="205"/>
      <c r="O358" s="205"/>
      <c r="P358" s="205"/>
      <c r="Q358" s="205"/>
      <c r="R358" s="205"/>
      <c r="S358" s="205"/>
      <c r="T358" s="205"/>
      <c r="U358" s="205"/>
      <c r="V358" s="205"/>
      <c r="W358" s="205"/>
      <c r="X358" s="205"/>
      <c r="Y358" s="205"/>
      <c r="Z358" s="205"/>
      <c r="AA358" s="205"/>
      <c r="AB358" s="205"/>
      <c r="AC358" s="205"/>
      <c r="AD358" s="205"/>
      <c r="AE358" s="205"/>
      <c r="AF358" s="205"/>
      <c r="AG358" s="205"/>
      <c r="AH358" s="205"/>
      <c r="AI358" s="205"/>
      <c r="AJ358" s="205"/>
      <c r="AK358" s="205"/>
      <c r="AL358" s="205"/>
      <c r="AM358" s="205"/>
      <c r="AN358" s="205"/>
      <c r="AO358" s="205"/>
      <c r="AP358" s="205"/>
      <c r="AQ358" s="205"/>
      <c r="AR358" s="205"/>
      <c r="AS358" s="205"/>
      <c r="AT358" s="205"/>
      <c r="AU358" s="205"/>
      <c r="AV358" s="205"/>
      <c r="AW358" s="205"/>
      <c r="AX358" s="205"/>
      <c r="AY358" s="205"/>
      <c r="AZ358" s="205"/>
      <c r="BA358" s="205"/>
      <c r="BB358" s="205"/>
      <c r="BC358" s="205"/>
      <c r="BD358" s="205"/>
      <c r="BE358" s="205"/>
      <c r="BF358" s="205"/>
      <c r="BG358" s="205"/>
      <c r="BH358" s="205"/>
      <c r="BI358" s="205"/>
      <c r="BJ358" s="205"/>
      <c r="BK358" s="205"/>
      <c r="BL358" s="205"/>
      <c r="BM358" s="205"/>
      <c r="BN358" s="205"/>
      <c r="BO358" s="205"/>
      <c r="BP358" s="205"/>
      <c r="BQ358" s="205"/>
      <c r="BR358" s="205"/>
      <c r="BS358" s="205"/>
      <c r="BT358" s="205"/>
      <c r="BU358" s="205"/>
      <c r="BV358" s="205"/>
      <c r="BW358" s="205"/>
      <c r="BX358" s="205"/>
      <c r="BY358" s="205"/>
      <c r="BZ358" s="204"/>
      <c r="CA358" s="204"/>
      <c r="CB358" s="204"/>
      <c r="CC358" s="200"/>
      <c r="CD358" s="202"/>
      <c r="CE358" s="201"/>
      <c r="CF358" s="200"/>
      <c r="CG358" s="202"/>
      <c r="CH358" s="201"/>
      <c r="CI358" s="201"/>
      <c r="CJ358" s="201"/>
      <c r="CK358" s="198">
        <f>TRUNC(AL358*CJ358)+0</f>
        <v>0</v>
      </c>
      <c r="CL358" s="200"/>
      <c r="CM358" s="199">
        <f>TRUNC(CL358*AK358,2)</f>
        <v>0</v>
      </c>
      <c r="CN358" s="198">
        <f>TRUNC(CM358*AL358)+0</f>
        <v>0</v>
      </c>
    </row>
    <row r="359" spans="1:92" ht="28">
      <c r="A359" s="208" t="s">
        <v>56</v>
      </c>
      <c r="B359" s="215" t="s">
        <v>55</v>
      </c>
      <c r="C359" s="206" t="s">
        <v>54</v>
      </c>
      <c r="D359" s="212" t="s">
        <v>305</v>
      </c>
      <c r="E359" s="212"/>
      <c r="F359" s="212"/>
      <c r="G359" s="212"/>
      <c r="H359" s="212"/>
      <c r="I359" s="212"/>
      <c r="J359" s="212"/>
      <c r="K359" s="212"/>
      <c r="L359" s="212"/>
      <c r="M359" s="212"/>
      <c r="N359" s="212"/>
      <c r="O359" s="212"/>
      <c r="P359" s="212"/>
      <c r="Q359" s="212"/>
      <c r="R359" s="212"/>
      <c r="S359" s="212"/>
      <c r="T359" s="212"/>
      <c r="U359" s="212"/>
      <c r="V359" s="212"/>
      <c r="W359" s="212"/>
      <c r="X359" s="212"/>
      <c r="Y359" s="212"/>
      <c r="Z359" s="212"/>
      <c r="AA359" s="212"/>
      <c r="AB359" s="212"/>
      <c r="AC359" s="212"/>
      <c r="AD359" s="212"/>
      <c r="AE359" s="212"/>
      <c r="AF359" s="212"/>
      <c r="AG359" s="212"/>
      <c r="AH359" s="212"/>
      <c r="AI359" s="212"/>
      <c r="AJ359" s="212"/>
      <c r="AK359" s="212"/>
      <c r="AL359" s="212"/>
      <c r="AM359" s="212"/>
      <c r="AN359" s="212"/>
      <c r="AO359" s="212"/>
      <c r="AP359" s="212"/>
      <c r="AQ359" s="212"/>
      <c r="AR359" s="212"/>
      <c r="AS359" s="212"/>
      <c r="AT359" s="212"/>
      <c r="AU359" s="212"/>
      <c r="AV359" s="212"/>
      <c r="AW359" s="212"/>
      <c r="AX359" s="212"/>
      <c r="AY359" s="212"/>
      <c r="AZ359" s="212"/>
      <c r="BA359" s="212"/>
      <c r="BB359" s="212"/>
      <c r="BC359" s="212"/>
      <c r="BD359" s="212"/>
      <c r="BE359" s="212"/>
      <c r="BF359" s="212"/>
      <c r="BG359" s="212"/>
      <c r="BH359" s="212"/>
      <c r="BI359" s="212"/>
      <c r="BJ359" s="212"/>
      <c r="BK359" s="212"/>
      <c r="BL359" s="212"/>
      <c r="BM359" s="212"/>
      <c r="BN359" s="212"/>
      <c r="BO359" s="212"/>
      <c r="BP359" s="212"/>
      <c r="BQ359" s="212"/>
      <c r="BR359" s="212"/>
      <c r="BS359" s="212"/>
      <c r="BT359" s="212"/>
      <c r="BU359" s="212"/>
      <c r="BV359" s="212"/>
      <c r="BW359" s="212"/>
      <c r="BX359" s="212"/>
      <c r="BY359" s="212"/>
      <c r="BZ359" s="204"/>
      <c r="CA359" s="204"/>
      <c r="CB359" s="204"/>
      <c r="CC359" s="200"/>
      <c r="CD359" s="202"/>
      <c r="CE359" s="201"/>
      <c r="CF359" s="200"/>
      <c r="CG359" s="202"/>
      <c r="CH359" s="201"/>
      <c r="CI359" s="201"/>
      <c r="CJ359" s="201"/>
      <c r="CK359" s="198">
        <f>TRUNC(AL359*CJ359)+0</f>
        <v>0</v>
      </c>
      <c r="CL359" s="200"/>
      <c r="CM359" s="199">
        <f>TRUNC(CL359*AK359,2)</f>
        <v>0</v>
      </c>
      <c r="CN359" s="198">
        <f>TRUNC(CM359*AL359)+0</f>
        <v>0</v>
      </c>
    </row>
    <row r="360" spans="1:92" ht="20.149999999999999" customHeight="1">
      <c r="A360" s="210">
        <v>11</v>
      </c>
      <c r="B360" s="209" t="s">
        <v>52</v>
      </c>
      <c r="C360" s="209"/>
      <c r="D360" s="209"/>
      <c r="E360" s="209"/>
      <c r="F360" s="209"/>
      <c r="G360" s="209"/>
      <c r="H360" s="209"/>
      <c r="I360" s="209"/>
      <c r="J360" s="209"/>
      <c r="K360" s="209"/>
      <c r="L360" s="209"/>
      <c r="M360" s="209"/>
      <c r="N360" s="209"/>
      <c r="O360" s="209"/>
      <c r="P360" s="209"/>
      <c r="Q360" s="209"/>
      <c r="R360" s="209"/>
      <c r="S360" s="209"/>
      <c r="T360" s="209"/>
      <c r="U360" s="209"/>
      <c r="V360" s="209"/>
      <c r="W360" s="209"/>
      <c r="X360" s="209"/>
      <c r="Y360" s="209"/>
      <c r="Z360" s="209"/>
      <c r="AA360" s="209"/>
      <c r="AB360" s="209"/>
      <c r="AC360" s="209"/>
      <c r="AD360" s="209"/>
      <c r="AE360" s="209"/>
      <c r="AF360" s="209"/>
      <c r="AG360" s="209"/>
      <c r="AH360" s="209"/>
      <c r="AI360" s="209"/>
      <c r="AJ360" s="209"/>
      <c r="AK360" s="209"/>
      <c r="AL360" s="209"/>
      <c r="AM360" s="209"/>
      <c r="AN360" s="209"/>
      <c r="AO360" s="209"/>
      <c r="AP360" s="209"/>
      <c r="AQ360" s="209"/>
      <c r="AR360" s="209"/>
      <c r="AS360" s="209"/>
      <c r="AT360" s="209"/>
      <c r="AU360" s="209"/>
      <c r="AV360" s="209"/>
      <c r="AW360" s="209"/>
      <c r="AX360" s="209"/>
      <c r="AY360" s="209"/>
      <c r="AZ360" s="209"/>
      <c r="BA360" s="209"/>
      <c r="BB360" s="209"/>
      <c r="BC360" s="209"/>
      <c r="BD360" s="209"/>
      <c r="BE360" s="209"/>
      <c r="BF360" s="209"/>
      <c r="BG360" s="209"/>
      <c r="BH360" s="209"/>
      <c r="BI360" s="209"/>
      <c r="BJ360" s="209"/>
      <c r="BK360" s="209"/>
      <c r="BL360" s="209"/>
      <c r="BM360" s="209"/>
      <c r="BN360" s="209"/>
      <c r="BO360" s="209"/>
      <c r="BP360" s="209"/>
      <c r="BQ360" s="209"/>
      <c r="BR360" s="209"/>
      <c r="BS360" s="209"/>
      <c r="BT360" s="209"/>
      <c r="BU360" s="209"/>
      <c r="BV360" s="209"/>
      <c r="BW360" s="209"/>
      <c r="BX360" s="209"/>
      <c r="BY360" s="209"/>
      <c r="BZ360" s="204"/>
      <c r="CA360" s="204"/>
      <c r="CB360" s="204"/>
      <c r="CC360" s="204"/>
      <c r="CD360" s="204"/>
      <c r="CE360" s="204"/>
      <c r="CF360" s="204"/>
      <c r="CG360" s="204"/>
      <c r="CH360" s="204"/>
      <c r="CI360" s="204"/>
      <c r="CJ360" s="204"/>
      <c r="CK360" s="204"/>
      <c r="CL360" s="204"/>
      <c r="CM360" s="204"/>
      <c r="CN360" s="204"/>
    </row>
    <row r="361" spans="1:92" ht="42">
      <c r="A361" s="208" t="s">
        <v>51</v>
      </c>
      <c r="B361" s="207">
        <v>90823</v>
      </c>
      <c r="C361" s="206" t="s">
        <v>50</v>
      </c>
      <c r="D361" s="212" t="s">
        <v>304</v>
      </c>
      <c r="E361" s="212"/>
      <c r="F361" s="212"/>
      <c r="G361" s="212"/>
      <c r="H361" s="212"/>
      <c r="I361" s="212"/>
      <c r="J361" s="212"/>
      <c r="K361" s="212"/>
      <c r="L361" s="212"/>
      <c r="M361" s="212"/>
      <c r="N361" s="212"/>
      <c r="O361" s="212"/>
      <c r="P361" s="212"/>
      <c r="Q361" s="212"/>
      <c r="R361" s="212"/>
      <c r="S361" s="212"/>
      <c r="T361" s="212"/>
      <c r="U361" s="212"/>
      <c r="V361" s="212"/>
      <c r="W361" s="212"/>
      <c r="X361" s="212"/>
      <c r="Y361" s="212"/>
      <c r="Z361" s="212"/>
      <c r="AA361" s="212"/>
      <c r="AB361" s="212"/>
      <c r="AC361" s="212"/>
      <c r="AD361" s="212"/>
      <c r="AE361" s="212"/>
      <c r="AF361" s="212"/>
      <c r="AG361" s="212"/>
      <c r="AH361" s="212"/>
      <c r="AI361" s="212"/>
      <c r="AJ361" s="212"/>
      <c r="AK361" s="212"/>
      <c r="AL361" s="212"/>
      <c r="AM361" s="212"/>
      <c r="AN361" s="212"/>
      <c r="AO361" s="212"/>
      <c r="AP361" s="212"/>
      <c r="AQ361" s="212"/>
      <c r="AR361" s="212"/>
      <c r="AS361" s="212"/>
      <c r="AT361" s="212"/>
      <c r="AU361" s="212"/>
      <c r="AV361" s="212"/>
      <c r="AW361" s="212"/>
      <c r="AX361" s="212"/>
      <c r="AY361" s="212"/>
      <c r="AZ361" s="212"/>
      <c r="BA361" s="212"/>
      <c r="BB361" s="212"/>
      <c r="BC361" s="212"/>
      <c r="BD361" s="212"/>
      <c r="BE361" s="212"/>
      <c r="BF361" s="212"/>
      <c r="BG361" s="212"/>
      <c r="BH361" s="212"/>
      <c r="BI361" s="212"/>
      <c r="BJ361" s="212"/>
      <c r="BK361" s="212"/>
      <c r="BL361" s="212"/>
      <c r="BM361" s="212"/>
      <c r="BN361" s="212"/>
      <c r="BO361" s="212"/>
      <c r="BP361" s="212"/>
      <c r="BQ361" s="212"/>
      <c r="BR361" s="212"/>
      <c r="BS361" s="212"/>
      <c r="BT361" s="212"/>
      <c r="BU361" s="212"/>
      <c r="BV361" s="212"/>
      <c r="BW361" s="212"/>
      <c r="BX361" s="212"/>
      <c r="BY361" s="212"/>
      <c r="BZ361" s="200"/>
      <c r="CA361" s="202"/>
      <c r="CB361" s="201"/>
      <c r="CC361" s="200"/>
      <c r="CD361" s="202"/>
      <c r="CE361" s="201"/>
      <c r="CF361" s="200"/>
      <c r="CG361" s="202"/>
      <c r="CH361" s="201"/>
      <c r="CI361" s="201"/>
      <c r="CJ361" s="201"/>
      <c r="CK361" s="198">
        <f>TRUNC(AL361*CJ361)+0</f>
        <v>0</v>
      </c>
      <c r="CL361" s="200"/>
      <c r="CM361" s="199">
        <f>TRUNC(CL361*AK361,2)</f>
        <v>0</v>
      </c>
      <c r="CN361" s="198">
        <f>TRUNC(CM361*AL361)+0</f>
        <v>0</v>
      </c>
    </row>
    <row r="362" spans="1:92" ht="70">
      <c r="A362" s="208" t="s">
        <v>49</v>
      </c>
      <c r="B362" s="214">
        <v>94570</v>
      </c>
      <c r="C362" s="206" t="s">
        <v>48</v>
      </c>
      <c r="D362" s="212" t="s">
        <v>304</v>
      </c>
      <c r="E362" s="212"/>
      <c r="F362" s="212"/>
      <c r="G362" s="212"/>
      <c r="H362" s="212"/>
      <c r="I362" s="212"/>
      <c r="J362" s="212"/>
      <c r="K362" s="212"/>
      <c r="L362" s="212"/>
      <c r="M362" s="212"/>
      <c r="N362" s="212"/>
      <c r="O362" s="212"/>
      <c r="P362" s="212"/>
      <c r="Q362" s="212"/>
      <c r="R362" s="212"/>
      <c r="S362" s="212"/>
      <c r="T362" s="212"/>
      <c r="U362" s="212"/>
      <c r="V362" s="212"/>
      <c r="W362" s="212"/>
      <c r="X362" s="212"/>
      <c r="Y362" s="212"/>
      <c r="Z362" s="212"/>
      <c r="AA362" s="212"/>
      <c r="AB362" s="212"/>
      <c r="AC362" s="212"/>
      <c r="AD362" s="212"/>
      <c r="AE362" s="212"/>
      <c r="AF362" s="212"/>
      <c r="AG362" s="212"/>
      <c r="AH362" s="212"/>
      <c r="AI362" s="212"/>
      <c r="AJ362" s="212"/>
      <c r="AK362" s="212"/>
      <c r="AL362" s="212"/>
      <c r="AM362" s="212"/>
      <c r="AN362" s="212"/>
      <c r="AO362" s="212"/>
      <c r="AP362" s="212"/>
      <c r="AQ362" s="212"/>
      <c r="AR362" s="212"/>
      <c r="AS362" s="212"/>
      <c r="AT362" s="212"/>
      <c r="AU362" s="212"/>
      <c r="AV362" s="212"/>
      <c r="AW362" s="212"/>
      <c r="AX362" s="212"/>
      <c r="AY362" s="212"/>
      <c r="AZ362" s="212"/>
      <c r="BA362" s="212"/>
      <c r="BB362" s="212"/>
      <c r="BC362" s="212"/>
      <c r="BD362" s="212"/>
      <c r="BE362" s="212"/>
      <c r="BF362" s="212"/>
      <c r="BG362" s="212"/>
      <c r="BH362" s="212"/>
      <c r="BI362" s="212"/>
      <c r="BJ362" s="212"/>
      <c r="BK362" s="212"/>
      <c r="BL362" s="212"/>
      <c r="BM362" s="212"/>
      <c r="BN362" s="212"/>
      <c r="BO362" s="212"/>
      <c r="BP362" s="212"/>
      <c r="BQ362" s="212"/>
      <c r="BR362" s="212"/>
      <c r="BS362" s="212"/>
      <c r="BT362" s="212"/>
      <c r="BU362" s="212"/>
      <c r="BV362" s="212"/>
      <c r="BW362" s="212"/>
      <c r="BX362" s="212"/>
      <c r="BY362" s="212"/>
      <c r="BZ362" s="204"/>
      <c r="CA362" s="204"/>
      <c r="CB362" s="204"/>
      <c r="CC362" s="200"/>
      <c r="CD362" s="202"/>
      <c r="CE362" s="201"/>
      <c r="CF362" s="200"/>
      <c r="CG362" s="202"/>
      <c r="CH362" s="201"/>
      <c r="CI362" s="201"/>
      <c r="CJ362" s="201"/>
      <c r="CK362" s="198">
        <f>TRUNC(AL362*CJ362)+0</f>
        <v>0</v>
      </c>
      <c r="CL362" s="200"/>
      <c r="CM362" s="199">
        <f>TRUNC(CL362*AK362,2)</f>
        <v>0</v>
      </c>
      <c r="CN362" s="198">
        <f>TRUNC(CM362*AL362)+0</f>
        <v>0</v>
      </c>
    </row>
    <row r="363" spans="1:92" ht="42">
      <c r="A363" s="208" t="s">
        <v>47</v>
      </c>
      <c r="B363" s="207">
        <v>102185</v>
      </c>
      <c r="C363" s="206" t="s">
        <v>46</v>
      </c>
      <c r="D363" s="212" t="s">
        <v>304</v>
      </c>
      <c r="E363" s="212"/>
      <c r="F363" s="212"/>
      <c r="G363" s="212"/>
      <c r="H363" s="212"/>
      <c r="I363" s="212"/>
      <c r="J363" s="212"/>
      <c r="K363" s="212"/>
      <c r="L363" s="212"/>
      <c r="M363" s="212"/>
      <c r="N363" s="212"/>
      <c r="O363" s="212"/>
      <c r="P363" s="212"/>
      <c r="Q363" s="212"/>
      <c r="R363" s="212"/>
      <c r="S363" s="212"/>
      <c r="T363" s="212"/>
      <c r="U363" s="212"/>
      <c r="V363" s="212"/>
      <c r="W363" s="212"/>
      <c r="X363" s="212"/>
      <c r="Y363" s="212"/>
      <c r="Z363" s="212"/>
      <c r="AA363" s="212"/>
      <c r="AB363" s="212"/>
      <c r="AC363" s="212"/>
      <c r="AD363" s="212"/>
      <c r="AE363" s="212"/>
      <c r="AF363" s="212"/>
      <c r="AG363" s="212"/>
      <c r="AH363" s="212"/>
      <c r="AI363" s="212"/>
      <c r="AJ363" s="212"/>
      <c r="AK363" s="212"/>
      <c r="AL363" s="212"/>
      <c r="AM363" s="212"/>
      <c r="AN363" s="212"/>
      <c r="AO363" s="212"/>
      <c r="AP363" s="212"/>
      <c r="AQ363" s="212"/>
      <c r="AR363" s="212"/>
      <c r="AS363" s="212"/>
      <c r="AT363" s="212"/>
      <c r="AU363" s="212"/>
      <c r="AV363" s="212"/>
      <c r="AW363" s="212"/>
      <c r="AX363" s="212"/>
      <c r="AY363" s="212"/>
      <c r="AZ363" s="212"/>
      <c r="BA363" s="212"/>
      <c r="BB363" s="212"/>
      <c r="BC363" s="212"/>
      <c r="BD363" s="212"/>
      <c r="BE363" s="212"/>
      <c r="BF363" s="212"/>
      <c r="BG363" s="212"/>
      <c r="BH363" s="212"/>
      <c r="BI363" s="212"/>
      <c r="BJ363" s="212"/>
      <c r="BK363" s="212"/>
      <c r="BL363" s="212"/>
      <c r="BM363" s="212"/>
      <c r="BN363" s="212"/>
      <c r="BO363" s="212"/>
      <c r="BP363" s="212"/>
      <c r="BQ363" s="212"/>
      <c r="BR363" s="212"/>
      <c r="BS363" s="212"/>
      <c r="BT363" s="212"/>
      <c r="BU363" s="212"/>
      <c r="BV363" s="212"/>
      <c r="BW363" s="212"/>
      <c r="BX363" s="212"/>
      <c r="BY363" s="212"/>
      <c r="BZ363" s="204"/>
      <c r="CA363" s="204"/>
      <c r="CB363" s="204"/>
      <c r="CC363" s="200"/>
      <c r="CD363" s="202"/>
      <c r="CE363" s="201"/>
      <c r="CF363" s="200"/>
      <c r="CG363" s="202"/>
      <c r="CH363" s="201"/>
      <c r="CI363" s="201"/>
      <c r="CJ363" s="201"/>
      <c r="CK363" s="198">
        <f>TRUNC(AL363*CJ363)+0</f>
        <v>0</v>
      </c>
      <c r="CL363" s="200"/>
      <c r="CM363" s="199">
        <f>TRUNC(CL363*AK363,2)</f>
        <v>0</v>
      </c>
      <c r="CN363" s="198">
        <f>TRUNC(CM363*AL363)+0</f>
        <v>0</v>
      </c>
    </row>
    <row r="364" spans="1:92" ht="42">
      <c r="A364" s="208" t="s">
        <v>45</v>
      </c>
      <c r="B364" s="207">
        <v>102184</v>
      </c>
      <c r="C364" s="206" t="s">
        <v>44</v>
      </c>
      <c r="D364" s="212" t="s">
        <v>304</v>
      </c>
      <c r="E364" s="212"/>
      <c r="F364" s="212"/>
      <c r="G364" s="212"/>
      <c r="H364" s="212"/>
      <c r="I364" s="212"/>
      <c r="J364" s="212"/>
      <c r="K364" s="212"/>
      <c r="L364" s="212"/>
      <c r="M364" s="212"/>
      <c r="N364" s="212"/>
      <c r="O364" s="212"/>
      <c r="P364" s="212"/>
      <c r="Q364" s="212"/>
      <c r="R364" s="212"/>
      <c r="S364" s="212"/>
      <c r="T364" s="212"/>
      <c r="U364" s="212"/>
      <c r="V364" s="212"/>
      <c r="W364" s="212"/>
      <c r="X364" s="212"/>
      <c r="Y364" s="212"/>
      <c r="Z364" s="212"/>
      <c r="AA364" s="212"/>
      <c r="AB364" s="212"/>
      <c r="AC364" s="212"/>
      <c r="AD364" s="212"/>
      <c r="AE364" s="212"/>
      <c r="AF364" s="212"/>
      <c r="AG364" s="212"/>
      <c r="AH364" s="212"/>
      <c r="AI364" s="212"/>
      <c r="AJ364" s="212"/>
      <c r="AK364" s="212"/>
      <c r="AL364" s="212"/>
      <c r="AM364" s="212"/>
      <c r="AN364" s="212"/>
      <c r="AO364" s="212"/>
      <c r="AP364" s="212"/>
      <c r="AQ364" s="212"/>
      <c r="AR364" s="212"/>
      <c r="AS364" s="212"/>
      <c r="AT364" s="212"/>
      <c r="AU364" s="212"/>
      <c r="AV364" s="212"/>
      <c r="AW364" s="212"/>
      <c r="AX364" s="212"/>
      <c r="AY364" s="212"/>
      <c r="AZ364" s="212"/>
      <c r="BA364" s="212"/>
      <c r="BB364" s="212"/>
      <c r="BC364" s="212"/>
      <c r="BD364" s="212"/>
      <c r="BE364" s="212"/>
      <c r="BF364" s="212"/>
      <c r="BG364" s="212"/>
      <c r="BH364" s="212"/>
      <c r="BI364" s="212"/>
      <c r="BJ364" s="212"/>
      <c r="BK364" s="212"/>
      <c r="BL364" s="212"/>
      <c r="BM364" s="212"/>
      <c r="BN364" s="212"/>
      <c r="BO364" s="212"/>
      <c r="BP364" s="212"/>
      <c r="BQ364" s="212"/>
      <c r="BR364" s="212"/>
      <c r="BS364" s="212"/>
      <c r="BT364" s="212"/>
      <c r="BU364" s="212"/>
      <c r="BV364" s="212"/>
      <c r="BW364" s="212"/>
      <c r="BX364" s="212"/>
      <c r="BY364" s="212"/>
      <c r="BZ364" s="204"/>
      <c r="CA364" s="204"/>
      <c r="CB364" s="204"/>
      <c r="CC364" s="200"/>
      <c r="CD364" s="202"/>
      <c r="CE364" s="201"/>
      <c r="CF364" s="200"/>
      <c r="CG364" s="202"/>
      <c r="CH364" s="201"/>
      <c r="CI364" s="201"/>
      <c r="CJ364" s="201"/>
      <c r="CK364" s="198">
        <f>TRUNC(AL364*CJ364)+0</f>
        <v>0</v>
      </c>
      <c r="CL364" s="200"/>
      <c r="CM364" s="199">
        <f>TRUNC(CL364*AK364,2)</f>
        <v>0</v>
      </c>
      <c r="CN364" s="198">
        <f>TRUNC(CM364*AL364)+0</f>
        <v>0</v>
      </c>
    </row>
    <row r="365" spans="1:92" ht="42">
      <c r="A365" s="208" t="s">
        <v>42</v>
      </c>
      <c r="B365" s="207">
        <v>91338</v>
      </c>
      <c r="C365" s="206" t="s">
        <v>41</v>
      </c>
      <c r="D365" s="212" t="s">
        <v>304</v>
      </c>
      <c r="E365" s="212"/>
      <c r="F365" s="212"/>
      <c r="G365" s="212"/>
      <c r="H365" s="212"/>
      <c r="I365" s="212"/>
      <c r="J365" s="212"/>
      <c r="K365" s="212"/>
      <c r="L365" s="212"/>
      <c r="M365" s="212"/>
      <c r="N365" s="212"/>
      <c r="O365" s="212"/>
      <c r="P365" s="212"/>
      <c r="Q365" s="212"/>
      <c r="R365" s="212"/>
      <c r="S365" s="212"/>
      <c r="T365" s="212"/>
      <c r="U365" s="212"/>
      <c r="V365" s="212"/>
      <c r="W365" s="212"/>
      <c r="X365" s="212"/>
      <c r="Y365" s="212"/>
      <c r="Z365" s="212"/>
      <c r="AA365" s="212"/>
      <c r="AB365" s="212"/>
      <c r="AC365" s="212"/>
      <c r="AD365" s="212"/>
      <c r="AE365" s="212"/>
      <c r="AF365" s="212"/>
      <c r="AG365" s="212"/>
      <c r="AH365" s="212"/>
      <c r="AI365" s="212"/>
      <c r="AJ365" s="212"/>
      <c r="AK365" s="212"/>
      <c r="AL365" s="212"/>
      <c r="AM365" s="212"/>
      <c r="AN365" s="212"/>
      <c r="AO365" s="212"/>
      <c r="AP365" s="212"/>
      <c r="AQ365" s="212"/>
      <c r="AR365" s="212"/>
      <c r="AS365" s="212"/>
      <c r="AT365" s="212"/>
      <c r="AU365" s="212"/>
      <c r="AV365" s="212"/>
      <c r="AW365" s="212"/>
      <c r="AX365" s="212"/>
      <c r="AY365" s="212"/>
      <c r="AZ365" s="212"/>
      <c r="BA365" s="212"/>
      <c r="BB365" s="212"/>
      <c r="BC365" s="212"/>
      <c r="BD365" s="212"/>
      <c r="BE365" s="212"/>
      <c r="BF365" s="212"/>
      <c r="BG365" s="212"/>
      <c r="BH365" s="212"/>
      <c r="BI365" s="212"/>
      <c r="BJ365" s="212"/>
      <c r="BK365" s="212"/>
      <c r="BL365" s="212"/>
      <c r="BM365" s="212"/>
      <c r="BN365" s="212"/>
      <c r="BO365" s="212"/>
      <c r="BP365" s="212"/>
      <c r="BQ365" s="212"/>
      <c r="BR365" s="212"/>
      <c r="BS365" s="212"/>
      <c r="BT365" s="212"/>
      <c r="BU365" s="212"/>
      <c r="BV365" s="212"/>
      <c r="BW365" s="212"/>
      <c r="BX365" s="212"/>
      <c r="BY365" s="212"/>
      <c r="BZ365" s="204"/>
      <c r="CA365" s="204"/>
      <c r="CB365" s="204"/>
      <c r="CC365" s="200"/>
      <c r="CD365" s="202"/>
      <c r="CE365" s="201"/>
      <c r="CF365" s="200"/>
      <c r="CG365" s="202"/>
      <c r="CH365" s="201"/>
      <c r="CI365" s="201"/>
      <c r="CJ365" s="201"/>
      <c r="CK365" s="198">
        <f>TRUNC(AL365*CJ365)+0</f>
        <v>0</v>
      </c>
      <c r="CL365" s="200"/>
      <c r="CM365" s="199">
        <f>TRUNC(CL365*AK365,2)</f>
        <v>0</v>
      </c>
      <c r="CN365" s="198">
        <f>TRUNC(CM365*AL365)+0</f>
        <v>0</v>
      </c>
    </row>
    <row r="366" spans="1:92" ht="70">
      <c r="A366" s="208" t="s">
        <v>40</v>
      </c>
      <c r="B366" s="207">
        <v>94559</v>
      </c>
      <c r="C366" s="206" t="s">
        <v>39</v>
      </c>
      <c r="D366" s="212" t="s">
        <v>304</v>
      </c>
      <c r="E366" s="212"/>
      <c r="F366" s="212"/>
      <c r="G366" s="212"/>
      <c r="H366" s="212"/>
      <c r="I366" s="212"/>
      <c r="J366" s="212"/>
      <c r="K366" s="212"/>
      <c r="L366" s="212"/>
      <c r="M366" s="212"/>
      <c r="N366" s="212"/>
      <c r="O366" s="212"/>
      <c r="P366" s="212"/>
      <c r="Q366" s="212"/>
      <c r="R366" s="212"/>
      <c r="S366" s="212"/>
      <c r="T366" s="212"/>
      <c r="U366" s="212"/>
      <c r="V366" s="212"/>
      <c r="W366" s="212"/>
      <c r="X366" s="212"/>
      <c r="Y366" s="212"/>
      <c r="Z366" s="212"/>
      <c r="AA366" s="212"/>
      <c r="AB366" s="212"/>
      <c r="AC366" s="212"/>
      <c r="AD366" s="212"/>
      <c r="AE366" s="212"/>
      <c r="AF366" s="212"/>
      <c r="AG366" s="212"/>
      <c r="AH366" s="212"/>
      <c r="AI366" s="212"/>
      <c r="AJ366" s="212"/>
      <c r="AK366" s="212"/>
      <c r="AL366" s="212"/>
      <c r="AM366" s="212"/>
      <c r="AN366" s="212"/>
      <c r="AO366" s="212"/>
      <c r="AP366" s="212"/>
      <c r="AQ366" s="212"/>
      <c r="AR366" s="212"/>
      <c r="AS366" s="212"/>
      <c r="AT366" s="212"/>
      <c r="AU366" s="212"/>
      <c r="AV366" s="212"/>
      <c r="AW366" s="212"/>
      <c r="AX366" s="212"/>
      <c r="AY366" s="212"/>
      <c r="AZ366" s="212"/>
      <c r="BA366" s="212"/>
      <c r="BB366" s="212"/>
      <c r="BC366" s="212"/>
      <c r="BD366" s="212"/>
      <c r="BE366" s="212"/>
      <c r="BF366" s="212"/>
      <c r="BG366" s="212"/>
      <c r="BH366" s="212"/>
      <c r="BI366" s="212"/>
      <c r="BJ366" s="212"/>
      <c r="BK366" s="212"/>
      <c r="BL366" s="212"/>
      <c r="BM366" s="212"/>
      <c r="BN366" s="212"/>
      <c r="BO366" s="212"/>
      <c r="BP366" s="212"/>
      <c r="BQ366" s="212"/>
      <c r="BR366" s="212"/>
      <c r="BS366" s="212"/>
      <c r="BT366" s="212"/>
      <c r="BU366" s="212"/>
      <c r="BV366" s="212"/>
      <c r="BW366" s="212"/>
      <c r="BX366" s="212"/>
      <c r="BY366" s="212"/>
      <c r="BZ366" s="204"/>
      <c r="CA366" s="204"/>
      <c r="CB366" s="204"/>
      <c r="CC366" s="200"/>
      <c r="CD366" s="202"/>
      <c r="CE366" s="201"/>
      <c r="CF366" s="200"/>
      <c r="CG366" s="202"/>
      <c r="CH366" s="201"/>
      <c r="CI366" s="201"/>
      <c r="CJ366" s="201"/>
      <c r="CK366" s="198">
        <f>TRUNC(AL366*CJ366)+0</f>
        <v>0</v>
      </c>
      <c r="CL366" s="200"/>
      <c r="CM366" s="199">
        <f>TRUNC(CL366*AK366,2)</f>
        <v>0</v>
      </c>
      <c r="CN366" s="198">
        <f>TRUNC(CM366*AL366)+0</f>
        <v>0</v>
      </c>
    </row>
    <row r="367" spans="1:92" ht="56">
      <c r="A367" s="208" t="s">
        <v>38</v>
      </c>
      <c r="B367" s="207">
        <v>94562</v>
      </c>
      <c r="C367" s="206" t="s">
        <v>37</v>
      </c>
      <c r="D367" s="212" t="s">
        <v>304</v>
      </c>
      <c r="E367" s="212"/>
      <c r="F367" s="212"/>
      <c r="G367" s="212"/>
      <c r="H367" s="212"/>
      <c r="I367" s="212"/>
      <c r="J367" s="212"/>
      <c r="K367" s="212"/>
      <c r="L367" s="212"/>
      <c r="M367" s="212"/>
      <c r="N367" s="212"/>
      <c r="O367" s="212"/>
      <c r="P367" s="212"/>
      <c r="Q367" s="212"/>
      <c r="R367" s="212"/>
      <c r="S367" s="212"/>
      <c r="T367" s="212"/>
      <c r="U367" s="212"/>
      <c r="V367" s="212"/>
      <c r="W367" s="212"/>
      <c r="X367" s="212"/>
      <c r="Y367" s="212"/>
      <c r="Z367" s="212"/>
      <c r="AA367" s="212"/>
      <c r="AB367" s="212"/>
      <c r="AC367" s="212"/>
      <c r="AD367" s="212"/>
      <c r="AE367" s="212"/>
      <c r="AF367" s="212"/>
      <c r="AG367" s="212"/>
      <c r="AH367" s="212"/>
      <c r="AI367" s="212"/>
      <c r="AJ367" s="212"/>
      <c r="AK367" s="212"/>
      <c r="AL367" s="212"/>
      <c r="AM367" s="212"/>
      <c r="AN367" s="212"/>
      <c r="AO367" s="212"/>
      <c r="AP367" s="212"/>
      <c r="AQ367" s="212"/>
      <c r="AR367" s="212"/>
      <c r="AS367" s="212"/>
      <c r="AT367" s="212"/>
      <c r="AU367" s="212"/>
      <c r="AV367" s="212"/>
      <c r="AW367" s="212"/>
      <c r="AX367" s="212"/>
      <c r="AY367" s="212"/>
      <c r="AZ367" s="212"/>
      <c r="BA367" s="212"/>
      <c r="BB367" s="212"/>
      <c r="BC367" s="212"/>
      <c r="BD367" s="212"/>
      <c r="BE367" s="212"/>
      <c r="BF367" s="212"/>
      <c r="BG367" s="212"/>
      <c r="BH367" s="212"/>
      <c r="BI367" s="212"/>
      <c r="BJ367" s="212"/>
      <c r="BK367" s="212"/>
      <c r="BL367" s="212"/>
      <c r="BM367" s="212"/>
      <c r="BN367" s="212"/>
      <c r="BO367" s="212"/>
      <c r="BP367" s="212"/>
      <c r="BQ367" s="212"/>
      <c r="BR367" s="212"/>
      <c r="BS367" s="212"/>
      <c r="BT367" s="212"/>
      <c r="BU367" s="212"/>
      <c r="BV367" s="212"/>
      <c r="BW367" s="212"/>
      <c r="BX367" s="212"/>
      <c r="BY367" s="212"/>
      <c r="BZ367" s="204"/>
      <c r="CA367" s="204"/>
      <c r="CB367" s="204"/>
      <c r="CC367" s="200"/>
      <c r="CD367" s="202"/>
      <c r="CE367" s="201"/>
      <c r="CF367" s="200"/>
      <c r="CG367" s="202"/>
      <c r="CH367" s="201"/>
      <c r="CI367" s="201"/>
      <c r="CJ367" s="201"/>
      <c r="CK367" s="198">
        <f>TRUNC(AL367*CJ367)+0</f>
        <v>0</v>
      </c>
      <c r="CL367" s="200"/>
      <c r="CM367" s="199">
        <f>TRUNC(CL367*AK367,2)</f>
        <v>0</v>
      </c>
      <c r="CN367" s="198">
        <f>TRUNC(CM367*AL367)+0</f>
        <v>0</v>
      </c>
    </row>
    <row r="368" spans="1:92" ht="42">
      <c r="A368" s="208" t="s">
        <v>36</v>
      </c>
      <c r="B368" s="207">
        <v>102170</v>
      </c>
      <c r="C368" s="206" t="s">
        <v>35</v>
      </c>
      <c r="D368" s="212" t="s">
        <v>304</v>
      </c>
      <c r="E368" s="212"/>
      <c r="F368" s="212"/>
      <c r="G368" s="212"/>
      <c r="H368" s="212"/>
      <c r="I368" s="212"/>
      <c r="J368" s="212"/>
      <c r="K368" s="212"/>
      <c r="L368" s="212"/>
      <c r="M368" s="212"/>
      <c r="N368" s="212"/>
      <c r="O368" s="212"/>
      <c r="P368" s="212"/>
      <c r="Q368" s="212"/>
      <c r="R368" s="212"/>
      <c r="S368" s="212"/>
      <c r="T368" s="212"/>
      <c r="U368" s="212"/>
      <c r="V368" s="212"/>
      <c r="W368" s="212"/>
      <c r="X368" s="212"/>
      <c r="Y368" s="212"/>
      <c r="Z368" s="212"/>
      <c r="AA368" s="212"/>
      <c r="AB368" s="212"/>
      <c r="AC368" s="212"/>
      <c r="AD368" s="212"/>
      <c r="AE368" s="212"/>
      <c r="AF368" s="212"/>
      <c r="AG368" s="212"/>
      <c r="AH368" s="212"/>
      <c r="AI368" s="212"/>
      <c r="AJ368" s="212"/>
      <c r="AK368" s="212"/>
      <c r="AL368" s="212"/>
      <c r="AM368" s="212"/>
      <c r="AN368" s="212"/>
      <c r="AO368" s="212"/>
      <c r="AP368" s="212"/>
      <c r="AQ368" s="212"/>
      <c r="AR368" s="212"/>
      <c r="AS368" s="212"/>
      <c r="AT368" s="212"/>
      <c r="AU368" s="212"/>
      <c r="AV368" s="212"/>
      <c r="AW368" s="212"/>
      <c r="AX368" s="212"/>
      <c r="AY368" s="212"/>
      <c r="AZ368" s="212"/>
      <c r="BA368" s="212"/>
      <c r="BB368" s="212"/>
      <c r="BC368" s="212"/>
      <c r="BD368" s="212"/>
      <c r="BE368" s="212"/>
      <c r="BF368" s="212"/>
      <c r="BG368" s="212"/>
      <c r="BH368" s="212"/>
      <c r="BI368" s="212"/>
      <c r="BJ368" s="212"/>
      <c r="BK368" s="212"/>
      <c r="BL368" s="212"/>
      <c r="BM368" s="212"/>
      <c r="BN368" s="212"/>
      <c r="BO368" s="212"/>
      <c r="BP368" s="212"/>
      <c r="BQ368" s="212"/>
      <c r="BR368" s="212"/>
      <c r="BS368" s="212"/>
      <c r="BT368" s="212"/>
      <c r="BU368" s="212"/>
      <c r="BV368" s="212"/>
      <c r="BW368" s="212"/>
      <c r="BX368" s="212"/>
      <c r="BY368" s="212"/>
      <c r="BZ368" s="204"/>
      <c r="CA368" s="204"/>
      <c r="CB368" s="204"/>
      <c r="CC368" s="200"/>
      <c r="CD368" s="202"/>
      <c r="CE368" s="201"/>
      <c r="CF368" s="200"/>
      <c r="CG368" s="202"/>
      <c r="CH368" s="201"/>
      <c r="CI368" s="201"/>
      <c r="CJ368" s="201"/>
      <c r="CK368" s="198">
        <f>TRUNC(AL368*CJ368)+0</f>
        <v>0</v>
      </c>
      <c r="CL368" s="200"/>
      <c r="CM368" s="199">
        <f>TRUNC(CL368*AK368,2)</f>
        <v>0</v>
      </c>
      <c r="CN368" s="198">
        <f>TRUNC(CM368*AL368)+0</f>
        <v>0</v>
      </c>
    </row>
    <row r="369" spans="1:103" ht="20.149999999999999" customHeight="1">
      <c r="A369" s="210">
        <v>12</v>
      </c>
      <c r="B369" s="209" t="s">
        <v>34</v>
      </c>
      <c r="C369" s="209"/>
      <c r="D369" s="209"/>
      <c r="E369" s="209"/>
      <c r="F369" s="209"/>
      <c r="G369" s="209"/>
      <c r="H369" s="209"/>
      <c r="I369" s="209"/>
      <c r="J369" s="209"/>
      <c r="K369" s="209"/>
      <c r="L369" s="209"/>
      <c r="M369" s="209"/>
      <c r="N369" s="209"/>
      <c r="O369" s="209"/>
      <c r="P369" s="209"/>
      <c r="Q369" s="209"/>
      <c r="R369" s="209"/>
      <c r="S369" s="209"/>
      <c r="T369" s="209"/>
      <c r="U369" s="209"/>
      <c r="V369" s="209"/>
      <c r="W369" s="209"/>
      <c r="X369" s="209"/>
      <c r="Y369" s="209"/>
      <c r="Z369" s="209"/>
      <c r="AA369" s="209"/>
      <c r="AB369" s="209"/>
      <c r="AC369" s="209"/>
      <c r="AD369" s="209"/>
      <c r="AE369" s="209"/>
      <c r="AF369" s="209"/>
      <c r="AG369" s="209"/>
      <c r="AH369" s="209"/>
      <c r="AI369" s="209"/>
      <c r="AJ369" s="209"/>
      <c r="AK369" s="209"/>
      <c r="AL369" s="209"/>
      <c r="AM369" s="209"/>
      <c r="AN369" s="209"/>
      <c r="AO369" s="209"/>
      <c r="AP369" s="209"/>
      <c r="AQ369" s="209"/>
      <c r="AR369" s="209"/>
      <c r="AS369" s="209"/>
      <c r="AT369" s="209"/>
      <c r="AU369" s="209"/>
      <c r="AV369" s="209"/>
      <c r="AW369" s="209"/>
      <c r="AX369" s="209"/>
      <c r="AY369" s="209"/>
      <c r="AZ369" s="209"/>
      <c r="BA369" s="209"/>
      <c r="BB369" s="209"/>
      <c r="BC369" s="209"/>
      <c r="BD369" s="209"/>
      <c r="BE369" s="209"/>
      <c r="BF369" s="209"/>
      <c r="BG369" s="209"/>
      <c r="BH369" s="209"/>
      <c r="BI369" s="209"/>
      <c r="BJ369" s="209"/>
      <c r="BK369" s="209"/>
      <c r="BL369" s="209"/>
      <c r="BM369" s="209"/>
      <c r="BN369" s="209"/>
      <c r="BO369" s="209"/>
      <c r="BP369" s="209"/>
      <c r="BQ369" s="209"/>
      <c r="BR369" s="209"/>
      <c r="BS369" s="209"/>
      <c r="BT369" s="209"/>
      <c r="BU369" s="209"/>
      <c r="BV369" s="209"/>
      <c r="BW369" s="209"/>
      <c r="BX369" s="209"/>
      <c r="BY369" s="209"/>
      <c r="BZ369" s="204"/>
      <c r="CA369" s="204"/>
      <c r="CB369" s="204"/>
      <c r="CC369" s="204"/>
      <c r="CD369" s="204"/>
      <c r="CE369" s="204"/>
      <c r="CF369" s="204"/>
      <c r="CG369" s="204"/>
      <c r="CH369" s="204"/>
      <c r="CI369" s="204"/>
      <c r="CJ369" s="204"/>
      <c r="CK369" s="204"/>
      <c r="CL369" s="204"/>
      <c r="CM369" s="204"/>
      <c r="CN369" s="204"/>
    </row>
    <row r="370" spans="1:103" ht="56">
      <c r="A370" s="208" t="s">
        <v>33</v>
      </c>
      <c r="B370" s="213">
        <v>104816</v>
      </c>
      <c r="C370" s="206" t="s">
        <v>32</v>
      </c>
      <c r="D370" s="212" t="s">
        <v>303</v>
      </c>
      <c r="E370" s="212"/>
      <c r="F370" s="212"/>
      <c r="G370" s="212"/>
      <c r="H370" s="212"/>
      <c r="I370" s="212"/>
      <c r="J370" s="212"/>
      <c r="K370" s="212"/>
      <c r="L370" s="212"/>
      <c r="M370" s="212"/>
      <c r="N370" s="212"/>
      <c r="O370" s="212"/>
      <c r="P370" s="212"/>
      <c r="Q370" s="212"/>
      <c r="R370" s="212"/>
      <c r="S370" s="212"/>
      <c r="T370" s="212"/>
      <c r="U370" s="212"/>
      <c r="V370" s="212"/>
      <c r="W370" s="212"/>
      <c r="X370" s="212"/>
      <c r="Y370" s="212"/>
      <c r="Z370" s="212"/>
      <c r="AA370" s="212"/>
      <c r="AB370" s="212"/>
      <c r="AC370" s="212"/>
      <c r="AD370" s="212"/>
      <c r="AE370" s="212"/>
      <c r="AF370" s="212"/>
      <c r="AG370" s="212"/>
      <c r="AH370" s="212"/>
      <c r="AI370" s="212"/>
      <c r="AJ370" s="212"/>
      <c r="AK370" s="212"/>
      <c r="AL370" s="212"/>
      <c r="AM370" s="212"/>
      <c r="AN370" s="212"/>
      <c r="AO370" s="212"/>
      <c r="AP370" s="212"/>
      <c r="AQ370" s="212"/>
      <c r="AR370" s="212"/>
      <c r="AS370" s="212"/>
      <c r="AT370" s="212"/>
      <c r="AU370" s="212"/>
      <c r="AV370" s="212"/>
      <c r="AW370" s="212"/>
      <c r="AX370" s="212"/>
      <c r="AY370" s="212"/>
      <c r="AZ370" s="212"/>
      <c r="BA370" s="212"/>
      <c r="BB370" s="212"/>
      <c r="BC370" s="212"/>
      <c r="BD370" s="212"/>
      <c r="BE370" s="212"/>
      <c r="BF370" s="212"/>
      <c r="BG370" s="212"/>
      <c r="BH370" s="212"/>
      <c r="BI370" s="212"/>
      <c r="BJ370" s="212"/>
      <c r="BK370" s="212"/>
      <c r="BL370" s="212"/>
      <c r="BM370" s="212"/>
      <c r="BN370" s="212"/>
      <c r="BO370" s="212"/>
      <c r="BP370" s="212"/>
      <c r="BQ370" s="212"/>
      <c r="BR370" s="212"/>
      <c r="BS370" s="212"/>
      <c r="BT370" s="212"/>
      <c r="BU370" s="212"/>
      <c r="BV370" s="212"/>
      <c r="BW370" s="212"/>
      <c r="BX370" s="212"/>
      <c r="BY370" s="212"/>
      <c r="BZ370" s="204"/>
      <c r="CA370" s="204"/>
      <c r="CB370" s="204"/>
      <c r="CC370" s="200"/>
      <c r="CD370" s="202"/>
      <c r="CE370" s="201"/>
      <c r="CF370" s="200"/>
      <c r="CG370" s="202"/>
      <c r="CH370" s="201"/>
      <c r="CI370" s="201"/>
      <c r="CJ370" s="201"/>
      <c r="CK370" s="198">
        <f>TRUNC(AL370*CJ370)+0</f>
        <v>0</v>
      </c>
      <c r="CL370" s="211"/>
      <c r="CM370" s="199">
        <f>TRUNC(CL370*AK370,2)</f>
        <v>0</v>
      </c>
      <c r="CN370" s="198">
        <f>TRUNC(CM370*AL370)+0</f>
        <v>0</v>
      </c>
    </row>
    <row r="371" spans="1:103" ht="20.149999999999999" customHeight="1">
      <c r="A371" s="210">
        <v>13</v>
      </c>
      <c r="B371" s="209" t="s">
        <v>29</v>
      </c>
      <c r="C371" s="209"/>
      <c r="D371" s="209"/>
      <c r="E371" s="209"/>
      <c r="F371" s="209"/>
      <c r="G371" s="209"/>
      <c r="H371" s="209"/>
      <c r="I371" s="209"/>
      <c r="J371" s="209"/>
      <c r="K371" s="209"/>
      <c r="L371" s="209"/>
      <c r="M371" s="209"/>
      <c r="N371" s="209"/>
      <c r="O371" s="209"/>
      <c r="P371" s="209"/>
      <c r="Q371" s="209"/>
      <c r="R371" s="209"/>
      <c r="S371" s="209"/>
      <c r="T371" s="209"/>
      <c r="U371" s="209"/>
      <c r="V371" s="209"/>
      <c r="W371" s="209"/>
      <c r="X371" s="209"/>
      <c r="Y371" s="209"/>
      <c r="Z371" s="209"/>
      <c r="AA371" s="209"/>
      <c r="AB371" s="209"/>
      <c r="AC371" s="209"/>
      <c r="AD371" s="209"/>
      <c r="AE371" s="209"/>
      <c r="AF371" s="209"/>
      <c r="AG371" s="209"/>
      <c r="AH371" s="209"/>
      <c r="AI371" s="209"/>
      <c r="AJ371" s="209"/>
      <c r="AK371" s="209"/>
      <c r="AL371" s="209"/>
      <c r="AM371" s="209"/>
      <c r="AN371" s="209"/>
      <c r="AO371" s="209"/>
      <c r="AP371" s="209"/>
      <c r="AQ371" s="209"/>
      <c r="AR371" s="209"/>
      <c r="AS371" s="209"/>
      <c r="AT371" s="209"/>
      <c r="AU371" s="209"/>
      <c r="AV371" s="209"/>
      <c r="AW371" s="209"/>
      <c r="AX371" s="209"/>
      <c r="AY371" s="209"/>
      <c r="AZ371" s="209"/>
      <c r="BA371" s="209"/>
      <c r="BB371" s="209"/>
      <c r="BC371" s="209"/>
      <c r="BD371" s="209"/>
      <c r="BE371" s="209"/>
      <c r="BF371" s="209"/>
      <c r="BG371" s="209"/>
      <c r="BH371" s="209"/>
      <c r="BI371" s="209"/>
      <c r="BJ371" s="209"/>
      <c r="BK371" s="209"/>
      <c r="BL371" s="209"/>
      <c r="BM371" s="209"/>
      <c r="BN371" s="209"/>
      <c r="BO371" s="209"/>
      <c r="BP371" s="209"/>
      <c r="BQ371" s="209"/>
      <c r="BR371" s="209"/>
      <c r="BS371" s="209"/>
      <c r="BT371" s="209"/>
      <c r="BU371" s="209"/>
      <c r="BV371" s="209"/>
      <c r="BW371" s="209"/>
      <c r="BX371" s="209"/>
      <c r="BY371" s="209"/>
      <c r="BZ371" s="204"/>
      <c r="CA371" s="204"/>
      <c r="CB371" s="204"/>
      <c r="CC371" s="204"/>
      <c r="CD371" s="204"/>
      <c r="CE371" s="204"/>
      <c r="CF371" s="204"/>
      <c r="CG371" s="204"/>
      <c r="CH371" s="204"/>
      <c r="CI371" s="204"/>
      <c r="CJ371" s="204"/>
      <c r="CK371" s="204"/>
      <c r="CL371" s="204"/>
      <c r="CM371" s="204"/>
      <c r="CN371" s="204"/>
    </row>
    <row r="372" spans="1:103" ht="23.25" customHeight="1">
      <c r="A372" s="208" t="s">
        <v>28</v>
      </c>
      <c r="B372" s="207">
        <v>2450</v>
      </c>
      <c r="C372" s="206" t="s">
        <v>27</v>
      </c>
      <c r="D372" s="205"/>
      <c r="E372" s="205"/>
      <c r="F372" s="205"/>
      <c r="G372" s="205"/>
      <c r="H372" s="205"/>
      <c r="I372" s="205"/>
      <c r="J372" s="205"/>
      <c r="K372" s="205"/>
      <c r="L372" s="205"/>
      <c r="M372" s="205"/>
      <c r="N372" s="205"/>
      <c r="O372" s="205"/>
      <c r="P372" s="205"/>
      <c r="Q372" s="205"/>
      <c r="R372" s="205"/>
      <c r="S372" s="205"/>
      <c r="T372" s="205"/>
      <c r="U372" s="205"/>
      <c r="V372" s="205"/>
      <c r="W372" s="205"/>
      <c r="X372" s="205"/>
      <c r="Y372" s="205"/>
      <c r="Z372" s="205"/>
      <c r="AA372" s="205"/>
      <c r="AB372" s="205"/>
      <c r="AC372" s="205"/>
      <c r="AD372" s="205"/>
      <c r="AE372" s="205"/>
      <c r="AF372" s="205"/>
      <c r="AG372" s="205"/>
      <c r="AH372" s="205"/>
      <c r="AI372" s="205"/>
      <c r="AJ372" s="205"/>
      <c r="AK372" s="205"/>
      <c r="AL372" s="205"/>
      <c r="AM372" s="205"/>
      <c r="AN372" s="205"/>
      <c r="AO372" s="205"/>
      <c r="AP372" s="205"/>
      <c r="AQ372" s="205"/>
      <c r="AR372" s="205"/>
      <c r="AS372" s="205"/>
      <c r="AT372" s="205"/>
      <c r="AU372" s="205"/>
      <c r="AV372" s="205"/>
      <c r="AW372" s="205"/>
      <c r="AX372" s="205"/>
      <c r="AY372" s="205"/>
      <c r="AZ372" s="205"/>
      <c r="BA372" s="205"/>
      <c r="BB372" s="205"/>
      <c r="BC372" s="205"/>
      <c r="BD372" s="205"/>
      <c r="BE372" s="205"/>
      <c r="BF372" s="205"/>
      <c r="BG372" s="205"/>
      <c r="BH372" s="205"/>
      <c r="BI372" s="205"/>
      <c r="BJ372" s="205"/>
      <c r="BK372" s="205"/>
      <c r="BL372" s="205"/>
      <c r="BM372" s="205"/>
      <c r="BN372" s="205"/>
      <c r="BO372" s="205"/>
      <c r="BP372" s="205"/>
      <c r="BQ372" s="205"/>
      <c r="BR372" s="205"/>
      <c r="BS372" s="205"/>
      <c r="BT372" s="205"/>
      <c r="BU372" s="205"/>
      <c r="BV372" s="205"/>
      <c r="BW372" s="205"/>
      <c r="BX372" s="205"/>
      <c r="BY372" s="205"/>
      <c r="BZ372" s="204"/>
      <c r="CA372" s="204"/>
      <c r="CB372" s="203"/>
      <c r="CC372" s="200"/>
      <c r="CD372" s="202"/>
      <c r="CE372" s="201"/>
      <c r="CF372" s="200"/>
      <c r="CG372" s="202"/>
      <c r="CH372" s="201"/>
      <c r="CI372" s="201"/>
      <c r="CJ372" s="201"/>
      <c r="CK372" s="198"/>
      <c r="CL372" s="200"/>
      <c r="CM372" s="199">
        <f>TRUNC(CL372*AK372,2)</f>
        <v>0</v>
      </c>
      <c r="CN372" s="198"/>
    </row>
    <row r="373" spans="1:103" ht="60" customHeight="1">
      <c r="A373" s="197" t="s">
        <v>13</v>
      </c>
      <c r="B373" s="196"/>
      <c r="C373" s="195"/>
      <c r="D373" s="197" t="s">
        <v>12</v>
      </c>
      <c r="E373" s="196"/>
      <c r="F373" s="196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196"/>
      <c r="Z373" s="196"/>
      <c r="AA373" s="196"/>
      <c r="AB373" s="196"/>
      <c r="AC373" s="196"/>
      <c r="AD373" s="196"/>
      <c r="AE373" s="196"/>
      <c r="AF373" s="196"/>
      <c r="AG373" s="196"/>
      <c r="AH373" s="196"/>
      <c r="AI373" s="196"/>
      <c r="AJ373" s="196"/>
      <c r="AK373" s="196"/>
      <c r="AL373" s="196"/>
      <c r="AM373" s="196"/>
      <c r="AN373" s="196"/>
      <c r="AO373" s="196"/>
      <c r="AP373" s="196"/>
      <c r="AQ373" s="196"/>
      <c r="AR373" s="196"/>
      <c r="AS373" s="196"/>
      <c r="AT373" s="196"/>
      <c r="AU373" s="196"/>
      <c r="AV373" s="196"/>
      <c r="AW373" s="196"/>
      <c r="AX373" s="196"/>
      <c r="AY373" s="196"/>
      <c r="AZ373" s="196"/>
      <c r="BA373" s="196"/>
      <c r="BB373" s="196"/>
      <c r="BC373" s="196"/>
      <c r="BD373" s="196"/>
      <c r="BE373" s="196"/>
      <c r="BF373" s="196"/>
      <c r="BG373" s="196"/>
      <c r="BH373" s="196"/>
      <c r="BI373" s="196"/>
      <c r="BJ373" s="196"/>
      <c r="BK373" s="196"/>
      <c r="BL373" s="196"/>
      <c r="BM373" s="196"/>
      <c r="BN373" s="196"/>
      <c r="BO373" s="196"/>
      <c r="BP373" s="196"/>
      <c r="BQ373" s="196"/>
      <c r="BR373" s="196"/>
      <c r="BS373" s="196"/>
      <c r="BT373" s="196"/>
      <c r="BU373" s="196"/>
      <c r="BV373" s="196"/>
      <c r="BW373" s="196"/>
      <c r="BX373" s="196"/>
      <c r="BY373" s="195"/>
      <c r="BZ373" s="188" t="s">
        <v>11</v>
      </c>
      <c r="CA373" s="188"/>
      <c r="CB373" s="188"/>
      <c r="CC373" s="188"/>
      <c r="CD373" s="188"/>
      <c r="CE373" s="188"/>
      <c r="CF373" s="188"/>
      <c r="CG373" s="188"/>
      <c r="CH373" s="188"/>
      <c r="CI373" s="188"/>
      <c r="CJ373" s="188"/>
      <c r="CK373" s="188"/>
      <c r="CL373" s="188"/>
      <c r="CM373" s="188"/>
      <c r="CN373" s="188"/>
    </row>
    <row r="374" spans="1:103" s="183" customFormat="1" ht="60" customHeight="1">
      <c r="A374" s="194"/>
      <c r="B374" s="193"/>
      <c r="C374" s="192"/>
      <c r="D374" s="194"/>
      <c r="E374" s="193"/>
      <c r="F374" s="193"/>
      <c r="G374" s="193"/>
      <c r="H374" s="193"/>
      <c r="I374" s="193"/>
      <c r="J374" s="193"/>
      <c r="K374" s="193"/>
      <c r="L374" s="193"/>
      <c r="M374" s="193"/>
      <c r="N374" s="193"/>
      <c r="O374" s="193"/>
      <c r="P374" s="193"/>
      <c r="Q374" s="193"/>
      <c r="R374" s="193"/>
      <c r="S374" s="193"/>
      <c r="T374" s="193"/>
      <c r="U374" s="193"/>
      <c r="V374" s="193"/>
      <c r="W374" s="193"/>
      <c r="X374" s="193"/>
      <c r="Y374" s="193"/>
      <c r="Z374" s="193"/>
      <c r="AA374" s="193"/>
      <c r="AB374" s="193"/>
      <c r="AC374" s="193"/>
      <c r="AD374" s="193"/>
      <c r="AE374" s="193"/>
      <c r="AF374" s="193"/>
      <c r="AG374" s="193"/>
      <c r="AH374" s="193"/>
      <c r="AI374" s="193"/>
      <c r="AJ374" s="193"/>
      <c r="AK374" s="193"/>
      <c r="AL374" s="193"/>
      <c r="AM374" s="193"/>
      <c r="AN374" s="193"/>
      <c r="AO374" s="193"/>
      <c r="AP374" s="193"/>
      <c r="AQ374" s="193"/>
      <c r="AR374" s="193"/>
      <c r="AS374" s="193"/>
      <c r="AT374" s="193"/>
      <c r="AU374" s="193"/>
      <c r="AV374" s="193"/>
      <c r="AW374" s="193"/>
      <c r="AX374" s="193"/>
      <c r="AY374" s="193"/>
      <c r="AZ374" s="193"/>
      <c r="BA374" s="193"/>
      <c r="BB374" s="193"/>
      <c r="BC374" s="193"/>
      <c r="BD374" s="193"/>
      <c r="BE374" s="193"/>
      <c r="BF374" s="193"/>
      <c r="BG374" s="193"/>
      <c r="BH374" s="193"/>
      <c r="BI374" s="193"/>
      <c r="BJ374" s="193"/>
      <c r="BK374" s="193"/>
      <c r="BL374" s="193"/>
      <c r="BM374" s="193"/>
      <c r="BN374" s="193"/>
      <c r="BO374" s="193"/>
      <c r="BP374" s="193"/>
      <c r="BQ374" s="193"/>
      <c r="BR374" s="193"/>
      <c r="BS374" s="193"/>
      <c r="BT374" s="193"/>
      <c r="BU374" s="193"/>
      <c r="BV374" s="193"/>
      <c r="BW374" s="193"/>
      <c r="BX374" s="193"/>
      <c r="BY374" s="192"/>
      <c r="BZ374" s="188"/>
      <c r="CA374" s="188"/>
      <c r="CB374" s="188"/>
      <c r="CC374" s="188"/>
      <c r="CD374" s="188"/>
      <c r="CE374" s="188"/>
      <c r="CF374" s="188"/>
      <c r="CG374" s="188"/>
      <c r="CH374" s="188"/>
      <c r="CI374" s="188"/>
      <c r="CJ374" s="188"/>
      <c r="CK374" s="188"/>
      <c r="CL374" s="188"/>
      <c r="CM374" s="188"/>
      <c r="CN374" s="188"/>
      <c r="CO374" s="182"/>
      <c r="CP374" s="182"/>
      <c r="CQ374" s="182"/>
      <c r="CR374" s="182"/>
      <c r="CS374" s="182"/>
      <c r="CT374" s="182"/>
      <c r="CU374" s="182"/>
      <c r="CV374" s="182"/>
      <c r="CW374" s="182"/>
      <c r="CX374" s="182"/>
      <c r="CY374" s="182"/>
    </row>
    <row r="375" spans="1:103" s="183" customFormat="1" ht="70" customHeight="1">
      <c r="A375" s="194"/>
      <c r="B375" s="193"/>
      <c r="C375" s="192"/>
      <c r="D375" s="194"/>
      <c r="E375" s="193"/>
      <c r="F375" s="193"/>
      <c r="G375" s="193"/>
      <c r="H375" s="193"/>
      <c r="I375" s="193"/>
      <c r="J375" s="193"/>
      <c r="K375" s="193"/>
      <c r="L375" s="193"/>
      <c r="M375" s="193"/>
      <c r="N375" s="193"/>
      <c r="O375" s="193"/>
      <c r="P375" s="193"/>
      <c r="Q375" s="193"/>
      <c r="R375" s="193"/>
      <c r="S375" s="193"/>
      <c r="T375" s="193"/>
      <c r="U375" s="193"/>
      <c r="V375" s="193"/>
      <c r="W375" s="193"/>
      <c r="X375" s="193"/>
      <c r="Y375" s="193"/>
      <c r="Z375" s="193"/>
      <c r="AA375" s="193"/>
      <c r="AB375" s="193"/>
      <c r="AC375" s="193"/>
      <c r="AD375" s="193"/>
      <c r="AE375" s="193"/>
      <c r="AF375" s="193"/>
      <c r="AG375" s="193"/>
      <c r="AH375" s="193"/>
      <c r="AI375" s="193"/>
      <c r="AJ375" s="193"/>
      <c r="AK375" s="193"/>
      <c r="AL375" s="193"/>
      <c r="AM375" s="193"/>
      <c r="AN375" s="193"/>
      <c r="AO375" s="193"/>
      <c r="AP375" s="193"/>
      <c r="AQ375" s="193"/>
      <c r="AR375" s="193"/>
      <c r="AS375" s="193"/>
      <c r="AT375" s="193"/>
      <c r="AU375" s="193"/>
      <c r="AV375" s="193"/>
      <c r="AW375" s="193"/>
      <c r="AX375" s="193"/>
      <c r="AY375" s="193"/>
      <c r="AZ375" s="193"/>
      <c r="BA375" s="193"/>
      <c r="BB375" s="193"/>
      <c r="BC375" s="193"/>
      <c r="BD375" s="193"/>
      <c r="BE375" s="193"/>
      <c r="BF375" s="193"/>
      <c r="BG375" s="193"/>
      <c r="BH375" s="193"/>
      <c r="BI375" s="193"/>
      <c r="BJ375" s="193"/>
      <c r="BK375" s="193"/>
      <c r="BL375" s="193"/>
      <c r="BM375" s="193"/>
      <c r="BN375" s="193"/>
      <c r="BO375" s="193"/>
      <c r="BP375" s="193"/>
      <c r="BQ375" s="193"/>
      <c r="BR375" s="193"/>
      <c r="BS375" s="193"/>
      <c r="BT375" s="193"/>
      <c r="BU375" s="193"/>
      <c r="BV375" s="193"/>
      <c r="BW375" s="193"/>
      <c r="BX375" s="193"/>
      <c r="BY375" s="192"/>
      <c r="BZ375" s="188"/>
      <c r="CA375" s="188"/>
      <c r="CB375" s="188"/>
      <c r="CC375" s="188"/>
      <c r="CD375" s="188"/>
      <c r="CE375" s="188"/>
      <c r="CF375" s="188"/>
      <c r="CG375" s="188"/>
      <c r="CH375" s="188"/>
      <c r="CI375" s="188"/>
      <c r="CJ375" s="188"/>
      <c r="CK375" s="188"/>
      <c r="CL375" s="188"/>
      <c r="CM375" s="188"/>
      <c r="CN375" s="188"/>
      <c r="CO375" s="182"/>
      <c r="CP375" s="182"/>
      <c r="CQ375" s="182"/>
      <c r="CR375" s="182"/>
      <c r="CS375" s="182"/>
      <c r="CT375" s="182"/>
      <c r="CU375" s="182"/>
      <c r="CV375" s="182"/>
      <c r="CW375" s="182"/>
      <c r="CX375" s="182"/>
      <c r="CY375" s="182"/>
    </row>
    <row r="376" spans="1:103" s="183" customFormat="1">
      <c r="A376" s="191"/>
      <c r="B376" s="190"/>
      <c r="C376" s="189"/>
      <c r="D376" s="191"/>
      <c r="E376" s="190"/>
      <c r="F376" s="190"/>
      <c r="G376" s="190"/>
      <c r="H376" s="190"/>
      <c r="I376" s="190"/>
      <c r="J376" s="190"/>
      <c r="K376" s="190"/>
      <c r="L376" s="190"/>
      <c r="M376" s="190"/>
      <c r="N376" s="190"/>
      <c r="O376" s="190"/>
      <c r="P376" s="190"/>
      <c r="Q376" s="190"/>
      <c r="R376" s="190"/>
      <c r="S376" s="190"/>
      <c r="T376" s="190"/>
      <c r="U376" s="190"/>
      <c r="V376" s="190"/>
      <c r="W376" s="190"/>
      <c r="X376" s="190"/>
      <c r="Y376" s="190"/>
      <c r="Z376" s="190"/>
      <c r="AA376" s="190"/>
      <c r="AB376" s="190"/>
      <c r="AC376" s="190"/>
      <c r="AD376" s="190"/>
      <c r="AE376" s="190"/>
      <c r="AF376" s="190"/>
      <c r="AG376" s="190"/>
      <c r="AH376" s="190"/>
      <c r="AI376" s="190"/>
      <c r="AJ376" s="190"/>
      <c r="AK376" s="190"/>
      <c r="AL376" s="190"/>
      <c r="AM376" s="190"/>
      <c r="AN376" s="190"/>
      <c r="AO376" s="190"/>
      <c r="AP376" s="190"/>
      <c r="AQ376" s="190"/>
      <c r="AR376" s="190"/>
      <c r="AS376" s="190"/>
      <c r="AT376" s="190"/>
      <c r="AU376" s="190"/>
      <c r="AV376" s="190"/>
      <c r="AW376" s="190"/>
      <c r="AX376" s="190"/>
      <c r="AY376" s="190"/>
      <c r="AZ376" s="190"/>
      <c r="BA376" s="190"/>
      <c r="BB376" s="190"/>
      <c r="BC376" s="190"/>
      <c r="BD376" s="190"/>
      <c r="BE376" s="190"/>
      <c r="BF376" s="190"/>
      <c r="BG376" s="190"/>
      <c r="BH376" s="190"/>
      <c r="BI376" s="190"/>
      <c r="BJ376" s="190"/>
      <c r="BK376" s="190"/>
      <c r="BL376" s="190"/>
      <c r="BM376" s="190"/>
      <c r="BN376" s="190"/>
      <c r="BO376" s="190"/>
      <c r="BP376" s="190"/>
      <c r="BQ376" s="190"/>
      <c r="BR376" s="190"/>
      <c r="BS376" s="190"/>
      <c r="BT376" s="190"/>
      <c r="BU376" s="190"/>
      <c r="BV376" s="190"/>
      <c r="BW376" s="190"/>
      <c r="BX376" s="190"/>
      <c r="BY376" s="189"/>
      <c r="BZ376" s="188"/>
      <c r="CA376" s="188"/>
      <c r="CB376" s="188"/>
      <c r="CC376" s="188"/>
      <c r="CD376" s="188"/>
      <c r="CE376" s="188"/>
      <c r="CF376" s="188"/>
      <c r="CG376" s="188"/>
      <c r="CH376" s="188"/>
      <c r="CI376" s="188"/>
      <c r="CJ376" s="188"/>
      <c r="CK376" s="188"/>
      <c r="CL376" s="188"/>
      <c r="CM376" s="188"/>
      <c r="CN376" s="188"/>
      <c r="CO376" s="182"/>
      <c r="CP376" s="182"/>
      <c r="CQ376" s="182"/>
      <c r="CR376" s="182"/>
      <c r="CS376" s="182"/>
      <c r="CT376" s="182"/>
      <c r="CU376" s="182"/>
      <c r="CV376" s="182"/>
      <c r="CW376" s="182"/>
      <c r="CX376" s="182"/>
      <c r="CY376" s="182"/>
    </row>
    <row r="378" spans="1:103" s="183" customFormat="1">
      <c r="A378" s="182"/>
      <c r="B378" s="182"/>
      <c r="C378" s="182"/>
      <c r="D378" s="182"/>
      <c r="E378" s="182"/>
      <c r="F378" s="182"/>
      <c r="G378" s="182"/>
      <c r="H378" s="182"/>
      <c r="I378" s="182"/>
      <c r="J378" s="182"/>
      <c r="K378" s="182"/>
      <c r="L378" s="182"/>
      <c r="M378" s="182"/>
      <c r="N378" s="182"/>
      <c r="O378" s="182"/>
      <c r="P378" s="182"/>
      <c r="Q378" s="182"/>
      <c r="R378" s="182"/>
      <c r="S378" s="182"/>
      <c r="T378" s="182"/>
      <c r="U378" s="182"/>
      <c r="V378" s="182"/>
      <c r="W378" s="182"/>
      <c r="X378" s="182"/>
      <c r="Y378" s="182"/>
      <c r="Z378" s="182"/>
      <c r="AA378" s="182"/>
      <c r="AB378" s="182"/>
      <c r="AC378" s="182"/>
      <c r="AD378" s="182"/>
      <c r="AE378" s="182"/>
      <c r="AF378" s="182"/>
      <c r="AG378" s="182"/>
      <c r="AH378" s="182"/>
      <c r="AI378" s="182"/>
      <c r="AJ378" s="182"/>
      <c r="AK378" s="182"/>
      <c r="AL378" s="182"/>
      <c r="AM378" s="182"/>
      <c r="AN378" s="182"/>
      <c r="AO378" s="182"/>
      <c r="AP378" s="182"/>
      <c r="AQ378" s="182"/>
      <c r="AR378" s="182"/>
      <c r="AS378" s="182"/>
      <c r="AT378" s="182"/>
      <c r="AU378" s="182"/>
      <c r="AV378" s="182"/>
      <c r="AW378" s="182"/>
      <c r="AX378" s="182"/>
      <c r="AY378" s="182"/>
      <c r="AZ378" s="182"/>
      <c r="BA378" s="182"/>
      <c r="BB378" s="182"/>
      <c r="BC378" s="182"/>
      <c r="BD378" s="182"/>
      <c r="BE378" s="182"/>
      <c r="BF378" s="182"/>
      <c r="BG378" s="182"/>
      <c r="BH378" s="182"/>
      <c r="BI378" s="182"/>
      <c r="BJ378" s="182"/>
      <c r="BK378" s="182"/>
      <c r="BL378" s="182"/>
      <c r="BM378" s="182"/>
      <c r="BN378" s="182"/>
      <c r="BO378" s="182"/>
      <c r="BP378" s="182"/>
      <c r="BQ378" s="182"/>
      <c r="BR378" s="182"/>
      <c r="BS378" s="182"/>
      <c r="BT378" s="182"/>
      <c r="BU378" s="182"/>
      <c r="BV378" s="182"/>
      <c r="BW378" s="182"/>
      <c r="BX378" s="182"/>
      <c r="BY378" s="182"/>
      <c r="BZ378" s="182"/>
      <c r="CA378" s="187"/>
      <c r="CB378" s="182"/>
      <c r="CC378" s="182"/>
      <c r="CD378" s="182"/>
      <c r="CE378" s="182"/>
      <c r="CF378" s="182"/>
      <c r="CG378" s="182"/>
      <c r="CH378" s="182"/>
      <c r="CI378" s="182"/>
      <c r="CJ378" s="182"/>
      <c r="CK378" s="182"/>
      <c r="CL378" s="182"/>
      <c r="CM378" s="182"/>
      <c r="CN378" s="182"/>
      <c r="CO378" s="182"/>
      <c r="CP378" s="182"/>
      <c r="CQ378" s="182"/>
      <c r="CR378" s="182"/>
      <c r="CS378" s="182"/>
      <c r="CT378" s="182"/>
      <c r="CU378" s="182"/>
      <c r="CV378" s="182"/>
      <c r="CW378" s="182"/>
      <c r="CX378" s="182"/>
      <c r="CY378" s="182"/>
    </row>
    <row r="379" spans="1:103" s="183" customFormat="1">
      <c r="A379" s="182"/>
      <c r="B379" s="182"/>
      <c r="C379" s="186"/>
      <c r="D379" s="182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186"/>
      <c r="V379" s="186"/>
      <c r="W379" s="186"/>
      <c r="X379" s="186"/>
      <c r="Y379" s="186"/>
      <c r="Z379" s="186"/>
      <c r="AA379" s="186"/>
      <c r="AB379" s="186"/>
      <c r="AC379" s="186"/>
      <c r="AD379" s="186"/>
      <c r="AE379" s="186"/>
      <c r="AF379" s="186"/>
      <c r="AG379" s="186"/>
      <c r="AH379" s="186"/>
      <c r="AI379" s="186"/>
      <c r="AJ379" s="186"/>
      <c r="AK379" s="182"/>
      <c r="AL379" s="182"/>
      <c r="AM379" s="182"/>
      <c r="AN379" s="182"/>
      <c r="AO379" s="182"/>
      <c r="AP379" s="182"/>
      <c r="AQ379" s="182"/>
      <c r="AR379" s="182"/>
      <c r="AS379" s="182"/>
      <c r="AT379" s="182"/>
      <c r="AU379" s="182"/>
      <c r="AV379" s="182"/>
      <c r="AW379" s="182"/>
      <c r="AX379" s="182"/>
      <c r="AY379" s="182"/>
      <c r="AZ379" s="182"/>
      <c r="BA379" s="182"/>
      <c r="BB379" s="182"/>
      <c r="BC379" s="182"/>
      <c r="BD379" s="182"/>
      <c r="BE379" s="182"/>
      <c r="BF379" s="182"/>
      <c r="BG379" s="182"/>
      <c r="BH379" s="182"/>
      <c r="BI379" s="182"/>
      <c r="BJ379" s="182"/>
      <c r="BK379" s="182"/>
      <c r="BL379" s="182"/>
      <c r="BM379" s="182"/>
      <c r="BN379" s="182"/>
      <c r="BO379" s="182"/>
      <c r="BP379" s="182"/>
      <c r="BQ379" s="182"/>
      <c r="BR379" s="182"/>
      <c r="BS379" s="182"/>
      <c r="BT379" s="182"/>
      <c r="BU379" s="182"/>
      <c r="BV379" s="182"/>
      <c r="BW379" s="182"/>
      <c r="BX379" s="182"/>
      <c r="BY379" s="182"/>
      <c r="BZ379" s="186"/>
      <c r="CA379" s="182"/>
      <c r="CB379" s="182"/>
      <c r="CC379" s="186"/>
      <c r="CD379" s="182"/>
      <c r="CE379" s="182"/>
      <c r="CF379" s="186"/>
      <c r="CG379" s="182"/>
      <c r="CH379" s="182"/>
      <c r="CI379" s="182"/>
      <c r="CJ379" s="182"/>
      <c r="CK379" s="182"/>
      <c r="CL379" s="186"/>
      <c r="CM379" s="182"/>
      <c r="CN379" s="182"/>
      <c r="CO379" s="182"/>
      <c r="CP379" s="182"/>
      <c r="CQ379" s="182"/>
      <c r="CR379" s="182"/>
      <c r="CS379" s="182"/>
      <c r="CT379" s="182"/>
      <c r="CU379" s="182"/>
      <c r="CV379" s="182"/>
      <c r="CW379" s="182"/>
      <c r="CX379" s="182"/>
      <c r="CY379" s="182"/>
    </row>
    <row r="380" spans="1:103" s="183" customFormat="1">
      <c r="A380" s="182"/>
      <c r="B380" s="182"/>
      <c r="C380" s="182"/>
      <c r="D380" s="182"/>
      <c r="E380" s="182"/>
      <c r="F380" s="182"/>
      <c r="G380" s="182"/>
      <c r="H380" s="182"/>
      <c r="I380" s="182"/>
      <c r="J380" s="182"/>
      <c r="K380" s="182"/>
      <c r="L380" s="182"/>
      <c r="M380" s="182"/>
      <c r="N380" s="182"/>
      <c r="O380" s="182"/>
      <c r="P380" s="182"/>
      <c r="Q380" s="182"/>
      <c r="R380" s="182"/>
      <c r="S380" s="182"/>
      <c r="T380" s="182"/>
      <c r="U380" s="182"/>
      <c r="V380" s="182"/>
      <c r="W380" s="182"/>
      <c r="X380" s="182"/>
      <c r="Y380" s="182"/>
      <c r="Z380" s="182"/>
      <c r="AA380" s="182"/>
      <c r="AB380" s="182"/>
      <c r="AC380" s="182"/>
      <c r="AD380" s="182"/>
      <c r="AE380" s="182"/>
      <c r="AF380" s="182"/>
      <c r="AG380" s="182"/>
      <c r="AH380" s="182"/>
      <c r="AI380" s="182"/>
      <c r="AJ380" s="182"/>
      <c r="AK380" s="182"/>
      <c r="AL380" s="182"/>
      <c r="AM380" s="182"/>
      <c r="AN380" s="182"/>
      <c r="AO380" s="182"/>
      <c r="AP380" s="182"/>
      <c r="AQ380" s="182"/>
      <c r="AR380" s="182"/>
      <c r="AS380" s="182"/>
      <c r="AT380" s="182"/>
      <c r="AU380" s="182"/>
      <c r="AV380" s="182"/>
      <c r="AW380" s="182"/>
      <c r="AX380" s="182"/>
      <c r="AY380" s="182"/>
      <c r="AZ380" s="182"/>
      <c r="BA380" s="182"/>
      <c r="BB380" s="182"/>
      <c r="BC380" s="182"/>
      <c r="BD380" s="182"/>
      <c r="BE380" s="182"/>
      <c r="BF380" s="182"/>
      <c r="BG380" s="182"/>
      <c r="BH380" s="182"/>
      <c r="BI380" s="182"/>
      <c r="BJ380" s="182"/>
      <c r="BK380" s="182"/>
      <c r="BL380" s="182"/>
      <c r="BM380" s="182"/>
      <c r="BN380" s="182"/>
      <c r="BO380" s="182"/>
      <c r="BP380" s="182"/>
      <c r="BQ380" s="182"/>
      <c r="BR380" s="182"/>
      <c r="BS380" s="182"/>
      <c r="BT380" s="182"/>
      <c r="BU380" s="182"/>
      <c r="BV380" s="182"/>
      <c r="BW380" s="182"/>
      <c r="BX380" s="182"/>
      <c r="BY380" s="182"/>
      <c r="BZ380" s="182"/>
      <c r="CA380" s="182"/>
      <c r="CB380" s="182"/>
      <c r="CC380" s="182"/>
      <c r="CD380" s="182"/>
      <c r="CE380" s="182"/>
      <c r="CF380" s="182"/>
      <c r="CG380" s="182"/>
      <c r="CH380" s="182"/>
      <c r="CI380" s="182"/>
      <c r="CJ380" s="182"/>
      <c r="CK380" s="182"/>
      <c r="CL380" s="182"/>
      <c r="CM380" s="182"/>
      <c r="CN380" s="182"/>
      <c r="CO380" s="182"/>
      <c r="CP380" s="182"/>
      <c r="CQ380" s="182"/>
      <c r="CR380" s="182"/>
      <c r="CS380" s="182"/>
      <c r="CT380" s="182"/>
      <c r="CU380" s="182"/>
      <c r="CV380" s="182"/>
      <c r="CW380" s="182"/>
      <c r="CX380" s="182"/>
      <c r="CY380" s="182"/>
    </row>
    <row r="381" spans="1:103" s="183" customFormat="1">
      <c r="A381" s="182"/>
      <c r="B381" s="182"/>
      <c r="C381" s="182"/>
      <c r="D381" s="182"/>
      <c r="E381" s="182"/>
      <c r="F381" s="182"/>
      <c r="G381" s="182"/>
      <c r="H381" s="182"/>
      <c r="I381" s="182"/>
      <c r="J381" s="182"/>
      <c r="K381" s="182"/>
      <c r="L381" s="182"/>
      <c r="M381" s="182"/>
      <c r="N381" s="182"/>
      <c r="O381" s="182"/>
      <c r="P381" s="182"/>
      <c r="Q381" s="182"/>
      <c r="R381" s="182"/>
      <c r="S381" s="182"/>
      <c r="T381" s="182"/>
      <c r="U381" s="182"/>
      <c r="V381" s="182"/>
      <c r="W381" s="182"/>
      <c r="X381" s="182"/>
      <c r="Y381" s="182"/>
      <c r="Z381" s="182"/>
      <c r="AA381" s="182"/>
      <c r="AB381" s="182"/>
      <c r="AC381" s="182"/>
      <c r="AD381" s="182"/>
      <c r="AE381" s="182"/>
      <c r="AF381" s="182"/>
      <c r="AG381" s="182"/>
      <c r="AH381" s="182"/>
      <c r="AI381" s="182"/>
      <c r="AJ381" s="182"/>
      <c r="AK381" s="182"/>
      <c r="AL381" s="182"/>
      <c r="AM381" s="182"/>
      <c r="AN381" s="182"/>
      <c r="AO381" s="182"/>
      <c r="AP381" s="182"/>
      <c r="AQ381" s="182"/>
      <c r="AR381" s="182"/>
      <c r="AS381" s="182"/>
      <c r="AT381" s="182"/>
      <c r="AU381" s="182"/>
      <c r="AV381" s="182"/>
      <c r="AW381" s="182"/>
      <c r="AX381" s="182"/>
      <c r="AY381" s="182"/>
      <c r="AZ381" s="182"/>
      <c r="BA381" s="182"/>
      <c r="BB381" s="182"/>
      <c r="BC381" s="182"/>
      <c r="BD381" s="182"/>
      <c r="BE381" s="182"/>
      <c r="BF381" s="182"/>
      <c r="BG381" s="182"/>
      <c r="BH381" s="182"/>
      <c r="BI381" s="182"/>
      <c r="BJ381" s="182"/>
      <c r="BK381" s="182"/>
      <c r="BL381" s="182"/>
      <c r="BM381" s="182"/>
      <c r="BN381" s="182"/>
      <c r="BO381" s="182"/>
      <c r="BP381" s="182"/>
      <c r="BQ381" s="182"/>
      <c r="BR381" s="182"/>
      <c r="BS381" s="182"/>
      <c r="BT381" s="182"/>
      <c r="BU381" s="182"/>
      <c r="BV381" s="182"/>
      <c r="BW381" s="182"/>
      <c r="BX381" s="182"/>
      <c r="BY381" s="182"/>
      <c r="BZ381" s="182"/>
      <c r="CA381" s="182"/>
      <c r="CB381" s="182"/>
      <c r="CC381" s="184">
        <v>1451015.78</v>
      </c>
      <c r="CD381" s="182" t="s">
        <v>9</v>
      </c>
      <c r="CE381" s="182"/>
      <c r="CF381" s="182"/>
      <c r="CG381" s="182"/>
      <c r="CH381" s="182"/>
      <c r="CI381" s="182"/>
      <c r="CJ381" s="182"/>
      <c r="CK381" s="182"/>
      <c r="CL381" s="182"/>
      <c r="CM381" s="182"/>
      <c r="CN381" s="182"/>
      <c r="CO381" s="182"/>
      <c r="CP381" s="182"/>
      <c r="CQ381" s="182"/>
      <c r="CR381" s="182"/>
      <c r="CS381" s="182"/>
      <c r="CT381" s="182"/>
      <c r="CU381" s="182"/>
      <c r="CV381" s="182"/>
      <c r="CW381" s="182"/>
      <c r="CX381" s="182"/>
      <c r="CY381" s="182"/>
    </row>
    <row r="382" spans="1:103" s="183" customFormat="1">
      <c r="A382" s="182"/>
      <c r="B382" s="182"/>
      <c r="C382" s="182"/>
      <c r="D382" s="182"/>
      <c r="E382" s="182"/>
      <c r="F382" s="182"/>
      <c r="G382" s="182"/>
      <c r="H382" s="182"/>
      <c r="I382" s="182"/>
      <c r="J382" s="182"/>
      <c r="K382" s="182"/>
      <c r="L382" s="182"/>
      <c r="M382" s="182"/>
      <c r="N382" s="182"/>
      <c r="O382" s="182"/>
      <c r="P382" s="182"/>
      <c r="Q382" s="182"/>
      <c r="R382" s="182"/>
      <c r="S382" s="182"/>
      <c r="T382" s="182"/>
      <c r="U382" s="182"/>
      <c r="V382" s="182"/>
      <c r="W382" s="182"/>
      <c r="X382" s="182"/>
      <c r="Y382" s="182"/>
      <c r="Z382" s="182"/>
      <c r="AA382" s="182"/>
      <c r="AB382" s="182"/>
      <c r="AC382" s="182"/>
      <c r="AD382" s="182"/>
      <c r="AE382" s="182"/>
      <c r="AF382" s="182"/>
      <c r="AG382" s="182"/>
      <c r="AH382" s="182"/>
      <c r="AI382" s="182"/>
      <c r="AJ382" s="182"/>
      <c r="AK382" s="182"/>
      <c r="AL382" s="182"/>
      <c r="AM382" s="182"/>
      <c r="AN382" s="182"/>
      <c r="AO382" s="182"/>
      <c r="AP382" s="182"/>
      <c r="AQ382" s="182"/>
      <c r="AR382" s="182"/>
      <c r="AS382" s="182"/>
      <c r="AT382" s="182"/>
      <c r="AU382" s="182"/>
      <c r="AV382" s="182"/>
      <c r="AW382" s="182"/>
      <c r="AX382" s="182"/>
      <c r="AY382" s="182"/>
      <c r="AZ382" s="182"/>
      <c r="BA382" s="182"/>
      <c r="BB382" s="182"/>
      <c r="BC382" s="182"/>
      <c r="BD382" s="182"/>
      <c r="BE382" s="182"/>
      <c r="BF382" s="182"/>
      <c r="BG382" s="182"/>
      <c r="BH382" s="182"/>
      <c r="BI382" s="182"/>
      <c r="BJ382" s="182"/>
      <c r="BK382" s="182"/>
      <c r="BL382" s="182"/>
      <c r="BM382" s="182"/>
      <c r="BN382" s="182"/>
      <c r="BO382" s="182"/>
      <c r="BP382" s="182"/>
      <c r="BQ382" s="182"/>
      <c r="BR382" s="182"/>
      <c r="BS382" s="182"/>
      <c r="BT382" s="182"/>
      <c r="BU382" s="182"/>
      <c r="BV382" s="182"/>
      <c r="BW382" s="182"/>
      <c r="BX382" s="182"/>
      <c r="BY382" s="182" t="s">
        <v>8</v>
      </c>
      <c r="BZ382" s="182"/>
      <c r="CA382" s="182"/>
      <c r="CB382" s="182"/>
      <c r="CC382" s="184" t="e">
        <f>#REF!</f>
        <v>#REF!</v>
      </c>
      <c r="CD382" s="182" t="s">
        <v>7</v>
      </c>
      <c r="CE382" s="182"/>
      <c r="CF382" s="182"/>
      <c r="CG382" s="182"/>
      <c r="CH382" s="182"/>
      <c r="CI382" s="182"/>
      <c r="CJ382" s="182"/>
      <c r="CK382" s="182"/>
      <c r="CL382" s="182"/>
      <c r="CM382" s="182"/>
      <c r="CN382" s="182"/>
      <c r="CO382" s="182"/>
      <c r="CP382" s="182"/>
      <c r="CQ382" s="182"/>
      <c r="CR382" s="182"/>
      <c r="CS382" s="182"/>
      <c r="CT382" s="182"/>
      <c r="CU382" s="182"/>
      <c r="CV382" s="182"/>
      <c r="CW382" s="182"/>
      <c r="CX382" s="182"/>
      <c r="CY382" s="182"/>
    </row>
    <row r="383" spans="1:103" s="183" customFormat="1">
      <c r="A383" s="182"/>
      <c r="B383" s="182"/>
      <c r="C383" s="182"/>
      <c r="D383" s="182"/>
      <c r="E383" s="182"/>
      <c r="F383" s="182"/>
      <c r="G383" s="182"/>
      <c r="H383" s="182"/>
      <c r="I383" s="182"/>
      <c r="J383" s="182"/>
      <c r="K383" s="182"/>
      <c r="L383" s="182"/>
      <c r="M383" s="182"/>
      <c r="N383" s="182"/>
      <c r="O383" s="182"/>
      <c r="P383" s="182"/>
      <c r="Q383" s="182"/>
      <c r="R383" s="182"/>
      <c r="S383" s="182"/>
      <c r="T383" s="182"/>
      <c r="U383" s="182"/>
      <c r="V383" s="182"/>
      <c r="W383" s="182"/>
      <c r="X383" s="182"/>
      <c r="Y383" s="182"/>
      <c r="Z383" s="182"/>
      <c r="AA383" s="182"/>
      <c r="AB383" s="182"/>
      <c r="AC383" s="182"/>
      <c r="AD383" s="182"/>
      <c r="AE383" s="182"/>
      <c r="AF383" s="182"/>
      <c r="AG383" s="182"/>
      <c r="AH383" s="182"/>
      <c r="AI383" s="182"/>
      <c r="AJ383" s="182"/>
      <c r="AK383" s="182"/>
      <c r="AL383" s="182"/>
      <c r="AM383" s="182"/>
      <c r="AN383" s="182"/>
      <c r="AO383" s="182"/>
      <c r="AP383" s="182"/>
      <c r="AQ383" s="182"/>
      <c r="AR383" s="182"/>
      <c r="AS383" s="182"/>
      <c r="AT383" s="182"/>
      <c r="AU383" s="182"/>
      <c r="AV383" s="182"/>
      <c r="AW383" s="182"/>
      <c r="AX383" s="182"/>
      <c r="AY383" s="182"/>
      <c r="AZ383" s="182"/>
      <c r="BA383" s="182"/>
      <c r="BB383" s="182"/>
      <c r="BC383" s="182"/>
      <c r="BD383" s="182"/>
      <c r="BE383" s="182"/>
      <c r="BF383" s="182"/>
      <c r="BG383" s="182"/>
      <c r="BH383" s="182"/>
      <c r="BI383" s="182"/>
      <c r="BJ383" s="182"/>
      <c r="BK383" s="182"/>
      <c r="BL383" s="182"/>
      <c r="BM383" s="182"/>
      <c r="BN383" s="182"/>
      <c r="BO383" s="182"/>
      <c r="BP383" s="182"/>
      <c r="BQ383" s="182"/>
      <c r="BR383" s="182"/>
      <c r="BS383" s="182"/>
      <c r="BT383" s="182"/>
      <c r="BU383" s="182"/>
      <c r="BV383" s="182"/>
      <c r="BW383" s="182"/>
      <c r="BX383" s="182"/>
      <c r="BY383" s="182" t="s">
        <v>6</v>
      </c>
      <c r="BZ383" s="182"/>
      <c r="CA383" s="182"/>
      <c r="CB383" s="182"/>
      <c r="CC383" s="185" t="e">
        <f>1-(CC382/CC381)</f>
        <v>#REF!</v>
      </c>
      <c r="CD383" s="182" t="s">
        <v>5</v>
      </c>
      <c r="CE383" s="182"/>
      <c r="CF383" s="182"/>
      <c r="CG383" s="182"/>
      <c r="CH383" s="182"/>
      <c r="CI383" s="182"/>
      <c r="CJ383" s="182"/>
      <c r="CK383" s="182"/>
      <c r="CL383" s="182"/>
      <c r="CM383" s="182"/>
      <c r="CN383" s="182"/>
      <c r="CO383" s="182"/>
      <c r="CP383" s="182"/>
      <c r="CQ383" s="182"/>
      <c r="CR383" s="182"/>
      <c r="CS383" s="182"/>
      <c r="CT383" s="182"/>
      <c r="CU383" s="182"/>
      <c r="CV383" s="182"/>
      <c r="CW383" s="182"/>
      <c r="CX383" s="182"/>
      <c r="CY383" s="182"/>
    </row>
    <row r="384" spans="1:103" s="183" customFormat="1">
      <c r="A384" s="182"/>
      <c r="B384" s="182"/>
      <c r="C384" s="182"/>
      <c r="D384" s="182"/>
      <c r="E384" s="182"/>
      <c r="F384" s="182"/>
      <c r="G384" s="182"/>
      <c r="H384" s="182"/>
      <c r="I384" s="182"/>
      <c r="J384" s="182"/>
      <c r="K384" s="182"/>
      <c r="L384" s="182"/>
      <c r="M384" s="182"/>
      <c r="N384" s="182"/>
      <c r="O384" s="182"/>
      <c r="P384" s="182"/>
      <c r="Q384" s="182"/>
      <c r="R384" s="182"/>
      <c r="S384" s="182"/>
      <c r="T384" s="182"/>
      <c r="U384" s="182"/>
      <c r="V384" s="182"/>
      <c r="W384" s="182"/>
      <c r="X384" s="182"/>
      <c r="Y384" s="182"/>
      <c r="Z384" s="182"/>
      <c r="AA384" s="182"/>
      <c r="AB384" s="182"/>
      <c r="AC384" s="182"/>
      <c r="AD384" s="182"/>
      <c r="AE384" s="182"/>
      <c r="AF384" s="182"/>
      <c r="AG384" s="182"/>
      <c r="AH384" s="182"/>
      <c r="AI384" s="182"/>
      <c r="AJ384" s="182"/>
      <c r="AK384" s="182"/>
      <c r="AL384" s="182"/>
      <c r="AM384" s="182"/>
      <c r="AN384" s="182"/>
      <c r="AO384" s="182"/>
      <c r="AP384" s="182"/>
      <c r="AQ384" s="182"/>
      <c r="AR384" s="182"/>
      <c r="AS384" s="182"/>
      <c r="AT384" s="182"/>
      <c r="AU384" s="182"/>
      <c r="AV384" s="182"/>
      <c r="AW384" s="182"/>
      <c r="AX384" s="182"/>
      <c r="AY384" s="182"/>
      <c r="AZ384" s="182"/>
      <c r="BA384" s="182"/>
      <c r="BB384" s="182"/>
      <c r="BC384" s="182"/>
      <c r="BD384" s="182"/>
      <c r="BE384" s="182"/>
      <c r="BF384" s="182"/>
      <c r="BG384" s="182"/>
      <c r="BH384" s="182"/>
      <c r="BI384" s="182"/>
      <c r="BJ384" s="182"/>
      <c r="BK384" s="182"/>
      <c r="BL384" s="182"/>
      <c r="BM384" s="182"/>
      <c r="BN384" s="182"/>
      <c r="BO384" s="182"/>
      <c r="BP384" s="182"/>
      <c r="BQ384" s="182"/>
      <c r="BR384" s="182"/>
      <c r="BS384" s="182"/>
      <c r="BT384" s="182"/>
      <c r="BU384" s="182"/>
      <c r="BV384" s="182"/>
      <c r="BW384" s="182"/>
      <c r="BX384" s="182"/>
      <c r="BY384" s="182" t="s">
        <v>4</v>
      </c>
      <c r="BZ384" s="182" t="s">
        <v>4</v>
      </c>
      <c r="CA384" s="182" t="s">
        <v>4</v>
      </c>
      <c r="CB384" s="182" t="s">
        <v>4</v>
      </c>
      <c r="CC384" s="182"/>
      <c r="CD384" s="182"/>
      <c r="CE384" s="182"/>
      <c r="CF384" s="182"/>
      <c r="CG384" s="182"/>
      <c r="CH384" s="182"/>
      <c r="CI384" s="182"/>
      <c r="CJ384" s="182"/>
      <c r="CK384" s="182"/>
      <c r="CL384" s="182"/>
      <c r="CM384" s="182"/>
      <c r="CN384" s="182"/>
      <c r="CO384" s="182"/>
      <c r="CP384" s="182"/>
      <c r="CQ384" s="182"/>
      <c r="CR384" s="182"/>
      <c r="CS384" s="182"/>
      <c r="CT384" s="182"/>
      <c r="CU384" s="182"/>
      <c r="CV384" s="182"/>
      <c r="CW384" s="182"/>
      <c r="CX384" s="182"/>
      <c r="CY384" s="182"/>
    </row>
    <row r="385" spans="1:103" s="183" customFormat="1">
      <c r="A385" s="182"/>
      <c r="B385" s="182"/>
      <c r="C385" s="182"/>
      <c r="D385" s="182"/>
      <c r="E385" s="182"/>
      <c r="F385" s="182"/>
      <c r="G385" s="182"/>
      <c r="H385" s="182"/>
      <c r="I385" s="182"/>
      <c r="J385" s="182"/>
      <c r="K385" s="182"/>
      <c r="L385" s="182"/>
      <c r="M385" s="182"/>
      <c r="N385" s="182"/>
      <c r="O385" s="182"/>
      <c r="P385" s="182"/>
      <c r="Q385" s="182"/>
      <c r="R385" s="182"/>
      <c r="S385" s="182"/>
      <c r="T385" s="182"/>
      <c r="U385" s="182"/>
      <c r="V385" s="182"/>
      <c r="W385" s="182"/>
      <c r="X385" s="182"/>
      <c r="Y385" s="182"/>
      <c r="Z385" s="182"/>
      <c r="AA385" s="182"/>
      <c r="AB385" s="182"/>
      <c r="AC385" s="182"/>
      <c r="AD385" s="182"/>
      <c r="AE385" s="182"/>
      <c r="AF385" s="182"/>
      <c r="AG385" s="182"/>
      <c r="AH385" s="182"/>
      <c r="AI385" s="182"/>
      <c r="AJ385" s="182"/>
      <c r="AK385" s="182"/>
      <c r="AL385" s="182"/>
      <c r="AM385" s="182"/>
      <c r="AN385" s="182"/>
      <c r="AO385" s="182"/>
      <c r="AP385" s="182"/>
      <c r="AQ385" s="182"/>
      <c r="AR385" s="182"/>
      <c r="AS385" s="182"/>
      <c r="AT385" s="182"/>
      <c r="AU385" s="182"/>
      <c r="AV385" s="182"/>
      <c r="AW385" s="182"/>
      <c r="AX385" s="182"/>
      <c r="AY385" s="182"/>
      <c r="AZ385" s="182"/>
      <c r="BA385" s="182"/>
      <c r="BB385" s="182"/>
      <c r="BC385" s="182"/>
      <c r="BD385" s="182"/>
      <c r="BE385" s="182"/>
      <c r="BF385" s="182"/>
      <c r="BG385" s="182"/>
      <c r="BH385" s="182"/>
      <c r="BI385" s="182"/>
      <c r="BJ385" s="182"/>
      <c r="BK385" s="182"/>
      <c r="BL385" s="182"/>
      <c r="BM385" s="182"/>
      <c r="BN385" s="182"/>
      <c r="BO385" s="182"/>
      <c r="BP385" s="182"/>
      <c r="BQ385" s="182"/>
      <c r="BR385" s="182"/>
      <c r="BS385" s="182"/>
      <c r="BT385" s="182"/>
      <c r="BU385" s="182"/>
      <c r="BV385" s="182"/>
      <c r="BW385" s="182"/>
      <c r="BX385" s="182"/>
      <c r="BY385" s="182" t="s">
        <v>3</v>
      </c>
      <c r="BZ385" s="182"/>
      <c r="CA385" s="182"/>
      <c r="CB385" s="182"/>
      <c r="CC385" s="182"/>
      <c r="CD385" s="182"/>
      <c r="CE385" s="182"/>
      <c r="CF385" s="182"/>
      <c r="CG385" s="182"/>
      <c r="CH385" s="182"/>
      <c r="CI385" s="182"/>
      <c r="CJ385" s="182"/>
      <c r="CK385" s="182"/>
      <c r="CL385" s="182"/>
      <c r="CM385" s="182"/>
      <c r="CN385" s="182"/>
      <c r="CO385" s="182"/>
      <c r="CP385" s="182"/>
      <c r="CQ385" s="182"/>
      <c r="CR385" s="182"/>
      <c r="CS385" s="182"/>
      <c r="CT385" s="182"/>
      <c r="CU385" s="182"/>
      <c r="CV385" s="182"/>
      <c r="CW385" s="182"/>
      <c r="CX385" s="182"/>
      <c r="CY385" s="182"/>
    </row>
    <row r="386" spans="1:103" s="183" customFormat="1">
      <c r="A386" s="182"/>
      <c r="B386" s="182"/>
      <c r="C386" s="182"/>
      <c r="D386" s="182"/>
      <c r="E386" s="182"/>
      <c r="F386" s="182"/>
      <c r="G386" s="182"/>
      <c r="H386" s="182"/>
      <c r="I386" s="182"/>
      <c r="J386" s="182"/>
      <c r="K386" s="182"/>
      <c r="L386" s="182"/>
      <c r="M386" s="182"/>
      <c r="N386" s="182"/>
      <c r="O386" s="182"/>
      <c r="P386" s="182"/>
      <c r="Q386" s="182"/>
      <c r="R386" s="182"/>
      <c r="S386" s="182"/>
      <c r="T386" s="182"/>
      <c r="U386" s="182"/>
      <c r="V386" s="182"/>
      <c r="W386" s="182"/>
      <c r="X386" s="182"/>
      <c r="Y386" s="182"/>
      <c r="Z386" s="182"/>
      <c r="AA386" s="182"/>
      <c r="AB386" s="182"/>
      <c r="AC386" s="182"/>
      <c r="AD386" s="182"/>
      <c r="AE386" s="182"/>
      <c r="AF386" s="182"/>
      <c r="AG386" s="182"/>
      <c r="AH386" s="182"/>
      <c r="AI386" s="182"/>
      <c r="AJ386" s="182"/>
      <c r="AK386" s="182"/>
      <c r="AL386" s="182"/>
      <c r="AM386" s="182"/>
      <c r="AN386" s="182"/>
      <c r="AO386" s="182"/>
      <c r="AP386" s="182"/>
      <c r="AQ386" s="182"/>
      <c r="AR386" s="182"/>
      <c r="AS386" s="182"/>
      <c r="AT386" s="182"/>
      <c r="AU386" s="182"/>
      <c r="AV386" s="182"/>
      <c r="AW386" s="182"/>
      <c r="AX386" s="182"/>
      <c r="AY386" s="182"/>
      <c r="AZ386" s="182"/>
      <c r="BA386" s="182"/>
      <c r="BB386" s="182"/>
      <c r="BC386" s="182"/>
      <c r="BD386" s="182"/>
      <c r="BE386" s="182"/>
      <c r="BF386" s="182"/>
      <c r="BG386" s="182"/>
      <c r="BH386" s="182"/>
      <c r="BI386" s="182"/>
      <c r="BJ386" s="182"/>
      <c r="BK386" s="182"/>
      <c r="BL386" s="182"/>
      <c r="BM386" s="182"/>
      <c r="BN386" s="182"/>
      <c r="BO386" s="182"/>
      <c r="BP386" s="182"/>
      <c r="BQ386" s="182"/>
      <c r="BR386" s="182"/>
      <c r="BS386" s="182"/>
      <c r="BT386" s="182"/>
      <c r="BU386" s="182"/>
      <c r="BV386" s="182"/>
      <c r="BW386" s="182"/>
      <c r="BX386" s="182"/>
      <c r="BY386" s="182" t="s">
        <v>2</v>
      </c>
      <c r="BZ386" s="182"/>
      <c r="CA386" s="182"/>
      <c r="CB386" s="182"/>
      <c r="CC386" s="182"/>
      <c r="CD386" s="182"/>
      <c r="CE386" s="182"/>
      <c r="CF386" s="182"/>
      <c r="CG386" s="182"/>
      <c r="CH386" s="182"/>
      <c r="CI386" s="182"/>
      <c r="CJ386" s="182"/>
      <c r="CK386" s="182"/>
      <c r="CL386" s="182"/>
      <c r="CM386" s="182"/>
      <c r="CN386" s="182"/>
      <c r="CO386" s="182"/>
      <c r="CP386" s="182"/>
      <c r="CQ386" s="182"/>
      <c r="CR386" s="182"/>
      <c r="CS386" s="182"/>
      <c r="CT386" s="182"/>
      <c r="CU386" s="182"/>
      <c r="CV386" s="182"/>
      <c r="CW386" s="182"/>
      <c r="CX386" s="182"/>
      <c r="CY386" s="182"/>
    </row>
    <row r="387" spans="1:103" s="183" customFormat="1">
      <c r="A387" s="182"/>
      <c r="B387" s="182"/>
      <c r="C387" s="182"/>
      <c r="D387" s="182"/>
      <c r="E387" s="182"/>
      <c r="F387" s="182"/>
      <c r="G387" s="182"/>
      <c r="H387" s="182"/>
      <c r="I387" s="182"/>
      <c r="J387" s="182"/>
      <c r="K387" s="182"/>
      <c r="L387" s="182"/>
      <c r="M387" s="182"/>
      <c r="N387" s="182"/>
      <c r="O387" s="182"/>
      <c r="P387" s="182"/>
      <c r="Q387" s="182"/>
      <c r="R387" s="182"/>
      <c r="S387" s="182"/>
      <c r="T387" s="182"/>
      <c r="U387" s="182"/>
      <c r="V387" s="182"/>
      <c r="W387" s="182"/>
      <c r="X387" s="182"/>
      <c r="Y387" s="182"/>
      <c r="Z387" s="182"/>
      <c r="AA387" s="182"/>
      <c r="AB387" s="182"/>
      <c r="AC387" s="182"/>
      <c r="AD387" s="182"/>
      <c r="AE387" s="182"/>
      <c r="AF387" s="182"/>
      <c r="AG387" s="182"/>
      <c r="AH387" s="182"/>
      <c r="AI387" s="182"/>
      <c r="AJ387" s="182"/>
      <c r="AK387" s="182"/>
      <c r="AL387" s="182"/>
      <c r="AM387" s="182"/>
      <c r="AN387" s="182"/>
      <c r="AO387" s="182"/>
      <c r="AP387" s="182"/>
      <c r="AQ387" s="182"/>
      <c r="AR387" s="182"/>
      <c r="AS387" s="182"/>
      <c r="AT387" s="182"/>
      <c r="AU387" s="182"/>
      <c r="AV387" s="182"/>
      <c r="AW387" s="182"/>
      <c r="AX387" s="182"/>
      <c r="AY387" s="182"/>
      <c r="AZ387" s="182"/>
      <c r="BA387" s="182"/>
      <c r="BB387" s="182"/>
      <c r="BC387" s="182"/>
      <c r="BD387" s="182"/>
      <c r="BE387" s="182"/>
      <c r="BF387" s="182"/>
      <c r="BG387" s="182"/>
      <c r="BH387" s="182"/>
      <c r="BI387" s="182"/>
      <c r="BJ387" s="182"/>
      <c r="BK387" s="182"/>
      <c r="BL387" s="182"/>
      <c r="BM387" s="182"/>
      <c r="BN387" s="182"/>
      <c r="BO387" s="182"/>
      <c r="BP387" s="182"/>
      <c r="BQ387" s="182"/>
      <c r="BR387" s="182"/>
      <c r="BS387" s="182"/>
      <c r="BT387" s="182"/>
      <c r="BU387" s="182"/>
      <c r="BV387" s="182"/>
      <c r="BW387" s="182"/>
      <c r="BX387" s="182"/>
      <c r="BY387" s="182" t="s">
        <v>1</v>
      </c>
      <c r="BZ387" s="182"/>
      <c r="CA387" s="182"/>
      <c r="CB387" s="182"/>
      <c r="CC387" s="182"/>
      <c r="CD387" s="182"/>
      <c r="CE387" s="182"/>
      <c r="CF387" s="182"/>
      <c r="CG387" s="182"/>
      <c r="CH387" s="182"/>
      <c r="CI387" s="182"/>
      <c r="CJ387" s="182"/>
      <c r="CK387" s="182"/>
      <c r="CL387" s="182"/>
      <c r="CM387" s="184"/>
      <c r="CN387" s="182"/>
      <c r="CO387" s="182"/>
      <c r="CP387" s="182"/>
      <c r="CQ387" s="182"/>
      <c r="CR387" s="182"/>
      <c r="CS387" s="182"/>
      <c r="CT387" s="182"/>
      <c r="CU387" s="182"/>
      <c r="CV387" s="182"/>
      <c r="CW387" s="182"/>
      <c r="CX387" s="182"/>
      <c r="CY387" s="182"/>
    </row>
    <row r="388" spans="1:103" s="183" customFormat="1">
      <c r="A388" s="182"/>
      <c r="B388" s="182"/>
      <c r="C388" s="182"/>
      <c r="D388" s="182"/>
      <c r="E388" s="182"/>
      <c r="F388" s="182"/>
      <c r="G388" s="182"/>
      <c r="H388" s="182"/>
      <c r="I388" s="182"/>
      <c r="J388" s="182"/>
      <c r="K388" s="182"/>
      <c r="L388" s="182"/>
      <c r="M388" s="182"/>
      <c r="N388" s="182"/>
      <c r="O388" s="182"/>
      <c r="P388" s="182"/>
      <c r="Q388" s="182"/>
      <c r="R388" s="182"/>
      <c r="S388" s="182"/>
      <c r="T388" s="182"/>
      <c r="U388" s="182"/>
      <c r="V388" s="182"/>
      <c r="W388" s="182"/>
      <c r="X388" s="182"/>
      <c r="Y388" s="182"/>
      <c r="Z388" s="182"/>
      <c r="AA388" s="182"/>
      <c r="AB388" s="182"/>
      <c r="AC388" s="182"/>
      <c r="AD388" s="182"/>
      <c r="AE388" s="182"/>
      <c r="AF388" s="182"/>
      <c r="AG388" s="182"/>
      <c r="AH388" s="182"/>
      <c r="AI388" s="182"/>
      <c r="AJ388" s="182"/>
      <c r="AK388" s="182"/>
      <c r="AL388" s="182"/>
      <c r="AM388" s="182"/>
      <c r="AN388" s="182"/>
      <c r="AO388" s="182"/>
      <c r="AP388" s="182"/>
      <c r="AQ388" s="182"/>
      <c r="AR388" s="182"/>
      <c r="AS388" s="182"/>
      <c r="AT388" s="182"/>
      <c r="AU388" s="182"/>
      <c r="AV388" s="182"/>
      <c r="AW388" s="182"/>
      <c r="AX388" s="182"/>
      <c r="AY388" s="182"/>
      <c r="AZ388" s="182"/>
      <c r="BA388" s="182"/>
      <c r="BB388" s="182"/>
      <c r="BC388" s="182"/>
      <c r="BD388" s="182"/>
      <c r="BE388" s="182"/>
      <c r="BF388" s="182"/>
      <c r="BG388" s="182"/>
      <c r="BH388" s="182"/>
      <c r="BI388" s="182"/>
      <c r="BJ388" s="182"/>
      <c r="BK388" s="182"/>
      <c r="BL388" s="182"/>
      <c r="BM388" s="182"/>
      <c r="BN388" s="182"/>
      <c r="BO388" s="182"/>
      <c r="BP388" s="182"/>
      <c r="BQ388" s="182"/>
      <c r="BR388" s="182"/>
      <c r="BS388" s="182"/>
      <c r="BT388" s="182"/>
      <c r="BU388" s="182"/>
      <c r="BV388" s="182"/>
      <c r="BW388" s="182"/>
      <c r="BX388" s="182"/>
      <c r="BY388" s="182" t="s">
        <v>0</v>
      </c>
      <c r="BZ388" s="182"/>
      <c r="CA388" s="182"/>
      <c r="CB388" s="182"/>
      <c r="CC388" s="182"/>
      <c r="CD388" s="182"/>
      <c r="CE388" s="182"/>
      <c r="CF388" s="182"/>
      <c r="CG388" s="182"/>
      <c r="CH388" s="182"/>
      <c r="CI388" s="182"/>
      <c r="CJ388" s="182"/>
      <c r="CK388" s="182"/>
      <c r="CL388" s="182"/>
      <c r="CM388" s="182"/>
      <c r="CN388" s="182"/>
      <c r="CO388" s="182"/>
      <c r="CP388" s="182"/>
      <c r="CQ388" s="182"/>
      <c r="CR388" s="182"/>
      <c r="CS388" s="182"/>
      <c r="CT388" s="182"/>
      <c r="CU388" s="182"/>
      <c r="CV388" s="182"/>
      <c r="CW388" s="182"/>
      <c r="CX388" s="182"/>
      <c r="CY388" s="182"/>
    </row>
  </sheetData>
  <mergeCells count="197">
    <mergeCell ref="D211:BW211"/>
    <mergeCell ref="D224:BY224"/>
    <mergeCell ref="D221:BW221"/>
    <mergeCell ref="D222:BW222"/>
    <mergeCell ref="D223:BW223"/>
    <mergeCell ref="D185:BW185"/>
    <mergeCell ref="D186:BW186"/>
    <mergeCell ref="D194:BW194"/>
    <mergeCell ref="D195:BW195"/>
    <mergeCell ref="D196:BW196"/>
    <mergeCell ref="D210:BW210"/>
    <mergeCell ref="D271:BY271"/>
    <mergeCell ref="D318:BY318"/>
    <mergeCell ref="B346:BY346"/>
    <mergeCell ref="D269:BW269"/>
    <mergeCell ref="D270:BW270"/>
    <mergeCell ref="D314:BW314"/>
    <mergeCell ref="D315:BW315"/>
    <mergeCell ref="D316:BW316"/>
    <mergeCell ref="D317:BW317"/>
    <mergeCell ref="D347:BY347"/>
    <mergeCell ref="D348:BY348"/>
    <mergeCell ref="D349:BY349"/>
    <mergeCell ref="D350:BY350"/>
    <mergeCell ref="D351:BY351"/>
    <mergeCell ref="D352:BY352"/>
    <mergeCell ref="D353:BY353"/>
    <mergeCell ref="D354:BY354"/>
    <mergeCell ref="D355:BY355"/>
    <mergeCell ref="D356:BY356"/>
    <mergeCell ref="B357:BY357"/>
    <mergeCell ref="D358:BY358"/>
    <mergeCell ref="D370:BY370"/>
    <mergeCell ref="D359:BY359"/>
    <mergeCell ref="B360:BY360"/>
    <mergeCell ref="D361:BY361"/>
    <mergeCell ref="D362:BY362"/>
    <mergeCell ref="D363:BY363"/>
    <mergeCell ref="D364:BY364"/>
    <mergeCell ref="D365:BY365"/>
    <mergeCell ref="D366:BY366"/>
    <mergeCell ref="D138:BW138"/>
    <mergeCell ref="D139:BW139"/>
    <mergeCell ref="D147:BW147"/>
    <mergeCell ref="D367:BY367"/>
    <mergeCell ref="D368:BY368"/>
    <mergeCell ref="B369:BY369"/>
    <mergeCell ref="D345:BW345"/>
    <mergeCell ref="D287:BW287"/>
    <mergeCell ref="D240:BW240"/>
    <mergeCell ref="D267:BW267"/>
    <mergeCell ref="D128:BY128"/>
    <mergeCell ref="D129:BY129"/>
    <mergeCell ref="D130:BY130"/>
    <mergeCell ref="D131:BY131"/>
    <mergeCell ref="B132:BY132"/>
    <mergeCell ref="D133:BY133"/>
    <mergeCell ref="D277:BW277"/>
    <mergeCell ref="D285:BW285"/>
    <mergeCell ref="D286:BW286"/>
    <mergeCell ref="D152:BW152"/>
    <mergeCell ref="D166:BW166"/>
    <mergeCell ref="D167:BW167"/>
    <mergeCell ref="D177:BW177"/>
    <mergeCell ref="D178:BW178"/>
    <mergeCell ref="D180:BW180"/>
    <mergeCell ref="D179:BY179"/>
    <mergeCell ref="D148:BW148"/>
    <mergeCell ref="D229:BW229"/>
    <mergeCell ref="D230:BW230"/>
    <mergeCell ref="D238:BW238"/>
    <mergeCell ref="D239:BW239"/>
    <mergeCell ref="D276:BW276"/>
    <mergeCell ref="D149:BW149"/>
    <mergeCell ref="D150:BW150"/>
    <mergeCell ref="D151:BY151"/>
    <mergeCell ref="D268:BW268"/>
    <mergeCell ref="D127:BY127"/>
    <mergeCell ref="D116:BY116"/>
    <mergeCell ref="D117:BY117"/>
    <mergeCell ref="D118:BY118"/>
    <mergeCell ref="D119:BY119"/>
    <mergeCell ref="D120:BY120"/>
    <mergeCell ref="D121:BY121"/>
    <mergeCell ref="D109:BY109"/>
    <mergeCell ref="D122:BY122"/>
    <mergeCell ref="D123:BY123"/>
    <mergeCell ref="D124:BY124"/>
    <mergeCell ref="D125:BY125"/>
    <mergeCell ref="D126:BY126"/>
    <mergeCell ref="D64:BW64"/>
    <mergeCell ref="D110:BY110"/>
    <mergeCell ref="D111:BY111"/>
    <mergeCell ref="B112:BY112"/>
    <mergeCell ref="D113:BY113"/>
    <mergeCell ref="D114:BY114"/>
    <mergeCell ref="D104:BY104"/>
    <mergeCell ref="D105:BY105"/>
    <mergeCell ref="D106:BY106"/>
    <mergeCell ref="D107:BY107"/>
    <mergeCell ref="B47:BY47"/>
    <mergeCell ref="D48:BY48"/>
    <mergeCell ref="D49:BY49"/>
    <mergeCell ref="D50:BY50"/>
    <mergeCell ref="D51:BY51"/>
    <mergeCell ref="B65:BY65"/>
    <mergeCell ref="D52:BW52"/>
    <mergeCell ref="D57:BW57"/>
    <mergeCell ref="D58:BW58"/>
    <mergeCell ref="D63:BW63"/>
    <mergeCell ref="D66:BY66"/>
    <mergeCell ref="D67:BY67"/>
    <mergeCell ref="B96:BY96"/>
    <mergeCell ref="B97:BY97"/>
    <mergeCell ref="D98:BY98"/>
    <mergeCell ref="D99:BY99"/>
    <mergeCell ref="D68:BW68"/>
    <mergeCell ref="D95:BW95"/>
    <mergeCell ref="D34:BY34"/>
    <mergeCell ref="D35:BY35"/>
    <mergeCell ref="D37:BY37"/>
    <mergeCell ref="D36:BY36"/>
    <mergeCell ref="B38:BY38"/>
    <mergeCell ref="D39:BY39"/>
    <mergeCell ref="D40:BY40"/>
    <mergeCell ref="D41:BY41"/>
    <mergeCell ref="D42:BY42"/>
    <mergeCell ref="D43:BY43"/>
    <mergeCell ref="D44:BY44"/>
    <mergeCell ref="D46:BY46"/>
    <mergeCell ref="B45:BY45"/>
    <mergeCell ref="D28:BY28"/>
    <mergeCell ref="D29:BY29"/>
    <mergeCell ref="D18:BY18"/>
    <mergeCell ref="D19:BY19"/>
    <mergeCell ref="D20:BY20"/>
    <mergeCell ref="D21:BY21"/>
    <mergeCell ref="B22:BY22"/>
    <mergeCell ref="B23:BY23"/>
    <mergeCell ref="B30:BY30"/>
    <mergeCell ref="D31:BY31"/>
    <mergeCell ref="D32:BY32"/>
    <mergeCell ref="D33:BY33"/>
    <mergeCell ref="B14:BY14"/>
    <mergeCell ref="B15:BY15"/>
    <mergeCell ref="D24:BY24"/>
    <mergeCell ref="D25:BY25"/>
    <mergeCell ref="D26:BY26"/>
    <mergeCell ref="D27:BY27"/>
    <mergeCell ref="A373:C376"/>
    <mergeCell ref="D373:BY376"/>
    <mergeCell ref="B371:BY371"/>
    <mergeCell ref="D372:BY372"/>
    <mergeCell ref="D100:BY100"/>
    <mergeCell ref="D101:BY101"/>
    <mergeCell ref="D102:BY102"/>
    <mergeCell ref="D103:BY103"/>
    <mergeCell ref="D115:BY115"/>
    <mergeCell ref="D108:BY108"/>
    <mergeCell ref="BZ373:CN376"/>
    <mergeCell ref="D5:BY5"/>
    <mergeCell ref="B6:BY6"/>
    <mergeCell ref="D7:BY7"/>
    <mergeCell ref="D8:BY8"/>
    <mergeCell ref="B9:BY9"/>
    <mergeCell ref="D10:BY10"/>
    <mergeCell ref="D11:BY11"/>
    <mergeCell ref="D12:BY12"/>
    <mergeCell ref="B13:BY13"/>
    <mergeCell ref="CL6:CN6"/>
    <mergeCell ref="A4:BX4"/>
    <mergeCell ref="BZ4:CB4"/>
    <mergeCell ref="CC4:CE4"/>
    <mergeCell ref="CF4:CH4"/>
    <mergeCell ref="CL4:CN4"/>
    <mergeCell ref="D16:BY16"/>
    <mergeCell ref="D17:BY17"/>
    <mergeCell ref="BZ6:CB6"/>
    <mergeCell ref="CC6:CE6"/>
    <mergeCell ref="CF6:CH6"/>
    <mergeCell ref="CI6:CK6"/>
    <mergeCell ref="CL1:CN2"/>
    <mergeCell ref="A2:D2"/>
    <mergeCell ref="E2:AK2"/>
    <mergeCell ref="AL2:BX2"/>
    <mergeCell ref="B1:D1"/>
    <mergeCell ref="E1:AK1"/>
    <mergeCell ref="AL1:BX1"/>
    <mergeCell ref="BZ1:CB2"/>
    <mergeCell ref="CC1:CE2"/>
    <mergeCell ref="CF1:CH2"/>
    <mergeCell ref="A3:D3"/>
    <mergeCell ref="E3:BY3"/>
    <mergeCell ref="BZ3:CA3"/>
    <mergeCell ref="CC3:CD3"/>
    <mergeCell ref="CF3:CG3"/>
    <mergeCell ref="CL3:CM3"/>
  </mergeCells>
  <conditionalFormatting sqref="J55:J56">
    <cfRule type="cellIs" dxfId="64" priority="1" operator="between">
      <formula>0.01</formula>
      <formula>1</formula>
    </cfRule>
  </conditionalFormatting>
  <conditionalFormatting sqref="J94">
    <cfRule type="cellIs" dxfId="63" priority="16" operator="between">
      <formula>0.01</formula>
      <formula>1</formula>
    </cfRule>
  </conditionalFormatting>
  <conditionalFormatting sqref="J155:J156">
    <cfRule type="cellIs" dxfId="62" priority="21" operator="between">
      <formula>0.01</formula>
      <formula>1</formula>
    </cfRule>
  </conditionalFormatting>
  <conditionalFormatting sqref="J199:J200">
    <cfRule type="cellIs" dxfId="61" priority="36" operator="between">
      <formula>0.01</formula>
      <formula>1</formula>
    </cfRule>
  </conditionalFormatting>
  <conditionalFormatting sqref="J266">
    <cfRule type="cellIs" dxfId="60" priority="46" operator="between">
      <formula>0.01</formula>
      <formula>1</formula>
    </cfRule>
  </conditionalFormatting>
  <conditionalFormatting sqref="J344">
    <cfRule type="cellIs" dxfId="59" priority="35" operator="between">
      <formula>0.01</formula>
      <formula>1</formula>
    </cfRule>
  </conditionalFormatting>
  <conditionalFormatting sqref="Z53:Z54 AO53:AO54 AC53:AC56 AF53:AF56 AI53:AI56">
    <cfRule type="cellIs" dxfId="58" priority="4" operator="between">
      <formula>0.01</formula>
      <formula>1</formula>
    </cfRule>
  </conditionalFormatting>
  <conditionalFormatting sqref="Z153:Z154 AO153:AO154 AC153:AC165 AF153:AF165 AI153:AI165 AO156:AO165 Z157:Z165">
    <cfRule type="cellIs" dxfId="57" priority="24" operator="between">
      <formula>0.01</formula>
      <formula>1</formula>
    </cfRule>
  </conditionalFormatting>
  <conditionalFormatting sqref="AA53:AA56 AD53:AD56 AG53:AG56 AJ53:AJ56 AM53:AM56 AP53:AP56">
    <cfRule type="cellIs" dxfId="56" priority="3" operator="between">
      <formula>1</formula>
      <formula>1000</formula>
    </cfRule>
  </conditionalFormatting>
  <conditionalFormatting sqref="AA69:AA94 AD69:AD94 AG69:AG94 AJ69:AJ94">
    <cfRule type="cellIs" dxfId="55" priority="12" operator="between">
      <formula>1</formula>
      <formula>1000</formula>
    </cfRule>
  </conditionalFormatting>
  <conditionalFormatting sqref="AA153:AA165 AD153:AD165 AG153:AG165 AJ153:AJ165 AM153:AM165 AP153:AP165">
    <cfRule type="cellIs" dxfId="54" priority="23" operator="between">
      <formula>1</formula>
      <formula>1000</formula>
    </cfRule>
  </conditionalFormatting>
  <conditionalFormatting sqref="AA241:AA266 AD241:AD266 AG241:AG266 AJ241:AJ266">
    <cfRule type="cellIs" dxfId="53" priority="42" operator="between">
      <formula>1</formula>
      <formula>1000</formula>
    </cfRule>
  </conditionalFormatting>
  <conditionalFormatting sqref="AA288:AA313 AD288:AD313 AG288:AG313 AJ288:AJ313">
    <cfRule type="cellIs" dxfId="52" priority="52" operator="between">
      <formula>1</formula>
      <formula>1000</formula>
    </cfRule>
  </conditionalFormatting>
  <conditionalFormatting sqref="AA319:AA344 AD319:AD344 AG319:AG344 AJ319:AJ344">
    <cfRule type="cellIs" dxfId="51" priority="31" operator="between">
      <formula>1</formula>
      <formula>1000</formula>
    </cfRule>
  </conditionalFormatting>
  <conditionalFormatting sqref="AB53:AB56 AE53:AE56 AH53:AH56 AK53:AK56 AN53:AN56 AQ53:AQ56">
    <cfRule type="cellIs" dxfId="50" priority="2" operator="between">
      <formula>1</formula>
      <formula>100000</formula>
    </cfRule>
  </conditionalFormatting>
  <conditionalFormatting sqref="AB69:AB94 AE69:AE94 AH69:AH94 AK69:AK94">
    <cfRule type="cellIs" dxfId="49" priority="11" operator="between">
      <formula>1</formula>
      <formula>100000</formula>
    </cfRule>
  </conditionalFormatting>
  <conditionalFormatting sqref="AB153:AB165 AE153:AE165 AH153:AH165 AK153:AK165 AN153:AN165 AQ153:AQ165">
    <cfRule type="cellIs" dxfId="48" priority="22" operator="between">
      <formula>1</formula>
      <formula>100000</formula>
    </cfRule>
  </conditionalFormatting>
  <conditionalFormatting sqref="AB241:AB266 AE241:AE266 AH241:AH266 AK241:AK266">
    <cfRule type="cellIs" dxfId="47" priority="41" operator="between">
      <formula>1</formula>
      <formula>100000</formula>
    </cfRule>
  </conditionalFormatting>
  <conditionalFormatting sqref="AB288:AB313 AE288:AE313 AH288:AH313 AK288:AK313">
    <cfRule type="cellIs" dxfId="46" priority="51" operator="between">
      <formula>1</formula>
      <formula>100000</formula>
    </cfRule>
  </conditionalFormatting>
  <conditionalFormatting sqref="AB319:AB344 AE319:AE344 AH319:AH344 AK319:AK344">
    <cfRule type="cellIs" dxfId="45" priority="30" operator="between">
      <formula>1</formula>
      <formula>100000</formula>
    </cfRule>
  </conditionalFormatting>
  <conditionalFormatting sqref="AC69:AC94 AF69:AF94 AI69:AI94">
    <cfRule type="cellIs" dxfId="44" priority="13" operator="between">
      <formula>0.01</formula>
      <formula>1</formula>
    </cfRule>
  </conditionalFormatting>
  <conditionalFormatting sqref="AC241:AC266 AF241:AF266 AI241:AI266">
    <cfRule type="cellIs" dxfId="43" priority="43" operator="between">
      <formula>0.01</formula>
      <formula>1</formula>
    </cfRule>
  </conditionalFormatting>
  <conditionalFormatting sqref="AC288:AC313 AF288:AF313 AI288:AI313">
    <cfRule type="cellIs" dxfId="42" priority="53" operator="between">
      <formula>0.01</formula>
      <formula>1</formula>
    </cfRule>
  </conditionalFormatting>
  <conditionalFormatting sqref="AC319:AC344 AF319:AF344 AI319:AI344">
    <cfRule type="cellIs" dxfId="41" priority="32" operator="between">
      <formula>0.01</formula>
      <formula>1</formula>
    </cfRule>
  </conditionalFormatting>
  <conditionalFormatting sqref="AM69:AM94">
    <cfRule type="cellIs" dxfId="40" priority="10" operator="between">
      <formula>1</formula>
      <formula>1000</formula>
    </cfRule>
  </conditionalFormatting>
  <conditionalFormatting sqref="AM241:AM266">
    <cfRule type="cellIs" dxfId="39" priority="40" operator="between">
      <formula>1</formula>
      <formula>1000</formula>
    </cfRule>
  </conditionalFormatting>
  <conditionalFormatting sqref="AM288:AM313">
    <cfRule type="cellIs" dxfId="38" priority="50" operator="between">
      <formula>1</formula>
      <formula>1000</formula>
    </cfRule>
  </conditionalFormatting>
  <conditionalFormatting sqref="AM319:AM344">
    <cfRule type="cellIs" dxfId="37" priority="29" operator="between">
      <formula>1</formula>
      <formula>1000</formula>
    </cfRule>
  </conditionalFormatting>
  <conditionalFormatting sqref="AN69:AN94">
    <cfRule type="cellIs" dxfId="36" priority="9" operator="between">
      <formula>1</formula>
      <formula>100000</formula>
    </cfRule>
  </conditionalFormatting>
  <conditionalFormatting sqref="AN241:AN266">
    <cfRule type="cellIs" dxfId="35" priority="39" operator="between">
      <formula>1</formula>
      <formula>100000</formula>
    </cfRule>
  </conditionalFormatting>
  <conditionalFormatting sqref="AN288:AN313">
    <cfRule type="cellIs" dxfId="34" priority="49" operator="between">
      <formula>1</formula>
      <formula>100000</formula>
    </cfRule>
  </conditionalFormatting>
  <conditionalFormatting sqref="AN319:AN344">
    <cfRule type="cellIs" dxfId="33" priority="28" operator="between">
      <formula>1</formula>
      <formula>100000</formula>
    </cfRule>
  </conditionalFormatting>
  <conditionalFormatting sqref="AO69:AO73 AO75:AO93 Z76:Z93">
    <cfRule type="cellIs" dxfId="32" priority="20" operator="between">
      <formula>0.01</formula>
      <formula>1</formula>
    </cfRule>
  </conditionalFormatting>
  <conditionalFormatting sqref="AO241:AO245 AO247:AO265 Z248:Z265">
    <cfRule type="cellIs" dxfId="31" priority="62" operator="between">
      <formula>0.01</formula>
      <formula>1</formula>
    </cfRule>
  </conditionalFormatting>
  <conditionalFormatting sqref="AO288:AO292 AO294:AO312">
    <cfRule type="cellIs" dxfId="30" priority="56" operator="between">
      <formula>0.01</formula>
      <formula>1</formula>
    </cfRule>
  </conditionalFormatting>
  <conditionalFormatting sqref="AP69:AP94">
    <cfRule type="cellIs" dxfId="29" priority="7" operator="between">
      <formula>1</formula>
      <formula>1000</formula>
    </cfRule>
  </conditionalFormatting>
  <conditionalFormatting sqref="AP241:AP266">
    <cfRule type="cellIs" dxfId="28" priority="37" operator="between">
      <formula>1</formula>
      <formula>1000</formula>
    </cfRule>
  </conditionalFormatting>
  <conditionalFormatting sqref="AP288:AP313">
    <cfRule type="cellIs" dxfId="27" priority="47" operator="between">
      <formula>1</formula>
      <formula>1000</formula>
    </cfRule>
  </conditionalFormatting>
  <conditionalFormatting sqref="AP319:AP344">
    <cfRule type="cellIs" dxfId="26" priority="26" operator="between">
      <formula>1</formula>
      <formula>1000</formula>
    </cfRule>
  </conditionalFormatting>
  <conditionalFormatting sqref="AQ69:AQ94">
    <cfRule type="cellIs" dxfId="25" priority="8" operator="between">
      <formula>1</formula>
      <formula>100000</formula>
    </cfRule>
  </conditionalFormatting>
  <conditionalFormatting sqref="AQ241:AQ266">
    <cfRule type="cellIs" dxfId="24" priority="38" operator="between">
      <formula>1</formula>
      <formula>100000</formula>
    </cfRule>
  </conditionalFormatting>
  <conditionalFormatting sqref="AQ288:AQ313">
    <cfRule type="cellIs" dxfId="23" priority="48" operator="between">
      <formula>1</formula>
      <formula>100000</formula>
    </cfRule>
  </conditionalFormatting>
  <conditionalFormatting sqref="AQ319:AQ344">
    <cfRule type="cellIs" dxfId="22" priority="27" operator="between">
      <formula>1</formula>
      <formula>100000</formula>
    </cfRule>
  </conditionalFormatting>
  <conditionalFormatting sqref="AR53:AR56">
    <cfRule type="cellIs" dxfId="21" priority="5" operator="equal">
      <formula>1</formula>
    </cfRule>
  </conditionalFormatting>
  <conditionalFormatting sqref="AR69:AR94">
    <cfRule type="cellIs" dxfId="20" priority="15" operator="equal">
      <formula>1</formula>
    </cfRule>
  </conditionalFormatting>
  <conditionalFormatting sqref="AR153:AR165">
    <cfRule type="cellIs" dxfId="19" priority="25" operator="equal">
      <formula>1</formula>
    </cfRule>
  </conditionalFormatting>
  <conditionalFormatting sqref="AR197:AR209">
    <cfRule type="cellIs" dxfId="18" priority="61" operator="equal">
      <formula>1</formula>
    </cfRule>
  </conditionalFormatting>
  <conditionalFormatting sqref="AR241:AR266">
    <cfRule type="cellIs" dxfId="17" priority="45" operator="equal">
      <formula>1</formula>
    </cfRule>
  </conditionalFormatting>
  <conditionalFormatting sqref="AR288:AR313">
    <cfRule type="cellIs" dxfId="16" priority="55" operator="equal">
      <formula>1</formula>
    </cfRule>
  </conditionalFormatting>
  <conditionalFormatting sqref="AR319:AR344">
    <cfRule type="cellIs" dxfId="15" priority="34" operator="equal">
      <formula>1</formula>
    </cfRule>
  </conditionalFormatting>
  <conditionalFormatting sqref="BY53:BY57 BY153:BY166 BY177:BY178 BY197:BY210 BY221:BY223">
    <cfRule type="cellIs" dxfId="14" priority="60" operator="equal">
      <formula>"ITEM FINALIZADO"</formula>
    </cfRule>
  </conditionalFormatting>
  <conditionalFormatting sqref="BY63:BY64">
    <cfRule type="cellIs" dxfId="13" priority="6" operator="equal">
      <formula>"ITEM FINALIZADO"</formula>
    </cfRule>
  </conditionalFormatting>
  <conditionalFormatting sqref="BY69:BY95">
    <cfRule type="cellIs" dxfId="12" priority="14" operator="equal">
      <formula>"ITEM FINALIZADO"</formula>
    </cfRule>
  </conditionalFormatting>
  <conditionalFormatting sqref="BY241:BY270">
    <cfRule type="cellIs" dxfId="11" priority="44" operator="equal">
      <formula>"ITEM FINALIZADO"</formula>
    </cfRule>
  </conditionalFormatting>
  <conditionalFormatting sqref="BY288:BY317">
    <cfRule type="cellIs" dxfId="10" priority="54" operator="equal">
      <formula>"ITEM FINALIZADO"</formula>
    </cfRule>
  </conditionalFormatting>
  <conditionalFormatting sqref="BY319:BY345">
    <cfRule type="cellIs" dxfId="9" priority="33" operator="equal">
      <formula>"ITEM FINALIZADO"</formula>
    </cfRule>
  </conditionalFormatting>
  <conditionalFormatting sqref="BZ7:BZ8 CC7:CC8 CF7:CF8 CL7:CL8 BZ10:BZ12 CC10:CC12 CF10:CF12 CL10:CL12 BZ16:BZ21 CC16:CC21 CF16:CF21 CL16:CL21 BZ24:BZ29 CC24:CC29 CF24:CF29 CL24:CL29 BZ31:BZ37 CC31:CC37 CF31:CF37 CL31:CL37 BZ39:BZ44 CC39:CC44 CF39:CF44 CL39:CL44 BZ46 CC46 CF46 CL46 BZ98:BZ111 CC98:CC111 CF98:CF111 CL98:CL111 BZ113:BZ131 CC113:CC131 CF113:CF131 CL113:CL131 AO319:AO323 Z319:Z324 AO325:AO343 Z326:Z343 BZ347:BZ356 CC347:CC356 CF347:CF356 CL347:CL356 BZ358:BZ359 CC358:CC359 CF358:CF359 CL358:CL359 BZ361:BZ368 CC361:CC368 CF361:CF368 CL361:CL368 BZ370 CC370 CF370 CL370 BZ372 CC372 CF372 CL372">
    <cfRule type="cellIs" dxfId="8" priority="65" operator="between">
      <formula>0.01</formula>
      <formula>1</formula>
    </cfRule>
  </conditionalFormatting>
  <conditionalFormatting sqref="BZ48:BZ64 CC48:CC64 CF48:CF64 CL48:CL64 BZ133:BZ345 CC133:CC345 CF133:CF345 CL133:CL345 Z197:Z198 AO197:AO198 AC197:AC209 AF197:AF209 AI197:AI209 AO200:AO209 Z201:Z209 Z241:Z245 J246 Z288:Z292 J293 Z295:Z312 J313">
    <cfRule type="cellIs" dxfId="7" priority="59" operator="between">
      <formula>0.01</formula>
      <formula>1</formula>
    </cfRule>
  </conditionalFormatting>
  <conditionalFormatting sqref="BZ66:BZ95 CC66:CC95 CF66:CF95 CL66:CL95 Z69:Z73 J74">
    <cfRule type="cellIs" dxfId="6" priority="19" operator="between">
      <formula>0.01</formula>
      <formula>1</formula>
    </cfRule>
  </conditionalFormatting>
  <conditionalFormatting sqref="CA7:CA8 CD7:CD8 CG7:CG8 CM7:CM8 CA10:CA12 CD10:CD12 CG10:CG12 CM10:CM12 CA16:CA21 CD16:CD21 CG16:CG21 CM16:CM21 CA24:CA29 CD24:CD29 CG24:CG29 CM24:CM29 CA31:CA37 CD31:CD37 CG31:CG37 CM31:CM37 CA39:CA44 CD39:CD44 CG39:CG44 CM39:CM44 CA46 CD46 CG46 CM46 CA98:CA111 CD98:CD111 CG98:CG111 CM98:CM111 CA113:CA131 CD113:CD131 CG113:CG131 CM113:CM131 CA347:CA356 CD347:CD356 CG347:CG356 CM347:CM356 CA358:CA359 CD358:CD359 CG358:CG359 CM358:CM359 CA361:CA368 CD361:CD368 CG361:CG368 CM361:CM368 CA370 CD370 CG370 CM370 CA372 CD372 CG372 CM372">
    <cfRule type="cellIs" dxfId="5" priority="64" operator="between">
      <formula>1</formula>
      <formula>1000</formula>
    </cfRule>
  </conditionalFormatting>
  <conditionalFormatting sqref="CA48:CA64 CD48:CD64 CG48:CG64 CM48:CM64 CA133:CA345 CD133:CD345 CG133:CG345 CM133:CM345 AA197:AA209 AD197:AD209 AG197:AG209 AJ197:AJ209 AM197:AM209 AP197:AP209">
    <cfRule type="cellIs" dxfId="4" priority="58" operator="between">
      <formula>1</formula>
      <formula>1000</formula>
    </cfRule>
  </conditionalFormatting>
  <conditionalFormatting sqref="CA66:CA95 CD66:CD95 CG66:CG95 CM66:CM95">
    <cfRule type="cellIs" dxfId="3" priority="18" operator="between">
      <formula>1</formula>
      <formula>1000</formula>
    </cfRule>
  </conditionalFormatting>
  <conditionalFormatting sqref="CB7:CB8 CE7:CE8 CH7:CK8 CN7:CN8 CB10:CB12 CE10:CE12 CH10:CK12 CN10:CN12 CB16:CB21 CE16:CE21 CH16:CK21 CN16:CN21 CB24:CB29 CE24:CE29 CH24:CK29 CN24:CN29 CB31:CB37 CE31:CE37 CH31:CK37 CN31:CN37 CB39:CB44 CE39:CE44 CH39:CK44 CN39:CN44 CB46 CE46 CH46:CK46 CN46 CB98:CB111 CE98:CE111 CH98:CK111 CN98:CN111 CB113:CB131 CE113:CE131 CH113:CK131 CN113:CN131 CB347:CB356 CE347:CE356 CH347:CK356 CN347:CN356 CB358:CB359 CE358:CE359 CH358:CK359 CN358:CN359 CB361:CB368 CE361:CE368 CH361:CK368 CN361:CN368 CB370 CE370 CH370:CK370 CN370 CB372 CE372 CH372:CK372 CN372">
    <cfRule type="cellIs" dxfId="2" priority="63" operator="between">
      <formula>1</formula>
      <formula>100000</formula>
    </cfRule>
  </conditionalFormatting>
  <conditionalFormatting sqref="CB48:CB64 CE48:CE64 CH48:CK64 CN48:CN64 CB133:CB345 CE133:CE345 CH133:CK345 CN133:CN345 AB197:AB209 AE197:AE209 AH197:AH209 AK197:AK209 AN197:AN209 AQ197:AQ209">
    <cfRule type="cellIs" dxfId="1" priority="57" operator="between">
      <formula>1</formula>
      <formula>100000</formula>
    </cfRule>
  </conditionalFormatting>
  <conditionalFormatting sqref="CB66:CB95 CE66:CE95 CH66:CK95 CN66:CN95">
    <cfRule type="cellIs" dxfId="0" priority="17" operator="between">
      <formula>1</formula>
      <formula>100000</formula>
    </cfRule>
  </conditionalFormatting>
  <printOptions horizontalCentered="1" verticalCentered="1"/>
  <pageMargins left="0.25" right="0.1" top="0.42" bottom="0.74803149606299213" header="0.31496062992125984" footer="0.31496062992125984"/>
  <pageSetup paperSize="9" scale="15" fitToHeight="4" orientation="portrait" r:id="rId1"/>
  <rowBreaks count="4" manualBreakCount="4">
    <brk id="29" max="86" man="1"/>
    <brk id="95" max="86" man="1"/>
    <brk id="131" max="86" man="1"/>
    <brk id="368" max="8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PLANILHA DE MEDIÇÃO</vt:lpstr>
      <vt:lpstr>MEMORIAL DE CALCULO</vt:lpstr>
      <vt:lpstr>'MEMORIAL DE CALCULO'!Area_de_impressao</vt:lpstr>
      <vt:lpstr>'PLANILHA DE MEDIÇÃO'!Area_de_impressao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Kilber</dc:creator>
  <cp:lastModifiedBy>Richard Kilber</cp:lastModifiedBy>
  <dcterms:created xsi:type="dcterms:W3CDTF">2025-09-16T13:57:38Z</dcterms:created>
  <dcterms:modified xsi:type="dcterms:W3CDTF">2025-09-16T13:58:17Z</dcterms:modified>
</cp:coreProperties>
</file>