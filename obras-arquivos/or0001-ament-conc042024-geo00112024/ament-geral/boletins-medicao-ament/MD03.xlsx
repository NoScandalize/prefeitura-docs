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AMENT MEDs\"/>
    </mc:Choice>
  </mc:AlternateContent>
  <xr:revisionPtr revIDLastSave="0" documentId="13_ncr:1_{8A57E092-62C3-4DEF-8B73-D43D0BBEC2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 DE MEDIÇÃO" sheetId="1" r:id="rId1"/>
    <sheet name="MEMORIAL DE CALCULO" sheetId="3" r:id="rId2"/>
    <sheet name="PLANILHA DE ADITIVO" sheetId="2" r:id="rId3"/>
  </sheets>
  <definedNames>
    <definedName name="_xlnm.Print_Area" localSheetId="1">'MEMORIAL DE CALCULO'!$A$1:$X$128</definedName>
    <definedName name="_xlnm.Print_Area" localSheetId="2">'PLANILHA DE ADITIVO'!$A$1:$AE$22</definedName>
    <definedName name="_xlnm.Print_Area" localSheetId="0">'PLANILHA DE MEDIÇÃO'!$A$1:$L$131</definedName>
    <definedName name="JR_PAGE_ANCHOR_0_1" localSheetId="1">'MEMORIAL DE CALCULO'!#REF!</definedName>
    <definedName name="JR_PAGE_ANCHOR_0_1" localSheetId="2">'PLANILHA DE ADITIVO'!#REF!</definedName>
    <definedName name="JR_PAGE_ANCHOR_0_1">'PLANILHA DE MEDIÇÃO'!#REF!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W124" i="3"/>
  <c r="W122" i="3"/>
  <c r="X122" i="3" s="1"/>
  <c r="U122" i="3"/>
  <c r="W120" i="3"/>
  <c r="X120" i="3" s="1"/>
  <c r="U120" i="3"/>
  <c r="W119" i="3"/>
  <c r="X119" i="3" s="1"/>
  <c r="U119" i="3"/>
  <c r="W118" i="3"/>
  <c r="X118" i="3" s="1"/>
  <c r="U118" i="3"/>
  <c r="W117" i="3"/>
  <c r="X117" i="3" s="1"/>
  <c r="U117" i="3"/>
  <c r="W116" i="3"/>
  <c r="X116" i="3" s="1"/>
  <c r="U116" i="3"/>
  <c r="W115" i="3"/>
  <c r="X115" i="3" s="1"/>
  <c r="U115" i="3"/>
  <c r="W114" i="3"/>
  <c r="X114" i="3" s="1"/>
  <c r="U114" i="3"/>
  <c r="W113" i="3"/>
  <c r="X113" i="3" s="1"/>
  <c r="U113" i="3"/>
  <c r="W111" i="3"/>
  <c r="X111" i="3" s="1"/>
  <c r="U111" i="3"/>
  <c r="W110" i="3"/>
  <c r="X110" i="3" s="1"/>
  <c r="U110" i="3"/>
  <c r="W108" i="3"/>
  <c r="X108" i="3" s="1"/>
  <c r="U108" i="3"/>
  <c r="W107" i="3"/>
  <c r="X107" i="3" s="1"/>
  <c r="U107" i="3"/>
  <c r="W106" i="3"/>
  <c r="X106" i="3" s="1"/>
  <c r="U106" i="3"/>
  <c r="W105" i="3"/>
  <c r="X105" i="3" s="1"/>
  <c r="U105" i="3"/>
  <c r="W104" i="3"/>
  <c r="X104" i="3" s="1"/>
  <c r="U104" i="3"/>
  <c r="W103" i="3"/>
  <c r="X103" i="3" s="1"/>
  <c r="U103" i="3"/>
  <c r="W102" i="3"/>
  <c r="X102" i="3" s="1"/>
  <c r="U102" i="3"/>
  <c r="W101" i="3"/>
  <c r="X101" i="3" s="1"/>
  <c r="U101" i="3"/>
  <c r="W100" i="3"/>
  <c r="X100" i="3" s="1"/>
  <c r="U100" i="3"/>
  <c r="W99" i="3"/>
  <c r="X99" i="3" s="1"/>
  <c r="U99" i="3"/>
  <c r="W97" i="3"/>
  <c r="X97" i="3" s="1"/>
  <c r="U97" i="3"/>
  <c r="W96" i="3"/>
  <c r="X96" i="3" s="1"/>
  <c r="U96" i="3"/>
  <c r="W95" i="3"/>
  <c r="X95" i="3" s="1"/>
  <c r="U95" i="3"/>
  <c r="W94" i="3"/>
  <c r="X94" i="3" s="1"/>
  <c r="U94" i="3"/>
  <c r="W93" i="3"/>
  <c r="X93" i="3" s="1"/>
  <c r="U93" i="3"/>
  <c r="W92" i="3"/>
  <c r="X92" i="3" s="1"/>
  <c r="U92" i="3"/>
  <c r="W90" i="3"/>
  <c r="X90" i="3" s="1"/>
  <c r="U90" i="3"/>
  <c r="Q90" i="3"/>
  <c r="R90" i="3" s="1"/>
  <c r="W89" i="3"/>
  <c r="X89" i="3" s="1"/>
  <c r="U89" i="3"/>
  <c r="W88" i="3"/>
  <c r="X88" i="3" s="1"/>
  <c r="U88" i="3"/>
  <c r="W87" i="3"/>
  <c r="X87" i="3" s="1"/>
  <c r="U87" i="3"/>
  <c r="W86" i="3"/>
  <c r="X86" i="3" s="1"/>
  <c r="U86" i="3"/>
  <c r="W85" i="3"/>
  <c r="X85" i="3" s="1"/>
  <c r="U85" i="3"/>
  <c r="W84" i="3"/>
  <c r="X84" i="3" s="1"/>
  <c r="U84" i="3"/>
  <c r="W83" i="3"/>
  <c r="X83" i="3" s="1"/>
  <c r="U83" i="3"/>
  <c r="W82" i="3"/>
  <c r="X82" i="3" s="1"/>
  <c r="U82" i="3"/>
  <c r="W81" i="3"/>
  <c r="X81" i="3" s="1"/>
  <c r="U81" i="3"/>
  <c r="W80" i="3"/>
  <c r="X80" i="3" s="1"/>
  <c r="U80" i="3"/>
  <c r="W79" i="3"/>
  <c r="X79" i="3" s="1"/>
  <c r="U79" i="3"/>
  <c r="W78" i="3"/>
  <c r="X78" i="3" s="1"/>
  <c r="U78" i="3"/>
  <c r="W77" i="3"/>
  <c r="X77" i="3" s="1"/>
  <c r="U77" i="3"/>
  <c r="W76" i="3"/>
  <c r="X76" i="3" s="1"/>
  <c r="U76" i="3"/>
  <c r="W75" i="3"/>
  <c r="X75" i="3" s="1"/>
  <c r="U75" i="3"/>
  <c r="W74" i="3"/>
  <c r="X74" i="3" s="1"/>
  <c r="U74" i="3"/>
  <c r="W73" i="3"/>
  <c r="X73" i="3" s="1"/>
  <c r="U73" i="3"/>
  <c r="W72" i="3"/>
  <c r="X72" i="3" s="1"/>
  <c r="U72" i="3"/>
  <c r="W70" i="3"/>
  <c r="U70" i="3"/>
  <c r="Q70" i="3"/>
  <c r="R70" i="3" s="1"/>
  <c r="W69" i="3"/>
  <c r="U69" i="3"/>
  <c r="Q69" i="3"/>
  <c r="R69" i="3" s="1"/>
  <c r="W68" i="3"/>
  <c r="U68" i="3"/>
  <c r="W67" i="3"/>
  <c r="U67" i="3"/>
  <c r="Q67" i="3"/>
  <c r="R67" i="3" s="1"/>
  <c r="W66" i="3"/>
  <c r="U66" i="3"/>
  <c r="Q66" i="3"/>
  <c r="R66" i="3" s="1"/>
  <c r="W65" i="3"/>
  <c r="U65" i="3"/>
  <c r="Q65" i="3"/>
  <c r="W64" i="3"/>
  <c r="U64" i="3"/>
  <c r="Q64" i="3"/>
  <c r="R64" i="3" s="1"/>
  <c r="W63" i="3"/>
  <c r="X63" i="3" s="1"/>
  <c r="U63" i="3"/>
  <c r="W62" i="3"/>
  <c r="U62" i="3"/>
  <c r="W61" i="3"/>
  <c r="X61" i="3" s="1"/>
  <c r="U61" i="3"/>
  <c r="Q61" i="3"/>
  <c r="R61" i="3" s="1"/>
  <c r="W60" i="3"/>
  <c r="U60" i="3"/>
  <c r="Q60" i="3"/>
  <c r="R60" i="3" s="1"/>
  <c r="W59" i="3"/>
  <c r="U59" i="3"/>
  <c r="Q59" i="3"/>
  <c r="R59" i="3" s="1"/>
  <c r="W58" i="3"/>
  <c r="X58" i="3" s="1"/>
  <c r="U58" i="3"/>
  <c r="W57" i="3"/>
  <c r="U57" i="3"/>
  <c r="W54" i="3"/>
  <c r="X54" i="3" s="1"/>
  <c r="U54" i="3"/>
  <c r="W53" i="3"/>
  <c r="U53" i="3"/>
  <c r="W51" i="3"/>
  <c r="U51" i="3"/>
  <c r="W50" i="3"/>
  <c r="U50" i="3"/>
  <c r="Q50" i="3"/>
  <c r="R50" i="3" s="1"/>
  <c r="W49" i="3"/>
  <c r="U49" i="3"/>
  <c r="Q49" i="3"/>
  <c r="R49" i="3" s="1"/>
  <c r="W48" i="3"/>
  <c r="U48" i="3"/>
  <c r="Q48" i="3"/>
  <c r="W46" i="3"/>
  <c r="U46" i="3"/>
  <c r="N46" i="3"/>
  <c r="O46" i="3" s="1"/>
  <c r="K46" i="3"/>
  <c r="W44" i="3"/>
  <c r="U44" i="3"/>
  <c r="W43" i="3"/>
  <c r="X43" i="3" s="1"/>
  <c r="U43" i="3"/>
  <c r="W42" i="3"/>
  <c r="X42" i="3" s="1"/>
  <c r="U42" i="3"/>
  <c r="W41" i="3"/>
  <c r="U41" i="3"/>
  <c r="H134" i="3"/>
  <c r="W40" i="3"/>
  <c r="U40" i="3"/>
  <c r="W39" i="3"/>
  <c r="X39" i="3" s="1"/>
  <c r="U39" i="3"/>
  <c r="W37" i="3"/>
  <c r="X37" i="3" s="1"/>
  <c r="U37" i="3"/>
  <c r="N37" i="3"/>
  <c r="O37" i="3" s="1"/>
  <c r="W36" i="3"/>
  <c r="X36" i="3" s="1"/>
  <c r="U36" i="3"/>
  <c r="Q36" i="3"/>
  <c r="R36" i="3" s="1"/>
  <c r="N36" i="3"/>
  <c r="W35" i="3"/>
  <c r="X35" i="3" s="1"/>
  <c r="U35" i="3"/>
  <c r="Q35" i="3"/>
  <c r="R35" i="3" s="1"/>
  <c r="N35" i="3"/>
  <c r="O35" i="3" s="1"/>
  <c r="W34" i="3"/>
  <c r="X34" i="3" s="1"/>
  <c r="U34" i="3"/>
  <c r="Q34" i="3"/>
  <c r="R34" i="3" s="1"/>
  <c r="N34" i="3"/>
  <c r="W33" i="3"/>
  <c r="X33" i="3" s="1"/>
  <c r="U33" i="3"/>
  <c r="Q33" i="3"/>
  <c r="N33" i="3"/>
  <c r="O33" i="3" s="1"/>
  <c r="W32" i="3"/>
  <c r="X32" i="3" s="1"/>
  <c r="U32" i="3"/>
  <c r="Q32" i="3"/>
  <c r="R32" i="3" s="1"/>
  <c r="N32" i="3"/>
  <c r="O32" i="3" s="1"/>
  <c r="W31" i="3"/>
  <c r="X31" i="3" s="1"/>
  <c r="U31" i="3"/>
  <c r="Q31" i="3"/>
  <c r="R31" i="3" s="1"/>
  <c r="N31" i="3"/>
  <c r="O31" i="3" s="1"/>
  <c r="W29" i="3"/>
  <c r="U29" i="3"/>
  <c r="Q29" i="3"/>
  <c r="R29" i="3" s="1"/>
  <c r="N29" i="3"/>
  <c r="O29" i="3" s="1"/>
  <c r="K29" i="3"/>
  <c r="W28" i="3"/>
  <c r="X28" i="3" s="1"/>
  <c r="U28" i="3"/>
  <c r="Q28" i="3"/>
  <c r="R28" i="3" s="1"/>
  <c r="K28" i="3"/>
  <c r="L28" i="3" s="1"/>
  <c r="W27" i="3"/>
  <c r="X27" i="3" s="1"/>
  <c r="U27" i="3"/>
  <c r="Q27" i="3"/>
  <c r="R27" i="3" s="1"/>
  <c r="K27" i="3"/>
  <c r="L27" i="3" s="1"/>
  <c r="W26" i="3"/>
  <c r="X26" i="3" s="1"/>
  <c r="U26" i="3"/>
  <c r="Q26" i="3"/>
  <c r="R26" i="3" s="1"/>
  <c r="K26" i="3"/>
  <c r="W25" i="3"/>
  <c r="X25" i="3" s="1"/>
  <c r="U25" i="3"/>
  <c r="Q25" i="3"/>
  <c r="R25" i="3" s="1"/>
  <c r="N25" i="3"/>
  <c r="O25" i="3" s="1"/>
  <c r="K25" i="3"/>
  <c r="W24" i="3"/>
  <c r="X24" i="3" s="1"/>
  <c r="U24" i="3"/>
  <c r="Q24" i="3"/>
  <c r="R24" i="3" s="1"/>
  <c r="N24" i="3"/>
  <c r="O24" i="3" s="1"/>
  <c r="K24" i="3"/>
  <c r="W21" i="3"/>
  <c r="X21" i="3" s="1"/>
  <c r="U21" i="3"/>
  <c r="N21" i="3"/>
  <c r="O21" i="3" s="1"/>
  <c r="K21" i="3"/>
  <c r="W20" i="3"/>
  <c r="X20" i="3" s="1"/>
  <c r="U20" i="3"/>
  <c r="N20" i="3"/>
  <c r="O20" i="3" s="1"/>
  <c r="K20" i="3"/>
  <c r="W19" i="3"/>
  <c r="X19" i="3" s="1"/>
  <c r="U19" i="3"/>
  <c r="N19" i="3"/>
  <c r="O19" i="3" s="1"/>
  <c r="K19" i="3"/>
  <c r="L19" i="3" s="1"/>
  <c r="W18" i="3"/>
  <c r="X18" i="3" s="1"/>
  <c r="U18" i="3"/>
  <c r="N18" i="3"/>
  <c r="O18" i="3" s="1"/>
  <c r="K18" i="3"/>
  <c r="L18" i="3" s="1"/>
  <c r="W17" i="3"/>
  <c r="X17" i="3" s="1"/>
  <c r="U17" i="3"/>
  <c r="N17" i="3"/>
  <c r="O17" i="3" s="1"/>
  <c r="K17" i="3"/>
  <c r="W16" i="3"/>
  <c r="X16" i="3" s="1"/>
  <c r="U16" i="3"/>
  <c r="N16" i="3"/>
  <c r="O16" i="3" s="1"/>
  <c r="K16" i="3"/>
  <c r="W12" i="3"/>
  <c r="X12" i="3" s="1"/>
  <c r="U12" i="3"/>
  <c r="K12" i="3"/>
  <c r="L12" i="3" s="1"/>
  <c r="W11" i="3"/>
  <c r="X11" i="3" s="1"/>
  <c r="U11" i="3"/>
  <c r="K11" i="3"/>
  <c r="L11" i="3" s="1"/>
  <c r="W10" i="3"/>
  <c r="X10" i="3" s="1"/>
  <c r="U10" i="3"/>
  <c r="K10" i="3"/>
  <c r="L10" i="3" s="1"/>
  <c r="W8" i="3"/>
  <c r="X8" i="3" s="1"/>
  <c r="U8" i="3"/>
  <c r="K8" i="3"/>
  <c r="L8" i="3" s="1"/>
  <c r="W7" i="3"/>
  <c r="X7" i="3" s="1"/>
  <c r="U7" i="3"/>
  <c r="Q7" i="3"/>
  <c r="N7" i="3"/>
  <c r="O7" i="3" s="1"/>
  <c r="K7" i="3"/>
  <c r="L7" i="3" s="1"/>
  <c r="L25" i="3" l="1"/>
  <c r="L17" i="3"/>
  <c r="L26" i="3"/>
  <c r="R7" i="3"/>
  <c r="X44" i="3"/>
  <c r="R65" i="3"/>
  <c r="X51" i="3"/>
  <c r="X57" i="3"/>
  <c r="H140" i="3"/>
  <c r="M134" i="3"/>
  <c r="M135" i="3" s="1"/>
  <c r="H137" i="3" s="1"/>
  <c r="X40" i="3"/>
  <c r="L21" i="3"/>
  <c r="L24" i="3"/>
  <c r="H133" i="3"/>
  <c r="H135" i="3" s="1"/>
  <c r="R33" i="3"/>
  <c r="O36" i="3"/>
  <c r="R48" i="3"/>
  <c r="L16" i="3"/>
  <c r="L20" i="3"/>
  <c r="L29" i="3"/>
  <c r="X41" i="3"/>
  <c r="L46" i="3"/>
  <c r="X62" i="3"/>
  <c r="X68" i="3"/>
  <c r="O34" i="3"/>
  <c r="L3" i="3" l="1"/>
  <c r="R3" i="3"/>
  <c r="H138" i="3"/>
  <c r="K49" i="1"/>
  <c r="L49" i="1" s="1"/>
  <c r="K48" i="1"/>
  <c r="L48" i="1" s="1"/>
  <c r="K50" i="1"/>
  <c r="L50" i="1" s="1"/>
  <c r="O3" i="3" l="1"/>
  <c r="X3" i="3"/>
  <c r="H13" i="2"/>
  <c r="H11" i="2"/>
  <c r="H8" i="2"/>
  <c r="Z15" i="2"/>
  <c r="AA15" i="2" s="1"/>
  <c r="Z14" i="2"/>
  <c r="AA14" i="2" s="1"/>
  <c r="Z13" i="2"/>
  <c r="AA13" i="2" s="1"/>
  <c r="Z12" i="2"/>
  <c r="AA12" i="2" s="1"/>
  <c r="Z11" i="2"/>
  <c r="AA11" i="2" s="1"/>
  <c r="Z10" i="2"/>
  <c r="AA10" i="2" s="1"/>
  <c r="Z9" i="2"/>
  <c r="AA9" i="2" s="1"/>
  <c r="Z8" i="2"/>
  <c r="AA8" i="2" s="1"/>
  <c r="Z7" i="2"/>
  <c r="AA7" i="2" s="1"/>
  <c r="W15" i="2"/>
  <c r="X15" i="2" s="1"/>
  <c r="W14" i="2"/>
  <c r="X14" i="2" s="1"/>
  <c r="W13" i="2"/>
  <c r="X13" i="2" s="1"/>
  <c r="W12" i="2"/>
  <c r="X12" i="2" s="1"/>
  <c r="W11" i="2"/>
  <c r="X11" i="2" s="1"/>
  <c r="W10" i="2"/>
  <c r="X10" i="2" s="1"/>
  <c r="W9" i="2"/>
  <c r="X9" i="2" s="1"/>
  <c r="W8" i="2"/>
  <c r="X8" i="2" s="1"/>
  <c r="W7" i="2"/>
  <c r="X7" i="2" s="1"/>
  <c r="K7" i="2"/>
  <c r="L7" i="2" s="1"/>
  <c r="T15" i="2"/>
  <c r="U15" i="2" s="1"/>
  <c r="T14" i="2"/>
  <c r="U14" i="2" s="1"/>
  <c r="T13" i="2"/>
  <c r="U13" i="2" s="1"/>
  <c r="T12" i="2"/>
  <c r="U12" i="2" s="1"/>
  <c r="T11" i="2"/>
  <c r="U11" i="2" s="1"/>
  <c r="T10" i="2"/>
  <c r="U10" i="2" s="1"/>
  <c r="T9" i="2"/>
  <c r="U9" i="2" s="1"/>
  <c r="T8" i="2"/>
  <c r="U8" i="2" s="1"/>
  <c r="Q15" i="2"/>
  <c r="R15" i="2" s="1"/>
  <c r="Q14" i="2"/>
  <c r="R14" i="2" s="1"/>
  <c r="Q13" i="2"/>
  <c r="R13" i="2" s="1"/>
  <c r="Q12" i="2"/>
  <c r="R12" i="2" s="1"/>
  <c r="Q11" i="2"/>
  <c r="R11" i="2" s="1"/>
  <c r="Q10" i="2"/>
  <c r="R10" i="2" s="1"/>
  <c r="Q9" i="2"/>
  <c r="Q8" i="2"/>
  <c r="R8" i="2" s="1"/>
  <c r="N11" i="2"/>
  <c r="O11" i="2" s="1"/>
  <c r="N10" i="2"/>
  <c r="O10" i="2" s="1"/>
  <c r="N9" i="2"/>
  <c r="O9" i="2" s="1"/>
  <c r="N8" i="2"/>
  <c r="O8" i="2" s="1"/>
  <c r="N12" i="2"/>
  <c r="O12" i="2" s="1"/>
  <c r="AB15" i="2"/>
  <c r="AE15" i="2" s="1"/>
  <c r="N15" i="2"/>
  <c r="O15" i="2" s="1"/>
  <c r="K15" i="2"/>
  <c r="L15" i="2" s="1"/>
  <c r="H15" i="2"/>
  <c r="AB14" i="2"/>
  <c r="AE14" i="2" s="1"/>
  <c r="N14" i="2"/>
  <c r="O14" i="2" s="1"/>
  <c r="K14" i="2"/>
  <c r="L14" i="2" s="1"/>
  <c r="H14" i="2"/>
  <c r="AB13" i="2"/>
  <c r="AE13" i="2" s="1"/>
  <c r="N13" i="2"/>
  <c r="O13" i="2" s="1"/>
  <c r="K13" i="2"/>
  <c r="L13" i="2" s="1"/>
  <c r="AB12" i="2"/>
  <c r="AE12" i="2" s="1"/>
  <c r="K12" i="2"/>
  <c r="H12" i="2"/>
  <c r="AB11" i="2"/>
  <c r="AE11" i="2" s="1"/>
  <c r="K11" i="2"/>
  <c r="L11" i="2" s="1"/>
  <c r="AB10" i="2"/>
  <c r="AE10" i="2" s="1"/>
  <c r="K10" i="2"/>
  <c r="H10" i="2"/>
  <c r="AB9" i="2"/>
  <c r="AE9" i="2" s="1"/>
  <c r="K9" i="2"/>
  <c r="L9" i="2" s="1"/>
  <c r="H9" i="2"/>
  <c r="AB8" i="2"/>
  <c r="AE8" i="2" s="1"/>
  <c r="K8" i="2"/>
  <c r="L8" i="2" s="1"/>
  <c r="AB7" i="2"/>
  <c r="AE7" i="2" s="1"/>
  <c r="T7" i="2"/>
  <c r="U7" i="2" s="1"/>
  <c r="Q7" i="2"/>
  <c r="R7" i="2" s="1"/>
  <c r="N7" i="2"/>
  <c r="O7" i="2" s="1"/>
  <c r="H7" i="2"/>
  <c r="H6" i="2" s="1"/>
  <c r="H17" i="2" s="1"/>
  <c r="H18" i="2" s="1"/>
  <c r="H34" i="2" s="1"/>
  <c r="H50" i="1"/>
  <c r="K70" i="1"/>
  <c r="L70" i="1" s="1"/>
  <c r="K69" i="1"/>
  <c r="L69" i="1" s="1"/>
  <c r="K67" i="1"/>
  <c r="K66" i="1"/>
  <c r="L66" i="1" s="1"/>
  <c r="K65" i="1"/>
  <c r="L65" i="1" s="1"/>
  <c r="K64" i="1"/>
  <c r="L64" i="1" s="1"/>
  <c r="K61" i="1"/>
  <c r="L61" i="1" s="1"/>
  <c r="K60" i="1"/>
  <c r="L60" i="1" s="1"/>
  <c r="K59" i="1"/>
  <c r="L59" i="1" s="1"/>
  <c r="K90" i="1"/>
  <c r="L90" i="1" s="1"/>
  <c r="K32" i="1"/>
  <c r="L32" i="1" s="1"/>
  <c r="K33" i="1"/>
  <c r="L33" i="1" s="1"/>
  <c r="K34" i="1"/>
  <c r="L34" i="1" s="1"/>
  <c r="K35" i="1"/>
  <c r="L35" i="1" s="1"/>
  <c r="K36" i="1"/>
  <c r="L36" i="1" s="1"/>
  <c r="K31" i="1"/>
  <c r="L31" i="1" s="1"/>
  <c r="K25" i="1"/>
  <c r="L25" i="1" s="1"/>
  <c r="K26" i="1"/>
  <c r="L26" i="1" s="1"/>
  <c r="K27" i="1"/>
  <c r="L27" i="1" s="1"/>
  <c r="K28" i="1"/>
  <c r="L28" i="1" s="1"/>
  <c r="K29" i="1"/>
  <c r="L29" i="1" s="1"/>
  <c r="K24" i="1"/>
  <c r="L24" i="1" s="1"/>
  <c r="AC12" i="2" l="1"/>
  <c r="AC10" i="2"/>
  <c r="H28" i="2"/>
  <c r="L12" i="2"/>
  <c r="AD12" i="2" s="1"/>
  <c r="AC9" i="2"/>
  <c r="R9" i="2"/>
  <c r="AD9" i="2" s="1"/>
  <c r="AC8" i="2"/>
  <c r="AC7" i="2"/>
  <c r="AC14" i="2"/>
  <c r="AD15" i="2"/>
  <c r="AD11" i="2"/>
  <c r="AC13" i="2"/>
  <c r="AD8" i="2"/>
  <c r="AD14" i="2"/>
  <c r="AA18" i="2"/>
  <c r="AD13" i="2"/>
  <c r="H27" i="2"/>
  <c r="L10" i="2"/>
  <c r="AD10" i="2" s="1"/>
  <c r="AC15" i="2"/>
  <c r="AC11" i="2"/>
  <c r="M28" i="2"/>
  <c r="M29" i="2" s="1"/>
  <c r="H31" i="2" s="1"/>
  <c r="L67" i="1"/>
  <c r="K7" i="1"/>
  <c r="L7" i="1" s="1"/>
  <c r="H124" i="1"/>
  <c r="H122" i="1"/>
  <c r="H120" i="1"/>
  <c r="H119" i="1"/>
  <c r="H118" i="1"/>
  <c r="H117" i="1"/>
  <c r="H116" i="1"/>
  <c r="H115" i="1"/>
  <c r="H114" i="1"/>
  <c r="H113" i="1"/>
  <c r="H111" i="1"/>
  <c r="H110" i="1"/>
  <c r="H108" i="1"/>
  <c r="H107" i="1"/>
  <c r="H106" i="1"/>
  <c r="H105" i="1"/>
  <c r="H104" i="1"/>
  <c r="H103" i="1"/>
  <c r="H102" i="1"/>
  <c r="H101" i="1"/>
  <c r="H100" i="1"/>
  <c r="H99" i="1"/>
  <c r="H97" i="1"/>
  <c r="H96" i="1"/>
  <c r="H95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4" i="1"/>
  <c r="H53" i="1"/>
  <c r="H51" i="1"/>
  <c r="H49" i="1"/>
  <c r="H48" i="1"/>
  <c r="H46" i="1"/>
  <c r="H44" i="1"/>
  <c r="H43" i="1"/>
  <c r="H42" i="1"/>
  <c r="H41" i="1"/>
  <c r="H40" i="1"/>
  <c r="H39" i="1"/>
  <c r="H37" i="1"/>
  <c r="H36" i="1"/>
  <c r="H35" i="1"/>
  <c r="H34" i="1"/>
  <c r="H33" i="1"/>
  <c r="H32" i="1"/>
  <c r="H31" i="1"/>
  <c r="H29" i="1"/>
  <c r="H28" i="1"/>
  <c r="H27" i="1"/>
  <c r="H26" i="1"/>
  <c r="H25" i="1"/>
  <c r="H24" i="1"/>
  <c r="H21" i="1"/>
  <c r="H20" i="1"/>
  <c r="H19" i="1"/>
  <c r="H18" i="1"/>
  <c r="H17" i="1"/>
  <c r="H16" i="1"/>
  <c r="H12" i="1"/>
  <c r="H11" i="1"/>
  <c r="H10" i="1"/>
  <c r="H8" i="1"/>
  <c r="H7" i="1"/>
  <c r="L18" i="2" l="1"/>
  <c r="X18" i="2"/>
  <c r="V18" i="2" s="1"/>
  <c r="H29" i="2"/>
  <c r="H32" i="2" s="1"/>
  <c r="U18" i="2"/>
  <c r="S18" i="2" s="1"/>
  <c r="R18" i="2"/>
  <c r="P18" i="2" s="1"/>
  <c r="O18" i="2"/>
  <c r="M18" i="2" s="1"/>
  <c r="AA3" i="2"/>
  <c r="Y18" i="2"/>
  <c r="AD7" i="2"/>
  <c r="AD6" i="2" s="1"/>
  <c r="L127" i="1"/>
  <c r="L3" i="1" s="1"/>
  <c r="H112" i="1"/>
  <c r="H98" i="1"/>
  <c r="H91" i="1"/>
  <c r="H71" i="1"/>
  <c r="H56" i="1"/>
  <c r="H52" i="1"/>
  <c r="AD18" i="2" l="1"/>
  <c r="AC18" i="2" s="1"/>
  <c r="AE18" i="2" s="1"/>
  <c r="X3" i="2"/>
  <c r="U3" i="2"/>
  <c r="R3" i="2"/>
  <c r="O3" i="2"/>
  <c r="J18" i="2"/>
  <c r="L3" i="2"/>
  <c r="H55" i="1"/>
  <c r="H127" i="1" l="1"/>
  <c r="H123" i="1"/>
  <c r="H121" i="1"/>
  <c r="H109" i="1"/>
  <c r="H47" i="1"/>
  <c r="H45" i="1"/>
  <c r="H38" i="1"/>
  <c r="H30" i="1"/>
  <c r="H23" i="1"/>
  <c r="H15" i="1"/>
  <c r="H9" i="1"/>
  <c r="H6" i="1"/>
  <c r="J127" i="1" l="1"/>
  <c r="H22" i="1"/>
  <c r="H13" i="1" s="1"/>
  <c r="H14" i="1"/>
</calcChain>
</file>

<file path=xl/sharedStrings.xml><?xml version="1.0" encoding="utf-8"?>
<sst xmlns="http://schemas.openxmlformats.org/spreadsheetml/2006/main" count="872" uniqueCount="345">
  <si>
    <t>MEDIÇÕES</t>
  </si>
  <si>
    <t>AVANÇO</t>
  </si>
  <si>
    <t>ITEM</t>
  </si>
  <si>
    <t>CÓDIGO</t>
  </si>
  <si>
    <t>DESCRIÇÃO</t>
  </si>
  <si>
    <t>FONTE</t>
  </si>
  <si>
    <t>UND</t>
  </si>
  <si>
    <t>QUANTIDADE</t>
  </si>
  <si>
    <t>PREÇO
UNITÁRIO R$</t>
  </si>
  <si>
    <t>PREÇO
TOTAL R$</t>
  </si>
  <si>
    <t>AVANÇO PERCENTUAL NO PERÍODO</t>
  </si>
  <si>
    <t>QUANTIDADE MEDIDA NO PERÍODO</t>
  </si>
  <si>
    <t>VALOR MEDIDO NO PERÍODO</t>
  </si>
  <si>
    <t>% ACUMULADO</t>
  </si>
  <si>
    <t>QUANT. ACUMULADA</t>
  </si>
  <si>
    <t>TOTAL ACUMULADO</t>
  </si>
  <si>
    <t>SERVIÇOS PRELIMINARES</t>
  </si>
  <si>
    <t>MEDIÇÃO 01</t>
  </si>
  <si>
    <t>1.1</t>
  </si>
  <si>
    <t>1.2</t>
  </si>
  <si>
    <t>2.1</t>
  </si>
  <si>
    <t>2.2</t>
  </si>
  <si>
    <t>2.3</t>
  </si>
  <si>
    <t>3.1</t>
  </si>
  <si>
    <t>3.2</t>
  </si>
  <si>
    <t>COBERTURA</t>
  </si>
  <si>
    <t>4.1</t>
  </si>
  <si>
    <t>5.1</t>
  </si>
  <si>
    <t>6.1</t>
  </si>
  <si>
    <t>7.1</t>
  </si>
  <si>
    <t>7.2</t>
  </si>
  <si>
    <t>8.1</t>
  </si>
  <si>
    <t>8.2</t>
  </si>
  <si>
    <t>9.1</t>
  </si>
  <si>
    <t>10.1</t>
  </si>
  <si>
    <t>10.2</t>
  </si>
  <si>
    <t>VALOR BDI TOTAL:</t>
  </si>
  <si>
    <t>VALOR ORÇAMENTO:</t>
  </si>
  <si>
    <t>VALOR TOTAL:</t>
  </si>
  <si>
    <t>______________________________________
Fiscal do Contrato 
Prefeitura Municipal de Coremas - PB</t>
  </si>
  <si>
    <t>MEDIÇÃO 02</t>
  </si>
  <si>
    <t>TOTAL DA MEDIÇÃO 02</t>
  </si>
  <si>
    <t>MEDIÇÃO 03</t>
  </si>
  <si>
    <t>TOTAL DA MEDIÇÃO 03</t>
  </si>
  <si>
    <t>STATUS DO ÍTEM</t>
  </si>
  <si>
    <t xml:space="preserve">ACUMULADO DA OBRA </t>
  </si>
  <si>
    <t>MEDIÇÃO 04</t>
  </si>
  <si>
    <t>MEDIÇÃO 05</t>
  </si>
  <si>
    <t>______________________________________
Allam Pereira de Moura
Eng. Responsável Técnico da Fiscalização
CREA RP N°. 110487152-1</t>
  </si>
  <si>
    <t>TOTAL DA MEDIÇÃO 04</t>
  </si>
  <si>
    <t>MOVIMENTO DE TERRA</t>
  </si>
  <si>
    <t>5.2</t>
  </si>
  <si>
    <t>5.3</t>
  </si>
  <si>
    <t>5.4</t>
  </si>
  <si>
    <t>PILARES</t>
  </si>
  <si>
    <t>VIGAS</t>
  </si>
  <si>
    <t>6.2</t>
  </si>
  <si>
    <t>8.3</t>
  </si>
  <si>
    <t>8.4</t>
  </si>
  <si>
    <t>8.5</t>
  </si>
  <si>
    <t>8.6</t>
  </si>
  <si>
    <t>11.1</t>
  </si>
  <si>
    <t>11.2</t>
  </si>
  <si>
    <t>11.3</t>
  </si>
  <si>
    <t>12.1</t>
  </si>
  <si>
    <t>13.1</t>
  </si>
  <si>
    <t>PINTURA</t>
  </si>
  <si>
    <t>INSTALAÇÕES SANITÁRIAS</t>
  </si>
  <si>
    <t>TOTAL DA MEDIÇÃO 05</t>
  </si>
  <si>
    <t>TOTAL DA MEDIÇÃO 06</t>
  </si>
  <si>
    <t>Placa de obra em chapa aco galvanizado, instalada - Rev 02_O1/2022</t>
  </si>
  <si>
    <t>ORSE</t>
  </si>
  <si>
    <t>M2</t>
  </si>
  <si>
    <t>LIMPEZA MANUAL DE VEGETAÇÃO EM TERRENO COM EXADA AF 03/2024</t>
  </si>
  <si>
    <t>SINAPI</t>
  </si>
  <si>
    <t>LOCAÇÃO CONVENCIONAL DE OBRA, UTILIZANDO DE GABARITO DE TÁBUAS CORRIDAS PONTALETADAS A CADA 2,00M - 2 UTILIZAÇÕES. AF_03/2024</t>
  </si>
  <si>
    <t>M</t>
  </si>
  <si>
    <t>ESCAVAÇÃO MANUAL DE VALA COM PROFUNDIDADE MENOR OU IGUAL A 1,30M AF 02/2021</t>
  </si>
  <si>
    <t>M3</t>
  </si>
  <si>
    <t>ATERRO MANUAL DE VALAS COM SOLO ARGILO-ARENOSO. AF_08/2023</t>
  </si>
  <si>
    <t>ESTRUTURA</t>
  </si>
  <si>
    <t>INFRAESTUTURA</t>
  </si>
  <si>
    <t>FUNDAÇÃO</t>
  </si>
  <si>
    <t>3.1.1</t>
  </si>
  <si>
    <t>3.1.1.1</t>
  </si>
  <si>
    <t>CONCRETO FCK = 15MPA, TRACO 13,4.3,4 (EM MASSA SECA DE CIMENTO / AREIA MÉDIA/ SEIXO ROLADO) - PREPARO MANUAL. AF_05/2021</t>
  </si>
  <si>
    <t>CONCRETO FCK = 25MPA, TRACO 12,3:2,7 (EM MASSA SECA DE CIMENTO/ AREIA MEDIA/ BRITA 1) - PREPARO MECANICO COM BETONEIRA 400 L. AF 05/2021</t>
  </si>
  <si>
    <t>ARMAÇÃO DE BLOCO UTILIZANDO AÇO CA-50 DE 6,3 MM - MONTAGEM. AF 01/2024</t>
  </si>
  <si>
    <t>KG</t>
  </si>
  <si>
    <t>ARMAÇÃO DE BLOCO UTILZANDO AÇO CASO DE 8 MM - MONTAGEM. AF 01/2024</t>
  </si>
  <si>
    <t>ARMAÇÃO DE BLOCO UTILIZANDO AÇO CA-60 DE 5 MM - MONTAGEM. AF 01/2024</t>
  </si>
  <si>
    <t>IMPERMEABILIZAÇÃO DE SUPERFÍCIE COM EMULSÃO ASFÁLTICA, 2 DEMÃOS. AF 09/2023</t>
  </si>
  <si>
    <t>3.1.1.2</t>
  </si>
  <si>
    <t>3.1.1.3</t>
  </si>
  <si>
    <t>3.1.1.4</t>
  </si>
  <si>
    <t>3.1.1.5</t>
  </si>
  <si>
    <t>3.1.1.6</t>
  </si>
  <si>
    <t>3.2.1</t>
  </si>
  <si>
    <t>SUPERESTRUTURA</t>
  </si>
  <si>
    <t>3.2.1.1</t>
  </si>
  <si>
    <t>3.2.1.2</t>
  </si>
  <si>
    <t>3.2.1.3</t>
  </si>
  <si>
    <t>3.2.1.4</t>
  </si>
  <si>
    <t>3.2.1.5</t>
  </si>
  <si>
    <t>3.2.1.6</t>
  </si>
  <si>
    <t>CONCRETO FCK = 25MPA, TRACO 1:2,2:2,5 (EM MASSA SECA DE CIMENTO/ AREIA MEDIA/ SEIXO ROLADO) - PREPARO MECANICO COM BETONEIRA 400 L. AF 05/2021</t>
  </si>
  <si>
    <t>ARMAÇÃO DE BLOCO UTILIZANDO AÇO CA-SO DE 10 MM - MONTAGEM. AF 01/2024</t>
  </si>
  <si>
    <t>ARMAÇÃO DE BLOCO UTILIZANDO AÇO CA-CO DE 5 MM - MONTAGEM. AF 01/2024</t>
  </si>
  <si>
    <t>ARMAÇÃO DE BLOCO UTILZANDO AÇO CA-50 DES MM - MONTAGEM, AF 01/2024</t>
  </si>
  <si>
    <t>ARMAÇÃO DE BLOCO, VIGA BALDRAME OU SAPATA UTILIZANDO AÇO CA- 50 DE 12,5 MM - MONTAGEM. AF 06/2017</t>
  </si>
  <si>
    <t>FABRICAÇÃO, MONTAGEM E DESMONTAGEM DE FÔRMA PARA ESCADA HIDRAULICA, EM CHAPA DE MADEIRA COMPENSADA RESINADA, E = 17 MM, 3 UTILIZAÇÕES. AF 08/2022</t>
  </si>
  <si>
    <t>3.2.2</t>
  </si>
  <si>
    <t>3.2.2.1</t>
  </si>
  <si>
    <t>3.2.2.2</t>
  </si>
  <si>
    <t>3.2.2.3</t>
  </si>
  <si>
    <t>3.2.2.4</t>
  </si>
  <si>
    <t>3.2.2.5</t>
  </si>
  <si>
    <t>3.2.2.6</t>
  </si>
  <si>
    <t>3.2.2.7</t>
  </si>
  <si>
    <t>CONCRETO FCK = 25MPA, TRAGO 12,2:2,5 (EM MASSA SECA DE CIMENTO/ AREIA MEDIA/ SEIXO ROLADO) - PREPARO MECANICO COM BETONEIRA 400 L. AF 05/2021</t>
  </si>
  <si>
    <t>ARMAÇÃO DE PILAR OU VIGA DE ESTRUTURA CONVENCIONAL DE CONCRETO ARMADO UTILIZANDO AÇO CA-50 06 8,3 MM - MONTAGEM. AF 06/2022</t>
  </si>
  <si>
    <t>ARMAÇÃO DE PILAR OU VIGA DE ESTRUTURA CONVENCIONAL DE CONCRETO ARMADO UTILIZANDO AÇO CA-50 DE 8,0 MM - MONTAGEM. AF 06/2022</t>
  </si>
  <si>
    <t>ARMAÇÃO DE PILAR OU VIGA DE ESTRUTURA CONVENCIONAL DE CONCRETO ARMADO UTILIZANDO AÇO CA-50 DE 10,0 MM - MONTAGEM. AF 06/2022</t>
  </si>
  <si>
    <t>ARMAÇÃO DE PILAR OU VIGA DE ESTRUTURA CONVENCIONAL DE CONCRETO ARMADO UTILZANDO AÇO CA-50 DE 12,5 MM - MONTAGEM. AF 06/2022</t>
  </si>
  <si>
    <t>ARMAÇÃO DE PILAR OU VIGA DE ESTRUTURA CONVENCIONAL DE CONCRETO ARMADO UTILIZANDO AÇO CA-CO DE 5,0 MM - MONTAGEM. AF 06/2022</t>
  </si>
  <si>
    <t>FABRICAÇÃO DE FORMA PARA VIGAS, EM CHAPA DE MADEIRA COMPENSADA RESINADA, E = 17 MM. AF 09/2020</t>
  </si>
  <si>
    <t>3.2.3</t>
  </si>
  <si>
    <t>3.2.3.1</t>
  </si>
  <si>
    <t xml:space="preserve">LAJE </t>
  </si>
  <si>
    <t>3.2.3.2</t>
  </si>
  <si>
    <t>3.2.3.3</t>
  </si>
  <si>
    <t>3.2.3.4</t>
  </si>
  <si>
    <t>3.2.3.5</t>
  </si>
  <si>
    <t>3.2.3.6</t>
  </si>
  <si>
    <t>CONCRETO FCK = 25MPA, TRACO 1:2,3:2,7 (EM MASSA SECA DE CIMENTO/AREIA MEDIA/ BRITA 1) - PREPARO MECANICO COM BETONEIRA 400 L. AF 05/2021</t>
  </si>
  <si>
    <t>FABRICAÇÃO DE FÔRMA PARA LAJES, EM CHAPA DE MADEIRA COMPENSADA RESINADA, E = 17 MM. AF 09/2020</t>
  </si>
  <si>
    <t>ARMAÇÃO DE LAJE DE ESTRUTURA CONVENCIONAL DE CONCRETO ARMADO UTILIZANDO AÇO CA-SO DE 6,3 MM - MONTAGEM. AF_06/2022</t>
  </si>
  <si>
    <t>ARMAÇÃO DE LAJE DE ESTRUTURA CONVENCIONAL DE CONCRETO ARMADO UTILIZANDO AÇO CA-SO DE 8,0 MM - MONTAGEM. AF_06/2022</t>
  </si>
  <si>
    <t>ARMAÇAO DE LAJE DE ESTRUTURA CONVENCIONAL DE CONCRETO ARMADO UTILIZANDO AÇO CA-50 DE 10,0 MM - MONTAGEM. AF_08/2022</t>
  </si>
  <si>
    <t>ARMAÇÃO DE LAJE DE ESTRUTURA CONVENCIONAL DE CONCRETO ARMADO UTILIZANDO AÇO CA-CO DE 5,0 MM - MONTAGEM. AF_06/2022</t>
  </si>
  <si>
    <t>ELEVAÇÃO</t>
  </si>
  <si>
    <t>ALVENARIA DE VEDAÇÃO DE BLOCOS CERAMICOS FURADOS NA HORIZONTAL DE 9X19X19 CM (ESPESSURA 9 CM) E ARGAMASSA DE ASSENTAMENTO COM PREPARO EM BETONEIRA. AF_12/2021</t>
  </si>
  <si>
    <t>REVESTIMENTO</t>
  </si>
  <si>
    <t>CHAPISCO APLICADO EM ALVENARIA (SEM PRESENÇA DE VÃOS) E ESTRUTURAS DE CONCRETO DE FACHADA, COM COLHER DE PEDREIRO. ARGAMASSA TRAÇO 1.3 COM PREPARO EM BETONEIRA 400L. AF_10/2022</t>
  </si>
  <si>
    <t>MASSA ÚNICA, EM ARGAMASSA TRAÇO 1:2:8, PREPARO MANUAL, APLICADA MANUALMENTE EM PAREDES INTERNAS DE AMBIENTES COM ÁREA ENTRE 5M² E 10M², E = 10MM, COM TALISCAS, AF_03/2024</t>
  </si>
  <si>
    <t>REVESTIMENTO CERÂMICO PARA PAREDES INTERNAS COM PLACAS TIPO PASTILHA DE DIMENSÕES 5 X 5 CM (PLACAS DE 30 X 30 CM) CM APLICADAS A MEIA ALTURA DAS PAREDES. AF_02/2023</t>
  </si>
  <si>
    <t>REVESTIMENTO CERÂMICO PARA PISO COM PLACAS TIPO PORCELANATO DE DIMENSÕES 60X60 CM APLICADA EM AMBIENTES DE ÁREA ENTRE 5 M² E 10 M². AF 02/2023 PE</t>
  </si>
  <si>
    <t>PISO</t>
  </si>
  <si>
    <t>ARGAMASSA TRAÇO 1:3 (EM VOLUME DE CIMENTO E AREIA MÉDIA ÚMIDA) PARA CONTRAPISO, PREPARO MECANICO COM BETONEIRA 400 L. AF 08/2019</t>
  </si>
  <si>
    <t>REVESTIMENTO CERÂMICO PARA PISO COM PLACAS TIPO PORCELANATO DE DIMENSOES 80X80 CM APLICADA EM AMBIENTES DE AREA ENTRE 556
E 10 M'. AF 022023 PE</t>
  </si>
  <si>
    <t>7.1.1</t>
  </si>
  <si>
    <t>7.1.2</t>
  </si>
  <si>
    <t>7.1.3</t>
  </si>
  <si>
    <t>SANITÁRIA</t>
  </si>
  <si>
    <t>7.1.4</t>
  </si>
  <si>
    <t>7.1.5</t>
  </si>
  <si>
    <t>7.1.6</t>
  </si>
  <si>
    <t>7.1.7</t>
  </si>
  <si>
    <t>7.1.8</t>
  </si>
  <si>
    <t>7.1.9</t>
  </si>
  <si>
    <t>7.1.10</t>
  </si>
  <si>
    <t>7.1.11</t>
  </si>
  <si>
    <t>7.1.12</t>
  </si>
  <si>
    <t>7.1.13</t>
  </si>
  <si>
    <t>7.1.14</t>
  </si>
  <si>
    <t>VASO SANITARIO SIFONADO COM CAIXA ACOPLADA LOUÇA BRANCA, INCLUSO ENGATE FLEXÍVEL EM PLASTICO BRANCO, 1/2 X 40CM - FORNECIMENTO E INSTALAÇÃO. AF_01/2020</t>
  </si>
  <si>
    <t>UNID</t>
  </si>
  <si>
    <t>LAVATÓRIO LOUÇA BRANCA COM COLUNA, *44 X 35,5* CM, PADRÃO POPULAR, INCLUSO SIFAO FLEXÍVEL EM PVC, VALVULA E ENGATE FLEXÍVEL 30CM EM PLASTICO E COM TORNEIRA CROMADA PADRAO POPULAR-FORNECIMENTO E INSTALAÇÃO. AF_01/2020</t>
  </si>
  <si>
    <t>TUBO PVC, SERIE NORMAL, ESGOTO PREDIAL, DN 100 MM, FORNECIDO E INSTALADO EM RAMAL DE DESCARGA OU RAMAL DE ESGOTO SANITARIO. AF 08/2022</t>
  </si>
  <si>
    <t>TUBO PVC, SERIE NORMAL, ESGOTO PREDIAL, DN 40 MM, FORNECIDO E INSTALADO EM RAMAL DE DESCARGA OU RAMAL DE ESGOTO SANITARIO. AF 08/2022</t>
  </si>
  <si>
    <t>TUBO PVC, SERIE NORMAL, ESGOTO PREDIAL, DN 50 MM, FORNECIDO E INSTALADO EM PRUMADA DE ESGOTO SANITARIO OU VENTILAÇÃO. AF 08/2022</t>
  </si>
  <si>
    <t>RALO SECO CONICO, PVC, DN 100 X 40 MM, JUNTA SOLDAVEL, FORNECIDO E INSTALADO EM RAMAL DE DESCARGA OU EM RAMAL DE ESGOTO SANITARIO. AF 08/2022</t>
  </si>
  <si>
    <t>RALO SIFONADO REDONDO, PVC, DN 100 X 40 MM, JUNTA SOLDAVEL, FORNECIDO E INSTALADO EM RAMAL DE DESCARGA OU EM RAMAL DE ESGOTO SANITARIO. AF 08/2022</t>
  </si>
  <si>
    <t>JOELHO 45 GRAUS, PVC, SERIE NORMAL, ESGOTO PREDIAL, DN 40 MM, JUNTA SOLDAVEL, FORNECIDO E INSTALADO EM RAMAL DE DESCARGA OU RAMAL DE ESGOTO SANITARIO. AF 08/2022</t>
  </si>
  <si>
    <t>JOELHO 45 GRAUS, PVC, SERIE NORMAL, ESGOTO PREDIAL, DN 50 MM, JUNTA ELASTICA, FORNECIDO E INSTALADO EM RAMAL DE DESCARGA OU RAMAL DE ESGOTO SANITARIO. AF 08/2022</t>
  </si>
  <si>
    <t>JOELHO 90 GRAUS, PVC, SERIE NORMAL, ESGOTO PREDIAL, DN 100 MM, JUNTA ELASTICA, FORNECIDO E INSTALADO EM PRUMADA DE ESGOTO SANITARIO OU VENTILACAO. AF_08/2022</t>
  </si>
  <si>
    <t>JOELHO 45 GRAUS, PVC, SERIE NORMAL, ESGOTO PREDIAL, DN 100 MM, JUNTA ELASTICA, FORNECIDO E INSTALADO EM PRUMADA DE ESGOTO SANITARIO OU VENTILACAO. AF_08/2022</t>
  </si>
  <si>
    <t>BARRA DE APOIO EM "L", EM ACO INOX POLIDO 80 X 80 CM, FIXADA NA PAREDE - FORNECIMENTO E INSTALAÇÃO. AF 01/2020</t>
  </si>
  <si>
    <t>TE, PVC, SERIE NORMAL, ESGOTO PREDIAL, DN 100 X 100 MM, JUNTA ELASTICA, FORNECIDO E INSTALADO EM PRUMADA DE ESGOTO SANITARIO OU VENTILAÇÃO. AF_08/2022</t>
  </si>
  <si>
    <t>JUNÇÃO DUPLA DE PVC, SERIE NORMAL, PARA ESGOTO PREDIAL, DN 100  X 100 X 100 MM, INSTALADA EM DRENO - FORNECIMENTO E INSTALAÇÃO. AF 07/2021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</si>
  <si>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</si>
  <si>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</si>
  <si>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</si>
  <si>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</si>
  <si>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</si>
  <si>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</si>
  <si>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</si>
  <si>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</si>
  <si>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</si>
  <si>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</si>
  <si>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</si>
  <si>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</si>
  <si>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</si>
  <si>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</si>
  <si>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</si>
  <si>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</si>
  <si>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</si>
  <si>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</si>
  <si>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</si>
  <si>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HIDRÁULICA</t>
  </si>
  <si>
    <t>CAIXA D'AGUA EM POLIESTER REFORCADO COM FIBRA DE VIDRO, 3000 LITROS - FORNECIMENTO E INSTALAÇÃO. AF_06/2021</t>
  </si>
  <si>
    <t>TUBO, PVC, SOLDAVEL, DN 25MM, INSTALADO EM PRUMADA DE ÁGUA - FORNECIMENTO E INSTALAÇÃO. AF 06/2022</t>
  </si>
  <si>
    <t>JOELHO 90 GRAUS COM BUCHA DE LATAO, PVC, SOLDAVEL, DN 25MM, X 3/4 INSTALADO EM RAMAL OU SUB-RAMAL DE ÁGUA - FORNECIMENTO E INSTALAÇÃO. AF 06/2022</t>
  </si>
  <si>
    <t>TUBO, PVC, SOLDAVEL, DN 20MM, INSTALADO EM RAMAL OU SUB-RAMAL DE ÁGUA - FORNECIMENTO E INSTALAÇÃO. AF_06/2022</t>
  </si>
  <si>
    <t>CHUVEIRO ELÉTRICO COMUM CORPO PLASTICO, TIPO DUCHA - FORNECIMENTO E INSTALAÇÃO. AF 01/2020</t>
  </si>
  <si>
    <t>LUVA, PVC, SOLDAVEL, DN 25MM, INSTALADO EM PRUMADA DE ÁGUA - FORNECIMENTO E INSTALAÇÃO. AF 06/2022</t>
  </si>
  <si>
    <t>JOELHO 90 GRAUS, PPR, DN 20 MM, INSTALADO EM RAMAL OU SUB - RAMAL DE ÁGUA - FORNECIMENTO E INSTALAÇÃO. AF_082022</t>
  </si>
  <si>
    <t>LAJE PRE-MOLDADA UNIDIRECIONAL, BIAPOIADA, PARA FORRO, ENCHIMENTO EM CERÂMICA, VIGOTA CONVENCIONAL, ALTURA TOTAL DA LAJE (ENCHIMENTO+CAPA) = (8+3). AF_11/2020_PA</t>
  </si>
  <si>
    <t>SABONETEIRA DE PAREDE EM METAL CROMADO, INCLUSO FIXAÇÃO. AF 01/2020</t>
  </si>
  <si>
    <t>SABONETEIRA PLÁSTICA TIPO DISPENSER PARA SABONETE LIQUIDO COM RESERVATÓRIO 600 A 1500 ML, INCLUSO FIXAÇÃO. AF_01/2020</t>
  </si>
  <si>
    <t>SABONETEIRA PLÁSTICA TIPO DISPENSER PARA SABONETE LIQUIDO COM RESERVATÓRIO 800 A 1500 ML, INCLUSO FIXAÇÃO. AF_01/2020</t>
  </si>
  <si>
    <t>JOELHO 90 GRAUS COM BUCHA DE LATÃO, PVC, SOLDÁVEL, DN 25MM, X 1/2 INSTALADO EM RAMAL OU SUB-RAMAL DE ÁGUA - FORNECIMENTO E INSTALAÇÃO. AF 06/2022</t>
  </si>
  <si>
    <t>REGISTRO DE PRESSÃO BRUTO, LATÃO, ROSCÁVEL, 3/4", COM ACABAMENTO E CANOPLA CROMADOS - FORNECIMENTO E INSTALAÇÃO, AF 08/2021</t>
  </si>
  <si>
    <t>TORNEIRA CROMADA DE MESA, 1/2" OU 3/4", PARA LAVATÓRIO, PADRÃO MÉDIO - FORNECIMENTO E INSTALAÇÃO. AF_01/2020</t>
  </si>
  <si>
    <t>TORNEIRA CROMADA LONGA, DE PAREDE, 1/2" OU 3/4", PARA PIA DE COZINHA. PADRÃO POPULAR - FORNECIMENTO E INSTALAÇÃO. AF 01/2020</t>
  </si>
  <si>
    <t>REGISTRO DE GAVETA BRUTO, LATÃO, ROSCÁVEL, 1 1/2" - FORNECIMENTO E INSTALAÇÃO. AF 08/2021</t>
  </si>
  <si>
    <t>REGISTRO DE ESFERA, PVC, ROSCÁVEL, COM VOLANTE, 1 1/2" - FORNECIMENTO E INSTALAÇÃO. AF 08/2021</t>
  </si>
  <si>
    <t>(COMPOSIÇÃO REPRESENTATIVA) DO SERVIÇO DE CONTRAPISO EM ARGAMASSA TRAÇO 1:4 (CIM E AREIA), BETONEIRA 400 L, E = 4 CM ÁREAS SECAS E MOLHADAS SOBRE LAJE , E = 3 CM ÁREAS MOLHADAS SOBRE IMPERMEABILIZAÇÃO, PARA EDIFICAÇÃO MULTIFAMILIAR. AF_11/2014</t>
  </si>
  <si>
    <t>IMPERMEABILIZAÇÃO DE SUPERFICIE COM EMULSAO ASFALTICA, 2 DEMAOS. AF 09/2023</t>
  </si>
  <si>
    <t>APLICAÇÃO MANUAL DE MASSA ACRÍLICA EM PAREDES EXTERNAS DE CASAS, DUAS DEMÃOS. AF 03/2024</t>
  </si>
  <si>
    <t>APLICAÇÃO MANUAL DE MASSA ACRÍLICA EM SUPERFICIES INTERNAS DE SACADA DE EDIFÍCIOS DE MÚLTIPLOS PAVIMENTOS. UMA DEMÃO. AF 03/2024</t>
  </si>
  <si>
    <t>PINTURA LATÉX ACRÍLICA ECONÔMICA, APLICAÇÃO MANUAL EM PAREDES, DUAS DEMÃOS. AF 04/2023</t>
  </si>
  <si>
    <t>APLICAÇÃO MANUAL DE FUNDO SELADOR ACRÍLICO EM PAREDES EXTERNAS DE CASAS. AF 03/2024</t>
  </si>
  <si>
    <t>FUNDO SELADOR ACRÍLICO, APLICAÇÃO MANUAL EM PAREDE, UMA DEMÃO. AF 04/2023</t>
  </si>
  <si>
    <t>TEXTURA ACRÍLICA, APLICAÇÃO MANUAL EM TETO, UMA DEMÃO. AF 04/2023</t>
  </si>
  <si>
    <t>INSTALAÇÕES ELÉTRICAS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</si>
  <si>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</si>
  <si>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</si>
  <si>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</si>
  <si>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</si>
  <si>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</si>
  <si>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</si>
  <si>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</si>
  <si>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</si>
  <si>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</si>
  <si>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ENTRADA DE ENERGIA ELÉTRICA, AEREA, MONOFASICA, COM CAIXA DE SOBREPOR, CABO DE 35 MM2 E DISJUNTOR DIN 50A (NÃO INCLUSO O POSTE DE CONCRETO). AF_07/2020_PS</t>
  </si>
  <si>
    <t>DISJUNTOR BIPOLAR TIPO DIN, CORRENTE NOMINAL DE 10A - FORNECIMENTO E INSTALAÇÃO. AF 10/2020</t>
  </si>
  <si>
    <t>COMPOSIÇÃO PARAMÉTRICA DE PONTO ELÉTRICO DE ILUMINAÇÃO, COM INTERRUPTOR SIMPLES, EM EDIFÍCIO RESIDENCIAL COM ELETRODUTO EMBUTIDO EM RASGOS NAS PAREDES, INCLUSO TOMADA, ELETRODUTO, CABO, RASGO E CHUMBAMENTO (SEM LUMINÁRIA E LÂMPADA). AF 11/2022</t>
  </si>
  <si>
    <t>DISJUNTOR BIPOLAR TIPO DIN, CORRENTE NOMINAL DE 32A- FORNECIMENTO E INSTALAÇÃO. AF 10/2020</t>
  </si>
  <si>
    <t>DISJUNTOR MONOPOLAR TIPO DIN, CORRENTE NOMINAL DE 16A - FORNECIMENTO E INSTALAÇÃO. AF 10/2020</t>
  </si>
  <si>
    <t>COMPOSIÇÃO PARAMÉTRICA DE PONTO ELÉTRICO DE TOMADA DE USO ESPECÍFICO 2P+T (20A/250V) EM EDIFÍCIO RESIDENCIAL COM ELETRODUTO EMBUTIDO EM RASGOS NAS PAREDES, INCLUSO TOMADA, ELETRODUTO, CABO, RASGO, QUEBRA E CHUMBAMENTO (EXCETO CHUVEIRO). AF 11/2022</t>
  </si>
  <si>
    <t>COMPOSIÇÃO PARAMÉTRICA DE PONTO ELÉTRICO DE TOMADA DE USO GERAL 2P+T (10A/250V) EM EDIFICIO RESIDENCIAL COM ELETRODUTO EMBUTIDO EM RASGOS NAS PAREDES, INCLUSO TOMADA, ELETRODUTO, CABO, RASGO, OUEBRA E CHUMBAMENTO. AF_11/2022</t>
  </si>
  <si>
    <t>LUMINÁRIA TIPO PLAFON EM PLÁSTICO, DE SOBREPOR, COM 1 LÂMPADA FLUORESCENTE DE 15W, SEM REATOR - FORNECIMENTO E INSTALAÇÃO. AF 02/2020</t>
  </si>
  <si>
    <t>CABO DE COBRE FLEXÍVEL ISOLADO, 10 MM², 0,6/1,0 KV, PARA REDE AÉREA DE DISTRIBUIÇÃO DE ENERGIA ELETRICA DE BAIXA TENSÃO - FORNECIMENTO E INSTALAÇÃO. AF_07/2020</t>
  </si>
  <si>
    <t>Disjuntor bipolar DR 25 A - Dispositivo residual diferencial, tipo AC, 30 MA, ref.5SM1 312-OMB, Siemens ou similar</t>
  </si>
  <si>
    <t>CLIMATIZAÇÃO</t>
  </si>
  <si>
    <t>AR CONDICIONADO SPLIT INVERTER, HI-WALL (PAREDE), 9000 BTU/H, CICLO FRIO - FORNECIMENTO E INSTALAÇÃO. AF_11/2021_PE</t>
  </si>
  <si>
    <t>COMPOSIÇÃO</t>
  </si>
  <si>
    <t>CAIXA DE PASSAGEM PARA AR CONDICIONADO- FORNECIMENTO E INSTALAÇÃO</t>
  </si>
  <si>
    <t>PRÓPRIO</t>
  </si>
  <si>
    <t>ESQUADRIAS</t>
  </si>
  <si>
    <t>LIMPEZA FINAL DA OBRA</t>
  </si>
  <si>
    <t>11.4</t>
  </si>
  <si>
    <t>11.5</t>
  </si>
  <si>
    <t>11.6</t>
  </si>
  <si>
    <t>11.7</t>
  </si>
  <si>
    <t>11.8</t>
  </si>
  <si>
    <t>PORTA DE MADEIRA PARA PINTURA, SEMI-OCA (LEVE OU MEDIA), 90X210CM, ESPESSURA DE 3,5CM, INCLUSO DOBRADIÇAS - FORNECIMENTO E INSTALAÇÃO. AF 12/2019</t>
  </si>
  <si>
    <t>JANELA DE ALUMINIO DE CORRER COM 2 FOLHAS PARA VIDROS, COM VIDROS, BATENTE, ACABAMENTO COM ACETATO OU BRILHANTE E FERRAGENS. EXCLUSIVE ALIZAR E CONTRAMARCO. FORNECIMENTO E INSTALAÇÃO. AF 121/2019</t>
  </si>
  <si>
    <t>PORTA DE ABRIR COM MOLA HIDRÁULICA, EM VIDRO TEMPERADO, 2 FOLHAS DE 90X210 CM, ESPESSURA DD 10MM, INCLUSIVE ACESSÓRIOS. AF 01/2021</t>
  </si>
  <si>
    <t>PORTA DE ABRIR COM MOLA HIDRÁULICA, EM VIDRO TEMPERADO, 90X210 CM, ESPESSURA 10 MM, INCLUSIVE ACESSÓRIOS. AF_011/2021</t>
  </si>
  <si>
    <t>PORTA DE ALUMÍNIO DE ABRIR COM LAMBRI, COM GUARNIÇÃO, FIXAÇÃO COM PARAFUSOS - FORNECIMENTO E INSTALAÇÃO. AF_1212019</t>
  </si>
  <si>
    <t>JANELA DE AÇO TIPO BASCULANTE PARA VIDROS, COM BATENTE, FERRAGENS E PINTURA ANTICORROSIVA. EXCLUSIVE VIDROS, ACABAMENTO, ALIZAR E CONTRAMARCO, FORNECIMENTO E INSTALAÇÃO. AF 12/2019</t>
  </si>
  <si>
    <t>JANELA DE AÇO DE CORRER COM 4 FOLHAS PARA VIDRO, COM BATENTE, FERRAGENS E PINTURA ANTICORROSIVA. EXCLUSIVE VIDROS, ALIZAR E CONTRAMARCO. FORNECIMENTO E INSTALAÇÃO. AF_12/2019</t>
  </si>
  <si>
    <t>INSTALAÇÃO DE VIDRO IMPRESSO, E = 4 MM, EM ESQUADRIA DE ALUMÍNIO OU PVC, FIXADO COM BAGUETE. AF_01/2021_PS</t>
  </si>
  <si>
    <t>COMPOSIÇÃO PARAMÉTRICA PARA EXECUÇÃO DE COBERTURA DE EDIFICAÇÕES COM ESTRUTURA EM PONTALETES DE MADEIRA, DUAS ÁGUAS, TELHA DE FIBROCIMENTO ONDULADA E COM PLATIBANDA. AF 11/2023</t>
  </si>
  <si>
    <t>Limpeza geral</t>
  </si>
  <si>
    <t>M²</t>
  </si>
  <si>
    <t>CONTRATAÇÃO DE UMA EMPRESA ESPECIALIZADA PARA CONSTRUÇÃO DE 01 (UM) CENTRO ESPECIALIZADO EM ATENÇÃO A SAÚDE MENTAL PARA ATENDER AS NECESSIDADES DA SECRETARIA MUNICIPAL DE SAÚDE EM COREMAS/PB</t>
  </si>
  <si>
    <t>DADOS DO CONTRATANTE:  Prefeitura Municipal de Coremas.
CNPJ: 08.939.936/0001-94
POCESSO LICITATÓRIO: Processo Administrativo N°. 176/2024 e Concorrência Eletrônica N°. 0004/2024
CONTRATO N°. 328/2024
VALOR DA OBRA/CONTRATO: 1.150.000,00 (Um milhão, cento e cinquenta mil reais).</t>
  </si>
  <si>
    <t>DADOS DO CONTRATADO: CL CONSTRUÇÕES E SERVIÇOS LTDA 
CNPJ: 09.335.002/0001-06
ENDEREÇO: Rua Cel. João Severino, SN - Sala D - Centro - Itaporanga - PB.</t>
  </si>
  <si>
    <t>FONTE DOS RECURSOS: 
Próprio (Diversos) do Município, prevista no orçamento da União, para o exercício de 2024.</t>
  </si>
  <si>
    <t>BANCO DE DADOS:         
SINAPI - 05/2024-Paraiba 
ORSE - 0412024- Sergipe</t>
  </si>
  <si>
    <t>DATA DE INÍCIO DO CONTRATO: 15/10/2024.
VIGÊNCIA: 12 MESES</t>
  </si>
  <si>
    <t>MEDIÇÃO 06</t>
  </si>
  <si>
    <t xml:space="preserve">TOTAL DA MEDIÇÃO 01 = </t>
  </si>
  <si>
    <t xml:space="preserve">TOTAL DA MEDIÇÃO 02 = </t>
  </si>
  <si>
    <t xml:space="preserve">TOTAL DA MEDIÇÃO 03 = </t>
  </si>
  <si>
    <t xml:space="preserve">TOTAL DA MEDIÇÃO 05 = </t>
  </si>
  <si>
    <t>B.D.I. = 22,47%
ENCARGOS SOCIAIS:
Nao Desonerado: embutido nos presos unitário dos insumos de mão de obra, de acordo com as bases.</t>
  </si>
  <si>
    <t>_________________________________
Cleyton Cabral Lopes
Engª. Responsável Técnica da Execução
CREA RNP N°. 1618264389</t>
  </si>
  <si>
    <t xml:space="preserve">GLOSA DA LAJE </t>
  </si>
  <si>
    <t xml:space="preserve">ADITIVO DA NOVA LAJE </t>
  </si>
  <si>
    <t>SALDO DE ADITIVO</t>
  </si>
  <si>
    <t>VALOR ORÇADO</t>
  </si>
  <si>
    <t xml:space="preserve">VALOR DO VENCEDOR </t>
  </si>
  <si>
    <t>%  DE DESCONTO OFERTADO</t>
  </si>
  <si>
    <t>ADITIVO DA NOVA LAJE JÁ COM DESCONTO</t>
  </si>
  <si>
    <t>TOTAL DO ADITIVO + GLOSA</t>
  </si>
  <si>
    <t>VALOR ORÇADO PELO ÓRGÃO</t>
  </si>
  <si>
    <t xml:space="preserve">DESCONTO DADO PELA EMPRESA VENCEDORA </t>
  </si>
  <si>
    <t xml:space="preserve"> 1.1 </t>
  </si>
  <si>
    <t xml:space="preserve"> 101964 </t>
  </si>
  <si>
    <t xml:space="preserve"> 1.2 </t>
  </si>
  <si>
    <t xml:space="preserve"> 10.01.049 </t>
  </si>
  <si>
    <t>FDE</t>
  </si>
  <si>
    <t>LAJE PRÉ-MOLDADA UNIDIRECIONAL, BIAPOIADA, PARA FORRO, ENCHIMENTO EM CERÂMICA, VIGOTA CONVENCIONAL, ALTURA TOTAL DA LAJE (ENCHIMENTO+CAPA) = (8+3). AF_11/2020_PA</t>
  </si>
  <si>
    <t>FORRO DE GESSO ACARTONADO INCL ESTRUTURA</t>
  </si>
  <si>
    <t>m²</t>
  </si>
  <si>
    <t xml:space="preserve"> 1.4 </t>
  </si>
  <si>
    <t xml:space="preserve"> 87831 </t>
  </si>
  <si>
    <t xml:space="preserve"> 1.5 </t>
  </si>
  <si>
    <t xml:space="preserve"> 103328 </t>
  </si>
  <si>
    <t xml:space="preserve"> 1.6 </t>
  </si>
  <si>
    <t xml:space="preserve"> 87894 </t>
  </si>
  <si>
    <t xml:space="preserve"> 1.7 </t>
  </si>
  <si>
    <t xml:space="preserve"> CPU-40-PMC </t>
  </si>
  <si>
    <t xml:space="preserve"> 1.8 </t>
  </si>
  <si>
    <t xml:space="preserve"> CPU-41-PMC </t>
  </si>
  <si>
    <t xml:space="preserve"> 1.9 </t>
  </si>
  <si>
    <t xml:space="preserve"> 96620 </t>
  </si>
  <si>
    <t xml:space="preserve"> 1.10 </t>
  </si>
  <si>
    <t xml:space="preserve"> 88488 </t>
  </si>
  <si>
    <t>Próprio</t>
  </si>
  <si>
    <t>EMBOÇO OU MASSA ÚNICA EM ARGAMASSA TRAÇO 1:2:8, PREPARO MANUAL, APLICADA MANUALMENTE NAS PAREDES INTERNAS DA SACADA, ESPESSURA DE 35 MM, SEM USO DE TELA METÁLICA DE REFORÇO CONTRA FISSURAÇÃO. AF_08/2022</t>
  </si>
  <si>
    <t>ALVENARIA DE VEDAÇÃO DE BLOCOS CERÂMICOS FURADOS NA HORIZONTAL DE 9X19X19 CM (ESPESSURA 9 CM) E ARGAMASSA DE ASSENTAMENTO COM PREPARO EM BETONEIRA. AF_12/2021</t>
  </si>
  <si>
    <t>CHAPISCO APLICADO EM ALVENARIA (SEM PRESENÇA DE VÃOS) E ESTRUTURAS DE CONCRETO DE FACHADA, COM COLHER DE PEDREIRO.  ARGAMASSA TRAÇO 1:3 COM PREPARO EM BETONEIRA 400L. AF_10/2022</t>
  </si>
  <si>
    <t>Aterro do Caixão da Obra</t>
  </si>
  <si>
    <t>Dreno para ar-condicionado embutido na parede e calçada - até meio fio.</t>
  </si>
  <si>
    <t>LASTRO DE CONCRETO MAGRO, APLICADO EM PISOS, LAJES SOBRE SOLO OU RADIERS. AF_01/2024</t>
  </si>
  <si>
    <t>PINTURA LÁTEX ACRÍLICA PREMIUM, APLICAÇÃO MANUAL EM TETO, DUAS DEMÃOS. AF_04/2023</t>
  </si>
  <si>
    <t>m³</t>
  </si>
  <si>
    <t>UN</t>
  </si>
  <si>
    <t xml:space="preserve">ADITIVO AO CONTRATO
</t>
  </si>
  <si>
    <t>REFERÊNCIA/PERÍODO DA MEDIÇÃO:</t>
  </si>
  <si>
    <t xml:space="preserve">NÚMERO DA MEDIÇÃO:
1ª MEDIÇÃO DO ADITIVO
</t>
  </si>
  <si>
    <t xml:space="preserve">TOTAL DA 1ª MEDIÇÃO DO ADITIVO  = </t>
  </si>
  <si>
    <t xml:space="preserve">TOTAL DA 2ª MEDIÇÃO DO ADITIVO  = </t>
  </si>
  <si>
    <t xml:space="preserve">TOTAL DA 3ª MEDIÇÃO DO ADITIVO  = </t>
  </si>
  <si>
    <t xml:space="preserve">TOTAL DA 4ª MEDIÇÃO DO ADITIVO  = </t>
  </si>
  <si>
    <t xml:space="preserve">TOTAL DA 5ª MEDIÇÃO DO ADITIVO  = </t>
  </si>
  <si>
    <t xml:space="preserve">TOTAL DA 6ª MEDIÇÃO DO ADITIVO  = </t>
  </si>
  <si>
    <t>TOTAL DA 1ª MEDIÇÃO DO ADITIVO</t>
  </si>
  <si>
    <t>VALOR MEDIDO NO PERÍODO:
R$ = 139.719,00</t>
  </si>
  <si>
    <t>______________________________________
Marquesa Marques de Sousa Guedes
Eng. Responsável Técnico da Fiscalização
CREA PB N°. 16.1779945-9</t>
  </si>
  <si>
    <t xml:space="preserve">CALCULOS </t>
  </si>
  <si>
    <t xml:space="preserve">NÚMERO DA MEDIÇÃO:
6ª MEDIÇÃO.
</t>
  </si>
  <si>
    <t>Quant: 11 unidades</t>
  </si>
  <si>
    <t xml:space="preserve">MEMORIAL DE CALCULO 06
</t>
  </si>
  <si>
    <t>REFERÊNCIA/PERÍODO DA MEDIÇÃO: DE 27/02/2025 A 26/06/2025</t>
  </si>
  <si>
    <t>Quant: 13 m</t>
  </si>
  <si>
    <t>A= 219,7901+ 83,0604+5,6913 = 308,5418x0,8 m²= 246,83 m²</t>
  </si>
  <si>
    <t>VALOR MEDIDO NO PERÍODO:
R$ 66.728,00</t>
  </si>
  <si>
    <t xml:space="preserve">NÚMERO DA MEDIÇÃO:
3ª MEDIÇÃO.
</t>
  </si>
  <si>
    <t>REFERÊNCIA/PERÍODO DA MEDIÇÃO: De  03/12/2024  a 20/12/2024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</si>
</sst>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&quot;R$&quot;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1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Arial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name val="Arial MT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 MT"/>
      <family val="2"/>
    </font>
    <font>
      <sz val="10"/>
      <color rgb="FFFF0000"/>
      <name val="Arial MT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  <family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2" xfId="0" applyFont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5" fontId="3" fillId="3" borderId="8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 wrapText="1"/>
    </xf>
    <xf numFmtId="0" fontId="4" fillId="0" borderId="1" xfId="0" applyFont="1" applyBorder="1"/>
    <xf numFmtId="9" fontId="3" fillId="0" borderId="1" xfId="2" applyFont="1" applyFill="1" applyBorder="1" applyAlignment="1" applyProtection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/>
    <xf numFmtId="0" fontId="2" fillId="2" borderId="1" xfId="0" applyFont="1" applyFill="1" applyBorder="1" applyAlignment="1">
      <alignment vertical="top" wrapText="1"/>
    </xf>
    <xf numFmtId="0" fontId="4" fillId="0" borderId="0" xfId="0" applyFont="1"/>
    <xf numFmtId="0" fontId="8" fillId="0" borderId="7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65" fontId="10" fillId="0" borderId="0" xfId="1" applyNumberFormat="1" applyFont="1"/>
    <xf numFmtId="43" fontId="6" fillId="3" borderId="1" xfId="1" applyFont="1" applyFill="1" applyBorder="1" applyAlignment="1"/>
    <xf numFmtId="10" fontId="3" fillId="0" borderId="1" xfId="2" applyNumberFormat="1" applyFont="1" applyBorder="1" applyAlignment="1">
      <alignment horizontal="center" vertical="center" wrapText="1"/>
    </xf>
    <xf numFmtId="43" fontId="11" fillId="3" borderId="15" xfId="1" applyFont="1" applyFill="1" applyBorder="1" applyAlignment="1">
      <alignment horizontal="center" vertical="center" wrapText="1"/>
    </xf>
    <xf numFmtId="165" fontId="12" fillId="3" borderId="9" xfId="0" applyNumberFormat="1" applyFont="1" applyFill="1" applyBorder="1" applyAlignment="1">
      <alignment horizontal="center" vertical="center" wrapText="1"/>
    </xf>
    <xf numFmtId="10" fontId="11" fillId="3" borderId="15" xfId="2" applyNumberFormat="1" applyFont="1" applyFill="1" applyBorder="1" applyAlignment="1">
      <alignment horizontal="center" vertical="center"/>
    </xf>
    <xf numFmtId="43" fontId="11" fillId="3" borderId="15" xfId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10" fontId="3" fillId="0" borderId="1" xfId="2" applyNumberFormat="1" applyFont="1" applyFill="1" applyBorder="1" applyAlignment="1" applyProtection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shrinkToFit="1"/>
    </xf>
    <xf numFmtId="44" fontId="18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" fontId="17" fillId="0" borderId="23" xfId="0" applyNumberFormat="1" applyFont="1" applyBorder="1" applyAlignment="1">
      <alignment horizontal="center" vertical="center" shrinkToFit="1"/>
    </xf>
    <xf numFmtId="0" fontId="8" fillId="0" borderId="24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2" fontId="17" fillId="0" borderId="7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17" fillId="0" borderId="7" xfId="0" applyNumberFormat="1" applyFont="1" applyBorder="1" applyAlignment="1">
      <alignment horizontal="center" vertical="center" shrinkToFit="1"/>
    </xf>
    <xf numFmtId="0" fontId="8" fillId="0" borderId="12" xfId="0" applyFont="1" applyBorder="1" applyAlignment="1">
      <alignment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center" wrapText="1"/>
    </xf>
    <xf numFmtId="0" fontId="18" fillId="0" borderId="26" xfId="0" applyFont="1" applyBorder="1" applyAlignment="1">
      <alignment horizontal="center" vertical="center" wrapText="1"/>
    </xf>
    <xf numFmtId="2" fontId="17" fillId="0" borderId="26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shrinkToFit="1"/>
    </xf>
    <xf numFmtId="0" fontId="18" fillId="0" borderId="28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44" fontId="18" fillId="0" borderId="7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4" fontId="3" fillId="3" borderId="29" xfId="0" applyNumberFormat="1" applyFont="1" applyFill="1" applyBorder="1" applyAlignment="1">
      <alignment horizontal="center" vertical="center" wrapText="1"/>
    </xf>
    <xf numFmtId="44" fontId="3" fillId="3" borderId="30" xfId="0" applyNumberFormat="1" applyFont="1" applyFill="1" applyBorder="1" applyAlignment="1">
      <alignment horizontal="center" vertical="center" wrapText="1"/>
    </xf>
    <xf numFmtId="10" fontId="4" fillId="0" borderId="0" xfId="2" applyNumberFormat="1" applyFont="1"/>
    <xf numFmtId="0" fontId="20" fillId="0" borderId="7" xfId="0" applyFont="1" applyBorder="1" applyAlignment="1">
      <alignment horizontal="left" vertical="center" wrapText="1"/>
    </xf>
    <xf numFmtId="9" fontId="23" fillId="0" borderId="1" xfId="2" applyFont="1" applyFill="1" applyBorder="1" applyAlignment="1" applyProtection="1">
      <alignment horizontal="right" vertical="center" wrapText="1"/>
    </xf>
    <xf numFmtId="4" fontId="23" fillId="0" borderId="1" xfId="0" applyNumberFormat="1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center" wrapText="1"/>
    </xf>
    <xf numFmtId="0" fontId="10" fillId="0" borderId="0" xfId="0" applyFont="1"/>
    <xf numFmtId="4" fontId="3" fillId="4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14" fillId="0" borderId="9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center" vertical="center" wrapText="1"/>
    </xf>
    <xf numFmtId="2" fontId="16" fillId="0" borderId="22" xfId="0" applyNumberFormat="1" applyFont="1" applyBorder="1" applyAlignment="1">
      <alignment horizontal="center" vertical="center" shrinkToFit="1"/>
    </xf>
    <xf numFmtId="44" fontId="18" fillId="0" borderId="22" xfId="0" applyNumberFormat="1" applyFont="1" applyBorder="1" applyAlignment="1">
      <alignment horizontal="center" vertical="center" wrapText="1"/>
    </xf>
    <xf numFmtId="0" fontId="24" fillId="0" borderId="1" xfId="0" applyFont="1" applyBorder="1"/>
    <xf numFmtId="9" fontId="9" fillId="0" borderId="1" xfId="2" applyFont="1" applyFill="1" applyBorder="1" applyAlignment="1" applyProtection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10" fontId="9" fillId="0" borderId="1" xfId="2" applyNumberFormat="1" applyFont="1" applyFill="1" applyBorder="1" applyAlignment="1" applyProtection="1">
      <alignment horizontal="right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4" fontId="9" fillId="4" borderId="1" xfId="0" applyNumberFormat="1" applyFont="1" applyFill="1" applyBorder="1" applyAlignment="1">
      <alignment horizontal="right" vertical="center" wrapText="1"/>
    </xf>
    <xf numFmtId="0" fontId="25" fillId="0" borderId="31" xfId="0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43" fontId="18" fillId="0" borderId="2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43" fontId="25" fillId="0" borderId="31" xfId="1" applyFont="1" applyFill="1" applyBorder="1" applyAlignment="1">
      <alignment horizontal="right" vertical="center" wrapText="1"/>
    </xf>
    <xf numFmtId="43" fontId="25" fillId="0" borderId="31" xfId="1" applyFont="1" applyBorder="1" applyAlignment="1">
      <alignment horizontal="right" vertical="center" wrapText="1"/>
    </xf>
    <xf numFmtId="1" fontId="21" fillId="0" borderId="5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2" fontId="21" fillId="0" borderId="5" xfId="0" applyNumberFormat="1" applyFont="1" applyBorder="1" applyAlignment="1">
      <alignment horizontal="center" vertical="center" shrinkToFit="1"/>
    </xf>
    <xf numFmtId="44" fontId="22" fillId="0" borderId="1" xfId="0" applyNumberFormat="1" applyFont="1" applyBorder="1" applyAlignment="1">
      <alignment horizontal="center" vertical="center" wrapText="1"/>
    </xf>
    <xf numFmtId="9" fontId="10" fillId="0" borderId="1" xfId="2" applyFont="1" applyBorder="1"/>
    <xf numFmtId="0" fontId="22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2" fontId="21" fillId="0" borderId="7" xfId="0" applyNumberFormat="1" applyFont="1" applyBorder="1" applyAlignment="1">
      <alignment horizontal="center" vertical="center" shrinkToFit="1"/>
    </xf>
    <xf numFmtId="2" fontId="23" fillId="0" borderId="1" xfId="1" applyNumberFormat="1" applyFont="1" applyFill="1" applyBorder="1" applyAlignment="1" applyProtection="1">
      <alignment horizontal="right" vertical="center" wrapText="1"/>
    </xf>
    <xf numFmtId="9" fontId="23" fillId="4" borderId="1" xfId="2" applyFont="1" applyFill="1" applyBorder="1" applyAlignment="1" applyProtection="1">
      <alignment horizontal="right" vertical="center" wrapText="1"/>
    </xf>
    <xf numFmtId="4" fontId="23" fillId="4" borderId="1" xfId="0" applyNumberFormat="1" applyFont="1" applyFill="1" applyBorder="1" applyAlignment="1">
      <alignment horizontal="right" vertical="center" wrapText="1"/>
    </xf>
    <xf numFmtId="165" fontId="23" fillId="4" borderId="1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/>
    </xf>
    <xf numFmtId="4" fontId="4" fillId="0" borderId="0" xfId="0" applyNumberFormat="1" applyFont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vertical="center" wrapText="1"/>
    </xf>
    <xf numFmtId="165" fontId="13" fillId="0" borderId="1" xfId="0" applyNumberFormat="1" applyFont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13" xfId="0" applyFont="1" applyFill="1" applyBorder="1" applyAlignment="1">
      <alignment horizontal="center" wrapText="1"/>
    </xf>
    <xf numFmtId="0" fontId="7" fillId="2" borderId="14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1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1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209020</xdr:colOff>
      <xdr:row>0</xdr:row>
      <xdr:rowOff>180470</xdr:rowOff>
    </xdr:from>
    <xdr:to>
      <xdr:col>0</xdr:col>
      <xdr:colOff>973667</xdr:colOff>
      <xdr:row>0</xdr:row>
      <xdr:rowOff>903162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9E6799-414C-45C3-AA8D-CB76C8172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20" y="180470"/>
          <a:ext cx="764647" cy="7226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1975E9-A3B0-441F-A9B4-C69C6039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71436</xdr:colOff>
      <xdr:row>0</xdr:row>
      <xdr:rowOff>85219</xdr:rowOff>
    </xdr:from>
    <xdr:to>
      <xdr:col>0</xdr:col>
      <xdr:colOff>1190625</xdr:colOff>
      <xdr:row>0</xdr:row>
      <xdr:rowOff>1143000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B29BE-1111-4603-A8E9-4F08A0D89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6" y="85219"/>
          <a:ext cx="1119189" cy="1057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L143"/>
  <sheetViews>
    <sheetView tabSelected="1" topLeftCell="E129" zoomScale="85" zoomScaleNormal="85" zoomScaleSheetLayoutView="54" workbookViewId="0">
      <selection activeCell="K135" sqref="K135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2.54296875" style="18" customWidth="1"/>
    <col min="7" max="7" width="13.7265625" style="18" customWidth="1"/>
    <col min="8" max="8" width="17.1796875" style="18" customWidth="1"/>
    <col min="9" max="9" width="40.1796875" style="18" bestFit="1" customWidth="1"/>
    <col min="10" max="10" width="12" style="18" bestFit="1" customWidth="1"/>
    <col min="11" max="11" width="25" style="18" bestFit="1" customWidth="1"/>
    <col min="12" max="12" width="14.81640625" style="18" customWidth="1"/>
    <col min="13" max="16384" width="9.1796875" style="18"/>
  </cols>
  <sheetData>
    <row r="1" spans="1:12" ht="87" customHeight="1">
      <c r="A1" s="17"/>
      <c r="B1" s="155" t="s">
        <v>268</v>
      </c>
      <c r="C1" s="155"/>
      <c r="D1" s="155"/>
      <c r="E1" s="133" t="s">
        <v>272</v>
      </c>
      <c r="F1" s="133"/>
      <c r="G1" s="133" t="s">
        <v>279</v>
      </c>
      <c r="H1" s="133"/>
      <c r="I1" s="73" t="s">
        <v>273</v>
      </c>
      <c r="J1" s="152"/>
      <c r="K1" s="152"/>
      <c r="L1" s="152"/>
    </row>
    <row r="2" spans="1:12" ht="62.25" customHeight="1">
      <c r="A2" s="133" t="s">
        <v>269</v>
      </c>
      <c r="B2" s="133"/>
      <c r="C2" s="133"/>
      <c r="D2" s="133"/>
      <c r="E2" s="133" t="s">
        <v>343</v>
      </c>
      <c r="F2" s="133"/>
      <c r="G2" s="133" t="s">
        <v>344</v>
      </c>
      <c r="H2" s="133"/>
      <c r="I2" s="73" t="s">
        <v>342</v>
      </c>
      <c r="J2" s="152"/>
      <c r="K2" s="152"/>
      <c r="L2" s="152"/>
    </row>
    <row r="3" spans="1:12" ht="44.2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53" t="s">
        <v>277</v>
      </c>
      <c r="K3" s="154"/>
      <c r="L3" s="130">
        <f>L127</f>
        <v>66728</v>
      </c>
    </row>
    <row r="4" spans="1:12" ht="15" customHeight="1">
      <c r="A4" s="134"/>
      <c r="B4" s="135"/>
      <c r="C4" s="135"/>
      <c r="D4" s="135"/>
      <c r="E4" s="135"/>
      <c r="F4" s="135"/>
      <c r="G4" s="135"/>
      <c r="H4" s="136"/>
      <c r="I4" s="1"/>
      <c r="J4" s="151" t="s">
        <v>0</v>
      </c>
      <c r="K4" s="151"/>
      <c r="L4" s="151"/>
    </row>
    <row r="5" spans="1:1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</row>
    <row r="6" spans="1:12" ht="20.149999999999999" customHeight="1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SUM(H7:H8)</f>
        <v>4383.8738000000003</v>
      </c>
      <c r="I6" s="7"/>
      <c r="J6" s="132" t="s">
        <v>42</v>
      </c>
      <c r="K6" s="132"/>
      <c r="L6" s="132"/>
    </row>
    <row r="7" spans="1:12" s="97" customFormat="1" ht="31.5" customHeight="1">
      <c r="A7" s="30" t="s">
        <v>18</v>
      </c>
      <c r="B7" s="32">
        <v>51</v>
      </c>
      <c r="C7" s="86" t="s">
        <v>70</v>
      </c>
      <c r="D7" s="87" t="s">
        <v>71</v>
      </c>
      <c r="E7" s="87" t="s">
        <v>72</v>
      </c>
      <c r="F7" s="88">
        <v>6</v>
      </c>
      <c r="G7" s="34">
        <v>350.91</v>
      </c>
      <c r="H7" s="89">
        <f>F7*G7</f>
        <v>2105.46</v>
      </c>
      <c r="I7" s="90"/>
      <c r="J7" s="94">
        <v>0</v>
      </c>
      <c r="K7" s="92">
        <f>TRUNC(J7*F7,2)</f>
        <v>0</v>
      </c>
      <c r="L7" s="93">
        <f>TRUNC(K7*G7)</f>
        <v>0</v>
      </c>
    </row>
    <row r="8" spans="1:12" ht="25">
      <c r="A8" s="19" t="s">
        <v>19</v>
      </c>
      <c r="B8" s="35">
        <v>98524</v>
      </c>
      <c r="C8" s="36" t="s">
        <v>73</v>
      </c>
      <c r="D8" s="32" t="s">
        <v>74</v>
      </c>
      <c r="E8" s="37" t="s">
        <v>72</v>
      </c>
      <c r="F8" s="38">
        <v>488.93</v>
      </c>
      <c r="G8" s="37">
        <v>4.66</v>
      </c>
      <c r="H8" s="39">
        <f>F8*G8</f>
        <v>2278.4138000000003</v>
      </c>
      <c r="I8" s="12"/>
      <c r="J8" s="13"/>
      <c r="K8" s="14"/>
      <c r="L8" s="15"/>
    </row>
    <row r="9" spans="1:12" ht="20.149999999999999" customHeight="1">
      <c r="A9" s="5">
        <v>2</v>
      </c>
      <c r="B9" s="131" t="s">
        <v>50</v>
      </c>
      <c r="C9" s="131"/>
      <c r="D9" s="131"/>
      <c r="E9" s="131"/>
      <c r="F9" s="131"/>
      <c r="G9" s="131"/>
      <c r="H9" s="10">
        <f>SUM(H10:H12)</f>
        <v>31651.318000000003</v>
      </c>
      <c r="I9" s="7"/>
      <c r="J9" s="7"/>
      <c r="K9" s="7"/>
      <c r="L9" s="7"/>
    </row>
    <row r="10" spans="1:12" ht="37.5">
      <c r="A10" s="19" t="s">
        <v>20</v>
      </c>
      <c r="B10" s="40">
        <v>99059</v>
      </c>
      <c r="C10" s="41" t="s">
        <v>75</v>
      </c>
      <c r="D10" s="37" t="s">
        <v>74</v>
      </c>
      <c r="E10" s="37" t="s">
        <v>76</v>
      </c>
      <c r="F10" s="37">
        <v>335.2</v>
      </c>
      <c r="G10" s="37">
        <v>61.14</v>
      </c>
      <c r="H10" s="39">
        <f>(F10*G10)-0.01</f>
        <v>20494.118000000002</v>
      </c>
      <c r="I10" s="12"/>
      <c r="J10" s="13"/>
      <c r="K10" s="14"/>
      <c r="L10" s="15"/>
    </row>
    <row r="11" spans="1:12" ht="38.25" customHeight="1">
      <c r="A11" s="30" t="s">
        <v>21</v>
      </c>
      <c r="B11" s="40">
        <v>93358</v>
      </c>
      <c r="C11" s="41" t="s">
        <v>77</v>
      </c>
      <c r="D11" s="37" t="s">
        <v>74</v>
      </c>
      <c r="E11" s="37" t="s">
        <v>78</v>
      </c>
      <c r="F11" s="37">
        <v>81.25</v>
      </c>
      <c r="G11" s="37">
        <v>86.72</v>
      </c>
      <c r="H11" s="39">
        <f t="shared" ref="H11" si="0">F11*G11</f>
        <v>7046</v>
      </c>
      <c r="I11" s="12"/>
      <c r="J11" s="13"/>
      <c r="K11" s="14"/>
      <c r="L11" s="15"/>
    </row>
    <row r="12" spans="1:12" ht="25">
      <c r="A12" s="30" t="s">
        <v>22</v>
      </c>
      <c r="B12" s="40">
        <v>94319</v>
      </c>
      <c r="C12" s="41" t="s">
        <v>79</v>
      </c>
      <c r="D12" s="37" t="s">
        <v>74</v>
      </c>
      <c r="E12" s="37" t="s">
        <v>78</v>
      </c>
      <c r="F12" s="37">
        <v>57.1</v>
      </c>
      <c r="G12" s="42">
        <v>72</v>
      </c>
      <c r="H12" s="39">
        <f>(F12*G12)</f>
        <v>4111.2</v>
      </c>
      <c r="I12" s="12"/>
      <c r="J12" s="13"/>
      <c r="K12" s="14"/>
      <c r="L12" s="15"/>
    </row>
    <row r="13" spans="1:12" ht="20.149999999999999" customHeight="1">
      <c r="A13" s="5">
        <v>3</v>
      </c>
      <c r="B13" s="131" t="s">
        <v>80</v>
      </c>
      <c r="C13" s="131"/>
      <c r="D13" s="131"/>
      <c r="E13" s="131"/>
      <c r="F13" s="131"/>
      <c r="G13" s="131"/>
      <c r="H13" s="10">
        <f>SUM(H15,H22)</f>
        <v>200390.71250000002</v>
      </c>
      <c r="I13" s="7"/>
      <c r="J13" s="7"/>
      <c r="K13" s="7"/>
      <c r="L13" s="7"/>
    </row>
    <row r="14" spans="1:12" ht="20.149999999999999" customHeight="1">
      <c r="A14" s="5" t="s">
        <v>23</v>
      </c>
      <c r="B14" s="131" t="s">
        <v>81</v>
      </c>
      <c r="C14" s="131"/>
      <c r="D14" s="131"/>
      <c r="E14" s="131"/>
      <c r="F14" s="131"/>
      <c r="G14" s="131"/>
      <c r="H14" s="10">
        <f>H15</f>
        <v>79073.707699999999</v>
      </c>
      <c r="I14" s="7"/>
      <c r="J14" s="7"/>
      <c r="K14" s="7"/>
      <c r="L14" s="7"/>
    </row>
    <row r="15" spans="1:12" ht="20.149999999999999" customHeight="1">
      <c r="A15" s="5" t="s">
        <v>83</v>
      </c>
      <c r="B15" s="131" t="s">
        <v>82</v>
      </c>
      <c r="C15" s="131"/>
      <c r="D15" s="131"/>
      <c r="E15" s="131"/>
      <c r="F15" s="131"/>
      <c r="G15" s="131"/>
      <c r="H15" s="10">
        <f>SUM(H16:H21)</f>
        <v>79073.707699999999</v>
      </c>
      <c r="I15" s="7"/>
      <c r="J15" s="7"/>
      <c r="K15" s="7"/>
      <c r="L15" s="7"/>
    </row>
    <row r="16" spans="1:12" ht="37.5">
      <c r="A16" s="30" t="s">
        <v>84</v>
      </c>
      <c r="B16" s="43">
        <v>102486</v>
      </c>
      <c r="C16" s="44" t="s">
        <v>85</v>
      </c>
      <c r="D16" s="45" t="s">
        <v>74</v>
      </c>
      <c r="E16" s="45" t="s">
        <v>78</v>
      </c>
      <c r="F16" s="46">
        <v>10.59</v>
      </c>
      <c r="G16" s="45">
        <v>569.29999999999995</v>
      </c>
      <c r="H16" s="39">
        <f>(F16*G16)-0.01</f>
        <v>6028.8769999999995</v>
      </c>
      <c r="I16" s="12"/>
      <c r="J16" s="13"/>
      <c r="K16" s="14"/>
      <c r="L16" s="15"/>
    </row>
    <row r="17" spans="1:12" ht="37.5">
      <c r="A17" s="30" t="s">
        <v>92</v>
      </c>
      <c r="B17" s="43">
        <v>94965</v>
      </c>
      <c r="C17" s="44" t="s">
        <v>86</v>
      </c>
      <c r="D17" s="45" t="s">
        <v>74</v>
      </c>
      <c r="E17" s="45" t="s">
        <v>78</v>
      </c>
      <c r="F17" s="46">
        <v>30.05</v>
      </c>
      <c r="G17" s="45">
        <v>433.53</v>
      </c>
      <c r="H17" s="39">
        <f>(F17*G17)-0.01</f>
        <v>13027.566499999999</v>
      </c>
      <c r="I17" s="12"/>
      <c r="J17" s="13"/>
      <c r="K17" s="14"/>
      <c r="L17" s="15"/>
    </row>
    <row r="18" spans="1:12" ht="25">
      <c r="A18" s="30" t="s">
        <v>93</v>
      </c>
      <c r="B18" s="43">
        <v>96544</v>
      </c>
      <c r="C18" s="44" t="s">
        <v>87</v>
      </c>
      <c r="D18" s="45" t="s">
        <v>74</v>
      </c>
      <c r="E18" s="45" t="s">
        <v>88</v>
      </c>
      <c r="F18" s="46">
        <v>33.4</v>
      </c>
      <c r="G18" s="45">
        <v>16.48</v>
      </c>
      <c r="H18" s="39">
        <f t="shared" ref="H18:H21" si="1">(F18*G18)</f>
        <v>550.43200000000002</v>
      </c>
      <c r="I18" s="12"/>
      <c r="J18" s="13"/>
      <c r="K18" s="14"/>
      <c r="L18" s="15"/>
    </row>
    <row r="19" spans="1:12" ht="25">
      <c r="A19" s="30" t="s">
        <v>94</v>
      </c>
      <c r="B19" s="37">
        <v>98545</v>
      </c>
      <c r="C19" s="47" t="s">
        <v>89</v>
      </c>
      <c r="D19" s="48" t="s">
        <v>74</v>
      </c>
      <c r="E19" s="48" t="s">
        <v>88</v>
      </c>
      <c r="F19" s="49">
        <v>2842</v>
      </c>
      <c r="G19" s="48">
        <v>14.61</v>
      </c>
      <c r="H19" s="39">
        <f t="shared" si="1"/>
        <v>41521.619999999995</v>
      </c>
      <c r="I19" s="12"/>
      <c r="J19" s="13"/>
      <c r="K19" s="14"/>
      <c r="L19" s="15"/>
    </row>
    <row r="20" spans="1:12" ht="25">
      <c r="A20" s="30" t="s">
        <v>95</v>
      </c>
      <c r="B20" s="37">
        <v>96543</v>
      </c>
      <c r="C20" s="47" t="s">
        <v>90</v>
      </c>
      <c r="D20" s="48" t="s">
        <v>74</v>
      </c>
      <c r="E20" s="48" t="s">
        <v>88</v>
      </c>
      <c r="F20" s="49">
        <v>580.1</v>
      </c>
      <c r="G20" s="48">
        <v>18.71</v>
      </c>
      <c r="H20" s="39">
        <f t="shared" si="1"/>
        <v>10853.671</v>
      </c>
      <c r="I20" s="12"/>
      <c r="J20" s="13"/>
      <c r="K20" s="14"/>
      <c r="L20" s="15"/>
    </row>
    <row r="21" spans="1:12" ht="25">
      <c r="A21" s="30" t="s">
        <v>96</v>
      </c>
      <c r="B21" s="40">
        <v>98557</v>
      </c>
      <c r="C21" s="47" t="s">
        <v>91</v>
      </c>
      <c r="D21" s="48" t="s">
        <v>74</v>
      </c>
      <c r="E21" s="48" t="s">
        <v>72</v>
      </c>
      <c r="F21" s="49">
        <v>154.03</v>
      </c>
      <c r="G21" s="48">
        <v>46.04</v>
      </c>
      <c r="H21" s="39">
        <f t="shared" si="1"/>
        <v>7091.5411999999997</v>
      </c>
      <c r="I21" s="12"/>
      <c r="J21" s="13"/>
      <c r="K21" s="14"/>
      <c r="L21" s="15"/>
    </row>
    <row r="22" spans="1:12" ht="20.149999999999999" customHeight="1">
      <c r="A22" s="5" t="s">
        <v>24</v>
      </c>
      <c r="B22" s="131" t="s">
        <v>98</v>
      </c>
      <c r="C22" s="131"/>
      <c r="D22" s="131"/>
      <c r="E22" s="131"/>
      <c r="F22" s="131"/>
      <c r="G22" s="131"/>
      <c r="H22" s="10">
        <f>SUM(H23,H30,H38)+0.01</f>
        <v>121317.00480000001</v>
      </c>
      <c r="I22" s="7"/>
      <c r="J22" s="7"/>
      <c r="K22" s="7"/>
      <c r="L22" s="7"/>
    </row>
    <row r="23" spans="1:12" ht="20.149999999999999" customHeight="1">
      <c r="A23" s="5" t="s">
        <v>97</v>
      </c>
      <c r="B23" s="131" t="s">
        <v>54</v>
      </c>
      <c r="C23" s="131"/>
      <c r="D23" s="131"/>
      <c r="E23" s="131"/>
      <c r="F23" s="131"/>
      <c r="G23" s="131"/>
      <c r="H23" s="10">
        <f>SUM(H24:H29)</f>
        <v>46405.308700000001</v>
      </c>
      <c r="I23" s="7"/>
      <c r="J23" s="7"/>
      <c r="K23" s="7"/>
      <c r="L23" s="7"/>
    </row>
    <row r="24" spans="1:12" ht="37.5">
      <c r="A24" s="19" t="s">
        <v>99</v>
      </c>
      <c r="B24" s="50">
        <v>102476</v>
      </c>
      <c r="C24" s="41" t="s">
        <v>105</v>
      </c>
      <c r="D24" s="51" t="s">
        <v>74</v>
      </c>
      <c r="E24" s="51" t="s">
        <v>78</v>
      </c>
      <c r="F24" s="52">
        <v>15.1</v>
      </c>
      <c r="G24" s="51">
        <v>557.58000000000004</v>
      </c>
      <c r="H24" s="39">
        <f>(F24*G24)-0.01</f>
        <v>8419.4480000000003</v>
      </c>
      <c r="I24" s="12"/>
      <c r="J24" s="13">
        <v>0.1</v>
      </c>
      <c r="K24" s="14">
        <f t="shared" ref="K24:K29" si="2">TRUNC(J24*F24,2)</f>
        <v>1.51</v>
      </c>
      <c r="L24" s="15">
        <f t="shared" ref="L24:L29" si="3">TRUNC(K24*G24)</f>
        <v>841</v>
      </c>
    </row>
    <row r="25" spans="1:12" ht="25">
      <c r="A25" s="19" t="s">
        <v>100</v>
      </c>
      <c r="B25" s="50">
        <v>96546</v>
      </c>
      <c r="C25" s="41" t="s">
        <v>106</v>
      </c>
      <c r="D25" s="51" t="s">
        <v>74</v>
      </c>
      <c r="E25" s="51" t="s">
        <v>88</v>
      </c>
      <c r="F25" s="52">
        <v>90.3</v>
      </c>
      <c r="G25" s="51">
        <v>12.61</v>
      </c>
      <c r="H25" s="39">
        <f t="shared" ref="H25:H29" si="4">(F25*G25)</f>
        <v>1138.683</v>
      </c>
      <c r="I25" s="12"/>
      <c r="J25" s="13">
        <v>0.1</v>
      </c>
      <c r="K25" s="14">
        <f t="shared" si="2"/>
        <v>9.0299999999999994</v>
      </c>
      <c r="L25" s="15">
        <f t="shared" si="3"/>
        <v>113</v>
      </c>
    </row>
    <row r="26" spans="1:12" ht="25">
      <c r="A26" s="19" t="s">
        <v>101</v>
      </c>
      <c r="B26" s="50">
        <v>98543</v>
      </c>
      <c r="C26" s="41" t="s">
        <v>107</v>
      </c>
      <c r="D26" s="51" t="s">
        <v>74</v>
      </c>
      <c r="E26" s="51" t="s">
        <v>88</v>
      </c>
      <c r="F26" s="52">
        <v>466.7</v>
      </c>
      <c r="G26" s="51">
        <v>18.71</v>
      </c>
      <c r="H26" s="39">
        <f>(F26*G26)-0.01</f>
        <v>8731.9470000000001</v>
      </c>
      <c r="I26" s="12"/>
      <c r="J26" s="13"/>
      <c r="K26" s="14">
        <f t="shared" si="2"/>
        <v>0</v>
      </c>
      <c r="L26" s="15">
        <f t="shared" si="3"/>
        <v>0</v>
      </c>
    </row>
    <row r="27" spans="1:12" ht="25">
      <c r="A27" s="19" t="s">
        <v>102</v>
      </c>
      <c r="B27" s="50">
        <v>96545</v>
      </c>
      <c r="C27" s="41" t="s">
        <v>108</v>
      </c>
      <c r="D27" s="51" t="s">
        <v>74</v>
      </c>
      <c r="E27" s="51" t="s">
        <v>88</v>
      </c>
      <c r="F27" s="52">
        <v>636.29999999999995</v>
      </c>
      <c r="G27" s="51">
        <v>14.61</v>
      </c>
      <c r="H27" s="39">
        <f t="shared" si="4"/>
        <v>9296.3429999999989</v>
      </c>
      <c r="I27" s="12"/>
      <c r="J27" s="13"/>
      <c r="K27" s="14">
        <f t="shared" si="2"/>
        <v>0</v>
      </c>
      <c r="L27" s="15">
        <f t="shared" si="3"/>
        <v>0</v>
      </c>
    </row>
    <row r="28" spans="1:12" ht="25">
      <c r="A28" s="19" t="s">
        <v>103</v>
      </c>
      <c r="B28" s="50">
        <v>96547</v>
      </c>
      <c r="C28" s="41" t="s">
        <v>109</v>
      </c>
      <c r="D28" s="51" t="s">
        <v>74</v>
      </c>
      <c r="E28" s="51" t="s">
        <v>88</v>
      </c>
      <c r="F28" s="52">
        <v>17.11</v>
      </c>
      <c r="G28" s="51">
        <v>9.6</v>
      </c>
      <c r="H28" s="39">
        <f>(F28*G28)-0.01</f>
        <v>164.24600000000001</v>
      </c>
      <c r="I28" s="12"/>
      <c r="J28" s="13"/>
      <c r="K28" s="14">
        <f t="shared" si="2"/>
        <v>0</v>
      </c>
      <c r="L28" s="15">
        <f t="shared" si="3"/>
        <v>0</v>
      </c>
    </row>
    <row r="29" spans="1:12" ht="37.5">
      <c r="A29" s="19" t="s">
        <v>104</v>
      </c>
      <c r="B29" s="50">
        <v>103795</v>
      </c>
      <c r="C29" s="41" t="s">
        <v>110</v>
      </c>
      <c r="D29" s="51" t="s">
        <v>74</v>
      </c>
      <c r="E29" s="51" t="s">
        <v>72</v>
      </c>
      <c r="F29" s="52">
        <v>227.69</v>
      </c>
      <c r="G29" s="51">
        <v>81.93</v>
      </c>
      <c r="H29" s="39">
        <f t="shared" si="4"/>
        <v>18654.6417</v>
      </c>
      <c r="I29" s="12"/>
      <c r="J29" s="13">
        <v>0.1</v>
      </c>
      <c r="K29" s="14">
        <f t="shared" si="2"/>
        <v>22.76</v>
      </c>
      <c r="L29" s="15">
        <f t="shared" si="3"/>
        <v>1864</v>
      </c>
    </row>
    <row r="30" spans="1:12" ht="20.149999999999999" customHeight="1">
      <c r="A30" s="5" t="s">
        <v>111</v>
      </c>
      <c r="B30" s="131" t="s">
        <v>55</v>
      </c>
      <c r="C30" s="131"/>
      <c r="D30" s="131"/>
      <c r="E30" s="131"/>
      <c r="F30" s="131"/>
      <c r="G30" s="131"/>
      <c r="H30" s="10">
        <f>SUM(H31:H37)</f>
        <v>32909.859500000006</v>
      </c>
      <c r="I30" s="7"/>
      <c r="J30" s="7"/>
      <c r="K30" s="7"/>
      <c r="L30" s="7"/>
    </row>
    <row r="31" spans="1:12" ht="37.5">
      <c r="A31" s="19" t="s">
        <v>112</v>
      </c>
      <c r="B31" s="40">
        <v>102476</v>
      </c>
      <c r="C31" s="41" t="s">
        <v>119</v>
      </c>
      <c r="D31" s="37" t="s">
        <v>74</v>
      </c>
      <c r="E31" s="37" t="s">
        <v>78</v>
      </c>
      <c r="F31" s="38">
        <v>15.81</v>
      </c>
      <c r="G31" s="37">
        <v>557.58000000000004</v>
      </c>
      <c r="H31" s="39">
        <f>(F31*G31)-0.01</f>
        <v>8815.3298000000013</v>
      </c>
      <c r="I31" s="16"/>
      <c r="J31" s="13">
        <v>0.6</v>
      </c>
      <c r="K31" s="14">
        <f t="shared" ref="K31:K36" si="5">TRUNC(J31*F31,2)</f>
        <v>9.48</v>
      </c>
      <c r="L31" s="15">
        <f t="shared" ref="L31:L36" si="6">TRUNC(K31*G31)</f>
        <v>5285</v>
      </c>
    </row>
    <row r="32" spans="1:12" ht="37.5">
      <c r="A32" s="19" t="s">
        <v>113</v>
      </c>
      <c r="B32" s="40">
        <v>92760</v>
      </c>
      <c r="C32" s="41" t="s">
        <v>120</v>
      </c>
      <c r="D32" s="37" t="s">
        <v>74</v>
      </c>
      <c r="E32" s="37" t="s">
        <v>88</v>
      </c>
      <c r="F32" s="38">
        <v>39.6</v>
      </c>
      <c r="G32" s="37">
        <v>11.8</v>
      </c>
      <c r="H32" s="39">
        <f t="shared" ref="H32:H36" si="7">(F32*G32)</f>
        <v>467.28000000000003</v>
      </c>
      <c r="I32" s="16"/>
      <c r="J32" s="13">
        <v>0.2</v>
      </c>
      <c r="K32" s="14">
        <f t="shared" si="5"/>
        <v>7.92</v>
      </c>
      <c r="L32" s="15">
        <f t="shared" si="6"/>
        <v>93</v>
      </c>
    </row>
    <row r="33" spans="1:12" ht="37.5">
      <c r="A33" s="19" t="s">
        <v>114</v>
      </c>
      <c r="B33" s="40">
        <v>92761</v>
      </c>
      <c r="C33" s="41" t="s">
        <v>121</v>
      </c>
      <c r="D33" s="37" t="s">
        <v>74</v>
      </c>
      <c r="E33" s="37" t="s">
        <v>88</v>
      </c>
      <c r="F33" s="38">
        <v>80</v>
      </c>
      <c r="G33" s="37">
        <v>10.88</v>
      </c>
      <c r="H33" s="39">
        <f t="shared" si="7"/>
        <v>870.40000000000009</v>
      </c>
      <c r="I33" s="16"/>
      <c r="J33" s="13">
        <v>0.2</v>
      </c>
      <c r="K33" s="14">
        <f t="shared" si="5"/>
        <v>16</v>
      </c>
      <c r="L33" s="15">
        <f t="shared" si="6"/>
        <v>174</v>
      </c>
    </row>
    <row r="34" spans="1:12" ht="37.5">
      <c r="A34" s="19" t="s">
        <v>115</v>
      </c>
      <c r="B34" s="40">
        <v>92762</v>
      </c>
      <c r="C34" s="41" t="s">
        <v>122</v>
      </c>
      <c r="D34" s="37" t="s">
        <v>74</v>
      </c>
      <c r="E34" s="37" t="s">
        <v>88</v>
      </c>
      <c r="F34" s="38">
        <v>337.7</v>
      </c>
      <c r="G34" s="37">
        <v>9.61</v>
      </c>
      <c r="H34" s="39">
        <f>(F34*G34)-0.01</f>
        <v>3245.2869999999994</v>
      </c>
      <c r="I34" s="16"/>
      <c r="J34" s="13">
        <v>0.2</v>
      </c>
      <c r="K34" s="14">
        <f t="shared" si="5"/>
        <v>67.540000000000006</v>
      </c>
      <c r="L34" s="15">
        <f t="shared" si="6"/>
        <v>649</v>
      </c>
    </row>
    <row r="35" spans="1:12" ht="37.5">
      <c r="A35" s="19" t="s">
        <v>116</v>
      </c>
      <c r="B35" s="40">
        <v>92763</v>
      </c>
      <c r="C35" s="41" t="s">
        <v>123</v>
      </c>
      <c r="D35" s="37" t="s">
        <v>74</v>
      </c>
      <c r="E35" s="37" t="s">
        <v>88</v>
      </c>
      <c r="F35" s="38">
        <v>189.7</v>
      </c>
      <c r="G35" s="37">
        <v>8.02</v>
      </c>
      <c r="H35" s="39">
        <f t="shared" si="7"/>
        <v>1521.3939999999998</v>
      </c>
      <c r="I35" s="16"/>
      <c r="J35" s="13">
        <v>0.2</v>
      </c>
      <c r="K35" s="14">
        <f t="shared" si="5"/>
        <v>37.94</v>
      </c>
      <c r="L35" s="15">
        <f t="shared" si="6"/>
        <v>304</v>
      </c>
    </row>
    <row r="36" spans="1:12" ht="37.5">
      <c r="A36" s="19" t="s">
        <v>117</v>
      </c>
      <c r="B36" s="40">
        <v>92759</v>
      </c>
      <c r="C36" s="41" t="s">
        <v>124</v>
      </c>
      <c r="D36" s="37" t="s">
        <v>74</v>
      </c>
      <c r="E36" s="37" t="s">
        <v>88</v>
      </c>
      <c r="F36" s="38">
        <v>179.1</v>
      </c>
      <c r="G36" s="37">
        <v>12.82</v>
      </c>
      <c r="H36" s="39">
        <f t="shared" si="7"/>
        <v>2296.0619999999999</v>
      </c>
      <c r="I36" s="16"/>
      <c r="J36" s="13">
        <v>0.2</v>
      </c>
      <c r="K36" s="14">
        <f t="shared" si="5"/>
        <v>35.82</v>
      </c>
      <c r="L36" s="15">
        <f t="shared" si="6"/>
        <v>459</v>
      </c>
    </row>
    <row r="37" spans="1:12" ht="25">
      <c r="A37" s="19" t="s">
        <v>118</v>
      </c>
      <c r="B37" s="40">
        <v>92265</v>
      </c>
      <c r="C37" s="41" t="s">
        <v>125</v>
      </c>
      <c r="D37" s="37" t="s">
        <v>74</v>
      </c>
      <c r="E37" s="37" t="s">
        <v>72</v>
      </c>
      <c r="F37" s="38">
        <v>154.03</v>
      </c>
      <c r="G37" s="37">
        <v>101.89</v>
      </c>
      <c r="H37" s="39">
        <f>(F37*G37)-0.01</f>
        <v>15694.1067</v>
      </c>
      <c r="I37" s="16"/>
      <c r="J37" s="13"/>
      <c r="K37" s="14"/>
      <c r="L37" s="15"/>
    </row>
    <row r="38" spans="1:12" ht="20.149999999999999" customHeight="1">
      <c r="A38" s="5" t="s">
        <v>126</v>
      </c>
      <c r="B38" s="131" t="s">
        <v>128</v>
      </c>
      <c r="C38" s="131"/>
      <c r="D38" s="131"/>
      <c r="E38" s="131"/>
      <c r="F38" s="131"/>
      <c r="G38" s="131"/>
      <c r="H38" s="10">
        <f>SUM(H39:H44)</f>
        <v>42001.8266</v>
      </c>
      <c r="I38" s="7"/>
      <c r="J38" s="7"/>
      <c r="K38" s="7"/>
      <c r="L38" s="7"/>
    </row>
    <row r="39" spans="1:12" s="81" customFormat="1" ht="37.5">
      <c r="A39" s="77" t="s">
        <v>127</v>
      </c>
      <c r="B39" s="106">
        <v>94965</v>
      </c>
      <c r="C39" s="107" t="s">
        <v>134</v>
      </c>
      <c r="D39" s="108" t="s">
        <v>74</v>
      </c>
      <c r="E39" s="108" t="s">
        <v>78</v>
      </c>
      <c r="F39" s="108">
        <v>46.31</v>
      </c>
      <c r="G39" s="109">
        <v>433.53</v>
      </c>
      <c r="H39" s="110">
        <f t="shared" ref="H39:H43" si="8">(F39*G39)</f>
        <v>20076.774300000001</v>
      </c>
      <c r="I39" s="111"/>
      <c r="J39" s="78"/>
      <c r="K39" s="79"/>
      <c r="L39" s="80"/>
    </row>
    <row r="40" spans="1:12" s="81" customFormat="1" ht="25">
      <c r="A40" s="77" t="s">
        <v>129</v>
      </c>
      <c r="B40" s="106">
        <v>92267</v>
      </c>
      <c r="C40" s="107" t="s">
        <v>135</v>
      </c>
      <c r="D40" s="108" t="s">
        <v>74</v>
      </c>
      <c r="E40" s="108" t="s">
        <v>72</v>
      </c>
      <c r="F40" s="108">
        <v>312.27</v>
      </c>
      <c r="G40" s="109">
        <v>26.89</v>
      </c>
      <c r="H40" s="110">
        <f t="shared" si="8"/>
        <v>8396.9403000000002</v>
      </c>
      <c r="I40" s="111"/>
      <c r="J40" s="78"/>
      <c r="K40" s="79"/>
      <c r="L40" s="80"/>
    </row>
    <row r="41" spans="1:12" s="81" customFormat="1" ht="37.5">
      <c r="A41" s="77" t="s">
        <v>130</v>
      </c>
      <c r="B41" s="106">
        <v>92769</v>
      </c>
      <c r="C41" s="107" t="s">
        <v>136</v>
      </c>
      <c r="D41" s="108" t="s">
        <v>74</v>
      </c>
      <c r="E41" s="108" t="s">
        <v>88</v>
      </c>
      <c r="F41" s="108">
        <v>885.8</v>
      </c>
      <c r="G41" s="109">
        <v>11.26</v>
      </c>
      <c r="H41" s="110">
        <f>(F41*G41)-0.01</f>
        <v>9974.098</v>
      </c>
      <c r="I41" s="111"/>
      <c r="J41" s="78"/>
      <c r="K41" s="79"/>
      <c r="L41" s="80"/>
    </row>
    <row r="42" spans="1:12" s="81" customFormat="1" ht="37.5">
      <c r="A42" s="77" t="s">
        <v>131</v>
      </c>
      <c r="B42" s="106">
        <v>92770</v>
      </c>
      <c r="C42" s="107" t="s">
        <v>137</v>
      </c>
      <c r="D42" s="108" t="s">
        <v>74</v>
      </c>
      <c r="E42" s="108" t="s">
        <v>88</v>
      </c>
      <c r="F42" s="108">
        <v>229.5</v>
      </c>
      <c r="G42" s="109">
        <v>10.37</v>
      </c>
      <c r="H42" s="110">
        <f>(F42*G42)-0.01</f>
        <v>2379.9049999999997</v>
      </c>
      <c r="I42" s="111"/>
      <c r="J42" s="78"/>
      <c r="K42" s="79"/>
      <c r="L42" s="80"/>
    </row>
    <row r="43" spans="1:12" s="81" customFormat="1" ht="37.5">
      <c r="A43" s="77" t="s">
        <v>132</v>
      </c>
      <c r="B43" s="106">
        <v>92771</v>
      </c>
      <c r="C43" s="107" t="s">
        <v>138</v>
      </c>
      <c r="D43" s="108" t="s">
        <v>74</v>
      </c>
      <c r="E43" s="108" t="s">
        <v>88</v>
      </c>
      <c r="F43" s="108">
        <v>39.6</v>
      </c>
      <c r="G43" s="109">
        <v>9.14</v>
      </c>
      <c r="H43" s="110">
        <f t="shared" si="8"/>
        <v>361.94400000000002</v>
      </c>
      <c r="I43" s="111"/>
      <c r="J43" s="78"/>
      <c r="K43" s="79"/>
      <c r="L43" s="80"/>
    </row>
    <row r="44" spans="1:12" s="81" customFormat="1" ht="37.5">
      <c r="A44" s="77" t="s">
        <v>133</v>
      </c>
      <c r="B44" s="112">
        <v>92768</v>
      </c>
      <c r="C44" s="113" t="s">
        <v>139</v>
      </c>
      <c r="D44" s="112" t="s">
        <v>74</v>
      </c>
      <c r="E44" s="112" t="s">
        <v>88</v>
      </c>
      <c r="F44" s="112">
        <v>66.3</v>
      </c>
      <c r="G44" s="114">
        <v>12.25</v>
      </c>
      <c r="H44" s="110">
        <f>(F44*G44)-0.01</f>
        <v>812.16499999999996</v>
      </c>
      <c r="I44" s="111"/>
      <c r="J44" s="78"/>
      <c r="K44" s="79"/>
      <c r="L44" s="80"/>
    </row>
    <row r="45" spans="1:12" ht="20.149999999999999" customHeight="1">
      <c r="A45" s="5">
        <v>4</v>
      </c>
      <c r="B45" s="131" t="s">
        <v>140</v>
      </c>
      <c r="C45" s="131"/>
      <c r="D45" s="131"/>
      <c r="E45" s="131"/>
      <c r="F45" s="131"/>
      <c r="G45" s="131"/>
      <c r="H45" s="10">
        <f>SUM(H46:H46)</f>
        <v>52764.439399999996</v>
      </c>
      <c r="I45" s="7"/>
      <c r="J45" s="7"/>
      <c r="K45" s="7"/>
      <c r="L45" s="7"/>
    </row>
    <row r="46" spans="1:12" ht="37.5">
      <c r="A46" s="30" t="s">
        <v>26</v>
      </c>
      <c r="B46" s="55">
        <v>103328</v>
      </c>
      <c r="C46" s="53" t="s">
        <v>141</v>
      </c>
      <c r="D46" s="45" t="s">
        <v>74</v>
      </c>
      <c r="E46" s="45" t="s">
        <v>72</v>
      </c>
      <c r="F46" s="46">
        <v>609.42999999999995</v>
      </c>
      <c r="G46" s="45">
        <v>86.58</v>
      </c>
      <c r="H46" s="39">
        <f>(F46*G46)-0.01</f>
        <v>52764.439399999996</v>
      </c>
      <c r="I46" s="12"/>
      <c r="J46" s="13"/>
      <c r="K46" s="14"/>
      <c r="L46" s="15"/>
    </row>
    <row r="47" spans="1:12" ht="20.149999999999999" customHeight="1">
      <c r="A47" s="5">
        <v>5</v>
      </c>
      <c r="B47" s="131" t="s">
        <v>142</v>
      </c>
      <c r="C47" s="131"/>
      <c r="D47" s="131"/>
      <c r="E47" s="131"/>
      <c r="F47" s="131"/>
      <c r="G47" s="131"/>
      <c r="H47" s="10">
        <f>SUM(H48:H51)</f>
        <v>141718.3308</v>
      </c>
      <c r="I47" s="7"/>
      <c r="J47" s="7"/>
      <c r="K47" s="7"/>
      <c r="L47" s="7"/>
    </row>
    <row r="48" spans="1:12" ht="50">
      <c r="A48" s="19" t="s">
        <v>27</v>
      </c>
      <c r="B48" s="56">
        <v>87894</v>
      </c>
      <c r="C48" s="57" t="s">
        <v>143</v>
      </c>
      <c r="D48" s="34" t="s">
        <v>74</v>
      </c>
      <c r="E48" s="34" t="s">
        <v>72</v>
      </c>
      <c r="F48" s="33">
        <v>2157.3200000000002</v>
      </c>
      <c r="G48" s="34">
        <v>6.63</v>
      </c>
      <c r="H48" s="39">
        <f t="shared" ref="H48:H51" si="9">(F48*G48)</f>
        <v>14303.0316</v>
      </c>
      <c r="I48" s="12"/>
      <c r="J48" s="13">
        <v>0.5</v>
      </c>
      <c r="K48" s="82">
        <f>TRUNC(J48*F48,2)</f>
        <v>1078.6600000000001</v>
      </c>
      <c r="L48" s="15">
        <f>TRUNC(K48*G48)</f>
        <v>7151</v>
      </c>
    </row>
    <row r="49" spans="1:12" ht="50">
      <c r="A49" s="19" t="s">
        <v>51</v>
      </c>
      <c r="B49" s="40">
        <v>87548</v>
      </c>
      <c r="C49" s="58" t="s">
        <v>144</v>
      </c>
      <c r="D49" s="37" t="s">
        <v>74</v>
      </c>
      <c r="E49" s="37" t="s">
        <v>72</v>
      </c>
      <c r="F49" s="38">
        <v>2157.3200000000002</v>
      </c>
      <c r="G49" s="37">
        <v>27.55</v>
      </c>
      <c r="H49" s="39">
        <f t="shared" si="9"/>
        <v>59434.166000000005</v>
      </c>
      <c r="I49" s="12"/>
      <c r="J49" s="13">
        <v>0.5</v>
      </c>
      <c r="K49" s="82">
        <f>TRUNC(J49*F49,2)</f>
        <v>1078.6600000000001</v>
      </c>
      <c r="L49" s="15">
        <f>TRUNC(K49*G49)</f>
        <v>29717</v>
      </c>
    </row>
    <row r="50" spans="1:12" ht="37.5">
      <c r="A50" s="19" t="s">
        <v>52</v>
      </c>
      <c r="B50" s="40">
        <v>104817</v>
      </c>
      <c r="C50" s="58" t="s">
        <v>145</v>
      </c>
      <c r="D50" s="37" t="s">
        <v>74</v>
      </c>
      <c r="E50" s="37" t="s">
        <v>72</v>
      </c>
      <c r="F50" s="38">
        <v>240.04</v>
      </c>
      <c r="G50" s="37">
        <v>218.41</v>
      </c>
      <c r="H50" s="39">
        <f t="shared" si="9"/>
        <v>52427.136399999996</v>
      </c>
      <c r="I50" s="12"/>
      <c r="J50" s="13"/>
      <c r="K50" s="14">
        <f>TRUNC(J50*F50,2)</f>
        <v>0</v>
      </c>
      <c r="L50" s="15">
        <f>TRUNC(K50*G50)</f>
        <v>0</v>
      </c>
    </row>
    <row r="51" spans="1:12" ht="37.5">
      <c r="A51" s="19" t="s">
        <v>53</v>
      </c>
      <c r="B51" s="40">
        <v>87262</v>
      </c>
      <c r="C51" s="58" t="s">
        <v>146</v>
      </c>
      <c r="D51" s="37" t="s">
        <v>74</v>
      </c>
      <c r="E51" s="37" t="s">
        <v>72</v>
      </c>
      <c r="F51" s="38">
        <v>92.76</v>
      </c>
      <c r="G51" s="37">
        <v>167.68</v>
      </c>
      <c r="H51" s="39">
        <f t="shared" si="9"/>
        <v>15553.996800000001</v>
      </c>
      <c r="I51" s="12"/>
      <c r="J51" s="13"/>
      <c r="K51" s="14"/>
      <c r="L51" s="15"/>
    </row>
    <row r="52" spans="1:12" ht="20.149999999999999" customHeight="1">
      <c r="A52" s="5">
        <v>6</v>
      </c>
      <c r="B52" s="131" t="s">
        <v>147</v>
      </c>
      <c r="C52" s="131"/>
      <c r="D52" s="131"/>
      <c r="E52" s="131"/>
      <c r="F52" s="131"/>
      <c r="G52" s="131"/>
      <c r="H52" s="10">
        <f>SUM(H53:H54)</f>
        <v>67783.0429</v>
      </c>
      <c r="I52" s="7"/>
      <c r="J52" s="7"/>
      <c r="K52" s="7"/>
      <c r="L52" s="7"/>
    </row>
    <row r="53" spans="1:12" ht="37.5">
      <c r="A53" s="19" t="s">
        <v>28</v>
      </c>
      <c r="B53" s="59">
        <v>87298</v>
      </c>
      <c r="C53" s="54" t="s">
        <v>148</v>
      </c>
      <c r="D53" s="48" t="s">
        <v>74</v>
      </c>
      <c r="E53" s="48" t="s">
        <v>78</v>
      </c>
      <c r="F53" s="49">
        <v>16.97</v>
      </c>
      <c r="G53" s="48">
        <v>578.78</v>
      </c>
      <c r="H53" s="39">
        <f>(F53*G53)-0.01</f>
        <v>9821.886599999998</v>
      </c>
      <c r="I53" s="12"/>
      <c r="J53" s="13"/>
      <c r="K53" s="14"/>
      <c r="L53" s="15"/>
    </row>
    <row r="54" spans="1:12" ht="50">
      <c r="A54" s="19" t="s">
        <v>56</v>
      </c>
      <c r="B54" s="48">
        <v>104597</v>
      </c>
      <c r="C54" s="54" t="s">
        <v>149</v>
      </c>
      <c r="D54" s="48" t="s">
        <v>74</v>
      </c>
      <c r="E54" s="48" t="s">
        <v>72</v>
      </c>
      <c r="F54" s="49">
        <v>339.53</v>
      </c>
      <c r="G54" s="48">
        <v>170.71</v>
      </c>
      <c r="H54" s="39">
        <f>(F54*G54)-0.01</f>
        <v>57961.156299999995</v>
      </c>
      <c r="I54" s="12"/>
      <c r="J54" s="13"/>
      <c r="K54" s="14"/>
      <c r="L54" s="15"/>
    </row>
    <row r="55" spans="1:12" ht="20.149999999999999" customHeight="1">
      <c r="A55" s="5">
        <v>7</v>
      </c>
      <c r="B55" s="131" t="s">
        <v>67</v>
      </c>
      <c r="C55" s="131"/>
      <c r="D55" s="131"/>
      <c r="E55" s="131"/>
      <c r="F55" s="131"/>
      <c r="G55" s="131"/>
      <c r="H55" s="10">
        <f>SUM(H56,H71)</f>
        <v>45511.361199999999</v>
      </c>
      <c r="I55" s="7"/>
      <c r="J55" s="7"/>
      <c r="K55" s="7"/>
      <c r="L55" s="7"/>
    </row>
    <row r="56" spans="1:12" ht="20.149999999999999" customHeight="1">
      <c r="A56" s="5" t="s">
        <v>29</v>
      </c>
      <c r="B56" s="131" t="s">
        <v>153</v>
      </c>
      <c r="C56" s="131"/>
      <c r="D56" s="131"/>
      <c r="E56" s="131"/>
      <c r="F56" s="131"/>
      <c r="G56" s="131"/>
      <c r="H56" s="10">
        <f>SUM(H57:H70)</f>
        <v>16853.640000000003</v>
      </c>
      <c r="I56" s="7"/>
      <c r="J56" s="7"/>
      <c r="K56" s="7"/>
      <c r="L56" s="7"/>
    </row>
    <row r="57" spans="1:12" ht="37.5">
      <c r="A57" s="19" t="s">
        <v>150</v>
      </c>
      <c r="B57" s="50">
        <v>86931</v>
      </c>
      <c r="C57" s="41" t="s">
        <v>165</v>
      </c>
      <c r="D57" s="37" t="s">
        <v>74</v>
      </c>
      <c r="E57" s="37" t="s">
        <v>166</v>
      </c>
      <c r="F57" s="38">
        <v>10</v>
      </c>
      <c r="G57" s="37">
        <v>453.87</v>
      </c>
      <c r="H57" s="39">
        <f t="shared" ref="H57:H70" si="10">(F57*G57)</f>
        <v>4538.7</v>
      </c>
      <c r="I57" s="12"/>
      <c r="J57" s="31"/>
      <c r="K57" s="14"/>
      <c r="L57" s="15"/>
    </row>
    <row r="58" spans="1:12" ht="62.5">
      <c r="A58" s="19" t="s">
        <v>151</v>
      </c>
      <c r="B58" s="50">
        <v>86939</v>
      </c>
      <c r="C58" s="41" t="s">
        <v>167</v>
      </c>
      <c r="D58" s="37" t="s">
        <v>74</v>
      </c>
      <c r="E58" s="37" t="s">
        <v>166</v>
      </c>
      <c r="F58" s="38">
        <v>10</v>
      </c>
      <c r="G58" s="37">
        <v>384.59</v>
      </c>
      <c r="H58" s="39">
        <f t="shared" si="10"/>
        <v>3845.8999999999996</v>
      </c>
      <c r="I58" s="12"/>
      <c r="J58" s="13"/>
      <c r="K58" s="14"/>
      <c r="L58" s="15"/>
    </row>
    <row r="59" spans="1:12" ht="37.5">
      <c r="A59" s="19" t="s">
        <v>152</v>
      </c>
      <c r="B59" s="50">
        <v>89714</v>
      </c>
      <c r="C59" s="41" t="s">
        <v>168</v>
      </c>
      <c r="D59" s="37" t="s">
        <v>74</v>
      </c>
      <c r="E59" s="37" t="s">
        <v>76</v>
      </c>
      <c r="F59" s="38">
        <v>100</v>
      </c>
      <c r="G59" s="37">
        <v>34.630000000000003</v>
      </c>
      <c r="H59" s="39">
        <f t="shared" si="10"/>
        <v>3463.0000000000005</v>
      </c>
      <c r="I59" s="12"/>
      <c r="J59" s="13">
        <v>0.8</v>
      </c>
      <c r="K59" s="14">
        <f>TRUNC(J59*F59,2)</f>
        <v>80</v>
      </c>
      <c r="L59" s="15">
        <f>TRUNC(K59*G59)</f>
        <v>2770</v>
      </c>
    </row>
    <row r="60" spans="1:12" ht="37.5">
      <c r="A60" s="19" t="s">
        <v>154</v>
      </c>
      <c r="B60" s="50">
        <v>89711</v>
      </c>
      <c r="C60" s="41" t="s">
        <v>169</v>
      </c>
      <c r="D60" s="37" t="s">
        <v>74</v>
      </c>
      <c r="E60" s="37" t="s">
        <v>76</v>
      </c>
      <c r="F60" s="38">
        <v>20</v>
      </c>
      <c r="G60" s="37">
        <v>20.059999999999999</v>
      </c>
      <c r="H60" s="39">
        <f t="shared" si="10"/>
        <v>401.2</v>
      </c>
      <c r="I60" s="12"/>
      <c r="J60" s="13">
        <v>0.8</v>
      </c>
      <c r="K60" s="14">
        <f>TRUNC(J60*F60,2)</f>
        <v>16</v>
      </c>
      <c r="L60" s="15">
        <f>TRUNC(K60*G60)</f>
        <v>320</v>
      </c>
    </row>
    <row r="61" spans="1:12" ht="37.5">
      <c r="A61" s="19" t="s">
        <v>155</v>
      </c>
      <c r="B61" s="50">
        <v>89798</v>
      </c>
      <c r="C61" s="41" t="s">
        <v>170</v>
      </c>
      <c r="D61" s="37" t="s">
        <v>74</v>
      </c>
      <c r="E61" s="37" t="s">
        <v>76</v>
      </c>
      <c r="F61" s="38">
        <v>65</v>
      </c>
      <c r="G61" s="37">
        <v>11.08</v>
      </c>
      <c r="H61" s="39">
        <f t="shared" si="10"/>
        <v>720.2</v>
      </c>
      <c r="I61" s="12"/>
      <c r="J61" s="13">
        <v>0.8</v>
      </c>
      <c r="K61" s="14">
        <f>TRUNC(J61*F61,2)</f>
        <v>52</v>
      </c>
      <c r="L61" s="15">
        <f>TRUNC(K61*G61)</f>
        <v>576</v>
      </c>
    </row>
    <row r="62" spans="1:12" ht="37.5">
      <c r="A62" s="19" t="s">
        <v>156</v>
      </c>
      <c r="B62" s="50">
        <v>104326</v>
      </c>
      <c r="C62" s="41" t="s">
        <v>171</v>
      </c>
      <c r="D62" s="37" t="s">
        <v>74</v>
      </c>
      <c r="E62" s="37" t="s">
        <v>166</v>
      </c>
      <c r="F62" s="38">
        <v>10</v>
      </c>
      <c r="G62" s="37">
        <v>19.2</v>
      </c>
      <c r="H62" s="39">
        <f t="shared" si="10"/>
        <v>192</v>
      </c>
      <c r="I62" s="12"/>
      <c r="J62" s="13"/>
      <c r="K62" s="14"/>
      <c r="L62" s="15"/>
    </row>
    <row r="63" spans="1:12" ht="37.5">
      <c r="A63" s="19" t="s">
        <v>157</v>
      </c>
      <c r="B63" s="50">
        <v>104327</v>
      </c>
      <c r="C63" s="41" t="s">
        <v>172</v>
      </c>
      <c r="D63" s="37" t="s">
        <v>74</v>
      </c>
      <c r="E63" s="37" t="s">
        <v>166</v>
      </c>
      <c r="F63" s="38">
        <v>10</v>
      </c>
      <c r="G63" s="37">
        <v>18.32</v>
      </c>
      <c r="H63" s="39">
        <f t="shared" si="10"/>
        <v>183.2</v>
      </c>
      <c r="I63" s="12"/>
      <c r="J63" s="13"/>
      <c r="K63" s="14"/>
      <c r="L63" s="15"/>
    </row>
    <row r="64" spans="1:12" ht="37.5">
      <c r="A64" s="19" t="s">
        <v>158</v>
      </c>
      <c r="B64" s="50">
        <v>89726</v>
      </c>
      <c r="C64" s="41" t="s">
        <v>173</v>
      </c>
      <c r="D64" s="37" t="s">
        <v>74</v>
      </c>
      <c r="E64" s="37" t="s">
        <v>166</v>
      </c>
      <c r="F64" s="38">
        <v>7</v>
      </c>
      <c r="G64" s="37">
        <v>9.43</v>
      </c>
      <c r="H64" s="39">
        <f t="shared" si="10"/>
        <v>66.009999999999991</v>
      </c>
      <c r="I64" s="12"/>
      <c r="J64" s="13">
        <v>0.8</v>
      </c>
      <c r="K64" s="14">
        <f>TRUNC(J64*F64,2)</f>
        <v>5.6</v>
      </c>
      <c r="L64" s="15">
        <f>TRUNC(K64*G64)</f>
        <v>52</v>
      </c>
    </row>
    <row r="65" spans="1:12" ht="37.5">
      <c r="A65" s="19" t="s">
        <v>159</v>
      </c>
      <c r="B65" s="50">
        <v>89732</v>
      </c>
      <c r="C65" s="41" t="s">
        <v>174</v>
      </c>
      <c r="D65" s="37" t="s">
        <v>74</v>
      </c>
      <c r="E65" s="37" t="s">
        <v>166</v>
      </c>
      <c r="F65" s="38">
        <v>7</v>
      </c>
      <c r="G65" s="37">
        <v>14.36</v>
      </c>
      <c r="H65" s="39">
        <f t="shared" si="10"/>
        <v>100.52</v>
      </c>
      <c r="I65" s="12"/>
      <c r="J65" s="13">
        <v>0.8</v>
      </c>
      <c r="K65" s="14">
        <f>TRUNC(J65*F65,2)</f>
        <v>5.6</v>
      </c>
      <c r="L65" s="15">
        <f>TRUNC(K65*G65)</f>
        <v>80</v>
      </c>
    </row>
    <row r="66" spans="1:12" ht="37.5">
      <c r="A66" s="19" t="s">
        <v>160</v>
      </c>
      <c r="B66" s="50">
        <v>89809</v>
      </c>
      <c r="C66" s="41" t="s">
        <v>175</v>
      </c>
      <c r="D66" s="37" t="s">
        <v>74</v>
      </c>
      <c r="E66" s="37" t="s">
        <v>166</v>
      </c>
      <c r="F66" s="38">
        <v>10</v>
      </c>
      <c r="G66" s="37">
        <v>25.87</v>
      </c>
      <c r="H66" s="39">
        <f t="shared" si="10"/>
        <v>258.7</v>
      </c>
      <c r="I66" s="12"/>
      <c r="J66" s="13">
        <v>0.8</v>
      </c>
      <c r="K66" s="14">
        <f>TRUNC(J66*F66,2)</f>
        <v>8</v>
      </c>
      <c r="L66" s="15">
        <f>TRUNC(K66*G66)</f>
        <v>206</v>
      </c>
    </row>
    <row r="67" spans="1:12" ht="37.5">
      <c r="A67" s="19" t="s">
        <v>161</v>
      </c>
      <c r="B67" s="50">
        <v>69810</v>
      </c>
      <c r="C67" s="41" t="s">
        <v>176</v>
      </c>
      <c r="D67" s="37" t="s">
        <v>74</v>
      </c>
      <c r="E67" s="37" t="s">
        <v>166</v>
      </c>
      <c r="F67" s="38">
        <v>6</v>
      </c>
      <c r="G67" s="37">
        <v>26.53</v>
      </c>
      <c r="H67" s="39">
        <f t="shared" si="10"/>
        <v>159.18</v>
      </c>
      <c r="I67" s="12"/>
      <c r="J67" s="13">
        <v>0.8</v>
      </c>
      <c r="K67" s="14">
        <f>TRUNC(J67*F67,2)</f>
        <v>4.8</v>
      </c>
      <c r="L67" s="15">
        <f>TRUNC(K67*G67)</f>
        <v>127</v>
      </c>
    </row>
    <row r="68" spans="1:12" ht="25">
      <c r="A68" s="19" t="s">
        <v>162</v>
      </c>
      <c r="B68" s="50">
        <v>100864</v>
      </c>
      <c r="C68" s="41" t="s">
        <v>177</v>
      </c>
      <c r="D68" s="37" t="s">
        <v>74</v>
      </c>
      <c r="E68" s="37" t="s">
        <v>166</v>
      </c>
      <c r="F68" s="38">
        <v>4</v>
      </c>
      <c r="G68" s="37">
        <v>632.21</v>
      </c>
      <c r="H68" s="39">
        <f t="shared" si="10"/>
        <v>2528.84</v>
      </c>
      <c r="I68" s="12"/>
      <c r="J68" s="13"/>
      <c r="K68" s="14"/>
      <c r="L68" s="15"/>
    </row>
    <row r="69" spans="1:12" ht="37.5">
      <c r="A69" s="19" t="s">
        <v>163</v>
      </c>
      <c r="B69" s="50">
        <v>89833</v>
      </c>
      <c r="C69" s="41" t="s">
        <v>178</v>
      </c>
      <c r="D69" s="37" t="s">
        <v>74</v>
      </c>
      <c r="E69" s="37" t="s">
        <v>166</v>
      </c>
      <c r="F69" s="38">
        <v>3</v>
      </c>
      <c r="G69" s="37">
        <v>39.81</v>
      </c>
      <c r="H69" s="39">
        <f t="shared" si="10"/>
        <v>119.43</v>
      </c>
      <c r="I69" s="12"/>
      <c r="J69" s="13">
        <v>0.8</v>
      </c>
      <c r="K69" s="14">
        <f>TRUNC(J69*F69,2)</f>
        <v>2.4</v>
      </c>
      <c r="L69" s="15">
        <f>TRUNC(K69*G69)</f>
        <v>95</v>
      </c>
    </row>
    <row r="70" spans="1:12" ht="37.5">
      <c r="A70" s="19" t="s">
        <v>164</v>
      </c>
      <c r="B70" s="50">
        <v>102711</v>
      </c>
      <c r="C70" s="41" t="s">
        <v>179</v>
      </c>
      <c r="D70" s="37" t="s">
        <v>74</v>
      </c>
      <c r="E70" s="37" t="s">
        <v>166</v>
      </c>
      <c r="F70" s="38">
        <v>4</v>
      </c>
      <c r="G70" s="37">
        <v>69.19</v>
      </c>
      <c r="H70" s="39">
        <f t="shared" si="10"/>
        <v>276.76</v>
      </c>
      <c r="I70" s="12"/>
      <c r="J70" s="13">
        <v>0.8</v>
      </c>
      <c r="K70" s="14">
        <f>TRUNC(J70*F70,2)</f>
        <v>3.2</v>
      </c>
      <c r="L70" s="15">
        <f>TRUNC(K70*G70)</f>
        <v>221</v>
      </c>
    </row>
    <row r="71" spans="1:12" ht="19.5" customHeight="1">
      <c r="A71" s="5" t="s">
        <v>30</v>
      </c>
      <c r="B71" s="131" t="s">
        <v>199</v>
      </c>
      <c r="C71" s="131"/>
      <c r="D71" s="131"/>
      <c r="E71" s="131"/>
      <c r="F71" s="131"/>
      <c r="G71" s="131"/>
      <c r="H71" s="10">
        <f>SUM(H72:H90)</f>
        <v>28657.7212</v>
      </c>
      <c r="I71" s="7"/>
      <c r="J71" s="7"/>
      <c r="K71" s="7"/>
      <c r="L71" s="7"/>
    </row>
    <row r="72" spans="1:12" ht="25">
      <c r="A72" s="19" t="s">
        <v>180</v>
      </c>
      <c r="B72" s="40">
        <v>102616</v>
      </c>
      <c r="C72" s="41" t="s">
        <v>200</v>
      </c>
      <c r="D72" s="37" t="s">
        <v>74</v>
      </c>
      <c r="E72" s="37" t="s">
        <v>166</v>
      </c>
      <c r="F72" s="38">
        <v>2</v>
      </c>
      <c r="G72" s="37">
        <v>1826.49</v>
      </c>
      <c r="H72" s="39">
        <f t="shared" ref="H72:H90" si="11">(F72*G72)</f>
        <v>3652.98</v>
      </c>
      <c r="I72" s="12"/>
      <c r="J72" s="13"/>
      <c r="K72" s="14"/>
      <c r="L72" s="15"/>
    </row>
    <row r="73" spans="1:12" ht="25">
      <c r="A73" s="19" t="s">
        <v>181</v>
      </c>
      <c r="B73" s="40">
        <v>89446</v>
      </c>
      <c r="C73" s="41" t="s">
        <v>201</v>
      </c>
      <c r="D73" s="37" t="s">
        <v>74</v>
      </c>
      <c r="E73" s="37" t="s">
        <v>76</v>
      </c>
      <c r="F73" s="38">
        <v>100</v>
      </c>
      <c r="G73" s="37">
        <v>4.93</v>
      </c>
      <c r="H73" s="39">
        <f t="shared" si="11"/>
        <v>493</v>
      </c>
      <c r="I73" s="12"/>
      <c r="J73" s="13"/>
      <c r="K73" s="14"/>
      <c r="L73" s="15"/>
    </row>
    <row r="74" spans="1:12" ht="37.5">
      <c r="A74" s="19" t="s">
        <v>182</v>
      </c>
      <c r="B74" s="40">
        <v>89366</v>
      </c>
      <c r="C74" s="41" t="s">
        <v>202</v>
      </c>
      <c r="D74" s="37" t="s">
        <v>74</v>
      </c>
      <c r="E74" s="37" t="s">
        <v>166</v>
      </c>
      <c r="F74" s="38">
        <v>10</v>
      </c>
      <c r="G74" s="37">
        <v>15.08</v>
      </c>
      <c r="H74" s="39">
        <f t="shared" si="11"/>
        <v>150.80000000000001</v>
      </c>
      <c r="I74" s="12"/>
      <c r="J74" s="13"/>
      <c r="K74" s="14"/>
      <c r="L74" s="15"/>
    </row>
    <row r="75" spans="1:12" ht="25">
      <c r="A75" s="19" t="s">
        <v>183</v>
      </c>
      <c r="B75" s="40">
        <v>89355</v>
      </c>
      <c r="C75" s="41" t="s">
        <v>203</v>
      </c>
      <c r="D75" s="37" t="s">
        <v>74</v>
      </c>
      <c r="E75" s="37" t="s">
        <v>76</v>
      </c>
      <c r="F75" s="38">
        <v>8</v>
      </c>
      <c r="G75" s="37">
        <v>19.97</v>
      </c>
      <c r="H75" s="39">
        <f t="shared" si="11"/>
        <v>159.76</v>
      </c>
      <c r="I75" s="12"/>
      <c r="J75" s="13"/>
      <c r="K75" s="14"/>
      <c r="L75" s="15"/>
    </row>
    <row r="76" spans="1:12" ht="25">
      <c r="A76" s="19" t="s">
        <v>184</v>
      </c>
      <c r="B76" s="40">
        <v>100860</v>
      </c>
      <c r="C76" s="41" t="s">
        <v>204</v>
      </c>
      <c r="D76" s="37" t="s">
        <v>74</v>
      </c>
      <c r="E76" s="37" t="s">
        <v>166</v>
      </c>
      <c r="F76" s="38">
        <v>9</v>
      </c>
      <c r="G76" s="37">
        <v>96.06</v>
      </c>
      <c r="H76" s="39">
        <f t="shared" si="11"/>
        <v>864.54</v>
      </c>
      <c r="I76" s="12"/>
      <c r="J76" s="13"/>
      <c r="K76" s="14"/>
      <c r="L76" s="15"/>
    </row>
    <row r="77" spans="1:12" ht="25">
      <c r="A77" s="19" t="s">
        <v>185</v>
      </c>
      <c r="B77" s="40">
        <v>89528</v>
      </c>
      <c r="C77" s="41" t="s">
        <v>205</v>
      </c>
      <c r="D77" s="37" t="s">
        <v>74</v>
      </c>
      <c r="E77" s="37" t="s">
        <v>166</v>
      </c>
      <c r="F77" s="38">
        <v>20</v>
      </c>
      <c r="G77" s="37">
        <v>3.83</v>
      </c>
      <c r="H77" s="39">
        <f t="shared" si="11"/>
        <v>76.599999999999994</v>
      </c>
      <c r="I77" s="12"/>
      <c r="J77" s="13"/>
      <c r="K77" s="14"/>
      <c r="L77" s="15"/>
    </row>
    <row r="78" spans="1:12" ht="25">
      <c r="A78" s="19" t="s">
        <v>186</v>
      </c>
      <c r="B78" s="40">
        <v>104199</v>
      </c>
      <c r="C78" s="41" t="s">
        <v>206</v>
      </c>
      <c r="D78" s="37" t="s">
        <v>74</v>
      </c>
      <c r="E78" s="37" t="s">
        <v>166</v>
      </c>
      <c r="F78" s="38">
        <v>5</v>
      </c>
      <c r="G78" s="37">
        <v>7.02</v>
      </c>
      <c r="H78" s="39">
        <f t="shared" si="11"/>
        <v>35.099999999999994</v>
      </c>
      <c r="I78" s="12"/>
      <c r="J78" s="13"/>
      <c r="K78" s="14"/>
      <c r="L78" s="15"/>
    </row>
    <row r="79" spans="1:12" ht="37.5">
      <c r="A79" s="19" t="s">
        <v>187</v>
      </c>
      <c r="B79" s="40">
        <v>101964</v>
      </c>
      <c r="C79" s="41" t="s">
        <v>207</v>
      </c>
      <c r="D79" s="37" t="s">
        <v>74</v>
      </c>
      <c r="E79" s="37" t="s">
        <v>72</v>
      </c>
      <c r="F79" s="38">
        <v>9</v>
      </c>
      <c r="G79" s="37">
        <v>152.69999999999999</v>
      </c>
      <c r="H79" s="39">
        <f t="shared" si="11"/>
        <v>1374.3</v>
      </c>
      <c r="I79" s="12"/>
      <c r="J79" s="13"/>
      <c r="K79" s="14"/>
      <c r="L79" s="15"/>
    </row>
    <row r="80" spans="1:12" ht="25">
      <c r="A80" s="19" t="s">
        <v>188</v>
      </c>
      <c r="B80" s="40">
        <v>95545</v>
      </c>
      <c r="C80" s="41" t="s">
        <v>208</v>
      </c>
      <c r="D80" s="37" t="s">
        <v>74</v>
      </c>
      <c r="E80" s="37" t="s">
        <v>166</v>
      </c>
      <c r="F80" s="38">
        <v>9</v>
      </c>
      <c r="G80" s="37">
        <v>33.31</v>
      </c>
      <c r="H80" s="39">
        <f t="shared" si="11"/>
        <v>299.79000000000002</v>
      </c>
      <c r="I80" s="12"/>
      <c r="J80" s="13"/>
      <c r="K80" s="14"/>
      <c r="L80" s="15"/>
    </row>
    <row r="81" spans="1:12" ht="37.5">
      <c r="A81" s="19" t="s">
        <v>189</v>
      </c>
      <c r="B81" s="40">
        <v>95547</v>
      </c>
      <c r="C81" s="41" t="s">
        <v>209</v>
      </c>
      <c r="D81" s="37" t="s">
        <v>74</v>
      </c>
      <c r="E81" s="37" t="s">
        <v>166</v>
      </c>
      <c r="F81" s="38">
        <v>10</v>
      </c>
      <c r="G81" s="37">
        <v>91.61</v>
      </c>
      <c r="H81" s="39">
        <f t="shared" si="11"/>
        <v>916.1</v>
      </c>
      <c r="I81" s="12"/>
      <c r="J81" s="13"/>
      <c r="K81" s="14"/>
      <c r="L81" s="15"/>
    </row>
    <row r="82" spans="1:12" ht="37.5">
      <c r="A82" s="19" t="s">
        <v>190</v>
      </c>
      <c r="B82" s="40">
        <v>95547</v>
      </c>
      <c r="C82" s="41" t="s">
        <v>210</v>
      </c>
      <c r="D82" s="37" t="s">
        <v>74</v>
      </c>
      <c r="E82" s="37" t="s">
        <v>166</v>
      </c>
      <c r="F82" s="38">
        <v>12</v>
      </c>
      <c r="G82" s="37">
        <v>91.61</v>
      </c>
      <c r="H82" s="39">
        <f t="shared" si="11"/>
        <v>1099.32</v>
      </c>
      <c r="I82" s="12"/>
      <c r="J82" s="13"/>
      <c r="K82" s="14"/>
      <c r="L82" s="15"/>
    </row>
    <row r="83" spans="1:12" ht="37.5">
      <c r="A83" s="19" t="s">
        <v>191</v>
      </c>
      <c r="B83" s="40">
        <v>90373</v>
      </c>
      <c r="C83" s="41" t="s">
        <v>211</v>
      </c>
      <c r="D83" s="37" t="s">
        <v>74</v>
      </c>
      <c r="E83" s="37" t="s">
        <v>166</v>
      </c>
      <c r="F83" s="38">
        <v>10</v>
      </c>
      <c r="G83" s="37">
        <v>12.1</v>
      </c>
      <c r="H83" s="39">
        <f t="shared" si="11"/>
        <v>121</v>
      </c>
      <c r="I83" s="12"/>
      <c r="J83" s="13"/>
      <c r="K83" s="14"/>
      <c r="L83" s="15"/>
    </row>
    <row r="84" spans="1:12" ht="37.5">
      <c r="A84" s="19" t="s">
        <v>192</v>
      </c>
      <c r="B84" s="40">
        <v>89985</v>
      </c>
      <c r="C84" s="41" t="s">
        <v>212</v>
      </c>
      <c r="D84" s="37" t="s">
        <v>74</v>
      </c>
      <c r="E84" s="37" t="s">
        <v>166</v>
      </c>
      <c r="F84" s="38">
        <v>9</v>
      </c>
      <c r="G84" s="37">
        <v>91.43</v>
      </c>
      <c r="H84" s="39">
        <f t="shared" si="11"/>
        <v>822.87000000000012</v>
      </c>
      <c r="I84" s="12"/>
      <c r="J84" s="13"/>
      <c r="K84" s="14"/>
      <c r="L84" s="15"/>
    </row>
    <row r="85" spans="1:12" ht="25">
      <c r="A85" s="19" t="s">
        <v>193</v>
      </c>
      <c r="B85" s="40">
        <v>86915</v>
      </c>
      <c r="C85" s="41" t="s">
        <v>213</v>
      </c>
      <c r="D85" s="37" t="s">
        <v>74</v>
      </c>
      <c r="E85" s="37" t="s">
        <v>166</v>
      </c>
      <c r="F85" s="38">
        <v>10</v>
      </c>
      <c r="G85" s="37">
        <v>126.1</v>
      </c>
      <c r="H85" s="39">
        <f t="shared" si="11"/>
        <v>1261</v>
      </c>
      <c r="I85" s="12"/>
      <c r="J85" s="13"/>
      <c r="K85" s="14"/>
      <c r="L85" s="15"/>
    </row>
    <row r="86" spans="1:12" ht="37.5">
      <c r="A86" s="19" t="s">
        <v>194</v>
      </c>
      <c r="B86" s="40">
        <v>86911</v>
      </c>
      <c r="C86" s="41" t="s">
        <v>214</v>
      </c>
      <c r="D86" s="37" t="s">
        <v>74</v>
      </c>
      <c r="E86" s="37" t="s">
        <v>166</v>
      </c>
      <c r="F86" s="38">
        <v>1</v>
      </c>
      <c r="G86" s="37">
        <v>77.430000000000007</v>
      </c>
      <c r="H86" s="39">
        <f t="shared" si="11"/>
        <v>77.430000000000007</v>
      </c>
      <c r="I86" s="12"/>
      <c r="J86" s="13"/>
      <c r="K86" s="14"/>
      <c r="L86" s="15"/>
    </row>
    <row r="87" spans="1:12" ht="25">
      <c r="A87" s="19" t="s">
        <v>195</v>
      </c>
      <c r="B87" s="40">
        <v>94497</v>
      </c>
      <c r="C87" s="41" t="s">
        <v>215</v>
      </c>
      <c r="D87" s="37" t="s">
        <v>74</v>
      </c>
      <c r="E87" s="37" t="s">
        <v>166</v>
      </c>
      <c r="F87" s="38">
        <v>9</v>
      </c>
      <c r="G87" s="37">
        <v>108.06</v>
      </c>
      <c r="H87" s="39">
        <f t="shared" si="11"/>
        <v>972.54</v>
      </c>
      <c r="I87" s="12"/>
      <c r="J87" s="13"/>
      <c r="K87" s="14"/>
      <c r="L87" s="15"/>
    </row>
    <row r="88" spans="1:12" ht="25">
      <c r="A88" s="19" t="s">
        <v>196</v>
      </c>
      <c r="B88" s="40">
        <v>103039</v>
      </c>
      <c r="C88" s="41" t="s">
        <v>216</v>
      </c>
      <c r="D88" s="37" t="s">
        <v>74</v>
      </c>
      <c r="E88" s="37" t="s">
        <v>166</v>
      </c>
      <c r="F88" s="38">
        <v>5</v>
      </c>
      <c r="G88" s="37">
        <v>50.13</v>
      </c>
      <c r="H88" s="39">
        <f t="shared" si="11"/>
        <v>250.65</v>
      </c>
      <c r="I88" s="12"/>
      <c r="J88" s="13"/>
      <c r="K88" s="14"/>
      <c r="L88" s="15"/>
    </row>
    <row r="89" spans="1:12" ht="62.5">
      <c r="A89" s="19" t="s">
        <v>197</v>
      </c>
      <c r="B89" s="40">
        <v>94782</v>
      </c>
      <c r="C89" s="58" t="s">
        <v>217</v>
      </c>
      <c r="D89" s="37" t="s">
        <v>74</v>
      </c>
      <c r="E89" s="37" t="s">
        <v>72</v>
      </c>
      <c r="F89" s="38">
        <v>9</v>
      </c>
      <c r="G89" s="37">
        <v>44.22</v>
      </c>
      <c r="H89" s="39">
        <f t="shared" si="11"/>
        <v>397.98</v>
      </c>
      <c r="I89" s="12"/>
      <c r="J89" s="13"/>
      <c r="K89" s="14"/>
      <c r="L89" s="15"/>
    </row>
    <row r="90" spans="1:12" ht="25">
      <c r="A90" s="19" t="s">
        <v>198</v>
      </c>
      <c r="B90" s="40">
        <v>98557</v>
      </c>
      <c r="C90" s="41" t="s">
        <v>218</v>
      </c>
      <c r="D90" s="37" t="s">
        <v>74</v>
      </c>
      <c r="E90" s="37" t="s">
        <v>72</v>
      </c>
      <c r="F90" s="38">
        <v>339.53</v>
      </c>
      <c r="G90" s="37">
        <v>46.04</v>
      </c>
      <c r="H90" s="39">
        <f t="shared" si="11"/>
        <v>15631.961199999998</v>
      </c>
      <c r="I90" s="12"/>
      <c r="J90" s="13">
        <v>1</v>
      </c>
      <c r="K90" s="14">
        <f>TRUNC(J90*F90,2)</f>
        <v>339.53</v>
      </c>
      <c r="L90" s="15">
        <f>TRUNC(K90*G90)</f>
        <v>15631</v>
      </c>
    </row>
    <row r="91" spans="1:12" ht="20.149999999999999" customHeight="1">
      <c r="A91" s="5">
        <v>8</v>
      </c>
      <c r="B91" s="131" t="s">
        <v>66</v>
      </c>
      <c r="C91" s="131"/>
      <c r="D91" s="131"/>
      <c r="E91" s="131"/>
      <c r="F91" s="131"/>
      <c r="G91" s="131"/>
      <c r="H91" s="10">
        <f>SUM(H92:H97)</f>
        <v>109225.02660000001</v>
      </c>
      <c r="I91" s="7"/>
      <c r="J91" s="7"/>
      <c r="K91" s="7"/>
      <c r="L91" s="7"/>
    </row>
    <row r="92" spans="1:12" ht="25">
      <c r="A92" s="19" t="s">
        <v>31</v>
      </c>
      <c r="B92" s="59">
        <v>98135</v>
      </c>
      <c r="C92" s="54" t="s">
        <v>219</v>
      </c>
      <c r="D92" s="48" t="s">
        <v>74</v>
      </c>
      <c r="E92" s="48" t="s">
        <v>72</v>
      </c>
      <c r="F92" s="48">
        <v>2157.3200000000002</v>
      </c>
      <c r="G92" s="49">
        <v>28.15</v>
      </c>
      <c r="H92" s="39">
        <f>(F92*G92)-0.01</f>
        <v>60728.548000000003</v>
      </c>
      <c r="I92" s="12"/>
      <c r="J92" s="13"/>
      <c r="K92" s="14"/>
      <c r="L92" s="15"/>
    </row>
    <row r="93" spans="1:12" ht="37.5">
      <c r="A93" s="19" t="s">
        <v>32</v>
      </c>
      <c r="B93" s="59">
        <v>96129</v>
      </c>
      <c r="C93" s="54" t="s">
        <v>220</v>
      </c>
      <c r="D93" s="48" t="s">
        <v>74</v>
      </c>
      <c r="E93" s="48" t="s">
        <v>72</v>
      </c>
      <c r="F93" s="48">
        <v>57.02</v>
      </c>
      <c r="G93" s="49">
        <v>33.53</v>
      </c>
      <c r="H93" s="39">
        <f t="shared" ref="H93:H97" si="12">(F93*G93)</f>
        <v>1911.8806000000002</v>
      </c>
      <c r="I93" s="12"/>
      <c r="J93" s="13"/>
      <c r="K93" s="14"/>
      <c r="L93" s="15"/>
    </row>
    <row r="94" spans="1:12" ht="25">
      <c r="A94" s="19" t="s">
        <v>57</v>
      </c>
      <c r="B94" s="59">
        <v>104641</v>
      </c>
      <c r="C94" s="54" t="s">
        <v>221</v>
      </c>
      <c r="D94" s="48" t="s">
        <v>74</v>
      </c>
      <c r="E94" s="48" t="s">
        <v>72</v>
      </c>
      <c r="F94" s="48">
        <v>2157.3200000000002</v>
      </c>
      <c r="G94" s="49">
        <v>8.75</v>
      </c>
      <c r="H94" s="39">
        <f t="shared" si="12"/>
        <v>18876.550000000003</v>
      </c>
      <c r="I94" s="12"/>
      <c r="J94" s="13"/>
      <c r="K94" s="14"/>
      <c r="L94" s="15"/>
    </row>
    <row r="95" spans="1:12" ht="25">
      <c r="A95" s="19" t="s">
        <v>58</v>
      </c>
      <c r="B95" s="48">
        <v>88415</v>
      </c>
      <c r="C95" s="54" t="s">
        <v>222</v>
      </c>
      <c r="D95" s="48" t="s">
        <v>74</v>
      </c>
      <c r="E95" s="48" t="s">
        <v>72</v>
      </c>
      <c r="F95" s="48">
        <v>2157.3200000000002</v>
      </c>
      <c r="G95" s="33">
        <v>4.49</v>
      </c>
      <c r="H95" s="39">
        <f>(F95*G95)-0.01</f>
        <v>9686.3568000000014</v>
      </c>
      <c r="I95" s="12"/>
      <c r="J95" s="13"/>
      <c r="K95" s="14"/>
      <c r="L95" s="15"/>
    </row>
    <row r="96" spans="1:12" ht="25">
      <c r="A96" s="19" t="s">
        <v>59</v>
      </c>
      <c r="B96" s="34">
        <v>88485</v>
      </c>
      <c r="C96" s="60" t="s">
        <v>223</v>
      </c>
      <c r="D96" s="34" t="s">
        <v>74</v>
      </c>
      <c r="E96" s="34" t="s">
        <v>72</v>
      </c>
      <c r="F96" s="48">
        <v>2157.3200000000002</v>
      </c>
      <c r="G96" s="33">
        <v>3.93</v>
      </c>
      <c r="H96" s="39">
        <f>(F96*G96)-0.01</f>
        <v>8478.2576000000008</v>
      </c>
      <c r="I96" s="12"/>
      <c r="J96" s="13"/>
      <c r="K96" s="14"/>
      <c r="L96" s="15"/>
    </row>
    <row r="97" spans="1:12" ht="25">
      <c r="A97" s="19" t="s">
        <v>60</v>
      </c>
      <c r="B97" s="56">
        <v>95306</v>
      </c>
      <c r="C97" s="60" t="s">
        <v>224</v>
      </c>
      <c r="D97" s="34" t="s">
        <v>74</v>
      </c>
      <c r="E97" s="34" t="s">
        <v>72</v>
      </c>
      <c r="F97" s="34">
        <v>667.84</v>
      </c>
      <c r="G97" s="33">
        <v>14.29</v>
      </c>
      <c r="H97" s="39">
        <f t="shared" si="12"/>
        <v>9543.4336000000003</v>
      </c>
      <c r="I97" s="12"/>
      <c r="J97" s="13"/>
      <c r="K97" s="14"/>
      <c r="L97" s="15"/>
    </row>
    <row r="98" spans="1:12" ht="20.149999999999999" customHeight="1">
      <c r="A98" s="5">
        <v>9</v>
      </c>
      <c r="B98" s="131" t="s">
        <v>225</v>
      </c>
      <c r="C98" s="131"/>
      <c r="D98" s="131"/>
      <c r="E98" s="131"/>
      <c r="F98" s="131"/>
      <c r="G98" s="131"/>
      <c r="H98" s="10">
        <f>SUM(H99:H108)</f>
        <v>15377.029999999999</v>
      </c>
      <c r="I98" s="7"/>
      <c r="J98" s="7"/>
      <c r="K98" s="7"/>
      <c r="L98" s="7"/>
    </row>
    <row r="99" spans="1:12" ht="37.5">
      <c r="A99" s="19" t="s">
        <v>33</v>
      </c>
      <c r="B99" s="61">
        <v>101492</v>
      </c>
      <c r="C99" s="62" t="s">
        <v>235</v>
      </c>
      <c r="D99" s="63" t="s">
        <v>74</v>
      </c>
      <c r="E99" s="63" t="s">
        <v>166</v>
      </c>
      <c r="F99" s="64">
        <v>1</v>
      </c>
      <c r="G99" s="63">
        <v>1667.43</v>
      </c>
      <c r="H99" s="39">
        <f t="shared" ref="H99:H108" si="13">(F99*G99)</f>
        <v>1667.43</v>
      </c>
      <c r="I99" s="12"/>
      <c r="J99" s="13"/>
      <c r="K99" s="14"/>
      <c r="L99" s="15"/>
    </row>
    <row r="100" spans="1:12" ht="25">
      <c r="A100" s="19" t="s">
        <v>226</v>
      </c>
      <c r="B100" s="50">
        <v>93660</v>
      </c>
      <c r="C100" s="41" t="s">
        <v>236</v>
      </c>
      <c r="D100" s="37" t="s">
        <v>74</v>
      </c>
      <c r="E100" s="37" t="s">
        <v>166</v>
      </c>
      <c r="F100" s="38">
        <v>10</v>
      </c>
      <c r="G100" s="37">
        <v>47.17</v>
      </c>
      <c r="H100" s="39">
        <f t="shared" si="13"/>
        <v>471.70000000000005</v>
      </c>
      <c r="I100" s="12"/>
      <c r="J100" s="13"/>
      <c r="K100" s="14"/>
      <c r="L100" s="15"/>
    </row>
    <row r="101" spans="1:12" ht="62.5">
      <c r="A101" s="19" t="s">
        <v>227</v>
      </c>
      <c r="B101" s="50">
        <v>104473</v>
      </c>
      <c r="C101" s="41" t="s">
        <v>237</v>
      </c>
      <c r="D101" s="37" t="s">
        <v>74</v>
      </c>
      <c r="E101" s="37" t="s">
        <v>166</v>
      </c>
      <c r="F101" s="38">
        <v>22</v>
      </c>
      <c r="G101" s="37">
        <v>158.56</v>
      </c>
      <c r="H101" s="39">
        <f t="shared" si="13"/>
        <v>3488.32</v>
      </c>
      <c r="I101" s="12"/>
      <c r="J101" s="13"/>
      <c r="K101" s="14"/>
      <c r="L101" s="15"/>
    </row>
    <row r="102" spans="1:12" ht="25">
      <c r="A102" s="19" t="s">
        <v>228</v>
      </c>
      <c r="B102" s="50">
        <v>93664</v>
      </c>
      <c r="C102" s="41" t="s">
        <v>238</v>
      </c>
      <c r="D102" s="37" t="s">
        <v>74</v>
      </c>
      <c r="E102" s="37" t="s">
        <v>166</v>
      </c>
      <c r="F102" s="38">
        <v>10</v>
      </c>
      <c r="G102" s="37">
        <v>54.05</v>
      </c>
      <c r="H102" s="39">
        <f t="shared" si="13"/>
        <v>540.5</v>
      </c>
      <c r="I102" s="12"/>
      <c r="J102" s="13"/>
      <c r="K102" s="14"/>
      <c r="L102" s="15"/>
    </row>
    <row r="103" spans="1:12" ht="25">
      <c r="A103" s="19" t="s">
        <v>229</v>
      </c>
      <c r="B103" s="50">
        <v>93854</v>
      </c>
      <c r="C103" s="41" t="s">
        <v>239</v>
      </c>
      <c r="D103" s="37" t="s">
        <v>74</v>
      </c>
      <c r="E103" s="37" t="s">
        <v>166</v>
      </c>
      <c r="F103" s="38">
        <v>10</v>
      </c>
      <c r="G103" s="37">
        <v>10.65</v>
      </c>
      <c r="H103" s="39">
        <f t="shared" si="13"/>
        <v>106.5</v>
      </c>
      <c r="I103" s="12"/>
      <c r="J103" s="13"/>
      <c r="K103" s="14"/>
      <c r="L103" s="15"/>
    </row>
    <row r="104" spans="1:12" ht="62.5">
      <c r="A104" s="19" t="s">
        <v>230</v>
      </c>
      <c r="B104" s="50">
        <v>104478</v>
      </c>
      <c r="C104" s="41" t="s">
        <v>240</v>
      </c>
      <c r="D104" s="37" t="s">
        <v>74</v>
      </c>
      <c r="E104" s="37" t="s">
        <v>166</v>
      </c>
      <c r="F104" s="38">
        <v>10</v>
      </c>
      <c r="G104" s="37">
        <v>176.07</v>
      </c>
      <c r="H104" s="39">
        <f t="shared" si="13"/>
        <v>1760.6999999999998</v>
      </c>
      <c r="I104" s="12"/>
      <c r="J104" s="13"/>
      <c r="K104" s="14"/>
      <c r="L104" s="15"/>
    </row>
    <row r="105" spans="1:12" ht="62.5">
      <c r="A105" s="19" t="s">
        <v>231</v>
      </c>
      <c r="B105" s="50">
        <v>104475</v>
      </c>
      <c r="C105" s="41" t="s">
        <v>241</v>
      </c>
      <c r="D105" s="37" t="s">
        <v>74</v>
      </c>
      <c r="E105" s="37" t="s">
        <v>166</v>
      </c>
      <c r="F105" s="38">
        <v>30</v>
      </c>
      <c r="G105" s="37">
        <v>136.19</v>
      </c>
      <c r="H105" s="39">
        <f t="shared" si="13"/>
        <v>4085.7</v>
      </c>
      <c r="I105" s="12"/>
      <c r="J105" s="13"/>
      <c r="K105" s="14"/>
      <c r="L105" s="15"/>
    </row>
    <row r="106" spans="1:12" ht="37.5">
      <c r="A106" s="19" t="s">
        <v>232</v>
      </c>
      <c r="B106" s="50">
        <v>97589</v>
      </c>
      <c r="C106" s="41" t="s">
        <v>242</v>
      </c>
      <c r="D106" s="37" t="s">
        <v>74</v>
      </c>
      <c r="E106" s="37" t="s">
        <v>166</v>
      </c>
      <c r="F106" s="38">
        <v>10</v>
      </c>
      <c r="G106" s="37">
        <v>42.9</v>
      </c>
      <c r="H106" s="39">
        <f t="shared" si="13"/>
        <v>429</v>
      </c>
      <c r="I106" s="12"/>
      <c r="J106" s="13"/>
      <c r="K106" s="14"/>
      <c r="L106" s="15"/>
    </row>
    <row r="107" spans="1:12" ht="37.5">
      <c r="A107" s="19" t="s">
        <v>233</v>
      </c>
      <c r="B107" s="50">
        <v>101560</v>
      </c>
      <c r="C107" s="41" t="s">
        <v>243</v>
      </c>
      <c r="D107" s="37" t="s">
        <v>74</v>
      </c>
      <c r="E107" s="37" t="s">
        <v>76</v>
      </c>
      <c r="F107" s="38">
        <v>6</v>
      </c>
      <c r="G107" s="37">
        <v>9.23</v>
      </c>
      <c r="H107" s="39">
        <f t="shared" si="13"/>
        <v>55.38</v>
      </c>
      <c r="I107" s="12"/>
      <c r="J107" s="13"/>
      <c r="K107" s="14"/>
      <c r="L107" s="15"/>
    </row>
    <row r="108" spans="1:12" ht="25">
      <c r="A108" s="19" t="s">
        <v>234</v>
      </c>
      <c r="B108" s="50">
        <v>7996</v>
      </c>
      <c r="C108" s="41" t="s">
        <v>244</v>
      </c>
      <c r="D108" s="37" t="s">
        <v>71</v>
      </c>
      <c r="E108" s="37" t="s">
        <v>166</v>
      </c>
      <c r="F108" s="38">
        <v>10</v>
      </c>
      <c r="G108" s="37">
        <v>277.18</v>
      </c>
      <c r="H108" s="39">
        <f t="shared" si="13"/>
        <v>2771.8</v>
      </c>
      <c r="I108" s="12"/>
      <c r="J108" s="13"/>
      <c r="K108" s="14"/>
      <c r="L108" s="15"/>
    </row>
    <row r="109" spans="1:12" ht="20.149999999999999" customHeight="1">
      <c r="A109" s="5">
        <v>10</v>
      </c>
      <c r="B109" s="131" t="s">
        <v>245</v>
      </c>
      <c r="C109" s="131"/>
      <c r="D109" s="131"/>
      <c r="E109" s="131"/>
      <c r="F109" s="131"/>
      <c r="G109" s="131"/>
      <c r="H109" s="10">
        <f>SUM(H110:H111)</f>
        <v>24596.11</v>
      </c>
      <c r="I109" s="7"/>
      <c r="J109" s="7"/>
      <c r="K109" s="7"/>
      <c r="L109" s="7"/>
    </row>
    <row r="110" spans="1:12" ht="37.5">
      <c r="A110" s="19" t="s">
        <v>34</v>
      </c>
      <c r="B110" s="50">
        <v>103244</v>
      </c>
      <c r="C110" s="36" t="s">
        <v>246</v>
      </c>
      <c r="D110" s="37" t="s">
        <v>74</v>
      </c>
      <c r="E110" s="37" t="s">
        <v>166</v>
      </c>
      <c r="F110" s="38">
        <v>11</v>
      </c>
      <c r="G110" s="37">
        <v>2176.21</v>
      </c>
      <c r="H110" s="39">
        <f t="shared" ref="H110:H111" si="14">(F110*G110)</f>
        <v>23938.31</v>
      </c>
      <c r="I110" s="12"/>
      <c r="J110" s="13"/>
      <c r="K110" s="14"/>
      <c r="L110" s="15"/>
    </row>
    <row r="111" spans="1:12" ht="25">
      <c r="A111" s="19" t="s">
        <v>35</v>
      </c>
      <c r="B111" s="65" t="s">
        <v>247</v>
      </c>
      <c r="C111" s="41" t="s">
        <v>248</v>
      </c>
      <c r="D111" s="37" t="s">
        <v>249</v>
      </c>
      <c r="E111" s="37" t="s">
        <v>166</v>
      </c>
      <c r="F111" s="38">
        <v>11</v>
      </c>
      <c r="G111" s="42">
        <v>59.8</v>
      </c>
      <c r="H111" s="39">
        <f t="shared" si="14"/>
        <v>657.8</v>
      </c>
      <c r="I111" s="12"/>
      <c r="J111" s="13"/>
      <c r="K111" s="14"/>
      <c r="L111" s="15"/>
    </row>
    <row r="112" spans="1:12" ht="20.149999999999999" customHeight="1">
      <c r="A112" s="5">
        <v>11</v>
      </c>
      <c r="B112" s="131" t="s">
        <v>250</v>
      </c>
      <c r="C112" s="131"/>
      <c r="D112" s="131"/>
      <c r="E112" s="131"/>
      <c r="F112" s="131"/>
      <c r="G112" s="131"/>
      <c r="H112" s="10">
        <f>SUM(H113:H120)+0.01</f>
        <v>42738.681799999998</v>
      </c>
      <c r="I112" s="7"/>
      <c r="J112" s="7"/>
      <c r="K112" s="7"/>
      <c r="L112" s="7"/>
    </row>
    <row r="113" spans="1:12" ht="37.5">
      <c r="A113" s="19" t="s">
        <v>61</v>
      </c>
      <c r="B113" s="66">
        <v>90823</v>
      </c>
      <c r="C113" s="41" t="s">
        <v>257</v>
      </c>
      <c r="D113" s="67" t="s">
        <v>74</v>
      </c>
      <c r="E113" s="48" t="s">
        <v>166</v>
      </c>
      <c r="F113" s="49">
        <v>23</v>
      </c>
      <c r="G113" s="48">
        <v>408.24</v>
      </c>
      <c r="H113" s="39">
        <f t="shared" ref="H113:H119" si="15">(F113*G113)</f>
        <v>9389.52</v>
      </c>
      <c r="I113" s="12"/>
      <c r="J113" s="13"/>
      <c r="K113" s="14"/>
      <c r="L113" s="15"/>
    </row>
    <row r="114" spans="1:12" ht="50">
      <c r="A114" s="19" t="s">
        <v>62</v>
      </c>
      <c r="B114" s="68">
        <v>94570</v>
      </c>
      <c r="C114" s="69" t="s">
        <v>258</v>
      </c>
      <c r="D114" s="70" t="s">
        <v>74</v>
      </c>
      <c r="E114" s="34" t="s">
        <v>72</v>
      </c>
      <c r="F114" s="33">
        <v>4.16</v>
      </c>
      <c r="G114" s="34">
        <v>318.47000000000003</v>
      </c>
      <c r="H114" s="39">
        <f>(F114*G114)-0.01</f>
        <v>1324.8252000000002</v>
      </c>
      <c r="I114" s="12"/>
      <c r="J114" s="13"/>
      <c r="K114" s="14"/>
      <c r="L114" s="15"/>
    </row>
    <row r="115" spans="1:12" ht="37.5">
      <c r="A115" s="19" t="s">
        <v>63</v>
      </c>
      <c r="B115" s="40">
        <v>102185</v>
      </c>
      <c r="C115" s="41" t="s">
        <v>259</v>
      </c>
      <c r="D115" s="37" t="s">
        <v>74</v>
      </c>
      <c r="E115" s="37" t="s">
        <v>166</v>
      </c>
      <c r="F115" s="38">
        <v>2</v>
      </c>
      <c r="G115" s="37">
        <v>3331.88</v>
      </c>
      <c r="H115" s="39">
        <f t="shared" si="15"/>
        <v>6663.76</v>
      </c>
      <c r="I115" s="12"/>
      <c r="J115" s="13"/>
      <c r="K115" s="14"/>
      <c r="L115" s="15"/>
    </row>
    <row r="116" spans="1:12" ht="37.5">
      <c r="A116" s="19" t="s">
        <v>252</v>
      </c>
      <c r="B116" s="40">
        <v>102184</v>
      </c>
      <c r="C116" s="41" t="s">
        <v>260</v>
      </c>
      <c r="D116" s="37" t="s">
        <v>74</v>
      </c>
      <c r="E116" s="37" t="s">
        <v>166</v>
      </c>
      <c r="F116" s="38">
        <v>1</v>
      </c>
      <c r="G116" s="37">
        <v>1662.9</v>
      </c>
      <c r="H116" s="39">
        <f t="shared" si="15"/>
        <v>1662.9</v>
      </c>
      <c r="I116" s="12"/>
      <c r="J116" s="13"/>
      <c r="K116" s="14"/>
      <c r="L116" s="15"/>
    </row>
    <row r="117" spans="1:12" ht="37.5">
      <c r="A117" s="19" t="s">
        <v>253</v>
      </c>
      <c r="B117" s="40">
        <v>91338</v>
      </c>
      <c r="C117" s="41" t="s">
        <v>261</v>
      </c>
      <c r="D117" s="37" t="s">
        <v>74</v>
      </c>
      <c r="E117" s="37" t="s">
        <v>72</v>
      </c>
      <c r="F117" s="38">
        <v>1.68</v>
      </c>
      <c r="G117" s="37">
        <v>785.38</v>
      </c>
      <c r="H117" s="39">
        <f>(F117*G117)-0.01</f>
        <v>1319.4284</v>
      </c>
      <c r="I117" s="12"/>
      <c r="J117" s="13"/>
      <c r="K117" s="14"/>
      <c r="L117" s="15"/>
    </row>
    <row r="118" spans="1:12" ht="50">
      <c r="A118" s="19" t="s">
        <v>254</v>
      </c>
      <c r="B118" s="40">
        <v>94559</v>
      </c>
      <c r="C118" s="41" t="s">
        <v>262</v>
      </c>
      <c r="D118" s="37" t="s">
        <v>74</v>
      </c>
      <c r="E118" s="37" t="s">
        <v>72</v>
      </c>
      <c r="F118" s="38">
        <v>14.51</v>
      </c>
      <c r="G118" s="37">
        <v>654.16</v>
      </c>
      <c r="H118" s="39">
        <f t="shared" si="15"/>
        <v>9491.8616000000002</v>
      </c>
      <c r="I118" s="12"/>
      <c r="J118" s="13"/>
      <c r="K118" s="14"/>
      <c r="L118" s="15"/>
    </row>
    <row r="119" spans="1:12" ht="50">
      <c r="A119" s="19" t="s">
        <v>255</v>
      </c>
      <c r="B119" s="40">
        <v>94562</v>
      </c>
      <c r="C119" s="41" t="s">
        <v>263</v>
      </c>
      <c r="D119" s="37" t="s">
        <v>74</v>
      </c>
      <c r="E119" s="37" t="s">
        <v>72</v>
      </c>
      <c r="F119" s="38">
        <v>10.5</v>
      </c>
      <c r="G119" s="37">
        <v>596.88</v>
      </c>
      <c r="H119" s="39">
        <f t="shared" si="15"/>
        <v>6267.24</v>
      </c>
      <c r="I119" s="12"/>
      <c r="J119" s="13"/>
      <c r="K119" s="14"/>
      <c r="L119" s="15"/>
    </row>
    <row r="120" spans="1:12" ht="25">
      <c r="A120" s="19" t="s">
        <v>256</v>
      </c>
      <c r="B120" s="40">
        <v>102170</v>
      </c>
      <c r="C120" s="41" t="s">
        <v>264</v>
      </c>
      <c r="D120" s="37" t="s">
        <v>74</v>
      </c>
      <c r="E120" s="37" t="s">
        <v>72</v>
      </c>
      <c r="F120" s="38">
        <v>25.01</v>
      </c>
      <c r="G120" s="37">
        <v>264.66000000000003</v>
      </c>
      <c r="H120" s="39">
        <f>(F120*G120)-0.01</f>
        <v>6619.1366000000007</v>
      </c>
      <c r="I120" s="12"/>
      <c r="J120" s="13"/>
      <c r="K120" s="14"/>
      <c r="L120" s="15"/>
    </row>
    <row r="121" spans="1:12" ht="20.149999999999999" customHeight="1">
      <c r="A121" s="5">
        <v>12</v>
      </c>
      <c r="B121" s="131" t="s">
        <v>25</v>
      </c>
      <c r="C121" s="131"/>
      <c r="D121" s="131"/>
      <c r="E121" s="131"/>
      <c r="F121" s="131"/>
      <c r="G121" s="131"/>
      <c r="H121" s="10">
        <f>SUM(H122:H122)</f>
        <v>412603.31999999995</v>
      </c>
      <c r="I121" s="7"/>
      <c r="J121" s="7"/>
      <c r="K121" s="7"/>
      <c r="L121" s="7"/>
    </row>
    <row r="122" spans="1:12" ht="50">
      <c r="A122" s="19" t="s">
        <v>64</v>
      </c>
      <c r="B122" s="55">
        <v>104816</v>
      </c>
      <c r="C122" s="53" t="s">
        <v>265</v>
      </c>
      <c r="D122" s="45" t="s">
        <v>74</v>
      </c>
      <c r="E122" s="45" t="s">
        <v>72</v>
      </c>
      <c r="F122" s="46">
        <v>308.64999999999998</v>
      </c>
      <c r="G122" s="45">
        <v>1336.8</v>
      </c>
      <c r="H122" s="39">
        <f t="shared" ref="H122" si="16">(F122*G122)</f>
        <v>412603.31999999995</v>
      </c>
      <c r="I122" s="12"/>
      <c r="J122" s="13"/>
      <c r="K122" s="14"/>
      <c r="L122" s="15"/>
    </row>
    <row r="123" spans="1:12" ht="20.149999999999999" customHeight="1">
      <c r="A123" s="5">
        <v>13</v>
      </c>
      <c r="B123" s="131" t="s">
        <v>251</v>
      </c>
      <c r="C123" s="131"/>
      <c r="D123" s="131"/>
      <c r="E123" s="131"/>
      <c r="F123" s="131"/>
      <c r="G123" s="131"/>
      <c r="H123" s="10">
        <f>SUM(H124:H124)</f>
        <v>1246.7714999999998</v>
      </c>
      <c r="I123" s="7"/>
      <c r="J123" s="7"/>
      <c r="K123" s="7"/>
      <c r="L123" s="7"/>
    </row>
    <row r="124" spans="1:12" ht="23.25" customHeight="1">
      <c r="A124" s="19" t="s">
        <v>65</v>
      </c>
      <c r="B124" s="59">
        <v>2450</v>
      </c>
      <c r="C124" s="71" t="s">
        <v>266</v>
      </c>
      <c r="D124" s="48" t="s">
        <v>71</v>
      </c>
      <c r="E124" s="48" t="s">
        <v>267</v>
      </c>
      <c r="F124" s="49">
        <v>488.93</v>
      </c>
      <c r="G124" s="48">
        <v>2.5499999999999998</v>
      </c>
      <c r="H124" s="72">
        <f>F124*G124</f>
        <v>1246.7714999999998</v>
      </c>
      <c r="I124" s="12"/>
      <c r="J124" s="13"/>
      <c r="K124" s="14"/>
      <c r="L124" s="15"/>
    </row>
    <row r="125" spans="1:12" ht="21.75" customHeight="1">
      <c r="A125" s="137" t="s">
        <v>36</v>
      </c>
      <c r="B125" s="137"/>
      <c r="C125" s="137"/>
      <c r="D125" s="137"/>
      <c r="E125" s="137"/>
      <c r="F125" s="137"/>
      <c r="G125" s="138"/>
      <c r="H125" s="74">
        <v>210898.1</v>
      </c>
      <c r="I125" s="7"/>
      <c r="J125" s="7"/>
      <c r="K125" s="7"/>
      <c r="L125" s="7"/>
    </row>
    <row r="126" spans="1:12" ht="20.25" customHeight="1">
      <c r="A126" s="149" t="s">
        <v>37</v>
      </c>
      <c r="B126" s="149"/>
      <c r="C126" s="149"/>
      <c r="D126" s="149"/>
      <c r="E126" s="149"/>
      <c r="F126" s="149"/>
      <c r="G126" s="150"/>
      <c r="H126" s="75">
        <v>939101.9</v>
      </c>
      <c r="I126" s="7"/>
      <c r="J126" s="7"/>
      <c r="K126" s="7"/>
      <c r="L126" s="7"/>
    </row>
    <row r="127" spans="1:12" ht="31.5" customHeight="1">
      <c r="A127" s="149" t="s">
        <v>38</v>
      </c>
      <c r="B127" s="149"/>
      <c r="C127" s="149"/>
      <c r="D127" s="149"/>
      <c r="E127" s="149"/>
      <c r="F127" s="149"/>
      <c r="G127" s="150"/>
      <c r="H127" s="11">
        <f>SUM(H125:H126)</f>
        <v>1150000</v>
      </c>
      <c r="I127" s="23"/>
      <c r="J127" s="27">
        <f>L127/$H$127</f>
        <v>5.802434782608696E-2</v>
      </c>
      <c r="K127" s="28" t="s">
        <v>43</v>
      </c>
      <c r="L127" s="26">
        <f>SUM(L7:L124)</f>
        <v>66728</v>
      </c>
    </row>
    <row r="128" spans="1:12" ht="60" customHeight="1">
      <c r="A128" s="140" t="s">
        <v>280</v>
      </c>
      <c r="B128" s="141"/>
      <c r="C128" s="142"/>
      <c r="D128" s="140" t="s">
        <v>39</v>
      </c>
      <c r="E128" s="141"/>
      <c r="F128" s="141"/>
      <c r="G128" s="141"/>
      <c r="H128" s="141"/>
      <c r="I128" s="142"/>
      <c r="J128" s="139" t="s">
        <v>334</v>
      </c>
      <c r="K128" s="139"/>
      <c r="L128" s="139"/>
    </row>
    <row r="129" spans="1:12" ht="60" customHeight="1">
      <c r="A129" s="143"/>
      <c r="B129" s="144"/>
      <c r="C129" s="145"/>
      <c r="D129" s="143"/>
      <c r="E129" s="144"/>
      <c r="F129" s="144"/>
      <c r="G129" s="144"/>
      <c r="H129" s="144"/>
      <c r="I129" s="145"/>
      <c r="J129" s="139"/>
      <c r="K129" s="139"/>
      <c r="L129" s="139"/>
    </row>
    <row r="130" spans="1:12" ht="70" customHeight="1">
      <c r="A130" s="143"/>
      <c r="B130" s="144"/>
      <c r="C130" s="145"/>
      <c r="D130" s="143"/>
      <c r="E130" s="144"/>
      <c r="F130" s="144"/>
      <c r="G130" s="144"/>
      <c r="H130" s="144"/>
      <c r="I130" s="145"/>
      <c r="J130" s="139"/>
      <c r="K130" s="139"/>
      <c r="L130" s="139"/>
    </row>
    <row r="131" spans="1:12">
      <c r="A131" s="146"/>
      <c r="B131" s="147"/>
      <c r="C131" s="148"/>
      <c r="D131" s="146"/>
      <c r="E131" s="147"/>
      <c r="F131" s="147"/>
      <c r="G131" s="147"/>
      <c r="H131" s="147"/>
      <c r="I131" s="148"/>
      <c r="J131" s="139"/>
      <c r="K131" s="139"/>
      <c r="L131" s="139"/>
    </row>
    <row r="134" spans="1:12">
      <c r="C134" s="20"/>
      <c r="E134" s="20"/>
      <c r="H134" s="21"/>
      <c r="J134" s="20"/>
    </row>
    <row r="136" spans="1:12">
      <c r="H136" s="21"/>
    </row>
    <row r="137" spans="1:12">
      <c r="H137" s="22"/>
    </row>
    <row r="138" spans="1:12">
      <c r="H138" s="21"/>
    </row>
    <row r="139" spans="1:12">
      <c r="H139" s="21"/>
    </row>
    <row r="140" spans="1:12">
      <c r="H140" s="21"/>
    </row>
    <row r="141" spans="1:12">
      <c r="H141" s="21"/>
    </row>
    <row r="142" spans="1:12">
      <c r="H142" s="21"/>
    </row>
    <row r="143" spans="1:12">
      <c r="H143" s="76"/>
    </row>
  </sheetData>
  <mergeCells count="40">
    <mergeCell ref="B38:G38"/>
    <mergeCell ref="B45:G45"/>
    <mergeCell ref="J1:L2"/>
    <mergeCell ref="J3:K3"/>
    <mergeCell ref="B14:G14"/>
    <mergeCell ref="B22:G22"/>
    <mergeCell ref="B55:G55"/>
    <mergeCell ref="B30:G30"/>
    <mergeCell ref="B1:D1"/>
    <mergeCell ref="E1:F1"/>
    <mergeCell ref="G1:H1"/>
    <mergeCell ref="A2:D2"/>
    <mergeCell ref="E2:F2"/>
    <mergeCell ref="G2:H2"/>
    <mergeCell ref="B9:G9"/>
    <mergeCell ref="B15:G15"/>
    <mergeCell ref="B23:G23"/>
    <mergeCell ref="B13:G13"/>
    <mergeCell ref="J128:L131"/>
    <mergeCell ref="B112:G112"/>
    <mergeCell ref="A128:C131"/>
    <mergeCell ref="D128:I131"/>
    <mergeCell ref="A126:G126"/>
    <mergeCell ref="A127:G127"/>
    <mergeCell ref="B47:G47"/>
    <mergeCell ref="B52:G52"/>
    <mergeCell ref="B56:G56"/>
    <mergeCell ref="B71:G71"/>
    <mergeCell ref="A125:G125"/>
    <mergeCell ref="B121:G121"/>
    <mergeCell ref="B123:G123"/>
    <mergeCell ref="B91:G91"/>
    <mergeCell ref="B98:G98"/>
    <mergeCell ref="B109:G109"/>
    <mergeCell ref="B6:G6"/>
    <mergeCell ref="J6:L6"/>
    <mergeCell ref="A3:D3"/>
    <mergeCell ref="E3:I3"/>
    <mergeCell ref="A4:H4"/>
    <mergeCell ref="J4:L4"/>
  </mergeCells>
  <phoneticPr fontId="15" type="noConversion"/>
  <conditionalFormatting sqref="J7:J8 J10:J12 J16:J21 J24:J29 J31:J37 J39:J44 J46 J48:J51 J53:J54 J57:J70 J72:J90 J92:J97 J99:J108 J110:J111 J113:J120 J122 J124">
    <cfRule type="cellIs" dxfId="16" priority="182" operator="between">
      <formula>0.01</formula>
      <formula>1</formula>
    </cfRule>
  </conditionalFormatting>
  <conditionalFormatting sqref="K7:K8 K10:K12 K16:K21 K24:K29 K31:K37 K39:K44 K46 K48:K51 K53:K54 K57:K70 K72:K90 K92:K97 K99:K108 K110:K111 K113:K120 K122 K124">
    <cfRule type="cellIs" dxfId="15" priority="181" operator="between">
      <formula>1</formula>
      <formula>1000</formula>
    </cfRule>
  </conditionalFormatting>
  <conditionalFormatting sqref="L7:L8 L10:L12 L16:L21 L24:L29 L31:L37 L39:L44 L46 L48:L51 L53:L54 L57:L70 L72:L90 L92:L97 L99:L108 L110:L111 L113:L120 L122 L124">
    <cfRule type="cellIs" dxfId="14" priority="180" operator="between">
      <formula>1</formula>
      <formula>100000</formula>
    </cfRule>
  </conditionalFormatting>
  <printOptions horizontalCentered="1" verticalCentered="1"/>
  <pageMargins left="0.51" right="0.35" top="0.21" bottom="0.74803149606299213" header="0.31496062992125984" footer="0.31496062992125984"/>
  <pageSetup paperSize="9" scale="46" fitToHeight="4" orientation="landscape" r:id="rId1"/>
  <rowBreaks count="4" manualBreakCount="4">
    <brk id="29" max="30" man="1"/>
    <brk id="54" max="30" man="1"/>
    <brk id="90" max="30" man="1"/>
    <brk id="120" max="3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AC0A-FD13-44EF-8451-76182FA0ABB9}">
  <sheetPr>
    <outlinePr summaryBelow="0"/>
    <pageSetUpPr fitToPage="1"/>
  </sheetPr>
  <dimension ref="A1:AI140"/>
  <sheetViews>
    <sheetView view="pageBreakPreview" topLeftCell="A115" zoomScale="70" zoomScaleNormal="85" zoomScaleSheetLayoutView="70" workbookViewId="0">
      <selection activeCell="B123" sqref="B123:I123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6" width="10.26953125" style="18" customWidth="1"/>
    <col min="7" max="7" width="12.453125" style="18" customWidth="1"/>
    <col min="8" max="8" width="17.1796875" style="18" customWidth="1"/>
    <col min="9" max="9" width="17.26953125" style="18" customWidth="1"/>
    <col min="10" max="10" width="24" style="18" hidden="1" customWidth="1"/>
    <col min="11" max="11" width="25.26953125" style="18" hidden="1" customWidth="1"/>
    <col min="12" max="12" width="24" style="18" hidden="1" customWidth="1"/>
    <col min="13" max="13" width="14" style="18" hidden="1" customWidth="1"/>
    <col min="14" max="14" width="29.26953125" style="18" hidden="1" customWidth="1"/>
    <col min="15" max="15" width="15.453125" style="18" hidden="1" customWidth="1"/>
    <col min="16" max="16" width="12.54296875" style="18" hidden="1" customWidth="1"/>
    <col min="17" max="17" width="25.26953125" style="18" hidden="1" customWidth="1"/>
    <col min="18" max="18" width="15.453125" style="18" hidden="1" customWidth="1"/>
    <col min="19" max="19" width="21" style="18" hidden="1" customWidth="1"/>
    <col min="20" max="20" width="19.81640625" style="18" hidden="1" customWidth="1"/>
    <col min="21" max="21" width="17.453125" style="18" hidden="1" customWidth="1"/>
    <col min="22" max="22" width="22.54296875" style="18" hidden="1" customWidth="1"/>
    <col min="23" max="23" width="25.1796875" style="18" hidden="1" customWidth="1"/>
    <col min="24" max="24" width="19.1796875" style="18" hidden="1" customWidth="1"/>
    <col min="25" max="16384" width="9.1796875" style="18"/>
  </cols>
  <sheetData>
    <row r="1" spans="1:24" ht="109.5" customHeight="1">
      <c r="A1" s="17"/>
      <c r="B1" s="155" t="s">
        <v>268</v>
      </c>
      <c r="C1" s="155"/>
      <c r="D1" s="155"/>
      <c r="E1" s="133" t="s">
        <v>272</v>
      </c>
      <c r="F1" s="133"/>
      <c r="G1" s="133" t="s">
        <v>279</v>
      </c>
      <c r="H1" s="133"/>
      <c r="I1" s="73" t="s">
        <v>273</v>
      </c>
      <c r="J1" s="152"/>
      <c r="K1" s="152"/>
      <c r="L1" s="152"/>
      <c r="M1" s="152"/>
      <c r="N1" s="152"/>
      <c r="O1" s="152"/>
      <c r="P1" s="152"/>
      <c r="Q1" s="152"/>
      <c r="R1" s="165"/>
      <c r="S1" s="120"/>
      <c r="T1" s="120"/>
      <c r="U1" s="120"/>
      <c r="V1" s="152"/>
      <c r="W1" s="152"/>
      <c r="X1" s="165"/>
    </row>
    <row r="2" spans="1:24" ht="102" customHeight="1">
      <c r="A2" s="133" t="s">
        <v>269</v>
      </c>
      <c r="B2" s="133"/>
      <c r="C2" s="133"/>
      <c r="D2" s="133"/>
      <c r="E2" s="133" t="s">
        <v>336</v>
      </c>
      <c r="F2" s="133"/>
      <c r="G2" s="133" t="s">
        <v>339</v>
      </c>
      <c r="H2" s="133"/>
      <c r="I2" s="73" t="str">
        <f>'PLANILHA DE MEDIÇÃO'!I2</f>
        <v>VALOR MEDIDO NO PERÍODO:
R$ 66.728,00</v>
      </c>
      <c r="J2" s="152"/>
      <c r="K2" s="152"/>
      <c r="L2" s="152"/>
      <c r="M2" s="152"/>
      <c r="N2" s="152"/>
      <c r="O2" s="152"/>
      <c r="P2" s="152"/>
      <c r="Q2" s="152"/>
      <c r="R2" s="165"/>
      <c r="S2" s="120"/>
      <c r="T2" s="120"/>
      <c r="U2" s="120"/>
      <c r="V2" s="152"/>
      <c r="W2" s="152"/>
      <c r="X2" s="165"/>
    </row>
    <row r="3" spans="1:24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53" t="s">
        <v>275</v>
      </c>
      <c r="K3" s="154"/>
      <c r="L3" s="29" t="e">
        <f>#REF!</f>
        <v>#REF!</v>
      </c>
      <c r="M3" s="153" t="s">
        <v>276</v>
      </c>
      <c r="N3" s="154"/>
      <c r="O3" s="29" t="e">
        <f>#REF!</f>
        <v>#REF!</v>
      </c>
      <c r="P3" s="153" t="s">
        <v>277</v>
      </c>
      <c r="Q3" s="154"/>
      <c r="R3" s="29" t="e">
        <f>#REF!</f>
        <v>#REF!</v>
      </c>
      <c r="S3" s="29"/>
      <c r="T3" s="29"/>
      <c r="U3" s="29"/>
      <c r="V3" s="153" t="s">
        <v>278</v>
      </c>
      <c r="W3" s="154"/>
      <c r="X3" s="29" t="e">
        <f>#REF!</f>
        <v>#REF!</v>
      </c>
    </row>
    <row r="4" spans="1:24" ht="15" customHeight="1">
      <c r="A4" s="134" t="s">
        <v>338</v>
      </c>
      <c r="B4" s="135"/>
      <c r="C4" s="135"/>
      <c r="D4" s="135"/>
      <c r="E4" s="135"/>
      <c r="F4" s="135"/>
      <c r="G4" s="135"/>
      <c r="H4" s="136"/>
      <c r="I4" s="1"/>
      <c r="J4" s="135" t="s">
        <v>0</v>
      </c>
      <c r="K4" s="135"/>
      <c r="L4" s="135"/>
      <c r="M4" s="135" t="s">
        <v>0</v>
      </c>
      <c r="N4" s="135"/>
      <c r="O4" s="135"/>
      <c r="P4" s="135" t="s">
        <v>0</v>
      </c>
      <c r="Q4" s="135"/>
      <c r="R4" s="135"/>
      <c r="S4" s="119"/>
      <c r="T4" s="119"/>
      <c r="U4" s="119"/>
      <c r="V4" s="135" t="s">
        <v>0</v>
      </c>
      <c r="W4" s="135"/>
      <c r="X4" s="135"/>
    </row>
    <row r="5" spans="1:24" ht="65.25" customHeight="1">
      <c r="A5" s="4" t="s">
        <v>2</v>
      </c>
      <c r="B5" s="4" t="s">
        <v>3</v>
      </c>
      <c r="C5" s="4" t="s">
        <v>4</v>
      </c>
      <c r="D5" s="162" t="s">
        <v>335</v>
      </c>
      <c r="E5" s="162"/>
      <c r="F5" s="162"/>
      <c r="G5" s="162"/>
      <c r="H5" s="162"/>
      <c r="I5" s="162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</row>
    <row r="6" spans="1:24" ht="20.149999999999999" customHeight="1">
      <c r="A6" s="123">
        <v>1</v>
      </c>
      <c r="B6" s="157" t="s">
        <v>16</v>
      </c>
      <c r="C6" s="157"/>
      <c r="D6" s="157"/>
      <c r="E6" s="157"/>
      <c r="F6" s="157"/>
      <c r="G6" s="157"/>
      <c r="H6" s="157"/>
      <c r="I6" s="157"/>
      <c r="J6" s="132" t="s">
        <v>17</v>
      </c>
      <c r="K6" s="132"/>
      <c r="L6" s="132"/>
      <c r="M6" s="132" t="s">
        <v>40</v>
      </c>
      <c r="N6" s="132"/>
      <c r="O6" s="132"/>
      <c r="P6" s="132" t="s">
        <v>42</v>
      </c>
      <c r="Q6" s="132"/>
      <c r="R6" s="132"/>
      <c r="S6" s="132" t="s">
        <v>46</v>
      </c>
      <c r="T6" s="132"/>
      <c r="U6" s="132"/>
      <c r="V6" s="132" t="s">
        <v>47</v>
      </c>
      <c r="W6" s="132"/>
      <c r="X6" s="132"/>
    </row>
    <row r="7" spans="1:24" s="97" customFormat="1" ht="31.5" customHeight="1">
      <c r="A7" s="124" t="s">
        <v>18</v>
      </c>
      <c r="B7" s="32">
        <v>51</v>
      </c>
      <c r="C7" s="124" t="s">
        <v>70</v>
      </c>
      <c r="D7" s="163"/>
      <c r="E7" s="163"/>
      <c r="F7" s="163"/>
      <c r="G7" s="163"/>
      <c r="H7" s="163"/>
      <c r="I7" s="163"/>
      <c r="J7" s="91">
        <v>1</v>
      </c>
      <c r="K7" s="92">
        <f>TRUNC(J7*F7,2)</f>
        <v>0</v>
      </c>
      <c r="L7" s="93">
        <f>TRUNC(K7*G7)+0.46</f>
        <v>0.46</v>
      </c>
      <c r="M7" s="91">
        <v>0</v>
      </c>
      <c r="N7" s="92">
        <f t="shared" ref="N7" si="0">TRUNC(M7*F7,2)</f>
        <v>0</v>
      </c>
      <c r="O7" s="93">
        <f>TRUNC(N7*G7)+0</f>
        <v>0</v>
      </c>
      <c r="P7" s="94">
        <v>0</v>
      </c>
      <c r="Q7" s="92">
        <f>TRUNC(P7*F7,2)</f>
        <v>0</v>
      </c>
      <c r="R7" s="93">
        <f>TRUNC(Q7*G7)</f>
        <v>0</v>
      </c>
      <c r="S7" s="93"/>
      <c r="T7" s="93"/>
      <c r="U7" s="93">
        <f>TRUNC(G7*T7)+0</f>
        <v>0</v>
      </c>
      <c r="V7" s="91">
        <v>0</v>
      </c>
      <c r="W7" s="92">
        <f>TRUNC(V7*F7,2)</f>
        <v>0</v>
      </c>
      <c r="X7" s="93">
        <f>TRUNC(W7*G7)+0</f>
        <v>0</v>
      </c>
    </row>
    <row r="8" spans="1:24" ht="25">
      <c r="A8" s="36" t="s">
        <v>19</v>
      </c>
      <c r="B8" s="32">
        <v>98524</v>
      </c>
      <c r="C8" s="36" t="s">
        <v>73</v>
      </c>
      <c r="D8" s="163"/>
      <c r="E8" s="163"/>
      <c r="F8" s="163"/>
      <c r="G8" s="163"/>
      <c r="H8" s="163"/>
      <c r="I8" s="163"/>
      <c r="J8" s="13">
        <v>1</v>
      </c>
      <c r="K8" s="14">
        <f>TRUNC(J8*F8,2)</f>
        <v>0</v>
      </c>
      <c r="L8" s="15">
        <f>TRUNC(K8*G8)+0.41</f>
        <v>0.41</v>
      </c>
      <c r="M8" s="13"/>
      <c r="N8" s="14"/>
      <c r="O8" s="15"/>
      <c r="P8" s="13"/>
      <c r="Q8" s="14"/>
      <c r="R8" s="15"/>
      <c r="S8" s="15"/>
      <c r="T8" s="15"/>
      <c r="U8" s="93">
        <f>TRUNC(G8*T8)+0</f>
        <v>0</v>
      </c>
      <c r="V8" s="13"/>
      <c r="W8" s="92">
        <f>TRUNC(V8*F8,2)</f>
        <v>0</v>
      </c>
      <c r="X8" s="93">
        <f>TRUNC(W8*G8)+0</f>
        <v>0</v>
      </c>
    </row>
    <row r="9" spans="1:24" ht="20.149999999999999" customHeight="1">
      <c r="A9" s="123">
        <v>2</v>
      </c>
      <c r="B9" s="157" t="s">
        <v>50</v>
      </c>
      <c r="C9" s="157"/>
      <c r="D9" s="157"/>
      <c r="E9" s="157"/>
      <c r="F9" s="157"/>
      <c r="G9" s="157"/>
      <c r="H9" s="157"/>
      <c r="I9" s="15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37.5">
      <c r="A10" s="36" t="s">
        <v>20</v>
      </c>
      <c r="B10" s="40">
        <v>99059</v>
      </c>
      <c r="C10" s="41" t="s">
        <v>75</v>
      </c>
      <c r="D10" s="156"/>
      <c r="E10" s="156"/>
      <c r="F10" s="156"/>
      <c r="G10" s="156"/>
      <c r="H10" s="156"/>
      <c r="I10" s="156"/>
      <c r="J10" s="13">
        <v>1</v>
      </c>
      <c r="K10" s="14">
        <f>TRUNC(J10*F10,2)</f>
        <v>0</v>
      </c>
      <c r="L10" s="15">
        <f>TRUNC(K10*G10)+0.12</f>
        <v>0.12</v>
      </c>
      <c r="M10" s="13"/>
      <c r="N10" s="14"/>
      <c r="O10" s="15"/>
      <c r="P10" s="13"/>
      <c r="Q10" s="14"/>
      <c r="R10" s="15"/>
      <c r="S10" s="15"/>
      <c r="T10" s="15"/>
      <c r="U10" s="93">
        <f t="shared" ref="U10:U73" si="1">TRUNC(G10*T10)+0</f>
        <v>0</v>
      </c>
      <c r="V10" s="13"/>
      <c r="W10" s="92">
        <f t="shared" ref="W10:W12" si="2">TRUNC(V10*F10,2)</f>
        <v>0</v>
      </c>
      <c r="X10" s="93">
        <f t="shared" ref="X10:X12" si="3">TRUNC(W10*G10)+0</f>
        <v>0</v>
      </c>
    </row>
    <row r="11" spans="1:24" ht="38.25" customHeight="1">
      <c r="A11" s="124" t="s">
        <v>21</v>
      </c>
      <c r="B11" s="40">
        <v>93358</v>
      </c>
      <c r="C11" s="41" t="s">
        <v>77</v>
      </c>
      <c r="D11" s="156"/>
      <c r="E11" s="156"/>
      <c r="F11" s="156"/>
      <c r="G11" s="156"/>
      <c r="H11" s="156"/>
      <c r="I11" s="156"/>
      <c r="J11" s="13">
        <v>1</v>
      </c>
      <c r="K11" s="14">
        <f>TRUNC(J11*F11,2)</f>
        <v>0</v>
      </c>
      <c r="L11" s="15">
        <f>TRUNC(K11*G11)+0</f>
        <v>0</v>
      </c>
      <c r="M11" s="13"/>
      <c r="N11" s="14"/>
      <c r="O11" s="15"/>
      <c r="P11" s="13"/>
      <c r="Q11" s="14"/>
      <c r="R11" s="15"/>
      <c r="S11" s="15"/>
      <c r="T11" s="15"/>
      <c r="U11" s="93">
        <f t="shared" si="1"/>
        <v>0</v>
      </c>
      <c r="V11" s="13"/>
      <c r="W11" s="92">
        <f t="shared" si="2"/>
        <v>0</v>
      </c>
      <c r="X11" s="93">
        <f t="shared" si="3"/>
        <v>0</v>
      </c>
    </row>
    <row r="12" spans="1:24" ht="25">
      <c r="A12" s="124" t="s">
        <v>22</v>
      </c>
      <c r="B12" s="40">
        <v>94319</v>
      </c>
      <c r="C12" s="41" t="s">
        <v>79</v>
      </c>
      <c r="D12" s="156"/>
      <c r="E12" s="156"/>
      <c r="F12" s="156"/>
      <c r="G12" s="156"/>
      <c r="H12" s="156"/>
      <c r="I12" s="156"/>
      <c r="J12" s="13">
        <v>1</v>
      </c>
      <c r="K12" s="14">
        <f>TRUNC(J12*F12,2)</f>
        <v>0</v>
      </c>
      <c r="L12" s="15">
        <f>TRUNC(K12*G12)+0.2</f>
        <v>0.2</v>
      </c>
      <c r="M12" s="13"/>
      <c r="N12" s="14"/>
      <c r="O12" s="15"/>
      <c r="P12" s="13"/>
      <c r="Q12" s="14"/>
      <c r="R12" s="15"/>
      <c r="S12" s="15"/>
      <c r="T12" s="15"/>
      <c r="U12" s="93">
        <f t="shared" si="1"/>
        <v>0</v>
      </c>
      <c r="V12" s="13"/>
      <c r="W12" s="92">
        <f t="shared" si="2"/>
        <v>0</v>
      </c>
      <c r="X12" s="93">
        <f t="shared" si="3"/>
        <v>0</v>
      </c>
    </row>
    <row r="13" spans="1:24" ht="20.149999999999999" customHeight="1">
      <c r="A13" s="123">
        <v>3</v>
      </c>
      <c r="B13" s="157" t="s">
        <v>80</v>
      </c>
      <c r="C13" s="157"/>
      <c r="D13" s="157"/>
      <c r="E13" s="157"/>
      <c r="F13" s="157"/>
      <c r="G13" s="157"/>
      <c r="H13" s="157"/>
      <c r="I13" s="15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0.149999999999999" customHeight="1">
      <c r="A14" s="123" t="s">
        <v>23</v>
      </c>
      <c r="B14" s="157" t="s">
        <v>81</v>
      </c>
      <c r="C14" s="157"/>
      <c r="D14" s="157"/>
      <c r="E14" s="157"/>
      <c r="F14" s="157"/>
      <c r="G14" s="157"/>
      <c r="H14" s="157"/>
      <c r="I14" s="15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0.149999999999999" customHeight="1">
      <c r="A15" s="123" t="s">
        <v>83</v>
      </c>
      <c r="B15" s="157" t="s">
        <v>82</v>
      </c>
      <c r="C15" s="157"/>
      <c r="D15" s="157"/>
      <c r="E15" s="157"/>
      <c r="F15" s="157"/>
      <c r="G15" s="157"/>
      <c r="H15" s="157"/>
      <c r="I15" s="15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37.5">
      <c r="A16" s="124" t="s">
        <v>84</v>
      </c>
      <c r="B16" s="40">
        <v>102486</v>
      </c>
      <c r="C16" s="41" t="s">
        <v>85</v>
      </c>
      <c r="D16" s="156"/>
      <c r="E16" s="156"/>
      <c r="F16" s="156"/>
      <c r="G16" s="156"/>
      <c r="H16" s="156"/>
      <c r="I16" s="156"/>
      <c r="J16" s="13">
        <v>0.8</v>
      </c>
      <c r="K16" s="14">
        <f t="shared" ref="K16:K21" si="4">TRUNC(J16*F16,2)</f>
        <v>0</v>
      </c>
      <c r="L16" s="15">
        <f>TRUNC(K16*G16)+0.1</f>
        <v>0.1</v>
      </c>
      <c r="M16" s="13">
        <v>0.2</v>
      </c>
      <c r="N16" s="14">
        <f>TRUNC(M16*F16,2)+0.01</f>
        <v>0.01</v>
      </c>
      <c r="O16" s="15">
        <f>TRUNC(N16*G16)+1.78</f>
        <v>1.78</v>
      </c>
      <c r="P16" s="13"/>
      <c r="Q16" s="14"/>
      <c r="R16" s="15"/>
      <c r="S16" s="15"/>
      <c r="T16" s="15"/>
      <c r="U16" s="93">
        <f t="shared" si="1"/>
        <v>0</v>
      </c>
      <c r="V16" s="13"/>
      <c r="W16" s="92">
        <f t="shared" ref="W16:W21" si="5">TRUNC(V16*F16,2)</f>
        <v>0</v>
      </c>
      <c r="X16" s="93">
        <f t="shared" ref="X16:X21" si="6">TRUNC(W16*G16)+0</f>
        <v>0</v>
      </c>
    </row>
    <row r="17" spans="1:24" ht="37.5">
      <c r="A17" s="124" t="s">
        <v>92</v>
      </c>
      <c r="B17" s="40">
        <v>94965</v>
      </c>
      <c r="C17" s="41" t="s">
        <v>86</v>
      </c>
      <c r="D17" s="156"/>
      <c r="E17" s="156"/>
      <c r="F17" s="156"/>
      <c r="G17" s="156"/>
      <c r="H17" s="156"/>
      <c r="I17" s="156"/>
      <c r="J17" s="13">
        <v>0.8</v>
      </c>
      <c r="K17" s="14">
        <f t="shared" si="4"/>
        <v>0</v>
      </c>
      <c r="L17" s="15">
        <f>TRUNC(K17*G17)+0.05</f>
        <v>0.05</v>
      </c>
      <c r="M17" s="13">
        <v>0.2</v>
      </c>
      <c r="N17" s="14">
        <f t="shared" ref="N17:N21" si="7">TRUNC(M17*F17,2)</f>
        <v>0</v>
      </c>
      <c r="O17" s="15">
        <f>TRUNC(N17*G17)+0.52</f>
        <v>0.52</v>
      </c>
      <c r="P17" s="13"/>
      <c r="Q17" s="14"/>
      <c r="R17" s="15"/>
      <c r="S17" s="15"/>
      <c r="T17" s="15"/>
      <c r="U17" s="93">
        <f t="shared" si="1"/>
        <v>0</v>
      </c>
      <c r="V17" s="13"/>
      <c r="W17" s="92">
        <f t="shared" si="5"/>
        <v>0</v>
      </c>
      <c r="X17" s="93">
        <f t="shared" si="6"/>
        <v>0</v>
      </c>
    </row>
    <row r="18" spans="1:24" ht="25">
      <c r="A18" s="124" t="s">
        <v>93</v>
      </c>
      <c r="B18" s="40">
        <v>96544</v>
      </c>
      <c r="C18" s="41" t="s">
        <v>87</v>
      </c>
      <c r="D18" s="156"/>
      <c r="E18" s="156"/>
      <c r="F18" s="156"/>
      <c r="G18" s="156"/>
      <c r="H18" s="156"/>
      <c r="I18" s="156"/>
      <c r="J18" s="13">
        <v>0.8</v>
      </c>
      <c r="K18" s="14">
        <f t="shared" si="4"/>
        <v>0</v>
      </c>
      <c r="L18" s="15">
        <f>TRUNC(K18*G18)+0.34</f>
        <v>0.34</v>
      </c>
      <c r="M18" s="13">
        <v>0.2</v>
      </c>
      <c r="N18" s="14">
        <f t="shared" si="7"/>
        <v>0</v>
      </c>
      <c r="O18" s="15">
        <f>TRUNC(N18*G18)+0.09</f>
        <v>0.09</v>
      </c>
      <c r="P18" s="13"/>
      <c r="Q18" s="14"/>
      <c r="R18" s="15"/>
      <c r="S18" s="15"/>
      <c r="T18" s="15"/>
      <c r="U18" s="93">
        <f t="shared" si="1"/>
        <v>0</v>
      </c>
      <c r="V18" s="13"/>
      <c r="W18" s="92">
        <f t="shared" si="5"/>
        <v>0</v>
      </c>
      <c r="X18" s="93">
        <f t="shared" si="6"/>
        <v>0</v>
      </c>
    </row>
    <row r="19" spans="1:24" ht="25">
      <c r="A19" s="124" t="s">
        <v>94</v>
      </c>
      <c r="B19" s="37">
        <v>98545</v>
      </c>
      <c r="C19" s="41" t="s">
        <v>89</v>
      </c>
      <c r="D19" s="156"/>
      <c r="E19" s="156"/>
      <c r="F19" s="156"/>
      <c r="G19" s="156"/>
      <c r="H19" s="156"/>
      <c r="I19" s="156"/>
      <c r="J19" s="13">
        <v>0.8</v>
      </c>
      <c r="K19" s="82">
        <f t="shared" si="4"/>
        <v>0</v>
      </c>
      <c r="L19" s="15">
        <f>TRUNC(K19*G19)+0.3</f>
        <v>0.3</v>
      </c>
      <c r="M19" s="13">
        <v>0.2</v>
      </c>
      <c r="N19" s="14">
        <f t="shared" si="7"/>
        <v>0</v>
      </c>
      <c r="O19" s="15">
        <f>TRUNC(N19*G19)+0.32</f>
        <v>0.32</v>
      </c>
      <c r="P19" s="13"/>
      <c r="Q19" s="14"/>
      <c r="R19" s="15"/>
      <c r="S19" s="15"/>
      <c r="T19" s="15"/>
      <c r="U19" s="93">
        <f t="shared" si="1"/>
        <v>0</v>
      </c>
      <c r="V19" s="13"/>
      <c r="W19" s="92">
        <f t="shared" si="5"/>
        <v>0</v>
      </c>
      <c r="X19" s="93">
        <f t="shared" si="6"/>
        <v>0</v>
      </c>
    </row>
    <row r="20" spans="1:24" ht="25">
      <c r="A20" s="124" t="s">
        <v>95</v>
      </c>
      <c r="B20" s="37">
        <v>96543</v>
      </c>
      <c r="C20" s="41" t="s">
        <v>90</v>
      </c>
      <c r="D20" s="156"/>
      <c r="E20" s="156"/>
      <c r="F20" s="156"/>
      <c r="G20" s="156"/>
      <c r="H20" s="156"/>
      <c r="I20" s="156"/>
      <c r="J20" s="13">
        <v>0.8</v>
      </c>
      <c r="K20" s="14">
        <f t="shared" si="4"/>
        <v>0</v>
      </c>
      <c r="L20" s="15">
        <f>TRUNC(K20*G20)+0.94</f>
        <v>0.94</v>
      </c>
      <c r="M20" s="13">
        <v>0.2</v>
      </c>
      <c r="N20" s="14">
        <f t="shared" si="7"/>
        <v>0</v>
      </c>
      <c r="O20" s="15">
        <f>TRUNC(N20*G20)+0.73</f>
        <v>0.73</v>
      </c>
      <c r="P20" s="13"/>
      <c r="Q20" s="14"/>
      <c r="R20" s="15"/>
      <c r="S20" s="15"/>
      <c r="T20" s="15"/>
      <c r="U20" s="93">
        <f t="shared" si="1"/>
        <v>0</v>
      </c>
      <c r="V20" s="13"/>
      <c r="W20" s="92">
        <f t="shared" si="5"/>
        <v>0</v>
      </c>
      <c r="X20" s="93">
        <f t="shared" si="6"/>
        <v>0</v>
      </c>
    </row>
    <row r="21" spans="1:24" ht="25">
      <c r="A21" s="124" t="s">
        <v>96</v>
      </c>
      <c r="B21" s="40">
        <v>98557</v>
      </c>
      <c r="C21" s="41" t="s">
        <v>91</v>
      </c>
      <c r="D21" s="156"/>
      <c r="E21" s="156"/>
      <c r="F21" s="156"/>
      <c r="G21" s="156"/>
      <c r="H21" s="156"/>
      <c r="I21" s="156"/>
      <c r="J21" s="13">
        <v>0.2</v>
      </c>
      <c r="K21" s="14">
        <f t="shared" si="4"/>
        <v>0</v>
      </c>
      <c r="L21" s="15">
        <f>TRUNC(K21*G21)+0.23</f>
        <v>0.23</v>
      </c>
      <c r="M21" s="13">
        <v>0.8</v>
      </c>
      <c r="N21" s="14">
        <f t="shared" si="7"/>
        <v>0</v>
      </c>
      <c r="O21" s="15">
        <f>TRUNC(N21*G21)+0.31</f>
        <v>0.31</v>
      </c>
      <c r="P21" s="13"/>
      <c r="Q21" s="14"/>
      <c r="R21" s="15"/>
      <c r="S21" s="15"/>
      <c r="T21" s="15"/>
      <c r="U21" s="93">
        <f t="shared" si="1"/>
        <v>0</v>
      </c>
      <c r="V21" s="13"/>
      <c r="W21" s="92">
        <f t="shared" si="5"/>
        <v>0</v>
      </c>
      <c r="X21" s="93">
        <f t="shared" si="6"/>
        <v>0</v>
      </c>
    </row>
    <row r="22" spans="1:24" ht="20.149999999999999" customHeight="1">
      <c r="A22" s="123" t="s">
        <v>24</v>
      </c>
      <c r="B22" s="157" t="s">
        <v>98</v>
      </c>
      <c r="C22" s="157"/>
      <c r="D22" s="157"/>
      <c r="E22" s="157"/>
      <c r="F22" s="157"/>
      <c r="G22" s="157"/>
      <c r="H22" s="157"/>
      <c r="I22" s="15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0.149999999999999" customHeight="1">
      <c r="A23" s="123" t="s">
        <v>97</v>
      </c>
      <c r="B23" s="157" t="s">
        <v>54</v>
      </c>
      <c r="C23" s="157"/>
      <c r="D23" s="157"/>
      <c r="E23" s="157"/>
      <c r="F23" s="157"/>
      <c r="G23" s="157"/>
      <c r="H23" s="157"/>
      <c r="I23" s="15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37.5">
      <c r="A24" s="36" t="s">
        <v>99</v>
      </c>
      <c r="B24" s="50">
        <v>102476</v>
      </c>
      <c r="C24" s="41" t="s">
        <v>105</v>
      </c>
      <c r="D24" s="161"/>
      <c r="E24" s="161"/>
      <c r="F24" s="161"/>
      <c r="G24" s="161"/>
      <c r="H24" s="161"/>
      <c r="I24" s="161"/>
      <c r="J24" s="13">
        <v>0.5</v>
      </c>
      <c r="K24" s="14">
        <f t="shared" ref="K24:K29" si="8">TRUNC(J24*F24,2)</f>
        <v>0</v>
      </c>
      <c r="L24" s="15">
        <f>TRUNC(K24*G24)+0.73</f>
        <v>0.73</v>
      </c>
      <c r="M24" s="13">
        <v>0.4</v>
      </c>
      <c r="N24" s="14">
        <f t="shared" ref="N24:N25" si="9">TRUNC(M24*F24,2)</f>
        <v>0</v>
      </c>
      <c r="O24" s="15">
        <f>TRUNC(N24*G24)+0.78</f>
        <v>0.78</v>
      </c>
      <c r="P24" s="13">
        <v>0.1</v>
      </c>
      <c r="Q24" s="14">
        <f>TRUNC(P24*F24,2)</f>
        <v>0</v>
      </c>
      <c r="R24" s="15">
        <f>TRUNC(Q24*G24)</f>
        <v>0</v>
      </c>
      <c r="S24" s="15"/>
      <c r="T24" s="15"/>
      <c r="U24" s="93">
        <f t="shared" si="1"/>
        <v>0</v>
      </c>
      <c r="V24" s="13"/>
      <c r="W24" s="92">
        <f t="shared" ref="W24:W29" si="10">TRUNC(V24*F24,2)</f>
        <v>0</v>
      </c>
      <c r="X24" s="93">
        <f t="shared" ref="X24:X28" si="11">TRUNC(W24*G24)+0</f>
        <v>0</v>
      </c>
    </row>
    <row r="25" spans="1:24" ht="25">
      <c r="A25" s="36" t="s">
        <v>100</v>
      </c>
      <c r="B25" s="50">
        <v>96546</v>
      </c>
      <c r="C25" s="41" t="s">
        <v>106</v>
      </c>
      <c r="D25" s="161"/>
      <c r="E25" s="161"/>
      <c r="F25" s="161"/>
      <c r="G25" s="161"/>
      <c r="H25" s="161"/>
      <c r="I25" s="161"/>
      <c r="J25" s="13">
        <v>0.5</v>
      </c>
      <c r="K25" s="14">
        <f t="shared" si="8"/>
        <v>0</v>
      </c>
      <c r="L25" s="15">
        <f>TRUNC(K25*G25)+0.34</f>
        <v>0.34</v>
      </c>
      <c r="M25" s="13">
        <v>0.4</v>
      </c>
      <c r="N25" s="14">
        <f t="shared" si="9"/>
        <v>0</v>
      </c>
      <c r="O25" s="15">
        <f>TRUNC(N25*G25)+0.47</f>
        <v>0.47</v>
      </c>
      <c r="P25" s="13">
        <v>0.1</v>
      </c>
      <c r="Q25" s="14">
        <f t="shared" ref="Q25:Q29" si="12">TRUNC(P25*F25,2)</f>
        <v>0</v>
      </c>
      <c r="R25" s="15">
        <f t="shared" ref="R25:R29" si="13">TRUNC(Q25*G25)</f>
        <v>0</v>
      </c>
      <c r="S25" s="15"/>
      <c r="T25" s="15"/>
      <c r="U25" s="93">
        <f t="shared" si="1"/>
        <v>0</v>
      </c>
      <c r="V25" s="13"/>
      <c r="W25" s="92">
        <f t="shared" si="10"/>
        <v>0</v>
      </c>
      <c r="X25" s="93">
        <f t="shared" si="11"/>
        <v>0</v>
      </c>
    </row>
    <row r="26" spans="1:24" ht="25">
      <c r="A26" s="36" t="s">
        <v>101</v>
      </c>
      <c r="B26" s="50">
        <v>98543</v>
      </c>
      <c r="C26" s="41" t="s">
        <v>107</v>
      </c>
      <c r="D26" s="161"/>
      <c r="E26" s="161"/>
      <c r="F26" s="161"/>
      <c r="G26" s="161"/>
      <c r="H26" s="161"/>
      <c r="I26" s="161"/>
      <c r="J26" s="13">
        <v>1</v>
      </c>
      <c r="K26" s="14">
        <f t="shared" si="8"/>
        <v>0</v>
      </c>
      <c r="L26" s="15">
        <f>TRUNC(K26*G26)+0.95</f>
        <v>0.95</v>
      </c>
      <c r="M26" s="13"/>
      <c r="N26" s="14"/>
      <c r="O26" s="15"/>
      <c r="P26" s="13"/>
      <c r="Q26" s="14">
        <f t="shared" si="12"/>
        <v>0</v>
      </c>
      <c r="R26" s="15">
        <f t="shared" si="13"/>
        <v>0</v>
      </c>
      <c r="S26" s="15"/>
      <c r="T26" s="15"/>
      <c r="U26" s="93">
        <f t="shared" si="1"/>
        <v>0</v>
      </c>
      <c r="V26" s="13"/>
      <c r="W26" s="92">
        <f t="shared" si="10"/>
        <v>0</v>
      </c>
      <c r="X26" s="93">
        <f t="shared" si="11"/>
        <v>0</v>
      </c>
    </row>
    <row r="27" spans="1:24" ht="25">
      <c r="A27" s="36" t="s">
        <v>102</v>
      </c>
      <c r="B27" s="50">
        <v>96545</v>
      </c>
      <c r="C27" s="41" t="s">
        <v>108</v>
      </c>
      <c r="D27" s="161"/>
      <c r="E27" s="161"/>
      <c r="F27" s="161"/>
      <c r="G27" s="161"/>
      <c r="H27" s="161"/>
      <c r="I27" s="161"/>
      <c r="J27" s="13">
        <v>1</v>
      </c>
      <c r="K27" s="14">
        <f t="shared" si="8"/>
        <v>0</v>
      </c>
      <c r="L27" s="15">
        <f>TRUNC(K27*G27)+0.34</f>
        <v>0.34</v>
      </c>
      <c r="M27" s="13"/>
      <c r="N27" s="14"/>
      <c r="O27" s="15"/>
      <c r="P27" s="13"/>
      <c r="Q27" s="14">
        <f t="shared" si="12"/>
        <v>0</v>
      </c>
      <c r="R27" s="15">
        <f t="shared" si="13"/>
        <v>0</v>
      </c>
      <c r="S27" s="15"/>
      <c r="T27" s="15"/>
      <c r="U27" s="93">
        <f t="shared" si="1"/>
        <v>0</v>
      </c>
      <c r="V27" s="13"/>
      <c r="W27" s="92">
        <f t="shared" si="10"/>
        <v>0</v>
      </c>
      <c r="X27" s="93">
        <f t="shared" si="11"/>
        <v>0</v>
      </c>
    </row>
    <row r="28" spans="1:24" ht="25">
      <c r="A28" s="36" t="s">
        <v>103</v>
      </c>
      <c r="B28" s="50">
        <v>96547</v>
      </c>
      <c r="C28" s="41" t="s">
        <v>109</v>
      </c>
      <c r="D28" s="161"/>
      <c r="E28" s="161"/>
      <c r="F28" s="161"/>
      <c r="G28" s="161"/>
      <c r="H28" s="161"/>
      <c r="I28" s="161"/>
      <c r="J28" s="13">
        <v>1</v>
      </c>
      <c r="K28" s="14">
        <f t="shared" si="8"/>
        <v>0</v>
      </c>
      <c r="L28" s="15">
        <f>TRUNC(K28*G28)+0.25</f>
        <v>0.25</v>
      </c>
      <c r="M28" s="13"/>
      <c r="N28" s="14"/>
      <c r="O28" s="15"/>
      <c r="P28" s="13"/>
      <c r="Q28" s="14">
        <f t="shared" si="12"/>
        <v>0</v>
      </c>
      <c r="R28" s="15">
        <f t="shared" si="13"/>
        <v>0</v>
      </c>
      <c r="S28" s="15"/>
      <c r="T28" s="15"/>
      <c r="U28" s="93">
        <f t="shared" si="1"/>
        <v>0</v>
      </c>
      <c r="V28" s="13"/>
      <c r="W28" s="92">
        <f t="shared" si="10"/>
        <v>0</v>
      </c>
      <c r="X28" s="93">
        <f t="shared" si="11"/>
        <v>0</v>
      </c>
    </row>
    <row r="29" spans="1:24" ht="37.5">
      <c r="A29" s="36" t="s">
        <v>104</v>
      </c>
      <c r="B29" s="50">
        <v>103795</v>
      </c>
      <c r="C29" s="41" t="s">
        <v>110</v>
      </c>
      <c r="D29" s="161"/>
      <c r="E29" s="161"/>
      <c r="F29" s="161"/>
      <c r="G29" s="161"/>
      <c r="H29" s="161"/>
      <c r="I29" s="161"/>
      <c r="J29" s="13">
        <v>0.5</v>
      </c>
      <c r="K29" s="14">
        <f t="shared" si="8"/>
        <v>0</v>
      </c>
      <c r="L29" s="15">
        <f>TRUNC(K29*G29)+1.32</f>
        <v>1.32</v>
      </c>
      <c r="M29" s="13">
        <v>0.5</v>
      </c>
      <c r="N29" s="14">
        <f t="shared" ref="N29" si="14">TRUNC(M29*F29,2)</f>
        <v>0</v>
      </c>
      <c r="O29" s="15">
        <f>TRUNC(N29*G29)+1.32</f>
        <v>1.32</v>
      </c>
      <c r="P29" s="13">
        <v>0.1</v>
      </c>
      <c r="Q29" s="14">
        <f t="shared" si="12"/>
        <v>0</v>
      </c>
      <c r="R29" s="15">
        <f t="shared" si="13"/>
        <v>0</v>
      </c>
      <c r="S29" s="15"/>
      <c r="T29" s="15">
        <v>-22.76</v>
      </c>
      <c r="U29" s="93">
        <f t="shared" si="1"/>
        <v>0</v>
      </c>
      <c r="V29" s="116">
        <v>-0.1</v>
      </c>
      <c r="W29" s="117">
        <f t="shared" si="10"/>
        <v>0</v>
      </c>
      <c r="X29" s="118"/>
    </row>
    <row r="30" spans="1:24" ht="20.149999999999999" customHeight="1">
      <c r="A30" s="123" t="s">
        <v>111</v>
      </c>
      <c r="B30" s="157" t="s">
        <v>55</v>
      </c>
      <c r="C30" s="157"/>
      <c r="D30" s="157"/>
      <c r="E30" s="157"/>
      <c r="F30" s="157"/>
      <c r="G30" s="157"/>
      <c r="H30" s="157"/>
      <c r="I30" s="15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37.5">
      <c r="A31" s="36" t="s">
        <v>112</v>
      </c>
      <c r="B31" s="40">
        <v>102476</v>
      </c>
      <c r="C31" s="41" t="s">
        <v>119</v>
      </c>
      <c r="D31" s="156"/>
      <c r="E31" s="156"/>
      <c r="F31" s="156"/>
      <c r="G31" s="156"/>
      <c r="H31" s="156"/>
      <c r="I31" s="156"/>
      <c r="J31" s="13"/>
      <c r="K31" s="14"/>
      <c r="L31" s="15"/>
      <c r="M31" s="13">
        <v>0.4</v>
      </c>
      <c r="N31" s="14">
        <f t="shared" ref="N31:N37" si="15">TRUNC(M31*F31,2)</f>
        <v>0</v>
      </c>
      <c r="O31" s="15">
        <f>TRUNC(N31*G31)+3.13</f>
        <v>3.13</v>
      </c>
      <c r="P31" s="13">
        <v>0.6</v>
      </c>
      <c r="Q31" s="14">
        <f>TRUNC(P31*F31,2)</f>
        <v>0</v>
      </c>
      <c r="R31" s="15">
        <f>TRUNC(Q31*G31)</f>
        <v>0</v>
      </c>
      <c r="S31" s="15"/>
      <c r="T31" s="15"/>
      <c r="U31" s="93">
        <f t="shared" si="1"/>
        <v>0</v>
      </c>
      <c r="V31" s="13"/>
      <c r="W31" s="92">
        <f t="shared" ref="W31:W37" si="16">TRUNC(V31*F31,2)</f>
        <v>0</v>
      </c>
      <c r="X31" s="93">
        <f t="shared" ref="X31:X37" si="17">TRUNC(W31*G31)+0</f>
        <v>0</v>
      </c>
    </row>
    <row r="32" spans="1:24" ht="37.5">
      <c r="A32" s="36" t="s">
        <v>113</v>
      </c>
      <c r="B32" s="40">
        <v>92760</v>
      </c>
      <c r="C32" s="41" t="s">
        <v>120</v>
      </c>
      <c r="D32" s="156"/>
      <c r="E32" s="156"/>
      <c r="F32" s="156"/>
      <c r="G32" s="156"/>
      <c r="H32" s="156"/>
      <c r="I32" s="156"/>
      <c r="J32" s="13"/>
      <c r="K32" s="14"/>
      <c r="L32" s="15"/>
      <c r="M32" s="13">
        <v>0.8</v>
      </c>
      <c r="N32" s="14">
        <f t="shared" si="15"/>
        <v>0</v>
      </c>
      <c r="O32" s="15">
        <f>TRUNC(N32*G32)+0.82</f>
        <v>0.82</v>
      </c>
      <c r="P32" s="13">
        <v>0.2</v>
      </c>
      <c r="Q32" s="14">
        <f t="shared" ref="Q32:Q36" si="18">TRUNC(P32*F32,2)</f>
        <v>0</v>
      </c>
      <c r="R32" s="15">
        <f t="shared" ref="R32:R36" si="19">TRUNC(Q32*G32)</f>
        <v>0</v>
      </c>
      <c r="S32" s="15"/>
      <c r="T32" s="15"/>
      <c r="U32" s="93">
        <f t="shared" si="1"/>
        <v>0</v>
      </c>
      <c r="V32" s="13"/>
      <c r="W32" s="92">
        <f t="shared" si="16"/>
        <v>0</v>
      </c>
      <c r="X32" s="93">
        <f t="shared" si="17"/>
        <v>0</v>
      </c>
    </row>
    <row r="33" spans="1:24" ht="37.5">
      <c r="A33" s="36" t="s">
        <v>114</v>
      </c>
      <c r="B33" s="40">
        <v>92761</v>
      </c>
      <c r="C33" s="41" t="s">
        <v>121</v>
      </c>
      <c r="D33" s="156"/>
      <c r="E33" s="156"/>
      <c r="F33" s="156"/>
      <c r="G33" s="156"/>
      <c r="H33" s="156"/>
      <c r="I33" s="156"/>
      <c r="J33" s="13"/>
      <c r="K33" s="14"/>
      <c r="L33" s="15"/>
      <c r="M33" s="13">
        <v>0.8</v>
      </c>
      <c r="N33" s="14">
        <f t="shared" si="15"/>
        <v>0</v>
      </c>
      <c r="O33" s="15">
        <f>TRUNC(N33*G33)+0.32</f>
        <v>0.32</v>
      </c>
      <c r="P33" s="13">
        <v>0.2</v>
      </c>
      <c r="Q33" s="14">
        <f t="shared" si="18"/>
        <v>0</v>
      </c>
      <c r="R33" s="15">
        <f t="shared" si="19"/>
        <v>0</v>
      </c>
      <c r="S33" s="15"/>
      <c r="T33" s="15"/>
      <c r="U33" s="93">
        <f t="shared" si="1"/>
        <v>0</v>
      </c>
      <c r="V33" s="13"/>
      <c r="W33" s="92">
        <f t="shared" si="16"/>
        <v>0</v>
      </c>
      <c r="X33" s="93">
        <f t="shared" si="17"/>
        <v>0</v>
      </c>
    </row>
    <row r="34" spans="1:24" ht="37.5">
      <c r="A34" s="36" t="s">
        <v>115</v>
      </c>
      <c r="B34" s="40">
        <v>92762</v>
      </c>
      <c r="C34" s="41" t="s">
        <v>122</v>
      </c>
      <c r="D34" s="156"/>
      <c r="E34" s="156"/>
      <c r="F34" s="156"/>
      <c r="G34" s="156"/>
      <c r="H34" s="156"/>
      <c r="I34" s="156"/>
      <c r="J34" s="13"/>
      <c r="K34" s="14"/>
      <c r="L34" s="15"/>
      <c r="M34" s="13">
        <v>0.8</v>
      </c>
      <c r="N34" s="14">
        <f t="shared" si="15"/>
        <v>0</v>
      </c>
      <c r="O34" s="15">
        <f>TRUNC(N34*G34)+0.23</f>
        <v>0.23</v>
      </c>
      <c r="P34" s="13">
        <v>0.2</v>
      </c>
      <c r="Q34" s="14">
        <f t="shared" si="18"/>
        <v>0</v>
      </c>
      <c r="R34" s="15">
        <f t="shared" si="19"/>
        <v>0</v>
      </c>
      <c r="S34" s="15"/>
      <c r="T34" s="15"/>
      <c r="U34" s="93">
        <f t="shared" si="1"/>
        <v>0</v>
      </c>
      <c r="V34" s="13"/>
      <c r="W34" s="92">
        <f t="shared" si="16"/>
        <v>0</v>
      </c>
      <c r="X34" s="93">
        <f t="shared" si="17"/>
        <v>0</v>
      </c>
    </row>
    <row r="35" spans="1:24" ht="37.5">
      <c r="A35" s="36" t="s">
        <v>116</v>
      </c>
      <c r="B35" s="40">
        <v>92763</v>
      </c>
      <c r="C35" s="41" t="s">
        <v>123</v>
      </c>
      <c r="D35" s="156"/>
      <c r="E35" s="156"/>
      <c r="F35" s="156"/>
      <c r="G35" s="156"/>
      <c r="H35" s="156"/>
      <c r="I35" s="156"/>
      <c r="J35" s="13"/>
      <c r="K35" s="14"/>
      <c r="L35" s="15"/>
      <c r="M35" s="13">
        <v>0.8</v>
      </c>
      <c r="N35" s="14">
        <f t="shared" si="15"/>
        <v>0</v>
      </c>
      <c r="O35" s="15">
        <f>TRUNC(N35*G35)+0.11</f>
        <v>0.11</v>
      </c>
      <c r="P35" s="13">
        <v>0.2</v>
      </c>
      <c r="Q35" s="14">
        <f t="shared" si="18"/>
        <v>0</v>
      </c>
      <c r="R35" s="15">
        <f t="shared" si="19"/>
        <v>0</v>
      </c>
      <c r="S35" s="15"/>
      <c r="T35" s="15"/>
      <c r="U35" s="93">
        <f t="shared" si="1"/>
        <v>0</v>
      </c>
      <c r="V35" s="13"/>
      <c r="W35" s="92">
        <f t="shared" si="16"/>
        <v>0</v>
      </c>
      <c r="X35" s="93">
        <f t="shared" si="17"/>
        <v>0</v>
      </c>
    </row>
    <row r="36" spans="1:24" ht="37.5">
      <c r="A36" s="36" t="s">
        <v>117</v>
      </c>
      <c r="B36" s="40">
        <v>92759</v>
      </c>
      <c r="C36" s="41" t="s">
        <v>124</v>
      </c>
      <c r="D36" s="156"/>
      <c r="E36" s="156"/>
      <c r="F36" s="156"/>
      <c r="G36" s="156"/>
      <c r="H36" s="156"/>
      <c r="I36" s="156"/>
      <c r="J36" s="13"/>
      <c r="K36" s="14"/>
      <c r="L36" s="15"/>
      <c r="M36" s="13">
        <v>0.8</v>
      </c>
      <c r="N36" s="14">
        <f t="shared" si="15"/>
        <v>0</v>
      </c>
      <c r="O36" s="15">
        <f>TRUNC(N36*G36)+0.85</f>
        <v>0.85</v>
      </c>
      <c r="P36" s="13">
        <v>0.2</v>
      </c>
      <c r="Q36" s="14">
        <f t="shared" si="18"/>
        <v>0</v>
      </c>
      <c r="R36" s="15">
        <f t="shared" si="19"/>
        <v>0</v>
      </c>
      <c r="S36" s="15"/>
      <c r="T36" s="15"/>
      <c r="U36" s="93">
        <f t="shared" si="1"/>
        <v>0</v>
      </c>
      <c r="V36" s="13"/>
      <c r="W36" s="92">
        <f t="shared" si="16"/>
        <v>0</v>
      </c>
      <c r="X36" s="93">
        <f t="shared" si="17"/>
        <v>0</v>
      </c>
    </row>
    <row r="37" spans="1:24" ht="25">
      <c r="A37" s="36" t="s">
        <v>118</v>
      </c>
      <c r="B37" s="40">
        <v>92265</v>
      </c>
      <c r="C37" s="41" t="s">
        <v>125</v>
      </c>
      <c r="D37" s="156"/>
      <c r="E37" s="156"/>
      <c r="F37" s="156"/>
      <c r="G37" s="156"/>
      <c r="H37" s="156"/>
      <c r="I37" s="156"/>
      <c r="J37" s="13"/>
      <c r="K37" s="14"/>
      <c r="L37" s="15"/>
      <c r="M37" s="13">
        <v>1</v>
      </c>
      <c r="N37" s="14">
        <f t="shared" si="15"/>
        <v>0</v>
      </c>
      <c r="O37" s="15">
        <f>TRUNC(N37*G37)+0.11</f>
        <v>0.11</v>
      </c>
      <c r="P37" s="13"/>
      <c r="Q37" s="14"/>
      <c r="R37" s="15"/>
      <c r="S37" s="15"/>
      <c r="T37" s="15"/>
      <c r="U37" s="93">
        <f t="shared" si="1"/>
        <v>0</v>
      </c>
      <c r="V37" s="13"/>
      <c r="W37" s="92">
        <f t="shared" si="16"/>
        <v>0</v>
      </c>
      <c r="X37" s="93">
        <f t="shared" si="17"/>
        <v>0</v>
      </c>
    </row>
    <row r="38" spans="1:24" ht="20.149999999999999" customHeight="1">
      <c r="A38" s="123" t="s">
        <v>126</v>
      </c>
      <c r="B38" s="157" t="s">
        <v>128</v>
      </c>
      <c r="C38" s="157"/>
      <c r="D38" s="157"/>
      <c r="E38" s="157"/>
      <c r="F38" s="157"/>
      <c r="G38" s="157"/>
      <c r="H38" s="157"/>
      <c r="I38" s="15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s="81" customFormat="1" ht="37.5">
      <c r="A39" s="127" t="s">
        <v>127</v>
      </c>
      <c r="B39" s="128">
        <v>94965</v>
      </c>
      <c r="C39" s="129" t="s">
        <v>134</v>
      </c>
      <c r="D39" s="160"/>
      <c r="E39" s="160"/>
      <c r="F39" s="160"/>
      <c r="G39" s="160"/>
      <c r="H39" s="160"/>
      <c r="I39" s="160"/>
      <c r="J39" s="78"/>
      <c r="K39" s="79"/>
      <c r="L39" s="80"/>
      <c r="M39" s="78"/>
      <c r="N39" s="79"/>
      <c r="O39" s="80"/>
      <c r="P39" s="78"/>
      <c r="Q39" s="79"/>
      <c r="R39" s="80"/>
      <c r="S39" s="80"/>
      <c r="T39" s="80"/>
      <c r="U39" s="93">
        <f t="shared" si="1"/>
        <v>0</v>
      </c>
      <c r="V39" s="115">
        <v>0</v>
      </c>
      <c r="W39" s="79">
        <f t="shared" ref="W39:W44" si="20">TRUNC(V39*F39,2)</f>
        <v>0</v>
      </c>
      <c r="X39" s="80">
        <f t="shared" ref="X39:X44" si="21">TRUNC(W39*G39)+0</f>
        <v>0</v>
      </c>
    </row>
    <row r="40" spans="1:24" s="81" customFormat="1" ht="25">
      <c r="A40" s="127" t="s">
        <v>129</v>
      </c>
      <c r="B40" s="128">
        <v>92267</v>
      </c>
      <c r="C40" s="129" t="s">
        <v>135</v>
      </c>
      <c r="D40" s="160"/>
      <c r="E40" s="160"/>
      <c r="F40" s="160"/>
      <c r="G40" s="160"/>
      <c r="H40" s="160"/>
      <c r="I40" s="160"/>
      <c r="J40" s="78"/>
      <c r="K40" s="79"/>
      <c r="L40" s="80"/>
      <c r="M40" s="78"/>
      <c r="N40" s="79"/>
      <c r="O40" s="80"/>
      <c r="P40" s="78"/>
      <c r="Q40" s="79"/>
      <c r="R40" s="80"/>
      <c r="S40" s="80"/>
      <c r="T40" s="80"/>
      <c r="U40" s="93">
        <f t="shared" si="1"/>
        <v>0</v>
      </c>
      <c r="V40" s="115">
        <v>0</v>
      </c>
      <c r="W40" s="79">
        <f t="shared" si="20"/>
        <v>0</v>
      </c>
      <c r="X40" s="80">
        <f t="shared" si="21"/>
        <v>0</v>
      </c>
    </row>
    <row r="41" spans="1:24" s="81" customFormat="1" ht="37.5">
      <c r="A41" s="127" t="s">
        <v>130</v>
      </c>
      <c r="B41" s="128">
        <v>92769</v>
      </c>
      <c r="C41" s="129" t="s">
        <v>136</v>
      </c>
      <c r="D41" s="160"/>
      <c r="E41" s="160"/>
      <c r="F41" s="160"/>
      <c r="G41" s="160"/>
      <c r="H41" s="160"/>
      <c r="I41" s="160"/>
      <c r="J41" s="78"/>
      <c r="K41" s="79"/>
      <c r="L41" s="80"/>
      <c r="M41" s="78"/>
      <c r="N41" s="79"/>
      <c r="O41" s="80"/>
      <c r="P41" s="78"/>
      <c r="Q41" s="79"/>
      <c r="R41" s="80"/>
      <c r="S41" s="80"/>
      <c r="T41" s="80"/>
      <c r="U41" s="93">
        <f t="shared" si="1"/>
        <v>0</v>
      </c>
      <c r="V41" s="115">
        <v>0</v>
      </c>
      <c r="W41" s="79">
        <f t="shared" si="20"/>
        <v>0</v>
      </c>
      <c r="X41" s="80">
        <f t="shared" si="21"/>
        <v>0</v>
      </c>
    </row>
    <row r="42" spans="1:24" s="81" customFormat="1" ht="37.5">
      <c r="A42" s="127" t="s">
        <v>131</v>
      </c>
      <c r="B42" s="128">
        <v>92770</v>
      </c>
      <c r="C42" s="129" t="s">
        <v>137</v>
      </c>
      <c r="D42" s="160"/>
      <c r="E42" s="160"/>
      <c r="F42" s="160"/>
      <c r="G42" s="160"/>
      <c r="H42" s="160"/>
      <c r="I42" s="160"/>
      <c r="J42" s="78"/>
      <c r="K42" s="79"/>
      <c r="L42" s="80"/>
      <c r="M42" s="78"/>
      <c r="N42" s="79"/>
      <c r="O42" s="80"/>
      <c r="P42" s="78"/>
      <c r="Q42" s="79"/>
      <c r="R42" s="80"/>
      <c r="S42" s="80"/>
      <c r="T42" s="80"/>
      <c r="U42" s="93">
        <f t="shared" si="1"/>
        <v>0</v>
      </c>
      <c r="V42" s="115">
        <v>0</v>
      </c>
      <c r="W42" s="79">
        <f t="shared" si="20"/>
        <v>0</v>
      </c>
      <c r="X42" s="80">
        <f t="shared" si="21"/>
        <v>0</v>
      </c>
    </row>
    <row r="43" spans="1:24" s="81" customFormat="1" ht="37.5">
      <c r="A43" s="127" t="s">
        <v>132</v>
      </c>
      <c r="B43" s="128">
        <v>92771</v>
      </c>
      <c r="C43" s="129" t="s">
        <v>138</v>
      </c>
      <c r="D43" s="160"/>
      <c r="E43" s="160"/>
      <c r="F43" s="160"/>
      <c r="G43" s="160"/>
      <c r="H43" s="160"/>
      <c r="I43" s="160"/>
      <c r="J43" s="78"/>
      <c r="K43" s="79"/>
      <c r="L43" s="80"/>
      <c r="M43" s="78"/>
      <c r="N43" s="79"/>
      <c r="O43" s="80"/>
      <c r="P43" s="78"/>
      <c r="Q43" s="79"/>
      <c r="R43" s="80"/>
      <c r="S43" s="80"/>
      <c r="T43" s="80"/>
      <c r="U43" s="93">
        <f t="shared" si="1"/>
        <v>0</v>
      </c>
      <c r="V43" s="115">
        <v>0</v>
      </c>
      <c r="W43" s="79">
        <f t="shared" si="20"/>
        <v>0</v>
      </c>
      <c r="X43" s="80">
        <f t="shared" si="21"/>
        <v>0</v>
      </c>
    </row>
    <row r="44" spans="1:24" s="81" customFormat="1" ht="37.5">
      <c r="A44" s="127" t="s">
        <v>133</v>
      </c>
      <c r="B44" s="125">
        <v>92768</v>
      </c>
      <c r="C44" s="129" t="s">
        <v>139</v>
      </c>
      <c r="D44" s="160"/>
      <c r="E44" s="160"/>
      <c r="F44" s="160"/>
      <c r="G44" s="160"/>
      <c r="H44" s="160"/>
      <c r="I44" s="160"/>
      <c r="J44" s="78"/>
      <c r="K44" s="79"/>
      <c r="L44" s="80"/>
      <c r="M44" s="78"/>
      <c r="N44" s="79"/>
      <c r="O44" s="80"/>
      <c r="P44" s="78"/>
      <c r="Q44" s="79"/>
      <c r="R44" s="80"/>
      <c r="S44" s="80"/>
      <c r="T44" s="80"/>
      <c r="U44" s="93">
        <f t="shared" si="1"/>
        <v>0</v>
      </c>
      <c r="V44" s="115">
        <v>0</v>
      </c>
      <c r="W44" s="79">
        <f t="shared" si="20"/>
        <v>0</v>
      </c>
      <c r="X44" s="80">
        <f t="shared" si="21"/>
        <v>0</v>
      </c>
    </row>
    <row r="45" spans="1:24" ht="20.149999999999999" customHeight="1">
      <c r="A45" s="123">
        <v>4</v>
      </c>
      <c r="B45" s="157" t="s">
        <v>140</v>
      </c>
      <c r="C45" s="157"/>
      <c r="D45" s="157"/>
      <c r="E45" s="157"/>
      <c r="F45" s="157"/>
      <c r="G45" s="157"/>
      <c r="H45" s="157"/>
      <c r="I45" s="15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37.5">
      <c r="A46" s="124" t="s">
        <v>26</v>
      </c>
      <c r="B46" s="50">
        <v>103328</v>
      </c>
      <c r="C46" s="41" t="s">
        <v>141</v>
      </c>
      <c r="D46" s="156"/>
      <c r="E46" s="156"/>
      <c r="F46" s="156"/>
      <c r="G46" s="156"/>
      <c r="H46" s="156"/>
      <c r="I46" s="156"/>
      <c r="J46" s="13">
        <v>0.3</v>
      </c>
      <c r="K46" s="14">
        <f t="shared" ref="K46" si="22">TRUNC(J46*F46,2)</f>
        <v>0</v>
      </c>
      <c r="L46" s="15">
        <f>TRUNC(K46*G46)+1.33</f>
        <v>1.33</v>
      </c>
      <c r="M46" s="13">
        <v>0.6</v>
      </c>
      <c r="N46" s="14">
        <f t="shared" ref="N46" si="23">TRUNC(M46*F46,2)</f>
        <v>0</v>
      </c>
      <c r="O46" s="15">
        <f>TRUNC(N46*G46)+1.66</f>
        <v>1.66</v>
      </c>
      <c r="P46" s="13"/>
      <c r="Q46" s="14"/>
      <c r="R46" s="15"/>
      <c r="S46" s="15"/>
      <c r="T46" s="15">
        <v>60.94</v>
      </c>
      <c r="U46" s="93">
        <f t="shared" si="1"/>
        <v>0</v>
      </c>
      <c r="V46" s="13">
        <v>0.1</v>
      </c>
      <c r="W46" s="92">
        <f t="shared" ref="W46" si="24">TRUNC(V46*F46,2)</f>
        <v>0</v>
      </c>
      <c r="X46" s="93">
        <v>0</v>
      </c>
    </row>
    <row r="47" spans="1:24" ht="20.149999999999999" customHeight="1">
      <c r="A47" s="123">
        <v>5</v>
      </c>
      <c r="B47" s="157" t="s">
        <v>142</v>
      </c>
      <c r="C47" s="157"/>
      <c r="D47" s="157"/>
      <c r="E47" s="157"/>
      <c r="F47" s="157"/>
      <c r="G47" s="157"/>
      <c r="H47" s="157"/>
      <c r="I47" s="15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50">
      <c r="A48" s="36" t="s">
        <v>27</v>
      </c>
      <c r="B48" s="40">
        <v>87894</v>
      </c>
      <c r="C48" s="58" t="s">
        <v>143</v>
      </c>
      <c r="D48" s="156"/>
      <c r="E48" s="156"/>
      <c r="F48" s="156"/>
      <c r="G48" s="156"/>
      <c r="H48" s="156"/>
      <c r="I48" s="156"/>
      <c r="J48" s="12"/>
      <c r="K48" s="12"/>
      <c r="L48" s="12"/>
      <c r="M48" s="13"/>
      <c r="N48" s="14"/>
      <c r="O48" s="15"/>
      <c r="P48" s="13">
        <v>0.5</v>
      </c>
      <c r="Q48" s="82">
        <f t="shared" ref="Q48:Q50" si="25">TRUNC(P48*F48,2)</f>
        <v>0</v>
      </c>
      <c r="R48" s="15">
        <f t="shared" ref="R48:R50" si="26">TRUNC(Q48*G48)</f>
        <v>0</v>
      </c>
      <c r="S48" s="15"/>
      <c r="T48" s="15">
        <v>1078.6600000000001</v>
      </c>
      <c r="U48" s="93">
        <f t="shared" si="1"/>
        <v>0</v>
      </c>
      <c r="V48" s="13">
        <v>0.5</v>
      </c>
      <c r="W48" s="98">
        <f t="shared" ref="W48:W51" si="27">TRUNC(V48*F48,2)</f>
        <v>0</v>
      </c>
      <c r="X48" s="93">
        <v>0</v>
      </c>
    </row>
    <row r="49" spans="1:24" ht="50">
      <c r="A49" s="36" t="s">
        <v>51</v>
      </c>
      <c r="B49" s="40">
        <v>87548</v>
      </c>
      <c r="C49" s="58" t="s">
        <v>144</v>
      </c>
      <c r="D49" s="156"/>
      <c r="E49" s="156"/>
      <c r="F49" s="156"/>
      <c r="G49" s="156"/>
      <c r="H49" s="156"/>
      <c r="I49" s="156"/>
      <c r="J49" s="12"/>
      <c r="K49" s="12"/>
      <c r="L49" s="12"/>
      <c r="M49" s="13"/>
      <c r="N49" s="14"/>
      <c r="O49" s="15"/>
      <c r="P49" s="13">
        <v>0.5</v>
      </c>
      <c r="Q49" s="82">
        <f t="shared" si="25"/>
        <v>0</v>
      </c>
      <c r="R49" s="15">
        <f t="shared" si="26"/>
        <v>0</v>
      </c>
      <c r="S49" s="15"/>
      <c r="T49" s="15">
        <v>1078.6600000000001</v>
      </c>
      <c r="U49" s="93">
        <f t="shared" si="1"/>
        <v>0</v>
      </c>
      <c r="V49" s="13">
        <v>0.5</v>
      </c>
      <c r="W49" s="98">
        <f t="shared" si="27"/>
        <v>0</v>
      </c>
      <c r="X49" s="93">
        <v>0</v>
      </c>
    </row>
    <row r="50" spans="1:24" ht="37.5">
      <c r="A50" s="36" t="s">
        <v>52</v>
      </c>
      <c r="B50" s="40">
        <v>104817</v>
      </c>
      <c r="C50" s="58" t="s">
        <v>145</v>
      </c>
      <c r="D50" s="156"/>
      <c r="E50" s="156"/>
      <c r="F50" s="156"/>
      <c r="G50" s="156"/>
      <c r="H50" s="156"/>
      <c r="I50" s="156"/>
      <c r="J50" s="12"/>
      <c r="K50" s="12"/>
      <c r="L50" s="12"/>
      <c r="M50" s="13"/>
      <c r="N50" s="14"/>
      <c r="O50" s="15"/>
      <c r="P50" s="13"/>
      <c r="Q50" s="14">
        <f t="shared" si="25"/>
        <v>0</v>
      </c>
      <c r="R50" s="15">
        <f t="shared" si="26"/>
        <v>0</v>
      </c>
      <c r="S50" s="15"/>
      <c r="T50" s="15">
        <v>72.010000000000005</v>
      </c>
      <c r="U50" s="93">
        <f t="shared" si="1"/>
        <v>0</v>
      </c>
      <c r="V50" s="13">
        <v>1</v>
      </c>
      <c r="W50" s="92">
        <f t="shared" si="27"/>
        <v>0</v>
      </c>
      <c r="X50" s="93">
        <v>36700.129999999997</v>
      </c>
    </row>
    <row r="51" spans="1:24" ht="37.5">
      <c r="A51" s="36" t="s">
        <v>53</v>
      </c>
      <c r="B51" s="40">
        <v>87262</v>
      </c>
      <c r="C51" s="58" t="s">
        <v>146</v>
      </c>
      <c r="D51" s="156"/>
      <c r="E51" s="156"/>
      <c r="F51" s="156"/>
      <c r="G51" s="156"/>
      <c r="H51" s="156"/>
      <c r="I51" s="156"/>
      <c r="J51" s="12"/>
      <c r="K51" s="12"/>
      <c r="L51" s="12"/>
      <c r="M51" s="13"/>
      <c r="N51" s="14"/>
      <c r="O51" s="15"/>
      <c r="P51" s="13"/>
      <c r="Q51" s="14"/>
      <c r="R51" s="15"/>
      <c r="S51" s="15"/>
      <c r="T51" s="15"/>
      <c r="U51" s="93">
        <f t="shared" si="1"/>
        <v>0</v>
      </c>
      <c r="V51" s="13">
        <v>0</v>
      </c>
      <c r="W51" s="92">
        <f t="shared" si="27"/>
        <v>0</v>
      </c>
      <c r="X51" s="93">
        <f t="shared" ref="X51" si="28">TRUNC(W51*G51)+0</f>
        <v>0</v>
      </c>
    </row>
    <row r="52" spans="1:24" ht="20.149999999999999" customHeight="1">
      <c r="A52" s="123">
        <v>6</v>
      </c>
      <c r="B52" s="157" t="s">
        <v>147</v>
      </c>
      <c r="C52" s="157"/>
      <c r="D52" s="157"/>
      <c r="E52" s="157"/>
      <c r="F52" s="157"/>
      <c r="G52" s="157"/>
      <c r="H52" s="157"/>
      <c r="I52" s="15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37.5">
      <c r="A53" s="36" t="s">
        <v>28</v>
      </c>
      <c r="B53" s="40">
        <v>87298</v>
      </c>
      <c r="C53" s="41" t="s">
        <v>148</v>
      </c>
      <c r="D53" s="156"/>
      <c r="E53" s="156"/>
      <c r="F53" s="156"/>
      <c r="G53" s="156"/>
      <c r="H53" s="156"/>
      <c r="I53" s="156"/>
      <c r="J53" s="12"/>
      <c r="K53" s="12"/>
      <c r="L53" s="12"/>
      <c r="M53" s="13"/>
      <c r="N53" s="14"/>
      <c r="O53" s="15"/>
      <c r="P53" s="13"/>
      <c r="Q53" s="14"/>
      <c r="R53" s="15"/>
      <c r="S53" s="15">
        <v>0</v>
      </c>
      <c r="T53" s="15">
        <v>8.48</v>
      </c>
      <c r="U53" s="93">
        <f t="shared" si="1"/>
        <v>0</v>
      </c>
      <c r="V53" s="13">
        <v>1</v>
      </c>
      <c r="W53" s="92">
        <f t="shared" ref="W53:W54" si="29">TRUNC(V53*F53,2)</f>
        <v>0</v>
      </c>
      <c r="X53" s="93">
        <v>4913.8900000000003</v>
      </c>
    </row>
    <row r="54" spans="1:24" ht="50">
      <c r="A54" s="36" t="s">
        <v>56</v>
      </c>
      <c r="B54" s="37">
        <v>104597</v>
      </c>
      <c r="C54" s="41" t="s">
        <v>149</v>
      </c>
      <c r="D54" s="156"/>
      <c r="E54" s="156"/>
      <c r="F54" s="156"/>
      <c r="G54" s="156"/>
      <c r="H54" s="156"/>
      <c r="I54" s="156"/>
      <c r="J54" s="12"/>
      <c r="K54" s="12"/>
      <c r="L54" s="12"/>
      <c r="M54" s="13"/>
      <c r="N54" s="14"/>
      <c r="O54" s="15"/>
      <c r="P54" s="13"/>
      <c r="Q54" s="14"/>
      <c r="R54" s="15"/>
      <c r="S54" s="15"/>
      <c r="T54" s="15"/>
      <c r="U54" s="93">
        <f t="shared" si="1"/>
        <v>0</v>
      </c>
      <c r="V54" s="13"/>
      <c r="W54" s="92">
        <f t="shared" si="29"/>
        <v>0</v>
      </c>
      <c r="X54" s="93">
        <f t="shared" ref="X54" si="30">TRUNC(W54*G54)+0</f>
        <v>0</v>
      </c>
    </row>
    <row r="55" spans="1:24" ht="20.149999999999999" customHeight="1">
      <c r="A55" s="123">
        <v>7</v>
      </c>
      <c r="B55" s="157" t="s">
        <v>67</v>
      </c>
      <c r="C55" s="157"/>
      <c r="D55" s="157"/>
      <c r="E55" s="157"/>
      <c r="F55" s="157"/>
      <c r="G55" s="157"/>
      <c r="H55" s="157"/>
      <c r="I55" s="15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0.149999999999999" customHeight="1">
      <c r="A56" s="123" t="s">
        <v>29</v>
      </c>
      <c r="B56" s="157" t="s">
        <v>153</v>
      </c>
      <c r="C56" s="157"/>
      <c r="D56" s="157"/>
      <c r="E56" s="157"/>
      <c r="F56" s="157"/>
      <c r="G56" s="157"/>
      <c r="H56" s="157"/>
      <c r="I56" s="15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37.5">
      <c r="A57" s="36" t="s">
        <v>150</v>
      </c>
      <c r="B57" s="50">
        <v>86931</v>
      </c>
      <c r="C57" s="41" t="s">
        <v>165</v>
      </c>
      <c r="D57" s="156"/>
      <c r="E57" s="156"/>
      <c r="F57" s="156"/>
      <c r="G57" s="156"/>
      <c r="H57" s="156"/>
      <c r="I57" s="156"/>
      <c r="J57" s="12"/>
      <c r="K57" s="12"/>
      <c r="L57" s="12"/>
      <c r="M57" s="13"/>
      <c r="N57" s="14"/>
      <c r="O57" s="15"/>
      <c r="P57" s="31"/>
      <c r="Q57" s="14"/>
      <c r="R57" s="15"/>
      <c r="S57" s="15"/>
      <c r="T57" s="15"/>
      <c r="U57" s="93">
        <f t="shared" si="1"/>
        <v>0</v>
      </c>
      <c r="V57" s="31"/>
      <c r="W57" s="92">
        <f t="shared" ref="W57:W70" si="31">TRUNC(V57*F57,2)</f>
        <v>0</v>
      </c>
      <c r="X57" s="93">
        <f t="shared" ref="X57:X68" si="32">TRUNC(W57*G57)+0</f>
        <v>0</v>
      </c>
    </row>
    <row r="58" spans="1:24" ht="62.5">
      <c r="A58" s="36" t="s">
        <v>151</v>
      </c>
      <c r="B58" s="50">
        <v>86939</v>
      </c>
      <c r="C58" s="41" t="s">
        <v>167</v>
      </c>
      <c r="D58" s="156"/>
      <c r="E58" s="156"/>
      <c r="F58" s="156"/>
      <c r="G58" s="156"/>
      <c r="H58" s="156"/>
      <c r="I58" s="156"/>
      <c r="J58" s="12"/>
      <c r="K58" s="12"/>
      <c r="L58" s="12"/>
      <c r="M58" s="13"/>
      <c r="N58" s="14"/>
      <c r="O58" s="15"/>
      <c r="P58" s="13"/>
      <c r="Q58" s="14"/>
      <c r="R58" s="15"/>
      <c r="S58" s="15"/>
      <c r="T58" s="15"/>
      <c r="U58" s="93">
        <f t="shared" si="1"/>
        <v>0</v>
      </c>
      <c r="V58" s="13"/>
      <c r="W58" s="92">
        <f t="shared" si="31"/>
        <v>0</v>
      </c>
      <c r="X58" s="93">
        <f t="shared" si="32"/>
        <v>0</v>
      </c>
    </row>
    <row r="59" spans="1:24" ht="37.5">
      <c r="A59" s="36" t="s">
        <v>152</v>
      </c>
      <c r="B59" s="50">
        <v>89714</v>
      </c>
      <c r="C59" s="41" t="s">
        <v>168</v>
      </c>
      <c r="D59" s="156"/>
      <c r="E59" s="156"/>
      <c r="F59" s="156"/>
      <c r="G59" s="156"/>
      <c r="H59" s="156"/>
      <c r="I59" s="156"/>
      <c r="J59" s="12"/>
      <c r="K59" s="12"/>
      <c r="L59" s="12"/>
      <c r="M59" s="13"/>
      <c r="N59" s="14"/>
      <c r="O59" s="15"/>
      <c r="P59" s="13">
        <v>0.8</v>
      </c>
      <c r="Q59" s="14">
        <f>TRUNC(P59*F59,2)</f>
        <v>0</v>
      </c>
      <c r="R59" s="15">
        <f>TRUNC(Q59*G59)</f>
        <v>0</v>
      </c>
      <c r="S59" s="15"/>
      <c r="T59" s="15">
        <v>20</v>
      </c>
      <c r="U59" s="93">
        <f>TRUNC(G59*T59)+0</f>
        <v>0</v>
      </c>
      <c r="V59" s="13">
        <v>0.2</v>
      </c>
      <c r="W59" s="92">
        <f t="shared" si="31"/>
        <v>0</v>
      </c>
      <c r="X59" s="93">
        <v>0</v>
      </c>
    </row>
    <row r="60" spans="1:24" ht="37.5">
      <c r="A60" s="36" t="s">
        <v>154</v>
      </c>
      <c r="B60" s="50">
        <v>89711</v>
      </c>
      <c r="C60" s="41" t="s">
        <v>169</v>
      </c>
      <c r="D60" s="156"/>
      <c r="E60" s="156"/>
      <c r="F60" s="156"/>
      <c r="G60" s="156"/>
      <c r="H60" s="156"/>
      <c r="I60" s="156"/>
      <c r="J60" s="12"/>
      <c r="K60" s="12"/>
      <c r="L60" s="12"/>
      <c r="M60" s="13"/>
      <c r="N60" s="14"/>
      <c r="O60" s="15"/>
      <c r="P60" s="13">
        <v>0.8</v>
      </c>
      <c r="Q60" s="14">
        <f t="shared" ref="Q60:Q61" si="33">TRUNC(P60*F60,2)</f>
        <v>0</v>
      </c>
      <c r="R60" s="15">
        <f t="shared" ref="R60:R61" si="34">TRUNC(Q60*G60)</f>
        <v>0</v>
      </c>
      <c r="S60" s="15"/>
      <c r="T60" s="15">
        <v>4</v>
      </c>
      <c r="U60" s="93">
        <f>TRUNC(G60*T60)+0</f>
        <v>0</v>
      </c>
      <c r="V60" s="13">
        <v>0.2</v>
      </c>
      <c r="W60" s="92">
        <f t="shared" si="31"/>
        <v>0</v>
      </c>
      <c r="X60" s="93">
        <v>0</v>
      </c>
    </row>
    <row r="61" spans="1:24" ht="37.5">
      <c r="A61" s="36" t="s">
        <v>155</v>
      </c>
      <c r="B61" s="50">
        <v>89798</v>
      </c>
      <c r="C61" s="41" t="s">
        <v>170</v>
      </c>
      <c r="D61" s="164" t="s">
        <v>340</v>
      </c>
      <c r="E61" s="164"/>
      <c r="F61" s="164"/>
      <c r="G61" s="164"/>
      <c r="H61" s="164"/>
      <c r="I61" s="164"/>
      <c r="J61" s="12"/>
      <c r="K61" s="12"/>
      <c r="L61" s="12"/>
      <c r="M61" s="13"/>
      <c r="N61" s="14"/>
      <c r="O61" s="15"/>
      <c r="P61" s="13">
        <v>0.8</v>
      </c>
      <c r="Q61" s="14">
        <f t="shared" si="33"/>
        <v>0</v>
      </c>
      <c r="R61" s="15">
        <f t="shared" si="34"/>
        <v>0</v>
      </c>
      <c r="S61" s="15"/>
      <c r="T61" s="15"/>
      <c r="U61" s="93">
        <f t="shared" si="1"/>
        <v>0</v>
      </c>
      <c r="V61" s="13"/>
      <c r="W61" s="92">
        <f t="shared" si="31"/>
        <v>0</v>
      </c>
      <c r="X61" s="93">
        <f t="shared" si="32"/>
        <v>0</v>
      </c>
    </row>
    <row r="62" spans="1:24" ht="37.5">
      <c r="A62" s="36" t="s">
        <v>156</v>
      </c>
      <c r="B62" s="50">
        <v>104326</v>
      </c>
      <c r="C62" s="41" t="s">
        <v>171</v>
      </c>
      <c r="D62" s="156"/>
      <c r="E62" s="156"/>
      <c r="F62" s="156"/>
      <c r="G62" s="156"/>
      <c r="H62" s="156"/>
      <c r="I62" s="156"/>
      <c r="J62" s="12"/>
      <c r="K62" s="12"/>
      <c r="L62" s="12"/>
      <c r="M62" s="13"/>
      <c r="N62" s="14"/>
      <c r="O62" s="15"/>
      <c r="P62" s="13"/>
      <c r="Q62" s="14"/>
      <c r="R62" s="15"/>
      <c r="S62" s="15"/>
      <c r="T62" s="15"/>
      <c r="U62" s="93">
        <f t="shared" si="1"/>
        <v>0</v>
      </c>
      <c r="V62" s="13"/>
      <c r="W62" s="92">
        <f t="shared" si="31"/>
        <v>0</v>
      </c>
      <c r="X62" s="93">
        <f t="shared" si="32"/>
        <v>0</v>
      </c>
    </row>
    <row r="63" spans="1:24" ht="37.5">
      <c r="A63" s="36" t="s">
        <v>157</v>
      </c>
      <c r="B63" s="50">
        <v>104327</v>
      </c>
      <c r="C63" s="41" t="s">
        <v>172</v>
      </c>
      <c r="D63" s="156"/>
      <c r="E63" s="156"/>
      <c r="F63" s="156"/>
      <c r="G63" s="156"/>
      <c r="H63" s="156"/>
      <c r="I63" s="156"/>
      <c r="J63" s="12"/>
      <c r="K63" s="12"/>
      <c r="L63" s="12"/>
      <c r="M63" s="13"/>
      <c r="N63" s="14"/>
      <c r="O63" s="15"/>
      <c r="P63" s="13"/>
      <c r="Q63" s="14"/>
      <c r="R63" s="15"/>
      <c r="S63" s="15"/>
      <c r="T63" s="15"/>
      <c r="U63" s="93">
        <f t="shared" si="1"/>
        <v>0</v>
      </c>
      <c r="V63" s="13"/>
      <c r="W63" s="92">
        <f t="shared" si="31"/>
        <v>0</v>
      </c>
      <c r="X63" s="93">
        <f t="shared" si="32"/>
        <v>0</v>
      </c>
    </row>
    <row r="64" spans="1:24" ht="37.5">
      <c r="A64" s="36" t="s">
        <v>158</v>
      </c>
      <c r="B64" s="50">
        <v>89726</v>
      </c>
      <c r="C64" s="41" t="s">
        <v>173</v>
      </c>
      <c r="D64" s="156"/>
      <c r="E64" s="156"/>
      <c r="F64" s="156"/>
      <c r="G64" s="156"/>
      <c r="H64" s="156"/>
      <c r="I64" s="156"/>
      <c r="J64" s="12"/>
      <c r="K64" s="12"/>
      <c r="L64" s="12"/>
      <c r="M64" s="13"/>
      <c r="N64" s="14"/>
      <c r="O64" s="15"/>
      <c r="P64" s="13">
        <v>0.8</v>
      </c>
      <c r="Q64" s="14">
        <f t="shared" ref="Q64:Q67" si="35">TRUNC(P64*F64,2)</f>
        <v>0</v>
      </c>
      <c r="R64" s="15">
        <f t="shared" ref="R64:R67" si="36">TRUNC(Q64*G64)</f>
        <v>0</v>
      </c>
      <c r="S64" s="15"/>
      <c r="T64" s="15">
        <v>1.4</v>
      </c>
      <c r="U64" s="93">
        <f t="shared" si="1"/>
        <v>0</v>
      </c>
      <c r="V64" s="13">
        <v>0.2</v>
      </c>
      <c r="W64" s="92">
        <f t="shared" si="31"/>
        <v>0</v>
      </c>
      <c r="X64" s="93">
        <v>0</v>
      </c>
    </row>
    <row r="65" spans="1:24" ht="37.5">
      <c r="A65" s="36" t="s">
        <v>159</v>
      </c>
      <c r="B65" s="50">
        <v>89732</v>
      </c>
      <c r="C65" s="41" t="s">
        <v>174</v>
      </c>
      <c r="D65" s="156"/>
      <c r="E65" s="156"/>
      <c r="F65" s="156"/>
      <c r="G65" s="156"/>
      <c r="H65" s="156"/>
      <c r="I65" s="156"/>
      <c r="J65" s="12"/>
      <c r="K65" s="12"/>
      <c r="L65" s="12"/>
      <c r="M65" s="13"/>
      <c r="N65" s="14"/>
      <c r="O65" s="15"/>
      <c r="P65" s="13">
        <v>0.8</v>
      </c>
      <c r="Q65" s="14">
        <f t="shared" si="35"/>
        <v>0</v>
      </c>
      <c r="R65" s="15">
        <f t="shared" si="36"/>
        <v>0</v>
      </c>
      <c r="S65" s="15"/>
      <c r="T65" s="15">
        <v>1.4</v>
      </c>
      <c r="U65" s="93">
        <f t="shared" si="1"/>
        <v>0</v>
      </c>
      <c r="V65" s="13">
        <v>0.2</v>
      </c>
      <c r="W65" s="92">
        <f t="shared" si="31"/>
        <v>0</v>
      </c>
      <c r="X65" s="93">
        <v>0</v>
      </c>
    </row>
    <row r="66" spans="1:24" ht="37.5">
      <c r="A66" s="36" t="s">
        <v>160</v>
      </c>
      <c r="B66" s="50">
        <v>89809</v>
      </c>
      <c r="C66" s="41" t="s">
        <v>175</v>
      </c>
      <c r="D66" s="156"/>
      <c r="E66" s="156"/>
      <c r="F66" s="156"/>
      <c r="G66" s="156"/>
      <c r="H66" s="156"/>
      <c r="I66" s="156"/>
      <c r="J66" s="12"/>
      <c r="K66" s="12"/>
      <c r="L66" s="12"/>
      <c r="M66" s="13"/>
      <c r="N66" s="14"/>
      <c r="O66" s="15"/>
      <c r="P66" s="13">
        <v>0.8</v>
      </c>
      <c r="Q66" s="14">
        <f t="shared" si="35"/>
        <v>0</v>
      </c>
      <c r="R66" s="15">
        <f t="shared" si="36"/>
        <v>0</v>
      </c>
      <c r="S66" s="15"/>
      <c r="T66" s="15">
        <v>2</v>
      </c>
      <c r="U66" s="93">
        <f t="shared" si="1"/>
        <v>0</v>
      </c>
      <c r="V66" s="13">
        <v>0.2</v>
      </c>
      <c r="W66" s="92">
        <f t="shared" si="31"/>
        <v>0</v>
      </c>
      <c r="X66" s="93">
        <v>0</v>
      </c>
    </row>
    <row r="67" spans="1:24" ht="37.5">
      <c r="A67" s="36" t="s">
        <v>161</v>
      </c>
      <c r="B67" s="50">
        <v>69810</v>
      </c>
      <c r="C67" s="41" t="s">
        <v>176</v>
      </c>
      <c r="D67" s="156"/>
      <c r="E67" s="156"/>
      <c r="F67" s="156"/>
      <c r="G67" s="156"/>
      <c r="H67" s="156"/>
      <c r="I67" s="156"/>
      <c r="J67" s="12"/>
      <c r="K67" s="12"/>
      <c r="L67" s="12"/>
      <c r="M67" s="13"/>
      <c r="N67" s="14"/>
      <c r="O67" s="15"/>
      <c r="P67" s="13">
        <v>0.8</v>
      </c>
      <c r="Q67" s="14">
        <f t="shared" si="35"/>
        <v>0</v>
      </c>
      <c r="R67" s="15">
        <f t="shared" si="36"/>
        <v>0</v>
      </c>
      <c r="S67" s="15"/>
      <c r="T67" s="15">
        <v>1.2</v>
      </c>
      <c r="U67" s="93">
        <f t="shared" si="1"/>
        <v>0</v>
      </c>
      <c r="V67" s="13">
        <v>0.2</v>
      </c>
      <c r="W67" s="92">
        <f t="shared" si="31"/>
        <v>0</v>
      </c>
      <c r="X67" s="93">
        <v>0</v>
      </c>
    </row>
    <row r="68" spans="1:24" ht="25">
      <c r="A68" s="36" t="s">
        <v>162</v>
      </c>
      <c r="B68" s="50">
        <v>100864</v>
      </c>
      <c r="C68" s="41" t="s">
        <v>177</v>
      </c>
      <c r="D68" s="156"/>
      <c r="E68" s="156"/>
      <c r="F68" s="156"/>
      <c r="G68" s="156"/>
      <c r="H68" s="156"/>
      <c r="I68" s="156"/>
      <c r="J68" s="12"/>
      <c r="K68" s="12"/>
      <c r="L68" s="12"/>
      <c r="M68" s="13"/>
      <c r="N68" s="14"/>
      <c r="O68" s="15"/>
      <c r="P68" s="13"/>
      <c r="Q68" s="14"/>
      <c r="R68" s="15"/>
      <c r="S68" s="15"/>
      <c r="T68" s="15"/>
      <c r="U68" s="93">
        <f t="shared" si="1"/>
        <v>0</v>
      </c>
      <c r="V68" s="13"/>
      <c r="W68" s="92">
        <f t="shared" si="31"/>
        <v>0</v>
      </c>
      <c r="X68" s="93">
        <f t="shared" si="32"/>
        <v>0</v>
      </c>
    </row>
    <row r="69" spans="1:24" ht="37.5">
      <c r="A69" s="36" t="s">
        <v>163</v>
      </c>
      <c r="B69" s="50">
        <v>89833</v>
      </c>
      <c r="C69" s="41" t="s">
        <v>178</v>
      </c>
      <c r="D69" s="156"/>
      <c r="E69" s="156"/>
      <c r="F69" s="156"/>
      <c r="G69" s="156"/>
      <c r="H69" s="156"/>
      <c r="I69" s="156"/>
      <c r="J69" s="12"/>
      <c r="K69" s="12"/>
      <c r="L69" s="12"/>
      <c r="M69" s="13"/>
      <c r="N69" s="14"/>
      <c r="O69" s="15"/>
      <c r="P69" s="13">
        <v>0.8</v>
      </c>
      <c r="Q69" s="14">
        <f t="shared" ref="Q69:Q70" si="37">TRUNC(P69*F69,2)</f>
        <v>0</v>
      </c>
      <c r="R69" s="15">
        <f t="shared" ref="R69:R70" si="38">TRUNC(Q69*G69)</f>
        <v>0</v>
      </c>
      <c r="S69" s="15"/>
      <c r="T69" s="15">
        <v>0.6</v>
      </c>
      <c r="U69" s="93">
        <f t="shared" si="1"/>
        <v>0</v>
      </c>
      <c r="V69" s="13">
        <v>0.2</v>
      </c>
      <c r="W69" s="98">
        <f t="shared" si="31"/>
        <v>0</v>
      </c>
      <c r="X69" s="93">
        <v>0</v>
      </c>
    </row>
    <row r="70" spans="1:24" ht="37.5">
      <c r="A70" s="36" t="s">
        <v>164</v>
      </c>
      <c r="B70" s="50">
        <v>102711</v>
      </c>
      <c r="C70" s="41" t="s">
        <v>179</v>
      </c>
      <c r="D70" s="156"/>
      <c r="E70" s="156"/>
      <c r="F70" s="156"/>
      <c r="G70" s="156"/>
      <c r="H70" s="156"/>
      <c r="I70" s="156"/>
      <c r="J70" s="12"/>
      <c r="K70" s="12"/>
      <c r="L70" s="12"/>
      <c r="M70" s="13"/>
      <c r="N70" s="14"/>
      <c r="O70" s="15"/>
      <c r="P70" s="13">
        <v>0.8</v>
      </c>
      <c r="Q70" s="14">
        <f t="shared" si="37"/>
        <v>0</v>
      </c>
      <c r="R70" s="15">
        <f t="shared" si="38"/>
        <v>0</v>
      </c>
      <c r="S70" s="15"/>
      <c r="T70" s="15">
        <v>0.8</v>
      </c>
      <c r="U70" s="93">
        <f t="shared" si="1"/>
        <v>0</v>
      </c>
      <c r="V70" s="13">
        <v>0.2</v>
      </c>
      <c r="W70" s="98">
        <f t="shared" si="31"/>
        <v>0</v>
      </c>
      <c r="X70" s="93">
        <v>0</v>
      </c>
    </row>
    <row r="71" spans="1:24" ht="19.5" customHeight="1">
      <c r="A71" s="123" t="s">
        <v>30</v>
      </c>
      <c r="B71" s="157" t="s">
        <v>199</v>
      </c>
      <c r="C71" s="157"/>
      <c r="D71" s="157"/>
      <c r="E71" s="157"/>
      <c r="F71" s="157"/>
      <c r="G71" s="157"/>
      <c r="H71" s="157"/>
      <c r="I71" s="15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5">
      <c r="A72" s="36" t="s">
        <v>180</v>
      </c>
      <c r="B72" s="40">
        <v>102616</v>
      </c>
      <c r="C72" s="41" t="s">
        <v>200</v>
      </c>
      <c r="D72" s="156"/>
      <c r="E72" s="156"/>
      <c r="F72" s="156"/>
      <c r="G72" s="156"/>
      <c r="H72" s="156"/>
      <c r="I72" s="156"/>
      <c r="J72" s="12"/>
      <c r="K72" s="12"/>
      <c r="L72" s="12"/>
      <c r="M72" s="13"/>
      <c r="N72" s="14"/>
      <c r="O72" s="15"/>
      <c r="P72" s="13"/>
      <c r="Q72" s="14"/>
      <c r="R72" s="15"/>
      <c r="S72" s="15"/>
      <c r="T72" s="15"/>
      <c r="U72" s="93">
        <f t="shared" si="1"/>
        <v>0</v>
      </c>
      <c r="V72" s="13"/>
      <c r="W72" s="92">
        <f t="shared" ref="W72:W90" si="39">TRUNC(V72*F72,2)</f>
        <v>0</v>
      </c>
      <c r="X72" s="93">
        <f t="shared" ref="X72:X90" si="40">TRUNC(W72*G72)+0</f>
        <v>0</v>
      </c>
    </row>
    <row r="73" spans="1:24" ht="25">
      <c r="A73" s="36" t="s">
        <v>181</v>
      </c>
      <c r="B73" s="40">
        <v>89446</v>
      </c>
      <c r="C73" s="41" t="s">
        <v>201</v>
      </c>
      <c r="D73" s="156"/>
      <c r="E73" s="156"/>
      <c r="F73" s="156"/>
      <c r="G73" s="156"/>
      <c r="H73" s="156"/>
      <c r="I73" s="156"/>
      <c r="J73" s="12"/>
      <c r="K73" s="12"/>
      <c r="L73" s="12"/>
      <c r="M73" s="13"/>
      <c r="N73" s="14"/>
      <c r="O73" s="15"/>
      <c r="P73" s="13"/>
      <c r="Q73" s="14"/>
      <c r="R73" s="15"/>
      <c r="S73" s="15"/>
      <c r="T73" s="15"/>
      <c r="U73" s="93">
        <f t="shared" si="1"/>
        <v>0</v>
      </c>
      <c r="V73" s="13"/>
      <c r="W73" s="92">
        <f t="shared" si="39"/>
        <v>0</v>
      </c>
      <c r="X73" s="93">
        <f t="shared" si="40"/>
        <v>0</v>
      </c>
    </row>
    <row r="74" spans="1:24" ht="37.5">
      <c r="A74" s="36" t="s">
        <v>182</v>
      </c>
      <c r="B74" s="40">
        <v>89366</v>
      </c>
      <c r="C74" s="41" t="s">
        <v>202</v>
      </c>
      <c r="D74" s="156"/>
      <c r="E74" s="156"/>
      <c r="F74" s="156"/>
      <c r="G74" s="156"/>
      <c r="H74" s="156"/>
      <c r="I74" s="156"/>
      <c r="J74" s="12"/>
      <c r="K74" s="12"/>
      <c r="L74" s="12"/>
      <c r="M74" s="13"/>
      <c r="N74" s="14"/>
      <c r="O74" s="15"/>
      <c r="P74" s="13"/>
      <c r="Q74" s="14"/>
      <c r="R74" s="15"/>
      <c r="S74" s="15"/>
      <c r="T74" s="15"/>
      <c r="U74" s="93">
        <f t="shared" ref="U74:U122" si="41">TRUNC(G74*T74)+0</f>
        <v>0</v>
      </c>
      <c r="V74" s="13"/>
      <c r="W74" s="92">
        <f t="shared" si="39"/>
        <v>0</v>
      </c>
      <c r="X74" s="93">
        <f t="shared" si="40"/>
        <v>0</v>
      </c>
    </row>
    <row r="75" spans="1:24" ht="25">
      <c r="A75" s="36" t="s">
        <v>183</v>
      </c>
      <c r="B75" s="40">
        <v>89355</v>
      </c>
      <c r="C75" s="41" t="s">
        <v>203</v>
      </c>
      <c r="D75" s="156"/>
      <c r="E75" s="156"/>
      <c r="F75" s="156"/>
      <c r="G75" s="156"/>
      <c r="H75" s="156"/>
      <c r="I75" s="156"/>
      <c r="J75" s="12"/>
      <c r="K75" s="12"/>
      <c r="L75" s="12"/>
      <c r="M75" s="13"/>
      <c r="N75" s="14"/>
      <c r="O75" s="15"/>
      <c r="P75" s="13"/>
      <c r="Q75" s="14"/>
      <c r="R75" s="15"/>
      <c r="S75" s="15"/>
      <c r="T75" s="15"/>
      <c r="U75" s="93">
        <f t="shared" si="41"/>
        <v>0</v>
      </c>
      <c r="V75" s="13"/>
      <c r="W75" s="92">
        <f t="shared" si="39"/>
        <v>0</v>
      </c>
      <c r="X75" s="93">
        <f t="shared" si="40"/>
        <v>0</v>
      </c>
    </row>
    <row r="76" spans="1:24" ht="25">
      <c r="A76" s="36" t="s">
        <v>184</v>
      </c>
      <c r="B76" s="40">
        <v>100860</v>
      </c>
      <c r="C76" s="41" t="s">
        <v>204</v>
      </c>
      <c r="D76" s="156"/>
      <c r="E76" s="156"/>
      <c r="F76" s="156"/>
      <c r="G76" s="156"/>
      <c r="H76" s="156"/>
      <c r="I76" s="156"/>
      <c r="J76" s="12"/>
      <c r="K76" s="12"/>
      <c r="L76" s="12"/>
      <c r="M76" s="13"/>
      <c r="N76" s="14"/>
      <c r="O76" s="15"/>
      <c r="P76" s="13"/>
      <c r="Q76" s="14"/>
      <c r="R76" s="15"/>
      <c r="S76" s="15"/>
      <c r="T76" s="15"/>
      <c r="U76" s="93">
        <f t="shared" si="41"/>
        <v>0</v>
      </c>
      <c r="V76" s="13"/>
      <c r="W76" s="92">
        <f t="shared" si="39"/>
        <v>0</v>
      </c>
      <c r="X76" s="93">
        <f t="shared" si="40"/>
        <v>0</v>
      </c>
    </row>
    <row r="77" spans="1:24" ht="25">
      <c r="A77" s="36" t="s">
        <v>185</v>
      </c>
      <c r="B77" s="40">
        <v>89528</v>
      </c>
      <c r="C77" s="41" t="s">
        <v>205</v>
      </c>
      <c r="D77" s="156"/>
      <c r="E77" s="156"/>
      <c r="F77" s="156"/>
      <c r="G77" s="156"/>
      <c r="H77" s="156"/>
      <c r="I77" s="156"/>
      <c r="J77" s="12"/>
      <c r="K77" s="12"/>
      <c r="L77" s="12"/>
      <c r="M77" s="13"/>
      <c r="N77" s="14"/>
      <c r="O77" s="15"/>
      <c r="P77" s="13"/>
      <c r="Q77" s="14"/>
      <c r="R77" s="15"/>
      <c r="S77" s="15"/>
      <c r="T77" s="15"/>
      <c r="U77" s="93">
        <f t="shared" si="41"/>
        <v>0</v>
      </c>
      <c r="V77" s="13"/>
      <c r="W77" s="92">
        <f t="shared" si="39"/>
        <v>0</v>
      </c>
      <c r="X77" s="93">
        <f t="shared" si="40"/>
        <v>0</v>
      </c>
    </row>
    <row r="78" spans="1:24" ht="25">
      <c r="A78" s="36" t="s">
        <v>186</v>
      </c>
      <c r="B78" s="40">
        <v>104199</v>
      </c>
      <c r="C78" s="41" t="s">
        <v>206</v>
      </c>
      <c r="D78" s="156"/>
      <c r="E78" s="156"/>
      <c r="F78" s="156"/>
      <c r="G78" s="156"/>
      <c r="H78" s="156"/>
      <c r="I78" s="156"/>
      <c r="J78" s="12"/>
      <c r="K78" s="12"/>
      <c r="L78" s="12"/>
      <c r="M78" s="13"/>
      <c r="N78" s="14"/>
      <c r="O78" s="15"/>
      <c r="P78" s="13"/>
      <c r="Q78" s="14"/>
      <c r="R78" s="15"/>
      <c r="S78" s="15"/>
      <c r="T78" s="15"/>
      <c r="U78" s="93">
        <f t="shared" si="41"/>
        <v>0</v>
      </c>
      <c r="V78" s="13"/>
      <c r="W78" s="92">
        <f t="shared" si="39"/>
        <v>0</v>
      </c>
      <c r="X78" s="93">
        <f t="shared" si="40"/>
        <v>0</v>
      </c>
    </row>
    <row r="79" spans="1:24" ht="37.5">
      <c r="A79" s="36" t="s">
        <v>187</v>
      </c>
      <c r="B79" s="40">
        <v>101964</v>
      </c>
      <c r="C79" s="41" t="s">
        <v>207</v>
      </c>
      <c r="D79" s="156"/>
      <c r="E79" s="156"/>
      <c r="F79" s="156"/>
      <c r="G79" s="156"/>
      <c r="H79" s="156"/>
      <c r="I79" s="156"/>
      <c r="J79" s="12"/>
      <c r="K79" s="12"/>
      <c r="L79" s="12"/>
      <c r="M79" s="13"/>
      <c r="N79" s="14"/>
      <c r="O79" s="15"/>
      <c r="P79" s="13"/>
      <c r="Q79" s="14"/>
      <c r="R79" s="15"/>
      <c r="S79" s="15"/>
      <c r="T79" s="15"/>
      <c r="U79" s="93">
        <f t="shared" si="41"/>
        <v>0</v>
      </c>
      <c r="V79" s="13"/>
      <c r="W79" s="92">
        <f t="shared" si="39"/>
        <v>0</v>
      </c>
      <c r="X79" s="93">
        <f t="shared" si="40"/>
        <v>0</v>
      </c>
    </row>
    <row r="80" spans="1:24" ht="25">
      <c r="A80" s="36" t="s">
        <v>188</v>
      </c>
      <c r="B80" s="40">
        <v>95545</v>
      </c>
      <c r="C80" s="41" t="s">
        <v>208</v>
      </c>
      <c r="D80" s="156"/>
      <c r="E80" s="156"/>
      <c r="F80" s="156"/>
      <c r="G80" s="156"/>
      <c r="H80" s="156"/>
      <c r="I80" s="156"/>
      <c r="J80" s="12"/>
      <c r="K80" s="12"/>
      <c r="L80" s="12"/>
      <c r="M80" s="13"/>
      <c r="N80" s="14"/>
      <c r="O80" s="15"/>
      <c r="P80" s="13"/>
      <c r="Q80" s="14"/>
      <c r="R80" s="15"/>
      <c r="S80" s="15"/>
      <c r="T80" s="15"/>
      <c r="U80" s="93">
        <f t="shared" si="41"/>
        <v>0</v>
      </c>
      <c r="V80" s="13"/>
      <c r="W80" s="92">
        <f t="shared" si="39"/>
        <v>0</v>
      </c>
      <c r="X80" s="93">
        <f t="shared" si="40"/>
        <v>0</v>
      </c>
    </row>
    <row r="81" spans="1:24" ht="37.5">
      <c r="A81" s="36" t="s">
        <v>189</v>
      </c>
      <c r="B81" s="40">
        <v>95547</v>
      </c>
      <c r="C81" s="41" t="s">
        <v>209</v>
      </c>
      <c r="D81" s="156"/>
      <c r="E81" s="156"/>
      <c r="F81" s="156"/>
      <c r="G81" s="156"/>
      <c r="H81" s="156"/>
      <c r="I81" s="156"/>
      <c r="J81" s="12"/>
      <c r="K81" s="12"/>
      <c r="L81" s="12"/>
      <c r="M81" s="13"/>
      <c r="N81" s="14"/>
      <c r="O81" s="15"/>
      <c r="P81" s="13"/>
      <c r="Q81" s="14"/>
      <c r="R81" s="15"/>
      <c r="S81" s="15"/>
      <c r="T81" s="15"/>
      <c r="U81" s="93">
        <f t="shared" si="41"/>
        <v>0</v>
      </c>
      <c r="V81" s="13"/>
      <c r="W81" s="92">
        <f t="shared" si="39"/>
        <v>0</v>
      </c>
      <c r="X81" s="93">
        <f t="shared" si="40"/>
        <v>0</v>
      </c>
    </row>
    <row r="82" spans="1:24" ht="37.5">
      <c r="A82" s="36" t="s">
        <v>190</v>
      </c>
      <c r="B82" s="40">
        <v>95547</v>
      </c>
      <c r="C82" s="41" t="s">
        <v>210</v>
      </c>
      <c r="D82" s="156"/>
      <c r="E82" s="156"/>
      <c r="F82" s="156"/>
      <c r="G82" s="156"/>
      <c r="H82" s="156"/>
      <c r="I82" s="156"/>
      <c r="J82" s="12"/>
      <c r="K82" s="12"/>
      <c r="L82" s="12"/>
      <c r="M82" s="13"/>
      <c r="N82" s="14"/>
      <c r="O82" s="15"/>
      <c r="P82" s="13"/>
      <c r="Q82" s="14"/>
      <c r="R82" s="15"/>
      <c r="S82" s="15"/>
      <c r="T82" s="15"/>
      <c r="U82" s="93">
        <f t="shared" si="41"/>
        <v>0</v>
      </c>
      <c r="V82" s="13"/>
      <c r="W82" s="92">
        <f t="shared" si="39"/>
        <v>0</v>
      </c>
      <c r="X82" s="93">
        <f t="shared" si="40"/>
        <v>0</v>
      </c>
    </row>
    <row r="83" spans="1:24" ht="37.5">
      <c r="A83" s="36" t="s">
        <v>191</v>
      </c>
      <c r="B83" s="40">
        <v>90373</v>
      </c>
      <c r="C83" s="41" t="s">
        <v>211</v>
      </c>
      <c r="D83" s="156"/>
      <c r="E83" s="156"/>
      <c r="F83" s="156"/>
      <c r="G83" s="156"/>
      <c r="H83" s="156"/>
      <c r="I83" s="156"/>
      <c r="J83" s="12"/>
      <c r="K83" s="12"/>
      <c r="L83" s="12"/>
      <c r="M83" s="13"/>
      <c r="N83" s="14"/>
      <c r="O83" s="15"/>
      <c r="P83" s="13"/>
      <c r="Q83" s="14"/>
      <c r="R83" s="15"/>
      <c r="S83" s="15"/>
      <c r="T83" s="15"/>
      <c r="U83" s="93">
        <f t="shared" si="41"/>
        <v>0</v>
      </c>
      <c r="V83" s="13"/>
      <c r="W83" s="92">
        <f t="shared" si="39"/>
        <v>0</v>
      </c>
      <c r="X83" s="93">
        <f t="shared" si="40"/>
        <v>0</v>
      </c>
    </row>
    <row r="84" spans="1:24" ht="37.5">
      <c r="A84" s="36" t="s">
        <v>192</v>
      </c>
      <c r="B84" s="40">
        <v>89985</v>
      </c>
      <c r="C84" s="41" t="s">
        <v>212</v>
      </c>
      <c r="D84" s="156"/>
      <c r="E84" s="156"/>
      <c r="F84" s="156"/>
      <c r="G84" s="156"/>
      <c r="H84" s="156"/>
      <c r="I84" s="156"/>
      <c r="J84" s="12"/>
      <c r="K84" s="12"/>
      <c r="L84" s="12"/>
      <c r="M84" s="13"/>
      <c r="N84" s="14"/>
      <c r="O84" s="15"/>
      <c r="P84" s="13"/>
      <c r="Q84" s="14"/>
      <c r="R84" s="15"/>
      <c r="S84" s="15"/>
      <c r="T84" s="15"/>
      <c r="U84" s="93">
        <f t="shared" si="41"/>
        <v>0</v>
      </c>
      <c r="V84" s="13"/>
      <c r="W84" s="92">
        <f t="shared" si="39"/>
        <v>0</v>
      </c>
      <c r="X84" s="93">
        <f t="shared" si="40"/>
        <v>0</v>
      </c>
    </row>
    <row r="85" spans="1:24" ht="25">
      <c r="A85" s="36" t="s">
        <v>193</v>
      </c>
      <c r="B85" s="40">
        <v>86915</v>
      </c>
      <c r="C85" s="41" t="s">
        <v>213</v>
      </c>
      <c r="D85" s="156"/>
      <c r="E85" s="156"/>
      <c r="F85" s="156"/>
      <c r="G85" s="156"/>
      <c r="H85" s="156"/>
      <c r="I85" s="156"/>
      <c r="J85" s="12"/>
      <c r="K85" s="12"/>
      <c r="L85" s="12"/>
      <c r="M85" s="13"/>
      <c r="N85" s="14"/>
      <c r="O85" s="15"/>
      <c r="P85" s="13"/>
      <c r="Q85" s="14"/>
      <c r="R85" s="15"/>
      <c r="S85" s="15"/>
      <c r="T85" s="15"/>
      <c r="U85" s="93">
        <f t="shared" si="41"/>
        <v>0</v>
      </c>
      <c r="V85" s="13"/>
      <c r="W85" s="92">
        <f t="shared" si="39"/>
        <v>0</v>
      </c>
      <c r="X85" s="93">
        <f t="shared" si="40"/>
        <v>0</v>
      </c>
    </row>
    <row r="86" spans="1:24" ht="37.5">
      <c r="A86" s="36" t="s">
        <v>194</v>
      </c>
      <c r="B86" s="40">
        <v>86911</v>
      </c>
      <c r="C86" s="41" t="s">
        <v>214</v>
      </c>
      <c r="D86" s="156"/>
      <c r="E86" s="156"/>
      <c r="F86" s="156"/>
      <c r="G86" s="156"/>
      <c r="H86" s="156"/>
      <c r="I86" s="156"/>
      <c r="J86" s="12"/>
      <c r="K86" s="12"/>
      <c r="L86" s="12"/>
      <c r="M86" s="13"/>
      <c r="N86" s="14"/>
      <c r="O86" s="15"/>
      <c r="P86" s="13"/>
      <c r="Q86" s="14"/>
      <c r="R86" s="15"/>
      <c r="S86" s="15"/>
      <c r="T86" s="15"/>
      <c r="U86" s="93">
        <f t="shared" si="41"/>
        <v>0</v>
      </c>
      <c r="V86" s="13"/>
      <c r="W86" s="92">
        <f t="shared" si="39"/>
        <v>0</v>
      </c>
      <c r="X86" s="93">
        <f t="shared" si="40"/>
        <v>0</v>
      </c>
    </row>
    <row r="87" spans="1:24" ht="25">
      <c r="A87" s="36" t="s">
        <v>195</v>
      </c>
      <c r="B87" s="40">
        <v>94497</v>
      </c>
      <c r="C87" s="41" t="s">
        <v>215</v>
      </c>
      <c r="D87" s="156"/>
      <c r="E87" s="156"/>
      <c r="F87" s="156"/>
      <c r="G87" s="156"/>
      <c r="H87" s="156"/>
      <c r="I87" s="156"/>
      <c r="J87" s="12"/>
      <c r="K87" s="12"/>
      <c r="L87" s="12"/>
      <c r="M87" s="13"/>
      <c r="N87" s="14"/>
      <c r="O87" s="15"/>
      <c r="P87" s="13"/>
      <c r="Q87" s="14"/>
      <c r="R87" s="15"/>
      <c r="S87" s="15"/>
      <c r="T87" s="15"/>
      <c r="U87" s="93">
        <f t="shared" si="41"/>
        <v>0</v>
      </c>
      <c r="V87" s="13"/>
      <c r="W87" s="92">
        <f t="shared" si="39"/>
        <v>0</v>
      </c>
      <c r="X87" s="93">
        <f t="shared" si="40"/>
        <v>0</v>
      </c>
    </row>
    <row r="88" spans="1:24" ht="25">
      <c r="A88" s="36" t="s">
        <v>196</v>
      </c>
      <c r="B88" s="40">
        <v>103039</v>
      </c>
      <c r="C88" s="41" t="s">
        <v>216</v>
      </c>
      <c r="D88" s="156"/>
      <c r="E88" s="156"/>
      <c r="F88" s="156"/>
      <c r="G88" s="156"/>
      <c r="H88" s="156"/>
      <c r="I88" s="156"/>
      <c r="J88" s="12"/>
      <c r="K88" s="12"/>
      <c r="L88" s="12"/>
      <c r="M88" s="13"/>
      <c r="N88" s="14"/>
      <c r="O88" s="15"/>
      <c r="P88" s="13"/>
      <c r="Q88" s="14"/>
      <c r="R88" s="15"/>
      <c r="S88" s="15"/>
      <c r="T88" s="15"/>
      <c r="U88" s="93">
        <f t="shared" si="41"/>
        <v>0</v>
      </c>
      <c r="V88" s="13"/>
      <c r="W88" s="92">
        <f t="shared" si="39"/>
        <v>0</v>
      </c>
      <c r="X88" s="93">
        <f t="shared" si="40"/>
        <v>0</v>
      </c>
    </row>
    <row r="89" spans="1:24" ht="62.5">
      <c r="A89" s="36" t="s">
        <v>197</v>
      </c>
      <c r="B89" s="40">
        <v>94782</v>
      </c>
      <c r="C89" s="58" t="s">
        <v>217</v>
      </c>
      <c r="D89" s="156"/>
      <c r="E89" s="156"/>
      <c r="F89" s="156"/>
      <c r="G89" s="156"/>
      <c r="H89" s="156"/>
      <c r="I89" s="156"/>
      <c r="J89" s="12"/>
      <c r="K89" s="12"/>
      <c r="L89" s="12"/>
      <c r="M89" s="13"/>
      <c r="N89" s="14"/>
      <c r="O89" s="15"/>
      <c r="P89" s="13"/>
      <c r="Q89" s="14"/>
      <c r="R89" s="15"/>
      <c r="S89" s="15"/>
      <c r="T89" s="15"/>
      <c r="U89" s="93">
        <f t="shared" si="41"/>
        <v>0</v>
      </c>
      <c r="V89" s="13"/>
      <c r="W89" s="92">
        <f t="shared" si="39"/>
        <v>0</v>
      </c>
      <c r="X89" s="93">
        <f t="shared" si="40"/>
        <v>0</v>
      </c>
    </row>
    <row r="90" spans="1:24" ht="25">
      <c r="A90" s="36" t="s">
        <v>198</v>
      </c>
      <c r="B90" s="40">
        <v>98557</v>
      </c>
      <c r="C90" s="41" t="s">
        <v>218</v>
      </c>
      <c r="D90" s="156"/>
      <c r="E90" s="156"/>
      <c r="F90" s="156"/>
      <c r="G90" s="156"/>
      <c r="H90" s="156"/>
      <c r="I90" s="156"/>
      <c r="J90" s="12"/>
      <c r="K90" s="12"/>
      <c r="L90" s="12"/>
      <c r="M90" s="13"/>
      <c r="N90" s="14"/>
      <c r="O90" s="15"/>
      <c r="P90" s="13">
        <v>1</v>
      </c>
      <c r="Q90" s="14">
        <f>TRUNC(P90*F90,2)</f>
        <v>0</v>
      </c>
      <c r="R90" s="15">
        <f>TRUNC(Q90*G90)</f>
        <v>0</v>
      </c>
      <c r="S90" s="15"/>
      <c r="T90" s="15"/>
      <c r="U90" s="93">
        <f t="shared" si="41"/>
        <v>0</v>
      </c>
      <c r="V90" s="13"/>
      <c r="W90" s="92">
        <f t="shared" si="39"/>
        <v>0</v>
      </c>
      <c r="X90" s="93">
        <f t="shared" si="40"/>
        <v>0</v>
      </c>
    </row>
    <row r="91" spans="1:24" ht="20.149999999999999" customHeight="1">
      <c r="A91" s="123">
        <v>8</v>
      </c>
      <c r="B91" s="157" t="s">
        <v>66</v>
      </c>
      <c r="C91" s="157"/>
      <c r="D91" s="157"/>
      <c r="E91" s="157"/>
      <c r="F91" s="157"/>
      <c r="G91" s="157"/>
      <c r="H91" s="157"/>
      <c r="I91" s="15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5">
      <c r="A92" s="36" t="s">
        <v>31</v>
      </c>
      <c r="B92" s="40">
        <v>98135</v>
      </c>
      <c r="C92" s="41" t="s">
        <v>219</v>
      </c>
      <c r="D92" s="156"/>
      <c r="E92" s="156"/>
      <c r="F92" s="156"/>
      <c r="G92" s="156"/>
      <c r="H92" s="156"/>
      <c r="I92" s="156"/>
      <c r="J92" s="12"/>
      <c r="K92" s="12"/>
      <c r="L92" s="12"/>
      <c r="M92" s="13"/>
      <c r="N92" s="14"/>
      <c r="O92" s="15"/>
      <c r="P92" s="13"/>
      <c r="Q92" s="14"/>
      <c r="R92" s="15"/>
      <c r="S92" s="15"/>
      <c r="T92" s="15"/>
      <c r="U92" s="93">
        <f t="shared" si="41"/>
        <v>0</v>
      </c>
      <c r="V92" s="13"/>
      <c r="W92" s="92">
        <f t="shared" ref="W92:W97" si="42">TRUNC(V92*F92,2)</f>
        <v>0</v>
      </c>
      <c r="X92" s="93">
        <f t="shared" ref="X92:X97" si="43">TRUNC(W92*G92)+0</f>
        <v>0</v>
      </c>
    </row>
    <row r="93" spans="1:24" ht="37.5">
      <c r="A93" s="36" t="s">
        <v>32</v>
      </c>
      <c r="B93" s="40">
        <v>96129</v>
      </c>
      <c r="C93" s="41" t="s">
        <v>220</v>
      </c>
      <c r="D93" s="156"/>
      <c r="E93" s="156"/>
      <c r="F93" s="156"/>
      <c r="G93" s="156"/>
      <c r="H93" s="156"/>
      <c r="I93" s="156"/>
      <c r="J93" s="12"/>
      <c r="K93" s="12"/>
      <c r="L93" s="12"/>
      <c r="M93" s="13"/>
      <c r="N93" s="14"/>
      <c r="O93" s="15"/>
      <c r="P93" s="13"/>
      <c r="Q93" s="14"/>
      <c r="R93" s="15"/>
      <c r="S93" s="15"/>
      <c r="T93" s="15"/>
      <c r="U93" s="93">
        <f t="shared" si="41"/>
        <v>0</v>
      </c>
      <c r="V93" s="13"/>
      <c r="W93" s="92">
        <f t="shared" si="42"/>
        <v>0</v>
      </c>
      <c r="X93" s="93">
        <f t="shared" si="43"/>
        <v>0</v>
      </c>
    </row>
    <row r="94" spans="1:24" ht="25">
      <c r="A94" s="36" t="s">
        <v>57</v>
      </c>
      <c r="B94" s="40">
        <v>104641</v>
      </c>
      <c r="C94" s="41" t="s">
        <v>221</v>
      </c>
      <c r="D94" s="156"/>
      <c r="E94" s="156"/>
      <c r="F94" s="156"/>
      <c r="G94" s="156"/>
      <c r="H94" s="156"/>
      <c r="I94" s="156"/>
      <c r="J94" s="12"/>
      <c r="K94" s="12"/>
      <c r="L94" s="12"/>
      <c r="M94" s="13"/>
      <c r="N94" s="14"/>
      <c r="O94" s="15"/>
      <c r="P94" s="13"/>
      <c r="Q94" s="14"/>
      <c r="R94" s="15"/>
      <c r="S94" s="15"/>
      <c r="T94" s="15"/>
      <c r="U94" s="93">
        <f t="shared" si="41"/>
        <v>0</v>
      </c>
      <c r="V94" s="13"/>
      <c r="W94" s="92">
        <f t="shared" si="42"/>
        <v>0</v>
      </c>
      <c r="X94" s="93">
        <f t="shared" si="43"/>
        <v>0</v>
      </c>
    </row>
    <row r="95" spans="1:24" ht="25">
      <c r="A95" s="36" t="s">
        <v>58</v>
      </c>
      <c r="B95" s="37">
        <v>88415</v>
      </c>
      <c r="C95" s="41" t="s">
        <v>222</v>
      </c>
      <c r="D95" s="156"/>
      <c r="E95" s="156"/>
      <c r="F95" s="156"/>
      <c r="G95" s="156"/>
      <c r="H95" s="156"/>
      <c r="I95" s="156"/>
      <c r="J95" s="12"/>
      <c r="K95" s="12"/>
      <c r="L95" s="12"/>
      <c r="M95" s="13"/>
      <c r="N95" s="14"/>
      <c r="O95" s="15"/>
      <c r="P95" s="13"/>
      <c r="Q95" s="14"/>
      <c r="R95" s="15"/>
      <c r="S95" s="15"/>
      <c r="T95" s="15"/>
      <c r="U95" s="93">
        <f t="shared" si="41"/>
        <v>0</v>
      </c>
      <c r="V95" s="13"/>
      <c r="W95" s="92">
        <f t="shared" si="42"/>
        <v>0</v>
      </c>
      <c r="X95" s="93">
        <f t="shared" si="43"/>
        <v>0</v>
      </c>
    </row>
    <row r="96" spans="1:24" ht="25">
      <c r="A96" s="36" t="s">
        <v>59</v>
      </c>
      <c r="B96" s="37">
        <v>88485</v>
      </c>
      <c r="C96" s="41" t="s">
        <v>223</v>
      </c>
      <c r="D96" s="156"/>
      <c r="E96" s="156"/>
      <c r="F96" s="156"/>
      <c r="G96" s="156"/>
      <c r="H96" s="156"/>
      <c r="I96" s="156"/>
      <c r="J96" s="12"/>
      <c r="K96" s="12"/>
      <c r="L96" s="12"/>
      <c r="M96" s="13"/>
      <c r="N96" s="14"/>
      <c r="O96" s="15"/>
      <c r="P96" s="13"/>
      <c r="Q96" s="14"/>
      <c r="R96" s="15"/>
      <c r="S96" s="15"/>
      <c r="T96" s="15"/>
      <c r="U96" s="93">
        <f t="shared" si="41"/>
        <v>0</v>
      </c>
      <c r="V96" s="13"/>
      <c r="W96" s="92">
        <f t="shared" si="42"/>
        <v>0</v>
      </c>
      <c r="X96" s="93">
        <f t="shared" si="43"/>
        <v>0</v>
      </c>
    </row>
    <row r="97" spans="1:24" ht="25">
      <c r="A97" s="36" t="s">
        <v>60</v>
      </c>
      <c r="B97" s="40">
        <v>95306</v>
      </c>
      <c r="C97" s="41" t="s">
        <v>224</v>
      </c>
      <c r="D97" s="156"/>
      <c r="E97" s="156"/>
      <c r="F97" s="156"/>
      <c r="G97" s="156"/>
      <c r="H97" s="156"/>
      <c r="I97" s="156"/>
      <c r="J97" s="12"/>
      <c r="K97" s="12"/>
      <c r="L97" s="12"/>
      <c r="M97" s="13"/>
      <c r="N97" s="14"/>
      <c r="O97" s="15"/>
      <c r="P97" s="13"/>
      <c r="Q97" s="14"/>
      <c r="R97" s="15"/>
      <c r="S97" s="15"/>
      <c r="T97" s="15"/>
      <c r="U97" s="93">
        <f t="shared" si="41"/>
        <v>0</v>
      </c>
      <c r="V97" s="13"/>
      <c r="W97" s="92">
        <f t="shared" si="42"/>
        <v>0</v>
      </c>
      <c r="X97" s="93">
        <f t="shared" si="43"/>
        <v>0</v>
      </c>
    </row>
    <row r="98" spans="1:24" ht="20.149999999999999" customHeight="1">
      <c r="A98" s="123">
        <v>9</v>
      </c>
      <c r="B98" s="157" t="s">
        <v>225</v>
      </c>
      <c r="C98" s="157"/>
      <c r="D98" s="157"/>
      <c r="E98" s="157"/>
      <c r="F98" s="157"/>
      <c r="G98" s="157"/>
      <c r="H98" s="157"/>
      <c r="I98" s="15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37.5">
      <c r="A99" s="36" t="s">
        <v>33</v>
      </c>
      <c r="B99" s="50">
        <v>101492</v>
      </c>
      <c r="C99" s="41" t="s">
        <v>235</v>
      </c>
      <c r="D99" s="156"/>
      <c r="E99" s="156"/>
      <c r="F99" s="156"/>
      <c r="G99" s="156"/>
      <c r="H99" s="156"/>
      <c r="I99" s="156"/>
      <c r="J99" s="12"/>
      <c r="K99" s="12"/>
      <c r="L99" s="12"/>
      <c r="M99" s="13"/>
      <c r="N99" s="14"/>
      <c r="O99" s="15"/>
      <c r="P99" s="13"/>
      <c r="Q99" s="14"/>
      <c r="R99" s="15"/>
      <c r="S99" s="15"/>
      <c r="T99" s="15"/>
      <c r="U99" s="93">
        <f t="shared" si="41"/>
        <v>0</v>
      </c>
      <c r="V99" s="13"/>
      <c r="W99" s="92">
        <f t="shared" ref="W99:W108" si="44">TRUNC(V99*F99,2)</f>
        <v>0</v>
      </c>
      <c r="X99" s="93">
        <f t="shared" ref="X99:X108" si="45">TRUNC(W99*G99)+0</f>
        <v>0</v>
      </c>
    </row>
    <row r="100" spans="1:24" ht="25">
      <c r="A100" s="36" t="s">
        <v>226</v>
      </c>
      <c r="B100" s="50">
        <v>93660</v>
      </c>
      <c r="C100" s="41" t="s">
        <v>236</v>
      </c>
      <c r="D100" s="156"/>
      <c r="E100" s="156"/>
      <c r="F100" s="156"/>
      <c r="G100" s="156"/>
      <c r="H100" s="156"/>
      <c r="I100" s="156"/>
      <c r="J100" s="12"/>
      <c r="K100" s="12"/>
      <c r="L100" s="12"/>
      <c r="M100" s="13"/>
      <c r="N100" s="14"/>
      <c r="O100" s="15"/>
      <c r="P100" s="13"/>
      <c r="Q100" s="14"/>
      <c r="R100" s="15"/>
      <c r="S100" s="15"/>
      <c r="T100" s="15"/>
      <c r="U100" s="93">
        <f t="shared" si="41"/>
        <v>0</v>
      </c>
      <c r="V100" s="13"/>
      <c r="W100" s="92">
        <f t="shared" si="44"/>
        <v>0</v>
      </c>
      <c r="X100" s="93">
        <f t="shared" si="45"/>
        <v>0</v>
      </c>
    </row>
    <row r="101" spans="1:24" ht="62.5">
      <c r="A101" s="36" t="s">
        <v>227</v>
      </c>
      <c r="B101" s="50">
        <v>104473</v>
      </c>
      <c r="C101" s="41" t="s">
        <v>237</v>
      </c>
      <c r="D101" s="156"/>
      <c r="E101" s="156"/>
      <c r="F101" s="156"/>
      <c r="G101" s="156"/>
      <c r="H101" s="156"/>
      <c r="I101" s="156"/>
      <c r="J101" s="12"/>
      <c r="K101" s="12"/>
      <c r="L101" s="12"/>
      <c r="M101" s="13"/>
      <c r="N101" s="14"/>
      <c r="O101" s="15"/>
      <c r="P101" s="13"/>
      <c r="Q101" s="14"/>
      <c r="R101" s="15"/>
      <c r="S101" s="15"/>
      <c r="T101" s="15"/>
      <c r="U101" s="93">
        <f t="shared" si="41"/>
        <v>0</v>
      </c>
      <c r="V101" s="13"/>
      <c r="W101" s="92">
        <f t="shared" si="44"/>
        <v>0</v>
      </c>
      <c r="X101" s="93">
        <f t="shared" si="45"/>
        <v>0</v>
      </c>
    </row>
    <row r="102" spans="1:24" ht="25">
      <c r="A102" s="36" t="s">
        <v>228</v>
      </c>
      <c r="B102" s="50">
        <v>93664</v>
      </c>
      <c r="C102" s="41" t="s">
        <v>238</v>
      </c>
      <c r="D102" s="156"/>
      <c r="E102" s="156"/>
      <c r="F102" s="156"/>
      <c r="G102" s="156"/>
      <c r="H102" s="156"/>
      <c r="I102" s="156"/>
      <c r="J102" s="12"/>
      <c r="K102" s="12"/>
      <c r="L102" s="12"/>
      <c r="M102" s="13"/>
      <c r="N102" s="14"/>
      <c r="O102" s="15"/>
      <c r="P102" s="13"/>
      <c r="Q102" s="14"/>
      <c r="R102" s="15"/>
      <c r="S102" s="15"/>
      <c r="T102" s="15"/>
      <c r="U102" s="93">
        <f t="shared" si="41"/>
        <v>0</v>
      </c>
      <c r="V102" s="13"/>
      <c r="W102" s="92">
        <f t="shared" si="44"/>
        <v>0</v>
      </c>
      <c r="X102" s="93">
        <f t="shared" si="45"/>
        <v>0</v>
      </c>
    </row>
    <row r="103" spans="1:24" ht="25">
      <c r="A103" s="36" t="s">
        <v>229</v>
      </c>
      <c r="B103" s="50">
        <v>93854</v>
      </c>
      <c r="C103" s="41" t="s">
        <v>239</v>
      </c>
      <c r="D103" s="156"/>
      <c r="E103" s="156"/>
      <c r="F103" s="156"/>
      <c r="G103" s="156"/>
      <c r="H103" s="156"/>
      <c r="I103" s="156"/>
      <c r="J103" s="12"/>
      <c r="K103" s="12"/>
      <c r="L103" s="12"/>
      <c r="M103" s="13"/>
      <c r="N103" s="14"/>
      <c r="O103" s="15"/>
      <c r="P103" s="13"/>
      <c r="Q103" s="14"/>
      <c r="R103" s="15"/>
      <c r="S103" s="15"/>
      <c r="T103" s="15"/>
      <c r="U103" s="93">
        <f t="shared" si="41"/>
        <v>0</v>
      </c>
      <c r="V103" s="13"/>
      <c r="W103" s="92">
        <f t="shared" si="44"/>
        <v>0</v>
      </c>
      <c r="X103" s="93">
        <f t="shared" si="45"/>
        <v>0</v>
      </c>
    </row>
    <row r="104" spans="1:24" ht="62.5">
      <c r="A104" s="36" t="s">
        <v>230</v>
      </c>
      <c r="B104" s="50">
        <v>104478</v>
      </c>
      <c r="C104" s="41" t="s">
        <v>240</v>
      </c>
      <c r="D104" s="156"/>
      <c r="E104" s="156"/>
      <c r="F104" s="156"/>
      <c r="G104" s="156"/>
      <c r="H104" s="156"/>
      <c r="I104" s="156"/>
      <c r="J104" s="12"/>
      <c r="K104" s="12"/>
      <c r="L104" s="12"/>
      <c r="M104" s="13"/>
      <c r="N104" s="14"/>
      <c r="O104" s="15"/>
      <c r="P104" s="13"/>
      <c r="Q104" s="14"/>
      <c r="R104" s="15"/>
      <c r="S104" s="15"/>
      <c r="T104" s="15"/>
      <c r="U104" s="93">
        <f t="shared" si="41"/>
        <v>0</v>
      </c>
      <c r="V104" s="13"/>
      <c r="W104" s="92">
        <f t="shared" si="44"/>
        <v>0</v>
      </c>
      <c r="X104" s="93">
        <f t="shared" si="45"/>
        <v>0</v>
      </c>
    </row>
    <row r="105" spans="1:24" ht="62.5">
      <c r="A105" s="36" t="s">
        <v>231</v>
      </c>
      <c r="B105" s="50">
        <v>104475</v>
      </c>
      <c r="C105" s="41" t="s">
        <v>241</v>
      </c>
      <c r="D105" s="156"/>
      <c r="E105" s="156"/>
      <c r="F105" s="156"/>
      <c r="G105" s="156"/>
      <c r="H105" s="156"/>
      <c r="I105" s="156"/>
      <c r="J105" s="12"/>
      <c r="K105" s="12"/>
      <c r="L105" s="12"/>
      <c r="M105" s="13"/>
      <c r="N105" s="14"/>
      <c r="O105" s="15"/>
      <c r="P105" s="13"/>
      <c r="Q105" s="14"/>
      <c r="R105" s="15"/>
      <c r="S105" s="15"/>
      <c r="T105" s="15"/>
      <c r="U105" s="93">
        <f t="shared" si="41"/>
        <v>0</v>
      </c>
      <c r="V105" s="13"/>
      <c r="W105" s="92">
        <f t="shared" si="44"/>
        <v>0</v>
      </c>
      <c r="X105" s="93">
        <f t="shared" si="45"/>
        <v>0</v>
      </c>
    </row>
    <row r="106" spans="1:24" ht="37.5">
      <c r="A106" s="36" t="s">
        <v>232</v>
      </c>
      <c r="B106" s="50">
        <v>97589</v>
      </c>
      <c r="C106" s="41" t="s">
        <v>242</v>
      </c>
      <c r="D106" s="156"/>
      <c r="E106" s="156"/>
      <c r="F106" s="156"/>
      <c r="G106" s="156"/>
      <c r="H106" s="156"/>
      <c r="I106" s="156"/>
      <c r="J106" s="12"/>
      <c r="K106" s="12"/>
      <c r="L106" s="12"/>
      <c r="M106" s="13"/>
      <c r="N106" s="14"/>
      <c r="O106" s="15"/>
      <c r="P106" s="13"/>
      <c r="Q106" s="14"/>
      <c r="R106" s="15"/>
      <c r="S106" s="15"/>
      <c r="T106" s="15"/>
      <c r="U106" s="93">
        <f t="shared" si="41"/>
        <v>0</v>
      </c>
      <c r="V106" s="13"/>
      <c r="W106" s="92">
        <f t="shared" si="44"/>
        <v>0</v>
      </c>
      <c r="X106" s="93">
        <f t="shared" si="45"/>
        <v>0</v>
      </c>
    </row>
    <row r="107" spans="1:24" ht="37.5">
      <c r="A107" s="36" t="s">
        <v>233</v>
      </c>
      <c r="B107" s="50">
        <v>101560</v>
      </c>
      <c r="C107" s="41" t="s">
        <v>243</v>
      </c>
      <c r="D107" s="156"/>
      <c r="E107" s="156"/>
      <c r="F107" s="156"/>
      <c r="G107" s="156"/>
      <c r="H107" s="156"/>
      <c r="I107" s="156"/>
      <c r="J107" s="12"/>
      <c r="K107" s="12"/>
      <c r="L107" s="12"/>
      <c r="M107" s="13"/>
      <c r="N107" s="14"/>
      <c r="O107" s="15"/>
      <c r="P107" s="13"/>
      <c r="Q107" s="14"/>
      <c r="R107" s="15"/>
      <c r="S107" s="15"/>
      <c r="T107" s="15"/>
      <c r="U107" s="93">
        <f t="shared" si="41"/>
        <v>0</v>
      </c>
      <c r="V107" s="13"/>
      <c r="W107" s="92">
        <f t="shared" si="44"/>
        <v>0</v>
      </c>
      <c r="X107" s="93">
        <f t="shared" si="45"/>
        <v>0</v>
      </c>
    </row>
    <row r="108" spans="1:24" ht="25">
      <c r="A108" s="36" t="s">
        <v>234</v>
      </c>
      <c r="B108" s="50">
        <v>7996</v>
      </c>
      <c r="C108" s="41" t="s">
        <v>244</v>
      </c>
      <c r="D108" s="156"/>
      <c r="E108" s="156"/>
      <c r="F108" s="156"/>
      <c r="G108" s="156"/>
      <c r="H108" s="156"/>
      <c r="I108" s="156"/>
      <c r="J108" s="12"/>
      <c r="K108" s="12"/>
      <c r="L108" s="12"/>
      <c r="M108" s="13"/>
      <c r="N108" s="14"/>
      <c r="O108" s="15"/>
      <c r="P108" s="13"/>
      <c r="Q108" s="14"/>
      <c r="R108" s="15"/>
      <c r="S108" s="15"/>
      <c r="T108" s="15"/>
      <c r="U108" s="93">
        <f t="shared" si="41"/>
        <v>0</v>
      </c>
      <c r="V108" s="13"/>
      <c r="W108" s="92">
        <f t="shared" si="44"/>
        <v>0</v>
      </c>
      <c r="X108" s="93">
        <f t="shared" si="45"/>
        <v>0</v>
      </c>
    </row>
    <row r="109" spans="1:24" ht="20.149999999999999" customHeight="1">
      <c r="A109" s="123">
        <v>10</v>
      </c>
      <c r="B109" s="157" t="s">
        <v>245</v>
      </c>
      <c r="C109" s="157"/>
      <c r="D109" s="157"/>
      <c r="E109" s="157"/>
      <c r="F109" s="157"/>
      <c r="G109" s="157"/>
      <c r="H109" s="157"/>
      <c r="I109" s="15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37.5">
      <c r="A110" s="36" t="s">
        <v>34</v>
      </c>
      <c r="B110" s="50">
        <v>103244</v>
      </c>
      <c r="C110" s="36" t="s">
        <v>246</v>
      </c>
      <c r="D110" s="156"/>
      <c r="E110" s="156"/>
      <c r="F110" s="156"/>
      <c r="G110" s="156"/>
      <c r="H110" s="156"/>
      <c r="I110" s="156"/>
      <c r="J110" s="12"/>
      <c r="K110" s="12"/>
      <c r="L110" s="12"/>
      <c r="M110" s="13"/>
      <c r="N110" s="14"/>
      <c r="O110" s="15"/>
      <c r="P110" s="13"/>
      <c r="Q110" s="14"/>
      <c r="R110" s="15"/>
      <c r="S110" s="15"/>
      <c r="T110" s="15"/>
      <c r="U110" s="93">
        <f t="shared" si="41"/>
        <v>0</v>
      </c>
      <c r="V110" s="13"/>
      <c r="W110" s="92">
        <f t="shared" ref="W110:W111" si="46">TRUNC(V110*F110,2)</f>
        <v>0</v>
      </c>
      <c r="X110" s="93">
        <f t="shared" ref="X110:X111" si="47">TRUNC(W110*G110)+0</f>
        <v>0</v>
      </c>
    </row>
    <row r="111" spans="1:24" ht="25">
      <c r="A111" s="36" t="s">
        <v>35</v>
      </c>
      <c r="B111" s="65" t="s">
        <v>247</v>
      </c>
      <c r="C111" s="41" t="s">
        <v>248</v>
      </c>
      <c r="D111" s="159" t="s">
        <v>337</v>
      </c>
      <c r="E111" s="159"/>
      <c r="F111" s="159"/>
      <c r="G111" s="159"/>
      <c r="H111" s="159"/>
      <c r="I111" s="159"/>
      <c r="J111" s="12"/>
      <c r="K111" s="12"/>
      <c r="L111" s="12"/>
      <c r="M111" s="13"/>
      <c r="N111" s="14"/>
      <c r="O111" s="15"/>
      <c r="P111" s="13"/>
      <c r="Q111" s="14"/>
      <c r="R111" s="15"/>
      <c r="S111" s="15"/>
      <c r="T111" s="15"/>
      <c r="U111" s="93">
        <f t="shared" si="41"/>
        <v>0</v>
      </c>
      <c r="V111" s="13"/>
      <c r="W111" s="92">
        <f t="shared" si="46"/>
        <v>0</v>
      </c>
      <c r="X111" s="93">
        <f t="shared" si="47"/>
        <v>0</v>
      </c>
    </row>
    <row r="112" spans="1:24" ht="20.149999999999999" customHeight="1">
      <c r="A112" s="123">
        <v>11</v>
      </c>
      <c r="B112" s="157" t="s">
        <v>250</v>
      </c>
      <c r="C112" s="157"/>
      <c r="D112" s="157"/>
      <c r="E112" s="157"/>
      <c r="F112" s="157"/>
      <c r="G112" s="157"/>
      <c r="H112" s="157"/>
      <c r="I112" s="15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35" ht="37.5">
      <c r="A113" s="36" t="s">
        <v>61</v>
      </c>
      <c r="B113" s="40">
        <v>90823</v>
      </c>
      <c r="C113" s="41" t="s">
        <v>257</v>
      </c>
      <c r="D113" s="156"/>
      <c r="E113" s="156"/>
      <c r="F113" s="156"/>
      <c r="G113" s="156"/>
      <c r="H113" s="156"/>
      <c r="I113" s="156"/>
      <c r="J113" s="13"/>
      <c r="K113" s="14"/>
      <c r="L113" s="15"/>
      <c r="M113" s="13"/>
      <c r="N113" s="14"/>
      <c r="O113" s="15"/>
      <c r="P113" s="13"/>
      <c r="Q113" s="14"/>
      <c r="R113" s="15"/>
      <c r="S113" s="15"/>
      <c r="T113" s="15"/>
      <c r="U113" s="93">
        <f t="shared" si="41"/>
        <v>0</v>
      </c>
      <c r="V113" s="13"/>
      <c r="W113" s="92">
        <f t="shared" ref="W113:W120" si="48">TRUNC(V113*F113,2)</f>
        <v>0</v>
      </c>
      <c r="X113" s="93">
        <f t="shared" ref="X113:X120" si="49">TRUNC(W113*G113)+0</f>
        <v>0</v>
      </c>
    </row>
    <row r="114" spans="1:35" ht="50">
      <c r="A114" s="36" t="s">
        <v>62</v>
      </c>
      <c r="B114" s="37">
        <v>94570</v>
      </c>
      <c r="C114" s="41" t="s">
        <v>258</v>
      </c>
      <c r="D114" s="156"/>
      <c r="E114" s="156"/>
      <c r="F114" s="156"/>
      <c r="G114" s="156"/>
      <c r="H114" s="156"/>
      <c r="I114" s="156"/>
      <c r="J114" s="12"/>
      <c r="K114" s="12"/>
      <c r="L114" s="12"/>
      <c r="M114" s="13"/>
      <c r="N114" s="14"/>
      <c r="O114" s="15"/>
      <c r="P114" s="13"/>
      <c r="Q114" s="14"/>
      <c r="R114" s="15"/>
      <c r="S114" s="15"/>
      <c r="T114" s="15"/>
      <c r="U114" s="93">
        <f t="shared" si="41"/>
        <v>0</v>
      </c>
      <c r="V114" s="13"/>
      <c r="W114" s="92">
        <f t="shared" si="48"/>
        <v>0</v>
      </c>
      <c r="X114" s="93">
        <f t="shared" si="49"/>
        <v>0</v>
      </c>
    </row>
    <row r="115" spans="1:35" ht="37.5">
      <c r="A115" s="36" t="s">
        <v>63</v>
      </c>
      <c r="B115" s="40">
        <v>102185</v>
      </c>
      <c r="C115" s="41" t="s">
        <v>259</v>
      </c>
      <c r="D115" s="156"/>
      <c r="E115" s="156"/>
      <c r="F115" s="156"/>
      <c r="G115" s="156"/>
      <c r="H115" s="156"/>
      <c r="I115" s="156"/>
      <c r="J115" s="12"/>
      <c r="K115" s="12"/>
      <c r="L115" s="12"/>
      <c r="M115" s="13"/>
      <c r="N115" s="14"/>
      <c r="O115" s="15"/>
      <c r="P115" s="13"/>
      <c r="Q115" s="14"/>
      <c r="R115" s="15"/>
      <c r="S115" s="15"/>
      <c r="T115" s="15"/>
      <c r="U115" s="93">
        <f t="shared" si="41"/>
        <v>0</v>
      </c>
      <c r="V115" s="13"/>
      <c r="W115" s="92">
        <f t="shared" si="48"/>
        <v>0</v>
      </c>
      <c r="X115" s="93">
        <f t="shared" si="49"/>
        <v>0</v>
      </c>
    </row>
    <row r="116" spans="1:35" ht="37.5">
      <c r="A116" s="36" t="s">
        <v>252</v>
      </c>
      <c r="B116" s="40">
        <v>102184</v>
      </c>
      <c r="C116" s="41" t="s">
        <v>260</v>
      </c>
      <c r="D116" s="156"/>
      <c r="E116" s="156"/>
      <c r="F116" s="156"/>
      <c r="G116" s="156"/>
      <c r="H116" s="156"/>
      <c r="I116" s="156"/>
      <c r="J116" s="12"/>
      <c r="K116" s="12"/>
      <c r="L116" s="12"/>
      <c r="M116" s="13"/>
      <c r="N116" s="14"/>
      <c r="O116" s="15"/>
      <c r="P116" s="13"/>
      <c r="Q116" s="14"/>
      <c r="R116" s="15"/>
      <c r="S116" s="15"/>
      <c r="T116" s="15"/>
      <c r="U116" s="93">
        <f t="shared" si="41"/>
        <v>0</v>
      </c>
      <c r="V116" s="13"/>
      <c r="W116" s="92">
        <f t="shared" si="48"/>
        <v>0</v>
      </c>
      <c r="X116" s="93">
        <f t="shared" si="49"/>
        <v>0</v>
      </c>
    </row>
    <row r="117" spans="1:35" ht="37.5">
      <c r="A117" s="36" t="s">
        <v>253</v>
      </c>
      <c r="B117" s="40">
        <v>91338</v>
      </c>
      <c r="C117" s="41" t="s">
        <v>261</v>
      </c>
      <c r="D117" s="156"/>
      <c r="E117" s="156"/>
      <c r="F117" s="156"/>
      <c r="G117" s="156"/>
      <c r="H117" s="156"/>
      <c r="I117" s="156"/>
      <c r="J117" s="12"/>
      <c r="K117" s="12"/>
      <c r="L117" s="12"/>
      <c r="M117" s="13"/>
      <c r="N117" s="14"/>
      <c r="O117" s="15"/>
      <c r="P117" s="13"/>
      <c r="Q117" s="14"/>
      <c r="R117" s="15"/>
      <c r="S117" s="15"/>
      <c r="T117" s="15"/>
      <c r="U117" s="93">
        <f t="shared" si="41"/>
        <v>0</v>
      </c>
      <c r="V117" s="13"/>
      <c r="W117" s="92">
        <f t="shared" si="48"/>
        <v>0</v>
      </c>
      <c r="X117" s="93">
        <f t="shared" si="49"/>
        <v>0</v>
      </c>
    </row>
    <row r="118" spans="1:35" ht="50">
      <c r="A118" s="36" t="s">
        <v>254</v>
      </c>
      <c r="B118" s="40">
        <v>94559</v>
      </c>
      <c r="C118" s="41" t="s">
        <v>262</v>
      </c>
      <c r="D118" s="156"/>
      <c r="E118" s="156"/>
      <c r="F118" s="156"/>
      <c r="G118" s="156"/>
      <c r="H118" s="156"/>
      <c r="I118" s="156"/>
      <c r="J118" s="12"/>
      <c r="K118" s="12"/>
      <c r="L118" s="12"/>
      <c r="M118" s="13"/>
      <c r="N118" s="14"/>
      <c r="O118" s="15"/>
      <c r="P118" s="13"/>
      <c r="Q118" s="14"/>
      <c r="R118" s="15"/>
      <c r="S118" s="15"/>
      <c r="T118" s="15"/>
      <c r="U118" s="93">
        <f t="shared" si="41"/>
        <v>0</v>
      </c>
      <c r="V118" s="13"/>
      <c r="W118" s="92">
        <f t="shared" si="48"/>
        <v>0</v>
      </c>
      <c r="X118" s="93">
        <f t="shared" si="49"/>
        <v>0</v>
      </c>
    </row>
    <row r="119" spans="1:35" ht="50">
      <c r="A119" s="36" t="s">
        <v>255</v>
      </c>
      <c r="B119" s="40">
        <v>94562</v>
      </c>
      <c r="C119" s="41" t="s">
        <v>263</v>
      </c>
      <c r="D119" s="156"/>
      <c r="E119" s="156"/>
      <c r="F119" s="156"/>
      <c r="G119" s="156"/>
      <c r="H119" s="156"/>
      <c r="I119" s="156"/>
      <c r="J119" s="12"/>
      <c r="K119" s="12"/>
      <c r="L119" s="12"/>
      <c r="M119" s="13"/>
      <c r="N119" s="14"/>
      <c r="O119" s="15"/>
      <c r="P119" s="13"/>
      <c r="Q119" s="14"/>
      <c r="R119" s="15"/>
      <c r="S119" s="15"/>
      <c r="T119" s="15"/>
      <c r="U119" s="93">
        <f t="shared" si="41"/>
        <v>0</v>
      </c>
      <c r="V119" s="13"/>
      <c r="W119" s="92">
        <f t="shared" si="48"/>
        <v>0</v>
      </c>
      <c r="X119" s="93">
        <f t="shared" si="49"/>
        <v>0</v>
      </c>
    </row>
    <row r="120" spans="1:35" ht="25">
      <c r="A120" s="36" t="s">
        <v>256</v>
      </c>
      <c r="B120" s="40">
        <v>102170</v>
      </c>
      <c r="C120" s="41" t="s">
        <v>264</v>
      </c>
      <c r="D120" s="156"/>
      <c r="E120" s="156"/>
      <c r="F120" s="156"/>
      <c r="G120" s="156"/>
      <c r="H120" s="156"/>
      <c r="I120" s="156"/>
      <c r="J120" s="12"/>
      <c r="K120" s="12"/>
      <c r="L120" s="12"/>
      <c r="M120" s="13"/>
      <c r="N120" s="14"/>
      <c r="O120" s="15"/>
      <c r="P120" s="13"/>
      <c r="Q120" s="14"/>
      <c r="R120" s="15"/>
      <c r="S120" s="15"/>
      <c r="T120" s="15"/>
      <c r="U120" s="93">
        <f t="shared" si="41"/>
        <v>0</v>
      </c>
      <c r="V120" s="13"/>
      <c r="W120" s="92">
        <f t="shared" si="48"/>
        <v>0</v>
      </c>
      <c r="X120" s="93">
        <f t="shared" si="49"/>
        <v>0</v>
      </c>
    </row>
    <row r="121" spans="1:35" ht="20.149999999999999" customHeight="1">
      <c r="A121" s="123">
        <v>12</v>
      </c>
      <c r="B121" s="157" t="s">
        <v>25</v>
      </c>
      <c r="C121" s="157"/>
      <c r="D121" s="157"/>
      <c r="E121" s="157"/>
      <c r="F121" s="157"/>
      <c r="G121" s="157"/>
      <c r="H121" s="157"/>
      <c r="I121" s="15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35" ht="50">
      <c r="A122" s="36" t="s">
        <v>64</v>
      </c>
      <c r="B122" s="50">
        <v>104816</v>
      </c>
      <c r="C122" s="41" t="s">
        <v>265</v>
      </c>
      <c r="D122" s="158" t="s">
        <v>341</v>
      </c>
      <c r="E122" s="158"/>
      <c r="F122" s="158"/>
      <c r="G122" s="158"/>
      <c r="H122" s="158"/>
      <c r="I122" s="158"/>
      <c r="J122" s="12"/>
      <c r="K122" s="12"/>
      <c r="L122" s="12"/>
      <c r="M122" s="13"/>
      <c r="N122" s="14"/>
      <c r="O122" s="15"/>
      <c r="P122" s="13"/>
      <c r="Q122" s="14"/>
      <c r="R122" s="15"/>
      <c r="S122" s="15"/>
      <c r="T122" s="15"/>
      <c r="U122" s="93">
        <f t="shared" si="41"/>
        <v>0</v>
      </c>
      <c r="V122" s="31"/>
      <c r="W122" s="92">
        <f t="shared" ref="W122" si="50">TRUNC(V122*F122,2)</f>
        <v>0</v>
      </c>
      <c r="X122" s="93">
        <f t="shared" ref="X122" si="51">TRUNC(W122*G122)+0</f>
        <v>0</v>
      </c>
    </row>
    <row r="123" spans="1:35" ht="20.149999999999999" customHeight="1">
      <c r="A123" s="123">
        <v>13</v>
      </c>
      <c r="B123" s="157" t="s">
        <v>251</v>
      </c>
      <c r="C123" s="157"/>
      <c r="D123" s="157"/>
      <c r="E123" s="157"/>
      <c r="F123" s="157"/>
      <c r="G123" s="157"/>
      <c r="H123" s="157"/>
      <c r="I123" s="15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35" ht="23.25" customHeight="1">
      <c r="A124" s="36" t="s">
        <v>65</v>
      </c>
      <c r="B124" s="40">
        <v>2450</v>
      </c>
      <c r="C124" s="126" t="s">
        <v>266</v>
      </c>
      <c r="D124" s="156"/>
      <c r="E124" s="156"/>
      <c r="F124" s="156"/>
      <c r="G124" s="156"/>
      <c r="H124" s="156"/>
      <c r="I124" s="156"/>
      <c r="J124" s="12"/>
      <c r="K124" s="12"/>
      <c r="L124" s="122"/>
      <c r="M124" s="13"/>
      <c r="N124" s="14"/>
      <c r="O124" s="15"/>
      <c r="P124" s="13"/>
      <c r="Q124" s="14"/>
      <c r="R124" s="15"/>
      <c r="S124" s="15"/>
      <c r="T124" s="15"/>
      <c r="U124" s="93"/>
      <c r="V124" s="13"/>
      <c r="W124" s="92">
        <f t="shared" ref="W124" si="52">TRUNC(V124*F124,2)</f>
        <v>0</v>
      </c>
      <c r="X124" s="93"/>
    </row>
    <row r="125" spans="1:35" ht="60" customHeight="1">
      <c r="A125" s="140" t="s">
        <v>280</v>
      </c>
      <c r="B125" s="141"/>
      <c r="C125" s="142"/>
      <c r="D125" s="140" t="s">
        <v>39</v>
      </c>
      <c r="E125" s="141"/>
      <c r="F125" s="141"/>
      <c r="G125" s="141"/>
      <c r="H125" s="141"/>
      <c r="I125" s="142"/>
      <c r="J125" s="139" t="s">
        <v>334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</row>
    <row r="126" spans="1:35" s="83" customFormat="1" ht="60" customHeight="1">
      <c r="A126" s="143"/>
      <c r="B126" s="144"/>
      <c r="C126" s="145"/>
      <c r="D126" s="143"/>
      <c r="E126" s="144"/>
      <c r="F126" s="144"/>
      <c r="G126" s="144"/>
      <c r="H126" s="144"/>
      <c r="I126" s="145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</row>
    <row r="127" spans="1:35" s="83" customFormat="1" ht="70" customHeight="1">
      <c r="A127" s="143"/>
      <c r="B127" s="144"/>
      <c r="C127" s="145"/>
      <c r="D127" s="143"/>
      <c r="E127" s="144"/>
      <c r="F127" s="144"/>
      <c r="G127" s="144"/>
      <c r="H127" s="144"/>
      <c r="I127" s="145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</row>
    <row r="128" spans="1:35" s="83" customFormat="1">
      <c r="A128" s="146"/>
      <c r="B128" s="147"/>
      <c r="C128" s="148"/>
      <c r="D128" s="146"/>
      <c r="E128" s="147"/>
      <c r="F128" s="147"/>
      <c r="G128" s="147"/>
      <c r="H128" s="147"/>
      <c r="I128" s="148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</row>
    <row r="130" spans="1:35" s="83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21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</row>
    <row r="131" spans="1:35" s="83" customFormat="1">
      <c r="A131" s="18"/>
      <c r="B131" s="18"/>
      <c r="C131" s="20"/>
      <c r="D131" s="18"/>
      <c r="E131" s="20"/>
      <c r="F131" s="18"/>
      <c r="G131" s="18"/>
      <c r="H131" s="21"/>
      <c r="I131" s="18"/>
      <c r="J131" s="20"/>
      <c r="K131" s="18"/>
      <c r="L131" s="18"/>
      <c r="M131" s="20"/>
      <c r="N131" s="18"/>
      <c r="O131" s="18"/>
      <c r="P131" s="20"/>
      <c r="Q131" s="18"/>
      <c r="R131" s="18"/>
      <c r="S131" s="18"/>
      <c r="T131" s="18"/>
      <c r="U131" s="18"/>
      <c r="V131" s="20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</row>
    <row r="132" spans="1:35" s="83" customFormat="1">
      <c r="A132" s="18"/>
      <c r="B132" s="18"/>
      <c r="C132" s="18"/>
      <c r="D132" s="18"/>
      <c r="E132" s="18"/>
      <c r="F132" s="18"/>
      <c r="G132" s="18"/>
      <c r="H132" s="18">
        <v>0.25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 s="83" customFormat="1">
      <c r="A133" s="18"/>
      <c r="B133" s="18"/>
      <c r="C133" s="18"/>
      <c r="D133" s="18"/>
      <c r="E133" s="18"/>
      <c r="F133" s="18"/>
      <c r="G133" s="18"/>
      <c r="H133" s="21" t="e">
        <f>#REF!*H132</f>
        <v>#REF!</v>
      </c>
      <c r="I133" s="18"/>
      <c r="J133" s="18"/>
      <c r="K133" s="18"/>
      <c r="L133" s="18"/>
      <c r="M133" s="21">
        <v>1451015.78</v>
      </c>
      <c r="N133" s="18" t="s">
        <v>284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</row>
    <row r="134" spans="1:35" s="83" customFormat="1">
      <c r="A134" s="18"/>
      <c r="B134" s="18"/>
      <c r="C134" s="18"/>
      <c r="D134" s="18"/>
      <c r="E134" s="18"/>
      <c r="F134" s="18"/>
      <c r="G134" s="18"/>
      <c r="H134" s="22">
        <f>H38</f>
        <v>0</v>
      </c>
      <c r="I134" s="18" t="s">
        <v>281</v>
      </c>
      <c r="J134" s="18"/>
      <c r="K134" s="18"/>
      <c r="L134" s="18"/>
      <c r="M134" s="21" t="e">
        <f>#REF!</f>
        <v>#REF!</v>
      </c>
      <c r="N134" s="18" t="s">
        <v>285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</row>
    <row r="135" spans="1:35" s="83" customFormat="1">
      <c r="A135" s="18"/>
      <c r="B135" s="18"/>
      <c r="C135" s="18"/>
      <c r="D135" s="18"/>
      <c r="E135" s="18"/>
      <c r="F135" s="18"/>
      <c r="G135" s="18"/>
      <c r="H135" s="21" t="e">
        <f>H133+H134</f>
        <v>#REF!</v>
      </c>
      <c r="I135" s="18" t="s">
        <v>288</v>
      </c>
      <c r="J135" s="18"/>
      <c r="K135" s="18"/>
      <c r="L135" s="18"/>
      <c r="M135" s="76" t="e">
        <f>1-(M134/M133)</f>
        <v>#REF!</v>
      </c>
      <c r="N135" s="18" t="s">
        <v>286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</row>
    <row r="136" spans="1:35" s="83" customFormat="1">
      <c r="A136" s="18"/>
      <c r="B136" s="18"/>
      <c r="C136" s="18"/>
      <c r="D136" s="18"/>
      <c r="E136" s="18"/>
      <c r="F136" s="18"/>
      <c r="G136" s="18"/>
      <c r="H136" s="21">
        <v>111698.96</v>
      </c>
      <c r="I136" s="18" t="s">
        <v>282</v>
      </c>
      <c r="J136" s="18" t="s">
        <v>282</v>
      </c>
      <c r="K136" s="18" t="s">
        <v>282</v>
      </c>
      <c r="L136" s="18" t="s">
        <v>282</v>
      </c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</row>
    <row r="137" spans="1:35" s="83" customFormat="1">
      <c r="A137" s="18"/>
      <c r="B137" s="18"/>
      <c r="C137" s="18"/>
      <c r="D137" s="18"/>
      <c r="E137" s="18"/>
      <c r="F137" s="18"/>
      <c r="G137" s="18"/>
      <c r="H137" s="21" t="e">
        <f>H136*(100%-M135)</f>
        <v>#REF!</v>
      </c>
      <c r="I137" s="18" t="s">
        <v>287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</row>
    <row r="138" spans="1:35" s="83" customFormat="1">
      <c r="A138" s="18"/>
      <c r="B138" s="18"/>
      <c r="C138" s="18"/>
      <c r="D138" s="18"/>
      <c r="E138" s="18"/>
      <c r="F138" s="18"/>
      <c r="G138" s="18"/>
      <c r="H138" s="21" t="e">
        <f>H135-H137</f>
        <v>#REF!</v>
      </c>
      <c r="I138" s="18" t="s">
        <v>283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</row>
    <row r="139" spans="1:35" s="83" customFormat="1">
      <c r="A139" s="18"/>
      <c r="B139" s="18"/>
      <c r="C139" s="18"/>
      <c r="D139" s="18"/>
      <c r="E139" s="18"/>
      <c r="F139" s="18"/>
      <c r="G139" s="18"/>
      <c r="H139" s="21">
        <v>1451015.78</v>
      </c>
      <c r="I139" s="18" t="s">
        <v>289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21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</row>
    <row r="140" spans="1:35" s="83" customFormat="1">
      <c r="A140" s="18"/>
      <c r="B140" s="18"/>
      <c r="C140" s="18"/>
      <c r="D140" s="18"/>
      <c r="E140" s="18"/>
      <c r="F140" s="18"/>
      <c r="G140" s="18"/>
      <c r="H140" s="76" t="e">
        <f>1-(#REF!/H139)</f>
        <v>#REF!</v>
      </c>
      <c r="I140" s="18" t="s">
        <v>290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</row>
  </sheetData>
  <mergeCells count="149">
    <mergeCell ref="A3:D3"/>
    <mergeCell ref="E3:I3"/>
    <mergeCell ref="J3:K3"/>
    <mergeCell ref="M3:N3"/>
    <mergeCell ref="P3:Q3"/>
    <mergeCell ref="V3:W3"/>
    <mergeCell ref="V1:X2"/>
    <mergeCell ref="A2:D2"/>
    <mergeCell ref="E2:F2"/>
    <mergeCell ref="G2:H2"/>
    <mergeCell ref="B1:D1"/>
    <mergeCell ref="E1:F1"/>
    <mergeCell ref="G1:H1"/>
    <mergeCell ref="J1:L2"/>
    <mergeCell ref="M1:O2"/>
    <mergeCell ref="P1:R2"/>
    <mergeCell ref="D16:I16"/>
    <mergeCell ref="D17:I17"/>
    <mergeCell ref="J6:L6"/>
    <mergeCell ref="M6:O6"/>
    <mergeCell ref="P6:R6"/>
    <mergeCell ref="S6:U6"/>
    <mergeCell ref="V6:X6"/>
    <mergeCell ref="A4:H4"/>
    <mergeCell ref="J4:L4"/>
    <mergeCell ref="M4:O4"/>
    <mergeCell ref="P4:R4"/>
    <mergeCell ref="V4:X4"/>
    <mergeCell ref="J125:X128"/>
    <mergeCell ref="D5:I5"/>
    <mergeCell ref="B6:I6"/>
    <mergeCell ref="D7:I7"/>
    <mergeCell ref="D8:I8"/>
    <mergeCell ref="B9:I9"/>
    <mergeCell ref="D10:I10"/>
    <mergeCell ref="D11:I11"/>
    <mergeCell ref="D12:I12"/>
    <mergeCell ref="B13:I13"/>
    <mergeCell ref="A125:C128"/>
    <mergeCell ref="D125:I128"/>
    <mergeCell ref="B123:I123"/>
    <mergeCell ref="D124:I124"/>
    <mergeCell ref="D59:I59"/>
    <mergeCell ref="D60:I60"/>
    <mergeCell ref="D61:I61"/>
    <mergeCell ref="D62:I62"/>
    <mergeCell ref="B30:I30"/>
    <mergeCell ref="D31:I31"/>
    <mergeCell ref="D32:I32"/>
    <mergeCell ref="D33:I33"/>
    <mergeCell ref="B14:I14"/>
    <mergeCell ref="B15:I15"/>
    <mergeCell ref="D24:I24"/>
    <mergeCell ref="D25:I25"/>
    <mergeCell ref="D26:I26"/>
    <mergeCell ref="D27:I27"/>
    <mergeCell ref="D28:I28"/>
    <mergeCell ref="D29:I29"/>
    <mergeCell ref="D18:I18"/>
    <mergeCell ref="D19:I19"/>
    <mergeCell ref="D20:I20"/>
    <mergeCell ref="D21:I21"/>
    <mergeCell ref="B22:I22"/>
    <mergeCell ref="B23:I23"/>
    <mergeCell ref="D40:I40"/>
    <mergeCell ref="D41:I41"/>
    <mergeCell ref="D42:I42"/>
    <mergeCell ref="D43:I43"/>
    <mergeCell ref="D44:I44"/>
    <mergeCell ref="D46:I46"/>
    <mergeCell ref="B45:I45"/>
    <mergeCell ref="D34:I34"/>
    <mergeCell ref="D35:I35"/>
    <mergeCell ref="D37:I37"/>
    <mergeCell ref="D36:I36"/>
    <mergeCell ref="B38:I38"/>
    <mergeCell ref="D39:I39"/>
    <mergeCell ref="D53:I53"/>
    <mergeCell ref="D54:I54"/>
    <mergeCell ref="B55:I55"/>
    <mergeCell ref="B56:I56"/>
    <mergeCell ref="D57:I57"/>
    <mergeCell ref="D58:I58"/>
    <mergeCell ref="B47:I47"/>
    <mergeCell ref="D48:I48"/>
    <mergeCell ref="D49:I49"/>
    <mergeCell ref="D50:I50"/>
    <mergeCell ref="D51:I51"/>
    <mergeCell ref="B52:I52"/>
    <mergeCell ref="D69:I69"/>
    <mergeCell ref="D70:I70"/>
    <mergeCell ref="B71:I71"/>
    <mergeCell ref="D72:I72"/>
    <mergeCell ref="D73:I73"/>
    <mergeCell ref="D74:I74"/>
    <mergeCell ref="D63:I63"/>
    <mergeCell ref="D64:I64"/>
    <mergeCell ref="D65:I65"/>
    <mergeCell ref="D66:I66"/>
    <mergeCell ref="D67:I67"/>
    <mergeCell ref="D68:I68"/>
    <mergeCell ref="D81:I81"/>
    <mergeCell ref="D82:I82"/>
    <mergeCell ref="D83:I83"/>
    <mergeCell ref="D84:I84"/>
    <mergeCell ref="D85:I85"/>
    <mergeCell ref="D86:I86"/>
    <mergeCell ref="D75:I75"/>
    <mergeCell ref="D76:I76"/>
    <mergeCell ref="D77:I77"/>
    <mergeCell ref="D78:I78"/>
    <mergeCell ref="D79:I79"/>
    <mergeCell ref="D80:I80"/>
    <mergeCell ref="D93:I93"/>
    <mergeCell ref="D94:I94"/>
    <mergeCell ref="D95:I95"/>
    <mergeCell ref="D96:I96"/>
    <mergeCell ref="D97:I97"/>
    <mergeCell ref="B98:I98"/>
    <mergeCell ref="D87:I87"/>
    <mergeCell ref="D88:I88"/>
    <mergeCell ref="D89:I89"/>
    <mergeCell ref="D90:I90"/>
    <mergeCell ref="B91:I91"/>
    <mergeCell ref="D92:I92"/>
    <mergeCell ref="D105:I105"/>
    <mergeCell ref="D106:I106"/>
    <mergeCell ref="D107:I107"/>
    <mergeCell ref="D108:I108"/>
    <mergeCell ref="B109:I109"/>
    <mergeCell ref="D110:I110"/>
    <mergeCell ref="D99:I99"/>
    <mergeCell ref="D100:I100"/>
    <mergeCell ref="D101:I101"/>
    <mergeCell ref="D102:I102"/>
    <mergeCell ref="D103:I103"/>
    <mergeCell ref="D104:I104"/>
    <mergeCell ref="D117:I117"/>
    <mergeCell ref="D118:I118"/>
    <mergeCell ref="D119:I119"/>
    <mergeCell ref="D120:I120"/>
    <mergeCell ref="B121:I121"/>
    <mergeCell ref="D122:I122"/>
    <mergeCell ref="D111:I111"/>
    <mergeCell ref="B112:I112"/>
    <mergeCell ref="D113:I113"/>
    <mergeCell ref="D114:I114"/>
    <mergeCell ref="D115:I115"/>
    <mergeCell ref="D116:I116"/>
  </mergeCells>
  <conditionalFormatting sqref="J7:J8 M7:M8 P7:P8 V7:V8 J10:J12 M10:M12 P10:P12 V10:V12 J16:J21 M16:M21 P16:P21 V16:V21 J24:J29 M24:M29 P24:P29 V24:V29 J31:J37 M31:M37 P31:P37 V31:V37 J39:J44 M39:M44 P39:P44 V39:V44 J46 M46 P46 V46 J48:J51 M48:M51 P48:P51 V48:V51 J53:J54 M53:M54 P53:P54 V53:V54 J57:J70 M57:M70 P57:P70 V57:V70 J72:J90 M72:M90 P72:P90 V72:V90 J92:J97 M92:M97 P92:P97 V92:V97 J99:J108 M99:M108 P99:P108 V99:V108 J110:J111 M110:M111 P110:P111 V110:V111 J113:J120 M113:M120 P113:P120 V113:V120 J122 M122 P122 V122 J124 M124 P124 V124">
    <cfRule type="cellIs" dxfId="13" priority="33" operator="between">
      <formula>0.01</formula>
      <formula>1</formula>
    </cfRule>
  </conditionalFormatting>
  <conditionalFormatting sqref="K7:K8 N7:N8 Q7:Q8 W7:W8 K10:K12 N10:N12 Q10:Q12 W10:W12 K16:K21 N16:N21 Q16:Q21 W16:W21 K24:K29 N24:N29 Q24:Q29 W24:W29 K31:K37 N31:N37 Q31:Q37 W31:W37 K39:K44 N39:N44 Q39:Q44 W39:W44 K46 N46 Q46 W46 K48:K51 N48:N51 Q48:Q51 W48:W51 K53:K54 N53:N54 Q53:Q54 W53:W54 K57:K70 N57:N70 Q57:Q70 W57:W70 K72:K90 N72:N90 Q72:Q90 W72:W90 K92:K97 N92:N97 Q92:Q97 W92:W97 K99:K108 N99:N108 Q99:Q108 W99:W108 K110:K111 N110:N111 Q110:Q111 W110:W111 K113:K120 N113:N120 Q113:Q120 W113:W120 K122 N122 Q122 W122 K124 N124 Q124 W124">
    <cfRule type="cellIs" dxfId="12" priority="32" operator="between">
      <formula>1</formula>
      <formula>1000</formula>
    </cfRule>
  </conditionalFormatting>
  <conditionalFormatting sqref="L7:L8 O7:O8 R7:U8 X7:X8 L10:L12 O10:O12 R10:U12 X10:X12 L16:L21 O16:O21 R16:U21 X16:X21 L24:L29 O24:O29 R24:U29 X24:X29 L31:L37 O31:O37 R31:U37 X31:X37 L39:L44 O39:O44 R39:U44 X39:X44 L46 O46 R46:U46 X46 L48:L51 O48:O51 R48:U51 X48:X51 L53:L54 O53:O54 R53:U54 X53:X54 L57:L70 O57:O70 R57:U70 X57:X70 L72:L90 O72:O90 R72:U90 X72:X90 L92:L97 O92:O97 R92:U97 X92:X97 L99:L108 O99:O108 R99:U108 X99:X108 L110:L111 O110:O111 R110:U111 X110:X111 L113:L120 O113:O120 R113:U120 X113:X120 L122 O122 R122:U122 X122 L124 O124 R124:U124 X124">
    <cfRule type="cellIs" dxfId="11" priority="31" operator="between">
      <formula>1</formula>
      <formula>100000</formula>
    </cfRule>
  </conditionalFormatting>
  <printOptions horizontalCentered="1" verticalCentered="1"/>
  <pageMargins left="0.25" right="0.1" top="0.42" bottom="0.74803149606299213" header="0.31496062992125984" footer="0.31496062992125984"/>
  <pageSetup paperSize="9" scale="57" fitToHeight="4" orientation="portrait" r:id="rId1"/>
  <rowBreaks count="4" manualBreakCount="4">
    <brk id="29" max="30" man="1"/>
    <brk id="54" max="30" man="1"/>
    <brk id="90" max="30" man="1"/>
    <brk id="120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AF34"/>
  <sheetViews>
    <sheetView zoomScale="70" zoomScaleNormal="70" zoomScaleSheetLayoutView="85" workbookViewId="0">
      <selection activeCell="I2" sqref="I2"/>
    </sheetView>
  </sheetViews>
  <sheetFormatPr defaultColWidth="9.1796875" defaultRowHeight="13"/>
  <cols>
    <col min="1" max="1" width="19.1796875" style="18" customWidth="1"/>
    <col min="2" max="2" width="13.1796875" style="18" customWidth="1"/>
    <col min="3" max="3" width="61.453125" style="18" customWidth="1"/>
    <col min="4" max="4" width="13" style="18" customWidth="1"/>
    <col min="5" max="5" width="11.26953125" style="18" customWidth="1"/>
    <col min="6" max="7" width="12.453125" style="18" customWidth="1"/>
    <col min="8" max="8" width="17.1796875" style="18" customWidth="1"/>
    <col min="9" max="9" width="24" style="18" customWidth="1"/>
    <col min="10" max="10" width="13.1796875" style="18" customWidth="1"/>
    <col min="11" max="11" width="23" style="18" customWidth="1"/>
    <col min="12" max="12" width="17.453125" style="18" customWidth="1"/>
    <col min="13" max="13" width="14.54296875" style="18" hidden="1" customWidth="1"/>
    <col min="14" max="14" width="23.26953125" style="18" hidden="1" customWidth="1"/>
    <col min="15" max="15" width="16.453125" style="18" hidden="1" customWidth="1"/>
    <col min="16" max="16" width="13.1796875" style="18" hidden="1" customWidth="1"/>
    <col min="17" max="17" width="21" style="18" hidden="1" customWidth="1"/>
    <col min="18" max="18" width="16.453125" style="18" hidden="1" customWidth="1"/>
    <col min="19" max="20" width="18.1796875" style="18" hidden="1" customWidth="1"/>
    <col min="21" max="21" width="21" style="18" hidden="1" customWidth="1"/>
    <col min="22" max="22" width="13.1796875" style="18" hidden="1" customWidth="1"/>
    <col min="23" max="23" width="25.1796875" style="18" hidden="1" customWidth="1"/>
    <col min="24" max="24" width="16.81640625" style="18" hidden="1" customWidth="1"/>
    <col min="25" max="25" width="13.1796875" style="18" hidden="1" customWidth="1"/>
    <col min="26" max="26" width="25.1796875" style="18" hidden="1" customWidth="1"/>
    <col min="27" max="27" width="15.26953125" style="18" hidden="1" customWidth="1"/>
    <col min="28" max="28" width="16" style="18" customWidth="1"/>
    <col min="29" max="29" width="13.26953125" style="18" customWidth="1"/>
    <col min="30" max="30" width="17.1796875" style="18" customWidth="1"/>
    <col min="31" max="31" width="12.7265625" style="18" customWidth="1"/>
    <col min="32" max="32" width="14.26953125" style="83" customWidth="1"/>
    <col min="33" max="16384" width="9.1796875" style="18"/>
  </cols>
  <sheetData>
    <row r="1" spans="1:32" ht="109.5" customHeight="1">
      <c r="A1" s="17"/>
      <c r="B1" s="155" t="s">
        <v>268</v>
      </c>
      <c r="C1" s="155"/>
      <c r="D1" s="155"/>
      <c r="E1" s="133" t="s">
        <v>272</v>
      </c>
      <c r="F1" s="133"/>
      <c r="G1" s="133" t="s">
        <v>279</v>
      </c>
      <c r="H1" s="133"/>
      <c r="I1" s="73" t="s">
        <v>273</v>
      </c>
      <c r="J1" s="152"/>
      <c r="K1" s="152"/>
      <c r="L1" s="152"/>
      <c r="M1" s="152"/>
      <c r="N1" s="152"/>
      <c r="O1" s="152"/>
      <c r="P1" s="152"/>
      <c r="Q1" s="152"/>
      <c r="R1" s="165"/>
      <c r="S1" s="152"/>
      <c r="T1" s="152"/>
      <c r="U1" s="165"/>
      <c r="V1" s="152"/>
      <c r="W1" s="152"/>
      <c r="X1" s="165"/>
      <c r="Y1" s="152"/>
      <c r="Z1" s="152"/>
      <c r="AA1" s="165"/>
      <c r="AB1" s="152"/>
      <c r="AC1" s="152"/>
      <c r="AD1" s="152"/>
      <c r="AE1" s="152"/>
    </row>
    <row r="2" spans="1:32" ht="102" customHeight="1">
      <c r="A2" s="133" t="s">
        <v>269</v>
      </c>
      <c r="B2" s="133"/>
      <c r="C2" s="133"/>
      <c r="D2" s="133"/>
      <c r="E2" s="133" t="s">
        <v>325</v>
      </c>
      <c r="F2" s="133"/>
      <c r="G2" s="133" t="s">
        <v>324</v>
      </c>
      <c r="H2" s="133"/>
      <c r="I2" s="73" t="s">
        <v>333</v>
      </c>
      <c r="J2" s="152"/>
      <c r="K2" s="152"/>
      <c r="L2" s="152"/>
      <c r="M2" s="152"/>
      <c r="N2" s="152"/>
      <c r="O2" s="152"/>
      <c r="P2" s="152"/>
      <c r="Q2" s="152"/>
      <c r="R2" s="165"/>
      <c r="S2" s="152"/>
      <c r="T2" s="152"/>
      <c r="U2" s="165"/>
      <c r="V2" s="152"/>
      <c r="W2" s="152"/>
      <c r="X2" s="165"/>
      <c r="Y2" s="152"/>
      <c r="Z2" s="152"/>
      <c r="AA2" s="165"/>
      <c r="AB2" s="152"/>
      <c r="AC2" s="152"/>
      <c r="AD2" s="152"/>
      <c r="AE2" s="152"/>
    </row>
    <row r="3" spans="1:32" ht="91.5" customHeight="1">
      <c r="A3" s="133" t="s">
        <v>270</v>
      </c>
      <c r="B3" s="133"/>
      <c r="C3" s="133"/>
      <c r="D3" s="133"/>
      <c r="E3" s="133" t="s">
        <v>271</v>
      </c>
      <c r="F3" s="133"/>
      <c r="G3" s="133"/>
      <c r="H3" s="133"/>
      <c r="I3" s="133"/>
      <c r="J3" s="153" t="s">
        <v>326</v>
      </c>
      <c r="K3" s="154"/>
      <c r="L3" s="29">
        <f>L18</f>
        <v>151326</v>
      </c>
      <c r="M3" s="153" t="s">
        <v>327</v>
      </c>
      <c r="N3" s="154"/>
      <c r="O3" s="29">
        <f>O18</f>
        <v>0</v>
      </c>
      <c r="P3" s="153" t="s">
        <v>328</v>
      </c>
      <c r="Q3" s="154"/>
      <c r="R3" s="29">
        <f>R18</f>
        <v>0</v>
      </c>
      <c r="S3" s="153" t="s">
        <v>329</v>
      </c>
      <c r="T3" s="154"/>
      <c r="U3" s="29">
        <f>U18</f>
        <v>0</v>
      </c>
      <c r="V3" s="153" t="s">
        <v>330</v>
      </c>
      <c r="W3" s="154"/>
      <c r="X3" s="29">
        <f>X18</f>
        <v>0</v>
      </c>
      <c r="Y3" s="153" t="s">
        <v>331</v>
      </c>
      <c r="Z3" s="154"/>
      <c r="AA3" s="29">
        <f>AA18</f>
        <v>0</v>
      </c>
      <c r="AB3" s="166"/>
      <c r="AC3" s="167"/>
      <c r="AD3" s="167"/>
      <c r="AE3" s="168"/>
    </row>
    <row r="4" spans="1:32" ht="15" customHeight="1">
      <c r="A4" s="134" t="s">
        <v>323</v>
      </c>
      <c r="B4" s="135"/>
      <c r="C4" s="135"/>
      <c r="D4" s="135"/>
      <c r="E4" s="135"/>
      <c r="F4" s="135"/>
      <c r="G4" s="135"/>
      <c r="H4" s="136"/>
      <c r="I4" s="1"/>
      <c r="J4" s="135" t="s">
        <v>0</v>
      </c>
      <c r="K4" s="135"/>
      <c r="L4" s="135"/>
      <c r="M4" s="135" t="s">
        <v>0</v>
      </c>
      <c r="N4" s="135"/>
      <c r="O4" s="135"/>
      <c r="P4" s="135" t="s">
        <v>0</v>
      </c>
      <c r="Q4" s="135"/>
      <c r="R4" s="135"/>
      <c r="S4" s="135" t="s">
        <v>0</v>
      </c>
      <c r="T4" s="135"/>
      <c r="U4" s="135"/>
      <c r="V4" s="135" t="s">
        <v>0</v>
      </c>
      <c r="W4" s="135"/>
      <c r="X4" s="135"/>
      <c r="Y4" s="135" t="s">
        <v>0</v>
      </c>
      <c r="Z4" s="135"/>
      <c r="AA4" s="135"/>
      <c r="AB4" s="151" t="s">
        <v>1</v>
      </c>
      <c r="AC4" s="151"/>
      <c r="AD4" s="151"/>
      <c r="AE4" s="151"/>
    </row>
    <row r="5" spans="1:32" ht="65.25" customHeight="1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3" t="s">
        <v>9</v>
      </c>
      <c r="I5" s="4"/>
      <c r="J5" s="4" t="s">
        <v>10</v>
      </c>
      <c r="K5" s="4" t="s">
        <v>11</v>
      </c>
      <c r="L5" s="4" t="s">
        <v>12</v>
      </c>
      <c r="M5" s="4" t="s">
        <v>10</v>
      </c>
      <c r="N5" s="4" t="s">
        <v>11</v>
      </c>
      <c r="O5" s="4" t="s">
        <v>12</v>
      </c>
      <c r="P5" s="4" t="s">
        <v>10</v>
      </c>
      <c r="Q5" s="4" t="s">
        <v>11</v>
      </c>
      <c r="R5" s="4" t="s">
        <v>12</v>
      </c>
      <c r="S5" s="4" t="s">
        <v>10</v>
      </c>
      <c r="T5" s="4" t="s">
        <v>11</v>
      </c>
      <c r="U5" s="4" t="s">
        <v>12</v>
      </c>
      <c r="V5" s="4" t="s">
        <v>10</v>
      </c>
      <c r="W5" s="4" t="s">
        <v>11</v>
      </c>
      <c r="X5" s="4" t="s">
        <v>12</v>
      </c>
      <c r="Y5" s="4" t="s">
        <v>10</v>
      </c>
      <c r="Z5" s="4" t="s">
        <v>11</v>
      </c>
      <c r="AA5" s="4" t="s">
        <v>12</v>
      </c>
      <c r="AB5" s="4" t="s">
        <v>13</v>
      </c>
      <c r="AC5" s="4" t="s">
        <v>14</v>
      </c>
      <c r="AD5" s="4" t="s">
        <v>15</v>
      </c>
      <c r="AE5" s="4" t="s">
        <v>44</v>
      </c>
      <c r="AF5" s="84"/>
    </row>
    <row r="6" spans="1:32">
      <c r="A6" s="5">
        <v>1</v>
      </c>
      <c r="B6" s="131" t="s">
        <v>16</v>
      </c>
      <c r="C6" s="131"/>
      <c r="D6" s="131"/>
      <c r="E6" s="131"/>
      <c r="F6" s="131"/>
      <c r="G6" s="131"/>
      <c r="H6" s="6">
        <f>SUM(H7:H15)</f>
        <v>178749.99100000001</v>
      </c>
      <c r="I6" s="7"/>
      <c r="J6" s="132" t="s">
        <v>17</v>
      </c>
      <c r="K6" s="132"/>
      <c r="L6" s="132"/>
      <c r="M6" s="132" t="s">
        <v>40</v>
      </c>
      <c r="N6" s="132"/>
      <c r="O6" s="132"/>
      <c r="P6" s="132" t="s">
        <v>42</v>
      </c>
      <c r="Q6" s="132"/>
      <c r="R6" s="132"/>
      <c r="S6" s="132" t="s">
        <v>46</v>
      </c>
      <c r="T6" s="132"/>
      <c r="U6" s="132"/>
      <c r="V6" s="132" t="s">
        <v>47</v>
      </c>
      <c r="W6" s="132"/>
      <c r="X6" s="132"/>
      <c r="Y6" s="132" t="s">
        <v>274</v>
      </c>
      <c r="Z6" s="132"/>
      <c r="AA6" s="132"/>
      <c r="AB6" s="8"/>
      <c r="AC6" s="8"/>
      <c r="AD6" s="9">
        <f>SUM(AD7:AD15)</f>
        <v>151326</v>
      </c>
      <c r="AE6" s="9"/>
    </row>
    <row r="7" spans="1:32" s="97" customFormat="1" ht="37.5">
      <c r="A7" s="99" t="s">
        <v>291</v>
      </c>
      <c r="B7" s="99" t="s">
        <v>292</v>
      </c>
      <c r="C7" s="100" t="s">
        <v>296</v>
      </c>
      <c r="D7" s="99" t="s">
        <v>74</v>
      </c>
      <c r="E7" s="99" t="s">
        <v>298</v>
      </c>
      <c r="F7" s="104">
        <v>312.27</v>
      </c>
      <c r="G7" s="104">
        <v>145.87</v>
      </c>
      <c r="H7" s="101">
        <f>F7*G7</f>
        <v>45550.8249</v>
      </c>
      <c r="I7" s="90"/>
      <c r="J7" s="91">
        <v>1</v>
      </c>
      <c r="K7" s="92">
        <f>TRUNC(J7*F7,2)</f>
        <v>312.27</v>
      </c>
      <c r="L7" s="93">
        <f>TRUNC(K7*G7)</f>
        <v>45550</v>
      </c>
      <c r="M7" s="91"/>
      <c r="N7" s="92">
        <f t="shared" ref="N7" si="0">TRUNC(M7*F7,2)</f>
        <v>0</v>
      </c>
      <c r="O7" s="93">
        <f>TRUNC(N7*G7)</f>
        <v>0</v>
      </c>
      <c r="P7" s="94"/>
      <c r="Q7" s="92">
        <f>TRUNC(P7*F7,2)</f>
        <v>0</v>
      </c>
      <c r="R7" s="93">
        <f>TRUNC(Q7*G7)</f>
        <v>0</v>
      </c>
      <c r="S7" s="91"/>
      <c r="T7" s="92">
        <f t="shared" ref="T7" si="1">TRUNC(S7*F7,2)</f>
        <v>0</v>
      </c>
      <c r="U7" s="93">
        <f>TRUNC(T7*G7)+0</f>
        <v>0</v>
      </c>
      <c r="V7" s="91"/>
      <c r="W7" s="92">
        <f>TRUNC(V7*F7,2)</f>
        <v>0</v>
      </c>
      <c r="X7" s="93">
        <f>TRUNC(W7*G7)+0</f>
        <v>0</v>
      </c>
      <c r="Y7" s="94"/>
      <c r="Z7" s="92">
        <f>TRUNC(Y7*F7,2)</f>
        <v>0</v>
      </c>
      <c r="AA7" s="93">
        <f>TRUNC(Z7*G7)</f>
        <v>0</v>
      </c>
      <c r="AB7" s="91">
        <f t="shared" ref="AB7:AD8" si="2">SUM(J7,M7,P7,S7,V7)</f>
        <v>1</v>
      </c>
      <c r="AC7" s="92">
        <f t="shared" si="2"/>
        <v>312.27</v>
      </c>
      <c r="AD7" s="93">
        <f t="shared" si="2"/>
        <v>45550</v>
      </c>
      <c r="AE7" s="95" t="str">
        <f>IF(AB7=100%,"ITEM FINALIZADO",AB7)</f>
        <v>ITEM FINALIZADO</v>
      </c>
      <c r="AF7" s="96"/>
    </row>
    <row r="8" spans="1:32" ht="18" customHeight="1">
      <c r="A8" s="99" t="s">
        <v>293</v>
      </c>
      <c r="B8" s="99" t="s">
        <v>294</v>
      </c>
      <c r="C8" s="100" t="s">
        <v>297</v>
      </c>
      <c r="D8" s="99" t="s">
        <v>295</v>
      </c>
      <c r="E8" s="99" t="s">
        <v>298</v>
      </c>
      <c r="F8" s="104">
        <v>312.27</v>
      </c>
      <c r="G8" s="104">
        <v>92.03</v>
      </c>
      <c r="H8" s="102">
        <f>F8*G8-(0.01)</f>
        <v>28738.198100000001</v>
      </c>
      <c r="I8" s="12"/>
      <c r="J8" s="13">
        <v>0.3</v>
      </c>
      <c r="K8" s="14">
        <f>TRUNC(J8*F8,2)</f>
        <v>93.68</v>
      </c>
      <c r="L8" s="15">
        <f>TRUNC(K8*G8)</f>
        <v>8621</v>
      </c>
      <c r="M8" s="13"/>
      <c r="N8" s="92">
        <f t="shared" ref="N8" si="3">TRUNC(M8*F8,2)</f>
        <v>0</v>
      </c>
      <c r="O8" s="93">
        <f>TRUNC(N8*G8)</f>
        <v>0</v>
      </c>
      <c r="P8" s="13"/>
      <c r="Q8" s="92">
        <f>TRUNC(P8*F8,2)</f>
        <v>0</v>
      </c>
      <c r="R8" s="93">
        <f>TRUNC(Q8*G8)</f>
        <v>0</v>
      </c>
      <c r="S8" s="13"/>
      <c r="T8" s="92">
        <f t="shared" ref="T8" si="4">TRUNC(S8*F8,2)</f>
        <v>0</v>
      </c>
      <c r="U8" s="93">
        <f>TRUNC(T8*G8)+0</f>
        <v>0</v>
      </c>
      <c r="V8" s="13"/>
      <c r="W8" s="92">
        <f>TRUNC(V8*F8,2)</f>
        <v>0</v>
      </c>
      <c r="X8" s="93">
        <f>TRUNC(W8*G8)+0</f>
        <v>0</v>
      </c>
      <c r="Y8" s="13"/>
      <c r="Z8" s="92">
        <f>TRUNC(Y8*F8,2)</f>
        <v>0</v>
      </c>
      <c r="AA8" s="93">
        <f>TRUNC(Z8*G8)</f>
        <v>0</v>
      </c>
      <c r="AB8" s="13">
        <f t="shared" si="2"/>
        <v>0.3</v>
      </c>
      <c r="AC8" s="14">
        <f t="shared" si="2"/>
        <v>93.68</v>
      </c>
      <c r="AD8" s="15">
        <f t="shared" si="2"/>
        <v>8621</v>
      </c>
      <c r="AE8" s="24">
        <f>IF(AB8=100%,"ITEM FINALIZADO",AB8)</f>
        <v>0.3</v>
      </c>
    </row>
    <row r="9" spans="1:32" ht="50">
      <c r="A9" s="99" t="s">
        <v>299</v>
      </c>
      <c r="B9" s="99" t="s">
        <v>300</v>
      </c>
      <c r="C9" s="100" t="s">
        <v>314</v>
      </c>
      <c r="D9" s="99" t="s">
        <v>74</v>
      </c>
      <c r="E9" s="99" t="s">
        <v>298</v>
      </c>
      <c r="F9" s="105">
        <v>240.04</v>
      </c>
      <c r="G9" s="105">
        <v>82.92</v>
      </c>
      <c r="H9" s="103">
        <f>(F9*G9)-0.01</f>
        <v>19904.106800000001</v>
      </c>
      <c r="I9" s="12"/>
      <c r="J9" s="13">
        <v>0.85</v>
      </c>
      <c r="K9" s="14">
        <f>TRUNC(J9*F9,2)</f>
        <v>204.03</v>
      </c>
      <c r="L9" s="15">
        <f>TRUNC(K9*G9)</f>
        <v>16918</v>
      </c>
      <c r="M9" s="13"/>
      <c r="N9" s="92">
        <f t="shared" ref="N9:N11" si="5">TRUNC(M9*F9,2)</f>
        <v>0</v>
      </c>
      <c r="O9" s="93">
        <f t="shared" ref="O9:O11" si="6">TRUNC(N9*G9)</f>
        <v>0</v>
      </c>
      <c r="P9" s="13"/>
      <c r="Q9" s="92">
        <f t="shared" ref="Q9:Q11" si="7">TRUNC(P9*F9,2)</f>
        <v>0</v>
      </c>
      <c r="R9" s="93">
        <f t="shared" ref="R9:R11" si="8">TRUNC(Q9*G9)</f>
        <v>0</v>
      </c>
      <c r="S9" s="13"/>
      <c r="T9" s="92">
        <f t="shared" ref="T9:T11" si="9">TRUNC(S9*F9,2)</f>
        <v>0</v>
      </c>
      <c r="U9" s="93">
        <f t="shared" ref="U9:U11" si="10">TRUNC(T9*G9)+0</f>
        <v>0</v>
      </c>
      <c r="V9" s="13"/>
      <c r="W9" s="92">
        <f t="shared" ref="W9:W11" si="11">TRUNC(V9*F9,2)</f>
        <v>0</v>
      </c>
      <c r="X9" s="93">
        <f t="shared" ref="X9:X11" si="12">TRUNC(W9*G9)+0</f>
        <v>0</v>
      </c>
      <c r="Y9" s="13"/>
      <c r="Z9" s="92">
        <f t="shared" ref="Z9:Z11" si="13">TRUNC(Y9*F9,2)</f>
        <v>0</v>
      </c>
      <c r="AA9" s="93">
        <f t="shared" ref="AA9:AA11" si="14">TRUNC(Z9*G9)</f>
        <v>0</v>
      </c>
      <c r="AB9" s="13">
        <f t="shared" ref="AB9:AD11" si="15">SUM(J9,M9,P9,S9,V9)</f>
        <v>0.85</v>
      </c>
      <c r="AC9" s="14">
        <f t="shared" si="15"/>
        <v>204.03</v>
      </c>
      <c r="AD9" s="15">
        <f t="shared" si="15"/>
        <v>16918</v>
      </c>
      <c r="AE9" s="24">
        <f t="shared" ref="AE9:AE15" si="16">IF(AB9=100%,"ITEM FINALIZADO",AB9)</f>
        <v>0.85</v>
      </c>
    </row>
    <row r="10" spans="1:32" ht="38.25" customHeight="1">
      <c r="A10" s="99" t="s">
        <v>301</v>
      </c>
      <c r="B10" s="99" t="s">
        <v>302</v>
      </c>
      <c r="C10" s="100" t="s">
        <v>315</v>
      </c>
      <c r="D10" s="99" t="s">
        <v>74</v>
      </c>
      <c r="E10" s="99" t="s">
        <v>298</v>
      </c>
      <c r="F10" s="105">
        <v>709.27</v>
      </c>
      <c r="G10" s="105">
        <v>78.56</v>
      </c>
      <c r="H10" s="103">
        <f t="shared" ref="H10" si="17">F10*G10</f>
        <v>55720.251199999999</v>
      </c>
      <c r="I10" s="12"/>
      <c r="J10" s="13">
        <v>1</v>
      </c>
      <c r="K10" s="14">
        <f>TRUNC(J10*F10,2)</f>
        <v>709.27</v>
      </c>
      <c r="L10" s="15">
        <f>TRUNC(K10*G10)+0</f>
        <v>55720</v>
      </c>
      <c r="M10" s="13"/>
      <c r="N10" s="92">
        <f t="shared" si="5"/>
        <v>0</v>
      </c>
      <c r="O10" s="93">
        <f t="shared" si="6"/>
        <v>0</v>
      </c>
      <c r="P10" s="13"/>
      <c r="Q10" s="92">
        <f t="shared" si="7"/>
        <v>0</v>
      </c>
      <c r="R10" s="93">
        <f t="shared" si="8"/>
        <v>0</v>
      </c>
      <c r="S10" s="13"/>
      <c r="T10" s="92">
        <f t="shared" si="9"/>
        <v>0</v>
      </c>
      <c r="U10" s="93">
        <f t="shared" si="10"/>
        <v>0</v>
      </c>
      <c r="V10" s="13"/>
      <c r="W10" s="92">
        <f t="shared" si="11"/>
        <v>0</v>
      </c>
      <c r="X10" s="93">
        <f t="shared" si="12"/>
        <v>0</v>
      </c>
      <c r="Y10" s="13"/>
      <c r="Z10" s="92">
        <f t="shared" si="13"/>
        <v>0</v>
      </c>
      <c r="AA10" s="93">
        <f t="shared" si="14"/>
        <v>0</v>
      </c>
      <c r="AB10" s="13">
        <f t="shared" si="15"/>
        <v>1</v>
      </c>
      <c r="AC10" s="14">
        <f t="shared" si="15"/>
        <v>709.27</v>
      </c>
      <c r="AD10" s="15">
        <f t="shared" si="15"/>
        <v>55720</v>
      </c>
      <c r="AE10" s="24" t="str">
        <f>IF(AB10=100%,"ITEM FINALIZADO",AB10)</f>
        <v>ITEM FINALIZADO</v>
      </c>
    </row>
    <row r="11" spans="1:32" ht="50">
      <c r="A11" s="99" t="s">
        <v>303</v>
      </c>
      <c r="B11" s="99" t="s">
        <v>304</v>
      </c>
      <c r="C11" s="100" t="s">
        <v>316</v>
      </c>
      <c r="D11" s="99" t="s">
        <v>74</v>
      </c>
      <c r="E11" s="99" t="s">
        <v>298</v>
      </c>
      <c r="F11" s="105">
        <v>240.04</v>
      </c>
      <c r="G11" s="105">
        <v>5.98</v>
      </c>
      <c r="H11" s="103">
        <f>(F11*G11)-(0.01)</f>
        <v>1435.4292</v>
      </c>
      <c r="I11" s="12"/>
      <c r="J11" s="13">
        <v>1</v>
      </c>
      <c r="K11" s="14">
        <f>TRUNC(J11*F11,2)</f>
        <v>240.04</v>
      </c>
      <c r="L11" s="15">
        <f>TRUNC(K11*G11)</f>
        <v>1435</v>
      </c>
      <c r="M11" s="13"/>
      <c r="N11" s="92">
        <f t="shared" si="5"/>
        <v>0</v>
      </c>
      <c r="O11" s="93">
        <f t="shared" si="6"/>
        <v>0</v>
      </c>
      <c r="P11" s="13"/>
      <c r="Q11" s="92">
        <f t="shared" si="7"/>
        <v>0</v>
      </c>
      <c r="R11" s="93">
        <f t="shared" si="8"/>
        <v>0</v>
      </c>
      <c r="S11" s="13"/>
      <c r="T11" s="92">
        <f t="shared" si="9"/>
        <v>0</v>
      </c>
      <c r="U11" s="93">
        <f t="shared" si="10"/>
        <v>0</v>
      </c>
      <c r="V11" s="13"/>
      <c r="W11" s="92">
        <f t="shared" si="11"/>
        <v>0</v>
      </c>
      <c r="X11" s="93">
        <f t="shared" si="12"/>
        <v>0</v>
      </c>
      <c r="Y11" s="13"/>
      <c r="Z11" s="92">
        <f t="shared" si="13"/>
        <v>0</v>
      </c>
      <c r="AA11" s="93">
        <f t="shared" si="14"/>
        <v>0</v>
      </c>
      <c r="AB11" s="13">
        <f t="shared" si="15"/>
        <v>1</v>
      </c>
      <c r="AC11" s="14">
        <f t="shared" si="15"/>
        <v>240.04</v>
      </c>
      <c r="AD11" s="15">
        <f t="shared" si="15"/>
        <v>1435</v>
      </c>
      <c r="AE11" s="24" t="str">
        <f t="shared" si="16"/>
        <v>ITEM FINALIZADO</v>
      </c>
    </row>
    <row r="12" spans="1:32" ht="26">
      <c r="A12" s="99" t="s">
        <v>305</v>
      </c>
      <c r="B12" s="99" t="s">
        <v>306</v>
      </c>
      <c r="C12" s="100" t="s">
        <v>317</v>
      </c>
      <c r="D12" s="99" t="s">
        <v>313</v>
      </c>
      <c r="E12" s="99" t="s">
        <v>321</v>
      </c>
      <c r="F12" s="105">
        <v>135.11000000000001</v>
      </c>
      <c r="G12" s="105">
        <v>87.97</v>
      </c>
      <c r="H12" s="103">
        <f>(F12*G12)-0.01</f>
        <v>11885.6167</v>
      </c>
      <c r="I12" s="12"/>
      <c r="J12" s="13">
        <v>1</v>
      </c>
      <c r="K12" s="14">
        <f t="shared" ref="K12:K15" si="18">TRUNC(J12*F12,2)</f>
        <v>135.11000000000001</v>
      </c>
      <c r="L12" s="15">
        <f>TRUNC(K12*G12)</f>
        <v>11885</v>
      </c>
      <c r="M12" s="13"/>
      <c r="N12" s="14">
        <f>TRUNC(M12*F12,2)</f>
        <v>0</v>
      </c>
      <c r="O12" s="15">
        <f>TRUNC(N12*G12)</f>
        <v>0</v>
      </c>
      <c r="P12" s="13"/>
      <c r="Q12" s="92">
        <f t="shared" ref="Q12:Q15" si="19">TRUNC(P12*F12,2)</f>
        <v>0</v>
      </c>
      <c r="R12" s="93">
        <f t="shared" ref="R12:R15" si="20">TRUNC(Q12*G12)</f>
        <v>0</v>
      </c>
      <c r="S12" s="13"/>
      <c r="T12" s="92">
        <f t="shared" ref="T12:T15" si="21">TRUNC(S12*F12,2)</f>
        <v>0</v>
      </c>
      <c r="U12" s="93">
        <f t="shared" ref="U12:U15" si="22">TRUNC(T12*G12)+0</f>
        <v>0</v>
      </c>
      <c r="V12" s="13"/>
      <c r="W12" s="92">
        <f t="shared" ref="W12:W15" si="23">TRUNC(V12*F12,2)</f>
        <v>0</v>
      </c>
      <c r="X12" s="93">
        <f t="shared" ref="X12:X15" si="24">TRUNC(W12*G12)+0</f>
        <v>0</v>
      </c>
      <c r="Y12" s="13"/>
      <c r="Z12" s="92">
        <f t="shared" ref="Z12:Z15" si="25">TRUNC(Y12*F12,2)</f>
        <v>0</v>
      </c>
      <c r="AA12" s="93">
        <f t="shared" ref="AA12:AA15" si="26">TRUNC(Z12*G12)</f>
        <v>0</v>
      </c>
      <c r="AB12" s="13">
        <f t="shared" ref="AB12:AD15" si="27">SUM(J12,M12,P12,S12,V12)</f>
        <v>1</v>
      </c>
      <c r="AC12" s="14">
        <f t="shared" si="27"/>
        <v>135.11000000000001</v>
      </c>
      <c r="AD12" s="15">
        <f t="shared" si="27"/>
        <v>11885</v>
      </c>
      <c r="AE12" s="24" t="str">
        <f t="shared" si="16"/>
        <v>ITEM FINALIZADO</v>
      </c>
      <c r="AF12" s="85"/>
    </row>
    <row r="13" spans="1:32" s="83" customFormat="1">
      <c r="A13" s="99" t="s">
        <v>307</v>
      </c>
      <c r="B13" s="99" t="s">
        <v>308</v>
      </c>
      <c r="C13" s="100" t="s">
        <v>318</v>
      </c>
      <c r="D13" s="99" t="s">
        <v>313</v>
      </c>
      <c r="E13" s="99" t="s">
        <v>322</v>
      </c>
      <c r="F13" s="105">
        <v>11</v>
      </c>
      <c r="G13" s="105">
        <v>28.32</v>
      </c>
      <c r="H13" s="103">
        <f>(F13*G13)</f>
        <v>311.52</v>
      </c>
      <c r="I13" s="12"/>
      <c r="J13" s="13"/>
      <c r="K13" s="14">
        <f t="shared" si="18"/>
        <v>0</v>
      </c>
      <c r="L13" s="15">
        <f>TRUNC(K13*G13)</f>
        <v>0</v>
      </c>
      <c r="M13" s="13"/>
      <c r="N13" s="14">
        <f t="shared" ref="N13:N15" si="28">TRUNC(M13*F13,2)</f>
        <v>0</v>
      </c>
      <c r="O13" s="15">
        <f>TRUNC(N13*G13)</f>
        <v>0</v>
      </c>
      <c r="P13" s="13"/>
      <c r="Q13" s="92">
        <f t="shared" si="19"/>
        <v>0</v>
      </c>
      <c r="R13" s="93">
        <f t="shared" si="20"/>
        <v>0</v>
      </c>
      <c r="S13" s="13"/>
      <c r="T13" s="92">
        <f t="shared" si="21"/>
        <v>0</v>
      </c>
      <c r="U13" s="93">
        <f t="shared" si="22"/>
        <v>0</v>
      </c>
      <c r="V13" s="13"/>
      <c r="W13" s="92">
        <f t="shared" si="23"/>
        <v>0</v>
      </c>
      <c r="X13" s="93">
        <f t="shared" si="24"/>
        <v>0</v>
      </c>
      <c r="Y13" s="13"/>
      <c r="Z13" s="92">
        <f t="shared" si="25"/>
        <v>0</v>
      </c>
      <c r="AA13" s="93">
        <f t="shared" si="26"/>
        <v>0</v>
      </c>
      <c r="AB13" s="13">
        <f t="shared" si="27"/>
        <v>0</v>
      </c>
      <c r="AC13" s="14">
        <f t="shared" si="27"/>
        <v>0</v>
      </c>
      <c r="AD13" s="15">
        <f t="shared" si="27"/>
        <v>0</v>
      </c>
      <c r="AE13" s="24">
        <f t="shared" si="16"/>
        <v>0</v>
      </c>
    </row>
    <row r="14" spans="1:32" s="83" customFormat="1" ht="26">
      <c r="A14" s="99" t="s">
        <v>309</v>
      </c>
      <c r="B14" s="99" t="s">
        <v>310</v>
      </c>
      <c r="C14" s="100" t="s">
        <v>319</v>
      </c>
      <c r="D14" s="99" t="s">
        <v>74</v>
      </c>
      <c r="E14" s="99" t="s">
        <v>321</v>
      </c>
      <c r="F14" s="105">
        <v>18</v>
      </c>
      <c r="G14" s="105">
        <v>622.09</v>
      </c>
      <c r="H14" s="103">
        <f t="shared" ref="H14:H15" si="29">(F14*G14)</f>
        <v>11197.62</v>
      </c>
      <c r="I14" s="12"/>
      <c r="J14" s="13">
        <v>1</v>
      </c>
      <c r="K14" s="14">
        <f t="shared" si="18"/>
        <v>18</v>
      </c>
      <c r="L14" s="15">
        <f>TRUNC(K14*G14)</f>
        <v>11197</v>
      </c>
      <c r="M14" s="13"/>
      <c r="N14" s="14">
        <f t="shared" si="28"/>
        <v>0</v>
      </c>
      <c r="O14" s="15">
        <f>TRUNC(N14*G14)</f>
        <v>0</v>
      </c>
      <c r="P14" s="13"/>
      <c r="Q14" s="92">
        <f t="shared" si="19"/>
        <v>0</v>
      </c>
      <c r="R14" s="93">
        <f t="shared" si="20"/>
        <v>0</v>
      </c>
      <c r="S14" s="13"/>
      <c r="T14" s="92">
        <f t="shared" si="21"/>
        <v>0</v>
      </c>
      <c r="U14" s="93">
        <f t="shared" si="22"/>
        <v>0</v>
      </c>
      <c r="V14" s="13"/>
      <c r="W14" s="92">
        <f t="shared" si="23"/>
        <v>0</v>
      </c>
      <c r="X14" s="93">
        <f t="shared" si="24"/>
        <v>0</v>
      </c>
      <c r="Y14" s="13"/>
      <c r="Z14" s="92">
        <f t="shared" si="25"/>
        <v>0</v>
      </c>
      <c r="AA14" s="93">
        <f t="shared" si="26"/>
        <v>0</v>
      </c>
      <c r="AB14" s="13">
        <f t="shared" si="27"/>
        <v>1</v>
      </c>
      <c r="AC14" s="14">
        <f t="shared" si="27"/>
        <v>18</v>
      </c>
      <c r="AD14" s="15">
        <f t="shared" si="27"/>
        <v>11197</v>
      </c>
      <c r="AE14" s="24" t="str">
        <f t="shared" si="16"/>
        <v>ITEM FINALIZADO</v>
      </c>
    </row>
    <row r="15" spans="1:32" s="83" customFormat="1" ht="25">
      <c r="A15" s="99" t="s">
        <v>311</v>
      </c>
      <c r="B15" s="99" t="s">
        <v>312</v>
      </c>
      <c r="C15" s="100" t="s">
        <v>320</v>
      </c>
      <c r="D15" s="99" t="s">
        <v>74</v>
      </c>
      <c r="E15" s="99" t="s">
        <v>298</v>
      </c>
      <c r="F15" s="105">
        <v>312.27</v>
      </c>
      <c r="G15" s="105">
        <v>12.83</v>
      </c>
      <c r="H15" s="103">
        <f t="shared" si="29"/>
        <v>4006.4240999999997</v>
      </c>
      <c r="I15" s="12"/>
      <c r="J15" s="13"/>
      <c r="K15" s="14">
        <f t="shared" si="18"/>
        <v>0</v>
      </c>
      <c r="L15" s="15">
        <f>TRUNC(K15*G15)</f>
        <v>0</v>
      </c>
      <c r="M15" s="13"/>
      <c r="N15" s="14">
        <f t="shared" si="28"/>
        <v>0</v>
      </c>
      <c r="O15" s="15">
        <f>TRUNC(N15*G15)</f>
        <v>0</v>
      </c>
      <c r="P15" s="13"/>
      <c r="Q15" s="92">
        <f t="shared" si="19"/>
        <v>0</v>
      </c>
      <c r="R15" s="93">
        <f t="shared" si="20"/>
        <v>0</v>
      </c>
      <c r="S15" s="13"/>
      <c r="T15" s="92">
        <f t="shared" si="21"/>
        <v>0</v>
      </c>
      <c r="U15" s="93">
        <f t="shared" si="22"/>
        <v>0</v>
      </c>
      <c r="V15" s="13"/>
      <c r="W15" s="92">
        <f t="shared" si="23"/>
        <v>0</v>
      </c>
      <c r="X15" s="93">
        <f t="shared" si="24"/>
        <v>0</v>
      </c>
      <c r="Y15" s="13"/>
      <c r="Z15" s="92">
        <f t="shared" si="25"/>
        <v>0</v>
      </c>
      <c r="AA15" s="93">
        <f t="shared" si="26"/>
        <v>0</v>
      </c>
      <c r="AB15" s="13">
        <f t="shared" si="27"/>
        <v>0</v>
      </c>
      <c r="AC15" s="14">
        <f t="shared" si="27"/>
        <v>0</v>
      </c>
      <c r="AD15" s="15">
        <f t="shared" si="27"/>
        <v>0</v>
      </c>
      <c r="AE15" s="24">
        <f t="shared" si="16"/>
        <v>0</v>
      </c>
    </row>
    <row r="16" spans="1:32" s="83" customFormat="1" ht="21.75" customHeight="1">
      <c r="A16" s="137" t="s">
        <v>36</v>
      </c>
      <c r="B16" s="137"/>
      <c r="C16" s="137"/>
      <c r="D16" s="137"/>
      <c r="E16" s="137"/>
      <c r="F16" s="137"/>
      <c r="G16" s="138"/>
      <c r="H16" s="74">
        <v>32786.629999999997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s="83" customFormat="1" ht="20.25" customHeight="1">
      <c r="A17" s="149" t="s">
        <v>37</v>
      </c>
      <c r="B17" s="149"/>
      <c r="C17" s="149"/>
      <c r="D17" s="149"/>
      <c r="E17" s="149"/>
      <c r="F17" s="149"/>
      <c r="G17" s="150"/>
      <c r="H17" s="75">
        <f>H6-H16</f>
        <v>145963.361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s="83" customFormat="1" ht="31.5" customHeight="1">
      <c r="A18" s="149" t="s">
        <v>38</v>
      </c>
      <c r="B18" s="149"/>
      <c r="C18" s="149"/>
      <c r="D18" s="149"/>
      <c r="E18" s="149"/>
      <c r="F18" s="149"/>
      <c r="G18" s="150"/>
      <c r="H18" s="11">
        <f>SUM(H16:H17)</f>
        <v>178749.99100000001</v>
      </c>
      <c r="I18" s="23"/>
      <c r="J18" s="27">
        <f>L18/$H$18</f>
        <v>0.84657906360398083</v>
      </c>
      <c r="K18" s="25" t="s">
        <v>332</v>
      </c>
      <c r="L18" s="26">
        <f>SUM(L7:L15)</f>
        <v>151326</v>
      </c>
      <c r="M18" s="27">
        <f>O18/$H$18</f>
        <v>0</v>
      </c>
      <c r="N18" s="28" t="s">
        <v>41</v>
      </c>
      <c r="O18" s="26">
        <f>SUM(O7:O15)</f>
        <v>0</v>
      </c>
      <c r="P18" s="27">
        <f>R18/$H$18</f>
        <v>0</v>
      </c>
      <c r="Q18" s="28" t="s">
        <v>43</v>
      </c>
      <c r="R18" s="26">
        <f>SUM(R7:R15)</f>
        <v>0</v>
      </c>
      <c r="S18" s="27">
        <f>U18/$H$18</f>
        <v>0</v>
      </c>
      <c r="T18" s="28" t="s">
        <v>49</v>
      </c>
      <c r="U18" s="26">
        <f>SUM(U7:U15)</f>
        <v>0</v>
      </c>
      <c r="V18" s="27">
        <f>X18/$H$18</f>
        <v>0</v>
      </c>
      <c r="W18" s="28" t="s">
        <v>68</v>
      </c>
      <c r="X18" s="26">
        <f>SUM(X7:X15)</f>
        <v>0</v>
      </c>
      <c r="Y18" s="27">
        <f>AA18/$H$18</f>
        <v>0</v>
      </c>
      <c r="Z18" s="28" t="s">
        <v>69</v>
      </c>
      <c r="AA18" s="26">
        <f>SUM(AA7:AA15)</f>
        <v>0</v>
      </c>
      <c r="AB18" s="25" t="s">
        <v>45</v>
      </c>
      <c r="AC18" s="27">
        <f>AD18/$H$18</f>
        <v>0.84657906360398083</v>
      </c>
      <c r="AD18" s="26">
        <f>SUM(L18,O18,R18,U18,X18)</f>
        <v>151326</v>
      </c>
      <c r="AE18" s="27">
        <f>100%-AC18</f>
        <v>0.15342093639601917</v>
      </c>
    </row>
    <row r="19" spans="1:31" s="83" customFormat="1" ht="60" customHeight="1">
      <c r="A19" s="140" t="s">
        <v>280</v>
      </c>
      <c r="B19" s="141"/>
      <c r="C19" s="142"/>
      <c r="D19" s="140" t="s">
        <v>39</v>
      </c>
      <c r="E19" s="141"/>
      <c r="F19" s="141"/>
      <c r="G19" s="141"/>
      <c r="H19" s="141"/>
      <c r="I19" s="142"/>
      <c r="J19" s="139" t="s">
        <v>48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</row>
    <row r="20" spans="1:31" s="83" customFormat="1" ht="60" customHeight="1">
      <c r="A20" s="143"/>
      <c r="B20" s="144"/>
      <c r="C20" s="145"/>
      <c r="D20" s="143"/>
      <c r="E20" s="144"/>
      <c r="F20" s="144"/>
      <c r="G20" s="144"/>
      <c r="H20" s="144"/>
      <c r="I20" s="145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</row>
    <row r="21" spans="1:31" s="83" customFormat="1" ht="70" customHeight="1">
      <c r="A21" s="143"/>
      <c r="B21" s="144"/>
      <c r="C21" s="145"/>
      <c r="D21" s="143"/>
      <c r="E21" s="144"/>
      <c r="F21" s="144"/>
      <c r="G21" s="144"/>
      <c r="H21" s="144"/>
      <c r="I21" s="145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</row>
    <row r="22" spans="1:31" s="83" customFormat="1">
      <c r="A22" s="146"/>
      <c r="B22" s="147"/>
      <c r="C22" s="148"/>
      <c r="D22" s="146"/>
      <c r="E22" s="147"/>
      <c r="F22" s="147"/>
      <c r="G22" s="147"/>
      <c r="H22" s="147"/>
      <c r="I22" s="148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9"/>
    </row>
    <row r="25" spans="1:31" s="83" customFormat="1">
      <c r="A25" s="18"/>
      <c r="B25" s="18"/>
      <c r="C25" s="20"/>
      <c r="D25" s="18"/>
      <c r="E25" s="20"/>
      <c r="F25" s="18"/>
      <c r="G25" s="18"/>
      <c r="H25" s="21"/>
      <c r="I25" s="18"/>
      <c r="J25" s="20"/>
      <c r="K25" s="18"/>
      <c r="L25" s="18"/>
      <c r="M25" s="20"/>
      <c r="N25" s="18"/>
      <c r="O25" s="18"/>
      <c r="P25" s="20"/>
      <c r="Q25" s="18"/>
      <c r="R25" s="18"/>
      <c r="S25" s="20"/>
      <c r="T25" s="18"/>
      <c r="U25" s="18"/>
      <c r="V25" s="20"/>
      <c r="W25" s="18"/>
      <c r="X25" s="18"/>
      <c r="Y25" s="20"/>
      <c r="Z25" s="18"/>
      <c r="AA25" s="18"/>
      <c r="AB25" s="18"/>
      <c r="AC25" s="18"/>
      <c r="AD25" s="18"/>
      <c r="AE25" s="18"/>
    </row>
    <row r="26" spans="1:31" s="83" customFormat="1">
      <c r="A26" s="18"/>
      <c r="B26" s="18"/>
      <c r="C26" s="18"/>
      <c r="D26" s="18"/>
      <c r="E26" s="18"/>
      <c r="F26" s="18"/>
      <c r="G26" s="18"/>
      <c r="H26" s="18">
        <v>0.25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83" customFormat="1">
      <c r="A27" s="18"/>
      <c r="B27" s="18"/>
      <c r="C27" s="18"/>
      <c r="D27" s="18"/>
      <c r="E27" s="18"/>
      <c r="F27" s="18"/>
      <c r="G27" s="18"/>
      <c r="H27" s="21">
        <f>H18*H26</f>
        <v>44687.497750000002</v>
      </c>
      <c r="I27" s="18"/>
      <c r="J27" s="18"/>
      <c r="K27" s="18"/>
      <c r="L27" s="18"/>
      <c r="M27" s="21">
        <v>1451015.78</v>
      </c>
      <c r="N27" s="18" t="s">
        <v>284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</row>
    <row r="28" spans="1:31" s="83" customFormat="1">
      <c r="A28" s="18"/>
      <c r="B28" s="18"/>
      <c r="C28" s="18"/>
      <c r="D28" s="18"/>
      <c r="E28" s="18"/>
      <c r="F28" s="18"/>
      <c r="G28" s="18"/>
      <c r="H28" s="22" t="e">
        <f>#REF!</f>
        <v>#REF!</v>
      </c>
      <c r="I28" s="18" t="s">
        <v>281</v>
      </c>
      <c r="J28" s="18"/>
      <c r="K28" s="18"/>
      <c r="L28" s="18"/>
      <c r="M28" s="21">
        <f>H18</f>
        <v>178749.99100000001</v>
      </c>
      <c r="N28" s="18" t="s">
        <v>285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83" customFormat="1">
      <c r="A29" s="18"/>
      <c r="B29" s="18"/>
      <c r="C29" s="18"/>
      <c r="D29" s="18"/>
      <c r="E29" s="18"/>
      <c r="F29" s="18"/>
      <c r="G29" s="18"/>
      <c r="H29" s="21" t="e">
        <f>H27+H28</f>
        <v>#REF!</v>
      </c>
      <c r="I29" s="18" t="s">
        <v>288</v>
      </c>
      <c r="J29" s="18"/>
      <c r="K29" s="18"/>
      <c r="L29" s="18"/>
      <c r="M29" s="76">
        <f>1-(M28/M27)</f>
        <v>0.87681044309525014</v>
      </c>
      <c r="N29" s="18" t="s">
        <v>286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0" spans="1:31" s="83" customFormat="1">
      <c r="A30" s="18"/>
      <c r="B30" s="18"/>
      <c r="C30" s="18"/>
      <c r="D30" s="18"/>
      <c r="E30" s="18"/>
      <c r="F30" s="18"/>
      <c r="G30" s="18"/>
      <c r="H30" s="21">
        <v>111698.96</v>
      </c>
      <c r="I30" s="18" t="s">
        <v>282</v>
      </c>
      <c r="J30" s="18" t="s">
        <v>282</v>
      </c>
      <c r="K30" s="18" t="s">
        <v>282</v>
      </c>
      <c r="L30" s="18" t="s">
        <v>282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83" customFormat="1">
      <c r="A31" s="18"/>
      <c r="B31" s="18"/>
      <c r="C31" s="18"/>
      <c r="D31" s="18"/>
      <c r="E31" s="18"/>
      <c r="F31" s="18"/>
      <c r="G31" s="18"/>
      <c r="H31" s="21">
        <f>H30*(100%-M29)</f>
        <v>13760.145389121381</v>
      </c>
      <c r="I31" s="18" t="s">
        <v>287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</row>
    <row r="32" spans="1:31" s="83" customFormat="1">
      <c r="A32" s="18"/>
      <c r="B32" s="18"/>
      <c r="C32" s="18"/>
      <c r="D32" s="18"/>
      <c r="E32" s="18"/>
      <c r="F32" s="18"/>
      <c r="G32" s="18"/>
      <c r="H32" s="21" t="e">
        <f>H29-H31</f>
        <v>#REF!</v>
      </c>
      <c r="I32" s="18" t="s">
        <v>283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83" customFormat="1">
      <c r="A33" s="18"/>
      <c r="B33" s="18"/>
      <c r="C33" s="18"/>
      <c r="D33" s="18"/>
      <c r="E33" s="18"/>
      <c r="F33" s="18"/>
      <c r="G33" s="18"/>
      <c r="H33" s="21">
        <v>1451015.78</v>
      </c>
      <c r="I33" s="18" t="s">
        <v>289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</row>
    <row r="34" spans="1:31" s="83" customFormat="1">
      <c r="A34" s="18"/>
      <c r="B34" s="18"/>
      <c r="C34" s="18"/>
      <c r="D34" s="18"/>
      <c r="E34" s="18"/>
      <c r="F34" s="18"/>
      <c r="G34" s="18"/>
      <c r="H34" s="76">
        <f>1-(H18/H33)</f>
        <v>0.87681044309525014</v>
      </c>
      <c r="I34" s="18" t="s">
        <v>290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</sheetData>
  <mergeCells count="43">
    <mergeCell ref="S1:U2"/>
    <mergeCell ref="V1:X2"/>
    <mergeCell ref="Y1:AA2"/>
    <mergeCell ref="AB1:AE2"/>
    <mergeCell ref="A2:D2"/>
    <mergeCell ref="E2:F2"/>
    <mergeCell ref="G2:H2"/>
    <mergeCell ref="B1:D1"/>
    <mergeCell ref="E1:F1"/>
    <mergeCell ref="G1:H1"/>
    <mergeCell ref="J1:L2"/>
    <mergeCell ref="M1:O2"/>
    <mergeCell ref="P1:R2"/>
    <mergeCell ref="V3:W3"/>
    <mergeCell ref="Y3:Z3"/>
    <mergeCell ref="AB3:AE3"/>
    <mergeCell ref="A4:H4"/>
    <mergeCell ref="J4:L4"/>
    <mergeCell ref="M4:O4"/>
    <mergeCell ref="P4:R4"/>
    <mergeCell ref="S4:U4"/>
    <mergeCell ref="V4:X4"/>
    <mergeCell ref="Y4:AA4"/>
    <mergeCell ref="A3:D3"/>
    <mergeCell ref="E3:I3"/>
    <mergeCell ref="J3:K3"/>
    <mergeCell ref="M3:N3"/>
    <mergeCell ref="P3:Q3"/>
    <mergeCell ref="S3:T3"/>
    <mergeCell ref="AB4:AE4"/>
    <mergeCell ref="B6:G6"/>
    <mergeCell ref="J6:L6"/>
    <mergeCell ref="M6:O6"/>
    <mergeCell ref="P6:R6"/>
    <mergeCell ref="S6:U6"/>
    <mergeCell ref="V6:X6"/>
    <mergeCell ref="Y6:AA6"/>
    <mergeCell ref="J19:AE22"/>
    <mergeCell ref="A16:G16"/>
    <mergeCell ref="A17:G17"/>
    <mergeCell ref="A18:G18"/>
    <mergeCell ref="A19:C22"/>
    <mergeCell ref="D19:I22"/>
  </mergeCells>
  <conditionalFormatting sqref="J7:J15 M7:M15 P7:P15 S7:S15">
    <cfRule type="cellIs" dxfId="10" priority="95" operator="between">
      <formula>0.01</formula>
      <formula>1</formula>
    </cfRule>
  </conditionalFormatting>
  <conditionalFormatting sqref="K7:K15 N7:N15 Q7:Q15 T7:T15">
    <cfRule type="cellIs" dxfId="9" priority="94" operator="between">
      <formula>1</formula>
      <formula>1000</formula>
    </cfRule>
  </conditionalFormatting>
  <conditionalFormatting sqref="L7:L15 O7:O15 R7:R15 U7:U15">
    <cfRule type="cellIs" dxfId="8" priority="93" operator="between">
      <formula>1</formula>
      <formula>100000</formula>
    </cfRule>
  </conditionalFormatting>
  <conditionalFormatting sqref="V7">
    <cfRule type="cellIs" dxfId="7" priority="92" operator="between">
      <formula>0.01</formula>
      <formula>1</formula>
    </cfRule>
  </conditionalFormatting>
  <conditionalFormatting sqref="W7:W15">
    <cfRule type="cellIs" dxfId="6" priority="58" operator="between">
      <formula>1</formula>
      <formula>1000</formula>
    </cfRule>
  </conditionalFormatting>
  <conditionalFormatting sqref="X7:X15">
    <cfRule type="cellIs" dxfId="5" priority="57" operator="between">
      <formula>1</formula>
      <formula>100000</formula>
    </cfRule>
  </conditionalFormatting>
  <conditionalFormatting sqref="Y7">
    <cfRule type="cellIs" dxfId="4" priority="64" operator="between">
      <formula>0.01</formula>
      <formula>1</formula>
    </cfRule>
  </conditionalFormatting>
  <conditionalFormatting sqref="Z7:Z15">
    <cfRule type="cellIs" dxfId="3" priority="25" operator="between">
      <formula>1</formula>
      <formula>1000</formula>
    </cfRule>
  </conditionalFormatting>
  <conditionalFormatting sqref="AA7:AA15">
    <cfRule type="cellIs" dxfId="2" priority="26" operator="between">
      <formula>1</formula>
      <formula>100000</formula>
    </cfRule>
  </conditionalFormatting>
  <conditionalFormatting sqref="AB7:AB15">
    <cfRule type="cellIs" dxfId="1" priority="97" operator="equal">
      <formula>1</formula>
    </cfRule>
  </conditionalFormatting>
  <conditionalFormatting sqref="AE7:AE15">
    <cfRule type="cellIs" dxfId="0" priority="96" operator="equal">
      <formula>"ITEM FINALIZADO"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PLANILHA DE MEDIÇÃO</vt:lpstr>
      <vt:lpstr>MEMORIAL DE CALCULO</vt:lpstr>
      <vt:lpstr>PLANILHA DE ADITIVO</vt:lpstr>
      <vt:lpstr>'MEMORIAL DE CALCULO'!Area_de_impressao</vt:lpstr>
      <vt:lpstr>'PLANILHA DE ADITIVO'!Area_de_impressao</vt:lpstr>
      <vt:lpstr>'PLANILHA DE MEDIÇÃO'!Area_de_impressao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</dc:creator>
  <cp:lastModifiedBy>Richard Kilber</cp:lastModifiedBy>
  <cp:lastPrinted>2025-06-26T14:22:09Z</cp:lastPrinted>
  <dcterms:created xsi:type="dcterms:W3CDTF">2024-08-07T11:01:56Z</dcterms:created>
  <dcterms:modified xsi:type="dcterms:W3CDTF">2025-09-11T12:33:21Z</dcterms:modified>
</cp:coreProperties>
</file>