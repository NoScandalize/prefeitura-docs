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kilbe\OneDrive\Área de Trabalho\AMENT MEDs\"/>
    </mc:Choice>
  </mc:AlternateContent>
  <xr:revisionPtr revIDLastSave="0" documentId="8_{B0543B91-4A57-4DE1-8CCF-05C14FF90429}" xr6:coauthVersionLast="47" xr6:coauthVersionMax="47" xr10:uidLastSave="{00000000-0000-0000-0000-000000000000}"/>
  <bookViews>
    <workbookView xWindow="-110" yWindow="-110" windowWidth="19420" windowHeight="10300" xr2:uid="{C5A6DA64-BE30-4E24-8567-88949C1AEBD6}"/>
  </bookViews>
  <sheets>
    <sheet name="PLANILHA DE ADITIVO" sheetId="1" r:id="rId1"/>
  </sheets>
  <externalReferences>
    <externalReference r:id="rId2"/>
  </externalReferences>
  <definedNames>
    <definedName name="_xlnm.Print_Area" localSheetId="0">'PLANILHA DE ADITIVO'!$A$1:$AE$22</definedName>
    <definedName name="JR_PAGE_ANCHOR_0_1" localSheetId="0">'PLANILHA DE ADITIVO'!#REF!</definedName>
    <definedName name="JR_PAGE_ANCHOR_0_1">'[1]PLANILHA DE MEDIÇÃO'!#REF!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8" i="1" l="1"/>
  <c r="AA15" i="1"/>
  <c r="Y15" i="1"/>
  <c r="AB15" i="1" s="1"/>
  <c r="AE15" i="1" s="1"/>
  <c r="W15" i="1"/>
  <c r="X15" i="1" s="1"/>
  <c r="U15" i="1"/>
  <c r="T15" i="1"/>
  <c r="Q15" i="1"/>
  <c r="R15" i="1" s="1"/>
  <c r="N15" i="1"/>
  <c r="O15" i="1" s="1"/>
  <c r="K15" i="1"/>
  <c r="L15" i="1" s="1"/>
  <c r="AD15" i="1" s="1"/>
  <c r="H15" i="1"/>
  <c r="AB14" i="1"/>
  <c r="AE14" i="1" s="1"/>
  <c r="AA14" i="1"/>
  <c r="Y14" i="1"/>
  <c r="X14" i="1"/>
  <c r="W14" i="1"/>
  <c r="T14" i="1"/>
  <c r="U14" i="1" s="1"/>
  <c r="Q14" i="1"/>
  <c r="R14" i="1" s="1"/>
  <c r="O14" i="1"/>
  <c r="N14" i="1"/>
  <c r="L14" i="1"/>
  <c r="K14" i="1"/>
  <c r="H14" i="1"/>
  <c r="AB13" i="1"/>
  <c r="AE13" i="1" s="1"/>
  <c r="AA13" i="1"/>
  <c r="Y13" i="1"/>
  <c r="X13" i="1"/>
  <c r="W13" i="1"/>
  <c r="T13" i="1"/>
  <c r="U13" i="1" s="1"/>
  <c r="Q13" i="1"/>
  <c r="AC13" i="1" s="1"/>
  <c r="N13" i="1"/>
  <c r="O13" i="1" s="1"/>
  <c r="L13" i="1"/>
  <c r="K13" i="1"/>
  <c r="H13" i="1"/>
  <c r="AC12" i="1"/>
  <c r="AA12" i="1"/>
  <c r="Y12" i="1"/>
  <c r="AB12" i="1" s="1"/>
  <c r="AE12" i="1" s="1"/>
  <c r="X12" i="1"/>
  <c r="W12" i="1"/>
  <c r="T12" i="1"/>
  <c r="U12" i="1" s="1"/>
  <c r="R12" i="1"/>
  <c r="Q12" i="1"/>
  <c r="O12" i="1"/>
  <c r="N12" i="1"/>
  <c r="K12" i="1"/>
  <c r="L12" i="1" s="1"/>
  <c r="H12" i="1"/>
  <c r="AE11" i="1"/>
  <c r="AB11" i="1"/>
  <c r="AA11" i="1"/>
  <c r="Y11" i="1"/>
  <c r="W11" i="1"/>
  <c r="X11" i="1" s="1"/>
  <c r="T11" i="1"/>
  <c r="U11" i="1" s="1"/>
  <c r="Q11" i="1"/>
  <c r="R11" i="1" s="1"/>
  <c r="O11" i="1"/>
  <c r="N11" i="1"/>
  <c r="K11" i="1"/>
  <c r="AC11" i="1" s="1"/>
  <c r="H11" i="1"/>
  <c r="AE10" i="1"/>
  <c r="AB10" i="1"/>
  <c r="AA10" i="1"/>
  <c r="Y10" i="1"/>
  <c r="W10" i="1"/>
  <c r="X10" i="1" s="1"/>
  <c r="U10" i="1"/>
  <c r="T10" i="1"/>
  <c r="Q10" i="1"/>
  <c r="R10" i="1" s="1"/>
  <c r="N10" i="1"/>
  <c r="O10" i="1" s="1"/>
  <c r="K10" i="1"/>
  <c r="AC10" i="1" s="1"/>
  <c r="H10" i="1"/>
  <c r="AA9" i="1"/>
  <c r="Y9" i="1"/>
  <c r="AB9" i="1" s="1"/>
  <c r="AE9" i="1" s="1"/>
  <c r="W9" i="1"/>
  <c r="X9" i="1" s="1"/>
  <c r="T9" i="1"/>
  <c r="U9" i="1" s="1"/>
  <c r="R9" i="1"/>
  <c r="Q9" i="1"/>
  <c r="N9" i="1"/>
  <c r="O9" i="1" s="1"/>
  <c r="K9" i="1"/>
  <c r="AC9" i="1" s="1"/>
  <c r="H9" i="1"/>
  <c r="AA8" i="1"/>
  <c r="Y8" i="1"/>
  <c r="AB8" i="1" s="1"/>
  <c r="AE8" i="1" s="1"/>
  <c r="X8" i="1"/>
  <c r="W8" i="1"/>
  <c r="T8" i="1"/>
  <c r="U8" i="1" s="1"/>
  <c r="Q8" i="1"/>
  <c r="R8" i="1" s="1"/>
  <c r="N8" i="1"/>
  <c r="O8" i="1" s="1"/>
  <c r="L8" i="1"/>
  <c r="K8" i="1"/>
  <c r="AC8" i="1" s="1"/>
  <c r="H8" i="1"/>
  <c r="AA7" i="1"/>
  <c r="AA18" i="1" s="1"/>
  <c r="Y7" i="1"/>
  <c r="AB7" i="1" s="1"/>
  <c r="AE7" i="1" s="1"/>
  <c r="W7" i="1"/>
  <c r="X7" i="1" s="1"/>
  <c r="X18" i="1" s="1"/>
  <c r="U7" i="1"/>
  <c r="T7" i="1"/>
  <c r="Q7" i="1"/>
  <c r="R7" i="1" s="1"/>
  <c r="N7" i="1"/>
  <c r="O7" i="1" s="1"/>
  <c r="K7" i="1"/>
  <c r="L7" i="1" s="1"/>
  <c r="H7" i="1"/>
  <c r="H6" i="1" s="1"/>
  <c r="H17" i="1" s="1"/>
  <c r="H18" i="1" s="1"/>
  <c r="V18" i="1" l="1"/>
  <c r="X3" i="1"/>
  <c r="H34" i="1"/>
  <c r="I17" i="1"/>
  <c r="M28" i="1"/>
  <c r="M29" i="1" s="1"/>
  <c r="H31" i="1" s="1"/>
  <c r="H27" i="1"/>
  <c r="H29" i="1" s="1"/>
  <c r="H32" i="1" s="1"/>
  <c r="O18" i="1"/>
  <c r="AD14" i="1"/>
  <c r="AA3" i="1"/>
  <c r="Y18" i="1"/>
  <c r="AD8" i="1"/>
  <c r="AD7" i="1"/>
  <c r="L18" i="1"/>
  <c r="AD12" i="1"/>
  <c r="U18" i="1"/>
  <c r="L9" i="1"/>
  <c r="AD9" i="1" s="1"/>
  <c r="L10" i="1"/>
  <c r="AD10" i="1" s="1"/>
  <c r="AC14" i="1"/>
  <c r="AC7" i="1"/>
  <c r="L11" i="1"/>
  <c r="AD11" i="1" s="1"/>
  <c r="AC15" i="1"/>
  <c r="R13" i="1"/>
  <c r="R18" i="1" s="1"/>
  <c r="R3" i="1" l="1"/>
  <c r="P18" i="1"/>
  <c r="AD13" i="1"/>
  <c r="L3" i="1"/>
  <c r="AD18" i="1"/>
  <c r="AC18" i="1" s="1"/>
  <c r="AE18" i="1" s="1"/>
  <c r="J18" i="1"/>
  <c r="AD6" i="1"/>
  <c r="O3" i="1"/>
  <c r="M18" i="1"/>
  <c r="S18" i="1"/>
  <c r="U3" i="1"/>
</calcChain>
</file>

<file path=xl/sharedStrings.xml><?xml version="1.0" encoding="utf-8"?>
<sst xmlns="http://schemas.openxmlformats.org/spreadsheetml/2006/main" count="132" uniqueCount="97">
  <si>
    <t>CONTRATAÇÃO DE UMA EMPRESA ESPECIALIZADA PARA CONSTRUÇÃO DE 01 (UM) CENTRO ESPECIALIZADO EM ATENÇÃO A SAÚDE MENTAL PARA ATENDER AS NECESSIDADES DA SECRETARIA MUNICIPAL DE SAÚDE EM COREMAS/PB</t>
  </si>
  <si>
    <t>BANCO DE DADOS:         
SINAPI - 05/2024-Paraiba 
ORSE - 0412024- Sergipe</t>
  </si>
  <si>
    <t>B.D.I. = 22,47%
ENCARGOS SOCIAIS:
Nao Desonerado: embutido nos presos unitário dos insumos de mão de obra, de acordo com as bases.</t>
  </si>
  <si>
    <t>DATA DE INÍCIO DO CONTRATO: 15/10/2024.
VIGÊNCIA: 12 MESES</t>
  </si>
  <si>
    <t>DADOS DO CONTRATANTE:  Prefeitura Municipal de Coremas.
CNPJ: 08.939.936/0001-94
POCESSO LICITATÓRIO: Processo Administrativo N°. 176/2024 e Concorrência Eletrônica N°. 0004/2024
CONTRATO N°. 328/2024
VALOR DA OBRA/CONTRATO: 1.150.000,00 (Um milhão, cento e cinquenta mil reais).</t>
  </si>
  <si>
    <t xml:space="preserve">NÚMERO DA MEDIÇÃO:
1ª MEDIÇÃO DO ADITIVO
</t>
  </si>
  <si>
    <t>DADOS DO CONTRATADO: CL CONSTRUÇÕES E SERVIÇOS LTDA 
CNPJ: 09.335.002/0001-06
ENDEREÇO: Rua Cel. João Severino, SN - Sala D - Centro - Itaporanga - PB.</t>
  </si>
  <si>
    <t>FONTE DOS RECURSOS: 
Próprio (Diversos) do Município, prevista no orçamento da União, para o exercício de 2024.</t>
  </si>
  <si>
    <t xml:space="preserve">TOTAL DA 1ª MEDIÇÃO DO ADITIVO  = </t>
  </si>
  <si>
    <t xml:space="preserve">TOTAL DA 2ª MEDIÇÃO DO ADITIVO  = </t>
  </si>
  <si>
    <t xml:space="preserve">TOTAL DA 3ª MEDIÇÃO DO ADITIVO  = </t>
  </si>
  <si>
    <t xml:space="preserve">TOTAL DA 4ª MEDIÇÃO DO ADITIVO  = </t>
  </si>
  <si>
    <t xml:space="preserve">TOTAL DA 5ª MEDIÇÃO DO ADITIVO  = </t>
  </si>
  <si>
    <t xml:space="preserve">TOTAL DA 6ª MEDIÇÃO DO ADITIVO  = </t>
  </si>
  <si>
    <t xml:space="preserve">ADITIVO AO CONTRATO
</t>
  </si>
  <si>
    <t>MEDIÇÕES</t>
  </si>
  <si>
    <t>AVANÇO</t>
  </si>
  <si>
    <t>ITEM</t>
  </si>
  <si>
    <t>CÓDIGO</t>
  </si>
  <si>
    <t>DESCRIÇÃO</t>
  </si>
  <si>
    <t>FONTE</t>
  </si>
  <si>
    <t>UND</t>
  </si>
  <si>
    <t>QUANTIDADE</t>
  </si>
  <si>
    <t>PREÇO
UNITÁRIO R$</t>
  </si>
  <si>
    <t>PREÇO
TOTAL R$</t>
  </si>
  <si>
    <t>AVANÇO PERCENTUAL NO PERÍODO</t>
  </si>
  <si>
    <t>QUANTIDADE MEDIDA NO PERÍODO</t>
  </si>
  <si>
    <t>VALOR MEDIDO NO PERÍODO</t>
  </si>
  <si>
    <t>% ACUMULADO</t>
  </si>
  <si>
    <t>QUANT. ACUMULADA</t>
  </si>
  <si>
    <t>TOTAL ACUMULADO</t>
  </si>
  <si>
    <t>STATUS DO ÍTEM</t>
  </si>
  <si>
    <t>SERVIÇOS PRELIMINARES</t>
  </si>
  <si>
    <t>MEDIÇÃO 01</t>
  </si>
  <si>
    <t>MEDIÇÃO 02</t>
  </si>
  <si>
    <t>MEDIÇÃO 03</t>
  </si>
  <si>
    <t>MEDIÇÃO 04</t>
  </si>
  <si>
    <t>MEDIÇÃO 05</t>
  </si>
  <si>
    <t>MEDIÇÃO 07</t>
  </si>
  <si>
    <t xml:space="preserve"> 1.1 </t>
  </si>
  <si>
    <t xml:space="preserve"> 101964 </t>
  </si>
  <si>
    <t>LAJE PRÉ-MOLDADA UNIDIRECIONAL, BIAPOIADA, PARA FORRO, ENCHIMENTO EM CERÂMICA, VIGOTA CONVENCIONAL, ALTURA TOTAL DA LAJE (ENCHIMENTO+CAPA) = (8+3). AF_11/2020_PA</t>
  </si>
  <si>
    <t>SINAPI</t>
  </si>
  <si>
    <t>m²</t>
  </si>
  <si>
    <t xml:space="preserve"> 1.2 </t>
  </si>
  <si>
    <t xml:space="preserve"> 10.01.049 </t>
  </si>
  <si>
    <t>FORRO DE GESSO ACARTONADO INCL ESTRUTURA</t>
  </si>
  <si>
    <t>FDE</t>
  </si>
  <si>
    <t xml:space="preserve"> 1.4 </t>
  </si>
  <si>
    <t xml:space="preserve"> 87831 </t>
  </si>
  <si>
    <t>EMBOÇO OU MASSA ÚNICA EM ARGAMASSA TRAÇO 1:2:8, PREPARO MANUAL, APLICADA MANUALMENTE NAS PAREDES INTERNAS DA SACADA, ESPESSURA DE 35 MM, SEM USO DE TELA METÁLICA DE REFORÇO CONTRA FISSURAÇÃO. AF_08/2022</t>
  </si>
  <si>
    <t xml:space="preserve"> 1.5 </t>
  </si>
  <si>
    <t xml:space="preserve"> 103328 </t>
  </si>
  <si>
    <t>ALVENARIA DE VEDAÇÃO DE BLOCOS CERÂMICOS FURADOS NA HORIZONTAL DE 9X19X19 CM (ESPESSURA 9 CM) E ARGAMASSA DE ASSENTAMENTO COM PREPARO EM BETONEIRA. AF_12/2021</t>
  </si>
  <si>
    <t xml:space="preserve"> 1.6 </t>
  </si>
  <si>
    <t xml:space="preserve"> 87894 </t>
  </si>
  <si>
    <t>CHAPISCO APLICADO EM ALVENARIA (SEM PRESENÇA DE VÃOS) E ESTRUTURAS DE CONCRETO DE FACHADA, COM COLHER DE PEDREIRO.  ARGAMASSA TRAÇO 1:3 COM PREPARO EM BETONEIRA 400L. AF_10/2022</t>
  </si>
  <si>
    <t xml:space="preserve"> 1.7 </t>
  </si>
  <si>
    <t xml:space="preserve"> CPU-40-PMC </t>
  </si>
  <si>
    <t>Aterro do Caixão da Obra</t>
  </si>
  <si>
    <t>Próprio</t>
  </si>
  <si>
    <t>m³</t>
  </si>
  <si>
    <t xml:space="preserve"> 1.8 </t>
  </si>
  <si>
    <t xml:space="preserve"> CPU-41-PMC </t>
  </si>
  <si>
    <t>Dreno para ar-condicionado embutido na parede e calçada - até meio fio.</t>
  </si>
  <si>
    <t>UN</t>
  </si>
  <si>
    <t xml:space="preserve"> 1.9 </t>
  </si>
  <si>
    <t xml:space="preserve"> 96620 </t>
  </si>
  <si>
    <t>LASTRO DE CONCRETO MAGRO, APLICADO EM PISOS, LAJES SOBRE SOLO OU RADIERS. AF_01/2024</t>
  </si>
  <si>
    <t xml:space="preserve"> 1.10 </t>
  </si>
  <si>
    <t xml:space="preserve"> 88488 </t>
  </si>
  <si>
    <t>PINTURA LÁTEX ACRÍLICA PREMIUM, APLICAÇÃO MANUAL EM TETO, DUAS DEMÃOS. AF_04/2023</t>
  </si>
  <si>
    <t>VALOR BDI TOTAL:</t>
  </si>
  <si>
    <t>VALOR ORÇAMENTO:</t>
  </si>
  <si>
    <t>VALOR TOTAL:</t>
  </si>
  <si>
    <t>TOTAL DA 1ª MEDIÇÃO DO ADITIVO</t>
  </si>
  <si>
    <t>TOTAL DA MEDIÇÃO 02</t>
  </si>
  <si>
    <t>TOTAL DA MEDIÇÃO 03</t>
  </si>
  <si>
    <t>TOTAL DA MEDIÇÃO 04</t>
  </si>
  <si>
    <t>TOTAL DA MEDIÇÃO 05</t>
  </si>
  <si>
    <t>TOTAL DA MEDIÇÃO 06</t>
  </si>
  <si>
    <t xml:space="preserve">ACUMULADO DA OBRA </t>
  </si>
  <si>
    <t>_________________________________
Cleyton Cabral Lopes
Engª. Responsável Técnica da Execução
CREA RNP N°. 1618264389</t>
  </si>
  <si>
    <t>______________________________________
Fiscal do Contrato 
Prefeitura Municipal de Coremas - PB</t>
  </si>
  <si>
    <t>______________________________________
Allam Pereira de Moura
Eng. Responsável Técnico da Fiscalização
CREA RP N°. 110487152-1</t>
  </si>
  <si>
    <t>VALOR ORÇADO</t>
  </si>
  <si>
    <t xml:space="preserve">GLOSA DA LAJE </t>
  </si>
  <si>
    <t xml:space="preserve">VALOR DO VENCEDOR </t>
  </si>
  <si>
    <t>TOTAL DO ADITIVO + GLOSA</t>
  </si>
  <si>
    <t>%  DE DESCONTO OFERTADO</t>
  </si>
  <si>
    <t xml:space="preserve">ADITIVO DA NOVA LAJE </t>
  </si>
  <si>
    <t>ADITIVO DA NOVA LAJE JÁ COM DESCONTO</t>
  </si>
  <si>
    <t>SALDO DE ADITIVO</t>
  </si>
  <si>
    <t>VALOR ORÇADO PELO ÓRGÃO</t>
  </si>
  <si>
    <t xml:space="preserve">DESCONTO DADO PELA EMPRESA VENCEDORA </t>
  </si>
  <si>
    <t>VALOR MEDIDO NO PERÍODO:
R$ = 151.326,00</t>
  </si>
  <si>
    <t>REFERÊNCIA/PERÍODO DA MEDIÇÃO: 03/12/2024 a 30/12/2024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</si>
</sst>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\R\$\ #,##0.0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1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1"/>
    </font>
    <font>
      <sz val="10"/>
      <name val="Arial MT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0"/>
      <name val="Arial"/>
      <family val="1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left" vertical="center" wrapText="1"/>
    </xf>
    <xf numFmtId="165" fontId="6" fillId="3" borderId="8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/>
    <xf numFmtId="0" fontId="8" fillId="3" borderId="1" xfId="0" applyFont="1" applyFill="1" applyBorder="1" applyAlignment="1">
      <alignment horizontal="center"/>
    </xf>
    <xf numFmtId="0" fontId="8" fillId="3" borderId="1" xfId="0" applyFont="1" applyFill="1" applyBorder="1"/>
    <xf numFmtId="164" fontId="8" fillId="3" borderId="1" xfId="0" applyNumberFormat="1" applyFont="1" applyFill="1" applyBorder="1"/>
    <xf numFmtId="0" fontId="9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left" vertical="center" wrapText="1"/>
    </xf>
    <xf numFmtId="43" fontId="9" fillId="0" borderId="9" xfId="1" applyFont="1" applyFill="1" applyBorder="1" applyAlignment="1">
      <alignment horizontal="right" vertical="center" wrapText="1"/>
    </xf>
    <xf numFmtId="43" fontId="10" fillId="0" borderId="10" xfId="1" applyFont="1" applyFill="1" applyBorder="1" applyAlignment="1">
      <alignment horizontal="center" vertical="center" wrapText="1"/>
    </xf>
    <xf numFmtId="0" fontId="11" fillId="0" borderId="1" xfId="0" applyFont="1" applyBorder="1"/>
    <xf numFmtId="9" fontId="3" fillId="0" borderId="1" xfId="2" applyFont="1" applyFill="1" applyBorder="1" applyAlignment="1" applyProtection="1">
      <alignment horizontal="righ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10" fontId="3" fillId="0" borderId="1" xfId="2" applyNumberFormat="1" applyFont="1" applyFill="1" applyBorder="1" applyAlignment="1" applyProtection="1">
      <alignment horizontal="right" vertical="center" wrapText="1"/>
    </xf>
    <xf numFmtId="9" fontId="8" fillId="4" borderId="1" xfId="2" applyFont="1" applyFill="1" applyBorder="1" applyAlignment="1" applyProtection="1">
      <alignment horizontal="right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43" fontId="10" fillId="0" borderId="1" xfId="1" applyFont="1" applyFill="1" applyBorder="1" applyAlignment="1">
      <alignment horizontal="center" vertical="center" wrapText="1"/>
    </xf>
    <xf numFmtId="0" fontId="4" fillId="0" borderId="1" xfId="0" applyFont="1" applyBorder="1"/>
    <xf numFmtId="9" fontId="6" fillId="0" borderId="1" xfId="2" applyFont="1" applyFill="1" applyBorder="1" applyAlignment="1" applyProtection="1">
      <alignment horizontal="right" vertical="center" wrapText="1"/>
    </xf>
    <xf numFmtId="4" fontId="6" fillId="0" borderId="1" xfId="0" applyNumberFormat="1" applyFont="1" applyBorder="1" applyAlignment="1">
      <alignment horizontal="right" vertical="center" wrapText="1"/>
    </xf>
    <xf numFmtId="164" fontId="6" fillId="0" borderId="1" xfId="0" applyNumberFormat="1" applyFont="1" applyBorder="1" applyAlignment="1">
      <alignment horizontal="right" vertical="center" wrapText="1"/>
    </xf>
    <xf numFmtId="10" fontId="6" fillId="0" borderId="1" xfId="2" applyNumberFormat="1" applyFont="1" applyBorder="1" applyAlignment="1">
      <alignment horizontal="center" vertical="center" wrapText="1"/>
    </xf>
    <xf numFmtId="43" fontId="9" fillId="0" borderId="9" xfId="1" applyFont="1" applyBorder="1" applyAlignment="1">
      <alignment horizontal="right" vertical="center" wrapText="1"/>
    </xf>
    <xf numFmtId="43" fontId="10" fillId="0" borderId="1" xfId="1" applyFont="1" applyBorder="1" applyAlignment="1">
      <alignment horizontal="center" vertical="center" wrapText="1"/>
    </xf>
    <xf numFmtId="43" fontId="4" fillId="0" borderId="1" xfId="0" applyNumberFormat="1" applyFont="1" applyBorder="1"/>
    <xf numFmtId="43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6" fillId="3" borderId="11" xfId="0" applyFont="1" applyFill="1" applyBorder="1" applyAlignment="1">
      <alignment horizontal="right" vertical="center" wrapText="1"/>
    </xf>
    <xf numFmtId="0" fontId="6" fillId="3" borderId="12" xfId="0" applyFont="1" applyFill="1" applyBorder="1" applyAlignment="1">
      <alignment horizontal="right" vertical="center" wrapText="1"/>
    </xf>
    <xf numFmtId="44" fontId="6" fillId="3" borderId="13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0" fontId="6" fillId="3" borderId="0" xfId="0" applyFont="1" applyFill="1" applyAlignment="1">
      <alignment horizontal="right" vertical="center" wrapText="1"/>
    </xf>
    <xf numFmtId="0" fontId="6" fillId="3" borderId="14" xfId="0" applyFont="1" applyFill="1" applyBorder="1" applyAlignment="1">
      <alignment horizontal="right" vertical="center" wrapText="1"/>
    </xf>
    <xf numFmtId="44" fontId="6" fillId="3" borderId="15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/>
    <xf numFmtId="164" fontId="6" fillId="3" borderId="16" xfId="0" applyNumberFormat="1" applyFont="1" applyFill="1" applyBorder="1" applyAlignment="1">
      <alignment horizontal="right" vertical="center" wrapText="1"/>
    </xf>
    <xf numFmtId="43" fontId="7" fillId="3" borderId="1" xfId="1" applyFont="1" applyFill="1" applyBorder="1" applyAlignment="1"/>
    <xf numFmtId="10" fontId="12" fillId="3" borderId="17" xfId="2" applyNumberFormat="1" applyFont="1" applyFill="1" applyBorder="1" applyAlignment="1">
      <alignment horizontal="center" vertical="center"/>
    </xf>
    <xf numFmtId="43" fontId="12" fillId="3" borderId="17" xfId="1" applyFont="1" applyFill="1" applyBorder="1" applyAlignment="1">
      <alignment horizontal="center" vertical="center" wrapText="1"/>
    </xf>
    <xf numFmtId="164" fontId="13" fillId="3" borderId="11" xfId="0" applyNumberFormat="1" applyFont="1" applyFill="1" applyBorder="1" applyAlignment="1">
      <alignment horizontal="center" vertical="center" wrapText="1"/>
    </xf>
    <xf numFmtId="43" fontId="12" fillId="3" borderId="17" xfId="1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wrapText="1"/>
    </xf>
    <xf numFmtId="0" fontId="14" fillId="2" borderId="19" xfId="0" applyFont="1" applyFill="1" applyBorder="1" applyAlignment="1">
      <alignment horizontal="center" wrapText="1"/>
    </xf>
    <xf numFmtId="0" fontId="14" fillId="2" borderId="20" xfId="0" applyFont="1" applyFill="1" applyBorder="1" applyAlignment="1">
      <alignment horizontal="center" wrapText="1"/>
    </xf>
    <xf numFmtId="0" fontId="14" fillId="2" borderId="1" xfId="0" applyFont="1" applyFill="1" applyBorder="1" applyAlignment="1">
      <alignment horizontal="center" wrapText="1"/>
    </xf>
    <xf numFmtId="0" fontId="14" fillId="2" borderId="21" xfId="0" applyFont="1" applyFill="1" applyBorder="1" applyAlignment="1">
      <alignment horizontal="center" wrapText="1"/>
    </xf>
    <xf numFmtId="0" fontId="14" fillId="2" borderId="0" xfId="0" applyFont="1" applyFill="1" applyAlignment="1">
      <alignment horizontal="center" wrapText="1"/>
    </xf>
    <xf numFmtId="0" fontId="14" fillId="2" borderId="22" xfId="0" applyFont="1" applyFill="1" applyBorder="1" applyAlignment="1">
      <alignment horizontal="center" wrapText="1"/>
    </xf>
    <xf numFmtId="0" fontId="14" fillId="2" borderId="23" xfId="0" applyFont="1" applyFill="1" applyBorder="1" applyAlignment="1">
      <alignment horizontal="center" wrapText="1"/>
    </xf>
    <xf numFmtId="0" fontId="14" fillId="2" borderId="24" xfId="0" applyFont="1" applyFill="1" applyBorder="1" applyAlignment="1">
      <alignment horizontal="center" wrapText="1"/>
    </xf>
    <xf numFmtId="0" fontId="14" fillId="2" borderId="25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164" fontId="4" fillId="0" borderId="0" xfId="0" applyNumberFormat="1" applyFont="1"/>
    <xf numFmtId="164" fontId="15" fillId="0" borderId="0" xfId="1" applyNumberFormat="1" applyFont="1"/>
    <xf numFmtId="10" fontId="4" fillId="0" borderId="0" xfId="2" applyNumberFormat="1" applyFont="1"/>
  </cellXfs>
  <cellStyles count="3">
    <cellStyle name="Normal" xfId="0" builtinId="0"/>
    <cellStyle name="Porcentagem" xfId="2" builtinId="5"/>
    <cellStyle name="Vírgula" xfId="1" builtinId="3"/>
  </cellStyles>
  <dxfs count="11"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71436</xdr:colOff>
      <xdr:row>0</xdr:row>
      <xdr:rowOff>85219</xdr:rowOff>
    </xdr:from>
    <xdr:to>
      <xdr:col>0</xdr:col>
      <xdr:colOff>1190625</xdr:colOff>
      <xdr:row>0</xdr:row>
      <xdr:rowOff>1143000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BAE56E9-0488-4882-81B3-E9D018D21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6" y="85219"/>
          <a:ext cx="1119189" cy="10577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ilbe\OneDrive\&#193;rea%20de%20Trabalho\AMENT%20MEDs\MD08.xlsx" TargetMode="External"/><Relationship Id="rId1" Type="http://schemas.openxmlformats.org/officeDocument/2006/relationships/externalLinkPath" Target="MD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 DE MEDIÇÃO"/>
      <sheetName val="MEMORIAL DE CALCULO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C0AF8-5602-4EEE-A1C8-3A26F73CAB8F}">
  <sheetPr>
    <outlinePr summaryBelow="0"/>
    <pageSetUpPr fitToPage="1"/>
  </sheetPr>
  <dimension ref="A1:AH34"/>
  <sheetViews>
    <sheetView tabSelected="1" topLeftCell="C1" zoomScale="70" zoomScaleNormal="70" zoomScaleSheetLayoutView="85" workbookViewId="0">
      <selection activeCell="E2" sqref="E2:F2"/>
    </sheetView>
  </sheetViews>
  <sheetFormatPr defaultColWidth="9.1796875" defaultRowHeight="13"/>
  <cols>
    <col min="1" max="1" width="19.1796875" style="8" customWidth="1"/>
    <col min="2" max="2" width="13.1796875" style="8" customWidth="1"/>
    <col min="3" max="3" width="61.453125" style="8" customWidth="1"/>
    <col min="4" max="4" width="13" style="8" customWidth="1"/>
    <col min="5" max="5" width="11.26953125" style="8" customWidth="1"/>
    <col min="6" max="7" width="12.453125" style="8" customWidth="1"/>
    <col min="8" max="8" width="17.1796875" style="8" customWidth="1"/>
    <col min="9" max="9" width="24" style="8" customWidth="1"/>
    <col min="10" max="10" width="13.1796875" style="8" customWidth="1"/>
    <col min="11" max="11" width="23" style="8" customWidth="1"/>
    <col min="12" max="12" width="17.453125" style="8" customWidth="1"/>
    <col min="13" max="13" width="14.54296875" style="8" hidden="1" customWidth="1"/>
    <col min="14" max="14" width="23.26953125" style="8" hidden="1" customWidth="1"/>
    <col min="15" max="15" width="16.453125" style="8" hidden="1" customWidth="1"/>
    <col min="16" max="16" width="12.54296875" style="8" hidden="1" customWidth="1"/>
    <col min="17" max="17" width="25.26953125" style="8" hidden="1" customWidth="1"/>
    <col min="18" max="18" width="15.453125" style="8" hidden="1" customWidth="1"/>
    <col min="19" max="19" width="17.1796875" style="8" hidden="1" customWidth="1"/>
    <col min="20" max="20" width="25.26953125" style="8" hidden="1" customWidth="1"/>
    <col min="21" max="21" width="19.1796875" style="8" hidden="1" customWidth="1"/>
    <col min="22" max="22" width="12.54296875" style="8" hidden="1" customWidth="1"/>
    <col min="23" max="23" width="25.26953125" style="8" hidden="1" customWidth="1"/>
    <col min="24" max="24" width="15.453125" style="8" hidden="1" customWidth="1"/>
    <col min="25" max="25" width="12.54296875" style="8" hidden="1" customWidth="1"/>
    <col min="26" max="26" width="25.26953125" style="8" hidden="1" customWidth="1"/>
    <col min="27" max="27" width="14.54296875" style="8" hidden="1" customWidth="1"/>
    <col min="28" max="28" width="16" style="8" customWidth="1"/>
    <col min="29" max="29" width="13.26953125" style="8" customWidth="1"/>
    <col min="30" max="30" width="17.1796875" style="8" customWidth="1"/>
    <col min="31" max="31" width="12.7265625" style="8" customWidth="1"/>
    <col min="32" max="32" width="14.26953125" style="7" customWidth="1"/>
    <col min="33" max="33" width="9.1796875" style="8"/>
    <col min="34" max="34" width="14.453125" style="8" bestFit="1" customWidth="1"/>
    <col min="35" max="16384" width="9.1796875" style="8"/>
  </cols>
  <sheetData>
    <row r="1" spans="1:34" ht="109.5" customHeight="1">
      <c r="A1" s="1"/>
      <c r="B1" s="2" t="s">
        <v>0</v>
      </c>
      <c r="C1" s="2"/>
      <c r="D1" s="2"/>
      <c r="E1" s="3" t="s">
        <v>1</v>
      </c>
      <c r="F1" s="3"/>
      <c r="G1" s="3" t="s">
        <v>2</v>
      </c>
      <c r="H1" s="3"/>
      <c r="I1" s="4" t="s">
        <v>3</v>
      </c>
      <c r="J1" s="5"/>
      <c r="K1" s="5"/>
      <c r="L1" s="5"/>
      <c r="M1" s="5"/>
      <c r="N1" s="5"/>
      <c r="O1" s="5"/>
      <c r="P1" s="5"/>
      <c r="Q1" s="5"/>
      <c r="R1" s="6"/>
      <c r="S1" s="5"/>
      <c r="T1" s="5"/>
      <c r="U1" s="6"/>
      <c r="V1" s="5"/>
      <c r="W1" s="5"/>
      <c r="X1" s="6"/>
      <c r="Y1" s="5"/>
      <c r="Z1" s="5"/>
      <c r="AA1" s="6"/>
      <c r="AB1" s="5"/>
      <c r="AC1" s="5"/>
      <c r="AD1" s="5"/>
      <c r="AE1" s="5"/>
    </row>
    <row r="2" spans="1:34" ht="102" customHeight="1">
      <c r="A2" s="3" t="s">
        <v>4</v>
      </c>
      <c r="B2" s="3"/>
      <c r="C2" s="3"/>
      <c r="D2" s="3"/>
      <c r="E2" s="3" t="s">
        <v>5</v>
      </c>
      <c r="F2" s="3"/>
      <c r="G2" s="3" t="s">
        <v>96</v>
      </c>
      <c r="H2" s="3"/>
      <c r="I2" s="4" t="s">
        <v>95</v>
      </c>
      <c r="J2" s="5"/>
      <c r="K2" s="5"/>
      <c r="L2" s="5"/>
      <c r="M2" s="5"/>
      <c r="N2" s="5"/>
      <c r="O2" s="5"/>
      <c r="P2" s="5"/>
      <c r="Q2" s="5"/>
      <c r="R2" s="6"/>
      <c r="S2" s="5"/>
      <c r="T2" s="5"/>
      <c r="U2" s="6"/>
      <c r="V2" s="5"/>
      <c r="W2" s="5"/>
      <c r="X2" s="6"/>
      <c r="Y2" s="5"/>
      <c r="Z2" s="5"/>
      <c r="AA2" s="6"/>
      <c r="AB2" s="5"/>
      <c r="AC2" s="5"/>
      <c r="AD2" s="5"/>
      <c r="AE2" s="5"/>
    </row>
    <row r="3" spans="1:34" ht="91.5" customHeight="1">
      <c r="A3" s="3" t="s">
        <v>6</v>
      </c>
      <c r="B3" s="3"/>
      <c r="C3" s="3"/>
      <c r="D3" s="3"/>
      <c r="E3" s="3" t="s">
        <v>7</v>
      </c>
      <c r="F3" s="3"/>
      <c r="G3" s="3"/>
      <c r="H3" s="3"/>
      <c r="I3" s="3"/>
      <c r="J3" s="9" t="s">
        <v>8</v>
      </c>
      <c r="K3" s="10"/>
      <c r="L3" s="11">
        <f>L18</f>
        <v>151326</v>
      </c>
      <c r="M3" s="9" t="s">
        <v>9</v>
      </c>
      <c r="N3" s="10"/>
      <c r="O3" s="11">
        <f>O18</f>
        <v>0</v>
      </c>
      <c r="P3" s="9" t="s">
        <v>10</v>
      </c>
      <c r="Q3" s="10"/>
      <c r="R3" s="11">
        <f>R18</f>
        <v>0</v>
      </c>
      <c r="S3" s="9" t="s">
        <v>11</v>
      </c>
      <c r="T3" s="10"/>
      <c r="U3" s="11">
        <f>U18</f>
        <v>0</v>
      </c>
      <c r="V3" s="9" t="s">
        <v>12</v>
      </c>
      <c r="W3" s="10"/>
      <c r="X3" s="11">
        <f>X18</f>
        <v>0</v>
      </c>
      <c r="Y3" s="9" t="s">
        <v>13</v>
      </c>
      <c r="Z3" s="10"/>
      <c r="AA3" s="11">
        <f>AA18</f>
        <v>0</v>
      </c>
      <c r="AB3" s="12"/>
      <c r="AC3" s="13"/>
      <c r="AD3" s="13"/>
      <c r="AE3" s="14"/>
    </row>
    <row r="4" spans="1:34" ht="15" customHeight="1">
      <c r="A4" s="15" t="s">
        <v>14</v>
      </c>
      <c r="B4" s="16"/>
      <c r="C4" s="16"/>
      <c r="D4" s="16"/>
      <c r="E4" s="16"/>
      <c r="F4" s="16"/>
      <c r="G4" s="16"/>
      <c r="H4" s="17"/>
      <c r="I4" s="18"/>
      <c r="J4" s="16" t="s">
        <v>15</v>
      </c>
      <c r="K4" s="16"/>
      <c r="L4" s="16"/>
      <c r="M4" s="16" t="s">
        <v>15</v>
      </c>
      <c r="N4" s="16"/>
      <c r="O4" s="16"/>
      <c r="P4" s="16" t="s">
        <v>15</v>
      </c>
      <c r="Q4" s="16"/>
      <c r="R4" s="16"/>
      <c r="S4" s="16" t="s">
        <v>15</v>
      </c>
      <c r="T4" s="16"/>
      <c r="U4" s="16"/>
      <c r="V4" s="16" t="s">
        <v>15</v>
      </c>
      <c r="W4" s="16"/>
      <c r="X4" s="16"/>
      <c r="Y4" s="16" t="s">
        <v>15</v>
      </c>
      <c r="Z4" s="16"/>
      <c r="AA4" s="16"/>
      <c r="AB4" s="19" t="s">
        <v>16</v>
      </c>
      <c r="AC4" s="19"/>
      <c r="AD4" s="19"/>
      <c r="AE4" s="19"/>
    </row>
    <row r="5" spans="1:34" ht="65.25" customHeight="1">
      <c r="A5" s="20" t="s">
        <v>17</v>
      </c>
      <c r="B5" s="20" t="s">
        <v>18</v>
      </c>
      <c r="C5" s="20" t="s">
        <v>19</v>
      </c>
      <c r="D5" s="20" t="s">
        <v>20</v>
      </c>
      <c r="E5" s="20" t="s">
        <v>21</v>
      </c>
      <c r="F5" s="20" t="s">
        <v>22</v>
      </c>
      <c r="G5" s="20" t="s">
        <v>23</v>
      </c>
      <c r="H5" s="21" t="s">
        <v>24</v>
      </c>
      <c r="I5" s="22"/>
      <c r="J5" s="22" t="s">
        <v>25</v>
      </c>
      <c r="K5" s="22" t="s">
        <v>26</v>
      </c>
      <c r="L5" s="22" t="s">
        <v>27</v>
      </c>
      <c r="M5" s="22" t="s">
        <v>25</v>
      </c>
      <c r="N5" s="22" t="s">
        <v>26</v>
      </c>
      <c r="O5" s="22" t="s">
        <v>27</v>
      </c>
      <c r="P5" s="22" t="s">
        <v>25</v>
      </c>
      <c r="Q5" s="22" t="s">
        <v>26</v>
      </c>
      <c r="R5" s="22" t="s">
        <v>27</v>
      </c>
      <c r="S5" s="22" t="s">
        <v>25</v>
      </c>
      <c r="T5" s="22" t="s">
        <v>26</v>
      </c>
      <c r="U5" s="22" t="s">
        <v>27</v>
      </c>
      <c r="V5" s="22" t="s">
        <v>25</v>
      </c>
      <c r="W5" s="22" t="s">
        <v>26</v>
      </c>
      <c r="X5" s="22" t="s">
        <v>27</v>
      </c>
      <c r="Y5" s="22" t="s">
        <v>25</v>
      </c>
      <c r="Z5" s="22" t="s">
        <v>26</v>
      </c>
      <c r="AA5" s="22" t="s">
        <v>27</v>
      </c>
      <c r="AB5" s="22" t="s">
        <v>28</v>
      </c>
      <c r="AC5" s="22" t="s">
        <v>29</v>
      </c>
      <c r="AD5" s="22" t="s">
        <v>30</v>
      </c>
      <c r="AE5" s="22" t="s">
        <v>31</v>
      </c>
      <c r="AF5" s="23"/>
    </row>
    <row r="6" spans="1:34">
      <c r="A6" s="24">
        <v>1</v>
      </c>
      <c r="B6" s="25" t="s">
        <v>32</v>
      </c>
      <c r="C6" s="25"/>
      <c r="D6" s="25"/>
      <c r="E6" s="25"/>
      <c r="F6" s="25"/>
      <c r="G6" s="25"/>
      <c r="H6" s="26">
        <f>SUM(H7:H15)</f>
        <v>178749.99100000001</v>
      </c>
      <c r="I6" s="27"/>
      <c r="J6" s="28" t="s">
        <v>33</v>
      </c>
      <c r="K6" s="28"/>
      <c r="L6" s="28"/>
      <c r="M6" s="28" t="s">
        <v>34</v>
      </c>
      <c r="N6" s="28"/>
      <c r="O6" s="28"/>
      <c r="P6" s="28" t="s">
        <v>35</v>
      </c>
      <c r="Q6" s="28"/>
      <c r="R6" s="28"/>
      <c r="S6" s="28" t="s">
        <v>36</v>
      </c>
      <c r="T6" s="28"/>
      <c r="U6" s="28"/>
      <c r="V6" s="28" t="s">
        <v>37</v>
      </c>
      <c r="W6" s="28"/>
      <c r="X6" s="28"/>
      <c r="Y6" s="28" t="s">
        <v>38</v>
      </c>
      <c r="Z6" s="28"/>
      <c r="AA6" s="28"/>
      <c r="AB6" s="29"/>
      <c r="AC6" s="29"/>
      <c r="AD6" s="30">
        <f>SUM(AD7:AD15)</f>
        <v>151326</v>
      </c>
      <c r="AE6" s="30"/>
    </row>
    <row r="7" spans="1:34" s="43" customFormat="1" ht="37.5">
      <c r="A7" s="31" t="s">
        <v>39</v>
      </c>
      <c r="B7" s="31" t="s">
        <v>40</v>
      </c>
      <c r="C7" s="32" t="s">
        <v>41</v>
      </c>
      <c r="D7" s="31" t="s">
        <v>42</v>
      </c>
      <c r="E7" s="31" t="s">
        <v>43</v>
      </c>
      <c r="F7" s="33">
        <v>312.27</v>
      </c>
      <c r="G7" s="33">
        <v>145.87</v>
      </c>
      <c r="H7" s="34">
        <f>F7*G7</f>
        <v>45550.8249</v>
      </c>
      <c r="I7" s="35"/>
      <c r="J7" s="36">
        <v>1</v>
      </c>
      <c r="K7" s="37">
        <f>TRUNC(J7*F7,2)</f>
        <v>312.27</v>
      </c>
      <c r="L7" s="38">
        <f>TRUNC(K7*G7)</f>
        <v>45550</v>
      </c>
      <c r="M7" s="36"/>
      <c r="N7" s="37">
        <f t="shared" ref="N7:N11" si="0">TRUNC(M7*F7,2)</f>
        <v>0</v>
      </c>
      <c r="O7" s="38">
        <f>TRUNC(N7*G7)</f>
        <v>0</v>
      </c>
      <c r="P7" s="39"/>
      <c r="Q7" s="37">
        <f>TRUNC(P7*F7,2)</f>
        <v>0</v>
      </c>
      <c r="R7" s="38">
        <f>TRUNC(Q7*G7)</f>
        <v>0</v>
      </c>
      <c r="S7" s="36"/>
      <c r="T7" s="37">
        <f t="shared" ref="T7:T15" si="1">TRUNC(S7*F7,2)</f>
        <v>0</v>
      </c>
      <c r="U7" s="38">
        <f>TRUNC(T7*G7)+0</f>
        <v>0</v>
      </c>
      <c r="V7" s="36"/>
      <c r="W7" s="37">
        <f>TRUNC(V7*F7,2)</f>
        <v>0</v>
      </c>
      <c r="X7" s="38">
        <f>TRUNC(W7*G7)+0</f>
        <v>0</v>
      </c>
      <c r="Y7" s="39">
        <f>Z7/F7</f>
        <v>0</v>
      </c>
      <c r="Z7" s="37"/>
      <c r="AA7" s="38">
        <f>TRUNC(Z7*G7)</f>
        <v>0</v>
      </c>
      <c r="AB7" s="40">
        <f>SUM(J7,M7,P7,S7,V7,Y7)</f>
        <v>1</v>
      </c>
      <c r="AC7" s="37">
        <f t="shared" ref="AC7:AD15" si="2">SUM(K7,N7,Q7,T7,W7)</f>
        <v>312.27</v>
      </c>
      <c r="AD7" s="38">
        <f t="shared" si="2"/>
        <v>45550</v>
      </c>
      <c r="AE7" s="41" t="str">
        <f>IF(AB7=100%,"ITEM FINALIZADO",AB7)</f>
        <v>ITEM FINALIZADO</v>
      </c>
      <c r="AF7" s="42"/>
    </row>
    <row r="8" spans="1:34" ht="18" customHeight="1">
      <c r="A8" s="31" t="s">
        <v>44</v>
      </c>
      <c r="B8" s="31" t="s">
        <v>45</v>
      </c>
      <c r="C8" s="32" t="s">
        <v>46</v>
      </c>
      <c r="D8" s="31" t="s">
        <v>47</v>
      </c>
      <c r="E8" s="31" t="s">
        <v>43</v>
      </c>
      <c r="F8" s="33">
        <v>312.27</v>
      </c>
      <c r="G8" s="33">
        <v>92.03</v>
      </c>
      <c r="H8" s="44">
        <f>F8*G8-(0.01)</f>
        <v>28738.198100000001</v>
      </c>
      <c r="I8" s="45"/>
      <c r="J8" s="46">
        <v>0.3</v>
      </c>
      <c r="K8" s="47">
        <f>TRUNC(J8*F8,2)</f>
        <v>93.68</v>
      </c>
      <c r="L8" s="48">
        <f>TRUNC(K8*G8)</f>
        <v>8621</v>
      </c>
      <c r="M8" s="46"/>
      <c r="N8" s="37">
        <f t="shared" si="0"/>
        <v>0</v>
      </c>
      <c r="O8" s="38">
        <f>TRUNC(N8*G8)</f>
        <v>0</v>
      </c>
      <c r="P8" s="46"/>
      <c r="Q8" s="37">
        <f>TRUNC(P8*F8,2)</f>
        <v>0</v>
      </c>
      <c r="R8" s="38">
        <f>TRUNC(Q8*G8)</f>
        <v>0</v>
      </c>
      <c r="S8" s="46"/>
      <c r="T8" s="37">
        <f t="shared" si="1"/>
        <v>0</v>
      </c>
      <c r="U8" s="38">
        <f>TRUNC(T8*G8)+0</f>
        <v>0</v>
      </c>
      <c r="V8" s="46"/>
      <c r="W8" s="37">
        <f>TRUNC(V8*F8,2)</f>
        <v>0</v>
      </c>
      <c r="X8" s="38">
        <f>TRUNC(W8*G8)+0</f>
        <v>0</v>
      </c>
      <c r="Y8" s="39">
        <f t="shared" ref="Y8:Y15" si="3">Z8/F8</f>
        <v>0</v>
      </c>
      <c r="Z8" s="37">
        <v>0</v>
      </c>
      <c r="AA8" s="38">
        <f>TRUNC(Z8*G8)</f>
        <v>0</v>
      </c>
      <c r="AB8" s="40">
        <f t="shared" ref="AB8:AB15" si="4">SUM(J8,M8,P8,S8,V8,Y8)</f>
        <v>0.3</v>
      </c>
      <c r="AC8" s="47">
        <f t="shared" si="2"/>
        <v>93.68</v>
      </c>
      <c r="AD8" s="48">
        <f t="shared" si="2"/>
        <v>8621</v>
      </c>
      <c r="AE8" s="49">
        <f>IF(AB8=100%,"ITEM FINALIZADO",AB8)</f>
        <v>0.3</v>
      </c>
    </row>
    <row r="9" spans="1:34" ht="50">
      <c r="A9" s="31" t="s">
        <v>48</v>
      </c>
      <c r="B9" s="31" t="s">
        <v>49</v>
      </c>
      <c r="C9" s="32" t="s">
        <v>50</v>
      </c>
      <c r="D9" s="31" t="s">
        <v>42</v>
      </c>
      <c r="E9" s="31" t="s">
        <v>43</v>
      </c>
      <c r="F9" s="50">
        <v>240.04</v>
      </c>
      <c r="G9" s="50">
        <v>82.92</v>
      </c>
      <c r="H9" s="51">
        <f>(F9*G9)-0.01</f>
        <v>19904.106800000001</v>
      </c>
      <c r="I9" s="52"/>
      <c r="J9" s="46">
        <v>0.85</v>
      </c>
      <c r="K9" s="47">
        <f>TRUNC(J9*F9,2)</f>
        <v>204.03</v>
      </c>
      <c r="L9" s="48">
        <f>TRUNC(K9*G9)</f>
        <v>16918</v>
      </c>
      <c r="M9" s="46"/>
      <c r="N9" s="37">
        <f t="shared" si="0"/>
        <v>0</v>
      </c>
      <c r="O9" s="38">
        <f t="shared" ref="O9:O11" si="5">TRUNC(N9*G9)</f>
        <v>0</v>
      </c>
      <c r="P9" s="46"/>
      <c r="Q9" s="37">
        <f t="shared" ref="Q9:Q15" si="6">TRUNC(P9*F9,2)</f>
        <v>0</v>
      </c>
      <c r="R9" s="38">
        <f t="shared" ref="R9:R15" si="7">TRUNC(Q9*G9)</f>
        <v>0</v>
      </c>
      <c r="S9" s="46"/>
      <c r="T9" s="37">
        <f t="shared" si="1"/>
        <v>0</v>
      </c>
      <c r="U9" s="38">
        <f t="shared" ref="U9:U15" si="8">TRUNC(T9*G9)+0</f>
        <v>0</v>
      </c>
      <c r="V9" s="46"/>
      <c r="W9" s="37">
        <f t="shared" ref="W9:W15" si="9">TRUNC(V9*F9,2)</f>
        <v>0</v>
      </c>
      <c r="X9" s="38">
        <f t="shared" ref="X9:X15" si="10">TRUNC(W9*G9)+0</f>
        <v>0</v>
      </c>
      <c r="Y9" s="39">
        <f t="shared" si="3"/>
        <v>0</v>
      </c>
      <c r="Z9" s="37"/>
      <c r="AA9" s="38">
        <f t="shared" ref="AA9:AA15" si="11">TRUNC(Z9*G9)</f>
        <v>0</v>
      </c>
      <c r="AB9" s="40">
        <f>SUM(J9,M9,P9,S9,V9,Y9)</f>
        <v>0.85</v>
      </c>
      <c r="AC9" s="47">
        <f t="shared" si="2"/>
        <v>204.03</v>
      </c>
      <c r="AD9" s="48">
        <f t="shared" si="2"/>
        <v>16918</v>
      </c>
      <c r="AE9" s="49">
        <f>IF(AB9=100%,"ITEM FINALIZADO",AB9)</f>
        <v>0.85</v>
      </c>
      <c r="AF9" s="53"/>
    </row>
    <row r="10" spans="1:34" ht="38.25" customHeight="1">
      <c r="A10" s="31" t="s">
        <v>51</v>
      </c>
      <c r="B10" s="31" t="s">
        <v>52</v>
      </c>
      <c r="C10" s="32" t="s">
        <v>53</v>
      </c>
      <c r="D10" s="31" t="s">
        <v>42</v>
      </c>
      <c r="E10" s="31" t="s">
        <v>43</v>
      </c>
      <c r="F10" s="50">
        <v>709.27</v>
      </c>
      <c r="G10" s="50">
        <v>78.56</v>
      </c>
      <c r="H10" s="51">
        <f t="shared" ref="H10" si="12">F10*G10</f>
        <v>55720.251199999999</v>
      </c>
      <c r="I10" s="45"/>
      <c r="J10" s="46">
        <v>1</v>
      </c>
      <c r="K10" s="47">
        <f>TRUNC(J10*F10,2)</f>
        <v>709.27</v>
      </c>
      <c r="L10" s="48">
        <f>TRUNC(K10*G10)+0</f>
        <v>55720</v>
      </c>
      <c r="M10" s="46"/>
      <c r="N10" s="37">
        <f t="shared" si="0"/>
        <v>0</v>
      </c>
      <c r="O10" s="38">
        <f t="shared" si="5"/>
        <v>0</v>
      </c>
      <c r="P10" s="46"/>
      <c r="Q10" s="37">
        <f t="shared" si="6"/>
        <v>0</v>
      </c>
      <c r="R10" s="38">
        <f t="shared" si="7"/>
        <v>0</v>
      </c>
      <c r="S10" s="46"/>
      <c r="T10" s="37">
        <f t="shared" si="1"/>
        <v>0</v>
      </c>
      <c r="U10" s="38">
        <f t="shared" si="8"/>
        <v>0</v>
      </c>
      <c r="V10" s="46"/>
      <c r="W10" s="37">
        <f t="shared" si="9"/>
        <v>0</v>
      </c>
      <c r="X10" s="38">
        <f t="shared" si="10"/>
        <v>0</v>
      </c>
      <c r="Y10" s="39">
        <f t="shared" si="3"/>
        <v>0</v>
      </c>
      <c r="Z10" s="37"/>
      <c r="AA10" s="38">
        <f t="shared" si="11"/>
        <v>0</v>
      </c>
      <c r="AB10" s="40">
        <f t="shared" si="4"/>
        <v>1</v>
      </c>
      <c r="AC10" s="47">
        <f t="shared" si="2"/>
        <v>709.27</v>
      </c>
      <c r="AD10" s="48">
        <f t="shared" si="2"/>
        <v>55720</v>
      </c>
      <c r="AE10" s="49" t="str">
        <f>IF(AB10=100%,"ITEM FINALIZADO",AB10)</f>
        <v>ITEM FINALIZADO</v>
      </c>
    </row>
    <row r="11" spans="1:34" ht="50">
      <c r="A11" s="31" t="s">
        <v>54</v>
      </c>
      <c r="B11" s="31" t="s">
        <v>55</v>
      </c>
      <c r="C11" s="32" t="s">
        <v>56</v>
      </c>
      <c r="D11" s="31" t="s">
        <v>42</v>
      </c>
      <c r="E11" s="31" t="s">
        <v>43</v>
      </c>
      <c r="F11" s="50">
        <v>240.04</v>
      </c>
      <c r="G11" s="50">
        <v>5.98</v>
      </c>
      <c r="H11" s="51">
        <f>(F11*G11)-(0.01)</f>
        <v>1435.4292</v>
      </c>
      <c r="I11" s="45"/>
      <c r="J11" s="46">
        <v>1</v>
      </c>
      <c r="K11" s="47">
        <f>TRUNC(J11*F11,2)</f>
        <v>240.04</v>
      </c>
      <c r="L11" s="48">
        <f>TRUNC(K11*G11)</f>
        <v>1435</v>
      </c>
      <c r="M11" s="46"/>
      <c r="N11" s="37">
        <f t="shared" si="0"/>
        <v>0</v>
      </c>
      <c r="O11" s="38">
        <f t="shared" si="5"/>
        <v>0</v>
      </c>
      <c r="P11" s="46"/>
      <c r="Q11" s="37">
        <f t="shared" si="6"/>
        <v>0</v>
      </c>
      <c r="R11" s="38">
        <f t="shared" si="7"/>
        <v>0</v>
      </c>
      <c r="S11" s="46"/>
      <c r="T11" s="37">
        <f t="shared" si="1"/>
        <v>0</v>
      </c>
      <c r="U11" s="38">
        <f t="shared" si="8"/>
        <v>0</v>
      </c>
      <c r="V11" s="46"/>
      <c r="W11" s="37">
        <f t="shared" si="9"/>
        <v>0</v>
      </c>
      <c r="X11" s="38">
        <f t="shared" si="10"/>
        <v>0</v>
      </c>
      <c r="Y11" s="39">
        <f t="shared" si="3"/>
        <v>0</v>
      </c>
      <c r="Z11" s="37"/>
      <c r="AA11" s="38">
        <f t="shared" si="11"/>
        <v>0</v>
      </c>
      <c r="AB11" s="40">
        <f t="shared" si="4"/>
        <v>1</v>
      </c>
      <c r="AC11" s="47">
        <f t="shared" si="2"/>
        <v>240.04</v>
      </c>
      <c r="AD11" s="48">
        <f t="shared" si="2"/>
        <v>1435</v>
      </c>
      <c r="AE11" s="49" t="str">
        <f t="shared" ref="AE11:AE15" si="13">IF(AB11=100%,"ITEM FINALIZADO",AB11)</f>
        <v>ITEM FINALIZADO</v>
      </c>
    </row>
    <row r="12" spans="1:34" ht="26">
      <c r="A12" s="31" t="s">
        <v>57</v>
      </c>
      <c r="B12" s="31" t="s">
        <v>58</v>
      </c>
      <c r="C12" s="32" t="s">
        <v>59</v>
      </c>
      <c r="D12" s="31" t="s">
        <v>60</v>
      </c>
      <c r="E12" s="31" t="s">
        <v>61</v>
      </c>
      <c r="F12" s="50">
        <v>135.11000000000001</v>
      </c>
      <c r="G12" s="50">
        <v>87.97</v>
      </c>
      <c r="H12" s="51">
        <f>(F12*G12)-0.01</f>
        <v>11885.6167</v>
      </c>
      <c r="I12" s="45"/>
      <c r="J12" s="46">
        <v>1</v>
      </c>
      <c r="K12" s="47">
        <f t="shared" ref="K12:K15" si="14">TRUNC(J12*F12,2)</f>
        <v>135.11000000000001</v>
      </c>
      <c r="L12" s="48">
        <f>TRUNC(K12*G12)</f>
        <v>11885</v>
      </c>
      <c r="M12" s="46"/>
      <c r="N12" s="47">
        <f>TRUNC(M12*F12,2)</f>
        <v>0</v>
      </c>
      <c r="O12" s="48">
        <f>TRUNC(N12*G12)</f>
        <v>0</v>
      </c>
      <c r="P12" s="46"/>
      <c r="Q12" s="37">
        <f t="shared" si="6"/>
        <v>0</v>
      </c>
      <c r="R12" s="38">
        <f t="shared" si="7"/>
        <v>0</v>
      </c>
      <c r="S12" s="46"/>
      <c r="T12" s="37">
        <f t="shared" si="1"/>
        <v>0</v>
      </c>
      <c r="U12" s="38">
        <f t="shared" si="8"/>
        <v>0</v>
      </c>
      <c r="V12" s="46"/>
      <c r="W12" s="37">
        <f t="shared" si="9"/>
        <v>0</v>
      </c>
      <c r="X12" s="38">
        <f t="shared" si="10"/>
        <v>0</v>
      </c>
      <c r="Y12" s="39">
        <f t="shared" si="3"/>
        <v>0</v>
      </c>
      <c r="Z12" s="37"/>
      <c r="AA12" s="38">
        <f t="shared" si="11"/>
        <v>0</v>
      </c>
      <c r="AB12" s="40">
        <f t="shared" si="4"/>
        <v>1</v>
      </c>
      <c r="AC12" s="47">
        <f t="shared" si="2"/>
        <v>135.11000000000001</v>
      </c>
      <c r="AD12" s="48">
        <f t="shared" si="2"/>
        <v>11885</v>
      </c>
      <c r="AE12" s="49" t="str">
        <f t="shared" si="13"/>
        <v>ITEM FINALIZADO</v>
      </c>
      <c r="AF12" s="54"/>
    </row>
    <row r="13" spans="1:34" s="7" customFormat="1">
      <c r="A13" s="31" t="s">
        <v>62</v>
      </c>
      <c r="B13" s="31" t="s">
        <v>63</v>
      </c>
      <c r="C13" s="32" t="s">
        <v>64</v>
      </c>
      <c r="D13" s="31" t="s">
        <v>60</v>
      </c>
      <c r="E13" s="31" t="s">
        <v>65</v>
      </c>
      <c r="F13" s="50">
        <v>11</v>
      </c>
      <c r="G13" s="50">
        <v>28.32</v>
      </c>
      <c r="H13" s="51">
        <f>(F13*G13)</f>
        <v>311.52</v>
      </c>
      <c r="I13" s="45"/>
      <c r="J13" s="46"/>
      <c r="K13" s="47">
        <f t="shared" si="14"/>
        <v>0</v>
      </c>
      <c r="L13" s="48">
        <f>TRUNC(K13*G13)</f>
        <v>0</v>
      </c>
      <c r="M13" s="46"/>
      <c r="N13" s="47">
        <f t="shared" ref="N13:N15" si="15">TRUNC(M13*F13,2)</f>
        <v>0</v>
      </c>
      <c r="O13" s="48">
        <f>TRUNC(N13*G13)</f>
        <v>0</v>
      </c>
      <c r="P13" s="46"/>
      <c r="Q13" s="37">
        <f t="shared" si="6"/>
        <v>0</v>
      </c>
      <c r="R13" s="38">
        <f t="shared" si="7"/>
        <v>0</v>
      </c>
      <c r="S13" s="46"/>
      <c r="T13" s="37">
        <f t="shared" si="1"/>
        <v>0</v>
      </c>
      <c r="U13" s="38">
        <f t="shared" si="8"/>
        <v>0</v>
      </c>
      <c r="V13" s="46"/>
      <c r="W13" s="37">
        <f t="shared" si="9"/>
        <v>0</v>
      </c>
      <c r="X13" s="38">
        <f t="shared" si="10"/>
        <v>0</v>
      </c>
      <c r="Y13" s="39">
        <f t="shared" si="3"/>
        <v>0</v>
      </c>
      <c r="Z13" s="37">
        <v>0</v>
      </c>
      <c r="AA13" s="38">
        <f t="shared" si="11"/>
        <v>0</v>
      </c>
      <c r="AB13" s="40">
        <f t="shared" si="4"/>
        <v>0</v>
      </c>
      <c r="AC13" s="47">
        <f t="shared" si="2"/>
        <v>0</v>
      </c>
      <c r="AD13" s="48">
        <f t="shared" si="2"/>
        <v>0</v>
      </c>
      <c r="AE13" s="49">
        <f t="shared" si="13"/>
        <v>0</v>
      </c>
      <c r="AF13" s="53"/>
    </row>
    <row r="14" spans="1:34" s="7" customFormat="1" ht="26">
      <c r="A14" s="31" t="s">
        <v>66</v>
      </c>
      <c r="B14" s="31" t="s">
        <v>67</v>
      </c>
      <c r="C14" s="32" t="s">
        <v>68</v>
      </c>
      <c r="D14" s="31" t="s">
        <v>42</v>
      </c>
      <c r="E14" s="31" t="s">
        <v>61</v>
      </c>
      <c r="F14" s="50">
        <v>18</v>
      </c>
      <c r="G14" s="50">
        <v>622.09</v>
      </c>
      <c r="H14" s="51">
        <f t="shared" ref="H14:H15" si="16">(F14*G14)</f>
        <v>11197.62</v>
      </c>
      <c r="I14" s="45"/>
      <c r="J14" s="46">
        <v>1</v>
      </c>
      <c r="K14" s="47">
        <f t="shared" si="14"/>
        <v>18</v>
      </c>
      <c r="L14" s="48">
        <f>TRUNC(K14*G14)</f>
        <v>11197</v>
      </c>
      <c r="M14" s="46"/>
      <c r="N14" s="47">
        <f t="shared" si="15"/>
        <v>0</v>
      </c>
      <c r="O14" s="48">
        <f>TRUNC(N14*G14)</f>
        <v>0</v>
      </c>
      <c r="P14" s="46"/>
      <c r="Q14" s="37">
        <f t="shared" si="6"/>
        <v>0</v>
      </c>
      <c r="R14" s="38">
        <f t="shared" si="7"/>
        <v>0</v>
      </c>
      <c r="S14" s="46"/>
      <c r="T14" s="37">
        <f t="shared" si="1"/>
        <v>0</v>
      </c>
      <c r="U14" s="38">
        <f t="shared" si="8"/>
        <v>0</v>
      </c>
      <c r="V14" s="46"/>
      <c r="W14" s="37">
        <f t="shared" si="9"/>
        <v>0</v>
      </c>
      <c r="X14" s="38">
        <f t="shared" si="10"/>
        <v>0</v>
      </c>
      <c r="Y14" s="39">
        <f t="shared" si="3"/>
        <v>0</v>
      </c>
      <c r="Z14" s="37"/>
      <c r="AA14" s="38">
        <f t="shared" si="11"/>
        <v>0</v>
      </c>
      <c r="AB14" s="40">
        <f t="shared" si="4"/>
        <v>1</v>
      </c>
      <c r="AC14" s="47">
        <f t="shared" si="2"/>
        <v>18</v>
      </c>
      <c r="AD14" s="48">
        <f t="shared" si="2"/>
        <v>11197</v>
      </c>
      <c r="AE14" s="49" t="str">
        <f t="shared" si="13"/>
        <v>ITEM FINALIZADO</v>
      </c>
    </row>
    <row r="15" spans="1:34" s="7" customFormat="1" ht="25">
      <c r="A15" s="31" t="s">
        <v>69</v>
      </c>
      <c r="B15" s="31" t="s">
        <v>70</v>
      </c>
      <c r="C15" s="32" t="s">
        <v>71</v>
      </c>
      <c r="D15" s="31" t="s">
        <v>42</v>
      </c>
      <c r="E15" s="31" t="s">
        <v>43</v>
      </c>
      <c r="F15" s="50">
        <v>312.27</v>
      </c>
      <c r="G15" s="50">
        <v>12.83</v>
      </c>
      <c r="H15" s="51">
        <f t="shared" si="16"/>
        <v>4006.4240999999997</v>
      </c>
      <c r="I15" s="45"/>
      <c r="J15" s="46"/>
      <c r="K15" s="47">
        <f t="shared" si="14"/>
        <v>0</v>
      </c>
      <c r="L15" s="48">
        <f>TRUNC(K15*G15)</f>
        <v>0</v>
      </c>
      <c r="M15" s="46"/>
      <c r="N15" s="47">
        <f t="shared" si="15"/>
        <v>0</v>
      </c>
      <c r="O15" s="48">
        <f>TRUNC(N15*G15)</f>
        <v>0</v>
      </c>
      <c r="P15" s="46"/>
      <c r="Q15" s="37">
        <f t="shared" si="6"/>
        <v>0</v>
      </c>
      <c r="R15" s="38">
        <f t="shared" si="7"/>
        <v>0</v>
      </c>
      <c r="S15" s="46"/>
      <c r="T15" s="37">
        <f t="shared" si="1"/>
        <v>0</v>
      </c>
      <c r="U15" s="38">
        <f t="shared" si="8"/>
        <v>0</v>
      </c>
      <c r="V15" s="46"/>
      <c r="W15" s="37">
        <f t="shared" si="9"/>
        <v>0</v>
      </c>
      <c r="X15" s="38">
        <f t="shared" si="10"/>
        <v>0</v>
      </c>
      <c r="Y15" s="39">
        <f t="shared" si="3"/>
        <v>0</v>
      </c>
      <c r="Z15" s="37"/>
      <c r="AA15" s="38">
        <f t="shared" si="11"/>
        <v>0</v>
      </c>
      <c r="AB15" s="40">
        <f t="shared" si="4"/>
        <v>0</v>
      </c>
      <c r="AC15" s="47">
        <f t="shared" si="2"/>
        <v>0</v>
      </c>
      <c r="AD15" s="48">
        <f t="shared" si="2"/>
        <v>0</v>
      </c>
      <c r="AE15" s="49">
        <f t="shared" si="13"/>
        <v>0</v>
      </c>
      <c r="AF15" s="53"/>
    </row>
    <row r="16" spans="1:34" s="7" customFormat="1" ht="21.75" customHeight="1">
      <c r="A16" s="55" t="s">
        <v>72</v>
      </c>
      <c r="B16" s="55"/>
      <c r="C16" s="55"/>
      <c r="D16" s="55"/>
      <c r="E16" s="55"/>
      <c r="F16" s="55"/>
      <c r="G16" s="56"/>
      <c r="H16" s="57">
        <v>32786.629999999997</v>
      </c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53"/>
      <c r="AH16" s="58"/>
    </row>
    <row r="17" spans="1:34" s="7" customFormat="1" ht="20.25" customHeight="1">
      <c r="A17" s="59" t="s">
        <v>73</v>
      </c>
      <c r="B17" s="59"/>
      <c r="C17" s="59"/>
      <c r="D17" s="59"/>
      <c r="E17" s="59"/>
      <c r="F17" s="59"/>
      <c r="G17" s="60"/>
      <c r="H17" s="61">
        <f>H6-H16</f>
        <v>145963.361</v>
      </c>
      <c r="I17" s="62">
        <f>H18-287500</f>
        <v>-108750.00899999999</v>
      </c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</row>
    <row r="18" spans="1:34" s="7" customFormat="1" ht="31.5" customHeight="1">
      <c r="A18" s="59" t="s">
        <v>74</v>
      </c>
      <c r="B18" s="59"/>
      <c r="C18" s="59"/>
      <c r="D18" s="59"/>
      <c r="E18" s="59"/>
      <c r="F18" s="59"/>
      <c r="G18" s="60"/>
      <c r="H18" s="63">
        <f>SUM(H16:H17)</f>
        <v>178749.99100000001</v>
      </c>
      <c r="I18" s="64"/>
      <c r="J18" s="65">
        <f>L18/$H$18</f>
        <v>0.84657906360398083</v>
      </c>
      <c r="K18" s="66" t="s">
        <v>75</v>
      </c>
      <c r="L18" s="67">
        <f>SUM(L7:L15)</f>
        <v>151326</v>
      </c>
      <c r="M18" s="65">
        <f>O18/$H$18</f>
        <v>0</v>
      </c>
      <c r="N18" s="68" t="s">
        <v>76</v>
      </c>
      <c r="O18" s="67">
        <f>SUM(O7:O15)</f>
        <v>0</v>
      </c>
      <c r="P18" s="65">
        <f>R18/$H$18</f>
        <v>0</v>
      </c>
      <c r="Q18" s="68" t="s">
        <v>77</v>
      </c>
      <c r="R18" s="67">
        <f>SUM(R7:R15)</f>
        <v>0</v>
      </c>
      <c r="S18" s="65">
        <f>U18/$H$18</f>
        <v>0</v>
      </c>
      <c r="T18" s="68" t="s">
        <v>78</v>
      </c>
      <c r="U18" s="67">
        <f>SUM(U7:U15)</f>
        <v>0</v>
      </c>
      <c r="V18" s="65">
        <f>X18/$H$18</f>
        <v>0</v>
      </c>
      <c r="W18" s="68" t="s">
        <v>79</v>
      </c>
      <c r="X18" s="67">
        <f>SUM(X7:X15)</f>
        <v>0</v>
      </c>
      <c r="Y18" s="65">
        <f>AA18/$H$18</f>
        <v>0</v>
      </c>
      <c r="Z18" s="68" t="s">
        <v>80</v>
      </c>
      <c r="AA18" s="67">
        <f>SUM(AA7:AA15)</f>
        <v>0</v>
      </c>
      <c r="AB18" s="66" t="s">
        <v>81</v>
      </c>
      <c r="AC18" s="65">
        <f>AD18/$H$18</f>
        <v>0.84657906360398083</v>
      </c>
      <c r="AD18" s="67">
        <f>SUM(L18,O18,R18,U18,X18,AA18)</f>
        <v>151326</v>
      </c>
      <c r="AE18" s="65">
        <f>100%-AC18</f>
        <v>0.15342093639601917</v>
      </c>
      <c r="AF18" s="58"/>
      <c r="AH18" s="58"/>
    </row>
    <row r="19" spans="1:34" s="7" customFormat="1" ht="60" customHeight="1">
      <c r="A19" s="69" t="s">
        <v>82</v>
      </c>
      <c r="B19" s="70"/>
      <c r="C19" s="71"/>
      <c r="D19" s="69" t="s">
        <v>83</v>
      </c>
      <c r="E19" s="70"/>
      <c r="F19" s="70"/>
      <c r="G19" s="70"/>
      <c r="H19" s="70"/>
      <c r="I19" s="71"/>
      <c r="J19" s="72" t="s">
        <v>84</v>
      </c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H19" s="58"/>
    </row>
    <row r="20" spans="1:34" s="7" customFormat="1" ht="60" customHeight="1">
      <c r="A20" s="73"/>
      <c r="B20" s="74"/>
      <c r="C20" s="75"/>
      <c r="D20" s="73"/>
      <c r="E20" s="74"/>
      <c r="F20" s="74"/>
      <c r="G20" s="74"/>
      <c r="H20" s="74"/>
      <c r="I20" s="75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</row>
    <row r="21" spans="1:34" s="7" customFormat="1" ht="70" customHeight="1">
      <c r="A21" s="73"/>
      <c r="B21" s="74"/>
      <c r="C21" s="75"/>
      <c r="D21" s="73"/>
      <c r="E21" s="74"/>
      <c r="F21" s="74"/>
      <c r="G21" s="74"/>
      <c r="H21" s="74"/>
      <c r="I21" s="75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</row>
    <row r="22" spans="1:34" s="7" customFormat="1">
      <c r="A22" s="76"/>
      <c r="B22" s="77"/>
      <c r="C22" s="78"/>
      <c r="D22" s="76"/>
      <c r="E22" s="77"/>
      <c r="F22" s="77"/>
      <c r="G22" s="77"/>
      <c r="H22" s="77"/>
      <c r="I22" s="78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</row>
    <row r="25" spans="1:34" s="7" customFormat="1">
      <c r="A25" s="8"/>
      <c r="B25" s="8"/>
      <c r="C25" s="79"/>
      <c r="D25" s="8"/>
      <c r="E25" s="79"/>
      <c r="F25" s="8"/>
      <c r="G25" s="8"/>
      <c r="H25" s="80"/>
      <c r="I25" s="8"/>
      <c r="J25" s="79"/>
      <c r="K25" s="8"/>
      <c r="L25" s="8"/>
      <c r="M25" s="79"/>
      <c r="N25" s="8"/>
      <c r="O25" s="8"/>
      <c r="P25" s="79"/>
      <c r="Q25" s="8"/>
      <c r="R25" s="8"/>
      <c r="S25" s="79"/>
      <c r="T25" s="8"/>
      <c r="U25" s="8"/>
      <c r="V25" s="79"/>
      <c r="W25" s="8"/>
      <c r="X25" s="8"/>
      <c r="Y25" s="79"/>
      <c r="Z25" s="8"/>
      <c r="AA25" s="8"/>
      <c r="AB25" s="8"/>
      <c r="AC25" s="8"/>
      <c r="AD25" s="8"/>
      <c r="AE25" s="8"/>
    </row>
    <row r="26" spans="1:34" s="7" customFormat="1">
      <c r="A26" s="8"/>
      <c r="B26" s="8"/>
      <c r="C26" s="8"/>
      <c r="D26" s="8"/>
      <c r="E26" s="8"/>
      <c r="F26" s="8"/>
      <c r="G26" s="8"/>
      <c r="H26" s="8">
        <v>0.25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spans="1:34" s="7" customFormat="1">
      <c r="A27" s="8"/>
      <c r="B27" s="8"/>
      <c r="C27" s="8"/>
      <c r="D27" s="8"/>
      <c r="E27" s="8"/>
      <c r="F27" s="8"/>
      <c r="G27" s="8"/>
      <c r="H27" s="80">
        <f>H18*H26</f>
        <v>44687.497750000002</v>
      </c>
      <c r="I27" s="8"/>
      <c r="J27" s="8"/>
      <c r="K27" s="8"/>
      <c r="L27" s="8"/>
      <c r="M27" s="80">
        <v>1451015.78</v>
      </c>
      <c r="N27" s="8" t="s">
        <v>85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spans="1:34" s="7" customFormat="1">
      <c r="A28" s="8"/>
      <c r="B28" s="8"/>
      <c r="C28" s="8"/>
      <c r="D28" s="8"/>
      <c r="E28" s="8"/>
      <c r="F28" s="8"/>
      <c r="G28" s="8"/>
      <c r="H28" s="81" t="e">
        <f>#REF!</f>
        <v>#REF!</v>
      </c>
      <c r="I28" s="8" t="s">
        <v>86</v>
      </c>
      <c r="J28" s="8"/>
      <c r="K28" s="8"/>
      <c r="L28" s="8"/>
      <c r="M28" s="80">
        <f>H18</f>
        <v>178749.99100000001</v>
      </c>
      <c r="N28" s="8" t="s">
        <v>87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spans="1:34" s="7" customFormat="1">
      <c r="A29" s="8"/>
      <c r="B29" s="8"/>
      <c r="C29" s="8"/>
      <c r="D29" s="8"/>
      <c r="E29" s="8"/>
      <c r="F29" s="8"/>
      <c r="G29" s="8"/>
      <c r="H29" s="80" t="e">
        <f>H27+H28</f>
        <v>#REF!</v>
      </c>
      <c r="I29" s="8" t="s">
        <v>88</v>
      </c>
      <c r="J29" s="8"/>
      <c r="K29" s="8"/>
      <c r="L29" s="8"/>
      <c r="M29" s="82">
        <f>1-(M28/M27)</f>
        <v>0.87681044309525014</v>
      </c>
      <c r="N29" s="8" t="s">
        <v>89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spans="1:34" s="7" customFormat="1">
      <c r="A30" s="8"/>
      <c r="B30" s="8"/>
      <c r="C30" s="8"/>
      <c r="D30" s="8"/>
      <c r="E30" s="8"/>
      <c r="F30" s="8"/>
      <c r="G30" s="8"/>
      <c r="H30" s="80">
        <v>111698.96</v>
      </c>
      <c r="I30" s="8" t="s">
        <v>90</v>
      </c>
      <c r="J30" s="8" t="s">
        <v>90</v>
      </c>
      <c r="K30" s="8" t="s">
        <v>90</v>
      </c>
      <c r="L30" s="8" t="s">
        <v>90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spans="1:34" s="7" customFormat="1">
      <c r="A31" s="8"/>
      <c r="B31" s="8"/>
      <c r="C31" s="8"/>
      <c r="D31" s="8"/>
      <c r="E31" s="8"/>
      <c r="F31" s="8"/>
      <c r="G31" s="8"/>
      <c r="H31" s="80">
        <f>H30*(100%-M29)</f>
        <v>13760.145389121381</v>
      </c>
      <c r="I31" s="8" t="s">
        <v>91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spans="1:34" s="7" customFormat="1">
      <c r="A32" s="8"/>
      <c r="B32" s="8"/>
      <c r="C32" s="8"/>
      <c r="D32" s="8"/>
      <c r="E32" s="8"/>
      <c r="F32" s="8"/>
      <c r="G32" s="8"/>
      <c r="H32" s="80" t="e">
        <f>H29-H31</f>
        <v>#REF!</v>
      </c>
      <c r="I32" s="8" t="s">
        <v>92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spans="1:31" s="7" customFormat="1">
      <c r="A33" s="8"/>
      <c r="B33" s="8"/>
      <c r="C33" s="8"/>
      <c r="D33" s="8"/>
      <c r="E33" s="8"/>
      <c r="F33" s="8"/>
      <c r="G33" s="8"/>
      <c r="H33" s="80">
        <v>1451015.78</v>
      </c>
      <c r="I33" s="8" t="s">
        <v>93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spans="1:31" s="7" customFormat="1">
      <c r="A34" s="8"/>
      <c r="B34" s="8"/>
      <c r="C34" s="8"/>
      <c r="D34" s="8"/>
      <c r="E34" s="8"/>
      <c r="F34" s="8"/>
      <c r="G34" s="8"/>
      <c r="H34" s="82">
        <f>1-(H18/H33)</f>
        <v>0.87681044309525014</v>
      </c>
      <c r="I34" s="8" t="s">
        <v>94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</sheetData>
  <mergeCells count="43">
    <mergeCell ref="A16:G16"/>
    <mergeCell ref="A17:G17"/>
    <mergeCell ref="A18:G18"/>
    <mergeCell ref="A19:C22"/>
    <mergeCell ref="D19:I22"/>
    <mergeCell ref="J19:AE22"/>
    <mergeCell ref="AB4:AE4"/>
    <mergeCell ref="B6:G6"/>
    <mergeCell ref="J6:L6"/>
    <mergeCell ref="M6:O6"/>
    <mergeCell ref="P6:R6"/>
    <mergeCell ref="S6:U6"/>
    <mergeCell ref="V6:X6"/>
    <mergeCell ref="Y6:AA6"/>
    <mergeCell ref="V3:W3"/>
    <mergeCell ref="Y3:Z3"/>
    <mergeCell ref="AB3:AE3"/>
    <mergeCell ref="A4:H4"/>
    <mergeCell ref="J4:L4"/>
    <mergeCell ref="M4:O4"/>
    <mergeCell ref="P4:R4"/>
    <mergeCell ref="S4:U4"/>
    <mergeCell ref="V4:X4"/>
    <mergeCell ref="Y4:AA4"/>
    <mergeCell ref="A3:D3"/>
    <mergeCell ref="E3:I3"/>
    <mergeCell ref="J3:K3"/>
    <mergeCell ref="M3:N3"/>
    <mergeCell ref="P3:Q3"/>
    <mergeCell ref="S3:T3"/>
    <mergeCell ref="S1:U2"/>
    <mergeCell ref="V1:X2"/>
    <mergeCell ref="Y1:AA2"/>
    <mergeCell ref="AB1:AE2"/>
    <mergeCell ref="A2:D2"/>
    <mergeCell ref="E2:F2"/>
    <mergeCell ref="G2:H2"/>
    <mergeCell ref="B1:D1"/>
    <mergeCell ref="E1:F1"/>
    <mergeCell ref="G1:H1"/>
    <mergeCell ref="J1:L2"/>
    <mergeCell ref="M1:O2"/>
    <mergeCell ref="P1:R2"/>
  </mergeCells>
  <conditionalFormatting sqref="J7:J15 M7:M15 P7:P15 S7:S15">
    <cfRule type="cellIs" dxfId="10" priority="9" operator="between">
      <formula>0.01</formula>
      <formula>1</formula>
    </cfRule>
  </conditionalFormatting>
  <conditionalFormatting sqref="K7:K15 N7:N15 Q7:Q15 T7:T15">
    <cfRule type="cellIs" dxfId="9" priority="8" operator="between">
      <formula>1</formula>
      <formula>1000</formula>
    </cfRule>
  </conditionalFormatting>
  <conditionalFormatting sqref="L7:L15 O7:O15 R7:R15 U7:U15">
    <cfRule type="cellIs" dxfId="8" priority="7" operator="between">
      <formula>1</formula>
      <formula>100000</formula>
    </cfRule>
  </conditionalFormatting>
  <conditionalFormatting sqref="V7">
    <cfRule type="cellIs" dxfId="7" priority="6" operator="between">
      <formula>0.01</formula>
      <formula>1</formula>
    </cfRule>
  </conditionalFormatting>
  <conditionalFormatting sqref="W7:W15">
    <cfRule type="cellIs" dxfId="6" priority="4" operator="between">
      <formula>1</formula>
      <formula>1000</formula>
    </cfRule>
  </conditionalFormatting>
  <conditionalFormatting sqref="X7:X15">
    <cfRule type="cellIs" dxfId="5" priority="3" operator="between">
      <formula>1</formula>
      <formula>100000</formula>
    </cfRule>
  </conditionalFormatting>
  <conditionalFormatting sqref="Y7:Y15">
    <cfRule type="cellIs" dxfId="4" priority="5" operator="between">
      <formula>0.01</formula>
      <formula>1</formula>
    </cfRule>
  </conditionalFormatting>
  <conditionalFormatting sqref="Z7:Z15">
    <cfRule type="cellIs" dxfId="3" priority="1" operator="between">
      <formula>1</formula>
      <formula>1000</formula>
    </cfRule>
  </conditionalFormatting>
  <conditionalFormatting sqref="AA7:AA15">
    <cfRule type="cellIs" dxfId="2" priority="2" operator="between">
      <formula>1</formula>
      <formula>100000</formula>
    </cfRule>
  </conditionalFormatting>
  <conditionalFormatting sqref="AB7:AB15">
    <cfRule type="cellIs" dxfId="1" priority="11" operator="equal">
      <formula>1</formula>
    </cfRule>
  </conditionalFormatting>
  <conditionalFormatting sqref="AE7:AE15">
    <cfRule type="cellIs" dxfId="0" priority="10" operator="equal">
      <formula>"ITEM FINALIZADO"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 DE ADITIVO</vt:lpstr>
      <vt:lpstr>'PLANILHA DE ADITIVO'!Area_de_impressao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Kilber</dc:creator>
  <cp:lastModifiedBy>Richard Kilber</cp:lastModifiedBy>
  <dcterms:created xsi:type="dcterms:W3CDTF">2025-09-16T13:58:48Z</dcterms:created>
  <dcterms:modified xsi:type="dcterms:W3CDTF">2025-09-16T14:04:15Z</dcterms:modified>
</cp:coreProperties>
</file>