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noel (J. Galdino)\Desktop\OBRAS\OBRAS\OBRAS 21-06\COREMAS-PB\ESCOLA 6 SALAS\PLANILHAS\BM-01\"/>
    </mc:Choice>
  </mc:AlternateContent>
  <xr:revisionPtr revIDLastSave="0" documentId="13_ncr:1_{C68AF070-D745-4943-843F-CE3B1EC4BDBA}" xr6:coauthVersionLast="47" xr6:coauthVersionMax="47" xr10:uidLastSave="{00000000-0000-0000-0000-000000000000}"/>
  <bookViews>
    <workbookView xWindow="-108" yWindow="-108" windowWidth="23256" windowHeight="12456" xr2:uid="{3FEB530D-3E13-4769-AA2A-71BAB90B850E}"/>
  </bookViews>
  <sheets>
    <sheet name="BM-01" sheetId="1" r:id="rId1"/>
    <sheet name="MEMORIAL DE CÁLCULOS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____MDO1">[2]INSUMOS!$C$8</definedName>
    <definedName name="_______MDO2">[3]INSUMOS!$C$6</definedName>
    <definedName name="_______R">#REF!</definedName>
    <definedName name="______MDO1">[2]INSUMOS!$C$8</definedName>
    <definedName name="______MDO2">[3]INSUMOS!$C$6</definedName>
    <definedName name="______R" localSheetId="1">#REF!</definedName>
    <definedName name="______R">#REF!</definedName>
    <definedName name="______rua1" localSheetId="1">#REF!</definedName>
    <definedName name="______rua1">#REF!</definedName>
    <definedName name="_____MDO1">[2]INSUMOS!$C$8</definedName>
    <definedName name="_____MDO2">[3]INSUMOS!$C$6</definedName>
    <definedName name="_____R" localSheetId="1">#REF!</definedName>
    <definedName name="_____R">#REF!</definedName>
    <definedName name="_____rua1" localSheetId="1">#REF!</definedName>
    <definedName name="_____rua1">#REF!</definedName>
    <definedName name="____MDO1">[2]INSUMOS!$C$8</definedName>
    <definedName name="____MDO2">[3]INSUMOS!$C$6</definedName>
    <definedName name="____R" localSheetId="1">#REF!</definedName>
    <definedName name="____R">#REF!</definedName>
    <definedName name="____rua1" localSheetId="1">#REF!</definedName>
    <definedName name="____rua1">#REF!</definedName>
    <definedName name="___MDO1">[2]INSUMOS!$C$8</definedName>
    <definedName name="___MDO2">[3]INSUMOS!$C$6</definedName>
    <definedName name="___R" localSheetId="1">#REF!</definedName>
    <definedName name="___R">#REF!</definedName>
    <definedName name="___rua1" localSheetId="1">#REF!</definedName>
    <definedName name="___rua1">#REF!</definedName>
    <definedName name="__MDO1" localSheetId="1">[4]INSUMOS!$C$8</definedName>
    <definedName name="__MDO1">[4]INSUMOS!$C$8</definedName>
    <definedName name="__MDO2">[3]INSUMOS!$C$6</definedName>
    <definedName name="__R" localSheetId="1">#REF!</definedName>
    <definedName name="__R">#REF!</definedName>
    <definedName name="__rua1" localSheetId="1">#REF!</definedName>
    <definedName name="__rua1">#REF!</definedName>
    <definedName name="__xlnm.Print_Titles_2" localSheetId="1">#REF!</definedName>
    <definedName name="__xlnm.Print_Titles_2">#REF!</definedName>
    <definedName name="_Fill" localSheetId="1" hidden="1">#REF!</definedName>
    <definedName name="_Fill" hidden="1">#REF!</definedName>
    <definedName name="_xlnm._FilterDatabase" localSheetId="0" hidden="1">'BM-01'!$D$1:$D$215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MDO1" localSheetId="1">[4]INSUMOS!$C$8</definedName>
    <definedName name="_MDO1">[4]INSUMOS!$C$8</definedName>
    <definedName name="_MDO2">[3]INSUMOS!$C$6</definedName>
    <definedName name="_Order1" hidden="1">255</definedName>
    <definedName name="_Order2" hidden="1">255</definedName>
    <definedName name="_R" localSheetId="1">#REF!</definedName>
    <definedName name="_R">#REF!</definedName>
    <definedName name="_rua1" localSheetId="1">#REF!</definedName>
    <definedName name="_rua1">#REF!</definedName>
    <definedName name="_Sort" localSheetId="1" hidden="1">#REF!</definedName>
    <definedName name="_Sort" hidden="1">#REF!</definedName>
    <definedName name="A">#REF!</definedName>
    <definedName name="AA" localSheetId="1">[5]CUBACAO!#REF!</definedName>
    <definedName name="AA">[5]CUBACAO!#REF!</definedName>
    <definedName name="AAA" localSheetId="1">[5]CUBACAO!#REF!</definedName>
    <definedName name="AAA">[5]CUBACAO!#REF!</definedName>
    <definedName name="Ac" localSheetId="1">#REF!</definedName>
    <definedName name="Ac">#REF!</definedName>
    <definedName name="ACRE" localSheetId="1" hidden="1">#REF!</definedName>
    <definedName name="ACRE" hidden="1">#REF!</definedName>
    <definedName name="ademir" localSheetId="1" hidden="1">{#N/A,#N/A,FALSE,"Cronograma";#N/A,#N/A,FALSE,"Cronogr. 2"}</definedName>
    <definedName name="ademir" hidden="1">{#N/A,#N/A,FALSE,"Cronograma";#N/A,#N/A,FALSE,"Cronogr. 2"}</definedName>
    <definedName name="_xlnm.Print_Area" localSheetId="0">'BM-01'!$A$1:$O$215</definedName>
    <definedName name="_xlnm.Print_Area" localSheetId="1">'MEMORIAL DE CÁLCULOS'!$A$2:$K$138</definedName>
    <definedName name="artFiscal">[6]DADOS!$D$23</definedName>
    <definedName name="ASDFASDFAS" localSheetId="1">#REF!</definedName>
    <definedName name="ASDFASDFAS">#REF!</definedName>
    <definedName name="BB" localSheetId="1">[5]CUBACAO!#REF!</definedName>
    <definedName name="BB">[5]CUBACAO!#REF!</definedName>
    <definedName name="BBB" localSheetId="1">[5]CUBACAO!#REF!</definedName>
    <definedName name="BBB">[5]CUBACAO!#REF!</definedName>
    <definedName name="bdi" localSheetId="1">[7]Orçamento!$J$10</definedName>
    <definedName name="bdi">[7]Orçamento!$J$10</definedName>
    <definedName name="BDIc" localSheetId="1">#REF!</definedName>
    <definedName name="BDIc">#REF!</definedName>
    <definedName name="BDIf" localSheetId="1">#REF!</definedName>
    <definedName name="BDIf">#REF!</definedName>
    <definedName name="bosta" localSheetId="1" hidden="1">{#N/A,#N/A,FALSE,"Cronograma";#N/A,#N/A,FALSE,"Cronogr. 2"}</definedName>
    <definedName name="bosta" hidden="1">{#N/A,#N/A,FALSE,"Cronograma";#N/A,#N/A,FALSE,"Cronogr. 2"}</definedName>
    <definedName name="CA´L" localSheetId="1" hidden="1">{#N/A,#N/A,FALSE,"Cronograma";#N/A,#N/A,FALSE,"Cronogr. 2"}</definedName>
    <definedName name="CA´L" hidden="1">{#N/A,#N/A,FALSE,"Cronograma";#N/A,#N/A,FALSE,"Cronogr. 2"}</definedName>
    <definedName name="CalculadoCPFin" localSheetId="1">SUMIF([8]QCI!$R$22:$R$30,"Calculado",[8]QCI!$AB$22:$AB$30)</definedName>
    <definedName name="CalculadoCPFin">SUMIF([8]QCI!$R$22:$R$30,"Calculado",[8]QCI!$AB$22:$AB$30)</definedName>
    <definedName name="CalculadoCPFisica" localSheetId="1">SUMIF([8]QCI!$R$22:$R$30,"Calculado",[8]QCI!$AC$22:$AC$30)</definedName>
    <definedName name="CalculadoCPFisica">SUMIF([8]QCI!$R$22:$R$30,"Calculado",[8]QCI!$AC$22:$AC$30)</definedName>
    <definedName name="CalculadoInv" localSheetId="1">'MEMORIAL DE CÁLCULOS'!CalculadoRep+'MEMORIAL DE CÁLCULOS'!CalculadoCPFin+'MEMORIAL DE CÁLCULOS'!CalculadoCPFisica</definedName>
    <definedName name="CalculadoInv">CalculadoRep+CalculadoCPFin+CalculadoCPFisica</definedName>
    <definedName name="CalculadoRep" localSheetId="1">SUMIF([8]QCI!$R$22:$R$30,"Calculado",[8]QCI!$AA$22:$AA$30)</definedName>
    <definedName name="CalculadoRep">SUMIF([8]QCI!$R$22:$R$30,"Calculado",[8]QCI!$AA$22:$AA$30)</definedName>
    <definedName name="CC" localSheetId="1">[5]CUBACAO!#REF!</definedName>
    <definedName name="CC">[5]CUBACAO!#REF!</definedName>
    <definedName name="CCC" localSheetId="1">[5]CUBACAO!#REF!</definedName>
    <definedName name="CCC">[5]CUBACAO!#REF!</definedName>
    <definedName name="COMPOSICOES">#REF!</definedName>
    <definedName name="concorrentes" localSheetId="1" hidden="1">{#N/A,#N/A,FALSE,"Cronograma";#N/A,#N/A,FALSE,"Cronogr. 2"}</definedName>
    <definedName name="concorrentes" hidden="1">{#N/A,#N/A,FALSE,"Cronograma";#N/A,#N/A,FALSE,"Cronogr. 2"}</definedName>
    <definedName name="creaFiscal">[6]DADOS!$C$23</definedName>
    <definedName name="CREMILDE">#REF!</definedName>
    <definedName name="DD" localSheetId="1">[5]CUBACAO!#REF!</definedName>
    <definedName name="DD">[5]CUBACAO!#REF!</definedName>
    <definedName name="DDD" localSheetId="1">[5]CUBACAO!#REF!</definedName>
    <definedName name="DDD">[5]CUBACAO!#REF!</definedName>
    <definedName name="DESONERACAO">[15]BDI!$T$10:$T$11</definedName>
    <definedName name="Df" localSheetId="1">#REF!</definedName>
    <definedName name="Df">#REF!</definedName>
    <definedName name="E" localSheetId="1">#REF!</definedName>
    <definedName name="E">#REF!</definedName>
    <definedName name="EE" localSheetId="1">[5]CUBACAO!#REF!</definedName>
    <definedName name="EE">[5]CUBACAO!#REF!</definedName>
    <definedName name="EEE" localSheetId="1">[5]CUBACAO!#REF!</definedName>
    <definedName name="EEE">[5]CUBACAO!#REF!</definedName>
    <definedName name="Entulho">[15]Memoria_Calculo!#REF!</definedName>
    <definedName name="Eventos">OFFSET([6]DADOS!$A$33,1,0):OFFSET([6]DADOS!$C$39,-1,0)</definedName>
    <definedName name="Excel_BuiltIn_Print_Titles_2_1" localSheetId="1">#REF!</definedName>
    <definedName name="Excel_BuiltIn_Print_Titles_2_1">#REF!</definedName>
    <definedName name="Excel_BuiltIn_Print_Titles_8" localSheetId="1">'[9]Orçamento Cisterna'!#REF!</definedName>
    <definedName name="Excel_BuiltIn_Print_Titles_8">'[9]Orçamento Cisterna'!#REF!</definedName>
    <definedName name="fator" localSheetId="1">[15]Orçamento!#REF!</definedName>
    <definedName name="fator">[15]Orçamento!#REF!</definedName>
    <definedName name="Fd" localSheetId="1">#REF!</definedName>
    <definedName name="Fd">#REF!</definedName>
    <definedName name="FF" localSheetId="1">[5]CUBACAO!#REF!</definedName>
    <definedName name="FF">[5]CUBACAO!#REF!</definedName>
    <definedName name="FFF" localSheetId="1">[5]CUBACAO!#REF!</definedName>
    <definedName name="FFF">[5]CUBACAO!#REF!</definedName>
    <definedName name="GG" localSheetId="1">[5]CUBACAO!#REF!</definedName>
    <definedName name="GG">[5]CUBACAO!#REF!</definedName>
    <definedName name="GGG" localSheetId="1">[5]CUBACAO!#REF!</definedName>
    <definedName name="GGG">[5]CUBACAO!#REF!</definedName>
    <definedName name="HH" localSheetId="1">[5]CUBACAO!#REF!</definedName>
    <definedName name="HH">[5]CUBACAO!#REF!</definedName>
    <definedName name="HHH">[5]CUBACAO!#REF!</definedName>
    <definedName name="hoje">TODAY()</definedName>
    <definedName name="I.CTEF">OFFSET([10]DADOS!$B$55,IF([10]DADOS!$J$22="OGU não-PAC",1,0),0,COUNTA([10]DADOS!$B$55:$B$77))</definedName>
    <definedName name="I.Lotes">OFFSET([10]QCI!$AH$15,IF([10]DADOS!$J$22="OGU não-PAC",1,0),0):OFFSET([10]QCI!$AH$24,-1,0)</definedName>
    <definedName name="II" localSheetId="1">[5]CUBACAO!#REF!</definedName>
    <definedName name="II">[5]CUBACAO!#REF!</definedName>
    <definedName name="III" localSheetId="1">[5]CUBACAO!#REF!</definedName>
    <definedName name="III">[5]CUBACAO!#REF!</definedName>
    <definedName name="Im" localSheetId="1">#REF!</definedName>
    <definedName name="Im">#REF!</definedName>
    <definedName name="Import.Município">[6]DADOS!$D$10</definedName>
    <definedName name="Import.PLE" localSheetId="1">OFFSET([8]CRONOGRAMA!$E$32,1,0):OFFSET([8]CRONOGRAMA!$BB$38,-1,0)</definedName>
    <definedName name="Import.PLE">OFFSET([8]CRONOGRAMA!$E$32,1,0):OFFSET([8]CRONOGRAMA!$BB$38,-1,0)</definedName>
    <definedName name="INSUMO">#REF!</definedName>
    <definedName name="INSUMOS">#REF!</definedName>
    <definedName name="Io" localSheetId="1">#REF!</definedName>
    <definedName name="Io">#REF!</definedName>
    <definedName name="ISS" localSheetId="1">#REF!</definedName>
    <definedName name="ISS">#REF!</definedName>
    <definedName name="IT" localSheetId="1">#REF!</definedName>
    <definedName name="IT">#REF!</definedName>
    <definedName name="item1.1" localSheetId="1">'[11]COMPOSIÇÃO CUSTO'!#REF!</definedName>
    <definedName name="item1.1">'[11]COMPOSIÇÃO CUSTO'!#REF!</definedName>
    <definedName name="item1.2" localSheetId="1">'[11]COMPOSIÇÃO CUSTO'!#REF!</definedName>
    <definedName name="item1.2">'[11]COMPOSIÇÃO CUSTO'!#REF!</definedName>
    <definedName name="item1.3" localSheetId="1">'[11]COMPOSIÇÃO CUSTO'!#REF!</definedName>
    <definedName name="item1.3">'[11]COMPOSIÇÃO CUSTO'!#REF!</definedName>
    <definedName name="item1.4" localSheetId="1">'[11]COMPOSIÇÃO CUSTO'!#REF!</definedName>
    <definedName name="item1.4">'[11]COMPOSIÇÃO CUSTO'!#REF!</definedName>
    <definedName name="item1.5" localSheetId="1">'[11]COMPOSIÇÃO CUSTO'!#REF!</definedName>
    <definedName name="item1.5">'[11]COMPOSIÇÃO CUSTO'!#REF!</definedName>
    <definedName name="item1.6" localSheetId="1">'[11]COMPOSIÇÃO CUSTO'!#REF!</definedName>
    <definedName name="item1.6">'[11]COMPOSIÇÃO CUSTO'!#REF!</definedName>
    <definedName name="item10.1" localSheetId="1">'[11]COMPOSIÇÃO CUSTO'!#REF!</definedName>
    <definedName name="item10.1">'[11]COMPOSIÇÃO CUSTO'!#REF!</definedName>
    <definedName name="item10.10" localSheetId="1">'[11]COMPOSIÇÃO CUSTO'!#REF!</definedName>
    <definedName name="item10.10">'[11]COMPOSIÇÃO CUSTO'!#REF!</definedName>
    <definedName name="item10.11" localSheetId="1">'[11]COMPOSIÇÃO CUSTO'!#REF!</definedName>
    <definedName name="item10.11">'[11]COMPOSIÇÃO CUSTO'!#REF!</definedName>
    <definedName name="item10.12" localSheetId="1">'[11]COMPOSIÇÃO CUSTO'!#REF!</definedName>
    <definedName name="item10.12">'[11]COMPOSIÇÃO CUSTO'!#REF!</definedName>
    <definedName name="item10.13" localSheetId="1">'[11]COMPOSIÇÃO CUSTO'!#REF!</definedName>
    <definedName name="item10.13">'[11]COMPOSIÇÃO CUSTO'!#REF!</definedName>
    <definedName name="item10.14" localSheetId="1">'[11]COMPOSIÇÃO CUSTO'!#REF!</definedName>
    <definedName name="item10.14">'[11]COMPOSIÇÃO CUSTO'!#REF!</definedName>
    <definedName name="item10.15" localSheetId="1">'[11]COMPOSIÇÃO CUSTO'!#REF!</definedName>
    <definedName name="item10.15">'[11]COMPOSIÇÃO CUSTO'!#REF!</definedName>
    <definedName name="item10.16" localSheetId="1">'[11]COMPOSIÇÃO CUSTO'!#REF!</definedName>
    <definedName name="item10.16">'[11]COMPOSIÇÃO CUSTO'!#REF!</definedName>
    <definedName name="item10.17" localSheetId="1">'[11]COMPOSIÇÃO CUSTO'!#REF!</definedName>
    <definedName name="item10.17">'[11]COMPOSIÇÃO CUSTO'!#REF!</definedName>
    <definedName name="item10.18" localSheetId="1">'[11]COMPOSIÇÃO CUSTO'!#REF!</definedName>
    <definedName name="item10.18">'[11]COMPOSIÇÃO CUSTO'!#REF!</definedName>
    <definedName name="item10.19" localSheetId="1">'[11]COMPOSIÇÃO CUSTO'!#REF!</definedName>
    <definedName name="item10.19">'[11]COMPOSIÇÃO CUSTO'!#REF!</definedName>
    <definedName name="item10.2" localSheetId="1">'[11]COMPOSIÇÃO CUSTO'!#REF!</definedName>
    <definedName name="item10.2">'[11]COMPOSIÇÃO CUSTO'!#REF!</definedName>
    <definedName name="item10.3" localSheetId="1">'[11]COMPOSIÇÃO CUSTO'!#REF!</definedName>
    <definedName name="item10.3">'[11]COMPOSIÇÃO CUSTO'!#REF!</definedName>
    <definedName name="item10.4" localSheetId="1">'[11]COMPOSIÇÃO CUSTO'!#REF!</definedName>
    <definedName name="item10.4">'[11]COMPOSIÇÃO CUSTO'!#REF!</definedName>
    <definedName name="item10.5" localSheetId="1">'[11]COMPOSIÇÃO CUSTO'!#REF!</definedName>
    <definedName name="item10.5">'[11]COMPOSIÇÃO CUSTO'!#REF!</definedName>
    <definedName name="item10.6" localSheetId="1">'[11]COMPOSIÇÃO CUSTO'!#REF!</definedName>
    <definedName name="item10.6">'[11]COMPOSIÇÃO CUSTO'!#REF!</definedName>
    <definedName name="item10.7" localSheetId="1">'[11]COMPOSIÇÃO CUSTO'!#REF!</definedName>
    <definedName name="item10.7">'[11]COMPOSIÇÃO CUSTO'!#REF!</definedName>
    <definedName name="item10.8" localSheetId="1">'[11]COMPOSIÇÃO CUSTO'!#REF!</definedName>
    <definedName name="item10.8">'[11]COMPOSIÇÃO CUSTO'!#REF!</definedName>
    <definedName name="item10.9" localSheetId="1">'[11]COMPOSIÇÃO CUSTO'!#REF!</definedName>
    <definedName name="item10.9">'[11]COMPOSIÇÃO CUSTO'!#REF!</definedName>
    <definedName name="item11.1" localSheetId="1">'[11]COMPOSIÇÃO CUSTO'!#REF!</definedName>
    <definedName name="item11.1">'[11]COMPOSIÇÃO CUSTO'!#REF!</definedName>
    <definedName name="item11.10" localSheetId="1">'[11]COMPOSIÇÃO CUSTO'!#REF!</definedName>
    <definedName name="item11.10">'[11]COMPOSIÇÃO CUSTO'!#REF!</definedName>
    <definedName name="item11.11" localSheetId="1">'[11]COMPOSIÇÃO CUSTO'!#REF!</definedName>
    <definedName name="item11.11">'[11]COMPOSIÇÃO CUSTO'!#REF!</definedName>
    <definedName name="item11.12" localSheetId="1">'[11]COMPOSIÇÃO CUSTO'!#REF!</definedName>
    <definedName name="item11.12">'[11]COMPOSIÇÃO CUSTO'!#REF!</definedName>
    <definedName name="item11.13" localSheetId="1">'[11]COMPOSIÇÃO CUSTO'!#REF!</definedName>
    <definedName name="item11.13">'[11]COMPOSIÇÃO CUSTO'!#REF!</definedName>
    <definedName name="item11.14" localSheetId="1">'[11]COMPOSIÇÃO CUSTO'!#REF!</definedName>
    <definedName name="item11.14">'[11]COMPOSIÇÃO CUSTO'!#REF!</definedName>
    <definedName name="item11.15" localSheetId="1">'[11]COMPOSIÇÃO CUSTO'!#REF!</definedName>
    <definedName name="item11.15">'[11]COMPOSIÇÃO CUSTO'!#REF!</definedName>
    <definedName name="item11.16" localSheetId="1">'[11]COMPOSIÇÃO CUSTO'!#REF!</definedName>
    <definedName name="item11.16">'[11]COMPOSIÇÃO CUSTO'!#REF!</definedName>
    <definedName name="item11.17" localSheetId="1">'[11]COMPOSIÇÃO CUSTO'!#REF!</definedName>
    <definedName name="item11.17">'[11]COMPOSIÇÃO CUSTO'!#REF!</definedName>
    <definedName name="item11.18" localSheetId="1">'[11]COMPOSIÇÃO CUSTO'!#REF!</definedName>
    <definedName name="item11.18">'[11]COMPOSIÇÃO CUSTO'!#REF!</definedName>
    <definedName name="item11.19" localSheetId="1">'[11]COMPOSIÇÃO CUSTO'!#REF!</definedName>
    <definedName name="item11.19">'[11]COMPOSIÇÃO CUSTO'!#REF!</definedName>
    <definedName name="item11.2" localSheetId="1">'[11]COMPOSIÇÃO CUSTO'!#REF!</definedName>
    <definedName name="item11.2">'[11]COMPOSIÇÃO CUSTO'!#REF!</definedName>
    <definedName name="item11.20" localSheetId="1">'[11]COMPOSIÇÃO CUSTO'!#REF!</definedName>
    <definedName name="item11.20">'[11]COMPOSIÇÃO CUSTO'!#REF!</definedName>
    <definedName name="item11.21" localSheetId="1">'[11]COMPOSIÇÃO CUSTO'!#REF!</definedName>
    <definedName name="item11.21">'[11]COMPOSIÇÃO CUSTO'!#REF!</definedName>
    <definedName name="item11.22" localSheetId="1">'[11]COMPOSIÇÃO CUSTO'!#REF!</definedName>
    <definedName name="item11.22">'[11]COMPOSIÇÃO CUSTO'!#REF!</definedName>
    <definedName name="item11.23" localSheetId="1">'[11]COMPOSIÇÃO CUSTO'!#REF!</definedName>
    <definedName name="item11.23">'[11]COMPOSIÇÃO CUSTO'!#REF!</definedName>
    <definedName name="item11.24" localSheetId="1">'[11]COMPOSIÇÃO CUSTO'!#REF!</definedName>
    <definedName name="item11.24">'[11]COMPOSIÇÃO CUSTO'!#REF!</definedName>
    <definedName name="item11.25" localSheetId="1">'[11]COMPOSIÇÃO CUSTO'!#REF!</definedName>
    <definedName name="item11.25">'[11]COMPOSIÇÃO CUSTO'!#REF!</definedName>
    <definedName name="item11.26" localSheetId="1">'[11]COMPOSIÇÃO CUSTO'!#REF!</definedName>
    <definedName name="item11.26">'[11]COMPOSIÇÃO CUSTO'!#REF!</definedName>
    <definedName name="item11.27" localSheetId="1">'[11]COMPOSIÇÃO CUSTO'!#REF!</definedName>
    <definedName name="item11.27">'[11]COMPOSIÇÃO CUSTO'!#REF!</definedName>
    <definedName name="item11.28" localSheetId="1">'[11]COMPOSIÇÃO CUSTO'!#REF!</definedName>
    <definedName name="item11.28">'[11]COMPOSIÇÃO CUSTO'!#REF!</definedName>
    <definedName name="item11.3" localSheetId="1">'[11]COMPOSIÇÃO CUSTO'!#REF!</definedName>
    <definedName name="item11.3">'[11]COMPOSIÇÃO CUSTO'!#REF!</definedName>
    <definedName name="item11.4" localSheetId="1">'[11]COMPOSIÇÃO CUSTO'!#REF!</definedName>
    <definedName name="item11.4">'[11]COMPOSIÇÃO CUSTO'!#REF!</definedName>
    <definedName name="item11.5" localSheetId="1">'[11]COMPOSIÇÃO CUSTO'!#REF!</definedName>
    <definedName name="item11.5">'[11]COMPOSIÇÃO CUSTO'!#REF!</definedName>
    <definedName name="item11.6" localSheetId="1">'[11]COMPOSIÇÃO CUSTO'!#REF!</definedName>
    <definedName name="item11.6">'[11]COMPOSIÇÃO CUSTO'!#REF!</definedName>
    <definedName name="item11.7" localSheetId="1">'[11]COMPOSIÇÃO CUSTO'!#REF!</definedName>
    <definedName name="item11.7">'[11]COMPOSIÇÃO CUSTO'!#REF!</definedName>
    <definedName name="item11.8" localSheetId="1">'[11]COMPOSIÇÃO CUSTO'!#REF!</definedName>
    <definedName name="item11.8">'[11]COMPOSIÇÃO CUSTO'!#REF!</definedName>
    <definedName name="item11.9" localSheetId="1">'[11]COMPOSIÇÃO CUSTO'!#REF!</definedName>
    <definedName name="item11.9">'[11]COMPOSIÇÃO CUSTO'!#REF!</definedName>
    <definedName name="item12.1" localSheetId="1">'[11]COMPOSIÇÃO CUSTO'!#REF!</definedName>
    <definedName name="item12.1">'[11]COMPOSIÇÃO CUSTO'!#REF!</definedName>
    <definedName name="item12.10" localSheetId="1">'[11]COMPOSIÇÃO CUSTO'!#REF!</definedName>
    <definedName name="item12.10">'[11]COMPOSIÇÃO CUSTO'!#REF!</definedName>
    <definedName name="item12.11" localSheetId="1">'[11]COMPOSIÇÃO CUSTO'!#REF!</definedName>
    <definedName name="item12.11">'[11]COMPOSIÇÃO CUSTO'!#REF!</definedName>
    <definedName name="item12.12" localSheetId="1">'[11]COMPOSIÇÃO CUSTO'!#REF!</definedName>
    <definedName name="item12.12">'[11]COMPOSIÇÃO CUSTO'!#REF!</definedName>
    <definedName name="item12.13" localSheetId="1">'[11]COMPOSIÇÃO CUSTO'!#REF!</definedName>
    <definedName name="item12.13">'[11]COMPOSIÇÃO CUSTO'!#REF!</definedName>
    <definedName name="item12.14" localSheetId="1">'[11]COMPOSIÇÃO CUSTO'!#REF!</definedName>
    <definedName name="item12.14">'[11]COMPOSIÇÃO CUSTO'!#REF!</definedName>
    <definedName name="item12.15" localSheetId="1">'[11]COMPOSIÇÃO CUSTO'!#REF!</definedName>
    <definedName name="item12.15">'[11]COMPOSIÇÃO CUSTO'!#REF!</definedName>
    <definedName name="item12.16" localSheetId="1">'[11]COMPOSIÇÃO CUSTO'!#REF!</definedName>
    <definedName name="item12.16">'[11]COMPOSIÇÃO CUSTO'!#REF!</definedName>
    <definedName name="item12.17" localSheetId="1">'[11]COMPOSIÇÃO CUSTO'!#REF!</definedName>
    <definedName name="item12.17">'[11]COMPOSIÇÃO CUSTO'!#REF!</definedName>
    <definedName name="item12.18" localSheetId="1">'[11]COMPOSIÇÃO CUSTO'!#REF!</definedName>
    <definedName name="item12.18">'[11]COMPOSIÇÃO CUSTO'!#REF!</definedName>
    <definedName name="item12.19" localSheetId="1">'[11]COMPOSIÇÃO CUSTO'!#REF!</definedName>
    <definedName name="item12.19">'[11]COMPOSIÇÃO CUSTO'!#REF!</definedName>
    <definedName name="item12.2" localSheetId="1">'[11]COMPOSIÇÃO CUSTO'!#REF!</definedName>
    <definedName name="item12.2">'[11]COMPOSIÇÃO CUSTO'!#REF!</definedName>
    <definedName name="item12.20" localSheetId="1">'[11]COMPOSIÇÃO CUSTO'!#REF!</definedName>
    <definedName name="item12.20">'[11]COMPOSIÇÃO CUSTO'!#REF!</definedName>
    <definedName name="item12.21" localSheetId="1">'[11]COMPOSIÇÃO CUSTO'!#REF!</definedName>
    <definedName name="item12.21">'[11]COMPOSIÇÃO CUSTO'!#REF!</definedName>
    <definedName name="item12.22" localSheetId="1">'[11]COMPOSIÇÃO CUSTO'!#REF!</definedName>
    <definedName name="item12.22">'[11]COMPOSIÇÃO CUSTO'!#REF!</definedName>
    <definedName name="item12.23" localSheetId="1">'[11]COMPOSIÇÃO CUSTO'!#REF!</definedName>
    <definedName name="item12.23">'[11]COMPOSIÇÃO CUSTO'!#REF!</definedName>
    <definedName name="item12.24" localSheetId="1">'[11]COMPOSIÇÃO CUSTO'!#REF!</definedName>
    <definedName name="item12.24">'[11]COMPOSIÇÃO CUSTO'!#REF!</definedName>
    <definedName name="item12.25" localSheetId="1">'[11]COMPOSIÇÃO CUSTO'!#REF!</definedName>
    <definedName name="item12.25">'[11]COMPOSIÇÃO CUSTO'!#REF!</definedName>
    <definedName name="item12.26" localSheetId="1">'[11]COMPOSIÇÃO CUSTO'!#REF!</definedName>
    <definedName name="item12.26">'[11]COMPOSIÇÃO CUSTO'!#REF!</definedName>
    <definedName name="item12.27" localSheetId="1">'[11]COMPOSIÇÃO CUSTO'!#REF!</definedName>
    <definedName name="item12.27">'[11]COMPOSIÇÃO CUSTO'!#REF!</definedName>
    <definedName name="item12.3" localSheetId="1">'[11]COMPOSIÇÃO CUSTO'!#REF!</definedName>
    <definedName name="item12.3">'[11]COMPOSIÇÃO CUSTO'!#REF!</definedName>
    <definedName name="item12.4" localSheetId="1">'[11]COMPOSIÇÃO CUSTO'!#REF!</definedName>
    <definedName name="item12.4">'[11]COMPOSIÇÃO CUSTO'!#REF!</definedName>
    <definedName name="item12.5" localSheetId="1">'[11]COMPOSIÇÃO CUSTO'!#REF!</definedName>
    <definedName name="item12.5">'[11]COMPOSIÇÃO CUSTO'!#REF!</definedName>
    <definedName name="item12.6" localSheetId="1">'[11]COMPOSIÇÃO CUSTO'!#REF!</definedName>
    <definedName name="item12.6">'[11]COMPOSIÇÃO CUSTO'!#REF!</definedName>
    <definedName name="item12.7" localSheetId="1">'[11]COMPOSIÇÃO CUSTO'!#REF!</definedName>
    <definedName name="item12.7">'[11]COMPOSIÇÃO CUSTO'!#REF!</definedName>
    <definedName name="item12.8" localSheetId="1">'[11]COMPOSIÇÃO CUSTO'!#REF!</definedName>
    <definedName name="item12.8">'[11]COMPOSIÇÃO CUSTO'!#REF!</definedName>
    <definedName name="item12.9" localSheetId="1">'[11]COMPOSIÇÃO CUSTO'!#REF!</definedName>
    <definedName name="item12.9">'[11]COMPOSIÇÃO CUSTO'!#REF!</definedName>
    <definedName name="item13.1" localSheetId="1">'[11]COMPOSIÇÃO CUSTO'!#REF!</definedName>
    <definedName name="item13.1">'[11]COMPOSIÇÃO CUSTO'!#REF!</definedName>
    <definedName name="item13.10" localSheetId="1">'[11]COMPOSIÇÃO CUSTO'!#REF!</definedName>
    <definedName name="item13.10">'[11]COMPOSIÇÃO CUSTO'!#REF!</definedName>
    <definedName name="item13.11" localSheetId="1">'[11]COMPOSIÇÃO CUSTO'!#REF!</definedName>
    <definedName name="item13.11">'[11]COMPOSIÇÃO CUSTO'!#REF!</definedName>
    <definedName name="item13.12" localSheetId="1">'[11]COMPOSIÇÃO CUSTO'!#REF!</definedName>
    <definedName name="item13.12">'[11]COMPOSIÇÃO CUSTO'!#REF!</definedName>
    <definedName name="item13.13" localSheetId="1">'[11]COMPOSIÇÃO CUSTO'!#REF!</definedName>
    <definedName name="item13.13">'[11]COMPOSIÇÃO CUSTO'!#REF!</definedName>
    <definedName name="item13.2" localSheetId="1">'[11]COMPOSIÇÃO CUSTO'!#REF!</definedName>
    <definedName name="item13.2">'[11]COMPOSIÇÃO CUSTO'!#REF!</definedName>
    <definedName name="item13.3" localSheetId="1">'[11]COMPOSIÇÃO CUSTO'!#REF!</definedName>
    <definedName name="item13.3">'[11]COMPOSIÇÃO CUSTO'!#REF!</definedName>
    <definedName name="item13.4" localSheetId="1">'[11]COMPOSIÇÃO CUSTO'!#REF!</definedName>
    <definedName name="item13.4">'[11]COMPOSIÇÃO CUSTO'!#REF!</definedName>
    <definedName name="item13.5" localSheetId="1">'[11]COMPOSIÇÃO CUSTO'!#REF!</definedName>
    <definedName name="item13.5">'[11]COMPOSIÇÃO CUSTO'!#REF!</definedName>
    <definedName name="item13.6" localSheetId="1">'[11]COMPOSIÇÃO CUSTO'!#REF!</definedName>
    <definedName name="item13.6">'[11]COMPOSIÇÃO CUSTO'!#REF!</definedName>
    <definedName name="item13.7" localSheetId="1">'[11]COMPOSIÇÃO CUSTO'!#REF!</definedName>
    <definedName name="item13.7">'[11]COMPOSIÇÃO CUSTO'!#REF!</definedName>
    <definedName name="item13.8" localSheetId="1">'[11]COMPOSIÇÃO CUSTO'!#REF!</definedName>
    <definedName name="item13.8">'[11]COMPOSIÇÃO CUSTO'!#REF!</definedName>
    <definedName name="item13.9" localSheetId="1">'[11]COMPOSIÇÃO CUSTO'!#REF!</definedName>
    <definedName name="item13.9">'[11]COMPOSIÇÃO CUSTO'!#REF!</definedName>
    <definedName name="item14.1" localSheetId="1">'[11]COMPOSIÇÃO CUSTO'!#REF!</definedName>
    <definedName name="item14.1">'[11]COMPOSIÇÃO CUSTO'!#REF!</definedName>
    <definedName name="item14.2" localSheetId="1">'[11]COMPOSIÇÃO CUSTO'!#REF!</definedName>
    <definedName name="item14.2">'[11]COMPOSIÇÃO CUSTO'!#REF!</definedName>
    <definedName name="item14.3" localSheetId="1">'[11]COMPOSIÇÃO CUSTO'!#REF!</definedName>
    <definedName name="item14.3">'[11]COMPOSIÇÃO CUSTO'!#REF!</definedName>
    <definedName name="item14.4" localSheetId="1">'[11]COMPOSIÇÃO CUSTO'!#REF!</definedName>
    <definedName name="item14.4">'[11]COMPOSIÇÃO CUSTO'!#REF!</definedName>
    <definedName name="item14.5" localSheetId="1">'[11]COMPOSIÇÃO CUSTO'!#REF!</definedName>
    <definedName name="item14.5">'[11]COMPOSIÇÃO CUSTO'!#REF!</definedName>
    <definedName name="item14.6" localSheetId="1">'[11]COMPOSIÇÃO CUSTO'!#REF!</definedName>
    <definedName name="item14.6">'[11]COMPOSIÇÃO CUSTO'!#REF!</definedName>
    <definedName name="item15.1" localSheetId="1">'[11]COMPOSIÇÃO CUSTO'!#REF!</definedName>
    <definedName name="item15.1">'[11]COMPOSIÇÃO CUSTO'!#REF!</definedName>
    <definedName name="item15.10" localSheetId="1">'[11]COMPOSIÇÃO CUSTO'!#REF!</definedName>
    <definedName name="item15.10">'[11]COMPOSIÇÃO CUSTO'!#REF!</definedName>
    <definedName name="item15.11" localSheetId="1">'[11]COMPOSIÇÃO CUSTO'!#REF!</definedName>
    <definedName name="item15.11">'[11]COMPOSIÇÃO CUSTO'!#REF!</definedName>
    <definedName name="item15.12" localSheetId="1">'[11]COMPOSIÇÃO CUSTO'!#REF!</definedName>
    <definedName name="item15.12">'[11]COMPOSIÇÃO CUSTO'!#REF!</definedName>
    <definedName name="item15.13" localSheetId="1">'[11]COMPOSIÇÃO CUSTO'!#REF!</definedName>
    <definedName name="item15.13">'[11]COMPOSIÇÃO CUSTO'!#REF!</definedName>
    <definedName name="item15.2" localSheetId="1">'[11]COMPOSIÇÃO CUSTO'!#REF!</definedName>
    <definedName name="item15.2">'[11]COMPOSIÇÃO CUSTO'!#REF!</definedName>
    <definedName name="item15.3" localSheetId="1">'[11]COMPOSIÇÃO CUSTO'!#REF!</definedName>
    <definedName name="item15.3">'[11]COMPOSIÇÃO CUSTO'!#REF!</definedName>
    <definedName name="item15.4" localSheetId="1">'[11]COMPOSIÇÃO CUSTO'!#REF!</definedName>
    <definedName name="item15.4">'[11]COMPOSIÇÃO CUSTO'!#REF!</definedName>
    <definedName name="item15.5" localSheetId="1">'[11]COMPOSIÇÃO CUSTO'!#REF!</definedName>
    <definedName name="item15.5">'[11]COMPOSIÇÃO CUSTO'!#REF!</definedName>
    <definedName name="item15.6" localSheetId="1">'[11]COMPOSIÇÃO CUSTO'!#REF!</definedName>
    <definedName name="item15.6">'[11]COMPOSIÇÃO CUSTO'!#REF!</definedName>
    <definedName name="item15.7" localSheetId="1">'[11]COMPOSIÇÃO CUSTO'!#REF!</definedName>
    <definedName name="item15.7">'[11]COMPOSIÇÃO CUSTO'!#REF!</definedName>
    <definedName name="item15.8" localSheetId="1">'[11]COMPOSIÇÃO CUSTO'!#REF!</definedName>
    <definedName name="item15.8">'[11]COMPOSIÇÃO CUSTO'!#REF!</definedName>
    <definedName name="item15.9" localSheetId="1">'[11]COMPOSIÇÃO CUSTO'!#REF!</definedName>
    <definedName name="item15.9">'[11]COMPOSIÇÃO CUSTO'!#REF!</definedName>
    <definedName name="item2.1" localSheetId="1">'[11]COMPOSIÇÃO CUSTO'!#REF!</definedName>
    <definedName name="item2.1">'[11]COMPOSIÇÃO CUSTO'!#REF!</definedName>
    <definedName name="item2.10" localSheetId="1">'[11]COMPOSIÇÃO CUSTO'!#REF!</definedName>
    <definedName name="item2.10">'[11]COMPOSIÇÃO CUSTO'!#REF!</definedName>
    <definedName name="item2.11" localSheetId="1">'[11]COMPOSIÇÃO CUSTO'!#REF!</definedName>
    <definedName name="item2.11">'[11]COMPOSIÇÃO CUSTO'!#REF!</definedName>
    <definedName name="item2.12" localSheetId="1">'[11]COMPOSIÇÃO CUSTO'!#REF!</definedName>
    <definedName name="item2.12">'[11]COMPOSIÇÃO CUSTO'!#REF!</definedName>
    <definedName name="item2.13" localSheetId="1">'[11]COMPOSIÇÃO CUSTO'!#REF!</definedName>
    <definedName name="item2.13">'[11]COMPOSIÇÃO CUSTO'!#REF!</definedName>
    <definedName name="item2.14" localSheetId="1">'[11]COMPOSIÇÃO CUSTO'!#REF!</definedName>
    <definedName name="item2.14">'[11]COMPOSIÇÃO CUSTO'!#REF!</definedName>
    <definedName name="item2.15" localSheetId="1">'[11]COMPOSIÇÃO CUSTO'!#REF!</definedName>
    <definedName name="item2.15">'[11]COMPOSIÇÃO CUSTO'!#REF!</definedName>
    <definedName name="item2.16" localSheetId="1">'[11]COMPOSIÇÃO CUSTO'!#REF!</definedName>
    <definedName name="item2.16">'[11]COMPOSIÇÃO CUSTO'!#REF!</definedName>
    <definedName name="item2.17" localSheetId="1">'[11]COMPOSIÇÃO CUSTO'!#REF!</definedName>
    <definedName name="item2.17">'[11]COMPOSIÇÃO CUSTO'!#REF!</definedName>
    <definedName name="item2.18" localSheetId="1">'[11]COMPOSIÇÃO CUSTO'!#REF!</definedName>
    <definedName name="item2.18">'[11]COMPOSIÇÃO CUSTO'!#REF!</definedName>
    <definedName name="item2.19" localSheetId="1">'[11]COMPOSIÇÃO CUSTO'!#REF!</definedName>
    <definedName name="item2.19">'[11]COMPOSIÇÃO CUSTO'!#REF!</definedName>
    <definedName name="item2.2" localSheetId="1">'[11]COMPOSIÇÃO CUSTO'!#REF!</definedName>
    <definedName name="item2.2">'[11]COMPOSIÇÃO CUSTO'!#REF!</definedName>
    <definedName name="item2.20" localSheetId="1">'[11]COMPOSIÇÃO CUSTO'!#REF!</definedName>
    <definedName name="item2.20">'[11]COMPOSIÇÃO CUSTO'!#REF!</definedName>
    <definedName name="item2.21" localSheetId="1">'[11]COMPOSIÇÃO CUSTO'!#REF!</definedName>
    <definedName name="item2.21">'[11]COMPOSIÇÃO CUSTO'!#REF!</definedName>
    <definedName name="item2.22" localSheetId="1">'[11]COMPOSIÇÃO CUSTO'!#REF!</definedName>
    <definedName name="item2.22">'[11]COMPOSIÇÃO CUSTO'!#REF!</definedName>
    <definedName name="item2.23" localSheetId="1">'[11]COMPOSIÇÃO CUSTO'!#REF!</definedName>
    <definedName name="item2.23">'[11]COMPOSIÇÃO CUSTO'!#REF!</definedName>
    <definedName name="item2.24" localSheetId="1">'[11]COMPOSIÇÃO CUSTO'!#REF!</definedName>
    <definedName name="item2.24">'[11]COMPOSIÇÃO CUSTO'!#REF!</definedName>
    <definedName name="item2.25" localSheetId="1">'[11]COMPOSIÇÃO CUSTO'!#REF!</definedName>
    <definedName name="item2.25">'[11]COMPOSIÇÃO CUSTO'!#REF!</definedName>
    <definedName name="item2.26" localSheetId="1">'[11]COMPOSIÇÃO CUSTO'!#REF!</definedName>
    <definedName name="item2.26">'[11]COMPOSIÇÃO CUSTO'!#REF!</definedName>
    <definedName name="item2.27" localSheetId="1">'[11]COMPOSIÇÃO CUSTO'!#REF!</definedName>
    <definedName name="item2.27">'[11]COMPOSIÇÃO CUSTO'!#REF!</definedName>
    <definedName name="item2.3" localSheetId="1">'[11]COMPOSIÇÃO CUSTO'!#REF!</definedName>
    <definedName name="item2.3">'[11]COMPOSIÇÃO CUSTO'!#REF!</definedName>
    <definedName name="item2.4" localSheetId="1">'[11]COMPOSIÇÃO CUSTO'!#REF!</definedName>
    <definedName name="item2.4">'[11]COMPOSIÇÃO CUSTO'!#REF!</definedName>
    <definedName name="item2.5" localSheetId="1">'[11]COMPOSIÇÃO CUSTO'!#REF!</definedName>
    <definedName name="item2.5">'[11]COMPOSIÇÃO CUSTO'!#REF!</definedName>
    <definedName name="item2.6" localSheetId="1">'[11]COMPOSIÇÃO CUSTO'!#REF!</definedName>
    <definedName name="item2.6">'[11]COMPOSIÇÃO CUSTO'!#REF!</definedName>
    <definedName name="item2.7" localSheetId="1">'[11]COMPOSIÇÃO CUSTO'!#REF!</definedName>
    <definedName name="item2.7">'[11]COMPOSIÇÃO CUSTO'!#REF!</definedName>
    <definedName name="item2.8" localSheetId="1">'[11]COMPOSIÇÃO CUSTO'!#REF!</definedName>
    <definedName name="item2.8">'[11]COMPOSIÇÃO CUSTO'!#REF!</definedName>
    <definedName name="item2.9" localSheetId="1">'[11]COMPOSIÇÃO CUSTO'!#REF!</definedName>
    <definedName name="item2.9">'[11]COMPOSIÇÃO CUSTO'!#REF!</definedName>
    <definedName name="item3.1" localSheetId="1">'[11]COMPOSIÇÃO CUSTO'!#REF!</definedName>
    <definedName name="item3.1">'[11]COMPOSIÇÃO CUSTO'!#REF!</definedName>
    <definedName name="item3.2" localSheetId="1">'[11]COMPOSIÇÃO CUSTO'!#REF!</definedName>
    <definedName name="item3.2">'[11]COMPOSIÇÃO CUSTO'!#REF!</definedName>
    <definedName name="item3.3" localSheetId="1">'[11]COMPOSIÇÃO CUSTO'!#REF!</definedName>
    <definedName name="item3.3">'[11]COMPOSIÇÃO CUSTO'!#REF!</definedName>
    <definedName name="item4.1" localSheetId="1">'[11]COMPOSIÇÃO CUSTO'!#REF!</definedName>
    <definedName name="item4.1">'[11]COMPOSIÇÃO CUSTO'!#REF!</definedName>
    <definedName name="item4.2" localSheetId="1">'[11]COMPOSIÇÃO CUSTO'!#REF!</definedName>
    <definedName name="item4.2">'[11]COMPOSIÇÃO CUSTO'!#REF!</definedName>
    <definedName name="item4.3" localSheetId="1">'[11]COMPOSIÇÃO CUSTO'!#REF!</definedName>
    <definedName name="item4.3">'[11]COMPOSIÇÃO CUSTO'!#REF!</definedName>
    <definedName name="item4.4" localSheetId="1">'[11]COMPOSIÇÃO CUSTO'!#REF!</definedName>
    <definedName name="item4.4">'[11]COMPOSIÇÃO CUSTO'!#REF!</definedName>
    <definedName name="item4.5" localSheetId="1">'[11]COMPOSIÇÃO CUSTO'!#REF!</definedName>
    <definedName name="item4.5">'[11]COMPOSIÇÃO CUSTO'!#REF!</definedName>
    <definedName name="item4.6" localSheetId="1">'[11]COMPOSIÇÃO CUSTO'!#REF!</definedName>
    <definedName name="item4.6">'[11]COMPOSIÇÃO CUSTO'!#REF!</definedName>
    <definedName name="item4.7" localSheetId="1">'[11]COMPOSIÇÃO CUSTO'!#REF!</definedName>
    <definedName name="item4.7">'[11]COMPOSIÇÃO CUSTO'!#REF!</definedName>
    <definedName name="item5.1" localSheetId="1">'[11]COMPOSIÇÃO CUSTO'!#REF!</definedName>
    <definedName name="item5.1">'[11]COMPOSIÇÃO CUSTO'!#REF!</definedName>
    <definedName name="item5.2" localSheetId="1">'[11]COMPOSIÇÃO CUSTO'!#REF!</definedName>
    <definedName name="item5.2">'[11]COMPOSIÇÃO CUSTO'!#REF!</definedName>
    <definedName name="item5.3" localSheetId="1">'[11]COMPOSIÇÃO CUSTO'!#REF!</definedName>
    <definedName name="item5.3">'[11]COMPOSIÇÃO CUSTO'!#REF!</definedName>
    <definedName name="item5.4" localSheetId="1">'[11]COMPOSIÇÃO CUSTO'!#REF!</definedName>
    <definedName name="item5.4">'[11]COMPOSIÇÃO CUSTO'!#REF!</definedName>
    <definedName name="item5.5" localSheetId="1">'[11]COMPOSIÇÃO CUSTO'!#REF!</definedName>
    <definedName name="item5.5">'[11]COMPOSIÇÃO CUSTO'!#REF!</definedName>
    <definedName name="item5.6" localSheetId="1">'[11]COMPOSIÇÃO CUSTO'!#REF!</definedName>
    <definedName name="item5.6">'[11]COMPOSIÇÃO CUSTO'!#REF!</definedName>
    <definedName name="item5.7" localSheetId="1">'[11]COMPOSIÇÃO CUSTO'!#REF!</definedName>
    <definedName name="item5.7">'[11]COMPOSIÇÃO CUSTO'!#REF!</definedName>
    <definedName name="item6.1" localSheetId="1">'[11]COMPOSIÇÃO CUSTO'!#REF!</definedName>
    <definedName name="item6.1">'[11]COMPOSIÇÃO CUSTO'!#REF!</definedName>
    <definedName name="item6.2" localSheetId="1">'[11]COMPOSIÇÃO CUSTO'!#REF!</definedName>
    <definedName name="item6.2">'[11]COMPOSIÇÃO CUSTO'!#REF!</definedName>
    <definedName name="item6.3" localSheetId="1">'[11]COMPOSIÇÃO CUSTO'!#REF!</definedName>
    <definedName name="item6.3">'[11]COMPOSIÇÃO CUSTO'!#REF!</definedName>
    <definedName name="item6.4" localSheetId="1">'[11]COMPOSIÇÃO CUSTO'!#REF!</definedName>
    <definedName name="item6.4">'[11]COMPOSIÇÃO CUSTO'!#REF!</definedName>
    <definedName name="item6.5" localSheetId="1">'[11]COMPOSIÇÃO CUSTO'!#REF!</definedName>
    <definedName name="item6.5">'[11]COMPOSIÇÃO CUSTO'!#REF!</definedName>
    <definedName name="item7.1" localSheetId="1">'[11]COMPOSIÇÃO CUSTO'!#REF!</definedName>
    <definedName name="item7.1">'[11]COMPOSIÇÃO CUSTO'!#REF!</definedName>
    <definedName name="item7.10" localSheetId="1">'[11]COMPOSIÇÃO CUSTO'!#REF!</definedName>
    <definedName name="item7.10">'[11]COMPOSIÇÃO CUSTO'!#REF!</definedName>
    <definedName name="item7.11" localSheetId="1">'[11]COMPOSIÇÃO CUSTO'!#REF!</definedName>
    <definedName name="item7.11">'[11]COMPOSIÇÃO CUSTO'!#REF!</definedName>
    <definedName name="item7.12" localSheetId="1">'[11]COMPOSIÇÃO CUSTO'!#REF!</definedName>
    <definedName name="item7.12">'[11]COMPOSIÇÃO CUSTO'!#REF!</definedName>
    <definedName name="item7.13" localSheetId="1">'[11]COMPOSIÇÃO CUSTO'!#REF!</definedName>
    <definedName name="item7.13">'[11]COMPOSIÇÃO CUSTO'!#REF!</definedName>
    <definedName name="item7.14" localSheetId="1">'[11]COMPOSIÇÃO CUSTO'!#REF!</definedName>
    <definedName name="item7.14">'[11]COMPOSIÇÃO CUSTO'!#REF!</definedName>
    <definedName name="item7.15" localSheetId="1">'[11]COMPOSIÇÃO CUSTO'!#REF!</definedName>
    <definedName name="item7.15">'[11]COMPOSIÇÃO CUSTO'!#REF!</definedName>
    <definedName name="item7.16" localSheetId="1">'[11]COMPOSIÇÃO CUSTO'!#REF!</definedName>
    <definedName name="item7.16">'[11]COMPOSIÇÃO CUSTO'!#REF!</definedName>
    <definedName name="item7.17" localSheetId="1">'[11]COMPOSIÇÃO CUSTO'!#REF!</definedName>
    <definedName name="item7.17">'[11]COMPOSIÇÃO CUSTO'!#REF!</definedName>
    <definedName name="item7.18" localSheetId="1">'[11]COMPOSIÇÃO CUSTO'!#REF!</definedName>
    <definedName name="item7.18">'[11]COMPOSIÇÃO CUSTO'!#REF!</definedName>
    <definedName name="item7.19" localSheetId="1">'[11]COMPOSIÇÃO CUSTO'!#REF!</definedName>
    <definedName name="item7.19">'[11]COMPOSIÇÃO CUSTO'!#REF!</definedName>
    <definedName name="item7.2" localSheetId="1">'[11]COMPOSIÇÃO CUSTO'!#REF!</definedName>
    <definedName name="item7.2">'[11]COMPOSIÇÃO CUSTO'!#REF!</definedName>
    <definedName name="item7.3" localSheetId="1">'[11]COMPOSIÇÃO CUSTO'!#REF!</definedName>
    <definedName name="item7.3">'[11]COMPOSIÇÃO CUSTO'!#REF!</definedName>
    <definedName name="item7.4" localSheetId="1">'[11]COMPOSIÇÃO CUSTO'!#REF!</definedName>
    <definedName name="item7.4">'[11]COMPOSIÇÃO CUSTO'!#REF!</definedName>
    <definedName name="item7.5" localSheetId="1">'[11]COMPOSIÇÃO CUSTO'!#REF!</definedName>
    <definedName name="item7.5">'[11]COMPOSIÇÃO CUSTO'!#REF!</definedName>
    <definedName name="item7.6" localSheetId="1">'[11]COMPOSIÇÃO CUSTO'!#REF!</definedName>
    <definedName name="item7.6">'[11]COMPOSIÇÃO CUSTO'!#REF!</definedName>
    <definedName name="item7.7" localSheetId="1">'[11]COMPOSIÇÃO CUSTO'!#REF!</definedName>
    <definedName name="item7.7">'[11]COMPOSIÇÃO CUSTO'!#REF!</definedName>
    <definedName name="item7.8" localSheetId="1">'[11]COMPOSIÇÃO CUSTO'!#REF!</definedName>
    <definedName name="item7.8">'[11]COMPOSIÇÃO CUSTO'!#REF!</definedName>
    <definedName name="item7.9" localSheetId="1">'[11]COMPOSIÇÃO CUSTO'!#REF!</definedName>
    <definedName name="item7.9">'[11]COMPOSIÇÃO CUSTO'!#REF!</definedName>
    <definedName name="item8.1" localSheetId="1">'[11]COMPOSIÇÃO CUSTO'!#REF!</definedName>
    <definedName name="item8.1">'[11]COMPOSIÇÃO CUSTO'!#REF!</definedName>
    <definedName name="item8.2" localSheetId="1">'[11]COMPOSIÇÃO CUSTO'!#REF!</definedName>
    <definedName name="item8.2">'[11]COMPOSIÇÃO CUSTO'!#REF!</definedName>
    <definedName name="item8.3" localSheetId="1">'[11]COMPOSIÇÃO CUSTO'!#REF!</definedName>
    <definedName name="item8.3">'[11]COMPOSIÇÃO CUSTO'!#REF!</definedName>
    <definedName name="item8.4" localSheetId="1">'[11]COMPOSIÇÃO CUSTO'!#REF!</definedName>
    <definedName name="item8.4">'[11]COMPOSIÇÃO CUSTO'!#REF!</definedName>
    <definedName name="item8.5" localSheetId="1">'[11]COMPOSIÇÃO CUSTO'!#REF!</definedName>
    <definedName name="item8.5">'[11]COMPOSIÇÃO CUSTO'!#REF!</definedName>
    <definedName name="item8.6" localSheetId="1">'[11]COMPOSIÇÃO CUSTO'!#REF!</definedName>
    <definedName name="item8.6">'[11]COMPOSIÇÃO CUSTO'!#REF!</definedName>
    <definedName name="item9.1" localSheetId="1">'[11]COMPOSIÇÃO CUSTO'!#REF!</definedName>
    <definedName name="item9.1">'[11]COMPOSIÇÃO CUSTO'!#REF!</definedName>
    <definedName name="item9.2" localSheetId="1">'[11]COMPOSIÇÃO CUSTO'!#REF!</definedName>
    <definedName name="item9.2">'[11]COMPOSIÇÃO CUSTO'!#REF!</definedName>
    <definedName name="item9.3" localSheetId="1">'[11]COMPOSIÇÃO CUSTO'!#REF!</definedName>
    <definedName name="item9.3">'[11]COMPOSIÇÃO CUSTO'!#REF!</definedName>
    <definedName name="item9.4" localSheetId="1">'[11]COMPOSIÇÃO CUSTO'!#REF!</definedName>
    <definedName name="item9.4">'[11]COMPOSIÇÃO CUSTO'!#REF!</definedName>
    <definedName name="item9.5" localSheetId="1">'[11]COMPOSIÇÃO CUSTO'!#REF!</definedName>
    <definedName name="item9.5">'[11]COMPOSIÇÃO CUSTO'!#REF!</definedName>
    <definedName name="item9.6" localSheetId="1">'[11]COMPOSIÇÃO CUSTO'!#REF!</definedName>
    <definedName name="item9.6">'[11]COMPOSIÇÃO CUSTO'!#REF!</definedName>
    <definedName name="item9.7" localSheetId="1">'[11]COMPOSIÇÃO CUSTO'!#REF!</definedName>
    <definedName name="item9.7">'[11]COMPOSIÇÃO CUSTO'!#REF!</definedName>
    <definedName name="item9.8" localSheetId="1">'[11]COMPOSIÇÃO CUSTO'!#REF!</definedName>
    <definedName name="item9.8">'[11]COMPOSIÇÃO CUSTO'!#REF!</definedName>
    <definedName name="item9.9" localSheetId="1">'[11]COMPOSIÇÃO CUSTO'!#REF!</definedName>
    <definedName name="item9.9">'[11]COMPOSIÇÃO CUSTO'!#REF!</definedName>
    <definedName name="ItemInvestimento">OFFSET([10]Listas!$B$2,1,0,COUNTA([10]Listas!$B:$B)-1)</definedName>
    <definedName name="itm10.2" localSheetId="1">'[11]COMPOSIÇÃO CUSTO'!#REF!</definedName>
    <definedName name="itm10.2">'[11]COMPOSIÇÃO CUSTO'!#REF!</definedName>
    <definedName name="Jd" localSheetId="1">#REF!</definedName>
    <definedName name="Jd">#REF!</definedName>
    <definedName name="JJ" localSheetId="1">[5]CUBACAO!#REF!</definedName>
    <definedName name="JJ">[5]CUBACAO!#REF!</definedName>
    <definedName name="JJJ" localSheetId="1">[5]CUBACAO!#REF!</definedName>
    <definedName name="JJJ">[5]CUBACAO!#REF!</definedName>
    <definedName name="Jm" localSheetId="1">#REF!</definedName>
    <definedName name="Jm">#REF!</definedName>
    <definedName name="JR_PAGE_ANCHOR_0_1">'[16]ADITIVO 01'!#REF!</definedName>
    <definedName name="JR_PAGE_ANCHOR_1_1" localSheetId="1">#REF!</definedName>
    <definedName name="JR_PAGE_ANCHOR_1_1">#REF!</definedName>
    <definedName name="JR_PAGE_ANCHOR_2_1" localSheetId="1">#REF!</definedName>
    <definedName name="JR_PAGE_ANCHOR_2_1">#REF!</definedName>
    <definedName name="JR_PAGE_ANCHOR_3_1" localSheetId="1">#REF!</definedName>
    <definedName name="JR_PAGE_ANCHOR_3_1">#REF!</definedName>
    <definedName name="JR_PAGE_ANCHOR_4_1" localSheetId="1">#REF!</definedName>
    <definedName name="JR_PAGE_ANCHOR_4_1">#REF!</definedName>
    <definedName name="JR_PAGE_ANCHOR_5_1" localSheetId="1">#REF!</definedName>
    <definedName name="JR_PAGE_ANCHOR_5_1">#REF!</definedName>
    <definedName name="KKK" localSheetId="1">[5]CUBACAO!#REF!</definedName>
    <definedName name="KKK">[5]CUBACAO!#REF!</definedName>
    <definedName name="LEO" localSheetId="1">#REF!</definedName>
    <definedName name="LEO">#REF!</definedName>
    <definedName name="LL" localSheetId="1">[5]CUBACAO!#REF!</definedName>
    <definedName name="LL">[5]CUBACAO!#REF!</definedName>
    <definedName name="LLL" localSheetId="1">[5]CUBACAO!#REF!</definedName>
    <definedName name="LLL">[5]CUBACAO!#REF!</definedName>
    <definedName name="Lucro" localSheetId="1">#REF!</definedName>
    <definedName name="Lucro">#REF!</definedName>
    <definedName name="m" localSheetId="1">#REF!</definedName>
    <definedName name="m">#REF!</definedName>
    <definedName name="mediçao">[6]PLE!$AX$28</definedName>
    <definedName name="Medições" localSheetId="1">#REF!</definedName>
    <definedName name="Medições">#REF!</definedName>
    <definedName name="MM" localSheetId="1">[5]CUBACAO!#REF!</definedName>
    <definedName name="MM">[5]CUBACAO!#REF!</definedName>
    <definedName name="MMM" localSheetId="1">[5]CUBACAO!#REF!</definedName>
    <definedName name="MMM">[5]CUBACAO!#REF!</definedName>
    <definedName name="n" localSheetId="1">#REF!</definedName>
    <definedName name="n">#REF!</definedName>
    <definedName name="NN" localSheetId="1">[5]CUBACAO!#REF!</definedName>
    <definedName name="NN">[5]CUBACAO!#REF!</definedName>
    <definedName name="NNN" localSheetId="1">[5]CUBACAO!#REF!</definedName>
    <definedName name="NNN">[5]CUBACAO!#REF!</definedName>
    <definedName name="numEventos" localSheetId="1">COUNT(OFFSET(Eventos,0,0,,1))</definedName>
    <definedName name="numEventos">COUNT(OFFSET(Eventos,0,0,,1))</definedName>
    <definedName name="OAO" localSheetId="1">#REF!</definedName>
    <definedName name="OAO">#REF!</definedName>
    <definedName name="OO" localSheetId="1">[5]CUBACAO!#REF!</definedName>
    <definedName name="OO">[5]CUBACAO!#REF!</definedName>
    <definedName name="OOO" localSheetId="1">[5]CUBACAO!#REF!</definedName>
    <definedName name="OOO">[5]CUBACAO!#REF!</definedName>
    <definedName name="Plan_ajustada" localSheetId="1">[12]Composição!#REF!</definedName>
    <definedName name="Plan_ajustada">[12]Composição!#REF!</definedName>
    <definedName name="Popular" localSheetId="1" hidden="1">{#N/A,#N/A,FALSE,"Cronograma";#N/A,#N/A,FALSE,"Cronogr. 2"}</definedName>
    <definedName name="Popular" hidden="1">{#N/A,#N/A,FALSE,"Cronograma";#N/A,#N/A,FALSE,"Cronogr. 2"}</definedName>
    <definedName name="PP">[5]CUBACAO!#REF!</definedName>
    <definedName name="QQ">[5]CUBACAO!#REF!</definedName>
    <definedName name="respFiscal">[6]DADOS!$A$23</definedName>
    <definedName name="rio" localSheetId="1" hidden="1">{#N/A,#N/A,FALSE,"Cronograma";#N/A,#N/A,FALSE,"Cronogr. 2"}</definedName>
    <definedName name="rio" hidden="1">{#N/A,#N/A,FALSE,"Cronograma";#N/A,#N/A,FALSE,"Cronogr. 2"}</definedName>
    <definedName name="RR">[5]CUBACAO!#REF!</definedName>
    <definedName name="SINAPI_AC" localSheetId="1" hidden="1">#REF!</definedName>
    <definedName name="SINAPI_AC" hidden="1">#REF!</definedName>
    <definedName name="SOMA" localSheetId="1">#REF!</definedName>
    <definedName name="SOMA">#REF!</definedName>
    <definedName name="ss" localSheetId="1" hidden="1">{#N/A,#N/A,FALSE,"Cronograma";#N/A,#N/A,FALSE,"Cronogr. 2"}</definedName>
    <definedName name="SS">[5]CUBACAO!#REF!</definedName>
    <definedName name="SubItemInvestimento">OFFSET([10]Listas!$A$2,1,MATCH([10]QCI!$E1,[10]Listas!$2:$2,0)-1,INDEX([10]Listas!$2:$2,MATCH([10]QCI!$E1,[10]Listas!$2:$2,0)+1))</definedName>
    <definedName name="T" localSheetId="1">#REF!</definedName>
    <definedName name="T">#REF!</definedName>
    <definedName name="TESTE">#REF!</definedName>
    <definedName name="TIPOS">[15]BDI!$T$6:$T$8</definedName>
    <definedName name="_xlnm.Print_Titles" localSheetId="0">'BM-01'!$7:$8</definedName>
    <definedName name="_xlnm.Print_Titles" localSheetId="1">'MEMORIAL DE CÁLCULOS'!$7:$8</definedName>
    <definedName name="TotalEventos" localSheetId="1">SUM(TotalPorEvento)</definedName>
    <definedName name="TotalEventos">SUM(TotalPorEvento)</definedName>
    <definedName name="TotalPorEvento">[6]Eventograma_e_Quantitativos!$I$48:OFFSET([6]Eventograma_e_Quantitativos!$I$53,-1,0)</definedName>
    <definedName name="TT" localSheetId="1">[5]CUBACAO!#REF!</definedName>
    <definedName name="TT">[5]CUBACAO!#REF!</definedName>
    <definedName name="UU" localSheetId="1">[5]CUBACAO!#REF!</definedName>
    <definedName name="UU">[5]CUBACAO!#REF!</definedName>
    <definedName name="ValoresPorEvento">[6]Eventograma_e_Quantitativos!$N$48:OFFSET([6]Eventograma_e_Quantitativos!$BK$53,-1,0)</definedName>
    <definedName name="VV" localSheetId="1">[5]CUBACAO!#REF!</definedName>
    <definedName name="VV">[5]CUBACAO!#REF!</definedName>
    <definedName name="wrn.Cronograma." localSheetId="1" hidden="1">{#N/A,#N/A,FALSE,"Cronograma";#N/A,#N/A,FALSE,"Cronogr. 2"}</definedName>
    <definedName name="wrn.Cronograma." hidden="1">{#N/A,#N/A,FALSE,"Cronograma";#N/A,#N/A,FALSE,"Cronogr. 2"}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>[5]CUBACAO!#REF!</definedName>
    <definedName name="XX">[5]CUBACAO!#REF!</definedName>
    <definedName name="YY">[5]CUBACAO!#REF!</definedName>
    <definedName name="ZZ">[5]CUBACAO!#REF!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37" i="1"/>
  <c r="I36" i="1"/>
  <c r="I35" i="1"/>
  <c r="I34" i="1"/>
  <c r="I33" i="1"/>
  <c r="I31" i="1"/>
  <c r="I30" i="1"/>
  <c r="I29" i="1"/>
  <c r="I23" i="1"/>
  <c r="I22" i="1"/>
  <c r="I21" i="1"/>
  <c r="I20" i="1"/>
  <c r="H85" i="5"/>
  <c r="J92" i="5"/>
  <c r="J93" i="5"/>
  <c r="I94" i="5"/>
  <c r="J94" i="5" s="1"/>
  <c r="F94" i="5"/>
  <c r="D94" i="5"/>
  <c r="J84" i="5"/>
  <c r="J83" i="5" s="1"/>
  <c r="C85" i="5" l="1"/>
  <c r="F85" i="5"/>
  <c r="M207" i="1" l="1"/>
  <c r="N207" i="1"/>
  <c r="O207" i="1"/>
  <c r="M203" i="1"/>
  <c r="N203" i="1"/>
  <c r="O203" i="1"/>
  <c r="M198" i="1"/>
  <c r="N198" i="1"/>
  <c r="O198" i="1"/>
  <c r="M193" i="1"/>
  <c r="N193" i="1"/>
  <c r="O193" i="1"/>
  <c r="M191" i="1"/>
  <c r="N191" i="1"/>
  <c r="O191" i="1"/>
  <c r="M189" i="1"/>
  <c r="N189" i="1"/>
  <c r="O189" i="1"/>
  <c r="M185" i="1"/>
  <c r="N185" i="1"/>
  <c r="O185" i="1"/>
  <c r="M182" i="1"/>
  <c r="N182" i="1"/>
  <c r="O182" i="1"/>
  <c r="N179" i="1"/>
  <c r="M180" i="1"/>
  <c r="N180" i="1"/>
  <c r="O180" i="1"/>
  <c r="M176" i="1"/>
  <c r="N176" i="1"/>
  <c r="O176" i="1"/>
  <c r="M165" i="1"/>
  <c r="N165" i="1"/>
  <c r="O165" i="1"/>
  <c r="M141" i="1"/>
  <c r="N141" i="1"/>
  <c r="O141" i="1"/>
  <c r="M133" i="1"/>
  <c r="N133" i="1"/>
  <c r="O133" i="1"/>
  <c r="M102" i="1"/>
  <c r="N102" i="1"/>
  <c r="O102" i="1"/>
  <c r="M91" i="1"/>
  <c r="N91" i="1"/>
  <c r="O91" i="1"/>
  <c r="M80" i="1"/>
  <c r="N80" i="1"/>
  <c r="O80" i="1"/>
  <c r="M72" i="1"/>
  <c r="N72" i="1"/>
  <c r="O72" i="1"/>
  <c r="M63" i="1"/>
  <c r="N63" i="1"/>
  <c r="O63" i="1"/>
  <c r="M52" i="1"/>
  <c r="N52" i="1"/>
  <c r="O52" i="1"/>
  <c r="M47" i="1"/>
  <c r="N47" i="1"/>
  <c r="O47" i="1"/>
  <c r="M38" i="1"/>
  <c r="N38" i="1"/>
  <c r="O38" i="1"/>
  <c r="M32" i="1"/>
  <c r="M28" i="1"/>
  <c r="M19" i="1"/>
  <c r="M16" i="1"/>
  <c r="N16" i="1"/>
  <c r="O16" i="1"/>
  <c r="M12" i="1"/>
  <c r="N12" i="1"/>
  <c r="M13" i="1"/>
  <c r="N13" i="1"/>
  <c r="M14" i="1"/>
  <c r="N14" i="1"/>
  <c r="M15" i="1"/>
  <c r="N15" i="1"/>
  <c r="M17" i="1"/>
  <c r="N17" i="1"/>
  <c r="O17" i="1"/>
  <c r="M20" i="1"/>
  <c r="N20" i="1"/>
  <c r="M21" i="1"/>
  <c r="N21" i="1"/>
  <c r="M22" i="1"/>
  <c r="N22" i="1"/>
  <c r="N19" i="1" s="1"/>
  <c r="O22" i="1"/>
  <c r="M23" i="1"/>
  <c r="N23" i="1"/>
  <c r="M24" i="1"/>
  <c r="N24" i="1"/>
  <c r="O24" i="1"/>
  <c r="M25" i="1"/>
  <c r="N25" i="1"/>
  <c r="O25" i="1"/>
  <c r="M26" i="1"/>
  <c r="N26" i="1"/>
  <c r="O26" i="1"/>
  <c r="M27" i="1"/>
  <c r="N27" i="1"/>
  <c r="O27" i="1"/>
  <c r="M29" i="1"/>
  <c r="N29" i="1"/>
  <c r="M30" i="1"/>
  <c r="N30" i="1"/>
  <c r="O30" i="1"/>
  <c r="M31" i="1"/>
  <c r="N31" i="1"/>
  <c r="M33" i="1"/>
  <c r="N33" i="1"/>
  <c r="O33" i="1"/>
  <c r="M34" i="1"/>
  <c r="N34" i="1"/>
  <c r="O34" i="1"/>
  <c r="M35" i="1"/>
  <c r="N35" i="1"/>
  <c r="M36" i="1"/>
  <c r="N36" i="1"/>
  <c r="M37" i="1"/>
  <c r="N37" i="1"/>
  <c r="O37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8" i="1"/>
  <c r="N48" i="1"/>
  <c r="O48" i="1"/>
  <c r="M49" i="1"/>
  <c r="N49" i="1"/>
  <c r="O49" i="1"/>
  <c r="M50" i="1"/>
  <c r="N50" i="1"/>
  <c r="O50" i="1"/>
  <c r="M51" i="1"/>
  <c r="N51" i="1"/>
  <c r="O51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7" i="1"/>
  <c r="N177" i="1"/>
  <c r="O177" i="1"/>
  <c r="M178" i="1"/>
  <c r="N178" i="1"/>
  <c r="O178" i="1"/>
  <c r="M181" i="1"/>
  <c r="N181" i="1"/>
  <c r="O181" i="1"/>
  <c r="M183" i="1"/>
  <c r="N183" i="1"/>
  <c r="O183" i="1"/>
  <c r="M184" i="1"/>
  <c r="N184" i="1"/>
  <c r="O184" i="1"/>
  <c r="M186" i="1"/>
  <c r="N186" i="1"/>
  <c r="O186" i="1"/>
  <c r="M187" i="1"/>
  <c r="N187" i="1"/>
  <c r="O187" i="1"/>
  <c r="M188" i="1"/>
  <c r="N188" i="1"/>
  <c r="O188" i="1"/>
  <c r="M190" i="1"/>
  <c r="N190" i="1"/>
  <c r="O190" i="1"/>
  <c r="M192" i="1"/>
  <c r="N192" i="1"/>
  <c r="O192" i="1"/>
  <c r="M194" i="1"/>
  <c r="N194" i="1"/>
  <c r="O194" i="1"/>
  <c r="M195" i="1"/>
  <c r="N195" i="1"/>
  <c r="O195" i="1"/>
  <c r="M196" i="1"/>
  <c r="N196" i="1"/>
  <c r="O196" i="1"/>
  <c r="M197" i="1"/>
  <c r="N197" i="1"/>
  <c r="O197" i="1"/>
  <c r="O179" i="1"/>
  <c r="M199" i="1"/>
  <c r="N199" i="1"/>
  <c r="O199" i="1"/>
  <c r="M200" i="1"/>
  <c r="N200" i="1"/>
  <c r="O200" i="1"/>
  <c r="M201" i="1"/>
  <c r="N201" i="1"/>
  <c r="O201" i="1"/>
  <c r="M202" i="1"/>
  <c r="N202" i="1"/>
  <c r="O202" i="1"/>
  <c r="M204" i="1"/>
  <c r="N204" i="1"/>
  <c r="O204" i="1"/>
  <c r="M205" i="1"/>
  <c r="N205" i="1"/>
  <c r="O205" i="1"/>
  <c r="M206" i="1"/>
  <c r="N206" i="1"/>
  <c r="O206" i="1"/>
  <c r="M208" i="1"/>
  <c r="N208" i="1"/>
  <c r="O208" i="1"/>
  <c r="M209" i="1"/>
  <c r="N209" i="1"/>
  <c r="O209" i="1"/>
  <c r="M210" i="1"/>
  <c r="N210" i="1"/>
  <c r="O210" i="1"/>
  <c r="M211" i="1"/>
  <c r="N211" i="1"/>
  <c r="O211" i="1"/>
  <c r="M212" i="1"/>
  <c r="N212" i="1"/>
  <c r="O212" i="1"/>
  <c r="J12" i="1"/>
  <c r="O12" i="1" s="1"/>
  <c r="J13" i="1"/>
  <c r="O13" i="1" s="1"/>
  <c r="J14" i="1"/>
  <c r="O14" i="1" s="1"/>
  <c r="J15" i="1"/>
  <c r="O15" i="1" s="1"/>
  <c r="J17" i="1"/>
  <c r="J20" i="1"/>
  <c r="O20" i="1" s="1"/>
  <c r="J21" i="1"/>
  <c r="O21" i="1" s="1"/>
  <c r="J22" i="1"/>
  <c r="J23" i="1"/>
  <c r="O23" i="1" s="1"/>
  <c r="J24" i="1"/>
  <c r="J25" i="1"/>
  <c r="J26" i="1"/>
  <c r="J27" i="1"/>
  <c r="J29" i="1"/>
  <c r="O29" i="1" s="1"/>
  <c r="J30" i="1"/>
  <c r="J31" i="1"/>
  <c r="O31" i="1" s="1"/>
  <c r="J33" i="1"/>
  <c r="J34" i="1"/>
  <c r="J35" i="1"/>
  <c r="O35" i="1" s="1"/>
  <c r="J36" i="1"/>
  <c r="O36" i="1" s="1"/>
  <c r="J37" i="1"/>
  <c r="J39" i="1"/>
  <c r="J40" i="1"/>
  <c r="J41" i="1"/>
  <c r="J42" i="1"/>
  <c r="J43" i="1"/>
  <c r="J44" i="1"/>
  <c r="J45" i="1"/>
  <c r="J46" i="1"/>
  <c r="J48" i="1"/>
  <c r="J49" i="1"/>
  <c r="J50" i="1"/>
  <c r="J51" i="1"/>
  <c r="J53" i="1"/>
  <c r="J54" i="1"/>
  <c r="J55" i="1"/>
  <c r="J56" i="1"/>
  <c r="J57" i="1"/>
  <c r="J58" i="1"/>
  <c r="J59" i="1"/>
  <c r="J60" i="1"/>
  <c r="J61" i="1"/>
  <c r="J62" i="1"/>
  <c r="J64" i="1"/>
  <c r="J65" i="1"/>
  <c r="J66" i="1"/>
  <c r="J67" i="1"/>
  <c r="J68" i="1"/>
  <c r="J69" i="1"/>
  <c r="J70" i="1"/>
  <c r="J71" i="1"/>
  <c r="J73" i="1"/>
  <c r="J74" i="1"/>
  <c r="J75" i="1"/>
  <c r="J76" i="1"/>
  <c r="J77" i="1"/>
  <c r="J78" i="1"/>
  <c r="J79" i="1"/>
  <c r="J81" i="1"/>
  <c r="J82" i="1"/>
  <c r="J83" i="1"/>
  <c r="J84" i="1"/>
  <c r="J85" i="1"/>
  <c r="J86" i="1"/>
  <c r="J87" i="1"/>
  <c r="J88" i="1"/>
  <c r="J89" i="1"/>
  <c r="J90" i="1"/>
  <c r="J92" i="1"/>
  <c r="J93" i="1"/>
  <c r="J94" i="1"/>
  <c r="J95" i="1"/>
  <c r="J96" i="1"/>
  <c r="J97" i="1"/>
  <c r="J98" i="1"/>
  <c r="J99" i="1"/>
  <c r="J100" i="1"/>
  <c r="J101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4" i="1"/>
  <c r="J135" i="1"/>
  <c r="J136" i="1"/>
  <c r="J137" i="1"/>
  <c r="J138" i="1"/>
  <c r="J139" i="1"/>
  <c r="J140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6" i="1"/>
  <c r="J167" i="1"/>
  <c r="J168" i="1"/>
  <c r="J169" i="1"/>
  <c r="J170" i="1"/>
  <c r="J171" i="1"/>
  <c r="J172" i="1"/>
  <c r="J173" i="1"/>
  <c r="J174" i="1"/>
  <c r="J175" i="1"/>
  <c r="J177" i="1"/>
  <c r="J178" i="1"/>
  <c r="J181" i="1"/>
  <c r="J183" i="1"/>
  <c r="J184" i="1"/>
  <c r="J186" i="1"/>
  <c r="J187" i="1"/>
  <c r="J188" i="1"/>
  <c r="J190" i="1"/>
  <c r="J192" i="1"/>
  <c r="J194" i="1"/>
  <c r="J195" i="1"/>
  <c r="J196" i="1"/>
  <c r="J197" i="1"/>
  <c r="J199" i="1"/>
  <c r="J200" i="1"/>
  <c r="J201" i="1"/>
  <c r="J202" i="1"/>
  <c r="J204" i="1"/>
  <c r="J205" i="1"/>
  <c r="J206" i="1"/>
  <c r="J208" i="1"/>
  <c r="J209" i="1"/>
  <c r="J210" i="1"/>
  <c r="J211" i="1"/>
  <c r="J212" i="1"/>
  <c r="J11" i="1"/>
  <c r="A5" i="5"/>
  <c r="A4" i="5"/>
  <c r="K136" i="5"/>
  <c r="B136" i="5"/>
  <c r="A136" i="5"/>
  <c r="K133" i="5"/>
  <c r="B133" i="5"/>
  <c r="A133" i="5"/>
  <c r="K96" i="5"/>
  <c r="B96" i="5"/>
  <c r="A96" i="5"/>
  <c r="K92" i="5"/>
  <c r="B92" i="5"/>
  <c r="A92" i="5"/>
  <c r="K88" i="5"/>
  <c r="B88" i="5"/>
  <c r="A88" i="5"/>
  <c r="K83" i="5"/>
  <c r="B83" i="5"/>
  <c r="A83" i="5"/>
  <c r="B80" i="5"/>
  <c r="K80" i="5"/>
  <c r="A80" i="5"/>
  <c r="K41" i="5"/>
  <c r="B41" i="5"/>
  <c r="A41" i="5"/>
  <c r="K37" i="5"/>
  <c r="B37" i="5"/>
  <c r="A37" i="5"/>
  <c r="K34" i="5"/>
  <c r="B34" i="5"/>
  <c r="A34" i="5"/>
  <c r="K31" i="5"/>
  <c r="B31" i="5"/>
  <c r="A31" i="5"/>
  <c r="K28" i="5"/>
  <c r="B28" i="5"/>
  <c r="A28" i="5"/>
  <c r="K23" i="5"/>
  <c r="B23" i="5"/>
  <c r="A23" i="5"/>
  <c r="K20" i="5"/>
  <c r="B20" i="5"/>
  <c r="A20" i="5"/>
  <c r="K17" i="5"/>
  <c r="B17" i="5"/>
  <c r="A17" i="5"/>
  <c r="K14" i="5"/>
  <c r="B14" i="5"/>
  <c r="A14" i="5"/>
  <c r="K11" i="5"/>
  <c r="B11" i="5"/>
  <c r="A11" i="5"/>
  <c r="C137" i="5"/>
  <c r="J137" i="5" s="1"/>
  <c r="J136" i="5" s="1"/>
  <c r="C134" i="5"/>
  <c r="J134" i="5" s="1"/>
  <c r="J133" i="5" s="1"/>
  <c r="I131" i="5"/>
  <c r="J131" i="5" s="1"/>
  <c r="I130" i="5"/>
  <c r="J130" i="5" s="1"/>
  <c r="I129" i="5"/>
  <c r="J129" i="5" s="1"/>
  <c r="I128" i="5"/>
  <c r="J128" i="5" s="1"/>
  <c r="I127" i="5"/>
  <c r="J127" i="5" s="1"/>
  <c r="I126" i="5"/>
  <c r="J126" i="5" s="1"/>
  <c r="I125" i="5"/>
  <c r="J125" i="5" s="1"/>
  <c r="I124" i="5"/>
  <c r="J124" i="5" s="1"/>
  <c r="I123" i="5"/>
  <c r="J123" i="5" s="1"/>
  <c r="I122" i="5"/>
  <c r="J122" i="5" s="1"/>
  <c r="I121" i="5"/>
  <c r="J121" i="5" s="1"/>
  <c r="I120" i="5"/>
  <c r="J120" i="5" s="1"/>
  <c r="I119" i="5"/>
  <c r="J119" i="5" s="1"/>
  <c r="I118" i="5"/>
  <c r="J118" i="5" s="1"/>
  <c r="I117" i="5"/>
  <c r="J117" i="5" s="1"/>
  <c r="I116" i="5"/>
  <c r="J116" i="5" s="1"/>
  <c r="I115" i="5"/>
  <c r="J115" i="5" s="1"/>
  <c r="I114" i="5"/>
  <c r="J114" i="5" s="1"/>
  <c r="I113" i="5"/>
  <c r="J113" i="5" s="1"/>
  <c r="I112" i="5"/>
  <c r="J112" i="5" s="1"/>
  <c r="I111" i="5"/>
  <c r="J111" i="5" s="1"/>
  <c r="I110" i="5"/>
  <c r="J110" i="5" s="1"/>
  <c r="I109" i="5"/>
  <c r="J109" i="5" s="1"/>
  <c r="I108" i="5"/>
  <c r="J108" i="5" s="1"/>
  <c r="I107" i="5"/>
  <c r="J107" i="5" s="1"/>
  <c r="I106" i="5"/>
  <c r="J106" i="5" s="1"/>
  <c r="I105" i="5"/>
  <c r="J105" i="5" s="1"/>
  <c r="I104" i="5"/>
  <c r="J104" i="5" s="1"/>
  <c r="I103" i="5"/>
  <c r="J103" i="5" s="1"/>
  <c r="I102" i="5"/>
  <c r="J102" i="5" s="1"/>
  <c r="I101" i="5"/>
  <c r="J101" i="5" s="1"/>
  <c r="I100" i="5"/>
  <c r="J100" i="5" s="1"/>
  <c r="I99" i="5"/>
  <c r="J99" i="5" s="1"/>
  <c r="I98" i="5"/>
  <c r="J98" i="5" s="1"/>
  <c r="I97" i="5"/>
  <c r="J97" i="5" s="1"/>
  <c r="C90" i="5"/>
  <c r="Q90" i="5" s="1"/>
  <c r="C89" i="5"/>
  <c r="Q89" i="5" s="1"/>
  <c r="I78" i="5"/>
  <c r="J78" i="5" s="1"/>
  <c r="I77" i="5"/>
  <c r="J77" i="5" s="1"/>
  <c r="I76" i="5"/>
  <c r="J76" i="5" s="1"/>
  <c r="I75" i="5"/>
  <c r="J75" i="5" s="1"/>
  <c r="I74" i="5"/>
  <c r="J74" i="5" s="1"/>
  <c r="I73" i="5"/>
  <c r="J73" i="5" s="1"/>
  <c r="I72" i="5"/>
  <c r="J72" i="5" s="1"/>
  <c r="I71" i="5"/>
  <c r="J71" i="5" s="1"/>
  <c r="I70" i="5"/>
  <c r="J70" i="5" s="1"/>
  <c r="I69" i="5"/>
  <c r="J69" i="5" s="1"/>
  <c r="I68" i="5"/>
  <c r="J68" i="5" s="1"/>
  <c r="I67" i="5"/>
  <c r="J67" i="5" s="1"/>
  <c r="I66" i="5"/>
  <c r="J66" i="5" s="1"/>
  <c r="I65" i="5"/>
  <c r="J65" i="5" s="1"/>
  <c r="I64" i="5"/>
  <c r="J64" i="5" s="1"/>
  <c r="I63" i="5"/>
  <c r="J63" i="5" s="1"/>
  <c r="I62" i="5"/>
  <c r="J62" i="5" s="1"/>
  <c r="I61" i="5"/>
  <c r="J61" i="5" s="1"/>
  <c r="I60" i="5"/>
  <c r="J60" i="5" s="1"/>
  <c r="I59" i="5"/>
  <c r="J59" i="5" s="1"/>
  <c r="I58" i="5"/>
  <c r="J58" i="5" s="1"/>
  <c r="I57" i="5"/>
  <c r="J57" i="5" s="1"/>
  <c r="I56" i="5"/>
  <c r="J56" i="5" s="1"/>
  <c r="I55" i="5"/>
  <c r="J55" i="5" s="1"/>
  <c r="I54" i="5"/>
  <c r="J54" i="5" s="1"/>
  <c r="I53" i="5"/>
  <c r="J53" i="5" s="1"/>
  <c r="I52" i="5"/>
  <c r="J52" i="5" s="1"/>
  <c r="I51" i="5"/>
  <c r="J51" i="5" s="1"/>
  <c r="I50" i="5"/>
  <c r="J50" i="5" s="1"/>
  <c r="I49" i="5"/>
  <c r="J49" i="5" s="1"/>
  <c r="I48" i="5"/>
  <c r="J48" i="5" s="1"/>
  <c r="I47" i="5"/>
  <c r="J47" i="5" s="1"/>
  <c r="I46" i="5"/>
  <c r="J46" i="5" s="1"/>
  <c r="I45" i="5"/>
  <c r="J45" i="5" s="1"/>
  <c r="I44" i="5"/>
  <c r="J44" i="5" s="1"/>
  <c r="J38" i="5"/>
  <c r="J37" i="5" s="1"/>
  <c r="C35" i="5"/>
  <c r="J35" i="5" s="1"/>
  <c r="J34" i="5" s="1"/>
  <c r="J32" i="5"/>
  <c r="J31" i="5" s="1"/>
  <c r="I29" i="5"/>
  <c r="J29" i="5" s="1"/>
  <c r="J28" i="5" s="1"/>
  <c r="J24" i="5"/>
  <c r="J23" i="5" s="1"/>
  <c r="J21" i="5"/>
  <c r="J20" i="5" s="1"/>
  <c r="J18" i="5"/>
  <c r="J17" i="5" s="1"/>
  <c r="J15" i="5"/>
  <c r="J14" i="5" s="1"/>
  <c r="J12" i="5"/>
  <c r="J11" i="5" s="1"/>
  <c r="A1" i="5"/>
  <c r="O32" i="1" l="1"/>
  <c r="N32" i="1"/>
  <c r="N28" i="1"/>
  <c r="O28" i="1"/>
  <c r="O19" i="1"/>
  <c r="O18" i="1" s="1"/>
  <c r="M179" i="1"/>
  <c r="N18" i="1"/>
  <c r="M18" i="1"/>
  <c r="J90" i="5"/>
  <c r="J43" i="5"/>
  <c r="J96" i="5"/>
  <c r="J89" i="5"/>
  <c r="J88" i="5" l="1"/>
  <c r="C42" i="5" s="1"/>
  <c r="J42" i="5" s="1"/>
  <c r="O11" i="1"/>
  <c r="N11" i="1"/>
  <c r="M11" i="1"/>
  <c r="J41" i="5" l="1"/>
  <c r="C81" i="5" s="1"/>
  <c r="J81" i="5" s="1"/>
  <c r="J80" i="5" s="1"/>
  <c r="J85" i="5"/>
  <c r="W212" i="1"/>
  <c r="L212" i="1" s="1"/>
  <c r="W211" i="1"/>
  <c r="L211" i="1" s="1"/>
  <c r="W210" i="1"/>
  <c r="L210" i="1"/>
  <c r="W209" i="1"/>
  <c r="L209" i="1"/>
  <c r="W208" i="1"/>
  <c r="L208" i="1" s="1"/>
  <c r="W206" i="1"/>
  <c r="L206" i="1" s="1"/>
  <c r="W205" i="1"/>
  <c r="L205" i="1" s="1"/>
  <c r="W204" i="1"/>
  <c r="L204" i="1"/>
  <c r="W202" i="1"/>
  <c r="L202" i="1"/>
  <c r="W201" i="1"/>
  <c r="L201" i="1" s="1"/>
  <c r="W200" i="1"/>
  <c r="L200" i="1" s="1"/>
  <c r="W199" i="1"/>
  <c r="L199" i="1" s="1"/>
  <c r="W197" i="1"/>
  <c r="L197" i="1"/>
  <c r="W196" i="1"/>
  <c r="L196" i="1"/>
  <c r="W195" i="1"/>
  <c r="L195" i="1" s="1"/>
  <c r="W194" i="1"/>
  <c r="L194" i="1" s="1"/>
  <c r="W192" i="1"/>
  <c r="L192" i="1" s="1"/>
  <c r="L191" i="1" s="1"/>
  <c r="W190" i="1"/>
  <c r="L190" i="1" s="1"/>
  <c r="L189" i="1" s="1"/>
  <c r="W188" i="1"/>
  <c r="L188" i="1" s="1"/>
  <c r="W187" i="1"/>
  <c r="L187" i="1"/>
  <c r="W186" i="1"/>
  <c r="L186" i="1"/>
  <c r="W184" i="1"/>
  <c r="L184" i="1"/>
  <c r="W183" i="1"/>
  <c r="L183" i="1"/>
  <c r="W181" i="1"/>
  <c r="L181" i="1" s="1"/>
  <c r="L180" i="1" s="1"/>
  <c r="W178" i="1"/>
  <c r="L178" i="1"/>
  <c r="W177" i="1"/>
  <c r="L177" i="1" s="1"/>
  <c r="W175" i="1"/>
  <c r="L175" i="1"/>
  <c r="W174" i="1"/>
  <c r="L174" i="1" s="1"/>
  <c r="W173" i="1"/>
  <c r="L173" i="1"/>
  <c r="W172" i="1"/>
  <c r="L172" i="1"/>
  <c r="W171" i="1"/>
  <c r="L171" i="1" s="1"/>
  <c r="W170" i="1"/>
  <c r="L170" i="1" s="1"/>
  <c r="W169" i="1"/>
  <c r="L169" i="1" s="1"/>
  <c r="W168" i="1"/>
  <c r="L168" i="1"/>
  <c r="W167" i="1"/>
  <c r="L167" i="1"/>
  <c r="W166" i="1"/>
  <c r="L166" i="1" s="1"/>
  <c r="W164" i="1"/>
  <c r="L164" i="1" s="1"/>
  <c r="W163" i="1"/>
  <c r="L163" i="1" s="1"/>
  <c r="W162" i="1"/>
  <c r="L162" i="1"/>
  <c r="W161" i="1"/>
  <c r="L161" i="1"/>
  <c r="W160" i="1"/>
  <c r="L160" i="1" s="1"/>
  <c r="W159" i="1"/>
  <c r="L159" i="1"/>
  <c r="W158" i="1"/>
  <c r="L158" i="1"/>
  <c r="W157" i="1"/>
  <c r="L157" i="1" s="1"/>
  <c r="W156" i="1"/>
  <c r="L156" i="1" s="1"/>
  <c r="W155" i="1"/>
  <c r="L155" i="1" s="1"/>
  <c r="W154" i="1"/>
  <c r="L154" i="1"/>
  <c r="W153" i="1"/>
  <c r="L153" i="1"/>
  <c r="W152" i="1"/>
  <c r="L152" i="1" s="1"/>
  <c r="W151" i="1"/>
  <c r="L151" i="1"/>
  <c r="W150" i="1"/>
  <c r="L150" i="1"/>
  <c r="W149" i="1"/>
  <c r="L149" i="1" s="1"/>
  <c r="W148" i="1"/>
  <c r="L148" i="1" s="1"/>
  <c r="W147" i="1"/>
  <c r="L147" i="1" s="1"/>
  <c r="W146" i="1"/>
  <c r="L146" i="1"/>
  <c r="W145" i="1"/>
  <c r="L145" i="1"/>
  <c r="W144" i="1"/>
  <c r="L144" i="1" s="1"/>
  <c r="W143" i="1"/>
  <c r="L143" i="1"/>
  <c r="W142" i="1"/>
  <c r="L142" i="1"/>
  <c r="W140" i="1"/>
  <c r="L140" i="1"/>
  <c r="W139" i="1"/>
  <c r="L139" i="1"/>
  <c r="W138" i="1"/>
  <c r="L138" i="1" s="1"/>
  <c r="W137" i="1"/>
  <c r="L137" i="1"/>
  <c r="W136" i="1"/>
  <c r="L136" i="1"/>
  <c r="W135" i="1"/>
  <c r="L135" i="1" s="1"/>
  <c r="W134" i="1"/>
  <c r="L134" i="1" s="1"/>
  <c r="W132" i="1"/>
  <c r="L132" i="1" s="1"/>
  <c r="W131" i="1"/>
  <c r="L131" i="1"/>
  <c r="W130" i="1"/>
  <c r="L130" i="1"/>
  <c r="W129" i="1"/>
  <c r="L129" i="1" s="1"/>
  <c r="W128" i="1"/>
  <c r="L128" i="1" s="1"/>
  <c r="W127" i="1"/>
  <c r="L127" i="1" s="1"/>
  <c r="W126" i="1"/>
  <c r="L126" i="1"/>
  <c r="W125" i="1"/>
  <c r="L125" i="1"/>
  <c r="W124" i="1"/>
  <c r="L124" i="1" s="1"/>
  <c r="W123" i="1"/>
  <c r="L123" i="1"/>
  <c r="W122" i="1"/>
  <c r="L122" i="1"/>
  <c r="W121" i="1"/>
  <c r="L121" i="1" s="1"/>
  <c r="W120" i="1"/>
  <c r="L120" i="1" s="1"/>
  <c r="W119" i="1"/>
  <c r="L119" i="1" s="1"/>
  <c r="W118" i="1"/>
  <c r="L118" i="1"/>
  <c r="W117" i="1"/>
  <c r="L117" i="1"/>
  <c r="W116" i="1"/>
  <c r="L116" i="1" s="1"/>
  <c r="W115" i="1"/>
  <c r="L115" i="1"/>
  <c r="W114" i="1"/>
  <c r="L114" i="1"/>
  <c r="W113" i="1"/>
  <c r="L113" i="1" s="1"/>
  <c r="W112" i="1"/>
  <c r="L112" i="1" s="1"/>
  <c r="W111" i="1"/>
  <c r="L111" i="1" s="1"/>
  <c r="W110" i="1"/>
  <c r="L110" i="1"/>
  <c r="W109" i="1"/>
  <c r="L109" i="1"/>
  <c r="W108" i="1"/>
  <c r="L108" i="1" s="1"/>
  <c r="W107" i="1"/>
  <c r="L107" i="1"/>
  <c r="W106" i="1"/>
  <c r="L106" i="1"/>
  <c r="W105" i="1"/>
  <c r="L105" i="1" s="1"/>
  <c r="W104" i="1"/>
  <c r="L104" i="1" s="1"/>
  <c r="W103" i="1"/>
  <c r="L103" i="1" s="1"/>
  <c r="W101" i="1"/>
  <c r="L101" i="1"/>
  <c r="W100" i="1"/>
  <c r="L100" i="1"/>
  <c r="W99" i="1"/>
  <c r="L99" i="1" s="1"/>
  <c r="W98" i="1"/>
  <c r="L98" i="1" s="1"/>
  <c r="W97" i="1"/>
  <c r="L97" i="1" s="1"/>
  <c r="W96" i="1"/>
  <c r="L96" i="1"/>
  <c r="W95" i="1"/>
  <c r="L95" i="1"/>
  <c r="W94" i="1"/>
  <c r="L94" i="1" s="1"/>
  <c r="W93" i="1"/>
  <c r="L93" i="1"/>
  <c r="W92" i="1"/>
  <c r="L92" i="1"/>
  <c r="W90" i="1"/>
  <c r="L90" i="1"/>
  <c r="W89" i="1"/>
  <c r="L89" i="1"/>
  <c r="W88" i="1"/>
  <c r="L88" i="1" s="1"/>
  <c r="W87" i="1"/>
  <c r="L87" i="1"/>
  <c r="W86" i="1"/>
  <c r="L86" i="1"/>
  <c r="W85" i="1"/>
  <c r="L85" i="1" s="1"/>
  <c r="W84" i="1"/>
  <c r="L84" i="1" s="1"/>
  <c r="W83" i="1"/>
  <c r="L83" i="1" s="1"/>
  <c r="W82" i="1"/>
  <c r="L82" i="1"/>
  <c r="W81" i="1"/>
  <c r="L81" i="1"/>
  <c r="W79" i="1"/>
  <c r="L79" i="1" s="1"/>
  <c r="W78" i="1"/>
  <c r="L78" i="1" s="1"/>
  <c r="W77" i="1"/>
  <c r="L77" i="1" s="1"/>
  <c r="W76" i="1"/>
  <c r="L76" i="1"/>
  <c r="W75" i="1"/>
  <c r="L75" i="1"/>
  <c r="W74" i="1"/>
  <c r="L74" i="1" s="1"/>
  <c r="W73" i="1"/>
  <c r="L73" i="1"/>
  <c r="W71" i="1"/>
  <c r="L71" i="1" s="1"/>
  <c r="W70" i="1"/>
  <c r="L70" i="1"/>
  <c r="W69" i="1"/>
  <c r="L69" i="1"/>
  <c r="W68" i="1"/>
  <c r="L68" i="1" s="1"/>
  <c r="W67" i="1"/>
  <c r="L67" i="1"/>
  <c r="W66" i="1"/>
  <c r="L66" i="1"/>
  <c r="W65" i="1"/>
  <c r="L65" i="1" s="1"/>
  <c r="W64" i="1"/>
  <c r="L64" i="1" s="1"/>
  <c r="W62" i="1"/>
  <c r="L62" i="1" s="1"/>
  <c r="W61" i="1"/>
  <c r="L61" i="1"/>
  <c r="W60" i="1"/>
  <c r="L60" i="1"/>
  <c r="W59" i="1"/>
  <c r="L59" i="1" s="1"/>
  <c r="W58" i="1"/>
  <c r="L58" i="1" s="1"/>
  <c r="W57" i="1"/>
  <c r="L57" i="1" s="1"/>
  <c r="W56" i="1"/>
  <c r="L56" i="1"/>
  <c r="W55" i="1"/>
  <c r="L55" i="1"/>
  <c r="W54" i="1"/>
  <c r="L54" i="1" s="1"/>
  <c r="W53" i="1"/>
  <c r="L53" i="1"/>
  <c r="W51" i="1"/>
  <c r="L51" i="1" s="1"/>
  <c r="W50" i="1"/>
  <c r="L50" i="1"/>
  <c r="W49" i="1"/>
  <c r="L49" i="1"/>
  <c r="W48" i="1"/>
  <c r="L48" i="1" s="1"/>
  <c r="W46" i="1"/>
  <c r="L46" i="1" s="1"/>
  <c r="W45" i="1"/>
  <c r="L45" i="1" s="1"/>
  <c r="W44" i="1"/>
  <c r="L44" i="1"/>
  <c r="W43" i="1"/>
  <c r="L43" i="1"/>
  <c r="W42" i="1"/>
  <c r="L42" i="1" s="1"/>
  <c r="W41" i="1"/>
  <c r="L41" i="1"/>
  <c r="W40" i="1"/>
  <c r="L40" i="1"/>
  <c r="W39" i="1"/>
  <c r="L39" i="1" s="1"/>
  <c r="W37" i="1"/>
  <c r="W36" i="1"/>
  <c r="W35" i="1"/>
  <c r="W34" i="1"/>
  <c r="W33" i="1"/>
  <c r="W31" i="1"/>
  <c r="L31" i="1"/>
  <c r="W30" i="1"/>
  <c r="L30" i="1"/>
  <c r="W29" i="1"/>
  <c r="W27" i="1"/>
  <c r="L27" i="1" s="1"/>
  <c r="W26" i="1"/>
  <c r="L26" i="1"/>
  <c r="W25" i="1"/>
  <c r="L25" i="1"/>
  <c r="W24" i="1"/>
  <c r="W23" i="1"/>
  <c r="W22" i="1"/>
  <c r="W21" i="1"/>
  <c r="W20" i="1"/>
  <c r="W17" i="1"/>
  <c r="L17" i="1"/>
  <c r="L16" i="1" s="1"/>
  <c r="W15" i="1"/>
  <c r="L15" i="1"/>
  <c r="W14" i="1"/>
  <c r="L14" i="1"/>
  <c r="W13" i="1"/>
  <c r="L13" i="1"/>
  <c r="W12" i="1"/>
  <c r="L12" i="1"/>
  <c r="W11" i="1"/>
  <c r="M10" i="1" l="1"/>
  <c r="M9" i="1" s="1"/>
  <c r="M213" i="1" s="1"/>
  <c r="L80" i="1"/>
  <c r="L193" i="1"/>
  <c r="L176" i="1"/>
  <c r="L182" i="1"/>
  <c r="L141" i="1"/>
  <c r="L24" i="1"/>
  <c r="L47" i="1"/>
  <c r="L102" i="1"/>
  <c r="L133" i="1"/>
  <c r="L203" i="1"/>
  <c r="L52" i="1"/>
  <c r="L35" i="1"/>
  <c r="L91" i="1"/>
  <c r="L20" i="1"/>
  <c r="L63" i="1"/>
  <c r="L37" i="1"/>
  <c r="L165" i="1"/>
  <c r="L198" i="1"/>
  <c r="L72" i="1"/>
  <c r="L38" i="1"/>
  <c r="L22" i="1"/>
  <c r="L33" i="1"/>
  <c r="L185" i="1"/>
  <c r="L207" i="1"/>
  <c r="L21" i="1"/>
  <c r="L23" i="1"/>
  <c r="L11" i="1"/>
  <c r="L10" i="1" s="1"/>
  <c r="L9" i="1" s="1"/>
  <c r="L29" i="1"/>
  <c r="L28" i="1" s="1"/>
  <c r="L34" i="1"/>
  <c r="L36" i="1"/>
  <c r="N10" i="1" l="1"/>
  <c r="N9" i="1" s="1"/>
  <c r="N213" i="1" s="1"/>
  <c r="O10" i="1"/>
  <c r="O9" i="1" s="1"/>
  <c r="O213" i="1" s="1"/>
  <c r="L214" i="1" s="1"/>
  <c r="L179" i="1"/>
  <c r="L19" i="1"/>
  <c r="L32" i="1"/>
  <c r="L18" i="1" l="1"/>
  <c r="L213" i="1" s="1"/>
  <c r="R3" i="1" s="1"/>
</calcChain>
</file>

<file path=xl/sharedStrings.xml><?xml version="1.0" encoding="utf-8"?>
<sst xmlns="http://schemas.openxmlformats.org/spreadsheetml/2006/main" count="887" uniqueCount="472">
  <si>
    <t>VALOR EDITAL</t>
  </si>
  <si>
    <t xml:space="preserve">	R$ 1.252.370,60</t>
  </si>
  <si>
    <t>LOCAL: MUNICÍPIO DE COREMAS-PB</t>
  </si>
  <si>
    <t>VALOR C/DESC.</t>
  </si>
  <si>
    <t>DESCONTO:</t>
  </si>
  <si>
    <t>ITEM</t>
  </si>
  <si>
    <t>CÓDIGO</t>
  </si>
  <si>
    <t>REFERÊNCIA</t>
  </si>
  <si>
    <t>DESCRIÇÃO</t>
  </si>
  <si>
    <t>ORIGEM</t>
  </si>
  <si>
    <t>1 ETAPA 01:  GERAL</t>
  </si>
  <si>
    <t>1.1 1 ADMINISTRACAO LOCAL</t>
  </si>
  <si>
    <t>1.1.1</t>
  </si>
  <si>
    <t>O13221</t>
  </si>
  <si>
    <t>ADMINSTRACAO LOCAL - PESSOAL</t>
  </si>
  <si>
    <t>SUPLAN</t>
  </si>
  <si>
    <t>UN</t>
  </si>
  <si>
    <t>1.1.2</t>
  </si>
  <si>
    <t>ADMINISTRACAO LOCAL - DESPESAS GERAIS MENSAIS</t>
  </si>
  <si>
    <t>1.1.3</t>
  </si>
  <si>
    <t>ADMINISTRACAO LOCAL - DESPESAS GERAIS FIXAS</t>
  </si>
  <si>
    <t>1.1.4</t>
  </si>
  <si>
    <t xml:space="preserve">ADMINISTRACAO   LOCAL   -   VECULOS   E EQUIPAMENTOS </t>
  </si>
  <si>
    <t>1.1.5</t>
  </si>
  <si>
    <t xml:space="preserve">ADMINISTRACAO   LOCAL   -   MOVEIS   E UTENSILIOS </t>
  </si>
  <si>
    <t>1.2 DIVERSOS</t>
  </si>
  <si>
    <t>1.2.1</t>
  </si>
  <si>
    <t xml:space="preserve">"AS BUILT" DO PROJETO ARQUITETONICO E DOS   PROJETOS   DE   ENGENHARIA   DE ESTRUTURAS    E    DE    INSTALACOES ELETRICAS,  INSTALACOES  HIDRAULICAS  E INSTALACOES   SANITARIAS   -   ESCOLAS </t>
  </si>
  <si>
    <t>SINAPI</t>
  </si>
  <si>
    <t>2 ETAPA 02: CONSTRUCAO DA ESCOLA</t>
  </si>
  <si>
    <t>2.1 1 SERVICOS PRELIMINARES</t>
  </si>
  <si>
    <t>2.1.1</t>
  </si>
  <si>
    <t>74209/001</t>
  </si>
  <si>
    <t xml:space="preserve">PLACA   DE   OBRA   EM   CHAPA   DE   ACO GALVANIZADO </t>
  </si>
  <si>
    <t>M2</t>
  </si>
  <si>
    <t>2.1.2</t>
  </si>
  <si>
    <t>74077/3</t>
  </si>
  <si>
    <t>LOCACAO   CONVENCIONAL   DE   OBRA, ATRAVES   DE   GABARITO   DE   TABUAS CORRIDAS    PONTALETADAS,    COM REAPROVEITAMENTO   DE   3   VEZES   -</t>
  </si>
  <si>
    <t>2.1.3</t>
  </si>
  <si>
    <t>73822/002</t>
  </si>
  <si>
    <t>LIMPEZA  MECANIZADA  DE  TERRENO  COM REMOCAO DE CAMADA VEGETAL, UTILIZAND O MOTONIVELADORA</t>
  </si>
  <si>
    <t>2.1.4</t>
  </si>
  <si>
    <t>C2851</t>
  </si>
  <si>
    <t xml:space="preserve">INSTALACOES  PROVISORIAS  DE  AGUA, INCLUSIVE  CAIXA  DAGUA  DE  1000L </t>
  </si>
  <si>
    <t>2.1.5</t>
  </si>
  <si>
    <t>11122/ORS</t>
  </si>
  <si>
    <t>ENTRADA    DE    ENERGIA    ELETRICA MONOFASICA  COM  POSTE  DE  CONCRETO, INCLUSIVE   CABEAMENTO,   CAIXA   DE PROTECAO     PARA     MEDIDOR     E</t>
  </si>
  <si>
    <t>2.1.6</t>
  </si>
  <si>
    <t>LIGACAO DOMICILIAR DE ESGOTO DN 100MM, DA  CASA  ATE  A  CAIXA,  COMPOSTO  P  OR 10,0M  TUBO  DE  PVC  ESGOTO  PREDIAL  DN
100MM E CAIXA DE ALVENARIA COM TAMPA DE   CONCRETO   -   FORNECIMENTO   E</t>
  </si>
  <si>
    <t>2.1.7</t>
  </si>
  <si>
    <t>LOCACAO DE CONTAINER 2,30 X 4,30 M, ALT. 2,50   M,   P/   SANITARIO,   C/   5   BACIAS,   1 LAVATORIO  E  4  MICTORIOS,  INCLUSIVE TRANSP/CARGA/DESCARGA</t>
  </si>
  <si>
    <t>MÊS</t>
  </si>
  <si>
    <t>2.1.8</t>
  </si>
  <si>
    <t xml:space="preserve">ALUGUEL  CONTAINER/ESCRIT  INCL  INST ELET  LARG=2,20  COMP=6,20M  ALT=2,50M CHAPA   ACO   C/NERV   TRAPEZ   FORRO C/ISOLTERMO/ACUSTICO CHASSIS REFORC P I S O      C O M P E N S      N A V A L      I N C T R A N S P / C A R G A / D E S C A R G A </t>
  </si>
  <si>
    <t>2.2 2 MOVIMENTO DE TERRA</t>
  </si>
  <si>
    <t>2.2.1</t>
  </si>
  <si>
    <t>ESCAVACAO MANUAL DE VALA EM MATERIAL DE QUALQUER CATEGORIA, EXCETO ROCHA COM PROFUNDIDADE ATE 2M.</t>
  </si>
  <si>
    <t>M3</t>
  </si>
  <si>
    <t>2.2.2</t>
  </si>
  <si>
    <t>24824/SIN</t>
  </si>
  <si>
    <t>ATERRO  DO  CAIXAO  SEM  AQUISICAO  DO MATERIAL  (REATERRO  MANUAL)</t>
  </si>
  <si>
    <t>2.2.3</t>
  </si>
  <si>
    <t>ATERRO  DO  CAIXAO  COM  AQUISICAO  DO MATERIAL/AREIA, APILOADO EM CAMADAS DE 0,20M</t>
  </si>
  <si>
    <t>2.3 3 INFRAESTRUTURA</t>
  </si>
  <si>
    <t>2.3.1</t>
  </si>
  <si>
    <t>EMBASAMENTO  C/PEDRA  ARGAMASSADA UTILIZANDO  ARG.CIM/AREIA  1:4</t>
  </si>
  <si>
    <t>2.3.2</t>
  </si>
  <si>
    <t>ALVENARIA DE 1 VEZ VEDACAO COM BLOCOS CERAMICO FURADOS 9 X 19 X 19 CM FUROS HORIZONTAIS,  ESPESSURA  DA  PAREDE  19 CM,  JUNTAS  DE  10  MM  COM  ARGAMASSA TRACO 1:2:8 (CIMENTO, CAL E AREIA MEDIA)</t>
  </si>
  <si>
    <t>2.3.3</t>
  </si>
  <si>
    <t xml:space="preserve">LASTRO DE CONCRETO MAGRO, APLICADO EM    BLOCOS    DE    COROAMENTO    OU SAPATAS.AF_08/2017 </t>
  </si>
  <si>
    <t>2.3.4</t>
  </si>
  <si>
    <t>CONCRETO    ARMADO    (PREPARO    E LANCAMENTO)PARA  SAPATAS  COM  FCK  &gt;= 25MPA,   COM   FORMA   DE   TABUA,   COM APROVEI   TAMENTO   DE   2   VEZES,   COM BETONEIRA   -</t>
  </si>
  <si>
    <t>2.3.5</t>
  </si>
  <si>
    <t>CONCRETO    ARMADO    (PREPARO    E LANCAMENTO)    PARA    RADIER    COM FCK&gt;=25MPA, COM TABUA DE MADEIRA, COM APROVEITAMENTO   DE   3   VEZES   COM BETONEIRA   -</t>
  </si>
  <si>
    <t>2.4 4 SUPER-ESTRUTURA</t>
  </si>
  <si>
    <t>2.4.1</t>
  </si>
  <si>
    <t>CONCRETO    ARMADO    (PREPARO    E LANCAMENTO) PARA VIGA COM FCK&gt;=30MPA, COM FORMA EM CHAPA DE MADEIRA COM- P E N S A D A       R E S I N A D A ,       C O M APROVEITAMENTO   DE   3   VEZES   COM BETONEIRA   -</t>
  </si>
  <si>
    <t>2.4.2</t>
  </si>
  <si>
    <t>CONCRETO    ARMADO    (PREPARO    E LANCAMENTO) P/ PILARES COM FCK&gt;=30MPA, COM FORMA EM CHAPA DE MADEIRA COM- P E N S A D A       R E S I N A D A ,       C O M APROVEITAMENTO   DE   3   VEZES,   COM BETONEIRA   -</t>
  </si>
  <si>
    <t>2.4.3</t>
  </si>
  <si>
    <t>CONCRETO    ARMADO    (PREPARO    E LANCAMENTO)    PARA    CINTA    COM FCK&gt;=30MPA, COM TABUA DE MADEIRA, COM APROVEITAMENTO   DE   3   VEZES   COM BETONEIRA   -</t>
  </si>
  <si>
    <t>2.4.4</t>
  </si>
  <si>
    <t>74202/001</t>
  </si>
  <si>
    <t xml:space="preserve">LAJE PRE-MOLDADA P/FORRO, SOBRECARGA 100KG/M2,   VAOS   ATE   3,50M/E=8CM,   C
/LAJOTAS  E  CAP.C/CONC  FCK=20MPA,  3CM, INTER-EIXO   38CM,   C/ESCORAMENTO   ( REAPR.3X)   E   FERRAGEM   NEGATIVA </t>
  </si>
  <si>
    <t>2.4.5</t>
  </si>
  <si>
    <t>PRATELEIRA  EM  CONCRETO  ARMADO  COM E=0,05M  E  L=0,40M  COM  REVESTIMENTO CERAMICA</t>
  </si>
  <si>
    <t>M</t>
  </si>
  <si>
    <t>2.4.6</t>
  </si>
  <si>
    <t>PRATELEIRA  EM  CONCRETO  ARMADO  COM E=0,05M  E  L=0,45M  COM  REVESTIMENTO CERAMICA</t>
  </si>
  <si>
    <t>2.4.7</t>
  </si>
  <si>
    <t>PRATELEIRA  EM  CONCRETO  ARMADO  COM E=0,05M  E  L=0,50M  E  REVESTIMENTO  EM CERAMICA</t>
  </si>
  <si>
    <t>2.4.8</t>
  </si>
  <si>
    <t>PRATELEIRA  EM  CONCRETO  ARMADO  COM E=0,05M  E  L=0,60M  E  REVESTIMENTO  EM CERAMICA</t>
  </si>
  <si>
    <t>2.5 5 PAREDES E PAINEIS</t>
  </si>
  <si>
    <t>2.5.1</t>
  </si>
  <si>
    <t>ALVENARIA  DE  1/2  VEZ  VEDACAO  COM BLOCOS CERAMICO FURADOS 9 X 19 X 19 CM FUROS   HORIZONTAIS,   ESPESSURA   DA PAREDE  9  CM,  JUNTAS  DE  10  MM  COM ARGAMASSA TRACO 1:2:8 (CIMENTO, CAL E</t>
  </si>
  <si>
    <t>2.5.2</t>
  </si>
  <si>
    <t>73937/005</t>
  </si>
  <si>
    <t>COBOGO   DE   CONCRETO   (ELEMENTO VAZADO),  10X29X39CM  ABERTURA  COM VIDRO,  A  SSENTADO  COM  ARGAMASSA TRACO  1:4  (CIMENTO  E  AREIA  MEDIA  NAO PENEIRADA)</t>
  </si>
  <si>
    <t>2.5.3</t>
  </si>
  <si>
    <t>MURO  EM  ALVENARIA  DE  1/2  VEZ  COM TIJOLOS  DE  8  FUROS  COM  LOCACAO  E I N C L U S I V E       E X E C U C A O       D E GABARITO,ESCAVACAO MANUAL DE VALAS, ALVENARIA  DE  PEDRA  ARGAMASSADA, EMBASAMENTO  EM  ALVENARIA  DE  1  VEZ, CONCRETO ARMADOPARA RADIER E CINTA SUPERIOR,   COLUNAS   DE   CONCRETO ARMADO   A   CADA   3,0M,   CHAPISCADO, REBOCADO, SELADOR ACRILICO EPINTADO,</t>
  </si>
  <si>
    <t>2.5.4</t>
  </si>
  <si>
    <t>MURETA  EM  ALVENARIA  DE  1  VEZ  COM TIJOLO DE 8 FUROS (H=0,50M)(ESCAVACAO, ALVENARIA  DE  PEDRA  ARGAMASSADA, ALVENARIA, CHAPISCO, REBOCO E PINTURA PVA)</t>
  </si>
  <si>
    <t>2.6 6 ESQUADRIAS, FERRAGENS E VIDROS</t>
  </si>
  <si>
    <t>2.6.1</t>
  </si>
  <si>
    <t>PORTA  MADEIRA  DE  LEI  TIPO  MACICA, INCLUSO ARO/FORRA, ALIZAR, DOBRADICAS, PARAFUSOS   DE   FIXACAO,   EXCLUSIVE FECHADURA    -    FORNECIMENTO    E</t>
  </si>
  <si>
    <t>2.6.2</t>
  </si>
  <si>
    <t>JANELA DE ACO BASCULANTE, FIXACAO COM ARGAMASSA, SEM VIDROS, PADRONIZA DA. AF_07/2016</t>
  </si>
  <si>
    <t>2.6.3</t>
  </si>
  <si>
    <t>GRADIL NYLOFOR 3D, MALHA 20X5CM, 5MM 250X243  CM,  PINTURA  BRANCA,  VERDE  E PRETA,  BELGO  OU  SIMILAR,  INCLUSIVE POSTES  (SECCAO  60X40MM  E  H=3,20M)  E ACESSORIOS</t>
  </si>
  <si>
    <t>2.6.4</t>
  </si>
  <si>
    <t xml:space="preserve">MONTANTE E PAINEL BELGO LINHA NYLOFOR OU   SIMILAR   NA   COR   BRANCA,   COM CHUMBADORES,   INCLUSIVE   POSTES (SECCAO   60X40MM)   E   ACESSORIOS </t>
  </si>
  <si>
    <t>2.6.5</t>
  </si>
  <si>
    <t>PORTAO EM GRADIL BELGO NYLOFOR 3D, DE CORRER,SOLDADO  EM  QUADRO  DE  TUBO GALVANIZADO  2"  COM  CANTONEIRA  3/4", MONTANTES    EM    TUBO    DE    FERRO GALVANIZADO DE 4", INCLUSIVE FERROLHO E RODIZIOS</t>
  </si>
  <si>
    <t>2.6.6</t>
  </si>
  <si>
    <t>08492/ORS</t>
  </si>
  <si>
    <t>BARRA  DE  APOIO  RETA,  EM  ACO  INOX POLIDO  PARA  PCD,  DIAMETRO  =1  1/2"</t>
  </si>
  <si>
    <t>2.6.7</t>
  </si>
  <si>
    <t xml:space="preserve">VIDRO    FANTASIA    TIPO    CANELADO, ESPESSURA    4MM </t>
  </si>
  <si>
    <t>2.6.8</t>
  </si>
  <si>
    <t xml:space="preserve">CADEADO  SIMPLES,  EM  LATAO  MACICO CROMADO, LARGURA DE 35 MM, HASTE DE ACO   TEMPERADO,   CEMENTADO   (NAO LONGA),   INCLUI   2   CHAVES </t>
  </si>
  <si>
    <t>2.6.9</t>
  </si>
  <si>
    <t>FECHADURA  PARA  PORTA  EXTERNA  ,  COM CILINDRO  E  MACANETA  TIPO  TACO  DE GOLFE, PADRAO MEDIO - FORNECIMENTO E INSTALACAO</t>
  </si>
  <si>
    <t>2.6.10</t>
  </si>
  <si>
    <t>FECHADURA  DE  EMBUTIR  PARA  PORTA EXTERNA / ENTRADA, MAQUINA 55 MM, COM CJ 60,39CILINDRO, MACANETA TIPOO TACO DE GOLFE E ESPELHO EM METAL CROMADO - NIVEL SEGURANCAMEDIO - COMPLETA</t>
  </si>
  <si>
    <t>2.7 COBERTA</t>
  </si>
  <si>
    <t>2.7.1</t>
  </si>
  <si>
    <t xml:space="preserve">FABRICACAO E INTALACAO DE ESTRUTURA PONTALETADA  DE  MADEIRA  NAO  APAREL HADA PARA TELHADOS COM ATE 2 AGUAS E PARA TELHA CERAMICA OU DE CONCRET O, INCLUSO    TRANSPORTE    VERTICAL. </t>
  </si>
  <si>
    <t>2.7.2</t>
  </si>
  <si>
    <t>TRAMA DE MADEIRA COMPOSTA POR RIPAS, CAIBROS  E  TERCAS  PARA  TELHADOS  DE MAIS QUE 2 AGUAS PARA TELHA CERAMICA CAPA-CANAL,  INCLUSO  TRANSPORTE  V ERTICAL.  AF_12/2015</t>
  </si>
  <si>
    <t>2.7.3</t>
  </si>
  <si>
    <t xml:space="preserve">TELHAMENTO COM TELHA CERAMICA CAPA- CANAL,  TIPO  PLAN,  COM  ATE  2  AGUAS, INCLUSO    TRANSPORTE    VERTICAL. </t>
  </si>
  <si>
    <t>2.7.4</t>
  </si>
  <si>
    <t>CUMEEIRA   PARA   TELHA   CERAMICA EMBOCADA  COM  ARGAMASSA  TRACO  1:2:9 (CIMEN  TO,  CAL  E  AREIA)  PARA  TELHADOS COM ATE 2 AGUAS, INCLUSO TRANSPORTE VER TICAL. AF_06/2016</t>
  </si>
  <si>
    <t>2.7.5</t>
  </si>
  <si>
    <t>ALGEROZ/RUFO  DE  CONCRETO  ARMADO FCK=20MPA  L=40CM,  E=5CM</t>
  </si>
  <si>
    <t>2.7.6</t>
  </si>
  <si>
    <t>EMBOCAMENTO  COM  ARGAMASSA  TRACO 1:2:9  (CIMENTO,  CAL  E  AREIA).  AF_06/20  16</t>
  </si>
  <si>
    <t>2.7.7</t>
  </si>
  <si>
    <t>IMPERMEABILIZACAO  COM  APLICACAO  DE ARGAMASSA POLIMERICA TIPO DENVERTEC 100 OU SIMILAR</t>
  </si>
  <si>
    <t>2.7.8</t>
  </si>
  <si>
    <t>FORRO   EM   REGUAS   DE   PVC,   PARA AMBIENTES   RESIDENCIAIS,   INCLUSIVE ESTRUTURA  DE  FIXACAO.  AF_05/2017_P</t>
  </si>
  <si>
    <t>2.8 REVESTIMENTO E FORRO</t>
  </si>
  <si>
    <t>2.8.1</t>
  </si>
  <si>
    <t>CHAPISCO EM PAREDES VERTICAIS TRACO 1:3 (CIMENTO E AREIA), ESPESSURA 0,5CM, PREPARO MECANICO;</t>
  </si>
  <si>
    <t>2.8.2</t>
  </si>
  <si>
    <t>S77005</t>
  </si>
  <si>
    <t>REBOCO VERTICAL, EM ARGAMASSA TRACO 1:2:8 - PREPARO MECANICO COM BETONEIRA
400L, ESPESSURA DE 20MM</t>
  </si>
  <si>
    <t>2.8.3</t>
  </si>
  <si>
    <t>EMBOCO,    PARA    RECEBIMENTO    DE CERAMICA,  EM  ARGAMASSA  TRAO  1:2:8, PREPARO MECANICO COM BETONEIRA 400L, APLICADO  MANUALMENTE,  ESPESSURA  DE</t>
  </si>
  <si>
    <t>2.8.4</t>
  </si>
  <si>
    <t>REVESTIMENTO PARA MOSAICO MONDRIAN EM  CERAMICA  10  X  10  CM,  ELIZABETH, DIVERSAS  CORES,  PEI  -5,  OU  SIMILAR, ASSENTADA COM ARGAMASSA COLANTE AC II E REJUNTAMENTO INDUSTRIALIZADO</t>
  </si>
  <si>
    <t>2.8.5</t>
  </si>
  <si>
    <t>S77022</t>
  </si>
  <si>
    <t xml:space="preserve">REVESTIMENTO  EM  CERAMICA  10  X  10  CM, ELIZABETH, PEI -5, OU SIMILAR, ASSENTADA COM    ARGAMASSA    COLANTE    AC    II, REJUNTAMENTO.    INDUSTRIALIZADO </t>
  </si>
  <si>
    <t>2.8.6</t>
  </si>
  <si>
    <t>CHAPISCO  TETO/HORIZONTAL  APLICADO COM  COLHER  DE  PEDREIRO.  ARGAMASSA TRACO  1:3  COM  PREPARO  EM  BETONEIRA 400L</t>
  </si>
  <si>
    <t>2.8.7</t>
  </si>
  <si>
    <t>REBOCO     TETO/HORIZONTAL,     EM ARGAMASSA  TRACO  1:2:8,  ESPESSURA  DE 20MM,  COM  EXECUCAO  DE  TALISCAS.</t>
  </si>
  <si>
    <t>2.9 PINTURA</t>
  </si>
  <si>
    <t>2.9.1</t>
  </si>
  <si>
    <t xml:space="preserve">EMASSAMENTO COM MASSA ACRILICA, DUAS D E M A O S ,         E M         P A R E D E S  INTERNAS/EXTERNAS/TETO,  INCLUSIVE LIXAMENTO </t>
  </si>
  <si>
    <t>2.9.2</t>
  </si>
  <si>
    <t>APLICACAO DE FUNDO SELADOR ACRILICO EM PAREDES, UMA DEMAO. AF_06/2014</t>
  </si>
  <si>
    <t>2.9.3</t>
  </si>
  <si>
    <t xml:space="preserve">APLICACAO MANUAL DE PINTURA COM TINTA LATEX   ACRILICA   EM   PAREDES,   DUAS DEMAOS.   AF_06/2014 </t>
  </si>
  <si>
    <t>2.9.4</t>
  </si>
  <si>
    <t>74065/001</t>
  </si>
  <si>
    <t>PINTURA  ESMALTE  FOSCO  PARA  MADEIRA, DUAS DEMAOS, SOBRE FUNDO NIVELADOR BRANCO</t>
  </si>
  <si>
    <t>2.9.5</t>
  </si>
  <si>
    <t>73924/002</t>
  </si>
  <si>
    <t>PINTURA   ESMALTE   ACETINADO,   DUAS DEMAOS,  SOBRE  SUPERFICIE  METALICA</t>
  </si>
  <si>
    <t>2.9.6</t>
  </si>
  <si>
    <t>APLICACAO MANUAL DE PINTURA COM TINTA TEXTURIZADA   ACRILICA   EM   PAREDES EXTERNAS DE CASAS, UMA COR. AF_06/2014</t>
  </si>
  <si>
    <t>2.9.7</t>
  </si>
  <si>
    <t>APLICACAO MANUAL DE PINTURA COM TINTA LATEX  PVA  EM  PAREDES,  DUAS  DEMAO  S. AF_06/2014</t>
  </si>
  <si>
    <t>2.9.8</t>
  </si>
  <si>
    <t>IMUNIZACAO  DE  MADEIRAMENTO  PARA COBERTURA   UTILIZANDO   CUPINICIDA INCOLO   R</t>
  </si>
  <si>
    <t>2.9.9</t>
  </si>
  <si>
    <t>APLICACAO E LIXAMENTO DE MASSA LATEX EM TETO, UMA DEMAO. AF_06/2014</t>
  </si>
  <si>
    <t xml:space="preserve">APLICACAO MANUAL DE PINTURA COM TINTA LATEX   PVA   EM   TETO,   DUAS   DEMAOS. AF_06/2014 </t>
  </si>
  <si>
    <t>2.10 PAVIMENTACAO</t>
  </si>
  <si>
    <t>2.10.1</t>
  </si>
  <si>
    <t>LAJE  DE  IMPERMEABILIZACAO,  LASTRO  DE CONCRETO  -  PREPARO  MECANICO</t>
  </si>
  <si>
    <t>2.10.2</t>
  </si>
  <si>
    <t>REGULARIZACAO    DE    BASE    PARA REVESTIMENTO DE PISO, COM ARGAMASSA DE  CIMENTO  E  AREIA  NO  TRACO  1:5,  COM ESPESSURA  DE  2CM.</t>
  </si>
  <si>
    <t>2.10.3</t>
  </si>
  <si>
    <t>PISO EM CERAMICA FAB. ELIZABETH, PEI-5, TIPO  A,  OU  SIMILAR,  ASSENTADA  COM ARGAMASSA  COLANTE  E  REJUNTAMENTO INDUSTRIALIZADO</t>
  </si>
  <si>
    <t>2.10.4</t>
  </si>
  <si>
    <t>S77010</t>
  </si>
  <si>
    <t>PISO   EM   GRANILITE,   MARMORITE   OU GRANITINA  ESPESSURA  8MM,  INCLUSO JUNTAS   DE   DILATACAO   PLASTICAS, INCLUSIVE  REGULARIZACAO  E  POLIMENTO</t>
  </si>
  <si>
    <t>2.10.5</t>
  </si>
  <si>
    <t>APLICACAO   DE   RESINA   A   BASE   DE POLIURETANO EM PISO DE GRANILITE/ALTA RESISTENCIA EM TRES DEMAOS..</t>
  </si>
  <si>
    <t>2.10.6</t>
  </si>
  <si>
    <t xml:space="preserve">CALCADA   DE   PROTECAO/CONTORNO   - (LARGURA=   0,60M) </t>
  </si>
  <si>
    <t>2.10.7</t>
  </si>
  <si>
    <t>EXECUCAO DE PASSEIO (CALCADA) OU PISO DE CONCRETO COM CONCRETO MOLDADO IN LOCO,   FEITO   EM   OBRA,   ACABAMENTO CONVENCIONAL,  ESPESSURA  6  CM,  ARMA DO.  AF_07/2016</t>
  </si>
  <si>
    <t>2.10.8</t>
  </si>
  <si>
    <t>EXECUCAO    DE    PASSEIO    EM    PISO INTERTRAVADO, COM BLOCO RETANGULAR COR NAT URAL DE 20 X 10 CM, ESPESSURA 6 CM. AF_12/2015</t>
  </si>
  <si>
    <t>2.10.9</t>
  </si>
  <si>
    <t>RAMPA   EM   CALCADA   DE   PASSEIO   EM CONCRETO   PARA   ACESSIBILIDADE   DE PORTADORES DE NECESSIDADES ESPECIAIS (PNE), EXECUTADA CONCRETO ESTRUTURAL, INCLUSIVE  SINALIZACAO  TATIL  DE  ALERTA (25X25CM)  E  SINALIZACAO  UNIVERSAL  EM TINTA ACRILICA-ESTIRENADA (0,80 X 1,60)M</t>
  </si>
  <si>
    <t>AJARDINAMENTO  COM  0,10M  DE  ATERRO VEGETAL  (GRAMA  EM  PLACA  +  ATERRO VEGETAL) - FORNECIMENTO E PLANTACAO*</t>
  </si>
  <si>
    <t>2.11 INSTALACOES HIDRAULICAS - LOUCAS E METAIS</t>
  </si>
  <si>
    <t>2.11.1</t>
  </si>
  <si>
    <t>(COMPOSICAO   REPRESENTATIVA)   DO SERVICO DE INSTALACAO DE TUBOS DE PVC, SOLDAVEL,   AGUA   FRIA,   DN   40   MM (INSTALADO  EM  PRUMADA),  INCLUSIVE CONEXO  ES,  CORTES  E  FIXACOES,  PARA PREDIOS.  AF_10/2015</t>
  </si>
  <si>
    <t>2.11.2</t>
  </si>
  <si>
    <t>(COMPOSICAO   REPRESENTATIVA)   DO SERVICO  DE  INSTALACAO  TUBOS  DE  PVC, SOL   DAVEL,   AGUA   FRIA,   DN   32   MM (INSTALADO EM RAMAL, SUB-RAMAL, RAMAL DE DI STRIBUICAO OU PRUMADA), INCLUSIVE CONEXOES, CORTES E FIXACOES, PARA PR EDIOS. AF_10/2015</t>
  </si>
  <si>
    <t>2.11.3</t>
  </si>
  <si>
    <t>(COMPOSICAO   REPRESENTATIVA)   DO SERVICO DE INSTALACAO DE TUBOS DE PVC, SOLDAVEL,   AGUA   FRIA,   DN   25   MM (INSTALADO EM RAMAL, SUB-RAMAL, RAMAL DE DISTRIBUICAO OU PRUMADA), INCLUSIVE CONEXOES,  CORTES  E  FIXACOES,  PARA PREDIOS.  AF_10/2015</t>
  </si>
  <si>
    <t>2.11.4</t>
  </si>
  <si>
    <t>PONTO/COLUNA/TUBO  DE  VENTILACAO  DE ESGOTO, COM REDE EM TUBO PVC DE 50MM, INCLUSIVE CONEXOES</t>
  </si>
  <si>
    <t>2.11.5</t>
  </si>
  <si>
    <t>PONTO  DE  CONSUMO  TERMINAL  DE  AGUA FRIA (SUBRAMAL) COM TUBULAO DE PVC , DN 25  MM,  INSTALADO  EM  RAMAL  DE  AGUA, INCLUSOS  RASGO  E  CHUMBAMENTO  E  M ALVENARIA.  AF_12/2014</t>
  </si>
  <si>
    <t>2.11.6</t>
  </si>
  <si>
    <t>TORNEIRA  DE  BOIA  REAL,  ROSCAVEL,  3/4", FORNECIDA E INSTALADA EM RESERV ACAO DE AGUA. AF_06/2016</t>
  </si>
  <si>
    <t>2.11.7</t>
  </si>
  <si>
    <t>CONJUNTO  CAIXA  DAGUA  EM  FIBRA  DE VIDRO  -  INSTALADA,  SEM  ESTRUTURA  DE SUPORTE  CAPACIDADE  DE  10.000  LITROS, INCLUSO   ADAPTADORES,   CONEXOES, TUBOS, REGISTRO DE GAVETA E TORNEIRA DE  BOIA  E  CISTERNA  COM  CAPACIDADE</t>
  </si>
  <si>
    <t>2.11.8</t>
  </si>
  <si>
    <t>VASO  SANITARIO  SIFONADO  COM  CAIXA ACOPLADA LOUCA BRANCA, INCLUSO ENGAT E  FLEXIVEL  EM  PLASTICO  BRANCO,  1/2  X 40CM  -  FORNECIMENTO  E  INSTALACAO  . AF_12/2013</t>
  </si>
  <si>
    <t>2.11.9</t>
  </si>
  <si>
    <t>95472/SIN</t>
  </si>
  <si>
    <t>VASO  SANITARIO  SIFONADO  COM  CAIXA ACOPLADA  PARA  PCD/PORTADORES  DE NECESSIDADES  ESPECIAIS,  SEM  FURO FRONTAL,  EM  LOUCA  BRANCA,  INCLUSO CONJUNTO   DE   LIGACAO   PARA   BACIA SANITARIA AJUSTAVEL E ASSENTO PLASTICO
- FORNECIMENTO E INSTALACAO</t>
  </si>
  <si>
    <t>74234/001</t>
  </si>
  <si>
    <t>MICTORIO  SIFONADO  DE  LOUCA  BRANCA COM PERTENCES, COM REGISTRO DE PRESS AO    1/2"    COM    CANOPLA    CROMADA ACABAMENTO SIMPLES E CONJUNTO PARA FIXACAO - FORNECIMENTO E INSTALACAO</t>
  </si>
  <si>
    <t>LAVATORIO    /CUBA    LOUCA    BRANCA SUSPENSO *40 X 30* CM, VALVULA EM METAL CROMADO  1.1/2""  X  1.1/2",  SIFAO  DO  TIPO FLEXIVEL   EM   PVC   1   X   1.1/2,   ENGATE FLEXIVEL  EM  PLASTICO  BRANCO,  1/2"  X 30CM,  EXCLUSIVE  TORNEIRA</t>
  </si>
  <si>
    <t xml:space="preserve">CUBA/LAVATORIO  DE  CANTO  EM  LOUCA BRANCA    (40    X    30)CM*,    APENAS CUBA/LAVATORIO   -   FORNECIMENTO   E INSTALACAO </t>
  </si>
  <si>
    <t>REGISTRO  DE  GAVETA  BRUTO,  LATAO, ROSCAVEL,  1  1/2,  COM  ACABAMENTO  E  CA NOPLA   CROMADOS,   INSTALADO   EM RESERVACAO DE AGUA DE EDIFICACAO QUE P O S S      U A      R E S E R V A T O R I O      D E FIBRA/FIBROCIMENTO  FORNECIMENTO  E INSTALACAO.  AF_  06/2016</t>
  </si>
  <si>
    <t>REGISTRO  DE  PRESSAO  BRUTO,  LATAO, ROSCAVEL, 3/4", COM ACABAMENTO E CAN OPLA CROMADOS. FORNECIDO E INSTALADO EM RAMAL DE AGUA. AF_12/2014</t>
  </si>
  <si>
    <t xml:space="preserve">TORNEIRA  CROMADA  TUBO  MOVEL,  DE PAREDE, 1/2" OU 3/4", PARA PIA DE COZI NHA, PADRAO   MEDIO   -   FORNECIMENTO   E INSTALACAO.   AF_12/2013 </t>
  </si>
  <si>
    <t>TORNEIRA CROMADA DE MESA, 1/2" OU 3/4", PARA   LAVATORIO,   PADRAO   MEDIO   - FORNECIMENTO E INSTALACAO. AF_12/2013..</t>
  </si>
  <si>
    <t>TORNEIRA  CROMADA  1/2"  OU  3/4"  PARA TANQUE, PADRAO MEDIO - FORNECIMENTO E INSTALACAO. AF_12/2013</t>
  </si>
  <si>
    <t>CABIDE/GANCHO DE BANHEIRO SIMPLES EM METAL CROMADO, INCLUSO FIXACAO</t>
  </si>
  <si>
    <t>CHUVEIRO   PLASTICO   BRANCO   COM CANOPLA - FORNECIMENTO E INSTALACAO</t>
  </si>
  <si>
    <t>SABONETEIRA  PLASTICA  TIPO  DISPENSER PARA  SABONETE  LIQUIDO  COM  RESERVAT ORIO  800  A  1500  ML,  INCLUSO  FIXACAO.</t>
  </si>
  <si>
    <t xml:space="preserve">TOALHEIRO  PLASTICO  TIPO  DISPENSER PARA   PAPEL   TOALHA   INTERFOLHADO, FORNECIMENTO   E   INSTALACAO. </t>
  </si>
  <si>
    <t>DISPENSER  EM  PLASTICO  PARA  PAPEL HIGIENICO  EM  ROLO,  FORNECIMENTO  E INSTALAO</t>
  </si>
  <si>
    <t>RALO  SIFONADO,  PVC,  DN  100  X  40  MM, JUNTA SOLDAVEL, FORNECIDO E INSTAL ADO EM RAMAL DE DESCARGA OU EM RAMAL DE ESGOTO SANITARIO. AF_12/2014</t>
  </si>
  <si>
    <t>LAVANDERIA/TANQUE   EM   RESILINEA SUSPENSO, CAPACIDADE *38* L, *60 X 60CM, COM SIFAO EM PVC DE 1 1/2" E VALVULA EM PVC DE 1 1/2", EXCLUSIVE TORNEIRA</t>
  </si>
  <si>
    <t>BANCADA  DE  MARMORE  SINTETICO  120  X 60CM,  COM  CUBA  INTEGRADA  -  FORNECIM ENTO  E  INSTALACAO.  AF_12/2013</t>
  </si>
  <si>
    <t>ESPELHO CRISTAL, ESPESSURA 4MM, COM PARAFUSOS DE FIXACAO, SEM MOLDURA</t>
  </si>
  <si>
    <t>BANCO   DE   BANHO   ARTICULADO   EM POLIPROPILENO  SUPORTA  ATE  130  KG, MEDIDAS: 30,7CM X 23,5CM, - FORNECIMENTO E INSTALACAO.</t>
  </si>
  <si>
    <t>BANCADA  EM  GRANITO  CINZA  ANDORINHA COM  RESPALDO  DE  0,20M  ,  TESTEIRA  DE 0,08M  E  LARGURA  DE  0,50M.</t>
  </si>
  <si>
    <t>CAIXA     ENTERRADA     HIDRAULICA RETANGULAR EM ALVENARIA COM TIJOLOS CERAMICOS    MACICOS,    DIMENSOES INTERNAS:  0,4X0,4X0,4  M  PARA  REDE  DE</t>
  </si>
  <si>
    <t xml:space="preserve">BEBEDOURO  INDUSTRIAL  (CENTRAL  DE AGUA  GELADA)  EM  CHAPA  ACO  CARBONO GALVANIZADA  COM  CAPACIDADE  DE  200 LITROS,  CONTROLE  DE  TEMPERATURA ENTRE -5C E -15C, CARTUCHO FILTRANTE EM FIBRA  DE  CELULOSE,  APARADOR  COM  04 TORNEIRAS  EM  ACO  INOX  304,  UNIDADE CONDENSADORA COM BAIXO CONSUMO DE ENERGIA E RUIDO E CAPACIDADE DE 1/5 HP E TUBULACAO FRIGORIFICA ESTANHADA PARA GARANTIR   A   QUALIDADE   DA   AGUA   - FORNECIMENTO   E   INSTALACAO </t>
  </si>
  <si>
    <t>2.12 INSTALACOES SANITARIAS</t>
  </si>
  <si>
    <t>2.12.1</t>
  </si>
  <si>
    <t>PONTO   DE   ESGOTO   SANITARIO   COM TUBULACAO DE PVC, INCLUSOS RASGOS E CHUMBAMENTO.</t>
  </si>
  <si>
    <t>2.12.2</t>
  </si>
  <si>
    <t>2.12.3</t>
  </si>
  <si>
    <t>(COMPOSICAO   REPRESENTATIVA)   DO SERVICO DE INST. TUBO PVC, SERIE N, ESG OTO   PREDIAL,   100   MM   (INST.   RAMAL DESCARGA, RAMAL DE ESG. SANIT., PRUMA DA  ESG.  SANIT.,  VENTILACAO  OU  SUB- COLETOR AEREO), INCL. CONEXOES E COR TES, FIXACOES, P/ PREDIOS. AF_10/2015</t>
  </si>
  <si>
    <t>2.12.4</t>
  </si>
  <si>
    <t xml:space="preserve">C                  A                  I                  X                  A INSPECAO/PASSAGEM/GORDURA/DISTRIBUIC AO     (60X60X60)CM,     REVESTIDO INTERNAMENTE   CIMENTO   E   AREIA, </t>
  </si>
  <si>
    <t>2.12.5</t>
  </si>
  <si>
    <t>CAIXA ENTERRADA DE INSPECAO/GORDURA/ PASSAGEM RETANGULAR, 40X40X40CM, EM ALVENARIA  DE  1/2  VEZ  COM  TAMPA  DE CONCRETO  E  CANTONEIRA  NA  CAIXA  E TAMPA  (ESCAVACAO,  CONCRETO  MAGRO, ALVENARIA DE 1/2 VEZ, CHAPISCO, REBOCO, TAMPA E CANTONEIRA)</t>
  </si>
  <si>
    <t>2.12.6</t>
  </si>
  <si>
    <t>CAIXA  DE  PASSAGEM/INSPECAO/GORDURA EM  ALVENARIA  DE  1/2  VEZ  50X50X50CM, REVESTIDA  INTERNAMENTE  COM  BARRA LISA, COM E=2CM, EM TAMPA PREMOLDADA EM CONCRETO E FUNDO EM CONCRETO.</t>
  </si>
  <si>
    <t>2.12.7</t>
  </si>
  <si>
    <t>FOSSA   SEPTICA   COM   SUMIDOURO   E CAPACIDADE PARA 100 PESSOAS, INCLUSIVE ESCAVACAO</t>
  </si>
  <si>
    <t>2.13 INSTALACOES ELETRICAS, TELEFONICAS E MECANICAS</t>
  </si>
  <si>
    <t>2.13.1</t>
  </si>
  <si>
    <t>LUMINARIA ABERTA P/ ILUMINACAO PUBLICA, TIPO  X-57  PETERCO  ,INCLUSO  BRACO  DE TEMPO  E  LAMPADA  -  BASE  E-27</t>
  </si>
  <si>
    <t>2.13.2</t>
  </si>
  <si>
    <t>2.13.3</t>
  </si>
  <si>
    <t>2.13.4</t>
  </si>
  <si>
    <t xml:space="preserve">INTERRUPTOR  PULSADOR  DE  CAMPAINHA OU   MINUTERIA   2A/250V   C/   CAIXA   - FORNECIMENTO   E   INSTALACAO </t>
  </si>
  <si>
    <t>2.13.5</t>
  </si>
  <si>
    <t>74130/001</t>
  </si>
  <si>
    <t>DISJUNTOR TERMOMAGNETICO MONOPOLAR PADRAO NEMA (AMERICANO) 10 A 30A 24 0V, FORNECIMENTO E INSTALACAO</t>
  </si>
  <si>
    <t>2.13.6</t>
  </si>
  <si>
    <t>INTERRUPTOR   SIMPLES   (1   MODULO), 10A/250V,  INCLUINDO  SUPORTE  E  PLACA  - FORNECIMENTO E INSTALACAO. AF_12/2015</t>
  </si>
  <si>
    <t>2.13.7</t>
  </si>
  <si>
    <t>INTERRUPTOR   SIMPLES   (2   MODULOS), 10A/250V,  INCLUINDO  SUPORTE  E  PLACA  - FORNECIMENTO E INSTALACAO. AF_12/2015</t>
  </si>
  <si>
    <t>2.13.8</t>
  </si>
  <si>
    <t>LUMINARIA TIPO CALHA, DE SOBREPOR, COM 2 LAMPADAS TUBULARES DE 36 W -</t>
  </si>
  <si>
    <t>2.13.9</t>
  </si>
  <si>
    <t>LUMINARIA TIPO CALHA, DE SOBREPOR, COM 2 LAMPADAS TUBULARES DE 18 W -</t>
  </si>
  <si>
    <t>LUMINARIA  EMERGENCIA  LIGHTEX  LXH-268 2X8W,  FORNECIMENTO  E  INSTALACAO.</t>
  </si>
  <si>
    <t xml:space="preserve">DISJUNTOR TRIPOLAR TIPO DIN, CORRENTE NOMINAL   DE   70A   -   FORNECIMENTO   E INSTALACAO* </t>
  </si>
  <si>
    <t>PONTO   DE   ILUMINACAO   RESIDENCIAL INCLUINDO  INTERRUPTOR  SIMPLES,  CAIXA ELETRICA,  ELETRODUTO,  CABO,  RASGO, QUEBRA  E  CHUMBAMENTO  (EXCLUINDO LUMINARIA  E  LAMPADA).  AF_01/2016</t>
  </si>
  <si>
    <t>PONTO DE TOMADA RESIDENCIAL INCLUINDO TOMADA   10A/250V,   CAIXA   ELETRICA, ELETRODUTO,  CABO,  RASGO,  QUEBRA  E CHUMBAMENTO.  AF_01/2016</t>
  </si>
  <si>
    <t>PONTO DE TOMADA RESIDENCIAL INCLUINDO TOMADA   20A/250V,   CAIXA   ELETRICA, ELETRODUTO,  CABO,  RASGO,  QUEBRA  E CHUMBAMENTO.  AF_01/2016</t>
  </si>
  <si>
    <t xml:space="preserve">PONTO DE TOMADA TRIFASICA PARA SPLIT (CAIXA,     ELETRODUTO,     FIOS     E TOMADA),INCLUVIVE   ATERRAMENTO </t>
  </si>
  <si>
    <t>PONTO DE UTILIZACAO DE EQUIPAMENTOS ELETRICOS,   RESIDENCIAL,   INCLUINDO SUPORTE   E   PLACA,   CAIXA   ELETRICA, ELETRODUTO, CABO, RASGO, QUEBRA E CHU MBAMENTO. AF_01/2016</t>
  </si>
  <si>
    <t>74131/005</t>
  </si>
  <si>
    <t>QUADRO DE DISTRIBUICAO DE ENERGIA DE EMBUTIR,  EM  CHAPA  METALICA,  PARA  24 DISJUNTORES    TERMOMAGNETICOS MONOPOLARES,   COM   BARRAMENTO TRIFASICO  E  NEUTRO,  FORNECIMENTO  E INSTALACAO</t>
  </si>
  <si>
    <t>QUADRO DE DISTRIBUICAO DE ENERGIA EM CHAPA  DE  ACO  GALVANIZADO,  PARA  12 DISJUNTORES    TERMOMAGNETICOS MONOPOLARES,   COM   BARRAMENTO TRIFASICO  E  N  EUTRO  -  FORNECIMENTO  E INSTALACAO</t>
  </si>
  <si>
    <t>S80384</t>
  </si>
  <si>
    <t>REDE ELETRICA DE DISTRIBUICAO TRIFASICA COM  04(03FASES+01NEUTRO)CABOS  DE COBRE ISOLODADOS DE 2,5MM ANTI-CHAMA 0,6/1,0 KV COM ELETROCUDTO 3/4".</t>
  </si>
  <si>
    <t>P O N T O       D E       T O M A D A       P A R A TELEFONE(TOMADA,  CAIXA  ELETRODUTO, CONEXOES  E  FIOS)</t>
  </si>
  <si>
    <t xml:space="preserve">P O N T O       P A R A       C A B E A M E N T O ESTRUTURADO,COMPOSTO     DE: ELETRODUTO CONDULETE PVC RIGIDO 3/4", TOMADAS FEMEAS, TIPO JACK RJ-45, 08M DE CABO  LOGICO  UTP  4  PARES-CATEGORIA  6, SENDO   PARA   DADOS   E   VOZ   (QUANDO </t>
  </si>
  <si>
    <t>BOMBA  SUBMERSA  L-660  220V  -  5A  3/4  290 WATTS POCO 6 PUMP ECO - FORNECIMENTO E INSTALACAO..</t>
  </si>
  <si>
    <t>S73817</t>
  </si>
  <si>
    <t>ENTRADA  DE  ENERGIA  TRIFASICA  PARA RAMAL DE ALIMENTACAO COM 04 CABOS DE 10MM2  ISOLACAO  DE  1,0KV,  EM  POSTE  DE CONCRETO     ARMADO     DT-150/07, COMPLETA(ARRUELAS, CABECOTE, BUCHAS, QUADRO  DE  MEDICAO,  DISJUNTOR  GERAL, ELETRODUTOS, CABOS, TERMINAIS, CAIXAS DE ALVENARIA E MALHA DE ATERRAMENTO)</t>
  </si>
  <si>
    <t>2.14 ELEMENTOS DECORATIVOS - MOBILIARIO</t>
  </si>
  <si>
    <t>2.14.1</t>
  </si>
  <si>
    <t>SINCO/262</t>
  </si>
  <si>
    <t xml:space="preserve">ABERTURA   DE   LETREIROS   COM   TINTA ACRILICA- </t>
  </si>
  <si>
    <t>2.14.2</t>
  </si>
  <si>
    <t>LOGOTIPO DO GOVERNO DO ESTADO.</t>
  </si>
  <si>
    <t>2.14.3</t>
  </si>
  <si>
    <t xml:space="preserve">PLACA DE INAUGURACAO, EM BRONZE (60 X 40)CM     COM     INSCRICOES     E     AS CARACTERISTICAS  DA  LOGOMARCA  DO GOVERNO   DO   ESTADO   VAZADAS   E PINTADAS,   INSTALADA </t>
  </si>
  <si>
    <t>2.14.4</t>
  </si>
  <si>
    <t>MASTRO  METALICO  COM  TUBO  DE  FERRO GALVANIZADO  DE  3  ",  COM  ALTURA  DE 6,000M, FIXADO EM BLOCO DE CONCRETO DE
0,30MX0,30MX0,50M</t>
  </si>
  <si>
    <t>2.14.5</t>
  </si>
  <si>
    <t xml:space="preserve">MASTRO  METALICO  COM  TUBO  DE  FERRO GALVANIZADO DE 3 ", COM ALTURA DE 5,50M, FIXADO   EM   BLOCO   DE   CONCRETO   DE 0,30MX0,30MX0,50M </t>
  </si>
  <si>
    <t>2.14.6</t>
  </si>
  <si>
    <t xml:space="preserve">QUADRO   ESCOLAR   (3,20X1,20)M   EM LAMINADO   BRANCO   BRILHANTE   COM MOLDURA   DE   ALUMINIO </t>
  </si>
  <si>
    <t>2.14.7</t>
  </si>
  <si>
    <t>73775/002</t>
  </si>
  <si>
    <t>EXTINTOR INCENDIO AGUA-PRESSURIZADA 10L   INCL   SUPORTE   PAREDE   CARGA COMPLETA FORNECIMENTO E COLOCACAO</t>
  </si>
  <si>
    <t>2.14.8</t>
  </si>
  <si>
    <t>LOGOTIPO DE PREFEITURA MUNICIPAL (PARA ESCOLAS RURAIS DE 04 E 06 SALAS)</t>
  </si>
  <si>
    <t>2.14.9</t>
  </si>
  <si>
    <t>PORTAO  EM  GRADIL  DE  FERRO  COM  2 BARRAS CHATAS HORIZONTAIS DE 1 1/2"X 1 1/4", BARRAS VERTICAIS DE 1"X 1 1/4" E COM CHAPA 14 A CADA 2,00M, INCLUSIVE PINTURA ESMALTE - FORNECIMENTO E INSTALACAO</t>
  </si>
  <si>
    <t>14/02/2010</t>
  </si>
  <si>
    <t>73775/001</t>
  </si>
  <si>
    <t>EXTINTOR  INCENDIO  TP  PO  QUIMICO  4KG FORNECIMENTO  E  COLOCACAO</t>
  </si>
  <si>
    <t>2.15 LIMPEZA E ENTREGA DA OBRA</t>
  </si>
  <si>
    <t>2.15.1</t>
  </si>
  <si>
    <t>LIMPEZA FINAL DA OBRA</t>
  </si>
  <si>
    <t>2.15.2</t>
  </si>
  <si>
    <t>S77026</t>
  </si>
  <si>
    <t xml:space="preserve">BOTA-FORA (CARGA MANUAL, TRANSPORTE E   DESCARGA   MECANICA,   CAMINHAO BASCULANTE   DE   10M3)   ATE   5,00KM </t>
  </si>
  <si>
    <t>3 ETAPA 03: RECREIO COBERTO</t>
  </si>
  <si>
    <t>3.1 SERVICOS PRELIMINARES</t>
  </si>
  <si>
    <t>3.1.1</t>
  </si>
  <si>
    <t>3.2 MOVIMENTO DE TERRA</t>
  </si>
  <si>
    <t>3.2.1</t>
  </si>
  <si>
    <t>3.2.2</t>
  </si>
  <si>
    <t>3.3 FUNDACAO</t>
  </si>
  <si>
    <t>3.3.1</t>
  </si>
  <si>
    <t>3.3.2</t>
  </si>
  <si>
    <t>3.3.3</t>
  </si>
  <si>
    <t>3.4 ESTRUTURA - CONCRETO</t>
  </si>
  <si>
    <t>3.4.1</t>
  </si>
  <si>
    <t>3.5 ALVENARIA</t>
  </si>
  <si>
    <t>3.5.1</t>
  </si>
  <si>
    <t>3.6 COBERTA</t>
  </si>
  <si>
    <t>3.6.1</t>
  </si>
  <si>
    <t xml:space="preserve">FABRICACAO E INSTALACAO DE ESTRUTURA PONTALETADA  DE  MADEIRA  NAO  APAREL HADA PARA TELHADOS COM ATE 2 AGUAS E PARA TELHA CERAMICA OU DE CONCRET O, INCLUSO    TRANSPORTE    VERTICAL. </t>
  </si>
  <si>
    <t>3.6.2</t>
  </si>
  <si>
    <t>INSTALACAO  DE  TESOURA  (INTEIRA  OU MEIA),  BIAPOIADA,  EM  MADEIRA  NAO  APA RELHADA, PARA VAOS MAIORES OU IGUAIS A 6,0  M  E  MENORES  QUE  8,0  M,  INCL  USO ICAMENTO.  AF_12/2015</t>
  </si>
  <si>
    <t>3.6.3</t>
  </si>
  <si>
    <t>3.6.4</t>
  </si>
  <si>
    <t>3.7 REVESTIMENTO</t>
  </si>
  <si>
    <t>3.7.1</t>
  </si>
  <si>
    <t>3.7.2</t>
  </si>
  <si>
    <t>3.7.3</t>
  </si>
  <si>
    <t>3.7.4</t>
  </si>
  <si>
    <t>3.8 PISOS</t>
  </si>
  <si>
    <t>3.8.1</t>
  </si>
  <si>
    <t>3.8.2</t>
  </si>
  <si>
    <t>3.8.3</t>
  </si>
  <si>
    <t>3.9 INSTALACAO ELETRICA</t>
  </si>
  <si>
    <t>3.9.1</t>
  </si>
  <si>
    <t>3.9.2</t>
  </si>
  <si>
    <t>3.9.3</t>
  </si>
  <si>
    <t>REFLETOR 100W LED SLIM SUPER BRANCO BIVOLT,  COR  LUZ:  BRANCO  FRIO  6000K, LUMINOSIDADE:  9500  LUMES,  CARCACA: ALUMINIO  COR  CINZA  OU  PRETA,  ANGULO: 180, VOLTAGEM: AC 80-240V (BI-VOLT) COR LUZ: BRANCO FRIO</t>
  </si>
  <si>
    <t>3.9.4</t>
  </si>
  <si>
    <t>CAIXA RETANGULAR 4" X 4" MEDIA (1,30 M DO PISO),  PVC,  INSTALADA  EM  PAR  EDE  - FORNECIMENTO E INSTALACAO. AF_12/2015</t>
  </si>
  <si>
    <t>3.9.5</t>
  </si>
  <si>
    <t>CABO  DE  COBRE  FLEXIVEL  ISOLADO,  2,5 MM2,   ANTI-CHAMA   0,6/1,0   KV,   PARA   C IRCUITOS  TERMINAIS  -  FORNECIMENTO  E INSTALACAO.  AF_12/2015</t>
  </si>
  <si>
    <t>1.1</t>
  </si>
  <si>
    <t>2.1</t>
  </si>
  <si>
    <t>2.2</t>
  </si>
  <si>
    <t>2.3</t>
  </si>
  <si>
    <t>ESTADO DA PARAÍBA</t>
  </si>
  <si>
    <t>BDI =</t>
  </si>
  <si>
    <t>BOLETIM DE MEDIÇÃO - BM-01</t>
  </si>
  <si>
    <t>QUANTIDADES</t>
  </si>
  <si>
    <t>VALOR UNIT COM BDI</t>
  </si>
  <si>
    <t>VALORES TOTAIS</t>
  </si>
  <si>
    <t>LICITADA</t>
  </si>
  <si>
    <t>ACUMULADA ATÉ O PERÍODO</t>
  </si>
  <si>
    <t>MEDIDA NO PERÍODO</t>
  </si>
  <si>
    <t>ACUMULADA INCLUINDO O PERÍODO</t>
  </si>
  <si>
    <t>LICITADO</t>
  </si>
  <si>
    <t>ACUMULADO ATÉ O PERÍODO</t>
  </si>
  <si>
    <t>MEDIDO NO PERÍODO</t>
  </si>
  <si>
    <t>ACUMULADO INCLUINDO O PERÍODO</t>
  </si>
  <si>
    <t>PREFEITURA MUNICIPAL DE COREMAS</t>
  </si>
  <si>
    <t>VALOR DESTA MEDIÇÃO:</t>
  </si>
  <si>
    <t>VALORES TOTAIS:</t>
  </si>
  <si>
    <t>CONTRATO Nº 10004/2023</t>
  </si>
  <si>
    <t>OBRA: CONSTRUÇÃO DE UMA UNIDADE ESCOLAR DE 06 (SEIS) SALAS DE AULA PARA O MUNICÍPIO DE COREMAS-PB</t>
  </si>
  <si>
    <t>UNID</t>
  </si>
  <si>
    <t>MEMORIAL DE CÁLCULOS</t>
  </si>
  <si>
    <t>DADOS</t>
  </si>
  <si>
    <t>Descontos</t>
  </si>
  <si>
    <t>RESULTADO</t>
  </si>
  <si>
    <t>UN.</t>
  </si>
  <si>
    <t>Quantid.</t>
  </si>
  <si>
    <t>Comprim. (m)</t>
  </si>
  <si>
    <t>Largura (m)</t>
  </si>
  <si>
    <t>Altura (m)</t>
  </si>
  <si>
    <t>Descrição</t>
  </si>
  <si>
    <t>Valor</t>
  </si>
  <si>
    <t>PARCIAL</t>
  </si>
  <si>
    <t>GERAL</t>
  </si>
  <si>
    <t>ETAPA 01: GERAL</t>
  </si>
  <si>
    <t>ADMINISTRAÇÃO LOCAL</t>
  </si>
  <si>
    <t>Proporcional ao valor da medição</t>
  </si>
  <si>
    <t>ETAPA 02: CONSTRUÇÃO DA ESCOLA</t>
  </si>
  <si>
    <t>SERVIÇOS PRELIMINARES</t>
  </si>
  <si>
    <t>Placa da obra</t>
  </si>
  <si>
    <t>Área de limpeza</t>
  </si>
  <si>
    <t>Reservatório provisório construído</t>
  </si>
  <si>
    <t>MOVIMENTO DE TERRA</t>
  </si>
  <si>
    <t>Escavações para alvenaria de pedra (Item 2.3.1)</t>
  </si>
  <si>
    <t>Escavações de sapatas = Dimensões mais folga x profundidade média
(medido cerca de 40% do total devido ao quantitativo insuficiente na planilha):</t>
  </si>
  <si>
    <t>S41=S48=S50=S66=S73</t>
  </si>
  <si>
    <t>S28=S37=S40</t>
  </si>
  <si>
    <t>S1=S4=S6=S8=S10=S52</t>
  </si>
  <si>
    <t>S13</t>
  </si>
  <si>
    <t>S31=S33=S35</t>
  </si>
  <si>
    <t>S32=S34=S36=S38=S43</t>
  </si>
  <si>
    <t>S30</t>
  </si>
  <si>
    <t>S47</t>
  </si>
  <si>
    <t>S49</t>
  </si>
  <si>
    <t>S2=S12</t>
  </si>
  <si>
    <t>S58=S59</t>
  </si>
  <si>
    <t>S27=S53</t>
  </si>
  <si>
    <t>S3=S5=S7</t>
  </si>
  <si>
    <t>S39</t>
  </si>
  <si>
    <t>S51</t>
  </si>
  <si>
    <t>S42</t>
  </si>
  <si>
    <t>S9=S11=S60</t>
  </si>
  <si>
    <t>S55=S67</t>
  </si>
  <si>
    <t>S29</t>
  </si>
  <si>
    <t>S45</t>
  </si>
  <si>
    <t>S14=S20=S46=S63=S64</t>
  </si>
  <si>
    <t>S70</t>
  </si>
  <si>
    <t>S21=S54=S57=S71=S72</t>
  </si>
  <si>
    <t>S61=S68</t>
  </si>
  <si>
    <t>S44</t>
  </si>
  <si>
    <t>S65</t>
  </si>
  <si>
    <t>S25=S62</t>
  </si>
  <si>
    <t>S23=S24</t>
  </si>
  <si>
    <t>S22=S69</t>
  </si>
  <si>
    <t>S26=S56</t>
  </si>
  <si>
    <t>S16</t>
  </si>
  <si>
    <t>S18</t>
  </si>
  <si>
    <t>S17</t>
  </si>
  <si>
    <t>S19</t>
  </si>
  <si>
    <t>S15</t>
  </si>
  <si>
    <t>Igual ao volume de alvenaria de pedra mais escavações das sapatas menos volume de concreto das sapatas=
(Item 2.2.1 menos 2.3.4)</t>
  </si>
  <si>
    <t>INFRAESTRUTURA</t>
  </si>
  <si>
    <t>Embasamento paredes do corredor central (8,60+38,90)*(0,45*0,60)</t>
  </si>
  <si>
    <t>Projeto estrutural das sapatas</t>
  </si>
  <si>
    <t>Projeto estrutural das vigas baldrames (12,40 m³), sendo medido 12,33 m³ disponível na planilha</t>
  </si>
  <si>
    <t>2.13.10</t>
  </si>
  <si>
    <t>2.13.11</t>
  </si>
  <si>
    <t>2.13.12</t>
  </si>
  <si>
    <t>2.13.13</t>
  </si>
  <si>
    <t>2.13.14</t>
  </si>
  <si>
    <t>2.13.15</t>
  </si>
  <si>
    <t>2.13.16</t>
  </si>
  <si>
    <t>2.13.17</t>
  </si>
  <si>
    <t>2.13.18</t>
  </si>
  <si>
    <t>2.13.19</t>
  </si>
  <si>
    <t>2.13.20</t>
  </si>
  <si>
    <t>2.13.21</t>
  </si>
  <si>
    <t>2.13.22</t>
  </si>
  <si>
    <t>2.13.23</t>
  </si>
  <si>
    <t>Área da construção com offset de 0,50m (Auxílio CAD)</t>
  </si>
  <si>
    <t>Volume calculado abaixo, sendo medido apenas o quantitativo existente na planilha</t>
  </si>
  <si>
    <t>Área construída da edificação 475,00 m² multiplicado pela média de 1,10 m de altura (fundos esq. 1,40 m, fundos direito 1,70 m, lateral direita centro 1,45m, frente direito 0,85 m, frente esquerdo 0,70 m e lateral esquerda centro 0,50m) = 522,50 m³</t>
  </si>
  <si>
    <t>Comprimento das paredes x altura média com relação ao terreno natural:
(12,40/(0,19*0,19))*(1,10-0,19)</t>
  </si>
  <si>
    <t>Escavações alvenaria de pedra (Perímetro das vigas baldrames x Larg. x Altura):
(Volume/Seção) x (Larg. x Altura)=
(12,40/(0,19*0,19))*(0,45*0,60)</t>
  </si>
  <si>
    <t>Quantitativo calculado abaixo, sendo medido apenas o quantitativo existente na planilha</t>
  </si>
  <si>
    <t>Reaterro</t>
  </si>
  <si>
    <t>IMPORTA A PRESENTE MEDIÇÃO O VALOR DE R$ 129.615,41 (CENTO E VINTE E NOVE MIL, SEISCENTOS E QUINZE REAIS E QUARENTA E UM CENTAVOS)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</si>
</sst>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00000000"/>
    <numFmt numFmtId="166" formatCode="m\.d\.yy;@"/>
    <numFmt numFmtId="168" formatCode="_(* #,##0.00_);_(* \(#,##0.00\);_(* \-??_);_(@_)"/>
    <numFmt numFmtId="169" formatCode="#,##0.0000000000"/>
  </numFmts>
  <fonts count="21" x14ac:knownFonts="1"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charset val="204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8" fillId="0" borderId="0"/>
    <xf numFmtId="168" fontId="7" fillId="0" borderId="0" applyFill="0" applyBorder="0" applyAlignment="0" applyProtection="0"/>
    <xf numFmtId="44" fontId="7" fillId="0" borderId="0" applyFill="0" applyBorder="0" applyAlignment="0" applyProtection="0"/>
    <xf numFmtId="0" fontId="1" fillId="0" borderId="0"/>
    <xf numFmtId="0" fontId="1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0" xfId="2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2" fontId="4" fillId="0" borderId="2" xfId="0" applyNumberFormat="1" applyFont="1" applyBorder="1" applyAlignment="1">
      <alignment horizontal="center" vertical="center" wrapText="1"/>
    </xf>
    <xf numFmtId="164" fontId="4" fillId="0" borderId="2" xfId="1" applyNumberFormat="1" applyFont="1" applyFill="1" applyBorder="1" applyAlignment="1">
      <alignment horizontal="center" vertical="center" shrinkToFit="1"/>
    </xf>
    <xf numFmtId="43" fontId="4" fillId="0" borderId="0" xfId="1" applyFont="1" applyFill="1" applyBorder="1" applyAlignment="1">
      <alignment vertical="center" shrinkToFit="1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2" fontId="5" fillId="0" borderId="2" xfId="1" applyNumberFormat="1" applyFont="1" applyFill="1" applyBorder="1" applyAlignment="1">
      <alignment horizontal="center" vertical="center" shrinkToFit="1"/>
    </xf>
    <xf numFmtId="164" fontId="5" fillId="0" borderId="2" xfId="1" applyNumberFormat="1" applyFont="1" applyFill="1" applyBorder="1" applyAlignment="1">
      <alignment horizontal="center" vertical="center" shrinkToFit="1"/>
    </xf>
    <xf numFmtId="165" fontId="5" fillId="0" borderId="2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left" vertical="center" wrapText="1"/>
    </xf>
    <xf numFmtId="166" fontId="5" fillId="0" borderId="2" xfId="0" applyNumberFormat="1" applyFont="1" applyBorder="1" applyAlignment="1">
      <alignment horizontal="center" vertical="center" shrinkToFit="1"/>
    </xf>
    <xf numFmtId="43" fontId="5" fillId="0" borderId="0" xfId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2" fontId="5" fillId="0" borderId="0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10" fillId="0" borderId="0" xfId="0" applyFont="1" applyAlignment="1">
      <alignment vertical="center" wrapText="1"/>
    </xf>
    <xf numFmtId="44" fontId="11" fillId="0" borderId="0" xfId="6" applyFont="1" applyFill="1" applyBorder="1" applyAlignment="1">
      <alignment horizontal="center" vertical="center" wrapText="1"/>
    </xf>
    <xf numFmtId="44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0" fontId="5" fillId="0" borderId="10" xfId="0" applyFont="1" applyBorder="1" applyAlignment="1">
      <alignment vertical="center"/>
    </xf>
    <xf numFmtId="44" fontId="10" fillId="0" borderId="0" xfId="0" applyNumberFormat="1" applyFont="1" applyAlignment="1">
      <alignment vertical="center"/>
    </xf>
    <xf numFmtId="0" fontId="4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vertical="center" wrapText="1"/>
    </xf>
    <xf numFmtId="44" fontId="11" fillId="0" borderId="12" xfId="6" applyFont="1" applyFill="1" applyBorder="1" applyAlignment="1">
      <alignment horizontal="center" vertical="center" wrapText="1"/>
    </xf>
    <xf numFmtId="44" fontId="10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0" fontId="11" fillId="0" borderId="12" xfId="0" applyNumberFormat="1" applyFont="1" applyBorder="1" applyAlignment="1">
      <alignment horizontal="center" vertical="center"/>
    </xf>
    <xf numFmtId="10" fontId="11" fillId="0" borderId="13" xfId="0" applyNumberFormat="1" applyFont="1" applyBorder="1" applyAlignment="1">
      <alignment horizontal="center" vertical="center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center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4" fillId="2" borderId="1" xfId="7" applyNumberFormat="1" applyFont="1" applyFill="1" applyBorder="1" applyAlignment="1">
      <alignment horizontal="center" vertical="center"/>
    </xf>
    <xf numFmtId="2" fontId="4" fillId="2" borderId="1" xfId="7" applyNumberFormat="1" applyFont="1" applyFill="1" applyBorder="1" applyAlignment="1">
      <alignment horizontal="center" vertical="center"/>
    </xf>
    <xf numFmtId="2" fontId="4" fillId="2" borderId="1" xfId="7" applyNumberFormat="1" applyFont="1" applyFill="1" applyBorder="1" applyAlignment="1">
      <alignment horizontal="center" vertical="center" wrapText="1"/>
    </xf>
    <xf numFmtId="164" fontId="4" fillId="2" borderId="1" xfId="7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0" borderId="3" xfId="7" applyFont="1" applyBorder="1" applyAlignment="1">
      <alignment horizontal="right" vertical="center"/>
    </xf>
    <xf numFmtId="0" fontId="4" fillId="0" borderId="4" xfId="7" applyFont="1" applyBorder="1" applyAlignment="1">
      <alignment horizontal="right" vertical="center"/>
    </xf>
    <xf numFmtId="0" fontId="4" fillId="0" borderId="5" xfId="7" applyFont="1" applyBorder="1" applyAlignment="1">
      <alignment horizontal="right" vertical="center"/>
    </xf>
    <xf numFmtId="164" fontId="4" fillId="0" borderId="3" xfId="7" applyNumberFormat="1" applyFont="1" applyBorder="1" applyAlignment="1">
      <alignment horizontal="center" vertical="center"/>
    </xf>
    <xf numFmtId="164" fontId="4" fillId="0" borderId="4" xfId="7" applyNumberFormat="1" applyFont="1" applyBorder="1" applyAlignment="1">
      <alignment horizontal="center" vertical="center"/>
    </xf>
    <xf numFmtId="164" fontId="4" fillId="0" borderId="5" xfId="7" applyNumberFormat="1" applyFont="1" applyBorder="1" applyAlignment="1">
      <alignment horizontal="center" vertical="center"/>
    </xf>
    <xf numFmtId="0" fontId="4" fillId="0" borderId="3" xfId="7" applyFont="1" applyBorder="1" applyAlignment="1">
      <alignment horizontal="center" vertical="center"/>
    </xf>
    <xf numFmtId="0" fontId="4" fillId="0" borderId="4" xfId="7" applyFont="1" applyBorder="1" applyAlignment="1">
      <alignment horizontal="center" vertical="center"/>
    </xf>
    <xf numFmtId="0" fontId="4" fillId="0" borderId="5" xfId="7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10" fontId="11" fillId="0" borderId="0" xfId="0" applyNumberFormat="1" applyFont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164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" fontId="6" fillId="0" borderId="0" xfId="0" applyNumberFormat="1" applyFont="1" applyBorder="1" applyAlignment="1">
      <alignment horizontal="left" vertical="center" wrapText="1"/>
    </xf>
    <xf numFmtId="2" fontId="4" fillId="2" borderId="15" xfId="7" applyNumberFormat="1" applyFont="1" applyFill="1" applyBorder="1" applyAlignment="1">
      <alignment horizontal="center" vertical="center"/>
    </xf>
    <xf numFmtId="2" fontId="4" fillId="2" borderId="16" xfId="7" applyNumberFormat="1" applyFont="1" applyFill="1" applyBorder="1" applyAlignment="1">
      <alignment horizontal="center" vertical="center"/>
    </xf>
    <xf numFmtId="2" fontId="4" fillId="2" borderId="17" xfId="7" applyNumberFormat="1" applyFont="1" applyFill="1" applyBorder="1" applyAlignment="1">
      <alignment horizontal="center" vertical="center"/>
    </xf>
    <xf numFmtId="2" fontId="13" fillId="0" borderId="6" xfId="8" applyNumberFormat="1" applyFont="1" applyBorder="1" applyAlignment="1">
      <alignment horizontal="center" vertical="center"/>
    </xf>
    <xf numFmtId="0" fontId="13" fillId="0" borderId="7" xfId="8" applyFont="1" applyBorder="1" applyAlignment="1">
      <alignment horizontal="center" vertical="center"/>
    </xf>
    <xf numFmtId="0" fontId="13" fillId="0" borderId="8" xfId="8" applyFont="1" applyBorder="1" applyAlignment="1">
      <alignment horizontal="center" vertical="center"/>
    </xf>
    <xf numFmtId="0" fontId="1" fillId="0" borderId="0" xfId="8"/>
    <xf numFmtId="2" fontId="14" fillId="0" borderId="6" xfId="8" applyNumberFormat="1" applyFont="1" applyBorder="1" applyAlignment="1">
      <alignment horizontal="center" vertical="center"/>
    </xf>
    <xf numFmtId="0" fontId="14" fillId="0" borderId="7" xfId="8" applyFont="1" applyBorder="1" applyAlignment="1">
      <alignment horizontal="center" vertical="center"/>
    </xf>
    <xf numFmtId="0" fontId="14" fillId="0" borderId="8" xfId="8" applyFont="1" applyBorder="1" applyAlignment="1">
      <alignment horizontal="center" vertical="center"/>
    </xf>
    <xf numFmtId="2" fontId="14" fillId="0" borderId="9" xfId="8" applyNumberFormat="1" applyFont="1" applyBorder="1" applyAlignment="1">
      <alignment horizontal="center" vertical="center"/>
    </xf>
    <xf numFmtId="0" fontId="14" fillId="0" borderId="0" xfId="8" applyFont="1" applyAlignment="1">
      <alignment horizontal="center" vertical="center"/>
    </xf>
    <xf numFmtId="0" fontId="14" fillId="0" borderId="10" xfId="8" applyFont="1" applyBorder="1" applyAlignment="1">
      <alignment horizontal="center" vertical="center"/>
    </xf>
    <xf numFmtId="2" fontId="15" fillId="0" borderId="9" xfId="8" applyNumberFormat="1" applyFont="1" applyBorder="1" applyAlignment="1">
      <alignment horizontal="left" vertical="center"/>
    </xf>
    <xf numFmtId="0" fontId="15" fillId="0" borderId="0" xfId="8" applyFont="1" applyAlignment="1">
      <alignment horizontal="left" vertical="center"/>
    </xf>
    <xf numFmtId="0" fontId="15" fillId="0" borderId="10" xfId="8" applyFont="1" applyBorder="1" applyAlignment="1">
      <alignment horizontal="left" vertical="center"/>
    </xf>
    <xf numFmtId="2" fontId="15" fillId="0" borderId="11" xfId="8" applyNumberFormat="1" applyFont="1" applyBorder="1" applyAlignment="1">
      <alignment horizontal="left" vertical="center"/>
    </xf>
    <xf numFmtId="0" fontId="15" fillId="0" borderId="12" xfId="8" applyFont="1" applyBorder="1" applyAlignment="1">
      <alignment horizontal="left" vertical="center"/>
    </xf>
    <xf numFmtId="0" fontId="15" fillId="0" borderId="13" xfId="8" applyFont="1" applyBorder="1" applyAlignment="1">
      <alignment horizontal="left" vertical="center"/>
    </xf>
    <xf numFmtId="0" fontId="16" fillId="3" borderId="1" xfId="8" applyFont="1" applyFill="1" applyBorder="1" applyAlignment="1">
      <alignment horizontal="center" vertical="center"/>
    </xf>
    <xf numFmtId="0" fontId="15" fillId="4" borderId="1" xfId="8" applyFont="1" applyFill="1" applyBorder="1" applyAlignment="1">
      <alignment horizontal="center" vertical="center"/>
    </xf>
    <xf numFmtId="0" fontId="15" fillId="4" borderId="1" xfId="8" applyFont="1" applyFill="1" applyBorder="1" applyAlignment="1">
      <alignment horizontal="center" vertical="center" wrapText="1"/>
    </xf>
    <xf numFmtId="49" fontId="15" fillId="4" borderId="1" xfId="8" applyNumberFormat="1" applyFont="1" applyFill="1" applyBorder="1" applyAlignment="1">
      <alignment horizontal="center" vertical="center" wrapText="1"/>
    </xf>
    <xf numFmtId="0" fontId="15" fillId="4" borderId="1" xfId="8" applyFont="1" applyFill="1" applyBorder="1" applyAlignment="1">
      <alignment horizontal="center" vertical="center" wrapText="1"/>
    </xf>
    <xf numFmtId="4" fontId="15" fillId="4" borderId="1" xfId="8" applyNumberFormat="1" applyFont="1" applyFill="1" applyBorder="1" applyAlignment="1">
      <alignment horizontal="center" vertical="center" wrapText="1"/>
    </xf>
    <xf numFmtId="0" fontId="2" fillId="2" borderId="15" xfId="8" applyFont="1" applyFill="1" applyBorder="1" applyAlignment="1">
      <alignment horizontal="center" vertical="center"/>
    </xf>
    <xf numFmtId="0" fontId="2" fillId="2" borderId="15" xfId="8" applyFont="1" applyFill="1" applyBorder="1" applyAlignment="1">
      <alignment horizontal="left" vertical="center"/>
    </xf>
    <xf numFmtId="0" fontId="2" fillId="2" borderId="16" xfId="8" applyFont="1" applyFill="1" applyBorder="1" applyAlignment="1">
      <alignment horizontal="center" vertical="center" wrapText="1"/>
    </xf>
    <xf numFmtId="4" fontId="2" fillId="2" borderId="16" xfId="8" applyNumberFormat="1" applyFont="1" applyFill="1" applyBorder="1" applyAlignment="1">
      <alignment horizontal="center" vertical="center" wrapText="1"/>
    </xf>
    <xf numFmtId="49" fontId="2" fillId="2" borderId="17" xfId="8" applyNumberFormat="1" applyFont="1" applyFill="1" applyBorder="1" applyAlignment="1">
      <alignment horizontal="center" vertical="center" wrapText="1"/>
    </xf>
    <xf numFmtId="169" fontId="15" fillId="5" borderId="15" xfId="8" applyNumberFormat="1" applyFont="1" applyFill="1" applyBorder="1" applyAlignment="1">
      <alignment horizontal="center" vertical="center"/>
    </xf>
    <xf numFmtId="0" fontId="17" fillId="5" borderId="15" xfId="8" applyFont="1" applyFill="1" applyBorder="1" applyAlignment="1">
      <alignment horizontal="left" vertical="center" wrapText="1"/>
    </xf>
    <xf numFmtId="0" fontId="17" fillId="5" borderId="16" xfId="8" applyFont="1" applyFill="1" applyBorder="1" applyAlignment="1">
      <alignment horizontal="left" vertical="center" wrapText="1"/>
    </xf>
    <xf numFmtId="4" fontId="15" fillId="5" borderId="1" xfId="8" applyNumberFormat="1" applyFont="1" applyFill="1" applyBorder="1" applyAlignment="1">
      <alignment horizontal="center" vertical="center"/>
    </xf>
    <xf numFmtId="0" fontId="15" fillId="5" borderId="1" xfId="8" applyFont="1" applyFill="1" applyBorder="1" applyAlignment="1">
      <alignment horizontal="center" vertical="center"/>
    </xf>
    <xf numFmtId="2" fontId="1" fillId="0" borderId="0" xfId="8" applyNumberFormat="1"/>
    <xf numFmtId="169" fontId="15" fillId="0" borderId="1" xfId="8" applyNumberFormat="1" applyFont="1" applyBorder="1" applyAlignment="1">
      <alignment horizontal="center" vertical="center"/>
    </xf>
    <xf numFmtId="0" fontId="18" fillId="0" borderId="15" xfId="8" applyFont="1" applyBorder="1" applyAlignment="1">
      <alignment horizontal="center" vertical="center" wrapText="1"/>
    </xf>
    <xf numFmtId="2" fontId="18" fillId="0" borderId="1" xfId="8" applyNumberFormat="1" applyFont="1" applyBorder="1" applyAlignment="1">
      <alignment horizontal="center" vertical="center" wrapText="1"/>
    </xf>
    <xf numFmtId="4" fontId="19" fillId="0" borderId="1" xfId="8" applyNumberFormat="1" applyFont="1" applyBorder="1" applyAlignment="1">
      <alignment horizontal="center" vertical="center"/>
    </xf>
    <xf numFmtId="0" fontId="15" fillId="0" borderId="1" xfId="8" applyFont="1" applyBorder="1" applyAlignment="1">
      <alignment horizontal="center" vertical="center"/>
    </xf>
    <xf numFmtId="169" fontId="15" fillId="0" borderId="15" xfId="8" applyNumberFormat="1" applyFont="1" applyBorder="1" applyAlignment="1">
      <alignment horizontal="center" vertical="center"/>
    </xf>
    <xf numFmtId="169" fontId="15" fillId="0" borderId="16" xfId="8" applyNumberFormat="1" applyFont="1" applyBorder="1" applyAlignment="1">
      <alignment horizontal="center" vertical="center"/>
    </xf>
    <xf numFmtId="169" fontId="15" fillId="0" borderId="17" xfId="8" applyNumberFormat="1" applyFont="1" applyBorder="1" applyAlignment="1">
      <alignment horizontal="center" vertical="center"/>
    </xf>
    <xf numFmtId="0" fontId="17" fillId="5" borderId="17" xfId="8" applyFont="1" applyFill="1" applyBorder="1" applyAlignment="1">
      <alignment horizontal="left" vertical="center" wrapText="1"/>
    </xf>
    <xf numFmtId="169" fontId="19" fillId="0" borderId="1" xfId="8" applyNumberFormat="1" applyFont="1" applyBorder="1" applyAlignment="1">
      <alignment horizontal="center" vertical="center"/>
    </xf>
    <xf numFmtId="4" fontId="15" fillId="0" borderId="1" xfId="8" applyNumberFormat="1" applyFont="1" applyBorder="1" applyAlignment="1">
      <alignment horizontal="center" vertical="center"/>
    </xf>
    <xf numFmtId="0" fontId="19" fillId="0" borderId="1" xfId="8" applyFont="1" applyBorder="1" applyAlignment="1">
      <alignment horizontal="center" vertical="center"/>
    </xf>
    <xf numFmtId="169" fontId="19" fillId="0" borderId="14" xfId="8" applyNumberFormat="1" applyFont="1" applyBorder="1" applyAlignment="1">
      <alignment horizontal="center" vertical="center"/>
    </xf>
    <xf numFmtId="0" fontId="17" fillId="0" borderId="15" xfId="8" applyFont="1" applyBorder="1" applyAlignment="1">
      <alignment horizontal="center" vertical="center" wrapText="1"/>
    </xf>
    <xf numFmtId="169" fontId="19" fillId="0" borderId="1" xfId="8" applyNumberFormat="1" applyFont="1" applyFill="1" applyBorder="1" applyAlignment="1">
      <alignment horizontal="center" vertical="center"/>
    </xf>
    <xf numFmtId="0" fontId="18" fillId="0" borderId="15" xfId="8" applyFont="1" applyFill="1" applyBorder="1" applyAlignment="1">
      <alignment horizontal="center" vertical="center" wrapText="1"/>
    </xf>
    <xf numFmtId="2" fontId="18" fillId="0" borderId="1" xfId="8" applyNumberFormat="1" applyFont="1" applyFill="1" applyBorder="1" applyAlignment="1">
      <alignment horizontal="center" vertical="center" wrapText="1"/>
    </xf>
    <xf numFmtId="4" fontId="19" fillId="0" borderId="1" xfId="8" applyNumberFormat="1" applyFont="1" applyFill="1" applyBorder="1" applyAlignment="1">
      <alignment horizontal="center" vertical="center"/>
    </xf>
    <xf numFmtId="0" fontId="19" fillId="0" borderId="1" xfId="8" applyFont="1" applyFill="1" applyBorder="1" applyAlignment="1">
      <alignment horizontal="center" vertical="center"/>
    </xf>
  </cellXfs>
  <cellStyles count="9">
    <cellStyle name="Moeda 2 2" xfId="6" xr:uid="{6DECDA5B-7B76-4B76-9D3F-6CE5DEE18F35}"/>
    <cellStyle name="Normal" xfId="0" builtinId="0"/>
    <cellStyle name="Normal 187" xfId="8" xr:uid="{D54F0B0E-C915-41CA-AD63-68312093BF2B}"/>
    <cellStyle name="Normal 2 2" xfId="3" xr:uid="{63058257-CF10-4624-8DFE-2292F2E86623}"/>
    <cellStyle name="Normal 4" xfId="4" xr:uid="{E8F7763F-86D5-48FA-82DC-9E8564FD8542}"/>
    <cellStyle name="Normal 6" xfId="7" xr:uid="{041EF657-5992-4A4F-B1B9-A2B9D5D94B60}"/>
    <cellStyle name="Porcentagem" xfId="2" builtinId="5"/>
    <cellStyle name="Separador de milhares 2_ORÇAMENTO matureia corrigido (DEZ 2009)" xfId="5" xr:uid="{F3CB5D53-02DB-4666-983C-4EC095CD7B93}"/>
    <cellStyle name="Vírgula" xfId="1" builtinId="3"/>
  </cellStyles>
  <dxfs count="22"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anoel%20(J.%20Galdino)\Desktop\OBRAS\OBRAS\OBRAS%2021-06\COREMAS-PB\ESCOLA%206%20SALAS\PLANILHAS\TP%20004%202022%20ESCOLA%20COM%2006%20SALAS%20DE%20AULA%2017.xlsx" TargetMode="External"/><Relationship Id="rId1" Type="http://schemas.openxmlformats.org/officeDocument/2006/relationships/externalLinkPath" Target="/Users/Emanoel%20(J.%20Galdino)/Desktop/OBRAS/OBRAS/OBRAS%2021-06/COREMAS-PB/ESCOLA%206%20SALAS/PLANILHAS/TP%20004%202022%20ESCOLA%20COM%2006%20SALAS%20DE%20AULA%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iramiltonassessoria\A%20%20-%20%20Trabalhos%20Atuais%20UFPB\AULAS\Tecnologia%20II%20%2005.2\Equipe%20BrunaJulianaThais\Quarto\PRE&#199;O2006-atualizado%20MAI20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%20%20-%20%20Trabalhos%20Atuais%20UFPB\AULAS\Tecnologia%20II%20%2005.2\Equipe%20BrunaJulianaThais\Terceiro\Planilhas%20-%20predi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0.129\iramiltonassessoria\A%20%20-%20%20Trabalhos%20Atuais%20UFPB\AULAS\Tecnologia%20II%20%2005.2\Equipe%20BrunaJulianaThais\Quarto\PRE&#199;O2006-atualizado%20MAI200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dra\SERVIDOR\2012\PREFEITURAS\MARIZ&#211;POLIS\CAIXA\CONTRATOS%202011\PAVIMENTA&#199;&#195;O%20-%20MTUR\ENGENHARIA\Or&#231;amento%20pavimenta&#231;&#227;o%205000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&#195;O\Desktop\JB%20CONSTRU&#199;&#213;ES\CIDADES\S&#195;O%20BENTO\2019%20-%20TP08%20-%20PAV\1059.567-81_PLE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QUIVOS%20VICENTE\SINAPI\ARQ%20SAVIO\Or&#231;amento%20Modelo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&#195;O\Desktop\JB%20CONSTRU&#199;&#213;ES\CIDADES\M&#195;E%20D'&#193;GUA\2020%20-%20TP03%20-%20PAV\PROPOSTA%20M&#195;E%20D%20&#193;GUA%20-%20PROJETO%20II%20-%201,5%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0.129\iramiltonassessoria\2009\PREFEITURAS\Matur&#233;ia\Banco%20de%20sementes%200276650-94\PROJETO%20COMPLETO(AGOSTO)\OR&#199;AMENTO%20matureia%20corrigido%20(DEZ%202009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&#195;O\Desktop\JB%20CONSTRU&#199;&#213;ES\CIDADES\S&#195;O%20BENTO\2019%20-%20TP08%20-%20PAV\1059.567-81_QCI_CFF3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0.129\iramiltonassessoria\2010\PREFEITURAS%202010\Cacimba%20de%20Areia\Caixa\CV%20Caixa%20Campo%20140.000,00\AMPLIAC&#195;O%20DO%20CAMPO%20DE%20FUTEBOL%20(140.000,00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A6E04\Planilha%20Or&#231;ament&#225;ria%20Gin&#225;sio%20de%20Santa%20Gertrudes_ADITAMENTO_fina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anoel%20(J.%20Galdino)/Desktop/J.%20Galdino/OBRAS/OBRAS%2021-06/VISTA%20SERRANA/REFORMA%20CEMIT&#201;RIO/REFORMA%20CEMIT&#201;RIO%20-%20VISTA%20SERRAN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anoel%20(J.%20Galdino)\Desktop\OBRAS\OBRAS\OBRAS%2021-06\CAMALA&#218;\ESCOLA%206%20SALAS\PLANILHAS\BM-01\BM-01%20-%20Escola%206%20salas%20(Camala&#250;-PB).xlsx" TargetMode="External"/><Relationship Id="rId1" Type="http://schemas.openxmlformats.org/officeDocument/2006/relationships/externalLinkPath" Target="/Users/Emanoel%20(J.%20Galdino)/Desktop/OBRAS/OBRAS/OBRAS%2021-06/CAMALA&#218;/ESCOLA%206%20SALAS/PLANILHAS/BM-01/BM-01%20-%20Escola%206%20salas%20(Camala&#250;-PB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vio%20Loz/OneDrive/Arquivos%20para%20Or&#231;amento/modelo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anoel%20(J.%20Galdino)/Desktop/J.%20Galdino/OBRAS/OBRAS%2021-06/SOLID&#195;O%20-%20PE/PLANILHAS/ADITIVO%2001/ADITIVO%2001%20-%20UBS%20SOLID&#195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"/>
      <sheetName val="Cronograma"/>
      <sheetName val="BDI"/>
      <sheetName val="BDI 2"/>
      <sheetName val="L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UMOS"/>
      <sheetName val="COMPOSIÇÃO"/>
      <sheetName val="QUANTITATIVO"/>
      <sheetName val="CRONOGRAMA"/>
    </sheetNames>
    <sheetDataSet>
      <sheetData sheetId="0" refreshError="1">
        <row r="8">
          <cell r="C8">
            <v>1.59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dro de quantitativos"/>
      <sheetName val="INSUMOS"/>
      <sheetName val="CPU"/>
      <sheetName val="ORÇAMENTO obra"/>
      <sheetName val="Cronograma Fisico"/>
      <sheetName val="Cronograma Financeiro"/>
    </sheetNames>
    <sheetDataSet>
      <sheetData sheetId="0" refreshError="1"/>
      <sheetData sheetId="1" refreshError="1">
        <row r="6">
          <cell r="C6">
            <v>1.91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UMOS"/>
      <sheetName val="COMPOSIÇÃO"/>
      <sheetName val="QUANTITATIVO"/>
      <sheetName val="CRONOGRAMA"/>
    </sheetNames>
    <sheetDataSet>
      <sheetData sheetId="0" refreshError="1">
        <row r="8">
          <cell r="C8">
            <v>1.59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RIA DE CALCULO"/>
      <sheetName val="ORÇAMENTO"/>
      <sheetName val="QCI"/>
      <sheetName val="Cronog CP financeira"/>
      <sheetName val="Custos Unitários "/>
      <sheetName val="COMPOSIÇÃO DO BDI "/>
      <sheetName val="CUBAC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Eventograma_e_Quantitativos"/>
      <sheetName val="Detalhamento"/>
      <sheetName val="Cronograma"/>
      <sheetName val="PLE"/>
      <sheetName val="Resumo_de_Acompanhamento"/>
      <sheetName val="CronoPrev"/>
    </sheetNames>
    <sheetDataSet>
      <sheetData sheetId="0" refreshError="1">
        <row r="10">
          <cell r="D10" t="str">
            <v>SÃO BENTO/PB</v>
          </cell>
        </row>
        <row r="23">
          <cell r="A23">
            <v>0</v>
          </cell>
          <cell r="C23">
            <v>0</v>
          </cell>
          <cell r="D23">
            <v>0</v>
          </cell>
        </row>
        <row r="33">
          <cell r="A33" t="str">
            <v>Núm do Evento</v>
          </cell>
        </row>
        <row r="39">
          <cell r="C39">
            <v>0</v>
          </cell>
        </row>
      </sheetData>
      <sheetData sheetId="1" refreshError="1">
        <row r="15">
          <cell r="U15">
            <v>0</v>
          </cell>
        </row>
        <row r="48">
          <cell r="I48">
            <v>0</v>
          </cell>
          <cell r="N48">
            <v>0</v>
          </cell>
        </row>
      </sheetData>
      <sheetData sheetId="2" refreshError="1"/>
      <sheetData sheetId="3" refreshError="1"/>
      <sheetData sheetId="4" refreshError="1">
        <row r="28">
          <cell r="AX28">
            <v>1</v>
          </cell>
        </row>
      </sheetData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Orçamento"/>
      <sheetName val="Comp_analiticas"/>
      <sheetName val="Memoria_Calculo1"/>
      <sheetName val="Memoria_Calculo2"/>
      <sheetName val="Cronograma"/>
      <sheetName val="LS"/>
      <sheetName val="BDI"/>
      <sheetName val="Comp_analiticas (2)"/>
    </sheetNames>
    <sheetDataSet>
      <sheetData sheetId="0"/>
      <sheetData sheetId="1">
        <row r="10">
          <cell r="J10">
            <v>0.27489999999999998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"/>
      <sheetName val="COMPOSIÇÕES"/>
      <sheetName val="PLE"/>
      <sheetName val="QCI"/>
      <sheetName val="CRONOGRAMA"/>
      <sheetName val="BDI"/>
    </sheetNames>
    <sheetDataSet>
      <sheetData sheetId="0">
        <row r="5">
          <cell r="H5" t="str">
            <v>ENCARGOS SOCIAIS DESONERADOS</v>
          </cell>
        </row>
      </sheetData>
      <sheetData sheetId="1"/>
      <sheetData sheetId="2"/>
      <sheetData sheetId="3">
        <row r="22">
          <cell r="R22"/>
          <cell r="AA22">
            <v>226807.67999999999</v>
          </cell>
          <cell r="AB22">
            <v>547.62</v>
          </cell>
          <cell r="AC22">
            <v>0</v>
          </cell>
        </row>
        <row r="23">
          <cell r="R23" t="str">
            <v>Proporcional</v>
          </cell>
          <cell r="AA23" t="str">
            <v>-</v>
          </cell>
          <cell r="AB23" t="str">
            <v>-</v>
          </cell>
          <cell r="AC23" t="str">
            <v>-</v>
          </cell>
        </row>
        <row r="24">
          <cell r="R24" t="str">
            <v>Proporcional</v>
          </cell>
          <cell r="AA24">
            <v>45411.29</v>
          </cell>
          <cell r="AB24">
            <v>109.64</v>
          </cell>
          <cell r="AC24">
            <v>0</v>
          </cell>
        </row>
        <row r="25">
          <cell r="R25" t="str">
            <v>Proporcional</v>
          </cell>
          <cell r="AA25">
            <v>48659.76</v>
          </cell>
          <cell r="AB25">
            <v>117.49</v>
          </cell>
          <cell r="AC25">
            <v>0</v>
          </cell>
        </row>
        <row r="26">
          <cell r="R26" t="str">
            <v>Proporcional</v>
          </cell>
          <cell r="AA26">
            <v>85175.11</v>
          </cell>
          <cell r="AB26">
            <v>205.65</v>
          </cell>
          <cell r="AC26">
            <v>0</v>
          </cell>
        </row>
        <row r="27">
          <cell r="R27" t="str">
            <v>Proporcional</v>
          </cell>
          <cell r="AA27">
            <v>30853.85</v>
          </cell>
          <cell r="AB27">
            <v>74.5</v>
          </cell>
          <cell r="AC27">
            <v>0</v>
          </cell>
        </row>
        <row r="28">
          <cell r="R28" t="str">
            <v>Proporcional</v>
          </cell>
          <cell r="AA28">
            <v>16707.669999999998</v>
          </cell>
          <cell r="AB28">
            <v>40.340000000000003</v>
          </cell>
          <cell r="AC28">
            <v>0</v>
          </cell>
        </row>
        <row r="29">
          <cell r="R29" t="str">
            <v>Proporcional</v>
          </cell>
          <cell r="AA29">
            <v>0</v>
          </cell>
          <cell r="AB29">
            <v>0</v>
          </cell>
          <cell r="AC29">
            <v>0</v>
          </cell>
        </row>
        <row r="30">
          <cell r="R30"/>
          <cell r="AA30"/>
          <cell r="AB30"/>
          <cell r="AC30"/>
        </row>
      </sheetData>
      <sheetData sheetId="4">
        <row r="32">
          <cell r="E32"/>
        </row>
      </sheetData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SIÇÃO DE CUSTOS"/>
      <sheetName val="BCO DE SEMENTES CORRETA"/>
      <sheetName val="QUADRA MULTI_USO"/>
      <sheetName val="CTO DE ATIVIDADES CORRETO"/>
      <sheetName val="ORÇAMENTO GLOBAL"/>
      <sheetName val="FOSSA e SUMIDOURO"/>
      <sheetName val="Orçamento Banco em Alvenaria"/>
      <sheetName val="Orçamento Cisterna"/>
      <sheetName val="COMPOSIÇÃO _FOSSA E SUMIDOURO_"/>
      <sheetName val="elétrico com códigos_3_"/>
      <sheetName val="QCI FINAL"/>
      <sheetName val="CRONOGRAMA GLOBAL"/>
      <sheetName val="CRON. GLOBAL S EQUIPAM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QCI"/>
      <sheetName val="CRONO"/>
      <sheetName val="RRE"/>
      <sheetName val="Ofício"/>
      <sheetName val="Listas"/>
    </sheetNames>
    <sheetDataSet>
      <sheetData sheetId="0">
        <row r="22">
          <cell r="J22" t="str">
            <v>OGU não-PAC</v>
          </cell>
        </row>
        <row r="55">
          <cell r="B55" t="str">
            <v>Adm. Direta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</sheetData>
      <sheetData sheetId="1">
        <row r="11">
          <cell r="E11">
            <v>0</v>
          </cell>
        </row>
        <row r="15">
          <cell r="AH15" t="str">
            <v>Adm. Direta</v>
          </cell>
        </row>
        <row r="24">
          <cell r="AH24">
            <v>0</v>
          </cell>
        </row>
      </sheetData>
      <sheetData sheetId="2">
        <row r="11">
          <cell r="J11" t="str">
            <v>Repasse (R$)</v>
          </cell>
        </row>
      </sheetData>
      <sheetData sheetId="3"/>
      <sheetData sheetId="4"/>
      <sheetData sheetId="5">
        <row r="2">
          <cell r="B2" t="str">
            <v>Itens de Investimento</v>
          </cell>
          <cell r="C2" t="str">
            <v>Unidades habitacionais</v>
          </cell>
          <cell r="D2">
            <v>3</v>
          </cell>
          <cell r="E2" t="str">
            <v>Equipamentos comunitários</v>
          </cell>
          <cell r="F2">
            <v>6</v>
          </cell>
          <cell r="G2" t="str">
            <v>Pavimentação</v>
          </cell>
          <cell r="H2">
            <v>6</v>
          </cell>
          <cell r="I2" t="str">
            <v xml:space="preserve">Drenagem </v>
          </cell>
          <cell r="J2">
            <v>6</v>
          </cell>
          <cell r="K2" t="str">
            <v>Abastecimento de água</v>
          </cell>
          <cell r="L2">
            <v>11</v>
          </cell>
          <cell r="M2" t="str">
            <v>Esgotamento sanitário</v>
          </cell>
          <cell r="N2">
            <v>8</v>
          </cell>
          <cell r="O2" t="str">
            <v>Energia elétrica e iluminação pública</v>
          </cell>
          <cell r="P2">
            <v>4</v>
          </cell>
          <cell r="Q2" t="str">
            <v>Coleta e tratamento de resíduos sólidos</v>
          </cell>
          <cell r="R2">
            <v>6</v>
          </cell>
          <cell r="S2" t="str">
            <v xml:space="preserve">Contenção e estabilização de encostas </v>
          </cell>
          <cell r="T2">
            <v>2</v>
          </cell>
          <cell r="U2" t="str">
            <v>Regularização fundiária</v>
          </cell>
          <cell r="V2">
            <v>2</v>
          </cell>
          <cell r="W2" t="str">
            <v>Aquisição de terreno</v>
          </cell>
          <cell r="X2">
            <v>2</v>
          </cell>
          <cell r="Y2" t="str">
            <v>Aquisição de equipamentos e insumos</v>
          </cell>
          <cell r="Z2">
            <v>1</v>
          </cell>
          <cell r="AA2" t="str">
            <v>Elaboração de estudos e projetos</v>
          </cell>
          <cell r="AB2">
            <v>1</v>
          </cell>
          <cell r="AC2" t="str">
            <v>Instrumentos e ações em planejamento e gestão pública</v>
          </cell>
          <cell r="AD2">
            <v>1</v>
          </cell>
          <cell r="AE2" t="str">
            <v>Ações complementares às obras</v>
          </cell>
          <cell r="AF2">
            <v>3</v>
          </cell>
          <cell r="AG2" t="str">
            <v>Gerenciamento</v>
          </cell>
          <cell r="AH2">
            <v>1</v>
          </cell>
          <cell r="AI2" t="str">
            <v>Trabalho social</v>
          </cell>
          <cell r="AJ2">
            <v>4</v>
          </cell>
        </row>
        <row r="3">
          <cell r="B3" t="str">
            <v>Unidades habitacionais</v>
          </cell>
        </row>
        <row r="4">
          <cell r="B4" t="str">
            <v>Equipamentos comunitários</v>
          </cell>
        </row>
        <row r="5">
          <cell r="B5" t="str">
            <v>Pavimentação</v>
          </cell>
        </row>
        <row r="6">
          <cell r="B6" t="str">
            <v xml:space="preserve">Drenagem </v>
          </cell>
        </row>
        <row r="7">
          <cell r="B7" t="str">
            <v>Abastecimento de água</v>
          </cell>
        </row>
        <row r="8">
          <cell r="B8" t="str">
            <v>Esgotamento sanitário</v>
          </cell>
        </row>
        <row r="9">
          <cell r="B9" t="str">
            <v>Energia elétrica e iluminação pública</v>
          </cell>
        </row>
        <row r="10">
          <cell r="B10" t="str">
            <v>Coleta e tratamento de resíduos sólidos</v>
          </cell>
        </row>
        <row r="11">
          <cell r="B11" t="str">
            <v xml:space="preserve">Contenção e estabilização de encostas </v>
          </cell>
        </row>
        <row r="12">
          <cell r="B12" t="str">
            <v>Regularização fundiária</v>
          </cell>
        </row>
        <row r="13">
          <cell r="B13" t="str">
            <v>Aquisição de terreno</v>
          </cell>
        </row>
        <row r="14">
          <cell r="B14" t="str">
            <v>Aquisição de equipamentos e insumos</v>
          </cell>
        </row>
        <row r="15">
          <cell r="B15" t="str">
            <v>Elaboração de estudos e projetos</v>
          </cell>
        </row>
        <row r="16">
          <cell r="B16" t="str">
            <v>Instrumentos e ações em planejamento e gestão pública</v>
          </cell>
        </row>
        <row r="17">
          <cell r="B17" t="str">
            <v>Ações complementares às obras</v>
          </cell>
        </row>
        <row r="18">
          <cell r="B18" t="str">
            <v>Gerenciamento</v>
          </cell>
        </row>
        <row r="19">
          <cell r="B19" t="str">
            <v>Trabalho social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RIA DE CALCULO"/>
      <sheetName val="Orçamento"/>
      <sheetName val="QCI"/>
      <sheetName val="CRONOGRAMA"/>
      <sheetName val="COMPOSIÇÃO DO BDI "/>
      <sheetName val="COMPOSIÇÃO CUSTO"/>
      <sheetName val="MODELO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sição"/>
      <sheetName val="Memória de Cálculo"/>
      <sheetName val="Planilha_Ajustada"/>
      <sheetName val="PLAN_FINAL"/>
      <sheetName val="Cronograma_FINAL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"/>
      <sheetName val="MEMORIAL DE CÁLCULOS"/>
      <sheetName val="Cronograma"/>
      <sheetName val="BDI"/>
    </sheetNames>
    <sheetDataSet>
      <sheetData sheetId="0">
        <row r="1">
          <cell r="A1" t="str">
            <v>ESTADO DA PARAÍBA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M-01"/>
      <sheetName val="MEMORIAL DE CÁLCULOS"/>
    </sheetNames>
    <sheetDataSet>
      <sheetData sheetId="0"/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"/>
      <sheetName val="Memoria_Calculo"/>
      <sheetName val="Comp_analiticas"/>
      <sheetName val="Cronograma"/>
      <sheetName val="LS"/>
      <sheetName val="BDI"/>
    </sheetNames>
    <sheetDataSet>
      <sheetData sheetId="0"/>
      <sheetData sheetId="1"/>
      <sheetData sheetId="2"/>
      <sheetData sheetId="3"/>
      <sheetData sheetId="4"/>
      <sheetData sheetId="5">
        <row r="6">
          <cell r="T6" t="str">
            <v>Construção e Reforma de Edifícios</v>
          </cell>
        </row>
        <row r="7">
          <cell r="T7" t="str">
            <v>Fornecimento de Materiais e Equipamentos</v>
          </cell>
        </row>
        <row r="8">
          <cell r="T8" t="str">
            <v>Construção de Rodovias e Ferrovias</v>
          </cell>
        </row>
        <row r="10">
          <cell r="T10" t="str">
            <v>NÃO</v>
          </cell>
        </row>
        <row r="11">
          <cell r="T11" t="str">
            <v>SIM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ITIVO 01"/>
      <sheetName val="MEMORIAL DE CÁLCULOS"/>
      <sheetName val="PREÇOS NOVOS"/>
      <sheetName val="COMPOSIÇÕES"/>
      <sheetName val="BDI"/>
    </sheetNames>
    <sheetDataSet>
      <sheetData sheetId="0">
        <row r="50">
          <cell r="A50" t="str">
            <v>5.6</v>
          </cell>
        </row>
      </sheetData>
      <sheetData sheetId="1" refreshError="1"/>
      <sheetData sheetId="2"/>
      <sheetData sheetId="3">
        <row r="6">
          <cell r="A6" t="str">
            <v>12.26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9BC5-E920-46AD-9F07-8BE7FA4F0463}">
  <sheetPr>
    <pageSetUpPr fitToPage="1"/>
  </sheetPr>
  <dimension ref="A1:X215"/>
  <sheetViews>
    <sheetView tabSelected="1" view="pageBreakPreview" zoomScale="85" zoomScaleNormal="100" zoomScaleSheetLayoutView="85" workbookViewId="0">
      <selection activeCell="A6" sqref="A6:O6"/>
    </sheetView>
  </sheetViews>
  <sheetFormatPr defaultColWidth="9.33203125" defaultRowHeight="14.4" x14ac:dyDescent="0.25"/>
  <cols>
    <col min="1" max="1" width="9.109375" style="2" customWidth="1"/>
    <col min="2" max="2" width="12.44140625" style="3" customWidth="1"/>
    <col min="3" max="3" width="15.33203125" style="3" customWidth="1"/>
    <col min="4" max="4" width="55.109375" style="2" customWidth="1"/>
    <col min="5" max="5" width="12" style="3" customWidth="1"/>
    <col min="6" max="6" width="10.21875" style="3" customWidth="1"/>
    <col min="7" max="7" width="10.6640625" style="3" customWidth="1"/>
    <col min="8" max="8" width="13.6640625" style="26" customWidth="1"/>
    <col min="9" max="9" width="12.33203125" style="26" customWidth="1"/>
    <col min="10" max="10" width="14.109375" style="26" customWidth="1"/>
    <col min="11" max="11" width="14.33203125" style="27" customWidth="1"/>
    <col min="12" max="12" width="16" style="27" customWidth="1"/>
    <col min="13" max="13" width="15.88671875" style="27" customWidth="1"/>
    <col min="14" max="14" width="15.77734375" style="27" customWidth="1"/>
    <col min="15" max="15" width="16" style="27" customWidth="1"/>
    <col min="16" max="16" width="15.44140625" style="2" customWidth="1"/>
    <col min="17" max="17" width="17.33203125" style="2" customWidth="1"/>
    <col min="18" max="18" width="17.6640625" style="3" customWidth="1"/>
    <col min="19" max="21" width="9.33203125" style="2"/>
    <col min="22" max="23" width="14.33203125" style="4" hidden="1" customWidth="1"/>
    <col min="24" max="16384" width="9.33203125" style="2"/>
  </cols>
  <sheetData>
    <row r="1" spans="1:23" ht="18" x14ac:dyDescent="0.25">
      <c r="A1" s="28" t="s">
        <v>366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30"/>
    </row>
    <row r="2" spans="1:23" ht="18" x14ac:dyDescent="0.25">
      <c r="A2" s="31" t="s">
        <v>380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  <c r="Q2" s="1" t="s">
        <v>0</v>
      </c>
      <c r="R2" s="5" t="s">
        <v>1</v>
      </c>
    </row>
    <row r="3" spans="1:23" ht="15.6" x14ac:dyDescent="0.25">
      <c r="A3" s="34" t="s">
        <v>383</v>
      </c>
      <c r="B3" s="35"/>
      <c r="C3" s="35"/>
      <c r="D3" s="35"/>
      <c r="E3" s="36"/>
      <c r="F3" s="37"/>
      <c r="G3" s="37"/>
      <c r="H3" s="37"/>
      <c r="I3" s="37"/>
      <c r="J3" s="37"/>
      <c r="K3" s="39"/>
      <c r="L3" s="38"/>
      <c r="M3" s="38"/>
      <c r="N3" s="25"/>
      <c r="O3" s="40"/>
      <c r="Q3" s="1" t="s">
        <v>3</v>
      </c>
      <c r="R3" s="7">
        <f>L213</f>
        <v>1039467.5716474999</v>
      </c>
    </row>
    <row r="4" spans="1:23" ht="15.6" x14ac:dyDescent="0.25">
      <c r="A4" s="34" t="s">
        <v>384</v>
      </c>
      <c r="B4" s="35"/>
      <c r="C4" s="35"/>
      <c r="D4" s="35"/>
      <c r="E4" s="36"/>
      <c r="F4" s="41"/>
      <c r="G4" s="41"/>
      <c r="H4" s="41"/>
      <c r="I4" s="41"/>
      <c r="J4" s="66" t="s">
        <v>367</v>
      </c>
      <c r="K4" s="67">
        <v>0.25</v>
      </c>
      <c r="M4" s="38"/>
      <c r="N4" s="25"/>
      <c r="O4" s="40"/>
      <c r="Q4" s="1"/>
      <c r="R4" s="5"/>
    </row>
    <row r="5" spans="1:23" ht="15.6" x14ac:dyDescent="0.25">
      <c r="A5" s="42" t="s">
        <v>2</v>
      </c>
      <c r="B5" s="43"/>
      <c r="C5" s="43"/>
      <c r="D5" s="43"/>
      <c r="E5" s="44"/>
      <c r="F5" s="45"/>
      <c r="G5" s="45"/>
      <c r="H5" s="45"/>
      <c r="I5" s="45"/>
      <c r="J5" s="45"/>
      <c r="K5" s="46"/>
      <c r="L5" s="46"/>
      <c r="M5" s="46"/>
      <c r="N5" s="47"/>
      <c r="O5" s="48"/>
      <c r="Q5" s="1" t="s">
        <v>4</v>
      </c>
      <c r="R5" s="6">
        <v>0.17</v>
      </c>
    </row>
    <row r="6" spans="1:23" ht="23.4" x14ac:dyDescent="0.25">
      <c r="A6" s="56" t="s">
        <v>368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</row>
    <row r="7" spans="1:23" s="3" customFormat="1" x14ac:dyDescent="0.25">
      <c r="A7" s="49" t="s">
        <v>5</v>
      </c>
      <c r="B7" s="49" t="s">
        <v>6</v>
      </c>
      <c r="C7" s="49" t="s">
        <v>7</v>
      </c>
      <c r="D7" s="50" t="s">
        <v>8</v>
      </c>
      <c r="E7" s="49" t="s">
        <v>9</v>
      </c>
      <c r="F7" s="49" t="s">
        <v>385</v>
      </c>
      <c r="G7" s="72" t="s">
        <v>369</v>
      </c>
      <c r="H7" s="73"/>
      <c r="I7" s="73"/>
      <c r="J7" s="74"/>
      <c r="K7" s="51" t="s">
        <v>370</v>
      </c>
      <c r="L7" s="52" t="s">
        <v>371</v>
      </c>
      <c r="M7" s="52"/>
      <c r="N7" s="52"/>
      <c r="O7" s="52"/>
      <c r="V7" s="4"/>
      <c r="W7" s="4"/>
    </row>
    <row r="8" spans="1:23" s="3" customFormat="1" ht="43.2" x14ac:dyDescent="0.25">
      <c r="A8" s="49"/>
      <c r="B8" s="49"/>
      <c r="C8" s="49"/>
      <c r="D8" s="50"/>
      <c r="E8" s="49"/>
      <c r="F8" s="49"/>
      <c r="G8" s="53" t="s">
        <v>372</v>
      </c>
      <c r="H8" s="54" t="s">
        <v>373</v>
      </c>
      <c r="I8" s="54" t="s">
        <v>374</v>
      </c>
      <c r="J8" s="54" t="s">
        <v>375</v>
      </c>
      <c r="K8" s="51"/>
      <c r="L8" s="55" t="s">
        <v>376</v>
      </c>
      <c r="M8" s="54" t="s">
        <v>377</v>
      </c>
      <c r="N8" s="54" t="s">
        <v>378</v>
      </c>
      <c r="O8" s="54" t="s">
        <v>379</v>
      </c>
      <c r="V8" s="4"/>
      <c r="W8" s="4"/>
    </row>
    <row r="9" spans="1:23" x14ac:dyDescent="0.25">
      <c r="A9" s="10" t="s">
        <v>10</v>
      </c>
      <c r="B9" s="9"/>
      <c r="C9" s="9"/>
      <c r="D9" s="11"/>
      <c r="E9" s="9"/>
      <c r="F9" s="9"/>
      <c r="G9" s="9"/>
      <c r="H9" s="12"/>
      <c r="I9" s="12"/>
      <c r="J9" s="12"/>
      <c r="K9" s="13"/>
      <c r="L9" s="13">
        <f>SUM(L10,L16)</f>
        <v>66229.186000000002</v>
      </c>
      <c r="M9" s="13">
        <f t="shared" ref="M9:O9" si="0">SUM(M10,M16)</f>
        <v>0</v>
      </c>
      <c r="N9" s="13">
        <f t="shared" si="0"/>
        <v>7723.8405599999996</v>
      </c>
      <c r="O9" s="13">
        <f t="shared" si="0"/>
        <v>7723.8405599999996</v>
      </c>
      <c r="P9" s="14"/>
    </row>
    <row r="10" spans="1:23" x14ac:dyDescent="0.25">
      <c r="A10" s="10" t="s">
        <v>11</v>
      </c>
      <c r="B10" s="9"/>
      <c r="C10" s="9"/>
      <c r="D10" s="11"/>
      <c r="E10" s="9"/>
      <c r="F10" s="9"/>
      <c r="G10" s="9"/>
      <c r="H10" s="12"/>
      <c r="I10" s="12"/>
      <c r="J10" s="12"/>
      <c r="K10" s="13"/>
      <c r="L10" s="13">
        <f>SUM(L11:L15)</f>
        <v>64365.338000000003</v>
      </c>
      <c r="M10" s="13">
        <f t="shared" ref="M10:O10" si="1">SUM(M11:M15)</f>
        <v>0</v>
      </c>
      <c r="N10" s="13">
        <f t="shared" si="1"/>
        <v>7723.8405599999996</v>
      </c>
      <c r="O10" s="13">
        <f t="shared" si="1"/>
        <v>7723.8405599999996</v>
      </c>
    </row>
    <row r="11" spans="1:23" x14ac:dyDescent="0.25">
      <c r="A11" s="15" t="s">
        <v>12</v>
      </c>
      <c r="B11" s="16">
        <v>164471</v>
      </c>
      <c r="C11" s="17" t="s">
        <v>13</v>
      </c>
      <c r="D11" s="18" t="s">
        <v>14</v>
      </c>
      <c r="E11" s="17" t="s">
        <v>15</v>
      </c>
      <c r="F11" s="17" t="s">
        <v>16</v>
      </c>
      <c r="G11" s="19">
        <v>8</v>
      </c>
      <c r="H11" s="19"/>
      <c r="I11" s="19">
        <f>'MEMORIAL DE CÁLCULOS'!J11</f>
        <v>0.96</v>
      </c>
      <c r="J11" s="19">
        <f>H11+I11</f>
        <v>0.96</v>
      </c>
      <c r="K11" s="20">
        <v>4208.9548999999997</v>
      </c>
      <c r="L11" s="20">
        <f>G11*K11</f>
        <v>33671.639199999998</v>
      </c>
      <c r="M11" s="20">
        <f>H11*K11</f>
        <v>0</v>
      </c>
      <c r="N11" s="20">
        <f>I11*K11</f>
        <v>4040.5967039999996</v>
      </c>
      <c r="O11" s="20">
        <f>J11*K11</f>
        <v>4040.5967039999996</v>
      </c>
      <c r="P11" s="68"/>
      <c r="Q11" s="69"/>
      <c r="V11" s="4">
        <v>5071.03</v>
      </c>
      <c r="W11" s="4">
        <f>V11-V11*$R$5</f>
        <v>4208.9548999999997</v>
      </c>
    </row>
    <row r="12" spans="1:23" x14ac:dyDescent="0.25">
      <c r="A12" s="15" t="s">
        <v>17</v>
      </c>
      <c r="B12" s="16">
        <v>164472</v>
      </c>
      <c r="C12" s="17" t="s">
        <v>13</v>
      </c>
      <c r="D12" s="18" t="s">
        <v>18</v>
      </c>
      <c r="E12" s="17" t="s">
        <v>15</v>
      </c>
      <c r="F12" s="17" t="s">
        <v>16</v>
      </c>
      <c r="G12" s="19">
        <v>8</v>
      </c>
      <c r="H12" s="19"/>
      <c r="I12" s="19">
        <f>'MEMORIAL DE CÁLCULOS'!J14</f>
        <v>0.96</v>
      </c>
      <c r="J12" s="19">
        <f t="shared" ref="J12:J75" si="2">H12+I12</f>
        <v>0.96</v>
      </c>
      <c r="K12" s="20">
        <v>1588.6449</v>
      </c>
      <c r="L12" s="20">
        <f>G12*K12</f>
        <v>12709.1592</v>
      </c>
      <c r="M12" s="20">
        <f t="shared" ref="M12:M75" si="3">H12*K12</f>
        <v>0</v>
      </c>
      <c r="N12" s="20">
        <f t="shared" ref="N12:N75" si="4">I12*K12</f>
        <v>1525.0991039999999</v>
      </c>
      <c r="O12" s="20">
        <f t="shared" ref="O12:O75" si="5">J12*K12</f>
        <v>1525.0991039999999</v>
      </c>
      <c r="P12" s="68"/>
      <c r="Q12" s="69"/>
      <c r="V12" s="4">
        <v>1914.03</v>
      </c>
      <c r="W12" s="4">
        <f t="shared" ref="W12:W15" si="6">V12-V12*$R$5</f>
        <v>1588.6449</v>
      </c>
    </row>
    <row r="13" spans="1:23" x14ac:dyDescent="0.25">
      <c r="A13" s="15" t="s">
        <v>19</v>
      </c>
      <c r="B13" s="16">
        <v>164473</v>
      </c>
      <c r="C13" s="17" t="s">
        <v>13</v>
      </c>
      <c r="D13" s="18" t="s">
        <v>20</v>
      </c>
      <c r="E13" s="17" t="s">
        <v>15</v>
      </c>
      <c r="F13" s="17" t="s">
        <v>16</v>
      </c>
      <c r="G13" s="19">
        <v>1</v>
      </c>
      <c r="H13" s="19"/>
      <c r="I13" s="19">
        <f>'MEMORIAL DE CÁLCULOS'!J17</f>
        <v>0.12</v>
      </c>
      <c r="J13" s="19">
        <f t="shared" si="2"/>
        <v>0.12</v>
      </c>
      <c r="K13" s="20">
        <v>2489.2862</v>
      </c>
      <c r="L13" s="20">
        <f>G13*K13</f>
        <v>2489.2862</v>
      </c>
      <c r="M13" s="20">
        <f t="shared" si="3"/>
        <v>0</v>
      </c>
      <c r="N13" s="20">
        <f t="shared" si="4"/>
        <v>298.71434399999998</v>
      </c>
      <c r="O13" s="20">
        <f t="shared" si="5"/>
        <v>298.71434399999998</v>
      </c>
      <c r="P13" s="68"/>
      <c r="Q13" s="69"/>
      <c r="V13" s="4">
        <v>2999.14</v>
      </c>
      <c r="W13" s="4">
        <f t="shared" si="6"/>
        <v>2489.2862</v>
      </c>
    </row>
    <row r="14" spans="1:23" x14ac:dyDescent="0.25">
      <c r="A14" s="15" t="s">
        <v>21</v>
      </c>
      <c r="B14" s="16">
        <v>164474</v>
      </c>
      <c r="C14" s="17" t="s">
        <v>13</v>
      </c>
      <c r="D14" s="18" t="s">
        <v>22</v>
      </c>
      <c r="E14" s="17" t="s">
        <v>15</v>
      </c>
      <c r="F14" s="17" t="s">
        <v>16</v>
      </c>
      <c r="G14" s="19">
        <v>8</v>
      </c>
      <c r="H14" s="19"/>
      <c r="I14" s="19">
        <f>'MEMORIAL DE CÁLCULOS'!J20</f>
        <v>0.96</v>
      </c>
      <c r="J14" s="19">
        <f t="shared" si="2"/>
        <v>0.96</v>
      </c>
      <c r="K14" s="20">
        <v>1279.8185000000001</v>
      </c>
      <c r="L14" s="20">
        <f>G14*K14</f>
        <v>10238.548000000001</v>
      </c>
      <c r="M14" s="20">
        <f t="shared" si="3"/>
        <v>0</v>
      </c>
      <c r="N14" s="20">
        <f t="shared" si="4"/>
        <v>1228.6257600000001</v>
      </c>
      <c r="O14" s="20">
        <f t="shared" si="5"/>
        <v>1228.6257600000001</v>
      </c>
      <c r="P14" s="68"/>
      <c r="Q14" s="69"/>
      <c r="V14" s="4">
        <v>1541.95</v>
      </c>
      <c r="W14" s="4">
        <f t="shared" si="6"/>
        <v>1279.8185000000001</v>
      </c>
    </row>
    <row r="15" spans="1:23" x14ac:dyDescent="0.25">
      <c r="A15" s="15" t="s">
        <v>23</v>
      </c>
      <c r="B15" s="16">
        <v>164475</v>
      </c>
      <c r="C15" s="17" t="s">
        <v>13</v>
      </c>
      <c r="D15" s="18" t="s">
        <v>24</v>
      </c>
      <c r="E15" s="17" t="s">
        <v>15</v>
      </c>
      <c r="F15" s="17" t="s">
        <v>16</v>
      </c>
      <c r="G15" s="19">
        <v>1</v>
      </c>
      <c r="H15" s="19"/>
      <c r="I15" s="19">
        <f>'MEMORIAL DE CÁLCULOS'!J23</f>
        <v>0.12</v>
      </c>
      <c r="J15" s="19">
        <f t="shared" si="2"/>
        <v>0.12</v>
      </c>
      <c r="K15" s="20">
        <v>5256.7053999999998</v>
      </c>
      <c r="L15" s="20">
        <f>G15*K15</f>
        <v>5256.7053999999998</v>
      </c>
      <c r="M15" s="20">
        <f t="shared" si="3"/>
        <v>0</v>
      </c>
      <c r="N15" s="20">
        <f t="shared" si="4"/>
        <v>630.80464799999993</v>
      </c>
      <c r="O15" s="20">
        <f t="shared" si="5"/>
        <v>630.80464799999993</v>
      </c>
      <c r="P15" s="68"/>
      <c r="Q15" s="69"/>
      <c r="V15" s="4">
        <v>6333.38</v>
      </c>
      <c r="W15" s="4">
        <f t="shared" si="6"/>
        <v>5256.7053999999998</v>
      </c>
    </row>
    <row r="16" spans="1:23" x14ac:dyDescent="0.25">
      <c r="A16" s="10" t="s">
        <v>25</v>
      </c>
      <c r="B16" s="9"/>
      <c r="C16" s="9"/>
      <c r="D16" s="11"/>
      <c r="E16" s="9"/>
      <c r="F16" s="9"/>
      <c r="G16" s="12"/>
      <c r="H16" s="12"/>
      <c r="I16" s="12"/>
      <c r="J16" s="19"/>
      <c r="K16" s="13"/>
      <c r="L16" s="13">
        <f>SUM(L17)</f>
        <v>1863.848</v>
      </c>
      <c r="M16" s="13">
        <f t="shared" ref="M16:O16" si="7">SUM(M17)</f>
        <v>0</v>
      </c>
      <c r="N16" s="13">
        <f t="shared" si="7"/>
        <v>0</v>
      </c>
      <c r="O16" s="13">
        <f t="shared" si="7"/>
        <v>0</v>
      </c>
      <c r="P16" s="68"/>
      <c r="Q16" s="70"/>
    </row>
    <row r="17" spans="1:23" ht="57.6" x14ac:dyDescent="0.25">
      <c r="A17" s="15" t="s">
        <v>26</v>
      </c>
      <c r="B17" s="16">
        <v>164476</v>
      </c>
      <c r="C17" s="17"/>
      <c r="D17" s="18" t="s">
        <v>27</v>
      </c>
      <c r="E17" s="17" t="s">
        <v>28</v>
      </c>
      <c r="F17" s="17" t="s">
        <v>16</v>
      </c>
      <c r="G17" s="19">
        <v>1</v>
      </c>
      <c r="H17" s="19"/>
      <c r="I17" s="19"/>
      <c r="J17" s="19">
        <f t="shared" si="2"/>
        <v>0</v>
      </c>
      <c r="K17" s="20">
        <v>1863.848</v>
      </c>
      <c r="L17" s="20">
        <f>G17*K17</f>
        <v>1863.848</v>
      </c>
      <c r="M17" s="20">
        <f t="shared" si="3"/>
        <v>0</v>
      </c>
      <c r="N17" s="20">
        <f t="shared" si="4"/>
        <v>0</v>
      </c>
      <c r="O17" s="20">
        <f t="shared" si="5"/>
        <v>0</v>
      </c>
      <c r="P17" s="68"/>
      <c r="Q17" s="70"/>
      <c r="V17" s="4">
        <v>2245.6</v>
      </c>
      <c r="W17" s="4">
        <f>V17-V17*$R$5</f>
        <v>1863.848</v>
      </c>
    </row>
    <row r="18" spans="1:23" x14ac:dyDescent="0.25">
      <c r="A18" s="10" t="s">
        <v>29</v>
      </c>
      <c r="B18" s="9"/>
      <c r="C18" s="9"/>
      <c r="D18" s="11"/>
      <c r="E18" s="9"/>
      <c r="F18" s="9"/>
      <c r="G18" s="12"/>
      <c r="H18" s="12"/>
      <c r="I18" s="12"/>
      <c r="J18" s="19"/>
      <c r="K18" s="13"/>
      <c r="L18" s="13">
        <f>SUM(L19,L28,L32,L38,L47,L52,L63,L72,L80,L91,L102,L133,L141,L165,L176,)</f>
        <v>930676.59096649999</v>
      </c>
      <c r="M18" s="13">
        <f t="shared" ref="M18:O18" si="8">SUM(M19,M28,M32,M38,M47,M52,M63,M72,M80,M91,M102,M133,M141,M165,M176,)</f>
        <v>0</v>
      </c>
      <c r="N18" s="13">
        <f t="shared" si="8"/>
        <v>121891.56804699999</v>
      </c>
      <c r="O18" s="13">
        <f t="shared" si="8"/>
        <v>121891.56804699999</v>
      </c>
      <c r="P18" s="68"/>
      <c r="Q18" s="70"/>
    </row>
    <row r="19" spans="1:23" x14ac:dyDescent="0.25">
      <c r="A19" s="10" t="s">
        <v>30</v>
      </c>
      <c r="B19" s="9"/>
      <c r="C19" s="9"/>
      <c r="D19" s="11"/>
      <c r="E19" s="9"/>
      <c r="F19" s="9"/>
      <c r="G19" s="12"/>
      <c r="H19" s="12"/>
      <c r="I19" s="12"/>
      <c r="J19" s="19"/>
      <c r="K19" s="13"/>
      <c r="L19" s="13">
        <f>SUM(L20:L27)</f>
        <v>20901.206494999999</v>
      </c>
      <c r="M19" s="13">
        <f t="shared" ref="M19:O19" si="9">SUM(M20:M27)</f>
        <v>0</v>
      </c>
      <c r="N19" s="13">
        <f t="shared" si="9"/>
        <v>9189.5163949999987</v>
      </c>
      <c r="O19" s="13">
        <f t="shared" si="9"/>
        <v>9189.5163949999987</v>
      </c>
      <c r="P19" s="68"/>
      <c r="Q19" s="70"/>
    </row>
    <row r="20" spans="1:23" x14ac:dyDescent="0.25">
      <c r="A20" s="15" t="s">
        <v>31</v>
      </c>
      <c r="B20" s="16">
        <v>132583</v>
      </c>
      <c r="C20" s="17" t="s">
        <v>32</v>
      </c>
      <c r="D20" s="18" t="s">
        <v>33</v>
      </c>
      <c r="E20" s="17" t="s">
        <v>28</v>
      </c>
      <c r="F20" s="17" t="s">
        <v>34</v>
      </c>
      <c r="G20" s="19">
        <v>10</v>
      </c>
      <c r="H20" s="19"/>
      <c r="I20" s="19">
        <f>'MEMORIAL DE CÁLCULOS'!J28</f>
        <v>10</v>
      </c>
      <c r="J20" s="19">
        <f t="shared" si="2"/>
        <v>10</v>
      </c>
      <c r="K20" s="20">
        <v>342.89789999999999</v>
      </c>
      <c r="L20" s="20">
        <f>G20*K20</f>
        <v>3428.9789999999998</v>
      </c>
      <c r="M20" s="20">
        <f t="shared" si="3"/>
        <v>0</v>
      </c>
      <c r="N20" s="20">
        <f t="shared" si="4"/>
        <v>3428.9789999999998</v>
      </c>
      <c r="O20" s="20">
        <f t="shared" si="5"/>
        <v>3428.9789999999998</v>
      </c>
      <c r="P20" s="68"/>
      <c r="Q20" s="69"/>
      <c r="V20" s="4">
        <v>413.13</v>
      </c>
      <c r="W20" s="4">
        <f t="shared" ref="W20:W27" si="10">V20-V20*$R$5</f>
        <v>342.89789999999999</v>
      </c>
    </row>
    <row r="21" spans="1:23" ht="43.2" x14ac:dyDescent="0.25">
      <c r="A21" s="15" t="s">
        <v>35</v>
      </c>
      <c r="B21" s="16">
        <v>163387</v>
      </c>
      <c r="C21" s="17" t="s">
        <v>36</v>
      </c>
      <c r="D21" s="18" t="s">
        <v>37</v>
      </c>
      <c r="E21" s="17" t="s">
        <v>28</v>
      </c>
      <c r="F21" s="17" t="s">
        <v>34</v>
      </c>
      <c r="G21" s="19">
        <v>771.45</v>
      </c>
      <c r="H21" s="19"/>
      <c r="I21" s="19">
        <f>'MEMORIAL DE CÁLCULOS'!J31</f>
        <v>771.45</v>
      </c>
      <c r="J21" s="19">
        <f t="shared" si="2"/>
        <v>771.45</v>
      </c>
      <c r="K21" s="20">
        <v>4.9550999999999998</v>
      </c>
      <c r="L21" s="20">
        <f>G21*K21</f>
        <v>3822.611895</v>
      </c>
      <c r="M21" s="20">
        <f t="shared" si="3"/>
        <v>0</v>
      </c>
      <c r="N21" s="20">
        <f t="shared" si="4"/>
        <v>3822.611895</v>
      </c>
      <c r="O21" s="20">
        <f t="shared" si="5"/>
        <v>3822.611895</v>
      </c>
      <c r="P21" s="68"/>
      <c r="Q21" s="69"/>
      <c r="V21" s="4">
        <v>5.97</v>
      </c>
      <c r="W21" s="4">
        <f t="shared" si="10"/>
        <v>4.9550999999999998</v>
      </c>
    </row>
    <row r="22" spans="1:23" ht="28.8" x14ac:dyDescent="0.25">
      <c r="A22" s="15" t="s">
        <v>38</v>
      </c>
      <c r="B22" s="16">
        <v>137043</v>
      </c>
      <c r="C22" s="17" t="s">
        <v>39</v>
      </c>
      <c r="D22" s="18" t="s">
        <v>40</v>
      </c>
      <c r="E22" s="17" t="s">
        <v>28</v>
      </c>
      <c r="F22" s="17" t="s">
        <v>34</v>
      </c>
      <c r="G22" s="19">
        <v>2000</v>
      </c>
      <c r="H22" s="19"/>
      <c r="I22" s="19">
        <f>'MEMORIAL DE CÁLCULOS'!J34</f>
        <v>2000</v>
      </c>
      <c r="J22" s="19">
        <f t="shared" si="2"/>
        <v>2000</v>
      </c>
      <c r="K22" s="20">
        <v>0.27390000000000003</v>
      </c>
      <c r="L22" s="20">
        <f>G22*K22</f>
        <v>547.80000000000007</v>
      </c>
      <c r="M22" s="20">
        <f t="shared" si="3"/>
        <v>0</v>
      </c>
      <c r="N22" s="20">
        <f t="shared" si="4"/>
        <v>547.80000000000007</v>
      </c>
      <c r="O22" s="20">
        <f t="shared" si="5"/>
        <v>547.80000000000007</v>
      </c>
      <c r="P22" s="71"/>
      <c r="Q22" s="69"/>
      <c r="V22" s="4">
        <v>0.33</v>
      </c>
      <c r="W22" s="4">
        <f t="shared" si="10"/>
        <v>0.27390000000000003</v>
      </c>
    </row>
    <row r="23" spans="1:23" ht="28.8" x14ac:dyDescent="0.25">
      <c r="A23" s="15" t="s">
        <v>41</v>
      </c>
      <c r="B23" s="16">
        <v>163443</v>
      </c>
      <c r="C23" s="17" t="s">
        <v>42</v>
      </c>
      <c r="D23" s="18" t="s">
        <v>43</v>
      </c>
      <c r="E23" s="17" t="s">
        <v>28</v>
      </c>
      <c r="F23" s="17" t="s">
        <v>16</v>
      </c>
      <c r="G23" s="19">
        <v>1</v>
      </c>
      <c r="H23" s="19"/>
      <c r="I23" s="19">
        <f>'MEMORIAL DE CÁLCULOS'!J37</f>
        <v>1</v>
      </c>
      <c r="J23" s="19">
        <f t="shared" si="2"/>
        <v>1</v>
      </c>
      <c r="K23" s="20">
        <v>1390.1254999999999</v>
      </c>
      <c r="L23" s="20">
        <f>G23*K23</f>
        <v>1390.1254999999999</v>
      </c>
      <c r="M23" s="20">
        <f t="shared" si="3"/>
        <v>0</v>
      </c>
      <c r="N23" s="20">
        <f t="shared" si="4"/>
        <v>1390.1254999999999</v>
      </c>
      <c r="O23" s="20">
        <f t="shared" si="5"/>
        <v>1390.1254999999999</v>
      </c>
      <c r="P23" s="68"/>
      <c r="Q23" s="69"/>
      <c r="V23" s="4">
        <v>1674.85</v>
      </c>
      <c r="W23" s="4">
        <f t="shared" si="10"/>
        <v>1390.1254999999999</v>
      </c>
    </row>
    <row r="24" spans="1:23" ht="43.2" x14ac:dyDescent="0.25">
      <c r="A24" s="15" t="s">
        <v>44</v>
      </c>
      <c r="B24" s="16">
        <v>163442</v>
      </c>
      <c r="C24" s="17" t="s">
        <v>45</v>
      </c>
      <c r="D24" s="18" t="s">
        <v>46</v>
      </c>
      <c r="E24" s="17" t="s">
        <v>28</v>
      </c>
      <c r="F24" s="17" t="s">
        <v>16</v>
      </c>
      <c r="G24" s="19">
        <v>1</v>
      </c>
      <c r="H24" s="19"/>
      <c r="I24" s="19"/>
      <c r="J24" s="19">
        <f t="shared" si="2"/>
        <v>0</v>
      </c>
      <c r="K24" s="20">
        <v>1506.3254999999999</v>
      </c>
      <c r="L24" s="20">
        <f>G24*K24</f>
        <v>1506.3254999999999</v>
      </c>
      <c r="M24" s="20">
        <f t="shared" si="3"/>
        <v>0</v>
      </c>
      <c r="N24" s="20">
        <f t="shared" si="4"/>
        <v>0</v>
      </c>
      <c r="O24" s="20">
        <f t="shared" si="5"/>
        <v>0</v>
      </c>
      <c r="P24" s="68"/>
      <c r="Q24" s="69"/>
      <c r="V24" s="4">
        <v>1814.85</v>
      </c>
      <c r="W24" s="4">
        <f t="shared" si="10"/>
        <v>1506.3254999999999</v>
      </c>
    </row>
    <row r="25" spans="1:23" ht="72" x14ac:dyDescent="0.25">
      <c r="A25" s="15" t="s">
        <v>47</v>
      </c>
      <c r="B25" s="16">
        <v>135723</v>
      </c>
      <c r="C25" s="16">
        <v>73658</v>
      </c>
      <c r="D25" s="18" t="s">
        <v>48</v>
      </c>
      <c r="E25" s="17" t="s">
        <v>28</v>
      </c>
      <c r="F25" s="17" t="s">
        <v>16</v>
      </c>
      <c r="G25" s="19">
        <v>1</v>
      </c>
      <c r="H25" s="19"/>
      <c r="I25" s="19"/>
      <c r="J25" s="19">
        <f t="shared" si="2"/>
        <v>0</v>
      </c>
      <c r="K25" s="20">
        <v>442.50619999999998</v>
      </c>
      <c r="L25" s="20">
        <f>G25*K25</f>
        <v>442.50619999999998</v>
      </c>
      <c r="M25" s="20">
        <f t="shared" si="3"/>
        <v>0</v>
      </c>
      <c r="N25" s="20">
        <f t="shared" si="4"/>
        <v>0</v>
      </c>
      <c r="O25" s="20">
        <f t="shared" si="5"/>
        <v>0</v>
      </c>
      <c r="P25" s="68"/>
      <c r="Q25" s="70"/>
      <c r="V25" s="4">
        <v>533.14</v>
      </c>
      <c r="W25" s="4">
        <f t="shared" si="10"/>
        <v>442.50619999999998</v>
      </c>
    </row>
    <row r="26" spans="1:23" ht="43.2" x14ac:dyDescent="0.25">
      <c r="A26" s="15" t="s">
        <v>49</v>
      </c>
      <c r="B26" s="16">
        <v>162175</v>
      </c>
      <c r="C26" s="17"/>
      <c r="D26" s="18" t="s">
        <v>50</v>
      </c>
      <c r="E26" s="17" t="s">
        <v>15</v>
      </c>
      <c r="F26" s="17" t="s">
        <v>51</v>
      </c>
      <c r="G26" s="19">
        <v>8</v>
      </c>
      <c r="H26" s="19"/>
      <c r="I26" s="19"/>
      <c r="J26" s="19">
        <f t="shared" si="2"/>
        <v>0</v>
      </c>
      <c r="K26" s="20">
        <v>654.9197999999999</v>
      </c>
      <c r="L26" s="20">
        <f>G26*K26</f>
        <v>5239.3583999999992</v>
      </c>
      <c r="M26" s="20">
        <f t="shared" si="3"/>
        <v>0</v>
      </c>
      <c r="N26" s="20">
        <f t="shared" si="4"/>
        <v>0</v>
      </c>
      <c r="O26" s="20">
        <f t="shared" si="5"/>
        <v>0</v>
      </c>
      <c r="P26" s="68"/>
      <c r="Q26" s="70"/>
      <c r="V26" s="4">
        <v>789.06</v>
      </c>
      <c r="W26" s="4">
        <f t="shared" si="10"/>
        <v>654.9197999999999</v>
      </c>
    </row>
    <row r="27" spans="1:23" ht="72" x14ac:dyDescent="0.25">
      <c r="A27" s="15" t="s">
        <v>52</v>
      </c>
      <c r="B27" s="16">
        <v>163536</v>
      </c>
      <c r="C27" s="17"/>
      <c r="D27" s="18" t="s">
        <v>53</v>
      </c>
      <c r="E27" s="17" t="s">
        <v>28</v>
      </c>
      <c r="F27" s="17" t="s">
        <v>51</v>
      </c>
      <c r="G27" s="19">
        <v>8</v>
      </c>
      <c r="H27" s="19"/>
      <c r="I27" s="19"/>
      <c r="J27" s="19">
        <f t="shared" si="2"/>
        <v>0</v>
      </c>
      <c r="K27" s="20">
        <v>565.4375</v>
      </c>
      <c r="L27" s="20">
        <f>G27*K27</f>
        <v>4523.5</v>
      </c>
      <c r="M27" s="20">
        <f t="shared" si="3"/>
        <v>0</v>
      </c>
      <c r="N27" s="20">
        <f t="shared" si="4"/>
        <v>0</v>
      </c>
      <c r="O27" s="20">
        <f t="shared" si="5"/>
        <v>0</v>
      </c>
      <c r="P27" s="68"/>
      <c r="Q27" s="70"/>
      <c r="V27" s="4">
        <v>681.25</v>
      </c>
      <c r="W27" s="4">
        <f t="shared" si="10"/>
        <v>565.4375</v>
      </c>
    </row>
    <row r="28" spans="1:23" x14ac:dyDescent="0.25">
      <c r="A28" s="10" t="s">
        <v>54</v>
      </c>
      <c r="B28" s="9"/>
      <c r="C28" s="9"/>
      <c r="D28" s="11"/>
      <c r="E28" s="9"/>
      <c r="F28" s="9"/>
      <c r="G28" s="12"/>
      <c r="H28" s="12"/>
      <c r="I28" s="12"/>
      <c r="J28" s="19"/>
      <c r="K28" s="13"/>
      <c r="L28" s="13">
        <f>SUM(L29:L31)</f>
        <v>43621.441321999999</v>
      </c>
      <c r="M28" s="13">
        <f t="shared" ref="M28:O28" si="11">SUM(M29:M31)</f>
        <v>0</v>
      </c>
      <c r="N28" s="13">
        <f t="shared" si="11"/>
        <v>42875.184586999996</v>
      </c>
      <c r="O28" s="13">
        <f t="shared" si="11"/>
        <v>42875.184586999996</v>
      </c>
      <c r="P28" s="68"/>
      <c r="Q28" s="70"/>
    </row>
    <row r="29" spans="1:23" ht="28.8" x14ac:dyDescent="0.25">
      <c r="A29" s="15" t="s">
        <v>55</v>
      </c>
      <c r="B29" s="16">
        <v>160239</v>
      </c>
      <c r="C29" s="17"/>
      <c r="D29" s="18" t="s">
        <v>56</v>
      </c>
      <c r="E29" s="17" t="s">
        <v>28</v>
      </c>
      <c r="F29" s="17" t="s">
        <v>57</v>
      </c>
      <c r="G29" s="19">
        <v>157.35</v>
      </c>
      <c r="H29" s="19"/>
      <c r="I29" s="19">
        <f>'MEMORIAL DE CÁLCULOS'!J41</f>
        <v>157.35</v>
      </c>
      <c r="J29" s="19">
        <f t="shared" si="2"/>
        <v>157.35</v>
      </c>
      <c r="K29" s="20">
        <v>63.113200000000006</v>
      </c>
      <c r="L29" s="20">
        <f>G29*K29</f>
        <v>9930.8620200000005</v>
      </c>
      <c r="M29" s="20">
        <f t="shared" si="3"/>
        <v>0</v>
      </c>
      <c r="N29" s="20">
        <f t="shared" si="4"/>
        <v>9930.8620200000005</v>
      </c>
      <c r="O29" s="20">
        <f t="shared" si="5"/>
        <v>9930.8620200000005</v>
      </c>
      <c r="P29" s="68"/>
      <c r="Q29" s="69"/>
      <c r="V29" s="4">
        <v>76.040000000000006</v>
      </c>
      <c r="W29" s="4">
        <f t="shared" ref="W29:W31" si="12">V29-V29*$R$5</f>
        <v>63.113200000000006</v>
      </c>
    </row>
    <row r="30" spans="1:23" ht="28.8" x14ac:dyDescent="0.25">
      <c r="A30" s="15" t="s">
        <v>58</v>
      </c>
      <c r="B30" s="16">
        <v>164368</v>
      </c>
      <c r="C30" s="17" t="s">
        <v>59</v>
      </c>
      <c r="D30" s="18" t="s">
        <v>60</v>
      </c>
      <c r="E30" s="17" t="s">
        <v>28</v>
      </c>
      <c r="F30" s="17" t="s">
        <v>57</v>
      </c>
      <c r="G30" s="19">
        <v>157.35</v>
      </c>
      <c r="H30" s="19"/>
      <c r="I30" s="19">
        <f>'MEMORIAL DE CÁLCULOS'!J80</f>
        <v>137.80000000000001</v>
      </c>
      <c r="J30" s="19">
        <f t="shared" si="2"/>
        <v>137.80000000000001</v>
      </c>
      <c r="K30" s="20">
        <v>38.171700000000001</v>
      </c>
      <c r="L30" s="20">
        <f>G30*K30</f>
        <v>6006.3169950000001</v>
      </c>
      <c r="M30" s="20">
        <f t="shared" si="3"/>
        <v>0</v>
      </c>
      <c r="N30" s="20">
        <f t="shared" si="4"/>
        <v>5260.0602600000002</v>
      </c>
      <c r="O30" s="20">
        <f t="shared" si="5"/>
        <v>5260.0602600000002</v>
      </c>
      <c r="P30" s="68"/>
      <c r="Q30" s="69"/>
      <c r="V30" s="4">
        <v>45.99</v>
      </c>
      <c r="W30" s="4">
        <f t="shared" si="12"/>
        <v>38.171700000000001</v>
      </c>
    </row>
    <row r="31" spans="1:23" ht="28.8" x14ac:dyDescent="0.25">
      <c r="A31" s="15" t="s">
        <v>61</v>
      </c>
      <c r="B31" s="16">
        <v>153622</v>
      </c>
      <c r="C31" s="17"/>
      <c r="D31" s="18" t="s">
        <v>62</v>
      </c>
      <c r="E31" s="17" t="s">
        <v>28</v>
      </c>
      <c r="F31" s="17" t="s">
        <v>57</v>
      </c>
      <c r="G31" s="19">
        <v>195.41</v>
      </c>
      <c r="H31" s="19"/>
      <c r="I31" s="19">
        <f>'MEMORIAL DE CÁLCULOS'!J83</f>
        <v>195.41</v>
      </c>
      <c r="J31" s="19">
        <f t="shared" si="2"/>
        <v>195.41</v>
      </c>
      <c r="K31" s="20">
        <v>141.67269999999999</v>
      </c>
      <c r="L31" s="20">
        <f>G31*K31</f>
        <v>27684.262306999997</v>
      </c>
      <c r="M31" s="20">
        <f t="shared" si="3"/>
        <v>0</v>
      </c>
      <c r="N31" s="20">
        <f t="shared" si="4"/>
        <v>27684.262306999997</v>
      </c>
      <c r="O31" s="20">
        <f t="shared" si="5"/>
        <v>27684.262306999997</v>
      </c>
      <c r="P31" s="68"/>
      <c r="Q31" s="69"/>
      <c r="V31" s="4">
        <v>170.69</v>
      </c>
      <c r="W31" s="4">
        <f t="shared" si="12"/>
        <v>141.67269999999999</v>
      </c>
    </row>
    <row r="32" spans="1:23" x14ac:dyDescent="0.25">
      <c r="A32" s="10" t="s">
        <v>63</v>
      </c>
      <c r="B32" s="9"/>
      <c r="C32" s="9"/>
      <c r="D32" s="11"/>
      <c r="E32" s="9"/>
      <c r="F32" s="9"/>
      <c r="G32" s="12"/>
      <c r="H32" s="12"/>
      <c r="I32" s="12"/>
      <c r="J32" s="19"/>
      <c r="K32" s="13"/>
      <c r="L32" s="13">
        <f>SUM(L33:L37)</f>
        <v>69826.867064999999</v>
      </c>
      <c r="M32" s="13">
        <f t="shared" ref="M32:O32" si="13">SUM(M33:M37)</f>
        <v>0</v>
      </c>
      <c r="N32" s="13">
        <f t="shared" si="13"/>
        <v>69826.867064999999</v>
      </c>
      <c r="O32" s="13">
        <f t="shared" si="13"/>
        <v>69826.867064999999</v>
      </c>
      <c r="P32" s="68"/>
      <c r="Q32" s="69"/>
    </row>
    <row r="33" spans="1:23" ht="28.8" x14ac:dyDescent="0.25">
      <c r="A33" s="15" t="s">
        <v>64</v>
      </c>
      <c r="B33" s="16">
        <v>146934</v>
      </c>
      <c r="C33" s="16">
        <v>95467</v>
      </c>
      <c r="D33" s="18" t="s">
        <v>65</v>
      </c>
      <c r="E33" s="17" t="s">
        <v>28</v>
      </c>
      <c r="F33" s="17" t="s">
        <v>57</v>
      </c>
      <c r="G33" s="19">
        <v>105.04</v>
      </c>
      <c r="H33" s="19"/>
      <c r="I33" s="19">
        <f>'MEMORIAL DE CÁLCULOS'!J88</f>
        <v>105.04</v>
      </c>
      <c r="J33" s="19">
        <f t="shared" si="2"/>
        <v>105.04</v>
      </c>
      <c r="K33" s="20">
        <v>316.59519999999998</v>
      </c>
      <c r="L33" s="20">
        <f>G33*K33</f>
        <v>33255.159807999997</v>
      </c>
      <c r="M33" s="20">
        <f t="shared" si="3"/>
        <v>0</v>
      </c>
      <c r="N33" s="20">
        <f t="shared" si="4"/>
        <v>33255.159807999997</v>
      </c>
      <c r="O33" s="20">
        <f t="shared" si="5"/>
        <v>33255.159807999997</v>
      </c>
      <c r="P33" s="68"/>
      <c r="Q33" s="69"/>
      <c r="V33" s="4">
        <v>381.44</v>
      </c>
      <c r="W33" s="4">
        <f t="shared" ref="W33:W37" si="14">V33-V33*$R$5</f>
        <v>316.59519999999998</v>
      </c>
    </row>
    <row r="34" spans="1:23" ht="57.6" x14ac:dyDescent="0.25">
      <c r="A34" s="15" t="s">
        <v>66</v>
      </c>
      <c r="B34" s="16">
        <v>160126</v>
      </c>
      <c r="C34" s="17"/>
      <c r="D34" s="18" t="s">
        <v>67</v>
      </c>
      <c r="E34" s="17" t="s">
        <v>28</v>
      </c>
      <c r="F34" s="17" t="s">
        <v>34</v>
      </c>
      <c r="G34" s="19">
        <v>35.130000000000003</v>
      </c>
      <c r="H34" s="19"/>
      <c r="I34" s="19">
        <f>'MEMORIAL DE CÁLCULOS'!J92</f>
        <v>35.130000000000003</v>
      </c>
      <c r="J34" s="19">
        <f t="shared" si="2"/>
        <v>35.130000000000003</v>
      </c>
      <c r="K34" s="20">
        <v>45.434200000000004</v>
      </c>
      <c r="L34" s="20">
        <f>G34*K34</f>
        <v>1596.1034460000003</v>
      </c>
      <c r="M34" s="20">
        <f t="shared" si="3"/>
        <v>0</v>
      </c>
      <c r="N34" s="20">
        <f t="shared" si="4"/>
        <v>1596.1034460000003</v>
      </c>
      <c r="O34" s="20">
        <f t="shared" si="5"/>
        <v>1596.1034460000003</v>
      </c>
      <c r="P34" s="68"/>
      <c r="Q34" s="69"/>
      <c r="V34" s="4">
        <v>54.74</v>
      </c>
      <c r="W34" s="4">
        <f t="shared" si="14"/>
        <v>45.434200000000004</v>
      </c>
    </row>
    <row r="35" spans="1:23" ht="28.8" x14ac:dyDescent="0.25">
      <c r="A35" s="15" t="s">
        <v>68</v>
      </c>
      <c r="B35" s="16">
        <v>154476</v>
      </c>
      <c r="C35" s="16">
        <v>96616</v>
      </c>
      <c r="D35" s="18" t="s">
        <v>69</v>
      </c>
      <c r="E35" s="17" t="s">
        <v>28</v>
      </c>
      <c r="F35" s="17" t="s">
        <v>57</v>
      </c>
      <c r="G35" s="19">
        <v>6.13</v>
      </c>
      <c r="H35" s="19"/>
      <c r="I35" s="19">
        <f>'MEMORIAL DE CÁLCULOS'!J96</f>
        <v>6.13</v>
      </c>
      <c r="J35" s="19">
        <f t="shared" si="2"/>
        <v>6.13</v>
      </c>
      <c r="K35" s="20">
        <v>463.80399999999997</v>
      </c>
      <c r="L35" s="20">
        <f>G35*K35</f>
        <v>2843.11852</v>
      </c>
      <c r="M35" s="20">
        <f t="shared" si="3"/>
        <v>0</v>
      </c>
      <c r="N35" s="20">
        <f t="shared" si="4"/>
        <v>2843.11852</v>
      </c>
      <c r="O35" s="20">
        <f t="shared" si="5"/>
        <v>2843.11852</v>
      </c>
      <c r="P35" s="68"/>
      <c r="Q35" s="69"/>
      <c r="V35" s="4">
        <v>558.79999999999995</v>
      </c>
      <c r="W35" s="4">
        <f t="shared" si="14"/>
        <v>463.80399999999997</v>
      </c>
    </row>
    <row r="36" spans="1:23" ht="43.2" x14ac:dyDescent="0.25">
      <c r="A36" s="15" t="s">
        <v>70</v>
      </c>
      <c r="B36" s="16">
        <v>161024</v>
      </c>
      <c r="C36" s="17"/>
      <c r="D36" s="18" t="s">
        <v>71</v>
      </c>
      <c r="E36" s="17" t="s">
        <v>28</v>
      </c>
      <c r="F36" s="17" t="s">
        <v>57</v>
      </c>
      <c r="G36" s="19">
        <v>19.55</v>
      </c>
      <c r="H36" s="19"/>
      <c r="I36" s="19">
        <f>'MEMORIAL DE CÁLCULOS'!J133</f>
        <v>19.55</v>
      </c>
      <c r="J36" s="19">
        <f t="shared" si="2"/>
        <v>19.55</v>
      </c>
      <c r="K36" s="20">
        <v>1008.5329999999999</v>
      </c>
      <c r="L36" s="20">
        <f>G36*K36</f>
        <v>19716.82015</v>
      </c>
      <c r="M36" s="20">
        <f t="shared" si="3"/>
        <v>0</v>
      </c>
      <c r="N36" s="20">
        <f t="shared" si="4"/>
        <v>19716.82015</v>
      </c>
      <c r="O36" s="20">
        <f t="shared" si="5"/>
        <v>19716.82015</v>
      </c>
      <c r="P36" s="68"/>
      <c r="Q36" s="69"/>
      <c r="V36" s="4">
        <v>1215.0999999999999</v>
      </c>
      <c r="W36" s="4">
        <f t="shared" si="14"/>
        <v>1008.5329999999999</v>
      </c>
    </row>
    <row r="37" spans="1:23" ht="43.2" x14ac:dyDescent="0.25">
      <c r="A37" s="15" t="s">
        <v>72</v>
      </c>
      <c r="B37" s="16">
        <v>161026</v>
      </c>
      <c r="C37" s="17"/>
      <c r="D37" s="18" t="s">
        <v>73</v>
      </c>
      <c r="E37" s="17" t="s">
        <v>28</v>
      </c>
      <c r="F37" s="17" t="s">
        <v>57</v>
      </c>
      <c r="G37" s="19">
        <v>12.33</v>
      </c>
      <c r="H37" s="19"/>
      <c r="I37" s="19">
        <f>'MEMORIAL DE CÁLCULOS'!J136</f>
        <v>12.33</v>
      </c>
      <c r="J37" s="19">
        <f t="shared" si="2"/>
        <v>12.33</v>
      </c>
      <c r="K37" s="20">
        <v>1006.9477000000001</v>
      </c>
      <c r="L37" s="20">
        <f>G37*K37</f>
        <v>12415.665141000001</v>
      </c>
      <c r="M37" s="20">
        <f t="shared" si="3"/>
        <v>0</v>
      </c>
      <c r="N37" s="20">
        <f t="shared" si="4"/>
        <v>12415.665141000001</v>
      </c>
      <c r="O37" s="20">
        <f t="shared" si="5"/>
        <v>12415.665141000001</v>
      </c>
      <c r="P37" s="68"/>
      <c r="Q37" s="69"/>
      <c r="V37" s="4">
        <v>1213.19</v>
      </c>
      <c r="W37" s="4">
        <f t="shared" si="14"/>
        <v>1006.9477000000001</v>
      </c>
    </row>
    <row r="38" spans="1:23" x14ac:dyDescent="0.25">
      <c r="A38" s="10" t="s">
        <v>74</v>
      </c>
      <c r="B38" s="9"/>
      <c r="C38" s="9"/>
      <c r="D38" s="11"/>
      <c r="E38" s="9"/>
      <c r="F38" s="9"/>
      <c r="G38" s="12"/>
      <c r="H38" s="12"/>
      <c r="I38" s="12"/>
      <c r="J38" s="19"/>
      <c r="K38" s="13"/>
      <c r="L38" s="13">
        <f>SUM(L39:L46)</f>
        <v>187786.32638000004</v>
      </c>
      <c r="M38" s="13">
        <f t="shared" ref="M38:O38" si="15">SUM(M39:M46)</f>
        <v>0</v>
      </c>
      <c r="N38" s="13">
        <f t="shared" si="15"/>
        <v>0</v>
      </c>
      <c r="O38" s="13">
        <f t="shared" si="15"/>
        <v>0</v>
      </c>
      <c r="P38" s="70"/>
      <c r="Q38" s="70"/>
    </row>
    <row r="39" spans="1:23" ht="57.6" x14ac:dyDescent="0.25">
      <c r="A39" s="15" t="s">
        <v>75</v>
      </c>
      <c r="B39" s="16">
        <v>161030</v>
      </c>
      <c r="C39" s="17"/>
      <c r="D39" s="18" t="s">
        <v>76</v>
      </c>
      <c r="E39" s="17" t="s">
        <v>28</v>
      </c>
      <c r="F39" s="17" t="s">
        <v>57</v>
      </c>
      <c r="G39" s="19">
        <v>18.920000000000002</v>
      </c>
      <c r="H39" s="19"/>
      <c r="I39" s="19"/>
      <c r="J39" s="19">
        <f t="shared" si="2"/>
        <v>0</v>
      </c>
      <c r="K39" s="20">
        <v>2838.0272999999997</v>
      </c>
      <c r="L39" s="20">
        <f>G39*K39</f>
        <v>53695.476516000002</v>
      </c>
      <c r="M39" s="20">
        <f t="shared" si="3"/>
        <v>0</v>
      </c>
      <c r="N39" s="20">
        <f t="shared" si="4"/>
        <v>0</v>
      </c>
      <c r="O39" s="20">
        <f t="shared" si="5"/>
        <v>0</v>
      </c>
      <c r="P39" s="70"/>
      <c r="Q39" s="70"/>
      <c r="V39" s="4">
        <v>3419.31</v>
      </c>
      <c r="W39" s="4">
        <f t="shared" ref="W39:W46" si="16">V39-V39*$R$5</f>
        <v>2838.0272999999997</v>
      </c>
    </row>
    <row r="40" spans="1:23" ht="57.6" x14ac:dyDescent="0.25">
      <c r="A40" s="15" t="s">
        <v>77</v>
      </c>
      <c r="B40" s="16">
        <v>161031</v>
      </c>
      <c r="C40" s="17"/>
      <c r="D40" s="18" t="s">
        <v>78</v>
      </c>
      <c r="E40" s="17" t="s">
        <v>15</v>
      </c>
      <c r="F40" s="17" t="s">
        <v>57</v>
      </c>
      <c r="G40" s="19">
        <v>18.39</v>
      </c>
      <c r="H40" s="19"/>
      <c r="I40" s="19"/>
      <c r="J40" s="19">
        <f t="shared" si="2"/>
        <v>0</v>
      </c>
      <c r="K40" s="20">
        <v>2812.9031999999997</v>
      </c>
      <c r="L40" s="20">
        <f>G40*K40</f>
        <v>51729.289848</v>
      </c>
      <c r="M40" s="20">
        <f t="shared" si="3"/>
        <v>0</v>
      </c>
      <c r="N40" s="20">
        <f t="shared" si="4"/>
        <v>0</v>
      </c>
      <c r="O40" s="20">
        <f t="shared" si="5"/>
        <v>0</v>
      </c>
      <c r="V40" s="4">
        <v>3389.04</v>
      </c>
      <c r="W40" s="4">
        <f t="shared" si="16"/>
        <v>2812.9031999999997</v>
      </c>
    </row>
    <row r="41" spans="1:23" ht="43.2" x14ac:dyDescent="0.25">
      <c r="A41" s="15" t="s">
        <v>79</v>
      </c>
      <c r="B41" s="16">
        <v>161027</v>
      </c>
      <c r="C41" s="17"/>
      <c r="D41" s="18" t="s">
        <v>80</v>
      </c>
      <c r="E41" s="17" t="s">
        <v>28</v>
      </c>
      <c r="F41" s="17" t="s">
        <v>57</v>
      </c>
      <c r="G41" s="19">
        <v>3.34</v>
      </c>
      <c r="H41" s="19"/>
      <c r="I41" s="19"/>
      <c r="J41" s="19">
        <f t="shared" si="2"/>
        <v>0</v>
      </c>
      <c r="K41" s="20">
        <v>2012.5259000000001</v>
      </c>
      <c r="L41" s="20">
        <f>G41*K41</f>
        <v>6721.8365059999996</v>
      </c>
      <c r="M41" s="20">
        <f t="shared" si="3"/>
        <v>0</v>
      </c>
      <c r="N41" s="20">
        <f t="shared" si="4"/>
        <v>0</v>
      </c>
      <c r="O41" s="20">
        <f t="shared" si="5"/>
        <v>0</v>
      </c>
      <c r="V41" s="4">
        <v>2424.73</v>
      </c>
      <c r="W41" s="4">
        <f t="shared" si="16"/>
        <v>2012.5259000000001</v>
      </c>
    </row>
    <row r="42" spans="1:23" ht="72" x14ac:dyDescent="0.25">
      <c r="A42" s="15" t="s">
        <v>81</v>
      </c>
      <c r="B42" s="16">
        <v>134255</v>
      </c>
      <c r="C42" s="17" t="s">
        <v>82</v>
      </c>
      <c r="D42" s="18" t="s">
        <v>83</v>
      </c>
      <c r="E42" s="17" t="s">
        <v>28</v>
      </c>
      <c r="F42" s="17" t="s">
        <v>34</v>
      </c>
      <c r="G42" s="19">
        <v>625</v>
      </c>
      <c r="H42" s="19"/>
      <c r="I42" s="19"/>
      <c r="J42" s="19">
        <f t="shared" si="2"/>
        <v>0</v>
      </c>
      <c r="K42" s="20">
        <v>112.92150000000001</v>
      </c>
      <c r="L42" s="20">
        <f>G42*K42</f>
        <v>70575.9375</v>
      </c>
      <c r="M42" s="20">
        <f t="shared" si="3"/>
        <v>0</v>
      </c>
      <c r="N42" s="20">
        <f t="shared" si="4"/>
        <v>0</v>
      </c>
      <c r="O42" s="20">
        <f t="shared" si="5"/>
        <v>0</v>
      </c>
      <c r="V42" s="4">
        <v>136.05000000000001</v>
      </c>
      <c r="W42" s="4">
        <f t="shared" si="16"/>
        <v>112.92150000000001</v>
      </c>
    </row>
    <row r="43" spans="1:23" ht="28.8" x14ac:dyDescent="0.25">
      <c r="A43" s="15" t="s">
        <v>84</v>
      </c>
      <c r="B43" s="16">
        <v>145501</v>
      </c>
      <c r="C43" s="17"/>
      <c r="D43" s="18" t="s">
        <v>85</v>
      </c>
      <c r="E43" s="17" t="s">
        <v>28</v>
      </c>
      <c r="F43" s="17" t="s">
        <v>86</v>
      </c>
      <c r="G43" s="19">
        <v>17.850000000000001</v>
      </c>
      <c r="H43" s="19"/>
      <c r="I43" s="19"/>
      <c r="J43" s="19">
        <f t="shared" si="2"/>
        <v>0</v>
      </c>
      <c r="K43" s="20">
        <v>119.15479999999999</v>
      </c>
      <c r="L43" s="20">
        <f>G43*K43</f>
        <v>2126.91318</v>
      </c>
      <c r="M43" s="20">
        <f t="shared" si="3"/>
        <v>0</v>
      </c>
      <c r="N43" s="20">
        <f t="shared" si="4"/>
        <v>0</v>
      </c>
      <c r="O43" s="20">
        <f t="shared" si="5"/>
        <v>0</v>
      </c>
      <c r="V43" s="4">
        <v>143.56</v>
      </c>
      <c r="W43" s="4">
        <f t="shared" si="16"/>
        <v>119.15479999999999</v>
      </c>
    </row>
    <row r="44" spans="1:23" ht="28.8" x14ac:dyDescent="0.25">
      <c r="A44" s="15" t="s">
        <v>87</v>
      </c>
      <c r="B44" s="16">
        <v>145226</v>
      </c>
      <c r="C44" s="17"/>
      <c r="D44" s="18" t="s">
        <v>88</v>
      </c>
      <c r="E44" s="17" t="s">
        <v>28</v>
      </c>
      <c r="F44" s="17" t="s">
        <v>86</v>
      </c>
      <c r="G44" s="19">
        <v>9.9</v>
      </c>
      <c r="H44" s="19"/>
      <c r="I44" s="19"/>
      <c r="J44" s="19">
        <f t="shared" si="2"/>
        <v>0</v>
      </c>
      <c r="K44" s="20">
        <v>119.15479999999999</v>
      </c>
      <c r="L44" s="20">
        <f>G44*K44</f>
        <v>1179.6325199999999</v>
      </c>
      <c r="M44" s="20">
        <f t="shared" si="3"/>
        <v>0</v>
      </c>
      <c r="N44" s="20">
        <f t="shared" si="4"/>
        <v>0</v>
      </c>
      <c r="O44" s="20">
        <f t="shared" si="5"/>
        <v>0</v>
      </c>
      <c r="V44" s="4">
        <v>143.56</v>
      </c>
      <c r="W44" s="4">
        <f t="shared" si="16"/>
        <v>119.15479999999999</v>
      </c>
    </row>
    <row r="45" spans="1:23" ht="28.8" x14ac:dyDescent="0.25">
      <c r="A45" s="15" t="s">
        <v>89</v>
      </c>
      <c r="B45" s="16">
        <v>144469</v>
      </c>
      <c r="C45" s="17"/>
      <c r="D45" s="18" t="s">
        <v>90</v>
      </c>
      <c r="E45" s="17" t="s">
        <v>28</v>
      </c>
      <c r="F45" s="17" t="s">
        <v>86</v>
      </c>
      <c r="G45" s="19">
        <v>1.6</v>
      </c>
      <c r="H45" s="19"/>
      <c r="I45" s="19"/>
      <c r="J45" s="19">
        <f t="shared" si="2"/>
        <v>0</v>
      </c>
      <c r="K45" s="20">
        <v>194.17019999999999</v>
      </c>
      <c r="L45" s="20">
        <f>G45*K45</f>
        <v>310.67232000000001</v>
      </c>
      <c r="M45" s="20">
        <f t="shared" si="3"/>
        <v>0</v>
      </c>
      <c r="N45" s="20">
        <f t="shared" si="4"/>
        <v>0</v>
      </c>
      <c r="O45" s="20">
        <f t="shared" si="5"/>
        <v>0</v>
      </c>
      <c r="V45" s="4">
        <v>233.94</v>
      </c>
      <c r="W45" s="4">
        <f t="shared" si="16"/>
        <v>194.17019999999999</v>
      </c>
    </row>
    <row r="46" spans="1:23" ht="28.8" x14ac:dyDescent="0.25">
      <c r="A46" s="15" t="s">
        <v>91</v>
      </c>
      <c r="B46" s="16">
        <v>144116</v>
      </c>
      <c r="C46" s="17"/>
      <c r="D46" s="18" t="s">
        <v>92</v>
      </c>
      <c r="E46" s="17" t="s">
        <v>28</v>
      </c>
      <c r="F46" s="17" t="s">
        <v>86</v>
      </c>
      <c r="G46" s="19">
        <v>7.45</v>
      </c>
      <c r="H46" s="19"/>
      <c r="I46" s="19"/>
      <c r="J46" s="19">
        <f t="shared" si="2"/>
        <v>0</v>
      </c>
      <c r="K46" s="20">
        <v>194.17019999999999</v>
      </c>
      <c r="L46" s="20">
        <f>G46*K46</f>
        <v>1446.56799</v>
      </c>
      <c r="M46" s="20">
        <f t="shared" si="3"/>
        <v>0</v>
      </c>
      <c r="N46" s="20">
        <f t="shared" si="4"/>
        <v>0</v>
      </c>
      <c r="O46" s="20">
        <f t="shared" si="5"/>
        <v>0</v>
      </c>
      <c r="V46" s="4">
        <v>233.94</v>
      </c>
      <c r="W46" s="4">
        <f t="shared" si="16"/>
        <v>194.17019999999999</v>
      </c>
    </row>
    <row r="47" spans="1:23" x14ac:dyDescent="0.25">
      <c r="A47" s="10" t="s">
        <v>93</v>
      </c>
      <c r="B47" s="9"/>
      <c r="C47" s="9"/>
      <c r="D47" s="11"/>
      <c r="E47" s="9"/>
      <c r="F47" s="9"/>
      <c r="G47" s="12"/>
      <c r="H47" s="12"/>
      <c r="I47" s="12"/>
      <c r="J47" s="19"/>
      <c r="K47" s="13"/>
      <c r="L47" s="13">
        <f>SUM(L48:L51)</f>
        <v>85866.042455999996</v>
      </c>
      <c r="M47" s="13">
        <f t="shared" ref="M47:O47" si="17">SUM(M48:M51)</f>
        <v>0</v>
      </c>
      <c r="N47" s="13">
        <f t="shared" si="17"/>
        <v>0</v>
      </c>
      <c r="O47" s="13">
        <f t="shared" si="17"/>
        <v>0</v>
      </c>
    </row>
    <row r="48" spans="1:23" ht="57.6" x14ac:dyDescent="0.25">
      <c r="A48" s="15" t="s">
        <v>94</v>
      </c>
      <c r="B48" s="16">
        <v>160118</v>
      </c>
      <c r="C48" s="17"/>
      <c r="D48" s="18" t="s">
        <v>95</v>
      </c>
      <c r="E48" s="17" t="s">
        <v>28</v>
      </c>
      <c r="F48" s="17" t="s">
        <v>34</v>
      </c>
      <c r="G48" s="19">
        <v>954.17</v>
      </c>
      <c r="H48" s="19"/>
      <c r="I48" s="19"/>
      <c r="J48" s="19">
        <f t="shared" si="2"/>
        <v>0</v>
      </c>
      <c r="K48" s="20">
        <v>34.063199999999995</v>
      </c>
      <c r="L48" s="20">
        <f>G48*K48</f>
        <v>32502.083543999994</v>
      </c>
      <c r="M48" s="20">
        <f t="shared" si="3"/>
        <v>0</v>
      </c>
      <c r="N48" s="20">
        <f t="shared" si="4"/>
        <v>0</v>
      </c>
      <c r="O48" s="20">
        <f t="shared" si="5"/>
        <v>0</v>
      </c>
      <c r="V48" s="4">
        <v>41.04</v>
      </c>
      <c r="W48" s="4">
        <f t="shared" ref="W48:W51" si="18">V48-V48*$R$5</f>
        <v>34.063199999999995</v>
      </c>
    </row>
    <row r="49" spans="1:23" ht="57.6" x14ac:dyDescent="0.25">
      <c r="A49" s="15" t="s">
        <v>96</v>
      </c>
      <c r="B49" s="16">
        <v>136101</v>
      </c>
      <c r="C49" s="17" t="s">
        <v>97</v>
      </c>
      <c r="D49" s="18" t="s">
        <v>98</v>
      </c>
      <c r="E49" s="17" t="s">
        <v>28</v>
      </c>
      <c r="F49" s="17" t="s">
        <v>34</v>
      </c>
      <c r="G49" s="19">
        <v>37.44</v>
      </c>
      <c r="H49" s="19"/>
      <c r="I49" s="19"/>
      <c r="J49" s="19">
        <f t="shared" si="2"/>
        <v>0</v>
      </c>
      <c r="K49" s="20">
        <v>149.2423</v>
      </c>
      <c r="L49" s="20">
        <f>G49*K49</f>
        <v>5587.6317119999994</v>
      </c>
      <c r="M49" s="20">
        <f t="shared" si="3"/>
        <v>0</v>
      </c>
      <c r="N49" s="20">
        <f t="shared" si="4"/>
        <v>0</v>
      </c>
      <c r="O49" s="20">
        <f t="shared" si="5"/>
        <v>0</v>
      </c>
      <c r="V49" s="4">
        <v>179.81</v>
      </c>
      <c r="W49" s="4">
        <f t="shared" si="18"/>
        <v>149.2423</v>
      </c>
    </row>
    <row r="50" spans="1:23" ht="100.8" x14ac:dyDescent="0.25">
      <c r="A50" s="15" t="s">
        <v>99</v>
      </c>
      <c r="B50" s="16">
        <v>164273</v>
      </c>
      <c r="C50" s="17"/>
      <c r="D50" s="18" t="s">
        <v>100</v>
      </c>
      <c r="E50" s="17" t="s">
        <v>28</v>
      </c>
      <c r="F50" s="17" t="s">
        <v>86</v>
      </c>
      <c r="G50" s="19">
        <v>150</v>
      </c>
      <c r="H50" s="19"/>
      <c r="I50" s="19"/>
      <c r="J50" s="19">
        <f t="shared" si="2"/>
        <v>0</v>
      </c>
      <c r="K50" s="20">
        <v>285.37889999999999</v>
      </c>
      <c r="L50" s="20">
        <f>G50*K50</f>
        <v>42806.834999999999</v>
      </c>
      <c r="M50" s="20">
        <f t="shared" si="3"/>
        <v>0</v>
      </c>
      <c r="N50" s="20">
        <f t="shared" si="4"/>
        <v>0</v>
      </c>
      <c r="O50" s="20">
        <f t="shared" si="5"/>
        <v>0</v>
      </c>
      <c r="V50" s="4">
        <v>343.83</v>
      </c>
      <c r="W50" s="4">
        <f t="shared" si="18"/>
        <v>285.37889999999999</v>
      </c>
    </row>
    <row r="51" spans="1:23" ht="43.2" x14ac:dyDescent="0.25">
      <c r="A51" s="15" t="s">
        <v>101</v>
      </c>
      <c r="B51" s="16">
        <v>151091</v>
      </c>
      <c r="C51" s="17"/>
      <c r="D51" s="18" t="s">
        <v>102</v>
      </c>
      <c r="E51" s="17" t="s">
        <v>28</v>
      </c>
      <c r="F51" s="17" t="s">
        <v>86</v>
      </c>
      <c r="G51" s="19">
        <v>58</v>
      </c>
      <c r="H51" s="19"/>
      <c r="I51" s="19"/>
      <c r="J51" s="19">
        <f t="shared" si="2"/>
        <v>0</v>
      </c>
      <c r="K51" s="20">
        <v>85.680900000000008</v>
      </c>
      <c r="L51" s="20">
        <f>G51*K51</f>
        <v>4969.4922000000006</v>
      </c>
      <c r="M51" s="20">
        <f t="shared" si="3"/>
        <v>0</v>
      </c>
      <c r="N51" s="20">
        <f t="shared" si="4"/>
        <v>0</v>
      </c>
      <c r="O51" s="20">
        <f t="shared" si="5"/>
        <v>0</v>
      </c>
      <c r="V51" s="4">
        <v>103.23</v>
      </c>
      <c r="W51" s="4">
        <f t="shared" si="18"/>
        <v>85.680900000000008</v>
      </c>
    </row>
    <row r="52" spans="1:23" x14ac:dyDescent="0.25">
      <c r="A52" s="10" t="s">
        <v>103</v>
      </c>
      <c r="B52" s="9"/>
      <c r="C52" s="9"/>
      <c r="D52" s="11"/>
      <c r="E52" s="9"/>
      <c r="F52" s="9"/>
      <c r="G52" s="12"/>
      <c r="H52" s="12"/>
      <c r="I52" s="12"/>
      <c r="J52" s="19"/>
      <c r="K52" s="13"/>
      <c r="L52" s="13">
        <f>SUM(L53:L62)</f>
        <v>86978.584996999998</v>
      </c>
      <c r="M52" s="13">
        <f t="shared" ref="M52:O52" si="19">SUM(M53:M62)</f>
        <v>0</v>
      </c>
      <c r="N52" s="13">
        <f t="shared" si="19"/>
        <v>0</v>
      </c>
      <c r="O52" s="13">
        <f t="shared" si="19"/>
        <v>0</v>
      </c>
    </row>
    <row r="53" spans="1:23" ht="43.2" x14ac:dyDescent="0.25">
      <c r="A53" s="15" t="s">
        <v>104</v>
      </c>
      <c r="B53" s="16">
        <v>153844</v>
      </c>
      <c r="C53" s="17"/>
      <c r="D53" s="18" t="s">
        <v>105</v>
      </c>
      <c r="E53" s="17" t="s">
        <v>28</v>
      </c>
      <c r="F53" s="17" t="s">
        <v>34</v>
      </c>
      <c r="G53" s="19">
        <v>35.909999999999997</v>
      </c>
      <c r="H53" s="19"/>
      <c r="I53" s="19"/>
      <c r="J53" s="19">
        <f t="shared" si="2"/>
        <v>0</v>
      </c>
      <c r="K53" s="20">
        <v>538.83600000000001</v>
      </c>
      <c r="L53" s="20">
        <f>G53*K53</f>
        <v>19349.600759999998</v>
      </c>
      <c r="M53" s="20">
        <f t="shared" si="3"/>
        <v>0</v>
      </c>
      <c r="N53" s="20">
        <f t="shared" si="4"/>
        <v>0</v>
      </c>
      <c r="O53" s="20">
        <f t="shared" si="5"/>
        <v>0</v>
      </c>
      <c r="V53" s="4">
        <v>649.20000000000005</v>
      </c>
      <c r="W53" s="4">
        <f t="shared" ref="W53:W62" si="20">V53-V53*$R$5</f>
        <v>538.83600000000001</v>
      </c>
    </row>
    <row r="54" spans="1:23" ht="28.8" x14ac:dyDescent="0.25">
      <c r="A54" s="15" t="s">
        <v>106</v>
      </c>
      <c r="B54" s="16">
        <v>146852</v>
      </c>
      <c r="C54" s="16">
        <v>94559</v>
      </c>
      <c r="D54" s="18" t="s">
        <v>107</v>
      </c>
      <c r="E54" s="17" t="s">
        <v>28</v>
      </c>
      <c r="F54" s="17" t="s">
        <v>34</v>
      </c>
      <c r="G54" s="19">
        <v>59.11</v>
      </c>
      <c r="H54" s="19"/>
      <c r="I54" s="19"/>
      <c r="J54" s="19">
        <f t="shared" si="2"/>
        <v>0</v>
      </c>
      <c r="K54" s="20">
        <v>622.54149999999993</v>
      </c>
      <c r="L54" s="20">
        <f>G54*K54</f>
        <v>36798.428064999993</v>
      </c>
      <c r="M54" s="20">
        <f t="shared" si="3"/>
        <v>0</v>
      </c>
      <c r="N54" s="20">
        <f t="shared" si="4"/>
        <v>0</v>
      </c>
      <c r="O54" s="20">
        <f t="shared" si="5"/>
        <v>0</v>
      </c>
      <c r="V54" s="4">
        <v>750.05</v>
      </c>
      <c r="W54" s="4">
        <f t="shared" si="20"/>
        <v>622.54149999999993</v>
      </c>
    </row>
    <row r="55" spans="1:23" ht="57.6" x14ac:dyDescent="0.25">
      <c r="A55" s="15" t="s">
        <v>108</v>
      </c>
      <c r="B55" s="16">
        <v>145509</v>
      </c>
      <c r="C55" s="17"/>
      <c r="D55" s="18" t="s">
        <v>109</v>
      </c>
      <c r="E55" s="17" t="s">
        <v>15</v>
      </c>
      <c r="F55" s="17" t="s">
        <v>34</v>
      </c>
      <c r="G55" s="19">
        <v>3</v>
      </c>
      <c r="H55" s="19"/>
      <c r="I55" s="19"/>
      <c r="J55" s="19">
        <f t="shared" si="2"/>
        <v>0</v>
      </c>
      <c r="K55" s="20">
        <v>200.86829999999998</v>
      </c>
      <c r="L55" s="20">
        <f>G55*K55</f>
        <v>602.60489999999993</v>
      </c>
      <c r="M55" s="20">
        <f t="shared" si="3"/>
        <v>0</v>
      </c>
      <c r="N55" s="20">
        <f t="shared" si="4"/>
        <v>0</v>
      </c>
      <c r="O55" s="20">
        <f t="shared" si="5"/>
        <v>0</v>
      </c>
      <c r="V55" s="4">
        <v>242.01</v>
      </c>
      <c r="W55" s="4">
        <f t="shared" si="20"/>
        <v>200.86829999999998</v>
      </c>
    </row>
    <row r="56" spans="1:23" ht="43.2" x14ac:dyDescent="0.25">
      <c r="A56" s="15" t="s">
        <v>110</v>
      </c>
      <c r="B56" s="16">
        <v>151970</v>
      </c>
      <c r="C56" s="17"/>
      <c r="D56" s="18" t="s">
        <v>111</v>
      </c>
      <c r="E56" s="17" t="s">
        <v>15</v>
      </c>
      <c r="F56" s="17" t="s">
        <v>34</v>
      </c>
      <c r="G56" s="19">
        <v>60</v>
      </c>
      <c r="H56" s="19"/>
      <c r="I56" s="19"/>
      <c r="J56" s="19">
        <f t="shared" si="2"/>
        <v>0</v>
      </c>
      <c r="K56" s="20">
        <v>242.47619999999998</v>
      </c>
      <c r="L56" s="20">
        <f>G56*K56</f>
        <v>14548.571999999998</v>
      </c>
      <c r="M56" s="20">
        <f t="shared" si="3"/>
        <v>0</v>
      </c>
      <c r="N56" s="20">
        <f t="shared" si="4"/>
        <v>0</v>
      </c>
      <c r="O56" s="20">
        <f t="shared" si="5"/>
        <v>0</v>
      </c>
      <c r="V56" s="4">
        <v>292.14</v>
      </c>
      <c r="W56" s="4">
        <f t="shared" si="20"/>
        <v>242.47619999999998</v>
      </c>
    </row>
    <row r="57" spans="1:23" ht="57.6" x14ac:dyDescent="0.25">
      <c r="A57" s="15" t="s">
        <v>112</v>
      </c>
      <c r="B57" s="16">
        <v>151982</v>
      </c>
      <c r="C57" s="17"/>
      <c r="D57" s="18" t="s">
        <v>113</v>
      </c>
      <c r="E57" s="17" t="s">
        <v>15</v>
      </c>
      <c r="F57" s="17" t="s">
        <v>34</v>
      </c>
      <c r="G57" s="19">
        <v>1.68</v>
      </c>
      <c r="H57" s="19"/>
      <c r="I57" s="19"/>
      <c r="J57" s="19">
        <f t="shared" si="2"/>
        <v>0</v>
      </c>
      <c r="K57" s="20">
        <v>605.44350000000009</v>
      </c>
      <c r="L57" s="20">
        <f>G57*K57</f>
        <v>1017.1450800000001</v>
      </c>
      <c r="M57" s="20">
        <f t="shared" si="3"/>
        <v>0</v>
      </c>
      <c r="N57" s="20">
        <f t="shared" si="4"/>
        <v>0</v>
      </c>
      <c r="O57" s="20">
        <f t="shared" si="5"/>
        <v>0</v>
      </c>
      <c r="V57" s="4">
        <v>729.45</v>
      </c>
      <c r="W57" s="4">
        <f t="shared" si="20"/>
        <v>605.44350000000009</v>
      </c>
    </row>
    <row r="58" spans="1:23" ht="28.8" x14ac:dyDescent="0.25">
      <c r="A58" s="15" t="s">
        <v>114</v>
      </c>
      <c r="B58" s="16">
        <v>163453</v>
      </c>
      <c r="C58" s="17" t="s">
        <v>115</v>
      </c>
      <c r="D58" s="18" t="s">
        <v>116</v>
      </c>
      <c r="E58" s="17" t="s">
        <v>28</v>
      </c>
      <c r="F58" s="17" t="s">
        <v>86</v>
      </c>
      <c r="G58" s="19">
        <v>3.4</v>
      </c>
      <c r="H58" s="19"/>
      <c r="I58" s="19"/>
      <c r="J58" s="19">
        <f t="shared" si="2"/>
        <v>0</v>
      </c>
      <c r="K58" s="20">
        <v>126.22640000000001</v>
      </c>
      <c r="L58" s="20">
        <f>G58*K58</f>
        <v>429.16976000000005</v>
      </c>
      <c r="M58" s="20">
        <f t="shared" si="3"/>
        <v>0</v>
      </c>
      <c r="N58" s="20">
        <f t="shared" si="4"/>
        <v>0</v>
      </c>
      <c r="O58" s="20">
        <f t="shared" si="5"/>
        <v>0</v>
      </c>
      <c r="V58" s="4">
        <v>152.08000000000001</v>
      </c>
      <c r="W58" s="4">
        <f t="shared" si="20"/>
        <v>126.22640000000001</v>
      </c>
    </row>
    <row r="59" spans="1:23" x14ac:dyDescent="0.25">
      <c r="A59" s="15" t="s">
        <v>117</v>
      </c>
      <c r="B59" s="16">
        <v>133889</v>
      </c>
      <c r="C59" s="16">
        <v>72122</v>
      </c>
      <c r="D59" s="18" t="s">
        <v>118</v>
      </c>
      <c r="E59" s="17" t="s">
        <v>28</v>
      </c>
      <c r="F59" s="17" t="s">
        <v>34</v>
      </c>
      <c r="G59" s="19">
        <v>59.11</v>
      </c>
      <c r="H59" s="19"/>
      <c r="I59" s="19"/>
      <c r="J59" s="19">
        <f t="shared" si="2"/>
        <v>0</v>
      </c>
      <c r="K59" s="20">
        <v>203.88119999999998</v>
      </c>
      <c r="L59" s="20">
        <f>G59*K59</f>
        <v>12051.417731999998</v>
      </c>
      <c r="M59" s="20">
        <f t="shared" si="3"/>
        <v>0</v>
      </c>
      <c r="N59" s="20">
        <f t="shared" si="4"/>
        <v>0</v>
      </c>
      <c r="O59" s="20">
        <f t="shared" si="5"/>
        <v>0</v>
      </c>
      <c r="V59" s="4">
        <v>245.64</v>
      </c>
      <c r="W59" s="4">
        <f t="shared" si="20"/>
        <v>203.88119999999998</v>
      </c>
    </row>
    <row r="60" spans="1:23" ht="43.2" x14ac:dyDescent="0.25">
      <c r="A60" s="15" t="s">
        <v>119</v>
      </c>
      <c r="B60" s="16">
        <v>138518</v>
      </c>
      <c r="C60" s="21">
        <v>5085</v>
      </c>
      <c r="D60" s="18" t="s">
        <v>120</v>
      </c>
      <c r="E60" s="17" t="s">
        <v>28</v>
      </c>
      <c r="F60" s="17" t="s">
        <v>16</v>
      </c>
      <c r="G60" s="19">
        <v>2</v>
      </c>
      <c r="H60" s="19"/>
      <c r="I60" s="19"/>
      <c r="J60" s="19">
        <f t="shared" si="2"/>
        <v>0</v>
      </c>
      <c r="K60" s="20">
        <v>17.811800000000002</v>
      </c>
      <c r="L60" s="20">
        <f>G60*K60</f>
        <v>35.623600000000003</v>
      </c>
      <c r="M60" s="20">
        <f t="shared" si="3"/>
        <v>0</v>
      </c>
      <c r="N60" s="20">
        <f t="shared" si="4"/>
        <v>0</v>
      </c>
      <c r="O60" s="20">
        <f t="shared" si="5"/>
        <v>0</v>
      </c>
      <c r="V60" s="4">
        <v>21.46</v>
      </c>
      <c r="W60" s="4">
        <f t="shared" si="20"/>
        <v>17.811800000000002</v>
      </c>
    </row>
    <row r="61" spans="1:23" ht="43.2" x14ac:dyDescent="0.25">
      <c r="A61" s="15" t="s">
        <v>121</v>
      </c>
      <c r="B61" s="16">
        <v>163824</v>
      </c>
      <c r="C61" s="17"/>
      <c r="D61" s="18" t="s">
        <v>122</v>
      </c>
      <c r="E61" s="17" t="s">
        <v>28</v>
      </c>
      <c r="F61" s="17" t="s">
        <v>16</v>
      </c>
      <c r="G61" s="19">
        <v>17</v>
      </c>
      <c r="H61" s="19"/>
      <c r="I61" s="19"/>
      <c r="J61" s="19">
        <f t="shared" si="2"/>
        <v>0</v>
      </c>
      <c r="K61" s="20">
        <v>118.89749999999999</v>
      </c>
      <c r="L61" s="20">
        <f>G61*K61</f>
        <v>2021.2574999999999</v>
      </c>
      <c r="M61" s="20">
        <f t="shared" si="3"/>
        <v>0</v>
      </c>
      <c r="N61" s="20">
        <f t="shared" si="4"/>
        <v>0</v>
      </c>
      <c r="O61" s="20">
        <f t="shared" si="5"/>
        <v>0</v>
      </c>
      <c r="V61" s="4">
        <v>143.25</v>
      </c>
      <c r="W61" s="4">
        <f t="shared" si="20"/>
        <v>118.89749999999999</v>
      </c>
    </row>
    <row r="62" spans="1:23" ht="57.6" x14ac:dyDescent="0.25">
      <c r="A62" s="15" t="s">
        <v>123</v>
      </c>
      <c r="B62" s="16">
        <v>163827</v>
      </c>
      <c r="C62" s="17"/>
      <c r="D62" s="18" t="s">
        <v>124</v>
      </c>
      <c r="E62" s="17" t="s">
        <v>15</v>
      </c>
      <c r="F62" s="17" t="s">
        <v>16</v>
      </c>
      <c r="G62" s="19">
        <v>2</v>
      </c>
      <c r="H62" s="19"/>
      <c r="I62" s="19"/>
      <c r="J62" s="19">
        <f t="shared" si="2"/>
        <v>0</v>
      </c>
      <c r="K62" s="20">
        <v>62.382799999999996</v>
      </c>
      <c r="L62" s="20">
        <f>G62*K62</f>
        <v>124.76559999999999</v>
      </c>
      <c r="M62" s="20">
        <f t="shared" si="3"/>
        <v>0</v>
      </c>
      <c r="N62" s="20">
        <f t="shared" si="4"/>
        <v>0</v>
      </c>
      <c r="O62" s="20">
        <f t="shared" si="5"/>
        <v>0</v>
      </c>
      <c r="V62" s="4">
        <v>75.16</v>
      </c>
      <c r="W62" s="4">
        <f t="shared" si="20"/>
        <v>62.382799999999996</v>
      </c>
    </row>
    <row r="63" spans="1:23" x14ac:dyDescent="0.25">
      <c r="A63" s="10" t="s">
        <v>125</v>
      </c>
      <c r="B63" s="9"/>
      <c r="C63" s="9"/>
      <c r="D63" s="11"/>
      <c r="E63" s="9"/>
      <c r="F63" s="9"/>
      <c r="G63" s="12"/>
      <c r="H63" s="12"/>
      <c r="I63" s="12"/>
      <c r="J63" s="19"/>
      <c r="K63" s="13"/>
      <c r="L63" s="13">
        <f>SUM(L64:L71)</f>
        <v>69042.858900499996</v>
      </c>
      <c r="M63" s="13">
        <f t="shared" ref="M63:O63" si="21">SUM(M64:M71)</f>
        <v>0</v>
      </c>
      <c r="N63" s="13">
        <f t="shared" si="21"/>
        <v>0</v>
      </c>
      <c r="O63" s="13">
        <f t="shared" si="21"/>
        <v>0</v>
      </c>
    </row>
    <row r="64" spans="1:23" ht="57.6" x14ac:dyDescent="0.25">
      <c r="A64" s="15" t="s">
        <v>126</v>
      </c>
      <c r="B64" s="16">
        <v>133392</v>
      </c>
      <c r="C64" s="16">
        <v>92565</v>
      </c>
      <c r="D64" s="18" t="s">
        <v>127</v>
      </c>
      <c r="E64" s="17" t="s">
        <v>28</v>
      </c>
      <c r="F64" s="17" t="s">
        <v>34</v>
      </c>
      <c r="G64" s="19">
        <v>615.04999999999995</v>
      </c>
      <c r="H64" s="19"/>
      <c r="I64" s="19"/>
      <c r="J64" s="19">
        <f t="shared" si="2"/>
        <v>0</v>
      </c>
      <c r="K64" s="20">
        <v>28.966999999999999</v>
      </c>
      <c r="L64" s="20">
        <f>G64*K64</f>
        <v>17816.153349999997</v>
      </c>
      <c r="M64" s="20">
        <f t="shared" si="3"/>
        <v>0</v>
      </c>
      <c r="N64" s="20">
        <f t="shared" si="4"/>
        <v>0</v>
      </c>
      <c r="O64" s="20">
        <f t="shared" si="5"/>
        <v>0</v>
      </c>
      <c r="V64" s="4">
        <v>34.9</v>
      </c>
      <c r="W64" s="4">
        <f t="shared" ref="W64:W71" si="22">V64-V64*$R$5</f>
        <v>28.966999999999999</v>
      </c>
    </row>
    <row r="65" spans="1:23" ht="57.6" x14ac:dyDescent="0.25">
      <c r="A65" s="15" t="s">
        <v>128</v>
      </c>
      <c r="B65" s="16">
        <v>133371</v>
      </c>
      <c r="C65" s="16">
        <v>92542</v>
      </c>
      <c r="D65" s="18" t="s">
        <v>129</v>
      </c>
      <c r="E65" s="17" t="s">
        <v>28</v>
      </c>
      <c r="F65" s="17" t="s">
        <v>34</v>
      </c>
      <c r="G65" s="19">
        <v>77.02</v>
      </c>
      <c r="H65" s="19"/>
      <c r="I65" s="19"/>
      <c r="J65" s="19">
        <f t="shared" si="2"/>
        <v>0</v>
      </c>
      <c r="K65" s="20">
        <v>74.430250000000001</v>
      </c>
      <c r="L65" s="20">
        <f>G65*K65</f>
        <v>5732.6178549999995</v>
      </c>
      <c r="M65" s="20">
        <f t="shared" si="3"/>
        <v>0</v>
      </c>
      <c r="N65" s="20">
        <f t="shared" si="4"/>
        <v>0</v>
      </c>
      <c r="O65" s="20">
        <f t="shared" si="5"/>
        <v>0</v>
      </c>
      <c r="V65" s="4">
        <v>89.674999999999997</v>
      </c>
      <c r="W65" s="4">
        <f t="shared" si="22"/>
        <v>74.430250000000001</v>
      </c>
    </row>
    <row r="66" spans="1:23" ht="43.2" x14ac:dyDescent="0.25">
      <c r="A66" s="15" t="s">
        <v>130</v>
      </c>
      <c r="B66" s="16">
        <v>146764</v>
      </c>
      <c r="C66" s="16">
        <v>94445</v>
      </c>
      <c r="D66" s="18" t="s">
        <v>131</v>
      </c>
      <c r="E66" s="17" t="s">
        <v>28</v>
      </c>
      <c r="F66" s="17" t="s">
        <v>34</v>
      </c>
      <c r="G66" s="19">
        <v>672.85</v>
      </c>
      <c r="H66" s="19"/>
      <c r="I66" s="19"/>
      <c r="J66" s="19">
        <f t="shared" si="2"/>
        <v>0</v>
      </c>
      <c r="K66" s="20">
        <v>30.543999999999997</v>
      </c>
      <c r="L66" s="20">
        <f>G66*K66</f>
        <v>20551.5304</v>
      </c>
      <c r="M66" s="20">
        <f t="shared" si="3"/>
        <v>0</v>
      </c>
      <c r="N66" s="20">
        <f t="shared" si="4"/>
        <v>0</v>
      </c>
      <c r="O66" s="20">
        <f t="shared" si="5"/>
        <v>0</v>
      </c>
      <c r="V66" s="4">
        <v>36.799999999999997</v>
      </c>
      <c r="W66" s="4">
        <f t="shared" si="22"/>
        <v>30.543999999999997</v>
      </c>
    </row>
    <row r="67" spans="1:23" ht="57.6" x14ac:dyDescent="0.25">
      <c r="A67" s="15" t="s">
        <v>132</v>
      </c>
      <c r="B67" s="16">
        <v>146775</v>
      </c>
      <c r="C67" s="16">
        <v>94221</v>
      </c>
      <c r="D67" s="18" t="s">
        <v>133</v>
      </c>
      <c r="E67" s="17" t="s">
        <v>28</v>
      </c>
      <c r="F67" s="17" t="s">
        <v>86</v>
      </c>
      <c r="G67" s="19">
        <v>85.33</v>
      </c>
      <c r="H67" s="19"/>
      <c r="I67" s="19"/>
      <c r="J67" s="19">
        <f t="shared" si="2"/>
        <v>0</v>
      </c>
      <c r="K67" s="20">
        <v>16.600000000000001</v>
      </c>
      <c r="L67" s="20">
        <f>G67*K67</f>
        <v>1416.4780000000001</v>
      </c>
      <c r="M67" s="20">
        <f t="shared" si="3"/>
        <v>0</v>
      </c>
      <c r="N67" s="20">
        <f t="shared" si="4"/>
        <v>0</v>
      </c>
      <c r="O67" s="20">
        <f t="shared" si="5"/>
        <v>0</v>
      </c>
      <c r="V67" s="4">
        <v>20</v>
      </c>
      <c r="W67" s="4">
        <f t="shared" si="22"/>
        <v>16.600000000000001</v>
      </c>
    </row>
    <row r="68" spans="1:23" ht="28.8" x14ac:dyDescent="0.25">
      <c r="A68" s="15" t="s">
        <v>134</v>
      </c>
      <c r="B68" s="16">
        <v>163731</v>
      </c>
      <c r="C68" s="17"/>
      <c r="D68" s="18" t="s">
        <v>135</v>
      </c>
      <c r="E68" s="17" t="s">
        <v>28</v>
      </c>
      <c r="F68" s="17" t="s">
        <v>86</v>
      </c>
      <c r="G68" s="19">
        <v>41.57</v>
      </c>
      <c r="H68" s="19"/>
      <c r="I68" s="19"/>
      <c r="J68" s="19">
        <f t="shared" si="2"/>
        <v>0</v>
      </c>
      <c r="K68" s="20">
        <v>18.6418</v>
      </c>
      <c r="L68" s="20">
        <f>G68*K68</f>
        <v>774.93962599999998</v>
      </c>
      <c r="M68" s="20">
        <f t="shared" si="3"/>
        <v>0</v>
      </c>
      <c r="N68" s="20">
        <f t="shared" si="4"/>
        <v>0</v>
      </c>
      <c r="O68" s="20">
        <f t="shared" si="5"/>
        <v>0</v>
      </c>
      <c r="V68" s="4">
        <v>22.46</v>
      </c>
      <c r="W68" s="4">
        <f t="shared" si="22"/>
        <v>18.6418</v>
      </c>
    </row>
    <row r="69" spans="1:23" ht="28.8" x14ac:dyDescent="0.25">
      <c r="A69" s="15" t="s">
        <v>136</v>
      </c>
      <c r="B69" s="16">
        <v>146757</v>
      </c>
      <c r="C69" s="16">
        <v>94224</v>
      </c>
      <c r="D69" s="18" t="s">
        <v>137</v>
      </c>
      <c r="E69" s="17" t="s">
        <v>28</v>
      </c>
      <c r="F69" s="17" t="s">
        <v>86</v>
      </c>
      <c r="G69" s="19">
        <v>8.7799999999999994</v>
      </c>
      <c r="H69" s="19"/>
      <c r="I69" s="19"/>
      <c r="J69" s="19">
        <f t="shared" si="2"/>
        <v>0</v>
      </c>
      <c r="K69" s="20">
        <v>18.591999999999999</v>
      </c>
      <c r="L69" s="20">
        <f>G69*K69</f>
        <v>163.23775999999998</v>
      </c>
      <c r="M69" s="20">
        <f t="shared" si="3"/>
        <v>0</v>
      </c>
      <c r="N69" s="20">
        <f t="shared" si="4"/>
        <v>0</v>
      </c>
      <c r="O69" s="20">
        <f t="shared" si="5"/>
        <v>0</v>
      </c>
      <c r="V69" s="4">
        <v>22.4</v>
      </c>
      <c r="W69" s="4">
        <f t="shared" si="22"/>
        <v>18.591999999999999</v>
      </c>
    </row>
    <row r="70" spans="1:23" ht="28.8" x14ac:dyDescent="0.25">
      <c r="A70" s="15" t="s">
        <v>138</v>
      </c>
      <c r="B70" s="16">
        <v>161738</v>
      </c>
      <c r="C70" s="17"/>
      <c r="D70" s="18" t="s">
        <v>139</v>
      </c>
      <c r="E70" s="17" t="s">
        <v>28</v>
      </c>
      <c r="F70" s="17" t="s">
        <v>34</v>
      </c>
      <c r="G70" s="19">
        <v>8.31</v>
      </c>
      <c r="H70" s="19"/>
      <c r="I70" s="19"/>
      <c r="J70" s="19">
        <f t="shared" si="2"/>
        <v>0</v>
      </c>
      <c r="K70" s="20">
        <v>38.337699999999998</v>
      </c>
      <c r="L70" s="20">
        <f>G70*K70</f>
        <v>318.58628700000003</v>
      </c>
      <c r="M70" s="20">
        <f t="shared" si="3"/>
        <v>0</v>
      </c>
      <c r="N70" s="20">
        <f t="shared" si="4"/>
        <v>0</v>
      </c>
      <c r="O70" s="20">
        <f t="shared" si="5"/>
        <v>0</v>
      </c>
      <c r="V70" s="4">
        <v>46.19</v>
      </c>
      <c r="W70" s="4">
        <f t="shared" si="22"/>
        <v>38.337699999999998</v>
      </c>
    </row>
    <row r="71" spans="1:23" ht="43.2" x14ac:dyDescent="0.25">
      <c r="A71" s="15" t="s">
        <v>140</v>
      </c>
      <c r="B71" s="16">
        <v>153541</v>
      </c>
      <c r="C71" s="16">
        <v>96111</v>
      </c>
      <c r="D71" s="18" t="s">
        <v>141</v>
      </c>
      <c r="E71" s="17" t="s">
        <v>28</v>
      </c>
      <c r="F71" s="17" t="s">
        <v>34</v>
      </c>
      <c r="G71" s="19">
        <v>356.67</v>
      </c>
      <c r="H71" s="19"/>
      <c r="I71" s="19"/>
      <c r="J71" s="19">
        <f t="shared" si="2"/>
        <v>0</v>
      </c>
      <c r="K71" s="20">
        <v>62.436749999999996</v>
      </c>
      <c r="L71" s="20">
        <f>G71*K71</f>
        <v>22269.315622499998</v>
      </c>
      <c r="M71" s="20">
        <f t="shared" si="3"/>
        <v>0</v>
      </c>
      <c r="N71" s="20">
        <f t="shared" si="4"/>
        <v>0</v>
      </c>
      <c r="O71" s="20">
        <f t="shared" si="5"/>
        <v>0</v>
      </c>
      <c r="V71" s="4">
        <v>75.224999999999994</v>
      </c>
      <c r="W71" s="4">
        <f t="shared" si="22"/>
        <v>62.436749999999996</v>
      </c>
    </row>
    <row r="72" spans="1:23" x14ac:dyDescent="0.25">
      <c r="A72" s="10" t="s">
        <v>142</v>
      </c>
      <c r="B72" s="9"/>
      <c r="C72" s="9"/>
      <c r="D72" s="11"/>
      <c r="E72" s="9"/>
      <c r="F72" s="9"/>
      <c r="G72" s="12"/>
      <c r="H72" s="12"/>
      <c r="I72" s="12"/>
      <c r="J72" s="19"/>
      <c r="K72" s="13"/>
      <c r="L72" s="13">
        <f>SUM(L73:L79)</f>
        <v>112951.44689799999</v>
      </c>
      <c r="M72" s="13">
        <f t="shared" ref="M72:O72" si="23">SUM(M73:M79)</f>
        <v>0</v>
      </c>
      <c r="N72" s="13">
        <f t="shared" si="23"/>
        <v>0</v>
      </c>
      <c r="O72" s="13">
        <f t="shared" si="23"/>
        <v>0</v>
      </c>
    </row>
    <row r="73" spans="1:23" ht="28.8" x14ac:dyDescent="0.25">
      <c r="A73" s="15" t="s">
        <v>143</v>
      </c>
      <c r="B73" s="16">
        <v>160114</v>
      </c>
      <c r="C73" s="17"/>
      <c r="D73" s="18" t="s">
        <v>144</v>
      </c>
      <c r="E73" s="17" t="s">
        <v>28</v>
      </c>
      <c r="F73" s="17" t="s">
        <v>34</v>
      </c>
      <c r="G73" s="19">
        <v>2159.7600000000002</v>
      </c>
      <c r="H73" s="19"/>
      <c r="I73" s="19"/>
      <c r="J73" s="19">
        <f t="shared" si="2"/>
        <v>0</v>
      </c>
      <c r="K73" s="20">
        <v>2.9714</v>
      </c>
      <c r="L73" s="20">
        <f>G73*K73</f>
        <v>6417.5108640000008</v>
      </c>
      <c r="M73" s="20">
        <f t="shared" si="3"/>
        <v>0</v>
      </c>
      <c r="N73" s="20">
        <f t="shared" si="4"/>
        <v>0</v>
      </c>
      <c r="O73" s="20">
        <f t="shared" si="5"/>
        <v>0</v>
      </c>
      <c r="V73" s="4">
        <v>3.58</v>
      </c>
      <c r="W73" s="4">
        <f t="shared" ref="W73:W79" si="24">V73-V73*$R$5</f>
        <v>2.9714</v>
      </c>
    </row>
    <row r="74" spans="1:23" ht="43.2" x14ac:dyDescent="0.25">
      <c r="A74" s="15" t="s">
        <v>145</v>
      </c>
      <c r="B74" s="16">
        <v>161080</v>
      </c>
      <c r="C74" s="17" t="s">
        <v>146</v>
      </c>
      <c r="D74" s="18" t="s">
        <v>147</v>
      </c>
      <c r="E74" s="17" t="s">
        <v>28</v>
      </c>
      <c r="F74" s="17" t="s">
        <v>34</v>
      </c>
      <c r="G74" s="19">
        <v>1314.79</v>
      </c>
      <c r="H74" s="19"/>
      <c r="I74" s="19"/>
      <c r="J74" s="19">
        <f t="shared" si="2"/>
        <v>0</v>
      </c>
      <c r="K74" s="20">
        <v>18.002700000000001</v>
      </c>
      <c r="L74" s="20">
        <f>G74*K74</f>
        <v>23669.769933</v>
      </c>
      <c r="M74" s="20">
        <f t="shared" si="3"/>
        <v>0</v>
      </c>
      <c r="N74" s="20">
        <f t="shared" si="4"/>
        <v>0</v>
      </c>
      <c r="O74" s="20">
        <f t="shared" si="5"/>
        <v>0</v>
      </c>
      <c r="V74" s="4">
        <v>21.69</v>
      </c>
      <c r="W74" s="4">
        <f t="shared" si="24"/>
        <v>18.002700000000001</v>
      </c>
    </row>
    <row r="75" spans="1:23" ht="43.2" x14ac:dyDescent="0.25">
      <c r="A75" s="15" t="s">
        <v>148</v>
      </c>
      <c r="B75" s="16">
        <v>160138</v>
      </c>
      <c r="C75" s="17"/>
      <c r="D75" s="18" t="s">
        <v>149</v>
      </c>
      <c r="E75" s="17" t="s">
        <v>28</v>
      </c>
      <c r="F75" s="17" t="s">
        <v>34</v>
      </c>
      <c r="G75" s="19">
        <v>844.79</v>
      </c>
      <c r="H75" s="19"/>
      <c r="I75" s="19"/>
      <c r="J75" s="19">
        <f t="shared" si="2"/>
        <v>0</v>
      </c>
      <c r="K75" s="20">
        <v>14.475200000000001</v>
      </c>
      <c r="L75" s="20">
        <f>G75*K75</f>
        <v>12228.504208</v>
      </c>
      <c r="M75" s="20">
        <f t="shared" si="3"/>
        <v>0</v>
      </c>
      <c r="N75" s="20">
        <f t="shared" si="4"/>
        <v>0</v>
      </c>
      <c r="O75" s="20">
        <f t="shared" si="5"/>
        <v>0</v>
      </c>
      <c r="P75" s="22"/>
      <c r="V75" s="4">
        <v>17.440000000000001</v>
      </c>
      <c r="W75" s="4">
        <f t="shared" si="24"/>
        <v>14.475200000000001</v>
      </c>
    </row>
    <row r="76" spans="1:23" ht="57.6" x14ac:dyDescent="0.25">
      <c r="A76" s="15" t="s">
        <v>150</v>
      </c>
      <c r="B76" s="16">
        <v>160279</v>
      </c>
      <c r="C76" s="17"/>
      <c r="D76" s="18" t="s">
        <v>151</v>
      </c>
      <c r="E76" s="17" t="s">
        <v>28</v>
      </c>
      <c r="F76" s="17" t="s">
        <v>34</v>
      </c>
      <c r="G76" s="19">
        <v>108.2</v>
      </c>
      <c r="H76" s="19"/>
      <c r="I76" s="19"/>
      <c r="J76" s="19">
        <f t="shared" ref="J76:J139" si="25">H76+I76</f>
        <v>0</v>
      </c>
      <c r="K76" s="20">
        <v>87.747600000000006</v>
      </c>
      <c r="L76" s="20">
        <f>G76*K76</f>
        <v>9494.2903200000001</v>
      </c>
      <c r="M76" s="20">
        <f t="shared" ref="M76:M139" si="26">H76*K76</f>
        <v>0</v>
      </c>
      <c r="N76" s="20">
        <f t="shared" ref="N76:N139" si="27">I76*K76</f>
        <v>0</v>
      </c>
      <c r="O76" s="20">
        <f t="shared" ref="O76:O139" si="28">J76*K76</f>
        <v>0</v>
      </c>
      <c r="V76" s="4">
        <v>105.72</v>
      </c>
      <c r="W76" s="4">
        <f t="shared" si="24"/>
        <v>87.747600000000006</v>
      </c>
    </row>
    <row r="77" spans="1:23" ht="43.2" x14ac:dyDescent="0.25">
      <c r="A77" s="15" t="s">
        <v>152</v>
      </c>
      <c r="B77" s="16">
        <v>161082</v>
      </c>
      <c r="C77" s="17" t="s">
        <v>153</v>
      </c>
      <c r="D77" s="18" t="s">
        <v>154</v>
      </c>
      <c r="E77" s="17" t="s">
        <v>28</v>
      </c>
      <c r="F77" s="17" t="s">
        <v>34</v>
      </c>
      <c r="G77" s="19">
        <v>736.59</v>
      </c>
      <c r="H77" s="19"/>
      <c r="I77" s="19"/>
      <c r="J77" s="19">
        <f t="shared" si="25"/>
        <v>0</v>
      </c>
      <c r="K77" s="20">
        <v>53.194700000000005</v>
      </c>
      <c r="L77" s="20">
        <f>G77*K77</f>
        <v>39182.684073000004</v>
      </c>
      <c r="M77" s="20">
        <f t="shared" si="26"/>
        <v>0</v>
      </c>
      <c r="N77" s="20">
        <f t="shared" si="27"/>
        <v>0</v>
      </c>
      <c r="O77" s="20">
        <f t="shared" si="28"/>
        <v>0</v>
      </c>
      <c r="V77" s="4">
        <v>64.09</v>
      </c>
      <c r="W77" s="4">
        <f t="shared" si="24"/>
        <v>53.194700000000005</v>
      </c>
    </row>
    <row r="78" spans="1:23" ht="43.2" x14ac:dyDescent="0.25">
      <c r="A78" s="15" t="s">
        <v>155</v>
      </c>
      <c r="B78" s="16">
        <v>161922</v>
      </c>
      <c r="C78" s="17"/>
      <c r="D78" s="18" t="s">
        <v>156</v>
      </c>
      <c r="E78" s="17" t="s">
        <v>28</v>
      </c>
      <c r="F78" s="17" t="s">
        <v>34</v>
      </c>
      <c r="G78" s="19">
        <v>625</v>
      </c>
      <c r="H78" s="19"/>
      <c r="I78" s="19"/>
      <c r="J78" s="19">
        <f t="shared" si="25"/>
        <v>0</v>
      </c>
      <c r="K78" s="20">
        <v>4.2578999999999994</v>
      </c>
      <c r="L78" s="20">
        <f>G78*K78</f>
        <v>2661.1874999999995</v>
      </c>
      <c r="M78" s="20">
        <f t="shared" si="26"/>
        <v>0</v>
      </c>
      <c r="N78" s="20">
        <f t="shared" si="27"/>
        <v>0</v>
      </c>
      <c r="O78" s="20">
        <f t="shared" si="28"/>
        <v>0</v>
      </c>
      <c r="P78" s="22"/>
      <c r="V78" s="4">
        <v>5.13</v>
      </c>
      <c r="W78" s="4">
        <f t="shared" si="24"/>
        <v>4.2578999999999994</v>
      </c>
    </row>
    <row r="79" spans="1:23" ht="28.8" x14ac:dyDescent="0.25">
      <c r="A79" s="15" t="s">
        <v>157</v>
      </c>
      <c r="B79" s="16">
        <v>161923</v>
      </c>
      <c r="C79" s="16">
        <v>87532</v>
      </c>
      <c r="D79" s="18" t="s">
        <v>158</v>
      </c>
      <c r="E79" s="17" t="s">
        <v>28</v>
      </c>
      <c r="F79" s="17" t="s">
        <v>34</v>
      </c>
      <c r="G79" s="19">
        <v>625</v>
      </c>
      <c r="H79" s="19"/>
      <c r="I79" s="19"/>
      <c r="J79" s="19">
        <f t="shared" si="25"/>
        <v>0</v>
      </c>
      <c r="K79" s="20">
        <v>30.876000000000001</v>
      </c>
      <c r="L79" s="20">
        <f>G79*K79</f>
        <v>19297.5</v>
      </c>
      <c r="M79" s="20">
        <f t="shared" si="26"/>
        <v>0</v>
      </c>
      <c r="N79" s="20">
        <f t="shared" si="27"/>
        <v>0</v>
      </c>
      <c r="O79" s="20">
        <f t="shared" si="28"/>
        <v>0</v>
      </c>
      <c r="V79" s="4">
        <v>37.200000000000003</v>
      </c>
      <c r="W79" s="4">
        <f t="shared" si="24"/>
        <v>30.876000000000001</v>
      </c>
    </row>
    <row r="80" spans="1:23" x14ac:dyDescent="0.25">
      <c r="A80" s="10" t="s">
        <v>159</v>
      </c>
      <c r="B80" s="9"/>
      <c r="C80" s="9"/>
      <c r="D80" s="11"/>
      <c r="E80" s="9"/>
      <c r="F80" s="9"/>
      <c r="G80" s="12"/>
      <c r="H80" s="12"/>
      <c r="I80" s="12"/>
      <c r="J80" s="19"/>
      <c r="K80" s="13"/>
      <c r="L80" s="13">
        <f>SUM(L81:L90)</f>
        <v>60696.528425000004</v>
      </c>
      <c r="M80" s="13">
        <f t="shared" ref="M80:O80" si="29">SUM(M81:M90)</f>
        <v>0</v>
      </c>
      <c r="N80" s="13">
        <f t="shared" si="29"/>
        <v>0</v>
      </c>
      <c r="O80" s="13">
        <f t="shared" si="29"/>
        <v>0</v>
      </c>
    </row>
    <row r="81" spans="1:23" ht="43.2" x14ac:dyDescent="0.25">
      <c r="A81" s="15" t="s">
        <v>160</v>
      </c>
      <c r="B81" s="16">
        <v>162595</v>
      </c>
      <c r="C81" s="17"/>
      <c r="D81" s="18" t="s">
        <v>161</v>
      </c>
      <c r="E81" s="17" t="s">
        <v>28</v>
      </c>
      <c r="F81" s="17" t="s">
        <v>34</v>
      </c>
      <c r="G81" s="19">
        <v>407.76</v>
      </c>
      <c r="H81" s="19"/>
      <c r="I81" s="19"/>
      <c r="J81" s="19">
        <f t="shared" si="25"/>
        <v>0</v>
      </c>
      <c r="K81" s="20">
        <v>27.854800000000001</v>
      </c>
      <c r="L81" s="20">
        <f>G81*K81</f>
        <v>11358.073248000001</v>
      </c>
      <c r="M81" s="20">
        <f t="shared" si="26"/>
        <v>0</v>
      </c>
      <c r="N81" s="20">
        <f t="shared" si="27"/>
        <v>0</v>
      </c>
      <c r="O81" s="20">
        <f t="shared" si="28"/>
        <v>0</v>
      </c>
      <c r="V81" s="4">
        <v>33.56</v>
      </c>
      <c r="W81" s="4">
        <f t="shared" ref="W81:W90" si="30">V81-V81*$R$5</f>
        <v>27.854800000000001</v>
      </c>
    </row>
    <row r="82" spans="1:23" ht="28.8" x14ac:dyDescent="0.25">
      <c r="A82" s="15" t="s">
        <v>162</v>
      </c>
      <c r="B82" s="16">
        <v>136253</v>
      </c>
      <c r="C82" s="16">
        <v>88485</v>
      </c>
      <c r="D82" s="18" t="s">
        <v>163</v>
      </c>
      <c r="E82" s="17" t="s">
        <v>28</v>
      </c>
      <c r="F82" s="17" t="s">
        <v>34</v>
      </c>
      <c r="G82" s="19">
        <v>407.76</v>
      </c>
      <c r="H82" s="19"/>
      <c r="I82" s="19"/>
      <c r="J82" s="19">
        <f t="shared" si="25"/>
        <v>0</v>
      </c>
      <c r="K82" s="20">
        <v>2.1579999999999999</v>
      </c>
      <c r="L82" s="20">
        <f>G82*K82</f>
        <v>879.94607999999994</v>
      </c>
      <c r="M82" s="20">
        <f t="shared" si="26"/>
        <v>0</v>
      </c>
      <c r="N82" s="20">
        <f t="shared" si="27"/>
        <v>0</v>
      </c>
      <c r="O82" s="20">
        <f t="shared" si="28"/>
        <v>0</v>
      </c>
      <c r="V82" s="4">
        <v>2.6</v>
      </c>
      <c r="W82" s="4">
        <f t="shared" si="30"/>
        <v>2.1579999999999999</v>
      </c>
    </row>
    <row r="83" spans="1:23" ht="28.8" x14ac:dyDescent="0.25">
      <c r="A83" s="15" t="s">
        <v>164</v>
      </c>
      <c r="B83" s="16">
        <v>136257</v>
      </c>
      <c r="C83" s="16">
        <v>88489</v>
      </c>
      <c r="D83" s="18" t="s">
        <v>165</v>
      </c>
      <c r="E83" s="17" t="s">
        <v>28</v>
      </c>
      <c r="F83" s="17" t="s">
        <v>34</v>
      </c>
      <c r="G83" s="19">
        <v>407.76</v>
      </c>
      <c r="H83" s="19"/>
      <c r="I83" s="19"/>
      <c r="J83" s="19">
        <f t="shared" si="25"/>
        <v>0</v>
      </c>
      <c r="K83" s="20">
        <v>11.254799999999999</v>
      </c>
      <c r="L83" s="20">
        <f>G83*K83</f>
        <v>4589.2572479999999</v>
      </c>
      <c r="M83" s="20">
        <f t="shared" si="26"/>
        <v>0</v>
      </c>
      <c r="N83" s="20">
        <f t="shared" si="27"/>
        <v>0</v>
      </c>
      <c r="O83" s="20">
        <f t="shared" si="28"/>
        <v>0</v>
      </c>
      <c r="V83" s="4">
        <v>13.56</v>
      </c>
      <c r="W83" s="4">
        <f t="shared" si="30"/>
        <v>11.254799999999999</v>
      </c>
    </row>
    <row r="84" spans="1:23" ht="28.8" x14ac:dyDescent="0.25">
      <c r="A84" s="15" t="s">
        <v>166</v>
      </c>
      <c r="B84" s="16">
        <v>136273</v>
      </c>
      <c r="C84" s="17" t="s">
        <v>167</v>
      </c>
      <c r="D84" s="18" t="s">
        <v>168</v>
      </c>
      <c r="E84" s="17" t="s">
        <v>28</v>
      </c>
      <c r="F84" s="17" t="s">
        <v>34</v>
      </c>
      <c r="G84" s="19">
        <v>89.78</v>
      </c>
      <c r="H84" s="19"/>
      <c r="I84" s="19"/>
      <c r="J84" s="19">
        <f t="shared" si="25"/>
        <v>0</v>
      </c>
      <c r="K84" s="20">
        <v>10.499500000000001</v>
      </c>
      <c r="L84" s="20">
        <f>G84*K84</f>
        <v>942.64511000000016</v>
      </c>
      <c r="M84" s="20">
        <f t="shared" si="26"/>
        <v>0</v>
      </c>
      <c r="N84" s="20">
        <f t="shared" si="27"/>
        <v>0</v>
      </c>
      <c r="O84" s="20">
        <f t="shared" si="28"/>
        <v>0</v>
      </c>
      <c r="V84" s="4">
        <v>12.65</v>
      </c>
      <c r="W84" s="4">
        <f t="shared" si="30"/>
        <v>10.499500000000001</v>
      </c>
    </row>
    <row r="85" spans="1:23" ht="28.8" x14ac:dyDescent="0.25">
      <c r="A85" s="15" t="s">
        <v>169</v>
      </c>
      <c r="B85" s="16">
        <v>136289</v>
      </c>
      <c r="C85" s="17" t="s">
        <v>170</v>
      </c>
      <c r="D85" s="18" t="s">
        <v>171</v>
      </c>
      <c r="E85" s="17" t="s">
        <v>28</v>
      </c>
      <c r="F85" s="17" t="s">
        <v>34</v>
      </c>
      <c r="G85" s="19">
        <v>118.22</v>
      </c>
      <c r="H85" s="19"/>
      <c r="I85" s="19"/>
      <c r="J85" s="19">
        <f t="shared" si="25"/>
        <v>0</v>
      </c>
      <c r="K85" s="20">
        <v>32.195700000000002</v>
      </c>
      <c r="L85" s="20">
        <f>G85*K85</f>
        <v>3806.1756540000001</v>
      </c>
      <c r="M85" s="20">
        <f t="shared" si="26"/>
        <v>0</v>
      </c>
      <c r="N85" s="20">
        <f t="shared" si="27"/>
        <v>0</v>
      </c>
      <c r="O85" s="20">
        <f t="shared" si="28"/>
        <v>0</v>
      </c>
      <c r="V85" s="4">
        <v>38.79</v>
      </c>
      <c r="W85" s="4">
        <f t="shared" si="30"/>
        <v>32.195700000000002</v>
      </c>
    </row>
    <row r="86" spans="1:23" ht="43.2" x14ac:dyDescent="0.25">
      <c r="A86" s="15" t="s">
        <v>172</v>
      </c>
      <c r="B86" s="16">
        <v>136244</v>
      </c>
      <c r="C86" s="16">
        <v>88423</v>
      </c>
      <c r="D86" s="18" t="s">
        <v>173</v>
      </c>
      <c r="E86" s="17" t="s">
        <v>28</v>
      </c>
      <c r="F86" s="17" t="s">
        <v>34</v>
      </c>
      <c r="G86" s="19">
        <v>2.5299999999999998</v>
      </c>
      <c r="H86" s="19"/>
      <c r="I86" s="19"/>
      <c r="J86" s="19">
        <f t="shared" si="25"/>
        <v>0</v>
      </c>
      <c r="K86" s="20">
        <v>16.060500000000001</v>
      </c>
      <c r="L86" s="20">
        <f>G86*K86</f>
        <v>40.633065000000002</v>
      </c>
      <c r="M86" s="20">
        <f t="shared" si="26"/>
        <v>0</v>
      </c>
      <c r="N86" s="20">
        <f t="shared" si="27"/>
        <v>0</v>
      </c>
      <c r="O86" s="20">
        <f t="shared" si="28"/>
        <v>0</v>
      </c>
      <c r="V86" s="4">
        <v>19.350000000000001</v>
      </c>
      <c r="W86" s="4">
        <f t="shared" si="30"/>
        <v>16.060500000000001</v>
      </c>
    </row>
    <row r="87" spans="1:23" ht="28.8" x14ac:dyDescent="0.25">
      <c r="A87" s="15" t="s">
        <v>174</v>
      </c>
      <c r="B87" s="16">
        <v>136255</v>
      </c>
      <c r="C87" s="16">
        <v>88487</v>
      </c>
      <c r="D87" s="18" t="s">
        <v>175</v>
      </c>
      <c r="E87" s="17" t="s">
        <v>28</v>
      </c>
      <c r="F87" s="17" t="s">
        <v>34</v>
      </c>
      <c r="G87" s="19">
        <v>1578.41</v>
      </c>
      <c r="H87" s="19"/>
      <c r="I87" s="19"/>
      <c r="J87" s="19">
        <f t="shared" si="25"/>
        <v>0</v>
      </c>
      <c r="K87" s="20">
        <v>11.254799999999999</v>
      </c>
      <c r="L87" s="20">
        <f>G87*K87</f>
        <v>17764.688868000001</v>
      </c>
      <c r="M87" s="20">
        <f t="shared" si="26"/>
        <v>0</v>
      </c>
      <c r="N87" s="20">
        <f t="shared" si="27"/>
        <v>0</v>
      </c>
      <c r="O87" s="20">
        <f t="shared" si="28"/>
        <v>0</v>
      </c>
      <c r="V87" s="4">
        <v>13.56</v>
      </c>
      <c r="W87" s="4">
        <f t="shared" si="30"/>
        <v>11.254799999999999</v>
      </c>
    </row>
    <row r="88" spans="1:23" ht="28.8" x14ac:dyDescent="0.25">
      <c r="A88" s="15" t="s">
        <v>176</v>
      </c>
      <c r="B88" s="16">
        <v>133361</v>
      </c>
      <c r="C88" s="16">
        <v>55960</v>
      </c>
      <c r="D88" s="18" t="s">
        <v>177</v>
      </c>
      <c r="E88" s="17" t="s">
        <v>28</v>
      </c>
      <c r="F88" s="17" t="s">
        <v>34</v>
      </c>
      <c r="G88" s="19">
        <v>1009.28</v>
      </c>
      <c r="H88" s="19"/>
      <c r="I88" s="19"/>
      <c r="J88" s="19">
        <f t="shared" si="25"/>
        <v>0</v>
      </c>
      <c r="K88" s="20">
        <v>4.5484</v>
      </c>
      <c r="L88" s="20">
        <f>G88*K88</f>
        <v>4590.609152</v>
      </c>
      <c r="M88" s="20">
        <f t="shared" si="26"/>
        <v>0</v>
      </c>
      <c r="N88" s="20">
        <f t="shared" si="27"/>
        <v>0</v>
      </c>
      <c r="O88" s="20">
        <f t="shared" si="28"/>
        <v>0</v>
      </c>
      <c r="V88" s="4">
        <v>5.48</v>
      </c>
      <c r="W88" s="4">
        <f t="shared" si="30"/>
        <v>4.5484</v>
      </c>
    </row>
    <row r="89" spans="1:23" ht="28.8" x14ac:dyDescent="0.25">
      <c r="A89" s="15" t="s">
        <v>178</v>
      </c>
      <c r="B89" s="16">
        <v>136258</v>
      </c>
      <c r="C89" s="16">
        <v>88494</v>
      </c>
      <c r="D89" s="18" t="s">
        <v>179</v>
      </c>
      <c r="E89" s="17" t="s">
        <v>28</v>
      </c>
      <c r="F89" s="17" t="s">
        <v>34</v>
      </c>
      <c r="G89" s="19">
        <v>625</v>
      </c>
      <c r="H89" s="19"/>
      <c r="I89" s="19"/>
      <c r="J89" s="19">
        <f t="shared" si="25"/>
        <v>0</v>
      </c>
      <c r="K89" s="20">
        <v>14.11</v>
      </c>
      <c r="L89" s="20">
        <f>G89*K89</f>
        <v>8818.75</v>
      </c>
      <c r="M89" s="20">
        <f t="shared" si="26"/>
        <v>0</v>
      </c>
      <c r="N89" s="20">
        <f t="shared" si="27"/>
        <v>0</v>
      </c>
      <c r="O89" s="20">
        <f t="shared" si="28"/>
        <v>0</v>
      </c>
      <c r="V89" s="4">
        <v>17</v>
      </c>
      <c r="W89" s="4">
        <f t="shared" si="30"/>
        <v>14.11</v>
      </c>
    </row>
    <row r="90" spans="1:23" ht="28.8" x14ac:dyDescent="0.25">
      <c r="A90" s="23">
        <v>40423</v>
      </c>
      <c r="B90" s="16">
        <v>136254</v>
      </c>
      <c r="C90" s="16">
        <v>88486</v>
      </c>
      <c r="D90" s="18" t="s">
        <v>180</v>
      </c>
      <c r="E90" s="17" t="s">
        <v>28</v>
      </c>
      <c r="F90" s="17" t="s">
        <v>34</v>
      </c>
      <c r="G90" s="19">
        <v>625</v>
      </c>
      <c r="H90" s="19"/>
      <c r="I90" s="19"/>
      <c r="J90" s="19">
        <f t="shared" si="25"/>
        <v>0</v>
      </c>
      <c r="K90" s="20">
        <v>12.6492</v>
      </c>
      <c r="L90" s="20">
        <f>G90*K90</f>
        <v>7905.75</v>
      </c>
      <c r="M90" s="20">
        <f t="shared" si="26"/>
        <v>0</v>
      </c>
      <c r="N90" s="20">
        <f t="shared" si="27"/>
        <v>0</v>
      </c>
      <c r="O90" s="20">
        <f t="shared" si="28"/>
        <v>0</v>
      </c>
      <c r="V90" s="4">
        <v>15.24</v>
      </c>
      <c r="W90" s="4">
        <f t="shared" si="30"/>
        <v>12.6492</v>
      </c>
    </row>
    <row r="91" spans="1:23" x14ac:dyDescent="0.25">
      <c r="A91" s="8" t="s">
        <v>181</v>
      </c>
      <c r="B91" s="9"/>
      <c r="C91" s="9"/>
      <c r="D91" s="11"/>
      <c r="E91" s="9"/>
      <c r="F91" s="9"/>
      <c r="G91" s="12"/>
      <c r="H91" s="12"/>
      <c r="I91" s="12"/>
      <c r="J91" s="19"/>
      <c r="K91" s="13"/>
      <c r="L91" s="13">
        <f>SUM(L92:L101)</f>
        <v>95361.855328000005</v>
      </c>
      <c r="M91" s="13">
        <f t="shared" ref="M91:O91" si="31">SUM(M92:M101)</f>
        <v>0</v>
      </c>
      <c r="N91" s="13">
        <f t="shared" si="31"/>
        <v>0</v>
      </c>
      <c r="O91" s="13">
        <f t="shared" si="31"/>
        <v>0</v>
      </c>
    </row>
    <row r="92" spans="1:23" ht="28.8" x14ac:dyDescent="0.25">
      <c r="A92" s="15" t="s">
        <v>182</v>
      </c>
      <c r="B92" s="16">
        <v>148340</v>
      </c>
      <c r="C92" s="17"/>
      <c r="D92" s="18" t="s">
        <v>183</v>
      </c>
      <c r="E92" s="17" t="s">
        <v>28</v>
      </c>
      <c r="F92" s="17" t="s">
        <v>57</v>
      </c>
      <c r="G92" s="19">
        <v>44.86</v>
      </c>
      <c r="H92" s="19"/>
      <c r="I92" s="19"/>
      <c r="J92" s="19">
        <f t="shared" si="25"/>
        <v>0</v>
      </c>
      <c r="K92" s="20">
        <v>244.5429</v>
      </c>
      <c r="L92" s="20">
        <f>G92*K92</f>
        <v>10970.194493999999</v>
      </c>
      <c r="M92" s="20">
        <f t="shared" si="26"/>
        <v>0</v>
      </c>
      <c r="N92" s="20">
        <f t="shared" si="27"/>
        <v>0</v>
      </c>
      <c r="O92" s="20">
        <f t="shared" si="28"/>
        <v>0</v>
      </c>
      <c r="V92" s="4">
        <v>294.63</v>
      </c>
      <c r="W92" s="4">
        <f t="shared" ref="W92:W101" si="32">V92-V92*$R$5</f>
        <v>244.5429</v>
      </c>
    </row>
    <row r="93" spans="1:23" ht="43.2" x14ac:dyDescent="0.25">
      <c r="A93" s="15" t="s">
        <v>184</v>
      </c>
      <c r="B93" s="16">
        <v>161761</v>
      </c>
      <c r="C93" s="17"/>
      <c r="D93" s="18" t="s">
        <v>185</v>
      </c>
      <c r="E93" s="17" t="s">
        <v>15</v>
      </c>
      <c r="F93" s="17" t="s">
        <v>34</v>
      </c>
      <c r="G93" s="19">
        <v>45.74</v>
      </c>
      <c r="H93" s="19"/>
      <c r="I93" s="19"/>
      <c r="J93" s="19">
        <f t="shared" si="25"/>
        <v>0</v>
      </c>
      <c r="K93" s="20">
        <v>21.654699999999998</v>
      </c>
      <c r="L93" s="20">
        <f>G93*K93</f>
        <v>990.48597799999993</v>
      </c>
      <c r="M93" s="20">
        <f t="shared" si="26"/>
        <v>0</v>
      </c>
      <c r="N93" s="20">
        <f t="shared" si="27"/>
        <v>0</v>
      </c>
      <c r="O93" s="20">
        <f t="shared" si="28"/>
        <v>0</v>
      </c>
      <c r="V93" s="4">
        <v>26.09</v>
      </c>
      <c r="W93" s="4">
        <f t="shared" si="32"/>
        <v>21.654699999999998</v>
      </c>
    </row>
    <row r="94" spans="1:23" ht="43.2" x14ac:dyDescent="0.25">
      <c r="A94" s="15" t="s">
        <v>186</v>
      </c>
      <c r="B94" s="16">
        <v>161754</v>
      </c>
      <c r="C94" s="17"/>
      <c r="D94" s="18" t="s">
        <v>187</v>
      </c>
      <c r="E94" s="17" t="s">
        <v>28</v>
      </c>
      <c r="F94" s="17" t="s">
        <v>34</v>
      </c>
      <c r="G94" s="19">
        <v>45.74</v>
      </c>
      <c r="H94" s="19"/>
      <c r="I94" s="19"/>
      <c r="J94" s="19">
        <f t="shared" si="25"/>
        <v>0</v>
      </c>
      <c r="K94" s="20">
        <v>46.106499999999997</v>
      </c>
      <c r="L94" s="20">
        <f>G94*K94</f>
        <v>2108.91131</v>
      </c>
      <c r="M94" s="20">
        <f t="shared" si="26"/>
        <v>0</v>
      </c>
      <c r="N94" s="20">
        <f t="shared" si="27"/>
        <v>0</v>
      </c>
      <c r="O94" s="20">
        <f t="shared" si="28"/>
        <v>0</v>
      </c>
      <c r="V94" s="4">
        <v>55.55</v>
      </c>
      <c r="W94" s="4">
        <f t="shared" si="32"/>
        <v>46.106499999999997</v>
      </c>
    </row>
    <row r="95" spans="1:23" ht="43.2" x14ac:dyDescent="0.25">
      <c r="A95" s="15" t="s">
        <v>188</v>
      </c>
      <c r="B95" s="16">
        <v>161085</v>
      </c>
      <c r="C95" s="17" t="s">
        <v>189</v>
      </c>
      <c r="D95" s="18" t="s">
        <v>190</v>
      </c>
      <c r="E95" s="17" t="s">
        <v>28</v>
      </c>
      <c r="F95" s="17" t="s">
        <v>34</v>
      </c>
      <c r="G95" s="19">
        <v>515.01</v>
      </c>
      <c r="H95" s="19"/>
      <c r="I95" s="19"/>
      <c r="J95" s="19">
        <f t="shared" si="25"/>
        <v>0</v>
      </c>
      <c r="K95" s="20">
        <v>95.557899999999989</v>
      </c>
      <c r="L95" s="20">
        <f>G95*K95</f>
        <v>49213.274078999995</v>
      </c>
      <c r="M95" s="20">
        <f t="shared" si="26"/>
        <v>0</v>
      </c>
      <c r="N95" s="20">
        <f t="shared" si="27"/>
        <v>0</v>
      </c>
      <c r="O95" s="20">
        <f t="shared" si="28"/>
        <v>0</v>
      </c>
      <c r="P95" s="22"/>
      <c r="V95" s="4">
        <v>115.13</v>
      </c>
      <c r="W95" s="4">
        <f t="shared" si="32"/>
        <v>95.557899999999989</v>
      </c>
    </row>
    <row r="96" spans="1:23" ht="28.8" x14ac:dyDescent="0.25">
      <c r="A96" s="15" t="s">
        <v>191</v>
      </c>
      <c r="B96" s="16">
        <v>162295</v>
      </c>
      <c r="C96" s="17"/>
      <c r="D96" s="18" t="s">
        <v>192</v>
      </c>
      <c r="E96" s="17" t="s">
        <v>28</v>
      </c>
      <c r="F96" s="17" t="s">
        <v>34</v>
      </c>
      <c r="G96" s="19">
        <v>515.01</v>
      </c>
      <c r="H96" s="19"/>
      <c r="I96" s="19"/>
      <c r="J96" s="19">
        <f t="shared" si="25"/>
        <v>0</v>
      </c>
      <c r="K96" s="20">
        <v>16.110299999999999</v>
      </c>
      <c r="L96" s="20">
        <f>G96*K96</f>
        <v>8296.9656029999987</v>
      </c>
      <c r="M96" s="20">
        <f t="shared" si="26"/>
        <v>0</v>
      </c>
      <c r="N96" s="20">
        <f t="shared" si="27"/>
        <v>0</v>
      </c>
      <c r="O96" s="20">
        <f t="shared" si="28"/>
        <v>0</v>
      </c>
      <c r="V96" s="4">
        <v>19.41</v>
      </c>
      <c r="W96" s="4">
        <f t="shared" si="32"/>
        <v>16.110299999999999</v>
      </c>
    </row>
    <row r="97" spans="1:23" x14ac:dyDescent="0.25">
      <c r="A97" s="15" t="s">
        <v>193</v>
      </c>
      <c r="B97" s="16">
        <v>161037</v>
      </c>
      <c r="C97" s="17"/>
      <c r="D97" s="18" t="s">
        <v>194</v>
      </c>
      <c r="E97" s="17" t="s">
        <v>15</v>
      </c>
      <c r="F97" s="17" t="s">
        <v>86</v>
      </c>
      <c r="G97" s="19">
        <v>165.62</v>
      </c>
      <c r="H97" s="19"/>
      <c r="I97" s="19"/>
      <c r="J97" s="19">
        <f t="shared" si="25"/>
        <v>0</v>
      </c>
      <c r="K97" s="20">
        <v>101.54220000000001</v>
      </c>
      <c r="L97" s="20">
        <f>G97*K97</f>
        <v>16817.419164000003</v>
      </c>
      <c r="M97" s="20">
        <f t="shared" si="26"/>
        <v>0</v>
      </c>
      <c r="N97" s="20">
        <f t="shared" si="27"/>
        <v>0</v>
      </c>
      <c r="O97" s="20">
        <f t="shared" si="28"/>
        <v>0</v>
      </c>
      <c r="V97" s="4">
        <v>122.34</v>
      </c>
      <c r="W97" s="4">
        <f t="shared" si="32"/>
        <v>101.54220000000001</v>
      </c>
    </row>
    <row r="98" spans="1:23" ht="57.6" x14ac:dyDescent="0.25">
      <c r="A98" s="15" t="s">
        <v>195</v>
      </c>
      <c r="B98" s="16">
        <v>147444</v>
      </c>
      <c r="C98" s="16">
        <v>94992</v>
      </c>
      <c r="D98" s="18" t="s">
        <v>196</v>
      </c>
      <c r="E98" s="17" t="s">
        <v>28</v>
      </c>
      <c r="F98" s="17" t="s">
        <v>34</v>
      </c>
      <c r="G98" s="19">
        <v>6.5</v>
      </c>
      <c r="H98" s="19"/>
      <c r="I98" s="19"/>
      <c r="J98" s="19">
        <f t="shared" si="25"/>
        <v>0</v>
      </c>
      <c r="K98" s="20">
        <v>70.101799999999997</v>
      </c>
      <c r="L98" s="20">
        <f>G98*K98</f>
        <v>455.6617</v>
      </c>
      <c r="M98" s="20">
        <f t="shared" si="26"/>
        <v>0</v>
      </c>
      <c r="N98" s="20">
        <f t="shared" si="27"/>
        <v>0</v>
      </c>
      <c r="O98" s="20">
        <f t="shared" si="28"/>
        <v>0</v>
      </c>
      <c r="V98" s="4">
        <v>84.46</v>
      </c>
      <c r="W98" s="4">
        <f t="shared" si="32"/>
        <v>70.101799999999997</v>
      </c>
    </row>
    <row r="99" spans="1:23" ht="43.2" x14ac:dyDescent="0.25">
      <c r="A99" s="15" t="s">
        <v>197</v>
      </c>
      <c r="B99" s="16">
        <v>136198</v>
      </c>
      <c r="C99" s="16">
        <v>92396</v>
      </c>
      <c r="D99" s="18" t="s">
        <v>198</v>
      </c>
      <c r="E99" s="17" t="s">
        <v>28</v>
      </c>
      <c r="F99" s="17" t="s">
        <v>34</v>
      </c>
      <c r="G99" s="19">
        <v>101</v>
      </c>
      <c r="H99" s="19"/>
      <c r="I99" s="19"/>
      <c r="J99" s="19">
        <f t="shared" si="25"/>
        <v>0</v>
      </c>
      <c r="K99" s="20">
        <v>50.953699999999998</v>
      </c>
      <c r="L99" s="20">
        <f>G99*K99</f>
        <v>5146.3236999999999</v>
      </c>
      <c r="M99" s="20">
        <f t="shared" si="26"/>
        <v>0</v>
      </c>
      <c r="N99" s="20">
        <f t="shared" si="27"/>
        <v>0</v>
      </c>
      <c r="O99" s="20">
        <f t="shared" si="28"/>
        <v>0</v>
      </c>
      <c r="V99" s="4">
        <v>61.39</v>
      </c>
      <c r="W99" s="4">
        <f t="shared" si="32"/>
        <v>50.953699999999998</v>
      </c>
    </row>
    <row r="100" spans="1:23" ht="72" x14ac:dyDescent="0.25">
      <c r="A100" s="15" t="s">
        <v>199</v>
      </c>
      <c r="B100" s="16">
        <v>161981</v>
      </c>
      <c r="C100" s="17"/>
      <c r="D100" s="18" t="s">
        <v>200</v>
      </c>
      <c r="E100" s="17" t="s">
        <v>28</v>
      </c>
      <c r="F100" s="17" t="s">
        <v>16</v>
      </c>
      <c r="G100" s="19">
        <v>1</v>
      </c>
      <c r="H100" s="19"/>
      <c r="I100" s="19"/>
      <c r="J100" s="19">
        <f t="shared" si="25"/>
        <v>0</v>
      </c>
      <c r="K100" s="20">
        <v>280.41550000000001</v>
      </c>
      <c r="L100" s="20">
        <f>G100*K100</f>
        <v>280.41550000000001</v>
      </c>
      <c r="M100" s="20">
        <f t="shared" si="26"/>
        <v>0</v>
      </c>
      <c r="N100" s="20">
        <f t="shared" si="27"/>
        <v>0</v>
      </c>
      <c r="O100" s="20">
        <f t="shared" si="28"/>
        <v>0</v>
      </c>
      <c r="V100" s="4">
        <v>337.85</v>
      </c>
      <c r="W100" s="4">
        <f t="shared" si="32"/>
        <v>280.41550000000001</v>
      </c>
    </row>
    <row r="101" spans="1:23" ht="43.2" x14ac:dyDescent="0.25">
      <c r="A101" s="23">
        <v>40453</v>
      </c>
      <c r="B101" s="16">
        <v>164090</v>
      </c>
      <c r="C101" s="17"/>
      <c r="D101" s="18" t="s">
        <v>201</v>
      </c>
      <c r="E101" s="17" t="s">
        <v>28</v>
      </c>
      <c r="F101" s="17" t="s">
        <v>34</v>
      </c>
      <c r="G101" s="19">
        <v>62</v>
      </c>
      <c r="H101" s="19"/>
      <c r="I101" s="19"/>
      <c r="J101" s="19">
        <f t="shared" si="25"/>
        <v>0</v>
      </c>
      <c r="K101" s="20">
        <v>17.454900000000002</v>
      </c>
      <c r="L101" s="20">
        <f>G101*K101</f>
        <v>1082.2038000000002</v>
      </c>
      <c r="M101" s="20">
        <f t="shared" si="26"/>
        <v>0</v>
      </c>
      <c r="N101" s="20">
        <f t="shared" si="27"/>
        <v>0</v>
      </c>
      <c r="O101" s="20">
        <f t="shared" si="28"/>
        <v>0</v>
      </c>
      <c r="V101" s="4">
        <v>21.03</v>
      </c>
      <c r="W101" s="4">
        <f t="shared" si="32"/>
        <v>17.454900000000002</v>
      </c>
    </row>
    <row r="102" spans="1:23" x14ac:dyDescent="0.25">
      <c r="A102" s="8" t="s">
        <v>202</v>
      </c>
      <c r="B102" s="9"/>
      <c r="C102" s="9"/>
      <c r="D102" s="11"/>
      <c r="E102" s="9"/>
      <c r="F102" s="9"/>
      <c r="G102" s="12"/>
      <c r="H102" s="12"/>
      <c r="I102" s="12"/>
      <c r="J102" s="19"/>
      <c r="K102" s="13"/>
      <c r="L102" s="13">
        <f>SUM(L103:L132)</f>
        <v>31092.878999999994</v>
      </c>
      <c r="M102" s="13">
        <f t="shared" ref="M102:O102" si="33">SUM(M103:M132)</f>
        <v>0</v>
      </c>
      <c r="N102" s="13">
        <f t="shared" si="33"/>
        <v>0</v>
      </c>
      <c r="O102" s="13">
        <f t="shared" si="33"/>
        <v>0</v>
      </c>
    </row>
    <row r="103" spans="1:23" ht="57.6" x14ac:dyDescent="0.25">
      <c r="A103" s="15" t="s">
        <v>203</v>
      </c>
      <c r="B103" s="16">
        <v>134890</v>
      </c>
      <c r="C103" s="16">
        <v>91787</v>
      </c>
      <c r="D103" s="18" t="s">
        <v>204</v>
      </c>
      <c r="E103" s="17" t="s">
        <v>28</v>
      </c>
      <c r="F103" s="17" t="s">
        <v>86</v>
      </c>
      <c r="G103" s="19">
        <v>12</v>
      </c>
      <c r="H103" s="19"/>
      <c r="I103" s="19"/>
      <c r="J103" s="19">
        <f t="shared" si="25"/>
        <v>0</v>
      </c>
      <c r="K103" s="20">
        <v>30.087499999999999</v>
      </c>
      <c r="L103" s="20">
        <f>G103*K103</f>
        <v>361.04999999999995</v>
      </c>
      <c r="M103" s="20">
        <f t="shared" si="26"/>
        <v>0</v>
      </c>
      <c r="N103" s="20">
        <f t="shared" si="27"/>
        <v>0</v>
      </c>
      <c r="O103" s="20">
        <f t="shared" si="28"/>
        <v>0</v>
      </c>
      <c r="V103" s="4">
        <v>36.25</v>
      </c>
      <c r="W103" s="4">
        <f t="shared" ref="W103:W132" si="34">V103-V103*$R$5</f>
        <v>30.087499999999999</v>
      </c>
    </row>
    <row r="104" spans="1:23" ht="72" x14ac:dyDescent="0.25">
      <c r="A104" s="15" t="s">
        <v>205</v>
      </c>
      <c r="B104" s="16">
        <v>134889</v>
      </c>
      <c r="C104" s="16">
        <v>91786</v>
      </c>
      <c r="D104" s="18" t="s">
        <v>206</v>
      </c>
      <c r="E104" s="17" t="s">
        <v>28</v>
      </c>
      <c r="F104" s="17" t="s">
        <v>86</v>
      </c>
      <c r="G104" s="19">
        <v>12</v>
      </c>
      <c r="H104" s="19"/>
      <c r="I104" s="19"/>
      <c r="J104" s="19">
        <f t="shared" si="25"/>
        <v>0</v>
      </c>
      <c r="K104" s="20">
        <v>24.609499999999997</v>
      </c>
      <c r="L104" s="20">
        <f>G104*K104</f>
        <v>295.31399999999996</v>
      </c>
      <c r="M104" s="20">
        <f t="shared" si="26"/>
        <v>0</v>
      </c>
      <c r="N104" s="20">
        <f t="shared" si="27"/>
        <v>0</v>
      </c>
      <c r="O104" s="20">
        <f t="shared" si="28"/>
        <v>0</v>
      </c>
      <c r="V104" s="4">
        <v>29.65</v>
      </c>
      <c r="W104" s="4">
        <f t="shared" si="34"/>
        <v>24.609499999999997</v>
      </c>
    </row>
    <row r="105" spans="1:23" ht="72" x14ac:dyDescent="0.25">
      <c r="A105" s="15" t="s">
        <v>207</v>
      </c>
      <c r="B105" s="16">
        <v>134888</v>
      </c>
      <c r="C105" s="16">
        <v>91785</v>
      </c>
      <c r="D105" s="18" t="s">
        <v>208</v>
      </c>
      <c r="E105" s="17" t="s">
        <v>28</v>
      </c>
      <c r="F105" s="17" t="s">
        <v>86</v>
      </c>
      <c r="G105" s="19">
        <v>18</v>
      </c>
      <c r="H105" s="19"/>
      <c r="I105" s="19"/>
      <c r="J105" s="19">
        <f t="shared" si="25"/>
        <v>0</v>
      </c>
      <c r="K105" s="20">
        <v>31.8886</v>
      </c>
      <c r="L105" s="20">
        <f>G105*K105</f>
        <v>573.99480000000005</v>
      </c>
      <c r="M105" s="20">
        <f t="shared" si="26"/>
        <v>0</v>
      </c>
      <c r="N105" s="20">
        <f t="shared" si="27"/>
        <v>0</v>
      </c>
      <c r="O105" s="20">
        <f t="shared" si="28"/>
        <v>0</v>
      </c>
      <c r="V105" s="4">
        <v>38.42</v>
      </c>
      <c r="W105" s="4">
        <f t="shared" si="34"/>
        <v>31.8886</v>
      </c>
    </row>
    <row r="106" spans="1:23" ht="28.8" x14ac:dyDescent="0.25">
      <c r="A106" s="15" t="s">
        <v>209</v>
      </c>
      <c r="B106" s="16">
        <v>149178</v>
      </c>
      <c r="C106" s="17"/>
      <c r="D106" s="18" t="s">
        <v>210</v>
      </c>
      <c r="E106" s="17" t="s">
        <v>28</v>
      </c>
      <c r="F106" s="17" t="s">
        <v>86</v>
      </c>
      <c r="G106" s="19">
        <v>12</v>
      </c>
      <c r="H106" s="19"/>
      <c r="I106" s="19"/>
      <c r="J106" s="19">
        <f t="shared" si="25"/>
        <v>0</v>
      </c>
      <c r="K106" s="20">
        <v>27.107799999999997</v>
      </c>
      <c r="L106" s="20">
        <f>G106*K106</f>
        <v>325.29359999999997</v>
      </c>
      <c r="M106" s="20">
        <f t="shared" si="26"/>
        <v>0</v>
      </c>
      <c r="N106" s="20">
        <f t="shared" si="27"/>
        <v>0</v>
      </c>
      <c r="O106" s="20">
        <f t="shared" si="28"/>
        <v>0</v>
      </c>
      <c r="V106" s="4">
        <v>32.659999999999997</v>
      </c>
      <c r="W106" s="4">
        <f t="shared" si="34"/>
        <v>27.107799999999997</v>
      </c>
    </row>
    <row r="107" spans="1:23" ht="57.6" x14ac:dyDescent="0.25">
      <c r="A107" s="15" t="s">
        <v>211</v>
      </c>
      <c r="B107" s="16">
        <v>135586</v>
      </c>
      <c r="C107" s="16">
        <v>89957</v>
      </c>
      <c r="D107" s="18" t="s">
        <v>212</v>
      </c>
      <c r="E107" s="17" t="s">
        <v>28</v>
      </c>
      <c r="F107" s="17" t="s">
        <v>16</v>
      </c>
      <c r="G107" s="19">
        <v>19</v>
      </c>
      <c r="H107" s="19"/>
      <c r="I107" s="19"/>
      <c r="J107" s="19">
        <f t="shared" si="25"/>
        <v>0</v>
      </c>
      <c r="K107" s="20">
        <v>101.69159999999999</v>
      </c>
      <c r="L107" s="20">
        <f>G107*K107</f>
        <v>1932.1403999999998</v>
      </c>
      <c r="M107" s="20">
        <f t="shared" si="26"/>
        <v>0</v>
      </c>
      <c r="N107" s="20">
        <f t="shared" si="27"/>
        <v>0</v>
      </c>
      <c r="O107" s="20">
        <f t="shared" si="28"/>
        <v>0</v>
      </c>
      <c r="V107" s="4">
        <v>122.52</v>
      </c>
      <c r="W107" s="4">
        <f t="shared" si="34"/>
        <v>101.69159999999999</v>
      </c>
    </row>
    <row r="108" spans="1:23" ht="28.8" x14ac:dyDescent="0.25">
      <c r="A108" s="15" t="s">
        <v>213</v>
      </c>
      <c r="B108" s="16">
        <v>147329</v>
      </c>
      <c r="C108" s="16">
        <v>94796</v>
      </c>
      <c r="D108" s="18" t="s">
        <v>214</v>
      </c>
      <c r="E108" s="17" t="s">
        <v>28</v>
      </c>
      <c r="F108" s="17" t="s">
        <v>16</v>
      </c>
      <c r="G108" s="19">
        <v>2</v>
      </c>
      <c r="H108" s="19"/>
      <c r="I108" s="19"/>
      <c r="J108" s="19">
        <f t="shared" si="25"/>
        <v>0</v>
      </c>
      <c r="K108" s="20">
        <v>27.082900000000002</v>
      </c>
      <c r="L108" s="20">
        <f>G108*K108</f>
        <v>54.165800000000004</v>
      </c>
      <c r="M108" s="20">
        <f t="shared" si="26"/>
        <v>0</v>
      </c>
      <c r="N108" s="20">
        <f t="shared" si="27"/>
        <v>0</v>
      </c>
      <c r="O108" s="20">
        <f t="shared" si="28"/>
        <v>0</v>
      </c>
      <c r="V108" s="4">
        <v>32.630000000000003</v>
      </c>
      <c r="W108" s="4">
        <f t="shared" si="34"/>
        <v>27.082900000000002</v>
      </c>
    </row>
    <row r="109" spans="1:23" ht="72" x14ac:dyDescent="0.25">
      <c r="A109" s="15" t="s">
        <v>215</v>
      </c>
      <c r="B109" s="16">
        <v>164456</v>
      </c>
      <c r="C109" s="17"/>
      <c r="D109" s="18" t="s">
        <v>216</v>
      </c>
      <c r="E109" s="17" t="s">
        <v>28</v>
      </c>
      <c r="F109" s="17" t="s">
        <v>16</v>
      </c>
      <c r="G109" s="19">
        <v>1</v>
      </c>
      <c r="H109" s="19"/>
      <c r="I109" s="19"/>
      <c r="J109" s="19">
        <f t="shared" si="25"/>
        <v>0</v>
      </c>
      <c r="K109" s="20">
        <v>11913.5378</v>
      </c>
      <c r="L109" s="20">
        <f>G109*K109</f>
        <v>11913.5378</v>
      </c>
      <c r="M109" s="20">
        <f t="shared" si="26"/>
        <v>0</v>
      </c>
      <c r="N109" s="20">
        <f t="shared" si="27"/>
        <v>0</v>
      </c>
      <c r="O109" s="20">
        <f t="shared" si="28"/>
        <v>0</v>
      </c>
      <c r="V109" s="4">
        <v>14353.66</v>
      </c>
      <c r="W109" s="4">
        <f t="shared" si="34"/>
        <v>11913.5378</v>
      </c>
    </row>
    <row r="110" spans="1:23" ht="43.2" x14ac:dyDescent="0.25">
      <c r="A110" s="15" t="s">
        <v>217</v>
      </c>
      <c r="B110" s="16">
        <v>135566</v>
      </c>
      <c r="C110" s="16">
        <v>86931</v>
      </c>
      <c r="D110" s="18" t="s">
        <v>218</v>
      </c>
      <c r="E110" s="17" t="s">
        <v>28</v>
      </c>
      <c r="F110" s="17" t="s">
        <v>16</v>
      </c>
      <c r="G110" s="19">
        <v>4</v>
      </c>
      <c r="H110" s="19"/>
      <c r="I110" s="19"/>
      <c r="J110" s="19">
        <f t="shared" si="25"/>
        <v>0</v>
      </c>
      <c r="K110" s="20">
        <v>432.35529999999994</v>
      </c>
      <c r="L110" s="20">
        <f>G110*K110</f>
        <v>1729.4211999999998</v>
      </c>
      <c r="M110" s="20">
        <f t="shared" si="26"/>
        <v>0</v>
      </c>
      <c r="N110" s="20">
        <f t="shared" si="27"/>
        <v>0</v>
      </c>
      <c r="O110" s="20">
        <f t="shared" si="28"/>
        <v>0</v>
      </c>
      <c r="V110" s="4">
        <v>520.91</v>
      </c>
      <c r="W110" s="4">
        <f t="shared" si="34"/>
        <v>432.35529999999994</v>
      </c>
    </row>
    <row r="111" spans="1:23" ht="86.4" x14ac:dyDescent="0.25">
      <c r="A111" s="15" t="s">
        <v>219</v>
      </c>
      <c r="B111" s="16">
        <v>162011</v>
      </c>
      <c r="C111" s="17" t="s">
        <v>220</v>
      </c>
      <c r="D111" s="18" t="s">
        <v>221</v>
      </c>
      <c r="E111" s="17" t="s">
        <v>15</v>
      </c>
      <c r="F111" s="17" t="s">
        <v>16</v>
      </c>
      <c r="G111" s="19">
        <v>1</v>
      </c>
      <c r="H111" s="19"/>
      <c r="I111" s="19"/>
      <c r="J111" s="19">
        <f t="shared" si="25"/>
        <v>0</v>
      </c>
      <c r="K111" s="20">
        <v>1250.7270000000001</v>
      </c>
      <c r="L111" s="20">
        <f>G111*K111</f>
        <v>1250.7270000000001</v>
      </c>
      <c r="M111" s="20">
        <f t="shared" si="26"/>
        <v>0</v>
      </c>
      <c r="N111" s="20">
        <f t="shared" si="27"/>
        <v>0</v>
      </c>
      <c r="O111" s="20">
        <f t="shared" si="28"/>
        <v>0</v>
      </c>
      <c r="V111" s="4">
        <v>1506.9</v>
      </c>
      <c r="W111" s="4">
        <f t="shared" si="34"/>
        <v>1250.7270000000001</v>
      </c>
    </row>
    <row r="112" spans="1:23" ht="57.6" x14ac:dyDescent="0.25">
      <c r="A112" s="23">
        <v>40484</v>
      </c>
      <c r="B112" s="16">
        <v>135519</v>
      </c>
      <c r="C112" s="17" t="s">
        <v>222</v>
      </c>
      <c r="D112" s="18" t="s">
        <v>223</v>
      </c>
      <c r="E112" s="17" t="s">
        <v>28</v>
      </c>
      <c r="F112" s="17" t="s">
        <v>16</v>
      </c>
      <c r="G112" s="19">
        <v>1</v>
      </c>
      <c r="H112" s="19"/>
      <c r="I112" s="19"/>
      <c r="J112" s="19">
        <f t="shared" si="25"/>
        <v>0</v>
      </c>
      <c r="K112" s="20">
        <v>537.61590000000001</v>
      </c>
      <c r="L112" s="20">
        <f>G112*K112</f>
        <v>537.61590000000001</v>
      </c>
      <c r="M112" s="20">
        <f t="shared" si="26"/>
        <v>0</v>
      </c>
      <c r="N112" s="20">
        <f t="shared" si="27"/>
        <v>0</v>
      </c>
      <c r="O112" s="20">
        <f t="shared" si="28"/>
        <v>0</v>
      </c>
      <c r="V112" s="4">
        <v>647.73</v>
      </c>
      <c r="W112" s="4">
        <f t="shared" si="34"/>
        <v>537.61590000000001</v>
      </c>
    </row>
    <row r="113" spans="1:23" ht="57.6" x14ac:dyDescent="0.25">
      <c r="A113" s="23">
        <v>40849</v>
      </c>
      <c r="B113" s="16">
        <v>161825</v>
      </c>
      <c r="C113" s="17"/>
      <c r="D113" s="18" t="s">
        <v>224</v>
      </c>
      <c r="E113" s="17" t="s">
        <v>28</v>
      </c>
      <c r="F113" s="17" t="s">
        <v>16</v>
      </c>
      <c r="G113" s="19">
        <v>4</v>
      </c>
      <c r="H113" s="19"/>
      <c r="I113" s="19"/>
      <c r="J113" s="19">
        <f t="shared" si="25"/>
        <v>0</v>
      </c>
      <c r="K113" s="20">
        <v>187.38079999999999</v>
      </c>
      <c r="L113" s="20">
        <f>G113*K113</f>
        <v>749.52319999999997</v>
      </c>
      <c r="M113" s="20">
        <f t="shared" si="26"/>
        <v>0</v>
      </c>
      <c r="N113" s="20">
        <f t="shared" si="27"/>
        <v>0</v>
      </c>
      <c r="O113" s="20">
        <f t="shared" si="28"/>
        <v>0</v>
      </c>
      <c r="V113" s="4">
        <v>225.76</v>
      </c>
      <c r="W113" s="4">
        <f t="shared" si="34"/>
        <v>187.38079999999999</v>
      </c>
    </row>
    <row r="114" spans="1:23" ht="43.2" x14ac:dyDescent="0.25">
      <c r="A114" s="23">
        <v>41215</v>
      </c>
      <c r="B114" s="16">
        <v>161826</v>
      </c>
      <c r="C114" s="17"/>
      <c r="D114" s="18" t="s">
        <v>225</v>
      </c>
      <c r="E114" s="17" t="s">
        <v>15</v>
      </c>
      <c r="F114" s="17" t="s">
        <v>16</v>
      </c>
      <c r="G114" s="19">
        <v>1</v>
      </c>
      <c r="H114" s="19"/>
      <c r="I114" s="19"/>
      <c r="J114" s="19">
        <f t="shared" si="25"/>
        <v>0</v>
      </c>
      <c r="K114" s="20">
        <v>145.88079999999999</v>
      </c>
      <c r="L114" s="20">
        <f>G114*K114</f>
        <v>145.88079999999999</v>
      </c>
      <c r="M114" s="20">
        <f t="shared" si="26"/>
        <v>0</v>
      </c>
      <c r="N114" s="20">
        <f t="shared" si="27"/>
        <v>0</v>
      </c>
      <c r="O114" s="20">
        <f t="shared" si="28"/>
        <v>0</v>
      </c>
      <c r="V114" s="4">
        <v>175.76</v>
      </c>
      <c r="W114" s="4">
        <f t="shared" si="34"/>
        <v>145.88079999999999</v>
      </c>
    </row>
    <row r="115" spans="1:23" ht="72" x14ac:dyDescent="0.25">
      <c r="A115" s="23">
        <v>41580</v>
      </c>
      <c r="B115" s="16">
        <v>147327</v>
      </c>
      <c r="C115" s="16">
        <v>94794</v>
      </c>
      <c r="D115" s="18" t="s">
        <v>226</v>
      </c>
      <c r="E115" s="17" t="s">
        <v>28</v>
      </c>
      <c r="F115" s="17" t="s">
        <v>16</v>
      </c>
      <c r="G115" s="19">
        <v>7</v>
      </c>
      <c r="H115" s="19"/>
      <c r="I115" s="19"/>
      <c r="J115" s="19">
        <f t="shared" si="25"/>
        <v>0</v>
      </c>
      <c r="K115" s="20">
        <v>158.56319999999999</v>
      </c>
      <c r="L115" s="20">
        <f>G115*K115</f>
        <v>1109.9423999999999</v>
      </c>
      <c r="M115" s="20">
        <f t="shared" si="26"/>
        <v>0</v>
      </c>
      <c r="N115" s="20">
        <f t="shared" si="27"/>
        <v>0</v>
      </c>
      <c r="O115" s="20">
        <f t="shared" si="28"/>
        <v>0</v>
      </c>
      <c r="V115" s="4">
        <v>191.04</v>
      </c>
      <c r="W115" s="4">
        <f t="shared" si="34"/>
        <v>158.56319999999999</v>
      </c>
    </row>
    <row r="116" spans="1:23" ht="43.2" x14ac:dyDescent="0.25">
      <c r="A116" s="23">
        <v>41945</v>
      </c>
      <c r="B116" s="16">
        <v>135641</v>
      </c>
      <c r="C116" s="16">
        <v>89985</v>
      </c>
      <c r="D116" s="18" t="s">
        <v>227</v>
      </c>
      <c r="E116" s="17" t="s">
        <v>28</v>
      </c>
      <c r="F116" s="17" t="s">
        <v>16</v>
      </c>
      <c r="G116" s="19">
        <v>5</v>
      </c>
      <c r="H116" s="19"/>
      <c r="I116" s="19"/>
      <c r="J116" s="19">
        <f t="shared" si="25"/>
        <v>0</v>
      </c>
      <c r="K116" s="20">
        <v>79.364599999999996</v>
      </c>
      <c r="L116" s="20">
        <f>G116*K116</f>
        <v>396.82299999999998</v>
      </c>
      <c r="M116" s="20">
        <f t="shared" si="26"/>
        <v>0</v>
      </c>
      <c r="N116" s="20">
        <f t="shared" si="27"/>
        <v>0</v>
      </c>
      <c r="O116" s="20">
        <f t="shared" si="28"/>
        <v>0</v>
      </c>
      <c r="V116" s="4">
        <v>95.62</v>
      </c>
      <c r="W116" s="4">
        <f t="shared" si="34"/>
        <v>79.364599999999996</v>
      </c>
    </row>
    <row r="117" spans="1:23" ht="43.2" x14ac:dyDescent="0.25">
      <c r="A117" s="23">
        <v>42310</v>
      </c>
      <c r="B117" s="16">
        <v>135548</v>
      </c>
      <c r="C117" s="16">
        <v>86910</v>
      </c>
      <c r="D117" s="18" t="s">
        <v>228</v>
      </c>
      <c r="E117" s="17" t="s">
        <v>28</v>
      </c>
      <c r="F117" s="17" t="s">
        <v>16</v>
      </c>
      <c r="G117" s="19">
        <v>2</v>
      </c>
      <c r="H117" s="19"/>
      <c r="I117" s="19"/>
      <c r="J117" s="19">
        <f t="shared" si="25"/>
        <v>0</v>
      </c>
      <c r="K117" s="20">
        <v>114.47359999999999</v>
      </c>
      <c r="L117" s="20">
        <f>G117*K117</f>
        <v>228.94719999999998</v>
      </c>
      <c r="M117" s="20">
        <f t="shared" si="26"/>
        <v>0</v>
      </c>
      <c r="N117" s="20">
        <f t="shared" si="27"/>
        <v>0</v>
      </c>
      <c r="O117" s="20">
        <f t="shared" si="28"/>
        <v>0</v>
      </c>
      <c r="V117" s="4">
        <v>137.91999999999999</v>
      </c>
      <c r="W117" s="4">
        <f t="shared" si="34"/>
        <v>114.47359999999999</v>
      </c>
    </row>
    <row r="118" spans="1:23" ht="43.2" x14ac:dyDescent="0.25">
      <c r="A118" s="23">
        <v>42676</v>
      </c>
      <c r="B118" s="16">
        <v>135553</v>
      </c>
      <c r="C118" s="16">
        <v>86915</v>
      </c>
      <c r="D118" s="18" t="s">
        <v>229</v>
      </c>
      <c r="E118" s="17" t="s">
        <v>28</v>
      </c>
      <c r="F118" s="17" t="s">
        <v>16</v>
      </c>
      <c r="G118" s="19">
        <v>5</v>
      </c>
      <c r="H118" s="19"/>
      <c r="I118" s="19"/>
      <c r="J118" s="19">
        <f t="shared" si="25"/>
        <v>0</v>
      </c>
      <c r="K118" s="20">
        <v>102.13149999999999</v>
      </c>
      <c r="L118" s="20">
        <f>G118*K118</f>
        <v>510.65749999999991</v>
      </c>
      <c r="M118" s="20">
        <f t="shared" si="26"/>
        <v>0</v>
      </c>
      <c r="N118" s="20">
        <f t="shared" si="27"/>
        <v>0</v>
      </c>
      <c r="O118" s="20">
        <f t="shared" si="28"/>
        <v>0</v>
      </c>
      <c r="V118" s="4">
        <v>123.05</v>
      </c>
      <c r="W118" s="4">
        <f t="shared" si="34"/>
        <v>102.13149999999999</v>
      </c>
    </row>
    <row r="119" spans="1:23" ht="28.8" x14ac:dyDescent="0.25">
      <c r="A119" s="23">
        <v>43041</v>
      </c>
      <c r="B119" s="16">
        <v>135552</v>
      </c>
      <c r="C119" s="16">
        <v>86914</v>
      </c>
      <c r="D119" s="18" t="s">
        <v>230</v>
      </c>
      <c r="E119" s="17" t="s">
        <v>28</v>
      </c>
      <c r="F119" s="17" t="s">
        <v>16</v>
      </c>
      <c r="G119" s="19">
        <v>7</v>
      </c>
      <c r="H119" s="19"/>
      <c r="I119" s="19"/>
      <c r="J119" s="19">
        <f t="shared" si="25"/>
        <v>0</v>
      </c>
      <c r="K119" s="20">
        <v>45.874099999999999</v>
      </c>
      <c r="L119" s="20">
        <f>G119*K119</f>
        <v>321.11869999999999</v>
      </c>
      <c r="M119" s="20">
        <f t="shared" si="26"/>
        <v>0</v>
      </c>
      <c r="N119" s="20">
        <f t="shared" si="27"/>
        <v>0</v>
      </c>
      <c r="O119" s="20">
        <f t="shared" si="28"/>
        <v>0</v>
      </c>
      <c r="V119" s="4">
        <v>55.27</v>
      </c>
      <c r="W119" s="4">
        <f t="shared" si="34"/>
        <v>45.874099999999999</v>
      </c>
    </row>
    <row r="120" spans="1:23" ht="28.8" x14ac:dyDescent="0.25">
      <c r="A120" s="23">
        <v>43406</v>
      </c>
      <c r="B120" s="16">
        <v>162154</v>
      </c>
      <c r="C120" s="17"/>
      <c r="D120" s="18" t="s">
        <v>231</v>
      </c>
      <c r="E120" s="17" t="s">
        <v>28</v>
      </c>
      <c r="F120" s="17" t="s">
        <v>16</v>
      </c>
      <c r="G120" s="19">
        <v>3</v>
      </c>
      <c r="H120" s="19"/>
      <c r="I120" s="19"/>
      <c r="J120" s="19">
        <f t="shared" si="25"/>
        <v>0</v>
      </c>
      <c r="K120" s="20">
        <v>28.618399999999998</v>
      </c>
      <c r="L120" s="20">
        <f>G120*K120</f>
        <v>85.855199999999996</v>
      </c>
      <c r="M120" s="20">
        <f t="shared" si="26"/>
        <v>0</v>
      </c>
      <c r="N120" s="20">
        <f t="shared" si="27"/>
        <v>0</v>
      </c>
      <c r="O120" s="20">
        <f t="shared" si="28"/>
        <v>0</v>
      </c>
      <c r="V120" s="4">
        <v>34.479999999999997</v>
      </c>
      <c r="W120" s="4">
        <f t="shared" si="34"/>
        <v>28.618399999999998</v>
      </c>
    </row>
    <row r="121" spans="1:23" ht="28.8" x14ac:dyDescent="0.25">
      <c r="A121" s="23">
        <v>43771</v>
      </c>
      <c r="B121" s="16">
        <v>161841</v>
      </c>
      <c r="C121" s="17"/>
      <c r="D121" s="18" t="s">
        <v>232</v>
      </c>
      <c r="E121" s="17" t="s">
        <v>28</v>
      </c>
      <c r="F121" s="17" t="s">
        <v>16</v>
      </c>
      <c r="G121" s="19">
        <v>1</v>
      </c>
      <c r="H121" s="19"/>
      <c r="I121" s="19"/>
      <c r="J121" s="19">
        <f t="shared" si="25"/>
        <v>0</v>
      </c>
      <c r="K121" s="20">
        <v>18.990399999999998</v>
      </c>
      <c r="L121" s="20">
        <f>G121*K121</f>
        <v>18.990399999999998</v>
      </c>
      <c r="M121" s="20">
        <f t="shared" si="26"/>
        <v>0</v>
      </c>
      <c r="N121" s="20">
        <f t="shared" si="27"/>
        <v>0</v>
      </c>
      <c r="O121" s="20">
        <f t="shared" si="28"/>
        <v>0</v>
      </c>
      <c r="V121" s="4">
        <v>22.88</v>
      </c>
      <c r="W121" s="4">
        <f t="shared" si="34"/>
        <v>18.990399999999998</v>
      </c>
    </row>
    <row r="122" spans="1:23" ht="43.2" x14ac:dyDescent="0.25">
      <c r="A122" s="23">
        <v>44137</v>
      </c>
      <c r="B122" s="16">
        <v>147312</v>
      </c>
      <c r="C122" s="16">
        <v>95547</v>
      </c>
      <c r="D122" s="18" t="s">
        <v>233</v>
      </c>
      <c r="E122" s="17" t="s">
        <v>28</v>
      </c>
      <c r="F122" s="17" t="s">
        <v>16</v>
      </c>
      <c r="G122" s="19">
        <v>5</v>
      </c>
      <c r="H122" s="19"/>
      <c r="I122" s="19"/>
      <c r="J122" s="19">
        <f t="shared" si="25"/>
        <v>0</v>
      </c>
      <c r="K122" s="20">
        <v>66.441499999999991</v>
      </c>
      <c r="L122" s="20">
        <f>G122*K122</f>
        <v>332.20749999999998</v>
      </c>
      <c r="M122" s="20">
        <f t="shared" si="26"/>
        <v>0</v>
      </c>
      <c r="N122" s="20">
        <f t="shared" si="27"/>
        <v>0</v>
      </c>
      <c r="O122" s="20">
        <f t="shared" si="28"/>
        <v>0</v>
      </c>
      <c r="V122" s="4">
        <v>80.05</v>
      </c>
      <c r="W122" s="4">
        <f t="shared" si="34"/>
        <v>66.441499999999991</v>
      </c>
    </row>
    <row r="123" spans="1:23" ht="28.8" x14ac:dyDescent="0.25">
      <c r="A123" s="23">
        <v>44502</v>
      </c>
      <c r="B123" s="16">
        <v>148323</v>
      </c>
      <c r="C123" s="17"/>
      <c r="D123" s="18" t="s">
        <v>234</v>
      </c>
      <c r="E123" s="17" t="s">
        <v>28</v>
      </c>
      <c r="F123" s="17" t="s">
        <v>16</v>
      </c>
      <c r="G123" s="19">
        <v>5</v>
      </c>
      <c r="H123" s="19"/>
      <c r="I123" s="19"/>
      <c r="J123" s="19">
        <f t="shared" si="25"/>
        <v>0</v>
      </c>
      <c r="K123" s="20">
        <v>46.264200000000002</v>
      </c>
      <c r="L123" s="20">
        <f>G123*K123</f>
        <v>231.32100000000003</v>
      </c>
      <c r="M123" s="20">
        <f t="shared" si="26"/>
        <v>0</v>
      </c>
      <c r="N123" s="20">
        <f t="shared" si="27"/>
        <v>0</v>
      </c>
      <c r="O123" s="20">
        <f t="shared" si="28"/>
        <v>0</v>
      </c>
      <c r="V123" s="4">
        <v>55.74</v>
      </c>
      <c r="W123" s="4">
        <f t="shared" si="34"/>
        <v>46.264200000000002</v>
      </c>
    </row>
    <row r="124" spans="1:23" ht="28.8" x14ac:dyDescent="0.25">
      <c r="A124" s="23">
        <v>44867</v>
      </c>
      <c r="B124" s="16">
        <v>160198</v>
      </c>
      <c r="C124" s="17"/>
      <c r="D124" s="18" t="s">
        <v>235</v>
      </c>
      <c r="E124" s="17" t="s">
        <v>28</v>
      </c>
      <c r="F124" s="17" t="s">
        <v>16</v>
      </c>
      <c r="G124" s="19">
        <v>5</v>
      </c>
      <c r="H124" s="19"/>
      <c r="I124" s="19"/>
      <c r="J124" s="19">
        <f t="shared" si="25"/>
        <v>0</v>
      </c>
      <c r="K124" s="20">
        <v>59.76</v>
      </c>
      <c r="L124" s="20">
        <f>G124*K124</f>
        <v>298.8</v>
      </c>
      <c r="M124" s="20">
        <f t="shared" si="26"/>
        <v>0</v>
      </c>
      <c r="N124" s="20">
        <f t="shared" si="27"/>
        <v>0</v>
      </c>
      <c r="O124" s="20">
        <f t="shared" si="28"/>
        <v>0</v>
      </c>
      <c r="V124" s="4">
        <v>72</v>
      </c>
      <c r="W124" s="4">
        <f t="shared" si="34"/>
        <v>59.76</v>
      </c>
    </row>
    <row r="125" spans="1:23" ht="43.2" x14ac:dyDescent="0.25">
      <c r="A125" s="23">
        <v>45232</v>
      </c>
      <c r="B125" s="16">
        <v>135515</v>
      </c>
      <c r="C125" s="16">
        <v>89709</v>
      </c>
      <c r="D125" s="18" t="s">
        <v>236</v>
      </c>
      <c r="E125" s="17" t="s">
        <v>28</v>
      </c>
      <c r="F125" s="17" t="s">
        <v>16</v>
      </c>
      <c r="G125" s="19">
        <v>7</v>
      </c>
      <c r="H125" s="19"/>
      <c r="I125" s="19"/>
      <c r="J125" s="19">
        <f t="shared" si="25"/>
        <v>0</v>
      </c>
      <c r="K125" s="20">
        <v>8.7398999999999987</v>
      </c>
      <c r="L125" s="20">
        <f>G125*K125</f>
        <v>61.179299999999991</v>
      </c>
      <c r="M125" s="20">
        <f t="shared" si="26"/>
        <v>0</v>
      </c>
      <c r="N125" s="20">
        <f t="shared" si="27"/>
        <v>0</v>
      </c>
      <c r="O125" s="20">
        <f t="shared" si="28"/>
        <v>0</v>
      </c>
      <c r="V125" s="4">
        <v>10.53</v>
      </c>
      <c r="W125" s="4">
        <f t="shared" si="34"/>
        <v>8.7398999999999987</v>
      </c>
    </row>
    <row r="126" spans="1:23" ht="43.2" x14ac:dyDescent="0.25">
      <c r="A126" s="23">
        <v>45598</v>
      </c>
      <c r="B126" s="16">
        <v>161829</v>
      </c>
      <c r="C126" s="16">
        <v>86876</v>
      </c>
      <c r="D126" s="18" t="s">
        <v>237</v>
      </c>
      <c r="E126" s="17" t="s">
        <v>15</v>
      </c>
      <c r="F126" s="17" t="s">
        <v>16</v>
      </c>
      <c r="G126" s="19">
        <v>1</v>
      </c>
      <c r="H126" s="19"/>
      <c r="I126" s="19"/>
      <c r="J126" s="19">
        <f t="shared" si="25"/>
        <v>0</v>
      </c>
      <c r="K126" s="20">
        <v>161.65910000000002</v>
      </c>
      <c r="L126" s="20">
        <f>G126*K126</f>
        <v>161.65910000000002</v>
      </c>
      <c r="M126" s="20">
        <f t="shared" si="26"/>
        <v>0</v>
      </c>
      <c r="N126" s="20">
        <f t="shared" si="27"/>
        <v>0</v>
      </c>
      <c r="O126" s="20">
        <f t="shared" si="28"/>
        <v>0</v>
      </c>
      <c r="V126" s="4">
        <v>194.77</v>
      </c>
      <c r="W126" s="4">
        <f t="shared" si="34"/>
        <v>161.65910000000002</v>
      </c>
    </row>
    <row r="127" spans="1:23" ht="43.2" x14ac:dyDescent="0.25">
      <c r="A127" s="23">
        <v>45963</v>
      </c>
      <c r="B127" s="16">
        <v>135537</v>
      </c>
      <c r="C127" s="16">
        <v>86894</v>
      </c>
      <c r="D127" s="18" t="s">
        <v>238</v>
      </c>
      <c r="E127" s="17" t="s">
        <v>28</v>
      </c>
      <c r="F127" s="17" t="s">
        <v>16</v>
      </c>
      <c r="G127" s="19">
        <v>1</v>
      </c>
      <c r="H127" s="19"/>
      <c r="I127" s="19"/>
      <c r="J127" s="19">
        <f t="shared" si="25"/>
        <v>0</v>
      </c>
      <c r="K127" s="20">
        <v>192.18650000000002</v>
      </c>
      <c r="L127" s="20">
        <f>G127*K127</f>
        <v>192.18650000000002</v>
      </c>
      <c r="M127" s="20">
        <f t="shared" si="26"/>
        <v>0</v>
      </c>
      <c r="N127" s="20">
        <f t="shared" si="27"/>
        <v>0</v>
      </c>
      <c r="O127" s="20">
        <f t="shared" si="28"/>
        <v>0</v>
      </c>
      <c r="V127" s="4">
        <v>231.55</v>
      </c>
      <c r="W127" s="4">
        <f t="shared" si="34"/>
        <v>192.18650000000002</v>
      </c>
    </row>
    <row r="128" spans="1:23" ht="28.8" x14ac:dyDescent="0.25">
      <c r="A128" s="23">
        <v>46328</v>
      </c>
      <c r="B128" s="16">
        <v>133899</v>
      </c>
      <c r="C128" s="16">
        <v>85005</v>
      </c>
      <c r="D128" s="18" t="s">
        <v>239</v>
      </c>
      <c r="E128" s="17" t="s">
        <v>28</v>
      </c>
      <c r="F128" s="17" t="s">
        <v>34</v>
      </c>
      <c r="G128" s="19">
        <v>3.2</v>
      </c>
      <c r="H128" s="19"/>
      <c r="I128" s="19"/>
      <c r="J128" s="19">
        <f t="shared" si="25"/>
        <v>0</v>
      </c>
      <c r="K128" s="20">
        <v>436.20649999999995</v>
      </c>
      <c r="L128" s="20">
        <f>G128*K128</f>
        <v>1395.8607999999999</v>
      </c>
      <c r="M128" s="20">
        <f t="shared" si="26"/>
        <v>0</v>
      </c>
      <c r="N128" s="20">
        <f t="shared" si="27"/>
        <v>0</v>
      </c>
      <c r="O128" s="20">
        <f t="shared" si="28"/>
        <v>0</v>
      </c>
      <c r="V128" s="4">
        <v>525.54999999999995</v>
      </c>
      <c r="W128" s="4">
        <f t="shared" si="34"/>
        <v>436.20649999999995</v>
      </c>
    </row>
    <row r="129" spans="1:23" ht="43.2" x14ac:dyDescent="0.25">
      <c r="A129" s="23">
        <v>46693</v>
      </c>
      <c r="B129" s="16">
        <v>163108</v>
      </c>
      <c r="C129" s="17"/>
      <c r="D129" s="18" t="s">
        <v>240</v>
      </c>
      <c r="E129" s="17" t="s">
        <v>15</v>
      </c>
      <c r="F129" s="17" t="s">
        <v>16</v>
      </c>
      <c r="G129" s="19">
        <v>1</v>
      </c>
      <c r="H129" s="19"/>
      <c r="I129" s="19"/>
      <c r="J129" s="19">
        <f t="shared" si="25"/>
        <v>0</v>
      </c>
      <c r="K129" s="20">
        <v>493.39350000000002</v>
      </c>
      <c r="L129" s="20">
        <f>G129*K129</f>
        <v>493.39350000000002</v>
      </c>
      <c r="M129" s="20">
        <f t="shared" si="26"/>
        <v>0</v>
      </c>
      <c r="N129" s="20">
        <f t="shared" si="27"/>
        <v>0</v>
      </c>
      <c r="O129" s="20">
        <f t="shared" si="28"/>
        <v>0</v>
      </c>
      <c r="V129" s="4">
        <v>594.45000000000005</v>
      </c>
      <c r="W129" s="4">
        <f t="shared" si="34"/>
        <v>493.39350000000002</v>
      </c>
    </row>
    <row r="130" spans="1:23" ht="28.8" x14ac:dyDescent="0.25">
      <c r="A130" s="23">
        <v>47059</v>
      </c>
      <c r="B130" s="16">
        <v>152113</v>
      </c>
      <c r="C130" s="17"/>
      <c r="D130" s="18" t="s">
        <v>241</v>
      </c>
      <c r="E130" s="17" t="s">
        <v>28</v>
      </c>
      <c r="F130" s="17" t="s">
        <v>86</v>
      </c>
      <c r="G130" s="19">
        <v>7.1</v>
      </c>
      <c r="H130" s="19"/>
      <c r="I130" s="19"/>
      <c r="J130" s="19">
        <f t="shared" si="25"/>
        <v>0</v>
      </c>
      <c r="K130" s="20">
        <v>311.49900000000002</v>
      </c>
      <c r="L130" s="20">
        <f>G130*K130</f>
        <v>2211.6429000000003</v>
      </c>
      <c r="M130" s="20">
        <f t="shared" si="26"/>
        <v>0</v>
      </c>
      <c r="N130" s="20">
        <f t="shared" si="27"/>
        <v>0</v>
      </c>
      <c r="O130" s="20">
        <f t="shared" si="28"/>
        <v>0</v>
      </c>
      <c r="V130" s="4">
        <v>375.3</v>
      </c>
      <c r="W130" s="4">
        <f t="shared" si="34"/>
        <v>311.49900000000002</v>
      </c>
    </row>
    <row r="131" spans="1:23" ht="43.2" x14ac:dyDescent="0.25">
      <c r="A131" s="23">
        <v>47424</v>
      </c>
      <c r="B131" s="16">
        <v>160917</v>
      </c>
      <c r="C131" s="16">
        <v>97901</v>
      </c>
      <c r="D131" s="18" t="s">
        <v>242</v>
      </c>
      <c r="E131" s="17" t="s">
        <v>28</v>
      </c>
      <c r="F131" s="17" t="s">
        <v>16</v>
      </c>
      <c r="G131" s="19">
        <v>3</v>
      </c>
      <c r="H131" s="19"/>
      <c r="I131" s="19"/>
      <c r="J131" s="19">
        <f t="shared" si="25"/>
        <v>0</v>
      </c>
      <c r="K131" s="20">
        <v>239.28900000000002</v>
      </c>
      <c r="L131" s="20">
        <f>G131*K131</f>
        <v>717.86700000000008</v>
      </c>
      <c r="M131" s="20">
        <f t="shared" si="26"/>
        <v>0</v>
      </c>
      <c r="N131" s="20">
        <f t="shared" si="27"/>
        <v>0</v>
      </c>
      <c r="O131" s="20">
        <f t="shared" si="28"/>
        <v>0</v>
      </c>
      <c r="V131" s="4">
        <v>288.3</v>
      </c>
      <c r="W131" s="4">
        <f t="shared" si="34"/>
        <v>239.28900000000002</v>
      </c>
    </row>
    <row r="132" spans="1:23" ht="129.6" x14ac:dyDescent="0.25">
      <c r="A132" s="23">
        <v>11264</v>
      </c>
      <c r="B132" s="16">
        <v>164418</v>
      </c>
      <c r="C132" s="17"/>
      <c r="D132" s="18" t="s">
        <v>243</v>
      </c>
      <c r="E132" s="17" t="s">
        <v>28</v>
      </c>
      <c r="F132" s="17" t="s">
        <v>16</v>
      </c>
      <c r="G132" s="19">
        <v>1</v>
      </c>
      <c r="H132" s="19"/>
      <c r="I132" s="19"/>
      <c r="J132" s="19">
        <f t="shared" si="25"/>
        <v>0</v>
      </c>
      <c r="K132" s="20">
        <v>2455.7624999999998</v>
      </c>
      <c r="L132" s="20">
        <f>G132*K132</f>
        <v>2455.7624999999998</v>
      </c>
      <c r="M132" s="20">
        <f t="shared" si="26"/>
        <v>0</v>
      </c>
      <c r="N132" s="20">
        <f t="shared" si="27"/>
        <v>0</v>
      </c>
      <c r="O132" s="20">
        <f t="shared" si="28"/>
        <v>0</v>
      </c>
      <c r="V132" s="4">
        <v>2958.75</v>
      </c>
      <c r="W132" s="4">
        <f t="shared" si="34"/>
        <v>2455.7624999999998</v>
      </c>
    </row>
    <row r="133" spans="1:23" x14ac:dyDescent="0.25">
      <c r="A133" s="8" t="s">
        <v>244</v>
      </c>
      <c r="B133" s="9"/>
      <c r="C133" s="9"/>
      <c r="D133" s="11"/>
      <c r="E133" s="9"/>
      <c r="F133" s="9"/>
      <c r="G133" s="12"/>
      <c r="H133" s="12"/>
      <c r="I133" s="12"/>
      <c r="J133" s="19"/>
      <c r="K133" s="13"/>
      <c r="L133" s="13">
        <f>SUM(L134:L140)</f>
        <v>13252.261399999999</v>
      </c>
      <c r="M133" s="13">
        <f t="shared" ref="M133:O133" si="35">SUM(M134:M140)</f>
        <v>0</v>
      </c>
      <c r="N133" s="13">
        <f t="shared" si="35"/>
        <v>0</v>
      </c>
      <c r="O133" s="13">
        <f t="shared" si="35"/>
        <v>0</v>
      </c>
    </row>
    <row r="134" spans="1:23" ht="28.8" x14ac:dyDescent="0.25">
      <c r="A134" s="15" t="s">
        <v>245</v>
      </c>
      <c r="B134" s="16">
        <v>160130</v>
      </c>
      <c r="C134" s="17"/>
      <c r="D134" s="18" t="s">
        <v>246</v>
      </c>
      <c r="E134" s="17" t="s">
        <v>28</v>
      </c>
      <c r="F134" s="17" t="s">
        <v>16</v>
      </c>
      <c r="G134" s="19">
        <v>14</v>
      </c>
      <c r="H134" s="19"/>
      <c r="I134" s="19"/>
      <c r="J134" s="19">
        <f t="shared" si="25"/>
        <v>0</v>
      </c>
      <c r="K134" s="20">
        <v>106.9372</v>
      </c>
      <c r="L134" s="20">
        <f>G134*K134</f>
        <v>1497.1208000000001</v>
      </c>
      <c r="M134" s="20">
        <f t="shared" si="26"/>
        <v>0</v>
      </c>
      <c r="N134" s="20">
        <f t="shared" si="27"/>
        <v>0</v>
      </c>
      <c r="O134" s="20">
        <f t="shared" si="28"/>
        <v>0</v>
      </c>
      <c r="V134" s="4">
        <v>128.84</v>
      </c>
      <c r="W134" s="4">
        <f t="shared" ref="W134:W140" si="36">V134-V134*$R$5</f>
        <v>106.9372</v>
      </c>
    </row>
    <row r="135" spans="1:23" ht="43.2" x14ac:dyDescent="0.25">
      <c r="A135" s="15" t="s">
        <v>247</v>
      </c>
      <c r="B135" s="16">
        <v>135515</v>
      </c>
      <c r="C135" s="16">
        <v>89709</v>
      </c>
      <c r="D135" s="18" t="s">
        <v>236</v>
      </c>
      <c r="E135" s="17" t="s">
        <v>28</v>
      </c>
      <c r="F135" s="17" t="s">
        <v>16</v>
      </c>
      <c r="G135" s="19">
        <v>7</v>
      </c>
      <c r="H135" s="19"/>
      <c r="I135" s="19"/>
      <c r="J135" s="19">
        <f t="shared" si="25"/>
        <v>0</v>
      </c>
      <c r="K135" s="20">
        <v>8.7481999999999989</v>
      </c>
      <c r="L135" s="20">
        <f>G135*K135</f>
        <v>61.237399999999994</v>
      </c>
      <c r="M135" s="20">
        <f t="shared" si="26"/>
        <v>0</v>
      </c>
      <c r="N135" s="20">
        <f t="shared" si="27"/>
        <v>0</v>
      </c>
      <c r="O135" s="20">
        <f t="shared" si="28"/>
        <v>0</v>
      </c>
      <c r="V135" s="4">
        <v>10.54</v>
      </c>
      <c r="W135" s="4">
        <f t="shared" si="36"/>
        <v>8.7481999999999989</v>
      </c>
    </row>
    <row r="136" spans="1:23" ht="72" x14ac:dyDescent="0.25">
      <c r="A136" s="15" t="s">
        <v>248</v>
      </c>
      <c r="B136" s="16">
        <v>134897</v>
      </c>
      <c r="C136" s="16">
        <v>91795</v>
      </c>
      <c r="D136" s="18" t="s">
        <v>249</v>
      </c>
      <c r="E136" s="17" t="s">
        <v>28</v>
      </c>
      <c r="F136" s="17" t="s">
        <v>86</v>
      </c>
      <c r="G136" s="19">
        <v>40</v>
      </c>
      <c r="H136" s="19"/>
      <c r="I136" s="19"/>
      <c r="J136" s="19">
        <f t="shared" si="25"/>
        <v>0</v>
      </c>
      <c r="K136" s="20">
        <v>56.672399999999996</v>
      </c>
      <c r="L136" s="20">
        <f>G136*K136</f>
        <v>2266.8959999999997</v>
      </c>
      <c r="M136" s="20">
        <f t="shared" si="26"/>
        <v>0</v>
      </c>
      <c r="N136" s="20">
        <f t="shared" si="27"/>
        <v>0</v>
      </c>
      <c r="O136" s="20">
        <f t="shared" si="28"/>
        <v>0</v>
      </c>
      <c r="V136" s="4">
        <v>68.28</v>
      </c>
      <c r="W136" s="4">
        <f t="shared" si="36"/>
        <v>56.672399999999996</v>
      </c>
    </row>
    <row r="137" spans="1:23" ht="57.6" x14ac:dyDescent="0.25">
      <c r="A137" s="15" t="s">
        <v>250</v>
      </c>
      <c r="B137" s="16">
        <v>160217</v>
      </c>
      <c r="C137" s="17"/>
      <c r="D137" s="18" t="s">
        <v>251</v>
      </c>
      <c r="E137" s="17" t="s">
        <v>28</v>
      </c>
      <c r="F137" s="17" t="s">
        <v>16</v>
      </c>
      <c r="G137" s="19">
        <v>2</v>
      </c>
      <c r="H137" s="19"/>
      <c r="I137" s="19"/>
      <c r="J137" s="19">
        <f t="shared" si="25"/>
        <v>0</v>
      </c>
      <c r="K137" s="20">
        <v>518.73339999999996</v>
      </c>
      <c r="L137" s="20">
        <f>G137*K137</f>
        <v>1037.4667999999999</v>
      </c>
      <c r="M137" s="20">
        <f t="shared" si="26"/>
        <v>0</v>
      </c>
      <c r="N137" s="20">
        <f t="shared" si="27"/>
        <v>0</v>
      </c>
      <c r="O137" s="20">
        <f t="shared" si="28"/>
        <v>0</v>
      </c>
      <c r="V137" s="4">
        <v>624.98</v>
      </c>
      <c r="W137" s="4">
        <f t="shared" si="36"/>
        <v>518.73339999999996</v>
      </c>
    </row>
    <row r="138" spans="1:23" ht="72" x14ac:dyDescent="0.25">
      <c r="A138" s="15" t="s">
        <v>252</v>
      </c>
      <c r="B138" s="16">
        <v>161838</v>
      </c>
      <c r="C138" s="17"/>
      <c r="D138" s="18" t="s">
        <v>253</v>
      </c>
      <c r="E138" s="17" t="s">
        <v>28</v>
      </c>
      <c r="F138" s="17" t="s">
        <v>16</v>
      </c>
      <c r="G138" s="19">
        <v>1</v>
      </c>
      <c r="H138" s="19"/>
      <c r="I138" s="19"/>
      <c r="J138" s="19">
        <f t="shared" si="25"/>
        <v>0</v>
      </c>
      <c r="K138" s="20">
        <v>125.40470000000001</v>
      </c>
      <c r="L138" s="20">
        <f>G138*K138</f>
        <v>125.40470000000001</v>
      </c>
      <c r="M138" s="20">
        <f t="shared" si="26"/>
        <v>0</v>
      </c>
      <c r="N138" s="20">
        <f t="shared" si="27"/>
        <v>0</v>
      </c>
      <c r="O138" s="20">
        <f t="shared" si="28"/>
        <v>0</v>
      </c>
      <c r="V138" s="4">
        <v>151.09</v>
      </c>
      <c r="W138" s="4">
        <f t="shared" si="36"/>
        <v>125.40470000000001</v>
      </c>
    </row>
    <row r="139" spans="1:23" ht="57.6" x14ac:dyDescent="0.25">
      <c r="A139" s="15" t="s">
        <v>254</v>
      </c>
      <c r="B139" s="16">
        <v>163960</v>
      </c>
      <c r="C139" s="17"/>
      <c r="D139" s="18" t="s">
        <v>255</v>
      </c>
      <c r="E139" s="17" t="s">
        <v>28</v>
      </c>
      <c r="F139" s="17" t="s">
        <v>16</v>
      </c>
      <c r="G139" s="19">
        <v>4</v>
      </c>
      <c r="H139" s="19"/>
      <c r="I139" s="19"/>
      <c r="J139" s="19">
        <f t="shared" si="25"/>
        <v>0</v>
      </c>
      <c r="K139" s="20">
        <v>239.28900000000002</v>
      </c>
      <c r="L139" s="20">
        <f>G139*K139</f>
        <v>957.15600000000006</v>
      </c>
      <c r="M139" s="20">
        <f t="shared" si="26"/>
        <v>0</v>
      </c>
      <c r="N139" s="20">
        <f t="shared" si="27"/>
        <v>0</v>
      </c>
      <c r="O139" s="20">
        <f t="shared" si="28"/>
        <v>0</v>
      </c>
      <c r="V139" s="4">
        <v>288.3</v>
      </c>
      <c r="W139" s="4">
        <f t="shared" si="36"/>
        <v>239.28900000000002</v>
      </c>
    </row>
    <row r="140" spans="1:23" ht="28.8" x14ac:dyDescent="0.25">
      <c r="A140" s="15" t="s">
        <v>256</v>
      </c>
      <c r="B140" s="16">
        <v>144169</v>
      </c>
      <c r="C140" s="17"/>
      <c r="D140" s="18" t="s">
        <v>257</v>
      </c>
      <c r="E140" s="17" t="s">
        <v>28</v>
      </c>
      <c r="F140" s="17" t="s">
        <v>16</v>
      </c>
      <c r="G140" s="19">
        <v>1</v>
      </c>
      <c r="H140" s="19"/>
      <c r="I140" s="19"/>
      <c r="J140" s="19">
        <f t="shared" ref="J140:J203" si="37">H140+I140</f>
        <v>0</v>
      </c>
      <c r="K140" s="20">
        <v>7306.9796999999999</v>
      </c>
      <c r="L140" s="20">
        <f>G140*K140</f>
        <v>7306.9796999999999</v>
      </c>
      <c r="M140" s="20">
        <f t="shared" ref="M140:M203" si="38">H140*K140</f>
        <v>0</v>
      </c>
      <c r="N140" s="20">
        <f t="shared" ref="N140:N203" si="39">I140*K140</f>
        <v>0</v>
      </c>
      <c r="O140" s="20">
        <f t="shared" ref="O140:O203" si="40">J140*K140</f>
        <v>0</v>
      </c>
      <c r="V140" s="4">
        <v>8803.59</v>
      </c>
      <c r="W140" s="4">
        <f t="shared" si="36"/>
        <v>7306.9796999999999</v>
      </c>
    </row>
    <row r="141" spans="1:23" x14ac:dyDescent="0.25">
      <c r="A141" s="8" t="s">
        <v>258</v>
      </c>
      <c r="B141" s="9"/>
      <c r="C141" s="9"/>
      <c r="D141" s="11"/>
      <c r="E141" s="9"/>
      <c r="F141" s="9"/>
      <c r="G141" s="12"/>
      <c r="H141" s="12"/>
      <c r="I141" s="12"/>
      <c r="J141" s="19"/>
      <c r="K141" s="13"/>
      <c r="L141" s="13">
        <f>SUM(L142:L164)</f>
        <v>36425.454699999995</v>
      </c>
      <c r="M141" s="13">
        <f t="shared" ref="M141:O141" si="41">SUM(M142:M164)</f>
        <v>0</v>
      </c>
      <c r="N141" s="13">
        <f t="shared" si="41"/>
        <v>0</v>
      </c>
      <c r="O141" s="13">
        <f t="shared" si="41"/>
        <v>0</v>
      </c>
    </row>
    <row r="142" spans="1:23" ht="43.2" x14ac:dyDescent="0.25">
      <c r="A142" s="15" t="s">
        <v>259</v>
      </c>
      <c r="B142" s="16">
        <v>164419</v>
      </c>
      <c r="C142" s="17"/>
      <c r="D142" s="18" t="s">
        <v>260</v>
      </c>
      <c r="E142" s="17" t="s">
        <v>28</v>
      </c>
      <c r="F142" s="17" t="s">
        <v>16</v>
      </c>
      <c r="G142" s="19">
        <v>14</v>
      </c>
      <c r="H142" s="19"/>
      <c r="I142" s="19"/>
      <c r="J142" s="19">
        <f t="shared" si="37"/>
        <v>0</v>
      </c>
      <c r="K142" s="20">
        <v>206.51229999999998</v>
      </c>
      <c r="L142" s="20">
        <f>G142*K142</f>
        <v>2891.1722</v>
      </c>
      <c r="M142" s="20">
        <f t="shared" si="38"/>
        <v>0</v>
      </c>
      <c r="N142" s="20">
        <f t="shared" si="39"/>
        <v>0</v>
      </c>
      <c r="O142" s="20">
        <f t="shared" si="40"/>
        <v>0</v>
      </c>
      <c r="V142" s="4">
        <v>248.81</v>
      </c>
      <c r="W142" s="4">
        <f t="shared" ref="W142:W164" si="42">V142-V142*$R$5</f>
        <v>206.51229999999998</v>
      </c>
    </row>
    <row r="143" spans="1:23" ht="57.6" x14ac:dyDescent="0.25">
      <c r="A143" s="15" t="s">
        <v>261</v>
      </c>
      <c r="B143" s="16">
        <v>163960</v>
      </c>
      <c r="C143" s="17"/>
      <c r="D143" s="18" t="s">
        <v>255</v>
      </c>
      <c r="E143" s="17" t="s">
        <v>28</v>
      </c>
      <c r="F143" s="17" t="s">
        <v>16</v>
      </c>
      <c r="G143" s="19">
        <v>4</v>
      </c>
      <c r="H143" s="19"/>
      <c r="I143" s="19"/>
      <c r="J143" s="19">
        <f t="shared" si="37"/>
        <v>0</v>
      </c>
      <c r="K143" s="20">
        <v>239.28900000000002</v>
      </c>
      <c r="L143" s="20">
        <f>G143*K143</f>
        <v>957.15600000000006</v>
      </c>
      <c r="M143" s="20">
        <f t="shared" si="38"/>
        <v>0</v>
      </c>
      <c r="N143" s="20">
        <f t="shared" si="39"/>
        <v>0</v>
      </c>
      <c r="O143" s="20">
        <f t="shared" si="40"/>
        <v>0</v>
      </c>
      <c r="V143" s="4">
        <v>288.3</v>
      </c>
      <c r="W143" s="4">
        <f t="shared" si="42"/>
        <v>239.28900000000002</v>
      </c>
    </row>
    <row r="144" spans="1:23" ht="57.6" x14ac:dyDescent="0.25">
      <c r="A144" s="15" t="s">
        <v>262</v>
      </c>
      <c r="B144" s="16">
        <v>160217</v>
      </c>
      <c r="C144" s="17"/>
      <c r="D144" s="18" t="s">
        <v>251</v>
      </c>
      <c r="E144" s="17" t="s">
        <v>28</v>
      </c>
      <c r="F144" s="17" t="s">
        <v>16</v>
      </c>
      <c r="G144" s="19">
        <v>1</v>
      </c>
      <c r="H144" s="19"/>
      <c r="I144" s="19"/>
      <c r="J144" s="19">
        <f t="shared" si="37"/>
        <v>0</v>
      </c>
      <c r="K144" s="20">
        <v>518.73339999999996</v>
      </c>
      <c r="L144" s="20">
        <f>G144*K144</f>
        <v>518.73339999999996</v>
      </c>
      <c r="M144" s="20">
        <f t="shared" si="38"/>
        <v>0</v>
      </c>
      <c r="N144" s="20">
        <f t="shared" si="39"/>
        <v>0</v>
      </c>
      <c r="O144" s="20">
        <f t="shared" si="40"/>
        <v>0</v>
      </c>
      <c r="V144" s="4">
        <v>624.98</v>
      </c>
      <c r="W144" s="4">
        <f t="shared" si="42"/>
        <v>518.73339999999996</v>
      </c>
    </row>
    <row r="145" spans="1:23" ht="28.8" x14ac:dyDescent="0.25">
      <c r="A145" s="15" t="s">
        <v>263</v>
      </c>
      <c r="B145" s="16">
        <v>134586</v>
      </c>
      <c r="C145" s="16">
        <v>83403</v>
      </c>
      <c r="D145" s="18" t="s">
        <v>264</v>
      </c>
      <c r="E145" s="17" t="s">
        <v>28</v>
      </c>
      <c r="F145" s="17" t="s">
        <v>16</v>
      </c>
      <c r="G145" s="19">
        <v>1</v>
      </c>
      <c r="H145" s="19"/>
      <c r="I145" s="19"/>
      <c r="J145" s="19">
        <f t="shared" si="37"/>
        <v>0</v>
      </c>
      <c r="K145" s="20">
        <v>18.1936</v>
      </c>
      <c r="L145" s="20">
        <f>G145*K145</f>
        <v>18.1936</v>
      </c>
      <c r="M145" s="20">
        <f t="shared" si="38"/>
        <v>0</v>
      </c>
      <c r="N145" s="20">
        <f t="shared" si="39"/>
        <v>0</v>
      </c>
      <c r="O145" s="20">
        <f t="shared" si="40"/>
        <v>0</v>
      </c>
      <c r="V145" s="4">
        <v>21.92</v>
      </c>
      <c r="W145" s="4">
        <f t="shared" si="42"/>
        <v>18.1936</v>
      </c>
    </row>
    <row r="146" spans="1:23" ht="28.8" x14ac:dyDescent="0.25">
      <c r="A146" s="15" t="s">
        <v>265</v>
      </c>
      <c r="B146" s="16">
        <v>134545</v>
      </c>
      <c r="C146" s="17" t="s">
        <v>266</v>
      </c>
      <c r="D146" s="18" t="s">
        <v>267</v>
      </c>
      <c r="E146" s="17" t="s">
        <v>28</v>
      </c>
      <c r="F146" s="17" t="s">
        <v>16</v>
      </c>
      <c r="G146" s="19">
        <v>10</v>
      </c>
      <c r="H146" s="19"/>
      <c r="I146" s="19"/>
      <c r="J146" s="19">
        <f t="shared" si="37"/>
        <v>0</v>
      </c>
      <c r="K146" s="20">
        <v>7.7273000000000005</v>
      </c>
      <c r="L146" s="20">
        <f>G146*K146</f>
        <v>77.27300000000001</v>
      </c>
      <c r="M146" s="20">
        <f t="shared" si="38"/>
        <v>0</v>
      </c>
      <c r="N146" s="20">
        <f t="shared" si="39"/>
        <v>0</v>
      </c>
      <c r="O146" s="20">
        <f t="shared" si="40"/>
        <v>0</v>
      </c>
      <c r="V146" s="4">
        <v>9.31</v>
      </c>
      <c r="W146" s="4">
        <f t="shared" si="42"/>
        <v>7.7273000000000005</v>
      </c>
    </row>
    <row r="147" spans="1:23" ht="43.2" x14ac:dyDescent="0.25">
      <c r="A147" s="15" t="s">
        <v>268</v>
      </c>
      <c r="B147" s="16">
        <v>134594</v>
      </c>
      <c r="C147" s="16">
        <v>91953</v>
      </c>
      <c r="D147" s="18" t="s">
        <v>269</v>
      </c>
      <c r="E147" s="17" t="s">
        <v>28</v>
      </c>
      <c r="F147" s="17" t="s">
        <v>16</v>
      </c>
      <c r="G147" s="19">
        <v>17</v>
      </c>
      <c r="H147" s="19"/>
      <c r="I147" s="19"/>
      <c r="J147" s="19">
        <f t="shared" si="37"/>
        <v>0</v>
      </c>
      <c r="K147" s="20">
        <v>19.139799999999997</v>
      </c>
      <c r="L147" s="20">
        <f>G147*K147</f>
        <v>325.37659999999994</v>
      </c>
      <c r="M147" s="20">
        <f t="shared" si="38"/>
        <v>0</v>
      </c>
      <c r="N147" s="20">
        <f t="shared" si="39"/>
        <v>0</v>
      </c>
      <c r="O147" s="20">
        <f t="shared" si="40"/>
        <v>0</v>
      </c>
      <c r="V147" s="4">
        <v>23.06</v>
      </c>
      <c r="W147" s="4">
        <f t="shared" si="42"/>
        <v>19.139799999999997</v>
      </c>
    </row>
    <row r="148" spans="1:23" ht="43.2" x14ac:dyDescent="0.25">
      <c r="A148" s="15" t="s">
        <v>270</v>
      </c>
      <c r="B148" s="16">
        <v>134600</v>
      </c>
      <c r="C148" s="16">
        <v>91959</v>
      </c>
      <c r="D148" s="18" t="s">
        <v>271</v>
      </c>
      <c r="E148" s="17" t="s">
        <v>28</v>
      </c>
      <c r="F148" s="17" t="s">
        <v>16</v>
      </c>
      <c r="G148" s="19">
        <v>6</v>
      </c>
      <c r="H148" s="19"/>
      <c r="I148" s="19"/>
      <c r="J148" s="19">
        <f t="shared" si="37"/>
        <v>0</v>
      </c>
      <c r="K148" s="20">
        <v>30.336499999999997</v>
      </c>
      <c r="L148" s="20">
        <f>G148*K148</f>
        <v>182.01899999999998</v>
      </c>
      <c r="M148" s="20">
        <f t="shared" si="38"/>
        <v>0</v>
      </c>
      <c r="N148" s="20">
        <f t="shared" si="39"/>
        <v>0</v>
      </c>
      <c r="O148" s="20">
        <f t="shared" si="40"/>
        <v>0</v>
      </c>
      <c r="V148" s="4">
        <v>36.549999999999997</v>
      </c>
      <c r="W148" s="4">
        <f t="shared" si="42"/>
        <v>30.336499999999997</v>
      </c>
    </row>
    <row r="149" spans="1:23" ht="28.8" x14ac:dyDescent="0.25">
      <c r="A149" s="15" t="s">
        <v>272</v>
      </c>
      <c r="B149" s="16">
        <v>154540</v>
      </c>
      <c r="C149" s="16">
        <v>97586</v>
      </c>
      <c r="D149" s="18" t="s">
        <v>273</v>
      </c>
      <c r="E149" s="17" t="s">
        <v>28</v>
      </c>
      <c r="F149" s="17" t="s">
        <v>16</v>
      </c>
      <c r="G149" s="19">
        <v>57</v>
      </c>
      <c r="H149" s="19"/>
      <c r="I149" s="19"/>
      <c r="J149" s="19">
        <f t="shared" si="37"/>
        <v>0</v>
      </c>
      <c r="K149" s="20">
        <v>123.0724</v>
      </c>
      <c r="L149" s="20">
        <f>G149*K149</f>
        <v>7015.1268</v>
      </c>
      <c r="M149" s="20">
        <f t="shared" si="38"/>
        <v>0</v>
      </c>
      <c r="N149" s="20">
        <f t="shared" si="39"/>
        <v>0</v>
      </c>
      <c r="O149" s="20">
        <f t="shared" si="40"/>
        <v>0</v>
      </c>
      <c r="V149" s="4">
        <v>148.28</v>
      </c>
      <c r="W149" s="4">
        <f t="shared" si="42"/>
        <v>123.0724</v>
      </c>
    </row>
    <row r="150" spans="1:23" ht="28.8" x14ac:dyDescent="0.25">
      <c r="A150" s="15" t="s">
        <v>274</v>
      </c>
      <c r="B150" s="16">
        <v>154539</v>
      </c>
      <c r="C150" s="16">
        <v>97585</v>
      </c>
      <c r="D150" s="18" t="s">
        <v>275</v>
      </c>
      <c r="E150" s="17" t="s">
        <v>28</v>
      </c>
      <c r="F150" s="17" t="s">
        <v>16</v>
      </c>
      <c r="G150" s="19">
        <v>24</v>
      </c>
      <c r="H150" s="19"/>
      <c r="I150" s="19"/>
      <c r="J150" s="19">
        <f t="shared" si="37"/>
        <v>0</v>
      </c>
      <c r="K150" s="20">
        <v>89.963700000000003</v>
      </c>
      <c r="L150" s="20">
        <f>G150*K150</f>
        <v>2159.1288</v>
      </c>
      <c r="M150" s="20">
        <f t="shared" si="38"/>
        <v>0</v>
      </c>
      <c r="N150" s="20">
        <f t="shared" si="39"/>
        <v>0</v>
      </c>
      <c r="O150" s="20">
        <f t="shared" si="40"/>
        <v>0</v>
      </c>
      <c r="V150" s="4">
        <v>108.39</v>
      </c>
      <c r="W150" s="4">
        <f t="shared" si="42"/>
        <v>89.963700000000003</v>
      </c>
    </row>
    <row r="151" spans="1:23" ht="28.8" x14ac:dyDescent="0.25">
      <c r="A151" s="15" t="s">
        <v>450</v>
      </c>
      <c r="B151" s="16">
        <v>161961</v>
      </c>
      <c r="C151" s="17"/>
      <c r="D151" s="18" t="s">
        <v>276</v>
      </c>
      <c r="E151" s="17" t="s">
        <v>28</v>
      </c>
      <c r="F151" s="17" t="s">
        <v>16</v>
      </c>
      <c r="G151" s="19">
        <v>8</v>
      </c>
      <c r="H151" s="19"/>
      <c r="I151" s="19"/>
      <c r="J151" s="19">
        <f t="shared" si="37"/>
        <v>0</v>
      </c>
      <c r="K151" s="20">
        <v>40.180299999999995</v>
      </c>
      <c r="L151" s="20">
        <f>G151*K151</f>
        <v>321.44239999999996</v>
      </c>
      <c r="M151" s="20">
        <f t="shared" si="38"/>
        <v>0</v>
      </c>
      <c r="N151" s="20">
        <f t="shared" si="39"/>
        <v>0</v>
      </c>
      <c r="O151" s="20">
        <f t="shared" si="40"/>
        <v>0</v>
      </c>
      <c r="V151" s="4">
        <v>48.41</v>
      </c>
      <c r="W151" s="4">
        <f t="shared" si="42"/>
        <v>40.180299999999995</v>
      </c>
    </row>
    <row r="152" spans="1:23" ht="28.8" x14ac:dyDescent="0.25">
      <c r="A152" s="15" t="s">
        <v>451</v>
      </c>
      <c r="B152" s="16">
        <v>164037</v>
      </c>
      <c r="C152" s="17"/>
      <c r="D152" s="18" t="s">
        <v>277</v>
      </c>
      <c r="E152" s="17" t="s">
        <v>28</v>
      </c>
      <c r="F152" s="17" t="s">
        <v>16</v>
      </c>
      <c r="G152" s="19">
        <v>1</v>
      </c>
      <c r="H152" s="19"/>
      <c r="I152" s="19"/>
      <c r="J152" s="19">
        <f t="shared" si="37"/>
        <v>0</v>
      </c>
      <c r="K152" s="20">
        <v>103.92429999999999</v>
      </c>
      <c r="L152" s="20">
        <f>G152*K152</f>
        <v>103.92429999999999</v>
      </c>
      <c r="M152" s="20">
        <f t="shared" si="38"/>
        <v>0</v>
      </c>
      <c r="N152" s="20">
        <f t="shared" si="39"/>
        <v>0</v>
      </c>
      <c r="O152" s="20">
        <f t="shared" si="40"/>
        <v>0</v>
      </c>
      <c r="V152" s="4">
        <v>125.21</v>
      </c>
      <c r="W152" s="4">
        <f t="shared" si="42"/>
        <v>103.92429999999999</v>
      </c>
    </row>
    <row r="153" spans="1:23" ht="57.6" x14ac:dyDescent="0.25">
      <c r="A153" s="15" t="s">
        <v>452</v>
      </c>
      <c r="B153" s="16">
        <v>134751</v>
      </c>
      <c r="C153" s="16">
        <v>93128</v>
      </c>
      <c r="D153" s="18" t="s">
        <v>278</v>
      </c>
      <c r="E153" s="17" t="s">
        <v>15</v>
      </c>
      <c r="F153" s="17" t="s">
        <v>16</v>
      </c>
      <c r="G153" s="19">
        <v>95</v>
      </c>
      <c r="H153" s="19"/>
      <c r="I153" s="19"/>
      <c r="J153" s="19">
        <f t="shared" si="37"/>
        <v>0</v>
      </c>
      <c r="K153" s="20">
        <v>107.85849999999999</v>
      </c>
      <c r="L153" s="20">
        <f>G153*K153</f>
        <v>10246.557499999999</v>
      </c>
      <c r="M153" s="20">
        <f t="shared" si="38"/>
        <v>0</v>
      </c>
      <c r="N153" s="20">
        <f t="shared" si="39"/>
        <v>0</v>
      </c>
      <c r="O153" s="20">
        <f t="shared" si="40"/>
        <v>0</v>
      </c>
      <c r="V153" s="4">
        <v>129.94999999999999</v>
      </c>
      <c r="W153" s="4">
        <f t="shared" si="42"/>
        <v>107.85849999999999</v>
      </c>
    </row>
    <row r="154" spans="1:23" ht="43.2" x14ac:dyDescent="0.25">
      <c r="A154" s="15" t="s">
        <v>453</v>
      </c>
      <c r="B154" s="16">
        <v>134755</v>
      </c>
      <c r="C154" s="16">
        <v>93141</v>
      </c>
      <c r="D154" s="18" t="s">
        <v>279</v>
      </c>
      <c r="E154" s="17" t="s">
        <v>28</v>
      </c>
      <c r="F154" s="17" t="s">
        <v>16</v>
      </c>
      <c r="G154" s="19">
        <v>18</v>
      </c>
      <c r="H154" s="19"/>
      <c r="I154" s="19"/>
      <c r="J154" s="19">
        <f t="shared" si="37"/>
        <v>0</v>
      </c>
      <c r="K154" s="20">
        <v>134.2774</v>
      </c>
      <c r="L154" s="20">
        <f>G154*K154</f>
        <v>2416.9931999999999</v>
      </c>
      <c r="M154" s="20">
        <f t="shared" si="38"/>
        <v>0</v>
      </c>
      <c r="N154" s="20">
        <f t="shared" si="39"/>
        <v>0</v>
      </c>
      <c r="O154" s="20">
        <f t="shared" si="40"/>
        <v>0</v>
      </c>
      <c r="V154" s="4">
        <v>161.78</v>
      </c>
      <c r="W154" s="4">
        <f t="shared" si="42"/>
        <v>134.2774</v>
      </c>
    </row>
    <row r="155" spans="1:23" ht="43.2" x14ac:dyDescent="0.25">
      <c r="A155" s="15" t="s">
        <v>454</v>
      </c>
      <c r="B155" s="16">
        <v>134757</v>
      </c>
      <c r="C155" s="16">
        <v>93143</v>
      </c>
      <c r="D155" s="18" t="s">
        <v>280</v>
      </c>
      <c r="E155" s="17" t="s">
        <v>28</v>
      </c>
      <c r="F155" s="17" t="s">
        <v>16</v>
      </c>
      <c r="G155" s="19">
        <v>12</v>
      </c>
      <c r="H155" s="19"/>
      <c r="I155" s="19"/>
      <c r="J155" s="19">
        <f t="shared" si="37"/>
        <v>0</v>
      </c>
      <c r="K155" s="20">
        <v>136.1283</v>
      </c>
      <c r="L155" s="20">
        <f>G155*K155</f>
        <v>1633.5396000000001</v>
      </c>
      <c r="M155" s="20">
        <f t="shared" si="38"/>
        <v>0</v>
      </c>
      <c r="N155" s="20">
        <f t="shared" si="39"/>
        <v>0</v>
      </c>
      <c r="O155" s="20">
        <f t="shared" si="40"/>
        <v>0</v>
      </c>
      <c r="V155" s="4">
        <v>164.01</v>
      </c>
      <c r="W155" s="4">
        <f t="shared" si="42"/>
        <v>136.1283</v>
      </c>
    </row>
    <row r="156" spans="1:23" ht="43.2" x14ac:dyDescent="0.25">
      <c r="A156" s="15" t="s">
        <v>455</v>
      </c>
      <c r="B156" s="16">
        <v>144093</v>
      </c>
      <c r="C156" s="16">
        <v>93144</v>
      </c>
      <c r="D156" s="18" t="s">
        <v>281</v>
      </c>
      <c r="E156" s="17" t="s">
        <v>28</v>
      </c>
      <c r="F156" s="17" t="s">
        <v>16</v>
      </c>
      <c r="G156" s="19">
        <v>2</v>
      </c>
      <c r="H156" s="19"/>
      <c r="I156" s="19"/>
      <c r="J156" s="19">
        <f t="shared" si="37"/>
        <v>0</v>
      </c>
      <c r="K156" s="20">
        <v>190.5265</v>
      </c>
      <c r="L156" s="20">
        <f>G156*K156</f>
        <v>381.053</v>
      </c>
      <c r="M156" s="20">
        <f t="shared" si="38"/>
        <v>0</v>
      </c>
      <c r="N156" s="20">
        <f t="shared" si="39"/>
        <v>0</v>
      </c>
      <c r="O156" s="20">
        <f t="shared" si="40"/>
        <v>0</v>
      </c>
      <c r="V156" s="4">
        <v>229.55</v>
      </c>
      <c r="W156" s="4">
        <f t="shared" si="42"/>
        <v>190.5265</v>
      </c>
    </row>
    <row r="157" spans="1:23" ht="57.6" x14ac:dyDescent="0.25">
      <c r="A157" s="15" t="s">
        <v>456</v>
      </c>
      <c r="B157" s="16">
        <v>134758</v>
      </c>
      <c r="C157" s="16">
        <v>93144</v>
      </c>
      <c r="D157" s="18" t="s">
        <v>282</v>
      </c>
      <c r="E157" s="17" t="s">
        <v>28</v>
      </c>
      <c r="F157" s="17" t="s">
        <v>16</v>
      </c>
      <c r="G157" s="19">
        <v>15</v>
      </c>
      <c r="H157" s="19"/>
      <c r="I157" s="19"/>
      <c r="J157" s="19">
        <f t="shared" si="37"/>
        <v>0</v>
      </c>
      <c r="K157" s="20">
        <v>190.5265</v>
      </c>
      <c r="L157" s="20">
        <f>G157*K157</f>
        <v>2857.8975</v>
      </c>
      <c r="M157" s="20">
        <f t="shared" si="38"/>
        <v>0</v>
      </c>
      <c r="N157" s="20">
        <f t="shared" si="39"/>
        <v>0</v>
      </c>
      <c r="O157" s="20">
        <f t="shared" si="40"/>
        <v>0</v>
      </c>
      <c r="V157" s="4">
        <v>229.55</v>
      </c>
      <c r="W157" s="4">
        <f t="shared" si="42"/>
        <v>190.5265</v>
      </c>
    </row>
    <row r="158" spans="1:23" ht="57.6" x14ac:dyDescent="0.25">
      <c r="A158" s="15" t="s">
        <v>457</v>
      </c>
      <c r="B158" s="16">
        <v>134557</v>
      </c>
      <c r="C158" s="17" t="s">
        <v>283</v>
      </c>
      <c r="D158" s="18" t="s">
        <v>284</v>
      </c>
      <c r="E158" s="17" t="s">
        <v>28</v>
      </c>
      <c r="F158" s="17" t="s">
        <v>16</v>
      </c>
      <c r="G158" s="19">
        <v>1</v>
      </c>
      <c r="H158" s="19"/>
      <c r="I158" s="19"/>
      <c r="J158" s="19">
        <f t="shared" si="37"/>
        <v>0</v>
      </c>
      <c r="K158" s="20">
        <v>607.00390000000004</v>
      </c>
      <c r="L158" s="20">
        <f>G158*K158</f>
        <v>607.00390000000004</v>
      </c>
      <c r="M158" s="20">
        <f t="shared" si="38"/>
        <v>0</v>
      </c>
      <c r="N158" s="20">
        <f t="shared" si="39"/>
        <v>0</v>
      </c>
      <c r="O158" s="20">
        <f t="shared" si="40"/>
        <v>0</v>
      </c>
      <c r="V158" s="4">
        <v>731.33</v>
      </c>
      <c r="W158" s="4">
        <f t="shared" si="42"/>
        <v>607.00390000000004</v>
      </c>
    </row>
    <row r="159" spans="1:23" ht="57.6" x14ac:dyDescent="0.25">
      <c r="A159" s="15" t="s">
        <v>458</v>
      </c>
      <c r="B159" s="16">
        <v>134562</v>
      </c>
      <c r="C159" s="16">
        <v>83463</v>
      </c>
      <c r="D159" s="18" t="s">
        <v>285</v>
      </c>
      <c r="E159" s="17" t="s">
        <v>28</v>
      </c>
      <c r="F159" s="17" t="s">
        <v>16</v>
      </c>
      <c r="G159" s="19">
        <v>1</v>
      </c>
      <c r="H159" s="19"/>
      <c r="I159" s="19"/>
      <c r="J159" s="19">
        <f t="shared" si="37"/>
        <v>0</v>
      </c>
      <c r="K159" s="20">
        <v>416.90070000000003</v>
      </c>
      <c r="L159" s="20">
        <f>G159*K159</f>
        <v>416.90070000000003</v>
      </c>
      <c r="M159" s="20">
        <f t="shared" si="38"/>
        <v>0</v>
      </c>
      <c r="N159" s="20">
        <f t="shared" si="39"/>
        <v>0</v>
      </c>
      <c r="O159" s="20">
        <f t="shared" si="40"/>
        <v>0</v>
      </c>
      <c r="V159" s="4">
        <v>502.29</v>
      </c>
      <c r="W159" s="4">
        <f t="shared" si="42"/>
        <v>416.90070000000003</v>
      </c>
    </row>
    <row r="160" spans="1:23" ht="43.2" x14ac:dyDescent="0.25">
      <c r="A160" s="15" t="s">
        <v>459</v>
      </c>
      <c r="B160" s="16">
        <v>163060</v>
      </c>
      <c r="C160" s="17" t="s">
        <v>286</v>
      </c>
      <c r="D160" s="18" t="s">
        <v>287</v>
      </c>
      <c r="E160" s="17" t="s">
        <v>15</v>
      </c>
      <c r="F160" s="17" t="s">
        <v>86</v>
      </c>
      <c r="G160" s="19">
        <v>25</v>
      </c>
      <c r="H160" s="19"/>
      <c r="I160" s="19"/>
      <c r="J160" s="19">
        <f t="shared" si="37"/>
        <v>0</v>
      </c>
      <c r="K160" s="20">
        <v>16.765999999999998</v>
      </c>
      <c r="L160" s="20">
        <f>G160*K160</f>
        <v>419.15</v>
      </c>
      <c r="M160" s="20">
        <f t="shared" si="38"/>
        <v>0</v>
      </c>
      <c r="N160" s="20">
        <f t="shared" si="39"/>
        <v>0</v>
      </c>
      <c r="O160" s="20">
        <f t="shared" si="40"/>
        <v>0</v>
      </c>
      <c r="V160" s="4">
        <v>20.2</v>
      </c>
      <c r="W160" s="4">
        <f t="shared" si="42"/>
        <v>16.765999999999998</v>
      </c>
    </row>
    <row r="161" spans="1:23" ht="28.8" x14ac:dyDescent="0.25">
      <c r="A161" s="15" t="s">
        <v>460</v>
      </c>
      <c r="B161" s="16">
        <v>153813</v>
      </c>
      <c r="C161" s="17"/>
      <c r="D161" s="18" t="s">
        <v>288</v>
      </c>
      <c r="E161" s="17" t="s">
        <v>15</v>
      </c>
      <c r="F161" s="17" t="s">
        <v>16</v>
      </c>
      <c r="G161" s="19">
        <v>3</v>
      </c>
      <c r="H161" s="19"/>
      <c r="I161" s="19"/>
      <c r="J161" s="19">
        <f t="shared" si="37"/>
        <v>0</v>
      </c>
      <c r="K161" s="20">
        <v>149.34190000000001</v>
      </c>
      <c r="L161" s="20">
        <f>G161*K161</f>
        <v>448.02570000000003</v>
      </c>
      <c r="M161" s="20">
        <f t="shared" si="38"/>
        <v>0</v>
      </c>
      <c r="N161" s="20">
        <f t="shared" si="39"/>
        <v>0</v>
      </c>
      <c r="O161" s="20">
        <f t="shared" si="40"/>
        <v>0</v>
      </c>
      <c r="V161" s="4">
        <v>179.93</v>
      </c>
      <c r="W161" s="4">
        <f t="shared" si="42"/>
        <v>149.34190000000001</v>
      </c>
    </row>
    <row r="162" spans="1:23" ht="72" x14ac:dyDescent="0.25">
      <c r="A162" s="15" t="s">
        <v>461</v>
      </c>
      <c r="B162" s="16">
        <v>153836</v>
      </c>
      <c r="C162" s="17"/>
      <c r="D162" s="18" t="s">
        <v>289</v>
      </c>
      <c r="E162" s="17" t="s">
        <v>15</v>
      </c>
      <c r="F162" s="17" t="s">
        <v>16</v>
      </c>
      <c r="G162" s="19">
        <v>1</v>
      </c>
      <c r="H162" s="19"/>
      <c r="I162" s="19"/>
      <c r="J162" s="19">
        <f t="shared" si="37"/>
        <v>0</v>
      </c>
      <c r="K162" s="20">
        <v>155.09380000000002</v>
      </c>
      <c r="L162" s="20">
        <f>G162*K162</f>
        <v>155.09380000000002</v>
      </c>
      <c r="M162" s="20">
        <f t="shared" si="38"/>
        <v>0</v>
      </c>
      <c r="N162" s="20">
        <f t="shared" si="39"/>
        <v>0</v>
      </c>
      <c r="O162" s="20">
        <f t="shared" si="40"/>
        <v>0</v>
      </c>
      <c r="V162" s="4">
        <v>186.86</v>
      </c>
      <c r="W162" s="4">
        <f t="shared" si="42"/>
        <v>155.09380000000002</v>
      </c>
    </row>
    <row r="163" spans="1:23" ht="28.8" x14ac:dyDescent="0.25">
      <c r="A163" s="15" t="s">
        <v>462</v>
      </c>
      <c r="B163" s="16">
        <v>152173</v>
      </c>
      <c r="C163" s="17"/>
      <c r="D163" s="18" t="s">
        <v>290</v>
      </c>
      <c r="E163" s="17" t="s">
        <v>15</v>
      </c>
      <c r="F163" s="17" t="s">
        <v>16</v>
      </c>
      <c r="G163" s="19">
        <v>1</v>
      </c>
      <c r="H163" s="19"/>
      <c r="I163" s="19"/>
      <c r="J163" s="19">
        <f t="shared" si="37"/>
        <v>0</v>
      </c>
      <c r="K163" s="20">
        <v>332.6225</v>
      </c>
      <c r="L163" s="20">
        <f>G163*K163</f>
        <v>332.6225</v>
      </c>
      <c r="M163" s="20">
        <f t="shared" si="38"/>
        <v>0</v>
      </c>
      <c r="N163" s="20">
        <f t="shared" si="39"/>
        <v>0</v>
      </c>
      <c r="O163" s="20">
        <f t="shared" si="40"/>
        <v>0</v>
      </c>
      <c r="V163" s="4">
        <v>400.75</v>
      </c>
      <c r="W163" s="4">
        <f t="shared" si="42"/>
        <v>332.6225</v>
      </c>
    </row>
    <row r="164" spans="1:23" ht="100.8" x14ac:dyDescent="0.25">
      <c r="A164" s="15" t="s">
        <v>463</v>
      </c>
      <c r="B164" s="16">
        <v>164422</v>
      </c>
      <c r="C164" s="17" t="s">
        <v>291</v>
      </c>
      <c r="D164" s="18" t="s">
        <v>292</v>
      </c>
      <c r="E164" s="17" t="s">
        <v>28</v>
      </c>
      <c r="F164" s="17" t="s">
        <v>16</v>
      </c>
      <c r="G164" s="19">
        <v>1</v>
      </c>
      <c r="H164" s="19"/>
      <c r="I164" s="19"/>
      <c r="J164" s="19">
        <f t="shared" si="37"/>
        <v>0</v>
      </c>
      <c r="K164" s="20">
        <v>1941.0711999999999</v>
      </c>
      <c r="L164" s="20">
        <f>G164*K164</f>
        <v>1941.0711999999999</v>
      </c>
      <c r="M164" s="20">
        <f t="shared" si="38"/>
        <v>0</v>
      </c>
      <c r="N164" s="20">
        <f t="shared" si="39"/>
        <v>0</v>
      </c>
      <c r="O164" s="20">
        <f t="shared" si="40"/>
        <v>0</v>
      </c>
      <c r="V164" s="4">
        <v>2338.64</v>
      </c>
      <c r="W164" s="4">
        <f t="shared" si="42"/>
        <v>1941.0711999999999</v>
      </c>
    </row>
    <row r="165" spans="1:23" x14ac:dyDescent="0.25">
      <c r="A165" s="8" t="s">
        <v>293</v>
      </c>
      <c r="B165" s="9"/>
      <c r="C165" s="9"/>
      <c r="D165" s="11"/>
      <c r="E165" s="9"/>
      <c r="F165" s="9"/>
      <c r="G165" s="12"/>
      <c r="H165" s="12"/>
      <c r="I165" s="12"/>
      <c r="J165" s="19"/>
      <c r="K165" s="13"/>
      <c r="L165" s="13">
        <f>SUM(L166:L175)</f>
        <v>14362.552399999997</v>
      </c>
      <c r="M165" s="13">
        <f t="shared" ref="M165:O165" si="43">SUM(M166:M175)</f>
        <v>0</v>
      </c>
      <c r="N165" s="13">
        <f t="shared" si="43"/>
        <v>0</v>
      </c>
      <c r="O165" s="13">
        <f t="shared" si="43"/>
        <v>0</v>
      </c>
    </row>
    <row r="166" spans="1:23" x14ac:dyDescent="0.25">
      <c r="A166" s="15" t="s">
        <v>294</v>
      </c>
      <c r="B166" s="16">
        <v>161857</v>
      </c>
      <c r="C166" s="17" t="s">
        <v>295</v>
      </c>
      <c r="D166" s="18" t="s">
        <v>296</v>
      </c>
      <c r="E166" s="17" t="s">
        <v>15</v>
      </c>
      <c r="F166" s="17" t="s">
        <v>16</v>
      </c>
      <c r="G166" s="19">
        <v>24</v>
      </c>
      <c r="H166" s="19"/>
      <c r="I166" s="19"/>
      <c r="J166" s="19">
        <f t="shared" si="37"/>
        <v>0</v>
      </c>
      <c r="K166" s="20">
        <v>16.193300000000001</v>
      </c>
      <c r="L166" s="20">
        <f>G166*K166</f>
        <v>388.63920000000002</v>
      </c>
      <c r="M166" s="20">
        <f t="shared" si="38"/>
        <v>0</v>
      </c>
      <c r="N166" s="20">
        <f t="shared" si="39"/>
        <v>0</v>
      </c>
      <c r="O166" s="20">
        <f t="shared" si="40"/>
        <v>0</v>
      </c>
      <c r="V166" s="4">
        <v>19.510000000000002</v>
      </c>
      <c r="W166" s="4">
        <f t="shared" ref="W166:W175" si="44">V166-V166*$R$5</f>
        <v>16.193300000000001</v>
      </c>
    </row>
    <row r="167" spans="1:23" x14ac:dyDescent="0.25">
      <c r="A167" s="15" t="s">
        <v>297</v>
      </c>
      <c r="B167" s="16">
        <v>153782</v>
      </c>
      <c r="C167" s="17"/>
      <c r="D167" s="18" t="s">
        <v>298</v>
      </c>
      <c r="E167" s="17" t="s">
        <v>28</v>
      </c>
      <c r="F167" s="17" t="s">
        <v>16</v>
      </c>
      <c r="G167" s="19">
        <v>1</v>
      </c>
      <c r="H167" s="19"/>
      <c r="I167" s="19"/>
      <c r="J167" s="19">
        <f t="shared" si="37"/>
        <v>0</v>
      </c>
      <c r="K167" s="20">
        <v>910.99139999999989</v>
      </c>
      <c r="L167" s="20">
        <f>G167*K167</f>
        <v>910.99139999999989</v>
      </c>
      <c r="M167" s="20">
        <f t="shared" si="38"/>
        <v>0</v>
      </c>
      <c r="N167" s="20">
        <f t="shared" si="39"/>
        <v>0</v>
      </c>
      <c r="O167" s="20">
        <f t="shared" si="40"/>
        <v>0</v>
      </c>
      <c r="V167" s="4">
        <v>1097.58</v>
      </c>
      <c r="W167" s="4">
        <f t="shared" si="44"/>
        <v>910.99139999999989</v>
      </c>
    </row>
    <row r="168" spans="1:23" ht="43.2" x14ac:dyDescent="0.25">
      <c r="A168" s="15" t="s">
        <v>299</v>
      </c>
      <c r="B168" s="16">
        <v>153799</v>
      </c>
      <c r="C168" s="17"/>
      <c r="D168" s="18" t="s">
        <v>300</v>
      </c>
      <c r="E168" s="17" t="s">
        <v>15</v>
      </c>
      <c r="F168" s="17" t="s">
        <v>16</v>
      </c>
      <c r="G168" s="19">
        <v>1</v>
      </c>
      <c r="H168" s="19"/>
      <c r="I168" s="19"/>
      <c r="J168" s="19">
        <f t="shared" si="37"/>
        <v>0</v>
      </c>
      <c r="K168" s="20">
        <v>1904.85</v>
      </c>
      <c r="L168" s="20">
        <f>G168*K168</f>
        <v>1904.85</v>
      </c>
      <c r="M168" s="20">
        <f t="shared" si="38"/>
        <v>0</v>
      </c>
      <c r="N168" s="20">
        <f t="shared" si="39"/>
        <v>0</v>
      </c>
      <c r="O168" s="20">
        <f t="shared" si="40"/>
        <v>0</v>
      </c>
      <c r="V168" s="4">
        <v>2295</v>
      </c>
      <c r="W168" s="4">
        <f t="shared" si="44"/>
        <v>1904.85</v>
      </c>
    </row>
    <row r="169" spans="1:23" ht="57.6" x14ac:dyDescent="0.25">
      <c r="A169" s="15" t="s">
        <v>301</v>
      </c>
      <c r="B169" s="16">
        <v>144405</v>
      </c>
      <c r="C169" s="17"/>
      <c r="D169" s="18" t="s">
        <v>302</v>
      </c>
      <c r="E169" s="17" t="s">
        <v>28</v>
      </c>
      <c r="F169" s="17" t="s">
        <v>16</v>
      </c>
      <c r="G169" s="19">
        <v>2</v>
      </c>
      <c r="H169" s="19"/>
      <c r="I169" s="19"/>
      <c r="J169" s="19">
        <f t="shared" si="37"/>
        <v>0</v>
      </c>
      <c r="K169" s="20">
        <v>828.54750000000001</v>
      </c>
      <c r="L169" s="20">
        <f>G169*K169</f>
        <v>1657.095</v>
      </c>
      <c r="M169" s="20">
        <f t="shared" si="38"/>
        <v>0</v>
      </c>
      <c r="N169" s="20">
        <f t="shared" si="39"/>
        <v>0</v>
      </c>
      <c r="O169" s="20">
        <f t="shared" si="40"/>
        <v>0</v>
      </c>
      <c r="V169" s="4">
        <v>998.25</v>
      </c>
      <c r="W169" s="4">
        <f t="shared" si="44"/>
        <v>828.54750000000001</v>
      </c>
    </row>
    <row r="170" spans="1:23" ht="43.2" x14ac:dyDescent="0.25">
      <c r="A170" s="15" t="s">
        <v>303</v>
      </c>
      <c r="B170" s="16">
        <v>144404</v>
      </c>
      <c r="C170" s="17"/>
      <c r="D170" s="18" t="s">
        <v>304</v>
      </c>
      <c r="E170" s="17" t="s">
        <v>28</v>
      </c>
      <c r="F170" s="17" t="s">
        <v>16</v>
      </c>
      <c r="G170" s="19">
        <v>1</v>
      </c>
      <c r="H170" s="19"/>
      <c r="I170" s="19"/>
      <c r="J170" s="19">
        <f t="shared" si="37"/>
        <v>0</v>
      </c>
      <c r="K170" s="20">
        <v>729.93520000000001</v>
      </c>
      <c r="L170" s="20">
        <f>G170*K170</f>
        <v>729.93520000000001</v>
      </c>
      <c r="M170" s="20">
        <f t="shared" si="38"/>
        <v>0</v>
      </c>
      <c r="N170" s="20">
        <f t="shared" si="39"/>
        <v>0</v>
      </c>
      <c r="O170" s="20">
        <f t="shared" si="40"/>
        <v>0</v>
      </c>
      <c r="V170" s="4">
        <v>879.44</v>
      </c>
      <c r="W170" s="4">
        <f t="shared" si="44"/>
        <v>729.93520000000001</v>
      </c>
    </row>
    <row r="171" spans="1:23" ht="28.8" x14ac:dyDescent="0.25">
      <c r="A171" s="15" t="s">
        <v>305</v>
      </c>
      <c r="B171" s="16">
        <v>149129</v>
      </c>
      <c r="C171" s="17"/>
      <c r="D171" s="18" t="s">
        <v>306</v>
      </c>
      <c r="E171" s="17" t="s">
        <v>15</v>
      </c>
      <c r="F171" s="17" t="s">
        <v>16</v>
      </c>
      <c r="G171" s="19">
        <v>6</v>
      </c>
      <c r="H171" s="19"/>
      <c r="I171" s="19"/>
      <c r="J171" s="19">
        <f t="shared" si="37"/>
        <v>0</v>
      </c>
      <c r="K171" s="20">
        <v>978.77749999999992</v>
      </c>
      <c r="L171" s="20">
        <f>G171*K171</f>
        <v>5872.6649999999991</v>
      </c>
      <c r="M171" s="20">
        <f t="shared" si="38"/>
        <v>0</v>
      </c>
      <c r="N171" s="20">
        <f t="shared" si="39"/>
        <v>0</v>
      </c>
      <c r="O171" s="20">
        <f t="shared" si="40"/>
        <v>0</v>
      </c>
      <c r="V171" s="4">
        <v>1179.25</v>
      </c>
      <c r="W171" s="4">
        <f t="shared" si="44"/>
        <v>978.77749999999992</v>
      </c>
    </row>
    <row r="172" spans="1:23" ht="43.2" x14ac:dyDescent="0.25">
      <c r="A172" s="15" t="s">
        <v>307</v>
      </c>
      <c r="B172" s="16">
        <v>134804</v>
      </c>
      <c r="C172" s="17" t="s">
        <v>308</v>
      </c>
      <c r="D172" s="18" t="s">
        <v>309</v>
      </c>
      <c r="E172" s="17" t="s">
        <v>28</v>
      </c>
      <c r="F172" s="17" t="s">
        <v>16</v>
      </c>
      <c r="G172" s="19">
        <v>1</v>
      </c>
      <c r="H172" s="19"/>
      <c r="I172" s="19"/>
      <c r="J172" s="19">
        <f t="shared" si="37"/>
        <v>0</v>
      </c>
      <c r="K172" s="20">
        <v>196.48589999999999</v>
      </c>
      <c r="L172" s="20">
        <f>G172*K172</f>
        <v>196.48589999999999</v>
      </c>
      <c r="M172" s="20">
        <f t="shared" si="38"/>
        <v>0</v>
      </c>
      <c r="N172" s="20">
        <f t="shared" si="39"/>
        <v>0</v>
      </c>
      <c r="O172" s="20">
        <f t="shared" si="40"/>
        <v>0</v>
      </c>
      <c r="V172" s="4">
        <v>236.73</v>
      </c>
      <c r="W172" s="4">
        <f t="shared" si="44"/>
        <v>196.48589999999999</v>
      </c>
    </row>
    <row r="173" spans="1:23" ht="28.8" x14ac:dyDescent="0.25">
      <c r="A173" s="15" t="s">
        <v>310</v>
      </c>
      <c r="B173" s="16">
        <v>164429</v>
      </c>
      <c r="C173" s="17"/>
      <c r="D173" s="18" t="s">
        <v>311</v>
      </c>
      <c r="E173" s="17" t="s">
        <v>28</v>
      </c>
      <c r="F173" s="17" t="s">
        <v>16</v>
      </c>
      <c r="G173" s="19">
        <v>1</v>
      </c>
      <c r="H173" s="19"/>
      <c r="I173" s="19"/>
      <c r="J173" s="19">
        <f t="shared" si="37"/>
        <v>0</v>
      </c>
      <c r="K173" s="20">
        <v>785.83569999999997</v>
      </c>
      <c r="L173" s="20">
        <f>G173*K173</f>
        <v>785.83569999999997</v>
      </c>
      <c r="M173" s="20">
        <f t="shared" si="38"/>
        <v>0</v>
      </c>
      <c r="N173" s="20">
        <f t="shared" si="39"/>
        <v>0</v>
      </c>
      <c r="O173" s="20">
        <f t="shared" si="40"/>
        <v>0</v>
      </c>
      <c r="V173" s="4">
        <v>946.79</v>
      </c>
      <c r="W173" s="4">
        <f t="shared" si="44"/>
        <v>785.83569999999997</v>
      </c>
    </row>
    <row r="174" spans="1:23" ht="57.6" x14ac:dyDescent="0.25">
      <c r="A174" s="15" t="s">
        <v>312</v>
      </c>
      <c r="B174" s="16">
        <v>163391</v>
      </c>
      <c r="C174" s="17"/>
      <c r="D174" s="18" t="s">
        <v>313</v>
      </c>
      <c r="E174" s="17" t="s">
        <v>28</v>
      </c>
      <c r="F174" s="17" t="s">
        <v>34</v>
      </c>
      <c r="G174" s="19">
        <v>3</v>
      </c>
      <c r="H174" s="19"/>
      <c r="I174" s="19"/>
      <c r="J174" s="19">
        <f t="shared" si="37"/>
        <v>0</v>
      </c>
      <c r="K174" s="20">
        <v>249.8134</v>
      </c>
      <c r="L174" s="20">
        <f>G174*K174</f>
        <v>749.4402</v>
      </c>
      <c r="M174" s="20">
        <f t="shared" si="38"/>
        <v>0</v>
      </c>
      <c r="N174" s="20">
        <f t="shared" si="39"/>
        <v>0</v>
      </c>
      <c r="O174" s="20">
        <f t="shared" si="40"/>
        <v>0</v>
      </c>
      <c r="V174" s="4">
        <v>300.98</v>
      </c>
      <c r="W174" s="4">
        <f t="shared" si="44"/>
        <v>249.8134</v>
      </c>
    </row>
    <row r="175" spans="1:23" ht="28.8" x14ac:dyDescent="0.25">
      <c r="A175" s="23" t="s">
        <v>314</v>
      </c>
      <c r="B175" s="16">
        <v>134803</v>
      </c>
      <c r="C175" s="17" t="s">
        <v>315</v>
      </c>
      <c r="D175" s="18" t="s">
        <v>316</v>
      </c>
      <c r="E175" s="17" t="s">
        <v>28</v>
      </c>
      <c r="F175" s="17" t="s">
        <v>16</v>
      </c>
      <c r="G175" s="19">
        <v>2</v>
      </c>
      <c r="H175" s="19"/>
      <c r="I175" s="19"/>
      <c r="J175" s="19">
        <f t="shared" si="37"/>
        <v>0</v>
      </c>
      <c r="K175" s="20">
        <v>583.30739999999992</v>
      </c>
      <c r="L175" s="20">
        <f>G175*K175</f>
        <v>1166.6147999999998</v>
      </c>
      <c r="M175" s="20">
        <f t="shared" si="38"/>
        <v>0</v>
      </c>
      <c r="N175" s="20">
        <f t="shared" si="39"/>
        <v>0</v>
      </c>
      <c r="O175" s="20">
        <f t="shared" si="40"/>
        <v>0</v>
      </c>
      <c r="V175" s="4">
        <v>702.78</v>
      </c>
      <c r="W175" s="4">
        <f t="shared" si="44"/>
        <v>583.30739999999992</v>
      </c>
    </row>
    <row r="176" spans="1:23" x14ac:dyDescent="0.25">
      <c r="A176" s="8" t="s">
        <v>317</v>
      </c>
      <c r="B176" s="9"/>
      <c r="C176" s="9"/>
      <c r="D176" s="11"/>
      <c r="E176" s="9"/>
      <c r="F176" s="9"/>
      <c r="G176" s="12"/>
      <c r="H176" s="12"/>
      <c r="I176" s="12"/>
      <c r="J176" s="19"/>
      <c r="K176" s="13"/>
      <c r="L176" s="13">
        <f>SUM(L177:L178)</f>
        <v>2510.2852000000003</v>
      </c>
      <c r="M176" s="13">
        <f t="shared" ref="M176:O176" si="45">SUM(M177:M178)</f>
        <v>0</v>
      </c>
      <c r="N176" s="13">
        <f t="shared" si="45"/>
        <v>0</v>
      </c>
      <c r="O176" s="13">
        <f t="shared" si="45"/>
        <v>0</v>
      </c>
    </row>
    <row r="177" spans="1:23" x14ac:dyDescent="0.25">
      <c r="A177" s="15" t="s">
        <v>318</v>
      </c>
      <c r="B177" s="16">
        <v>136947</v>
      </c>
      <c r="C177" s="16">
        <v>9537</v>
      </c>
      <c r="D177" s="18" t="s">
        <v>319</v>
      </c>
      <c r="E177" s="17" t="s">
        <v>28</v>
      </c>
      <c r="F177" s="17" t="s">
        <v>34</v>
      </c>
      <c r="G177" s="19">
        <v>604</v>
      </c>
      <c r="H177" s="19"/>
      <c r="I177" s="19"/>
      <c r="J177" s="19">
        <f t="shared" si="37"/>
        <v>0</v>
      </c>
      <c r="K177" s="20">
        <v>2.1579999999999999</v>
      </c>
      <c r="L177" s="20">
        <f>G177*K177</f>
        <v>1303.432</v>
      </c>
      <c r="M177" s="20">
        <f t="shared" si="38"/>
        <v>0</v>
      </c>
      <c r="N177" s="20">
        <f t="shared" si="39"/>
        <v>0</v>
      </c>
      <c r="O177" s="20">
        <f t="shared" si="40"/>
        <v>0</v>
      </c>
      <c r="V177" s="4">
        <v>2.6</v>
      </c>
      <c r="W177" s="4">
        <f t="shared" ref="W177:W178" si="46">V177-V177*$R$5</f>
        <v>2.1579999999999999</v>
      </c>
    </row>
    <row r="178" spans="1:23" ht="43.2" x14ac:dyDescent="0.25">
      <c r="A178" s="15" t="s">
        <v>320</v>
      </c>
      <c r="B178" s="16">
        <v>154010</v>
      </c>
      <c r="C178" s="17" t="s">
        <v>321</v>
      </c>
      <c r="D178" s="18" t="s">
        <v>322</v>
      </c>
      <c r="E178" s="17" t="s">
        <v>28</v>
      </c>
      <c r="F178" s="17" t="s">
        <v>57</v>
      </c>
      <c r="G178" s="19">
        <v>36</v>
      </c>
      <c r="H178" s="19"/>
      <c r="I178" s="19"/>
      <c r="J178" s="19">
        <f t="shared" si="37"/>
        <v>0</v>
      </c>
      <c r="K178" s="20">
        <v>33.523699999999998</v>
      </c>
      <c r="L178" s="20">
        <f>G178*K178</f>
        <v>1206.8532</v>
      </c>
      <c r="M178" s="20">
        <f t="shared" si="38"/>
        <v>0</v>
      </c>
      <c r="N178" s="20">
        <f t="shared" si="39"/>
        <v>0</v>
      </c>
      <c r="O178" s="20">
        <f t="shared" si="40"/>
        <v>0</v>
      </c>
      <c r="V178" s="4">
        <v>40.39</v>
      </c>
      <c r="W178" s="4">
        <f t="shared" si="46"/>
        <v>33.523699999999998</v>
      </c>
    </row>
    <row r="179" spans="1:23" x14ac:dyDescent="0.25">
      <c r="A179" s="8" t="s">
        <v>323</v>
      </c>
      <c r="B179" s="9"/>
      <c r="C179" s="9"/>
      <c r="D179" s="11"/>
      <c r="E179" s="9"/>
      <c r="F179" s="9"/>
      <c r="G179" s="12"/>
      <c r="H179" s="12"/>
      <c r="I179" s="12"/>
      <c r="J179" s="19"/>
      <c r="K179" s="13"/>
      <c r="L179" s="13">
        <f>SUM(L180,L182,L185,L189,L191,L193,L198,L203,L207,)</f>
        <v>42561.794680999999</v>
      </c>
      <c r="M179" s="13">
        <f t="shared" ref="M179:O179" si="47">SUM(M180,M182,M185,M189,M191,M193,M198,M203,M207,)</f>
        <v>0</v>
      </c>
      <c r="N179" s="13">
        <f t="shared" si="47"/>
        <v>0</v>
      </c>
      <c r="O179" s="13">
        <f t="shared" si="47"/>
        <v>0</v>
      </c>
      <c r="P179" s="14"/>
      <c r="Q179" s="24"/>
    </row>
    <row r="180" spans="1:23" x14ac:dyDescent="0.25">
      <c r="A180" s="8" t="s">
        <v>324</v>
      </c>
      <c r="B180" s="9"/>
      <c r="C180" s="9"/>
      <c r="D180" s="11"/>
      <c r="E180" s="9"/>
      <c r="F180" s="9"/>
      <c r="G180" s="12"/>
      <c r="H180" s="12"/>
      <c r="I180" s="12"/>
      <c r="J180" s="19"/>
      <c r="K180" s="13"/>
      <c r="L180" s="13">
        <f>SUM(L181)</f>
        <v>436.24799999999993</v>
      </c>
      <c r="M180" s="13">
        <f t="shared" ref="M180:O180" si="48">SUM(M181)</f>
        <v>0</v>
      </c>
      <c r="N180" s="13">
        <f t="shared" si="48"/>
        <v>0</v>
      </c>
      <c r="O180" s="13">
        <f t="shared" si="48"/>
        <v>0</v>
      </c>
    </row>
    <row r="181" spans="1:23" ht="43.2" x14ac:dyDescent="0.25">
      <c r="A181" s="15" t="s">
        <v>325</v>
      </c>
      <c r="B181" s="16">
        <v>163387</v>
      </c>
      <c r="C181" s="17" t="s">
        <v>36</v>
      </c>
      <c r="D181" s="18" t="s">
        <v>37</v>
      </c>
      <c r="E181" s="17" t="s">
        <v>28</v>
      </c>
      <c r="F181" s="17" t="s">
        <v>34</v>
      </c>
      <c r="G181" s="19">
        <v>72</v>
      </c>
      <c r="H181" s="19"/>
      <c r="I181" s="19"/>
      <c r="J181" s="19">
        <f t="shared" si="37"/>
        <v>0</v>
      </c>
      <c r="K181" s="20">
        <v>6.0589999999999993</v>
      </c>
      <c r="L181" s="20">
        <f>G181*K181</f>
        <v>436.24799999999993</v>
      </c>
      <c r="M181" s="20">
        <f t="shared" si="38"/>
        <v>0</v>
      </c>
      <c r="N181" s="20">
        <f t="shared" si="39"/>
        <v>0</v>
      </c>
      <c r="O181" s="20">
        <f t="shared" si="40"/>
        <v>0</v>
      </c>
      <c r="V181" s="4">
        <v>7.3</v>
      </c>
      <c r="W181" s="4">
        <f>V181-V181*$R$5</f>
        <v>6.0589999999999993</v>
      </c>
    </row>
    <row r="182" spans="1:23" x14ac:dyDescent="0.25">
      <c r="A182" s="8" t="s">
        <v>326</v>
      </c>
      <c r="B182" s="9"/>
      <c r="C182" s="9"/>
      <c r="D182" s="11"/>
      <c r="E182" s="9"/>
      <c r="F182" s="9"/>
      <c r="G182" s="12"/>
      <c r="H182" s="12"/>
      <c r="I182" s="12"/>
      <c r="J182" s="19"/>
      <c r="K182" s="13"/>
      <c r="L182" s="13">
        <f>SUM(L183:L184)</f>
        <v>3886.5672960000002</v>
      </c>
      <c r="M182" s="13">
        <f t="shared" ref="M182:O182" si="49">SUM(M183:M184)</f>
        <v>0</v>
      </c>
      <c r="N182" s="13">
        <f t="shared" si="49"/>
        <v>0</v>
      </c>
      <c r="O182" s="13">
        <f t="shared" si="49"/>
        <v>0</v>
      </c>
    </row>
    <row r="183" spans="1:23" ht="28.8" x14ac:dyDescent="0.25">
      <c r="A183" s="15" t="s">
        <v>327</v>
      </c>
      <c r="B183" s="16">
        <v>160239</v>
      </c>
      <c r="C183" s="17"/>
      <c r="D183" s="18" t="s">
        <v>56</v>
      </c>
      <c r="E183" s="17" t="s">
        <v>28</v>
      </c>
      <c r="F183" s="17" t="s">
        <v>57</v>
      </c>
      <c r="G183" s="19">
        <v>18.239999999999998</v>
      </c>
      <c r="H183" s="19"/>
      <c r="I183" s="19"/>
      <c r="J183" s="19">
        <f t="shared" si="37"/>
        <v>0</v>
      </c>
      <c r="K183" s="20">
        <v>63.113200000000006</v>
      </c>
      <c r="L183" s="20">
        <f>G183*K183</f>
        <v>1151.1847680000001</v>
      </c>
      <c r="M183" s="20">
        <f t="shared" si="38"/>
        <v>0</v>
      </c>
      <c r="N183" s="20">
        <f t="shared" si="39"/>
        <v>0</v>
      </c>
      <c r="O183" s="20">
        <f t="shared" si="40"/>
        <v>0</v>
      </c>
      <c r="V183" s="4">
        <v>76.040000000000006</v>
      </c>
      <c r="W183" s="4">
        <f t="shared" ref="W183:W184" si="50">V183-V183*$R$5</f>
        <v>63.113200000000006</v>
      </c>
    </row>
    <row r="184" spans="1:23" ht="28.8" x14ac:dyDescent="0.25">
      <c r="A184" s="15" t="s">
        <v>328</v>
      </c>
      <c r="B184" s="16">
        <v>146934</v>
      </c>
      <c r="C184" s="16">
        <v>95467</v>
      </c>
      <c r="D184" s="18" t="s">
        <v>65</v>
      </c>
      <c r="E184" s="17" t="s">
        <v>28</v>
      </c>
      <c r="F184" s="17" t="s">
        <v>57</v>
      </c>
      <c r="G184" s="19">
        <v>8.64</v>
      </c>
      <c r="H184" s="19"/>
      <c r="I184" s="19"/>
      <c r="J184" s="19">
        <f t="shared" si="37"/>
        <v>0</v>
      </c>
      <c r="K184" s="20">
        <v>316.59519999999998</v>
      </c>
      <c r="L184" s="20">
        <f>G184*K184</f>
        <v>2735.3825280000001</v>
      </c>
      <c r="M184" s="20">
        <f t="shared" si="38"/>
        <v>0</v>
      </c>
      <c r="N184" s="20">
        <f t="shared" si="39"/>
        <v>0</v>
      </c>
      <c r="O184" s="20">
        <f t="shared" si="40"/>
        <v>0</v>
      </c>
      <c r="V184" s="4">
        <v>381.44</v>
      </c>
      <c r="W184" s="4">
        <f t="shared" si="50"/>
        <v>316.59519999999998</v>
      </c>
    </row>
    <row r="185" spans="1:23" x14ac:dyDescent="0.25">
      <c r="A185" s="8" t="s">
        <v>329</v>
      </c>
      <c r="B185" s="9"/>
      <c r="C185" s="9"/>
      <c r="D185" s="11"/>
      <c r="E185" s="9"/>
      <c r="F185" s="9"/>
      <c r="G185" s="12"/>
      <c r="H185" s="12"/>
      <c r="I185" s="12"/>
      <c r="J185" s="19"/>
      <c r="K185" s="13"/>
      <c r="L185" s="13">
        <f>SUM(L186:L188)</f>
        <v>5030.3370099999993</v>
      </c>
      <c r="M185" s="13">
        <f t="shared" ref="M185:O185" si="51">SUM(M186:M188)</f>
        <v>0</v>
      </c>
      <c r="N185" s="13">
        <f t="shared" si="51"/>
        <v>0</v>
      </c>
      <c r="O185" s="13">
        <f t="shared" si="51"/>
        <v>0</v>
      </c>
    </row>
    <row r="186" spans="1:23" ht="28.8" x14ac:dyDescent="0.25">
      <c r="A186" s="15" t="s">
        <v>330</v>
      </c>
      <c r="B186" s="16">
        <v>154476</v>
      </c>
      <c r="C186" s="16">
        <v>96616</v>
      </c>
      <c r="D186" s="18" t="s">
        <v>69</v>
      </c>
      <c r="E186" s="17" t="s">
        <v>28</v>
      </c>
      <c r="F186" s="17" t="s">
        <v>57</v>
      </c>
      <c r="G186" s="19">
        <v>1.5</v>
      </c>
      <c r="H186" s="19"/>
      <c r="I186" s="19"/>
      <c r="J186" s="19">
        <f t="shared" si="37"/>
        <v>0</v>
      </c>
      <c r="K186" s="20">
        <v>463.80399999999997</v>
      </c>
      <c r="L186" s="20">
        <f>G186*K186</f>
        <v>695.7059999999999</v>
      </c>
      <c r="M186" s="20">
        <f t="shared" si="38"/>
        <v>0</v>
      </c>
      <c r="N186" s="20">
        <f t="shared" si="39"/>
        <v>0</v>
      </c>
      <c r="O186" s="20">
        <f t="shared" si="40"/>
        <v>0</v>
      </c>
      <c r="V186" s="4">
        <v>558.79999999999995</v>
      </c>
      <c r="W186" s="4">
        <f t="shared" ref="W186:W188" si="52">V186-V186*$R$5</f>
        <v>463.80399999999997</v>
      </c>
    </row>
    <row r="187" spans="1:23" ht="43.2" x14ac:dyDescent="0.25">
      <c r="A187" s="15" t="s">
        <v>331</v>
      </c>
      <c r="B187" s="16">
        <v>161024</v>
      </c>
      <c r="C187" s="17"/>
      <c r="D187" s="18" t="s">
        <v>71</v>
      </c>
      <c r="E187" s="17" t="s">
        <v>28</v>
      </c>
      <c r="F187" s="17" t="s">
        <v>57</v>
      </c>
      <c r="G187" s="19">
        <v>3</v>
      </c>
      <c r="H187" s="19"/>
      <c r="I187" s="19"/>
      <c r="J187" s="19">
        <f t="shared" si="37"/>
        <v>0</v>
      </c>
      <c r="K187" s="20">
        <v>1008.5329999999999</v>
      </c>
      <c r="L187" s="20">
        <f>G187*K187</f>
        <v>3025.5989999999997</v>
      </c>
      <c r="M187" s="20">
        <f t="shared" si="38"/>
        <v>0</v>
      </c>
      <c r="N187" s="20">
        <f t="shared" si="39"/>
        <v>0</v>
      </c>
      <c r="O187" s="20">
        <f t="shared" si="40"/>
        <v>0</v>
      </c>
      <c r="V187" s="4">
        <v>1215.0999999999999</v>
      </c>
      <c r="W187" s="4">
        <f t="shared" si="52"/>
        <v>1008.5329999999999</v>
      </c>
    </row>
    <row r="188" spans="1:23" ht="43.2" x14ac:dyDescent="0.25">
      <c r="A188" s="15" t="s">
        <v>332</v>
      </c>
      <c r="B188" s="16">
        <v>161026</v>
      </c>
      <c r="C188" s="17"/>
      <c r="D188" s="18" t="s">
        <v>73</v>
      </c>
      <c r="E188" s="17" t="s">
        <v>28</v>
      </c>
      <c r="F188" s="17" t="s">
        <v>57</v>
      </c>
      <c r="G188" s="19">
        <v>1.3</v>
      </c>
      <c r="H188" s="19"/>
      <c r="I188" s="19"/>
      <c r="J188" s="19">
        <f t="shared" si="37"/>
        <v>0</v>
      </c>
      <c r="K188" s="20">
        <v>1006.9477000000001</v>
      </c>
      <c r="L188" s="20">
        <f>G188*K188</f>
        <v>1309.0320100000001</v>
      </c>
      <c r="M188" s="20">
        <f t="shared" si="38"/>
        <v>0</v>
      </c>
      <c r="N188" s="20">
        <f t="shared" si="39"/>
        <v>0</v>
      </c>
      <c r="O188" s="20">
        <f t="shared" si="40"/>
        <v>0</v>
      </c>
      <c r="V188" s="4">
        <v>1213.19</v>
      </c>
      <c r="W188" s="4">
        <f t="shared" si="52"/>
        <v>1006.9477000000001</v>
      </c>
    </row>
    <row r="189" spans="1:23" x14ac:dyDescent="0.25">
      <c r="A189" s="8" t="s">
        <v>333</v>
      </c>
      <c r="B189" s="9"/>
      <c r="C189" s="9"/>
      <c r="D189" s="11"/>
      <c r="E189" s="9"/>
      <c r="F189" s="9"/>
      <c r="G189" s="12"/>
      <c r="H189" s="12"/>
      <c r="I189" s="12"/>
      <c r="J189" s="19"/>
      <c r="K189" s="13"/>
      <c r="L189" s="13">
        <f>L190</f>
        <v>8438.7095999999983</v>
      </c>
      <c r="M189" s="13">
        <f t="shared" ref="M189:O189" si="53">M190</f>
        <v>0</v>
      </c>
      <c r="N189" s="13">
        <f t="shared" si="53"/>
        <v>0</v>
      </c>
      <c r="O189" s="13">
        <f t="shared" si="53"/>
        <v>0</v>
      </c>
    </row>
    <row r="190" spans="1:23" ht="57.6" x14ac:dyDescent="0.25">
      <c r="A190" s="15" t="s">
        <v>334</v>
      </c>
      <c r="B190" s="16">
        <v>161031</v>
      </c>
      <c r="C190" s="17"/>
      <c r="D190" s="18" t="s">
        <v>78</v>
      </c>
      <c r="E190" s="17" t="s">
        <v>15</v>
      </c>
      <c r="F190" s="17" t="s">
        <v>57</v>
      </c>
      <c r="G190" s="19">
        <v>3</v>
      </c>
      <c r="H190" s="19"/>
      <c r="I190" s="19"/>
      <c r="J190" s="19">
        <f t="shared" si="37"/>
        <v>0</v>
      </c>
      <c r="K190" s="20">
        <v>2812.9031999999997</v>
      </c>
      <c r="L190" s="20">
        <f>G190*K190</f>
        <v>8438.7095999999983</v>
      </c>
      <c r="M190" s="20">
        <f t="shared" si="38"/>
        <v>0</v>
      </c>
      <c r="N190" s="20">
        <f t="shared" si="39"/>
        <v>0</v>
      </c>
      <c r="O190" s="20">
        <f t="shared" si="40"/>
        <v>0</v>
      </c>
      <c r="V190" s="4">
        <v>3389.04</v>
      </c>
      <c r="W190" s="4">
        <f>V190-V190*$R$5</f>
        <v>2812.9031999999997</v>
      </c>
    </row>
    <row r="191" spans="1:23" x14ac:dyDescent="0.25">
      <c r="A191" s="8" t="s">
        <v>335</v>
      </c>
      <c r="B191" s="9"/>
      <c r="C191" s="9"/>
      <c r="D191" s="11"/>
      <c r="E191" s="9"/>
      <c r="F191" s="9"/>
      <c r="G191" s="12"/>
      <c r="H191" s="12"/>
      <c r="I191" s="12"/>
      <c r="J191" s="19"/>
      <c r="K191" s="13"/>
      <c r="L191" s="13">
        <f>L192</f>
        <v>1021.8959999999998</v>
      </c>
      <c r="M191" s="13">
        <f t="shared" ref="M191:O191" si="54">M192</f>
        <v>0</v>
      </c>
      <c r="N191" s="13">
        <f t="shared" si="54"/>
        <v>0</v>
      </c>
      <c r="O191" s="13">
        <f t="shared" si="54"/>
        <v>0</v>
      </c>
    </row>
    <row r="192" spans="1:23" ht="57.6" x14ac:dyDescent="0.25">
      <c r="A192" s="15" t="s">
        <v>336</v>
      </c>
      <c r="B192" s="16">
        <v>160118</v>
      </c>
      <c r="C192" s="17"/>
      <c r="D192" s="18" t="s">
        <v>95</v>
      </c>
      <c r="E192" s="17" t="s">
        <v>28</v>
      </c>
      <c r="F192" s="17" t="s">
        <v>34</v>
      </c>
      <c r="G192" s="19">
        <v>30</v>
      </c>
      <c r="H192" s="19"/>
      <c r="I192" s="19"/>
      <c r="J192" s="19">
        <f t="shared" si="37"/>
        <v>0</v>
      </c>
      <c r="K192" s="20">
        <v>34.063199999999995</v>
      </c>
      <c r="L192" s="20">
        <f>G192*K192</f>
        <v>1021.8959999999998</v>
      </c>
      <c r="M192" s="20">
        <f t="shared" si="38"/>
        <v>0</v>
      </c>
      <c r="N192" s="20">
        <f t="shared" si="39"/>
        <v>0</v>
      </c>
      <c r="O192" s="20">
        <f t="shared" si="40"/>
        <v>0</v>
      </c>
      <c r="V192" s="4">
        <v>41.04</v>
      </c>
      <c r="W192" s="4">
        <f>V192-V192*$R$5</f>
        <v>34.063199999999995</v>
      </c>
    </row>
    <row r="193" spans="1:23" x14ac:dyDescent="0.25">
      <c r="A193" s="8" t="s">
        <v>337</v>
      </c>
      <c r="B193" s="9"/>
      <c r="C193" s="9"/>
      <c r="D193" s="11"/>
      <c r="E193" s="9"/>
      <c r="F193" s="9"/>
      <c r="G193" s="12"/>
      <c r="H193" s="12"/>
      <c r="I193" s="12"/>
      <c r="J193" s="19"/>
      <c r="K193" s="13"/>
      <c r="L193" s="13">
        <f>SUM(L194:L197)</f>
        <v>6751.9271599999993</v>
      </c>
      <c r="M193" s="13">
        <f t="shared" ref="M193:O193" si="55">SUM(M194:M197)</f>
        <v>0</v>
      </c>
      <c r="N193" s="13">
        <f t="shared" si="55"/>
        <v>0</v>
      </c>
      <c r="O193" s="13">
        <f t="shared" si="55"/>
        <v>0</v>
      </c>
    </row>
    <row r="194" spans="1:23" ht="57.6" x14ac:dyDescent="0.25">
      <c r="A194" s="15" t="s">
        <v>338</v>
      </c>
      <c r="B194" s="16">
        <v>133392</v>
      </c>
      <c r="C194" s="16">
        <v>92565</v>
      </c>
      <c r="D194" s="18" t="s">
        <v>339</v>
      </c>
      <c r="E194" s="17" t="s">
        <v>28</v>
      </c>
      <c r="F194" s="17" t="s">
        <v>34</v>
      </c>
      <c r="G194" s="19">
        <v>83.16</v>
      </c>
      <c r="H194" s="19"/>
      <c r="I194" s="19"/>
      <c r="J194" s="19">
        <f t="shared" si="37"/>
        <v>0</v>
      </c>
      <c r="K194" s="20">
        <v>28.966999999999999</v>
      </c>
      <c r="L194" s="20">
        <f>G194*K194</f>
        <v>2408.89572</v>
      </c>
      <c r="M194" s="20">
        <f t="shared" si="38"/>
        <v>0</v>
      </c>
      <c r="N194" s="20">
        <f t="shared" si="39"/>
        <v>0</v>
      </c>
      <c r="O194" s="20">
        <f t="shared" si="40"/>
        <v>0</v>
      </c>
      <c r="V194" s="4">
        <v>34.9</v>
      </c>
      <c r="W194" s="4">
        <f t="shared" ref="W194:W197" si="56">V194-V194*$R$5</f>
        <v>28.966999999999999</v>
      </c>
    </row>
    <row r="195" spans="1:23" ht="57.6" x14ac:dyDescent="0.25">
      <c r="A195" s="15" t="s">
        <v>340</v>
      </c>
      <c r="B195" s="16">
        <v>133365</v>
      </c>
      <c r="C195" s="16">
        <v>92260</v>
      </c>
      <c r="D195" s="18" t="s">
        <v>341</v>
      </c>
      <c r="E195" s="17" t="s">
        <v>28</v>
      </c>
      <c r="F195" s="17" t="s">
        <v>16</v>
      </c>
      <c r="G195" s="19">
        <v>4</v>
      </c>
      <c r="H195" s="19"/>
      <c r="I195" s="19"/>
      <c r="J195" s="19">
        <f t="shared" si="37"/>
        <v>0</v>
      </c>
      <c r="K195" s="20">
        <v>398.4581</v>
      </c>
      <c r="L195" s="20">
        <f>G195*K195</f>
        <v>1593.8324</v>
      </c>
      <c r="M195" s="20">
        <f t="shared" si="38"/>
        <v>0</v>
      </c>
      <c r="N195" s="20">
        <f t="shared" si="39"/>
        <v>0</v>
      </c>
      <c r="O195" s="20">
        <f t="shared" si="40"/>
        <v>0</v>
      </c>
      <c r="V195" s="4">
        <v>480.07</v>
      </c>
      <c r="W195" s="4">
        <f t="shared" si="56"/>
        <v>398.4581</v>
      </c>
    </row>
    <row r="196" spans="1:23" ht="43.2" x14ac:dyDescent="0.25">
      <c r="A196" s="15" t="s">
        <v>342</v>
      </c>
      <c r="B196" s="16">
        <v>146764</v>
      </c>
      <c r="C196" s="16">
        <v>94445</v>
      </c>
      <c r="D196" s="18" t="s">
        <v>131</v>
      </c>
      <c r="E196" s="17" t="s">
        <v>28</v>
      </c>
      <c r="F196" s="17" t="s">
        <v>34</v>
      </c>
      <c r="G196" s="19">
        <v>83.16</v>
      </c>
      <c r="H196" s="19"/>
      <c r="I196" s="19"/>
      <c r="J196" s="19">
        <f t="shared" si="37"/>
        <v>0</v>
      </c>
      <c r="K196" s="20">
        <v>30.543999999999997</v>
      </c>
      <c r="L196" s="20">
        <f>G196*K196</f>
        <v>2540.0390399999997</v>
      </c>
      <c r="M196" s="20">
        <f t="shared" si="38"/>
        <v>0</v>
      </c>
      <c r="N196" s="20">
        <f t="shared" si="39"/>
        <v>0</v>
      </c>
      <c r="O196" s="20">
        <f t="shared" si="40"/>
        <v>0</v>
      </c>
      <c r="V196" s="4">
        <v>36.799999999999997</v>
      </c>
      <c r="W196" s="4">
        <f t="shared" si="56"/>
        <v>30.543999999999997</v>
      </c>
    </row>
    <row r="197" spans="1:23" ht="57.6" x14ac:dyDescent="0.25">
      <c r="A197" s="15" t="s">
        <v>343</v>
      </c>
      <c r="B197" s="16">
        <v>146775</v>
      </c>
      <c r="C197" s="16">
        <v>94221</v>
      </c>
      <c r="D197" s="18" t="s">
        <v>133</v>
      </c>
      <c r="E197" s="17" t="s">
        <v>28</v>
      </c>
      <c r="F197" s="17" t="s">
        <v>86</v>
      </c>
      <c r="G197" s="19">
        <v>12.6</v>
      </c>
      <c r="H197" s="19"/>
      <c r="I197" s="19"/>
      <c r="J197" s="19">
        <f t="shared" si="37"/>
        <v>0</v>
      </c>
      <c r="K197" s="20">
        <v>16.600000000000001</v>
      </c>
      <c r="L197" s="20">
        <f>G197*K197</f>
        <v>209.16000000000003</v>
      </c>
      <c r="M197" s="20">
        <f t="shared" si="38"/>
        <v>0</v>
      </c>
      <c r="N197" s="20">
        <f t="shared" si="39"/>
        <v>0</v>
      </c>
      <c r="O197" s="20">
        <f t="shared" si="40"/>
        <v>0</v>
      </c>
      <c r="V197" s="4">
        <v>20</v>
      </c>
      <c r="W197" s="4">
        <f t="shared" si="56"/>
        <v>16.600000000000001</v>
      </c>
    </row>
    <row r="198" spans="1:23" x14ac:dyDescent="0.25">
      <c r="A198" s="8" t="s">
        <v>344</v>
      </c>
      <c r="B198" s="9"/>
      <c r="C198" s="9"/>
      <c r="D198" s="11"/>
      <c r="E198" s="9"/>
      <c r="F198" s="9"/>
      <c r="G198" s="12"/>
      <c r="H198" s="12"/>
      <c r="I198" s="12"/>
      <c r="J198" s="19"/>
      <c r="K198" s="13"/>
      <c r="L198" s="13">
        <f>SUM(L199:L202)</f>
        <v>5978.4489150000009</v>
      </c>
      <c r="M198" s="13">
        <f t="shared" ref="M198:O198" si="57">SUM(M199:M202)</f>
        <v>0</v>
      </c>
      <c r="N198" s="13">
        <f t="shared" si="57"/>
        <v>0</v>
      </c>
      <c r="O198" s="13">
        <f t="shared" si="57"/>
        <v>0</v>
      </c>
    </row>
    <row r="199" spans="1:23" ht="28.8" x14ac:dyDescent="0.25">
      <c r="A199" s="15" t="s">
        <v>345</v>
      </c>
      <c r="B199" s="16">
        <v>160114</v>
      </c>
      <c r="C199" s="17"/>
      <c r="D199" s="18" t="s">
        <v>144</v>
      </c>
      <c r="E199" s="17" t="s">
        <v>28</v>
      </c>
      <c r="F199" s="17" t="s">
        <v>34</v>
      </c>
      <c r="G199" s="19">
        <v>106.23</v>
      </c>
      <c r="H199" s="19"/>
      <c r="I199" s="19"/>
      <c r="J199" s="19">
        <f t="shared" si="37"/>
        <v>0</v>
      </c>
      <c r="K199" s="20">
        <v>2.9714</v>
      </c>
      <c r="L199" s="20">
        <f>G199*K199</f>
        <v>315.65182200000004</v>
      </c>
      <c r="M199" s="20">
        <f t="shared" si="38"/>
        <v>0</v>
      </c>
      <c r="N199" s="20">
        <f t="shared" si="39"/>
        <v>0</v>
      </c>
      <c r="O199" s="20">
        <f t="shared" si="40"/>
        <v>0</v>
      </c>
      <c r="V199" s="4">
        <v>3.58</v>
      </c>
      <c r="W199" s="4">
        <f t="shared" ref="W199:W202" si="58">V199-V199*$R$5</f>
        <v>2.9714</v>
      </c>
    </row>
    <row r="200" spans="1:23" ht="43.2" x14ac:dyDescent="0.25">
      <c r="A200" s="15" t="s">
        <v>346</v>
      </c>
      <c r="B200" s="16">
        <v>161080</v>
      </c>
      <c r="C200" s="17" t="s">
        <v>146</v>
      </c>
      <c r="D200" s="18" t="s">
        <v>147</v>
      </c>
      <c r="E200" s="17" t="s">
        <v>28</v>
      </c>
      <c r="F200" s="17" t="s">
        <v>34</v>
      </c>
      <c r="G200" s="19">
        <v>30.72</v>
      </c>
      <c r="H200" s="19"/>
      <c r="I200" s="19"/>
      <c r="J200" s="19">
        <f t="shared" si="37"/>
        <v>0</v>
      </c>
      <c r="K200" s="20">
        <v>18.002700000000001</v>
      </c>
      <c r="L200" s="20">
        <f>G200*K200</f>
        <v>553.04294400000003</v>
      </c>
      <c r="M200" s="20">
        <f t="shared" si="38"/>
        <v>0</v>
      </c>
      <c r="N200" s="20">
        <f t="shared" si="39"/>
        <v>0</v>
      </c>
      <c r="O200" s="20">
        <f t="shared" si="40"/>
        <v>0</v>
      </c>
      <c r="V200" s="4">
        <v>21.69</v>
      </c>
      <c r="W200" s="4">
        <f t="shared" si="58"/>
        <v>18.002700000000001</v>
      </c>
    </row>
    <row r="201" spans="1:23" ht="43.2" x14ac:dyDescent="0.25">
      <c r="A201" s="15" t="s">
        <v>347</v>
      </c>
      <c r="B201" s="16">
        <v>160138</v>
      </c>
      <c r="C201" s="17"/>
      <c r="D201" s="18" t="s">
        <v>149</v>
      </c>
      <c r="E201" s="17" t="s">
        <v>28</v>
      </c>
      <c r="F201" s="17" t="s">
        <v>34</v>
      </c>
      <c r="G201" s="19">
        <v>75.510000000000005</v>
      </c>
      <c r="H201" s="19"/>
      <c r="I201" s="19"/>
      <c r="J201" s="19">
        <f t="shared" si="37"/>
        <v>0</v>
      </c>
      <c r="K201" s="20">
        <v>14.475200000000001</v>
      </c>
      <c r="L201" s="20">
        <f>G201*K201</f>
        <v>1093.0223520000002</v>
      </c>
      <c r="M201" s="20">
        <f t="shared" si="38"/>
        <v>0</v>
      </c>
      <c r="N201" s="20">
        <f t="shared" si="39"/>
        <v>0</v>
      </c>
      <c r="O201" s="20">
        <f t="shared" si="40"/>
        <v>0</v>
      </c>
      <c r="V201" s="4">
        <v>17.440000000000001</v>
      </c>
      <c r="W201" s="4">
        <f t="shared" si="58"/>
        <v>14.475200000000001</v>
      </c>
    </row>
    <row r="202" spans="1:23" ht="57.6" x14ac:dyDescent="0.25">
      <c r="A202" s="15" t="s">
        <v>348</v>
      </c>
      <c r="B202" s="16">
        <v>160279</v>
      </c>
      <c r="C202" s="17"/>
      <c r="D202" s="18" t="s">
        <v>151</v>
      </c>
      <c r="E202" s="17" t="s">
        <v>28</v>
      </c>
      <c r="F202" s="17" t="s">
        <v>34</v>
      </c>
      <c r="G202" s="19">
        <v>75.510000000000005</v>
      </c>
      <c r="H202" s="19"/>
      <c r="I202" s="19"/>
      <c r="J202" s="19">
        <f t="shared" si="37"/>
        <v>0</v>
      </c>
      <c r="K202" s="20">
        <v>53.194700000000005</v>
      </c>
      <c r="L202" s="20">
        <f>G202*K202</f>
        <v>4016.7317970000008</v>
      </c>
      <c r="M202" s="20">
        <f t="shared" si="38"/>
        <v>0</v>
      </c>
      <c r="N202" s="20">
        <f t="shared" si="39"/>
        <v>0</v>
      </c>
      <c r="O202" s="20">
        <f t="shared" si="40"/>
        <v>0</v>
      </c>
      <c r="V202" s="4">
        <v>64.09</v>
      </c>
      <c r="W202" s="4">
        <f t="shared" si="58"/>
        <v>53.194700000000005</v>
      </c>
    </row>
    <row r="203" spans="1:23" x14ac:dyDescent="0.25">
      <c r="A203" s="8" t="s">
        <v>349</v>
      </c>
      <c r="B203" s="9"/>
      <c r="C203" s="9"/>
      <c r="D203" s="11"/>
      <c r="E203" s="9"/>
      <c r="F203" s="9"/>
      <c r="G203" s="12"/>
      <c r="H203" s="12"/>
      <c r="I203" s="12"/>
      <c r="J203" s="19"/>
      <c r="K203" s="13"/>
      <c r="L203" s="13">
        <f>SUM(L204:L206)</f>
        <v>9507.3678</v>
      </c>
      <c r="M203" s="13">
        <f t="shared" ref="M203:O203" si="59">SUM(M204:M206)</f>
        <v>0</v>
      </c>
      <c r="N203" s="13">
        <f t="shared" si="59"/>
        <v>0</v>
      </c>
      <c r="O203" s="13">
        <f t="shared" si="59"/>
        <v>0</v>
      </c>
    </row>
    <row r="204" spans="1:23" ht="28.8" x14ac:dyDescent="0.25">
      <c r="A204" s="15" t="s">
        <v>350</v>
      </c>
      <c r="B204" s="16">
        <v>148340</v>
      </c>
      <c r="C204" s="17"/>
      <c r="D204" s="18" t="s">
        <v>183</v>
      </c>
      <c r="E204" s="17" t="s">
        <v>28</v>
      </c>
      <c r="F204" s="17" t="s">
        <v>57</v>
      </c>
      <c r="G204" s="19">
        <v>6</v>
      </c>
      <c r="H204" s="19"/>
      <c r="I204" s="19"/>
      <c r="J204" s="19">
        <f t="shared" ref="J204:J212" si="60">H204+I204</f>
        <v>0</v>
      </c>
      <c r="K204" s="20">
        <v>244.5429</v>
      </c>
      <c r="L204" s="20">
        <f>G204*K204</f>
        <v>1467.2574</v>
      </c>
      <c r="M204" s="20">
        <f t="shared" ref="M204:M212" si="61">H204*K204</f>
        <v>0</v>
      </c>
      <c r="N204" s="20">
        <f t="shared" ref="N204:N212" si="62">I204*K204</f>
        <v>0</v>
      </c>
      <c r="O204" s="20">
        <f t="shared" ref="O204:O212" si="63">J204*K204</f>
        <v>0</v>
      </c>
      <c r="V204" s="4">
        <v>294.63</v>
      </c>
      <c r="W204" s="4">
        <f t="shared" ref="W204:W206" si="64">V204-V204*$R$5</f>
        <v>244.5429</v>
      </c>
    </row>
    <row r="205" spans="1:23" ht="43.2" x14ac:dyDescent="0.25">
      <c r="A205" s="15" t="s">
        <v>351</v>
      </c>
      <c r="B205" s="16">
        <v>161085</v>
      </c>
      <c r="C205" s="17" t="s">
        <v>189</v>
      </c>
      <c r="D205" s="18" t="s">
        <v>190</v>
      </c>
      <c r="E205" s="17" t="s">
        <v>28</v>
      </c>
      <c r="F205" s="17" t="s">
        <v>34</v>
      </c>
      <c r="G205" s="19">
        <v>72</v>
      </c>
      <c r="H205" s="19"/>
      <c r="I205" s="19"/>
      <c r="J205" s="19">
        <f t="shared" si="60"/>
        <v>0</v>
      </c>
      <c r="K205" s="20">
        <v>95.557899999999989</v>
      </c>
      <c r="L205" s="20">
        <f>G205*K205</f>
        <v>6880.1687999999995</v>
      </c>
      <c r="M205" s="20">
        <f t="shared" si="61"/>
        <v>0</v>
      </c>
      <c r="N205" s="20">
        <f t="shared" si="62"/>
        <v>0</v>
      </c>
      <c r="O205" s="20">
        <f t="shared" si="63"/>
        <v>0</v>
      </c>
      <c r="V205" s="4">
        <v>115.13</v>
      </c>
      <c r="W205" s="4">
        <f t="shared" si="64"/>
        <v>95.557899999999989</v>
      </c>
    </row>
    <row r="206" spans="1:23" ht="28.8" x14ac:dyDescent="0.25">
      <c r="A206" s="15" t="s">
        <v>352</v>
      </c>
      <c r="B206" s="16">
        <v>162295</v>
      </c>
      <c r="C206" s="17"/>
      <c r="D206" s="18" t="s">
        <v>192</v>
      </c>
      <c r="E206" s="17" t="s">
        <v>28</v>
      </c>
      <c r="F206" s="17" t="s">
        <v>34</v>
      </c>
      <c r="G206" s="19">
        <v>72</v>
      </c>
      <c r="H206" s="19"/>
      <c r="I206" s="19"/>
      <c r="J206" s="19">
        <f t="shared" si="60"/>
        <v>0</v>
      </c>
      <c r="K206" s="20">
        <v>16.110299999999999</v>
      </c>
      <c r="L206" s="20">
        <f>G206*K206</f>
        <v>1159.9415999999999</v>
      </c>
      <c r="M206" s="20">
        <f t="shared" si="61"/>
        <v>0</v>
      </c>
      <c r="N206" s="20">
        <f t="shared" si="62"/>
        <v>0</v>
      </c>
      <c r="O206" s="20">
        <f t="shared" si="63"/>
        <v>0</v>
      </c>
      <c r="V206" s="4">
        <v>19.41</v>
      </c>
      <c r="W206" s="4">
        <f t="shared" si="64"/>
        <v>16.110299999999999</v>
      </c>
    </row>
    <row r="207" spans="1:23" x14ac:dyDescent="0.25">
      <c r="A207" s="8" t="s">
        <v>353</v>
      </c>
      <c r="B207" s="9"/>
      <c r="C207" s="9"/>
      <c r="D207" s="11"/>
      <c r="E207" s="9"/>
      <c r="F207" s="9"/>
      <c r="G207" s="12"/>
      <c r="H207" s="12"/>
      <c r="I207" s="12"/>
      <c r="J207" s="19"/>
      <c r="K207" s="13"/>
      <c r="L207" s="13">
        <f>SUM(L208:L212)</f>
        <v>1510.2929000000001</v>
      </c>
      <c r="M207" s="13">
        <f t="shared" ref="M207:O207" si="65">SUM(M208:M212)</f>
        <v>0</v>
      </c>
      <c r="N207" s="13">
        <f t="shared" si="65"/>
        <v>0</v>
      </c>
      <c r="O207" s="13">
        <f t="shared" si="65"/>
        <v>0</v>
      </c>
    </row>
    <row r="208" spans="1:23" ht="43.2" x14ac:dyDescent="0.25">
      <c r="A208" s="15" t="s">
        <v>354</v>
      </c>
      <c r="B208" s="16">
        <v>134755</v>
      </c>
      <c r="C208" s="16">
        <v>93141</v>
      </c>
      <c r="D208" s="18" t="s">
        <v>279</v>
      </c>
      <c r="E208" s="17" t="s">
        <v>28</v>
      </c>
      <c r="F208" s="17" t="s">
        <v>16</v>
      </c>
      <c r="G208" s="19">
        <v>4</v>
      </c>
      <c r="H208" s="19"/>
      <c r="I208" s="19"/>
      <c r="J208" s="19">
        <f t="shared" si="60"/>
        <v>0</v>
      </c>
      <c r="K208" s="20">
        <v>134.2774</v>
      </c>
      <c r="L208" s="20">
        <f>G208*K208</f>
        <v>537.1096</v>
      </c>
      <c r="M208" s="20">
        <f t="shared" si="61"/>
        <v>0</v>
      </c>
      <c r="N208" s="20">
        <f t="shared" si="62"/>
        <v>0</v>
      </c>
      <c r="O208" s="20">
        <f t="shared" si="63"/>
        <v>0</v>
      </c>
      <c r="V208" s="4">
        <v>161.78</v>
      </c>
      <c r="W208" s="4">
        <f t="shared" ref="W208:W212" si="66">V208-V208*$R$5</f>
        <v>134.2774</v>
      </c>
    </row>
    <row r="209" spans="1:23" ht="57.6" x14ac:dyDescent="0.25">
      <c r="A209" s="15" t="s">
        <v>355</v>
      </c>
      <c r="B209" s="16">
        <v>134751</v>
      </c>
      <c r="C209" s="16">
        <v>93128</v>
      </c>
      <c r="D209" s="18" t="s">
        <v>278</v>
      </c>
      <c r="E209" s="17" t="s">
        <v>15</v>
      </c>
      <c r="F209" s="17" t="s">
        <v>16</v>
      </c>
      <c r="G209" s="19">
        <v>4</v>
      </c>
      <c r="H209" s="19"/>
      <c r="I209" s="19"/>
      <c r="J209" s="19">
        <f t="shared" si="60"/>
        <v>0</v>
      </c>
      <c r="K209" s="20">
        <v>105.33529999999999</v>
      </c>
      <c r="L209" s="20">
        <f>G209*K209</f>
        <v>421.34119999999996</v>
      </c>
      <c r="M209" s="20">
        <f t="shared" si="61"/>
        <v>0</v>
      </c>
      <c r="N209" s="20">
        <f t="shared" si="62"/>
        <v>0</v>
      </c>
      <c r="O209" s="20">
        <f t="shared" si="63"/>
        <v>0</v>
      </c>
      <c r="V209" s="4">
        <v>126.91</v>
      </c>
      <c r="W209" s="4">
        <f t="shared" si="66"/>
        <v>105.33529999999999</v>
      </c>
    </row>
    <row r="210" spans="1:23" ht="57.6" x14ac:dyDescent="0.25">
      <c r="A210" s="15" t="s">
        <v>356</v>
      </c>
      <c r="B210" s="16">
        <v>162209</v>
      </c>
      <c r="C210" s="17"/>
      <c r="D210" s="18" t="s">
        <v>357</v>
      </c>
      <c r="E210" s="17" t="s">
        <v>15</v>
      </c>
      <c r="F210" s="17" t="s">
        <v>16</v>
      </c>
      <c r="G210" s="19">
        <v>4</v>
      </c>
      <c r="H210" s="19"/>
      <c r="I210" s="19"/>
      <c r="J210" s="19">
        <f t="shared" si="60"/>
        <v>0</v>
      </c>
      <c r="K210" s="20">
        <v>97.425399999999996</v>
      </c>
      <c r="L210" s="20">
        <f>G210*K210</f>
        <v>389.70159999999998</v>
      </c>
      <c r="M210" s="20">
        <f t="shared" si="61"/>
        <v>0</v>
      </c>
      <c r="N210" s="20">
        <f t="shared" si="62"/>
        <v>0</v>
      </c>
      <c r="O210" s="20">
        <f t="shared" si="63"/>
        <v>0</v>
      </c>
      <c r="V210" s="4">
        <v>117.38</v>
      </c>
      <c r="W210" s="4">
        <f t="shared" si="66"/>
        <v>97.425399999999996</v>
      </c>
    </row>
    <row r="211" spans="1:23" ht="43.2" x14ac:dyDescent="0.25">
      <c r="A211" s="15" t="s">
        <v>358</v>
      </c>
      <c r="B211" s="16">
        <v>134530</v>
      </c>
      <c r="C211" s="16">
        <v>91943</v>
      </c>
      <c r="D211" s="18" t="s">
        <v>359</v>
      </c>
      <c r="E211" s="17" t="s">
        <v>28</v>
      </c>
      <c r="F211" s="17" t="s">
        <v>16</v>
      </c>
      <c r="G211" s="19">
        <v>1</v>
      </c>
      <c r="H211" s="19"/>
      <c r="I211" s="19"/>
      <c r="J211" s="19">
        <f t="shared" si="60"/>
        <v>0</v>
      </c>
      <c r="K211" s="20">
        <v>12.740499999999999</v>
      </c>
      <c r="L211" s="20">
        <f>G211*K211</f>
        <v>12.740499999999999</v>
      </c>
      <c r="M211" s="20">
        <f t="shared" si="61"/>
        <v>0</v>
      </c>
      <c r="N211" s="20">
        <f t="shared" si="62"/>
        <v>0</v>
      </c>
      <c r="O211" s="20">
        <f t="shared" si="63"/>
        <v>0</v>
      </c>
      <c r="V211" s="4">
        <v>15.35</v>
      </c>
      <c r="W211" s="4">
        <f t="shared" si="66"/>
        <v>12.740499999999999</v>
      </c>
    </row>
    <row r="212" spans="1:23" ht="43.2" x14ac:dyDescent="0.25">
      <c r="A212" s="15" t="s">
        <v>360</v>
      </c>
      <c r="B212" s="16">
        <v>134458</v>
      </c>
      <c r="C212" s="16">
        <v>91927</v>
      </c>
      <c r="D212" s="18" t="s">
        <v>361</v>
      </c>
      <c r="E212" s="17" t="s">
        <v>28</v>
      </c>
      <c r="F212" s="17" t="s">
        <v>86</v>
      </c>
      <c r="G212" s="19">
        <v>30</v>
      </c>
      <c r="H212" s="19"/>
      <c r="I212" s="19"/>
      <c r="J212" s="19">
        <f t="shared" si="60"/>
        <v>0</v>
      </c>
      <c r="K212" s="20">
        <v>4.9800000000000004</v>
      </c>
      <c r="L212" s="20">
        <f>G212*K212</f>
        <v>149.4</v>
      </c>
      <c r="M212" s="20">
        <f t="shared" si="61"/>
        <v>0</v>
      </c>
      <c r="N212" s="20">
        <f t="shared" si="62"/>
        <v>0</v>
      </c>
      <c r="O212" s="20">
        <f t="shared" si="63"/>
        <v>0</v>
      </c>
      <c r="V212" s="4">
        <v>6</v>
      </c>
      <c r="W212" s="4">
        <f t="shared" si="66"/>
        <v>4.9800000000000004</v>
      </c>
    </row>
    <row r="213" spans="1:23" s="3" customFormat="1" ht="18" customHeight="1" x14ac:dyDescent="0.25">
      <c r="A213" s="57" t="s">
        <v>382</v>
      </c>
      <c r="B213" s="58"/>
      <c r="C213" s="58"/>
      <c r="D213" s="58"/>
      <c r="E213" s="58"/>
      <c r="F213" s="58"/>
      <c r="G213" s="58"/>
      <c r="H213" s="58"/>
      <c r="I213" s="58"/>
      <c r="J213" s="58"/>
      <c r="K213" s="59"/>
      <c r="L213" s="13">
        <f>L179+L18+L9</f>
        <v>1039467.5716474999</v>
      </c>
      <c r="M213" s="13">
        <f t="shared" ref="M213:O213" si="67">M179+M18+M9</f>
        <v>0</v>
      </c>
      <c r="N213" s="13">
        <f t="shared" si="67"/>
        <v>129615.40860699999</v>
      </c>
      <c r="O213" s="13">
        <f t="shared" si="67"/>
        <v>129615.40860699999</v>
      </c>
      <c r="V213" s="4"/>
      <c r="W213" s="4"/>
    </row>
    <row r="214" spans="1:23" ht="18.600000000000001" customHeight="1" x14ac:dyDescent="0.25">
      <c r="A214" s="57" t="s">
        <v>381</v>
      </c>
      <c r="B214" s="58"/>
      <c r="C214" s="58"/>
      <c r="D214" s="58"/>
      <c r="E214" s="58"/>
      <c r="F214" s="58"/>
      <c r="G214" s="58"/>
      <c r="H214" s="58"/>
      <c r="I214" s="58"/>
      <c r="J214" s="58"/>
      <c r="K214" s="59"/>
      <c r="L214" s="60">
        <f>O213-M213</f>
        <v>129615.40860699999</v>
      </c>
      <c r="M214" s="61"/>
      <c r="N214" s="61"/>
      <c r="O214" s="62"/>
    </row>
    <row r="215" spans="1:23" ht="19.2" customHeight="1" x14ac:dyDescent="0.25">
      <c r="A215" s="63" t="s">
        <v>471</v>
      </c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5"/>
    </row>
  </sheetData>
  <mergeCells count="18">
    <mergeCell ref="K7:K8"/>
    <mergeCell ref="A214:K214"/>
    <mergeCell ref="L214:O214"/>
    <mergeCell ref="A215:O215"/>
    <mergeCell ref="A213:K213"/>
    <mergeCell ref="G7:J7"/>
    <mergeCell ref="F7:F8"/>
    <mergeCell ref="A7:A8"/>
    <mergeCell ref="B7:B8"/>
    <mergeCell ref="C7:C8"/>
    <mergeCell ref="D7:D8"/>
    <mergeCell ref="E7:E8"/>
    <mergeCell ref="L7:O7"/>
    <mergeCell ref="A1:O1"/>
    <mergeCell ref="A2:O2"/>
    <mergeCell ref="F3:J3"/>
    <mergeCell ref="F5:J5"/>
    <mergeCell ref="A6:O6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55AA-D2E8-48F9-8173-CFD932D163B5}">
  <sheetPr>
    <pageSetUpPr fitToPage="1"/>
  </sheetPr>
  <dimension ref="A1:Q138"/>
  <sheetViews>
    <sheetView view="pageBreakPreview" topLeftCell="A2" zoomScaleNormal="100" zoomScaleSheetLayoutView="100" workbookViewId="0">
      <selection activeCell="A6" sqref="A6:K6"/>
    </sheetView>
  </sheetViews>
  <sheetFormatPr defaultColWidth="9.109375" defaultRowHeight="14.4" x14ac:dyDescent="0.3"/>
  <cols>
    <col min="1" max="1" width="9.109375" style="78"/>
    <col min="2" max="2" width="46.44140625" style="78" customWidth="1"/>
    <col min="3" max="3" width="9.6640625" style="78" customWidth="1"/>
    <col min="4" max="4" width="9.109375" style="78" customWidth="1"/>
    <col min="5" max="5" width="10.109375" style="78" customWidth="1"/>
    <col min="6" max="6" width="9.109375" style="78"/>
    <col min="7" max="7" width="15.109375" style="78" customWidth="1"/>
    <col min="8" max="16384" width="9.109375" style="78"/>
  </cols>
  <sheetData>
    <row r="1" spans="1:13" ht="18" hidden="1" customHeight="1" x14ac:dyDescent="0.3">
      <c r="A1" s="75" t="str">
        <f>[13]ORÇAMENTO!A1:J1</f>
        <v>ESTADO DA PARAÍBA</v>
      </c>
      <c r="B1" s="76"/>
      <c r="C1" s="76"/>
      <c r="D1" s="76"/>
      <c r="E1" s="76"/>
      <c r="F1" s="76"/>
      <c r="G1" s="76"/>
      <c r="H1" s="76"/>
      <c r="I1" s="76"/>
      <c r="J1" s="76"/>
      <c r="K1" s="77"/>
    </row>
    <row r="2" spans="1:13" ht="18" customHeight="1" x14ac:dyDescent="0.3">
      <c r="A2" s="79" t="s">
        <v>366</v>
      </c>
      <c r="B2" s="80"/>
      <c r="C2" s="80"/>
      <c r="D2" s="80"/>
      <c r="E2" s="80"/>
      <c r="F2" s="80"/>
      <c r="G2" s="80"/>
      <c r="H2" s="80"/>
      <c r="I2" s="80"/>
      <c r="J2" s="80"/>
      <c r="K2" s="81"/>
    </row>
    <row r="3" spans="1:13" ht="15.6" x14ac:dyDescent="0.3">
      <c r="A3" s="82" t="s">
        <v>380</v>
      </c>
      <c r="B3" s="83"/>
      <c r="C3" s="83"/>
      <c r="D3" s="83"/>
      <c r="E3" s="83"/>
      <c r="F3" s="83"/>
      <c r="G3" s="83"/>
      <c r="H3" s="83"/>
      <c r="I3" s="83"/>
      <c r="J3" s="83"/>
      <c r="K3" s="84"/>
    </row>
    <row r="4" spans="1:13" ht="16.8" customHeight="1" x14ac:dyDescent="0.3">
      <c r="A4" s="85" t="str">
        <f>'BM-01'!A3</f>
        <v>CONTRATO Nº 10004/2023</v>
      </c>
      <c r="B4" s="86"/>
      <c r="C4" s="86"/>
      <c r="D4" s="86"/>
      <c r="E4" s="86"/>
      <c r="F4" s="86"/>
      <c r="G4" s="86"/>
      <c r="H4" s="86"/>
      <c r="I4" s="86"/>
      <c r="J4" s="86"/>
      <c r="K4" s="87"/>
    </row>
    <row r="5" spans="1:13" ht="16.8" customHeight="1" x14ac:dyDescent="0.3">
      <c r="A5" s="88" t="str">
        <f>'BM-01'!A4</f>
        <v>OBRA: CONSTRUÇÃO DE UMA UNIDADE ESCOLAR DE 06 (SEIS) SALAS DE AULA PARA O MUNICÍPIO DE COREMAS-PB</v>
      </c>
      <c r="B5" s="89"/>
      <c r="C5" s="89"/>
      <c r="D5" s="89"/>
      <c r="E5" s="89"/>
      <c r="F5" s="89"/>
      <c r="G5" s="89"/>
      <c r="H5" s="89"/>
      <c r="I5" s="89"/>
      <c r="J5" s="89"/>
      <c r="K5" s="90"/>
    </row>
    <row r="6" spans="1:13" ht="21" x14ac:dyDescent="0.3">
      <c r="A6" s="91" t="s">
        <v>386</v>
      </c>
      <c r="B6" s="91"/>
      <c r="C6" s="91"/>
      <c r="D6" s="91"/>
      <c r="E6" s="91"/>
      <c r="F6" s="91"/>
      <c r="G6" s="91"/>
      <c r="H6" s="91"/>
      <c r="I6" s="91"/>
      <c r="J6" s="91"/>
      <c r="K6" s="91"/>
    </row>
    <row r="7" spans="1:13" x14ac:dyDescent="0.3">
      <c r="A7" s="92" t="s">
        <v>5</v>
      </c>
      <c r="B7" s="92" t="s">
        <v>8</v>
      </c>
      <c r="C7" s="93" t="s">
        <v>387</v>
      </c>
      <c r="D7" s="93"/>
      <c r="E7" s="93"/>
      <c r="F7" s="93"/>
      <c r="G7" s="93" t="s">
        <v>388</v>
      </c>
      <c r="H7" s="93"/>
      <c r="I7" s="93" t="s">
        <v>389</v>
      </c>
      <c r="J7" s="93"/>
      <c r="K7" s="94" t="s">
        <v>390</v>
      </c>
    </row>
    <row r="8" spans="1:13" ht="27.6" x14ac:dyDescent="0.3">
      <c r="A8" s="92"/>
      <c r="B8" s="92"/>
      <c r="C8" s="95" t="s">
        <v>391</v>
      </c>
      <c r="D8" s="95" t="s">
        <v>392</v>
      </c>
      <c r="E8" s="95" t="s">
        <v>393</v>
      </c>
      <c r="F8" s="95" t="s">
        <v>394</v>
      </c>
      <c r="G8" s="95" t="s">
        <v>395</v>
      </c>
      <c r="H8" s="95" t="s">
        <v>396</v>
      </c>
      <c r="I8" s="95" t="s">
        <v>397</v>
      </c>
      <c r="J8" s="96" t="s">
        <v>398</v>
      </c>
      <c r="K8" s="94"/>
    </row>
    <row r="9" spans="1:13" ht="16.95" customHeight="1" x14ac:dyDescent="0.3">
      <c r="A9" s="97">
        <v>1</v>
      </c>
      <c r="B9" s="98" t="s">
        <v>399</v>
      </c>
      <c r="C9" s="99"/>
      <c r="D9" s="99"/>
      <c r="E9" s="99"/>
      <c r="F9" s="99"/>
      <c r="G9" s="99"/>
      <c r="H9" s="99"/>
      <c r="I9" s="99"/>
      <c r="J9" s="100"/>
      <c r="K9" s="101"/>
    </row>
    <row r="10" spans="1:13" ht="16.95" customHeight="1" x14ac:dyDescent="0.3">
      <c r="A10" s="97" t="s">
        <v>362</v>
      </c>
      <c r="B10" s="98" t="s">
        <v>400</v>
      </c>
      <c r="C10" s="99"/>
      <c r="D10" s="99"/>
      <c r="E10" s="99"/>
      <c r="F10" s="99"/>
      <c r="G10" s="99"/>
      <c r="H10" s="99"/>
      <c r="I10" s="99"/>
      <c r="J10" s="100"/>
      <c r="K10" s="101"/>
    </row>
    <row r="11" spans="1:13" ht="14.4" customHeight="1" x14ac:dyDescent="0.3">
      <c r="A11" s="102" t="str">
        <f>'BM-01'!A11</f>
        <v>1.1.1</v>
      </c>
      <c r="B11" s="103" t="str">
        <f>'BM-01'!D11</f>
        <v>ADMINSTRACAO LOCAL - PESSOAL</v>
      </c>
      <c r="C11" s="104"/>
      <c r="D11" s="104"/>
      <c r="E11" s="104"/>
      <c r="F11" s="104"/>
      <c r="G11" s="104"/>
      <c r="H11" s="104"/>
      <c r="I11" s="104"/>
      <c r="J11" s="105">
        <f>ROUND(SUM(J12:J12),2)</f>
        <v>0.96</v>
      </c>
      <c r="K11" s="106" t="str">
        <f>'BM-01'!F11</f>
        <v>UN</v>
      </c>
      <c r="M11" s="107"/>
    </row>
    <row r="12" spans="1:13" ht="14.4" customHeight="1" x14ac:dyDescent="0.3">
      <c r="A12" s="108"/>
      <c r="B12" s="109" t="s">
        <v>401</v>
      </c>
      <c r="C12" s="110">
        <v>0.96</v>
      </c>
      <c r="D12" s="110"/>
      <c r="E12" s="110"/>
      <c r="F12" s="110"/>
      <c r="G12" s="110"/>
      <c r="H12" s="110"/>
      <c r="I12" s="110"/>
      <c r="J12" s="111">
        <f>C12</f>
        <v>0.96</v>
      </c>
      <c r="K12" s="112"/>
    </row>
    <row r="13" spans="1:13" ht="14.4" customHeight="1" x14ac:dyDescent="0.3">
      <c r="A13" s="113"/>
      <c r="B13" s="114"/>
      <c r="C13" s="114"/>
      <c r="D13" s="114"/>
      <c r="E13" s="114"/>
      <c r="F13" s="114"/>
      <c r="G13" s="114"/>
      <c r="H13" s="114"/>
      <c r="I13" s="114"/>
      <c r="J13" s="114"/>
      <c r="K13" s="115"/>
    </row>
    <row r="14" spans="1:13" ht="14.4" customHeight="1" x14ac:dyDescent="0.3">
      <c r="A14" s="102" t="str">
        <f>'BM-01'!A12</f>
        <v>1.1.2</v>
      </c>
      <c r="B14" s="103" t="str">
        <f>'BM-01'!D12</f>
        <v>ADMINISTRACAO LOCAL - DESPESAS GERAIS MENSAIS</v>
      </c>
      <c r="C14" s="104"/>
      <c r="D14" s="104"/>
      <c r="E14" s="104"/>
      <c r="F14" s="104"/>
      <c r="G14" s="104"/>
      <c r="H14" s="104"/>
      <c r="I14" s="104"/>
      <c r="J14" s="105">
        <f>ROUND(SUM(J15:J15),2)</f>
        <v>0.96</v>
      </c>
      <c r="K14" s="106" t="str">
        <f>'BM-01'!F12</f>
        <v>UN</v>
      </c>
      <c r="M14" s="107"/>
    </row>
    <row r="15" spans="1:13" x14ac:dyDescent="0.3">
      <c r="A15" s="108"/>
      <c r="B15" s="109" t="s">
        <v>401</v>
      </c>
      <c r="C15" s="110">
        <v>0.96</v>
      </c>
      <c r="D15" s="110"/>
      <c r="E15" s="110"/>
      <c r="F15" s="110"/>
      <c r="G15" s="110"/>
      <c r="H15" s="110"/>
      <c r="I15" s="110"/>
      <c r="J15" s="111">
        <f>C15</f>
        <v>0.96</v>
      </c>
      <c r="K15" s="112"/>
    </row>
    <row r="16" spans="1:13" ht="14.4" customHeight="1" x14ac:dyDescent="0.3">
      <c r="A16" s="113"/>
      <c r="B16" s="114"/>
      <c r="C16" s="114"/>
      <c r="D16" s="114"/>
      <c r="E16" s="114"/>
      <c r="F16" s="114"/>
      <c r="G16" s="114"/>
      <c r="H16" s="114"/>
      <c r="I16" s="114"/>
      <c r="J16" s="114"/>
      <c r="K16" s="115"/>
    </row>
    <row r="17" spans="1:13" ht="14.4" customHeight="1" x14ac:dyDescent="0.3">
      <c r="A17" s="102" t="str">
        <f>'BM-01'!A13</f>
        <v>1.1.3</v>
      </c>
      <c r="B17" s="103" t="str">
        <f>'BM-01'!D13</f>
        <v>ADMINISTRACAO LOCAL - DESPESAS GERAIS FIXAS</v>
      </c>
      <c r="C17" s="104"/>
      <c r="D17" s="104"/>
      <c r="E17" s="104"/>
      <c r="F17" s="104"/>
      <c r="G17" s="104"/>
      <c r="H17" s="104"/>
      <c r="I17" s="104"/>
      <c r="J17" s="105">
        <f>ROUND(SUM(J18:J18),2)</f>
        <v>0.12</v>
      </c>
      <c r="K17" s="106" t="str">
        <f>'BM-01'!F13</f>
        <v>UN</v>
      </c>
      <c r="M17" s="107"/>
    </row>
    <row r="18" spans="1:13" x14ac:dyDescent="0.3">
      <c r="A18" s="108"/>
      <c r="B18" s="109" t="s">
        <v>401</v>
      </c>
      <c r="C18" s="110">
        <v>0.12</v>
      </c>
      <c r="D18" s="110"/>
      <c r="E18" s="110"/>
      <c r="F18" s="110"/>
      <c r="G18" s="110"/>
      <c r="H18" s="110"/>
      <c r="I18" s="110"/>
      <c r="J18" s="111">
        <f>C18</f>
        <v>0.12</v>
      </c>
      <c r="K18" s="112"/>
    </row>
    <row r="19" spans="1:13" ht="14.4" customHeight="1" x14ac:dyDescent="0.3">
      <c r="A19" s="113"/>
      <c r="B19" s="114"/>
      <c r="C19" s="114"/>
      <c r="D19" s="114"/>
      <c r="E19" s="114"/>
      <c r="F19" s="114"/>
      <c r="G19" s="114"/>
      <c r="H19" s="114"/>
      <c r="I19" s="114"/>
      <c r="J19" s="114"/>
      <c r="K19" s="115"/>
    </row>
    <row r="20" spans="1:13" ht="14.4" customHeight="1" x14ac:dyDescent="0.3">
      <c r="A20" s="102" t="str">
        <f>'BM-01'!A14</f>
        <v>1.1.4</v>
      </c>
      <c r="B20" s="103" t="str">
        <f>'BM-01'!D14</f>
        <v xml:space="preserve">ADMINISTRACAO   LOCAL   -   VECULOS   E EQUIPAMENTOS </v>
      </c>
      <c r="C20" s="104"/>
      <c r="D20" s="104"/>
      <c r="E20" s="104"/>
      <c r="F20" s="104"/>
      <c r="G20" s="104"/>
      <c r="H20" s="104"/>
      <c r="I20" s="104"/>
      <c r="J20" s="105">
        <f>ROUND(SUM(J21:J21),2)</f>
        <v>0.96</v>
      </c>
      <c r="K20" s="106" t="str">
        <f>'BM-01'!F14</f>
        <v>UN</v>
      </c>
      <c r="M20" s="107"/>
    </row>
    <row r="21" spans="1:13" x14ac:dyDescent="0.3">
      <c r="A21" s="108"/>
      <c r="B21" s="109" t="s">
        <v>401</v>
      </c>
      <c r="C21" s="110">
        <v>0.96</v>
      </c>
      <c r="D21" s="110"/>
      <c r="E21" s="110"/>
      <c r="F21" s="110"/>
      <c r="G21" s="110"/>
      <c r="H21" s="110"/>
      <c r="I21" s="110"/>
      <c r="J21" s="111">
        <f>C21</f>
        <v>0.96</v>
      </c>
      <c r="K21" s="112"/>
    </row>
    <row r="22" spans="1:13" ht="14.4" customHeight="1" x14ac:dyDescent="0.3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5"/>
    </row>
    <row r="23" spans="1:13" ht="14.4" customHeight="1" x14ac:dyDescent="0.3">
      <c r="A23" s="102" t="str">
        <f>'BM-01'!A15</f>
        <v>1.1.5</v>
      </c>
      <c r="B23" s="103" t="str">
        <f>'BM-01'!D15</f>
        <v xml:space="preserve">ADMINISTRACAO   LOCAL   -   MOVEIS   E UTENSILIOS </v>
      </c>
      <c r="C23" s="104"/>
      <c r="D23" s="104"/>
      <c r="E23" s="104"/>
      <c r="F23" s="104"/>
      <c r="G23" s="104"/>
      <c r="H23" s="104"/>
      <c r="I23" s="104"/>
      <c r="J23" s="105">
        <f>ROUND(SUM(J24:J24),2)</f>
        <v>0.12</v>
      </c>
      <c r="K23" s="106" t="str">
        <f>'BM-01'!F15</f>
        <v>UN</v>
      </c>
      <c r="M23" s="107"/>
    </row>
    <row r="24" spans="1:13" x14ac:dyDescent="0.3">
      <c r="A24" s="108"/>
      <c r="B24" s="109" t="s">
        <v>401</v>
      </c>
      <c r="C24" s="110">
        <v>0.12</v>
      </c>
      <c r="D24" s="110"/>
      <c r="E24" s="110"/>
      <c r="F24" s="110"/>
      <c r="G24" s="110"/>
      <c r="H24" s="110"/>
      <c r="I24" s="110"/>
      <c r="J24" s="111">
        <f>C24</f>
        <v>0.12</v>
      </c>
      <c r="K24" s="112"/>
    </row>
    <row r="25" spans="1:13" ht="14.4" customHeight="1" x14ac:dyDescent="0.3">
      <c r="A25" s="113"/>
      <c r="B25" s="114"/>
      <c r="C25" s="114"/>
      <c r="D25" s="114"/>
      <c r="E25" s="114"/>
      <c r="F25" s="114"/>
      <c r="G25" s="114"/>
      <c r="H25" s="114"/>
      <c r="I25" s="114"/>
      <c r="J25" s="114"/>
      <c r="K25" s="115"/>
    </row>
    <row r="26" spans="1:13" ht="16.95" customHeight="1" x14ac:dyDescent="0.3">
      <c r="A26" s="97">
        <v>2</v>
      </c>
      <c r="B26" s="98" t="s">
        <v>402</v>
      </c>
      <c r="C26" s="99"/>
      <c r="D26" s="99"/>
      <c r="E26" s="99"/>
      <c r="F26" s="99"/>
      <c r="G26" s="99"/>
      <c r="H26" s="99"/>
      <c r="I26" s="99"/>
      <c r="J26" s="100"/>
      <c r="K26" s="101"/>
    </row>
    <row r="27" spans="1:13" ht="16.95" customHeight="1" x14ac:dyDescent="0.3">
      <c r="A27" s="97" t="s">
        <v>363</v>
      </c>
      <c r="B27" s="98" t="s">
        <v>403</v>
      </c>
      <c r="C27" s="99"/>
      <c r="D27" s="99"/>
      <c r="E27" s="99"/>
      <c r="F27" s="99"/>
      <c r="G27" s="99"/>
      <c r="H27" s="99"/>
      <c r="I27" s="99"/>
      <c r="J27" s="100"/>
      <c r="K27" s="101"/>
    </row>
    <row r="28" spans="1:13" ht="14.4" customHeight="1" x14ac:dyDescent="0.3">
      <c r="A28" s="102" t="str">
        <f>'BM-01'!A20</f>
        <v>2.1.1</v>
      </c>
      <c r="B28" s="103" t="str">
        <f>'BM-01'!D20</f>
        <v xml:space="preserve">PLACA   DE   OBRA   EM   CHAPA   DE   ACO GALVANIZADO </v>
      </c>
      <c r="C28" s="104"/>
      <c r="D28" s="104"/>
      <c r="E28" s="104"/>
      <c r="F28" s="104"/>
      <c r="G28" s="104"/>
      <c r="H28" s="104"/>
      <c r="I28" s="116"/>
      <c r="J28" s="105">
        <f>ROUND(SUM(J29:J29),2)</f>
        <v>10</v>
      </c>
      <c r="K28" s="106" t="str">
        <f>'BM-01'!F20</f>
        <v>M2</v>
      </c>
      <c r="M28" s="107"/>
    </row>
    <row r="29" spans="1:13" x14ac:dyDescent="0.3">
      <c r="A29" s="108"/>
      <c r="B29" s="109" t="s">
        <v>404</v>
      </c>
      <c r="C29" s="110">
        <v>1</v>
      </c>
      <c r="D29" s="110">
        <v>4</v>
      </c>
      <c r="E29" s="110"/>
      <c r="F29" s="110">
        <v>2.5</v>
      </c>
      <c r="G29" s="110"/>
      <c r="H29" s="110"/>
      <c r="I29" s="110">
        <f>D29*F29</f>
        <v>10</v>
      </c>
      <c r="J29" s="111">
        <f>C29*I29</f>
        <v>10</v>
      </c>
      <c r="K29" s="112"/>
    </row>
    <row r="30" spans="1:13" ht="14.4" customHeight="1" x14ac:dyDescent="0.3">
      <c r="A30" s="113"/>
      <c r="B30" s="114"/>
      <c r="C30" s="114"/>
      <c r="D30" s="114"/>
      <c r="E30" s="114"/>
      <c r="F30" s="114"/>
      <c r="G30" s="114"/>
      <c r="H30" s="114"/>
      <c r="I30" s="114"/>
      <c r="J30" s="114"/>
      <c r="K30" s="115"/>
    </row>
    <row r="31" spans="1:13" ht="28.8" customHeight="1" x14ac:dyDescent="0.3">
      <c r="A31" s="102" t="str">
        <f>'BM-01'!A21</f>
        <v>2.1.2</v>
      </c>
      <c r="B31" s="103" t="str">
        <f>'BM-01'!D21</f>
        <v>LOCACAO   CONVENCIONAL   DE   OBRA, ATRAVES   DE   GABARITO   DE   TABUAS CORRIDAS    PONTALETADAS,    COM REAPROVEITAMENTO   DE   3   VEZES   -</v>
      </c>
      <c r="C31" s="104"/>
      <c r="D31" s="104"/>
      <c r="E31" s="104"/>
      <c r="F31" s="104"/>
      <c r="G31" s="104"/>
      <c r="H31" s="104"/>
      <c r="I31" s="104"/>
      <c r="J31" s="105">
        <f>ROUND(SUM(J32:J32),2)</f>
        <v>771.45</v>
      </c>
      <c r="K31" s="106" t="str">
        <f>'BM-01'!F21</f>
        <v>M2</v>
      </c>
      <c r="M31" s="107"/>
    </row>
    <row r="32" spans="1:13" x14ac:dyDescent="0.3">
      <c r="A32" s="108"/>
      <c r="B32" s="109" t="s">
        <v>464</v>
      </c>
      <c r="C32" s="110">
        <v>771.45</v>
      </c>
      <c r="D32" s="110"/>
      <c r="E32" s="110"/>
      <c r="F32" s="110"/>
      <c r="G32" s="110"/>
      <c r="H32" s="110"/>
      <c r="I32" s="110"/>
      <c r="J32" s="111">
        <f>C32</f>
        <v>771.45</v>
      </c>
      <c r="K32" s="112"/>
    </row>
    <row r="33" spans="1:13" ht="14.4" customHeight="1" x14ac:dyDescent="0.3">
      <c r="A33" s="113"/>
      <c r="B33" s="114"/>
      <c r="C33" s="114"/>
      <c r="D33" s="114"/>
      <c r="E33" s="114"/>
      <c r="F33" s="114"/>
      <c r="G33" s="114"/>
      <c r="H33" s="114"/>
      <c r="I33" s="114"/>
      <c r="J33" s="114"/>
      <c r="K33" s="115"/>
    </row>
    <row r="34" spans="1:13" x14ac:dyDescent="0.3">
      <c r="A34" s="102" t="str">
        <f>'BM-01'!A22</f>
        <v>2.1.3</v>
      </c>
      <c r="B34" s="103" t="str">
        <f>'BM-01'!D22</f>
        <v>LIMPEZA  MECANIZADA  DE  TERRENO  COM REMOCAO DE CAMADA VEGETAL, UTILIZAND O MOTONIVELADORA</v>
      </c>
      <c r="C34" s="104"/>
      <c r="D34" s="104"/>
      <c r="E34" s="104"/>
      <c r="F34" s="104"/>
      <c r="G34" s="104"/>
      <c r="H34" s="104"/>
      <c r="I34" s="104"/>
      <c r="J34" s="105">
        <f>ROUND(SUM(J35:J35),2)</f>
        <v>2000</v>
      </c>
      <c r="K34" s="106" t="str">
        <f>'BM-01'!F22</f>
        <v>M2</v>
      </c>
      <c r="M34" s="107"/>
    </row>
    <row r="35" spans="1:13" x14ac:dyDescent="0.3">
      <c r="A35" s="108"/>
      <c r="B35" s="109" t="s">
        <v>405</v>
      </c>
      <c r="C35" s="110">
        <f>2000</f>
        <v>2000</v>
      </c>
      <c r="D35" s="110"/>
      <c r="E35" s="110"/>
      <c r="F35" s="110"/>
      <c r="G35" s="110"/>
      <c r="H35" s="110"/>
      <c r="I35" s="110"/>
      <c r="J35" s="111">
        <f>C35</f>
        <v>2000</v>
      </c>
      <c r="K35" s="112"/>
    </row>
    <row r="36" spans="1:13" ht="14.4" customHeight="1" x14ac:dyDescent="0.3">
      <c r="A36" s="113"/>
      <c r="B36" s="114"/>
      <c r="C36" s="114"/>
      <c r="D36" s="114"/>
      <c r="E36" s="114"/>
      <c r="F36" s="114"/>
      <c r="G36" s="114"/>
      <c r="H36" s="114"/>
      <c r="I36" s="114"/>
      <c r="J36" s="114"/>
      <c r="K36" s="115"/>
    </row>
    <row r="37" spans="1:13" x14ac:dyDescent="0.3">
      <c r="A37" s="102" t="str">
        <f>'BM-01'!A23</f>
        <v>2.1.4</v>
      </c>
      <c r="B37" s="103" t="str">
        <f>'BM-01'!D23</f>
        <v xml:space="preserve">INSTALACOES  PROVISORIAS  DE  AGUA, INCLUSIVE  CAIXA  DAGUA  DE  1000L </v>
      </c>
      <c r="C37" s="104"/>
      <c r="D37" s="104"/>
      <c r="E37" s="104"/>
      <c r="F37" s="104"/>
      <c r="G37" s="104"/>
      <c r="H37" s="104"/>
      <c r="I37" s="104"/>
      <c r="J37" s="105">
        <f>ROUND(SUM(J38:J38),2)</f>
        <v>1</v>
      </c>
      <c r="K37" s="106" t="str">
        <f>'BM-01'!F23</f>
        <v>UN</v>
      </c>
      <c r="M37" s="107"/>
    </row>
    <row r="38" spans="1:13" x14ac:dyDescent="0.3">
      <c r="A38" s="108"/>
      <c r="B38" s="109" t="s">
        <v>406</v>
      </c>
      <c r="C38" s="110">
        <v>1</v>
      </c>
      <c r="D38" s="110"/>
      <c r="E38" s="110"/>
      <c r="F38" s="110"/>
      <c r="G38" s="110"/>
      <c r="H38" s="110"/>
      <c r="I38" s="110"/>
      <c r="J38" s="111">
        <f>C38</f>
        <v>1</v>
      </c>
      <c r="K38" s="112"/>
    </row>
    <row r="39" spans="1:13" ht="14.4" customHeight="1" x14ac:dyDescent="0.3">
      <c r="A39" s="113"/>
      <c r="B39" s="114"/>
      <c r="C39" s="114"/>
      <c r="D39" s="114"/>
      <c r="E39" s="114"/>
      <c r="F39" s="114"/>
      <c r="G39" s="114"/>
      <c r="H39" s="114"/>
      <c r="I39" s="114"/>
      <c r="J39" s="114"/>
      <c r="K39" s="115"/>
    </row>
    <row r="40" spans="1:13" ht="16.95" customHeight="1" x14ac:dyDescent="0.3">
      <c r="A40" s="97" t="s">
        <v>364</v>
      </c>
      <c r="B40" s="98" t="s">
        <v>407</v>
      </c>
      <c r="C40" s="99"/>
      <c r="D40" s="99"/>
      <c r="E40" s="99"/>
      <c r="F40" s="99"/>
      <c r="G40" s="99"/>
      <c r="H40" s="99"/>
      <c r="I40" s="99"/>
      <c r="J40" s="100"/>
      <c r="K40" s="101"/>
    </row>
    <row r="41" spans="1:13" ht="14.4" customHeight="1" x14ac:dyDescent="0.3">
      <c r="A41" s="102" t="str">
        <f>'BM-01'!A29</f>
        <v>2.2.1</v>
      </c>
      <c r="B41" s="103" t="str">
        <f>'BM-01'!D29</f>
        <v>ESCAVACAO MANUAL DE VALA EM MATERIAL DE QUALQUER CATEGORIA, EXCETO ROCHA COM PROFUNDIDADE ATE 2M.</v>
      </c>
      <c r="C41" s="104"/>
      <c r="D41" s="104"/>
      <c r="E41" s="104"/>
      <c r="F41" s="104"/>
      <c r="G41" s="104"/>
      <c r="H41" s="104"/>
      <c r="I41" s="104"/>
      <c r="J41" s="105">
        <f>ROUND(SUM(J42:J43),2)</f>
        <v>157.35</v>
      </c>
      <c r="K41" s="106" t="str">
        <f>'BM-01'!F29</f>
        <v>M3</v>
      </c>
      <c r="M41" s="107"/>
    </row>
    <row r="42" spans="1:13" x14ac:dyDescent="0.3">
      <c r="A42" s="117"/>
      <c r="B42" s="109" t="s">
        <v>408</v>
      </c>
      <c r="C42" s="110">
        <f>J88</f>
        <v>105.04</v>
      </c>
      <c r="D42" s="110"/>
      <c r="E42" s="110"/>
      <c r="F42" s="110"/>
      <c r="G42" s="110"/>
      <c r="H42" s="110"/>
      <c r="I42" s="110"/>
      <c r="J42" s="118">
        <f>C42</f>
        <v>105.04</v>
      </c>
      <c r="K42" s="119"/>
      <c r="L42" s="78">
        <v>2.6</v>
      </c>
    </row>
    <row r="43" spans="1:13" ht="55.2" x14ac:dyDescent="0.3">
      <c r="A43" s="117"/>
      <c r="B43" s="109" t="s">
        <v>409</v>
      </c>
      <c r="C43" s="110"/>
      <c r="D43" s="110"/>
      <c r="E43" s="110"/>
      <c r="F43" s="110"/>
      <c r="G43" s="110"/>
      <c r="H43" s="110"/>
      <c r="I43" s="110"/>
      <c r="J43" s="118">
        <f>0.4352*(SUM(J44:J78))</f>
        <v>52.314303999999993</v>
      </c>
      <c r="K43" s="119"/>
      <c r="L43" s="78">
        <v>2.85</v>
      </c>
    </row>
    <row r="44" spans="1:13" x14ac:dyDescent="0.3">
      <c r="A44" s="117"/>
      <c r="B44" s="109" t="s">
        <v>410</v>
      </c>
      <c r="C44" s="110">
        <v>5</v>
      </c>
      <c r="D44" s="110">
        <v>1.1000000000000001</v>
      </c>
      <c r="E44" s="110">
        <v>0.95</v>
      </c>
      <c r="F44" s="110">
        <v>1</v>
      </c>
      <c r="G44" s="110"/>
      <c r="H44" s="110"/>
      <c r="I44" s="110">
        <f>D44*E44*F44</f>
        <v>1.0449999999999999</v>
      </c>
      <c r="J44" s="111">
        <f>C44*I44</f>
        <v>5.2249999999999996</v>
      </c>
      <c r="K44" s="119"/>
      <c r="L44" s="78">
        <v>3.15</v>
      </c>
    </row>
    <row r="45" spans="1:13" x14ac:dyDescent="0.3">
      <c r="A45" s="117"/>
      <c r="B45" s="109" t="s">
        <v>411</v>
      </c>
      <c r="C45" s="110">
        <v>3</v>
      </c>
      <c r="D45" s="110">
        <v>1.1000000000000001</v>
      </c>
      <c r="E45" s="110">
        <v>1.1000000000000001</v>
      </c>
      <c r="F45" s="110">
        <v>1</v>
      </c>
      <c r="G45" s="110"/>
      <c r="H45" s="110"/>
      <c r="I45" s="110">
        <f t="shared" ref="I45:I78" si="0">D45*E45*F45</f>
        <v>1.2100000000000002</v>
      </c>
      <c r="J45" s="111">
        <f t="shared" ref="J45:J78" si="1">C45*I45</f>
        <v>3.6300000000000008</v>
      </c>
      <c r="K45" s="119"/>
    </row>
    <row r="46" spans="1:13" x14ac:dyDescent="0.3">
      <c r="A46" s="117"/>
      <c r="B46" s="109" t="s">
        <v>412</v>
      </c>
      <c r="C46" s="110">
        <v>6</v>
      </c>
      <c r="D46" s="110">
        <v>1.2</v>
      </c>
      <c r="E46" s="110">
        <v>1.05</v>
      </c>
      <c r="F46" s="110">
        <v>1</v>
      </c>
      <c r="G46" s="110"/>
      <c r="H46" s="110"/>
      <c r="I46" s="110">
        <f t="shared" si="0"/>
        <v>1.26</v>
      </c>
      <c r="J46" s="111">
        <f t="shared" si="1"/>
        <v>7.5600000000000005</v>
      </c>
      <c r="K46" s="119"/>
    </row>
    <row r="47" spans="1:13" x14ac:dyDescent="0.3">
      <c r="A47" s="117"/>
      <c r="B47" s="109" t="s">
        <v>413</v>
      </c>
      <c r="C47" s="110">
        <v>1</v>
      </c>
      <c r="D47" s="110">
        <v>1.25</v>
      </c>
      <c r="E47" s="110">
        <v>1.05</v>
      </c>
      <c r="F47" s="110">
        <v>1</v>
      </c>
      <c r="G47" s="110"/>
      <c r="H47" s="110"/>
      <c r="I47" s="110">
        <f t="shared" si="0"/>
        <v>1.3125</v>
      </c>
      <c r="J47" s="111">
        <f t="shared" si="1"/>
        <v>1.3125</v>
      </c>
      <c r="K47" s="119"/>
    </row>
    <row r="48" spans="1:13" x14ac:dyDescent="0.3">
      <c r="A48" s="117"/>
      <c r="B48" s="109" t="s">
        <v>414</v>
      </c>
      <c r="C48" s="110">
        <v>3</v>
      </c>
      <c r="D48" s="110">
        <v>1.1499999999999999</v>
      </c>
      <c r="E48" s="110">
        <v>1.5</v>
      </c>
      <c r="F48" s="110">
        <v>1</v>
      </c>
      <c r="G48" s="110"/>
      <c r="H48" s="110"/>
      <c r="I48" s="110">
        <f t="shared" si="0"/>
        <v>1.7249999999999999</v>
      </c>
      <c r="J48" s="111">
        <f t="shared" si="1"/>
        <v>5.1749999999999998</v>
      </c>
      <c r="K48" s="119"/>
    </row>
    <row r="49" spans="1:12" x14ac:dyDescent="0.3">
      <c r="A49" s="117"/>
      <c r="B49" s="109" t="s">
        <v>415</v>
      </c>
      <c r="C49" s="110">
        <v>5</v>
      </c>
      <c r="D49" s="110">
        <v>0.9</v>
      </c>
      <c r="E49" s="110">
        <v>0.9</v>
      </c>
      <c r="F49" s="110">
        <v>1</v>
      </c>
      <c r="G49" s="110"/>
      <c r="H49" s="110"/>
      <c r="I49" s="110">
        <f t="shared" si="0"/>
        <v>0.81</v>
      </c>
      <c r="J49" s="111">
        <f t="shared" si="1"/>
        <v>4.0500000000000007</v>
      </c>
      <c r="K49" s="119"/>
    </row>
    <row r="50" spans="1:12" x14ac:dyDescent="0.3">
      <c r="A50" s="117"/>
      <c r="B50" s="109" t="s">
        <v>416</v>
      </c>
      <c r="C50" s="110">
        <v>1</v>
      </c>
      <c r="D50" s="110">
        <v>0.95</v>
      </c>
      <c r="E50" s="110">
        <v>0.95</v>
      </c>
      <c r="F50" s="110">
        <v>1</v>
      </c>
      <c r="G50" s="110"/>
      <c r="H50" s="110"/>
      <c r="I50" s="110">
        <f t="shared" si="0"/>
        <v>0.90249999999999997</v>
      </c>
      <c r="J50" s="111">
        <f t="shared" si="1"/>
        <v>0.90249999999999997</v>
      </c>
      <c r="K50" s="119"/>
    </row>
    <row r="51" spans="1:12" x14ac:dyDescent="0.3">
      <c r="A51" s="117"/>
      <c r="B51" s="109" t="s">
        <v>417</v>
      </c>
      <c r="C51" s="110">
        <v>1</v>
      </c>
      <c r="D51" s="110">
        <v>1.05</v>
      </c>
      <c r="E51" s="110">
        <v>0.9</v>
      </c>
      <c r="F51" s="110">
        <v>1</v>
      </c>
      <c r="G51" s="110"/>
      <c r="H51" s="110"/>
      <c r="I51" s="110">
        <f t="shared" si="0"/>
        <v>0.94500000000000006</v>
      </c>
      <c r="J51" s="111">
        <f t="shared" si="1"/>
        <v>0.94500000000000006</v>
      </c>
      <c r="K51" s="119"/>
    </row>
    <row r="52" spans="1:12" x14ac:dyDescent="0.3">
      <c r="A52" s="117"/>
      <c r="B52" s="109" t="s">
        <v>418</v>
      </c>
      <c r="C52" s="110">
        <v>1</v>
      </c>
      <c r="D52" s="110">
        <v>1.1000000000000001</v>
      </c>
      <c r="E52" s="110">
        <v>0.9</v>
      </c>
      <c r="F52" s="110">
        <v>1</v>
      </c>
      <c r="G52" s="110"/>
      <c r="H52" s="110"/>
      <c r="I52" s="110">
        <f t="shared" si="0"/>
        <v>0.9900000000000001</v>
      </c>
      <c r="J52" s="111">
        <f t="shared" si="1"/>
        <v>0.9900000000000001</v>
      </c>
      <c r="K52" s="119"/>
    </row>
    <row r="53" spans="1:12" ht="14.4" customHeight="1" x14ac:dyDescent="0.3">
      <c r="A53" s="117"/>
      <c r="B53" s="109" t="s">
        <v>419</v>
      </c>
      <c r="C53" s="110">
        <v>2</v>
      </c>
      <c r="D53" s="110">
        <v>1.25</v>
      </c>
      <c r="E53" s="110">
        <v>1.1000000000000001</v>
      </c>
      <c r="F53" s="110">
        <v>1</v>
      </c>
      <c r="G53" s="110"/>
      <c r="H53" s="110"/>
      <c r="I53" s="110">
        <f t="shared" si="0"/>
        <v>1.375</v>
      </c>
      <c r="J53" s="111">
        <f t="shared" si="1"/>
        <v>2.75</v>
      </c>
      <c r="K53" s="119"/>
      <c r="L53" s="78">
        <v>3.55</v>
      </c>
    </row>
    <row r="54" spans="1:12" ht="14.4" customHeight="1" x14ac:dyDescent="0.3">
      <c r="A54" s="117"/>
      <c r="B54" s="109" t="s">
        <v>420</v>
      </c>
      <c r="C54" s="110">
        <v>2</v>
      </c>
      <c r="D54" s="110">
        <v>1.3</v>
      </c>
      <c r="E54" s="110">
        <v>1.1000000000000001</v>
      </c>
      <c r="F54" s="110">
        <v>1</v>
      </c>
      <c r="G54" s="110"/>
      <c r="H54" s="110"/>
      <c r="I54" s="110">
        <f t="shared" si="0"/>
        <v>1.4300000000000002</v>
      </c>
      <c r="J54" s="111">
        <f t="shared" si="1"/>
        <v>2.8600000000000003</v>
      </c>
      <c r="K54" s="119"/>
      <c r="L54" s="78">
        <v>3.9</v>
      </c>
    </row>
    <row r="55" spans="1:12" ht="14.4" customHeight="1" x14ac:dyDescent="0.3">
      <c r="A55" s="117"/>
      <c r="B55" s="109" t="s">
        <v>421</v>
      </c>
      <c r="C55" s="110">
        <v>2</v>
      </c>
      <c r="D55" s="110">
        <v>1.3</v>
      </c>
      <c r="E55" s="110">
        <v>1.1499999999999999</v>
      </c>
      <c r="F55" s="110">
        <v>1</v>
      </c>
      <c r="G55" s="110"/>
      <c r="H55" s="110"/>
      <c r="I55" s="110">
        <f t="shared" si="0"/>
        <v>1.4949999999999999</v>
      </c>
      <c r="J55" s="111">
        <f t="shared" si="1"/>
        <v>2.9899999999999998</v>
      </c>
      <c r="K55" s="119"/>
      <c r="L55" s="78">
        <v>4.03</v>
      </c>
    </row>
    <row r="56" spans="1:12" ht="14.4" customHeight="1" x14ac:dyDescent="0.3">
      <c r="A56" s="117"/>
      <c r="B56" s="109" t="s">
        <v>422</v>
      </c>
      <c r="C56" s="110">
        <v>3</v>
      </c>
      <c r="D56" s="110">
        <v>1.35</v>
      </c>
      <c r="E56" s="110">
        <v>1.1499999999999999</v>
      </c>
      <c r="F56" s="110">
        <v>1</v>
      </c>
      <c r="G56" s="110"/>
      <c r="H56" s="110"/>
      <c r="I56" s="110">
        <f t="shared" si="0"/>
        <v>1.5525</v>
      </c>
      <c r="J56" s="111">
        <f t="shared" si="1"/>
        <v>4.6574999999999998</v>
      </c>
      <c r="K56" s="119"/>
      <c r="L56" s="78">
        <v>4.4000000000000004</v>
      </c>
    </row>
    <row r="57" spans="1:12" ht="14.4" customHeight="1" x14ac:dyDescent="0.3">
      <c r="A57" s="117"/>
      <c r="B57" s="109" t="s">
        <v>423</v>
      </c>
      <c r="C57" s="110">
        <v>1</v>
      </c>
      <c r="D57" s="110">
        <v>1.25</v>
      </c>
      <c r="E57" s="110">
        <v>1.25</v>
      </c>
      <c r="F57" s="110">
        <v>1</v>
      </c>
      <c r="G57" s="110"/>
      <c r="H57" s="110"/>
      <c r="I57" s="110">
        <f t="shared" si="0"/>
        <v>1.5625</v>
      </c>
      <c r="J57" s="111">
        <f t="shared" si="1"/>
        <v>1.5625</v>
      </c>
      <c r="K57" s="119"/>
      <c r="L57" s="78">
        <v>4.6500000000000004</v>
      </c>
    </row>
    <row r="58" spans="1:12" ht="14.4" customHeight="1" x14ac:dyDescent="0.3">
      <c r="A58" s="117"/>
      <c r="B58" s="109" t="s">
        <v>424</v>
      </c>
      <c r="C58" s="110">
        <v>1</v>
      </c>
      <c r="D58" s="110">
        <v>1.05</v>
      </c>
      <c r="E58" s="110">
        <v>0.95</v>
      </c>
      <c r="F58" s="110">
        <v>1</v>
      </c>
      <c r="G58" s="110"/>
      <c r="H58" s="110"/>
      <c r="I58" s="110">
        <f t="shared" si="0"/>
        <v>0.99749999999999994</v>
      </c>
      <c r="J58" s="111">
        <f t="shared" si="1"/>
        <v>0.99749999999999994</v>
      </c>
      <c r="K58" s="119"/>
      <c r="L58" s="78">
        <v>4.8499999999999996</v>
      </c>
    </row>
    <row r="59" spans="1:12" ht="14.4" customHeight="1" x14ac:dyDescent="0.3">
      <c r="A59" s="117"/>
      <c r="B59" s="109" t="s">
        <v>425</v>
      </c>
      <c r="C59" s="110">
        <v>1</v>
      </c>
      <c r="D59" s="110">
        <v>1</v>
      </c>
      <c r="E59" s="110">
        <v>1</v>
      </c>
      <c r="F59" s="110">
        <v>1</v>
      </c>
      <c r="G59" s="110"/>
      <c r="H59" s="110"/>
      <c r="I59" s="110">
        <f t="shared" si="0"/>
        <v>1</v>
      </c>
      <c r="J59" s="111">
        <f t="shared" si="1"/>
        <v>1</v>
      </c>
      <c r="K59" s="119"/>
      <c r="L59" s="78">
        <v>5.25</v>
      </c>
    </row>
    <row r="60" spans="1:12" x14ac:dyDescent="0.3">
      <c r="A60" s="117"/>
      <c r="B60" s="109" t="s">
        <v>426</v>
      </c>
      <c r="C60" s="110">
        <v>3</v>
      </c>
      <c r="D60" s="110">
        <v>1.35</v>
      </c>
      <c r="E60" s="110">
        <v>1.2</v>
      </c>
      <c r="F60" s="110">
        <v>1</v>
      </c>
      <c r="G60" s="110"/>
      <c r="H60" s="110"/>
      <c r="I60" s="110">
        <f t="shared" si="0"/>
        <v>1.62</v>
      </c>
      <c r="J60" s="111">
        <f t="shared" si="1"/>
        <v>4.8600000000000003</v>
      </c>
      <c r="K60" s="119"/>
      <c r="L60" s="78">
        <v>5.47</v>
      </c>
    </row>
    <row r="61" spans="1:12" x14ac:dyDescent="0.3">
      <c r="A61" s="117"/>
      <c r="B61" s="109" t="s">
        <v>427</v>
      </c>
      <c r="C61" s="110">
        <v>2</v>
      </c>
      <c r="D61" s="110">
        <v>1.4</v>
      </c>
      <c r="E61" s="110">
        <v>1.2</v>
      </c>
      <c r="F61" s="110">
        <v>1</v>
      </c>
      <c r="G61" s="110"/>
      <c r="H61" s="110"/>
      <c r="I61" s="110">
        <f t="shared" si="0"/>
        <v>1.68</v>
      </c>
      <c r="J61" s="111">
        <f t="shared" si="1"/>
        <v>3.36</v>
      </c>
      <c r="K61" s="119"/>
    </row>
    <row r="62" spans="1:12" x14ac:dyDescent="0.3">
      <c r="A62" s="117"/>
      <c r="B62" s="109" t="s">
        <v>428</v>
      </c>
      <c r="C62" s="110">
        <v>1</v>
      </c>
      <c r="D62" s="110">
        <v>1.3</v>
      </c>
      <c r="E62" s="110">
        <v>1.3</v>
      </c>
      <c r="F62" s="110">
        <v>1</v>
      </c>
      <c r="G62" s="110"/>
      <c r="H62" s="110"/>
      <c r="I62" s="110">
        <f t="shared" si="0"/>
        <v>1.6900000000000002</v>
      </c>
      <c r="J62" s="111">
        <f t="shared" si="1"/>
        <v>1.6900000000000002</v>
      </c>
      <c r="K62" s="119"/>
    </row>
    <row r="63" spans="1:12" x14ac:dyDescent="0.3">
      <c r="A63" s="117"/>
      <c r="B63" s="109" t="s">
        <v>429</v>
      </c>
      <c r="C63" s="110">
        <v>1</v>
      </c>
      <c r="D63" s="110">
        <v>1.4</v>
      </c>
      <c r="E63" s="110">
        <v>1.25</v>
      </c>
      <c r="F63" s="110">
        <v>1</v>
      </c>
      <c r="G63" s="110"/>
      <c r="H63" s="110"/>
      <c r="I63" s="110">
        <f t="shared" si="0"/>
        <v>1.75</v>
      </c>
      <c r="J63" s="111">
        <f t="shared" si="1"/>
        <v>1.75</v>
      </c>
      <c r="K63" s="119"/>
    </row>
    <row r="64" spans="1:12" x14ac:dyDescent="0.3">
      <c r="A64" s="117"/>
      <c r="B64" s="109" t="s">
        <v>430</v>
      </c>
      <c r="C64" s="110">
        <v>5</v>
      </c>
      <c r="D64" s="110">
        <v>1.45</v>
      </c>
      <c r="E64" s="110">
        <v>1.25</v>
      </c>
      <c r="F64" s="110">
        <v>1</v>
      </c>
      <c r="G64" s="110"/>
      <c r="H64" s="110"/>
      <c r="I64" s="110">
        <f t="shared" si="0"/>
        <v>1.8125</v>
      </c>
      <c r="J64" s="111">
        <f t="shared" si="1"/>
        <v>9.0625</v>
      </c>
      <c r="K64" s="119"/>
    </row>
    <row r="65" spans="1:13" x14ac:dyDescent="0.3">
      <c r="A65" s="117"/>
      <c r="B65" s="109" t="s">
        <v>431</v>
      </c>
      <c r="C65" s="110">
        <v>1</v>
      </c>
      <c r="D65" s="110">
        <v>1.4</v>
      </c>
      <c r="E65" s="110">
        <v>1.3</v>
      </c>
      <c r="F65" s="110">
        <v>1</v>
      </c>
      <c r="G65" s="110"/>
      <c r="H65" s="110"/>
      <c r="I65" s="110">
        <f t="shared" si="0"/>
        <v>1.8199999999999998</v>
      </c>
      <c r="J65" s="111">
        <f t="shared" si="1"/>
        <v>1.8199999999999998</v>
      </c>
      <c r="K65" s="119"/>
    </row>
    <row r="66" spans="1:13" x14ac:dyDescent="0.3">
      <c r="A66" s="117"/>
      <c r="B66" s="109" t="s">
        <v>432</v>
      </c>
      <c r="C66" s="110">
        <v>5</v>
      </c>
      <c r="D66" s="110">
        <v>1.45</v>
      </c>
      <c r="E66" s="110">
        <v>1.3</v>
      </c>
      <c r="F66" s="110">
        <v>1</v>
      </c>
      <c r="G66" s="110"/>
      <c r="H66" s="110"/>
      <c r="I66" s="110">
        <f t="shared" si="0"/>
        <v>1.885</v>
      </c>
      <c r="J66" s="111">
        <f t="shared" si="1"/>
        <v>9.4250000000000007</v>
      </c>
      <c r="K66" s="119"/>
    </row>
    <row r="67" spans="1:13" x14ac:dyDescent="0.3">
      <c r="A67" s="117"/>
      <c r="B67" s="109" t="s">
        <v>433</v>
      </c>
      <c r="C67" s="110">
        <v>2</v>
      </c>
      <c r="D67" s="110">
        <v>1.5</v>
      </c>
      <c r="E67" s="110">
        <v>1.3</v>
      </c>
      <c r="F67" s="110">
        <v>1</v>
      </c>
      <c r="G67" s="110"/>
      <c r="H67" s="110"/>
      <c r="I67" s="110">
        <f t="shared" si="0"/>
        <v>1.9500000000000002</v>
      </c>
      <c r="J67" s="111">
        <f t="shared" si="1"/>
        <v>3.9000000000000004</v>
      </c>
      <c r="K67" s="119"/>
    </row>
    <row r="68" spans="1:13" x14ac:dyDescent="0.3">
      <c r="A68" s="117"/>
      <c r="B68" s="109" t="s">
        <v>434</v>
      </c>
      <c r="C68" s="110">
        <v>1</v>
      </c>
      <c r="D68" s="110">
        <v>1.5</v>
      </c>
      <c r="E68" s="110">
        <v>1.35</v>
      </c>
      <c r="F68" s="110">
        <v>1</v>
      </c>
      <c r="G68" s="110"/>
      <c r="H68" s="110"/>
      <c r="I68" s="110">
        <f t="shared" si="0"/>
        <v>2.0250000000000004</v>
      </c>
      <c r="J68" s="111">
        <f t="shared" si="1"/>
        <v>2.0250000000000004</v>
      </c>
      <c r="K68" s="119"/>
    </row>
    <row r="69" spans="1:13" x14ac:dyDescent="0.3">
      <c r="A69" s="117"/>
      <c r="B69" s="109" t="s">
        <v>435</v>
      </c>
      <c r="C69" s="110">
        <v>1</v>
      </c>
      <c r="D69" s="110">
        <v>1.55</v>
      </c>
      <c r="E69" s="110">
        <v>1.35</v>
      </c>
      <c r="F69" s="110">
        <v>1</v>
      </c>
      <c r="G69" s="110"/>
      <c r="H69" s="110"/>
      <c r="I69" s="110">
        <f t="shared" si="0"/>
        <v>2.0925000000000002</v>
      </c>
      <c r="J69" s="111">
        <f t="shared" si="1"/>
        <v>2.0925000000000002</v>
      </c>
      <c r="K69" s="119"/>
    </row>
    <row r="70" spans="1:13" x14ac:dyDescent="0.3">
      <c r="A70" s="117"/>
      <c r="B70" s="109" t="s">
        <v>436</v>
      </c>
      <c r="C70" s="110">
        <v>2</v>
      </c>
      <c r="D70" s="110">
        <v>1.55</v>
      </c>
      <c r="E70" s="110">
        <v>1.4</v>
      </c>
      <c r="F70" s="110">
        <v>1</v>
      </c>
      <c r="G70" s="110"/>
      <c r="H70" s="110"/>
      <c r="I70" s="110">
        <f t="shared" si="0"/>
        <v>2.17</v>
      </c>
      <c r="J70" s="111">
        <f t="shared" si="1"/>
        <v>4.34</v>
      </c>
      <c r="K70" s="119"/>
    </row>
    <row r="71" spans="1:13" x14ac:dyDescent="0.3">
      <c r="A71" s="117"/>
      <c r="B71" s="109" t="s">
        <v>437</v>
      </c>
      <c r="C71" s="110">
        <v>2</v>
      </c>
      <c r="D71" s="110">
        <v>1.6</v>
      </c>
      <c r="E71" s="110">
        <v>1.4</v>
      </c>
      <c r="F71" s="110">
        <v>1</v>
      </c>
      <c r="G71" s="110"/>
      <c r="H71" s="110"/>
      <c r="I71" s="110">
        <f t="shared" si="0"/>
        <v>2.2399999999999998</v>
      </c>
      <c r="J71" s="111">
        <f t="shared" si="1"/>
        <v>4.4799999999999995</v>
      </c>
      <c r="K71" s="119"/>
    </row>
    <row r="72" spans="1:13" x14ac:dyDescent="0.3">
      <c r="A72" s="117"/>
      <c r="B72" s="109" t="s">
        <v>438</v>
      </c>
      <c r="C72" s="110">
        <v>2</v>
      </c>
      <c r="D72" s="110">
        <v>1.6</v>
      </c>
      <c r="E72" s="110">
        <v>1.45</v>
      </c>
      <c r="F72" s="110">
        <v>1</v>
      </c>
      <c r="G72" s="110"/>
      <c r="H72" s="110"/>
      <c r="I72" s="110">
        <f t="shared" si="0"/>
        <v>2.3199999999999998</v>
      </c>
      <c r="J72" s="111">
        <f t="shared" si="1"/>
        <v>4.6399999999999997</v>
      </c>
      <c r="K72" s="119"/>
    </row>
    <row r="73" spans="1:13" x14ac:dyDescent="0.3">
      <c r="A73" s="117"/>
      <c r="B73" s="109" t="s">
        <v>439</v>
      </c>
      <c r="C73" s="110">
        <v>2</v>
      </c>
      <c r="D73" s="110">
        <v>1.65</v>
      </c>
      <c r="E73" s="110">
        <v>1.45</v>
      </c>
      <c r="F73" s="110">
        <v>1</v>
      </c>
      <c r="G73" s="110"/>
      <c r="H73" s="110"/>
      <c r="I73" s="110">
        <f t="shared" si="0"/>
        <v>2.3924999999999996</v>
      </c>
      <c r="J73" s="111">
        <f t="shared" si="1"/>
        <v>4.7849999999999993</v>
      </c>
      <c r="K73" s="119"/>
    </row>
    <row r="74" spans="1:13" x14ac:dyDescent="0.3">
      <c r="A74" s="117"/>
      <c r="B74" s="109" t="s">
        <v>440</v>
      </c>
      <c r="C74" s="110">
        <v>1</v>
      </c>
      <c r="D74" s="110">
        <v>1.8</v>
      </c>
      <c r="E74" s="110">
        <v>1.6</v>
      </c>
      <c r="F74" s="110">
        <v>1</v>
      </c>
      <c r="G74" s="110"/>
      <c r="H74" s="110"/>
      <c r="I74" s="110">
        <f t="shared" si="0"/>
        <v>2.8800000000000003</v>
      </c>
      <c r="J74" s="111">
        <f t="shared" si="1"/>
        <v>2.8800000000000003</v>
      </c>
      <c r="K74" s="119"/>
    </row>
    <row r="75" spans="1:13" x14ac:dyDescent="0.3">
      <c r="A75" s="117"/>
      <c r="B75" s="109" t="s">
        <v>441</v>
      </c>
      <c r="C75" s="110">
        <v>1</v>
      </c>
      <c r="D75" s="110">
        <v>1.8</v>
      </c>
      <c r="E75" s="110">
        <v>1.65</v>
      </c>
      <c r="F75" s="110">
        <v>1</v>
      </c>
      <c r="G75" s="110"/>
      <c r="H75" s="110"/>
      <c r="I75" s="110">
        <f t="shared" si="0"/>
        <v>2.9699999999999998</v>
      </c>
      <c r="J75" s="111">
        <f t="shared" si="1"/>
        <v>2.9699999999999998</v>
      </c>
      <c r="K75" s="119"/>
    </row>
    <row r="76" spans="1:13" x14ac:dyDescent="0.3">
      <c r="A76" s="117"/>
      <c r="B76" s="109" t="s">
        <v>442</v>
      </c>
      <c r="C76" s="110">
        <v>1</v>
      </c>
      <c r="D76" s="110">
        <v>1.85</v>
      </c>
      <c r="E76" s="110">
        <v>1.65</v>
      </c>
      <c r="F76" s="110">
        <v>1</v>
      </c>
      <c r="G76" s="110"/>
      <c r="H76" s="110"/>
      <c r="I76" s="110">
        <f t="shared" si="0"/>
        <v>3.0524999999999998</v>
      </c>
      <c r="J76" s="111">
        <f t="shared" si="1"/>
        <v>3.0524999999999998</v>
      </c>
      <c r="K76" s="119"/>
    </row>
    <row r="77" spans="1:13" x14ac:dyDescent="0.3">
      <c r="A77" s="117"/>
      <c r="B77" s="109" t="s">
        <v>443</v>
      </c>
      <c r="C77" s="110">
        <v>1</v>
      </c>
      <c r="D77" s="110">
        <v>1.9</v>
      </c>
      <c r="E77" s="110">
        <v>1.7</v>
      </c>
      <c r="F77" s="110">
        <v>1</v>
      </c>
      <c r="G77" s="110"/>
      <c r="H77" s="110"/>
      <c r="I77" s="110">
        <f t="shared" si="0"/>
        <v>3.23</v>
      </c>
      <c r="J77" s="111">
        <f t="shared" si="1"/>
        <v>3.23</v>
      </c>
      <c r="K77" s="119"/>
    </row>
    <row r="78" spans="1:13" x14ac:dyDescent="0.3">
      <c r="A78" s="117"/>
      <c r="B78" s="109" t="s">
        <v>444</v>
      </c>
      <c r="C78" s="110">
        <v>1</v>
      </c>
      <c r="D78" s="110">
        <v>1.85</v>
      </c>
      <c r="E78" s="110">
        <v>1.75</v>
      </c>
      <c r="F78" s="110">
        <v>1</v>
      </c>
      <c r="G78" s="110"/>
      <c r="H78" s="110"/>
      <c r="I78" s="110">
        <f t="shared" si="0"/>
        <v>3.2375000000000003</v>
      </c>
      <c r="J78" s="111">
        <f t="shared" si="1"/>
        <v>3.2375000000000003</v>
      </c>
      <c r="K78" s="119"/>
    </row>
    <row r="79" spans="1:13" ht="14.4" customHeight="1" x14ac:dyDescent="0.3">
      <c r="A79" s="113"/>
      <c r="B79" s="114"/>
      <c r="C79" s="114"/>
      <c r="D79" s="114"/>
      <c r="E79" s="114"/>
      <c r="F79" s="114"/>
      <c r="G79" s="114"/>
      <c r="H79" s="114"/>
      <c r="I79" s="114"/>
      <c r="J79" s="114"/>
      <c r="K79" s="115"/>
      <c r="L79" s="78">
        <v>2.35</v>
      </c>
    </row>
    <row r="80" spans="1:13" ht="14.4" customHeight="1" x14ac:dyDescent="0.3">
      <c r="A80" s="102" t="str">
        <f>'BM-01'!A30</f>
        <v>2.2.2</v>
      </c>
      <c r="B80" s="103" t="str">
        <f>'BM-01'!D30</f>
        <v>ATERRO  DO  CAIXAO  SEM  AQUISICAO  DO MATERIAL  (REATERRO  MANUAL)</v>
      </c>
      <c r="C80" s="104"/>
      <c r="D80" s="104"/>
      <c r="E80" s="104"/>
      <c r="F80" s="104"/>
      <c r="G80" s="104"/>
      <c r="H80" s="104"/>
      <c r="I80" s="104"/>
      <c r="J80" s="105">
        <f>ROUND(SUM(J81:J81),2)</f>
        <v>137.80000000000001</v>
      </c>
      <c r="K80" s="106" t="str">
        <f>'BM-01'!F30</f>
        <v>M3</v>
      </c>
      <c r="L80" s="78">
        <v>2.5499999999999998</v>
      </c>
      <c r="M80" s="107"/>
    </row>
    <row r="81" spans="1:17" ht="41.4" x14ac:dyDescent="0.3">
      <c r="A81" s="117"/>
      <c r="B81" s="109" t="s">
        <v>445</v>
      </c>
      <c r="C81" s="110">
        <f>J41-J133</f>
        <v>137.79999999999998</v>
      </c>
      <c r="D81" s="110"/>
      <c r="E81" s="110"/>
      <c r="F81" s="110"/>
      <c r="G81" s="110"/>
      <c r="H81" s="110"/>
      <c r="I81" s="110"/>
      <c r="J81" s="111">
        <f>C81</f>
        <v>137.79999999999998</v>
      </c>
      <c r="K81" s="119"/>
      <c r="L81" s="78">
        <v>3.55</v>
      </c>
    </row>
    <row r="82" spans="1:17" ht="14.4" customHeight="1" x14ac:dyDescent="0.3">
      <c r="A82" s="113"/>
      <c r="B82" s="114"/>
      <c r="C82" s="114"/>
      <c r="D82" s="114"/>
      <c r="E82" s="114"/>
      <c r="F82" s="114"/>
      <c r="G82" s="114"/>
      <c r="H82" s="114"/>
      <c r="I82" s="114"/>
      <c r="J82" s="114"/>
      <c r="K82" s="115"/>
      <c r="L82" s="78">
        <v>4</v>
      </c>
    </row>
    <row r="83" spans="1:17" ht="14.4" customHeight="1" x14ac:dyDescent="0.3">
      <c r="A83" s="102" t="str">
        <f>'BM-01'!A31</f>
        <v>2.2.3</v>
      </c>
      <c r="B83" s="103" t="str">
        <f>'BM-01'!D31</f>
        <v>ATERRO  DO  CAIXAO  COM  AQUISICAO  DO MATERIAL/AREIA, APILOADO EM CAMADAS DE 0,20M</v>
      </c>
      <c r="C83" s="104"/>
      <c r="D83" s="104"/>
      <c r="E83" s="104"/>
      <c r="F83" s="104"/>
      <c r="G83" s="104"/>
      <c r="H83" s="104"/>
      <c r="I83" s="104"/>
      <c r="J83" s="105">
        <f>J84</f>
        <v>195.41</v>
      </c>
      <c r="K83" s="106" t="str">
        <f>'BM-01'!F31</f>
        <v>M3</v>
      </c>
      <c r="M83" s="107"/>
    </row>
    <row r="84" spans="1:17" ht="27.6" x14ac:dyDescent="0.3">
      <c r="A84" s="108"/>
      <c r="B84" s="121" t="s">
        <v>465</v>
      </c>
      <c r="C84" s="110"/>
      <c r="D84" s="110"/>
      <c r="E84" s="110"/>
      <c r="F84" s="110"/>
      <c r="G84" s="110"/>
      <c r="H84" s="110"/>
      <c r="I84" s="110"/>
      <c r="J84" s="118">
        <f>195.41</f>
        <v>195.41</v>
      </c>
      <c r="K84" s="112"/>
      <c r="M84" s="107"/>
    </row>
    <row r="85" spans="1:17" ht="69" x14ac:dyDescent="0.3">
      <c r="A85" s="117"/>
      <c r="B85" s="109" t="s">
        <v>466</v>
      </c>
      <c r="C85" s="110">
        <f>475</f>
        <v>475</v>
      </c>
      <c r="D85" s="110"/>
      <c r="E85" s="110"/>
      <c r="F85" s="110">
        <f>(1.4+1.7+1.45+0.85+0.7+0.5)/6</f>
        <v>1.0999999999999999</v>
      </c>
      <c r="G85" s="109" t="s">
        <v>470</v>
      </c>
      <c r="H85" s="110">
        <f>J80</f>
        <v>137.80000000000001</v>
      </c>
      <c r="I85" s="110"/>
      <c r="J85" s="111">
        <f>(C85*F85)-H85</f>
        <v>384.69999999999987</v>
      </c>
      <c r="K85" s="119"/>
    </row>
    <row r="86" spans="1:17" ht="14.4" customHeight="1" x14ac:dyDescent="0.3">
      <c r="A86" s="113"/>
      <c r="B86" s="114"/>
      <c r="C86" s="114"/>
      <c r="D86" s="114"/>
      <c r="E86" s="114"/>
      <c r="F86" s="114"/>
      <c r="G86" s="114"/>
      <c r="H86" s="114"/>
      <c r="I86" s="114"/>
      <c r="J86" s="114"/>
      <c r="K86" s="115"/>
    </row>
    <row r="87" spans="1:17" ht="16.95" customHeight="1" x14ac:dyDescent="0.3">
      <c r="A87" s="97" t="s">
        <v>365</v>
      </c>
      <c r="B87" s="98" t="s">
        <v>446</v>
      </c>
      <c r="C87" s="99"/>
      <c r="D87" s="99"/>
      <c r="E87" s="99"/>
      <c r="F87" s="99"/>
      <c r="G87" s="99"/>
      <c r="H87" s="99"/>
      <c r="I87" s="99"/>
      <c r="J87" s="100"/>
      <c r="K87" s="101"/>
    </row>
    <row r="88" spans="1:17" x14ac:dyDescent="0.3">
      <c r="A88" s="102" t="str">
        <f>'BM-01'!A33</f>
        <v>2.3.1</v>
      </c>
      <c r="B88" s="103" t="str">
        <f>'BM-01'!D33</f>
        <v>EMBASAMENTO  C/PEDRA  ARGAMASSADA UTILIZANDO  ARG.CIM/AREIA  1:4</v>
      </c>
      <c r="C88" s="104"/>
      <c r="D88" s="104"/>
      <c r="E88" s="104"/>
      <c r="F88" s="104"/>
      <c r="G88" s="104"/>
      <c r="H88" s="104"/>
      <c r="I88" s="116"/>
      <c r="J88" s="105">
        <f>ROUND(SUM(J89:J90),2)</f>
        <v>105.04</v>
      </c>
      <c r="K88" s="106" t="str">
        <f>'BM-01'!F33</f>
        <v>M3</v>
      </c>
      <c r="M88" s="107"/>
    </row>
    <row r="89" spans="1:17" ht="55.2" x14ac:dyDescent="0.3">
      <c r="A89" s="120"/>
      <c r="B89" s="109" t="s">
        <v>468</v>
      </c>
      <c r="C89" s="110">
        <f>((12.4/(0.19*0.19))*(0.45*0.6))</f>
        <v>92.742382271468159</v>
      </c>
      <c r="D89" s="110"/>
      <c r="E89" s="110"/>
      <c r="F89" s="110"/>
      <c r="G89" s="110"/>
      <c r="H89" s="110"/>
      <c r="I89" s="110"/>
      <c r="J89" s="111">
        <f>C89</f>
        <v>92.742382271468159</v>
      </c>
      <c r="K89" s="119"/>
      <c r="Q89" s="107">
        <f t="shared" ref="Q89:Q90" si="2">C89*D89</f>
        <v>0</v>
      </c>
    </row>
    <row r="90" spans="1:17" ht="27.6" x14ac:dyDescent="0.3">
      <c r="A90" s="108"/>
      <c r="B90" s="109" t="s">
        <v>447</v>
      </c>
      <c r="C90" s="110">
        <f>(8.6+38.9)*(0.4314*0.6)</f>
        <v>12.2949</v>
      </c>
      <c r="D90" s="110"/>
      <c r="E90" s="110"/>
      <c r="F90" s="110"/>
      <c r="G90" s="110"/>
      <c r="H90" s="110"/>
      <c r="I90" s="110"/>
      <c r="J90" s="111">
        <f>C90</f>
        <v>12.2949</v>
      </c>
      <c r="K90" s="119"/>
      <c r="Q90" s="107">
        <f t="shared" si="2"/>
        <v>0</v>
      </c>
    </row>
    <row r="91" spans="1:17" ht="14.4" customHeight="1" x14ac:dyDescent="0.3">
      <c r="A91" s="113"/>
      <c r="B91" s="114"/>
      <c r="C91" s="114"/>
      <c r="D91" s="114"/>
      <c r="E91" s="114"/>
      <c r="F91" s="114"/>
      <c r="G91" s="114"/>
      <c r="H91" s="114"/>
      <c r="I91" s="114"/>
      <c r="J91" s="114"/>
      <c r="K91" s="115"/>
    </row>
    <row r="92" spans="1:17" ht="28.8" customHeight="1" x14ac:dyDescent="0.3">
      <c r="A92" s="102" t="str">
        <f>'BM-01'!A34</f>
        <v>2.3.2</v>
      </c>
      <c r="B92" s="103" t="str">
        <f>'BM-01'!D34</f>
        <v>ALVENARIA DE 1 VEZ VEDACAO COM BLOCOS CERAMICO FURADOS 9 X 19 X 19 CM FUROS HORIZONTAIS,  ESPESSURA  DA  PAREDE  19 CM,  JUNTAS  DE  10  MM  COM  ARGAMASSA TRACO 1:2:8 (CIMENTO, CAL E AREIA MEDIA)</v>
      </c>
      <c r="C92" s="104"/>
      <c r="D92" s="104"/>
      <c r="E92" s="104"/>
      <c r="F92" s="104"/>
      <c r="G92" s="104"/>
      <c r="H92" s="104"/>
      <c r="I92" s="104"/>
      <c r="J92" s="105">
        <f>J93</f>
        <v>35.130000000000003</v>
      </c>
      <c r="K92" s="106" t="str">
        <f>'BM-01'!F34</f>
        <v>M2</v>
      </c>
      <c r="M92" s="107"/>
    </row>
    <row r="93" spans="1:17" ht="28.8" customHeight="1" x14ac:dyDescent="0.3">
      <c r="A93" s="108"/>
      <c r="B93" s="121" t="s">
        <v>469</v>
      </c>
      <c r="C93" s="110"/>
      <c r="D93" s="110"/>
      <c r="E93" s="110"/>
      <c r="F93" s="110"/>
      <c r="G93" s="110"/>
      <c r="H93" s="110"/>
      <c r="I93" s="110"/>
      <c r="J93" s="118">
        <f>35.13</f>
        <v>35.130000000000003</v>
      </c>
      <c r="K93" s="112"/>
      <c r="M93" s="107"/>
    </row>
    <row r="94" spans="1:17" ht="41.4" x14ac:dyDescent="0.3">
      <c r="A94" s="122"/>
      <c r="B94" s="123" t="s">
        <v>467</v>
      </c>
      <c r="C94" s="124">
        <v>1</v>
      </c>
      <c r="D94" s="124">
        <f>(12.4/(0.19*0.19))</f>
        <v>343.4903047091413</v>
      </c>
      <c r="E94" s="124"/>
      <c r="F94" s="124">
        <f>(1.1-0.19)</f>
        <v>0.91000000000000014</v>
      </c>
      <c r="G94" s="124"/>
      <c r="H94" s="124"/>
      <c r="I94" s="124">
        <f>D94*F94</f>
        <v>312.57617728531864</v>
      </c>
      <c r="J94" s="125">
        <f>C94*I94</f>
        <v>312.57617728531864</v>
      </c>
      <c r="K94" s="126"/>
    </row>
    <row r="95" spans="1:17" ht="14.4" customHeight="1" x14ac:dyDescent="0.3">
      <c r="A95" s="113"/>
      <c r="B95" s="114"/>
      <c r="C95" s="114"/>
      <c r="D95" s="114"/>
      <c r="E95" s="114"/>
      <c r="F95" s="114"/>
      <c r="G95" s="114"/>
      <c r="H95" s="114"/>
      <c r="I95" s="114"/>
      <c r="J95" s="114"/>
      <c r="K95" s="115"/>
    </row>
    <row r="96" spans="1:17" ht="14.4" customHeight="1" x14ac:dyDescent="0.3">
      <c r="A96" s="102" t="str">
        <f>'BM-01'!A35</f>
        <v>2.3.3</v>
      </c>
      <c r="B96" s="103" t="str">
        <f>'BM-01'!D35</f>
        <v xml:space="preserve">LASTRO DE CONCRETO MAGRO, APLICADO EM    BLOCOS    DE    COROAMENTO    OU SAPATAS.AF_08/2017 </v>
      </c>
      <c r="C96" s="104"/>
      <c r="D96" s="104"/>
      <c r="E96" s="104"/>
      <c r="F96" s="104"/>
      <c r="G96" s="104"/>
      <c r="H96" s="104"/>
      <c r="I96" s="104"/>
      <c r="J96" s="105">
        <f>ROUND(SUM(J97:J131),2)</f>
        <v>6.13</v>
      </c>
      <c r="K96" s="106" t="str">
        <f>'BM-01'!F35</f>
        <v>M3</v>
      </c>
      <c r="M96" s="107"/>
    </row>
    <row r="97" spans="1:13" x14ac:dyDescent="0.3">
      <c r="A97" s="117"/>
      <c r="B97" s="109" t="s">
        <v>410</v>
      </c>
      <c r="C97" s="110">
        <v>5</v>
      </c>
      <c r="D97" s="110">
        <v>0.90000000000000013</v>
      </c>
      <c r="E97" s="110">
        <v>0.75</v>
      </c>
      <c r="F97" s="110">
        <v>7.1199999999999999E-2</v>
      </c>
      <c r="G97" s="110"/>
      <c r="H97" s="110"/>
      <c r="I97" s="110">
        <f>D97*E97*F97</f>
        <v>4.8060000000000005E-2</v>
      </c>
      <c r="J97" s="111">
        <f>C97*I97</f>
        <v>0.24030000000000001</v>
      </c>
      <c r="K97" s="119"/>
      <c r="L97" s="107"/>
      <c r="M97" s="107"/>
    </row>
    <row r="98" spans="1:13" x14ac:dyDescent="0.3">
      <c r="A98" s="117"/>
      <c r="B98" s="109" t="s">
        <v>411</v>
      </c>
      <c r="C98" s="110">
        <v>3</v>
      </c>
      <c r="D98" s="110">
        <v>0.90000000000000013</v>
      </c>
      <c r="E98" s="110">
        <v>0.90000000000000013</v>
      </c>
      <c r="F98" s="110">
        <v>7.1199999999999999E-2</v>
      </c>
      <c r="G98" s="110"/>
      <c r="H98" s="110"/>
      <c r="I98" s="110">
        <f t="shared" ref="I98:I131" si="3">D98*E98*F98</f>
        <v>5.7672000000000022E-2</v>
      </c>
      <c r="J98" s="111">
        <f t="shared" ref="J98:J131" si="4">C98*I98</f>
        <v>0.17301600000000006</v>
      </c>
      <c r="K98" s="119"/>
      <c r="L98" s="107"/>
      <c r="M98" s="107"/>
    </row>
    <row r="99" spans="1:13" x14ac:dyDescent="0.3">
      <c r="A99" s="117"/>
      <c r="B99" s="109" t="s">
        <v>412</v>
      </c>
      <c r="C99" s="110">
        <v>6</v>
      </c>
      <c r="D99" s="110">
        <v>1</v>
      </c>
      <c r="E99" s="110">
        <v>0.85000000000000009</v>
      </c>
      <c r="F99" s="110">
        <v>7.1199999999999999E-2</v>
      </c>
      <c r="G99" s="110"/>
      <c r="H99" s="110"/>
      <c r="I99" s="110">
        <f t="shared" si="3"/>
        <v>6.0520000000000004E-2</v>
      </c>
      <c r="J99" s="111">
        <f t="shared" si="4"/>
        <v>0.36312</v>
      </c>
      <c r="K99" s="119"/>
      <c r="L99" s="107"/>
      <c r="M99" s="107"/>
    </row>
    <row r="100" spans="1:13" x14ac:dyDescent="0.3">
      <c r="A100" s="117"/>
      <c r="B100" s="109" t="s">
        <v>413</v>
      </c>
      <c r="C100" s="110">
        <v>1</v>
      </c>
      <c r="D100" s="110">
        <v>1.05</v>
      </c>
      <c r="E100" s="110">
        <v>0.85000000000000009</v>
      </c>
      <c r="F100" s="110">
        <v>7.1199999999999999E-2</v>
      </c>
      <c r="G100" s="110"/>
      <c r="H100" s="110"/>
      <c r="I100" s="110">
        <f t="shared" si="3"/>
        <v>6.3546000000000019E-2</v>
      </c>
      <c r="J100" s="111">
        <f t="shared" si="4"/>
        <v>6.3546000000000019E-2</v>
      </c>
      <c r="K100" s="119"/>
      <c r="L100" s="107"/>
      <c r="M100" s="107"/>
    </row>
    <row r="101" spans="1:13" x14ac:dyDescent="0.3">
      <c r="A101" s="117"/>
      <c r="B101" s="109" t="s">
        <v>414</v>
      </c>
      <c r="C101" s="110">
        <v>3</v>
      </c>
      <c r="D101" s="110">
        <v>0.95</v>
      </c>
      <c r="E101" s="110">
        <v>1.3</v>
      </c>
      <c r="F101" s="110">
        <v>7.1199999999999999E-2</v>
      </c>
      <c r="G101" s="110"/>
      <c r="H101" s="110"/>
      <c r="I101" s="110">
        <f t="shared" si="3"/>
        <v>8.7931999999999996E-2</v>
      </c>
      <c r="J101" s="111">
        <f t="shared" si="4"/>
        <v>0.26379599999999997</v>
      </c>
      <c r="K101" s="119"/>
      <c r="L101" s="107"/>
      <c r="M101" s="107"/>
    </row>
    <row r="102" spans="1:13" x14ac:dyDescent="0.3">
      <c r="A102" s="117"/>
      <c r="B102" s="109" t="s">
        <v>415</v>
      </c>
      <c r="C102" s="110">
        <v>5</v>
      </c>
      <c r="D102" s="110">
        <v>0.7</v>
      </c>
      <c r="E102" s="110">
        <v>0.7</v>
      </c>
      <c r="F102" s="110">
        <v>7.1199999999999999E-2</v>
      </c>
      <c r="G102" s="110"/>
      <c r="H102" s="110"/>
      <c r="I102" s="110">
        <f t="shared" si="3"/>
        <v>3.4887999999999995E-2</v>
      </c>
      <c r="J102" s="111">
        <f t="shared" si="4"/>
        <v>0.17443999999999998</v>
      </c>
      <c r="K102" s="119"/>
      <c r="L102" s="107"/>
      <c r="M102" s="107"/>
    </row>
    <row r="103" spans="1:13" x14ac:dyDescent="0.3">
      <c r="A103" s="117"/>
      <c r="B103" s="109" t="s">
        <v>416</v>
      </c>
      <c r="C103" s="110">
        <v>1</v>
      </c>
      <c r="D103" s="110">
        <v>0.75</v>
      </c>
      <c r="E103" s="110">
        <v>0.75</v>
      </c>
      <c r="F103" s="110">
        <v>7.1199999999999999E-2</v>
      </c>
      <c r="G103" s="110"/>
      <c r="H103" s="110"/>
      <c r="I103" s="110">
        <f t="shared" si="3"/>
        <v>4.0050000000000002E-2</v>
      </c>
      <c r="J103" s="111">
        <f t="shared" si="4"/>
        <v>4.0050000000000002E-2</v>
      </c>
      <c r="K103" s="119"/>
      <c r="L103" s="107"/>
      <c r="M103" s="107"/>
    </row>
    <row r="104" spans="1:13" x14ac:dyDescent="0.3">
      <c r="A104" s="117"/>
      <c r="B104" s="109" t="s">
        <v>417</v>
      </c>
      <c r="C104" s="110">
        <v>1</v>
      </c>
      <c r="D104" s="110">
        <v>0.85000000000000009</v>
      </c>
      <c r="E104" s="110">
        <v>0.7</v>
      </c>
      <c r="F104" s="110">
        <v>7.1199999999999999E-2</v>
      </c>
      <c r="G104" s="110"/>
      <c r="H104" s="110"/>
      <c r="I104" s="110">
        <f t="shared" si="3"/>
        <v>4.2363999999999999E-2</v>
      </c>
      <c r="J104" s="111">
        <f t="shared" si="4"/>
        <v>4.2363999999999999E-2</v>
      </c>
      <c r="K104" s="119"/>
      <c r="L104" s="107"/>
      <c r="M104" s="107"/>
    </row>
    <row r="105" spans="1:13" x14ac:dyDescent="0.3">
      <c r="A105" s="117"/>
      <c r="B105" s="109" t="s">
        <v>418</v>
      </c>
      <c r="C105" s="110">
        <v>1</v>
      </c>
      <c r="D105" s="110">
        <v>0.90000000000000013</v>
      </c>
      <c r="E105" s="110">
        <v>0.7</v>
      </c>
      <c r="F105" s="110">
        <v>7.1199999999999999E-2</v>
      </c>
      <c r="G105" s="110"/>
      <c r="H105" s="110"/>
      <c r="I105" s="110">
        <f t="shared" si="3"/>
        <v>4.4856E-2</v>
      </c>
      <c r="J105" s="111">
        <f t="shared" si="4"/>
        <v>4.4856E-2</v>
      </c>
      <c r="K105" s="119"/>
      <c r="L105" s="107"/>
      <c r="M105" s="107"/>
    </row>
    <row r="106" spans="1:13" x14ac:dyDescent="0.3">
      <c r="A106" s="117"/>
      <c r="B106" s="109" t="s">
        <v>419</v>
      </c>
      <c r="C106" s="110">
        <v>2</v>
      </c>
      <c r="D106" s="110">
        <v>1.05</v>
      </c>
      <c r="E106" s="110">
        <v>0.90000000000000013</v>
      </c>
      <c r="F106" s="110">
        <v>7.1199999999999999E-2</v>
      </c>
      <c r="G106" s="110"/>
      <c r="H106" s="110"/>
      <c r="I106" s="110">
        <f t="shared" si="3"/>
        <v>6.728400000000001E-2</v>
      </c>
      <c r="J106" s="111">
        <f t="shared" si="4"/>
        <v>0.13456800000000002</v>
      </c>
      <c r="K106" s="119"/>
      <c r="L106" s="107"/>
      <c r="M106" s="107"/>
    </row>
    <row r="107" spans="1:13" x14ac:dyDescent="0.3">
      <c r="A107" s="117"/>
      <c r="B107" s="109" t="s">
        <v>420</v>
      </c>
      <c r="C107" s="110">
        <v>2</v>
      </c>
      <c r="D107" s="110">
        <v>1.1000000000000001</v>
      </c>
      <c r="E107" s="110">
        <v>0.90000000000000013</v>
      </c>
      <c r="F107" s="110">
        <v>7.1199999999999999E-2</v>
      </c>
      <c r="G107" s="110"/>
      <c r="H107" s="110"/>
      <c r="I107" s="110">
        <f t="shared" si="3"/>
        <v>7.0488000000000009E-2</v>
      </c>
      <c r="J107" s="111">
        <f t="shared" si="4"/>
        <v>0.14097600000000002</v>
      </c>
      <c r="K107" s="119"/>
      <c r="L107" s="107"/>
      <c r="M107" s="107"/>
    </row>
    <row r="108" spans="1:13" x14ac:dyDescent="0.3">
      <c r="A108" s="117"/>
      <c r="B108" s="109" t="s">
        <v>421</v>
      </c>
      <c r="C108" s="110">
        <v>2</v>
      </c>
      <c r="D108" s="110">
        <v>1.1000000000000001</v>
      </c>
      <c r="E108" s="110">
        <v>0.95</v>
      </c>
      <c r="F108" s="110">
        <v>7.1199999999999999E-2</v>
      </c>
      <c r="G108" s="110"/>
      <c r="H108" s="110"/>
      <c r="I108" s="110">
        <f t="shared" si="3"/>
        <v>7.4403999999999998E-2</v>
      </c>
      <c r="J108" s="111">
        <f t="shared" si="4"/>
        <v>0.148808</v>
      </c>
      <c r="K108" s="119"/>
      <c r="L108" s="107"/>
      <c r="M108" s="107"/>
    </row>
    <row r="109" spans="1:13" x14ac:dyDescent="0.3">
      <c r="A109" s="117"/>
      <c r="B109" s="109" t="s">
        <v>422</v>
      </c>
      <c r="C109" s="110">
        <v>3</v>
      </c>
      <c r="D109" s="110">
        <v>1.1500000000000001</v>
      </c>
      <c r="E109" s="110">
        <v>0.95</v>
      </c>
      <c r="F109" s="110">
        <v>7.1199999999999999E-2</v>
      </c>
      <c r="G109" s="110"/>
      <c r="H109" s="110"/>
      <c r="I109" s="110">
        <f t="shared" si="3"/>
        <v>7.7786000000000008E-2</v>
      </c>
      <c r="J109" s="111">
        <f t="shared" si="4"/>
        <v>0.23335800000000001</v>
      </c>
      <c r="K109" s="119"/>
      <c r="L109" s="107"/>
      <c r="M109" s="107"/>
    </row>
    <row r="110" spans="1:13" x14ac:dyDescent="0.3">
      <c r="A110" s="117"/>
      <c r="B110" s="109" t="s">
        <v>423</v>
      </c>
      <c r="C110" s="110">
        <v>1</v>
      </c>
      <c r="D110" s="110">
        <v>1.05</v>
      </c>
      <c r="E110" s="110">
        <v>1.05</v>
      </c>
      <c r="F110" s="110">
        <v>7.1199999999999999E-2</v>
      </c>
      <c r="G110" s="110"/>
      <c r="H110" s="110"/>
      <c r="I110" s="110">
        <f t="shared" si="3"/>
        <v>7.8497999999999998E-2</v>
      </c>
      <c r="J110" s="111">
        <f t="shared" si="4"/>
        <v>7.8497999999999998E-2</v>
      </c>
      <c r="K110" s="119"/>
      <c r="L110" s="107"/>
      <c r="M110" s="107"/>
    </row>
    <row r="111" spans="1:13" x14ac:dyDescent="0.3">
      <c r="A111" s="117"/>
      <c r="B111" s="109" t="s">
        <v>424</v>
      </c>
      <c r="C111" s="110">
        <v>1</v>
      </c>
      <c r="D111" s="110">
        <v>0.85000000000000009</v>
      </c>
      <c r="E111" s="110">
        <v>0.75</v>
      </c>
      <c r="F111" s="110">
        <v>7.1199999999999999E-2</v>
      </c>
      <c r="G111" s="110"/>
      <c r="H111" s="110"/>
      <c r="I111" s="110">
        <f t="shared" si="3"/>
        <v>4.5390000000000007E-2</v>
      </c>
      <c r="J111" s="111">
        <f t="shared" si="4"/>
        <v>4.5390000000000007E-2</v>
      </c>
      <c r="K111" s="119"/>
      <c r="L111" s="107"/>
      <c r="M111" s="107"/>
    </row>
    <row r="112" spans="1:13" x14ac:dyDescent="0.3">
      <c r="A112" s="117"/>
      <c r="B112" s="109" t="s">
        <v>425</v>
      </c>
      <c r="C112" s="110">
        <v>1</v>
      </c>
      <c r="D112" s="110">
        <v>0.8</v>
      </c>
      <c r="E112" s="110">
        <v>0.8</v>
      </c>
      <c r="F112" s="110">
        <v>7.1199999999999999E-2</v>
      </c>
      <c r="G112" s="110"/>
      <c r="H112" s="110"/>
      <c r="I112" s="110">
        <f t="shared" si="3"/>
        <v>4.5568000000000011E-2</v>
      </c>
      <c r="J112" s="111">
        <f t="shared" si="4"/>
        <v>4.5568000000000011E-2</v>
      </c>
      <c r="K112" s="119"/>
      <c r="L112" s="107"/>
      <c r="M112" s="107"/>
    </row>
    <row r="113" spans="1:13" x14ac:dyDescent="0.3">
      <c r="A113" s="117"/>
      <c r="B113" s="109" t="s">
        <v>426</v>
      </c>
      <c r="C113" s="110">
        <v>3</v>
      </c>
      <c r="D113" s="110">
        <v>1.1500000000000001</v>
      </c>
      <c r="E113" s="110">
        <v>1</v>
      </c>
      <c r="F113" s="110">
        <v>7.1199999999999999E-2</v>
      </c>
      <c r="G113" s="110"/>
      <c r="H113" s="110"/>
      <c r="I113" s="110">
        <f t="shared" si="3"/>
        <v>8.1880000000000008E-2</v>
      </c>
      <c r="J113" s="111">
        <f t="shared" si="4"/>
        <v>0.24564000000000002</v>
      </c>
      <c r="K113" s="119"/>
      <c r="L113" s="107"/>
      <c r="M113" s="107"/>
    </row>
    <row r="114" spans="1:13" x14ac:dyDescent="0.3">
      <c r="A114" s="117"/>
      <c r="B114" s="109" t="s">
        <v>427</v>
      </c>
      <c r="C114" s="110">
        <v>2</v>
      </c>
      <c r="D114" s="110">
        <v>1.2</v>
      </c>
      <c r="E114" s="110">
        <v>1</v>
      </c>
      <c r="F114" s="110">
        <v>7.1199999999999999E-2</v>
      </c>
      <c r="G114" s="110"/>
      <c r="H114" s="110"/>
      <c r="I114" s="110">
        <f t="shared" si="3"/>
        <v>8.5440000000000002E-2</v>
      </c>
      <c r="J114" s="111">
        <f t="shared" si="4"/>
        <v>0.17088</v>
      </c>
      <c r="K114" s="119"/>
      <c r="L114" s="107"/>
      <c r="M114" s="107"/>
    </row>
    <row r="115" spans="1:13" x14ac:dyDescent="0.3">
      <c r="A115" s="117"/>
      <c r="B115" s="109" t="s">
        <v>428</v>
      </c>
      <c r="C115" s="110">
        <v>1</v>
      </c>
      <c r="D115" s="110">
        <v>1.1000000000000001</v>
      </c>
      <c r="E115" s="110">
        <v>1.1000000000000001</v>
      </c>
      <c r="F115" s="110">
        <v>7.1199999999999999E-2</v>
      </c>
      <c r="G115" s="110"/>
      <c r="H115" s="110"/>
      <c r="I115" s="110">
        <f t="shared" si="3"/>
        <v>8.6152000000000006E-2</v>
      </c>
      <c r="J115" s="111">
        <f t="shared" si="4"/>
        <v>8.6152000000000006E-2</v>
      </c>
      <c r="K115" s="119"/>
      <c r="L115" s="107"/>
      <c r="M115" s="107"/>
    </row>
    <row r="116" spans="1:13" x14ac:dyDescent="0.3">
      <c r="A116" s="117"/>
      <c r="B116" s="109" t="s">
        <v>429</v>
      </c>
      <c r="C116" s="110">
        <v>1</v>
      </c>
      <c r="D116" s="110">
        <v>1.2</v>
      </c>
      <c r="E116" s="110">
        <v>1.05</v>
      </c>
      <c r="F116" s="110">
        <v>7.1199999999999999E-2</v>
      </c>
      <c r="G116" s="110"/>
      <c r="H116" s="110"/>
      <c r="I116" s="110">
        <f t="shared" si="3"/>
        <v>8.9712E-2</v>
      </c>
      <c r="J116" s="111">
        <f t="shared" si="4"/>
        <v>8.9712E-2</v>
      </c>
      <c r="K116" s="119"/>
      <c r="L116" s="107"/>
      <c r="M116" s="107"/>
    </row>
    <row r="117" spans="1:13" x14ac:dyDescent="0.3">
      <c r="A117" s="117"/>
      <c r="B117" s="109" t="s">
        <v>430</v>
      </c>
      <c r="C117" s="110">
        <v>5</v>
      </c>
      <c r="D117" s="110">
        <v>1.25</v>
      </c>
      <c r="E117" s="110">
        <v>1.05</v>
      </c>
      <c r="F117" s="110">
        <v>7.1199999999999999E-2</v>
      </c>
      <c r="G117" s="110"/>
      <c r="H117" s="110"/>
      <c r="I117" s="110">
        <f t="shared" si="3"/>
        <v>9.3450000000000005E-2</v>
      </c>
      <c r="J117" s="111">
        <f t="shared" si="4"/>
        <v>0.46725000000000005</v>
      </c>
      <c r="K117" s="119"/>
      <c r="L117" s="107"/>
      <c r="M117" s="107"/>
    </row>
    <row r="118" spans="1:13" x14ac:dyDescent="0.3">
      <c r="A118" s="117"/>
      <c r="B118" s="109" t="s">
        <v>431</v>
      </c>
      <c r="C118" s="110">
        <v>1</v>
      </c>
      <c r="D118" s="110">
        <v>1.2</v>
      </c>
      <c r="E118" s="110">
        <v>1.1000000000000001</v>
      </c>
      <c r="F118" s="110">
        <v>7.1199999999999999E-2</v>
      </c>
      <c r="G118" s="110"/>
      <c r="H118" s="110"/>
      <c r="I118" s="110">
        <f t="shared" si="3"/>
        <v>9.3983999999999998E-2</v>
      </c>
      <c r="J118" s="111">
        <f t="shared" si="4"/>
        <v>9.3983999999999998E-2</v>
      </c>
      <c r="K118" s="119"/>
      <c r="L118" s="107"/>
      <c r="M118" s="107"/>
    </row>
    <row r="119" spans="1:13" x14ac:dyDescent="0.3">
      <c r="A119" s="117"/>
      <c r="B119" s="109" t="s">
        <v>432</v>
      </c>
      <c r="C119" s="110">
        <v>5</v>
      </c>
      <c r="D119" s="110">
        <v>1.25</v>
      </c>
      <c r="E119" s="110">
        <v>1.1000000000000001</v>
      </c>
      <c r="F119" s="110">
        <v>7.1199999999999999E-2</v>
      </c>
      <c r="G119" s="110"/>
      <c r="H119" s="110"/>
      <c r="I119" s="110">
        <f t="shared" si="3"/>
        <v>9.7900000000000001E-2</v>
      </c>
      <c r="J119" s="111">
        <f t="shared" si="4"/>
        <v>0.48949999999999999</v>
      </c>
      <c r="K119" s="119"/>
      <c r="L119" s="107"/>
      <c r="M119" s="107"/>
    </row>
    <row r="120" spans="1:13" x14ac:dyDescent="0.3">
      <c r="A120" s="117"/>
      <c r="B120" s="109" t="s">
        <v>433</v>
      </c>
      <c r="C120" s="110">
        <v>2</v>
      </c>
      <c r="D120" s="110">
        <v>1.3</v>
      </c>
      <c r="E120" s="110">
        <v>1.1000000000000001</v>
      </c>
      <c r="F120" s="110">
        <v>7.1199999999999999E-2</v>
      </c>
      <c r="G120" s="110"/>
      <c r="H120" s="110"/>
      <c r="I120" s="110">
        <f t="shared" si="3"/>
        <v>0.101816</v>
      </c>
      <c r="J120" s="111">
        <f t="shared" si="4"/>
        <v>0.20363200000000001</v>
      </c>
      <c r="K120" s="119"/>
      <c r="L120" s="107"/>
      <c r="M120" s="107"/>
    </row>
    <row r="121" spans="1:13" x14ac:dyDescent="0.3">
      <c r="A121" s="117"/>
      <c r="B121" s="109" t="s">
        <v>434</v>
      </c>
      <c r="C121" s="110">
        <v>1</v>
      </c>
      <c r="D121" s="110">
        <v>1.3</v>
      </c>
      <c r="E121" s="110">
        <v>1.1500000000000001</v>
      </c>
      <c r="F121" s="110">
        <v>7.1199999999999999E-2</v>
      </c>
      <c r="G121" s="110"/>
      <c r="H121" s="110"/>
      <c r="I121" s="110">
        <f t="shared" si="3"/>
        <v>0.10644400000000002</v>
      </c>
      <c r="J121" s="111">
        <f t="shared" si="4"/>
        <v>0.10644400000000002</v>
      </c>
      <c r="K121" s="119"/>
      <c r="L121" s="107"/>
      <c r="M121" s="107"/>
    </row>
    <row r="122" spans="1:13" x14ac:dyDescent="0.3">
      <c r="A122" s="117"/>
      <c r="B122" s="109" t="s">
        <v>435</v>
      </c>
      <c r="C122" s="110">
        <v>1</v>
      </c>
      <c r="D122" s="110">
        <v>1.35</v>
      </c>
      <c r="E122" s="110">
        <v>1.1500000000000001</v>
      </c>
      <c r="F122" s="110">
        <v>7.1199999999999999E-2</v>
      </c>
      <c r="G122" s="110"/>
      <c r="H122" s="110"/>
      <c r="I122" s="110">
        <f t="shared" si="3"/>
        <v>0.11053800000000001</v>
      </c>
      <c r="J122" s="111">
        <f t="shared" si="4"/>
        <v>0.11053800000000001</v>
      </c>
      <c r="K122" s="119"/>
      <c r="L122" s="107"/>
      <c r="M122" s="107"/>
    </row>
    <row r="123" spans="1:13" x14ac:dyDescent="0.3">
      <c r="A123" s="117"/>
      <c r="B123" s="109" t="s">
        <v>436</v>
      </c>
      <c r="C123" s="110">
        <v>2</v>
      </c>
      <c r="D123" s="110">
        <v>1.35</v>
      </c>
      <c r="E123" s="110">
        <v>1.2</v>
      </c>
      <c r="F123" s="110">
        <v>7.1199999999999999E-2</v>
      </c>
      <c r="G123" s="110"/>
      <c r="H123" s="110"/>
      <c r="I123" s="110">
        <f t="shared" si="3"/>
        <v>0.115344</v>
      </c>
      <c r="J123" s="111">
        <f t="shared" si="4"/>
        <v>0.230688</v>
      </c>
      <c r="K123" s="119"/>
      <c r="L123" s="107"/>
      <c r="M123" s="107"/>
    </row>
    <row r="124" spans="1:13" x14ac:dyDescent="0.3">
      <c r="A124" s="117"/>
      <c r="B124" s="109" t="s">
        <v>437</v>
      </c>
      <c r="C124" s="110">
        <v>2</v>
      </c>
      <c r="D124" s="110">
        <v>1.4000000000000001</v>
      </c>
      <c r="E124" s="110">
        <v>1.2</v>
      </c>
      <c r="F124" s="110">
        <v>7.1199999999999999E-2</v>
      </c>
      <c r="G124" s="110"/>
      <c r="H124" s="110"/>
      <c r="I124" s="110">
        <f t="shared" si="3"/>
        <v>0.11961600000000001</v>
      </c>
      <c r="J124" s="111">
        <f t="shared" si="4"/>
        <v>0.23923200000000003</v>
      </c>
      <c r="K124" s="119"/>
      <c r="L124" s="107"/>
      <c r="M124" s="107"/>
    </row>
    <row r="125" spans="1:13" x14ac:dyDescent="0.3">
      <c r="A125" s="117"/>
      <c r="B125" s="109" t="s">
        <v>438</v>
      </c>
      <c r="C125" s="110">
        <v>2</v>
      </c>
      <c r="D125" s="110">
        <v>1.4000000000000001</v>
      </c>
      <c r="E125" s="110">
        <v>1.25</v>
      </c>
      <c r="F125" s="110">
        <v>7.1199999999999999E-2</v>
      </c>
      <c r="G125" s="110"/>
      <c r="H125" s="110"/>
      <c r="I125" s="110">
        <f t="shared" si="3"/>
        <v>0.12460000000000002</v>
      </c>
      <c r="J125" s="111">
        <f t="shared" si="4"/>
        <v>0.24920000000000003</v>
      </c>
      <c r="K125" s="119"/>
      <c r="L125" s="107"/>
      <c r="M125" s="107"/>
    </row>
    <row r="126" spans="1:13" x14ac:dyDescent="0.3">
      <c r="A126" s="117"/>
      <c r="B126" s="109" t="s">
        <v>439</v>
      </c>
      <c r="C126" s="110">
        <v>2</v>
      </c>
      <c r="D126" s="110">
        <v>1.45</v>
      </c>
      <c r="E126" s="110">
        <v>1.25</v>
      </c>
      <c r="F126" s="110">
        <v>7.1199999999999999E-2</v>
      </c>
      <c r="G126" s="110"/>
      <c r="H126" s="110"/>
      <c r="I126" s="110">
        <f t="shared" si="3"/>
        <v>0.12905</v>
      </c>
      <c r="J126" s="111">
        <f t="shared" si="4"/>
        <v>0.2581</v>
      </c>
      <c r="K126" s="119"/>
      <c r="L126" s="107"/>
      <c r="M126" s="107"/>
    </row>
    <row r="127" spans="1:13" x14ac:dyDescent="0.3">
      <c r="A127" s="117"/>
      <c r="B127" s="109" t="s">
        <v>440</v>
      </c>
      <c r="C127" s="110">
        <v>1</v>
      </c>
      <c r="D127" s="110">
        <v>1.6</v>
      </c>
      <c r="E127" s="110">
        <v>1.4000000000000001</v>
      </c>
      <c r="F127" s="110">
        <v>7.1199999999999999E-2</v>
      </c>
      <c r="G127" s="110"/>
      <c r="H127" s="110"/>
      <c r="I127" s="110">
        <f t="shared" si="3"/>
        <v>0.15948800000000002</v>
      </c>
      <c r="J127" s="111">
        <f t="shared" si="4"/>
        <v>0.15948800000000002</v>
      </c>
      <c r="K127" s="119"/>
      <c r="L127" s="107"/>
      <c r="M127" s="107"/>
    </row>
    <row r="128" spans="1:13" x14ac:dyDescent="0.3">
      <c r="A128" s="117"/>
      <c r="B128" s="109" t="s">
        <v>441</v>
      </c>
      <c r="C128" s="110">
        <v>1</v>
      </c>
      <c r="D128" s="110">
        <v>1.6</v>
      </c>
      <c r="E128" s="110">
        <v>1.45</v>
      </c>
      <c r="F128" s="110">
        <v>7.1199999999999999E-2</v>
      </c>
      <c r="G128" s="110"/>
      <c r="H128" s="110"/>
      <c r="I128" s="110">
        <f t="shared" si="3"/>
        <v>0.165184</v>
      </c>
      <c r="J128" s="111">
        <f t="shared" si="4"/>
        <v>0.165184</v>
      </c>
      <c r="K128" s="119"/>
      <c r="L128" s="107"/>
      <c r="M128" s="107"/>
    </row>
    <row r="129" spans="1:13" x14ac:dyDescent="0.3">
      <c r="A129" s="117"/>
      <c r="B129" s="109" t="s">
        <v>442</v>
      </c>
      <c r="C129" s="110">
        <v>1</v>
      </c>
      <c r="D129" s="110">
        <v>1.6500000000000001</v>
      </c>
      <c r="E129" s="110">
        <v>1.45</v>
      </c>
      <c r="F129" s="110">
        <v>7.1199999999999999E-2</v>
      </c>
      <c r="G129" s="110"/>
      <c r="H129" s="110"/>
      <c r="I129" s="110">
        <f t="shared" si="3"/>
        <v>0.170346</v>
      </c>
      <c r="J129" s="111">
        <f t="shared" si="4"/>
        <v>0.170346</v>
      </c>
      <c r="K129" s="119"/>
      <c r="L129" s="107"/>
      <c r="M129" s="107"/>
    </row>
    <row r="130" spans="1:13" x14ac:dyDescent="0.3">
      <c r="A130" s="117"/>
      <c r="B130" s="109" t="s">
        <v>443</v>
      </c>
      <c r="C130" s="110">
        <v>1</v>
      </c>
      <c r="D130" s="110">
        <v>1.7</v>
      </c>
      <c r="E130" s="110">
        <v>1.5</v>
      </c>
      <c r="F130" s="110">
        <v>7.1199999999999999E-2</v>
      </c>
      <c r="G130" s="110"/>
      <c r="H130" s="110"/>
      <c r="I130" s="110">
        <f t="shared" si="3"/>
        <v>0.18156</v>
      </c>
      <c r="J130" s="111">
        <f t="shared" si="4"/>
        <v>0.18156</v>
      </c>
      <c r="K130" s="119"/>
      <c r="L130" s="107"/>
      <c r="M130" s="107"/>
    </row>
    <row r="131" spans="1:13" x14ac:dyDescent="0.3">
      <c r="A131" s="117"/>
      <c r="B131" s="109" t="s">
        <v>444</v>
      </c>
      <c r="C131" s="110">
        <v>1</v>
      </c>
      <c r="D131" s="110">
        <v>1.6500000000000001</v>
      </c>
      <c r="E131" s="110">
        <v>1.55</v>
      </c>
      <c r="F131" s="110">
        <v>7.1199999999999999E-2</v>
      </c>
      <c r="G131" s="110"/>
      <c r="H131" s="110"/>
      <c r="I131" s="110">
        <f t="shared" si="3"/>
        <v>0.18209400000000001</v>
      </c>
      <c r="J131" s="111">
        <f t="shared" si="4"/>
        <v>0.18209400000000001</v>
      </c>
      <c r="K131" s="119"/>
      <c r="L131" s="107"/>
      <c r="M131" s="107"/>
    </row>
    <row r="132" spans="1:13" ht="14.4" customHeight="1" x14ac:dyDescent="0.3">
      <c r="A132" s="113"/>
      <c r="B132" s="114"/>
      <c r="C132" s="114"/>
      <c r="D132" s="114"/>
      <c r="E132" s="114"/>
      <c r="F132" s="114"/>
      <c r="G132" s="114"/>
      <c r="H132" s="114"/>
      <c r="I132" s="114"/>
      <c r="J132" s="114"/>
      <c r="K132" s="115"/>
    </row>
    <row r="133" spans="1:13" ht="28.8" customHeight="1" x14ac:dyDescent="0.3">
      <c r="A133" s="102" t="str">
        <f>'BM-01'!A36</f>
        <v>2.3.4</v>
      </c>
      <c r="B133" s="103" t="str">
        <f>'BM-01'!D36</f>
        <v>CONCRETO    ARMADO    (PREPARO    E LANCAMENTO)PARA  SAPATAS  COM  FCK  &gt;= 25MPA,   COM   FORMA   DE   TABUA,   COM APROVEI   TAMENTO   DE   2   VEZES,   COM BETONEIRA   -</v>
      </c>
      <c r="C133" s="104"/>
      <c r="D133" s="104"/>
      <c r="E133" s="104"/>
      <c r="F133" s="104"/>
      <c r="G133" s="104"/>
      <c r="H133" s="104"/>
      <c r="I133" s="104"/>
      <c r="J133" s="105">
        <f>ROUND(SUM(J134:J134),2)</f>
        <v>19.55</v>
      </c>
      <c r="K133" s="106" t="str">
        <f>'BM-01'!F36</f>
        <v>M3</v>
      </c>
      <c r="M133" s="107"/>
    </row>
    <row r="134" spans="1:13" x14ac:dyDescent="0.3">
      <c r="A134" s="117"/>
      <c r="B134" s="109" t="s">
        <v>448</v>
      </c>
      <c r="C134" s="110">
        <f>19.55</f>
        <v>19.55</v>
      </c>
      <c r="D134" s="110"/>
      <c r="E134" s="110"/>
      <c r="F134" s="110"/>
      <c r="G134" s="110"/>
      <c r="H134" s="110"/>
      <c r="I134" s="110"/>
      <c r="J134" s="111">
        <f>C134</f>
        <v>19.55</v>
      </c>
      <c r="K134" s="119"/>
    </row>
    <row r="135" spans="1:13" ht="14.4" customHeight="1" x14ac:dyDescent="0.3">
      <c r="A135" s="113"/>
      <c r="B135" s="114"/>
      <c r="C135" s="114"/>
      <c r="D135" s="114"/>
      <c r="E135" s="114"/>
      <c r="F135" s="114"/>
      <c r="G135" s="114"/>
      <c r="H135" s="114"/>
      <c r="I135" s="114"/>
      <c r="J135" s="114"/>
      <c r="K135" s="115"/>
    </row>
    <row r="136" spans="1:13" ht="28.8" customHeight="1" x14ac:dyDescent="0.3">
      <c r="A136" s="102" t="str">
        <f>'BM-01'!A37</f>
        <v>2.3.5</v>
      </c>
      <c r="B136" s="103" t="str">
        <f>'BM-01'!D37</f>
        <v>CONCRETO    ARMADO    (PREPARO    E LANCAMENTO)    PARA    RADIER    COM FCK&gt;=25MPA, COM TABUA DE MADEIRA, COM APROVEITAMENTO   DE   3   VEZES   COM BETONEIRA   -</v>
      </c>
      <c r="C136" s="104"/>
      <c r="D136" s="104"/>
      <c r="E136" s="104"/>
      <c r="F136" s="104"/>
      <c r="G136" s="104"/>
      <c r="H136" s="104"/>
      <c r="I136" s="104"/>
      <c r="J136" s="105">
        <f>ROUND(SUM(J137:J137),2)</f>
        <v>12.33</v>
      </c>
      <c r="K136" s="106" t="str">
        <f>'BM-01'!F37</f>
        <v>M3</v>
      </c>
      <c r="M136" s="107"/>
    </row>
    <row r="137" spans="1:13" ht="27.6" x14ac:dyDescent="0.3">
      <c r="A137" s="117"/>
      <c r="B137" s="109" t="s">
        <v>449</v>
      </c>
      <c r="C137" s="110">
        <f>12.33</f>
        <v>12.33</v>
      </c>
      <c r="D137" s="110"/>
      <c r="E137" s="110"/>
      <c r="F137" s="110"/>
      <c r="G137" s="110"/>
      <c r="H137" s="110"/>
      <c r="I137" s="110"/>
      <c r="J137" s="111">
        <f>C137</f>
        <v>12.33</v>
      </c>
      <c r="K137" s="119"/>
    </row>
    <row r="138" spans="1:13" ht="14.4" customHeight="1" x14ac:dyDescent="0.3">
      <c r="A138" s="113"/>
      <c r="B138" s="114"/>
      <c r="C138" s="114"/>
      <c r="D138" s="114"/>
      <c r="E138" s="114"/>
      <c r="F138" s="114"/>
      <c r="G138" s="114"/>
      <c r="H138" s="114"/>
      <c r="I138" s="114"/>
      <c r="J138" s="114"/>
      <c r="K138" s="115"/>
    </row>
  </sheetData>
  <mergeCells count="46">
    <mergeCell ref="B136:I136"/>
    <mergeCell ref="A138:K138"/>
    <mergeCell ref="B83:I83"/>
    <mergeCell ref="A86:K86"/>
    <mergeCell ref="B92:I92"/>
    <mergeCell ref="A95:K95"/>
    <mergeCell ref="B96:I96"/>
    <mergeCell ref="A132:K132"/>
    <mergeCell ref="B133:I133"/>
    <mergeCell ref="A135:K135"/>
    <mergeCell ref="B41:I41"/>
    <mergeCell ref="A79:K79"/>
    <mergeCell ref="B80:I80"/>
    <mergeCell ref="A82:K82"/>
    <mergeCell ref="B88:I88"/>
    <mergeCell ref="A91:K91"/>
    <mergeCell ref="B31:I31"/>
    <mergeCell ref="A33:K33"/>
    <mergeCell ref="B34:I34"/>
    <mergeCell ref="A36:K36"/>
    <mergeCell ref="B37:I37"/>
    <mergeCell ref="A39:K39"/>
    <mergeCell ref="B20:I20"/>
    <mergeCell ref="A22:K22"/>
    <mergeCell ref="B23:I23"/>
    <mergeCell ref="A25:K25"/>
    <mergeCell ref="B28:I28"/>
    <mergeCell ref="A30:K30"/>
    <mergeCell ref="B11:I11"/>
    <mergeCell ref="A13:K13"/>
    <mergeCell ref="B14:I14"/>
    <mergeCell ref="A16:K16"/>
    <mergeCell ref="B17:I17"/>
    <mergeCell ref="A19:K19"/>
    <mergeCell ref="A7:A8"/>
    <mergeCell ref="B7:B8"/>
    <mergeCell ref="C7:F7"/>
    <mergeCell ref="G7:H7"/>
    <mergeCell ref="I7:J7"/>
    <mergeCell ref="K7:K8"/>
    <mergeCell ref="A1:K1"/>
    <mergeCell ref="A2:K2"/>
    <mergeCell ref="A3:K3"/>
    <mergeCell ref="A4:K4"/>
    <mergeCell ref="A5:K5"/>
    <mergeCell ref="A6:K6"/>
  </mergeCells>
  <conditionalFormatting sqref="B11:B12">
    <cfRule type="expression" dxfId="21" priority="17" stopIfTrue="1">
      <formula>#REF!=1</formula>
    </cfRule>
  </conditionalFormatting>
  <conditionalFormatting sqref="B14:B15">
    <cfRule type="expression" dxfId="20" priority="16" stopIfTrue="1">
      <formula>#REF!=1</formula>
    </cfRule>
  </conditionalFormatting>
  <conditionalFormatting sqref="B17:B18">
    <cfRule type="expression" dxfId="19" priority="15" stopIfTrue="1">
      <formula>#REF!=1</formula>
    </cfRule>
  </conditionalFormatting>
  <conditionalFormatting sqref="B20:B21">
    <cfRule type="expression" dxfId="18" priority="14" stopIfTrue="1">
      <formula>#REF!=1</formula>
    </cfRule>
  </conditionalFormatting>
  <conditionalFormatting sqref="B23:B24">
    <cfRule type="expression" dxfId="17" priority="13" stopIfTrue="1">
      <formula>#REF!=1</formula>
    </cfRule>
  </conditionalFormatting>
  <conditionalFormatting sqref="B28">
    <cfRule type="expression" dxfId="16" priority="20" stopIfTrue="1">
      <formula>#REF!=1</formula>
    </cfRule>
  </conditionalFormatting>
  <conditionalFormatting sqref="B29">
    <cfRule type="expression" dxfId="15" priority="19" stopIfTrue="1">
      <formula>#REF!=1</formula>
    </cfRule>
  </conditionalFormatting>
  <conditionalFormatting sqref="B31">
    <cfRule type="expression" dxfId="14" priority="21" stopIfTrue="1">
      <formula>#REF!=1</formula>
    </cfRule>
  </conditionalFormatting>
  <conditionalFormatting sqref="B32">
    <cfRule type="expression" dxfId="13" priority="18" stopIfTrue="1">
      <formula>#REF!=1</formula>
    </cfRule>
  </conditionalFormatting>
  <conditionalFormatting sqref="B34:B35">
    <cfRule type="expression" dxfId="12" priority="12" stopIfTrue="1">
      <formula>#REF!=1</formula>
    </cfRule>
  </conditionalFormatting>
  <conditionalFormatting sqref="B37:B38">
    <cfRule type="expression" dxfId="11" priority="11" stopIfTrue="1">
      <formula>#REF!=1</formula>
    </cfRule>
  </conditionalFormatting>
  <conditionalFormatting sqref="B41:B78 B80:B81 B88:B89">
    <cfRule type="expression" dxfId="10" priority="22" stopIfTrue="1">
      <formula>#REF!=1</formula>
    </cfRule>
  </conditionalFormatting>
  <conditionalFormatting sqref="B90">
    <cfRule type="expression" dxfId="9" priority="10" stopIfTrue="1">
      <formula>#REF!=1</formula>
    </cfRule>
  </conditionalFormatting>
  <conditionalFormatting sqref="B92 B94">
    <cfRule type="expression" dxfId="8" priority="8" stopIfTrue="1">
      <formula>#REF!=1</formula>
    </cfRule>
  </conditionalFormatting>
  <conditionalFormatting sqref="B96:B131">
    <cfRule type="expression" dxfId="7" priority="7" stopIfTrue="1">
      <formula>#REF!=1</formula>
    </cfRule>
  </conditionalFormatting>
  <conditionalFormatting sqref="B133:B134">
    <cfRule type="expression" dxfId="6" priority="9" stopIfTrue="1">
      <formula>#REF!=1</formula>
    </cfRule>
  </conditionalFormatting>
  <conditionalFormatting sqref="B136:B137">
    <cfRule type="expression" dxfId="5" priority="6" stopIfTrue="1">
      <formula>#REF!=1</formula>
    </cfRule>
  </conditionalFormatting>
  <conditionalFormatting sqref="B83 B85">
    <cfRule type="expression" dxfId="4" priority="5" stopIfTrue="1">
      <formula>#REF!=1</formula>
    </cfRule>
  </conditionalFormatting>
  <conditionalFormatting sqref="B84">
    <cfRule type="expression" dxfId="3" priority="4" stopIfTrue="1">
      <formula>#REF!=1</formula>
    </cfRule>
  </conditionalFormatting>
  <conditionalFormatting sqref="G85">
    <cfRule type="expression" dxfId="1" priority="2" stopIfTrue="1">
      <formula>#REF!=1</formula>
    </cfRule>
  </conditionalFormatting>
  <conditionalFormatting sqref="B93">
    <cfRule type="expression" dxfId="0" priority="1" stopIfTrue="1">
      <formula>#REF!=1</formula>
    </cfRule>
  </conditionalFormatting>
  <printOptions horizontalCentered="1"/>
  <pageMargins left="0.70866141732283472" right="0.70866141732283472" top="0.78740157480314965" bottom="0.78740157480314965" header="0.31496062992125984" footer="0.31496062992125984"/>
  <pageSetup paperSize="9" scale="67" fitToHeight="0" orientation="portrait" horizontalDpi="360" verticalDpi="360" r:id="rId1"/>
  <rowBreaks count="1" manualBreakCount="1">
    <brk id="13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BM-01</vt:lpstr>
      <vt:lpstr>MEMORIAL DE CÁLCULOS</vt:lpstr>
      <vt:lpstr>'BM-01'!Area_de_impressao</vt:lpstr>
      <vt:lpstr>'MEMORIAL DE CÁLCULOS'!Area_de_impressao</vt:lpstr>
      <vt:lpstr>'BM-01'!Titulos_de_impressao</vt:lpstr>
      <vt:lpstr>'MEMORIAL DE CÁLCULOS'!Titulos_de_impressao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Emanoel (J. Galdino)</dc:creator>
  <cp:lastModifiedBy>Emanoel (J. Galdino)</cp:lastModifiedBy>
  <cp:lastPrinted>2023-07-31T01:50:53Z</cp:lastPrinted>
  <dcterms:created xsi:type="dcterms:W3CDTF">2023-07-30T22:59:07Z</dcterms:created>
  <dcterms:modified xsi:type="dcterms:W3CDTF">2023-07-31T01:51:45Z</dcterms:modified>
</cp:coreProperties>
</file>