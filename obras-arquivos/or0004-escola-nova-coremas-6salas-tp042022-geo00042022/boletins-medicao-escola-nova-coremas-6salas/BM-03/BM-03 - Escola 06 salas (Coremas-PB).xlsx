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no\OneDrive\Área de Trabalho\PC NOVO\COREMAS-PB\ESCOLA 6 SALAS\PLANILHAS\BM-03\"/>
    </mc:Choice>
  </mc:AlternateContent>
  <xr:revisionPtr revIDLastSave="0" documentId="13_ncr:1_{4EB28DEB-630A-41C1-913F-3DEC8FD77EF0}" xr6:coauthVersionLast="47" xr6:coauthVersionMax="47" xr10:uidLastSave="{00000000-0000-0000-0000-000000000000}"/>
  <bookViews>
    <workbookView xWindow="-108" yWindow="-108" windowWidth="23256" windowHeight="12456" xr2:uid="{3FEB530D-3E13-4769-AA2A-71BAB90B850E}"/>
  </bookViews>
  <sheets>
    <sheet name="BM-03" sheetId="1" r:id="rId1"/>
    <sheet name="MEMORIAL DE CÁLCULOS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____MDO1">[1]INSUMOS!$C$8</definedName>
    <definedName name="_______MDO2">[2]INSUMOS!$C$6</definedName>
    <definedName name="_______R">#REF!</definedName>
    <definedName name="______MDO1">[1]INSUMOS!$C$8</definedName>
    <definedName name="______MDO2">[2]INSUMOS!$C$6</definedName>
    <definedName name="______R" localSheetId="1">#REF!</definedName>
    <definedName name="______R">#REF!</definedName>
    <definedName name="______rua1" localSheetId="1">#REF!</definedName>
    <definedName name="______rua1">#REF!</definedName>
    <definedName name="_____MDO1">[1]INSUMOS!$C$8</definedName>
    <definedName name="_____MDO2">[2]INSUMOS!$C$6</definedName>
    <definedName name="_____R" localSheetId="1">#REF!</definedName>
    <definedName name="_____R">#REF!</definedName>
    <definedName name="_____rua1" localSheetId="1">#REF!</definedName>
    <definedName name="_____rua1">#REF!</definedName>
    <definedName name="____MDO1">[1]INSUMOS!$C$8</definedName>
    <definedName name="____MDO2">[2]INSUMOS!$C$6</definedName>
    <definedName name="____R" localSheetId="1">#REF!</definedName>
    <definedName name="____R">#REF!</definedName>
    <definedName name="____rua1" localSheetId="1">#REF!</definedName>
    <definedName name="____rua1">#REF!</definedName>
    <definedName name="___MDO1">[1]INSUMOS!$C$8</definedName>
    <definedName name="___MDO2">[2]INSUMOS!$C$6</definedName>
    <definedName name="___R" localSheetId="1">#REF!</definedName>
    <definedName name="___R">#REF!</definedName>
    <definedName name="___rua1" localSheetId="1">#REF!</definedName>
    <definedName name="___rua1">#REF!</definedName>
    <definedName name="__MDO1" localSheetId="1">[3]INSUMOS!$C$8</definedName>
    <definedName name="__MDO1">[3]INSUMOS!$C$8</definedName>
    <definedName name="__MDO2">[2]INSUMOS!$C$6</definedName>
    <definedName name="__R" localSheetId="1">#REF!</definedName>
    <definedName name="__R">#REF!</definedName>
    <definedName name="__rua1" localSheetId="1">#REF!</definedName>
    <definedName name="__rua1">#REF!</definedName>
    <definedName name="__xlnm.Print_Titles_2" localSheetId="1">#REF!</definedName>
    <definedName name="__xlnm.Print_Titles_2">#REF!</definedName>
    <definedName name="_Fill" localSheetId="1" hidden="1">#REF!</definedName>
    <definedName name="_Fill" hidden="1">#REF!</definedName>
    <definedName name="_xlnm._FilterDatabase" localSheetId="0" hidden="1">'BM-03'!$D$1:$D$238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MDO1" localSheetId="1">[3]INSUMOS!$C$8</definedName>
    <definedName name="_MDO1">[3]INSUMOS!$C$8</definedName>
    <definedName name="_MDO2">[2]INSUMOS!$C$6</definedName>
    <definedName name="_Order1" hidden="1">255</definedName>
    <definedName name="_Order2" hidden="1">255</definedName>
    <definedName name="_R" localSheetId="1">#REF!</definedName>
    <definedName name="_R">#REF!</definedName>
    <definedName name="_rua1" localSheetId="1">#REF!</definedName>
    <definedName name="_rua1">#REF!</definedName>
    <definedName name="_Sort" localSheetId="1" hidden="1">#REF!</definedName>
    <definedName name="_Sort" hidden="1">#REF!</definedName>
    <definedName name="A">#REF!</definedName>
    <definedName name="AA" localSheetId="1">[4]CUBACAO!#REF!</definedName>
    <definedName name="AA">[4]CUBACAO!#REF!</definedName>
    <definedName name="AAA" localSheetId="1">[4]CUBACAO!#REF!</definedName>
    <definedName name="AAA">[4]CUBACAO!#REF!</definedName>
    <definedName name="Ac" localSheetId="1">#REF!</definedName>
    <definedName name="Ac">#REF!</definedName>
    <definedName name="ACRE" localSheetId="1" hidden="1">#REF!</definedName>
    <definedName name="ACRE" hidden="1">#REF!</definedName>
    <definedName name="ademir" localSheetId="1" hidden="1">{#N/A,#N/A,FALSE,"Cronograma";#N/A,#N/A,FALSE,"Cronogr. 2"}</definedName>
    <definedName name="ademir" hidden="1">{#N/A,#N/A,FALSE,"Cronograma";#N/A,#N/A,FALSE,"Cronogr. 2"}</definedName>
    <definedName name="_xlnm.Print_Area" localSheetId="0">'BM-03'!$A$1:$O$238</definedName>
    <definedName name="_xlnm.Print_Area" localSheetId="1">'MEMORIAL DE CÁLCULOS'!$A$2:$K$137</definedName>
    <definedName name="artFiscal">[5]DADOS!$D$23</definedName>
    <definedName name="ASDFASDFAS" localSheetId="1">#REF!</definedName>
    <definedName name="ASDFASDFAS">#REF!</definedName>
    <definedName name="BB" localSheetId="1">[4]CUBACAO!#REF!</definedName>
    <definedName name="BB">[4]CUBACAO!#REF!</definedName>
    <definedName name="BBB" localSheetId="1">[4]CUBACAO!#REF!</definedName>
    <definedName name="BBB">[4]CUBACAO!#REF!</definedName>
    <definedName name="bdi" localSheetId="1">[6]Orçamento!$J$10</definedName>
    <definedName name="bdi">[6]Orçamento!$J$10</definedName>
    <definedName name="BDIc" localSheetId="1">#REF!</definedName>
    <definedName name="BDIc">#REF!</definedName>
    <definedName name="BDIf" localSheetId="1">#REF!</definedName>
    <definedName name="BDIf">#REF!</definedName>
    <definedName name="bosta" localSheetId="1" hidden="1">{#N/A,#N/A,FALSE,"Cronograma";#N/A,#N/A,FALSE,"Cronogr. 2"}</definedName>
    <definedName name="bosta" hidden="1">{#N/A,#N/A,FALSE,"Cronograma";#N/A,#N/A,FALSE,"Cronogr. 2"}</definedName>
    <definedName name="CA´L" localSheetId="1" hidden="1">{#N/A,#N/A,FALSE,"Cronograma";#N/A,#N/A,FALSE,"Cronogr. 2"}</definedName>
    <definedName name="CA´L" hidden="1">{#N/A,#N/A,FALSE,"Cronograma";#N/A,#N/A,FALSE,"Cronogr. 2"}</definedName>
    <definedName name="CalculadoCPFin" localSheetId="1">SUMIF([7]QCI!$R$22:$R$30,"Calculado",[7]QCI!$AB$22:$AB$30)</definedName>
    <definedName name="CalculadoCPFin">SUMIF([7]QCI!$R$22:$R$30,"Calculado",[7]QCI!$AB$22:$AB$30)</definedName>
    <definedName name="CalculadoCPFisica" localSheetId="1">SUMIF([7]QCI!$R$22:$R$30,"Calculado",[7]QCI!$AC$22:$AC$30)</definedName>
    <definedName name="CalculadoCPFisica">SUMIF([7]QCI!$R$22:$R$30,"Calculado",[7]QCI!$AC$22:$AC$30)</definedName>
    <definedName name="CalculadoInv" localSheetId="1">'MEMORIAL DE CÁLCULOS'!CalculadoRep+'MEMORIAL DE CÁLCULOS'!CalculadoCPFin+'MEMORIAL DE CÁLCULOS'!CalculadoCPFisica</definedName>
    <definedName name="CalculadoInv">CalculadoRep+CalculadoCPFin+CalculadoCPFisica</definedName>
    <definedName name="CalculadoRep" localSheetId="1">SUMIF([7]QCI!$R$22:$R$30,"Calculado",[7]QCI!$AA$22:$AA$30)</definedName>
    <definedName name="CalculadoRep">SUMIF([7]QCI!$R$22:$R$30,"Calculado",[7]QCI!$AA$22:$AA$30)</definedName>
    <definedName name="CC" localSheetId="1">[4]CUBACAO!#REF!</definedName>
    <definedName name="CC">[4]CUBACAO!#REF!</definedName>
    <definedName name="CCC" localSheetId="1">[4]CUBACAO!#REF!</definedName>
    <definedName name="CCC">[4]CUBACAO!#REF!</definedName>
    <definedName name="COMPOSICOES">#REF!</definedName>
    <definedName name="concorrentes" localSheetId="1" hidden="1">{#N/A,#N/A,FALSE,"Cronograma";#N/A,#N/A,FALSE,"Cronogr. 2"}</definedName>
    <definedName name="concorrentes" hidden="1">{#N/A,#N/A,FALSE,"Cronograma";#N/A,#N/A,FALSE,"Cronogr. 2"}</definedName>
    <definedName name="creaFiscal">[5]DADOS!$C$23</definedName>
    <definedName name="CREMILDE">#REF!</definedName>
    <definedName name="DD" localSheetId="1">[4]CUBACAO!#REF!</definedName>
    <definedName name="DD">[4]CUBACAO!#REF!</definedName>
    <definedName name="DDD" localSheetId="1">[4]CUBACAO!#REF!</definedName>
    <definedName name="DDD">[4]CUBACAO!#REF!</definedName>
    <definedName name="DESONERACAO">[8]BDI!$T$10:$T$11</definedName>
    <definedName name="Df" localSheetId="1">#REF!</definedName>
    <definedName name="Df">#REF!</definedName>
    <definedName name="E" localSheetId="1">#REF!</definedName>
    <definedName name="E">#REF!</definedName>
    <definedName name="EE" localSheetId="1">[4]CUBACAO!#REF!</definedName>
    <definedName name="EE">[4]CUBACAO!#REF!</definedName>
    <definedName name="EEE" localSheetId="1">[4]CUBACAO!#REF!</definedName>
    <definedName name="EEE">[4]CUBACAO!#REF!</definedName>
    <definedName name="Entulho">[8]Memoria_Calculo!#REF!</definedName>
    <definedName name="Eventos">OFFSET([5]DADOS!$A$33,1,0):OFFSET([5]DADOS!$C$39,-1,0)</definedName>
    <definedName name="Excel_BuiltIn_Print_Titles_2_1" localSheetId="1">#REF!</definedName>
    <definedName name="Excel_BuiltIn_Print_Titles_2_1">#REF!</definedName>
    <definedName name="Excel_BuiltIn_Print_Titles_8" localSheetId="1">'[9]Orçamento Cisterna'!#REF!</definedName>
    <definedName name="Excel_BuiltIn_Print_Titles_8">'[9]Orçamento Cisterna'!#REF!</definedName>
    <definedName name="fator" localSheetId="1">[8]Orçamento!#REF!</definedName>
    <definedName name="fator">[8]Orçamento!#REF!</definedName>
    <definedName name="Fd" localSheetId="1">#REF!</definedName>
    <definedName name="Fd">#REF!</definedName>
    <definedName name="FF" localSheetId="1">[4]CUBACAO!#REF!</definedName>
    <definedName name="FF">[4]CUBACAO!#REF!</definedName>
    <definedName name="FFF" localSheetId="1">[4]CUBACAO!#REF!</definedName>
    <definedName name="FFF">[4]CUBACAO!#REF!</definedName>
    <definedName name="GG" localSheetId="1">[4]CUBACAO!#REF!</definedName>
    <definedName name="GG">[4]CUBACAO!#REF!</definedName>
    <definedName name="GGG" localSheetId="1">[4]CUBACAO!#REF!</definedName>
    <definedName name="GGG">[4]CUBACAO!#REF!</definedName>
    <definedName name="HH" localSheetId="1">[4]CUBACAO!#REF!</definedName>
    <definedName name="HH">[4]CUBACAO!#REF!</definedName>
    <definedName name="HHH">[4]CUBACAO!#REF!</definedName>
    <definedName name="hoje">TODAY()</definedName>
    <definedName name="I.CTEF">OFFSET([10]DADOS!$B$55,IF([10]DADOS!$J$22="OGU não-PAC",1,0),0,COUNTA([10]DADOS!$B$55:$B$77))</definedName>
    <definedName name="I.Lotes">OFFSET([10]QCI!$AH$15,IF([10]DADOS!$J$22="OGU não-PAC",1,0),0):OFFSET([10]QCI!$AH$24,-1,0)</definedName>
    <definedName name="II" localSheetId="1">[4]CUBACAO!#REF!</definedName>
    <definedName name="II">[4]CUBACAO!#REF!</definedName>
    <definedName name="III" localSheetId="1">[4]CUBACAO!#REF!</definedName>
    <definedName name="III">[4]CUBACAO!#REF!</definedName>
    <definedName name="Im" localSheetId="1">#REF!</definedName>
    <definedName name="Im">#REF!</definedName>
    <definedName name="Import.Município">[5]DADOS!$D$10</definedName>
    <definedName name="Import.PLE" localSheetId="1">OFFSET([7]CRONOGRAMA!$E$32,1,0):OFFSET([7]CRONOGRAMA!$BB$38,-1,0)</definedName>
    <definedName name="Import.PLE">OFFSET([7]CRONOGRAMA!$E$32,1,0):OFFSET([7]CRONOGRAMA!$BB$38,-1,0)</definedName>
    <definedName name="INSUMO">#REF!</definedName>
    <definedName name="INSUMOS">#REF!</definedName>
    <definedName name="Io" localSheetId="1">#REF!</definedName>
    <definedName name="Io">#REF!</definedName>
    <definedName name="ISS" localSheetId="1">#REF!</definedName>
    <definedName name="ISS">#REF!</definedName>
    <definedName name="IT" localSheetId="1">#REF!</definedName>
    <definedName name="IT">#REF!</definedName>
    <definedName name="item1.1" localSheetId="1">'[11]COMPOSIÇÃO CUSTO'!#REF!</definedName>
    <definedName name="item1.1">'[11]COMPOSIÇÃO CUSTO'!#REF!</definedName>
    <definedName name="item1.2" localSheetId="1">'[11]COMPOSIÇÃO CUSTO'!#REF!</definedName>
    <definedName name="item1.2">'[11]COMPOSIÇÃO CUSTO'!#REF!</definedName>
    <definedName name="item1.3" localSheetId="1">'[11]COMPOSIÇÃO CUSTO'!#REF!</definedName>
    <definedName name="item1.3">'[11]COMPOSIÇÃO CUSTO'!#REF!</definedName>
    <definedName name="item1.4" localSheetId="1">'[11]COMPOSIÇÃO CUSTO'!#REF!</definedName>
    <definedName name="item1.4">'[11]COMPOSIÇÃO CUSTO'!#REF!</definedName>
    <definedName name="item1.5" localSheetId="1">'[11]COMPOSIÇÃO CUSTO'!#REF!</definedName>
    <definedName name="item1.5">'[11]COMPOSIÇÃO CUSTO'!#REF!</definedName>
    <definedName name="item1.6" localSheetId="1">'[11]COMPOSIÇÃO CUSTO'!#REF!</definedName>
    <definedName name="item1.6">'[11]COMPOSIÇÃO CUSTO'!#REF!</definedName>
    <definedName name="item10.1" localSheetId="1">'[11]COMPOSIÇÃO CUSTO'!#REF!</definedName>
    <definedName name="item10.1">'[11]COMPOSIÇÃO CUSTO'!#REF!</definedName>
    <definedName name="item10.10" localSheetId="1">'[11]COMPOSIÇÃO CUSTO'!#REF!</definedName>
    <definedName name="item10.10">'[11]COMPOSIÇÃO CUSTO'!#REF!</definedName>
    <definedName name="item10.11" localSheetId="1">'[11]COMPOSIÇÃO CUSTO'!#REF!</definedName>
    <definedName name="item10.11">'[11]COMPOSIÇÃO CUSTO'!#REF!</definedName>
    <definedName name="item10.12" localSheetId="1">'[11]COMPOSIÇÃO CUSTO'!#REF!</definedName>
    <definedName name="item10.12">'[11]COMPOSIÇÃO CUSTO'!#REF!</definedName>
    <definedName name="item10.13" localSheetId="1">'[11]COMPOSIÇÃO CUSTO'!#REF!</definedName>
    <definedName name="item10.13">'[11]COMPOSIÇÃO CUSTO'!#REF!</definedName>
    <definedName name="item10.14" localSheetId="1">'[11]COMPOSIÇÃO CUSTO'!#REF!</definedName>
    <definedName name="item10.14">'[11]COMPOSIÇÃO CUSTO'!#REF!</definedName>
    <definedName name="item10.15" localSheetId="1">'[11]COMPOSIÇÃO CUSTO'!#REF!</definedName>
    <definedName name="item10.15">'[11]COMPOSIÇÃO CUSTO'!#REF!</definedName>
    <definedName name="item10.16" localSheetId="1">'[11]COMPOSIÇÃO CUSTO'!#REF!</definedName>
    <definedName name="item10.16">'[11]COMPOSIÇÃO CUSTO'!#REF!</definedName>
    <definedName name="item10.17" localSheetId="1">'[11]COMPOSIÇÃO CUSTO'!#REF!</definedName>
    <definedName name="item10.17">'[11]COMPOSIÇÃO CUSTO'!#REF!</definedName>
    <definedName name="item10.18" localSheetId="1">'[11]COMPOSIÇÃO CUSTO'!#REF!</definedName>
    <definedName name="item10.18">'[11]COMPOSIÇÃO CUSTO'!#REF!</definedName>
    <definedName name="item10.19" localSheetId="1">'[11]COMPOSIÇÃO CUSTO'!#REF!</definedName>
    <definedName name="item10.19">'[11]COMPOSIÇÃO CUSTO'!#REF!</definedName>
    <definedName name="item10.2" localSheetId="1">'[11]COMPOSIÇÃO CUSTO'!#REF!</definedName>
    <definedName name="item10.2">'[11]COMPOSIÇÃO CUSTO'!#REF!</definedName>
    <definedName name="item10.3" localSheetId="1">'[11]COMPOSIÇÃO CUSTO'!#REF!</definedName>
    <definedName name="item10.3">'[11]COMPOSIÇÃO CUSTO'!#REF!</definedName>
    <definedName name="item10.4" localSheetId="1">'[11]COMPOSIÇÃO CUSTO'!#REF!</definedName>
    <definedName name="item10.4">'[11]COMPOSIÇÃO CUSTO'!#REF!</definedName>
    <definedName name="item10.5" localSheetId="1">'[11]COMPOSIÇÃO CUSTO'!#REF!</definedName>
    <definedName name="item10.5">'[11]COMPOSIÇÃO CUSTO'!#REF!</definedName>
    <definedName name="item10.6" localSheetId="1">'[11]COMPOSIÇÃO CUSTO'!#REF!</definedName>
    <definedName name="item10.6">'[11]COMPOSIÇÃO CUSTO'!#REF!</definedName>
    <definedName name="item10.7" localSheetId="1">'[11]COMPOSIÇÃO CUSTO'!#REF!</definedName>
    <definedName name="item10.7">'[11]COMPOSIÇÃO CUSTO'!#REF!</definedName>
    <definedName name="item10.8" localSheetId="1">'[11]COMPOSIÇÃO CUSTO'!#REF!</definedName>
    <definedName name="item10.8">'[11]COMPOSIÇÃO CUSTO'!#REF!</definedName>
    <definedName name="item10.9" localSheetId="1">'[11]COMPOSIÇÃO CUSTO'!#REF!</definedName>
    <definedName name="item10.9">'[11]COMPOSIÇÃO CUSTO'!#REF!</definedName>
    <definedName name="item11.1" localSheetId="1">'[11]COMPOSIÇÃO CUSTO'!#REF!</definedName>
    <definedName name="item11.1">'[11]COMPOSIÇÃO CUSTO'!#REF!</definedName>
    <definedName name="item11.10" localSheetId="1">'[11]COMPOSIÇÃO CUSTO'!#REF!</definedName>
    <definedName name="item11.10">'[11]COMPOSIÇÃO CUSTO'!#REF!</definedName>
    <definedName name="item11.11" localSheetId="1">'[11]COMPOSIÇÃO CUSTO'!#REF!</definedName>
    <definedName name="item11.11">'[11]COMPOSIÇÃO CUSTO'!#REF!</definedName>
    <definedName name="item11.12" localSheetId="1">'[11]COMPOSIÇÃO CUSTO'!#REF!</definedName>
    <definedName name="item11.12">'[11]COMPOSIÇÃO CUSTO'!#REF!</definedName>
    <definedName name="item11.13" localSheetId="1">'[11]COMPOSIÇÃO CUSTO'!#REF!</definedName>
    <definedName name="item11.13">'[11]COMPOSIÇÃO CUSTO'!#REF!</definedName>
    <definedName name="item11.14" localSheetId="1">'[11]COMPOSIÇÃO CUSTO'!#REF!</definedName>
    <definedName name="item11.14">'[11]COMPOSIÇÃO CUSTO'!#REF!</definedName>
    <definedName name="item11.15" localSheetId="1">'[11]COMPOSIÇÃO CUSTO'!#REF!</definedName>
    <definedName name="item11.15">'[11]COMPOSIÇÃO CUSTO'!#REF!</definedName>
    <definedName name="item11.16" localSheetId="1">'[11]COMPOSIÇÃO CUSTO'!#REF!</definedName>
    <definedName name="item11.16">'[11]COMPOSIÇÃO CUSTO'!#REF!</definedName>
    <definedName name="item11.17" localSheetId="1">'[11]COMPOSIÇÃO CUSTO'!#REF!</definedName>
    <definedName name="item11.17">'[11]COMPOSIÇÃO CUSTO'!#REF!</definedName>
    <definedName name="item11.18" localSheetId="1">'[11]COMPOSIÇÃO CUSTO'!#REF!</definedName>
    <definedName name="item11.18">'[11]COMPOSIÇÃO CUSTO'!#REF!</definedName>
    <definedName name="item11.19" localSheetId="1">'[11]COMPOSIÇÃO CUSTO'!#REF!</definedName>
    <definedName name="item11.19">'[11]COMPOSIÇÃO CUSTO'!#REF!</definedName>
    <definedName name="item11.2" localSheetId="1">'[11]COMPOSIÇÃO CUSTO'!#REF!</definedName>
    <definedName name="item11.2">'[11]COMPOSIÇÃO CUSTO'!#REF!</definedName>
    <definedName name="item11.20" localSheetId="1">'[11]COMPOSIÇÃO CUSTO'!#REF!</definedName>
    <definedName name="item11.20">'[11]COMPOSIÇÃO CUSTO'!#REF!</definedName>
    <definedName name="item11.21" localSheetId="1">'[11]COMPOSIÇÃO CUSTO'!#REF!</definedName>
    <definedName name="item11.21">'[11]COMPOSIÇÃO CUSTO'!#REF!</definedName>
    <definedName name="item11.22" localSheetId="1">'[11]COMPOSIÇÃO CUSTO'!#REF!</definedName>
    <definedName name="item11.22">'[11]COMPOSIÇÃO CUSTO'!#REF!</definedName>
    <definedName name="item11.23" localSheetId="1">'[11]COMPOSIÇÃO CUSTO'!#REF!</definedName>
    <definedName name="item11.23">'[11]COMPOSIÇÃO CUSTO'!#REF!</definedName>
    <definedName name="item11.24" localSheetId="1">'[11]COMPOSIÇÃO CUSTO'!#REF!</definedName>
    <definedName name="item11.24">'[11]COMPOSIÇÃO CUSTO'!#REF!</definedName>
    <definedName name="item11.25" localSheetId="1">'[11]COMPOSIÇÃO CUSTO'!#REF!</definedName>
    <definedName name="item11.25">'[11]COMPOSIÇÃO CUSTO'!#REF!</definedName>
    <definedName name="item11.26" localSheetId="1">'[11]COMPOSIÇÃO CUSTO'!#REF!</definedName>
    <definedName name="item11.26">'[11]COMPOSIÇÃO CUSTO'!#REF!</definedName>
    <definedName name="item11.27" localSheetId="1">'[11]COMPOSIÇÃO CUSTO'!#REF!</definedName>
    <definedName name="item11.27">'[11]COMPOSIÇÃO CUSTO'!#REF!</definedName>
    <definedName name="item11.28" localSheetId="1">'[11]COMPOSIÇÃO CUSTO'!#REF!</definedName>
    <definedName name="item11.28">'[11]COMPOSIÇÃO CUSTO'!#REF!</definedName>
    <definedName name="item11.3" localSheetId="1">'[11]COMPOSIÇÃO CUSTO'!#REF!</definedName>
    <definedName name="item11.3">'[11]COMPOSIÇÃO CUSTO'!#REF!</definedName>
    <definedName name="item11.4" localSheetId="1">'[11]COMPOSIÇÃO CUSTO'!#REF!</definedName>
    <definedName name="item11.4">'[11]COMPOSIÇÃO CUSTO'!#REF!</definedName>
    <definedName name="item11.5" localSheetId="1">'[11]COMPOSIÇÃO CUSTO'!#REF!</definedName>
    <definedName name="item11.5">'[11]COMPOSIÇÃO CUSTO'!#REF!</definedName>
    <definedName name="item11.6" localSheetId="1">'[11]COMPOSIÇÃO CUSTO'!#REF!</definedName>
    <definedName name="item11.6">'[11]COMPOSIÇÃO CUSTO'!#REF!</definedName>
    <definedName name="item11.7" localSheetId="1">'[11]COMPOSIÇÃO CUSTO'!#REF!</definedName>
    <definedName name="item11.7">'[11]COMPOSIÇÃO CUSTO'!#REF!</definedName>
    <definedName name="item11.8" localSheetId="1">'[11]COMPOSIÇÃO CUSTO'!#REF!</definedName>
    <definedName name="item11.8">'[11]COMPOSIÇÃO CUSTO'!#REF!</definedName>
    <definedName name="item11.9" localSheetId="1">'[11]COMPOSIÇÃO CUSTO'!#REF!</definedName>
    <definedName name="item11.9">'[11]COMPOSIÇÃO CUSTO'!#REF!</definedName>
    <definedName name="item12.1" localSheetId="1">'[11]COMPOSIÇÃO CUSTO'!#REF!</definedName>
    <definedName name="item12.1">'[11]COMPOSIÇÃO CUSTO'!#REF!</definedName>
    <definedName name="item12.10" localSheetId="1">'[11]COMPOSIÇÃO CUSTO'!#REF!</definedName>
    <definedName name="item12.10">'[11]COMPOSIÇÃO CUSTO'!#REF!</definedName>
    <definedName name="item12.11" localSheetId="1">'[11]COMPOSIÇÃO CUSTO'!#REF!</definedName>
    <definedName name="item12.11">'[11]COMPOSIÇÃO CUSTO'!#REF!</definedName>
    <definedName name="item12.12" localSheetId="1">'[11]COMPOSIÇÃO CUSTO'!#REF!</definedName>
    <definedName name="item12.12">'[11]COMPOSIÇÃO CUSTO'!#REF!</definedName>
    <definedName name="item12.13" localSheetId="1">'[11]COMPOSIÇÃO CUSTO'!#REF!</definedName>
    <definedName name="item12.13">'[11]COMPOSIÇÃO CUSTO'!#REF!</definedName>
    <definedName name="item12.14" localSheetId="1">'[11]COMPOSIÇÃO CUSTO'!#REF!</definedName>
    <definedName name="item12.14">'[11]COMPOSIÇÃO CUSTO'!#REF!</definedName>
    <definedName name="item12.15" localSheetId="1">'[11]COMPOSIÇÃO CUSTO'!#REF!</definedName>
    <definedName name="item12.15">'[11]COMPOSIÇÃO CUSTO'!#REF!</definedName>
    <definedName name="item12.16" localSheetId="1">'[11]COMPOSIÇÃO CUSTO'!#REF!</definedName>
    <definedName name="item12.16">'[11]COMPOSIÇÃO CUSTO'!#REF!</definedName>
    <definedName name="item12.17" localSheetId="1">'[11]COMPOSIÇÃO CUSTO'!#REF!</definedName>
    <definedName name="item12.17">'[11]COMPOSIÇÃO CUSTO'!#REF!</definedName>
    <definedName name="item12.18" localSheetId="1">'[11]COMPOSIÇÃO CUSTO'!#REF!</definedName>
    <definedName name="item12.18">'[11]COMPOSIÇÃO CUSTO'!#REF!</definedName>
    <definedName name="item12.19" localSheetId="1">'[11]COMPOSIÇÃO CUSTO'!#REF!</definedName>
    <definedName name="item12.19">'[11]COMPOSIÇÃO CUSTO'!#REF!</definedName>
    <definedName name="item12.2" localSheetId="1">'[11]COMPOSIÇÃO CUSTO'!#REF!</definedName>
    <definedName name="item12.2">'[11]COMPOSIÇÃO CUSTO'!#REF!</definedName>
    <definedName name="item12.20" localSheetId="1">'[11]COMPOSIÇÃO CUSTO'!#REF!</definedName>
    <definedName name="item12.20">'[11]COMPOSIÇÃO CUSTO'!#REF!</definedName>
    <definedName name="item12.21" localSheetId="1">'[11]COMPOSIÇÃO CUSTO'!#REF!</definedName>
    <definedName name="item12.21">'[11]COMPOSIÇÃO CUSTO'!#REF!</definedName>
    <definedName name="item12.22" localSheetId="1">'[11]COMPOSIÇÃO CUSTO'!#REF!</definedName>
    <definedName name="item12.22">'[11]COMPOSIÇÃO CUSTO'!#REF!</definedName>
    <definedName name="item12.23" localSheetId="1">'[11]COMPOSIÇÃO CUSTO'!#REF!</definedName>
    <definedName name="item12.23">'[11]COMPOSIÇÃO CUSTO'!#REF!</definedName>
    <definedName name="item12.24" localSheetId="1">'[11]COMPOSIÇÃO CUSTO'!#REF!</definedName>
    <definedName name="item12.24">'[11]COMPOSIÇÃO CUSTO'!#REF!</definedName>
    <definedName name="item12.25" localSheetId="1">'[11]COMPOSIÇÃO CUSTO'!#REF!</definedName>
    <definedName name="item12.25">'[11]COMPOSIÇÃO CUSTO'!#REF!</definedName>
    <definedName name="item12.26" localSheetId="1">'[11]COMPOSIÇÃO CUSTO'!#REF!</definedName>
    <definedName name="item12.26">'[11]COMPOSIÇÃO CUSTO'!#REF!</definedName>
    <definedName name="item12.27" localSheetId="1">'[11]COMPOSIÇÃO CUSTO'!#REF!</definedName>
    <definedName name="item12.27">'[11]COMPOSIÇÃO CUSTO'!#REF!</definedName>
    <definedName name="item12.3" localSheetId="1">'[11]COMPOSIÇÃO CUSTO'!#REF!</definedName>
    <definedName name="item12.3">'[11]COMPOSIÇÃO CUSTO'!#REF!</definedName>
    <definedName name="item12.4" localSheetId="1">'[11]COMPOSIÇÃO CUSTO'!#REF!</definedName>
    <definedName name="item12.4">'[11]COMPOSIÇÃO CUSTO'!#REF!</definedName>
    <definedName name="item12.5" localSheetId="1">'[11]COMPOSIÇÃO CUSTO'!#REF!</definedName>
    <definedName name="item12.5">'[11]COMPOSIÇÃO CUSTO'!#REF!</definedName>
    <definedName name="item12.6" localSheetId="1">'[11]COMPOSIÇÃO CUSTO'!#REF!</definedName>
    <definedName name="item12.6">'[11]COMPOSIÇÃO CUSTO'!#REF!</definedName>
    <definedName name="item12.7" localSheetId="1">'[11]COMPOSIÇÃO CUSTO'!#REF!</definedName>
    <definedName name="item12.7">'[11]COMPOSIÇÃO CUSTO'!#REF!</definedName>
    <definedName name="item12.8" localSheetId="1">'[11]COMPOSIÇÃO CUSTO'!#REF!</definedName>
    <definedName name="item12.8">'[11]COMPOSIÇÃO CUSTO'!#REF!</definedName>
    <definedName name="item12.9" localSheetId="1">'[11]COMPOSIÇÃO CUSTO'!#REF!</definedName>
    <definedName name="item12.9">'[11]COMPOSIÇÃO CUSTO'!#REF!</definedName>
    <definedName name="item13.1" localSheetId="1">'[11]COMPOSIÇÃO CUSTO'!#REF!</definedName>
    <definedName name="item13.1">'[11]COMPOSIÇÃO CUSTO'!#REF!</definedName>
    <definedName name="item13.10" localSheetId="1">'[11]COMPOSIÇÃO CUSTO'!#REF!</definedName>
    <definedName name="item13.10">'[11]COMPOSIÇÃO CUSTO'!#REF!</definedName>
    <definedName name="item13.11" localSheetId="1">'[11]COMPOSIÇÃO CUSTO'!#REF!</definedName>
    <definedName name="item13.11">'[11]COMPOSIÇÃO CUSTO'!#REF!</definedName>
    <definedName name="item13.12" localSheetId="1">'[11]COMPOSIÇÃO CUSTO'!#REF!</definedName>
    <definedName name="item13.12">'[11]COMPOSIÇÃO CUSTO'!#REF!</definedName>
    <definedName name="item13.13" localSheetId="1">'[11]COMPOSIÇÃO CUSTO'!#REF!</definedName>
    <definedName name="item13.13">'[11]COMPOSIÇÃO CUSTO'!#REF!</definedName>
    <definedName name="item13.2" localSheetId="1">'[11]COMPOSIÇÃO CUSTO'!#REF!</definedName>
    <definedName name="item13.2">'[11]COMPOSIÇÃO CUSTO'!#REF!</definedName>
    <definedName name="item13.3" localSheetId="1">'[11]COMPOSIÇÃO CUSTO'!#REF!</definedName>
    <definedName name="item13.3">'[11]COMPOSIÇÃO CUSTO'!#REF!</definedName>
    <definedName name="item13.4" localSheetId="1">'[11]COMPOSIÇÃO CUSTO'!#REF!</definedName>
    <definedName name="item13.4">'[11]COMPOSIÇÃO CUSTO'!#REF!</definedName>
    <definedName name="item13.5" localSheetId="1">'[11]COMPOSIÇÃO CUSTO'!#REF!</definedName>
    <definedName name="item13.5">'[11]COMPOSIÇÃO CUSTO'!#REF!</definedName>
    <definedName name="item13.6" localSheetId="1">'[11]COMPOSIÇÃO CUSTO'!#REF!</definedName>
    <definedName name="item13.6">'[11]COMPOSIÇÃO CUSTO'!#REF!</definedName>
    <definedName name="item13.7" localSheetId="1">'[11]COMPOSIÇÃO CUSTO'!#REF!</definedName>
    <definedName name="item13.7">'[11]COMPOSIÇÃO CUSTO'!#REF!</definedName>
    <definedName name="item13.8" localSheetId="1">'[11]COMPOSIÇÃO CUSTO'!#REF!</definedName>
    <definedName name="item13.8">'[11]COMPOSIÇÃO CUSTO'!#REF!</definedName>
    <definedName name="item13.9" localSheetId="1">'[11]COMPOSIÇÃO CUSTO'!#REF!</definedName>
    <definedName name="item13.9">'[11]COMPOSIÇÃO CUSTO'!#REF!</definedName>
    <definedName name="item14.1" localSheetId="1">'[11]COMPOSIÇÃO CUSTO'!#REF!</definedName>
    <definedName name="item14.1">'[11]COMPOSIÇÃO CUSTO'!#REF!</definedName>
    <definedName name="item14.2" localSheetId="1">'[11]COMPOSIÇÃO CUSTO'!#REF!</definedName>
    <definedName name="item14.2">'[11]COMPOSIÇÃO CUSTO'!#REF!</definedName>
    <definedName name="item14.3" localSheetId="1">'[11]COMPOSIÇÃO CUSTO'!#REF!</definedName>
    <definedName name="item14.3">'[11]COMPOSIÇÃO CUSTO'!#REF!</definedName>
    <definedName name="item14.4" localSheetId="1">'[11]COMPOSIÇÃO CUSTO'!#REF!</definedName>
    <definedName name="item14.4">'[11]COMPOSIÇÃO CUSTO'!#REF!</definedName>
    <definedName name="item14.5" localSheetId="1">'[11]COMPOSIÇÃO CUSTO'!#REF!</definedName>
    <definedName name="item14.5">'[11]COMPOSIÇÃO CUSTO'!#REF!</definedName>
    <definedName name="item14.6" localSheetId="1">'[11]COMPOSIÇÃO CUSTO'!#REF!</definedName>
    <definedName name="item14.6">'[11]COMPOSIÇÃO CUSTO'!#REF!</definedName>
    <definedName name="item15.1" localSheetId="1">'[11]COMPOSIÇÃO CUSTO'!#REF!</definedName>
    <definedName name="item15.1">'[11]COMPOSIÇÃO CUSTO'!#REF!</definedName>
    <definedName name="item15.10" localSheetId="1">'[11]COMPOSIÇÃO CUSTO'!#REF!</definedName>
    <definedName name="item15.10">'[11]COMPOSIÇÃO CUSTO'!#REF!</definedName>
    <definedName name="item15.11" localSheetId="1">'[11]COMPOSIÇÃO CUSTO'!#REF!</definedName>
    <definedName name="item15.11">'[11]COMPOSIÇÃO CUSTO'!#REF!</definedName>
    <definedName name="item15.12" localSheetId="1">'[11]COMPOSIÇÃO CUSTO'!#REF!</definedName>
    <definedName name="item15.12">'[11]COMPOSIÇÃO CUSTO'!#REF!</definedName>
    <definedName name="item15.13" localSheetId="1">'[11]COMPOSIÇÃO CUSTO'!#REF!</definedName>
    <definedName name="item15.13">'[11]COMPOSIÇÃO CUSTO'!#REF!</definedName>
    <definedName name="item15.2" localSheetId="1">'[11]COMPOSIÇÃO CUSTO'!#REF!</definedName>
    <definedName name="item15.2">'[11]COMPOSIÇÃO CUSTO'!#REF!</definedName>
    <definedName name="item15.3" localSheetId="1">'[11]COMPOSIÇÃO CUSTO'!#REF!</definedName>
    <definedName name="item15.3">'[11]COMPOSIÇÃO CUSTO'!#REF!</definedName>
    <definedName name="item15.4" localSheetId="1">'[11]COMPOSIÇÃO CUSTO'!#REF!</definedName>
    <definedName name="item15.4">'[11]COMPOSIÇÃO CUSTO'!#REF!</definedName>
    <definedName name="item15.5" localSheetId="1">'[11]COMPOSIÇÃO CUSTO'!#REF!</definedName>
    <definedName name="item15.5">'[11]COMPOSIÇÃO CUSTO'!#REF!</definedName>
    <definedName name="item15.6" localSheetId="1">'[11]COMPOSIÇÃO CUSTO'!#REF!</definedName>
    <definedName name="item15.6">'[11]COMPOSIÇÃO CUSTO'!#REF!</definedName>
    <definedName name="item15.7" localSheetId="1">'[11]COMPOSIÇÃO CUSTO'!#REF!</definedName>
    <definedName name="item15.7">'[11]COMPOSIÇÃO CUSTO'!#REF!</definedName>
    <definedName name="item15.8" localSheetId="1">'[11]COMPOSIÇÃO CUSTO'!#REF!</definedName>
    <definedName name="item15.8">'[11]COMPOSIÇÃO CUSTO'!#REF!</definedName>
    <definedName name="item15.9" localSheetId="1">'[11]COMPOSIÇÃO CUSTO'!#REF!</definedName>
    <definedName name="item15.9">'[11]COMPOSIÇÃO CUSTO'!#REF!</definedName>
    <definedName name="item2.1" localSheetId="1">'[11]COMPOSIÇÃO CUSTO'!#REF!</definedName>
    <definedName name="item2.1">'[11]COMPOSIÇÃO CUSTO'!#REF!</definedName>
    <definedName name="item2.10" localSheetId="1">'[11]COMPOSIÇÃO CUSTO'!#REF!</definedName>
    <definedName name="item2.10">'[11]COMPOSIÇÃO CUSTO'!#REF!</definedName>
    <definedName name="item2.11" localSheetId="1">'[11]COMPOSIÇÃO CUSTO'!#REF!</definedName>
    <definedName name="item2.11">'[11]COMPOSIÇÃO CUSTO'!#REF!</definedName>
    <definedName name="item2.12" localSheetId="1">'[11]COMPOSIÇÃO CUSTO'!#REF!</definedName>
    <definedName name="item2.12">'[11]COMPOSIÇÃO CUSTO'!#REF!</definedName>
    <definedName name="item2.13" localSheetId="1">'[11]COMPOSIÇÃO CUSTO'!#REF!</definedName>
    <definedName name="item2.13">'[11]COMPOSIÇÃO CUSTO'!#REF!</definedName>
    <definedName name="item2.14" localSheetId="1">'[11]COMPOSIÇÃO CUSTO'!#REF!</definedName>
    <definedName name="item2.14">'[11]COMPOSIÇÃO CUSTO'!#REF!</definedName>
    <definedName name="item2.15" localSheetId="1">'[11]COMPOSIÇÃO CUSTO'!#REF!</definedName>
    <definedName name="item2.15">'[11]COMPOSIÇÃO CUSTO'!#REF!</definedName>
    <definedName name="item2.16" localSheetId="1">'[11]COMPOSIÇÃO CUSTO'!#REF!</definedName>
    <definedName name="item2.16">'[11]COMPOSIÇÃO CUSTO'!#REF!</definedName>
    <definedName name="item2.17" localSheetId="1">'[11]COMPOSIÇÃO CUSTO'!#REF!</definedName>
    <definedName name="item2.17">'[11]COMPOSIÇÃO CUSTO'!#REF!</definedName>
    <definedName name="item2.18" localSheetId="1">'[11]COMPOSIÇÃO CUSTO'!#REF!</definedName>
    <definedName name="item2.18">'[11]COMPOSIÇÃO CUSTO'!#REF!</definedName>
    <definedName name="item2.19" localSheetId="1">'[11]COMPOSIÇÃO CUSTO'!#REF!</definedName>
    <definedName name="item2.19">'[11]COMPOSIÇÃO CUSTO'!#REF!</definedName>
    <definedName name="item2.2" localSheetId="1">'[11]COMPOSIÇÃO CUSTO'!#REF!</definedName>
    <definedName name="item2.2">'[11]COMPOSIÇÃO CUSTO'!#REF!</definedName>
    <definedName name="item2.20" localSheetId="1">'[11]COMPOSIÇÃO CUSTO'!#REF!</definedName>
    <definedName name="item2.20">'[11]COMPOSIÇÃO CUSTO'!#REF!</definedName>
    <definedName name="item2.21" localSheetId="1">'[11]COMPOSIÇÃO CUSTO'!#REF!</definedName>
    <definedName name="item2.21">'[11]COMPOSIÇÃO CUSTO'!#REF!</definedName>
    <definedName name="item2.22" localSheetId="1">'[11]COMPOSIÇÃO CUSTO'!#REF!</definedName>
    <definedName name="item2.22">'[11]COMPOSIÇÃO CUSTO'!#REF!</definedName>
    <definedName name="item2.23" localSheetId="1">'[11]COMPOSIÇÃO CUSTO'!#REF!</definedName>
    <definedName name="item2.23">'[11]COMPOSIÇÃO CUSTO'!#REF!</definedName>
    <definedName name="item2.24" localSheetId="1">'[11]COMPOSIÇÃO CUSTO'!#REF!</definedName>
    <definedName name="item2.24">'[11]COMPOSIÇÃO CUSTO'!#REF!</definedName>
    <definedName name="item2.25" localSheetId="1">'[11]COMPOSIÇÃO CUSTO'!#REF!</definedName>
    <definedName name="item2.25">'[11]COMPOSIÇÃO CUSTO'!#REF!</definedName>
    <definedName name="item2.26" localSheetId="1">'[11]COMPOSIÇÃO CUSTO'!#REF!</definedName>
    <definedName name="item2.26">'[11]COMPOSIÇÃO CUSTO'!#REF!</definedName>
    <definedName name="item2.27" localSheetId="1">'[11]COMPOSIÇÃO CUSTO'!#REF!</definedName>
    <definedName name="item2.27">'[11]COMPOSIÇÃO CUSTO'!#REF!</definedName>
    <definedName name="item2.3" localSheetId="1">'[11]COMPOSIÇÃO CUSTO'!#REF!</definedName>
    <definedName name="item2.3">'[11]COMPOSIÇÃO CUSTO'!#REF!</definedName>
    <definedName name="item2.4" localSheetId="1">'[11]COMPOSIÇÃO CUSTO'!#REF!</definedName>
    <definedName name="item2.4">'[11]COMPOSIÇÃO CUSTO'!#REF!</definedName>
    <definedName name="item2.5" localSheetId="1">'[11]COMPOSIÇÃO CUSTO'!#REF!</definedName>
    <definedName name="item2.5">'[11]COMPOSIÇÃO CUSTO'!#REF!</definedName>
    <definedName name="item2.6" localSheetId="1">'[11]COMPOSIÇÃO CUSTO'!#REF!</definedName>
    <definedName name="item2.6">'[11]COMPOSIÇÃO CUSTO'!#REF!</definedName>
    <definedName name="item2.7" localSheetId="1">'[11]COMPOSIÇÃO CUSTO'!#REF!</definedName>
    <definedName name="item2.7">'[11]COMPOSIÇÃO CUSTO'!#REF!</definedName>
    <definedName name="item2.8" localSheetId="1">'[11]COMPOSIÇÃO CUSTO'!#REF!</definedName>
    <definedName name="item2.8">'[11]COMPOSIÇÃO CUSTO'!#REF!</definedName>
    <definedName name="item2.9" localSheetId="1">'[11]COMPOSIÇÃO CUSTO'!#REF!</definedName>
    <definedName name="item2.9">'[11]COMPOSIÇÃO CUSTO'!#REF!</definedName>
    <definedName name="item3.1" localSheetId="1">'[11]COMPOSIÇÃO CUSTO'!#REF!</definedName>
    <definedName name="item3.1">'[11]COMPOSIÇÃO CUSTO'!#REF!</definedName>
    <definedName name="item3.2" localSheetId="1">'[11]COMPOSIÇÃO CUSTO'!#REF!</definedName>
    <definedName name="item3.2">'[11]COMPOSIÇÃO CUSTO'!#REF!</definedName>
    <definedName name="item3.3" localSheetId="1">'[11]COMPOSIÇÃO CUSTO'!#REF!</definedName>
    <definedName name="item3.3">'[11]COMPOSIÇÃO CUSTO'!#REF!</definedName>
    <definedName name="item4.1" localSheetId="1">'[11]COMPOSIÇÃO CUSTO'!#REF!</definedName>
    <definedName name="item4.1">'[11]COMPOSIÇÃO CUSTO'!#REF!</definedName>
    <definedName name="item4.2" localSheetId="1">'[11]COMPOSIÇÃO CUSTO'!#REF!</definedName>
    <definedName name="item4.2">'[11]COMPOSIÇÃO CUSTO'!#REF!</definedName>
    <definedName name="item4.3" localSheetId="1">'[11]COMPOSIÇÃO CUSTO'!#REF!</definedName>
    <definedName name="item4.3">'[11]COMPOSIÇÃO CUSTO'!#REF!</definedName>
    <definedName name="item4.4" localSheetId="1">'[11]COMPOSIÇÃO CUSTO'!#REF!</definedName>
    <definedName name="item4.4">'[11]COMPOSIÇÃO CUSTO'!#REF!</definedName>
    <definedName name="item4.5" localSheetId="1">'[11]COMPOSIÇÃO CUSTO'!#REF!</definedName>
    <definedName name="item4.5">'[11]COMPOSIÇÃO CUSTO'!#REF!</definedName>
    <definedName name="item4.6" localSheetId="1">'[11]COMPOSIÇÃO CUSTO'!#REF!</definedName>
    <definedName name="item4.6">'[11]COMPOSIÇÃO CUSTO'!#REF!</definedName>
    <definedName name="item4.7" localSheetId="1">'[11]COMPOSIÇÃO CUSTO'!#REF!</definedName>
    <definedName name="item4.7">'[11]COMPOSIÇÃO CUSTO'!#REF!</definedName>
    <definedName name="item5.1" localSheetId="1">'[11]COMPOSIÇÃO CUSTO'!#REF!</definedName>
    <definedName name="item5.1">'[11]COMPOSIÇÃO CUSTO'!#REF!</definedName>
    <definedName name="item5.2" localSheetId="1">'[11]COMPOSIÇÃO CUSTO'!#REF!</definedName>
    <definedName name="item5.2">'[11]COMPOSIÇÃO CUSTO'!#REF!</definedName>
    <definedName name="item5.3" localSheetId="1">'[11]COMPOSIÇÃO CUSTO'!#REF!</definedName>
    <definedName name="item5.3">'[11]COMPOSIÇÃO CUSTO'!#REF!</definedName>
    <definedName name="item5.4" localSheetId="1">'[11]COMPOSIÇÃO CUSTO'!#REF!</definedName>
    <definedName name="item5.4">'[11]COMPOSIÇÃO CUSTO'!#REF!</definedName>
    <definedName name="item5.5" localSheetId="1">'[11]COMPOSIÇÃO CUSTO'!#REF!</definedName>
    <definedName name="item5.5">'[11]COMPOSIÇÃO CUSTO'!#REF!</definedName>
    <definedName name="item5.6" localSheetId="1">'[11]COMPOSIÇÃO CUSTO'!#REF!</definedName>
    <definedName name="item5.6">'[11]COMPOSIÇÃO CUSTO'!#REF!</definedName>
    <definedName name="item5.7" localSheetId="1">'[11]COMPOSIÇÃO CUSTO'!#REF!</definedName>
    <definedName name="item5.7">'[11]COMPOSIÇÃO CUSTO'!#REF!</definedName>
    <definedName name="item6.1" localSheetId="1">'[11]COMPOSIÇÃO CUSTO'!#REF!</definedName>
    <definedName name="item6.1">'[11]COMPOSIÇÃO CUSTO'!#REF!</definedName>
    <definedName name="item6.2" localSheetId="1">'[11]COMPOSIÇÃO CUSTO'!#REF!</definedName>
    <definedName name="item6.2">'[11]COMPOSIÇÃO CUSTO'!#REF!</definedName>
    <definedName name="item6.3" localSheetId="1">'[11]COMPOSIÇÃO CUSTO'!#REF!</definedName>
    <definedName name="item6.3">'[11]COMPOSIÇÃO CUSTO'!#REF!</definedName>
    <definedName name="item6.4" localSheetId="1">'[11]COMPOSIÇÃO CUSTO'!#REF!</definedName>
    <definedName name="item6.4">'[11]COMPOSIÇÃO CUSTO'!#REF!</definedName>
    <definedName name="item6.5" localSheetId="1">'[11]COMPOSIÇÃO CUSTO'!#REF!</definedName>
    <definedName name="item6.5">'[11]COMPOSIÇÃO CUSTO'!#REF!</definedName>
    <definedName name="item7.1" localSheetId="1">'[11]COMPOSIÇÃO CUSTO'!#REF!</definedName>
    <definedName name="item7.1">'[11]COMPOSIÇÃO CUSTO'!#REF!</definedName>
    <definedName name="item7.10" localSheetId="1">'[11]COMPOSIÇÃO CUSTO'!#REF!</definedName>
    <definedName name="item7.10">'[11]COMPOSIÇÃO CUSTO'!#REF!</definedName>
    <definedName name="item7.11" localSheetId="1">'[11]COMPOSIÇÃO CUSTO'!#REF!</definedName>
    <definedName name="item7.11">'[11]COMPOSIÇÃO CUSTO'!#REF!</definedName>
    <definedName name="item7.12" localSheetId="1">'[11]COMPOSIÇÃO CUSTO'!#REF!</definedName>
    <definedName name="item7.12">'[11]COMPOSIÇÃO CUSTO'!#REF!</definedName>
    <definedName name="item7.13" localSheetId="1">'[11]COMPOSIÇÃO CUSTO'!#REF!</definedName>
    <definedName name="item7.13">'[11]COMPOSIÇÃO CUSTO'!#REF!</definedName>
    <definedName name="item7.14" localSheetId="1">'[11]COMPOSIÇÃO CUSTO'!#REF!</definedName>
    <definedName name="item7.14">'[11]COMPOSIÇÃO CUSTO'!#REF!</definedName>
    <definedName name="item7.15" localSheetId="1">'[11]COMPOSIÇÃO CUSTO'!#REF!</definedName>
    <definedName name="item7.15">'[11]COMPOSIÇÃO CUSTO'!#REF!</definedName>
    <definedName name="item7.16" localSheetId="1">'[11]COMPOSIÇÃO CUSTO'!#REF!</definedName>
    <definedName name="item7.16">'[11]COMPOSIÇÃO CUSTO'!#REF!</definedName>
    <definedName name="item7.17" localSheetId="1">'[11]COMPOSIÇÃO CUSTO'!#REF!</definedName>
    <definedName name="item7.17">'[11]COMPOSIÇÃO CUSTO'!#REF!</definedName>
    <definedName name="item7.18" localSheetId="1">'[11]COMPOSIÇÃO CUSTO'!#REF!</definedName>
    <definedName name="item7.18">'[11]COMPOSIÇÃO CUSTO'!#REF!</definedName>
    <definedName name="item7.19" localSheetId="1">'[11]COMPOSIÇÃO CUSTO'!#REF!</definedName>
    <definedName name="item7.19">'[11]COMPOSIÇÃO CUSTO'!#REF!</definedName>
    <definedName name="item7.2" localSheetId="1">'[11]COMPOSIÇÃO CUSTO'!#REF!</definedName>
    <definedName name="item7.2">'[11]COMPOSIÇÃO CUSTO'!#REF!</definedName>
    <definedName name="item7.3" localSheetId="1">'[11]COMPOSIÇÃO CUSTO'!#REF!</definedName>
    <definedName name="item7.3">'[11]COMPOSIÇÃO CUSTO'!#REF!</definedName>
    <definedName name="item7.4" localSheetId="1">'[11]COMPOSIÇÃO CUSTO'!#REF!</definedName>
    <definedName name="item7.4">'[11]COMPOSIÇÃO CUSTO'!#REF!</definedName>
    <definedName name="item7.5" localSheetId="1">'[11]COMPOSIÇÃO CUSTO'!#REF!</definedName>
    <definedName name="item7.5">'[11]COMPOSIÇÃO CUSTO'!#REF!</definedName>
    <definedName name="item7.6" localSheetId="1">'[11]COMPOSIÇÃO CUSTO'!#REF!</definedName>
    <definedName name="item7.6">'[11]COMPOSIÇÃO CUSTO'!#REF!</definedName>
    <definedName name="item7.7" localSheetId="1">'[11]COMPOSIÇÃO CUSTO'!#REF!</definedName>
    <definedName name="item7.7">'[11]COMPOSIÇÃO CUSTO'!#REF!</definedName>
    <definedName name="item7.8" localSheetId="1">'[11]COMPOSIÇÃO CUSTO'!#REF!</definedName>
    <definedName name="item7.8">'[11]COMPOSIÇÃO CUSTO'!#REF!</definedName>
    <definedName name="item7.9" localSheetId="1">'[11]COMPOSIÇÃO CUSTO'!#REF!</definedName>
    <definedName name="item7.9">'[11]COMPOSIÇÃO CUSTO'!#REF!</definedName>
    <definedName name="item8.1" localSheetId="1">'[11]COMPOSIÇÃO CUSTO'!#REF!</definedName>
    <definedName name="item8.1">'[11]COMPOSIÇÃO CUSTO'!#REF!</definedName>
    <definedName name="item8.2" localSheetId="1">'[11]COMPOSIÇÃO CUSTO'!#REF!</definedName>
    <definedName name="item8.2">'[11]COMPOSIÇÃO CUSTO'!#REF!</definedName>
    <definedName name="item8.3" localSheetId="1">'[11]COMPOSIÇÃO CUSTO'!#REF!</definedName>
    <definedName name="item8.3">'[11]COMPOSIÇÃO CUSTO'!#REF!</definedName>
    <definedName name="item8.4" localSheetId="1">'[11]COMPOSIÇÃO CUSTO'!#REF!</definedName>
    <definedName name="item8.4">'[11]COMPOSIÇÃO CUSTO'!#REF!</definedName>
    <definedName name="item8.5" localSheetId="1">'[11]COMPOSIÇÃO CUSTO'!#REF!</definedName>
    <definedName name="item8.5">'[11]COMPOSIÇÃO CUSTO'!#REF!</definedName>
    <definedName name="item8.6" localSheetId="1">'[11]COMPOSIÇÃO CUSTO'!#REF!</definedName>
    <definedName name="item8.6">'[11]COMPOSIÇÃO CUSTO'!#REF!</definedName>
    <definedName name="item9.1" localSheetId="1">'[11]COMPOSIÇÃO CUSTO'!#REF!</definedName>
    <definedName name="item9.1">'[11]COMPOSIÇÃO CUSTO'!#REF!</definedName>
    <definedName name="item9.2" localSheetId="1">'[11]COMPOSIÇÃO CUSTO'!#REF!</definedName>
    <definedName name="item9.2">'[11]COMPOSIÇÃO CUSTO'!#REF!</definedName>
    <definedName name="item9.3" localSheetId="1">'[11]COMPOSIÇÃO CUSTO'!#REF!</definedName>
    <definedName name="item9.3">'[11]COMPOSIÇÃO CUSTO'!#REF!</definedName>
    <definedName name="item9.4" localSheetId="1">'[11]COMPOSIÇÃO CUSTO'!#REF!</definedName>
    <definedName name="item9.4">'[11]COMPOSIÇÃO CUSTO'!#REF!</definedName>
    <definedName name="item9.5" localSheetId="1">'[11]COMPOSIÇÃO CUSTO'!#REF!</definedName>
    <definedName name="item9.5">'[11]COMPOSIÇÃO CUSTO'!#REF!</definedName>
    <definedName name="item9.6" localSheetId="1">'[11]COMPOSIÇÃO CUSTO'!#REF!</definedName>
    <definedName name="item9.6">'[11]COMPOSIÇÃO CUSTO'!#REF!</definedName>
    <definedName name="item9.7" localSheetId="1">'[11]COMPOSIÇÃO CUSTO'!#REF!</definedName>
    <definedName name="item9.7">'[11]COMPOSIÇÃO CUSTO'!#REF!</definedName>
    <definedName name="item9.8" localSheetId="1">'[11]COMPOSIÇÃO CUSTO'!#REF!</definedName>
    <definedName name="item9.8">'[11]COMPOSIÇÃO CUSTO'!#REF!</definedName>
    <definedName name="item9.9" localSheetId="1">'[11]COMPOSIÇÃO CUSTO'!#REF!</definedName>
    <definedName name="item9.9">'[11]COMPOSIÇÃO CUSTO'!#REF!</definedName>
    <definedName name="ItemInvestimento">OFFSET([10]Listas!$B$2,1,0,COUNTA([10]Listas!$B:$B)-1)</definedName>
    <definedName name="itm10.2" localSheetId="1">'[11]COMPOSIÇÃO CUSTO'!#REF!</definedName>
    <definedName name="itm10.2">'[11]COMPOSIÇÃO CUSTO'!#REF!</definedName>
    <definedName name="Jd" localSheetId="1">#REF!</definedName>
    <definedName name="Jd">#REF!</definedName>
    <definedName name="JJ" localSheetId="1">[4]CUBACAO!#REF!</definedName>
    <definedName name="JJ">[4]CUBACAO!#REF!</definedName>
    <definedName name="JJJ" localSheetId="1">[4]CUBACAO!#REF!</definedName>
    <definedName name="JJJ">[4]CUBACAO!#REF!</definedName>
    <definedName name="Jm" localSheetId="1">#REF!</definedName>
    <definedName name="Jm">#REF!</definedName>
    <definedName name="JR_PAGE_ANCHOR_0_1">'[12]ADITIVO 01'!#REF!</definedName>
    <definedName name="JR_PAGE_ANCHOR_1_1" localSheetId="1">#REF!</definedName>
    <definedName name="JR_PAGE_ANCHOR_1_1">#REF!</definedName>
    <definedName name="JR_PAGE_ANCHOR_2_1" localSheetId="1">#REF!</definedName>
    <definedName name="JR_PAGE_ANCHOR_2_1">#REF!</definedName>
    <definedName name="JR_PAGE_ANCHOR_3_1" localSheetId="1">#REF!</definedName>
    <definedName name="JR_PAGE_ANCHOR_3_1">#REF!</definedName>
    <definedName name="JR_PAGE_ANCHOR_4_1" localSheetId="1">#REF!</definedName>
    <definedName name="JR_PAGE_ANCHOR_4_1">#REF!</definedName>
    <definedName name="JR_PAGE_ANCHOR_5_1" localSheetId="1">#REF!</definedName>
    <definedName name="JR_PAGE_ANCHOR_5_1">#REF!</definedName>
    <definedName name="KKK" localSheetId="1">[4]CUBACAO!#REF!</definedName>
    <definedName name="KKK">[4]CUBACAO!#REF!</definedName>
    <definedName name="LEO" localSheetId="1">#REF!</definedName>
    <definedName name="LEO">#REF!</definedName>
    <definedName name="LL" localSheetId="1">[4]CUBACAO!#REF!</definedName>
    <definedName name="LL">[4]CUBACAO!#REF!</definedName>
    <definedName name="LLL" localSheetId="1">[4]CUBACAO!#REF!</definedName>
    <definedName name="LLL">[4]CUBACAO!#REF!</definedName>
    <definedName name="Lucro" localSheetId="1">#REF!</definedName>
    <definedName name="Lucro">#REF!</definedName>
    <definedName name="m" localSheetId="1">#REF!</definedName>
    <definedName name="m">#REF!</definedName>
    <definedName name="mediçao">[5]PLE!$AX$28</definedName>
    <definedName name="Medições" localSheetId="1">#REF!</definedName>
    <definedName name="Medições">#REF!</definedName>
    <definedName name="MM" localSheetId="1">[4]CUBACAO!#REF!</definedName>
    <definedName name="MM">[4]CUBACAO!#REF!</definedName>
    <definedName name="MMM" localSheetId="1">[4]CUBACAO!#REF!</definedName>
    <definedName name="MMM">[4]CUBACAO!#REF!</definedName>
    <definedName name="n" localSheetId="1">#REF!</definedName>
    <definedName name="n">#REF!</definedName>
    <definedName name="NN" localSheetId="1">[4]CUBACAO!#REF!</definedName>
    <definedName name="NN">[4]CUBACAO!#REF!</definedName>
    <definedName name="NNN" localSheetId="1">[4]CUBACAO!#REF!</definedName>
    <definedName name="NNN">[4]CUBACAO!#REF!</definedName>
    <definedName name="numEventos" localSheetId="1">COUNT(OFFSET(Eventos,0,0,,1))</definedName>
    <definedName name="numEventos">COUNT(OFFSET(Eventos,0,0,,1))</definedName>
    <definedName name="OAO" localSheetId="1">#REF!</definedName>
    <definedName name="OAO">#REF!</definedName>
    <definedName name="OO" localSheetId="1">[4]CUBACAO!#REF!</definedName>
    <definedName name="OO">[4]CUBACAO!#REF!</definedName>
    <definedName name="OOO" localSheetId="1">[4]CUBACAO!#REF!</definedName>
    <definedName name="OOO">[4]CUBACAO!#REF!</definedName>
    <definedName name="Plan_ajustada" localSheetId="1">[13]Composição!#REF!</definedName>
    <definedName name="Plan_ajustada">[13]Composição!#REF!</definedName>
    <definedName name="Popular" localSheetId="1" hidden="1">{#N/A,#N/A,FALSE,"Cronograma";#N/A,#N/A,FALSE,"Cronogr. 2"}</definedName>
    <definedName name="Popular" hidden="1">{#N/A,#N/A,FALSE,"Cronograma";#N/A,#N/A,FALSE,"Cronogr. 2"}</definedName>
    <definedName name="PP">[4]CUBACAO!#REF!</definedName>
    <definedName name="QQ">[4]CUBACAO!#REF!</definedName>
    <definedName name="respFiscal">[5]DADOS!$A$23</definedName>
    <definedName name="rio" localSheetId="1" hidden="1">{#N/A,#N/A,FALSE,"Cronograma";#N/A,#N/A,FALSE,"Cronogr. 2"}</definedName>
    <definedName name="rio" hidden="1">{#N/A,#N/A,FALSE,"Cronograma";#N/A,#N/A,FALSE,"Cronogr. 2"}</definedName>
    <definedName name="RR">[4]CUBACAO!#REF!</definedName>
    <definedName name="SINAPI_AC" localSheetId="1" hidden="1">#REF!</definedName>
    <definedName name="SINAPI_AC" hidden="1">#REF!</definedName>
    <definedName name="SOMA" localSheetId="1">#REF!</definedName>
    <definedName name="SOMA">#REF!</definedName>
    <definedName name="ss" localSheetId="1" hidden="1">{#N/A,#N/A,FALSE,"Cronograma";#N/A,#N/A,FALSE,"Cronogr. 2"}</definedName>
    <definedName name="SS">[4]CUBACAO!#REF!</definedName>
    <definedName name="SubItemInvestimento">OFFSET([10]Listas!$A$2,1,MATCH([10]QCI!$E1,[10]Listas!$2:$2,0)-1,INDEX([10]Listas!$2:$2,MATCH([10]QCI!$E1,[10]Listas!$2:$2,0)+1))</definedName>
    <definedName name="T" localSheetId="1">#REF!</definedName>
    <definedName name="T">#REF!</definedName>
    <definedName name="TESTE">#REF!</definedName>
    <definedName name="TIPOS">[8]BDI!$T$6:$T$8</definedName>
    <definedName name="_xlnm.Print_Titles" localSheetId="0">'BM-03'!$7:$8</definedName>
    <definedName name="_xlnm.Print_Titles" localSheetId="1">'MEMORIAL DE CÁLCULOS'!$7:$8</definedName>
    <definedName name="TotalEventos" localSheetId="1">SUM(TotalPorEvento)</definedName>
    <definedName name="TotalEventos">SUM(TotalPorEvento)</definedName>
    <definedName name="TotalPorEvento">[5]Eventograma_e_Quantitativos!$I$48:OFFSET([5]Eventograma_e_Quantitativos!$I$53,-1,0)</definedName>
    <definedName name="TT" localSheetId="1">[4]CUBACAO!#REF!</definedName>
    <definedName name="TT">[4]CUBACAO!#REF!</definedName>
    <definedName name="UU" localSheetId="1">[4]CUBACAO!#REF!</definedName>
    <definedName name="UU">[4]CUBACAO!#REF!</definedName>
    <definedName name="ValoresPorEvento">[5]Eventograma_e_Quantitativos!$N$48:OFFSET([5]Eventograma_e_Quantitativos!$BK$53,-1,0)</definedName>
    <definedName name="VV" localSheetId="1">[4]CUBACAO!#REF!</definedName>
    <definedName name="VV">[4]CUBACAO!#REF!</definedName>
    <definedName name="wrn.Cronograma." localSheetId="1" hidden="1">{#N/A,#N/A,FALSE,"Cronograma";#N/A,#N/A,FALSE,"Cronogr. 2"}</definedName>
    <definedName name="wrn.Cronograma." hidden="1">{#N/A,#N/A,FALSE,"Cronograma";#N/A,#N/A,FALSE,"Cronogr. 2"}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>[4]CUBACAO!#REF!</definedName>
    <definedName name="XX">[4]CUBACAO!#REF!</definedName>
    <definedName name="YY">[4]CUBACAO!#REF!</definedName>
    <definedName name="ZZ">[4]CUBACAO!#REF!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8" i="5" l="1"/>
  <c r="C136" i="5"/>
  <c r="J136" i="5" s="1"/>
  <c r="J135" i="5" s="1"/>
  <c r="I211" i="1" s="1"/>
  <c r="C129" i="5"/>
  <c r="J129" i="5" s="1"/>
  <c r="J128" i="5" s="1"/>
  <c r="I208" i="1" s="1"/>
  <c r="C132" i="5"/>
  <c r="J132" i="5" s="1"/>
  <c r="J131" i="5" s="1"/>
  <c r="I209" i="1" s="1"/>
  <c r="D126" i="5"/>
  <c r="I126" i="5" s="1"/>
  <c r="J126" i="5" s="1"/>
  <c r="J124" i="5" s="1"/>
  <c r="I207" i="1" s="1"/>
  <c r="I125" i="5"/>
  <c r="J125" i="5" s="1"/>
  <c r="D121" i="5"/>
  <c r="I121" i="5" s="1"/>
  <c r="J121" i="5" s="1"/>
  <c r="J120" i="5" s="1"/>
  <c r="I205" i="1" s="1"/>
  <c r="I117" i="5"/>
  <c r="J117" i="5" s="1"/>
  <c r="D118" i="5"/>
  <c r="I118" i="5" s="1"/>
  <c r="J118" i="5" s="1"/>
  <c r="K112" i="5"/>
  <c r="B112" i="5"/>
  <c r="A112" i="5"/>
  <c r="I113" i="5"/>
  <c r="J113" i="5" s="1"/>
  <c r="J112" i="5" s="1"/>
  <c r="K135" i="5"/>
  <c r="B135" i="5"/>
  <c r="A135" i="5"/>
  <c r="A131" i="5"/>
  <c r="B131" i="5"/>
  <c r="K131" i="5"/>
  <c r="K128" i="5"/>
  <c r="B128" i="5"/>
  <c r="A128" i="5"/>
  <c r="K124" i="5"/>
  <c r="B124" i="5"/>
  <c r="A124" i="5"/>
  <c r="K120" i="5"/>
  <c r="B120" i="5"/>
  <c r="A120" i="5"/>
  <c r="K116" i="5"/>
  <c r="B116" i="5"/>
  <c r="A116" i="5"/>
  <c r="J116" i="5" l="1"/>
  <c r="I204" i="1" s="1"/>
  <c r="C108" i="5" l="1"/>
  <c r="J108" i="5" s="1"/>
  <c r="J107" i="5" s="1"/>
  <c r="K107" i="5"/>
  <c r="B107" i="5"/>
  <c r="A107" i="5"/>
  <c r="K104" i="5"/>
  <c r="B104" i="5"/>
  <c r="A104" i="5"/>
  <c r="K101" i="5"/>
  <c r="A101" i="5"/>
  <c r="B101" i="5"/>
  <c r="J98" i="5"/>
  <c r="J97" i="5" s="1"/>
  <c r="I58" i="1" s="1"/>
  <c r="K97" i="5"/>
  <c r="B97" i="5"/>
  <c r="A97" i="5"/>
  <c r="I66" i="5"/>
  <c r="J66" i="5" s="1"/>
  <c r="I67" i="5"/>
  <c r="J67" i="5" s="1"/>
  <c r="I68" i="5"/>
  <c r="J68" i="5" s="1"/>
  <c r="I69" i="5"/>
  <c r="J69" i="5" s="1"/>
  <c r="I70" i="5"/>
  <c r="J70" i="5" s="1"/>
  <c r="I71" i="5"/>
  <c r="J71" i="5" s="1"/>
  <c r="I72" i="5"/>
  <c r="J72" i="5" s="1"/>
  <c r="I73" i="5"/>
  <c r="J73" i="5" s="1"/>
  <c r="I74" i="5"/>
  <c r="J74" i="5" s="1"/>
  <c r="I75" i="5"/>
  <c r="J75" i="5" s="1"/>
  <c r="I76" i="5"/>
  <c r="J76" i="5" s="1"/>
  <c r="I77" i="5"/>
  <c r="J77" i="5" s="1"/>
  <c r="I78" i="5"/>
  <c r="J78" i="5" s="1"/>
  <c r="I79" i="5"/>
  <c r="J79" i="5" s="1"/>
  <c r="I80" i="5"/>
  <c r="J80" i="5" s="1"/>
  <c r="I81" i="5"/>
  <c r="J81" i="5" s="1"/>
  <c r="I82" i="5"/>
  <c r="J82" i="5" s="1"/>
  <c r="I83" i="5"/>
  <c r="J83" i="5" s="1"/>
  <c r="I84" i="5"/>
  <c r="J84" i="5" s="1"/>
  <c r="I85" i="5"/>
  <c r="J85" i="5" s="1"/>
  <c r="I86" i="5"/>
  <c r="J86" i="5" s="1"/>
  <c r="I87" i="5"/>
  <c r="J87" i="5" s="1"/>
  <c r="I88" i="5"/>
  <c r="J88" i="5" s="1"/>
  <c r="I89" i="5"/>
  <c r="J89" i="5" s="1"/>
  <c r="I90" i="5"/>
  <c r="J90" i="5" s="1"/>
  <c r="I91" i="5"/>
  <c r="J91" i="5" s="1"/>
  <c r="I92" i="5"/>
  <c r="J92" i="5" s="1"/>
  <c r="I93" i="5"/>
  <c r="J93" i="5" s="1"/>
  <c r="C95" i="5"/>
  <c r="J95" i="5" s="1"/>
  <c r="C94" i="5"/>
  <c r="B64" i="5"/>
  <c r="A64" i="5"/>
  <c r="K64" i="5"/>
  <c r="K60" i="5"/>
  <c r="B60" i="5"/>
  <c r="A60" i="5"/>
  <c r="A57" i="5"/>
  <c r="B57" i="5"/>
  <c r="K57" i="5"/>
  <c r="A54" i="5"/>
  <c r="B54" i="5"/>
  <c r="K54" i="5"/>
  <c r="A51" i="5"/>
  <c r="B51" i="5"/>
  <c r="K51" i="5"/>
  <c r="K48" i="5"/>
  <c r="B48" i="5"/>
  <c r="A48" i="5"/>
  <c r="K45" i="5"/>
  <c r="B45" i="5"/>
  <c r="A45" i="5"/>
  <c r="J61" i="5"/>
  <c r="J60" i="5" s="1"/>
  <c r="I54" i="1" s="1"/>
  <c r="J58" i="5"/>
  <c r="J57" i="5" s="1"/>
  <c r="I53" i="1" s="1"/>
  <c r="J55" i="5"/>
  <c r="J54" i="5" s="1"/>
  <c r="I52" i="1" s="1"/>
  <c r="J52" i="5"/>
  <c r="J51" i="5" s="1"/>
  <c r="I51" i="1" s="1"/>
  <c r="J49" i="5"/>
  <c r="J48" i="5" s="1"/>
  <c r="I50" i="1" s="1"/>
  <c r="J46" i="5"/>
  <c r="J45" i="5" s="1"/>
  <c r="I49" i="1" s="1"/>
  <c r="I92" i="1" l="1"/>
  <c r="C43" i="5" l="1"/>
  <c r="K42" i="5"/>
  <c r="B42" i="5"/>
  <c r="A42" i="5"/>
  <c r="I202" i="1"/>
  <c r="D39" i="5"/>
  <c r="I39" i="5" s="1"/>
  <c r="J39" i="5" s="1"/>
  <c r="I38" i="5"/>
  <c r="J38" i="5" s="1"/>
  <c r="P16" i="1"/>
  <c r="P17" i="1"/>
  <c r="P19" i="1"/>
  <c r="P20" i="1"/>
  <c r="P21" i="1"/>
  <c r="P22" i="1"/>
  <c r="P23" i="1"/>
  <c r="P24" i="1"/>
  <c r="P25" i="1"/>
  <c r="P26" i="1"/>
  <c r="P27" i="1"/>
  <c r="P28" i="1"/>
  <c r="P30" i="1"/>
  <c r="P31" i="1"/>
  <c r="P34" i="1"/>
  <c r="P36" i="1"/>
  <c r="P37" i="1"/>
  <c r="P38" i="1"/>
  <c r="P39" i="1"/>
  <c r="P42" i="1"/>
  <c r="P43" i="1"/>
  <c r="P44" i="1"/>
  <c r="P57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I37" i="5" l="1"/>
  <c r="J37" i="5" s="1"/>
  <c r="E33" i="5" l="1"/>
  <c r="I33" i="5" s="1"/>
  <c r="J33" i="5" s="1"/>
  <c r="I32" i="5"/>
  <c r="J32" i="5" s="1"/>
  <c r="I31" i="5"/>
  <c r="J31" i="5" s="1"/>
  <c r="I30" i="5"/>
  <c r="J30" i="5" s="1"/>
  <c r="J94" i="5"/>
  <c r="J65" i="5" s="1"/>
  <c r="J64" i="5" s="1"/>
  <c r="J29" i="5" l="1"/>
  <c r="I56" i="1"/>
  <c r="J43" i="5" l="1"/>
  <c r="J42" i="5" s="1"/>
  <c r="I41" i="1" s="1"/>
  <c r="J219" i="1" l="1"/>
  <c r="O219" i="1" s="1"/>
  <c r="J220" i="1"/>
  <c r="L219" i="1"/>
  <c r="M219" i="1"/>
  <c r="N219" i="1"/>
  <c r="L220" i="1"/>
  <c r="M220" i="1"/>
  <c r="N220" i="1"/>
  <c r="O220" i="1"/>
  <c r="J161" i="1"/>
  <c r="O161" i="1" s="1"/>
  <c r="L161" i="1"/>
  <c r="M161" i="1"/>
  <c r="N161" i="1"/>
  <c r="J109" i="1"/>
  <c r="O109" i="1" s="1"/>
  <c r="J110" i="1"/>
  <c r="O110" i="1" s="1"/>
  <c r="L109" i="1"/>
  <c r="M109" i="1"/>
  <c r="N109" i="1"/>
  <c r="L110" i="1"/>
  <c r="M110" i="1"/>
  <c r="N110" i="1"/>
  <c r="L97" i="1"/>
  <c r="M97" i="1"/>
  <c r="N97" i="1"/>
  <c r="J97" i="1"/>
  <c r="O97" i="1" s="1"/>
  <c r="J88" i="1"/>
  <c r="O88" i="1" s="1"/>
  <c r="L88" i="1"/>
  <c r="M88" i="1"/>
  <c r="N88" i="1"/>
  <c r="J77" i="1"/>
  <c r="O77" i="1" s="1"/>
  <c r="J78" i="1"/>
  <c r="O78" i="1" s="1"/>
  <c r="L77" i="1"/>
  <c r="M77" i="1"/>
  <c r="N77" i="1"/>
  <c r="L78" i="1"/>
  <c r="M78" i="1"/>
  <c r="N78" i="1"/>
  <c r="J60" i="1"/>
  <c r="O60" i="1" s="1"/>
  <c r="J61" i="1"/>
  <c r="O61" i="1" s="1"/>
  <c r="J62" i="1"/>
  <c r="O62" i="1" s="1"/>
  <c r="J63" i="1"/>
  <c r="O63" i="1" s="1"/>
  <c r="J64" i="1"/>
  <c r="O64" i="1" s="1"/>
  <c r="J65" i="1"/>
  <c r="O65" i="1" s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J49" i="1"/>
  <c r="O49" i="1" s="1"/>
  <c r="P49" i="1" s="1"/>
  <c r="J50" i="1"/>
  <c r="O50" i="1" s="1"/>
  <c r="P50" i="1" s="1"/>
  <c r="J51" i="1"/>
  <c r="O51" i="1" s="1"/>
  <c r="P51" i="1" s="1"/>
  <c r="J52" i="1"/>
  <c r="O52" i="1" s="1"/>
  <c r="P52" i="1" s="1"/>
  <c r="J53" i="1"/>
  <c r="O53" i="1" s="1"/>
  <c r="P53" i="1" s="1"/>
  <c r="J54" i="1"/>
  <c r="O54" i="1" s="1"/>
  <c r="P54" i="1" s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J39" i="1"/>
  <c r="O39" i="1" s="1"/>
  <c r="L39" i="1"/>
  <c r="M39" i="1"/>
  <c r="N39" i="1"/>
  <c r="L28" i="1"/>
  <c r="M28" i="1"/>
  <c r="M12" i="1" l="1"/>
  <c r="M13" i="1"/>
  <c r="M14" i="1"/>
  <c r="M15" i="1"/>
  <c r="M17" i="1"/>
  <c r="M16" i="1" s="1"/>
  <c r="N17" i="1"/>
  <c r="N16" i="1" s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30" i="1"/>
  <c r="M31" i="1"/>
  <c r="M32" i="1"/>
  <c r="M34" i="1"/>
  <c r="N34" i="1"/>
  <c r="M35" i="1"/>
  <c r="M36" i="1"/>
  <c r="N36" i="1"/>
  <c r="M37" i="1"/>
  <c r="N37" i="1"/>
  <c r="M38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56" i="1"/>
  <c r="N56" i="1"/>
  <c r="M57" i="1"/>
  <c r="N57" i="1"/>
  <c r="M58" i="1"/>
  <c r="N58" i="1"/>
  <c r="M59" i="1"/>
  <c r="N59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90" i="1"/>
  <c r="M91" i="1"/>
  <c r="M92" i="1"/>
  <c r="N92" i="1"/>
  <c r="M93" i="1"/>
  <c r="N93" i="1"/>
  <c r="M94" i="1"/>
  <c r="N94" i="1"/>
  <c r="M95" i="1"/>
  <c r="N95" i="1"/>
  <c r="M96" i="1"/>
  <c r="N96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8" i="1"/>
  <c r="N198" i="1"/>
  <c r="M199" i="1"/>
  <c r="N199" i="1"/>
  <c r="M202" i="1"/>
  <c r="M201" i="1" s="1"/>
  <c r="N202" i="1"/>
  <c r="N201" i="1" s="1"/>
  <c r="M204" i="1"/>
  <c r="N204" i="1"/>
  <c r="M205" i="1"/>
  <c r="N205" i="1"/>
  <c r="M207" i="1"/>
  <c r="N207" i="1"/>
  <c r="M208" i="1"/>
  <c r="N208" i="1"/>
  <c r="M209" i="1"/>
  <c r="N209" i="1"/>
  <c r="M211" i="1"/>
  <c r="M210" i="1" s="1"/>
  <c r="N211" i="1"/>
  <c r="N210" i="1" s="1"/>
  <c r="M213" i="1"/>
  <c r="M212" i="1" s="1"/>
  <c r="N213" i="1"/>
  <c r="N212" i="1" s="1"/>
  <c r="M215" i="1"/>
  <c r="N215" i="1"/>
  <c r="M216" i="1"/>
  <c r="N216" i="1"/>
  <c r="M217" i="1"/>
  <c r="N217" i="1"/>
  <c r="M218" i="1"/>
  <c r="N218" i="1"/>
  <c r="M222" i="1"/>
  <c r="N222" i="1"/>
  <c r="M223" i="1"/>
  <c r="N223" i="1"/>
  <c r="M224" i="1"/>
  <c r="N224" i="1"/>
  <c r="M225" i="1"/>
  <c r="N225" i="1"/>
  <c r="M227" i="1"/>
  <c r="N227" i="1"/>
  <c r="M228" i="1"/>
  <c r="N228" i="1"/>
  <c r="M229" i="1"/>
  <c r="N229" i="1"/>
  <c r="M231" i="1"/>
  <c r="N231" i="1"/>
  <c r="M232" i="1"/>
  <c r="N232" i="1"/>
  <c r="M233" i="1"/>
  <c r="N233" i="1"/>
  <c r="M234" i="1"/>
  <c r="N234" i="1"/>
  <c r="M235" i="1"/>
  <c r="N235" i="1"/>
  <c r="J17" i="1"/>
  <c r="O17" i="1" s="1"/>
  <c r="J20" i="1"/>
  <c r="O20" i="1" s="1"/>
  <c r="J21" i="1"/>
  <c r="O21" i="1" s="1"/>
  <c r="J22" i="1"/>
  <c r="O22" i="1" s="1"/>
  <c r="J23" i="1"/>
  <c r="O23" i="1" s="1"/>
  <c r="J24" i="1"/>
  <c r="O24" i="1" s="1"/>
  <c r="J25" i="1"/>
  <c r="O25" i="1" s="1"/>
  <c r="J26" i="1"/>
  <c r="O26" i="1" s="1"/>
  <c r="J27" i="1"/>
  <c r="O27" i="1" s="1"/>
  <c r="J34" i="1"/>
  <c r="O34" i="1" s="1"/>
  <c r="J36" i="1"/>
  <c r="O36" i="1" s="1"/>
  <c r="J37" i="1"/>
  <c r="O37" i="1" s="1"/>
  <c r="J41" i="1"/>
  <c r="O41" i="1" s="1"/>
  <c r="P41" i="1" s="1"/>
  <c r="J42" i="1"/>
  <c r="O42" i="1" s="1"/>
  <c r="J43" i="1"/>
  <c r="O43" i="1" s="1"/>
  <c r="J44" i="1"/>
  <c r="O44" i="1" s="1"/>
  <c r="J45" i="1"/>
  <c r="O45" i="1" s="1"/>
  <c r="P45" i="1" s="1"/>
  <c r="J46" i="1"/>
  <c r="O46" i="1" s="1"/>
  <c r="P46" i="1" s="1"/>
  <c r="J47" i="1"/>
  <c r="O47" i="1" s="1"/>
  <c r="P47" i="1" s="1"/>
  <c r="J48" i="1"/>
  <c r="O48" i="1" s="1"/>
  <c r="P48" i="1" s="1"/>
  <c r="J56" i="1"/>
  <c r="C102" i="5" s="1"/>
  <c r="J102" i="5" s="1"/>
  <c r="J101" i="5" s="1"/>
  <c r="J57" i="1"/>
  <c r="O57" i="1" s="1"/>
  <c r="J58" i="1"/>
  <c r="O58" i="1" s="1"/>
  <c r="P58" i="1" s="1"/>
  <c r="J59" i="1"/>
  <c r="O59" i="1" s="1"/>
  <c r="J67" i="1"/>
  <c r="O67" i="1" s="1"/>
  <c r="J68" i="1"/>
  <c r="O68" i="1" s="1"/>
  <c r="J69" i="1"/>
  <c r="O69" i="1" s="1"/>
  <c r="J70" i="1"/>
  <c r="O70" i="1" s="1"/>
  <c r="J71" i="1"/>
  <c r="O71" i="1" s="1"/>
  <c r="J72" i="1"/>
  <c r="O72" i="1" s="1"/>
  <c r="J73" i="1"/>
  <c r="O73" i="1" s="1"/>
  <c r="J74" i="1"/>
  <c r="O74" i="1" s="1"/>
  <c r="J75" i="1"/>
  <c r="O75" i="1" s="1"/>
  <c r="J76" i="1"/>
  <c r="O76" i="1" s="1"/>
  <c r="J80" i="1"/>
  <c r="O80" i="1" s="1"/>
  <c r="J81" i="1"/>
  <c r="O81" i="1" s="1"/>
  <c r="J82" i="1"/>
  <c r="O82" i="1" s="1"/>
  <c r="J83" i="1"/>
  <c r="O83" i="1" s="1"/>
  <c r="J84" i="1"/>
  <c r="O84" i="1" s="1"/>
  <c r="J85" i="1"/>
  <c r="O85" i="1" s="1"/>
  <c r="J86" i="1"/>
  <c r="O86" i="1" s="1"/>
  <c r="J87" i="1"/>
  <c r="O87" i="1" s="1"/>
  <c r="J92" i="1"/>
  <c r="O92" i="1" s="1"/>
  <c r="P92" i="1" s="1"/>
  <c r="J93" i="1"/>
  <c r="O93" i="1" s="1"/>
  <c r="J94" i="1"/>
  <c r="O94" i="1" s="1"/>
  <c r="J95" i="1"/>
  <c r="O95" i="1" s="1"/>
  <c r="J96" i="1"/>
  <c r="O96" i="1" s="1"/>
  <c r="J99" i="1"/>
  <c r="O99" i="1" s="1"/>
  <c r="J100" i="1"/>
  <c r="O100" i="1" s="1"/>
  <c r="J101" i="1"/>
  <c r="O101" i="1" s="1"/>
  <c r="J102" i="1"/>
  <c r="O102" i="1" s="1"/>
  <c r="J103" i="1"/>
  <c r="O103" i="1" s="1"/>
  <c r="J104" i="1"/>
  <c r="O104" i="1" s="1"/>
  <c r="J105" i="1"/>
  <c r="O105" i="1" s="1"/>
  <c r="J106" i="1"/>
  <c r="O106" i="1" s="1"/>
  <c r="J107" i="1"/>
  <c r="O107" i="1" s="1"/>
  <c r="J108" i="1"/>
  <c r="O108" i="1" s="1"/>
  <c r="J112" i="1"/>
  <c r="O112" i="1" s="1"/>
  <c r="J113" i="1"/>
  <c r="O113" i="1" s="1"/>
  <c r="J114" i="1"/>
  <c r="O114" i="1" s="1"/>
  <c r="J115" i="1"/>
  <c r="O115" i="1" s="1"/>
  <c r="J116" i="1"/>
  <c r="O116" i="1" s="1"/>
  <c r="J117" i="1"/>
  <c r="O117" i="1" s="1"/>
  <c r="J118" i="1"/>
  <c r="O118" i="1" s="1"/>
  <c r="J119" i="1"/>
  <c r="O119" i="1" s="1"/>
  <c r="J120" i="1"/>
  <c r="O120" i="1" s="1"/>
  <c r="J121" i="1"/>
  <c r="O121" i="1" s="1"/>
  <c r="J123" i="1"/>
  <c r="O123" i="1" s="1"/>
  <c r="J124" i="1"/>
  <c r="O124" i="1" s="1"/>
  <c r="J125" i="1"/>
  <c r="O125" i="1" s="1"/>
  <c r="J126" i="1"/>
  <c r="O126" i="1" s="1"/>
  <c r="J127" i="1"/>
  <c r="O127" i="1" s="1"/>
  <c r="J128" i="1"/>
  <c r="O128" i="1" s="1"/>
  <c r="J129" i="1"/>
  <c r="O129" i="1" s="1"/>
  <c r="J130" i="1"/>
  <c r="O130" i="1" s="1"/>
  <c r="J131" i="1"/>
  <c r="O131" i="1" s="1"/>
  <c r="J132" i="1"/>
  <c r="O132" i="1" s="1"/>
  <c r="J133" i="1"/>
  <c r="O133" i="1" s="1"/>
  <c r="J134" i="1"/>
  <c r="O134" i="1" s="1"/>
  <c r="J135" i="1"/>
  <c r="O135" i="1" s="1"/>
  <c r="J136" i="1"/>
  <c r="O136" i="1" s="1"/>
  <c r="J137" i="1"/>
  <c r="O137" i="1" s="1"/>
  <c r="J138" i="1"/>
  <c r="O138" i="1" s="1"/>
  <c r="J139" i="1"/>
  <c r="O139" i="1" s="1"/>
  <c r="J140" i="1"/>
  <c r="O140" i="1" s="1"/>
  <c r="J141" i="1"/>
  <c r="O141" i="1" s="1"/>
  <c r="J142" i="1"/>
  <c r="O142" i="1" s="1"/>
  <c r="J143" i="1"/>
  <c r="O143" i="1" s="1"/>
  <c r="J144" i="1"/>
  <c r="O144" i="1" s="1"/>
  <c r="J145" i="1"/>
  <c r="O145" i="1" s="1"/>
  <c r="J146" i="1"/>
  <c r="O146" i="1" s="1"/>
  <c r="J147" i="1"/>
  <c r="O147" i="1" s="1"/>
  <c r="J148" i="1"/>
  <c r="O148" i="1" s="1"/>
  <c r="J149" i="1"/>
  <c r="O149" i="1" s="1"/>
  <c r="J150" i="1"/>
  <c r="O150" i="1" s="1"/>
  <c r="J151" i="1"/>
  <c r="O151" i="1" s="1"/>
  <c r="J152" i="1"/>
  <c r="O152" i="1" s="1"/>
  <c r="J154" i="1"/>
  <c r="O154" i="1" s="1"/>
  <c r="J155" i="1"/>
  <c r="O155" i="1" s="1"/>
  <c r="J156" i="1"/>
  <c r="O156" i="1" s="1"/>
  <c r="J157" i="1"/>
  <c r="O157" i="1" s="1"/>
  <c r="J158" i="1"/>
  <c r="O158" i="1" s="1"/>
  <c r="J159" i="1"/>
  <c r="O159" i="1" s="1"/>
  <c r="J160" i="1"/>
  <c r="O160" i="1" s="1"/>
  <c r="J163" i="1"/>
  <c r="O163" i="1" s="1"/>
  <c r="J164" i="1"/>
  <c r="O164" i="1" s="1"/>
  <c r="J165" i="1"/>
  <c r="O165" i="1" s="1"/>
  <c r="J166" i="1"/>
  <c r="O166" i="1" s="1"/>
  <c r="J167" i="1"/>
  <c r="O167" i="1" s="1"/>
  <c r="J168" i="1"/>
  <c r="O168" i="1" s="1"/>
  <c r="J169" i="1"/>
  <c r="O169" i="1" s="1"/>
  <c r="J170" i="1"/>
  <c r="O170" i="1" s="1"/>
  <c r="J171" i="1"/>
  <c r="O171" i="1" s="1"/>
  <c r="J172" i="1"/>
  <c r="O172" i="1" s="1"/>
  <c r="J173" i="1"/>
  <c r="O173" i="1" s="1"/>
  <c r="J174" i="1"/>
  <c r="O174" i="1" s="1"/>
  <c r="J175" i="1"/>
  <c r="O175" i="1" s="1"/>
  <c r="J176" i="1"/>
  <c r="O176" i="1" s="1"/>
  <c r="J177" i="1"/>
  <c r="O177" i="1" s="1"/>
  <c r="J178" i="1"/>
  <c r="O178" i="1" s="1"/>
  <c r="J179" i="1"/>
  <c r="O179" i="1" s="1"/>
  <c r="J180" i="1"/>
  <c r="O180" i="1" s="1"/>
  <c r="J181" i="1"/>
  <c r="O181" i="1" s="1"/>
  <c r="J182" i="1"/>
  <c r="O182" i="1" s="1"/>
  <c r="J183" i="1"/>
  <c r="O183" i="1" s="1"/>
  <c r="J184" i="1"/>
  <c r="O184" i="1" s="1"/>
  <c r="J185" i="1"/>
  <c r="O185" i="1" s="1"/>
  <c r="J187" i="1"/>
  <c r="O187" i="1" s="1"/>
  <c r="J188" i="1"/>
  <c r="O188" i="1" s="1"/>
  <c r="J189" i="1"/>
  <c r="O189" i="1" s="1"/>
  <c r="J190" i="1"/>
  <c r="O190" i="1" s="1"/>
  <c r="J191" i="1"/>
  <c r="O191" i="1" s="1"/>
  <c r="J192" i="1"/>
  <c r="O192" i="1" s="1"/>
  <c r="J193" i="1"/>
  <c r="O193" i="1" s="1"/>
  <c r="J194" i="1"/>
  <c r="O194" i="1" s="1"/>
  <c r="J195" i="1"/>
  <c r="O195" i="1" s="1"/>
  <c r="J196" i="1"/>
  <c r="O196" i="1" s="1"/>
  <c r="J198" i="1"/>
  <c r="O198" i="1" s="1"/>
  <c r="J199" i="1"/>
  <c r="O199" i="1" s="1"/>
  <c r="J202" i="1"/>
  <c r="O202" i="1" s="1"/>
  <c r="P202" i="1" s="1"/>
  <c r="J204" i="1"/>
  <c r="O204" i="1" s="1"/>
  <c r="P204" i="1" s="1"/>
  <c r="J205" i="1"/>
  <c r="O205" i="1" s="1"/>
  <c r="P205" i="1" s="1"/>
  <c r="J207" i="1"/>
  <c r="O207" i="1" s="1"/>
  <c r="P207" i="1" s="1"/>
  <c r="J208" i="1"/>
  <c r="O208" i="1" s="1"/>
  <c r="P208" i="1" s="1"/>
  <c r="J209" i="1"/>
  <c r="O209" i="1" s="1"/>
  <c r="P209" i="1" s="1"/>
  <c r="J211" i="1"/>
  <c r="O211" i="1" s="1"/>
  <c r="P211" i="1" s="1"/>
  <c r="J213" i="1"/>
  <c r="O213" i="1" s="1"/>
  <c r="J215" i="1"/>
  <c r="O215" i="1" s="1"/>
  <c r="J216" i="1"/>
  <c r="O216" i="1" s="1"/>
  <c r="J217" i="1"/>
  <c r="O217" i="1" s="1"/>
  <c r="J218" i="1"/>
  <c r="O218" i="1" s="1"/>
  <c r="J222" i="1"/>
  <c r="O222" i="1" s="1"/>
  <c r="J223" i="1"/>
  <c r="O223" i="1" s="1"/>
  <c r="J224" i="1"/>
  <c r="O224" i="1" s="1"/>
  <c r="J225" i="1"/>
  <c r="O225" i="1" s="1"/>
  <c r="J227" i="1"/>
  <c r="O227" i="1" s="1"/>
  <c r="J228" i="1"/>
  <c r="O228" i="1" s="1"/>
  <c r="J229" i="1"/>
  <c r="O229" i="1" s="1"/>
  <c r="J231" i="1"/>
  <c r="O231" i="1" s="1"/>
  <c r="J232" i="1"/>
  <c r="O232" i="1" s="1"/>
  <c r="J233" i="1"/>
  <c r="O233" i="1" s="1"/>
  <c r="J234" i="1"/>
  <c r="O234" i="1" s="1"/>
  <c r="J235" i="1"/>
  <c r="O235" i="1" s="1"/>
  <c r="A5" i="5"/>
  <c r="A4" i="5"/>
  <c r="K36" i="5"/>
  <c r="B36" i="5"/>
  <c r="A36" i="5"/>
  <c r="K28" i="5"/>
  <c r="B28" i="5"/>
  <c r="A28" i="5"/>
  <c r="K23" i="5"/>
  <c r="B23" i="5"/>
  <c r="A23" i="5"/>
  <c r="K20" i="5"/>
  <c r="B20" i="5"/>
  <c r="A20" i="5"/>
  <c r="K17" i="5"/>
  <c r="B17" i="5"/>
  <c r="A17" i="5"/>
  <c r="K14" i="5"/>
  <c r="B14" i="5"/>
  <c r="A14" i="5"/>
  <c r="K11" i="5"/>
  <c r="B11" i="5"/>
  <c r="A11" i="5"/>
  <c r="J38" i="1"/>
  <c r="J24" i="5"/>
  <c r="J23" i="5" s="1"/>
  <c r="J21" i="5"/>
  <c r="J20" i="5" s="1"/>
  <c r="J18" i="5"/>
  <c r="J17" i="5" s="1"/>
  <c r="J15" i="5"/>
  <c r="J14" i="5" s="1"/>
  <c r="J12" i="5"/>
  <c r="J11" i="5" s="1"/>
  <c r="A1" i="5"/>
  <c r="I90" i="1" l="1"/>
  <c r="C105" i="5"/>
  <c r="J105" i="5" s="1"/>
  <c r="J104" i="5" s="1"/>
  <c r="I91" i="1" s="1"/>
  <c r="O56" i="1"/>
  <c r="P56" i="1" s="1"/>
  <c r="I11" i="1"/>
  <c r="J11" i="1" s="1"/>
  <c r="I14" i="1"/>
  <c r="J14" i="1" s="1"/>
  <c r="O14" i="1" s="1"/>
  <c r="P14" i="1" s="1"/>
  <c r="I13" i="1"/>
  <c r="J13" i="1" s="1"/>
  <c r="O13" i="1" s="1"/>
  <c r="P13" i="1" s="1"/>
  <c r="I12" i="1"/>
  <c r="N12" i="1" s="1"/>
  <c r="I15" i="1"/>
  <c r="J15" i="1" s="1"/>
  <c r="O15" i="1" s="1"/>
  <c r="P15" i="1" s="1"/>
  <c r="N214" i="1"/>
  <c r="M214" i="1"/>
  <c r="N13" i="1"/>
  <c r="O212" i="1"/>
  <c r="O210" i="1"/>
  <c r="P210" i="1" s="1"/>
  <c r="O16" i="1"/>
  <c r="O201" i="1"/>
  <c r="P201" i="1" s="1"/>
  <c r="O38" i="1"/>
  <c r="J36" i="5"/>
  <c r="I35" i="1" s="1"/>
  <c r="N38" i="1"/>
  <c r="J28" i="1"/>
  <c r="O28" i="1" s="1"/>
  <c r="N28" i="1"/>
  <c r="N19" i="1" s="1"/>
  <c r="M203" i="1"/>
  <c r="O214" i="1"/>
  <c r="N153" i="1"/>
  <c r="O153" i="1"/>
  <c r="M153" i="1"/>
  <c r="O98" i="1"/>
  <c r="N98" i="1"/>
  <c r="M98" i="1"/>
  <c r="M89" i="1"/>
  <c r="O79" i="1"/>
  <c r="N79" i="1"/>
  <c r="M79" i="1"/>
  <c r="O66" i="1"/>
  <c r="N66" i="1"/>
  <c r="M66" i="1"/>
  <c r="N55" i="1"/>
  <c r="M55" i="1"/>
  <c r="N40" i="1"/>
  <c r="M40" i="1"/>
  <c r="O40" i="1"/>
  <c r="P40" i="1" s="1"/>
  <c r="M221" i="1"/>
  <c r="M33" i="1"/>
  <c r="M206" i="1"/>
  <c r="N197" i="1"/>
  <c r="M29" i="1"/>
  <c r="M19" i="1"/>
  <c r="M18" i="1" s="1"/>
  <c r="N162" i="1"/>
  <c r="N221" i="1"/>
  <c r="N226" i="1"/>
  <c r="N203" i="1"/>
  <c r="M186" i="1"/>
  <c r="N111" i="1"/>
  <c r="M111" i="1"/>
  <c r="M226" i="1"/>
  <c r="N230" i="1"/>
  <c r="M230" i="1"/>
  <c r="N122" i="1"/>
  <c r="N206" i="1"/>
  <c r="M122" i="1"/>
  <c r="M162" i="1"/>
  <c r="O221" i="1"/>
  <c r="M197" i="1"/>
  <c r="N186" i="1"/>
  <c r="O186" i="1"/>
  <c r="O197" i="1"/>
  <c r="O122" i="1"/>
  <c r="O230" i="1"/>
  <c r="O206" i="1"/>
  <c r="P206" i="1" s="1"/>
  <c r="O203" i="1"/>
  <c r="P203" i="1" s="1"/>
  <c r="O226" i="1"/>
  <c r="O162" i="1"/>
  <c r="O111" i="1"/>
  <c r="J12" i="1" l="1"/>
  <c r="O12" i="1" s="1"/>
  <c r="P12" i="1" s="1"/>
  <c r="O55" i="1"/>
  <c r="P55" i="1" s="1"/>
  <c r="N14" i="1"/>
  <c r="N90" i="1"/>
  <c r="J90" i="1"/>
  <c r="O90" i="1" s="1"/>
  <c r="N15" i="1"/>
  <c r="O19" i="1"/>
  <c r="N200" i="1"/>
  <c r="M200" i="1"/>
  <c r="O200" i="1"/>
  <c r="P200" i="1" s="1"/>
  <c r="O11" i="1"/>
  <c r="P11" i="1" s="1"/>
  <c r="N11" i="1"/>
  <c r="M11" i="1"/>
  <c r="P90" i="1" l="1"/>
  <c r="N91" i="1"/>
  <c r="N89" i="1" s="1"/>
  <c r="J91" i="1"/>
  <c r="O91" i="1" s="1"/>
  <c r="P91" i="1" s="1"/>
  <c r="J30" i="1"/>
  <c r="O30" i="1" s="1"/>
  <c r="N30" i="1"/>
  <c r="W235" i="1"/>
  <c r="L235" i="1" s="1"/>
  <c r="W234" i="1"/>
  <c r="L234" i="1" s="1"/>
  <c r="W233" i="1"/>
  <c r="L233" i="1"/>
  <c r="W232" i="1"/>
  <c r="L232" i="1"/>
  <c r="W231" i="1"/>
  <c r="L231" i="1" s="1"/>
  <c r="W229" i="1"/>
  <c r="L229" i="1" s="1"/>
  <c r="W228" i="1"/>
  <c r="L228" i="1" s="1"/>
  <c r="W227" i="1"/>
  <c r="L227" i="1"/>
  <c r="W225" i="1"/>
  <c r="L225" i="1"/>
  <c r="W224" i="1"/>
  <c r="L224" i="1" s="1"/>
  <c r="W223" i="1"/>
  <c r="L223" i="1" s="1"/>
  <c r="W222" i="1"/>
  <c r="L222" i="1" s="1"/>
  <c r="W218" i="1"/>
  <c r="L218" i="1"/>
  <c r="W217" i="1"/>
  <c r="L217" i="1"/>
  <c r="W216" i="1"/>
  <c r="L216" i="1" s="1"/>
  <c r="W215" i="1"/>
  <c r="L215" i="1" s="1"/>
  <c r="W213" i="1"/>
  <c r="L213" i="1" s="1"/>
  <c r="W211" i="1"/>
  <c r="L211" i="1" s="1"/>
  <c r="W209" i="1"/>
  <c r="L209" i="1" s="1"/>
  <c r="W208" i="1"/>
  <c r="L208" i="1"/>
  <c r="W207" i="1"/>
  <c r="L207" i="1"/>
  <c r="W205" i="1"/>
  <c r="L205" i="1"/>
  <c r="W204" i="1"/>
  <c r="L204" i="1"/>
  <c r="W202" i="1"/>
  <c r="L202" i="1" s="1"/>
  <c r="W199" i="1"/>
  <c r="L199" i="1"/>
  <c r="W198" i="1"/>
  <c r="L198" i="1" s="1"/>
  <c r="W196" i="1"/>
  <c r="L196" i="1"/>
  <c r="W195" i="1"/>
  <c r="L195" i="1" s="1"/>
  <c r="W194" i="1"/>
  <c r="L194" i="1"/>
  <c r="W193" i="1"/>
  <c r="L193" i="1"/>
  <c r="W192" i="1"/>
  <c r="L192" i="1" s="1"/>
  <c r="W191" i="1"/>
  <c r="L191" i="1" s="1"/>
  <c r="W190" i="1"/>
  <c r="L190" i="1" s="1"/>
  <c r="W189" i="1"/>
  <c r="L189" i="1"/>
  <c r="W188" i="1"/>
  <c r="L188" i="1"/>
  <c r="W187" i="1"/>
  <c r="L187" i="1" s="1"/>
  <c r="W185" i="1"/>
  <c r="L185" i="1" s="1"/>
  <c r="W184" i="1"/>
  <c r="L184" i="1" s="1"/>
  <c r="W183" i="1"/>
  <c r="L183" i="1"/>
  <c r="W182" i="1"/>
  <c r="L182" i="1"/>
  <c r="W181" i="1"/>
  <c r="L181" i="1" s="1"/>
  <c r="W180" i="1"/>
  <c r="L180" i="1"/>
  <c r="W179" i="1"/>
  <c r="L179" i="1"/>
  <c r="W178" i="1"/>
  <c r="L178" i="1" s="1"/>
  <c r="W177" i="1"/>
  <c r="L177" i="1" s="1"/>
  <c r="W176" i="1"/>
  <c r="L176" i="1" s="1"/>
  <c r="W175" i="1"/>
  <c r="L175" i="1"/>
  <c r="W174" i="1"/>
  <c r="L174" i="1"/>
  <c r="W173" i="1"/>
  <c r="L173" i="1" s="1"/>
  <c r="W172" i="1"/>
  <c r="L172" i="1"/>
  <c r="W171" i="1"/>
  <c r="L171" i="1"/>
  <c r="W170" i="1"/>
  <c r="L170" i="1" s="1"/>
  <c r="W169" i="1"/>
  <c r="L169" i="1" s="1"/>
  <c r="W168" i="1"/>
  <c r="L168" i="1" s="1"/>
  <c r="W167" i="1"/>
  <c r="L167" i="1"/>
  <c r="W166" i="1"/>
  <c r="L166" i="1"/>
  <c r="W165" i="1"/>
  <c r="L165" i="1" s="1"/>
  <c r="W164" i="1"/>
  <c r="L164" i="1"/>
  <c r="W163" i="1"/>
  <c r="L163" i="1"/>
  <c r="W160" i="1"/>
  <c r="L160" i="1"/>
  <c r="W159" i="1"/>
  <c r="L159" i="1"/>
  <c r="W158" i="1"/>
  <c r="L158" i="1" s="1"/>
  <c r="W157" i="1"/>
  <c r="L157" i="1"/>
  <c r="W156" i="1"/>
  <c r="L156" i="1"/>
  <c r="W155" i="1"/>
  <c r="L155" i="1" s="1"/>
  <c r="W154" i="1"/>
  <c r="L154" i="1" s="1"/>
  <c r="W152" i="1"/>
  <c r="L152" i="1" s="1"/>
  <c r="W151" i="1"/>
  <c r="L151" i="1"/>
  <c r="W150" i="1"/>
  <c r="L150" i="1"/>
  <c r="W149" i="1"/>
  <c r="L149" i="1" s="1"/>
  <c r="W148" i="1"/>
  <c r="L148" i="1" s="1"/>
  <c r="W147" i="1"/>
  <c r="L147" i="1" s="1"/>
  <c r="W146" i="1"/>
  <c r="L146" i="1"/>
  <c r="W145" i="1"/>
  <c r="L145" i="1"/>
  <c r="W144" i="1"/>
  <c r="L144" i="1" s="1"/>
  <c r="W143" i="1"/>
  <c r="L143" i="1"/>
  <c r="W142" i="1"/>
  <c r="L142" i="1"/>
  <c r="W141" i="1"/>
  <c r="L141" i="1" s="1"/>
  <c r="W140" i="1"/>
  <c r="L140" i="1" s="1"/>
  <c r="W139" i="1"/>
  <c r="L139" i="1" s="1"/>
  <c r="W138" i="1"/>
  <c r="L138" i="1"/>
  <c r="W137" i="1"/>
  <c r="L137" i="1"/>
  <c r="W136" i="1"/>
  <c r="L136" i="1" s="1"/>
  <c r="W135" i="1"/>
  <c r="L135" i="1"/>
  <c r="W134" i="1"/>
  <c r="L134" i="1"/>
  <c r="W133" i="1"/>
  <c r="L133" i="1" s="1"/>
  <c r="W132" i="1"/>
  <c r="L132" i="1" s="1"/>
  <c r="W131" i="1"/>
  <c r="L131" i="1" s="1"/>
  <c r="W130" i="1"/>
  <c r="L130" i="1"/>
  <c r="W129" i="1"/>
  <c r="L129" i="1"/>
  <c r="W128" i="1"/>
  <c r="L128" i="1" s="1"/>
  <c r="W127" i="1"/>
  <c r="L127" i="1"/>
  <c r="W126" i="1"/>
  <c r="L126" i="1"/>
  <c r="W125" i="1"/>
  <c r="L125" i="1" s="1"/>
  <c r="W124" i="1"/>
  <c r="L124" i="1" s="1"/>
  <c r="W123" i="1"/>
  <c r="L123" i="1" s="1"/>
  <c r="W121" i="1"/>
  <c r="L121" i="1"/>
  <c r="W120" i="1"/>
  <c r="L120" i="1"/>
  <c r="W119" i="1"/>
  <c r="L119" i="1" s="1"/>
  <c r="W118" i="1"/>
  <c r="L118" i="1" s="1"/>
  <c r="W117" i="1"/>
  <c r="L117" i="1" s="1"/>
  <c r="W116" i="1"/>
  <c r="L116" i="1"/>
  <c r="W115" i="1"/>
  <c r="L115" i="1"/>
  <c r="W114" i="1"/>
  <c r="L114" i="1" s="1"/>
  <c r="W113" i="1"/>
  <c r="L113" i="1"/>
  <c r="W112" i="1"/>
  <c r="L112" i="1"/>
  <c r="W108" i="1"/>
  <c r="L108" i="1"/>
  <c r="W107" i="1"/>
  <c r="L107" i="1"/>
  <c r="W106" i="1"/>
  <c r="L106" i="1" s="1"/>
  <c r="W105" i="1"/>
  <c r="L105" i="1"/>
  <c r="W104" i="1"/>
  <c r="L104" i="1"/>
  <c r="W103" i="1"/>
  <c r="L103" i="1" s="1"/>
  <c r="W102" i="1"/>
  <c r="L102" i="1" s="1"/>
  <c r="W101" i="1"/>
  <c r="L101" i="1" s="1"/>
  <c r="W100" i="1"/>
  <c r="L100" i="1"/>
  <c r="W99" i="1"/>
  <c r="L99" i="1"/>
  <c r="W96" i="1"/>
  <c r="L96" i="1" s="1"/>
  <c r="W95" i="1"/>
  <c r="L95" i="1" s="1"/>
  <c r="W94" i="1"/>
  <c r="L94" i="1" s="1"/>
  <c r="W93" i="1"/>
  <c r="L93" i="1"/>
  <c r="W92" i="1"/>
  <c r="L92" i="1"/>
  <c r="W91" i="1"/>
  <c r="L91" i="1" s="1"/>
  <c r="W90" i="1"/>
  <c r="L90" i="1"/>
  <c r="W87" i="1"/>
  <c r="L87" i="1" s="1"/>
  <c r="W86" i="1"/>
  <c r="L86" i="1"/>
  <c r="W85" i="1"/>
  <c r="L85" i="1"/>
  <c r="W84" i="1"/>
  <c r="L84" i="1" s="1"/>
  <c r="W83" i="1"/>
  <c r="L83" i="1"/>
  <c r="W82" i="1"/>
  <c r="L82" i="1"/>
  <c r="W81" i="1"/>
  <c r="L81" i="1" s="1"/>
  <c r="W80" i="1"/>
  <c r="L80" i="1" s="1"/>
  <c r="W76" i="1"/>
  <c r="L76" i="1" s="1"/>
  <c r="W75" i="1"/>
  <c r="L75" i="1"/>
  <c r="W74" i="1"/>
  <c r="L74" i="1"/>
  <c r="W73" i="1"/>
  <c r="L73" i="1" s="1"/>
  <c r="W72" i="1"/>
  <c r="L72" i="1" s="1"/>
  <c r="W71" i="1"/>
  <c r="L71" i="1" s="1"/>
  <c r="W70" i="1"/>
  <c r="L70" i="1"/>
  <c r="W69" i="1"/>
  <c r="L69" i="1"/>
  <c r="W68" i="1"/>
  <c r="L68" i="1" s="1"/>
  <c r="W67" i="1"/>
  <c r="L67" i="1"/>
  <c r="W59" i="1"/>
  <c r="L59" i="1" s="1"/>
  <c r="W58" i="1"/>
  <c r="L58" i="1"/>
  <c r="W57" i="1"/>
  <c r="L57" i="1"/>
  <c r="W56" i="1"/>
  <c r="L56" i="1" s="1"/>
  <c r="W48" i="1"/>
  <c r="L48" i="1" s="1"/>
  <c r="W47" i="1"/>
  <c r="L47" i="1" s="1"/>
  <c r="W46" i="1"/>
  <c r="L46" i="1"/>
  <c r="W45" i="1"/>
  <c r="L45" i="1"/>
  <c r="W44" i="1"/>
  <c r="L44" i="1" s="1"/>
  <c r="W43" i="1"/>
  <c r="L43" i="1"/>
  <c r="W42" i="1"/>
  <c r="L42" i="1"/>
  <c r="W41" i="1"/>
  <c r="L41" i="1" s="1"/>
  <c r="W38" i="1"/>
  <c r="W37" i="1"/>
  <c r="W36" i="1"/>
  <c r="W35" i="1"/>
  <c r="W34" i="1"/>
  <c r="W32" i="1"/>
  <c r="L32" i="1"/>
  <c r="W31" i="1"/>
  <c r="L31" i="1"/>
  <c r="W30" i="1"/>
  <c r="W27" i="1"/>
  <c r="L27" i="1" s="1"/>
  <c r="W26" i="1"/>
  <c r="L26" i="1"/>
  <c r="W25" i="1"/>
  <c r="L25" i="1"/>
  <c r="W24" i="1"/>
  <c r="W23" i="1"/>
  <c r="W22" i="1"/>
  <c r="W21" i="1"/>
  <c r="W20" i="1"/>
  <c r="W17" i="1"/>
  <c r="L17" i="1"/>
  <c r="W15" i="1"/>
  <c r="L15" i="1"/>
  <c r="W14" i="1"/>
  <c r="L14" i="1"/>
  <c r="W13" i="1"/>
  <c r="L13" i="1"/>
  <c r="W12" i="1"/>
  <c r="L12" i="1"/>
  <c r="W11" i="1"/>
  <c r="O89" i="1" l="1"/>
  <c r="P89" i="1" s="1"/>
  <c r="L212" i="1"/>
  <c r="L40" i="1"/>
  <c r="L210" i="1"/>
  <c r="L201" i="1"/>
  <c r="L16" i="1"/>
  <c r="J28" i="5"/>
  <c r="I32" i="1" s="1"/>
  <c r="L214" i="1"/>
  <c r="L98" i="1"/>
  <c r="L153" i="1"/>
  <c r="L89" i="1"/>
  <c r="L79" i="1"/>
  <c r="L66" i="1"/>
  <c r="L55" i="1"/>
  <c r="M10" i="1"/>
  <c r="M9" i="1" s="1"/>
  <c r="M236" i="1" s="1"/>
  <c r="L197" i="1"/>
  <c r="L203" i="1"/>
  <c r="L162" i="1"/>
  <c r="L24" i="1"/>
  <c r="L122" i="1"/>
  <c r="L226" i="1"/>
  <c r="L36" i="1"/>
  <c r="L111" i="1"/>
  <c r="L20" i="1"/>
  <c r="L38" i="1"/>
  <c r="L186" i="1"/>
  <c r="L221" i="1"/>
  <c r="L22" i="1"/>
  <c r="L34" i="1"/>
  <c r="L206" i="1"/>
  <c r="L230" i="1"/>
  <c r="L21" i="1"/>
  <c r="L23" i="1"/>
  <c r="L11" i="1"/>
  <c r="L30" i="1"/>
  <c r="L29" i="1" s="1"/>
  <c r="L35" i="1"/>
  <c r="L37" i="1"/>
  <c r="L10" i="1" l="1"/>
  <c r="L9" i="1" s="1"/>
  <c r="N31" i="1"/>
  <c r="J31" i="1"/>
  <c r="O31" i="1" s="1"/>
  <c r="L19" i="1"/>
  <c r="L33" i="1"/>
  <c r="N10" i="1"/>
  <c r="N9" i="1" s="1"/>
  <c r="O10" i="1"/>
  <c r="P10" i="1" s="1"/>
  <c r="L200" i="1"/>
  <c r="O9" i="1" l="1"/>
  <c r="P9" i="1" s="1"/>
  <c r="J32" i="1"/>
  <c r="O32" i="1" s="1"/>
  <c r="P32" i="1" s="1"/>
  <c r="N32" i="1"/>
  <c r="N29" i="1" s="1"/>
  <c r="L18" i="1"/>
  <c r="L236" i="1" s="1"/>
  <c r="R3" i="1" s="1"/>
  <c r="O29" i="1" l="1"/>
  <c r="P29" i="1" s="1"/>
  <c r="N35" i="1" l="1"/>
  <c r="N33" i="1" s="1"/>
  <c r="N18" i="1" s="1"/>
  <c r="N236" i="1" s="1"/>
  <c r="J35" i="1" l="1"/>
  <c r="O35" i="1" s="1"/>
  <c r="P35" i="1" s="1"/>
  <c r="O33" i="1" l="1"/>
  <c r="P33" i="1" s="1"/>
  <c r="O18" i="1" l="1"/>
  <c r="P18" i="1" s="1"/>
  <c r="O236" i="1" l="1"/>
  <c r="P236" i="1" s="1"/>
  <c r="L237" i="1" l="1"/>
</calcChain>
</file>

<file path=xl/sharedStrings.xml><?xml version="1.0" encoding="utf-8"?>
<sst xmlns="http://schemas.openxmlformats.org/spreadsheetml/2006/main" count="964" uniqueCount="534">
  <si>
    <t>VALOR EDITAL</t>
  </si>
  <si>
    <t xml:space="preserve">	R$ 1.252.370,60</t>
  </si>
  <si>
    <t>LOCAL: MUNICÍPIO DE COREMAS-PB</t>
  </si>
  <si>
    <t>VALOR C/DESC.</t>
  </si>
  <si>
    <t>DESCONTO:</t>
  </si>
  <si>
    <t>ITEM</t>
  </si>
  <si>
    <t>CÓDIGO</t>
  </si>
  <si>
    <t>REFERÊNCIA</t>
  </si>
  <si>
    <t>DESCRIÇÃO</t>
  </si>
  <si>
    <t>ORIGEM</t>
  </si>
  <si>
    <t>1 ETAPA 01:  GERAL</t>
  </si>
  <si>
    <t>1.1 1 ADMINISTRACAO LOCAL</t>
  </si>
  <si>
    <t>1.1.1</t>
  </si>
  <si>
    <t>O13221</t>
  </si>
  <si>
    <t>ADMINSTRACAO LOCAL - PESSOAL</t>
  </si>
  <si>
    <t>SUPLAN</t>
  </si>
  <si>
    <t>UN</t>
  </si>
  <si>
    <t>1.1.2</t>
  </si>
  <si>
    <t>ADMINISTRACAO LOCAL - DESPESAS GERAIS MENSAIS</t>
  </si>
  <si>
    <t>1.1.3</t>
  </si>
  <si>
    <t>ADMINISTRACAO LOCAL - DESPESAS GERAIS FIXAS</t>
  </si>
  <si>
    <t>1.1.4</t>
  </si>
  <si>
    <t xml:space="preserve">ADMINISTRACAO   LOCAL   -   VECULOS   E EQUIPAMENTOS </t>
  </si>
  <si>
    <t>1.1.5</t>
  </si>
  <si>
    <t xml:space="preserve">ADMINISTRACAO   LOCAL   -   MOVEIS   E UTENSILIOS </t>
  </si>
  <si>
    <t>1.2 DIVERSOS</t>
  </si>
  <si>
    <t>1.2.1</t>
  </si>
  <si>
    <t xml:space="preserve">"AS BUILT" DO PROJETO ARQUITETONICO E DOS   PROJETOS   DE   ENGENHARIA   DE ESTRUTURAS    E    DE    INSTALACOES ELETRICAS,  INSTALACOES  HIDRAULICAS  E INSTALACOES   SANITARIAS   -   ESCOLAS </t>
  </si>
  <si>
    <t>SINAPI</t>
  </si>
  <si>
    <t>2 ETAPA 02: CONSTRUCAO DA ESCOLA</t>
  </si>
  <si>
    <t>2.1 1 SERVICOS PRELIMINARES</t>
  </si>
  <si>
    <t>2.1.1</t>
  </si>
  <si>
    <t>74209/001</t>
  </si>
  <si>
    <t xml:space="preserve">PLACA   DE   OBRA   EM   CHAPA   DE   ACO GALVANIZADO </t>
  </si>
  <si>
    <t>M2</t>
  </si>
  <si>
    <t>2.1.2</t>
  </si>
  <si>
    <t>74077/3</t>
  </si>
  <si>
    <t>LOCACAO   CONVENCIONAL   DE   OBRA, ATRAVES   DE   GABARITO   DE   TABUAS CORRIDAS    PONTALETADAS,    COM REAPROVEITAMENTO   DE   3   VEZES   -</t>
  </si>
  <si>
    <t>2.1.3</t>
  </si>
  <si>
    <t>73822/002</t>
  </si>
  <si>
    <t>LIMPEZA  MECANIZADA  DE  TERRENO  COM REMOCAO DE CAMADA VEGETAL, UTILIZAND O MOTONIVELADORA</t>
  </si>
  <si>
    <t>2.1.4</t>
  </si>
  <si>
    <t>C2851</t>
  </si>
  <si>
    <t xml:space="preserve">INSTALACOES  PROVISORIAS  DE  AGUA, INCLUSIVE  CAIXA  DAGUA  DE  1000L </t>
  </si>
  <si>
    <t>2.1.5</t>
  </si>
  <si>
    <t>11122/ORS</t>
  </si>
  <si>
    <t>ENTRADA    DE    ENERGIA    ELETRICA MONOFASICA  COM  POSTE  DE  CONCRETO, INCLUSIVE   CABEAMENTO,   CAIXA   DE PROTECAO     PARA     MEDIDOR     E</t>
  </si>
  <si>
    <t>2.1.6</t>
  </si>
  <si>
    <t>LIGACAO DOMICILIAR DE ESGOTO DN 100MM, DA  CASA  ATE  A  CAIXA,  COMPOSTO  P  OR 10,0M  TUBO  DE  PVC  ESGOTO  PREDIAL  DN
100MM E CAIXA DE ALVENARIA COM TAMPA DE   CONCRETO   -   FORNECIMENTO   E</t>
  </si>
  <si>
    <t>2.1.7</t>
  </si>
  <si>
    <t>LOCACAO DE CONTAINER 2,30 X 4,30 M, ALT. 2,50   M,   P/   SANITARIO,   C/   5   BACIAS,   1 LAVATORIO  E  4  MICTORIOS,  INCLUSIVE TRANSP/CARGA/DESCARGA</t>
  </si>
  <si>
    <t>MÊS</t>
  </si>
  <si>
    <t>2.1.8</t>
  </si>
  <si>
    <t xml:space="preserve">ALUGUEL  CONTAINER/ESCRIT  INCL  INST ELET  LARG=2,20  COMP=6,20M  ALT=2,50M CHAPA   ACO   C/NERV   TRAPEZ   FORRO C/ISOLTERMO/ACUSTICO CHASSIS REFORC P I S O      C O M P E N S      N A V A L      I N C T R A N S P / C A R G A / D E S C A R G A </t>
  </si>
  <si>
    <t>2.2 2 MOVIMENTO DE TERRA</t>
  </si>
  <si>
    <t>2.2.1</t>
  </si>
  <si>
    <t>ESCAVACAO MANUAL DE VALA EM MATERIAL DE QUALQUER CATEGORIA, EXCETO ROCHA COM PROFUNDIDADE ATE 2M.</t>
  </si>
  <si>
    <t>M3</t>
  </si>
  <si>
    <t>2.2.2</t>
  </si>
  <si>
    <t>24824/SIN</t>
  </si>
  <si>
    <t>ATERRO  DO  CAIXAO  SEM  AQUISICAO  DO MATERIAL  (REATERRO  MANUAL)</t>
  </si>
  <si>
    <t>2.2.3</t>
  </si>
  <si>
    <t>ATERRO  DO  CAIXAO  COM  AQUISICAO  DO MATERIAL/AREIA, APILOADO EM CAMADAS DE 0,20M</t>
  </si>
  <si>
    <t>2.3 3 INFRAESTRUTURA</t>
  </si>
  <si>
    <t>2.3.1</t>
  </si>
  <si>
    <t>EMBASAMENTO  C/PEDRA  ARGAMASSADA UTILIZANDO  ARG.CIM/AREIA  1:4</t>
  </si>
  <si>
    <t>2.3.2</t>
  </si>
  <si>
    <t>ALVENARIA DE 1 VEZ VEDACAO COM BLOCOS CERAMICO FURADOS 9 X 19 X 19 CM FUROS HORIZONTAIS,  ESPESSURA  DA  PAREDE  19 CM,  JUNTAS  DE  10  MM  COM  ARGAMASSA TRACO 1:2:8 (CIMENTO, CAL E AREIA MEDIA)</t>
  </si>
  <si>
    <t>2.3.3</t>
  </si>
  <si>
    <t xml:space="preserve">LASTRO DE CONCRETO MAGRO, APLICADO EM    BLOCOS    DE    COROAMENTO    OU SAPATAS.AF_08/2017 </t>
  </si>
  <si>
    <t>2.3.4</t>
  </si>
  <si>
    <t>CONCRETO    ARMADO    (PREPARO    E LANCAMENTO)PARA  SAPATAS  COM  FCK  &gt;= 25MPA,   COM   FORMA   DE   TABUA,   COM APROVEI   TAMENTO   DE   2   VEZES,   COM BETONEIRA   -</t>
  </si>
  <si>
    <t>2.3.5</t>
  </si>
  <si>
    <t>CONCRETO    ARMADO    (PREPARO    E LANCAMENTO)    PARA    RADIER    COM FCK&gt;=25MPA, COM TABUA DE MADEIRA, COM APROVEITAMENTO   DE   3   VEZES   COM BETONEIRA   -</t>
  </si>
  <si>
    <t>2.4 4 SUPER-ESTRUTURA</t>
  </si>
  <si>
    <t>2.4.1</t>
  </si>
  <si>
    <t>CONCRETO    ARMADO    (PREPARO    E LANCAMENTO) PARA VIGA COM FCK&gt;=30MPA, COM FORMA EM CHAPA DE MADEIRA COM- P E N S A D A       R E S I N A D A ,       C O M APROVEITAMENTO   DE   3   VEZES   COM BETONEIRA   -</t>
  </si>
  <si>
    <t>2.4.2</t>
  </si>
  <si>
    <t>CONCRETO    ARMADO    (PREPARO    E LANCAMENTO) P/ PILARES COM FCK&gt;=30MPA, COM FORMA EM CHAPA DE MADEIRA COM- P E N S A D A       R E S I N A D A ,       C O M APROVEITAMENTO   DE   3   VEZES,   COM BETONEIRA   -</t>
  </si>
  <si>
    <t>2.4.3</t>
  </si>
  <si>
    <t>CONCRETO    ARMADO    (PREPARO    E LANCAMENTO)    PARA    CINTA    COM FCK&gt;=30MPA, COM TABUA DE MADEIRA, COM APROVEITAMENTO   DE   3   VEZES   COM BETONEIRA   -</t>
  </si>
  <si>
    <t>2.4.4</t>
  </si>
  <si>
    <t>74202/001</t>
  </si>
  <si>
    <t xml:space="preserve">LAJE PRE-MOLDADA P/FORRO, SOBRECARGA 100KG/M2,   VAOS   ATE   3,50M/E=8CM,   C
/LAJOTAS  E  CAP.C/CONC  FCK=20MPA,  3CM, INTER-EIXO   38CM,   C/ESCORAMENTO   ( REAPR.3X)   E   FERRAGEM   NEGATIVA </t>
  </si>
  <si>
    <t>2.4.5</t>
  </si>
  <si>
    <t>PRATELEIRA  EM  CONCRETO  ARMADO  COM E=0,05M  E  L=0,40M  COM  REVESTIMENTO CERAMICA</t>
  </si>
  <si>
    <t>M</t>
  </si>
  <si>
    <t>2.4.6</t>
  </si>
  <si>
    <t>PRATELEIRA  EM  CONCRETO  ARMADO  COM E=0,05M  E  L=0,45M  COM  REVESTIMENTO CERAMICA</t>
  </si>
  <si>
    <t>2.4.7</t>
  </si>
  <si>
    <t>PRATELEIRA  EM  CONCRETO  ARMADO  COM E=0,05M  E  L=0,50M  E  REVESTIMENTO  EM CERAMICA</t>
  </si>
  <si>
    <t>2.4.8</t>
  </si>
  <si>
    <t>PRATELEIRA  EM  CONCRETO  ARMADO  COM E=0,05M  E  L=0,60M  E  REVESTIMENTO  EM CERAMICA</t>
  </si>
  <si>
    <t>2.5 5 PAREDES E PAINEIS</t>
  </si>
  <si>
    <t>2.5.1</t>
  </si>
  <si>
    <t>ALVENARIA  DE  1/2  VEZ  VEDACAO  COM BLOCOS CERAMICO FURADOS 9 X 19 X 19 CM FUROS   HORIZONTAIS,   ESPESSURA   DA PAREDE  9  CM,  JUNTAS  DE  10  MM  COM ARGAMASSA TRACO 1:2:8 (CIMENTO, CAL E</t>
  </si>
  <si>
    <t>2.5.2</t>
  </si>
  <si>
    <t>73937/005</t>
  </si>
  <si>
    <t>COBOGO   DE   CONCRETO   (ELEMENTO VAZADO),  10X29X39CM  ABERTURA  COM VIDRO,  A  SSENTADO  COM  ARGAMASSA TRACO  1:4  (CIMENTO  E  AREIA  MEDIA  NAO PENEIRADA)</t>
  </si>
  <si>
    <t>2.5.3</t>
  </si>
  <si>
    <t>MURO  EM  ALVENARIA  DE  1/2  VEZ  COM TIJOLOS  DE  8  FUROS  COM  LOCACAO  E I N C L U S I V E       E X E C U C A O       D E GABARITO,ESCAVACAO MANUAL DE VALAS, ALVENARIA  DE  PEDRA  ARGAMASSADA, EMBASAMENTO  EM  ALVENARIA  DE  1  VEZ, CONCRETO ARMADOPARA RADIER E CINTA SUPERIOR,   COLUNAS   DE   CONCRETO ARMADO   A   CADA   3,0M,   CHAPISCADO, REBOCADO, SELADOR ACRILICO EPINTADO,</t>
  </si>
  <si>
    <t>2.5.4</t>
  </si>
  <si>
    <t>MURETA  EM  ALVENARIA  DE  1  VEZ  COM TIJOLO DE 8 FUROS (H=0,50M)(ESCAVACAO, ALVENARIA  DE  PEDRA  ARGAMASSADA, ALVENARIA, CHAPISCO, REBOCO E PINTURA PVA)</t>
  </si>
  <si>
    <t>2.6 6 ESQUADRIAS, FERRAGENS E VIDROS</t>
  </si>
  <si>
    <t>2.6.1</t>
  </si>
  <si>
    <t>PORTA  MADEIRA  DE  LEI  TIPO  MACICA, INCLUSO ARO/FORRA, ALIZAR, DOBRADICAS, PARAFUSOS   DE   FIXACAO,   EXCLUSIVE FECHADURA    -    FORNECIMENTO    E</t>
  </si>
  <si>
    <t>2.6.2</t>
  </si>
  <si>
    <t>JANELA DE ACO BASCULANTE, FIXACAO COM ARGAMASSA, SEM VIDROS, PADRONIZA DA. AF_07/2016</t>
  </si>
  <si>
    <t>2.6.3</t>
  </si>
  <si>
    <t>GRADIL NYLOFOR 3D, MALHA 20X5CM, 5MM 250X243  CM,  PINTURA  BRANCA,  VERDE  E PRETA,  BELGO  OU  SIMILAR,  INCLUSIVE POSTES  (SECCAO  60X40MM  E  H=3,20M)  E ACESSORIOS</t>
  </si>
  <si>
    <t>2.6.4</t>
  </si>
  <si>
    <t xml:space="preserve">MONTANTE E PAINEL BELGO LINHA NYLOFOR OU   SIMILAR   NA   COR   BRANCA,   COM CHUMBADORES,   INCLUSIVE   POSTES (SECCAO   60X40MM)   E   ACESSORIOS </t>
  </si>
  <si>
    <t>2.6.5</t>
  </si>
  <si>
    <t>PORTAO EM GRADIL BELGO NYLOFOR 3D, DE CORRER,SOLDADO  EM  QUADRO  DE  TUBO GALVANIZADO  2"  COM  CANTONEIRA  3/4", MONTANTES    EM    TUBO    DE    FERRO GALVANIZADO DE 4", INCLUSIVE FERROLHO E RODIZIOS</t>
  </si>
  <si>
    <t>2.6.6</t>
  </si>
  <si>
    <t>08492/ORS</t>
  </si>
  <si>
    <t>BARRA  DE  APOIO  RETA,  EM  ACO  INOX POLIDO  PARA  PCD,  DIAMETRO  =1  1/2"</t>
  </si>
  <si>
    <t>2.6.7</t>
  </si>
  <si>
    <t xml:space="preserve">VIDRO    FANTASIA    TIPO    CANELADO, ESPESSURA    4MM </t>
  </si>
  <si>
    <t>2.6.8</t>
  </si>
  <si>
    <t xml:space="preserve">CADEADO  SIMPLES,  EM  LATAO  MACICO CROMADO, LARGURA DE 35 MM, HASTE DE ACO   TEMPERADO,   CEMENTADO   (NAO LONGA),   INCLUI   2   CHAVES </t>
  </si>
  <si>
    <t>2.6.9</t>
  </si>
  <si>
    <t>FECHADURA  PARA  PORTA  EXTERNA  ,  COM CILINDRO  E  MACANETA  TIPO  TACO  DE GOLFE, PADRAO MEDIO - FORNECIMENTO E INSTALACAO</t>
  </si>
  <si>
    <t>2.6.10</t>
  </si>
  <si>
    <t>FECHADURA  DE  EMBUTIR  PARA  PORTA EXTERNA / ENTRADA, MAQUINA 55 MM, COM CJ 60,39CILINDRO, MACANETA TIPOO TACO DE GOLFE E ESPELHO EM METAL CROMADO - NIVEL SEGURANCAMEDIO - COMPLETA</t>
  </si>
  <si>
    <t>2.7 COBERTA</t>
  </si>
  <si>
    <t>2.7.1</t>
  </si>
  <si>
    <t xml:space="preserve">FABRICACAO E INTALACAO DE ESTRUTURA PONTALETADA  DE  MADEIRA  NAO  APAREL HADA PARA TELHADOS COM ATE 2 AGUAS E PARA TELHA CERAMICA OU DE CONCRET O, INCLUSO    TRANSPORTE    VERTICAL. </t>
  </si>
  <si>
    <t>2.7.2</t>
  </si>
  <si>
    <t>TRAMA DE MADEIRA COMPOSTA POR RIPAS, CAIBROS  E  TERCAS  PARA  TELHADOS  DE MAIS QUE 2 AGUAS PARA TELHA CERAMICA CAPA-CANAL,  INCLUSO  TRANSPORTE  V ERTICAL.  AF_12/2015</t>
  </si>
  <si>
    <t>2.7.3</t>
  </si>
  <si>
    <t xml:space="preserve">TELHAMENTO COM TELHA CERAMICA CAPA- CANAL,  TIPO  PLAN,  COM  ATE  2  AGUAS, INCLUSO    TRANSPORTE    VERTICAL. </t>
  </si>
  <si>
    <t>2.7.4</t>
  </si>
  <si>
    <t>CUMEEIRA   PARA   TELHA   CERAMICA EMBOCADA  COM  ARGAMASSA  TRACO  1:2:9 (CIMEN  TO,  CAL  E  AREIA)  PARA  TELHADOS COM ATE 2 AGUAS, INCLUSO TRANSPORTE VER TICAL. AF_06/2016</t>
  </si>
  <si>
    <t>2.7.5</t>
  </si>
  <si>
    <t>ALGEROZ/RUFO  DE  CONCRETO  ARMADO FCK=20MPA  L=40CM,  E=5CM</t>
  </si>
  <si>
    <t>2.7.6</t>
  </si>
  <si>
    <t>EMBOCAMENTO  COM  ARGAMASSA  TRACO 1:2:9  (CIMENTO,  CAL  E  AREIA).  AF_06/20  16</t>
  </si>
  <si>
    <t>2.7.7</t>
  </si>
  <si>
    <t>IMPERMEABILIZACAO  COM  APLICACAO  DE ARGAMASSA POLIMERICA TIPO DENVERTEC 100 OU SIMILAR</t>
  </si>
  <si>
    <t>2.7.8</t>
  </si>
  <si>
    <t>FORRO   EM   REGUAS   DE   PVC,   PARA AMBIENTES   RESIDENCIAIS,   INCLUSIVE ESTRUTURA  DE  FIXACAO.  AF_05/2017_P</t>
  </si>
  <si>
    <t>2.8 REVESTIMENTO E FORRO</t>
  </si>
  <si>
    <t>2.8.1</t>
  </si>
  <si>
    <t>CHAPISCO EM PAREDES VERTICAIS TRACO 1:3 (CIMENTO E AREIA), ESPESSURA 0,5CM, PREPARO MECANICO;</t>
  </si>
  <si>
    <t>2.8.2</t>
  </si>
  <si>
    <t>S77005</t>
  </si>
  <si>
    <t>REBOCO VERTICAL, EM ARGAMASSA TRACO 1:2:8 - PREPARO MECANICO COM BETONEIRA
400L, ESPESSURA DE 20MM</t>
  </si>
  <si>
    <t>2.8.3</t>
  </si>
  <si>
    <t>EMBOCO,    PARA    RECEBIMENTO    DE CERAMICA,  EM  ARGAMASSA  TRAO  1:2:8, PREPARO MECANICO COM BETONEIRA 400L, APLICADO  MANUALMENTE,  ESPESSURA  DE</t>
  </si>
  <si>
    <t>2.8.4</t>
  </si>
  <si>
    <t>REVESTIMENTO PARA MOSAICO MONDRIAN EM  CERAMICA  10  X  10  CM,  ELIZABETH, DIVERSAS  CORES,  PEI  -5,  OU  SIMILAR, ASSENTADA COM ARGAMASSA COLANTE AC II E REJUNTAMENTO INDUSTRIALIZADO</t>
  </si>
  <si>
    <t>2.8.5</t>
  </si>
  <si>
    <t>S77022</t>
  </si>
  <si>
    <t xml:space="preserve">REVESTIMENTO  EM  CERAMICA  10  X  10  CM, ELIZABETH, PEI -5, OU SIMILAR, ASSENTADA COM    ARGAMASSA    COLANTE    AC    II, REJUNTAMENTO.    INDUSTRIALIZADO </t>
  </si>
  <si>
    <t>2.8.6</t>
  </si>
  <si>
    <t>CHAPISCO  TETO/HORIZONTAL  APLICADO COM  COLHER  DE  PEDREIRO.  ARGAMASSA TRACO  1:3  COM  PREPARO  EM  BETONEIRA 400L</t>
  </si>
  <si>
    <t>2.8.7</t>
  </si>
  <si>
    <t>REBOCO     TETO/HORIZONTAL,     EM ARGAMASSA  TRACO  1:2:8,  ESPESSURA  DE 20MM,  COM  EXECUCAO  DE  TALISCAS.</t>
  </si>
  <si>
    <t>2.9 PINTURA</t>
  </si>
  <si>
    <t>2.9.1</t>
  </si>
  <si>
    <t xml:space="preserve">EMASSAMENTO COM MASSA ACRILICA, DUAS D E M A O S ,         E M         P A R E D E S  INTERNAS/EXTERNAS/TETO,  INCLUSIVE LIXAMENTO </t>
  </si>
  <si>
    <t>2.9.2</t>
  </si>
  <si>
    <t>APLICACAO DE FUNDO SELADOR ACRILICO EM PAREDES, UMA DEMAO. AF_06/2014</t>
  </si>
  <si>
    <t>2.9.3</t>
  </si>
  <si>
    <t xml:space="preserve">APLICACAO MANUAL DE PINTURA COM TINTA LATEX   ACRILICA   EM   PAREDES,   DUAS DEMAOS.   AF_06/2014 </t>
  </si>
  <si>
    <t>2.9.4</t>
  </si>
  <si>
    <t>74065/001</t>
  </si>
  <si>
    <t>PINTURA  ESMALTE  FOSCO  PARA  MADEIRA, DUAS DEMAOS, SOBRE FUNDO NIVELADOR BRANCO</t>
  </si>
  <si>
    <t>2.9.5</t>
  </si>
  <si>
    <t>73924/002</t>
  </si>
  <si>
    <t>PINTURA   ESMALTE   ACETINADO,   DUAS DEMAOS,  SOBRE  SUPERFICIE  METALICA</t>
  </si>
  <si>
    <t>2.9.6</t>
  </si>
  <si>
    <t>APLICACAO MANUAL DE PINTURA COM TINTA TEXTURIZADA   ACRILICA   EM   PAREDES EXTERNAS DE CASAS, UMA COR. AF_06/2014</t>
  </si>
  <si>
    <t>2.9.7</t>
  </si>
  <si>
    <t>APLICACAO MANUAL DE PINTURA COM TINTA LATEX  PVA  EM  PAREDES,  DUAS  DEMAO  S. AF_06/2014</t>
  </si>
  <si>
    <t>2.9.8</t>
  </si>
  <si>
    <t>IMUNIZACAO  DE  MADEIRAMENTO  PARA COBERTURA   UTILIZANDO   CUPINICIDA INCOLO   R</t>
  </si>
  <si>
    <t>2.9.9</t>
  </si>
  <si>
    <t>APLICACAO E LIXAMENTO DE MASSA LATEX EM TETO, UMA DEMAO. AF_06/2014</t>
  </si>
  <si>
    <t xml:space="preserve">APLICACAO MANUAL DE PINTURA COM TINTA LATEX   PVA   EM   TETO,   DUAS   DEMAOS. AF_06/2014 </t>
  </si>
  <si>
    <t>2.10 PAVIMENTACAO</t>
  </si>
  <si>
    <t>2.10.1</t>
  </si>
  <si>
    <t>LAJE  DE  IMPERMEABILIZACAO,  LASTRO  DE CONCRETO  -  PREPARO  MECANICO</t>
  </si>
  <si>
    <t>2.10.2</t>
  </si>
  <si>
    <t>REGULARIZACAO    DE    BASE    PARA REVESTIMENTO DE PISO, COM ARGAMASSA DE  CIMENTO  E  AREIA  NO  TRACO  1:5,  COM ESPESSURA  DE  2CM.</t>
  </si>
  <si>
    <t>2.10.3</t>
  </si>
  <si>
    <t>PISO EM CERAMICA FAB. ELIZABETH, PEI-5, TIPO  A,  OU  SIMILAR,  ASSENTADA  COM ARGAMASSA  COLANTE  E  REJUNTAMENTO INDUSTRIALIZADO</t>
  </si>
  <si>
    <t>2.10.4</t>
  </si>
  <si>
    <t>S77010</t>
  </si>
  <si>
    <t>PISO   EM   GRANILITE,   MARMORITE   OU GRANITINA  ESPESSURA  8MM,  INCLUSO JUNTAS   DE   DILATACAO   PLASTICAS, INCLUSIVE  REGULARIZACAO  E  POLIMENTO</t>
  </si>
  <si>
    <t>2.10.5</t>
  </si>
  <si>
    <t>APLICACAO   DE   RESINA   A   BASE   DE POLIURETANO EM PISO DE GRANILITE/ALTA RESISTENCIA EM TRES DEMAOS..</t>
  </si>
  <si>
    <t>2.10.6</t>
  </si>
  <si>
    <t xml:space="preserve">CALCADA   DE   PROTECAO/CONTORNO   - (LARGURA=   0,60M) </t>
  </si>
  <si>
    <t>2.10.7</t>
  </si>
  <si>
    <t>EXECUCAO DE PASSEIO (CALCADA) OU PISO DE CONCRETO COM CONCRETO MOLDADO IN LOCO,   FEITO   EM   OBRA,   ACABAMENTO CONVENCIONAL,  ESPESSURA  6  CM,  ARMA DO.  AF_07/2016</t>
  </si>
  <si>
    <t>2.10.8</t>
  </si>
  <si>
    <t>EXECUCAO    DE    PASSEIO    EM    PISO INTERTRAVADO, COM BLOCO RETANGULAR COR NAT URAL DE 20 X 10 CM, ESPESSURA 6 CM. AF_12/2015</t>
  </si>
  <si>
    <t>2.10.9</t>
  </si>
  <si>
    <t>RAMPA   EM   CALCADA   DE   PASSEIO   EM CONCRETO   PARA   ACESSIBILIDADE   DE PORTADORES DE NECESSIDADES ESPECIAIS (PNE), EXECUTADA CONCRETO ESTRUTURAL, INCLUSIVE  SINALIZACAO  TATIL  DE  ALERTA (25X25CM)  E  SINALIZACAO  UNIVERSAL  EM TINTA ACRILICA-ESTIRENADA (0,80 X 1,60)M</t>
  </si>
  <si>
    <t>AJARDINAMENTO  COM  0,10M  DE  ATERRO VEGETAL  (GRAMA  EM  PLACA  +  ATERRO VEGETAL) - FORNECIMENTO E PLANTACAO*</t>
  </si>
  <si>
    <t>2.11 INSTALACOES HIDRAULICAS - LOUCAS E METAIS</t>
  </si>
  <si>
    <t>2.11.1</t>
  </si>
  <si>
    <t>(COMPOSICAO   REPRESENTATIVA)   DO SERVICO DE INSTALACAO DE TUBOS DE PVC, SOLDAVEL,   AGUA   FRIA,   DN   40   MM (INSTALADO  EM  PRUMADA),  INCLUSIVE CONEXO  ES,  CORTES  E  FIXACOES,  PARA PREDIOS.  AF_10/2015</t>
  </si>
  <si>
    <t>2.11.2</t>
  </si>
  <si>
    <t>(COMPOSICAO   REPRESENTATIVA)   DO SERVICO  DE  INSTALACAO  TUBOS  DE  PVC, SOL   DAVEL,   AGUA   FRIA,   DN   32   MM (INSTALADO EM RAMAL, SUB-RAMAL, RAMAL DE DI STRIBUICAO OU PRUMADA), INCLUSIVE CONEXOES, CORTES E FIXACOES, PARA PR EDIOS. AF_10/2015</t>
  </si>
  <si>
    <t>2.11.3</t>
  </si>
  <si>
    <t>(COMPOSICAO   REPRESENTATIVA)   DO SERVICO DE INSTALACAO DE TUBOS DE PVC, SOLDAVEL,   AGUA   FRIA,   DN   25   MM (INSTALADO EM RAMAL, SUB-RAMAL, RAMAL DE DISTRIBUICAO OU PRUMADA), INCLUSIVE CONEXOES,  CORTES  E  FIXACOES,  PARA PREDIOS.  AF_10/2015</t>
  </si>
  <si>
    <t>2.11.4</t>
  </si>
  <si>
    <t>PONTO/COLUNA/TUBO  DE  VENTILACAO  DE ESGOTO, COM REDE EM TUBO PVC DE 50MM, INCLUSIVE CONEXOES</t>
  </si>
  <si>
    <t>2.11.5</t>
  </si>
  <si>
    <t>PONTO  DE  CONSUMO  TERMINAL  DE  AGUA FRIA (SUBRAMAL) COM TUBULAO DE PVC , DN 25  MM,  INSTALADO  EM  RAMAL  DE  AGUA, INCLUSOS  RASGO  E  CHUMBAMENTO  E  M ALVENARIA.  AF_12/2014</t>
  </si>
  <si>
    <t>2.11.6</t>
  </si>
  <si>
    <t>TORNEIRA  DE  BOIA  REAL,  ROSCAVEL,  3/4", FORNECIDA E INSTALADA EM RESERV ACAO DE AGUA. AF_06/2016</t>
  </si>
  <si>
    <t>2.11.7</t>
  </si>
  <si>
    <t>CONJUNTO  CAIXA  DAGUA  EM  FIBRA  DE VIDRO  -  INSTALADA,  SEM  ESTRUTURA  DE SUPORTE  CAPACIDADE  DE  10.000  LITROS, INCLUSO   ADAPTADORES,   CONEXOES, TUBOS, REGISTRO DE GAVETA E TORNEIRA DE  BOIA  E  CISTERNA  COM  CAPACIDADE</t>
  </si>
  <si>
    <t>2.11.8</t>
  </si>
  <si>
    <t>VASO  SANITARIO  SIFONADO  COM  CAIXA ACOPLADA LOUCA BRANCA, INCLUSO ENGAT E  FLEXIVEL  EM  PLASTICO  BRANCO,  1/2  X 40CM  -  FORNECIMENTO  E  INSTALACAO  . AF_12/2013</t>
  </si>
  <si>
    <t>2.11.9</t>
  </si>
  <si>
    <t>95472/SIN</t>
  </si>
  <si>
    <t>VASO  SANITARIO  SIFONADO  COM  CAIXA ACOPLADA  PARA  PCD/PORTADORES  DE NECESSIDADES  ESPECIAIS,  SEM  FURO FRONTAL,  EM  LOUCA  BRANCA,  INCLUSO CONJUNTO   DE   LIGACAO   PARA   BACIA SANITARIA AJUSTAVEL E ASSENTO PLASTICO
- FORNECIMENTO E INSTALACAO</t>
  </si>
  <si>
    <t>74234/001</t>
  </si>
  <si>
    <t>MICTORIO  SIFONADO  DE  LOUCA  BRANCA COM PERTENCES, COM REGISTRO DE PRESS AO    1/2"    COM    CANOPLA    CROMADA ACABAMENTO SIMPLES E CONJUNTO PARA FIXACAO - FORNECIMENTO E INSTALACAO</t>
  </si>
  <si>
    <t>LAVATORIO    /CUBA    LOUCA    BRANCA SUSPENSO *40 X 30* CM, VALVULA EM METAL CROMADO  1.1/2""  X  1.1/2",  SIFAO  DO  TIPO FLEXIVEL   EM   PVC   1   X   1.1/2,   ENGATE FLEXIVEL  EM  PLASTICO  BRANCO,  1/2"  X 30CM,  EXCLUSIVE  TORNEIRA</t>
  </si>
  <si>
    <t xml:space="preserve">CUBA/LAVATORIO  DE  CANTO  EM  LOUCA BRANCA    (40    X    30)CM*,    APENAS CUBA/LAVATORIO   -   FORNECIMENTO   E INSTALACAO </t>
  </si>
  <si>
    <t>REGISTRO  DE  GAVETA  BRUTO,  LATAO, ROSCAVEL,  1  1/2,  COM  ACABAMENTO  E  CA NOPLA   CROMADOS,   INSTALADO   EM RESERVACAO DE AGUA DE EDIFICACAO QUE P O S S      U A      R E S E R V A T O R I O      D E FIBRA/FIBROCIMENTO  FORNECIMENTO  E INSTALACAO.  AF_  06/2016</t>
  </si>
  <si>
    <t>REGISTRO  DE  PRESSAO  BRUTO,  LATAO, ROSCAVEL, 3/4", COM ACABAMENTO E CAN OPLA CROMADOS. FORNECIDO E INSTALADO EM RAMAL DE AGUA. AF_12/2014</t>
  </si>
  <si>
    <t xml:space="preserve">TORNEIRA  CROMADA  TUBO  MOVEL,  DE PAREDE, 1/2" OU 3/4", PARA PIA DE COZI NHA, PADRAO   MEDIO   -   FORNECIMENTO   E INSTALACAO.   AF_12/2013 </t>
  </si>
  <si>
    <t>TORNEIRA CROMADA DE MESA, 1/2" OU 3/4", PARA   LAVATORIO,   PADRAO   MEDIO   - FORNECIMENTO E INSTALACAO. AF_12/2013..</t>
  </si>
  <si>
    <t>TORNEIRA  CROMADA  1/2"  OU  3/4"  PARA TANQUE, PADRAO MEDIO - FORNECIMENTO E INSTALACAO. AF_12/2013</t>
  </si>
  <si>
    <t>CABIDE/GANCHO DE BANHEIRO SIMPLES EM METAL CROMADO, INCLUSO FIXACAO</t>
  </si>
  <si>
    <t>CHUVEIRO   PLASTICO   BRANCO   COM CANOPLA - FORNECIMENTO E INSTALACAO</t>
  </si>
  <si>
    <t>SABONETEIRA  PLASTICA  TIPO  DISPENSER PARA  SABONETE  LIQUIDO  COM  RESERVAT ORIO  800  A  1500  ML,  INCLUSO  FIXACAO.</t>
  </si>
  <si>
    <t xml:space="preserve">TOALHEIRO  PLASTICO  TIPO  DISPENSER PARA   PAPEL   TOALHA   INTERFOLHADO, FORNECIMENTO   E   INSTALACAO. </t>
  </si>
  <si>
    <t>DISPENSER  EM  PLASTICO  PARA  PAPEL HIGIENICO  EM  ROLO,  FORNECIMENTO  E INSTALAO</t>
  </si>
  <si>
    <t>RALO  SIFONADO,  PVC,  DN  100  X  40  MM, JUNTA SOLDAVEL, FORNECIDO E INSTAL ADO EM RAMAL DE DESCARGA OU EM RAMAL DE ESGOTO SANITARIO. AF_12/2014</t>
  </si>
  <si>
    <t>LAVANDERIA/TANQUE   EM   RESILINEA SUSPENSO, CAPACIDADE *38* L, *60 X 60CM, COM SIFAO EM PVC DE 1 1/2" E VALVULA EM PVC DE 1 1/2", EXCLUSIVE TORNEIRA</t>
  </si>
  <si>
    <t>BANCADA  DE  MARMORE  SINTETICO  120  X 60CM,  COM  CUBA  INTEGRADA  -  FORNECIM ENTO  E  INSTALACAO.  AF_12/2013</t>
  </si>
  <si>
    <t>ESPELHO CRISTAL, ESPESSURA 4MM, COM PARAFUSOS DE FIXACAO, SEM MOLDURA</t>
  </si>
  <si>
    <t>BANCO   DE   BANHO   ARTICULADO   EM POLIPROPILENO  SUPORTA  ATE  130  KG, MEDIDAS: 30,7CM X 23,5CM, - FORNECIMENTO E INSTALACAO.</t>
  </si>
  <si>
    <t>BANCADA  EM  GRANITO  CINZA  ANDORINHA COM  RESPALDO  DE  0,20M  ,  TESTEIRA  DE 0,08M  E  LARGURA  DE  0,50M.</t>
  </si>
  <si>
    <t>CAIXA     ENTERRADA     HIDRAULICA RETANGULAR EM ALVENARIA COM TIJOLOS CERAMICOS    MACICOS,    DIMENSOES INTERNAS:  0,4X0,4X0,4  M  PARA  REDE  DE</t>
  </si>
  <si>
    <t xml:space="preserve">BEBEDOURO  INDUSTRIAL  (CENTRAL  DE AGUA  GELADA)  EM  CHAPA  ACO  CARBONO GALVANIZADA  COM  CAPACIDADE  DE  200 LITROS,  CONTROLE  DE  TEMPERATURA ENTRE -5C E -15C, CARTUCHO FILTRANTE EM FIBRA  DE  CELULOSE,  APARADOR  COM  04 TORNEIRAS  EM  ACO  INOX  304,  UNIDADE CONDENSADORA COM BAIXO CONSUMO DE ENERGIA E RUIDO E CAPACIDADE DE 1/5 HP E TUBULACAO FRIGORIFICA ESTANHADA PARA GARANTIR   A   QUALIDADE   DA   AGUA   - FORNECIMENTO   E   INSTALACAO </t>
  </si>
  <si>
    <t>2.12 INSTALACOES SANITARIAS</t>
  </si>
  <si>
    <t>2.12.1</t>
  </si>
  <si>
    <t>PONTO   DE   ESGOTO   SANITARIO   COM TUBULACAO DE PVC, INCLUSOS RASGOS E CHUMBAMENTO.</t>
  </si>
  <si>
    <t>2.12.2</t>
  </si>
  <si>
    <t>2.12.3</t>
  </si>
  <si>
    <t>(COMPOSICAO   REPRESENTATIVA)   DO SERVICO DE INST. TUBO PVC, SERIE N, ESG OTO   PREDIAL,   100   MM   (INST.   RAMAL DESCARGA, RAMAL DE ESG. SANIT., PRUMA DA  ESG.  SANIT.,  VENTILACAO  OU  SUB- COLETOR AEREO), INCL. CONEXOES E COR TES, FIXACOES, P/ PREDIOS. AF_10/2015</t>
  </si>
  <si>
    <t>2.12.4</t>
  </si>
  <si>
    <t xml:space="preserve">C                  A                  I                  X                  A INSPECAO/PASSAGEM/GORDURA/DISTRIBUIC AO     (60X60X60)CM,     REVESTIDO INTERNAMENTE   CIMENTO   E   AREIA, </t>
  </si>
  <si>
    <t>2.12.5</t>
  </si>
  <si>
    <t>CAIXA ENTERRADA DE INSPECAO/GORDURA/ PASSAGEM RETANGULAR, 40X40X40CM, EM ALVENARIA  DE  1/2  VEZ  COM  TAMPA  DE CONCRETO  E  CANTONEIRA  NA  CAIXA  E TAMPA  (ESCAVACAO,  CONCRETO  MAGRO, ALVENARIA DE 1/2 VEZ, CHAPISCO, REBOCO, TAMPA E CANTONEIRA)</t>
  </si>
  <si>
    <t>2.12.6</t>
  </si>
  <si>
    <t>CAIXA  DE  PASSAGEM/INSPECAO/GORDURA EM  ALVENARIA  DE  1/2  VEZ  50X50X50CM, REVESTIDA  INTERNAMENTE  COM  BARRA LISA, COM E=2CM, EM TAMPA PREMOLDADA EM CONCRETO E FUNDO EM CONCRETO.</t>
  </si>
  <si>
    <t>2.12.7</t>
  </si>
  <si>
    <t>FOSSA   SEPTICA   COM   SUMIDOURO   E CAPACIDADE PARA 100 PESSOAS, INCLUSIVE ESCAVACAO</t>
  </si>
  <si>
    <t>2.13 INSTALACOES ELETRICAS, TELEFONICAS E MECANICAS</t>
  </si>
  <si>
    <t>2.13.1</t>
  </si>
  <si>
    <t>LUMINARIA ABERTA P/ ILUMINACAO PUBLICA, TIPO  X-57  PETERCO  ,INCLUSO  BRACO  DE TEMPO  E  LAMPADA  -  BASE  E-27</t>
  </si>
  <si>
    <t>2.13.2</t>
  </si>
  <si>
    <t>2.13.3</t>
  </si>
  <si>
    <t>2.13.4</t>
  </si>
  <si>
    <t xml:space="preserve">INTERRUPTOR  PULSADOR  DE  CAMPAINHA OU   MINUTERIA   2A/250V   C/   CAIXA   - FORNECIMENTO   E   INSTALACAO </t>
  </si>
  <si>
    <t>2.13.5</t>
  </si>
  <si>
    <t>74130/001</t>
  </si>
  <si>
    <t>DISJUNTOR TERMOMAGNETICO MONOPOLAR PADRAO NEMA (AMERICANO) 10 A 30A 24 0V, FORNECIMENTO E INSTALACAO</t>
  </si>
  <si>
    <t>2.13.6</t>
  </si>
  <si>
    <t>INTERRUPTOR   SIMPLES   (1   MODULO), 10A/250V,  INCLUINDO  SUPORTE  E  PLACA  - FORNECIMENTO E INSTALACAO. AF_12/2015</t>
  </si>
  <si>
    <t>2.13.7</t>
  </si>
  <si>
    <t>INTERRUPTOR   SIMPLES   (2   MODULOS), 10A/250V,  INCLUINDO  SUPORTE  E  PLACA  - FORNECIMENTO E INSTALACAO. AF_12/2015</t>
  </si>
  <si>
    <t>2.13.8</t>
  </si>
  <si>
    <t>LUMINARIA TIPO CALHA, DE SOBREPOR, COM 2 LAMPADAS TUBULARES DE 36 W -</t>
  </si>
  <si>
    <t>2.13.9</t>
  </si>
  <si>
    <t>LUMINARIA TIPO CALHA, DE SOBREPOR, COM 2 LAMPADAS TUBULARES DE 18 W -</t>
  </si>
  <si>
    <t>LUMINARIA  EMERGENCIA  LIGHTEX  LXH-268 2X8W,  FORNECIMENTO  E  INSTALACAO.</t>
  </si>
  <si>
    <t xml:space="preserve">DISJUNTOR TRIPOLAR TIPO DIN, CORRENTE NOMINAL   DE   70A   -   FORNECIMENTO   E INSTALACAO* </t>
  </si>
  <si>
    <t>PONTO   DE   ILUMINACAO   RESIDENCIAL INCLUINDO  INTERRUPTOR  SIMPLES,  CAIXA ELETRICA,  ELETRODUTO,  CABO,  RASGO, QUEBRA  E  CHUMBAMENTO  (EXCLUINDO LUMINARIA  E  LAMPADA).  AF_01/2016</t>
  </si>
  <si>
    <t>PONTO DE TOMADA RESIDENCIAL INCLUINDO TOMADA   10A/250V,   CAIXA   ELETRICA, ELETRODUTO,  CABO,  RASGO,  QUEBRA  E CHUMBAMENTO.  AF_01/2016</t>
  </si>
  <si>
    <t>PONTO DE TOMADA RESIDENCIAL INCLUINDO TOMADA   20A/250V,   CAIXA   ELETRICA, ELETRODUTO,  CABO,  RASGO,  QUEBRA  E CHUMBAMENTO.  AF_01/2016</t>
  </si>
  <si>
    <t xml:space="preserve">PONTO DE TOMADA TRIFASICA PARA SPLIT (CAIXA,     ELETRODUTO,     FIOS     E TOMADA),INCLUVIVE   ATERRAMENTO </t>
  </si>
  <si>
    <t>PONTO DE UTILIZACAO DE EQUIPAMENTOS ELETRICOS,   RESIDENCIAL,   INCLUINDO SUPORTE   E   PLACA,   CAIXA   ELETRICA, ELETRODUTO, CABO, RASGO, QUEBRA E CHU MBAMENTO. AF_01/2016</t>
  </si>
  <si>
    <t>74131/005</t>
  </si>
  <si>
    <t>QUADRO DE DISTRIBUICAO DE ENERGIA DE EMBUTIR,  EM  CHAPA  METALICA,  PARA  24 DISJUNTORES    TERMOMAGNETICOS MONOPOLARES,   COM   BARRAMENTO TRIFASICO  E  NEUTRO,  FORNECIMENTO  E INSTALACAO</t>
  </si>
  <si>
    <t>QUADRO DE DISTRIBUICAO DE ENERGIA EM CHAPA  DE  ACO  GALVANIZADO,  PARA  12 DISJUNTORES    TERMOMAGNETICOS MONOPOLARES,   COM   BARRAMENTO TRIFASICO  E  N  EUTRO  -  FORNECIMENTO  E INSTALACAO</t>
  </si>
  <si>
    <t>S80384</t>
  </si>
  <si>
    <t>REDE ELETRICA DE DISTRIBUICAO TRIFASICA COM  04(03FASES+01NEUTRO)CABOS  DE COBRE ISOLODADOS DE 2,5MM ANTI-CHAMA 0,6/1,0 KV COM ELETROCUDTO 3/4".</t>
  </si>
  <si>
    <t>P O N T O       D E       T O M A D A       P A R A TELEFONE(TOMADA,  CAIXA  ELETRODUTO, CONEXOES  E  FIOS)</t>
  </si>
  <si>
    <t xml:space="preserve">P O N T O       P A R A       C A B E A M E N T O ESTRUTURADO,COMPOSTO     DE: ELETRODUTO CONDULETE PVC RIGIDO 3/4", TOMADAS FEMEAS, TIPO JACK RJ-45, 08M DE CABO  LOGICO  UTP  4  PARES-CATEGORIA  6, SENDO   PARA   DADOS   E   VOZ   (QUANDO </t>
  </si>
  <si>
    <t>BOMBA  SUBMERSA  L-660  220V  -  5A  3/4  290 WATTS POCO 6 PUMP ECO - FORNECIMENTO E INSTALACAO..</t>
  </si>
  <si>
    <t>S73817</t>
  </si>
  <si>
    <t>ENTRADA  DE  ENERGIA  TRIFASICA  PARA RAMAL DE ALIMENTACAO COM 04 CABOS DE 10MM2  ISOLACAO  DE  1,0KV,  EM  POSTE  DE CONCRETO     ARMADO     DT-150/07, COMPLETA(ARRUELAS, CABECOTE, BUCHAS, QUADRO  DE  MEDICAO,  DISJUNTOR  GERAL, ELETRODUTOS, CABOS, TERMINAIS, CAIXAS DE ALVENARIA E MALHA DE ATERRAMENTO)</t>
  </si>
  <si>
    <t>2.14 ELEMENTOS DECORATIVOS - MOBILIARIO</t>
  </si>
  <si>
    <t>2.14.1</t>
  </si>
  <si>
    <t>SINCO/262</t>
  </si>
  <si>
    <t xml:space="preserve">ABERTURA   DE   LETREIROS   COM   TINTA ACRILICA- </t>
  </si>
  <si>
    <t>2.14.2</t>
  </si>
  <si>
    <t>LOGOTIPO DO GOVERNO DO ESTADO.</t>
  </si>
  <si>
    <t>2.14.3</t>
  </si>
  <si>
    <t xml:space="preserve">PLACA DE INAUGURACAO, EM BRONZE (60 X 40)CM     COM     INSCRICOES     E     AS CARACTERISTICAS  DA  LOGOMARCA  DO GOVERNO   DO   ESTADO   VAZADAS   E PINTADAS,   INSTALADA </t>
  </si>
  <si>
    <t>2.14.4</t>
  </si>
  <si>
    <t>MASTRO  METALICO  COM  TUBO  DE  FERRO GALVANIZADO  DE  3  ",  COM  ALTURA  DE 6,000M, FIXADO EM BLOCO DE CONCRETO DE
0,30MX0,30MX0,50M</t>
  </si>
  <si>
    <t>2.14.5</t>
  </si>
  <si>
    <t xml:space="preserve">MASTRO  METALICO  COM  TUBO  DE  FERRO GALVANIZADO DE 3 ", COM ALTURA DE 5,50M, FIXADO   EM   BLOCO   DE   CONCRETO   DE 0,30MX0,30MX0,50M </t>
  </si>
  <si>
    <t>2.14.6</t>
  </si>
  <si>
    <t xml:space="preserve">QUADRO   ESCOLAR   (3,20X1,20)M   EM LAMINADO   BRANCO   BRILHANTE   COM MOLDURA   DE   ALUMINIO </t>
  </si>
  <si>
    <t>2.14.7</t>
  </si>
  <si>
    <t>73775/002</t>
  </si>
  <si>
    <t>EXTINTOR INCENDIO AGUA-PRESSURIZADA 10L   INCL   SUPORTE   PAREDE   CARGA COMPLETA FORNECIMENTO E COLOCACAO</t>
  </si>
  <si>
    <t>2.14.8</t>
  </si>
  <si>
    <t>LOGOTIPO DE PREFEITURA MUNICIPAL (PARA ESCOLAS RURAIS DE 04 E 06 SALAS)</t>
  </si>
  <si>
    <t>2.14.9</t>
  </si>
  <si>
    <t>PORTAO  EM  GRADIL  DE  FERRO  COM  2 BARRAS CHATAS HORIZONTAIS DE 1 1/2"X 1 1/4", BARRAS VERTICAIS DE 1"X 1 1/4" E COM CHAPA 14 A CADA 2,00M, INCLUSIVE PINTURA ESMALTE - FORNECIMENTO E INSTALACAO</t>
  </si>
  <si>
    <t>73775/001</t>
  </si>
  <si>
    <t>EXTINTOR  INCENDIO  TP  PO  QUIMICO  4KG FORNECIMENTO  E  COLOCACAO</t>
  </si>
  <si>
    <t>2.15 LIMPEZA E ENTREGA DA OBRA</t>
  </si>
  <si>
    <t>2.15.1</t>
  </si>
  <si>
    <t>LIMPEZA FINAL DA OBRA</t>
  </si>
  <si>
    <t>2.15.2</t>
  </si>
  <si>
    <t>S77026</t>
  </si>
  <si>
    <t xml:space="preserve">BOTA-FORA (CARGA MANUAL, TRANSPORTE E   DESCARGA   MECANICA,   CAMINHAO BASCULANTE   DE   10M3)   ATE   5,00KM </t>
  </si>
  <si>
    <t>3 ETAPA 03: RECREIO COBERTO</t>
  </si>
  <si>
    <t>3.1 SERVICOS PRELIMINARES</t>
  </si>
  <si>
    <t>3.1.1</t>
  </si>
  <si>
    <t>3.2 MOVIMENTO DE TERRA</t>
  </si>
  <si>
    <t>3.2.1</t>
  </si>
  <si>
    <t>3.2.2</t>
  </si>
  <si>
    <t>3.3 FUNDACAO</t>
  </si>
  <si>
    <t>3.3.1</t>
  </si>
  <si>
    <t>3.3.2</t>
  </si>
  <si>
    <t>3.3.3</t>
  </si>
  <si>
    <t>3.4 ESTRUTURA - CONCRETO</t>
  </si>
  <si>
    <t>3.4.1</t>
  </si>
  <si>
    <t>3.5 ALVENARIA</t>
  </si>
  <si>
    <t>3.5.1</t>
  </si>
  <si>
    <t>3.6 COBERTA</t>
  </si>
  <si>
    <t>3.6.1</t>
  </si>
  <si>
    <t xml:space="preserve">FABRICACAO E INSTALACAO DE ESTRUTURA PONTALETADA  DE  MADEIRA  NAO  APAREL HADA PARA TELHADOS COM ATE 2 AGUAS E PARA TELHA CERAMICA OU DE CONCRET O, INCLUSO    TRANSPORTE    VERTICAL. </t>
  </si>
  <si>
    <t>3.6.2</t>
  </si>
  <si>
    <t>INSTALACAO  DE  TESOURA  (INTEIRA  OU MEIA),  BIAPOIADA,  EM  MADEIRA  NAO  APA RELHADA, PARA VAOS MAIORES OU IGUAIS A 6,0  M  E  MENORES  QUE  8,0  M,  INCL  USO ICAMENTO.  AF_12/2015</t>
  </si>
  <si>
    <t>3.6.3</t>
  </si>
  <si>
    <t>3.6.4</t>
  </si>
  <si>
    <t>3.7 REVESTIMENTO</t>
  </si>
  <si>
    <t>3.7.1</t>
  </si>
  <si>
    <t>3.7.2</t>
  </si>
  <si>
    <t>3.7.3</t>
  </si>
  <si>
    <t>3.7.4</t>
  </si>
  <si>
    <t>3.8 PISOS</t>
  </si>
  <si>
    <t>3.8.1</t>
  </si>
  <si>
    <t>3.8.2</t>
  </si>
  <si>
    <t>3.8.3</t>
  </si>
  <si>
    <t>3.9 INSTALACAO ELETRICA</t>
  </si>
  <si>
    <t>3.9.1</t>
  </si>
  <si>
    <t>3.9.2</t>
  </si>
  <si>
    <t>3.9.3</t>
  </si>
  <si>
    <t>REFLETOR 100W LED SLIM SUPER BRANCO BIVOLT,  COR  LUZ:  BRANCO  FRIO  6000K, LUMINOSIDADE:  9500  LUMES,  CARCACA: ALUMINIO  COR  CINZA  OU  PRETA,  ANGULO: 180, VOLTAGEM: AC 80-240V (BI-VOLT) COR LUZ: BRANCO FRIO</t>
  </si>
  <si>
    <t>3.9.4</t>
  </si>
  <si>
    <t>CAIXA RETANGULAR 4" X 4" MEDIA (1,30 M DO PISO),  PVC,  INSTALADA  EM  PAR  EDE  - FORNECIMENTO E INSTALACAO. AF_12/2015</t>
  </si>
  <si>
    <t>3.9.5</t>
  </si>
  <si>
    <t>CABO  DE  COBRE  FLEXIVEL  ISOLADO,  2,5 MM2,   ANTI-CHAMA   0,6/1,0   KV,   PARA   C IRCUITOS  TERMINAIS  -  FORNECIMENTO  E INSTALACAO.  AF_12/2015</t>
  </si>
  <si>
    <t>1.1</t>
  </si>
  <si>
    <t>2.2</t>
  </si>
  <si>
    <t>2.3</t>
  </si>
  <si>
    <t>ESTADO DA PARAÍBA</t>
  </si>
  <si>
    <t>BDI =</t>
  </si>
  <si>
    <t>QUANTIDADES</t>
  </si>
  <si>
    <t>VALOR UNIT COM BDI</t>
  </si>
  <si>
    <t>VALORES TOTAIS</t>
  </si>
  <si>
    <t>LICITADA</t>
  </si>
  <si>
    <t>ACUMULADA ATÉ O PERÍODO</t>
  </si>
  <si>
    <t>MEDIDA NO PERÍODO</t>
  </si>
  <si>
    <t>ACUMULADA INCLUINDO O PERÍODO</t>
  </si>
  <si>
    <t>LICITADO</t>
  </si>
  <si>
    <t>ACUMULADO ATÉ O PERÍODO</t>
  </si>
  <si>
    <t>MEDIDO NO PERÍODO</t>
  </si>
  <si>
    <t>ACUMULADO INCLUINDO O PERÍODO</t>
  </si>
  <si>
    <t>PREFEITURA MUNICIPAL DE COREMAS</t>
  </si>
  <si>
    <t>VALOR DESTA MEDIÇÃO:</t>
  </si>
  <si>
    <t>VALORES TOTAIS:</t>
  </si>
  <si>
    <t>CONTRATO Nº 10004/2023</t>
  </si>
  <si>
    <t>OBRA: CONSTRUÇÃO DE UMA UNIDADE ESCOLAR DE 06 (SEIS) SALAS DE AULA PARA O MUNICÍPIO DE COREMAS-PB</t>
  </si>
  <si>
    <t>UNID</t>
  </si>
  <si>
    <t>DADOS</t>
  </si>
  <si>
    <t>Descontos</t>
  </si>
  <si>
    <t>RESULTADO</t>
  </si>
  <si>
    <t>UN.</t>
  </si>
  <si>
    <t>Quantid.</t>
  </si>
  <si>
    <t>Comprim. (m)</t>
  </si>
  <si>
    <t>Largura (m)</t>
  </si>
  <si>
    <t>Altura (m)</t>
  </si>
  <si>
    <t>Descrição</t>
  </si>
  <si>
    <t>Valor</t>
  </si>
  <si>
    <t>PARCIAL</t>
  </si>
  <si>
    <t>GERAL</t>
  </si>
  <si>
    <t>ETAPA 01: GERAL</t>
  </si>
  <si>
    <t>ADMINISTRAÇÃO LOCAL</t>
  </si>
  <si>
    <t>Proporcional ao valor da medição</t>
  </si>
  <si>
    <t>ETAPA 02: CONSTRUÇÃO DA ESCOLA</t>
  </si>
  <si>
    <t>MOVIMENTO DE TERRA</t>
  </si>
  <si>
    <t>INFRAESTRUTURA</t>
  </si>
  <si>
    <t>2.13.10</t>
  </si>
  <si>
    <t>2.13.11</t>
  </si>
  <si>
    <t>2.13.12</t>
  </si>
  <si>
    <t>2.13.13</t>
  </si>
  <si>
    <t>2.13.14</t>
  </si>
  <si>
    <t>2.13.15</t>
  </si>
  <si>
    <t>2.13.16</t>
  </si>
  <si>
    <t>2.13.17</t>
  </si>
  <si>
    <t>2.13.18</t>
  </si>
  <si>
    <t>2.13.19</t>
  </si>
  <si>
    <t>2.13.20</t>
  </si>
  <si>
    <t>2.13.21</t>
  </si>
  <si>
    <t>2.13.22</t>
  </si>
  <si>
    <t>2.13.23</t>
  </si>
  <si>
    <t>2.1.9</t>
  </si>
  <si>
    <t>93206/SINAPI
(ALTERADA)</t>
  </si>
  <si>
    <t>EXECUÇÃO DE DEPÓSITO EM CANTEIRO DE OBRA EM ALVENARIA</t>
  </si>
  <si>
    <t>2.3.6</t>
  </si>
  <si>
    <t>IMPERMEABILIZAÇÃO DE SUPERFÍCIE COM EMULSÃO ASFÁLTICA, 2 DEMÃOS AF_06/2018</t>
  </si>
  <si>
    <t>2.4.9</t>
  </si>
  <si>
    <t>MONTAGEM E DESMONTAGEM DE FÔRMA DE LAJE MACIÇA COM ÁREA MÉDIA MAIOR QUE 20 M², PÉ-DIREITO SIMPLES, EM CHAPA DE MADEIRA COMPENSADA RESINADA, 2 UTILIZAÇÕES</t>
  </si>
  <si>
    <t>2.4.10</t>
  </si>
  <si>
    <t>ARMAÇÃO DE LAJE DE UMA ESTRUTURA CONVENCIONAL DE CONCRETO ARMADO EM UMA EDIFICAÇÃO TÉRREA OU SOBRADO UTILIZANDO AÇO CA-60 DE 5,0 MM - MONTAGEM. AF_12/2015</t>
  </si>
  <si>
    <t>KG</t>
  </si>
  <si>
    <t>2.4.11</t>
  </si>
  <si>
    <t>ARMAÇÃO DE LAJE DE UMA ESTRUTURA CONVENCIONAL DE CONCRETO ARMADO EM UMA EDIFICAÇÃO TÉRREA OU SOBRADO UTILIZANDO AÇO CA-50 DE 6,3 MM - MONTAGEM. AF_12/2015</t>
  </si>
  <si>
    <t>2.4.12</t>
  </si>
  <si>
    <t>ARMAÇÃO DE LAJE DE UMA ESTRUTURA CONVENCIONAL DE CONCRETO ARMADO EM UMA EDIFICAÇÃO TÉRREA OU SOBRADO UTILIZANDO AÇO CA-50 DE 8,0 MM - MONTAGEM. AF_12/2015</t>
  </si>
  <si>
    <t>2.4.13</t>
  </si>
  <si>
    <t>ARMAÇÃO DE LAJE DE UMA ESTRUTURA CONVENCIONAL DE CONCRETO ARMADO EM UMA EDIFICAÇÃO TÉRREA OU SOBRADO UTILIZANDO AÇO CA-50 DE 10,0 MM - MONTAGEM. AF_12/2015</t>
  </si>
  <si>
    <t>2.4.14</t>
  </si>
  <si>
    <t>CONCRETAGEM DE VIGAS E LAJES, FCK=20 MPA, PARA LAJES MACIÇAS OU NERVURADAS COM USO DE BOMBA EM EDIFICAÇÃO COM ÁREA MÉDIA DE LAJES MAIOR QUE 20 M² - LANÇAMENTO, ADENSAMENTO E ACABAMENTO. AF_12/2015</t>
  </si>
  <si>
    <t>2.5.5</t>
  </si>
  <si>
    <t>VERGA MOLDADA IN LOCO EM CONCRETO PARA PORTAS COM ATÉ 1,5 M DE VÃO. AF_03/2016</t>
  </si>
  <si>
    <t>2.5.6</t>
  </si>
  <si>
    <t>VERGA MOLDADA IN LOCO EM CONCRETO PARA PORTAS COM MAIS DE 1,5 M DE VÃO. AF_03/2016</t>
  </si>
  <si>
    <t>2.5.7</t>
  </si>
  <si>
    <t>VERGA MOLDADA IN LOCO EM CONCRETO PARA JANELAS COM ATÉ 1,5 M DE VÃO. AF_03/2016</t>
  </si>
  <si>
    <t>2.5.8</t>
  </si>
  <si>
    <t>VERGA MOLDADA IN LOCO EM CONCRETO PARA JANELAS COM MAIS DE 1,5 M DE VÃO. AF_03/2016</t>
  </si>
  <si>
    <t>2.5.9</t>
  </si>
  <si>
    <t>CONTRAVERGA MOLDADA IN LOCO EM CONCRETO PARA VÃOS DE ATÉ 1,5 M DE COMPRIMENTO. AF_03/2016</t>
  </si>
  <si>
    <t>2.5.10</t>
  </si>
  <si>
    <t>CONTRAVERGA MOLDADA IN LOCO EM CONCRETO PARA VÃOS DE MAIS DE 1,5 M DE COMPRIMENTO. AF_03/2016</t>
  </si>
  <si>
    <t>2.6.11</t>
  </si>
  <si>
    <t>PORTA DE FERRO, DE ABRIR, TIPO GRADE COM CHAPA, COM GUARNIÇÕES. AF_12/2019</t>
  </si>
  <si>
    <t>2.6.12</t>
  </si>
  <si>
    <t>Gradil de ferro c/barra chata 2"x1/4" verticais espaç.10cm, montante em perfil seção quadrada de 1" vertical espaç.3 m, barras paralelas horizontais 2"x1/4", incl.portão, mureta h=30cm em alv.bloco e=19cm, chapiscada e rebocada, exclusive pintura</t>
  </si>
  <si>
    <t>ORSE</t>
  </si>
  <si>
    <t>m2</t>
  </si>
  <si>
    <t>2.7.9</t>
  </si>
  <si>
    <t>FORRO EM PLACAS DE GESSO, PARA AMBIENTES COMERCIAIS. AF_05/2017_P</t>
  </si>
  <si>
    <t>2.8.8</t>
  </si>
  <si>
    <t>REVESTIMENTO CERÂMICO PARA PAREDES INTERNAS COM PLACAS TIPO ESMALTADA EXTRA DE DIMENSÕES 33X45 CM APLICADAS EM AMBIENTES DE ÁREA MENOR QUE 5 M² NA ALTURA INTEIRA DAS PAREDES. AF_06/2014</t>
  </si>
  <si>
    <t>2.9.10</t>
  </si>
  <si>
    <t>2.9.11</t>
  </si>
  <si>
    <t>APLICAÇÃO DE FUNDO SELADOR ACRÍLICO EM TETO, UMA DEMÃO. AF_06/2014</t>
  </si>
  <si>
    <t>2.9.12</t>
  </si>
  <si>
    <t>APLICAÇÃO E LIXAMENTO DE MASSA LÁTEX EM PAREDES, DUAS DEMÃOS. AF_06/2014</t>
  </si>
  <si>
    <t>2.10.10</t>
  </si>
  <si>
    <t>2.11.10</t>
  </si>
  <si>
    <t>2.11.11</t>
  </si>
  <si>
    <t>2.11.12</t>
  </si>
  <si>
    <t>2.11.13</t>
  </si>
  <si>
    <t>2.11.14</t>
  </si>
  <si>
    <t>2.11.15</t>
  </si>
  <si>
    <t>2.11.16</t>
  </si>
  <si>
    <t>2.11.17</t>
  </si>
  <si>
    <t>2.11.18</t>
  </si>
  <si>
    <t>2.11.19</t>
  </si>
  <si>
    <t>2.11.20</t>
  </si>
  <si>
    <t>2.11.21</t>
  </si>
  <si>
    <t>2.11.22</t>
  </si>
  <si>
    <t>2.11.23</t>
  </si>
  <si>
    <t>2.11.24</t>
  </si>
  <si>
    <t>2.11.25</t>
  </si>
  <si>
    <t>2.11.26</t>
  </si>
  <si>
    <t>2.11.27</t>
  </si>
  <si>
    <t>2.11.28</t>
  </si>
  <si>
    <t>2.11.29</t>
  </si>
  <si>
    <t>2.11.30</t>
  </si>
  <si>
    <t>2.12.8</t>
  </si>
  <si>
    <t>Calha de concreto e alvenaria, revestida internamente, com grelha de ferro, seção 0,20 x 0,15m</t>
  </si>
  <si>
    <t>m</t>
  </si>
  <si>
    <t>2.14.10</t>
  </si>
  <si>
    <t>3.6.5</t>
  </si>
  <si>
    <t>FABRICAÇÃO E INSTALAÇÃO DE TESOURA INTEIRA EM MADEIRA NÃO APARELHADA, VÃO DE 6 M, PARA TELHA CERÂMICA OU DE CONCRETO, INCLUSO IÇAMENTO. AF_12/2015</t>
  </si>
  <si>
    <t>3.6.6</t>
  </si>
  <si>
    <t>TRAMA DE MADEIRA COMPOSTA POR RIPAS, CAIBROS E TERÇAS PARA TELHADOS DE ATÉ 2 ÁGUAS PARA TELHA CERÂMICA CAPA-CANAL, INCLUSO TRANSPORTE VERTICAL. AF_12/2015</t>
  </si>
  <si>
    <t>2.4</t>
  </si>
  <si>
    <t>SUPER-ESTRUTURA</t>
  </si>
  <si>
    <t>2.5</t>
  </si>
  <si>
    <t>PAREDES E PAINEIS</t>
  </si>
  <si>
    <t>Bloco Pedagógico - Salas de Aula</t>
  </si>
  <si>
    <t>Bloco Administrativo - ENTRADA</t>
  </si>
  <si>
    <t>Bloco Administrativo</t>
  </si>
  <si>
    <t>Bloco Administrativo - cozinha</t>
  </si>
  <si>
    <t>Desconto esquadrias</t>
  </si>
  <si>
    <t>Desconto cobogós</t>
  </si>
  <si>
    <t>Lateral esquerda</t>
  </si>
  <si>
    <t>Lateral direita</t>
  </si>
  <si>
    <t>Fundos bloco pedagógico</t>
  </si>
  <si>
    <t>Área de recreação + fundos</t>
  </si>
  <si>
    <t>Aterro da área entre murada e escola, considerando uma média de 0,60m abaixo das calçadas de contorno, sendo medido em torno de 10% restantes:</t>
  </si>
  <si>
    <t>Embasamento recreio</t>
  </si>
  <si>
    <t>Embasamento adicional da murada na parte dos fundos para compensar o desnível do terreno</t>
  </si>
  <si>
    <t>10% restantes da alvenaria de vedação calculada abaixo:</t>
  </si>
  <si>
    <t>Vigas térreo, conforme projeto estrutural (24,23 m³)</t>
  </si>
  <si>
    <t>Conforme projeto estrutural</t>
  </si>
  <si>
    <t>2.8</t>
  </si>
  <si>
    <t>REVESTIMENTO E FORRO</t>
  </si>
  <si>
    <t>2x Alvenarias medidas no acumulado</t>
  </si>
  <si>
    <t>Igual ao chapisco menos emboço medidos</t>
  </si>
  <si>
    <t>Igual ao somatório de revestimentos cerâmicos</t>
  </si>
  <si>
    <t>ETAPA 03: RECREIO COBERTO</t>
  </si>
  <si>
    <t>SERVICOS PRELIMINARES</t>
  </si>
  <si>
    <t>3.1</t>
  </si>
  <si>
    <t>3.2</t>
  </si>
  <si>
    <t>3.3</t>
  </si>
  <si>
    <t>FUNDACAO</t>
  </si>
  <si>
    <t>3.4</t>
  </si>
  <si>
    <t>ESTRUTURA - CONCRETO</t>
  </si>
  <si>
    <t>Área do recreio</t>
  </si>
  <si>
    <t>Sapatas</t>
  </si>
  <si>
    <t>Valas</t>
  </si>
  <si>
    <t>Preenchimento de valas</t>
  </si>
  <si>
    <t>Projeto estrutural de vigas baldrames do recreio</t>
  </si>
  <si>
    <t>Projeto estrutural de sapatas do recreio</t>
  </si>
  <si>
    <t>Projeto estrutural de pilares e cintas superiores do recreio</t>
  </si>
  <si>
    <t>BOLETIM DE MEDIÇÃO - BM-03</t>
  </si>
  <si>
    <t>MEMORIAL DE CÁLCULOS - BM-03</t>
  </si>
  <si>
    <t>*/- 80% do perímetro de murada (0,80*(60,0*2+30,0))</t>
  </si>
  <si>
    <t>IMPORTA A PRESENTE MEDIÇÃO O VALOR DE R$ 248.853,99 (DUZENTOS E QUARENTA E OITO MIL, OITOCENTOS E CINQUENTA E TRÊS REAIS E NOVENTA E NOVE CENTAVOS)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</si>
</sst>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0000000"/>
    <numFmt numFmtId="166" formatCode="_(* #,##0.00_);_(* \(#,##0.00\);_(* \-??_);_(@_)"/>
    <numFmt numFmtId="167" formatCode="#,##0.0000000000"/>
    <numFmt numFmtId="168" formatCode="&quot;R$&quot;\ #,##0.0000"/>
    <numFmt numFmtId="170" formatCode="0.0"/>
  </numFmts>
  <fonts count="21" x14ac:knownFonts="1"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8" fillId="0" borderId="0"/>
    <xf numFmtId="166" fontId="7" fillId="0" borderId="0" applyFill="0" applyBorder="0" applyAlignment="0" applyProtection="0"/>
    <xf numFmtId="44" fontId="7" fillId="0" borderId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29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2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 wrapText="1"/>
    </xf>
    <xf numFmtId="2" fontId="5" fillId="0" borderId="2" xfId="0" applyNumberFormat="1" applyFont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2" fontId="6" fillId="0" borderId="2" xfId="1" applyNumberFormat="1" applyFont="1" applyFill="1" applyBorder="1" applyAlignment="1">
      <alignment horizontal="center" vertical="center" shrinkToFit="1"/>
    </xf>
    <xf numFmtId="164" fontId="6" fillId="0" borderId="2" xfId="1" applyNumberFormat="1" applyFont="1" applyFill="1" applyBorder="1" applyAlignment="1">
      <alignment horizontal="center" vertical="center" shrinkToFit="1"/>
    </xf>
    <xf numFmtId="165" fontId="6" fillId="0" borderId="2" xfId="0" applyNumberFormat="1" applyFont="1" applyBorder="1" applyAlignment="1">
      <alignment horizontal="center" vertical="center" shrinkToFit="1"/>
    </xf>
    <xf numFmtId="43" fontId="6" fillId="0" borderId="0" xfId="1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2" fontId="6" fillId="0" borderId="0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10" fillId="0" borderId="0" xfId="0" applyFont="1" applyAlignment="1">
      <alignment vertical="center" wrapText="1"/>
    </xf>
    <xf numFmtId="44" fontId="11" fillId="0" borderId="0" xfId="6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6" fillId="0" borderId="10" xfId="0" applyFont="1" applyBorder="1" applyAlignment="1">
      <alignment vertical="center"/>
    </xf>
    <xf numFmtId="44" fontId="10" fillId="0" borderId="0" xfId="0" applyNumberFormat="1" applyFont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vertical="center" wrapText="1"/>
    </xf>
    <xf numFmtId="44" fontId="11" fillId="0" borderId="12" xfId="6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10" fontId="11" fillId="0" borderId="12" xfId="0" applyNumberFormat="1" applyFont="1" applyBorder="1" applyAlignment="1">
      <alignment horizontal="center" vertical="center"/>
    </xf>
    <xf numFmtId="10" fontId="11" fillId="0" borderId="13" xfId="0" applyNumberFormat="1" applyFont="1" applyBorder="1" applyAlignment="1">
      <alignment horizontal="center" vertical="center"/>
    </xf>
    <xf numFmtId="164" fontId="5" fillId="2" borderId="1" xfId="7" applyNumberFormat="1" applyFont="1" applyFill="1" applyBorder="1" applyAlignment="1">
      <alignment horizontal="center" vertical="center"/>
    </xf>
    <xf numFmtId="2" fontId="5" fillId="2" borderId="1" xfId="7" applyNumberFormat="1" applyFont="1" applyFill="1" applyBorder="1" applyAlignment="1">
      <alignment horizontal="center" vertical="center"/>
    </xf>
    <xf numFmtId="2" fontId="5" fillId="2" borderId="1" xfId="7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10" fontId="11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2" fillId="0" borderId="0" xfId="8"/>
    <xf numFmtId="0" fontId="15" fillId="4" borderId="1" xfId="8" applyFont="1" applyFill="1" applyBorder="1" applyAlignment="1">
      <alignment horizontal="center" vertical="center" wrapText="1"/>
    </xf>
    <xf numFmtId="4" fontId="15" fillId="4" borderId="1" xfId="8" applyNumberFormat="1" applyFont="1" applyFill="1" applyBorder="1" applyAlignment="1">
      <alignment horizontal="center" vertical="center" wrapText="1"/>
    </xf>
    <xf numFmtId="0" fontId="3" fillId="2" borderId="15" xfId="8" applyFont="1" applyFill="1" applyBorder="1" applyAlignment="1">
      <alignment horizontal="center" vertical="center"/>
    </xf>
    <xf numFmtId="0" fontId="3" fillId="2" borderId="15" xfId="8" applyFont="1" applyFill="1" applyBorder="1" applyAlignment="1">
      <alignment horizontal="left" vertical="center"/>
    </xf>
    <xf numFmtId="0" fontId="3" fillId="2" borderId="16" xfId="8" applyFont="1" applyFill="1" applyBorder="1" applyAlignment="1">
      <alignment horizontal="center" vertical="center" wrapText="1"/>
    </xf>
    <xf numFmtId="4" fontId="3" fillId="2" borderId="16" xfId="8" applyNumberFormat="1" applyFont="1" applyFill="1" applyBorder="1" applyAlignment="1">
      <alignment horizontal="center" vertical="center" wrapText="1"/>
    </xf>
    <xf numFmtId="49" fontId="3" fillId="2" borderId="17" xfId="8" applyNumberFormat="1" applyFont="1" applyFill="1" applyBorder="1" applyAlignment="1">
      <alignment horizontal="center" vertical="center" wrapText="1"/>
    </xf>
    <xf numFmtId="167" fontId="15" fillId="5" borderId="15" xfId="8" applyNumberFormat="1" applyFont="1" applyFill="1" applyBorder="1" applyAlignment="1">
      <alignment horizontal="center" vertical="center"/>
    </xf>
    <xf numFmtId="4" fontId="15" fillId="5" borderId="1" xfId="8" applyNumberFormat="1" applyFont="1" applyFill="1" applyBorder="1" applyAlignment="1">
      <alignment horizontal="center" vertical="center"/>
    </xf>
    <xf numFmtId="0" fontId="15" fillId="5" borderId="1" xfId="8" applyFont="1" applyFill="1" applyBorder="1" applyAlignment="1">
      <alignment horizontal="center" vertical="center"/>
    </xf>
    <xf numFmtId="2" fontId="2" fillId="0" borderId="0" xfId="8" applyNumberFormat="1"/>
    <xf numFmtId="167" fontId="15" fillId="0" borderId="1" xfId="8" applyNumberFormat="1" applyFont="1" applyBorder="1" applyAlignment="1">
      <alignment horizontal="center" vertical="center"/>
    </xf>
    <xf numFmtId="0" fontId="18" fillId="0" borderId="15" xfId="8" applyFont="1" applyBorder="1" applyAlignment="1">
      <alignment horizontal="center" vertical="center" wrapText="1"/>
    </xf>
    <xf numFmtId="2" fontId="18" fillId="0" borderId="1" xfId="8" applyNumberFormat="1" applyFont="1" applyBorder="1" applyAlignment="1">
      <alignment horizontal="center" vertical="center" wrapText="1"/>
    </xf>
    <xf numFmtId="4" fontId="19" fillId="0" borderId="1" xfId="8" applyNumberFormat="1" applyFont="1" applyBorder="1" applyAlignment="1">
      <alignment horizontal="center" vertical="center"/>
    </xf>
    <xf numFmtId="0" fontId="15" fillId="0" borderId="1" xfId="8" applyFont="1" applyBorder="1" applyAlignment="1">
      <alignment horizontal="center" vertical="center"/>
    </xf>
    <xf numFmtId="167" fontId="19" fillId="0" borderId="1" xfId="8" applyNumberFormat="1" applyFont="1" applyBorder="1" applyAlignment="1">
      <alignment horizontal="center" vertical="center"/>
    </xf>
    <xf numFmtId="4" fontId="15" fillId="0" borderId="1" xfId="8" applyNumberFormat="1" applyFont="1" applyBorder="1" applyAlignment="1">
      <alignment horizontal="center" vertical="center"/>
    </xf>
    <xf numFmtId="0" fontId="19" fillId="0" borderId="1" xfId="8" applyFont="1" applyBorder="1" applyAlignment="1">
      <alignment horizontal="center" vertical="center"/>
    </xf>
    <xf numFmtId="0" fontId="17" fillId="0" borderId="15" xfId="8" applyFont="1" applyBorder="1" applyAlignment="1">
      <alignment horizontal="center" vertical="center" wrapText="1"/>
    </xf>
    <xf numFmtId="167" fontId="19" fillId="0" borderId="19" xfId="8" applyNumberFormat="1" applyFont="1" applyBorder="1" applyAlignment="1">
      <alignment horizontal="center" vertical="center"/>
    </xf>
    <xf numFmtId="0" fontId="18" fillId="0" borderId="11" xfId="8" applyFont="1" applyBorder="1" applyAlignment="1">
      <alignment horizontal="center" vertical="center" wrapText="1"/>
    </xf>
    <xf numFmtId="10" fontId="6" fillId="0" borderId="0" xfId="2" applyNumberFormat="1" applyFont="1" applyAlignment="1">
      <alignment horizontal="center" vertical="center"/>
    </xf>
    <xf numFmtId="168" fontId="6" fillId="0" borderId="0" xfId="0" applyNumberFormat="1" applyFont="1" applyAlignment="1">
      <alignment horizontal="left" vertical="center"/>
    </xf>
    <xf numFmtId="10" fontId="5" fillId="0" borderId="0" xfId="2" applyNumberFormat="1" applyFont="1" applyFill="1" applyBorder="1" applyAlignment="1">
      <alignment horizontal="center" vertical="center" shrinkToFit="1"/>
    </xf>
    <xf numFmtId="2" fontId="19" fillId="0" borderId="1" xfId="9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44" fontId="10" fillId="0" borderId="0" xfId="0" applyNumberFormat="1" applyFont="1" applyAlignment="1">
      <alignment horizontal="center" vertical="center"/>
    </xf>
    <xf numFmtId="44" fontId="10" fillId="0" borderId="12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4" fontId="5" fillId="2" borderId="1" xfId="7" applyNumberFormat="1" applyFont="1" applyFill="1" applyBorder="1" applyAlignment="1">
      <alignment horizontal="center" vertical="center" wrapText="1"/>
    </xf>
    <xf numFmtId="0" fontId="5" fillId="0" borderId="3" xfId="7" applyFont="1" applyBorder="1" applyAlignment="1">
      <alignment horizontal="right" vertical="center"/>
    </xf>
    <xf numFmtId="0" fontId="5" fillId="0" borderId="4" xfId="7" applyFont="1" applyBorder="1" applyAlignment="1">
      <alignment horizontal="right" vertical="center"/>
    </xf>
    <xf numFmtId="0" fontId="5" fillId="0" borderId="5" xfId="7" applyFont="1" applyBorder="1" applyAlignment="1">
      <alignment horizontal="right" vertical="center"/>
    </xf>
    <xf numFmtId="164" fontId="5" fillId="0" borderId="3" xfId="7" applyNumberFormat="1" applyFont="1" applyBorder="1" applyAlignment="1">
      <alignment horizontal="center" vertical="center"/>
    </xf>
    <xf numFmtId="164" fontId="5" fillId="0" borderId="4" xfId="7" applyNumberFormat="1" applyFont="1" applyBorder="1" applyAlignment="1">
      <alignment horizontal="center" vertical="center"/>
    </xf>
    <xf numFmtId="164" fontId="5" fillId="0" borderId="5" xfId="7" applyNumberFormat="1" applyFont="1" applyBorder="1" applyAlignment="1">
      <alignment horizontal="center" vertical="center"/>
    </xf>
    <xf numFmtId="0" fontId="5" fillId="0" borderId="3" xfId="7" applyFont="1" applyBorder="1" applyAlignment="1">
      <alignment horizontal="center" vertical="center"/>
    </xf>
    <xf numFmtId="0" fontId="5" fillId="0" borderId="4" xfId="7" applyFont="1" applyBorder="1" applyAlignment="1">
      <alignment horizontal="center" vertical="center"/>
    </xf>
    <xf numFmtId="0" fontId="5" fillId="0" borderId="5" xfId="7" applyFont="1" applyBorder="1" applyAlignment="1">
      <alignment horizontal="center" vertical="center"/>
    </xf>
    <xf numFmtId="2" fontId="5" fillId="2" borderId="15" xfId="7" applyNumberFormat="1" applyFont="1" applyFill="1" applyBorder="1" applyAlignment="1">
      <alignment horizontal="center" vertical="center"/>
    </xf>
    <xf numFmtId="2" fontId="5" fillId="2" borderId="16" xfId="7" applyNumberFormat="1" applyFont="1" applyFill="1" applyBorder="1" applyAlignment="1">
      <alignment horizontal="center" vertical="center"/>
    </xf>
    <xf numFmtId="2" fontId="5" fillId="2" borderId="17" xfId="7" applyNumberFormat="1" applyFont="1" applyFill="1" applyBorder="1" applyAlignment="1">
      <alignment horizontal="center" vertical="center"/>
    </xf>
    <xf numFmtId="0" fontId="5" fillId="2" borderId="1" xfId="7" applyFont="1" applyFill="1" applyBorder="1" applyAlignment="1">
      <alignment horizontal="center" vertical="center"/>
    </xf>
    <xf numFmtId="0" fontId="5" fillId="2" borderId="1" xfId="7" applyFont="1" applyFill="1" applyBorder="1" applyAlignment="1">
      <alignment horizontal="center" vertical="center" wrapText="1"/>
    </xf>
    <xf numFmtId="164" fontId="5" fillId="2" borderId="1" xfId="7" applyNumberFormat="1" applyFont="1" applyFill="1" applyBorder="1" applyAlignment="1">
      <alignment horizontal="center" vertical="center"/>
    </xf>
    <xf numFmtId="167" fontId="19" fillId="0" borderId="14" xfId="8" applyNumberFormat="1" applyFont="1" applyBorder="1" applyAlignment="1">
      <alignment horizontal="center" vertical="center"/>
    </xf>
    <xf numFmtId="167" fontId="19" fillId="0" borderId="19" xfId="8" applyNumberFormat="1" applyFont="1" applyBorder="1" applyAlignment="1">
      <alignment horizontal="center" vertical="center"/>
    </xf>
    <xf numFmtId="0" fontId="18" fillId="0" borderId="14" xfId="8" applyFont="1" applyBorder="1" applyAlignment="1">
      <alignment horizontal="center" vertical="center" wrapText="1"/>
    </xf>
    <xf numFmtId="0" fontId="18" fillId="0" borderId="19" xfId="8" applyFont="1" applyBorder="1" applyAlignment="1">
      <alignment horizontal="center" vertical="center" wrapText="1"/>
    </xf>
    <xf numFmtId="167" fontId="15" fillId="0" borderId="15" xfId="8" applyNumberFormat="1" applyFont="1" applyBorder="1" applyAlignment="1">
      <alignment horizontal="center" vertical="center"/>
    </xf>
    <xf numFmtId="167" fontId="15" fillId="0" borderId="16" xfId="8" applyNumberFormat="1" applyFont="1" applyBorder="1" applyAlignment="1">
      <alignment horizontal="center" vertical="center"/>
    </xf>
    <xf numFmtId="167" fontId="15" fillId="0" borderId="17" xfId="8" applyNumberFormat="1" applyFont="1" applyBorder="1" applyAlignment="1">
      <alignment horizontal="center" vertical="center"/>
    </xf>
    <xf numFmtId="0" fontId="17" fillId="5" borderId="15" xfId="8" applyFont="1" applyFill="1" applyBorder="1" applyAlignment="1">
      <alignment horizontal="left" vertical="center" wrapText="1"/>
    </xf>
    <xf numFmtId="0" fontId="17" fillId="5" borderId="16" xfId="8" applyFont="1" applyFill="1" applyBorder="1" applyAlignment="1">
      <alignment horizontal="left" vertical="center" wrapText="1"/>
    </xf>
    <xf numFmtId="0" fontId="18" fillId="0" borderId="18" xfId="8" applyFont="1" applyBorder="1" applyAlignment="1">
      <alignment horizontal="center" vertical="center" wrapText="1"/>
    </xf>
    <xf numFmtId="167" fontId="19" fillId="0" borderId="18" xfId="8" applyNumberFormat="1" applyFont="1" applyBorder="1" applyAlignment="1">
      <alignment horizontal="center" vertical="center"/>
    </xf>
    <xf numFmtId="0" fontId="16" fillId="3" borderId="1" xfId="8" applyFont="1" applyFill="1" applyBorder="1" applyAlignment="1">
      <alignment horizontal="center" vertical="center"/>
    </xf>
    <xf numFmtId="2" fontId="13" fillId="0" borderId="6" xfId="8" applyNumberFormat="1" applyFont="1" applyBorder="1" applyAlignment="1">
      <alignment horizontal="center" vertical="center"/>
    </xf>
    <xf numFmtId="0" fontId="13" fillId="0" borderId="7" xfId="8" applyFont="1" applyBorder="1" applyAlignment="1">
      <alignment horizontal="center" vertical="center"/>
    </xf>
    <xf numFmtId="0" fontId="13" fillId="0" borderId="8" xfId="8" applyFont="1" applyBorder="1" applyAlignment="1">
      <alignment horizontal="center" vertical="center"/>
    </xf>
    <xf numFmtId="2" fontId="14" fillId="0" borderId="6" xfId="8" applyNumberFormat="1" applyFont="1" applyBorder="1" applyAlignment="1">
      <alignment horizontal="center" vertical="center"/>
    </xf>
    <xf numFmtId="0" fontId="14" fillId="0" borderId="7" xfId="8" applyFont="1" applyBorder="1" applyAlignment="1">
      <alignment horizontal="center" vertical="center"/>
    </xf>
    <xf numFmtId="0" fontId="14" fillId="0" borderId="8" xfId="8" applyFont="1" applyBorder="1" applyAlignment="1">
      <alignment horizontal="center" vertical="center"/>
    </xf>
    <xf numFmtId="2" fontId="14" fillId="0" borderId="9" xfId="8" applyNumberFormat="1" applyFont="1" applyBorder="1" applyAlignment="1">
      <alignment horizontal="center" vertical="center"/>
    </xf>
    <xf numFmtId="0" fontId="14" fillId="0" borderId="0" xfId="8" applyFont="1" applyAlignment="1">
      <alignment horizontal="center" vertical="center"/>
    </xf>
    <xf numFmtId="0" fontId="14" fillId="0" borderId="10" xfId="8" applyFont="1" applyBorder="1" applyAlignment="1">
      <alignment horizontal="center" vertical="center"/>
    </xf>
    <xf numFmtId="2" fontId="15" fillId="0" borderId="9" xfId="8" applyNumberFormat="1" applyFont="1" applyBorder="1" applyAlignment="1">
      <alignment horizontal="left" vertical="center"/>
    </xf>
    <xf numFmtId="0" fontId="15" fillId="0" borderId="0" xfId="8" applyFont="1" applyAlignment="1">
      <alignment horizontal="left" vertical="center"/>
    </xf>
    <xf numFmtId="0" fontId="15" fillId="0" borderId="10" xfId="8" applyFont="1" applyBorder="1" applyAlignment="1">
      <alignment horizontal="left" vertical="center"/>
    </xf>
    <xf numFmtId="2" fontId="15" fillId="0" borderId="11" xfId="8" applyNumberFormat="1" applyFont="1" applyBorder="1" applyAlignment="1">
      <alignment horizontal="left" vertical="center"/>
    </xf>
    <xf numFmtId="0" fontId="15" fillId="0" borderId="12" xfId="8" applyFont="1" applyBorder="1" applyAlignment="1">
      <alignment horizontal="left" vertical="center"/>
    </xf>
    <xf numFmtId="0" fontId="15" fillId="0" borderId="13" xfId="8" applyFont="1" applyBorder="1" applyAlignment="1">
      <alignment horizontal="left" vertical="center"/>
    </xf>
    <xf numFmtId="0" fontId="15" fillId="4" borderId="1" xfId="8" applyFont="1" applyFill="1" applyBorder="1" applyAlignment="1">
      <alignment horizontal="center" vertical="center"/>
    </xf>
    <xf numFmtId="0" fontId="15" fillId="4" borderId="1" xfId="8" applyFont="1" applyFill="1" applyBorder="1" applyAlignment="1">
      <alignment horizontal="center" vertical="center" wrapText="1"/>
    </xf>
    <xf numFmtId="49" fontId="15" fillId="4" borderId="1" xfId="8" applyNumberFormat="1" applyFont="1" applyFill="1" applyBorder="1" applyAlignment="1">
      <alignment horizontal="center" vertical="center" wrapText="1"/>
    </xf>
    <xf numFmtId="0" fontId="17" fillId="5" borderId="17" xfId="8" applyFont="1" applyFill="1" applyBorder="1" applyAlignment="1">
      <alignment horizontal="left" vertical="center" wrapText="1"/>
    </xf>
    <xf numFmtId="0" fontId="18" fillId="0" borderId="15" xfId="8" quotePrefix="1" applyFont="1" applyBorder="1" applyAlignment="1">
      <alignment horizontal="center" vertical="center" wrapText="1"/>
    </xf>
    <xf numFmtId="170" fontId="18" fillId="0" borderId="1" xfId="8" applyNumberFormat="1" applyFont="1" applyBorder="1" applyAlignment="1">
      <alignment horizontal="center" vertical="center" wrapText="1"/>
    </xf>
  </cellXfs>
  <cellStyles count="10">
    <cellStyle name="Moeda 2 2" xfId="6" xr:uid="{6DECDA5B-7B76-4B76-9D3F-6CE5DEE18F35}"/>
    <cellStyle name="Normal" xfId="0" builtinId="0"/>
    <cellStyle name="Normal 187" xfId="8" xr:uid="{D54F0B0E-C915-41CA-AD63-68312093BF2B}"/>
    <cellStyle name="Normal 2 2" xfId="3" xr:uid="{63058257-CF10-4624-8DFE-2292F2E86623}"/>
    <cellStyle name="Normal 4" xfId="4" xr:uid="{E8F7763F-86D5-48FA-82DC-9E8564FD8542}"/>
    <cellStyle name="Normal 5 2 2" xfId="9" xr:uid="{BAAC2885-1BDF-4B2B-AB5F-9C2E68051DAE}"/>
    <cellStyle name="Normal 6" xfId="7" xr:uid="{041EF657-5992-4A4F-B1B9-A2B9D5D94B60}"/>
    <cellStyle name="Porcentagem" xfId="2" builtinId="5"/>
    <cellStyle name="Separador de milhares 2_ORÇAMENTO matureia corrigido (DEZ 2009)" xfId="5" xr:uid="{F3CB5D53-02DB-4666-983C-4EC095CD7B93}"/>
    <cellStyle name="Vírgula" xfId="1" builtinId="3"/>
  </cellStyles>
  <dxfs count="44"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ramiltonassessoria\A%20%20-%20%20Trabalhos%20Atuais%20UFPB\AULAS\Tecnologia%20II%20%2005.2\Equipe%20BrunaJulianaThais\Quarto\PRE&#199;O2006-atualizado%20MAI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%20%20-%20%20Trabalhos%20Atuais%20UFPB\AULAS\Tecnologia%20II%20%2005.2\Equipe%20BrunaJulianaThais\Terceiro\Planilhas%20-%20predi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0.129\iramiltonassessoria\A%20%20-%20%20Trabalhos%20Atuais%20UFPB\AULAS\Tecnologia%20II%20%2005.2\Equipe%20BrunaJulianaThais\Quarto\PRE&#199;O2006-atualizado%20MAI20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dra\SERVIDOR\2012\PREFEITURAS\MARIZ&#211;POLIS\CAIXA\CONTRATOS%202011\PAVIMENTA&#199;&#195;O%20-%20MTUR\ENGENHARIA\Or&#231;amento%20pavimenta&#231;&#227;o%205000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&#195;O\Desktop\JB%20CONSTRU&#199;&#213;ES\CIDADES\S&#195;O%20BENTO\2019%20-%20TP08%20-%20PAV\1059.567-81_PLE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QUIVOS%20VICENTE\SINAPI\ARQ%20SAVIO\Or&#231;amento%20Modelo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&#195;O\Desktop\JB%20CONSTRU&#199;&#213;ES\CIDADES\M&#195;E%20D'&#193;GUA\2020%20-%20TP03%20-%20PAV\PROPOSTA%20M&#195;E%20D%20&#193;GUA%20-%20PROJETO%20II%20-%201,5%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vio%20Loz/OneDrive/Arquivos%20para%20Or&#231;amento/model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0.129\iramiltonassessoria\2009\PREFEITURAS\Matur&#233;ia\Banco%20de%20sementes%200276650-94\PROJETO%20COMPLETO(AGOSTO)\OR&#199;AMENTO%20matureia%20corrigido%20(DEZ%202009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&#195;O\Desktop\JB%20CONSTRU&#199;&#213;ES\CIDADES\S&#195;O%20BENTO\2019%20-%20TP08%20-%20PAV\1059.567-81_QCI_CFF3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0.129\iramiltonassessoria\2010\PREFEITURAS%202010\Cacimba%20de%20Areia\Caixa\CV%20Caixa%20Campo%20140.000,00\AMPLIAC&#195;O%20DO%20CAMPO%20DE%20FUTEBOL%20(140.000,00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anoel%20(J.%20Galdino)/Desktop/J.%20Galdino/OBRAS/OBRAS%2021-06/SOLID&#195;O%20-%20PE/PLANILHAS/ADITIVO%2001/ADITIVO%2001%20-%20UBS%20SOLID&#195;O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A6E04\Planilha%20Or&#231;ament&#225;ria%20Gin&#225;sio%20de%20Santa%20Gertrudes_ADITAMENTO_fin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anoel%20(J.%20Galdino)/Desktop/J.%20Galdino/OBRAS/OBRAS%2021-06/VISTA%20SERRANA/REFORMA%20CEMIT&#201;RIO/REFORMA%20CEMIT&#201;RIO%20-%20VISTA%20SERRA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UMOS"/>
      <sheetName val="COMPOSIÇÃO"/>
      <sheetName val="QUANTITATIVO"/>
      <sheetName val="CRONOGRAMA"/>
    </sheetNames>
    <sheetDataSet>
      <sheetData sheetId="0" refreshError="1">
        <row r="8">
          <cell r="C8">
            <v>1.59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dro de quantitativos"/>
      <sheetName val="INSUMOS"/>
      <sheetName val="CPU"/>
      <sheetName val="ORÇAMENTO obra"/>
      <sheetName val="Cronograma Fisico"/>
      <sheetName val="Cronograma Financeiro"/>
    </sheetNames>
    <sheetDataSet>
      <sheetData sheetId="0" refreshError="1"/>
      <sheetData sheetId="1" refreshError="1">
        <row r="6">
          <cell r="C6">
            <v>1.91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UMOS"/>
      <sheetName val="COMPOSIÇÃO"/>
      <sheetName val="QUANTITATIVO"/>
      <sheetName val="CRONOGRAMA"/>
    </sheetNames>
    <sheetDataSet>
      <sheetData sheetId="0" refreshError="1">
        <row r="8">
          <cell r="C8">
            <v>1.59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IA DE CALCULO"/>
      <sheetName val="ORÇAMENTO"/>
      <sheetName val="QCI"/>
      <sheetName val="Cronog CP financeira"/>
      <sheetName val="Custos Unitários "/>
      <sheetName val="COMPOSIÇÃO DO BDI "/>
      <sheetName val="CUBAC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Eventograma_e_Quantitativos"/>
      <sheetName val="Detalhamento"/>
      <sheetName val="Cronograma"/>
      <sheetName val="PLE"/>
      <sheetName val="Resumo_de_Acompanhamento"/>
      <sheetName val="CronoPrev"/>
    </sheetNames>
    <sheetDataSet>
      <sheetData sheetId="0" refreshError="1">
        <row r="10">
          <cell r="D10" t="str">
            <v>SÃO BENTO/PB</v>
          </cell>
        </row>
        <row r="23">
          <cell r="A23">
            <v>0</v>
          </cell>
          <cell r="C23">
            <v>0</v>
          </cell>
          <cell r="D23">
            <v>0</v>
          </cell>
        </row>
        <row r="33">
          <cell r="A33" t="str">
            <v>Núm do Evento</v>
          </cell>
        </row>
        <row r="39">
          <cell r="C39">
            <v>0</v>
          </cell>
        </row>
      </sheetData>
      <sheetData sheetId="1" refreshError="1">
        <row r="15">
          <cell r="U15">
            <v>0</v>
          </cell>
        </row>
        <row r="48">
          <cell r="I48">
            <v>0</v>
          </cell>
          <cell r="N48">
            <v>0</v>
          </cell>
        </row>
      </sheetData>
      <sheetData sheetId="2" refreshError="1"/>
      <sheetData sheetId="3" refreshError="1"/>
      <sheetData sheetId="4" refreshError="1">
        <row r="28">
          <cell r="AX28">
            <v>1</v>
          </cell>
        </row>
      </sheetData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rçamento"/>
      <sheetName val="Comp_analiticas"/>
      <sheetName val="Memoria_Calculo1"/>
      <sheetName val="Memoria_Calculo2"/>
      <sheetName val="Cronograma"/>
      <sheetName val="LS"/>
      <sheetName val="BDI"/>
      <sheetName val="Comp_analiticas (2)"/>
    </sheetNames>
    <sheetDataSet>
      <sheetData sheetId="0"/>
      <sheetData sheetId="1">
        <row r="10">
          <cell r="J10">
            <v>0.27489999999999998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"/>
      <sheetName val="COMPOSIÇÕES"/>
      <sheetName val="PLE"/>
      <sheetName val="QCI"/>
      <sheetName val="CRONOGRAMA"/>
      <sheetName val="BDI"/>
    </sheetNames>
    <sheetDataSet>
      <sheetData sheetId="0">
        <row r="5">
          <cell r="H5" t="str">
            <v>ENCARGOS SOCIAIS DESONERADOS</v>
          </cell>
        </row>
      </sheetData>
      <sheetData sheetId="1"/>
      <sheetData sheetId="2"/>
      <sheetData sheetId="3">
        <row r="22">
          <cell r="R22"/>
          <cell r="AA22">
            <v>226807.67999999999</v>
          </cell>
          <cell r="AB22">
            <v>547.62</v>
          </cell>
          <cell r="AC22">
            <v>0</v>
          </cell>
        </row>
        <row r="23">
          <cell r="R23" t="str">
            <v>Proporcional</v>
          </cell>
          <cell r="AA23" t="str">
            <v>-</v>
          </cell>
          <cell r="AB23" t="str">
            <v>-</v>
          </cell>
          <cell r="AC23" t="str">
            <v>-</v>
          </cell>
        </row>
        <row r="24">
          <cell r="R24" t="str">
            <v>Proporcional</v>
          </cell>
          <cell r="AA24">
            <v>45411.29</v>
          </cell>
          <cell r="AB24">
            <v>109.64</v>
          </cell>
          <cell r="AC24">
            <v>0</v>
          </cell>
        </row>
        <row r="25">
          <cell r="R25" t="str">
            <v>Proporcional</v>
          </cell>
          <cell r="AA25">
            <v>48659.76</v>
          </cell>
          <cell r="AB25">
            <v>117.49</v>
          </cell>
          <cell r="AC25">
            <v>0</v>
          </cell>
        </row>
        <row r="26">
          <cell r="R26" t="str">
            <v>Proporcional</v>
          </cell>
          <cell r="AA26">
            <v>85175.11</v>
          </cell>
          <cell r="AB26">
            <v>205.65</v>
          </cell>
          <cell r="AC26">
            <v>0</v>
          </cell>
        </row>
        <row r="27">
          <cell r="R27" t="str">
            <v>Proporcional</v>
          </cell>
          <cell r="AA27">
            <v>30853.85</v>
          </cell>
          <cell r="AB27">
            <v>74.5</v>
          </cell>
          <cell r="AC27">
            <v>0</v>
          </cell>
        </row>
        <row r="28">
          <cell r="R28" t="str">
            <v>Proporcional</v>
          </cell>
          <cell r="AA28">
            <v>16707.669999999998</v>
          </cell>
          <cell r="AB28">
            <v>40.340000000000003</v>
          </cell>
          <cell r="AC28">
            <v>0</v>
          </cell>
        </row>
        <row r="29">
          <cell r="R29" t="str">
            <v>Proporcional</v>
          </cell>
          <cell r="AA29">
            <v>0</v>
          </cell>
          <cell r="AB29">
            <v>0</v>
          </cell>
          <cell r="AC29">
            <v>0</v>
          </cell>
        </row>
        <row r="30">
          <cell r="R30"/>
          <cell r="AA30"/>
          <cell r="AB30"/>
          <cell r="AC30"/>
        </row>
      </sheetData>
      <sheetData sheetId="4">
        <row r="32">
          <cell r="E32"/>
        </row>
      </sheetData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"/>
      <sheetName val="Memoria_Calculo"/>
      <sheetName val="Comp_analiticas"/>
      <sheetName val="Cronograma"/>
      <sheetName val="LS"/>
      <sheetName val="BDI"/>
    </sheetNames>
    <sheetDataSet>
      <sheetData sheetId="0"/>
      <sheetData sheetId="1"/>
      <sheetData sheetId="2"/>
      <sheetData sheetId="3"/>
      <sheetData sheetId="4"/>
      <sheetData sheetId="5">
        <row r="6">
          <cell r="T6" t="str">
            <v>Construção e Reforma de Edifícios</v>
          </cell>
        </row>
        <row r="7">
          <cell r="T7" t="str">
            <v>Fornecimento de Materiais e Equipamentos</v>
          </cell>
        </row>
        <row r="8">
          <cell r="T8" t="str">
            <v>Construção de Rodovias e Ferrovias</v>
          </cell>
        </row>
        <row r="10">
          <cell r="T10" t="str">
            <v>NÃO</v>
          </cell>
        </row>
        <row r="11">
          <cell r="T11" t="str">
            <v>SIM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ÃO DE CUSTOS"/>
      <sheetName val="BCO DE SEMENTES CORRETA"/>
      <sheetName val="QUADRA MULTI_USO"/>
      <sheetName val="CTO DE ATIVIDADES CORRETO"/>
      <sheetName val="ORÇAMENTO GLOBAL"/>
      <sheetName val="FOSSA e SUMIDOURO"/>
      <sheetName val="Orçamento Banco em Alvenaria"/>
      <sheetName val="Orçamento Cisterna"/>
      <sheetName val="COMPOSIÇÃO _FOSSA E SUMIDOURO_"/>
      <sheetName val="elétrico com códigos_3_"/>
      <sheetName val="QCI FINAL"/>
      <sheetName val="CRONOGRAMA GLOBAL"/>
      <sheetName val="CRON. GLOBAL S EQUIPAM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QCI"/>
      <sheetName val="CRONO"/>
      <sheetName val="RRE"/>
      <sheetName val="Ofício"/>
      <sheetName val="Listas"/>
    </sheetNames>
    <sheetDataSet>
      <sheetData sheetId="0">
        <row r="22">
          <cell r="J22" t="str">
            <v>OGU não-PAC</v>
          </cell>
        </row>
        <row r="55">
          <cell r="B55" t="str">
            <v>Adm. Direta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</sheetData>
      <sheetData sheetId="1">
        <row r="11">
          <cell r="E11">
            <v>0</v>
          </cell>
        </row>
        <row r="15">
          <cell r="AH15" t="str">
            <v>Adm. Direta</v>
          </cell>
        </row>
        <row r="24">
          <cell r="AH24">
            <v>0</v>
          </cell>
        </row>
      </sheetData>
      <sheetData sheetId="2">
        <row r="11">
          <cell r="J11" t="str">
            <v>Repasse (R$)</v>
          </cell>
        </row>
      </sheetData>
      <sheetData sheetId="3"/>
      <sheetData sheetId="4"/>
      <sheetData sheetId="5">
        <row r="2">
          <cell r="B2" t="str">
            <v>Itens de Investimento</v>
          </cell>
          <cell r="C2" t="str">
            <v>Unidades habitacionais</v>
          </cell>
          <cell r="D2">
            <v>3</v>
          </cell>
          <cell r="E2" t="str">
            <v>Equipamentos comunitários</v>
          </cell>
          <cell r="F2">
            <v>6</v>
          </cell>
          <cell r="G2" t="str">
            <v>Pavimentação</v>
          </cell>
          <cell r="H2">
            <v>6</v>
          </cell>
          <cell r="I2" t="str">
            <v xml:space="preserve">Drenagem </v>
          </cell>
          <cell r="J2">
            <v>6</v>
          </cell>
          <cell r="K2" t="str">
            <v>Abastecimento de água</v>
          </cell>
          <cell r="L2">
            <v>11</v>
          </cell>
          <cell r="M2" t="str">
            <v>Esgotamento sanitário</v>
          </cell>
          <cell r="N2">
            <v>8</v>
          </cell>
          <cell r="O2" t="str">
            <v>Energia elétrica e iluminação pública</v>
          </cell>
          <cell r="P2">
            <v>4</v>
          </cell>
          <cell r="Q2" t="str">
            <v>Coleta e tratamento de resíduos sólidos</v>
          </cell>
          <cell r="R2">
            <v>6</v>
          </cell>
          <cell r="S2" t="str">
            <v xml:space="preserve">Contenção e estabilização de encostas </v>
          </cell>
          <cell r="T2">
            <v>2</v>
          </cell>
          <cell r="U2" t="str">
            <v>Regularização fundiária</v>
          </cell>
          <cell r="V2">
            <v>2</v>
          </cell>
          <cell r="W2" t="str">
            <v>Aquisição de terreno</v>
          </cell>
          <cell r="X2">
            <v>2</v>
          </cell>
          <cell r="Y2" t="str">
            <v>Aquisição de equipamentos e insumos</v>
          </cell>
          <cell r="Z2">
            <v>1</v>
          </cell>
          <cell r="AA2" t="str">
            <v>Elaboração de estudos e projetos</v>
          </cell>
          <cell r="AB2">
            <v>1</v>
          </cell>
          <cell r="AC2" t="str">
            <v>Instrumentos e ações em planejamento e gestão pública</v>
          </cell>
          <cell r="AD2">
            <v>1</v>
          </cell>
          <cell r="AE2" t="str">
            <v>Ações complementares às obras</v>
          </cell>
          <cell r="AF2">
            <v>3</v>
          </cell>
          <cell r="AG2" t="str">
            <v>Gerenciamento</v>
          </cell>
          <cell r="AH2">
            <v>1</v>
          </cell>
          <cell r="AI2" t="str">
            <v>Trabalho social</v>
          </cell>
          <cell r="AJ2">
            <v>4</v>
          </cell>
        </row>
        <row r="3">
          <cell r="B3" t="str">
            <v>Unidades habitacionais</v>
          </cell>
        </row>
        <row r="4">
          <cell r="B4" t="str">
            <v>Equipamentos comunitários</v>
          </cell>
        </row>
        <row r="5">
          <cell r="B5" t="str">
            <v>Pavimentação</v>
          </cell>
        </row>
        <row r="6">
          <cell r="B6" t="str">
            <v xml:space="preserve">Drenagem </v>
          </cell>
        </row>
        <row r="7">
          <cell r="B7" t="str">
            <v>Abastecimento de água</v>
          </cell>
        </row>
        <row r="8">
          <cell r="B8" t="str">
            <v>Esgotamento sanitário</v>
          </cell>
        </row>
        <row r="9">
          <cell r="B9" t="str">
            <v>Energia elétrica e iluminação pública</v>
          </cell>
        </row>
        <row r="10">
          <cell r="B10" t="str">
            <v>Coleta e tratamento de resíduos sólidos</v>
          </cell>
        </row>
        <row r="11">
          <cell r="B11" t="str">
            <v xml:space="preserve">Contenção e estabilização de encostas </v>
          </cell>
        </row>
        <row r="12">
          <cell r="B12" t="str">
            <v>Regularização fundiária</v>
          </cell>
        </row>
        <row r="13">
          <cell r="B13" t="str">
            <v>Aquisição de terreno</v>
          </cell>
        </row>
        <row r="14">
          <cell r="B14" t="str">
            <v>Aquisição de equipamentos e insumos</v>
          </cell>
        </row>
        <row r="15">
          <cell r="B15" t="str">
            <v>Elaboração de estudos e projetos</v>
          </cell>
        </row>
        <row r="16">
          <cell r="B16" t="str">
            <v>Instrumentos e ações em planejamento e gestão pública</v>
          </cell>
        </row>
        <row r="17">
          <cell r="B17" t="str">
            <v>Ações complementares às obras</v>
          </cell>
        </row>
        <row r="18">
          <cell r="B18" t="str">
            <v>Gerenciamento</v>
          </cell>
        </row>
        <row r="19">
          <cell r="B19" t="str">
            <v>Trabalho social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IA DE CALCULO"/>
      <sheetName val="Orçamento"/>
      <sheetName val="QCI"/>
      <sheetName val="CRONOGRAMA"/>
      <sheetName val="COMPOSIÇÃO DO BDI "/>
      <sheetName val="COMPOSIÇÃO CUSTO"/>
      <sheetName val="MODELO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ITIVO 01"/>
      <sheetName val="MEMORIAL DE CÁLCULOS"/>
      <sheetName val="PREÇOS NOVOS"/>
      <sheetName val="COMPOSIÇÕES"/>
      <sheetName val="BDI"/>
    </sheetNames>
    <sheetDataSet>
      <sheetData sheetId="0">
        <row r="50">
          <cell r="A50" t="str">
            <v>5.6</v>
          </cell>
        </row>
      </sheetData>
      <sheetData sheetId="1" refreshError="1"/>
      <sheetData sheetId="2"/>
      <sheetData sheetId="3">
        <row r="6">
          <cell r="A6" t="str">
            <v>12.26</v>
          </cell>
        </row>
      </sheetData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ão"/>
      <sheetName val="Memória de Cálculo"/>
      <sheetName val="Planilha_Ajustada"/>
      <sheetName val="PLAN_FINAL"/>
      <sheetName val="Cronograma_FINAL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"/>
      <sheetName val="MEMORIAL DE CÁLCULOS"/>
      <sheetName val="Cronograma"/>
      <sheetName val="BDI"/>
    </sheetNames>
    <sheetDataSet>
      <sheetData sheetId="0">
        <row r="1">
          <cell r="A1" t="str">
            <v>ESTADO DA PARAÍBA</v>
          </cell>
        </row>
      </sheetData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9BC5-E920-46AD-9F07-8BE7FA4F0463}">
  <sheetPr>
    <pageSetUpPr fitToPage="1"/>
  </sheetPr>
  <dimension ref="A1:W238"/>
  <sheetViews>
    <sheetView tabSelected="1" view="pageBreakPreview" zoomScale="70" zoomScaleNormal="100" zoomScaleSheetLayoutView="70" workbookViewId="0">
      <selection activeCell="A6" sqref="A6:O6"/>
    </sheetView>
  </sheetViews>
  <sheetFormatPr defaultColWidth="9.33203125" defaultRowHeight="14.4" x14ac:dyDescent="0.25"/>
  <cols>
    <col min="1" max="1" width="9.109375" style="2" customWidth="1"/>
    <col min="2" max="2" width="12.44140625" style="3" customWidth="1"/>
    <col min="3" max="3" width="15.33203125" style="3" customWidth="1"/>
    <col min="4" max="4" width="55.109375" style="2" customWidth="1"/>
    <col min="5" max="5" width="12" style="3" customWidth="1"/>
    <col min="6" max="6" width="10.21875" style="3" customWidth="1"/>
    <col min="7" max="7" width="10.6640625" style="3" customWidth="1"/>
    <col min="8" max="8" width="13.6640625" style="23" customWidth="1"/>
    <col min="9" max="9" width="12.33203125" style="23" customWidth="1"/>
    <col min="10" max="10" width="14.109375" style="23" customWidth="1"/>
    <col min="11" max="11" width="14.33203125" style="24" customWidth="1"/>
    <col min="12" max="12" width="16" style="24" customWidth="1"/>
    <col min="13" max="13" width="15.88671875" style="24" customWidth="1"/>
    <col min="14" max="14" width="15.77734375" style="24" customWidth="1"/>
    <col min="15" max="15" width="16" style="24" customWidth="1"/>
    <col min="16" max="16" width="15.44140625" style="5" customWidth="1"/>
    <col min="17" max="17" width="17.33203125" style="2" customWidth="1"/>
    <col min="18" max="18" width="17.6640625" style="3" customWidth="1"/>
    <col min="19" max="21" width="9.33203125" style="2"/>
    <col min="22" max="23" width="14.33203125" style="4" hidden="1" customWidth="1"/>
    <col min="24" max="16384" width="9.33203125" style="2"/>
  </cols>
  <sheetData>
    <row r="1" spans="1:23" ht="18" x14ac:dyDescent="0.25">
      <c r="A1" s="71" t="s">
        <v>364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</row>
    <row r="2" spans="1:23" ht="18" x14ac:dyDescent="0.25">
      <c r="A2" s="74" t="s">
        <v>377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  <c r="Q2" s="1" t="s">
        <v>0</v>
      </c>
      <c r="R2" s="5" t="s">
        <v>1</v>
      </c>
    </row>
    <row r="3" spans="1:23" ht="15.6" x14ac:dyDescent="0.25">
      <c r="A3" s="25" t="s">
        <v>380</v>
      </c>
      <c r="B3" s="26"/>
      <c r="C3" s="26"/>
      <c r="D3" s="26"/>
      <c r="E3" s="27"/>
      <c r="F3" s="77"/>
      <c r="G3" s="77"/>
      <c r="H3" s="77"/>
      <c r="I3" s="77"/>
      <c r="J3" s="77"/>
      <c r="K3" s="29"/>
      <c r="L3" s="28"/>
      <c r="M3" s="28"/>
      <c r="N3" s="22"/>
      <c r="O3" s="30"/>
      <c r="Q3" s="1" t="s">
        <v>3</v>
      </c>
      <c r="R3" s="7">
        <f>L236</f>
        <v>1249356.4491324998</v>
      </c>
    </row>
    <row r="4" spans="1:23" ht="15.6" x14ac:dyDescent="0.25">
      <c r="A4" s="25" t="s">
        <v>381</v>
      </c>
      <c r="B4" s="26"/>
      <c r="C4" s="26"/>
      <c r="D4" s="26"/>
      <c r="E4" s="27"/>
      <c r="F4" s="31"/>
      <c r="G4" s="31"/>
      <c r="H4" s="31"/>
      <c r="I4" s="31"/>
      <c r="J4" s="41" t="s">
        <v>365</v>
      </c>
      <c r="K4" s="42">
        <v>0.25</v>
      </c>
      <c r="M4" s="28"/>
      <c r="N4" s="22"/>
      <c r="O4" s="30"/>
      <c r="Q4" s="1"/>
      <c r="R4" s="5"/>
    </row>
    <row r="5" spans="1:23" ht="15.6" x14ac:dyDescent="0.25">
      <c r="A5" s="32" t="s">
        <v>2</v>
      </c>
      <c r="B5" s="33"/>
      <c r="C5" s="33"/>
      <c r="D5" s="33"/>
      <c r="E5" s="34"/>
      <c r="F5" s="78"/>
      <c r="G5" s="78"/>
      <c r="H5" s="78"/>
      <c r="I5" s="78"/>
      <c r="J5" s="78"/>
      <c r="K5" s="35"/>
      <c r="L5" s="35"/>
      <c r="M5" s="35"/>
      <c r="N5" s="36"/>
      <c r="O5" s="37"/>
      <c r="Q5" s="1" t="s">
        <v>4</v>
      </c>
      <c r="R5" s="6">
        <v>0.17</v>
      </c>
    </row>
    <row r="6" spans="1:23" ht="23.4" x14ac:dyDescent="0.25">
      <c r="A6" s="79" t="s">
        <v>530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</row>
    <row r="7" spans="1:23" s="3" customFormat="1" x14ac:dyDescent="0.25">
      <c r="A7" s="93" t="s">
        <v>5</v>
      </c>
      <c r="B7" s="93" t="s">
        <v>6</v>
      </c>
      <c r="C7" s="93" t="s">
        <v>7</v>
      </c>
      <c r="D7" s="94" t="s">
        <v>8</v>
      </c>
      <c r="E7" s="93" t="s">
        <v>9</v>
      </c>
      <c r="F7" s="93" t="s">
        <v>382</v>
      </c>
      <c r="G7" s="90" t="s">
        <v>366</v>
      </c>
      <c r="H7" s="91"/>
      <c r="I7" s="91"/>
      <c r="J7" s="92"/>
      <c r="K7" s="80" t="s">
        <v>367</v>
      </c>
      <c r="L7" s="95" t="s">
        <v>368</v>
      </c>
      <c r="M7" s="95"/>
      <c r="N7" s="95"/>
      <c r="O7" s="95"/>
      <c r="P7" s="5"/>
      <c r="V7" s="4"/>
      <c r="W7" s="4"/>
    </row>
    <row r="8" spans="1:23" s="3" customFormat="1" ht="43.2" x14ac:dyDescent="0.25">
      <c r="A8" s="93"/>
      <c r="B8" s="93"/>
      <c r="C8" s="93"/>
      <c r="D8" s="94"/>
      <c r="E8" s="93"/>
      <c r="F8" s="93"/>
      <c r="G8" s="39" t="s">
        <v>369</v>
      </c>
      <c r="H8" s="40" t="s">
        <v>370</v>
      </c>
      <c r="I8" s="40" t="s">
        <v>371</v>
      </c>
      <c r="J8" s="40" t="s">
        <v>372</v>
      </c>
      <c r="K8" s="80"/>
      <c r="L8" s="38" t="s">
        <v>373</v>
      </c>
      <c r="M8" s="40" t="s">
        <v>374</v>
      </c>
      <c r="N8" s="40" t="s">
        <v>375</v>
      </c>
      <c r="O8" s="40" t="s">
        <v>376</v>
      </c>
      <c r="P8" s="5"/>
      <c r="V8" s="4"/>
      <c r="W8" s="4"/>
    </row>
    <row r="9" spans="1:23" x14ac:dyDescent="0.25">
      <c r="A9" s="10" t="s">
        <v>10</v>
      </c>
      <c r="B9" s="9"/>
      <c r="C9" s="9"/>
      <c r="D9" s="11"/>
      <c r="E9" s="9"/>
      <c r="F9" s="9"/>
      <c r="G9" s="9"/>
      <c r="H9" s="12"/>
      <c r="I9" s="12"/>
      <c r="J9" s="12"/>
      <c r="K9" s="13"/>
      <c r="L9" s="13">
        <f>SUM(L10,L16)</f>
        <v>66229.186000000002</v>
      </c>
      <c r="M9" s="13">
        <f t="shared" ref="M9:O9" si="0">SUM(M10,M16)</f>
        <v>21240.561539999995</v>
      </c>
      <c r="N9" s="13">
        <f t="shared" si="0"/>
        <v>10942.107459999999</v>
      </c>
      <c r="O9" s="13">
        <f t="shared" si="0"/>
        <v>32182.669000000002</v>
      </c>
      <c r="P9" s="69">
        <f>IF(O9&lt;&gt;L9,O9/L9,"")</f>
        <v>0.48592880184274045</v>
      </c>
    </row>
    <row r="10" spans="1:23" x14ac:dyDescent="0.25">
      <c r="A10" s="10" t="s">
        <v>11</v>
      </c>
      <c r="B10" s="9"/>
      <c r="C10" s="9"/>
      <c r="D10" s="11"/>
      <c r="E10" s="9"/>
      <c r="F10" s="9"/>
      <c r="G10" s="9"/>
      <c r="H10" s="12"/>
      <c r="I10" s="12"/>
      <c r="J10" s="12"/>
      <c r="K10" s="13"/>
      <c r="L10" s="13">
        <f>SUM(L11:L15)</f>
        <v>64365.338000000003</v>
      </c>
      <c r="M10" s="13">
        <f t="shared" ref="M10:O10" si="1">SUM(M11:M15)</f>
        <v>21240.561539999995</v>
      </c>
      <c r="N10" s="13">
        <f t="shared" si="1"/>
        <v>10942.107459999999</v>
      </c>
      <c r="O10" s="13">
        <f t="shared" si="1"/>
        <v>32182.669000000002</v>
      </c>
      <c r="P10" s="69">
        <f t="shared" ref="P10:P73" si="2">IF(O10&lt;&gt;L10,O10/L10,"")</f>
        <v>0.5</v>
      </c>
    </row>
    <row r="11" spans="1:23" x14ac:dyDescent="0.25">
      <c r="A11" s="14" t="s">
        <v>12</v>
      </c>
      <c r="B11" s="15">
        <v>164471</v>
      </c>
      <c r="C11" s="16" t="s">
        <v>13</v>
      </c>
      <c r="D11" s="17" t="s">
        <v>14</v>
      </c>
      <c r="E11" s="16" t="s">
        <v>15</v>
      </c>
      <c r="F11" s="16" t="s">
        <v>16</v>
      </c>
      <c r="G11" s="18">
        <v>8</v>
      </c>
      <c r="H11" s="18">
        <v>2.6399999999999997</v>
      </c>
      <c r="I11" s="18">
        <f>'MEMORIAL DE CÁLCULOS'!J11</f>
        <v>1.36</v>
      </c>
      <c r="J11" s="18">
        <f>H11+I11</f>
        <v>4</v>
      </c>
      <c r="K11" s="19">
        <v>4208.9548999999997</v>
      </c>
      <c r="L11" s="19">
        <f>G11*K11</f>
        <v>33671.639199999998</v>
      </c>
      <c r="M11" s="19">
        <f>H11*K11</f>
        <v>11111.640935999998</v>
      </c>
      <c r="N11" s="19">
        <f>I11*K11</f>
        <v>5724.178664</v>
      </c>
      <c r="O11" s="19">
        <f>J11*K11</f>
        <v>16835.819599999999</v>
      </c>
      <c r="P11" s="69">
        <f t="shared" si="2"/>
        <v>0.5</v>
      </c>
      <c r="Q11" s="43"/>
      <c r="V11" s="4">
        <v>5071.03</v>
      </c>
      <c r="W11" s="4">
        <f>V11-V11*$R$5</f>
        <v>4208.9548999999997</v>
      </c>
    </row>
    <row r="12" spans="1:23" x14ac:dyDescent="0.25">
      <c r="A12" s="14" t="s">
        <v>17</v>
      </c>
      <c r="B12" s="15">
        <v>164472</v>
      </c>
      <c r="C12" s="16" t="s">
        <v>13</v>
      </c>
      <c r="D12" s="17" t="s">
        <v>18</v>
      </c>
      <c r="E12" s="16" t="s">
        <v>15</v>
      </c>
      <c r="F12" s="16" t="s">
        <v>16</v>
      </c>
      <c r="G12" s="18">
        <v>8</v>
      </c>
      <c r="H12" s="18">
        <v>2.6399999999999997</v>
      </c>
      <c r="I12" s="18">
        <f>'MEMORIAL DE CÁLCULOS'!J14</f>
        <v>1.36</v>
      </c>
      <c r="J12" s="18">
        <f t="shared" ref="J12:J92" si="3">H12+I12</f>
        <v>4</v>
      </c>
      <c r="K12" s="19">
        <v>1588.6449</v>
      </c>
      <c r="L12" s="19">
        <f>G12*K12</f>
        <v>12709.1592</v>
      </c>
      <c r="M12" s="19">
        <f t="shared" ref="M12:M92" si="4">H12*K12</f>
        <v>4194.0225359999995</v>
      </c>
      <c r="N12" s="19">
        <f t="shared" ref="N12:N92" si="5">I12*K12</f>
        <v>2160.5570640000001</v>
      </c>
      <c r="O12" s="19">
        <f t="shared" ref="O12:O92" si="6">J12*K12</f>
        <v>6354.5796</v>
      </c>
      <c r="P12" s="69">
        <f t="shared" si="2"/>
        <v>0.5</v>
      </c>
      <c r="Q12" s="43"/>
      <c r="V12" s="4">
        <v>1914.03</v>
      </c>
      <c r="W12" s="4">
        <f t="shared" ref="W12:W15" si="7">V12-V12*$R$5</f>
        <v>1588.6449</v>
      </c>
    </row>
    <row r="13" spans="1:23" x14ac:dyDescent="0.25">
      <c r="A13" s="14" t="s">
        <v>19</v>
      </c>
      <c r="B13" s="15">
        <v>164473</v>
      </c>
      <c r="C13" s="16" t="s">
        <v>13</v>
      </c>
      <c r="D13" s="17" t="s">
        <v>20</v>
      </c>
      <c r="E13" s="16" t="s">
        <v>15</v>
      </c>
      <c r="F13" s="16" t="s">
        <v>16</v>
      </c>
      <c r="G13" s="18">
        <v>1</v>
      </c>
      <c r="H13" s="18">
        <v>0.32999999999999996</v>
      </c>
      <c r="I13" s="18">
        <f>'MEMORIAL DE CÁLCULOS'!J17</f>
        <v>0.17</v>
      </c>
      <c r="J13" s="18">
        <f t="shared" si="3"/>
        <v>0.5</v>
      </c>
      <c r="K13" s="19">
        <v>2489.2862</v>
      </c>
      <c r="L13" s="19">
        <f>G13*K13</f>
        <v>2489.2862</v>
      </c>
      <c r="M13" s="19">
        <f t="shared" si="4"/>
        <v>821.46444599999995</v>
      </c>
      <c r="N13" s="19">
        <f t="shared" si="5"/>
        <v>423.17865400000005</v>
      </c>
      <c r="O13" s="19">
        <f t="shared" si="6"/>
        <v>1244.6431</v>
      </c>
      <c r="P13" s="69">
        <f t="shared" si="2"/>
        <v>0.5</v>
      </c>
      <c r="Q13" s="43"/>
      <c r="V13" s="4">
        <v>2999.14</v>
      </c>
      <c r="W13" s="4">
        <f t="shared" si="7"/>
        <v>2489.2862</v>
      </c>
    </row>
    <row r="14" spans="1:23" x14ac:dyDescent="0.25">
      <c r="A14" s="14" t="s">
        <v>21</v>
      </c>
      <c r="B14" s="15">
        <v>164474</v>
      </c>
      <c r="C14" s="16" t="s">
        <v>13</v>
      </c>
      <c r="D14" s="17" t="s">
        <v>22</v>
      </c>
      <c r="E14" s="16" t="s">
        <v>15</v>
      </c>
      <c r="F14" s="16" t="s">
        <v>16</v>
      </c>
      <c r="G14" s="18">
        <v>8</v>
      </c>
      <c r="H14" s="18">
        <v>2.6399999999999997</v>
      </c>
      <c r="I14" s="18">
        <f>'MEMORIAL DE CÁLCULOS'!J20</f>
        <v>1.36</v>
      </c>
      <c r="J14" s="18">
        <f t="shared" si="3"/>
        <v>4</v>
      </c>
      <c r="K14" s="19">
        <v>1279.8185000000001</v>
      </c>
      <c r="L14" s="19">
        <f>G14*K14</f>
        <v>10238.548000000001</v>
      </c>
      <c r="M14" s="19">
        <f t="shared" si="4"/>
        <v>3378.72084</v>
      </c>
      <c r="N14" s="19">
        <f t="shared" si="5"/>
        <v>1740.5531600000002</v>
      </c>
      <c r="O14" s="19">
        <f t="shared" si="6"/>
        <v>5119.2740000000003</v>
      </c>
      <c r="P14" s="69">
        <f t="shared" si="2"/>
        <v>0.5</v>
      </c>
      <c r="Q14" s="43"/>
      <c r="V14" s="4">
        <v>1541.95</v>
      </c>
      <c r="W14" s="4">
        <f t="shared" si="7"/>
        <v>1279.8185000000001</v>
      </c>
    </row>
    <row r="15" spans="1:23" x14ac:dyDescent="0.25">
      <c r="A15" s="14" t="s">
        <v>23</v>
      </c>
      <c r="B15" s="15">
        <v>164475</v>
      </c>
      <c r="C15" s="16" t="s">
        <v>13</v>
      </c>
      <c r="D15" s="17" t="s">
        <v>24</v>
      </c>
      <c r="E15" s="16" t="s">
        <v>15</v>
      </c>
      <c r="F15" s="16" t="s">
        <v>16</v>
      </c>
      <c r="G15" s="18">
        <v>1</v>
      </c>
      <c r="H15" s="18">
        <v>0.32999999999999996</v>
      </c>
      <c r="I15" s="18">
        <f>'MEMORIAL DE CÁLCULOS'!J23</f>
        <v>0.17</v>
      </c>
      <c r="J15" s="18">
        <f t="shared" si="3"/>
        <v>0.5</v>
      </c>
      <c r="K15" s="19">
        <v>5256.7053999999998</v>
      </c>
      <c r="L15" s="19">
        <f>G15*K15</f>
        <v>5256.7053999999998</v>
      </c>
      <c r="M15" s="19">
        <f t="shared" si="4"/>
        <v>1734.7127819999998</v>
      </c>
      <c r="N15" s="19">
        <f t="shared" si="5"/>
        <v>893.63991800000008</v>
      </c>
      <c r="O15" s="19">
        <f t="shared" si="6"/>
        <v>2628.3526999999999</v>
      </c>
      <c r="P15" s="69">
        <f t="shared" si="2"/>
        <v>0.5</v>
      </c>
      <c r="Q15" s="43"/>
      <c r="V15" s="4">
        <v>6333.38</v>
      </c>
      <c r="W15" s="4">
        <f t="shared" si="7"/>
        <v>5256.7053999999998</v>
      </c>
    </row>
    <row r="16" spans="1:23" x14ac:dyDescent="0.25">
      <c r="A16" s="10" t="s">
        <v>25</v>
      </c>
      <c r="B16" s="9"/>
      <c r="C16" s="9"/>
      <c r="D16" s="11"/>
      <c r="E16" s="9"/>
      <c r="F16" s="9"/>
      <c r="G16" s="12"/>
      <c r="H16" s="12"/>
      <c r="I16" s="12"/>
      <c r="J16" s="18"/>
      <c r="K16" s="13"/>
      <c r="L16" s="13">
        <f>SUM(L17)</f>
        <v>1863.848</v>
      </c>
      <c r="M16" s="13">
        <f t="shared" ref="M16:O16" si="8">SUM(M17)</f>
        <v>0</v>
      </c>
      <c r="N16" s="13">
        <f t="shared" si="8"/>
        <v>0</v>
      </c>
      <c r="O16" s="13">
        <f t="shared" si="8"/>
        <v>0</v>
      </c>
      <c r="P16" s="69">
        <f t="shared" si="2"/>
        <v>0</v>
      </c>
    </row>
    <row r="17" spans="1:23" ht="57.6" x14ac:dyDescent="0.25">
      <c r="A17" s="14" t="s">
        <v>26</v>
      </c>
      <c r="B17" s="15">
        <v>164476</v>
      </c>
      <c r="C17" s="16"/>
      <c r="D17" s="17" t="s">
        <v>27</v>
      </c>
      <c r="E17" s="16" t="s">
        <v>28</v>
      </c>
      <c r="F17" s="16" t="s">
        <v>16</v>
      </c>
      <c r="G17" s="18">
        <v>1</v>
      </c>
      <c r="H17" s="18">
        <v>0</v>
      </c>
      <c r="I17" s="18"/>
      <c r="J17" s="18">
        <f t="shared" si="3"/>
        <v>0</v>
      </c>
      <c r="K17" s="19">
        <v>1863.848</v>
      </c>
      <c r="L17" s="19">
        <f>G17*K17</f>
        <v>1863.848</v>
      </c>
      <c r="M17" s="19">
        <f t="shared" si="4"/>
        <v>0</v>
      </c>
      <c r="N17" s="19">
        <f t="shared" si="5"/>
        <v>0</v>
      </c>
      <c r="O17" s="19">
        <f t="shared" si="6"/>
        <v>0</v>
      </c>
      <c r="P17" s="69">
        <f t="shared" si="2"/>
        <v>0</v>
      </c>
      <c r="V17" s="4">
        <v>2245.6</v>
      </c>
      <c r="W17" s="4">
        <f>V17-V17*$R$5</f>
        <v>1863.848</v>
      </c>
    </row>
    <row r="18" spans="1:23" x14ac:dyDescent="0.25">
      <c r="A18" s="10" t="s">
        <v>29</v>
      </c>
      <c r="B18" s="9"/>
      <c r="C18" s="9"/>
      <c r="D18" s="11"/>
      <c r="E18" s="9"/>
      <c r="F18" s="9"/>
      <c r="G18" s="12"/>
      <c r="H18" s="12"/>
      <c r="I18" s="12"/>
      <c r="J18" s="18"/>
      <c r="K18" s="13"/>
      <c r="L18" s="13">
        <f>SUM(L19,L29,L33,L40,L55,L66,L79,L89,L98,L111,L122,L153,L162,L186,L197,)</f>
        <v>1144166.0082804998</v>
      </c>
      <c r="M18" s="13">
        <f t="shared" ref="M18:O18" si="9">SUM(M19,M29,M33,M40,M55,M66,M79,M89,M98,M111,M122,M153,M162,M186,M197,)</f>
        <v>354180.11639499996</v>
      </c>
      <c r="N18" s="13">
        <f t="shared" si="9"/>
        <v>225472.35300399998</v>
      </c>
      <c r="O18" s="13">
        <f t="shared" si="9"/>
        <v>579652.46939900005</v>
      </c>
      <c r="P18" s="69">
        <f t="shared" si="2"/>
        <v>0.50661570541684409</v>
      </c>
    </row>
    <row r="19" spans="1:23" x14ac:dyDescent="0.25">
      <c r="A19" s="10" t="s">
        <v>30</v>
      </c>
      <c r="B19" s="9"/>
      <c r="C19" s="9"/>
      <c r="D19" s="11"/>
      <c r="E19" s="9"/>
      <c r="F19" s="9"/>
      <c r="G19" s="12"/>
      <c r="H19" s="12"/>
      <c r="I19" s="12"/>
      <c r="J19" s="18"/>
      <c r="K19" s="13"/>
      <c r="L19" s="13">
        <f>SUM(L20:L28)</f>
        <v>21969.068094999995</v>
      </c>
      <c r="M19" s="13">
        <f t="shared" ref="M19:O19" si="10">SUM(M20:M28)</f>
        <v>20020.236395</v>
      </c>
      <c r="N19" s="13">
        <f t="shared" si="10"/>
        <v>0</v>
      </c>
      <c r="O19" s="13">
        <f t="shared" si="10"/>
        <v>20020.236395</v>
      </c>
      <c r="P19" s="69">
        <f t="shared" si="2"/>
        <v>0.9112920178692725</v>
      </c>
    </row>
    <row r="20" spans="1:23" x14ac:dyDescent="0.25">
      <c r="A20" s="14" t="s">
        <v>31</v>
      </c>
      <c r="B20" s="15">
        <v>132583</v>
      </c>
      <c r="C20" s="16" t="s">
        <v>32</v>
      </c>
      <c r="D20" s="17" t="s">
        <v>33</v>
      </c>
      <c r="E20" s="16" t="s">
        <v>28</v>
      </c>
      <c r="F20" s="16" t="s">
        <v>34</v>
      </c>
      <c r="G20" s="18">
        <v>10</v>
      </c>
      <c r="H20" s="18">
        <v>10</v>
      </c>
      <c r="I20" s="18"/>
      <c r="J20" s="18">
        <f t="shared" si="3"/>
        <v>10</v>
      </c>
      <c r="K20" s="19">
        <v>342.89789999999999</v>
      </c>
      <c r="L20" s="19">
        <f t="shared" ref="L20:L27" si="11">G20*K20</f>
        <v>3428.9789999999998</v>
      </c>
      <c r="M20" s="19">
        <f t="shared" si="4"/>
        <v>3428.9789999999998</v>
      </c>
      <c r="N20" s="19">
        <f t="shared" si="5"/>
        <v>0</v>
      </c>
      <c r="O20" s="19">
        <f t="shared" si="6"/>
        <v>3428.9789999999998</v>
      </c>
      <c r="P20" s="69" t="str">
        <f t="shared" si="2"/>
        <v/>
      </c>
      <c r="Q20" s="43"/>
      <c r="V20" s="4">
        <v>413.13</v>
      </c>
      <c r="W20" s="4">
        <f t="shared" ref="W20:W27" si="12">V20-V20*$R$5</f>
        <v>342.89789999999999</v>
      </c>
    </row>
    <row r="21" spans="1:23" ht="43.2" x14ac:dyDescent="0.25">
      <c r="A21" s="14" t="s">
        <v>35</v>
      </c>
      <c r="B21" s="15">
        <v>163387</v>
      </c>
      <c r="C21" s="16" t="s">
        <v>36</v>
      </c>
      <c r="D21" s="17" t="s">
        <v>37</v>
      </c>
      <c r="E21" s="16" t="s">
        <v>28</v>
      </c>
      <c r="F21" s="16" t="s">
        <v>34</v>
      </c>
      <c r="G21" s="18">
        <v>771.45</v>
      </c>
      <c r="H21" s="18">
        <v>771.45</v>
      </c>
      <c r="I21" s="18"/>
      <c r="J21" s="18">
        <f t="shared" si="3"/>
        <v>771.45</v>
      </c>
      <c r="K21" s="19">
        <v>4.9550999999999998</v>
      </c>
      <c r="L21" s="19">
        <f t="shared" si="11"/>
        <v>3822.611895</v>
      </c>
      <c r="M21" s="19">
        <f t="shared" si="4"/>
        <v>3822.611895</v>
      </c>
      <c r="N21" s="19">
        <f t="shared" si="5"/>
        <v>0</v>
      </c>
      <c r="O21" s="19">
        <f t="shared" si="6"/>
        <v>3822.611895</v>
      </c>
      <c r="P21" s="69" t="str">
        <f t="shared" si="2"/>
        <v/>
      </c>
      <c r="Q21" s="43"/>
      <c r="V21" s="4">
        <v>5.97</v>
      </c>
      <c r="W21" s="4">
        <f t="shared" si="12"/>
        <v>4.9550999999999998</v>
      </c>
    </row>
    <row r="22" spans="1:23" ht="28.8" x14ac:dyDescent="0.25">
      <c r="A22" s="14" t="s">
        <v>38</v>
      </c>
      <c r="B22" s="15">
        <v>137043</v>
      </c>
      <c r="C22" s="16" t="s">
        <v>39</v>
      </c>
      <c r="D22" s="17" t="s">
        <v>40</v>
      </c>
      <c r="E22" s="16" t="s">
        <v>28</v>
      </c>
      <c r="F22" s="16" t="s">
        <v>34</v>
      </c>
      <c r="G22" s="18">
        <v>2000</v>
      </c>
      <c r="H22" s="18">
        <v>2000</v>
      </c>
      <c r="I22" s="18"/>
      <c r="J22" s="18">
        <f t="shared" si="3"/>
        <v>2000</v>
      </c>
      <c r="K22" s="19">
        <v>0.27390000000000003</v>
      </c>
      <c r="L22" s="19">
        <f t="shared" si="11"/>
        <v>547.80000000000007</v>
      </c>
      <c r="M22" s="19">
        <f t="shared" si="4"/>
        <v>547.80000000000007</v>
      </c>
      <c r="N22" s="19">
        <f t="shared" si="5"/>
        <v>0</v>
      </c>
      <c r="O22" s="19">
        <f t="shared" si="6"/>
        <v>547.80000000000007</v>
      </c>
      <c r="P22" s="69" t="str">
        <f t="shared" si="2"/>
        <v/>
      </c>
      <c r="Q22" s="43"/>
      <c r="V22" s="4">
        <v>0.33</v>
      </c>
      <c r="W22" s="4">
        <f t="shared" si="12"/>
        <v>0.27390000000000003</v>
      </c>
    </row>
    <row r="23" spans="1:23" ht="28.8" x14ac:dyDescent="0.25">
      <c r="A23" s="14" t="s">
        <v>41</v>
      </c>
      <c r="B23" s="15">
        <v>163443</v>
      </c>
      <c r="C23" s="16" t="s">
        <v>42</v>
      </c>
      <c r="D23" s="17" t="s">
        <v>43</v>
      </c>
      <c r="E23" s="16" t="s">
        <v>28</v>
      </c>
      <c r="F23" s="16" t="s">
        <v>16</v>
      </c>
      <c r="G23" s="18">
        <v>1</v>
      </c>
      <c r="H23" s="18">
        <v>1</v>
      </c>
      <c r="I23" s="18"/>
      <c r="J23" s="18">
        <f t="shared" si="3"/>
        <v>1</v>
      </c>
      <c r="K23" s="19">
        <v>1390.1254999999999</v>
      </c>
      <c r="L23" s="19">
        <f t="shared" si="11"/>
        <v>1390.1254999999999</v>
      </c>
      <c r="M23" s="19">
        <f t="shared" si="4"/>
        <v>1390.1254999999999</v>
      </c>
      <c r="N23" s="19">
        <f t="shared" si="5"/>
        <v>0</v>
      </c>
      <c r="O23" s="19">
        <f t="shared" si="6"/>
        <v>1390.1254999999999</v>
      </c>
      <c r="P23" s="69" t="str">
        <f t="shared" si="2"/>
        <v/>
      </c>
      <c r="Q23" s="43"/>
      <c r="V23" s="4">
        <v>1674.85</v>
      </c>
      <c r="W23" s="4">
        <f t="shared" si="12"/>
        <v>1390.1254999999999</v>
      </c>
    </row>
    <row r="24" spans="1:23" ht="43.2" x14ac:dyDescent="0.25">
      <c r="A24" s="14" t="s">
        <v>44</v>
      </c>
      <c r="B24" s="15">
        <v>163442</v>
      </c>
      <c r="C24" s="16" t="s">
        <v>45</v>
      </c>
      <c r="D24" s="17" t="s">
        <v>46</v>
      </c>
      <c r="E24" s="16" t="s">
        <v>28</v>
      </c>
      <c r="F24" s="16" t="s">
        <v>16</v>
      </c>
      <c r="G24" s="18">
        <v>1</v>
      </c>
      <c r="H24" s="18">
        <v>0</v>
      </c>
      <c r="I24" s="18"/>
      <c r="J24" s="18">
        <f t="shared" si="3"/>
        <v>0</v>
      </c>
      <c r="K24" s="19">
        <v>1506.3254999999999</v>
      </c>
      <c r="L24" s="19">
        <f t="shared" si="11"/>
        <v>1506.3254999999999</v>
      </c>
      <c r="M24" s="19">
        <f t="shared" si="4"/>
        <v>0</v>
      </c>
      <c r="N24" s="19">
        <f t="shared" si="5"/>
        <v>0</v>
      </c>
      <c r="O24" s="19">
        <f t="shared" si="6"/>
        <v>0</v>
      </c>
      <c r="P24" s="69">
        <f t="shared" si="2"/>
        <v>0</v>
      </c>
      <c r="Q24" s="43"/>
      <c r="V24" s="4">
        <v>1814.85</v>
      </c>
      <c r="W24" s="4">
        <f t="shared" si="12"/>
        <v>1506.3254999999999</v>
      </c>
    </row>
    <row r="25" spans="1:23" ht="72" x14ac:dyDescent="0.25">
      <c r="A25" s="14" t="s">
        <v>47</v>
      </c>
      <c r="B25" s="15">
        <v>135723</v>
      </c>
      <c r="C25" s="15">
        <v>73658</v>
      </c>
      <c r="D25" s="17" t="s">
        <v>48</v>
      </c>
      <c r="E25" s="16" t="s">
        <v>28</v>
      </c>
      <c r="F25" s="16" t="s">
        <v>16</v>
      </c>
      <c r="G25" s="18">
        <v>1</v>
      </c>
      <c r="H25" s="18">
        <v>0</v>
      </c>
      <c r="I25" s="18"/>
      <c r="J25" s="18">
        <f t="shared" si="3"/>
        <v>0</v>
      </c>
      <c r="K25" s="19">
        <v>442.50619999999998</v>
      </c>
      <c r="L25" s="19">
        <f t="shared" si="11"/>
        <v>442.50619999999998</v>
      </c>
      <c r="M25" s="19">
        <f t="shared" si="4"/>
        <v>0</v>
      </c>
      <c r="N25" s="19">
        <f t="shared" si="5"/>
        <v>0</v>
      </c>
      <c r="O25" s="19">
        <f t="shared" si="6"/>
        <v>0</v>
      </c>
      <c r="P25" s="69">
        <f t="shared" si="2"/>
        <v>0</v>
      </c>
      <c r="V25" s="4">
        <v>533.14</v>
      </c>
      <c r="W25" s="4">
        <f t="shared" si="12"/>
        <v>442.50619999999998</v>
      </c>
    </row>
    <row r="26" spans="1:23" ht="43.2" x14ac:dyDescent="0.25">
      <c r="A26" s="14" t="s">
        <v>49</v>
      </c>
      <c r="B26" s="15">
        <v>162175</v>
      </c>
      <c r="C26" s="16"/>
      <c r="D26" s="17" t="s">
        <v>50</v>
      </c>
      <c r="E26" s="16" t="s">
        <v>15</v>
      </c>
      <c r="F26" s="16" t="s">
        <v>51</v>
      </c>
      <c r="G26" s="18">
        <v>0</v>
      </c>
      <c r="H26" s="18">
        <v>0</v>
      </c>
      <c r="I26" s="18"/>
      <c r="J26" s="18">
        <f t="shared" si="3"/>
        <v>0</v>
      </c>
      <c r="K26" s="19">
        <v>654.9197999999999</v>
      </c>
      <c r="L26" s="19">
        <f t="shared" si="11"/>
        <v>0</v>
      </c>
      <c r="M26" s="19">
        <f t="shared" si="4"/>
        <v>0</v>
      </c>
      <c r="N26" s="19">
        <f t="shared" si="5"/>
        <v>0</v>
      </c>
      <c r="O26" s="19">
        <f t="shared" si="6"/>
        <v>0</v>
      </c>
      <c r="P26" s="69" t="str">
        <f t="shared" si="2"/>
        <v/>
      </c>
      <c r="V26" s="4">
        <v>789.06</v>
      </c>
      <c r="W26" s="4">
        <f t="shared" si="12"/>
        <v>654.9197999999999</v>
      </c>
    </row>
    <row r="27" spans="1:23" ht="72" x14ac:dyDescent="0.25">
      <c r="A27" s="14" t="s">
        <v>52</v>
      </c>
      <c r="B27" s="15">
        <v>163536</v>
      </c>
      <c r="C27" s="16"/>
      <c r="D27" s="17" t="s">
        <v>53</v>
      </c>
      <c r="E27" s="16" t="s">
        <v>28</v>
      </c>
      <c r="F27" s="16" t="s">
        <v>51</v>
      </c>
      <c r="G27" s="18">
        <v>0</v>
      </c>
      <c r="H27" s="18">
        <v>0</v>
      </c>
      <c r="I27" s="18"/>
      <c r="J27" s="18">
        <f t="shared" si="3"/>
        <v>0</v>
      </c>
      <c r="K27" s="19">
        <v>565.4375</v>
      </c>
      <c r="L27" s="19">
        <f t="shared" si="11"/>
        <v>0</v>
      </c>
      <c r="M27" s="19">
        <f t="shared" si="4"/>
        <v>0</v>
      </c>
      <c r="N27" s="19">
        <f t="shared" si="5"/>
        <v>0</v>
      </c>
      <c r="O27" s="19">
        <f t="shared" si="6"/>
        <v>0</v>
      </c>
      <c r="P27" s="69" t="str">
        <f t="shared" si="2"/>
        <v/>
      </c>
      <c r="V27" s="4">
        <v>681.25</v>
      </c>
      <c r="W27" s="4">
        <f t="shared" si="12"/>
        <v>565.4375</v>
      </c>
    </row>
    <row r="28" spans="1:23" ht="28.8" x14ac:dyDescent="0.25">
      <c r="A28" s="14" t="s">
        <v>415</v>
      </c>
      <c r="B28" s="15"/>
      <c r="C28" s="16" t="s">
        <v>416</v>
      </c>
      <c r="D28" s="17" t="s">
        <v>417</v>
      </c>
      <c r="E28" s="16" t="s">
        <v>28</v>
      </c>
      <c r="F28" s="16" t="s">
        <v>34</v>
      </c>
      <c r="G28" s="18">
        <v>32</v>
      </c>
      <c r="H28" s="18">
        <v>32</v>
      </c>
      <c r="I28" s="18"/>
      <c r="J28" s="18">
        <f t="shared" si="3"/>
        <v>32</v>
      </c>
      <c r="K28" s="19">
        <v>338.46</v>
      </c>
      <c r="L28" s="19">
        <f t="shared" ref="L28" si="13">G28*K28</f>
        <v>10830.72</v>
      </c>
      <c r="M28" s="19">
        <f t="shared" ref="M28" si="14">H28*K28</f>
        <v>10830.72</v>
      </c>
      <c r="N28" s="19">
        <f t="shared" ref="N28" si="15">I28*K28</f>
        <v>0</v>
      </c>
      <c r="O28" s="19">
        <f t="shared" ref="O28" si="16">J28*K28</f>
        <v>10830.72</v>
      </c>
      <c r="P28" s="69" t="str">
        <f t="shared" si="2"/>
        <v/>
      </c>
    </row>
    <row r="29" spans="1:23" x14ac:dyDescent="0.25">
      <c r="A29" s="10" t="s">
        <v>54</v>
      </c>
      <c r="B29" s="9"/>
      <c r="C29" s="9"/>
      <c r="D29" s="11"/>
      <c r="E29" s="9"/>
      <c r="F29" s="9"/>
      <c r="G29" s="12"/>
      <c r="H29" s="12"/>
      <c r="I29" s="12"/>
      <c r="J29" s="18"/>
      <c r="K29" s="13"/>
      <c r="L29" s="13">
        <f>SUM(L30:L32)</f>
        <v>173993.72028899996</v>
      </c>
      <c r="M29" s="13">
        <f t="shared" ref="M29:O29" si="17">SUM(M30:M32)</f>
        <v>166157.80325199998</v>
      </c>
      <c r="N29" s="13">
        <f t="shared" si="17"/>
        <v>7835.9170370000002</v>
      </c>
      <c r="O29" s="13">
        <f t="shared" si="17"/>
        <v>173993.72028899996</v>
      </c>
      <c r="P29" s="69" t="str">
        <f t="shared" si="2"/>
        <v/>
      </c>
    </row>
    <row r="30" spans="1:23" ht="28.8" x14ac:dyDescent="0.25">
      <c r="A30" s="14" t="s">
        <v>55</v>
      </c>
      <c r="B30" s="15">
        <v>160239</v>
      </c>
      <c r="C30" s="16"/>
      <c r="D30" s="17" t="s">
        <v>56</v>
      </c>
      <c r="E30" s="16" t="s">
        <v>28</v>
      </c>
      <c r="F30" s="16" t="s">
        <v>57</v>
      </c>
      <c r="G30" s="18">
        <v>225.25</v>
      </c>
      <c r="H30" s="18">
        <v>225.25</v>
      </c>
      <c r="I30" s="18"/>
      <c r="J30" s="18">
        <f t="shared" si="3"/>
        <v>225.25</v>
      </c>
      <c r="K30" s="19">
        <v>63.113200000000006</v>
      </c>
      <c r="L30" s="19">
        <f>G30*K30</f>
        <v>14216.248300000001</v>
      </c>
      <c r="M30" s="19">
        <f t="shared" si="4"/>
        <v>14216.248300000001</v>
      </c>
      <c r="N30" s="19">
        <f t="shared" si="5"/>
        <v>0</v>
      </c>
      <c r="O30" s="19">
        <f t="shared" si="6"/>
        <v>14216.248300000001</v>
      </c>
      <c r="P30" s="69" t="str">
        <f t="shared" si="2"/>
        <v/>
      </c>
      <c r="Q30" s="43"/>
      <c r="V30" s="4">
        <v>76.040000000000006</v>
      </c>
      <c r="W30" s="4">
        <f t="shared" ref="W30:W32" si="18">V30-V30*$R$5</f>
        <v>63.113200000000006</v>
      </c>
    </row>
    <row r="31" spans="1:23" ht="28.8" x14ac:dyDescent="0.25">
      <c r="A31" s="14" t="s">
        <v>58</v>
      </c>
      <c r="B31" s="15">
        <v>164368</v>
      </c>
      <c r="C31" s="16" t="s">
        <v>59</v>
      </c>
      <c r="D31" s="17" t="s">
        <v>60</v>
      </c>
      <c r="E31" s="16" t="s">
        <v>28</v>
      </c>
      <c r="F31" s="16" t="s">
        <v>57</v>
      </c>
      <c r="G31" s="18">
        <v>205.7</v>
      </c>
      <c r="H31" s="18">
        <v>205.70000000000002</v>
      </c>
      <c r="I31" s="18"/>
      <c r="J31" s="18">
        <f t="shared" si="3"/>
        <v>205.70000000000002</v>
      </c>
      <c r="K31" s="19">
        <v>38.171700000000001</v>
      </c>
      <c r="L31" s="19">
        <f>G31*K31</f>
        <v>7851.9186899999995</v>
      </c>
      <c r="M31" s="19">
        <f t="shared" si="4"/>
        <v>7851.9186900000013</v>
      </c>
      <c r="N31" s="19">
        <f t="shared" si="5"/>
        <v>0</v>
      </c>
      <c r="O31" s="19">
        <f t="shared" si="6"/>
        <v>7851.9186900000013</v>
      </c>
      <c r="P31" s="69" t="str">
        <f t="shared" si="2"/>
        <v/>
      </c>
      <c r="Q31" s="43"/>
      <c r="V31" s="4">
        <v>45.99</v>
      </c>
      <c r="W31" s="4">
        <f t="shared" si="18"/>
        <v>38.171700000000001</v>
      </c>
    </row>
    <row r="32" spans="1:23" ht="28.8" x14ac:dyDescent="0.25">
      <c r="A32" s="14" t="s">
        <v>61</v>
      </c>
      <c r="B32" s="15">
        <v>153622</v>
      </c>
      <c r="C32" s="16"/>
      <c r="D32" s="17" t="s">
        <v>62</v>
      </c>
      <c r="E32" s="16" t="s">
        <v>28</v>
      </c>
      <c r="F32" s="16" t="s">
        <v>57</v>
      </c>
      <c r="G32" s="18">
        <v>1072.3699999999999</v>
      </c>
      <c r="H32" s="18">
        <v>1017.06</v>
      </c>
      <c r="I32" s="18">
        <f>'MEMORIAL DE CÁLCULOS'!J28</f>
        <v>55.31</v>
      </c>
      <c r="J32" s="18">
        <f t="shared" si="3"/>
        <v>1072.3699999999999</v>
      </c>
      <c r="K32" s="19">
        <v>141.67269999999999</v>
      </c>
      <c r="L32" s="19">
        <f>G32*K32</f>
        <v>151925.55329899996</v>
      </c>
      <c r="M32" s="19">
        <f t="shared" si="4"/>
        <v>144089.63626199999</v>
      </c>
      <c r="N32" s="19">
        <f t="shared" si="5"/>
        <v>7835.9170370000002</v>
      </c>
      <c r="O32" s="19">
        <f t="shared" si="6"/>
        <v>151925.55329899996</v>
      </c>
      <c r="P32" s="69" t="str">
        <f t="shared" si="2"/>
        <v/>
      </c>
      <c r="Q32" s="43"/>
      <c r="V32" s="4">
        <v>170.69</v>
      </c>
      <c r="W32" s="4">
        <f t="shared" si="18"/>
        <v>141.67269999999999</v>
      </c>
    </row>
    <row r="33" spans="1:23" x14ac:dyDescent="0.25">
      <c r="A33" s="10" t="s">
        <v>63</v>
      </c>
      <c r="B33" s="9"/>
      <c r="C33" s="9"/>
      <c r="D33" s="11"/>
      <c r="E33" s="9"/>
      <c r="F33" s="9"/>
      <c r="G33" s="12"/>
      <c r="H33" s="12"/>
      <c r="I33" s="12"/>
      <c r="J33" s="18"/>
      <c r="K33" s="13"/>
      <c r="L33" s="13">
        <f>SUM(L34:L39)</f>
        <v>97254.846336000002</v>
      </c>
      <c r="M33" s="13">
        <f t="shared" ref="M33:O33" si="19">SUM(M34:M39)</f>
        <v>87752.737748</v>
      </c>
      <c r="N33" s="13">
        <f t="shared" si="19"/>
        <v>4440.2843660000008</v>
      </c>
      <c r="O33" s="13">
        <f t="shared" si="19"/>
        <v>92193.022113999992</v>
      </c>
      <c r="P33" s="69">
        <f t="shared" si="2"/>
        <v>0.94795298730397237</v>
      </c>
      <c r="Q33" s="43"/>
    </row>
    <row r="34" spans="1:23" ht="28.8" x14ac:dyDescent="0.25">
      <c r="A34" s="14" t="s">
        <v>64</v>
      </c>
      <c r="B34" s="15">
        <v>146934</v>
      </c>
      <c r="C34" s="15">
        <v>95467</v>
      </c>
      <c r="D34" s="17" t="s">
        <v>65</v>
      </c>
      <c r="E34" s="16" t="s">
        <v>28</v>
      </c>
      <c r="F34" s="16" t="s">
        <v>57</v>
      </c>
      <c r="G34" s="18">
        <v>105.04</v>
      </c>
      <c r="H34" s="18">
        <v>105.04</v>
      </c>
      <c r="I34" s="18"/>
      <c r="J34" s="18">
        <f t="shared" si="3"/>
        <v>105.04</v>
      </c>
      <c r="K34" s="19">
        <v>316.59519999999998</v>
      </c>
      <c r="L34" s="19">
        <f t="shared" ref="L34:L39" si="20">G34*K34</f>
        <v>33255.159807999997</v>
      </c>
      <c r="M34" s="19">
        <f t="shared" si="4"/>
        <v>33255.159807999997</v>
      </c>
      <c r="N34" s="19">
        <f t="shared" si="5"/>
        <v>0</v>
      </c>
      <c r="O34" s="19">
        <f t="shared" si="6"/>
        <v>33255.159807999997</v>
      </c>
      <c r="P34" s="69" t="str">
        <f t="shared" si="2"/>
        <v/>
      </c>
      <c r="Q34" s="43"/>
      <c r="V34" s="4">
        <v>381.44</v>
      </c>
      <c r="W34" s="4">
        <f t="shared" ref="W34:W38" si="21">V34-V34*$R$5</f>
        <v>316.59519999999998</v>
      </c>
    </row>
    <row r="35" spans="1:23" ht="57.6" x14ac:dyDescent="0.25">
      <c r="A35" s="14" t="s">
        <v>66</v>
      </c>
      <c r="B35" s="15">
        <v>160126</v>
      </c>
      <c r="C35" s="16"/>
      <c r="D35" s="17" t="s">
        <v>67</v>
      </c>
      <c r="E35" s="16" t="s">
        <v>28</v>
      </c>
      <c r="F35" s="16" t="s">
        <v>34</v>
      </c>
      <c r="G35" s="18">
        <v>451.79</v>
      </c>
      <c r="H35" s="18">
        <v>242.65</v>
      </c>
      <c r="I35" s="18">
        <f>'MEMORIAL DE CÁLCULOS'!J36</f>
        <v>97.73</v>
      </c>
      <c r="J35" s="18">
        <f t="shared" si="3"/>
        <v>340.38</v>
      </c>
      <c r="K35" s="19">
        <v>45.434200000000004</v>
      </c>
      <c r="L35" s="19">
        <f t="shared" si="20"/>
        <v>20526.717218000002</v>
      </c>
      <c r="M35" s="19">
        <f t="shared" si="4"/>
        <v>11024.608630000001</v>
      </c>
      <c r="N35" s="19">
        <f t="shared" si="5"/>
        <v>4440.2843660000008</v>
      </c>
      <c r="O35" s="19">
        <f t="shared" si="6"/>
        <v>15464.892996</v>
      </c>
      <c r="P35" s="69">
        <f t="shared" si="2"/>
        <v>0.75340312977268198</v>
      </c>
      <c r="Q35" s="43"/>
      <c r="V35" s="4">
        <v>54.74</v>
      </c>
      <c r="W35" s="4">
        <f t="shared" si="21"/>
        <v>45.434200000000004</v>
      </c>
    </row>
    <row r="36" spans="1:23" ht="28.8" x14ac:dyDescent="0.25">
      <c r="A36" s="14" t="s">
        <v>68</v>
      </c>
      <c r="B36" s="15">
        <v>154476</v>
      </c>
      <c r="C36" s="15">
        <v>96616</v>
      </c>
      <c r="D36" s="17" t="s">
        <v>69</v>
      </c>
      <c r="E36" s="16" t="s">
        <v>28</v>
      </c>
      <c r="F36" s="16" t="s">
        <v>57</v>
      </c>
      <c r="G36" s="18">
        <v>6.13</v>
      </c>
      <c r="H36" s="18">
        <v>6.13</v>
      </c>
      <c r="I36" s="18"/>
      <c r="J36" s="18">
        <f t="shared" si="3"/>
        <v>6.13</v>
      </c>
      <c r="K36" s="19">
        <v>463.80399999999997</v>
      </c>
      <c r="L36" s="19">
        <f t="shared" si="20"/>
        <v>2843.11852</v>
      </c>
      <c r="M36" s="19">
        <f t="shared" si="4"/>
        <v>2843.11852</v>
      </c>
      <c r="N36" s="19">
        <f t="shared" si="5"/>
        <v>0</v>
      </c>
      <c r="O36" s="19">
        <f t="shared" si="6"/>
        <v>2843.11852</v>
      </c>
      <c r="P36" s="69" t="str">
        <f t="shared" si="2"/>
        <v/>
      </c>
      <c r="Q36" s="43"/>
      <c r="V36" s="4">
        <v>558.79999999999995</v>
      </c>
      <c r="W36" s="4">
        <f t="shared" si="21"/>
        <v>463.80399999999997</v>
      </c>
    </row>
    <row r="37" spans="1:23" ht="43.2" x14ac:dyDescent="0.25">
      <c r="A37" s="14" t="s">
        <v>70</v>
      </c>
      <c r="B37" s="15">
        <v>161024</v>
      </c>
      <c r="C37" s="16"/>
      <c r="D37" s="17" t="s">
        <v>71</v>
      </c>
      <c r="E37" s="16" t="s">
        <v>28</v>
      </c>
      <c r="F37" s="16" t="s">
        <v>57</v>
      </c>
      <c r="G37" s="18">
        <v>19.55</v>
      </c>
      <c r="H37" s="18">
        <v>19.55</v>
      </c>
      <c r="I37" s="18"/>
      <c r="J37" s="18">
        <f t="shared" si="3"/>
        <v>19.55</v>
      </c>
      <c r="K37" s="19">
        <v>1008.5329999999999</v>
      </c>
      <c r="L37" s="19">
        <f t="shared" si="20"/>
        <v>19716.82015</v>
      </c>
      <c r="M37" s="19">
        <f t="shared" si="4"/>
        <v>19716.82015</v>
      </c>
      <c r="N37" s="19">
        <f t="shared" si="5"/>
        <v>0</v>
      </c>
      <c r="O37" s="19">
        <f t="shared" si="6"/>
        <v>19716.82015</v>
      </c>
      <c r="P37" s="69" t="str">
        <f t="shared" si="2"/>
        <v/>
      </c>
      <c r="Q37" s="43"/>
      <c r="V37" s="4">
        <v>1215.0999999999999</v>
      </c>
      <c r="W37" s="4">
        <f t="shared" si="21"/>
        <v>1008.5329999999999</v>
      </c>
    </row>
    <row r="38" spans="1:23" ht="43.2" x14ac:dyDescent="0.25">
      <c r="A38" s="14" t="s">
        <v>72</v>
      </c>
      <c r="B38" s="15">
        <v>161026</v>
      </c>
      <c r="C38" s="16"/>
      <c r="D38" s="17" t="s">
        <v>73</v>
      </c>
      <c r="E38" s="16" t="s">
        <v>28</v>
      </c>
      <c r="F38" s="16" t="s">
        <v>57</v>
      </c>
      <c r="G38" s="18">
        <v>15.2</v>
      </c>
      <c r="H38" s="18">
        <v>15.2</v>
      </c>
      <c r="I38" s="18"/>
      <c r="J38" s="18">
        <f t="shared" si="3"/>
        <v>15.2</v>
      </c>
      <c r="K38" s="19">
        <v>1006.9477000000001</v>
      </c>
      <c r="L38" s="19">
        <f t="shared" si="20"/>
        <v>15305.60504</v>
      </c>
      <c r="M38" s="19">
        <f t="shared" si="4"/>
        <v>15305.60504</v>
      </c>
      <c r="N38" s="19">
        <f t="shared" si="5"/>
        <v>0</v>
      </c>
      <c r="O38" s="19">
        <f t="shared" si="6"/>
        <v>15305.60504</v>
      </c>
      <c r="P38" s="69" t="str">
        <f t="shared" si="2"/>
        <v/>
      </c>
      <c r="Q38" s="43"/>
      <c r="V38" s="4">
        <v>1213.19</v>
      </c>
      <c r="W38" s="4">
        <f t="shared" si="21"/>
        <v>1006.9477000000001</v>
      </c>
    </row>
    <row r="39" spans="1:23" ht="28.8" x14ac:dyDescent="0.25">
      <c r="A39" s="14" t="s">
        <v>418</v>
      </c>
      <c r="B39" s="15"/>
      <c r="C39" s="16">
        <v>98557</v>
      </c>
      <c r="D39" s="17" t="s">
        <v>419</v>
      </c>
      <c r="E39" s="16" t="s">
        <v>28</v>
      </c>
      <c r="F39" s="16" t="s">
        <v>34</v>
      </c>
      <c r="G39" s="18">
        <v>195.79</v>
      </c>
      <c r="H39" s="18">
        <v>195.79</v>
      </c>
      <c r="I39" s="18"/>
      <c r="J39" s="18">
        <f t="shared" si="3"/>
        <v>195.79</v>
      </c>
      <c r="K39" s="19">
        <v>28.64</v>
      </c>
      <c r="L39" s="19">
        <f t="shared" si="20"/>
        <v>5607.4255999999996</v>
      </c>
      <c r="M39" s="19">
        <f t="shared" ref="M39" si="22">H39*K39</f>
        <v>5607.4255999999996</v>
      </c>
      <c r="N39" s="19">
        <f t="shared" ref="N39" si="23">I39*K39</f>
        <v>0</v>
      </c>
      <c r="O39" s="19">
        <f t="shared" ref="O39" si="24">J39*K39</f>
        <v>5607.4255999999996</v>
      </c>
      <c r="P39" s="69" t="str">
        <f t="shared" si="2"/>
        <v/>
      </c>
      <c r="Q39" s="43"/>
    </row>
    <row r="40" spans="1:23" x14ac:dyDescent="0.25">
      <c r="A40" s="10" t="s">
        <v>74</v>
      </c>
      <c r="B40" s="9"/>
      <c r="C40" s="9"/>
      <c r="D40" s="11"/>
      <c r="E40" s="9"/>
      <c r="F40" s="9"/>
      <c r="G40" s="12"/>
      <c r="H40" s="12"/>
      <c r="I40" s="12"/>
      <c r="J40" s="18"/>
      <c r="K40" s="13"/>
      <c r="L40" s="13">
        <f>SUM(L41:L54)</f>
        <v>201473.61771699999</v>
      </c>
      <c r="M40" s="13">
        <f t="shared" ref="M40:O40" si="25">SUM(M41:M54)</f>
        <v>42615.483479999995</v>
      </c>
      <c r="N40" s="13">
        <f t="shared" si="25"/>
        <v>144001.76287899999</v>
      </c>
      <c r="O40" s="13">
        <f t="shared" si="25"/>
        <v>186617.24635900001</v>
      </c>
      <c r="P40" s="69">
        <f t="shared" si="2"/>
        <v>0.92626145533918991</v>
      </c>
    </row>
    <row r="41" spans="1:23" ht="57.6" x14ac:dyDescent="0.25">
      <c r="A41" s="14" t="s">
        <v>75</v>
      </c>
      <c r="B41" s="15">
        <v>161030</v>
      </c>
      <c r="C41" s="16"/>
      <c r="D41" s="17" t="s">
        <v>76</v>
      </c>
      <c r="E41" s="16" t="s">
        <v>28</v>
      </c>
      <c r="F41" s="16" t="s">
        <v>57</v>
      </c>
      <c r="G41" s="18">
        <v>26.13</v>
      </c>
      <c r="H41" s="18">
        <v>0</v>
      </c>
      <c r="I41" s="18">
        <f>'MEMORIAL DE CÁLCULOS'!J42</f>
        <v>24.23</v>
      </c>
      <c r="J41" s="18">
        <f t="shared" si="3"/>
        <v>24.23</v>
      </c>
      <c r="K41" s="19">
        <v>2838.0272999999997</v>
      </c>
      <c r="L41" s="19">
        <f t="shared" ref="L41:L48" si="26">G41*K41</f>
        <v>74157.653348999986</v>
      </c>
      <c r="M41" s="19">
        <f t="shared" si="4"/>
        <v>0</v>
      </c>
      <c r="N41" s="19">
        <f t="shared" si="5"/>
        <v>68765.401478999993</v>
      </c>
      <c r="O41" s="19">
        <f t="shared" si="6"/>
        <v>68765.401478999993</v>
      </c>
      <c r="P41" s="69">
        <f t="shared" si="2"/>
        <v>0.92728664370455427</v>
      </c>
      <c r="V41" s="4">
        <v>3419.31</v>
      </c>
      <c r="W41" s="4">
        <f t="shared" ref="W41:W48" si="27">V41-V41*$R$5</f>
        <v>2838.0272999999997</v>
      </c>
    </row>
    <row r="42" spans="1:23" ht="57.6" x14ac:dyDescent="0.25">
      <c r="A42" s="14" t="s">
        <v>77</v>
      </c>
      <c r="B42" s="15">
        <v>161031</v>
      </c>
      <c r="C42" s="16"/>
      <c r="D42" s="17" t="s">
        <v>78</v>
      </c>
      <c r="E42" s="16" t="s">
        <v>15</v>
      </c>
      <c r="F42" s="16" t="s">
        <v>57</v>
      </c>
      <c r="G42" s="18">
        <v>15.84</v>
      </c>
      <c r="H42" s="18">
        <v>15.15</v>
      </c>
      <c r="I42" s="18"/>
      <c r="J42" s="18">
        <f t="shared" si="3"/>
        <v>15.15</v>
      </c>
      <c r="K42" s="19">
        <v>2812.9031999999997</v>
      </c>
      <c r="L42" s="19">
        <f t="shared" si="26"/>
        <v>44556.386687999999</v>
      </c>
      <c r="M42" s="19">
        <f t="shared" si="4"/>
        <v>42615.483479999995</v>
      </c>
      <c r="N42" s="19">
        <f t="shared" si="5"/>
        <v>0</v>
      </c>
      <c r="O42" s="19">
        <f t="shared" si="6"/>
        <v>42615.483479999995</v>
      </c>
      <c r="P42" s="69">
        <f t="shared" si="2"/>
        <v>0.95643939393939381</v>
      </c>
      <c r="V42" s="4">
        <v>3389.04</v>
      </c>
      <c r="W42" s="4">
        <f t="shared" si="27"/>
        <v>2812.9031999999997</v>
      </c>
    </row>
    <row r="43" spans="1:23" ht="43.2" x14ac:dyDescent="0.25">
      <c r="A43" s="14" t="s">
        <v>79</v>
      </c>
      <c r="B43" s="15">
        <v>161027</v>
      </c>
      <c r="C43" s="16"/>
      <c r="D43" s="17" t="s">
        <v>80</v>
      </c>
      <c r="E43" s="16" t="s">
        <v>28</v>
      </c>
      <c r="F43" s="16" t="s">
        <v>57</v>
      </c>
      <c r="G43" s="18">
        <v>0</v>
      </c>
      <c r="H43" s="18">
        <v>0</v>
      </c>
      <c r="I43" s="18"/>
      <c r="J43" s="18">
        <f t="shared" si="3"/>
        <v>0</v>
      </c>
      <c r="K43" s="19">
        <v>2012.5259000000001</v>
      </c>
      <c r="L43" s="19">
        <f t="shared" si="26"/>
        <v>0</v>
      </c>
      <c r="M43" s="19">
        <f t="shared" si="4"/>
        <v>0</v>
      </c>
      <c r="N43" s="19">
        <f t="shared" si="5"/>
        <v>0</v>
      </c>
      <c r="O43" s="19">
        <f t="shared" si="6"/>
        <v>0</v>
      </c>
      <c r="P43" s="69" t="str">
        <f t="shared" si="2"/>
        <v/>
      </c>
      <c r="V43" s="4">
        <v>2424.73</v>
      </c>
      <c r="W43" s="4">
        <f t="shared" si="27"/>
        <v>2012.5259000000001</v>
      </c>
    </row>
    <row r="44" spans="1:23" ht="72" x14ac:dyDescent="0.25">
      <c r="A44" s="14" t="s">
        <v>81</v>
      </c>
      <c r="B44" s="15">
        <v>134255</v>
      </c>
      <c r="C44" s="16" t="s">
        <v>82</v>
      </c>
      <c r="D44" s="17" t="s">
        <v>83</v>
      </c>
      <c r="E44" s="16" t="s">
        <v>28</v>
      </c>
      <c r="F44" s="16" t="s">
        <v>34</v>
      </c>
      <c r="G44" s="18">
        <v>21.78</v>
      </c>
      <c r="H44" s="18">
        <v>0</v>
      </c>
      <c r="I44" s="18"/>
      <c r="J44" s="18">
        <f t="shared" si="3"/>
        <v>0</v>
      </c>
      <c r="K44" s="19">
        <v>112.92150000000001</v>
      </c>
      <c r="L44" s="19">
        <f t="shared" si="26"/>
        <v>2459.4302700000003</v>
      </c>
      <c r="M44" s="19">
        <f t="shared" si="4"/>
        <v>0</v>
      </c>
      <c r="N44" s="19">
        <f t="shared" si="5"/>
        <v>0</v>
      </c>
      <c r="O44" s="19">
        <f t="shared" si="6"/>
        <v>0</v>
      </c>
      <c r="P44" s="69">
        <f t="shared" si="2"/>
        <v>0</v>
      </c>
      <c r="V44" s="4">
        <v>136.05000000000001</v>
      </c>
      <c r="W44" s="4">
        <f t="shared" si="27"/>
        <v>112.92150000000001</v>
      </c>
    </row>
    <row r="45" spans="1:23" ht="28.8" x14ac:dyDescent="0.25">
      <c r="A45" s="14" t="s">
        <v>84</v>
      </c>
      <c r="B45" s="15">
        <v>145501</v>
      </c>
      <c r="C45" s="16"/>
      <c r="D45" s="17" t="s">
        <v>85</v>
      </c>
      <c r="E45" s="16" t="s">
        <v>28</v>
      </c>
      <c r="F45" s="16" t="s">
        <v>86</v>
      </c>
      <c r="G45" s="18">
        <v>17.850000000000001</v>
      </c>
      <c r="H45" s="18">
        <v>0</v>
      </c>
      <c r="I45" s="18"/>
      <c r="J45" s="18">
        <f t="shared" si="3"/>
        <v>0</v>
      </c>
      <c r="K45" s="19">
        <v>119.15479999999999</v>
      </c>
      <c r="L45" s="19">
        <f t="shared" si="26"/>
        <v>2126.91318</v>
      </c>
      <c r="M45" s="19">
        <f t="shared" si="4"/>
        <v>0</v>
      </c>
      <c r="N45" s="19">
        <f t="shared" si="5"/>
        <v>0</v>
      </c>
      <c r="O45" s="19">
        <f t="shared" si="6"/>
        <v>0</v>
      </c>
      <c r="P45" s="69">
        <f t="shared" si="2"/>
        <v>0</v>
      </c>
      <c r="V45" s="4">
        <v>143.56</v>
      </c>
      <c r="W45" s="4">
        <f t="shared" si="27"/>
        <v>119.15479999999999</v>
      </c>
    </row>
    <row r="46" spans="1:23" ht="28.8" x14ac:dyDescent="0.25">
      <c r="A46" s="14" t="s">
        <v>87</v>
      </c>
      <c r="B46" s="15">
        <v>145226</v>
      </c>
      <c r="C46" s="16"/>
      <c r="D46" s="17" t="s">
        <v>88</v>
      </c>
      <c r="E46" s="16" t="s">
        <v>28</v>
      </c>
      <c r="F46" s="16" t="s">
        <v>86</v>
      </c>
      <c r="G46" s="18">
        <v>9.9</v>
      </c>
      <c r="H46" s="18">
        <v>0</v>
      </c>
      <c r="I46" s="18"/>
      <c r="J46" s="18">
        <f t="shared" si="3"/>
        <v>0</v>
      </c>
      <c r="K46" s="19">
        <v>119.15479999999999</v>
      </c>
      <c r="L46" s="19">
        <f t="shared" si="26"/>
        <v>1179.6325199999999</v>
      </c>
      <c r="M46" s="19">
        <f t="shared" si="4"/>
        <v>0</v>
      </c>
      <c r="N46" s="19">
        <f t="shared" si="5"/>
        <v>0</v>
      </c>
      <c r="O46" s="19">
        <f t="shared" si="6"/>
        <v>0</v>
      </c>
      <c r="P46" s="69">
        <f t="shared" si="2"/>
        <v>0</v>
      </c>
      <c r="V46" s="4">
        <v>143.56</v>
      </c>
      <c r="W46" s="4">
        <f t="shared" si="27"/>
        <v>119.15479999999999</v>
      </c>
    </row>
    <row r="47" spans="1:23" ht="28.8" x14ac:dyDescent="0.25">
      <c r="A47" s="14" t="s">
        <v>89</v>
      </c>
      <c r="B47" s="15">
        <v>144469</v>
      </c>
      <c r="C47" s="16"/>
      <c r="D47" s="17" t="s">
        <v>90</v>
      </c>
      <c r="E47" s="16" t="s">
        <v>28</v>
      </c>
      <c r="F47" s="16" t="s">
        <v>86</v>
      </c>
      <c r="G47" s="18">
        <v>1.6</v>
      </c>
      <c r="H47" s="18">
        <v>0</v>
      </c>
      <c r="I47" s="18"/>
      <c r="J47" s="18">
        <f t="shared" si="3"/>
        <v>0</v>
      </c>
      <c r="K47" s="19">
        <v>194.17019999999999</v>
      </c>
      <c r="L47" s="19">
        <f t="shared" si="26"/>
        <v>310.67232000000001</v>
      </c>
      <c r="M47" s="19">
        <f t="shared" si="4"/>
        <v>0</v>
      </c>
      <c r="N47" s="19">
        <f t="shared" si="5"/>
        <v>0</v>
      </c>
      <c r="O47" s="19">
        <f t="shared" si="6"/>
        <v>0</v>
      </c>
      <c r="P47" s="69">
        <f t="shared" si="2"/>
        <v>0</v>
      </c>
      <c r="V47" s="4">
        <v>233.94</v>
      </c>
      <c r="W47" s="4">
        <f t="shared" si="27"/>
        <v>194.17019999999999</v>
      </c>
    </row>
    <row r="48" spans="1:23" ht="28.8" x14ac:dyDescent="0.25">
      <c r="A48" s="14" t="s">
        <v>91</v>
      </c>
      <c r="B48" s="15">
        <v>144116</v>
      </c>
      <c r="C48" s="16"/>
      <c r="D48" s="17" t="s">
        <v>92</v>
      </c>
      <c r="E48" s="16" t="s">
        <v>28</v>
      </c>
      <c r="F48" s="16" t="s">
        <v>86</v>
      </c>
      <c r="G48" s="18">
        <v>7.45</v>
      </c>
      <c r="H48" s="18">
        <v>0</v>
      </c>
      <c r="I48" s="18"/>
      <c r="J48" s="18">
        <f t="shared" si="3"/>
        <v>0</v>
      </c>
      <c r="K48" s="19">
        <v>194.17019999999999</v>
      </c>
      <c r="L48" s="19">
        <f t="shared" si="26"/>
        <v>1446.56799</v>
      </c>
      <c r="M48" s="19">
        <f t="shared" si="4"/>
        <v>0</v>
      </c>
      <c r="N48" s="19">
        <f t="shared" si="5"/>
        <v>0</v>
      </c>
      <c r="O48" s="19">
        <f t="shared" si="6"/>
        <v>0</v>
      </c>
      <c r="P48" s="69">
        <f t="shared" si="2"/>
        <v>0</v>
      </c>
      <c r="V48" s="4">
        <v>233.94</v>
      </c>
      <c r="W48" s="4">
        <f t="shared" si="27"/>
        <v>194.17019999999999</v>
      </c>
    </row>
    <row r="49" spans="1:23" ht="43.2" x14ac:dyDescent="0.25">
      <c r="A49" s="14" t="s">
        <v>420</v>
      </c>
      <c r="B49" s="15"/>
      <c r="C49" s="16">
        <v>92510</v>
      </c>
      <c r="D49" s="17" t="s">
        <v>421</v>
      </c>
      <c r="E49" s="16" t="s">
        <v>28</v>
      </c>
      <c r="F49" s="16" t="s">
        <v>34</v>
      </c>
      <c r="G49" s="18">
        <v>560.03</v>
      </c>
      <c r="H49" s="18">
        <v>0</v>
      </c>
      <c r="I49" s="18">
        <f>'MEMORIAL DE CÁLCULOS'!J45</f>
        <v>560.03</v>
      </c>
      <c r="J49" s="18">
        <f t="shared" si="3"/>
        <v>560.03</v>
      </c>
      <c r="K49" s="19">
        <v>36.299999999999997</v>
      </c>
      <c r="L49" s="19">
        <f t="shared" ref="L49:L54" si="28">G49*K49</f>
        <v>20329.088999999996</v>
      </c>
      <c r="M49" s="19">
        <f t="shared" ref="M49:M54" si="29">H49*K49</f>
        <v>0</v>
      </c>
      <c r="N49" s="19">
        <f t="shared" ref="N49:N54" si="30">I49*K49</f>
        <v>20329.088999999996</v>
      </c>
      <c r="O49" s="19">
        <f t="shared" ref="O49:O54" si="31">J49*K49</f>
        <v>20329.088999999996</v>
      </c>
      <c r="P49" s="69" t="str">
        <f t="shared" si="2"/>
        <v/>
      </c>
    </row>
    <row r="50" spans="1:23" ht="57.6" x14ac:dyDescent="0.25">
      <c r="A50" s="14" t="s">
        <v>422</v>
      </c>
      <c r="B50" s="15"/>
      <c r="C50" s="16">
        <v>92784</v>
      </c>
      <c r="D50" s="17" t="s">
        <v>423</v>
      </c>
      <c r="E50" s="16" t="s">
        <v>28</v>
      </c>
      <c r="F50" s="16" t="s">
        <v>424</v>
      </c>
      <c r="G50" s="18">
        <v>8.8000000000000007</v>
      </c>
      <c r="H50" s="18">
        <v>0</v>
      </c>
      <c r="I50" s="18">
        <f>'MEMORIAL DE CÁLCULOS'!J48</f>
        <v>8.8000000000000007</v>
      </c>
      <c r="J50" s="18">
        <f t="shared" si="3"/>
        <v>8.8000000000000007</v>
      </c>
      <c r="K50" s="19">
        <v>17.239999999999998</v>
      </c>
      <c r="L50" s="19">
        <f t="shared" si="28"/>
        <v>151.71199999999999</v>
      </c>
      <c r="M50" s="19">
        <f t="shared" si="29"/>
        <v>0</v>
      </c>
      <c r="N50" s="19">
        <f t="shared" si="30"/>
        <v>151.71199999999999</v>
      </c>
      <c r="O50" s="19">
        <f t="shared" si="31"/>
        <v>151.71199999999999</v>
      </c>
      <c r="P50" s="69" t="str">
        <f t="shared" si="2"/>
        <v/>
      </c>
    </row>
    <row r="51" spans="1:23" ht="57.6" x14ac:dyDescent="0.25">
      <c r="A51" s="14" t="s">
        <v>425</v>
      </c>
      <c r="B51" s="15"/>
      <c r="C51" s="16">
        <v>92785</v>
      </c>
      <c r="D51" s="17" t="s">
        <v>426</v>
      </c>
      <c r="E51" s="16" t="s">
        <v>28</v>
      </c>
      <c r="F51" s="16" t="s">
        <v>424</v>
      </c>
      <c r="G51" s="18">
        <v>1103.2</v>
      </c>
      <c r="H51" s="18">
        <v>0</v>
      </c>
      <c r="I51" s="18">
        <f>'MEMORIAL DE CÁLCULOS'!J51</f>
        <v>1103.2</v>
      </c>
      <c r="J51" s="18">
        <f t="shared" si="3"/>
        <v>1103.2</v>
      </c>
      <c r="K51" s="19">
        <v>17.16</v>
      </c>
      <c r="L51" s="19">
        <f t="shared" si="28"/>
        <v>18930.912</v>
      </c>
      <c r="M51" s="19">
        <f t="shared" si="29"/>
        <v>0</v>
      </c>
      <c r="N51" s="19">
        <f t="shared" si="30"/>
        <v>18930.912</v>
      </c>
      <c r="O51" s="19">
        <f t="shared" si="31"/>
        <v>18930.912</v>
      </c>
      <c r="P51" s="69" t="str">
        <f t="shared" si="2"/>
        <v/>
      </c>
    </row>
    <row r="52" spans="1:23" ht="57.6" x14ac:dyDescent="0.25">
      <c r="A52" s="14" t="s">
        <v>427</v>
      </c>
      <c r="B52" s="15"/>
      <c r="C52" s="16">
        <v>92786</v>
      </c>
      <c r="D52" s="17" t="s">
        <v>428</v>
      </c>
      <c r="E52" s="16" t="s">
        <v>28</v>
      </c>
      <c r="F52" s="16" t="s">
        <v>424</v>
      </c>
      <c r="G52" s="18">
        <v>740</v>
      </c>
      <c r="H52" s="18">
        <v>0</v>
      </c>
      <c r="I52" s="18">
        <f>'MEMORIAL DE CÁLCULOS'!J54</f>
        <v>740</v>
      </c>
      <c r="J52" s="18">
        <f t="shared" si="3"/>
        <v>740</v>
      </c>
      <c r="K52" s="19">
        <v>16.71</v>
      </c>
      <c r="L52" s="19">
        <f t="shared" si="28"/>
        <v>12365.400000000001</v>
      </c>
      <c r="M52" s="19">
        <f t="shared" si="29"/>
        <v>0</v>
      </c>
      <c r="N52" s="19">
        <f t="shared" si="30"/>
        <v>12365.400000000001</v>
      </c>
      <c r="O52" s="19">
        <f t="shared" si="31"/>
        <v>12365.400000000001</v>
      </c>
      <c r="P52" s="69" t="str">
        <f t="shared" si="2"/>
        <v/>
      </c>
    </row>
    <row r="53" spans="1:23" ht="57.6" x14ac:dyDescent="0.25">
      <c r="A53" s="14" t="s">
        <v>429</v>
      </c>
      <c r="B53" s="15"/>
      <c r="C53" s="16">
        <v>92787</v>
      </c>
      <c r="D53" s="17" t="s">
        <v>430</v>
      </c>
      <c r="E53" s="16" t="s">
        <v>28</v>
      </c>
      <c r="F53" s="16" t="s">
        <v>424</v>
      </c>
      <c r="G53" s="18">
        <v>227.6</v>
      </c>
      <c r="H53" s="18">
        <v>0</v>
      </c>
      <c r="I53" s="18">
        <f>'MEMORIAL DE CÁLCULOS'!J57</f>
        <v>227.6</v>
      </c>
      <c r="J53" s="18">
        <f t="shared" si="3"/>
        <v>227.6</v>
      </c>
      <c r="K53" s="19">
        <v>15.21</v>
      </c>
      <c r="L53" s="19">
        <f t="shared" si="28"/>
        <v>3461.7960000000003</v>
      </c>
      <c r="M53" s="19">
        <f t="shared" si="29"/>
        <v>0</v>
      </c>
      <c r="N53" s="19">
        <f t="shared" si="30"/>
        <v>3461.7960000000003</v>
      </c>
      <c r="O53" s="19">
        <f t="shared" si="31"/>
        <v>3461.7960000000003</v>
      </c>
      <c r="P53" s="69" t="str">
        <f t="shared" si="2"/>
        <v/>
      </c>
    </row>
    <row r="54" spans="1:23" ht="57.6" x14ac:dyDescent="0.25">
      <c r="A54" s="14" t="s">
        <v>431</v>
      </c>
      <c r="B54" s="15"/>
      <c r="C54" s="16">
        <v>92726</v>
      </c>
      <c r="D54" s="17" t="s">
        <v>432</v>
      </c>
      <c r="E54" s="16" t="s">
        <v>28</v>
      </c>
      <c r="F54" s="16" t="s">
        <v>57</v>
      </c>
      <c r="G54" s="18">
        <v>50.36</v>
      </c>
      <c r="H54" s="18">
        <v>0</v>
      </c>
      <c r="I54" s="18">
        <f>'MEMORIAL DE CÁLCULOS'!J60</f>
        <v>50.36</v>
      </c>
      <c r="J54" s="18">
        <f t="shared" si="3"/>
        <v>50.36</v>
      </c>
      <c r="K54" s="19">
        <v>397.09</v>
      </c>
      <c r="L54" s="19">
        <f t="shared" si="28"/>
        <v>19997.452399999998</v>
      </c>
      <c r="M54" s="19">
        <f t="shared" si="29"/>
        <v>0</v>
      </c>
      <c r="N54" s="19">
        <f t="shared" si="30"/>
        <v>19997.452399999998</v>
      </c>
      <c r="O54" s="19">
        <f t="shared" si="31"/>
        <v>19997.452399999998</v>
      </c>
      <c r="P54" s="69" t="str">
        <f t="shared" si="2"/>
        <v/>
      </c>
    </row>
    <row r="55" spans="1:23" x14ac:dyDescent="0.25">
      <c r="A55" s="10" t="s">
        <v>93</v>
      </c>
      <c r="B55" s="9"/>
      <c r="C55" s="9"/>
      <c r="D55" s="11"/>
      <c r="E55" s="9"/>
      <c r="F55" s="9"/>
      <c r="G55" s="12"/>
      <c r="H55" s="12"/>
      <c r="I55" s="12"/>
      <c r="J55" s="18"/>
      <c r="K55" s="13"/>
      <c r="L55" s="13">
        <f>SUM(L56:L65)</f>
        <v>97923.544256000008</v>
      </c>
      <c r="M55" s="13">
        <f t="shared" ref="M55:O55" si="32">SUM(M56:M65)</f>
        <v>37633.85551999999</v>
      </c>
      <c r="N55" s="13">
        <f t="shared" si="32"/>
        <v>37087.360776000001</v>
      </c>
      <c r="O55" s="13">
        <f t="shared" si="32"/>
        <v>74721.216296000013</v>
      </c>
      <c r="P55" s="69">
        <f t="shared" si="2"/>
        <v>0.76305669758702255</v>
      </c>
    </row>
    <row r="56" spans="1:23" ht="57.6" x14ac:dyDescent="0.25">
      <c r="A56" s="14" t="s">
        <v>94</v>
      </c>
      <c r="B56" s="15">
        <v>160118</v>
      </c>
      <c r="C56" s="16"/>
      <c r="D56" s="17" t="s">
        <v>95</v>
      </c>
      <c r="E56" s="16" t="s">
        <v>28</v>
      </c>
      <c r="F56" s="16" t="s">
        <v>34</v>
      </c>
      <c r="G56" s="18">
        <v>954.17</v>
      </c>
      <c r="H56" s="18">
        <v>750.85</v>
      </c>
      <c r="I56" s="18">
        <f>'MEMORIAL DE CÁLCULOS'!J64</f>
        <v>83.43</v>
      </c>
      <c r="J56" s="18">
        <f t="shared" si="3"/>
        <v>834.28</v>
      </c>
      <c r="K56" s="19">
        <v>34.063199999999995</v>
      </c>
      <c r="L56" s="19">
        <f>G56*K56</f>
        <v>32502.083543999994</v>
      </c>
      <c r="M56" s="19">
        <f t="shared" si="4"/>
        <v>25576.353719999996</v>
      </c>
      <c r="N56" s="19">
        <f t="shared" si="5"/>
        <v>2841.8927759999997</v>
      </c>
      <c r="O56" s="19">
        <f t="shared" si="6"/>
        <v>28418.246495999996</v>
      </c>
      <c r="P56" s="69">
        <f t="shared" si="2"/>
        <v>0.87435153064967464</v>
      </c>
      <c r="V56" s="4">
        <v>41.04</v>
      </c>
      <c r="W56" s="4">
        <f t="shared" ref="W56:W59" si="33">V56-V56*$R$5</f>
        <v>34.063199999999995</v>
      </c>
    </row>
    <row r="57" spans="1:23" ht="57.6" x14ac:dyDescent="0.25">
      <c r="A57" s="14" t="s">
        <v>96</v>
      </c>
      <c r="B57" s="15">
        <v>136101</v>
      </c>
      <c r="C57" s="16" t="s">
        <v>97</v>
      </c>
      <c r="D57" s="17" t="s">
        <v>98</v>
      </c>
      <c r="E57" s="16" t="s">
        <v>28</v>
      </c>
      <c r="F57" s="16" t="s">
        <v>34</v>
      </c>
      <c r="G57" s="18">
        <v>37.44</v>
      </c>
      <c r="H57" s="18">
        <v>0</v>
      </c>
      <c r="I57" s="18"/>
      <c r="J57" s="18">
        <f t="shared" si="3"/>
        <v>0</v>
      </c>
      <c r="K57" s="19">
        <v>149.2423</v>
      </c>
      <c r="L57" s="19">
        <f>G57*K57</f>
        <v>5587.6317119999994</v>
      </c>
      <c r="M57" s="19">
        <f t="shared" si="4"/>
        <v>0</v>
      </c>
      <c r="N57" s="19">
        <f t="shared" si="5"/>
        <v>0</v>
      </c>
      <c r="O57" s="19">
        <f t="shared" si="6"/>
        <v>0</v>
      </c>
      <c r="P57" s="69">
        <f t="shared" si="2"/>
        <v>0</v>
      </c>
      <c r="V57" s="4">
        <v>179.81</v>
      </c>
      <c r="W57" s="4">
        <f t="shared" si="33"/>
        <v>149.2423</v>
      </c>
    </row>
    <row r="58" spans="1:23" ht="100.8" x14ac:dyDescent="0.25">
      <c r="A58" s="14" t="s">
        <v>99</v>
      </c>
      <c r="B58" s="15">
        <v>164273</v>
      </c>
      <c r="C58" s="16"/>
      <c r="D58" s="17" t="s">
        <v>100</v>
      </c>
      <c r="E58" s="16" t="s">
        <v>28</v>
      </c>
      <c r="F58" s="16" t="s">
        <v>86</v>
      </c>
      <c r="G58" s="18">
        <v>150</v>
      </c>
      <c r="H58" s="18">
        <v>0</v>
      </c>
      <c r="I58" s="18">
        <f>'MEMORIAL DE CÁLCULOS'!J97</f>
        <v>120</v>
      </c>
      <c r="J58" s="18">
        <f t="shared" si="3"/>
        <v>120</v>
      </c>
      <c r="K58" s="19">
        <v>285.37889999999999</v>
      </c>
      <c r="L58" s="19">
        <f>G58*K58</f>
        <v>42806.834999999999</v>
      </c>
      <c r="M58" s="19">
        <f t="shared" si="4"/>
        <v>0</v>
      </c>
      <c r="N58" s="19">
        <f t="shared" si="5"/>
        <v>34245.468000000001</v>
      </c>
      <c r="O58" s="19">
        <f t="shared" si="6"/>
        <v>34245.468000000001</v>
      </c>
      <c r="P58" s="69">
        <f t="shared" si="2"/>
        <v>0.8</v>
      </c>
      <c r="V58" s="4">
        <v>343.83</v>
      </c>
      <c r="W58" s="4">
        <f t="shared" si="33"/>
        <v>285.37889999999999</v>
      </c>
    </row>
    <row r="59" spans="1:23" ht="57.6" x14ac:dyDescent="0.25">
      <c r="A59" s="14" t="s">
        <v>101</v>
      </c>
      <c r="B59" s="15">
        <v>151091</v>
      </c>
      <c r="C59" s="16"/>
      <c r="D59" s="17" t="s">
        <v>102</v>
      </c>
      <c r="E59" s="16" t="s">
        <v>28</v>
      </c>
      <c r="F59" s="16" t="s">
        <v>86</v>
      </c>
      <c r="G59" s="18">
        <v>58</v>
      </c>
      <c r="H59" s="18">
        <v>0</v>
      </c>
      <c r="I59" s="18"/>
      <c r="J59" s="18">
        <f t="shared" si="3"/>
        <v>0</v>
      </c>
      <c r="K59" s="19">
        <v>85.680900000000008</v>
      </c>
      <c r="L59" s="19">
        <f>G59*K59</f>
        <v>4969.4922000000006</v>
      </c>
      <c r="M59" s="19">
        <f t="shared" si="4"/>
        <v>0</v>
      </c>
      <c r="N59" s="19">
        <f t="shared" si="5"/>
        <v>0</v>
      </c>
      <c r="O59" s="19">
        <f t="shared" si="6"/>
        <v>0</v>
      </c>
      <c r="P59" s="69">
        <f t="shared" si="2"/>
        <v>0</v>
      </c>
      <c r="V59" s="4">
        <v>103.23</v>
      </c>
      <c r="W59" s="4">
        <f t="shared" si="33"/>
        <v>85.680900000000008</v>
      </c>
    </row>
    <row r="60" spans="1:23" ht="28.8" x14ac:dyDescent="0.25">
      <c r="A60" s="14" t="s">
        <v>433</v>
      </c>
      <c r="B60" s="15"/>
      <c r="C60" s="16">
        <v>93188</v>
      </c>
      <c r="D60" s="17" t="s">
        <v>434</v>
      </c>
      <c r="E60" s="16" t="s">
        <v>28</v>
      </c>
      <c r="F60" s="16" t="s">
        <v>86</v>
      </c>
      <c r="G60" s="18">
        <v>24.4</v>
      </c>
      <c r="H60" s="18">
        <v>24.4</v>
      </c>
      <c r="I60" s="18"/>
      <c r="J60" s="18">
        <f t="shared" si="3"/>
        <v>24.4</v>
      </c>
      <c r="K60" s="19">
        <v>74.39</v>
      </c>
      <c r="L60" s="19">
        <f t="shared" ref="L60:L65" si="34">G60*K60</f>
        <v>1815.116</v>
      </c>
      <c r="M60" s="19">
        <f t="shared" ref="M60:M65" si="35">H60*K60</f>
        <v>1815.116</v>
      </c>
      <c r="N60" s="19">
        <f t="shared" ref="N60:N65" si="36">I60*K60</f>
        <v>0</v>
      </c>
      <c r="O60" s="19">
        <f t="shared" ref="O60:O65" si="37">J60*K60</f>
        <v>1815.116</v>
      </c>
      <c r="P60" s="69" t="str">
        <f t="shared" si="2"/>
        <v/>
      </c>
    </row>
    <row r="61" spans="1:23" ht="28.8" x14ac:dyDescent="0.25">
      <c r="A61" s="14" t="s">
        <v>435</v>
      </c>
      <c r="B61" s="15"/>
      <c r="C61" s="16">
        <v>93189</v>
      </c>
      <c r="D61" s="17" t="s">
        <v>436</v>
      </c>
      <c r="E61" s="16" t="s">
        <v>28</v>
      </c>
      <c r="F61" s="16" t="s">
        <v>86</v>
      </c>
      <c r="G61" s="18">
        <v>2.2000000000000002</v>
      </c>
      <c r="H61" s="18">
        <v>2.2000000000000002</v>
      </c>
      <c r="I61" s="18"/>
      <c r="J61" s="18">
        <f t="shared" si="3"/>
        <v>2.2000000000000002</v>
      </c>
      <c r="K61" s="19">
        <v>88.1</v>
      </c>
      <c r="L61" s="19">
        <f t="shared" si="34"/>
        <v>193.82</v>
      </c>
      <c r="M61" s="19">
        <f t="shared" si="35"/>
        <v>193.82</v>
      </c>
      <c r="N61" s="19">
        <f t="shared" si="36"/>
        <v>0</v>
      </c>
      <c r="O61" s="19">
        <f t="shared" si="37"/>
        <v>193.82</v>
      </c>
      <c r="P61" s="69" t="str">
        <f t="shared" si="2"/>
        <v/>
      </c>
    </row>
    <row r="62" spans="1:23" ht="28.8" x14ac:dyDescent="0.25">
      <c r="A62" s="14" t="s">
        <v>437</v>
      </c>
      <c r="B62" s="15"/>
      <c r="C62" s="16">
        <v>93186</v>
      </c>
      <c r="D62" s="17" t="s">
        <v>438</v>
      </c>
      <c r="E62" s="16" t="s">
        <v>28</v>
      </c>
      <c r="F62" s="16" t="s">
        <v>86</v>
      </c>
      <c r="G62" s="18">
        <v>19.399999999999999</v>
      </c>
      <c r="H62" s="18">
        <v>19.399999999999999</v>
      </c>
      <c r="I62" s="18"/>
      <c r="J62" s="18">
        <f t="shared" si="3"/>
        <v>19.399999999999999</v>
      </c>
      <c r="K62" s="19">
        <v>75.2</v>
      </c>
      <c r="L62" s="19">
        <f t="shared" si="34"/>
        <v>1458.8799999999999</v>
      </c>
      <c r="M62" s="19">
        <f t="shared" si="35"/>
        <v>1458.8799999999999</v>
      </c>
      <c r="N62" s="19">
        <f t="shared" si="36"/>
        <v>0</v>
      </c>
      <c r="O62" s="19">
        <f t="shared" si="37"/>
        <v>1458.8799999999999</v>
      </c>
      <c r="P62" s="69" t="str">
        <f t="shared" si="2"/>
        <v/>
      </c>
    </row>
    <row r="63" spans="1:23" ht="28.8" x14ac:dyDescent="0.25">
      <c r="A63" s="14" t="s">
        <v>439</v>
      </c>
      <c r="B63" s="15"/>
      <c r="C63" s="16">
        <v>93187</v>
      </c>
      <c r="D63" s="17" t="s">
        <v>440</v>
      </c>
      <c r="E63" s="16" t="s">
        <v>28</v>
      </c>
      <c r="F63" s="16" t="s">
        <v>86</v>
      </c>
      <c r="G63" s="18">
        <v>45.1</v>
      </c>
      <c r="H63" s="18">
        <v>45.1</v>
      </c>
      <c r="I63" s="18"/>
      <c r="J63" s="18">
        <f t="shared" si="3"/>
        <v>45.1</v>
      </c>
      <c r="K63" s="19">
        <v>86.43</v>
      </c>
      <c r="L63" s="19">
        <f t="shared" si="34"/>
        <v>3897.9930000000004</v>
      </c>
      <c r="M63" s="19">
        <f t="shared" si="35"/>
        <v>3897.9930000000004</v>
      </c>
      <c r="N63" s="19">
        <f t="shared" si="36"/>
        <v>0</v>
      </c>
      <c r="O63" s="19">
        <f t="shared" si="37"/>
        <v>3897.9930000000004</v>
      </c>
      <c r="P63" s="69" t="str">
        <f t="shared" si="2"/>
        <v/>
      </c>
    </row>
    <row r="64" spans="1:23" ht="28.8" x14ac:dyDescent="0.25">
      <c r="A64" s="14" t="s">
        <v>441</v>
      </c>
      <c r="B64" s="15"/>
      <c r="C64" s="16">
        <v>93196</v>
      </c>
      <c r="D64" s="17" t="s">
        <v>442</v>
      </c>
      <c r="E64" s="16" t="s">
        <v>28</v>
      </c>
      <c r="F64" s="16" t="s">
        <v>86</v>
      </c>
      <c r="G64" s="18">
        <v>25.4</v>
      </c>
      <c r="H64" s="18">
        <v>25.4</v>
      </c>
      <c r="I64" s="18"/>
      <c r="J64" s="18">
        <f t="shared" si="3"/>
        <v>25.4</v>
      </c>
      <c r="K64" s="19">
        <v>70.95</v>
      </c>
      <c r="L64" s="19">
        <f t="shared" si="34"/>
        <v>1802.1299999999999</v>
      </c>
      <c r="M64" s="19">
        <f t="shared" si="35"/>
        <v>1802.1299999999999</v>
      </c>
      <c r="N64" s="19">
        <f t="shared" si="36"/>
        <v>0</v>
      </c>
      <c r="O64" s="19">
        <f t="shared" si="37"/>
        <v>1802.1299999999999</v>
      </c>
      <c r="P64" s="69" t="str">
        <f t="shared" si="2"/>
        <v/>
      </c>
    </row>
    <row r="65" spans="1:23" ht="28.8" x14ac:dyDescent="0.25">
      <c r="A65" s="14" t="s">
        <v>443</v>
      </c>
      <c r="B65" s="15"/>
      <c r="C65" s="16">
        <v>93197</v>
      </c>
      <c r="D65" s="17" t="s">
        <v>444</v>
      </c>
      <c r="E65" s="16" t="s">
        <v>28</v>
      </c>
      <c r="F65" s="16" t="s">
        <v>86</v>
      </c>
      <c r="G65" s="18">
        <v>36.42</v>
      </c>
      <c r="H65" s="18">
        <v>36.42</v>
      </c>
      <c r="I65" s="18"/>
      <c r="J65" s="18">
        <f t="shared" si="3"/>
        <v>36.42</v>
      </c>
      <c r="K65" s="19">
        <v>79.34</v>
      </c>
      <c r="L65" s="19">
        <f t="shared" si="34"/>
        <v>2889.5628000000002</v>
      </c>
      <c r="M65" s="19">
        <f t="shared" si="35"/>
        <v>2889.5628000000002</v>
      </c>
      <c r="N65" s="19">
        <f t="shared" si="36"/>
        <v>0</v>
      </c>
      <c r="O65" s="19">
        <f t="shared" si="37"/>
        <v>2889.5628000000002</v>
      </c>
      <c r="P65" s="69" t="str">
        <f t="shared" si="2"/>
        <v/>
      </c>
    </row>
    <row r="66" spans="1:23" x14ac:dyDescent="0.25">
      <c r="A66" s="10" t="s">
        <v>103</v>
      </c>
      <c r="B66" s="9"/>
      <c r="C66" s="9"/>
      <c r="D66" s="11"/>
      <c r="E66" s="9"/>
      <c r="F66" s="9"/>
      <c r="G66" s="12"/>
      <c r="H66" s="12"/>
      <c r="I66" s="12"/>
      <c r="J66" s="18"/>
      <c r="K66" s="13"/>
      <c r="L66" s="13">
        <f>SUM(L67:L78)</f>
        <v>97054.049476999993</v>
      </c>
      <c r="M66" s="13">
        <f t="shared" ref="M66:O66" si="38">SUM(M67:M78)</f>
        <v>0</v>
      </c>
      <c r="N66" s="13">
        <f t="shared" si="38"/>
        <v>0</v>
      </c>
      <c r="O66" s="13">
        <f t="shared" si="38"/>
        <v>0</v>
      </c>
      <c r="P66" s="69">
        <f t="shared" si="2"/>
        <v>0</v>
      </c>
    </row>
    <row r="67" spans="1:23" ht="43.2" x14ac:dyDescent="0.25">
      <c r="A67" s="14" t="s">
        <v>104</v>
      </c>
      <c r="B67" s="15">
        <v>153844</v>
      </c>
      <c r="C67" s="16"/>
      <c r="D67" s="17" t="s">
        <v>105</v>
      </c>
      <c r="E67" s="16" t="s">
        <v>28</v>
      </c>
      <c r="F67" s="16" t="s">
        <v>34</v>
      </c>
      <c r="G67" s="18">
        <v>31.92</v>
      </c>
      <c r="H67" s="18">
        <v>0</v>
      </c>
      <c r="I67" s="18"/>
      <c r="J67" s="18">
        <f t="shared" si="3"/>
        <v>0</v>
      </c>
      <c r="K67" s="19">
        <v>538.83600000000001</v>
      </c>
      <c r="L67" s="19">
        <f t="shared" ref="L67:L76" si="39">G67*K67</f>
        <v>17199.645120000001</v>
      </c>
      <c r="M67" s="19">
        <f t="shared" si="4"/>
        <v>0</v>
      </c>
      <c r="N67" s="19">
        <f t="shared" si="5"/>
        <v>0</v>
      </c>
      <c r="O67" s="19">
        <f t="shared" si="6"/>
        <v>0</v>
      </c>
      <c r="P67" s="69">
        <f t="shared" si="2"/>
        <v>0</v>
      </c>
      <c r="V67" s="4">
        <v>649.20000000000005</v>
      </c>
      <c r="W67" s="4">
        <f t="shared" ref="W67:W76" si="40">V67-V67*$R$5</f>
        <v>538.83600000000001</v>
      </c>
    </row>
    <row r="68" spans="1:23" ht="28.8" x14ac:dyDescent="0.25">
      <c r="A68" s="14" t="s">
        <v>106</v>
      </c>
      <c r="B68" s="15">
        <v>146852</v>
      </c>
      <c r="C68" s="15">
        <v>94559</v>
      </c>
      <c r="D68" s="17" t="s">
        <v>107</v>
      </c>
      <c r="E68" s="16" t="s">
        <v>28</v>
      </c>
      <c r="F68" s="16" t="s">
        <v>34</v>
      </c>
      <c r="G68" s="18">
        <v>59.11</v>
      </c>
      <c r="H68" s="18">
        <v>0</v>
      </c>
      <c r="I68" s="18"/>
      <c r="J68" s="18">
        <f t="shared" si="3"/>
        <v>0</v>
      </c>
      <c r="K68" s="19">
        <v>622.54149999999993</v>
      </c>
      <c r="L68" s="19">
        <f t="shared" si="39"/>
        <v>36798.428064999993</v>
      </c>
      <c r="M68" s="19">
        <f t="shared" si="4"/>
        <v>0</v>
      </c>
      <c r="N68" s="19">
        <f t="shared" si="5"/>
        <v>0</v>
      </c>
      <c r="O68" s="19">
        <f t="shared" si="6"/>
        <v>0</v>
      </c>
      <c r="P68" s="69">
        <f t="shared" si="2"/>
        <v>0</v>
      </c>
      <c r="V68" s="4">
        <v>750.05</v>
      </c>
      <c r="W68" s="4">
        <f t="shared" si="40"/>
        <v>622.54149999999993</v>
      </c>
    </row>
    <row r="69" spans="1:23" ht="57.6" x14ac:dyDescent="0.25">
      <c r="A69" s="14" t="s">
        <v>108</v>
      </c>
      <c r="B69" s="15">
        <v>145509</v>
      </c>
      <c r="C69" s="16"/>
      <c r="D69" s="17" t="s">
        <v>109</v>
      </c>
      <c r="E69" s="16" t="s">
        <v>15</v>
      </c>
      <c r="F69" s="16" t="s">
        <v>34</v>
      </c>
      <c r="G69" s="18">
        <v>3</v>
      </c>
      <c r="H69" s="18">
        <v>0</v>
      </c>
      <c r="I69" s="18"/>
      <c r="J69" s="18">
        <f t="shared" si="3"/>
        <v>0</v>
      </c>
      <c r="K69" s="19">
        <v>200.86829999999998</v>
      </c>
      <c r="L69" s="19">
        <f t="shared" si="39"/>
        <v>602.60489999999993</v>
      </c>
      <c r="M69" s="19">
        <f t="shared" si="4"/>
        <v>0</v>
      </c>
      <c r="N69" s="19">
        <f t="shared" si="5"/>
        <v>0</v>
      </c>
      <c r="O69" s="19">
        <f t="shared" si="6"/>
        <v>0</v>
      </c>
      <c r="P69" s="69">
        <f t="shared" si="2"/>
        <v>0</v>
      </c>
      <c r="V69" s="4">
        <v>242.01</v>
      </c>
      <c r="W69" s="4">
        <f t="shared" si="40"/>
        <v>200.86829999999998</v>
      </c>
    </row>
    <row r="70" spans="1:23" ht="43.2" x14ac:dyDescent="0.25">
      <c r="A70" s="14" t="s">
        <v>110</v>
      </c>
      <c r="B70" s="15">
        <v>151970</v>
      </c>
      <c r="C70" s="16"/>
      <c r="D70" s="17" t="s">
        <v>111</v>
      </c>
      <c r="E70" s="16" t="s">
        <v>15</v>
      </c>
      <c r="F70" s="16" t="s">
        <v>34</v>
      </c>
      <c r="G70" s="18">
        <v>0</v>
      </c>
      <c r="H70" s="18">
        <v>0</v>
      </c>
      <c r="I70" s="18"/>
      <c r="J70" s="18">
        <f t="shared" si="3"/>
        <v>0</v>
      </c>
      <c r="K70" s="19">
        <v>242.47619999999998</v>
      </c>
      <c r="L70" s="19">
        <f t="shared" si="39"/>
        <v>0</v>
      </c>
      <c r="M70" s="19">
        <f t="shared" si="4"/>
        <v>0</v>
      </c>
      <c r="N70" s="19">
        <f t="shared" si="5"/>
        <v>0</v>
      </c>
      <c r="O70" s="19">
        <f t="shared" si="6"/>
        <v>0</v>
      </c>
      <c r="P70" s="69" t="str">
        <f t="shared" si="2"/>
        <v/>
      </c>
      <c r="V70" s="4">
        <v>292.14</v>
      </c>
      <c r="W70" s="4">
        <f t="shared" si="40"/>
        <v>242.47619999999998</v>
      </c>
    </row>
    <row r="71" spans="1:23" ht="57.6" x14ac:dyDescent="0.25">
      <c r="A71" s="14" t="s">
        <v>112</v>
      </c>
      <c r="B71" s="15">
        <v>151982</v>
      </c>
      <c r="C71" s="16"/>
      <c r="D71" s="17" t="s">
        <v>113</v>
      </c>
      <c r="E71" s="16" t="s">
        <v>15</v>
      </c>
      <c r="F71" s="16" t="s">
        <v>34</v>
      </c>
      <c r="G71" s="18">
        <v>0</v>
      </c>
      <c r="H71" s="18">
        <v>0</v>
      </c>
      <c r="I71" s="18"/>
      <c r="J71" s="18">
        <f t="shared" si="3"/>
        <v>0</v>
      </c>
      <c r="K71" s="19">
        <v>605.44350000000009</v>
      </c>
      <c r="L71" s="19">
        <f t="shared" si="39"/>
        <v>0</v>
      </c>
      <c r="M71" s="19">
        <f t="shared" si="4"/>
        <v>0</v>
      </c>
      <c r="N71" s="19">
        <f t="shared" si="5"/>
        <v>0</v>
      </c>
      <c r="O71" s="19">
        <f t="shared" si="6"/>
        <v>0</v>
      </c>
      <c r="P71" s="69" t="str">
        <f t="shared" si="2"/>
        <v/>
      </c>
      <c r="V71" s="4">
        <v>729.45</v>
      </c>
      <c r="W71" s="4">
        <f t="shared" si="40"/>
        <v>605.44350000000009</v>
      </c>
    </row>
    <row r="72" spans="1:23" ht="28.8" x14ac:dyDescent="0.25">
      <c r="A72" s="14" t="s">
        <v>114</v>
      </c>
      <c r="B72" s="15">
        <v>163453</v>
      </c>
      <c r="C72" s="16" t="s">
        <v>115</v>
      </c>
      <c r="D72" s="17" t="s">
        <v>116</v>
      </c>
      <c r="E72" s="16" t="s">
        <v>28</v>
      </c>
      <c r="F72" s="16" t="s">
        <v>86</v>
      </c>
      <c r="G72" s="18">
        <v>3.4</v>
      </c>
      <c r="H72" s="18">
        <v>0</v>
      </c>
      <c r="I72" s="18"/>
      <c r="J72" s="18">
        <f t="shared" si="3"/>
        <v>0</v>
      </c>
      <c r="K72" s="19">
        <v>126.22640000000001</v>
      </c>
      <c r="L72" s="19">
        <f t="shared" si="39"/>
        <v>429.16976000000005</v>
      </c>
      <c r="M72" s="19">
        <f t="shared" si="4"/>
        <v>0</v>
      </c>
      <c r="N72" s="19">
        <f t="shared" si="5"/>
        <v>0</v>
      </c>
      <c r="O72" s="19">
        <f t="shared" si="6"/>
        <v>0</v>
      </c>
      <c r="P72" s="69">
        <f t="shared" si="2"/>
        <v>0</v>
      </c>
      <c r="V72" s="4">
        <v>152.08000000000001</v>
      </c>
      <c r="W72" s="4">
        <f t="shared" si="40"/>
        <v>126.22640000000001</v>
      </c>
    </row>
    <row r="73" spans="1:23" x14ac:dyDescent="0.25">
      <c r="A73" s="14" t="s">
        <v>117</v>
      </c>
      <c r="B73" s="15">
        <v>133889</v>
      </c>
      <c r="C73" s="15">
        <v>72122</v>
      </c>
      <c r="D73" s="17" t="s">
        <v>118</v>
      </c>
      <c r="E73" s="16" t="s">
        <v>28</v>
      </c>
      <c r="F73" s="16" t="s">
        <v>34</v>
      </c>
      <c r="G73" s="18">
        <v>59.11</v>
      </c>
      <c r="H73" s="18">
        <v>0</v>
      </c>
      <c r="I73" s="18"/>
      <c r="J73" s="18">
        <f t="shared" si="3"/>
        <v>0</v>
      </c>
      <c r="K73" s="19">
        <v>203.88119999999998</v>
      </c>
      <c r="L73" s="19">
        <f t="shared" si="39"/>
        <v>12051.417731999998</v>
      </c>
      <c r="M73" s="19">
        <f t="shared" si="4"/>
        <v>0</v>
      </c>
      <c r="N73" s="19">
        <f t="shared" si="5"/>
        <v>0</v>
      </c>
      <c r="O73" s="19">
        <f t="shared" si="6"/>
        <v>0</v>
      </c>
      <c r="P73" s="69">
        <f t="shared" si="2"/>
        <v>0</v>
      </c>
      <c r="V73" s="4">
        <v>245.64</v>
      </c>
      <c r="W73" s="4">
        <f t="shared" si="40"/>
        <v>203.88119999999998</v>
      </c>
    </row>
    <row r="74" spans="1:23" ht="43.2" x14ac:dyDescent="0.25">
      <c r="A74" s="14" t="s">
        <v>119</v>
      </c>
      <c r="B74" s="15">
        <v>138518</v>
      </c>
      <c r="C74" s="20">
        <v>5085</v>
      </c>
      <c r="D74" s="17" t="s">
        <v>120</v>
      </c>
      <c r="E74" s="16" t="s">
        <v>28</v>
      </c>
      <c r="F74" s="16" t="s">
        <v>16</v>
      </c>
      <c r="G74" s="18">
        <v>2</v>
      </c>
      <c r="H74" s="18">
        <v>0</v>
      </c>
      <c r="I74" s="18"/>
      <c r="J74" s="18">
        <f t="shared" si="3"/>
        <v>0</v>
      </c>
      <c r="K74" s="19">
        <v>17.811800000000002</v>
      </c>
      <c r="L74" s="19">
        <f t="shared" si="39"/>
        <v>35.623600000000003</v>
      </c>
      <c r="M74" s="19">
        <f t="shared" si="4"/>
        <v>0</v>
      </c>
      <c r="N74" s="19">
        <f t="shared" si="5"/>
        <v>0</v>
      </c>
      <c r="O74" s="19">
        <f t="shared" si="6"/>
        <v>0</v>
      </c>
      <c r="P74" s="69">
        <f t="shared" ref="P74:P137" si="41">IF(O74&lt;&gt;L74,O74/L74,"")</f>
        <v>0</v>
      </c>
      <c r="V74" s="4">
        <v>21.46</v>
      </c>
      <c r="W74" s="4">
        <f t="shared" si="40"/>
        <v>17.811800000000002</v>
      </c>
    </row>
    <row r="75" spans="1:23" ht="43.2" x14ac:dyDescent="0.25">
      <c r="A75" s="14" t="s">
        <v>121</v>
      </c>
      <c r="B75" s="15">
        <v>163824</v>
      </c>
      <c r="C75" s="16"/>
      <c r="D75" s="17" t="s">
        <v>122</v>
      </c>
      <c r="E75" s="16" t="s">
        <v>28</v>
      </c>
      <c r="F75" s="16" t="s">
        <v>16</v>
      </c>
      <c r="G75" s="18">
        <v>17</v>
      </c>
      <c r="H75" s="18">
        <v>0</v>
      </c>
      <c r="I75" s="18"/>
      <c r="J75" s="18">
        <f t="shared" si="3"/>
        <v>0</v>
      </c>
      <c r="K75" s="19">
        <v>118.89749999999999</v>
      </c>
      <c r="L75" s="19">
        <f t="shared" si="39"/>
        <v>2021.2574999999999</v>
      </c>
      <c r="M75" s="19">
        <f t="shared" si="4"/>
        <v>0</v>
      </c>
      <c r="N75" s="19">
        <f t="shared" si="5"/>
        <v>0</v>
      </c>
      <c r="O75" s="19">
        <f t="shared" si="6"/>
        <v>0</v>
      </c>
      <c r="P75" s="69">
        <f t="shared" si="41"/>
        <v>0</v>
      </c>
      <c r="V75" s="4">
        <v>143.25</v>
      </c>
      <c r="W75" s="4">
        <f t="shared" si="40"/>
        <v>118.89749999999999</v>
      </c>
    </row>
    <row r="76" spans="1:23" ht="57.6" x14ac:dyDescent="0.25">
      <c r="A76" s="14" t="s">
        <v>123</v>
      </c>
      <c r="B76" s="15">
        <v>163827</v>
      </c>
      <c r="C76" s="16"/>
      <c r="D76" s="17" t="s">
        <v>124</v>
      </c>
      <c r="E76" s="16" t="s">
        <v>15</v>
      </c>
      <c r="F76" s="16" t="s">
        <v>16</v>
      </c>
      <c r="G76" s="18">
        <v>2</v>
      </c>
      <c r="H76" s="18">
        <v>0</v>
      </c>
      <c r="I76" s="18"/>
      <c r="J76" s="18">
        <f t="shared" si="3"/>
        <v>0</v>
      </c>
      <c r="K76" s="19">
        <v>62.382799999999996</v>
      </c>
      <c r="L76" s="19">
        <f t="shared" si="39"/>
        <v>124.76559999999999</v>
      </c>
      <c r="M76" s="19">
        <f t="shared" si="4"/>
        <v>0</v>
      </c>
      <c r="N76" s="19">
        <f t="shared" si="5"/>
        <v>0</v>
      </c>
      <c r="O76" s="19">
        <f t="shared" si="6"/>
        <v>0</v>
      </c>
      <c r="P76" s="69">
        <f t="shared" si="41"/>
        <v>0</v>
      </c>
      <c r="V76" s="4">
        <v>75.16</v>
      </c>
      <c r="W76" s="4">
        <f t="shared" si="40"/>
        <v>62.382799999999996</v>
      </c>
    </row>
    <row r="77" spans="1:23" ht="28.8" x14ac:dyDescent="0.25">
      <c r="A77" s="14" t="s">
        <v>445</v>
      </c>
      <c r="B77" s="15"/>
      <c r="C77" s="16">
        <v>100701</v>
      </c>
      <c r="D77" s="17" t="s">
        <v>446</v>
      </c>
      <c r="E77" s="16" t="s">
        <v>28</v>
      </c>
      <c r="F77" s="16" t="s">
        <v>34</v>
      </c>
      <c r="G77" s="18">
        <v>8.82</v>
      </c>
      <c r="H77" s="18">
        <v>0</v>
      </c>
      <c r="I77" s="18"/>
      <c r="J77" s="18">
        <f t="shared" si="3"/>
        <v>0</v>
      </c>
      <c r="K77" s="19">
        <v>404.01</v>
      </c>
      <c r="L77" s="19">
        <f t="shared" ref="L77:L78" si="42">G77*K77</f>
        <v>3563.3681999999999</v>
      </c>
      <c r="M77" s="19">
        <f t="shared" ref="M77:M78" si="43">H77*K77</f>
        <v>0</v>
      </c>
      <c r="N77" s="19">
        <f t="shared" ref="N77:N78" si="44">I77*K77</f>
        <v>0</v>
      </c>
      <c r="O77" s="19">
        <f t="shared" ref="O77:O78" si="45">J77*K77</f>
        <v>0</v>
      </c>
      <c r="P77" s="69">
        <f t="shared" si="41"/>
        <v>0</v>
      </c>
    </row>
    <row r="78" spans="1:23" ht="72" x14ac:dyDescent="0.25">
      <c r="A78" s="14" t="s">
        <v>447</v>
      </c>
      <c r="B78" s="15"/>
      <c r="C78" s="16">
        <v>7763</v>
      </c>
      <c r="D78" s="17" t="s">
        <v>448</v>
      </c>
      <c r="E78" s="16" t="s">
        <v>449</v>
      </c>
      <c r="F78" s="16" t="s">
        <v>450</v>
      </c>
      <c r="G78" s="18">
        <v>47.1</v>
      </c>
      <c r="H78" s="18">
        <v>0</v>
      </c>
      <c r="I78" s="18"/>
      <c r="J78" s="18">
        <f t="shared" si="3"/>
        <v>0</v>
      </c>
      <c r="K78" s="19">
        <v>514.39</v>
      </c>
      <c r="L78" s="19">
        <f t="shared" si="42"/>
        <v>24227.769</v>
      </c>
      <c r="M78" s="19">
        <f t="shared" si="43"/>
        <v>0</v>
      </c>
      <c r="N78" s="19">
        <f t="shared" si="44"/>
        <v>0</v>
      </c>
      <c r="O78" s="19">
        <f t="shared" si="45"/>
        <v>0</v>
      </c>
      <c r="P78" s="69">
        <f t="shared" si="41"/>
        <v>0</v>
      </c>
    </row>
    <row r="79" spans="1:23" x14ac:dyDescent="0.25">
      <c r="A79" s="10" t="s">
        <v>125</v>
      </c>
      <c r="B79" s="9"/>
      <c r="C79" s="9"/>
      <c r="D79" s="11"/>
      <c r="E79" s="9"/>
      <c r="F79" s="9"/>
      <c r="G79" s="12"/>
      <c r="H79" s="12"/>
      <c r="I79" s="12"/>
      <c r="J79" s="18"/>
      <c r="K79" s="13"/>
      <c r="L79" s="13">
        <f>SUM(L80:L88)</f>
        <v>92265.667065500005</v>
      </c>
      <c r="M79" s="13">
        <f t="shared" ref="M79:O79" si="46">SUM(M80:M88)</f>
        <v>0</v>
      </c>
      <c r="N79" s="13">
        <f t="shared" si="46"/>
        <v>0</v>
      </c>
      <c r="O79" s="13">
        <f t="shared" si="46"/>
        <v>0</v>
      </c>
      <c r="P79" s="69">
        <f t="shared" si="41"/>
        <v>0</v>
      </c>
    </row>
    <row r="80" spans="1:23" ht="57.6" x14ac:dyDescent="0.25">
      <c r="A80" s="14" t="s">
        <v>126</v>
      </c>
      <c r="B80" s="15">
        <v>133392</v>
      </c>
      <c r="C80" s="15">
        <v>92565</v>
      </c>
      <c r="D80" s="17" t="s">
        <v>127</v>
      </c>
      <c r="E80" s="16" t="s">
        <v>28</v>
      </c>
      <c r="F80" s="16" t="s">
        <v>34</v>
      </c>
      <c r="G80" s="18">
        <v>0</v>
      </c>
      <c r="H80" s="18">
        <v>0</v>
      </c>
      <c r="I80" s="18"/>
      <c r="J80" s="18">
        <f t="shared" si="3"/>
        <v>0</v>
      </c>
      <c r="K80" s="19">
        <v>28.966999999999999</v>
      </c>
      <c r="L80" s="19">
        <f t="shared" ref="L80:L87" si="47">G80*K80</f>
        <v>0</v>
      </c>
      <c r="M80" s="19">
        <f t="shared" si="4"/>
        <v>0</v>
      </c>
      <c r="N80" s="19">
        <f t="shared" si="5"/>
        <v>0</v>
      </c>
      <c r="O80" s="19">
        <f t="shared" si="6"/>
        <v>0</v>
      </c>
      <c r="P80" s="69" t="str">
        <f t="shared" si="41"/>
        <v/>
      </c>
      <c r="V80" s="4">
        <v>34.9</v>
      </c>
      <c r="W80" s="4">
        <f t="shared" ref="W80:W87" si="48">V80-V80*$R$5</f>
        <v>28.966999999999999</v>
      </c>
    </row>
    <row r="81" spans="1:23" ht="57.6" x14ac:dyDescent="0.25">
      <c r="A81" s="14" t="s">
        <v>128</v>
      </c>
      <c r="B81" s="15">
        <v>133371</v>
      </c>
      <c r="C81" s="15">
        <v>92542</v>
      </c>
      <c r="D81" s="17" t="s">
        <v>129</v>
      </c>
      <c r="E81" s="16" t="s">
        <v>28</v>
      </c>
      <c r="F81" s="16" t="s">
        <v>34</v>
      </c>
      <c r="G81" s="18">
        <v>672.85</v>
      </c>
      <c r="H81" s="18">
        <v>0</v>
      </c>
      <c r="I81" s="18"/>
      <c r="J81" s="18">
        <f t="shared" si="3"/>
        <v>0</v>
      </c>
      <c r="K81" s="19">
        <v>74.430250000000001</v>
      </c>
      <c r="L81" s="19">
        <f t="shared" si="47"/>
        <v>50080.393712500001</v>
      </c>
      <c r="M81" s="19">
        <f t="shared" si="4"/>
        <v>0</v>
      </c>
      <c r="N81" s="19">
        <f t="shared" si="5"/>
        <v>0</v>
      </c>
      <c r="O81" s="19">
        <f t="shared" si="6"/>
        <v>0</v>
      </c>
      <c r="P81" s="69">
        <f t="shared" si="41"/>
        <v>0</v>
      </c>
      <c r="V81" s="4">
        <v>89.674999999999997</v>
      </c>
      <c r="W81" s="4">
        <f t="shared" si="48"/>
        <v>74.430250000000001</v>
      </c>
    </row>
    <row r="82" spans="1:23" ht="43.2" x14ac:dyDescent="0.25">
      <c r="A82" s="14" t="s">
        <v>130</v>
      </c>
      <c r="B82" s="15">
        <v>146764</v>
      </c>
      <c r="C82" s="15">
        <v>94445</v>
      </c>
      <c r="D82" s="17" t="s">
        <v>131</v>
      </c>
      <c r="E82" s="16" t="s">
        <v>28</v>
      </c>
      <c r="F82" s="16" t="s">
        <v>34</v>
      </c>
      <c r="G82" s="18">
        <v>672.85</v>
      </c>
      <c r="H82" s="18">
        <v>0</v>
      </c>
      <c r="I82" s="18"/>
      <c r="J82" s="18">
        <f t="shared" si="3"/>
        <v>0</v>
      </c>
      <c r="K82" s="19">
        <v>30.543999999999997</v>
      </c>
      <c r="L82" s="19">
        <f t="shared" si="47"/>
        <v>20551.5304</v>
      </c>
      <c r="M82" s="19">
        <f t="shared" si="4"/>
        <v>0</v>
      </c>
      <c r="N82" s="19">
        <f t="shared" si="5"/>
        <v>0</v>
      </c>
      <c r="O82" s="19">
        <f t="shared" si="6"/>
        <v>0</v>
      </c>
      <c r="P82" s="69">
        <f t="shared" si="41"/>
        <v>0</v>
      </c>
      <c r="V82" s="4">
        <v>36.799999999999997</v>
      </c>
      <c r="W82" s="4">
        <f t="shared" si="48"/>
        <v>30.543999999999997</v>
      </c>
    </row>
    <row r="83" spans="1:23" ht="57.6" x14ac:dyDescent="0.25">
      <c r="A83" s="14" t="s">
        <v>132</v>
      </c>
      <c r="B83" s="15">
        <v>146775</v>
      </c>
      <c r="C83" s="15">
        <v>94221</v>
      </c>
      <c r="D83" s="17" t="s">
        <v>133</v>
      </c>
      <c r="E83" s="16" t="s">
        <v>28</v>
      </c>
      <c r="F83" s="16" t="s">
        <v>86</v>
      </c>
      <c r="G83" s="18">
        <v>64.61</v>
      </c>
      <c r="H83" s="18">
        <v>0</v>
      </c>
      <c r="I83" s="18"/>
      <c r="J83" s="18">
        <f t="shared" si="3"/>
        <v>0</v>
      </c>
      <c r="K83" s="19">
        <v>16.600000000000001</v>
      </c>
      <c r="L83" s="19">
        <f t="shared" si="47"/>
        <v>1072.5260000000001</v>
      </c>
      <c r="M83" s="19">
        <f t="shared" si="4"/>
        <v>0</v>
      </c>
      <c r="N83" s="19">
        <f t="shared" si="5"/>
        <v>0</v>
      </c>
      <c r="O83" s="19">
        <f t="shared" si="6"/>
        <v>0</v>
      </c>
      <c r="P83" s="69">
        <f t="shared" si="41"/>
        <v>0</v>
      </c>
      <c r="V83" s="4">
        <v>20</v>
      </c>
      <c r="W83" s="4">
        <f t="shared" si="48"/>
        <v>16.600000000000001</v>
      </c>
    </row>
    <row r="84" spans="1:23" ht="28.8" x14ac:dyDescent="0.25">
      <c r="A84" s="14" t="s">
        <v>134</v>
      </c>
      <c r="B84" s="15">
        <v>163731</v>
      </c>
      <c r="C84" s="16"/>
      <c r="D84" s="17" t="s">
        <v>135</v>
      </c>
      <c r="E84" s="16" t="s">
        <v>28</v>
      </c>
      <c r="F84" s="16" t="s">
        <v>86</v>
      </c>
      <c r="G84" s="18">
        <v>41.57</v>
      </c>
      <c r="H84" s="18">
        <v>0</v>
      </c>
      <c r="I84" s="18"/>
      <c r="J84" s="18">
        <f t="shared" si="3"/>
        <v>0</v>
      </c>
      <c r="K84" s="19">
        <v>18.6418</v>
      </c>
      <c r="L84" s="19">
        <f t="shared" si="47"/>
        <v>774.93962599999998</v>
      </c>
      <c r="M84" s="19">
        <f t="shared" si="4"/>
        <v>0</v>
      </c>
      <c r="N84" s="19">
        <f t="shared" si="5"/>
        <v>0</v>
      </c>
      <c r="O84" s="19">
        <f t="shared" si="6"/>
        <v>0</v>
      </c>
      <c r="P84" s="69">
        <f t="shared" si="41"/>
        <v>0</v>
      </c>
      <c r="V84" s="4">
        <v>22.46</v>
      </c>
      <c r="W84" s="4">
        <f t="shared" si="48"/>
        <v>18.6418</v>
      </c>
    </row>
    <row r="85" spans="1:23" ht="28.8" x14ac:dyDescent="0.25">
      <c r="A85" s="14" t="s">
        <v>136</v>
      </c>
      <c r="B85" s="15">
        <v>146757</v>
      </c>
      <c r="C85" s="15">
        <v>94224</v>
      </c>
      <c r="D85" s="17" t="s">
        <v>137</v>
      </c>
      <c r="E85" s="16" t="s">
        <v>28</v>
      </c>
      <c r="F85" s="16" t="s">
        <v>86</v>
      </c>
      <c r="G85" s="18">
        <v>122.62</v>
      </c>
      <c r="H85" s="18">
        <v>0</v>
      </c>
      <c r="I85" s="18"/>
      <c r="J85" s="18">
        <f t="shared" si="3"/>
        <v>0</v>
      </c>
      <c r="K85" s="19">
        <v>18.591999999999999</v>
      </c>
      <c r="L85" s="19">
        <f t="shared" si="47"/>
        <v>2279.7510400000001</v>
      </c>
      <c r="M85" s="19">
        <f t="shared" si="4"/>
        <v>0</v>
      </c>
      <c r="N85" s="19">
        <f t="shared" si="5"/>
        <v>0</v>
      </c>
      <c r="O85" s="19">
        <f t="shared" si="6"/>
        <v>0</v>
      </c>
      <c r="P85" s="69">
        <f t="shared" si="41"/>
        <v>0</v>
      </c>
      <c r="V85" s="4">
        <v>22.4</v>
      </c>
      <c r="W85" s="4">
        <f t="shared" si="48"/>
        <v>18.591999999999999</v>
      </c>
    </row>
    <row r="86" spans="1:23" ht="28.8" x14ac:dyDescent="0.25">
      <c r="A86" s="14" t="s">
        <v>138</v>
      </c>
      <c r="B86" s="15">
        <v>161738</v>
      </c>
      <c r="C86" s="16"/>
      <c r="D86" s="17" t="s">
        <v>139</v>
      </c>
      <c r="E86" s="16" t="s">
        <v>28</v>
      </c>
      <c r="F86" s="16" t="s">
        <v>34</v>
      </c>
      <c r="G86" s="18">
        <v>8.31</v>
      </c>
      <c r="H86" s="18">
        <v>0</v>
      </c>
      <c r="I86" s="18"/>
      <c r="J86" s="18">
        <f t="shared" si="3"/>
        <v>0</v>
      </c>
      <c r="K86" s="19">
        <v>38.337699999999998</v>
      </c>
      <c r="L86" s="19">
        <f t="shared" si="47"/>
        <v>318.58628700000003</v>
      </c>
      <c r="M86" s="19">
        <f t="shared" si="4"/>
        <v>0</v>
      </c>
      <c r="N86" s="19">
        <f t="shared" si="5"/>
        <v>0</v>
      </c>
      <c r="O86" s="19">
        <f t="shared" si="6"/>
        <v>0</v>
      </c>
      <c r="P86" s="69">
        <f t="shared" si="41"/>
        <v>0</v>
      </c>
      <c r="V86" s="4">
        <v>46.19</v>
      </c>
      <c r="W86" s="4">
        <f t="shared" si="48"/>
        <v>38.337699999999998</v>
      </c>
    </row>
    <row r="87" spans="1:23" ht="43.2" x14ac:dyDescent="0.25">
      <c r="A87" s="14" t="s">
        <v>140</v>
      </c>
      <c r="B87" s="15">
        <v>153541</v>
      </c>
      <c r="C87" s="15">
        <v>96111</v>
      </c>
      <c r="D87" s="17" t="s">
        <v>141</v>
      </c>
      <c r="E87" s="16" t="s">
        <v>28</v>
      </c>
      <c r="F87" s="16" t="s">
        <v>34</v>
      </c>
      <c r="G87" s="18">
        <v>0</v>
      </c>
      <c r="H87" s="18">
        <v>0</v>
      </c>
      <c r="I87" s="18"/>
      <c r="J87" s="18">
        <f t="shared" si="3"/>
        <v>0</v>
      </c>
      <c r="K87" s="19">
        <v>62.436749999999996</v>
      </c>
      <c r="L87" s="19">
        <f t="shared" si="47"/>
        <v>0</v>
      </c>
      <c r="M87" s="19">
        <f t="shared" si="4"/>
        <v>0</v>
      </c>
      <c r="N87" s="19">
        <f t="shared" si="5"/>
        <v>0</v>
      </c>
      <c r="O87" s="19">
        <f t="shared" si="6"/>
        <v>0</v>
      </c>
      <c r="P87" s="69" t="str">
        <f t="shared" si="41"/>
        <v/>
      </c>
      <c r="V87" s="4">
        <v>75.224999999999994</v>
      </c>
      <c r="W87" s="4">
        <f t="shared" si="48"/>
        <v>62.436749999999996</v>
      </c>
    </row>
    <row r="88" spans="1:23" ht="28.8" x14ac:dyDescent="0.25">
      <c r="A88" s="14" t="s">
        <v>451</v>
      </c>
      <c r="B88" s="15"/>
      <c r="C88" s="15">
        <v>96113</v>
      </c>
      <c r="D88" s="17" t="s">
        <v>452</v>
      </c>
      <c r="E88" s="16" t="s">
        <v>28</v>
      </c>
      <c r="F88" s="16" t="s">
        <v>34</v>
      </c>
      <c r="G88" s="18">
        <v>558.04999999999995</v>
      </c>
      <c r="H88" s="18">
        <v>0</v>
      </c>
      <c r="I88" s="18"/>
      <c r="J88" s="18">
        <f t="shared" si="3"/>
        <v>0</v>
      </c>
      <c r="K88" s="19">
        <v>30.8</v>
      </c>
      <c r="L88" s="19">
        <f t="shared" ref="L88" si="49">G88*K88</f>
        <v>17187.939999999999</v>
      </c>
      <c r="M88" s="19">
        <f t="shared" ref="M88" si="50">H88*K88</f>
        <v>0</v>
      </c>
      <c r="N88" s="19">
        <f t="shared" ref="N88" si="51">I88*K88</f>
        <v>0</v>
      </c>
      <c r="O88" s="19">
        <f t="shared" ref="O88" si="52">J88*K88</f>
        <v>0</v>
      </c>
      <c r="P88" s="69">
        <f t="shared" si="41"/>
        <v>0</v>
      </c>
    </row>
    <row r="89" spans="1:23" x14ac:dyDescent="0.25">
      <c r="A89" s="10" t="s">
        <v>142</v>
      </c>
      <c r="B89" s="9"/>
      <c r="C89" s="9"/>
      <c r="D89" s="11"/>
      <c r="E89" s="9"/>
      <c r="F89" s="9"/>
      <c r="G89" s="12"/>
      <c r="H89" s="12"/>
      <c r="I89" s="12"/>
      <c r="J89" s="18"/>
      <c r="K89" s="13"/>
      <c r="L89" s="13">
        <f>SUM(L90:L97)</f>
        <v>88519.737465999991</v>
      </c>
      <c r="M89" s="13">
        <f t="shared" ref="M89:O89" si="53">SUM(M90:M97)</f>
        <v>0</v>
      </c>
      <c r="N89" s="13">
        <f t="shared" si="53"/>
        <v>32107.027946000002</v>
      </c>
      <c r="O89" s="13">
        <f t="shared" si="53"/>
        <v>32107.027946000002</v>
      </c>
      <c r="P89" s="69">
        <f t="shared" si="41"/>
        <v>0.36271038375291337</v>
      </c>
    </row>
    <row r="90" spans="1:23" ht="28.8" x14ac:dyDescent="0.25">
      <c r="A90" s="14" t="s">
        <v>143</v>
      </c>
      <c r="B90" s="15">
        <v>160114</v>
      </c>
      <c r="C90" s="16"/>
      <c r="D90" s="17" t="s">
        <v>144</v>
      </c>
      <c r="E90" s="16" t="s">
        <v>28</v>
      </c>
      <c r="F90" s="16" t="s">
        <v>34</v>
      </c>
      <c r="G90" s="18">
        <v>1981.51</v>
      </c>
      <c r="H90" s="18">
        <v>0</v>
      </c>
      <c r="I90" s="18">
        <f>'MEMORIAL DE CÁLCULOS'!J101</f>
        <v>1668.56</v>
      </c>
      <c r="J90" s="18">
        <f t="shared" si="3"/>
        <v>1668.56</v>
      </c>
      <c r="K90" s="19">
        <v>2.9714</v>
      </c>
      <c r="L90" s="19">
        <f t="shared" ref="L90:L96" si="54">G90*K90</f>
        <v>5887.8588140000002</v>
      </c>
      <c r="M90" s="19">
        <f t="shared" si="4"/>
        <v>0</v>
      </c>
      <c r="N90" s="19">
        <f t="shared" si="5"/>
        <v>4957.9591840000003</v>
      </c>
      <c r="O90" s="19">
        <f t="shared" si="6"/>
        <v>4957.9591840000003</v>
      </c>
      <c r="P90" s="69">
        <f t="shared" si="41"/>
        <v>0.84206488990719197</v>
      </c>
      <c r="V90" s="4">
        <v>3.58</v>
      </c>
      <c r="W90" s="4">
        <f t="shared" ref="W90:W96" si="55">V90-V90*$R$5</f>
        <v>2.9714</v>
      </c>
    </row>
    <row r="91" spans="1:23" ht="43.2" x14ac:dyDescent="0.25">
      <c r="A91" s="14" t="s">
        <v>145</v>
      </c>
      <c r="B91" s="15">
        <v>161080</v>
      </c>
      <c r="C91" s="16" t="s">
        <v>146</v>
      </c>
      <c r="D91" s="17" t="s">
        <v>147</v>
      </c>
      <c r="E91" s="16" t="s">
        <v>28</v>
      </c>
      <c r="F91" s="16" t="s">
        <v>34</v>
      </c>
      <c r="G91" s="18">
        <v>1162.3699999999999</v>
      </c>
      <c r="H91" s="18">
        <v>0</v>
      </c>
      <c r="I91" s="18">
        <f>'MEMORIAL DE CÁLCULOS'!J104</f>
        <v>849.42</v>
      </c>
      <c r="J91" s="18">
        <f t="shared" si="3"/>
        <v>849.42</v>
      </c>
      <c r="K91" s="19">
        <v>18.002700000000001</v>
      </c>
      <c r="L91" s="19">
        <f t="shared" si="54"/>
        <v>20925.798398999999</v>
      </c>
      <c r="M91" s="19">
        <f t="shared" si="4"/>
        <v>0</v>
      </c>
      <c r="N91" s="19">
        <f t="shared" si="5"/>
        <v>15291.853434000001</v>
      </c>
      <c r="O91" s="19">
        <f t="shared" si="6"/>
        <v>15291.853434000001</v>
      </c>
      <c r="P91" s="69">
        <f t="shared" si="41"/>
        <v>0.7307655909908205</v>
      </c>
      <c r="V91" s="4">
        <v>21.69</v>
      </c>
      <c r="W91" s="4">
        <f t="shared" si="55"/>
        <v>18.002700000000001</v>
      </c>
    </row>
    <row r="92" spans="1:23" ht="43.2" x14ac:dyDescent="0.25">
      <c r="A92" s="14" t="s">
        <v>148</v>
      </c>
      <c r="B92" s="15">
        <v>160138</v>
      </c>
      <c r="C92" s="16"/>
      <c r="D92" s="17" t="s">
        <v>149</v>
      </c>
      <c r="E92" s="16" t="s">
        <v>28</v>
      </c>
      <c r="F92" s="16" t="s">
        <v>34</v>
      </c>
      <c r="G92" s="18">
        <v>819.14</v>
      </c>
      <c r="H92" s="18">
        <v>0</v>
      </c>
      <c r="I92" s="18">
        <f>'MEMORIAL DE CÁLCULOS'!J107</f>
        <v>819.14</v>
      </c>
      <c r="J92" s="18">
        <f t="shared" si="3"/>
        <v>819.14</v>
      </c>
      <c r="K92" s="19">
        <v>14.475200000000001</v>
      </c>
      <c r="L92" s="19">
        <f t="shared" si="54"/>
        <v>11857.215328</v>
      </c>
      <c r="M92" s="19">
        <f t="shared" si="4"/>
        <v>0</v>
      </c>
      <c r="N92" s="19">
        <f t="shared" si="5"/>
        <v>11857.215328</v>
      </c>
      <c r="O92" s="19">
        <f t="shared" si="6"/>
        <v>11857.215328</v>
      </c>
      <c r="P92" s="69" t="str">
        <f t="shared" si="41"/>
        <v/>
      </c>
      <c r="V92" s="4">
        <v>17.440000000000001</v>
      </c>
      <c r="W92" s="4">
        <f t="shared" si="55"/>
        <v>14.475200000000001</v>
      </c>
    </row>
    <row r="93" spans="1:23" ht="57.6" x14ac:dyDescent="0.25">
      <c r="A93" s="14" t="s">
        <v>150</v>
      </c>
      <c r="B93" s="15">
        <v>160279</v>
      </c>
      <c r="C93" s="16"/>
      <c r="D93" s="17" t="s">
        <v>151</v>
      </c>
      <c r="E93" s="16" t="s">
        <v>28</v>
      </c>
      <c r="F93" s="16" t="s">
        <v>34</v>
      </c>
      <c r="G93" s="18">
        <v>82.55</v>
      </c>
      <c r="H93" s="18">
        <v>0</v>
      </c>
      <c r="I93" s="18"/>
      <c r="J93" s="18">
        <f t="shared" ref="J93:J159" si="56">H93+I93</f>
        <v>0</v>
      </c>
      <c r="K93" s="19">
        <v>87.747600000000006</v>
      </c>
      <c r="L93" s="19">
        <f t="shared" si="54"/>
        <v>7243.5643799999998</v>
      </c>
      <c r="M93" s="19">
        <f t="shared" ref="M93:M159" si="57">H93*K93</f>
        <v>0</v>
      </c>
      <c r="N93" s="19">
        <f t="shared" ref="N93:N159" si="58">I93*K93</f>
        <v>0</v>
      </c>
      <c r="O93" s="19">
        <f t="shared" ref="O93:O159" si="59">J93*K93</f>
        <v>0</v>
      </c>
      <c r="P93" s="69">
        <f t="shared" si="41"/>
        <v>0</v>
      </c>
      <c r="V93" s="4">
        <v>105.72</v>
      </c>
      <c r="W93" s="4">
        <f t="shared" si="55"/>
        <v>87.747600000000006</v>
      </c>
    </row>
    <row r="94" spans="1:23" ht="43.2" x14ac:dyDescent="0.25">
      <c r="A94" s="14" t="s">
        <v>152</v>
      </c>
      <c r="B94" s="15">
        <v>161082</v>
      </c>
      <c r="C94" s="16" t="s">
        <v>153</v>
      </c>
      <c r="D94" s="17" t="s">
        <v>154</v>
      </c>
      <c r="E94" s="16" t="s">
        <v>28</v>
      </c>
      <c r="F94" s="16" t="s">
        <v>34</v>
      </c>
      <c r="G94" s="18">
        <v>505.69</v>
      </c>
      <c r="H94" s="18">
        <v>0</v>
      </c>
      <c r="I94" s="18"/>
      <c r="J94" s="18">
        <f t="shared" si="56"/>
        <v>0</v>
      </c>
      <c r="K94" s="19">
        <v>53.194700000000005</v>
      </c>
      <c r="L94" s="19">
        <f t="shared" si="54"/>
        <v>26900.027843000003</v>
      </c>
      <c r="M94" s="19">
        <f t="shared" si="57"/>
        <v>0</v>
      </c>
      <c r="N94" s="19">
        <f t="shared" si="58"/>
        <v>0</v>
      </c>
      <c r="O94" s="19">
        <f t="shared" si="59"/>
        <v>0</v>
      </c>
      <c r="P94" s="69">
        <f t="shared" si="41"/>
        <v>0</v>
      </c>
      <c r="V94" s="4">
        <v>64.09</v>
      </c>
      <c r="W94" s="4">
        <f t="shared" si="55"/>
        <v>53.194700000000005</v>
      </c>
    </row>
    <row r="95" spans="1:23" ht="43.2" x14ac:dyDescent="0.25">
      <c r="A95" s="14" t="s">
        <v>155</v>
      </c>
      <c r="B95" s="15">
        <v>161922</v>
      </c>
      <c r="C95" s="16"/>
      <c r="D95" s="17" t="s">
        <v>156</v>
      </c>
      <c r="E95" s="16" t="s">
        <v>28</v>
      </c>
      <c r="F95" s="16" t="s">
        <v>34</v>
      </c>
      <c r="G95" s="18">
        <v>14.18</v>
      </c>
      <c r="H95" s="18">
        <v>0</v>
      </c>
      <c r="I95" s="18"/>
      <c r="J95" s="18">
        <f t="shared" si="56"/>
        <v>0</v>
      </c>
      <c r="K95" s="19">
        <v>4.2578999999999994</v>
      </c>
      <c r="L95" s="19">
        <f t="shared" si="54"/>
        <v>60.37702199999999</v>
      </c>
      <c r="M95" s="19">
        <f t="shared" si="57"/>
        <v>0</v>
      </c>
      <c r="N95" s="19">
        <f t="shared" si="58"/>
        <v>0</v>
      </c>
      <c r="O95" s="19">
        <f t="shared" si="59"/>
        <v>0</v>
      </c>
      <c r="P95" s="69">
        <f t="shared" si="41"/>
        <v>0</v>
      </c>
      <c r="V95" s="4">
        <v>5.13</v>
      </c>
      <c r="W95" s="4">
        <f t="shared" si="55"/>
        <v>4.2578999999999994</v>
      </c>
    </row>
    <row r="96" spans="1:23" ht="28.8" x14ac:dyDescent="0.25">
      <c r="A96" s="14" t="s">
        <v>157</v>
      </c>
      <c r="B96" s="15">
        <v>161923</v>
      </c>
      <c r="C96" s="15">
        <v>87532</v>
      </c>
      <c r="D96" s="17" t="s">
        <v>158</v>
      </c>
      <c r="E96" s="16" t="s">
        <v>28</v>
      </c>
      <c r="F96" s="16" t="s">
        <v>34</v>
      </c>
      <c r="G96" s="18">
        <v>14.18</v>
      </c>
      <c r="H96" s="18">
        <v>0</v>
      </c>
      <c r="I96" s="18"/>
      <c r="J96" s="18">
        <f t="shared" si="56"/>
        <v>0</v>
      </c>
      <c r="K96" s="19">
        <v>30.876000000000001</v>
      </c>
      <c r="L96" s="19">
        <f t="shared" si="54"/>
        <v>437.82168000000001</v>
      </c>
      <c r="M96" s="19">
        <f t="shared" si="57"/>
        <v>0</v>
      </c>
      <c r="N96" s="19">
        <f t="shared" si="58"/>
        <v>0</v>
      </c>
      <c r="O96" s="19">
        <f t="shared" si="59"/>
        <v>0</v>
      </c>
      <c r="P96" s="69">
        <f t="shared" si="41"/>
        <v>0</v>
      </c>
      <c r="V96" s="4">
        <v>37.200000000000003</v>
      </c>
      <c r="W96" s="4">
        <f t="shared" si="55"/>
        <v>30.876000000000001</v>
      </c>
    </row>
    <row r="97" spans="1:23" ht="57.6" x14ac:dyDescent="0.25">
      <c r="A97" s="14" t="s">
        <v>453</v>
      </c>
      <c r="B97" s="15"/>
      <c r="C97" s="15">
        <v>87272</v>
      </c>
      <c r="D97" s="17" t="s">
        <v>454</v>
      </c>
      <c r="E97" s="16" t="s">
        <v>28</v>
      </c>
      <c r="F97" s="16" t="s">
        <v>34</v>
      </c>
      <c r="G97" s="18">
        <v>230.9</v>
      </c>
      <c r="H97" s="18">
        <v>0</v>
      </c>
      <c r="I97" s="18"/>
      <c r="J97" s="18">
        <f t="shared" si="56"/>
        <v>0</v>
      </c>
      <c r="K97" s="19">
        <v>65.86</v>
      </c>
      <c r="L97" s="19">
        <f t="shared" ref="L97" si="60">G97*K97</f>
        <v>15207.074000000001</v>
      </c>
      <c r="M97" s="19">
        <f t="shared" ref="M97" si="61">H97*K97</f>
        <v>0</v>
      </c>
      <c r="N97" s="19">
        <f t="shared" ref="N97" si="62">I97*K97</f>
        <v>0</v>
      </c>
      <c r="O97" s="19">
        <f t="shared" ref="O97" si="63">J97*K97</f>
        <v>0</v>
      </c>
      <c r="P97" s="69">
        <f t="shared" si="41"/>
        <v>0</v>
      </c>
    </row>
    <row r="98" spans="1:23" x14ac:dyDescent="0.25">
      <c r="A98" s="10" t="s">
        <v>159</v>
      </c>
      <c r="B98" s="9"/>
      <c r="C98" s="9"/>
      <c r="D98" s="11"/>
      <c r="E98" s="9"/>
      <c r="F98" s="9"/>
      <c r="G98" s="12"/>
      <c r="H98" s="12"/>
      <c r="I98" s="12"/>
      <c r="J98" s="18"/>
      <c r="K98" s="13"/>
      <c r="L98" s="13">
        <f>SUM(L99:L110)</f>
        <v>64264.517759000002</v>
      </c>
      <c r="M98" s="13">
        <f t="shared" ref="M98:O98" si="64">SUM(M99:M110)</f>
        <v>0</v>
      </c>
      <c r="N98" s="13">
        <f t="shared" si="64"/>
        <v>0</v>
      </c>
      <c r="O98" s="13">
        <f t="shared" si="64"/>
        <v>0</v>
      </c>
      <c r="P98" s="69">
        <f t="shared" si="41"/>
        <v>0</v>
      </c>
    </row>
    <row r="99" spans="1:23" ht="43.2" x14ac:dyDescent="0.25">
      <c r="A99" s="14" t="s">
        <v>160</v>
      </c>
      <c r="B99" s="15">
        <v>162595</v>
      </c>
      <c r="C99" s="16"/>
      <c r="D99" s="17" t="s">
        <v>161</v>
      </c>
      <c r="E99" s="16" t="s">
        <v>28</v>
      </c>
      <c r="F99" s="16" t="s">
        <v>34</v>
      </c>
      <c r="G99" s="18">
        <v>407.76</v>
      </c>
      <c r="H99" s="18">
        <v>0</v>
      </c>
      <c r="I99" s="18"/>
      <c r="J99" s="18">
        <f t="shared" si="56"/>
        <v>0</v>
      </c>
      <c r="K99" s="19">
        <v>27.854800000000001</v>
      </c>
      <c r="L99" s="19">
        <f t="shared" ref="L99:L108" si="65">G99*K99</f>
        <v>11358.073248000001</v>
      </c>
      <c r="M99" s="19">
        <f t="shared" si="57"/>
        <v>0</v>
      </c>
      <c r="N99" s="19">
        <f t="shared" si="58"/>
        <v>0</v>
      </c>
      <c r="O99" s="19">
        <f t="shared" si="59"/>
        <v>0</v>
      </c>
      <c r="P99" s="69">
        <f t="shared" si="41"/>
        <v>0</v>
      </c>
      <c r="V99" s="4">
        <v>33.56</v>
      </c>
      <c r="W99" s="4">
        <f t="shared" ref="W99:W108" si="66">V99-V99*$R$5</f>
        <v>27.854800000000001</v>
      </c>
    </row>
    <row r="100" spans="1:23" ht="28.8" x14ac:dyDescent="0.25">
      <c r="A100" s="14" t="s">
        <v>162</v>
      </c>
      <c r="B100" s="15">
        <v>136253</v>
      </c>
      <c r="C100" s="15">
        <v>88485</v>
      </c>
      <c r="D100" s="17" t="s">
        <v>163</v>
      </c>
      <c r="E100" s="16" t="s">
        <v>28</v>
      </c>
      <c r="F100" s="16" t="s">
        <v>34</v>
      </c>
      <c r="G100" s="18">
        <v>1162.3699999999999</v>
      </c>
      <c r="H100" s="18">
        <v>0</v>
      </c>
      <c r="I100" s="18"/>
      <c r="J100" s="18">
        <f t="shared" si="56"/>
        <v>0</v>
      </c>
      <c r="K100" s="19">
        <v>2.1579999999999999</v>
      </c>
      <c r="L100" s="19">
        <f t="shared" si="65"/>
        <v>2508.3944599999995</v>
      </c>
      <c r="M100" s="19">
        <f t="shared" si="57"/>
        <v>0</v>
      </c>
      <c r="N100" s="19">
        <f t="shared" si="58"/>
        <v>0</v>
      </c>
      <c r="O100" s="19">
        <f t="shared" si="59"/>
        <v>0</v>
      </c>
      <c r="P100" s="69">
        <f t="shared" si="41"/>
        <v>0</v>
      </c>
      <c r="V100" s="4">
        <v>2.6</v>
      </c>
      <c r="W100" s="4">
        <f t="shared" si="66"/>
        <v>2.1579999999999999</v>
      </c>
    </row>
    <row r="101" spans="1:23" ht="28.8" x14ac:dyDescent="0.25">
      <c r="A101" s="14" t="s">
        <v>164</v>
      </c>
      <c r="B101" s="15">
        <v>136257</v>
      </c>
      <c r="C101" s="15">
        <v>88489</v>
      </c>
      <c r="D101" s="17" t="s">
        <v>165</v>
      </c>
      <c r="E101" s="16" t="s">
        <v>28</v>
      </c>
      <c r="F101" s="16" t="s">
        <v>34</v>
      </c>
      <c r="G101" s="18">
        <v>407.76</v>
      </c>
      <c r="H101" s="18">
        <v>0</v>
      </c>
      <c r="I101" s="18"/>
      <c r="J101" s="18">
        <f t="shared" si="56"/>
        <v>0</v>
      </c>
      <c r="K101" s="19">
        <v>11.254799999999999</v>
      </c>
      <c r="L101" s="19">
        <f t="shared" si="65"/>
        <v>4589.2572479999999</v>
      </c>
      <c r="M101" s="19">
        <f t="shared" si="57"/>
        <v>0</v>
      </c>
      <c r="N101" s="19">
        <f t="shared" si="58"/>
        <v>0</v>
      </c>
      <c r="O101" s="19">
        <f t="shared" si="59"/>
        <v>0</v>
      </c>
      <c r="P101" s="69">
        <f t="shared" si="41"/>
        <v>0</v>
      </c>
      <c r="V101" s="4">
        <v>13.56</v>
      </c>
      <c r="W101" s="4">
        <f t="shared" si="66"/>
        <v>11.254799999999999</v>
      </c>
    </row>
    <row r="102" spans="1:23" ht="28.8" x14ac:dyDescent="0.25">
      <c r="A102" s="14" t="s">
        <v>166</v>
      </c>
      <c r="B102" s="15">
        <v>136273</v>
      </c>
      <c r="C102" s="16" t="s">
        <v>167</v>
      </c>
      <c r="D102" s="17" t="s">
        <v>168</v>
      </c>
      <c r="E102" s="16" t="s">
        <v>28</v>
      </c>
      <c r="F102" s="16" t="s">
        <v>34</v>
      </c>
      <c r="G102" s="18">
        <v>79.8</v>
      </c>
      <c r="H102" s="18">
        <v>0</v>
      </c>
      <c r="I102" s="18"/>
      <c r="J102" s="18">
        <f t="shared" si="56"/>
        <v>0</v>
      </c>
      <c r="K102" s="19">
        <v>10.499500000000001</v>
      </c>
      <c r="L102" s="19">
        <f t="shared" si="65"/>
        <v>837.8601000000001</v>
      </c>
      <c r="M102" s="19">
        <f t="shared" si="57"/>
        <v>0</v>
      </c>
      <c r="N102" s="19">
        <f t="shared" si="58"/>
        <v>0</v>
      </c>
      <c r="O102" s="19">
        <f t="shared" si="59"/>
        <v>0</v>
      </c>
      <c r="P102" s="69">
        <f t="shared" si="41"/>
        <v>0</v>
      </c>
      <c r="V102" s="4">
        <v>12.65</v>
      </c>
      <c r="W102" s="4">
        <f t="shared" si="66"/>
        <v>10.499500000000001</v>
      </c>
    </row>
    <row r="103" spans="1:23" ht="28.8" x14ac:dyDescent="0.25">
      <c r="A103" s="14" t="s">
        <v>169</v>
      </c>
      <c r="B103" s="15">
        <v>136289</v>
      </c>
      <c r="C103" s="16" t="s">
        <v>170</v>
      </c>
      <c r="D103" s="17" t="s">
        <v>171</v>
      </c>
      <c r="E103" s="16" t="s">
        <v>28</v>
      </c>
      <c r="F103" s="16" t="s">
        <v>34</v>
      </c>
      <c r="G103" s="18">
        <v>230.06</v>
      </c>
      <c r="H103" s="18">
        <v>0</v>
      </c>
      <c r="I103" s="18"/>
      <c r="J103" s="18">
        <f t="shared" si="56"/>
        <v>0</v>
      </c>
      <c r="K103" s="19">
        <v>32.195700000000002</v>
      </c>
      <c r="L103" s="19">
        <f t="shared" si="65"/>
        <v>7406.9427420000002</v>
      </c>
      <c r="M103" s="19">
        <f t="shared" si="57"/>
        <v>0</v>
      </c>
      <c r="N103" s="19">
        <f t="shared" si="58"/>
        <v>0</v>
      </c>
      <c r="O103" s="19">
        <f t="shared" si="59"/>
        <v>0</v>
      </c>
      <c r="P103" s="69">
        <f t="shared" si="41"/>
        <v>0</v>
      </c>
      <c r="V103" s="4">
        <v>38.79</v>
      </c>
      <c r="W103" s="4">
        <f t="shared" si="66"/>
        <v>32.195700000000002</v>
      </c>
    </row>
    <row r="104" spans="1:23" ht="43.2" x14ac:dyDescent="0.25">
      <c r="A104" s="14" t="s">
        <v>172</v>
      </c>
      <c r="B104" s="15">
        <v>136244</v>
      </c>
      <c r="C104" s="15">
        <v>88423</v>
      </c>
      <c r="D104" s="17" t="s">
        <v>173</v>
      </c>
      <c r="E104" s="16" t="s">
        <v>28</v>
      </c>
      <c r="F104" s="16" t="s">
        <v>34</v>
      </c>
      <c r="G104" s="18">
        <v>2.5299999999999998</v>
      </c>
      <c r="H104" s="18">
        <v>0</v>
      </c>
      <c r="I104" s="18"/>
      <c r="J104" s="18">
        <f t="shared" si="56"/>
        <v>0</v>
      </c>
      <c r="K104" s="19">
        <v>16.060500000000001</v>
      </c>
      <c r="L104" s="19">
        <f t="shared" si="65"/>
        <v>40.633065000000002</v>
      </c>
      <c r="M104" s="19">
        <f t="shared" si="57"/>
        <v>0</v>
      </c>
      <c r="N104" s="19">
        <f t="shared" si="58"/>
        <v>0</v>
      </c>
      <c r="O104" s="19">
        <f t="shared" si="59"/>
        <v>0</v>
      </c>
      <c r="P104" s="69">
        <f t="shared" si="41"/>
        <v>0</v>
      </c>
      <c r="V104" s="4">
        <v>19.350000000000001</v>
      </c>
      <c r="W104" s="4">
        <f t="shared" si="66"/>
        <v>16.060500000000001</v>
      </c>
    </row>
    <row r="105" spans="1:23" ht="28.8" x14ac:dyDescent="0.25">
      <c r="A105" s="14" t="s">
        <v>174</v>
      </c>
      <c r="B105" s="15">
        <v>136255</v>
      </c>
      <c r="C105" s="15">
        <v>88487</v>
      </c>
      <c r="D105" s="17" t="s">
        <v>175</v>
      </c>
      <c r="E105" s="16" t="s">
        <v>28</v>
      </c>
      <c r="F105" s="16" t="s">
        <v>34</v>
      </c>
      <c r="G105" s="18">
        <v>754.61</v>
      </c>
      <c r="H105" s="18">
        <v>0</v>
      </c>
      <c r="I105" s="18"/>
      <c r="J105" s="18">
        <f t="shared" si="56"/>
        <v>0</v>
      </c>
      <c r="K105" s="19">
        <v>11.254799999999999</v>
      </c>
      <c r="L105" s="19">
        <f t="shared" si="65"/>
        <v>8492.9846280000002</v>
      </c>
      <c r="M105" s="19">
        <f t="shared" si="57"/>
        <v>0</v>
      </c>
      <c r="N105" s="19">
        <f t="shared" si="58"/>
        <v>0</v>
      </c>
      <c r="O105" s="19">
        <f t="shared" si="59"/>
        <v>0</v>
      </c>
      <c r="P105" s="69">
        <f t="shared" si="41"/>
        <v>0</v>
      </c>
      <c r="V105" s="4">
        <v>13.56</v>
      </c>
      <c r="W105" s="4">
        <f t="shared" si="66"/>
        <v>11.254799999999999</v>
      </c>
    </row>
    <row r="106" spans="1:23" ht="28.8" x14ac:dyDescent="0.25">
      <c r="A106" s="14" t="s">
        <v>176</v>
      </c>
      <c r="B106" s="15">
        <v>133361</v>
      </c>
      <c r="C106" s="15">
        <v>55960</v>
      </c>
      <c r="D106" s="17" t="s">
        <v>177</v>
      </c>
      <c r="E106" s="16" t="s">
        <v>28</v>
      </c>
      <c r="F106" s="16" t="s">
        <v>34</v>
      </c>
      <c r="G106" s="18">
        <v>1009.28</v>
      </c>
      <c r="H106" s="18">
        <v>0</v>
      </c>
      <c r="I106" s="18"/>
      <c r="J106" s="18">
        <f t="shared" si="56"/>
        <v>0</v>
      </c>
      <c r="K106" s="19">
        <v>4.5484</v>
      </c>
      <c r="L106" s="19">
        <f t="shared" si="65"/>
        <v>4590.609152</v>
      </c>
      <c r="M106" s="19">
        <f t="shared" si="57"/>
        <v>0</v>
      </c>
      <c r="N106" s="19">
        <f t="shared" si="58"/>
        <v>0</v>
      </c>
      <c r="O106" s="19">
        <f t="shared" si="59"/>
        <v>0</v>
      </c>
      <c r="P106" s="69">
        <f t="shared" si="41"/>
        <v>0</v>
      </c>
      <c r="V106" s="4">
        <v>5.48</v>
      </c>
      <c r="W106" s="4">
        <f t="shared" si="66"/>
        <v>4.5484</v>
      </c>
    </row>
    <row r="107" spans="1:23" ht="28.8" x14ac:dyDescent="0.25">
      <c r="A107" s="14" t="s">
        <v>178</v>
      </c>
      <c r="B107" s="15">
        <v>136258</v>
      </c>
      <c r="C107" s="15">
        <v>88494</v>
      </c>
      <c r="D107" s="17" t="s">
        <v>179</v>
      </c>
      <c r="E107" s="16" t="s">
        <v>28</v>
      </c>
      <c r="F107" s="16" t="s">
        <v>34</v>
      </c>
      <c r="G107" s="18">
        <v>572.23</v>
      </c>
      <c r="H107" s="18">
        <v>0</v>
      </c>
      <c r="I107" s="18"/>
      <c r="J107" s="18">
        <f t="shared" si="56"/>
        <v>0</v>
      </c>
      <c r="K107" s="19">
        <v>14.11</v>
      </c>
      <c r="L107" s="19">
        <f t="shared" si="65"/>
        <v>8074.1652999999997</v>
      </c>
      <c r="M107" s="19">
        <f t="shared" si="57"/>
        <v>0</v>
      </c>
      <c r="N107" s="19">
        <f t="shared" si="58"/>
        <v>0</v>
      </c>
      <c r="O107" s="19">
        <f t="shared" si="59"/>
        <v>0</v>
      </c>
      <c r="P107" s="69">
        <f t="shared" si="41"/>
        <v>0</v>
      </c>
      <c r="V107" s="4">
        <v>17</v>
      </c>
      <c r="W107" s="4">
        <f t="shared" si="66"/>
        <v>14.11</v>
      </c>
    </row>
    <row r="108" spans="1:23" ht="28.8" x14ac:dyDescent="0.25">
      <c r="A108" s="14" t="s">
        <v>455</v>
      </c>
      <c r="B108" s="15">
        <v>136254</v>
      </c>
      <c r="C108" s="15">
        <v>88486</v>
      </c>
      <c r="D108" s="17" t="s">
        <v>180</v>
      </c>
      <c r="E108" s="16" t="s">
        <v>28</v>
      </c>
      <c r="F108" s="16" t="s">
        <v>34</v>
      </c>
      <c r="G108" s="18">
        <v>572.23</v>
      </c>
      <c r="H108" s="18">
        <v>0</v>
      </c>
      <c r="I108" s="18"/>
      <c r="J108" s="18">
        <f t="shared" si="56"/>
        <v>0</v>
      </c>
      <c r="K108" s="19">
        <v>12.6492</v>
      </c>
      <c r="L108" s="19">
        <f t="shared" si="65"/>
        <v>7238.2517160000007</v>
      </c>
      <c r="M108" s="19">
        <f t="shared" si="57"/>
        <v>0</v>
      </c>
      <c r="N108" s="19">
        <f t="shared" si="58"/>
        <v>0</v>
      </c>
      <c r="O108" s="19">
        <f t="shared" si="59"/>
        <v>0</v>
      </c>
      <c r="P108" s="69">
        <f t="shared" si="41"/>
        <v>0</v>
      </c>
      <c r="V108" s="4">
        <v>15.24</v>
      </c>
      <c r="W108" s="4">
        <f t="shared" si="66"/>
        <v>12.6492</v>
      </c>
    </row>
    <row r="109" spans="1:23" ht="28.8" x14ac:dyDescent="0.25">
      <c r="A109" s="14" t="s">
        <v>456</v>
      </c>
      <c r="B109" s="15"/>
      <c r="C109" s="15">
        <v>88484</v>
      </c>
      <c r="D109" s="17" t="s">
        <v>457</v>
      </c>
      <c r="E109" s="16" t="s">
        <v>28</v>
      </c>
      <c r="F109" s="16" t="s">
        <v>34</v>
      </c>
      <c r="G109" s="18">
        <v>572.23</v>
      </c>
      <c r="H109" s="18">
        <v>0</v>
      </c>
      <c r="I109" s="18"/>
      <c r="J109" s="18">
        <f t="shared" si="56"/>
        <v>0</v>
      </c>
      <c r="K109" s="19">
        <v>2.46</v>
      </c>
      <c r="L109" s="19">
        <f t="shared" ref="L109:L110" si="67">G109*K109</f>
        <v>1407.6858</v>
      </c>
      <c r="M109" s="19">
        <f t="shared" ref="M109:M110" si="68">H109*K109</f>
        <v>0</v>
      </c>
      <c r="N109" s="19">
        <f t="shared" ref="N109:N110" si="69">I109*K109</f>
        <v>0</v>
      </c>
      <c r="O109" s="19">
        <f t="shared" ref="O109:O110" si="70">J109*K109</f>
        <v>0</v>
      </c>
      <c r="P109" s="69">
        <f t="shared" si="41"/>
        <v>0</v>
      </c>
    </row>
    <row r="110" spans="1:23" ht="28.8" x14ac:dyDescent="0.25">
      <c r="A110" s="14" t="s">
        <v>458</v>
      </c>
      <c r="B110" s="15"/>
      <c r="C110" s="15">
        <v>88497</v>
      </c>
      <c r="D110" s="17" t="s">
        <v>459</v>
      </c>
      <c r="E110" s="16" t="s">
        <v>28</v>
      </c>
      <c r="F110" s="16" t="s">
        <v>34</v>
      </c>
      <c r="G110" s="18">
        <v>754.61</v>
      </c>
      <c r="H110" s="18">
        <v>0</v>
      </c>
      <c r="I110" s="18"/>
      <c r="J110" s="18">
        <f t="shared" si="56"/>
        <v>0</v>
      </c>
      <c r="K110" s="19">
        <v>10.23</v>
      </c>
      <c r="L110" s="19">
        <f t="shared" si="67"/>
        <v>7719.6603000000005</v>
      </c>
      <c r="M110" s="19">
        <f t="shared" si="68"/>
        <v>0</v>
      </c>
      <c r="N110" s="19">
        <f t="shared" si="69"/>
        <v>0</v>
      </c>
      <c r="O110" s="19">
        <f t="shared" si="70"/>
        <v>0</v>
      </c>
      <c r="P110" s="69">
        <f t="shared" si="41"/>
        <v>0</v>
      </c>
    </row>
    <row r="111" spans="1:23" x14ac:dyDescent="0.25">
      <c r="A111" s="10" t="s">
        <v>181</v>
      </c>
      <c r="B111" s="9"/>
      <c r="C111" s="9"/>
      <c r="D111" s="11"/>
      <c r="E111" s="9"/>
      <c r="F111" s="9"/>
      <c r="G111" s="12"/>
      <c r="H111" s="12"/>
      <c r="I111" s="12"/>
      <c r="J111" s="18"/>
      <c r="K111" s="13"/>
      <c r="L111" s="13">
        <f>SUM(L112:L121)</f>
        <v>103932.58671999999</v>
      </c>
      <c r="M111" s="13">
        <f t="shared" ref="M111:O111" si="71">SUM(M112:M121)</f>
        <v>0</v>
      </c>
      <c r="N111" s="13">
        <f t="shared" si="71"/>
        <v>0</v>
      </c>
      <c r="O111" s="13">
        <f t="shared" si="71"/>
        <v>0</v>
      </c>
      <c r="P111" s="69">
        <f t="shared" si="41"/>
        <v>0</v>
      </c>
    </row>
    <row r="112" spans="1:23" ht="28.8" x14ac:dyDescent="0.25">
      <c r="A112" s="14" t="s">
        <v>182</v>
      </c>
      <c r="B112" s="15">
        <v>148340</v>
      </c>
      <c r="C112" s="16"/>
      <c r="D112" s="17" t="s">
        <v>183</v>
      </c>
      <c r="E112" s="16" t="s">
        <v>28</v>
      </c>
      <c r="F112" s="16" t="s">
        <v>57</v>
      </c>
      <c r="G112" s="18">
        <v>53.58</v>
      </c>
      <c r="H112" s="18">
        <v>0</v>
      </c>
      <c r="I112" s="18"/>
      <c r="J112" s="18">
        <f t="shared" si="56"/>
        <v>0</v>
      </c>
      <c r="K112" s="19">
        <v>244.5429</v>
      </c>
      <c r="L112" s="19">
        <f t="shared" ref="L112:L121" si="72">G112*K112</f>
        <v>13102.608581999999</v>
      </c>
      <c r="M112" s="19">
        <f t="shared" si="57"/>
        <v>0</v>
      </c>
      <c r="N112" s="19">
        <f t="shared" si="58"/>
        <v>0</v>
      </c>
      <c r="O112" s="19">
        <f t="shared" si="59"/>
        <v>0</v>
      </c>
      <c r="P112" s="69">
        <f t="shared" si="41"/>
        <v>0</v>
      </c>
      <c r="V112" s="4">
        <v>294.63</v>
      </c>
      <c r="W112" s="4">
        <f t="shared" ref="W112:W121" si="73">V112-V112*$R$5</f>
        <v>244.5429</v>
      </c>
    </row>
    <row r="113" spans="1:23" ht="43.2" x14ac:dyDescent="0.25">
      <c r="A113" s="14" t="s">
        <v>184</v>
      </c>
      <c r="B113" s="15">
        <v>161761</v>
      </c>
      <c r="C113" s="16"/>
      <c r="D113" s="17" t="s">
        <v>185</v>
      </c>
      <c r="E113" s="16" t="s">
        <v>15</v>
      </c>
      <c r="F113" s="16" t="s">
        <v>34</v>
      </c>
      <c r="G113" s="18">
        <v>45.74</v>
      </c>
      <c r="H113" s="18">
        <v>0</v>
      </c>
      <c r="I113" s="18"/>
      <c r="J113" s="18">
        <f t="shared" si="56"/>
        <v>0</v>
      </c>
      <c r="K113" s="19">
        <v>21.654699999999998</v>
      </c>
      <c r="L113" s="19">
        <f t="shared" si="72"/>
        <v>990.48597799999993</v>
      </c>
      <c r="M113" s="19">
        <f t="shared" si="57"/>
        <v>0</v>
      </c>
      <c r="N113" s="19">
        <f t="shared" si="58"/>
        <v>0</v>
      </c>
      <c r="O113" s="19">
        <f t="shared" si="59"/>
        <v>0</v>
      </c>
      <c r="P113" s="69">
        <f t="shared" si="41"/>
        <v>0</v>
      </c>
      <c r="V113" s="4">
        <v>26.09</v>
      </c>
      <c r="W113" s="4">
        <f t="shared" si="73"/>
        <v>21.654699999999998</v>
      </c>
    </row>
    <row r="114" spans="1:23" ht="43.2" x14ac:dyDescent="0.25">
      <c r="A114" s="14" t="s">
        <v>186</v>
      </c>
      <c r="B114" s="15">
        <v>161754</v>
      </c>
      <c r="C114" s="16"/>
      <c r="D114" s="17" t="s">
        <v>187</v>
      </c>
      <c r="E114" s="16" t="s">
        <v>28</v>
      </c>
      <c r="F114" s="16" t="s">
        <v>34</v>
      </c>
      <c r="G114" s="18">
        <v>45.74</v>
      </c>
      <c r="H114" s="18">
        <v>0</v>
      </c>
      <c r="I114" s="18"/>
      <c r="J114" s="18">
        <f t="shared" si="56"/>
        <v>0</v>
      </c>
      <c r="K114" s="19">
        <v>46.106499999999997</v>
      </c>
      <c r="L114" s="19">
        <f t="shared" si="72"/>
        <v>2108.91131</v>
      </c>
      <c r="M114" s="19">
        <f t="shared" si="57"/>
        <v>0</v>
      </c>
      <c r="N114" s="19">
        <f t="shared" si="58"/>
        <v>0</v>
      </c>
      <c r="O114" s="19">
        <f t="shared" si="59"/>
        <v>0</v>
      </c>
      <c r="P114" s="69">
        <f t="shared" si="41"/>
        <v>0</v>
      </c>
      <c r="V114" s="4">
        <v>55.55</v>
      </c>
      <c r="W114" s="4">
        <f t="shared" si="73"/>
        <v>46.106499999999997</v>
      </c>
    </row>
    <row r="115" spans="1:23" ht="43.2" x14ac:dyDescent="0.25">
      <c r="A115" s="14" t="s">
        <v>188</v>
      </c>
      <c r="B115" s="15">
        <v>161085</v>
      </c>
      <c r="C115" s="16" t="s">
        <v>189</v>
      </c>
      <c r="D115" s="17" t="s">
        <v>190</v>
      </c>
      <c r="E115" s="16" t="s">
        <v>28</v>
      </c>
      <c r="F115" s="16" t="s">
        <v>34</v>
      </c>
      <c r="G115" s="18">
        <v>515.01</v>
      </c>
      <c r="H115" s="18">
        <v>0</v>
      </c>
      <c r="I115" s="18"/>
      <c r="J115" s="18">
        <f t="shared" si="56"/>
        <v>0</v>
      </c>
      <c r="K115" s="19">
        <v>95.557899999999989</v>
      </c>
      <c r="L115" s="19">
        <f t="shared" si="72"/>
        <v>49213.274078999995</v>
      </c>
      <c r="M115" s="19">
        <f t="shared" si="57"/>
        <v>0</v>
      </c>
      <c r="N115" s="19">
        <f t="shared" si="58"/>
        <v>0</v>
      </c>
      <c r="O115" s="19">
        <f t="shared" si="59"/>
        <v>0</v>
      </c>
      <c r="P115" s="69">
        <f t="shared" si="41"/>
        <v>0</v>
      </c>
      <c r="V115" s="4">
        <v>115.13</v>
      </c>
      <c r="W115" s="4">
        <f t="shared" si="73"/>
        <v>95.557899999999989</v>
      </c>
    </row>
    <row r="116" spans="1:23" ht="28.8" x14ac:dyDescent="0.25">
      <c r="A116" s="14" t="s">
        <v>191</v>
      </c>
      <c r="B116" s="15">
        <v>162295</v>
      </c>
      <c r="C116" s="16"/>
      <c r="D116" s="17" t="s">
        <v>192</v>
      </c>
      <c r="E116" s="16" t="s">
        <v>28</v>
      </c>
      <c r="F116" s="16" t="s">
        <v>34</v>
      </c>
      <c r="G116" s="18">
        <v>515.01</v>
      </c>
      <c r="H116" s="18">
        <v>0</v>
      </c>
      <c r="I116" s="18"/>
      <c r="J116" s="18">
        <f t="shared" si="56"/>
        <v>0</v>
      </c>
      <c r="K116" s="19">
        <v>16.110299999999999</v>
      </c>
      <c r="L116" s="19">
        <f t="shared" si="72"/>
        <v>8296.9656029999987</v>
      </c>
      <c r="M116" s="19">
        <f t="shared" si="57"/>
        <v>0</v>
      </c>
      <c r="N116" s="19">
        <f t="shared" si="58"/>
        <v>0</v>
      </c>
      <c r="O116" s="19">
        <f t="shared" si="59"/>
        <v>0</v>
      </c>
      <c r="P116" s="69">
        <f t="shared" si="41"/>
        <v>0</v>
      </c>
      <c r="V116" s="4">
        <v>19.41</v>
      </c>
      <c r="W116" s="4">
        <f t="shared" si="73"/>
        <v>16.110299999999999</v>
      </c>
    </row>
    <row r="117" spans="1:23" x14ac:dyDescent="0.25">
      <c r="A117" s="14" t="s">
        <v>193</v>
      </c>
      <c r="B117" s="15">
        <v>161037</v>
      </c>
      <c r="C117" s="16"/>
      <c r="D117" s="17" t="s">
        <v>194</v>
      </c>
      <c r="E117" s="16" t="s">
        <v>15</v>
      </c>
      <c r="F117" s="16" t="s">
        <v>86</v>
      </c>
      <c r="G117" s="18">
        <v>165.62</v>
      </c>
      <c r="H117" s="18">
        <v>0</v>
      </c>
      <c r="I117" s="18"/>
      <c r="J117" s="18">
        <f t="shared" si="56"/>
        <v>0</v>
      </c>
      <c r="K117" s="19">
        <v>101.54220000000001</v>
      </c>
      <c r="L117" s="19">
        <f t="shared" si="72"/>
        <v>16817.419164000003</v>
      </c>
      <c r="M117" s="19">
        <f t="shared" si="57"/>
        <v>0</v>
      </c>
      <c r="N117" s="19">
        <f t="shared" si="58"/>
        <v>0</v>
      </c>
      <c r="O117" s="19">
        <f t="shared" si="59"/>
        <v>0</v>
      </c>
      <c r="P117" s="69">
        <f t="shared" si="41"/>
        <v>0</v>
      </c>
      <c r="V117" s="4">
        <v>122.34</v>
      </c>
      <c r="W117" s="4">
        <f t="shared" si="73"/>
        <v>101.54220000000001</v>
      </c>
    </row>
    <row r="118" spans="1:23" ht="57.6" x14ac:dyDescent="0.25">
      <c r="A118" s="14" t="s">
        <v>195</v>
      </c>
      <c r="B118" s="15">
        <v>147444</v>
      </c>
      <c r="C118" s="15">
        <v>94992</v>
      </c>
      <c r="D118" s="17" t="s">
        <v>196</v>
      </c>
      <c r="E118" s="16" t="s">
        <v>28</v>
      </c>
      <c r="F118" s="16" t="s">
        <v>34</v>
      </c>
      <c r="G118" s="18">
        <v>113.78</v>
      </c>
      <c r="H118" s="18">
        <v>0</v>
      </c>
      <c r="I118" s="18"/>
      <c r="J118" s="18">
        <f t="shared" si="56"/>
        <v>0</v>
      </c>
      <c r="K118" s="19">
        <v>70.101799999999997</v>
      </c>
      <c r="L118" s="19">
        <f t="shared" si="72"/>
        <v>7976.182804</v>
      </c>
      <c r="M118" s="19">
        <f t="shared" si="57"/>
        <v>0</v>
      </c>
      <c r="N118" s="19">
        <f t="shared" si="58"/>
        <v>0</v>
      </c>
      <c r="O118" s="19">
        <f t="shared" si="59"/>
        <v>0</v>
      </c>
      <c r="P118" s="69">
        <f t="shared" si="41"/>
        <v>0</v>
      </c>
      <c r="V118" s="4">
        <v>84.46</v>
      </c>
      <c r="W118" s="4">
        <f t="shared" si="73"/>
        <v>70.101799999999997</v>
      </c>
    </row>
    <row r="119" spans="1:23" ht="43.2" x14ac:dyDescent="0.25">
      <c r="A119" s="14" t="s">
        <v>197</v>
      </c>
      <c r="B119" s="15">
        <v>136198</v>
      </c>
      <c r="C119" s="15">
        <v>92396</v>
      </c>
      <c r="D119" s="17" t="s">
        <v>198</v>
      </c>
      <c r="E119" s="16" t="s">
        <v>28</v>
      </c>
      <c r="F119" s="16" t="s">
        <v>34</v>
      </c>
      <c r="G119" s="18">
        <v>101</v>
      </c>
      <c r="H119" s="18">
        <v>0</v>
      </c>
      <c r="I119" s="18"/>
      <c r="J119" s="18">
        <f t="shared" si="56"/>
        <v>0</v>
      </c>
      <c r="K119" s="19">
        <v>50.953699999999998</v>
      </c>
      <c r="L119" s="19">
        <f t="shared" si="72"/>
        <v>5146.3236999999999</v>
      </c>
      <c r="M119" s="19">
        <f t="shared" si="57"/>
        <v>0</v>
      </c>
      <c r="N119" s="19">
        <f t="shared" si="58"/>
        <v>0</v>
      </c>
      <c r="O119" s="19">
        <f t="shared" si="59"/>
        <v>0</v>
      </c>
      <c r="P119" s="69">
        <f t="shared" si="41"/>
        <v>0</v>
      </c>
      <c r="V119" s="4">
        <v>61.39</v>
      </c>
      <c r="W119" s="4">
        <f t="shared" si="73"/>
        <v>50.953699999999998</v>
      </c>
    </row>
    <row r="120" spans="1:23" ht="72" x14ac:dyDescent="0.25">
      <c r="A120" s="14" t="s">
        <v>199</v>
      </c>
      <c r="B120" s="15">
        <v>161981</v>
      </c>
      <c r="C120" s="16"/>
      <c r="D120" s="17" t="s">
        <v>200</v>
      </c>
      <c r="E120" s="16" t="s">
        <v>28</v>
      </c>
      <c r="F120" s="16" t="s">
        <v>16</v>
      </c>
      <c r="G120" s="18">
        <v>1</v>
      </c>
      <c r="H120" s="18">
        <v>0</v>
      </c>
      <c r="I120" s="18"/>
      <c r="J120" s="18">
        <f t="shared" si="56"/>
        <v>0</v>
      </c>
      <c r="K120" s="19">
        <v>280.41550000000001</v>
      </c>
      <c r="L120" s="19">
        <f t="shared" si="72"/>
        <v>280.41550000000001</v>
      </c>
      <c r="M120" s="19">
        <f t="shared" si="57"/>
        <v>0</v>
      </c>
      <c r="N120" s="19">
        <f t="shared" si="58"/>
        <v>0</v>
      </c>
      <c r="O120" s="19">
        <f t="shared" si="59"/>
        <v>0</v>
      </c>
      <c r="P120" s="69">
        <f t="shared" si="41"/>
        <v>0</v>
      </c>
      <c r="V120" s="4">
        <v>337.85</v>
      </c>
      <c r="W120" s="4">
        <f t="shared" si="73"/>
        <v>280.41550000000001</v>
      </c>
    </row>
    <row r="121" spans="1:23" ht="43.2" x14ac:dyDescent="0.25">
      <c r="A121" s="14" t="s">
        <v>460</v>
      </c>
      <c r="B121" s="15">
        <v>164090</v>
      </c>
      <c r="C121" s="16"/>
      <c r="D121" s="17" t="s">
        <v>201</v>
      </c>
      <c r="E121" s="16" t="s">
        <v>28</v>
      </c>
      <c r="F121" s="16" t="s">
        <v>34</v>
      </c>
      <c r="G121" s="18">
        <v>0</v>
      </c>
      <c r="H121" s="18">
        <v>0</v>
      </c>
      <c r="I121" s="18"/>
      <c r="J121" s="18">
        <f t="shared" si="56"/>
        <v>0</v>
      </c>
      <c r="K121" s="19">
        <v>17.454900000000002</v>
      </c>
      <c r="L121" s="19">
        <f t="shared" si="72"/>
        <v>0</v>
      </c>
      <c r="M121" s="19">
        <f t="shared" si="57"/>
        <v>0</v>
      </c>
      <c r="N121" s="19">
        <f t="shared" si="58"/>
        <v>0</v>
      </c>
      <c r="O121" s="19">
        <f t="shared" si="59"/>
        <v>0</v>
      </c>
      <c r="P121" s="69" t="str">
        <f t="shared" si="41"/>
        <v/>
      </c>
      <c r="V121" s="4">
        <v>21.03</v>
      </c>
      <c r="W121" s="4">
        <f t="shared" si="73"/>
        <v>17.454900000000002</v>
      </c>
    </row>
    <row r="122" spans="1:23" x14ac:dyDescent="0.25">
      <c r="A122" s="10" t="s">
        <v>202</v>
      </c>
      <c r="B122" s="9"/>
      <c r="C122" s="9"/>
      <c r="D122" s="11"/>
      <c r="E122" s="9"/>
      <c r="F122" s="9"/>
      <c r="G122" s="12"/>
      <c r="H122" s="12"/>
      <c r="I122" s="12"/>
      <c r="J122" s="18"/>
      <c r="K122" s="13"/>
      <c r="L122" s="13">
        <f>SUM(L123:L152)</f>
        <v>30604.282899999998</v>
      </c>
      <c r="M122" s="13">
        <f t="shared" ref="M122:O122" si="74">SUM(M123:M152)</f>
        <v>0</v>
      </c>
      <c r="N122" s="13">
        <f t="shared" si="74"/>
        <v>0</v>
      </c>
      <c r="O122" s="13">
        <f t="shared" si="74"/>
        <v>0</v>
      </c>
      <c r="P122" s="69">
        <f t="shared" si="41"/>
        <v>0</v>
      </c>
    </row>
    <row r="123" spans="1:23" ht="57.6" x14ac:dyDescent="0.25">
      <c r="A123" s="14" t="s">
        <v>203</v>
      </c>
      <c r="B123" s="15">
        <v>134890</v>
      </c>
      <c r="C123" s="15">
        <v>91787</v>
      </c>
      <c r="D123" s="17" t="s">
        <v>204</v>
      </c>
      <c r="E123" s="16" t="s">
        <v>28</v>
      </c>
      <c r="F123" s="16" t="s">
        <v>86</v>
      </c>
      <c r="G123" s="18">
        <v>12</v>
      </c>
      <c r="H123" s="18">
        <v>0</v>
      </c>
      <c r="I123" s="18"/>
      <c r="J123" s="18">
        <f t="shared" si="56"/>
        <v>0</v>
      </c>
      <c r="K123" s="19">
        <v>30.087499999999999</v>
      </c>
      <c r="L123" s="19">
        <f t="shared" ref="L123:L152" si="75">G123*K123</f>
        <v>361.04999999999995</v>
      </c>
      <c r="M123" s="19">
        <f t="shared" si="57"/>
        <v>0</v>
      </c>
      <c r="N123" s="19">
        <f t="shared" si="58"/>
        <v>0</v>
      </c>
      <c r="O123" s="19">
        <f t="shared" si="59"/>
        <v>0</v>
      </c>
      <c r="P123" s="69">
        <f t="shared" si="41"/>
        <v>0</v>
      </c>
      <c r="V123" s="4">
        <v>36.25</v>
      </c>
      <c r="W123" s="4">
        <f t="shared" ref="W123:W152" si="76">V123-V123*$R$5</f>
        <v>30.087499999999999</v>
      </c>
    </row>
    <row r="124" spans="1:23" ht="72" x14ac:dyDescent="0.25">
      <c r="A124" s="14" t="s">
        <v>205</v>
      </c>
      <c r="B124" s="15">
        <v>134889</v>
      </c>
      <c r="C124" s="15">
        <v>91786</v>
      </c>
      <c r="D124" s="17" t="s">
        <v>206</v>
      </c>
      <c r="E124" s="16" t="s">
        <v>28</v>
      </c>
      <c r="F124" s="16" t="s">
        <v>86</v>
      </c>
      <c r="G124" s="18">
        <v>12</v>
      </c>
      <c r="H124" s="18">
        <v>0</v>
      </c>
      <c r="I124" s="18"/>
      <c r="J124" s="18">
        <f t="shared" si="56"/>
        <v>0</v>
      </c>
      <c r="K124" s="19">
        <v>24.609499999999997</v>
      </c>
      <c r="L124" s="19">
        <f t="shared" si="75"/>
        <v>295.31399999999996</v>
      </c>
      <c r="M124" s="19">
        <f t="shared" si="57"/>
        <v>0</v>
      </c>
      <c r="N124" s="19">
        <f t="shared" si="58"/>
        <v>0</v>
      </c>
      <c r="O124" s="19">
        <f t="shared" si="59"/>
        <v>0</v>
      </c>
      <c r="P124" s="69">
        <f t="shared" si="41"/>
        <v>0</v>
      </c>
      <c r="V124" s="4">
        <v>29.65</v>
      </c>
      <c r="W124" s="4">
        <f t="shared" si="76"/>
        <v>24.609499999999997</v>
      </c>
    </row>
    <row r="125" spans="1:23" ht="72" x14ac:dyDescent="0.25">
      <c r="A125" s="14" t="s">
        <v>207</v>
      </c>
      <c r="B125" s="15">
        <v>134888</v>
      </c>
      <c r="C125" s="15">
        <v>91785</v>
      </c>
      <c r="D125" s="17" t="s">
        <v>208</v>
      </c>
      <c r="E125" s="16" t="s">
        <v>28</v>
      </c>
      <c r="F125" s="16" t="s">
        <v>86</v>
      </c>
      <c r="G125" s="18">
        <v>18</v>
      </c>
      <c r="H125" s="18">
        <v>0</v>
      </c>
      <c r="I125" s="18"/>
      <c r="J125" s="18">
        <f t="shared" si="56"/>
        <v>0</v>
      </c>
      <c r="K125" s="19">
        <v>31.8886</v>
      </c>
      <c r="L125" s="19">
        <f t="shared" si="75"/>
        <v>573.99480000000005</v>
      </c>
      <c r="M125" s="19">
        <f t="shared" si="57"/>
        <v>0</v>
      </c>
      <c r="N125" s="19">
        <f t="shared" si="58"/>
        <v>0</v>
      </c>
      <c r="O125" s="19">
        <f t="shared" si="59"/>
        <v>0</v>
      </c>
      <c r="P125" s="69">
        <f t="shared" si="41"/>
        <v>0</v>
      </c>
      <c r="V125" s="4">
        <v>38.42</v>
      </c>
      <c r="W125" s="4">
        <f t="shared" si="76"/>
        <v>31.8886</v>
      </c>
    </row>
    <row r="126" spans="1:23" ht="28.8" x14ac:dyDescent="0.25">
      <c r="A126" s="14" t="s">
        <v>209</v>
      </c>
      <c r="B126" s="15">
        <v>149178</v>
      </c>
      <c r="C126" s="16"/>
      <c r="D126" s="17" t="s">
        <v>210</v>
      </c>
      <c r="E126" s="16" t="s">
        <v>28</v>
      </c>
      <c r="F126" s="16" t="s">
        <v>86</v>
      </c>
      <c r="G126" s="18">
        <v>12</v>
      </c>
      <c r="H126" s="18">
        <v>0</v>
      </c>
      <c r="I126" s="18"/>
      <c r="J126" s="18">
        <f t="shared" si="56"/>
        <v>0</v>
      </c>
      <c r="K126" s="19">
        <v>27.107799999999997</v>
      </c>
      <c r="L126" s="19">
        <f t="shared" si="75"/>
        <v>325.29359999999997</v>
      </c>
      <c r="M126" s="19">
        <f t="shared" si="57"/>
        <v>0</v>
      </c>
      <c r="N126" s="19">
        <f t="shared" si="58"/>
        <v>0</v>
      </c>
      <c r="O126" s="19">
        <f t="shared" si="59"/>
        <v>0</v>
      </c>
      <c r="P126" s="69">
        <f t="shared" si="41"/>
        <v>0</v>
      </c>
      <c r="V126" s="4">
        <v>32.659999999999997</v>
      </c>
      <c r="W126" s="4">
        <f t="shared" si="76"/>
        <v>27.107799999999997</v>
      </c>
    </row>
    <row r="127" spans="1:23" ht="57.6" x14ac:dyDescent="0.25">
      <c r="A127" s="14" t="s">
        <v>211</v>
      </c>
      <c r="B127" s="15">
        <v>135586</v>
      </c>
      <c r="C127" s="15">
        <v>89957</v>
      </c>
      <c r="D127" s="17" t="s">
        <v>212</v>
      </c>
      <c r="E127" s="16" t="s">
        <v>28</v>
      </c>
      <c r="F127" s="16" t="s">
        <v>16</v>
      </c>
      <c r="G127" s="18">
        <v>19</v>
      </c>
      <c r="H127" s="18">
        <v>0</v>
      </c>
      <c r="I127" s="18"/>
      <c r="J127" s="18">
        <f t="shared" si="56"/>
        <v>0</v>
      </c>
      <c r="K127" s="19">
        <v>101.69159999999999</v>
      </c>
      <c r="L127" s="19">
        <f t="shared" si="75"/>
        <v>1932.1403999999998</v>
      </c>
      <c r="M127" s="19">
        <f t="shared" si="57"/>
        <v>0</v>
      </c>
      <c r="N127" s="19">
        <f t="shared" si="58"/>
        <v>0</v>
      </c>
      <c r="O127" s="19">
        <f t="shared" si="59"/>
        <v>0</v>
      </c>
      <c r="P127" s="69">
        <f t="shared" si="41"/>
        <v>0</v>
      </c>
      <c r="V127" s="4">
        <v>122.52</v>
      </c>
      <c r="W127" s="4">
        <f t="shared" si="76"/>
        <v>101.69159999999999</v>
      </c>
    </row>
    <row r="128" spans="1:23" ht="28.8" x14ac:dyDescent="0.25">
      <c r="A128" s="14" t="s">
        <v>213</v>
      </c>
      <c r="B128" s="15">
        <v>147329</v>
      </c>
      <c r="C128" s="15">
        <v>94796</v>
      </c>
      <c r="D128" s="17" t="s">
        <v>214</v>
      </c>
      <c r="E128" s="16" t="s">
        <v>28</v>
      </c>
      <c r="F128" s="16" t="s">
        <v>16</v>
      </c>
      <c r="G128" s="18">
        <v>2</v>
      </c>
      <c r="H128" s="18">
        <v>0</v>
      </c>
      <c r="I128" s="18"/>
      <c r="J128" s="18">
        <f t="shared" si="56"/>
        <v>0</v>
      </c>
      <c r="K128" s="19">
        <v>27.082900000000002</v>
      </c>
      <c r="L128" s="19">
        <f t="shared" si="75"/>
        <v>54.165800000000004</v>
      </c>
      <c r="M128" s="19">
        <f t="shared" si="57"/>
        <v>0</v>
      </c>
      <c r="N128" s="19">
        <f t="shared" si="58"/>
        <v>0</v>
      </c>
      <c r="O128" s="19">
        <f t="shared" si="59"/>
        <v>0</v>
      </c>
      <c r="P128" s="69">
        <f t="shared" si="41"/>
        <v>0</v>
      </c>
      <c r="V128" s="4">
        <v>32.630000000000003</v>
      </c>
      <c r="W128" s="4">
        <f t="shared" si="76"/>
        <v>27.082900000000002</v>
      </c>
    </row>
    <row r="129" spans="1:23" ht="72" x14ac:dyDescent="0.25">
      <c r="A129" s="14" t="s">
        <v>215</v>
      </c>
      <c r="B129" s="15">
        <v>164456</v>
      </c>
      <c r="C129" s="16"/>
      <c r="D129" s="17" t="s">
        <v>216</v>
      </c>
      <c r="E129" s="16" t="s">
        <v>28</v>
      </c>
      <c r="F129" s="16" t="s">
        <v>16</v>
      </c>
      <c r="G129" s="18">
        <v>1</v>
      </c>
      <c r="H129" s="18">
        <v>0</v>
      </c>
      <c r="I129" s="18"/>
      <c r="J129" s="18">
        <f t="shared" si="56"/>
        <v>0</v>
      </c>
      <c r="K129" s="19">
        <v>11913.5378</v>
      </c>
      <c r="L129" s="19">
        <f t="shared" si="75"/>
        <v>11913.5378</v>
      </c>
      <c r="M129" s="19">
        <f t="shared" si="57"/>
        <v>0</v>
      </c>
      <c r="N129" s="19">
        <f t="shared" si="58"/>
        <v>0</v>
      </c>
      <c r="O129" s="19">
        <f t="shared" si="59"/>
        <v>0</v>
      </c>
      <c r="P129" s="69">
        <f t="shared" si="41"/>
        <v>0</v>
      </c>
      <c r="V129" s="4">
        <v>14353.66</v>
      </c>
      <c r="W129" s="4">
        <f t="shared" si="76"/>
        <v>11913.5378</v>
      </c>
    </row>
    <row r="130" spans="1:23" ht="43.2" x14ac:dyDescent="0.25">
      <c r="A130" s="14" t="s">
        <v>217</v>
      </c>
      <c r="B130" s="15">
        <v>135566</v>
      </c>
      <c r="C130" s="15">
        <v>86931</v>
      </c>
      <c r="D130" s="17" t="s">
        <v>218</v>
      </c>
      <c r="E130" s="16" t="s">
        <v>28</v>
      </c>
      <c r="F130" s="16" t="s">
        <v>16</v>
      </c>
      <c r="G130" s="18">
        <v>3</v>
      </c>
      <c r="H130" s="18">
        <v>0</v>
      </c>
      <c r="I130" s="18"/>
      <c r="J130" s="18">
        <f t="shared" si="56"/>
        <v>0</v>
      </c>
      <c r="K130" s="19">
        <v>432.35529999999994</v>
      </c>
      <c r="L130" s="19">
        <f t="shared" si="75"/>
        <v>1297.0658999999998</v>
      </c>
      <c r="M130" s="19">
        <f t="shared" si="57"/>
        <v>0</v>
      </c>
      <c r="N130" s="19">
        <f t="shared" si="58"/>
        <v>0</v>
      </c>
      <c r="O130" s="19">
        <f t="shared" si="59"/>
        <v>0</v>
      </c>
      <c r="P130" s="69">
        <f t="shared" si="41"/>
        <v>0</v>
      </c>
      <c r="V130" s="4">
        <v>520.91</v>
      </c>
      <c r="W130" s="4">
        <f t="shared" si="76"/>
        <v>432.35529999999994</v>
      </c>
    </row>
    <row r="131" spans="1:23" ht="86.4" x14ac:dyDescent="0.25">
      <c r="A131" s="14" t="s">
        <v>219</v>
      </c>
      <c r="B131" s="15">
        <v>162011</v>
      </c>
      <c r="C131" s="16" t="s">
        <v>220</v>
      </c>
      <c r="D131" s="17" t="s">
        <v>221</v>
      </c>
      <c r="E131" s="16" t="s">
        <v>15</v>
      </c>
      <c r="F131" s="16" t="s">
        <v>16</v>
      </c>
      <c r="G131" s="18">
        <v>2</v>
      </c>
      <c r="H131" s="18">
        <v>0</v>
      </c>
      <c r="I131" s="18"/>
      <c r="J131" s="18">
        <f t="shared" si="56"/>
        <v>0</v>
      </c>
      <c r="K131" s="19">
        <v>1250.7270000000001</v>
      </c>
      <c r="L131" s="19">
        <f t="shared" si="75"/>
        <v>2501.4540000000002</v>
      </c>
      <c r="M131" s="19">
        <f t="shared" si="57"/>
        <v>0</v>
      </c>
      <c r="N131" s="19">
        <f t="shared" si="58"/>
        <v>0</v>
      </c>
      <c r="O131" s="19">
        <f t="shared" si="59"/>
        <v>0</v>
      </c>
      <c r="P131" s="69">
        <f t="shared" si="41"/>
        <v>0</v>
      </c>
      <c r="V131" s="4">
        <v>1506.9</v>
      </c>
      <c r="W131" s="4">
        <f t="shared" si="76"/>
        <v>1250.7270000000001</v>
      </c>
    </row>
    <row r="132" spans="1:23" ht="57.6" x14ac:dyDescent="0.25">
      <c r="A132" s="14" t="s">
        <v>461</v>
      </c>
      <c r="B132" s="15">
        <v>135519</v>
      </c>
      <c r="C132" s="16" t="s">
        <v>222</v>
      </c>
      <c r="D132" s="17" t="s">
        <v>223</v>
      </c>
      <c r="E132" s="16" t="s">
        <v>28</v>
      </c>
      <c r="F132" s="16" t="s">
        <v>16</v>
      </c>
      <c r="G132" s="18">
        <v>0</v>
      </c>
      <c r="H132" s="18">
        <v>0</v>
      </c>
      <c r="I132" s="18"/>
      <c r="J132" s="18">
        <f t="shared" si="56"/>
        <v>0</v>
      </c>
      <c r="K132" s="19">
        <v>537.61590000000001</v>
      </c>
      <c r="L132" s="19">
        <f t="shared" si="75"/>
        <v>0</v>
      </c>
      <c r="M132" s="19">
        <f t="shared" si="57"/>
        <v>0</v>
      </c>
      <c r="N132" s="19">
        <f t="shared" si="58"/>
        <v>0</v>
      </c>
      <c r="O132" s="19">
        <f t="shared" si="59"/>
        <v>0</v>
      </c>
      <c r="P132" s="69" t="str">
        <f t="shared" si="41"/>
        <v/>
      </c>
      <c r="V132" s="4">
        <v>647.73</v>
      </c>
      <c r="W132" s="4">
        <f t="shared" si="76"/>
        <v>537.61590000000001</v>
      </c>
    </row>
    <row r="133" spans="1:23" ht="57.6" x14ac:dyDescent="0.25">
      <c r="A133" s="14" t="s">
        <v>462</v>
      </c>
      <c r="B133" s="15">
        <v>161825</v>
      </c>
      <c r="C133" s="16"/>
      <c r="D133" s="17" t="s">
        <v>224</v>
      </c>
      <c r="E133" s="16" t="s">
        <v>28</v>
      </c>
      <c r="F133" s="16" t="s">
        <v>16</v>
      </c>
      <c r="G133" s="18">
        <v>5</v>
      </c>
      <c r="H133" s="18">
        <v>0</v>
      </c>
      <c r="I133" s="18"/>
      <c r="J133" s="18">
        <f t="shared" si="56"/>
        <v>0</v>
      </c>
      <c r="K133" s="19">
        <v>187.38079999999999</v>
      </c>
      <c r="L133" s="19">
        <f t="shared" si="75"/>
        <v>936.904</v>
      </c>
      <c r="M133" s="19">
        <f t="shared" si="57"/>
        <v>0</v>
      </c>
      <c r="N133" s="19">
        <f t="shared" si="58"/>
        <v>0</v>
      </c>
      <c r="O133" s="19">
        <f t="shared" si="59"/>
        <v>0</v>
      </c>
      <c r="P133" s="69">
        <f t="shared" si="41"/>
        <v>0</v>
      </c>
      <c r="V133" s="4">
        <v>225.76</v>
      </c>
      <c r="W133" s="4">
        <f t="shared" si="76"/>
        <v>187.38079999999999</v>
      </c>
    </row>
    <row r="134" spans="1:23" ht="43.2" x14ac:dyDescent="0.25">
      <c r="A134" s="14" t="s">
        <v>463</v>
      </c>
      <c r="B134" s="15">
        <v>161826</v>
      </c>
      <c r="C134" s="16"/>
      <c r="D134" s="17" t="s">
        <v>225</v>
      </c>
      <c r="E134" s="16" t="s">
        <v>15</v>
      </c>
      <c r="F134" s="16" t="s">
        <v>16</v>
      </c>
      <c r="G134" s="18">
        <v>0</v>
      </c>
      <c r="H134" s="18">
        <v>0</v>
      </c>
      <c r="I134" s="18"/>
      <c r="J134" s="18">
        <f t="shared" si="56"/>
        <v>0</v>
      </c>
      <c r="K134" s="19">
        <v>145.88079999999999</v>
      </c>
      <c r="L134" s="19">
        <f t="shared" si="75"/>
        <v>0</v>
      </c>
      <c r="M134" s="19">
        <f t="shared" si="57"/>
        <v>0</v>
      </c>
      <c r="N134" s="19">
        <f t="shared" si="58"/>
        <v>0</v>
      </c>
      <c r="O134" s="19">
        <f t="shared" si="59"/>
        <v>0</v>
      </c>
      <c r="P134" s="69" t="str">
        <f t="shared" si="41"/>
        <v/>
      </c>
      <c r="V134" s="4">
        <v>175.76</v>
      </c>
      <c r="W134" s="4">
        <f t="shared" si="76"/>
        <v>145.88079999999999</v>
      </c>
    </row>
    <row r="135" spans="1:23" ht="72" x14ac:dyDescent="0.25">
      <c r="A135" s="14" t="s">
        <v>464</v>
      </c>
      <c r="B135" s="15">
        <v>147327</v>
      </c>
      <c r="C135" s="15">
        <v>94794</v>
      </c>
      <c r="D135" s="17" t="s">
        <v>226</v>
      </c>
      <c r="E135" s="16" t="s">
        <v>28</v>
      </c>
      <c r="F135" s="16" t="s">
        <v>16</v>
      </c>
      <c r="G135" s="18">
        <v>7</v>
      </c>
      <c r="H135" s="18">
        <v>0</v>
      </c>
      <c r="I135" s="18"/>
      <c r="J135" s="18">
        <f t="shared" si="56"/>
        <v>0</v>
      </c>
      <c r="K135" s="19">
        <v>158.56319999999999</v>
      </c>
      <c r="L135" s="19">
        <f t="shared" si="75"/>
        <v>1109.9423999999999</v>
      </c>
      <c r="M135" s="19">
        <f t="shared" si="57"/>
        <v>0</v>
      </c>
      <c r="N135" s="19">
        <f t="shared" si="58"/>
        <v>0</v>
      </c>
      <c r="O135" s="19">
        <f t="shared" si="59"/>
        <v>0</v>
      </c>
      <c r="P135" s="69">
        <f t="shared" si="41"/>
        <v>0</v>
      </c>
      <c r="V135" s="4">
        <v>191.04</v>
      </c>
      <c r="W135" s="4">
        <f t="shared" si="76"/>
        <v>158.56319999999999</v>
      </c>
    </row>
    <row r="136" spans="1:23" ht="43.2" x14ac:dyDescent="0.25">
      <c r="A136" s="14" t="s">
        <v>465</v>
      </c>
      <c r="B136" s="15">
        <v>135641</v>
      </c>
      <c r="C136" s="15">
        <v>89985</v>
      </c>
      <c r="D136" s="17" t="s">
        <v>227</v>
      </c>
      <c r="E136" s="16" t="s">
        <v>28</v>
      </c>
      <c r="F136" s="16" t="s">
        <v>16</v>
      </c>
      <c r="G136" s="18">
        <v>1</v>
      </c>
      <c r="H136" s="18">
        <v>0</v>
      </c>
      <c r="I136" s="18"/>
      <c r="J136" s="18">
        <f t="shared" si="56"/>
        <v>0</v>
      </c>
      <c r="K136" s="19">
        <v>79.364599999999996</v>
      </c>
      <c r="L136" s="19">
        <f t="shared" si="75"/>
        <v>79.364599999999996</v>
      </c>
      <c r="M136" s="19">
        <f t="shared" si="57"/>
        <v>0</v>
      </c>
      <c r="N136" s="19">
        <f t="shared" si="58"/>
        <v>0</v>
      </c>
      <c r="O136" s="19">
        <f t="shared" si="59"/>
        <v>0</v>
      </c>
      <c r="P136" s="69">
        <f t="shared" si="41"/>
        <v>0</v>
      </c>
      <c r="V136" s="4">
        <v>95.62</v>
      </c>
      <c r="W136" s="4">
        <f t="shared" si="76"/>
        <v>79.364599999999996</v>
      </c>
    </row>
    <row r="137" spans="1:23" ht="43.2" x14ac:dyDescent="0.25">
      <c r="A137" s="14" t="s">
        <v>466</v>
      </c>
      <c r="B137" s="15">
        <v>135548</v>
      </c>
      <c r="C137" s="15">
        <v>86910</v>
      </c>
      <c r="D137" s="17" t="s">
        <v>228</v>
      </c>
      <c r="E137" s="16" t="s">
        <v>28</v>
      </c>
      <c r="F137" s="16" t="s">
        <v>16</v>
      </c>
      <c r="G137" s="18">
        <v>2</v>
      </c>
      <c r="H137" s="18">
        <v>0</v>
      </c>
      <c r="I137" s="18"/>
      <c r="J137" s="18">
        <f t="shared" si="56"/>
        <v>0</v>
      </c>
      <c r="K137" s="19">
        <v>114.47359999999999</v>
      </c>
      <c r="L137" s="19">
        <f t="shared" si="75"/>
        <v>228.94719999999998</v>
      </c>
      <c r="M137" s="19">
        <f t="shared" si="57"/>
        <v>0</v>
      </c>
      <c r="N137" s="19">
        <f t="shared" si="58"/>
        <v>0</v>
      </c>
      <c r="O137" s="19">
        <f t="shared" si="59"/>
        <v>0</v>
      </c>
      <c r="P137" s="69">
        <f t="shared" si="41"/>
        <v>0</v>
      </c>
      <c r="V137" s="4">
        <v>137.91999999999999</v>
      </c>
      <c r="W137" s="4">
        <f t="shared" si="76"/>
        <v>114.47359999999999</v>
      </c>
    </row>
    <row r="138" spans="1:23" ht="43.2" x14ac:dyDescent="0.25">
      <c r="A138" s="14" t="s">
        <v>467</v>
      </c>
      <c r="B138" s="15">
        <v>135553</v>
      </c>
      <c r="C138" s="15">
        <v>86915</v>
      </c>
      <c r="D138" s="17" t="s">
        <v>229</v>
      </c>
      <c r="E138" s="16" t="s">
        <v>28</v>
      </c>
      <c r="F138" s="16" t="s">
        <v>16</v>
      </c>
      <c r="G138" s="18">
        <v>5</v>
      </c>
      <c r="H138" s="18">
        <v>0</v>
      </c>
      <c r="I138" s="18"/>
      <c r="J138" s="18">
        <f t="shared" si="56"/>
        <v>0</v>
      </c>
      <c r="K138" s="19">
        <v>102.13149999999999</v>
      </c>
      <c r="L138" s="19">
        <f t="shared" si="75"/>
        <v>510.65749999999991</v>
      </c>
      <c r="M138" s="19">
        <f t="shared" si="57"/>
        <v>0</v>
      </c>
      <c r="N138" s="19">
        <f t="shared" si="58"/>
        <v>0</v>
      </c>
      <c r="O138" s="19">
        <f t="shared" si="59"/>
        <v>0</v>
      </c>
      <c r="P138" s="69">
        <f t="shared" ref="P138:P201" si="77">IF(O138&lt;&gt;L138,O138/L138,"")</f>
        <v>0</v>
      </c>
      <c r="V138" s="4">
        <v>123.05</v>
      </c>
      <c r="W138" s="4">
        <f t="shared" si="76"/>
        <v>102.13149999999999</v>
      </c>
    </row>
    <row r="139" spans="1:23" ht="28.8" x14ac:dyDescent="0.25">
      <c r="A139" s="14" t="s">
        <v>468</v>
      </c>
      <c r="B139" s="15">
        <v>135552</v>
      </c>
      <c r="C139" s="15">
        <v>86914</v>
      </c>
      <c r="D139" s="17" t="s">
        <v>230</v>
      </c>
      <c r="E139" s="16" t="s">
        <v>28</v>
      </c>
      <c r="F139" s="16" t="s">
        <v>16</v>
      </c>
      <c r="G139" s="18">
        <v>7</v>
      </c>
      <c r="H139" s="18">
        <v>0</v>
      </c>
      <c r="I139" s="18"/>
      <c r="J139" s="18">
        <f t="shared" si="56"/>
        <v>0</v>
      </c>
      <c r="K139" s="19">
        <v>45.874099999999999</v>
      </c>
      <c r="L139" s="19">
        <f t="shared" si="75"/>
        <v>321.11869999999999</v>
      </c>
      <c r="M139" s="19">
        <f t="shared" si="57"/>
        <v>0</v>
      </c>
      <c r="N139" s="19">
        <f t="shared" si="58"/>
        <v>0</v>
      </c>
      <c r="O139" s="19">
        <f t="shared" si="59"/>
        <v>0</v>
      </c>
      <c r="P139" s="69">
        <f t="shared" si="77"/>
        <v>0</v>
      </c>
      <c r="V139" s="4">
        <v>55.27</v>
      </c>
      <c r="W139" s="4">
        <f t="shared" si="76"/>
        <v>45.874099999999999</v>
      </c>
    </row>
    <row r="140" spans="1:23" ht="28.8" x14ac:dyDescent="0.25">
      <c r="A140" s="14" t="s">
        <v>469</v>
      </c>
      <c r="B140" s="15">
        <v>162154</v>
      </c>
      <c r="C140" s="16"/>
      <c r="D140" s="17" t="s">
        <v>231</v>
      </c>
      <c r="E140" s="16" t="s">
        <v>28</v>
      </c>
      <c r="F140" s="16" t="s">
        <v>16</v>
      </c>
      <c r="G140" s="18">
        <v>3</v>
      </c>
      <c r="H140" s="18">
        <v>0</v>
      </c>
      <c r="I140" s="18"/>
      <c r="J140" s="18">
        <f t="shared" si="56"/>
        <v>0</v>
      </c>
      <c r="K140" s="19">
        <v>28.618399999999998</v>
      </c>
      <c r="L140" s="19">
        <f t="shared" si="75"/>
        <v>85.855199999999996</v>
      </c>
      <c r="M140" s="19">
        <f t="shared" si="57"/>
        <v>0</v>
      </c>
      <c r="N140" s="19">
        <f t="shared" si="58"/>
        <v>0</v>
      </c>
      <c r="O140" s="19">
        <f t="shared" si="59"/>
        <v>0</v>
      </c>
      <c r="P140" s="69">
        <f t="shared" si="77"/>
        <v>0</v>
      </c>
      <c r="V140" s="4">
        <v>34.479999999999997</v>
      </c>
      <c r="W140" s="4">
        <f t="shared" si="76"/>
        <v>28.618399999999998</v>
      </c>
    </row>
    <row r="141" spans="1:23" ht="28.8" x14ac:dyDescent="0.25">
      <c r="A141" s="14" t="s">
        <v>470</v>
      </c>
      <c r="B141" s="15">
        <v>161841</v>
      </c>
      <c r="C141" s="16"/>
      <c r="D141" s="17" t="s">
        <v>232</v>
      </c>
      <c r="E141" s="16" t="s">
        <v>28</v>
      </c>
      <c r="F141" s="16" t="s">
        <v>16</v>
      </c>
      <c r="G141" s="18">
        <v>1</v>
      </c>
      <c r="H141" s="18">
        <v>0</v>
      </c>
      <c r="I141" s="18"/>
      <c r="J141" s="18">
        <f t="shared" si="56"/>
        <v>0</v>
      </c>
      <c r="K141" s="19">
        <v>18.990399999999998</v>
      </c>
      <c r="L141" s="19">
        <f t="shared" si="75"/>
        <v>18.990399999999998</v>
      </c>
      <c r="M141" s="19">
        <f t="shared" si="57"/>
        <v>0</v>
      </c>
      <c r="N141" s="19">
        <f t="shared" si="58"/>
        <v>0</v>
      </c>
      <c r="O141" s="19">
        <f t="shared" si="59"/>
        <v>0</v>
      </c>
      <c r="P141" s="69">
        <f t="shared" si="77"/>
        <v>0</v>
      </c>
      <c r="V141" s="4">
        <v>22.88</v>
      </c>
      <c r="W141" s="4">
        <f t="shared" si="76"/>
        <v>18.990399999999998</v>
      </c>
    </row>
    <row r="142" spans="1:23" ht="43.2" x14ac:dyDescent="0.25">
      <c r="A142" s="14" t="s">
        <v>471</v>
      </c>
      <c r="B142" s="15">
        <v>147312</v>
      </c>
      <c r="C142" s="15">
        <v>95547</v>
      </c>
      <c r="D142" s="17" t="s">
        <v>233</v>
      </c>
      <c r="E142" s="16" t="s">
        <v>28</v>
      </c>
      <c r="F142" s="16" t="s">
        <v>16</v>
      </c>
      <c r="G142" s="18">
        <v>5</v>
      </c>
      <c r="H142" s="18">
        <v>0</v>
      </c>
      <c r="I142" s="18"/>
      <c r="J142" s="18">
        <f t="shared" si="56"/>
        <v>0</v>
      </c>
      <c r="K142" s="19">
        <v>66.441499999999991</v>
      </c>
      <c r="L142" s="19">
        <f t="shared" si="75"/>
        <v>332.20749999999998</v>
      </c>
      <c r="M142" s="19">
        <f t="shared" si="57"/>
        <v>0</v>
      </c>
      <c r="N142" s="19">
        <f t="shared" si="58"/>
        <v>0</v>
      </c>
      <c r="O142" s="19">
        <f t="shared" si="59"/>
        <v>0</v>
      </c>
      <c r="P142" s="69">
        <f t="shared" si="77"/>
        <v>0</v>
      </c>
      <c r="V142" s="4">
        <v>80.05</v>
      </c>
      <c r="W142" s="4">
        <f t="shared" si="76"/>
        <v>66.441499999999991</v>
      </c>
    </row>
    <row r="143" spans="1:23" ht="28.8" x14ac:dyDescent="0.25">
      <c r="A143" s="14" t="s">
        <v>472</v>
      </c>
      <c r="B143" s="15">
        <v>148323</v>
      </c>
      <c r="C143" s="16"/>
      <c r="D143" s="17" t="s">
        <v>234</v>
      </c>
      <c r="E143" s="16" t="s">
        <v>28</v>
      </c>
      <c r="F143" s="16" t="s">
        <v>16</v>
      </c>
      <c r="G143" s="18">
        <v>5</v>
      </c>
      <c r="H143" s="18">
        <v>0</v>
      </c>
      <c r="I143" s="18"/>
      <c r="J143" s="18">
        <f t="shared" si="56"/>
        <v>0</v>
      </c>
      <c r="K143" s="19">
        <v>46.264200000000002</v>
      </c>
      <c r="L143" s="19">
        <f t="shared" si="75"/>
        <v>231.32100000000003</v>
      </c>
      <c r="M143" s="19">
        <f t="shared" si="57"/>
        <v>0</v>
      </c>
      <c r="N143" s="19">
        <f t="shared" si="58"/>
        <v>0</v>
      </c>
      <c r="O143" s="19">
        <f t="shared" si="59"/>
        <v>0</v>
      </c>
      <c r="P143" s="69">
        <f t="shared" si="77"/>
        <v>0</v>
      </c>
      <c r="V143" s="4">
        <v>55.74</v>
      </c>
      <c r="W143" s="4">
        <f t="shared" si="76"/>
        <v>46.264200000000002</v>
      </c>
    </row>
    <row r="144" spans="1:23" ht="28.8" x14ac:dyDescent="0.25">
      <c r="A144" s="14" t="s">
        <v>473</v>
      </c>
      <c r="B144" s="15">
        <v>160198</v>
      </c>
      <c r="C144" s="16"/>
      <c r="D144" s="17" t="s">
        <v>235</v>
      </c>
      <c r="E144" s="16" t="s">
        <v>28</v>
      </c>
      <c r="F144" s="16" t="s">
        <v>16</v>
      </c>
      <c r="G144" s="18">
        <v>5</v>
      </c>
      <c r="H144" s="18">
        <v>0</v>
      </c>
      <c r="I144" s="18"/>
      <c r="J144" s="18">
        <f t="shared" si="56"/>
        <v>0</v>
      </c>
      <c r="K144" s="19">
        <v>59.76</v>
      </c>
      <c r="L144" s="19">
        <f t="shared" si="75"/>
        <v>298.8</v>
      </c>
      <c r="M144" s="19">
        <f t="shared" si="57"/>
        <v>0</v>
      </c>
      <c r="N144" s="19">
        <f t="shared" si="58"/>
        <v>0</v>
      </c>
      <c r="O144" s="19">
        <f t="shared" si="59"/>
        <v>0</v>
      </c>
      <c r="P144" s="69">
        <f t="shared" si="77"/>
        <v>0</v>
      </c>
      <c r="V144" s="4">
        <v>72</v>
      </c>
      <c r="W144" s="4">
        <f t="shared" si="76"/>
        <v>59.76</v>
      </c>
    </row>
    <row r="145" spans="1:23" ht="43.2" x14ac:dyDescent="0.25">
      <c r="A145" s="14" t="s">
        <v>474</v>
      </c>
      <c r="B145" s="15">
        <v>135515</v>
      </c>
      <c r="C145" s="15">
        <v>89709</v>
      </c>
      <c r="D145" s="17" t="s">
        <v>236</v>
      </c>
      <c r="E145" s="16" t="s">
        <v>28</v>
      </c>
      <c r="F145" s="16" t="s">
        <v>16</v>
      </c>
      <c r="G145" s="18">
        <v>7</v>
      </c>
      <c r="H145" s="18">
        <v>0</v>
      </c>
      <c r="I145" s="18"/>
      <c r="J145" s="18">
        <f t="shared" si="56"/>
        <v>0</v>
      </c>
      <c r="K145" s="19">
        <v>8.7398999999999987</v>
      </c>
      <c r="L145" s="19">
        <f t="shared" si="75"/>
        <v>61.179299999999991</v>
      </c>
      <c r="M145" s="19">
        <f t="shared" si="57"/>
        <v>0</v>
      </c>
      <c r="N145" s="19">
        <f t="shared" si="58"/>
        <v>0</v>
      </c>
      <c r="O145" s="19">
        <f t="shared" si="59"/>
        <v>0</v>
      </c>
      <c r="P145" s="69">
        <f t="shared" si="77"/>
        <v>0</v>
      </c>
      <c r="V145" s="4">
        <v>10.53</v>
      </c>
      <c r="W145" s="4">
        <f t="shared" si="76"/>
        <v>8.7398999999999987</v>
      </c>
    </row>
    <row r="146" spans="1:23" ht="43.2" x14ac:dyDescent="0.25">
      <c r="A146" s="14" t="s">
        <v>475</v>
      </c>
      <c r="B146" s="15">
        <v>161829</v>
      </c>
      <c r="C146" s="15">
        <v>86876</v>
      </c>
      <c r="D146" s="17" t="s">
        <v>237</v>
      </c>
      <c r="E146" s="16" t="s">
        <v>15</v>
      </c>
      <c r="F146" s="16" t="s">
        <v>16</v>
      </c>
      <c r="G146" s="18">
        <v>1</v>
      </c>
      <c r="H146" s="18">
        <v>0</v>
      </c>
      <c r="I146" s="18"/>
      <c r="J146" s="18">
        <f t="shared" si="56"/>
        <v>0</v>
      </c>
      <c r="K146" s="19">
        <v>161.65910000000002</v>
      </c>
      <c r="L146" s="19">
        <f t="shared" si="75"/>
        <v>161.65910000000002</v>
      </c>
      <c r="M146" s="19">
        <f t="shared" si="57"/>
        <v>0</v>
      </c>
      <c r="N146" s="19">
        <f t="shared" si="58"/>
        <v>0</v>
      </c>
      <c r="O146" s="19">
        <f t="shared" si="59"/>
        <v>0</v>
      </c>
      <c r="P146" s="69">
        <f t="shared" si="77"/>
        <v>0</v>
      </c>
      <c r="V146" s="4">
        <v>194.77</v>
      </c>
      <c r="W146" s="4">
        <f t="shared" si="76"/>
        <v>161.65910000000002</v>
      </c>
    </row>
    <row r="147" spans="1:23" ht="43.2" x14ac:dyDescent="0.25">
      <c r="A147" s="14" t="s">
        <v>476</v>
      </c>
      <c r="B147" s="15">
        <v>135537</v>
      </c>
      <c r="C147" s="15">
        <v>86894</v>
      </c>
      <c r="D147" s="17" t="s">
        <v>238</v>
      </c>
      <c r="E147" s="16" t="s">
        <v>28</v>
      </c>
      <c r="F147" s="16" t="s">
        <v>16</v>
      </c>
      <c r="G147" s="18">
        <v>1</v>
      </c>
      <c r="H147" s="18">
        <v>0</v>
      </c>
      <c r="I147" s="18"/>
      <c r="J147" s="18">
        <f t="shared" si="56"/>
        <v>0</v>
      </c>
      <c r="K147" s="19">
        <v>192.18650000000002</v>
      </c>
      <c r="L147" s="19">
        <f t="shared" si="75"/>
        <v>192.18650000000002</v>
      </c>
      <c r="M147" s="19">
        <f t="shared" si="57"/>
        <v>0</v>
      </c>
      <c r="N147" s="19">
        <f t="shared" si="58"/>
        <v>0</v>
      </c>
      <c r="O147" s="19">
        <f t="shared" si="59"/>
        <v>0</v>
      </c>
      <c r="P147" s="69">
        <f t="shared" si="77"/>
        <v>0</v>
      </c>
      <c r="V147" s="4">
        <v>231.55</v>
      </c>
      <c r="W147" s="4">
        <f t="shared" si="76"/>
        <v>192.18650000000002</v>
      </c>
    </row>
    <row r="148" spans="1:23" ht="28.8" x14ac:dyDescent="0.25">
      <c r="A148" s="14" t="s">
        <v>477</v>
      </c>
      <c r="B148" s="15">
        <v>133899</v>
      </c>
      <c r="C148" s="15">
        <v>85005</v>
      </c>
      <c r="D148" s="17" t="s">
        <v>239</v>
      </c>
      <c r="E148" s="16" t="s">
        <v>28</v>
      </c>
      <c r="F148" s="16" t="s">
        <v>34</v>
      </c>
      <c r="G148" s="18">
        <v>3.2</v>
      </c>
      <c r="H148" s="18">
        <v>0</v>
      </c>
      <c r="I148" s="18"/>
      <c r="J148" s="18">
        <f t="shared" si="56"/>
        <v>0</v>
      </c>
      <c r="K148" s="19">
        <v>436.20649999999995</v>
      </c>
      <c r="L148" s="19">
        <f t="shared" si="75"/>
        <v>1395.8607999999999</v>
      </c>
      <c r="M148" s="19">
        <f t="shared" si="57"/>
        <v>0</v>
      </c>
      <c r="N148" s="19">
        <f t="shared" si="58"/>
        <v>0</v>
      </c>
      <c r="O148" s="19">
        <f t="shared" si="59"/>
        <v>0</v>
      </c>
      <c r="P148" s="69">
        <f t="shared" si="77"/>
        <v>0</v>
      </c>
      <c r="V148" s="4">
        <v>525.54999999999995</v>
      </c>
      <c r="W148" s="4">
        <f t="shared" si="76"/>
        <v>436.20649999999995</v>
      </c>
    </row>
    <row r="149" spans="1:23" ht="43.2" x14ac:dyDescent="0.25">
      <c r="A149" s="14" t="s">
        <v>478</v>
      </c>
      <c r="B149" s="15">
        <v>163108</v>
      </c>
      <c r="C149" s="16"/>
      <c r="D149" s="17" t="s">
        <v>240</v>
      </c>
      <c r="E149" s="16" t="s">
        <v>15</v>
      </c>
      <c r="F149" s="16" t="s">
        <v>16</v>
      </c>
      <c r="G149" s="18">
        <v>0</v>
      </c>
      <c r="H149" s="18">
        <v>0</v>
      </c>
      <c r="I149" s="18"/>
      <c r="J149" s="18">
        <f t="shared" si="56"/>
        <v>0</v>
      </c>
      <c r="K149" s="19">
        <v>493.39350000000002</v>
      </c>
      <c r="L149" s="19">
        <f t="shared" si="75"/>
        <v>0</v>
      </c>
      <c r="M149" s="19">
        <f t="shared" si="57"/>
        <v>0</v>
      </c>
      <c r="N149" s="19">
        <f t="shared" si="58"/>
        <v>0</v>
      </c>
      <c r="O149" s="19">
        <f t="shared" si="59"/>
        <v>0</v>
      </c>
      <c r="P149" s="69" t="str">
        <f t="shared" si="77"/>
        <v/>
      </c>
      <c r="V149" s="4">
        <v>594.45000000000005</v>
      </c>
      <c r="W149" s="4">
        <f t="shared" si="76"/>
        <v>493.39350000000002</v>
      </c>
    </row>
    <row r="150" spans="1:23" ht="28.8" x14ac:dyDescent="0.25">
      <c r="A150" s="14" t="s">
        <v>479</v>
      </c>
      <c r="B150" s="15">
        <v>152113</v>
      </c>
      <c r="C150" s="16"/>
      <c r="D150" s="17" t="s">
        <v>241</v>
      </c>
      <c r="E150" s="16" t="s">
        <v>28</v>
      </c>
      <c r="F150" s="16" t="s">
        <v>86</v>
      </c>
      <c r="G150" s="18">
        <v>7.1</v>
      </c>
      <c r="H150" s="18">
        <v>0</v>
      </c>
      <c r="I150" s="18"/>
      <c r="J150" s="18">
        <f t="shared" si="56"/>
        <v>0</v>
      </c>
      <c r="K150" s="19">
        <v>311.49900000000002</v>
      </c>
      <c r="L150" s="19">
        <f t="shared" si="75"/>
        <v>2211.6429000000003</v>
      </c>
      <c r="M150" s="19">
        <f t="shared" si="57"/>
        <v>0</v>
      </c>
      <c r="N150" s="19">
        <f t="shared" si="58"/>
        <v>0</v>
      </c>
      <c r="O150" s="19">
        <f t="shared" si="59"/>
        <v>0</v>
      </c>
      <c r="P150" s="69">
        <f t="shared" si="77"/>
        <v>0</v>
      </c>
      <c r="V150" s="4">
        <v>375.3</v>
      </c>
      <c r="W150" s="4">
        <f t="shared" si="76"/>
        <v>311.49900000000002</v>
      </c>
    </row>
    <row r="151" spans="1:23" ht="43.2" x14ac:dyDescent="0.25">
      <c r="A151" s="14" t="s">
        <v>480</v>
      </c>
      <c r="B151" s="15">
        <v>160917</v>
      </c>
      <c r="C151" s="15">
        <v>97901</v>
      </c>
      <c r="D151" s="17" t="s">
        <v>242</v>
      </c>
      <c r="E151" s="16" t="s">
        <v>28</v>
      </c>
      <c r="F151" s="16" t="s">
        <v>16</v>
      </c>
      <c r="G151" s="18">
        <v>3</v>
      </c>
      <c r="H151" s="18">
        <v>0</v>
      </c>
      <c r="I151" s="18"/>
      <c r="J151" s="18">
        <f t="shared" si="56"/>
        <v>0</v>
      </c>
      <c r="K151" s="19">
        <v>239.28900000000002</v>
      </c>
      <c r="L151" s="19">
        <f t="shared" si="75"/>
        <v>717.86700000000008</v>
      </c>
      <c r="M151" s="19">
        <f t="shared" si="57"/>
        <v>0</v>
      </c>
      <c r="N151" s="19">
        <f t="shared" si="58"/>
        <v>0</v>
      </c>
      <c r="O151" s="19">
        <f t="shared" si="59"/>
        <v>0</v>
      </c>
      <c r="P151" s="69">
        <f t="shared" si="77"/>
        <v>0</v>
      </c>
      <c r="V151" s="4">
        <v>288.3</v>
      </c>
      <c r="W151" s="4">
        <f t="shared" si="76"/>
        <v>239.28900000000002</v>
      </c>
    </row>
    <row r="152" spans="1:23" ht="129.6" x14ac:dyDescent="0.25">
      <c r="A152" s="14" t="s">
        <v>481</v>
      </c>
      <c r="B152" s="15">
        <v>164418</v>
      </c>
      <c r="C152" s="16"/>
      <c r="D152" s="17" t="s">
        <v>243</v>
      </c>
      <c r="E152" s="16" t="s">
        <v>28</v>
      </c>
      <c r="F152" s="16" t="s">
        <v>16</v>
      </c>
      <c r="G152" s="18">
        <v>1</v>
      </c>
      <c r="H152" s="18">
        <v>0</v>
      </c>
      <c r="I152" s="18"/>
      <c r="J152" s="18">
        <f t="shared" si="56"/>
        <v>0</v>
      </c>
      <c r="K152" s="19">
        <v>2455.7624999999998</v>
      </c>
      <c r="L152" s="19">
        <f t="shared" si="75"/>
        <v>2455.7624999999998</v>
      </c>
      <c r="M152" s="19">
        <f t="shared" si="57"/>
        <v>0</v>
      </c>
      <c r="N152" s="19">
        <f t="shared" si="58"/>
        <v>0</v>
      </c>
      <c r="O152" s="19">
        <f t="shared" si="59"/>
        <v>0</v>
      </c>
      <c r="P152" s="69">
        <f t="shared" si="77"/>
        <v>0</v>
      </c>
      <c r="V152" s="4">
        <v>2958.75</v>
      </c>
      <c r="W152" s="4">
        <f t="shared" si="76"/>
        <v>2455.7624999999998</v>
      </c>
    </row>
    <row r="153" spans="1:23" x14ac:dyDescent="0.25">
      <c r="A153" s="10" t="s">
        <v>244</v>
      </c>
      <c r="B153" s="9"/>
      <c r="C153" s="9"/>
      <c r="D153" s="11"/>
      <c r="E153" s="9"/>
      <c r="F153" s="9"/>
      <c r="G153" s="12"/>
      <c r="H153" s="12"/>
      <c r="I153" s="12"/>
      <c r="J153" s="18"/>
      <c r="K153" s="13"/>
      <c r="L153" s="13">
        <f>SUM(L154:L161)</f>
        <v>21612.077899999997</v>
      </c>
      <c r="M153" s="13">
        <f t="shared" ref="M153:O153" si="78">SUM(M154:M161)</f>
        <v>0</v>
      </c>
      <c r="N153" s="13">
        <f t="shared" si="78"/>
        <v>0</v>
      </c>
      <c r="O153" s="13">
        <f t="shared" si="78"/>
        <v>0</v>
      </c>
      <c r="P153" s="69">
        <f t="shared" si="77"/>
        <v>0</v>
      </c>
    </row>
    <row r="154" spans="1:23" ht="28.8" x14ac:dyDescent="0.25">
      <c r="A154" s="14" t="s">
        <v>245</v>
      </c>
      <c r="B154" s="15">
        <v>160130</v>
      </c>
      <c r="C154" s="16"/>
      <c r="D154" s="17" t="s">
        <v>246</v>
      </c>
      <c r="E154" s="16" t="s">
        <v>28</v>
      </c>
      <c r="F154" s="16" t="s">
        <v>16</v>
      </c>
      <c r="G154" s="18">
        <v>14</v>
      </c>
      <c r="H154" s="18">
        <v>0</v>
      </c>
      <c r="I154" s="18"/>
      <c r="J154" s="18">
        <f t="shared" si="56"/>
        <v>0</v>
      </c>
      <c r="K154" s="19">
        <v>106.9372</v>
      </c>
      <c r="L154" s="19">
        <f t="shared" ref="L154:L160" si="79">G154*K154</f>
        <v>1497.1208000000001</v>
      </c>
      <c r="M154" s="19">
        <f t="shared" si="57"/>
        <v>0</v>
      </c>
      <c r="N154" s="19">
        <f t="shared" si="58"/>
        <v>0</v>
      </c>
      <c r="O154" s="19">
        <f t="shared" si="59"/>
        <v>0</v>
      </c>
      <c r="P154" s="69">
        <f t="shared" si="77"/>
        <v>0</v>
      </c>
      <c r="V154" s="4">
        <v>128.84</v>
      </c>
      <c r="W154" s="4">
        <f t="shared" ref="W154:W160" si="80">V154-V154*$R$5</f>
        <v>106.9372</v>
      </c>
    </row>
    <row r="155" spans="1:23" ht="43.2" x14ac:dyDescent="0.25">
      <c r="A155" s="14" t="s">
        <v>247</v>
      </c>
      <c r="B155" s="15">
        <v>135515</v>
      </c>
      <c r="C155" s="15">
        <v>89709</v>
      </c>
      <c r="D155" s="17" t="s">
        <v>236</v>
      </c>
      <c r="E155" s="16" t="s">
        <v>28</v>
      </c>
      <c r="F155" s="16" t="s">
        <v>16</v>
      </c>
      <c r="G155" s="18">
        <v>7</v>
      </c>
      <c r="H155" s="18">
        <v>0</v>
      </c>
      <c r="I155" s="18"/>
      <c r="J155" s="18">
        <f t="shared" si="56"/>
        <v>0</v>
      </c>
      <c r="K155" s="19">
        <v>8.7481999999999989</v>
      </c>
      <c r="L155" s="19">
        <f t="shared" si="79"/>
        <v>61.237399999999994</v>
      </c>
      <c r="M155" s="19">
        <f t="shared" si="57"/>
        <v>0</v>
      </c>
      <c r="N155" s="19">
        <f t="shared" si="58"/>
        <v>0</v>
      </c>
      <c r="O155" s="19">
        <f t="shared" si="59"/>
        <v>0</v>
      </c>
      <c r="P155" s="69">
        <f t="shared" si="77"/>
        <v>0</v>
      </c>
      <c r="V155" s="4">
        <v>10.54</v>
      </c>
      <c r="W155" s="4">
        <f t="shared" si="80"/>
        <v>8.7481999999999989</v>
      </c>
    </row>
    <row r="156" spans="1:23" ht="72" x14ac:dyDescent="0.25">
      <c r="A156" s="14" t="s">
        <v>248</v>
      </c>
      <c r="B156" s="15">
        <v>134897</v>
      </c>
      <c r="C156" s="15">
        <v>91795</v>
      </c>
      <c r="D156" s="17" t="s">
        <v>249</v>
      </c>
      <c r="E156" s="16" t="s">
        <v>28</v>
      </c>
      <c r="F156" s="16" t="s">
        <v>86</v>
      </c>
      <c r="G156" s="18">
        <v>40</v>
      </c>
      <c r="H156" s="18">
        <v>0</v>
      </c>
      <c r="I156" s="18"/>
      <c r="J156" s="18">
        <f t="shared" si="56"/>
        <v>0</v>
      </c>
      <c r="K156" s="19">
        <v>56.672399999999996</v>
      </c>
      <c r="L156" s="19">
        <f t="shared" si="79"/>
        <v>2266.8959999999997</v>
      </c>
      <c r="M156" s="19">
        <f t="shared" si="57"/>
        <v>0</v>
      </c>
      <c r="N156" s="19">
        <f t="shared" si="58"/>
        <v>0</v>
      </c>
      <c r="O156" s="19">
        <f t="shared" si="59"/>
        <v>0</v>
      </c>
      <c r="P156" s="69">
        <f t="shared" si="77"/>
        <v>0</v>
      </c>
      <c r="V156" s="4">
        <v>68.28</v>
      </c>
      <c r="W156" s="4">
        <f t="shared" si="80"/>
        <v>56.672399999999996</v>
      </c>
    </row>
    <row r="157" spans="1:23" ht="57.6" x14ac:dyDescent="0.25">
      <c r="A157" s="14" t="s">
        <v>250</v>
      </c>
      <c r="B157" s="15">
        <v>160217</v>
      </c>
      <c r="C157" s="16"/>
      <c r="D157" s="17" t="s">
        <v>251</v>
      </c>
      <c r="E157" s="16" t="s">
        <v>28</v>
      </c>
      <c r="F157" s="16" t="s">
        <v>16</v>
      </c>
      <c r="G157" s="18">
        <v>2</v>
      </c>
      <c r="H157" s="18">
        <v>0</v>
      </c>
      <c r="I157" s="18"/>
      <c r="J157" s="18">
        <f t="shared" si="56"/>
        <v>0</v>
      </c>
      <c r="K157" s="19">
        <v>518.73339999999996</v>
      </c>
      <c r="L157" s="19">
        <f t="shared" si="79"/>
        <v>1037.4667999999999</v>
      </c>
      <c r="M157" s="19">
        <f t="shared" si="57"/>
        <v>0</v>
      </c>
      <c r="N157" s="19">
        <f t="shared" si="58"/>
        <v>0</v>
      </c>
      <c r="O157" s="19">
        <f t="shared" si="59"/>
        <v>0</v>
      </c>
      <c r="P157" s="69">
        <f t="shared" si="77"/>
        <v>0</v>
      </c>
      <c r="V157" s="4">
        <v>624.98</v>
      </c>
      <c r="W157" s="4">
        <f t="shared" si="80"/>
        <v>518.73339999999996</v>
      </c>
    </row>
    <row r="158" spans="1:23" ht="72" x14ac:dyDescent="0.25">
      <c r="A158" s="14" t="s">
        <v>252</v>
      </c>
      <c r="B158" s="15">
        <v>161838</v>
      </c>
      <c r="C158" s="16"/>
      <c r="D158" s="17" t="s">
        <v>253</v>
      </c>
      <c r="E158" s="16" t="s">
        <v>28</v>
      </c>
      <c r="F158" s="16" t="s">
        <v>16</v>
      </c>
      <c r="G158" s="18">
        <v>1</v>
      </c>
      <c r="H158" s="18">
        <v>0</v>
      </c>
      <c r="I158" s="18"/>
      <c r="J158" s="18">
        <f t="shared" si="56"/>
        <v>0</v>
      </c>
      <c r="K158" s="19">
        <v>125.40470000000001</v>
      </c>
      <c r="L158" s="19">
        <f t="shared" si="79"/>
        <v>125.40470000000001</v>
      </c>
      <c r="M158" s="19">
        <f t="shared" si="57"/>
        <v>0</v>
      </c>
      <c r="N158" s="19">
        <f t="shared" si="58"/>
        <v>0</v>
      </c>
      <c r="O158" s="19">
        <f t="shared" si="59"/>
        <v>0</v>
      </c>
      <c r="P158" s="69">
        <f t="shared" si="77"/>
        <v>0</v>
      </c>
      <c r="V158" s="4">
        <v>151.09</v>
      </c>
      <c r="W158" s="4">
        <f t="shared" si="80"/>
        <v>125.40470000000001</v>
      </c>
    </row>
    <row r="159" spans="1:23" ht="57.6" x14ac:dyDescent="0.25">
      <c r="A159" s="14" t="s">
        <v>254</v>
      </c>
      <c r="B159" s="15">
        <v>163960</v>
      </c>
      <c r="C159" s="16"/>
      <c r="D159" s="17" t="s">
        <v>255</v>
      </c>
      <c r="E159" s="16" t="s">
        <v>28</v>
      </c>
      <c r="F159" s="16" t="s">
        <v>16</v>
      </c>
      <c r="G159" s="18">
        <v>4</v>
      </c>
      <c r="H159" s="18">
        <v>0</v>
      </c>
      <c r="I159" s="18"/>
      <c r="J159" s="18">
        <f t="shared" si="56"/>
        <v>0</v>
      </c>
      <c r="K159" s="19">
        <v>239.28900000000002</v>
      </c>
      <c r="L159" s="19">
        <f t="shared" si="79"/>
        <v>957.15600000000006</v>
      </c>
      <c r="M159" s="19">
        <f t="shared" si="57"/>
        <v>0</v>
      </c>
      <c r="N159" s="19">
        <f t="shared" si="58"/>
        <v>0</v>
      </c>
      <c r="O159" s="19">
        <f t="shared" si="59"/>
        <v>0</v>
      </c>
      <c r="P159" s="69">
        <f t="shared" si="77"/>
        <v>0</v>
      </c>
      <c r="V159" s="4">
        <v>288.3</v>
      </c>
      <c r="W159" s="4">
        <f t="shared" si="80"/>
        <v>239.28900000000002</v>
      </c>
    </row>
    <row r="160" spans="1:23" ht="28.8" x14ac:dyDescent="0.25">
      <c r="A160" s="14" t="s">
        <v>256</v>
      </c>
      <c r="B160" s="15">
        <v>144169</v>
      </c>
      <c r="C160" s="16"/>
      <c r="D160" s="17" t="s">
        <v>257</v>
      </c>
      <c r="E160" s="16" t="s">
        <v>28</v>
      </c>
      <c r="F160" s="16" t="s">
        <v>16</v>
      </c>
      <c r="G160" s="18">
        <v>1</v>
      </c>
      <c r="H160" s="18">
        <v>0</v>
      </c>
      <c r="I160" s="18"/>
      <c r="J160" s="18">
        <f t="shared" ref="J160:J225" si="81">H160+I160</f>
        <v>0</v>
      </c>
      <c r="K160" s="19">
        <v>7306.9796999999999</v>
      </c>
      <c r="L160" s="19">
        <f t="shared" si="79"/>
        <v>7306.9796999999999</v>
      </c>
      <c r="M160" s="19">
        <f t="shared" ref="M160:M225" si="82">H160*K160</f>
        <v>0</v>
      </c>
      <c r="N160" s="19">
        <f t="shared" ref="N160:N225" si="83">I160*K160</f>
        <v>0</v>
      </c>
      <c r="O160" s="19">
        <f t="shared" ref="O160:O225" si="84">J160*K160</f>
        <v>0</v>
      </c>
      <c r="P160" s="69">
        <f t="shared" si="77"/>
        <v>0</v>
      </c>
      <c r="V160" s="4">
        <v>8803.59</v>
      </c>
      <c r="W160" s="4">
        <f t="shared" si="80"/>
        <v>7306.9796999999999</v>
      </c>
    </row>
    <row r="161" spans="1:23" ht="28.8" x14ac:dyDescent="0.25">
      <c r="A161" s="14" t="s">
        <v>482</v>
      </c>
      <c r="B161" s="15"/>
      <c r="C161" s="16">
        <v>2764</v>
      </c>
      <c r="D161" s="17" t="s">
        <v>483</v>
      </c>
      <c r="E161" s="16" t="s">
        <v>449</v>
      </c>
      <c r="F161" s="16" t="s">
        <v>484</v>
      </c>
      <c r="G161" s="18">
        <v>32.549999999999997</v>
      </c>
      <c r="H161" s="18">
        <v>0</v>
      </c>
      <c r="I161" s="18"/>
      <c r="J161" s="18">
        <f t="shared" si="81"/>
        <v>0</v>
      </c>
      <c r="K161" s="19">
        <v>256.83</v>
      </c>
      <c r="L161" s="19">
        <f t="shared" ref="L161" si="85">G161*K161</f>
        <v>8359.816499999999</v>
      </c>
      <c r="M161" s="19">
        <f t="shared" ref="M161" si="86">H161*K161</f>
        <v>0</v>
      </c>
      <c r="N161" s="19">
        <f t="shared" ref="N161" si="87">I161*K161</f>
        <v>0</v>
      </c>
      <c r="O161" s="19">
        <f t="shared" ref="O161" si="88">J161*K161</f>
        <v>0</v>
      </c>
      <c r="P161" s="69">
        <f t="shared" si="77"/>
        <v>0</v>
      </c>
    </row>
    <row r="162" spans="1:23" x14ac:dyDescent="0.25">
      <c r="A162" s="10" t="s">
        <v>258</v>
      </c>
      <c r="B162" s="9"/>
      <c r="C162" s="9"/>
      <c r="D162" s="11"/>
      <c r="E162" s="9"/>
      <c r="F162" s="9"/>
      <c r="G162" s="12"/>
      <c r="H162" s="12"/>
      <c r="I162" s="12"/>
      <c r="J162" s="18"/>
      <c r="K162" s="13"/>
      <c r="L162" s="13">
        <f>SUM(L163:L185)</f>
        <v>36425.454699999995</v>
      </c>
      <c r="M162" s="13">
        <f t="shared" ref="M162:O162" si="89">SUM(M163:M185)</f>
        <v>0</v>
      </c>
      <c r="N162" s="13">
        <f t="shared" si="89"/>
        <v>0</v>
      </c>
      <c r="O162" s="13">
        <f t="shared" si="89"/>
        <v>0</v>
      </c>
      <c r="P162" s="69">
        <f t="shared" si="77"/>
        <v>0</v>
      </c>
    </row>
    <row r="163" spans="1:23" ht="43.2" x14ac:dyDescent="0.25">
      <c r="A163" s="14" t="s">
        <v>259</v>
      </c>
      <c r="B163" s="15">
        <v>164419</v>
      </c>
      <c r="C163" s="16"/>
      <c r="D163" s="17" t="s">
        <v>260</v>
      </c>
      <c r="E163" s="16" t="s">
        <v>28</v>
      </c>
      <c r="F163" s="16" t="s">
        <v>16</v>
      </c>
      <c r="G163" s="18">
        <v>14</v>
      </c>
      <c r="H163" s="18">
        <v>0</v>
      </c>
      <c r="I163" s="18"/>
      <c r="J163" s="18">
        <f t="shared" si="81"/>
        <v>0</v>
      </c>
      <c r="K163" s="19">
        <v>206.51229999999998</v>
      </c>
      <c r="L163" s="19">
        <f t="shared" ref="L163:L185" si="90">G163*K163</f>
        <v>2891.1722</v>
      </c>
      <c r="M163" s="19">
        <f t="shared" si="82"/>
        <v>0</v>
      </c>
      <c r="N163" s="19">
        <f t="shared" si="83"/>
        <v>0</v>
      </c>
      <c r="O163" s="19">
        <f t="shared" si="84"/>
        <v>0</v>
      </c>
      <c r="P163" s="69">
        <f t="shared" si="77"/>
        <v>0</v>
      </c>
      <c r="V163" s="4">
        <v>248.81</v>
      </c>
      <c r="W163" s="4">
        <f t="shared" ref="W163:W185" si="91">V163-V163*$R$5</f>
        <v>206.51229999999998</v>
      </c>
    </row>
    <row r="164" spans="1:23" ht="57.6" x14ac:dyDescent="0.25">
      <c r="A164" s="14" t="s">
        <v>261</v>
      </c>
      <c r="B164" s="15">
        <v>163960</v>
      </c>
      <c r="C164" s="16"/>
      <c r="D164" s="17" t="s">
        <v>255</v>
      </c>
      <c r="E164" s="16" t="s">
        <v>28</v>
      </c>
      <c r="F164" s="16" t="s">
        <v>16</v>
      </c>
      <c r="G164" s="18">
        <v>4</v>
      </c>
      <c r="H164" s="18">
        <v>0</v>
      </c>
      <c r="I164" s="18"/>
      <c r="J164" s="18">
        <f t="shared" si="81"/>
        <v>0</v>
      </c>
      <c r="K164" s="19">
        <v>239.28900000000002</v>
      </c>
      <c r="L164" s="19">
        <f t="shared" si="90"/>
        <v>957.15600000000006</v>
      </c>
      <c r="M164" s="19">
        <f t="shared" si="82"/>
        <v>0</v>
      </c>
      <c r="N164" s="19">
        <f t="shared" si="83"/>
        <v>0</v>
      </c>
      <c r="O164" s="19">
        <f t="shared" si="84"/>
        <v>0</v>
      </c>
      <c r="P164" s="69">
        <f t="shared" si="77"/>
        <v>0</v>
      </c>
      <c r="V164" s="4">
        <v>288.3</v>
      </c>
      <c r="W164" s="4">
        <f t="shared" si="91"/>
        <v>239.28900000000002</v>
      </c>
    </row>
    <row r="165" spans="1:23" ht="57.6" x14ac:dyDescent="0.25">
      <c r="A165" s="14" t="s">
        <v>262</v>
      </c>
      <c r="B165" s="15">
        <v>160217</v>
      </c>
      <c r="C165" s="16"/>
      <c r="D165" s="17" t="s">
        <v>251</v>
      </c>
      <c r="E165" s="16" t="s">
        <v>28</v>
      </c>
      <c r="F165" s="16" t="s">
        <v>16</v>
      </c>
      <c r="G165" s="18">
        <v>1</v>
      </c>
      <c r="H165" s="18">
        <v>0</v>
      </c>
      <c r="I165" s="18"/>
      <c r="J165" s="18">
        <f t="shared" si="81"/>
        <v>0</v>
      </c>
      <c r="K165" s="19">
        <v>518.73339999999996</v>
      </c>
      <c r="L165" s="19">
        <f t="shared" si="90"/>
        <v>518.73339999999996</v>
      </c>
      <c r="M165" s="19">
        <f t="shared" si="82"/>
        <v>0</v>
      </c>
      <c r="N165" s="19">
        <f t="shared" si="83"/>
        <v>0</v>
      </c>
      <c r="O165" s="19">
        <f t="shared" si="84"/>
        <v>0</v>
      </c>
      <c r="P165" s="69">
        <f t="shared" si="77"/>
        <v>0</v>
      </c>
      <c r="V165" s="4">
        <v>624.98</v>
      </c>
      <c r="W165" s="4">
        <f t="shared" si="91"/>
        <v>518.73339999999996</v>
      </c>
    </row>
    <row r="166" spans="1:23" ht="28.8" x14ac:dyDescent="0.25">
      <c r="A166" s="14" t="s">
        <v>263</v>
      </c>
      <c r="B166" s="15">
        <v>134586</v>
      </c>
      <c r="C166" s="15">
        <v>83403</v>
      </c>
      <c r="D166" s="17" t="s">
        <v>264</v>
      </c>
      <c r="E166" s="16" t="s">
        <v>28</v>
      </c>
      <c r="F166" s="16" t="s">
        <v>16</v>
      </c>
      <c r="G166" s="18">
        <v>1</v>
      </c>
      <c r="H166" s="18">
        <v>0</v>
      </c>
      <c r="I166" s="18"/>
      <c r="J166" s="18">
        <f t="shared" si="81"/>
        <v>0</v>
      </c>
      <c r="K166" s="19">
        <v>18.1936</v>
      </c>
      <c r="L166" s="19">
        <f t="shared" si="90"/>
        <v>18.1936</v>
      </c>
      <c r="M166" s="19">
        <f t="shared" si="82"/>
        <v>0</v>
      </c>
      <c r="N166" s="19">
        <f t="shared" si="83"/>
        <v>0</v>
      </c>
      <c r="O166" s="19">
        <f t="shared" si="84"/>
        <v>0</v>
      </c>
      <c r="P166" s="69">
        <f t="shared" si="77"/>
        <v>0</v>
      </c>
      <c r="V166" s="4">
        <v>21.92</v>
      </c>
      <c r="W166" s="4">
        <f t="shared" si="91"/>
        <v>18.1936</v>
      </c>
    </row>
    <row r="167" spans="1:23" ht="28.8" x14ac:dyDescent="0.25">
      <c r="A167" s="14" t="s">
        <v>265</v>
      </c>
      <c r="B167" s="15">
        <v>134545</v>
      </c>
      <c r="C167" s="16" t="s">
        <v>266</v>
      </c>
      <c r="D167" s="17" t="s">
        <v>267</v>
      </c>
      <c r="E167" s="16" t="s">
        <v>28</v>
      </c>
      <c r="F167" s="16" t="s">
        <v>16</v>
      </c>
      <c r="G167" s="18">
        <v>10</v>
      </c>
      <c r="H167" s="18">
        <v>0</v>
      </c>
      <c r="I167" s="18"/>
      <c r="J167" s="18">
        <f t="shared" si="81"/>
        <v>0</v>
      </c>
      <c r="K167" s="19">
        <v>7.7273000000000005</v>
      </c>
      <c r="L167" s="19">
        <f t="shared" si="90"/>
        <v>77.27300000000001</v>
      </c>
      <c r="M167" s="19">
        <f t="shared" si="82"/>
        <v>0</v>
      </c>
      <c r="N167" s="19">
        <f t="shared" si="83"/>
        <v>0</v>
      </c>
      <c r="O167" s="19">
        <f t="shared" si="84"/>
        <v>0</v>
      </c>
      <c r="P167" s="69">
        <f t="shared" si="77"/>
        <v>0</v>
      </c>
      <c r="V167" s="4">
        <v>9.31</v>
      </c>
      <c r="W167" s="4">
        <f t="shared" si="91"/>
        <v>7.7273000000000005</v>
      </c>
    </row>
    <row r="168" spans="1:23" ht="43.2" x14ac:dyDescent="0.25">
      <c r="A168" s="14" t="s">
        <v>268</v>
      </c>
      <c r="B168" s="15">
        <v>134594</v>
      </c>
      <c r="C168" s="15">
        <v>91953</v>
      </c>
      <c r="D168" s="17" t="s">
        <v>269</v>
      </c>
      <c r="E168" s="16" t="s">
        <v>28</v>
      </c>
      <c r="F168" s="16" t="s">
        <v>16</v>
      </c>
      <c r="G168" s="18">
        <v>17</v>
      </c>
      <c r="H168" s="18">
        <v>0</v>
      </c>
      <c r="I168" s="18"/>
      <c r="J168" s="18">
        <f t="shared" si="81"/>
        <v>0</v>
      </c>
      <c r="K168" s="19">
        <v>19.139799999999997</v>
      </c>
      <c r="L168" s="19">
        <f t="shared" si="90"/>
        <v>325.37659999999994</v>
      </c>
      <c r="M168" s="19">
        <f t="shared" si="82"/>
        <v>0</v>
      </c>
      <c r="N168" s="19">
        <f t="shared" si="83"/>
        <v>0</v>
      </c>
      <c r="O168" s="19">
        <f t="shared" si="84"/>
        <v>0</v>
      </c>
      <c r="P168" s="69">
        <f t="shared" si="77"/>
        <v>0</v>
      </c>
      <c r="V168" s="4">
        <v>23.06</v>
      </c>
      <c r="W168" s="4">
        <f t="shared" si="91"/>
        <v>19.139799999999997</v>
      </c>
    </row>
    <row r="169" spans="1:23" ht="43.2" x14ac:dyDescent="0.25">
      <c r="A169" s="14" t="s">
        <v>270</v>
      </c>
      <c r="B169" s="15">
        <v>134600</v>
      </c>
      <c r="C169" s="15">
        <v>91959</v>
      </c>
      <c r="D169" s="17" t="s">
        <v>271</v>
      </c>
      <c r="E169" s="16" t="s">
        <v>28</v>
      </c>
      <c r="F169" s="16" t="s">
        <v>16</v>
      </c>
      <c r="G169" s="18">
        <v>6</v>
      </c>
      <c r="H169" s="18">
        <v>0</v>
      </c>
      <c r="I169" s="18"/>
      <c r="J169" s="18">
        <f t="shared" si="81"/>
        <v>0</v>
      </c>
      <c r="K169" s="19">
        <v>30.336499999999997</v>
      </c>
      <c r="L169" s="19">
        <f t="shared" si="90"/>
        <v>182.01899999999998</v>
      </c>
      <c r="M169" s="19">
        <f t="shared" si="82"/>
        <v>0</v>
      </c>
      <c r="N169" s="19">
        <f t="shared" si="83"/>
        <v>0</v>
      </c>
      <c r="O169" s="19">
        <f t="shared" si="84"/>
        <v>0</v>
      </c>
      <c r="P169" s="69">
        <f t="shared" si="77"/>
        <v>0</v>
      </c>
      <c r="V169" s="4">
        <v>36.549999999999997</v>
      </c>
      <c r="W169" s="4">
        <f t="shared" si="91"/>
        <v>30.336499999999997</v>
      </c>
    </row>
    <row r="170" spans="1:23" ht="28.8" x14ac:dyDescent="0.25">
      <c r="A170" s="14" t="s">
        <v>272</v>
      </c>
      <c r="B170" s="15">
        <v>154540</v>
      </c>
      <c r="C170" s="15">
        <v>97586</v>
      </c>
      <c r="D170" s="17" t="s">
        <v>273</v>
      </c>
      <c r="E170" s="16" t="s">
        <v>28</v>
      </c>
      <c r="F170" s="16" t="s">
        <v>16</v>
      </c>
      <c r="G170" s="18">
        <v>57</v>
      </c>
      <c r="H170" s="18">
        <v>0</v>
      </c>
      <c r="I170" s="18"/>
      <c r="J170" s="18">
        <f t="shared" si="81"/>
        <v>0</v>
      </c>
      <c r="K170" s="19">
        <v>123.0724</v>
      </c>
      <c r="L170" s="19">
        <f t="shared" si="90"/>
        <v>7015.1268</v>
      </c>
      <c r="M170" s="19">
        <f t="shared" si="82"/>
        <v>0</v>
      </c>
      <c r="N170" s="19">
        <f t="shared" si="83"/>
        <v>0</v>
      </c>
      <c r="O170" s="19">
        <f t="shared" si="84"/>
        <v>0</v>
      </c>
      <c r="P170" s="69">
        <f t="shared" si="77"/>
        <v>0</v>
      </c>
      <c r="V170" s="4">
        <v>148.28</v>
      </c>
      <c r="W170" s="4">
        <f t="shared" si="91"/>
        <v>123.0724</v>
      </c>
    </row>
    <row r="171" spans="1:23" ht="28.8" x14ac:dyDescent="0.25">
      <c r="A171" s="14" t="s">
        <v>274</v>
      </c>
      <c r="B171" s="15">
        <v>154539</v>
      </c>
      <c r="C171" s="15">
        <v>97585</v>
      </c>
      <c r="D171" s="17" t="s">
        <v>275</v>
      </c>
      <c r="E171" s="16" t="s">
        <v>28</v>
      </c>
      <c r="F171" s="16" t="s">
        <v>16</v>
      </c>
      <c r="G171" s="18">
        <v>24</v>
      </c>
      <c r="H171" s="18">
        <v>0</v>
      </c>
      <c r="I171" s="18"/>
      <c r="J171" s="18">
        <f t="shared" si="81"/>
        <v>0</v>
      </c>
      <c r="K171" s="19">
        <v>89.963700000000003</v>
      </c>
      <c r="L171" s="19">
        <f t="shared" si="90"/>
        <v>2159.1288</v>
      </c>
      <c r="M171" s="19">
        <f t="shared" si="82"/>
        <v>0</v>
      </c>
      <c r="N171" s="19">
        <f t="shared" si="83"/>
        <v>0</v>
      </c>
      <c r="O171" s="19">
        <f t="shared" si="84"/>
        <v>0</v>
      </c>
      <c r="P171" s="69">
        <f t="shared" si="77"/>
        <v>0</v>
      </c>
      <c r="V171" s="4">
        <v>108.39</v>
      </c>
      <c r="W171" s="4">
        <f t="shared" si="91"/>
        <v>89.963700000000003</v>
      </c>
    </row>
    <row r="172" spans="1:23" ht="28.8" x14ac:dyDescent="0.25">
      <c r="A172" s="14" t="s">
        <v>401</v>
      </c>
      <c r="B172" s="15">
        <v>161961</v>
      </c>
      <c r="C172" s="16"/>
      <c r="D172" s="17" t="s">
        <v>276</v>
      </c>
      <c r="E172" s="16" t="s">
        <v>28</v>
      </c>
      <c r="F172" s="16" t="s">
        <v>16</v>
      </c>
      <c r="G172" s="18">
        <v>8</v>
      </c>
      <c r="H172" s="18">
        <v>0</v>
      </c>
      <c r="I172" s="18"/>
      <c r="J172" s="18">
        <f t="shared" si="81"/>
        <v>0</v>
      </c>
      <c r="K172" s="19">
        <v>40.180299999999995</v>
      </c>
      <c r="L172" s="19">
        <f t="shared" si="90"/>
        <v>321.44239999999996</v>
      </c>
      <c r="M172" s="19">
        <f t="shared" si="82"/>
        <v>0</v>
      </c>
      <c r="N172" s="19">
        <f t="shared" si="83"/>
        <v>0</v>
      </c>
      <c r="O172" s="19">
        <f t="shared" si="84"/>
        <v>0</v>
      </c>
      <c r="P172" s="69">
        <f t="shared" si="77"/>
        <v>0</v>
      </c>
      <c r="V172" s="4">
        <v>48.41</v>
      </c>
      <c r="W172" s="4">
        <f t="shared" si="91"/>
        <v>40.180299999999995</v>
      </c>
    </row>
    <row r="173" spans="1:23" ht="28.8" x14ac:dyDescent="0.25">
      <c r="A173" s="14" t="s">
        <v>402</v>
      </c>
      <c r="B173" s="15">
        <v>164037</v>
      </c>
      <c r="C173" s="16"/>
      <c r="D173" s="17" t="s">
        <v>277</v>
      </c>
      <c r="E173" s="16" t="s">
        <v>28</v>
      </c>
      <c r="F173" s="16" t="s">
        <v>16</v>
      </c>
      <c r="G173" s="18">
        <v>1</v>
      </c>
      <c r="H173" s="18">
        <v>0</v>
      </c>
      <c r="I173" s="18"/>
      <c r="J173" s="18">
        <f t="shared" si="81"/>
        <v>0</v>
      </c>
      <c r="K173" s="19">
        <v>103.92429999999999</v>
      </c>
      <c r="L173" s="19">
        <f t="shared" si="90"/>
        <v>103.92429999999999</v>
      </c>
      <c r="M173" s="19">
        <f t="shared" si="82"/>
        <v>0</v>
      </c>
      <c r="N173" s="19">
        <f t="shared" si="83"/>
        <v>0</v>
      </c>
      <c r="O173" s="19">
        <f t="shared" si="84"/>
        <v>0</v>
      </c>
      <c r="P173" s="69">
        <f t="shared" si="77"/>
        <v>0</v>
      </c>
      <c r="V173" s="4">
        <v>125.21</v>
      </c>
      <c r="W173" s="4">
        <f t="shared" si="91"/>
        <v>103.92429999999999</v>
      </c>
    </row>
    <row r="174" spans="1:23" ht="57.6" x14ac:dyDescent="0.25">
      <c r="A174" s="14" t="s">
        <v>403</v>
      </c>
      <c r="B174" s="15">
        <v>134751</v>
      </c>
      <c r="C174" s="15">
        <v>93128</v>
      </c>
      <c r="D174" s="17" t="s">
        <v>278</v>
      </c>
      <c r="E174" s="16" t="s">
        <v>15</v>
      </c>
      <c r="F174" s="16" t="s">
        <v>16</v>
      </c>
      <c r="G174" s="18">
        <v>95</v>
      </c>
      <c r="H174" s="18">
        <v>0</v>
      </c>
      <c r="I174" s="18"/>
      <c r="J174" s="18">
        <f t="shared" si="81"/>
        <v>0</v>
      </c>
      <c r="K174" s="19">
        <v>107.85849999999999</v>
      </c>
      <c r="L174" s="19">
        <f t="shared" si="90"/>
        <v>10246.557499999999</v>
      </c>
      <c r="M174" s="19">
        <f t="shared" si="82"/>
        <v>0</v>
      </c>
      <c r="N174" s="19">
        <f t="shared" si="83"/>
        <v>0</v>
      </c>
      <c r="O174" s="19">
        <f t="shared" si="84"/>
        <v>0</v>
      </c>
      <c r="P174" s="69">
        <f t="shared" si="77"/>
        <v>0</v>
      </c>
      <c r="V174" s="4">
        <v>129.94999999999999</v>
      </c>
      <c r="W174" s="4">
        <f t="shared" si="91"/>
        <v>107.85849999999999</v>
      </c>
    </row>
    <row r="175" spans="1:23" ht="43.2" x14ac:dyDescent="0.25">
      <c r="A175" s="14" t="s">
        <v>404</v>
      </c>
      <c r="B175" s="15">
        <v>134755</v>
      </c>
      <c r="C175" s="15">
        <v>93141</v>
      </c>
      <c r="D175" s="17" t="s">
        <v>279</v>
      </c>
      <c r="E175" s="16" t="s">
        <v>28</v>
      </c>
      <c r="F175" s="16" t="s">
        <v>16</v>
      </c>
      <c r="G175" s="18">
        <v>18</v>
      </c>
      <c r="H175" s="18">
        <v>0</v>
      </c>
      <c r="I175" s="18"/>
      <c r="J175" s="18">
        <f t="shared" si="81"/>
        <v>0</v>
      </c>
      <c r="K175" s="19">
        <v>134.2774</v>
      </c>
      <c r="L175" s="19">
        <f t="shared" si="90"/>
        <v>2416.9931999999999</v>
      </c>
      <c r="M175" s="19">
        <f t="shared" si="82"/>
        <v>0</v>
      </c>
      <c r="N175" s="19">
        <f t="shared" si="83"/>
        <v>0</v>
      </c>
      <c r="O175" s="19">
        <f t="shared" si="84"/>
        <v>0</v>
      </c>
      <c r="P175" s="69">
        <f t="shared" si="77"/>
        <v>0</v>
      </c>
      <c r="V175" s="4">
        <v>161.78</v>
      </c>
      <c r="W175" s="4">
        <f t="shared" si="91"/>
        <v>134.2774</v>
      </c>
    </row>
    <row r="176" spans="1:23" ht="43.2" x14ac:dyDescent="0.25">
      <c r="A176" s="14" t="s">
        <v>405</v>
      </c>
      <c r="B176" s="15">
        <v>134757</v>
      </c>
      <c r="C176" s="15">
        <v>93143</v>
      </c>
      <c r="D176" s="17" t="s">
        <v>280</v>
      </c>
      <c r="E176" s="16" t="s">
        <v>28</v>
      </c>
      <c r="F176" s="16" t="s">
        <v>16</v>
      </c>
      <c r="G176" s="18">
        <v>12</v>
      </c>
      <c r="H176" s="18">
        <v>0</v>
      </c>
      <c r="I176" s="18"/>
      <c r="J176" s="18">
        <f t="shared" si="81"/>
        <v>0</v>
      </c>
      <c r="K176" s="19">
        <v>136.1283</v>
      </c>
      <c r="L176" s="19">
        <f t="shared" si="90"/>
        <v>1633.5396000000001</v>
      </c>
      <c r="M176" s="19">
        <f t="shared" si="82"/>
        <v>0</v>
      </c>
      <c r="N176" s="19">
        <f t="shared" si="83"/>
        <v>0</v>
      </c>
      <c r="O176" s="19">
        <f t="shared" si="84"/>
        <v>0</v>
      </c>
      <c r="P176" s="69">
        <f t="shared" si="77"/>
        <v>0</v>
      </c>
      <c r="V176" s="4">
        <v>164.01</v>
      </c>
      <c r="W176" s="4">
        <f t="shared" si="91"/>
        <v>136.1283</v>
      </c>
    </row>
    <row r="177" spans="1:23" ht="43.2" x14ac:dyDescent="0.25">
      <c r="A177" s="14" t="s">
        <v>406</v>
      </c>
      <c r="B177" s="15">
        <v>144093</v>
      </c>
      <c r="C177" s="15">
        <v>93144</v>
      </c>
      <c r="D177" s="17" t="s">
        <v>281</v>
      </c>
      <c r="E177" s="16" t="s">
        <v>28</v>
      </c>
      <c r="F177" s="16" t="s">
        <v>16</v>
      </c>
      <c r="G177" s="18">
        <v>2</v>
      </c>
      <c r="H177" s="18">
        <v>0</v>
      </c>
      <c r="I177" s="18"/>
      <c r="J177" s="18">
        <f t="shared" si="81"/>
        <v>0</v>
      </c>
      <c r="K177" s="19">
        <v>190.5265</v>
      </c>
      <c r="L177" s="19">
        <f t="shared" si="90"/>
        <v>381.053</v>
      </c>
      <c r="M177" s="19">
        <f t="shared" si="82"/>
        <v>0</v>
      </c>
      <c r="N177" s="19">
        <f t="shared" si="83"/>
        <v>0</v>
      </c>
      <c r="O177" s="19">
        <f t="shared" si="84"/>
        <v>0</v>
      </c>
      <c r="P177" s="69">
        <f t="shared" si="77"/>
        <v>0</v>
      </c>
      <c r="V177" s="4">
        <v>229.55</v>
      </c>
      <c r="W177" s="4">
        <f t="shared" si="91"/>
        <v>190.5265</v>
      </c>
    </row>
    <row r="178" spans="1:23" ht="57.6" x14ac:dyDescent="0.25">
      <c r="A178" s="14" t="s">
        <v>407</v>
      </c>
      <c r="B178" s="15">
        <v>134758</v>
      </c>
      <c r="C178" s="15">
        <v>93144</v>
      </c>
      <c r="D178" s="17" t="s">
        <v>282</v>
      </c>
      <c r="E178" s="16" t="s">
        <v>28</v>
      </c>
      <c r="F178" s="16" t="s">
        <v>16</v>
      </c>
      <c r="G178" s="18">
        <v>15</v>
      </c>
      <c r="H178" s="18">
        <v>0</v>
      </c>
      <c r="I178" s="18"/>
      <c r="J178" s="18">
        <f t="shared" si="81"/>
        <v>0</v>
      </c>
      <c r="K178" s="19">
        <v>190.5265</v>
      </c>
      <c r="L178" s="19">
        <f t="shared" si="90"/>
        <v>2857.8975</v>
      </c>
      <c r="M178" s="19">
        <f t="shared" si="82"/>
        <v>0</v>
      </c>
      <c r="N178" s="19">
        <f t="shared" si="83"/>
        <v>0</v>
      </c>
      <c r="O178" s="19">
        <f t="shared" si="84"/>
        <v>0</v>
      </c>
      <c r="P178" s="69">
        <f t="shared" si="77"/>
        <v>0</v>
      </c>
      <c r="V178" s="4">
        <v>229.55</v>
      </c>
      <c r="W178" s="4">
        <f t="shared" si="91"/>
        <v>190.5265</v>
      </c>
    </row>
    <row r="179" spans="1:23" ht="57.6" x14ac:dyDescent="0.25">
      <c r="A179" s="14" t="s">
        <v>408</v>
      </c>
      <c r="B179" s="15">
        <v>134557</v>
      </c>
      <c r="C179" s="16" t="s">
        <v>283</v>
      </c>
      <c r="D179" s="17" t="s">
        <v>284</v>
      </c>
      <c r="E179" s="16" t="s">
        <v>28</v>
      </c>
      <c r="F179" s="16" t="s">
        <v>16</v>
      </c>
      <c r="G179" s="18">
        <v>1</v>
      </c>
      <c r="H179" s="18">
        <v>0</v>
      </c>
      <c r="I179" s="18"/>
      <c r="J179" s="18">
        <f t="shared" si="81"/>
        <v>0</v>
      </c>
      <c r="K179" s="19">
        <v>607.00390000000004</v>
      </c>
      <c r="L179" s="19">
        <f t="shared" si="90"/>
        <v>607.00390000000004</v>
      </c>
      <c r="M179" s="19">
        <f t="shared" si="82"/>
        <v>0</v>
      </c>
      <c r="N179" s="19">
        <f t="shared" si="83"/>
        <v>0</v>
      </c>
      <c r="O179" s="19">
        <f t="shared" si="84"/>
        <v>0</v>
      </c>
      <c r="P179" s="69">
        <f t="shared" si="77"/>
        <v>0</v>
      </c>
      <c r="V179" s="4">
        <v>731.33</v>
      </c>
      <c r="W179" s="4">
        <f t="shared" si="91"/>
        <v>607.00390000000004</v>
      </c>
    </row>
    <row r="180" spans="1:23" ht="57.6" x14ac:dyDescent="0.25">
      <c r="A180" s="14" t="s">
        <v>409</v>
      </c>
      <c r="B180" s="15">
        <v>134562</v>
      </c>
      <c r="C180" s="15">
        <v>83463</v>
      </c>
      <c r="D180" s="17" t="s">
        <v>285</v>
      </c>
      <c r="E180" s="16" t="s">
        <v>28</v>
      </c>
      <c r="F180" s="16" t="s">
        <v>16</v>
      </c>
      <c r="G180" s="18">
        <v>1</v>
      </c>
      <c r="H180" s="18">
        <v>0</v>
      </c>
      <c r="I180" s="18"/>
      <c r="J180" s="18">
        <f t="shared" si="81"/>
        <v>0</v>
      </c>
      <c r="K180" s="19">
        <v>416.90070000000003</v>
      </c>
      <c r="L180" s="19">
        <f t="shared" si="90"/>
        <v>416.90070000000003</v>
      </c>
      <c r="M180" s="19">
        <f t="shared" si="82"/>
        <v>0</v>
      </c>
      <c r="N180" s="19">
        <f t="shared" si="83"/>
        <v>0</v>
      </c>
      <c r="O180" s="19">
        <f t="shared" si="84"/>
        <v>0</v>
      </c>
      <c r="P180" s="69">
        <f t="shared" si="77"/>
        <v>0</v>
      </c>
      <c r="V180" s="4">
        <v>502.29</v>
      </c>
      <c r="W180" s="4">
        <f t="shared" si="91"/>
        <v>416.90070000000003</v>
      </c>
    </row>
    <row r="181" spans="1:23" ht="43.2" x14ac:dyDescent="0.25">
      <c r="A181" s="14" t="s">
        <v>410</v>
      </c>
      <c r="B181" s="15">
        <v>163060</v>
      </c>
      <c r="C181" s="16" t="s">
        <v>286</v>
      </c>
      <c r="D181" s="17" t="s">
        <v>287</v>
      </c>
      <c r="E181" s="16" t="s">
        <v>15</v>
      </c>
      <c r="F181" s="16" t="s">
        <v>86</v>
      </c>
      <c r="G181" s="18">
        <v>25</v>
      </c>
      <c r="H181" s="18">
        <v>0</v>
      </c>
      <c r="I181" s="18"/>
      <c r="J181" s="18">
        <f t="shared" si="81"/>
        <v>0</v>
      </c>
      <c r="K181" s="19">
        <v>16.765999999999998</v>
      </c>
      <c r="L181" s="19">
        <f t="shared" si="90"/>
        <v>419.15</v>
      </c>
      <c r="M181" s="19">
        <f t="shared" si="82"/>
        <v>0</v>
      </c>
      <c r="N181" s="19">
        <f t="shared" si="83"/>
        <v>0</v>
      </c>
      <c r="O181" s="19">
        <f t="shared" si="84"/>
        <v>0</v>
      </c>
      <c r="P181" s="69">
        <f t="shared" si="77"/>
        <v>0</v>
      </c>
      <c r="V181" s="4">
        <v>20.2</v>
      </c>
      <c r="W181" s="4">
        <f t="shared" si="91"/>
        <v>16.765999999999998</v>
      </c>
    </row>
    <row r="182" spans="1:23" ht="28.8" x14ac:dyDescent="0.25">
      <c r="A182" s="14" t="s">
        <v>411</v>
      </c>
      <c r="B182" s="15">
        <v>153813</v>
      </c>
      <c r="C182" s="16"/>
      <c r="D182" s="17" t="s">
        <v>288</v>
      </c>
      <c r="E182" s="16" t="s">
        <v>15</v>
      </c>
      <c r="F182" s="16" t="s">
        <v>16</v>
      </c>
      <c r="G182" s="18">
        <v>3</v>
      </c>
      <c r="H182" s="18">
        <v>0</v>
      </c>
      <c r="I182" s="18"/>
      <c r="J182" s="18">
        <f t="shared" si="81"/>
        <v>0</v>
      </c>
      <c r="K182" s="19">
        <v>149.34190000000001</v>
      </c>
      <c r="L182" s="19">
        <f t="shared" si="90"/>
        <v>448.02570000000003</v>
      </c>
      <c r="M182" s="19">
        <f t="shared" si="82"/>
        <v>0</v>
      </c>
      <c r="N182" s="19">
        <f t="shared" si="83"/>
        <v>0</v>
      </c>
      <c r="O182" s="19">
        <f t="shared" si="84"/>
        <v>0</v>
      </c>
      <c r="P182" s="69">
        <f t="shared" si="77"/>
        <v>0</v>
      </c>
      <c r="V182" s="4">
        <v>179.93</v>
      </c>
      <c r="W182" s="4">
        <f t="shared" si="91"/>
        <v>149.34190000000001</v>
      </c>
    </row>
    <row r="183" spans="1:23" ht="72" x14ac:dyDescent="0.25">
      <c r="A183" s="14" t="s">
        <v>412</v>
      </c>
      <c r="B183" s="15">
        <v>153836</v>
      </c>
      <c r="C183" s="16"/>
      <c r="D183" s="17" t="s">
        <v>289</v>
      </c>
      <c r="E183" s="16" t="s">
        <v>15</v>
      </c>
      <c r="F183" s="16" t="s">
        <v>16</v>
      </c>
      <c r="G183" s="18">
        <v>1</v>
      </c>
      <c r="H183" s="18">
        <v>0</v>
      </c>
      <c r="I183" s="18"/>
      <c r="J183" s="18">
        <f t="shared" si="81"/>
        <v>0</v>
      </c>
      <c r="K183" s="19">
        <v>155.09380000000002</v>
      </c>
      <c r="L183" s="19">
        <f t="shared" si="90"/>
        <v>155.09380000000002</v>
      </c>
      <c r="M183" s="19">
        <f t="shared" si="82"/>
        <v>0</v>
      </c>
      <c r="N183" s="19">
        <f t="shared" si="83"/>
        <v>0</v>
      </c>
      <c r="O183" s="19">
        <f t="shared" si="84"/>
        <v>0</v>
      </c>
      <c r="P183" s="69">
        <f t="shared" si="77"/>
        <v>0</v>
      </c>
      <c r="V183" s="4">
        <v>186.86</v>
      </c>
      <c r="W183" s="4">
        <f t="shared" si="91"/>
        <v>155.09380000000002</v>
      </c>
    </row>
    <row r="184" spans="1:23" ht="28.8" x14ac:dyDescent="0.25">
      <c r="A184" s="14" t="s">
        <v>413</v>
      </c>
      <c r="B184" s="15">
        <v>152173</v>
      </c>
      <c r="C184" s="16"/>
      <c r="D184" s="17" t="s">
        <v>290</v>
      </c>
      <c r="E184" s="16" t="s">
        <v>15</v>
      </c>
      <c r="F184" s="16" t="s">
        <v>16</v>
      </c>
      <c r="G184" s="18">
        <v>1</v>
      </c>
      <c r="H184" s="18">
        <v>0</v>
      </c>
      <c r="I184" s="18"/>
      <c r="J184" s="18">
        <f t="shared" si="81"/>
        <v>0</v>
      </c>
      <c r="K184" s="19">
        <v>332.6225</v>
      </c>
      <c r="L184" s="19">
        <f t="shared" si="90"/>
        <v>332.6225</v>
      </c>
      <c r="M184" s="19">
        <f t="shared" si="82"/>
        <v>0</v>
      </c>
      <c r="N184" s="19">
        <f t="shared" si="83"/>
        <v>0</v>
      </c>
      <c r="O184" s="19">
        <f t="shared" si="84"/>
        <v>0</v>
      </c>
      <c r="P184" s="69">
        <f t="shared" si="77"/>
        <v>0</v>
      </c>
      <c r="V184" s="4">
        <v>400.75</v>
      </c>
      <c r="W184" s="4">
        <f t="shared" si="91"/>
        <v>332.6225</v>
      </c>
    </row>
    <row r="185" spans="1:23" ht="100.8" x14ac:dyDescent="0.25">
      <c r="A185" s="14" t="s">
        <v>414</v>
      </c>
      <c r="B185" s="15">
        <v>164422</v>
      </c>
      <c r="C185" s="16" t="s">
        <v>291</v>
      </c>
      <c r="D185" s="17" t="s">
        <v>292</v>
      </c>
      <c r="E185" s="16" t="s">
        <v>28</v>
      </c>
      <c r="F185" s="16" t="s">
        <v>16</v>
      </c>
      <c r="G185" s="18">
        <v>1</v>
      </c>
      <c r="H185" s="18">
        <v>0</v>
      </c>
      <c r="I185" s="18"/>
      <c r="J185" s="18">
        <f t="shared" si="81"/>
        <v>0</v>
      </c>
      <c r="K185" s="19">
        <v>1941.0711999999999</v>
      </c>
      <c r="L185" s="19">
        <f t="shared" si="90"/>
        <v>1941.0711999999999</v>
      </c>
      <c r="M185" s="19">
        <f t="shared" si="82"/>
        <v>0</v>
      </c>
      <c r="N185" s="19">
        <f t="shared" si="83"/>
        <v>0</v>
      </c>
      <c r="O185" s="19">
        <f t="shared" si="84"/>
        <v>0</v>
      </c>
      <c r="P185" s="69">
        <f t="shared" si="77"/>
        <v>0</v>
      </c>
      <c r="V185" s="4">
        <v>2338.64</v>
      </c>
      <c r="W185" s="4">
        <f t="shared" si="91"/>
        <v>1941.0711999999999</v>
      </c>
    </row>
    <row r="186" spans="1:23" x14ac:dyDescent="0.25">
      <c r="A186" s="10" t="s">
        <v>293</v>
      </c>
      <c r="B186" s="9"/>
      <c r="C186" s="9"/>
      <c r="D186" s="11"/>
      <c r="E186" s="9"/>
      <c r="F186" s="9"/>
      <c r="G186" s="12"/>
      <c r="H186" s="12"/>
      <c r="I186" s="12"/>
      <c r="J186" s="18"/>
      <c r="K186" s="13"/>
      <c r="L186" s="13">
        <f>SUM(L187:L196)</f>
        <v>14362.552399999997</v>
      </c>
      <c r="M186" s="13">
        <f t="shared" ref="M186:O186" si="92">SUM(M187:M196)</f>
        <v>0</v>
      </c>
      <c r="N186" s="13">
        <f t="shared" si="92"/>
        <v>0</v>
      </c>
      <c r="O186" s="13">
        <f t="shared" si="92"/>
        <v>0</v>
      </c>
      <c r="P186" s="69">
        <f t="shared" si="77"/>
        <v>0</v>
      </c>
    </row>
    <row r="187" spans="1:23" x14ac:dyDescent="0.25">
      <c r="A187" s="14" t="s">
        <v>294</v>
      </c>
      <c r="B187" s="15">
        <v>161857</v>
      </c>
      <c r="C187" s="16" t="s">
        <v>295</v>
      </c>
      <c r="D187" s="17" t="s">
        <v>296</v>
      </c>
      <c r="E187" s="16" t="s">
        <v>15</v>
      </c>
      <c r="F187" s="16" t="s">
        <v>16</v>
      </c>
      <c r="G187" s="18">
        <v>24</v>
      </c>
      <c r="H187" s="18">
        <v>0</v>
      </c>
      <c r="I187" s="18"/>
      <c r="J187" s="18">
        <f t="shared" si="81"/>
        <v>0</v>
      </c>
      <c r="K187" s="19">
        <v>16.193300000000001</v>
      </c>
      <c r="L187" s="19">
        <f t="shared" ref="L187:L196" si="93">G187*K187</f>
        <v>388.63920000000002</v>
      </c>
      <c r="M187" s="19">
        <f t="shared" si="82"/>
        <v>0</v>
      </c>
      <c r="N187" s="19">
        <f t="shared" si="83"/>
        <v>0</v>
      </c>
      <c r="O187" s="19">
        <f t="shared" si="84"/>
        <v>0</v>
      </c>
      <c r="P187" s="69">
        <f t="shared" si="77"/>
        <v>0</v>
      </c>
      <c r="V187" s="4">
        <v>19.510000000000002</v>
      </c>
      <c r="W187" s="4">
        <f t="shared" ref="W187:W196" si="94">V187-V187*$R$5</f>
        <v>16.193300000000001</v>
      </c>
    </row>
    <row r="188" spans="1:23" x14ac:dyDescent="0.25">
      <c r="A188" s="14" t="s">
        <v>297</v>
      </c>
      <c r="B188" s="15">
        <v>153782</v>
      </c>
      <c r="C188" s="16"/>
      <c r="D188" s="17" t="s">
        <v>298</v>
      </c>
      <c r="E188" s="16" t="s">
        <v>28</v>
      </c>
      <c r="F188" s="16" t="s">
        <v>16</v>
      </c>
      <c r="G188" s="18">
        <v>1</v>
      </c>
      <c r="H188" s="18">
        <v>0</v>
      </c>
      <c r="I188" s="18"/>
      <c r="J188" s="18">
        <f t="shared" si="81"/>
        <v>0</v>
      </c>
      <c r="K188" s="19">
        <v>910.99139999999989</v>
      </c>
      <c r="L188" s="19">
        <f t="shared" si="93"/>
        <v>910.99139999999989</v>
      </c>
      <c r="M188" s="19">
        <f t="shared" si="82"/>
        <v>0</v>
      </c>
      <c r="N188" s="19">
        <f t="shared" si="83"/>
        <v>0</v>
      </c>
      <c r="O188" s="19">
        <f t="shared" si="84"/>
        <v>0</v>
      </c>
      <c r="P188" s="69">
        <f t="shared" si="77"/>
        <v>0</v>
      </c>
      <c r="V188" s="4">
        <v>1097.58</v>
      </c>
      <c r="W188" s="4">
        <f t="shared" si="94"/>
        <v>910.99139999999989</v>
      </c>
    </row>
    <row r="189" spans="1:23" ht="43.2" x14ac:dyDescent="0.25">
      <c r="A189" s="14" t="s">
        <v>299</v>
      </c>
      <c r="B189" s="15">
        <v>153799</v>
      </c>
      <c r="C189" s="16"/>
      <c r="D189" s="17" t="s">
        <v>300</v>
      </c>
      <c r="E189" s="16" t="s">
        <v>15</v>
      </c>
      <c r="F189" s="16" t="s">
        <v>16</v>
      </c>
      <c r="G189" s="18">
        <v>1</v>
      </c>
      <c r="H189" s="18">
        <v>0</v>
      </c>
      <c r="I189" s="18"/>
      <c r="J189" s="18">
        <f t="shared" si="81"/>
        <v>0</v>
      </c>
      <c r="K189" s="19">
        <v>1904.85</v>
      </c>
      <c r="L189" s="19">
        <f t="shared" si="93"/>
        <v>1904.85</v>
      </c>
      <c r="M189" s="19">
        <f t="shared" si="82"/>
        <v>0</v>
      </c>
      <c r="N189" s="19">
        <f t="shared" si="83"/>
        <v>0</v>
      </c>
      <c r="O189" s="19">
        <f t="shared" si="84"/>
        <v>0</v>
      </c>
      <c r="P189" s="69">
        <f t="shared" si="77"/>
        <v>0</v>
      </c>
      <c r="V189" s="4">
        <v>2295</v>
      </c>
      <c r="W189" s="4">
        <f t="shared" si="94"/>
        <v>1904.85</v>
      </c>
    </row>
    <row r="190" spans="1:23" ht="57.6" x14ac:dyDescent="0.25">
      <c r="A190" s="14" t="s">
        <v>301</v>
      </c>
      <c r="B190" s="15">
        <v>144405</v>
      </c>
      <c r="C190" s="16"/>
      <c r="D190" s="17" t="s">
        <v>302</v>
      </c>
      <c r="E190" s="16" t="s">
        <v>28</v>
      </c>
      <c r="F190" s="16" t="s">
        <v>16</v>
      </c>
      <c r="G190" s="18">
        <v>2</v>
      </c>
      <c r="H190" s="18">
        <v>0</v>
      </c>
      <c r="I190" s="18"/>
      <c r="J190" s="18">
        <f t="shared" si="81"/>
        <v>0</v>
      </c>
      <c r="K190" s="19">
        <v>828.54750000000001</v>
      </c>
      <c r="L190" s="19">
        <f t="shared" si="93"/>
        <v>1657.095</v>
      </c>
      <c r="M190" s="19">
        <f t="shared" si="82"/>
        <v>0</v>
      </c>
      <c r="N190" s="19">
        <f t="shared" si="83"/>
        <v>0</v>
      </c>
      <c r="O190" s="19">
        <f t="shared" si="84"/>
        <v>0</v>
      </c>
      <c r="P190" s="69">
        <f t="shared" si="77"/>
        <v>0</v>
      </c>
      <c r="V190" s="4">
        <v>998.25</v>
      </c>
      <c r="W190" s="4">
        <f t="shared" si="94"/>
        <v>828.54750000000001</v>
      </c>
    </row>
    <row r="191" spans="1:23" ht="43.2" x14ac:dyDescent="0.25">
      <c r="A191" s="14" t="s">
        <v>303</v>
      </c>
      <c r="B191" s="15">
        <v>144404</v>
      </c>
      <c r="C191" s="16"/>
      <c r="D191" s="17" t="s">
        <v>304</v>
      </c>
      <c r="E191" s="16" t="s">
        <v>28</v>
      </c>
      <c r="F191" s="16" t="s">
        <v>16</v>
      </c>
      <c r="G191" s="18">
        <v>1</v>
      </c>
      <c r="H191" s="18">
        <v>0</v>
      </c>
      <c r="I191" s="18"/>
      <c r="J191" s="18">
        <f t="shared" si="81"/>
        <v>0</v>
      </c>
      <c r="K191" s="19">
        <v>729.93520000000001</v>
      </c>
      <c r="L191" s="19">
        <f t="shared" si="93"/>
        <v>729.93520000000001</v>
      </c>
      <c r="M191" s="19">
        <f t="shared" si="82"/>
        <v>0</v>
      </c>
      <c r="N191" s="19">
        <f t="shared" si="83"/>
        <v>0</v>
      </c>
      <c r="O191" s="19">
        <f t="shared" si="84"/>
        <v>0</v>
      </c>
      <c r="P191" s="69">
        <f t="shared" si="77"/>
        <v>0</v>
      </c>
      <c r="V191" s="4">
        <v>879.44</v>
      </c>
      <c r="W191" s="4">
        <f t="shared" si="94"/>
        <v>729.93520000000001</v>
      </c>
    </row>
    <row r="192" spans="1:23" ht="28.8" x14ac:dyDescent="0.25">
      <c r="A192" s="14" t="s">
        <v>305</v>
      </c>
      <c r="B192" s="15">
        <v>149129</v>
      </c>
      <c r="C192" s="16"/>
      <c r="D192" s="17" t="s">
        <v>306</v>
      </c>
      <c r="E192" s="16" t="s">
        <v>15</v>
      </c>
      <c r="F192" s="16" t="s">
        <v>16</v>
      </c>
      <c r="G192" s="18">
        <v>6</v>
      </c>
      <c r="H192" s="18">
        <v>0</v>
      </c>
      <c r="I192" s="18"/>
      <c r="J192" s="18">
        <f t="shared" si="81"/>
        <v>0</v>
      </c>
      <c r="K192" s="19">
        <v>978.77749999999992</v>
      </c>
      <c r="L192" s="19">
        <f t="shared" si="93"/>
        <v>5872.6649999999991</v>
      </c>
      <c r="M192" s="19">
        <f t="shared" si="82"/>
        <v>0</v>
      </c>
      <c r="N192" s="19">
        <f t="shared" si="83"/>
        <v>0</v>
      </c>
      <c r="O192" s="19">
        <f t="shared" si="84"/>
        <v>0</v>
      </c>
      <c r="P192" s="69">
        <f t="shared" si="77"/>
        <v>0</v>
      </c>
      <c r="V192" s="4">
        <v>1179.25</v>
      </c>
      <c r="W192" s="4">
        <f t="shared" si="94"/>
        <v>978.77749999999992</v>
      </c>
    </row>
    <row r="193" spans="1:23" ht="43.2" x14ac:dyDescent="0.25">
      <c r="A193" s="14" t="s">
        <v>307</v>
      </c>
      <c r="B193" s="15">
        <v>134804</v>
      </c>
      <c r="C193" s="16" t="s">
        <v>308</v>
      </c>
      <c r="D193" s="17" t="s">
        <v>309</v>
      </c>
      <c r="E193" s="16" t="s">
        <v>28</v>
      </c>
      <c r="F193" s="16" t="s">
        <v>16</v>
      </c>
      <c r="G193" s="18">
        <v>1</v>
      </c>
      <c r="H193" s="18">
        <v>0</v>
      </c>
      <c r="I193" s="18"/>
      <c r="J193" s="18">
        <f t="shared" si="81"/>
        <v>0</v>
      </c>
      <c r="K193" s="19">
        <v>196.48589999999999</v>
      </c>
      <c r="L193" s="19">
        <f t="shared" si="93"/>
        <v>196.48589999999999</v>
      </c>
      <c r="M193" s="19">
        <f t="shared" si="82"/>
        <v>0</v>
      </c>
      <c r="N193" s="19">
        <f t="shared" si="83"/>
        <v>0</v>
      </c>
      <c r="O193" s="19">
        <f t="shared" si="84"/>
        <v>0</v>
      </c>
      <c r="P193" s="69">
        <f t="shared" si="77"/>
        <v>0</v>
      </c>
      <c r="V193" s="4">
        <v>236.73</v>
      </c>
      <c r="W193" s="4">
        <f t="shared" si="94"/>
        <v>196.48589999999999</v>
      </c>
    </row>
    <row r="194" spans="1:23" ht="28.8" x14ac:dyDescent="0.25">
      <c r="A194" s="14" t="s">
        <v>310</v>
      </c>
      <c r="B194" s="15">
        <v>164429</v>
      </c>
      <c r="C194" s="16"/>
      <c r="D194" s="17" t="s">
        <v>311</v>
      </c>
      <c r="E194" s="16" t="s">
        <v>28</v>
      </c>
      <c r="F194" s="16" t="s">
        <v>16</v>
      </c>
      <c r="G194" s="18">
        <v>1</v>
      </c>
      <c r="H194" s="18">
        <v>0</v>
      </c>
      <c r="I194" s="18"/>
      <c r="J194" s="18">
        <f t="shared" si="81"/>
        <v>0</v>
      </c>
      <c r="K194" s="19">
        <v>785.83569999999997</v>
      </c>
      <c r="L194" s="19">
        <f t="shared" si="93"/>
        <v>785.83569999999997</v>
      </c>
      <c r="M194" s="19">
        <f t="shared" si="82"/>
        <v>0</v>
      </c>
      <c r="N194" s="19">
        <f t="shared" si="83"/>
        <v>0</v>
      </c>
      <c r="O194" s="19">
        <f t="shared" si="84"/>
        <v>0</v>
      </c>
      <c r="P194" s="69">
        <f t="shared" si="77"/>
        <v>0</v>
      </c>
      <c r="V194" s="4">
        <v>946.79</v>
      </c>
      <c r="W194" s="4">
        <f t="shared" si="94"/>
        <v>785.83569999999997</v>
      </c>
    </row>
    <row r="195" spans="1:23" ht="57.6" x14ac:dyDescent="0.25">
      <c r="A195" s="14" t="s">
        <v>312</v>
      </c>
      <c r="B195" s="15">
        <v>163391</v>
      </c>
      <c r="C195" s="16"/>
      <c r="D195" s="17" t="s">
        <v>313</v>
      </c>
      <c r="E195" s="16" t="s">
        <v>28</v>
      </c>
      <c r="F195" s="16" t="s">
        <v>34</v>
      </c>
      <c r="G195" s="18">
        <v>3</v>
      </c>
      <c r="H195" s="18">
        <v>0</v>
      </c>
      <c r="I195" s="18"/>
      <c r="J195" s="18">
        <f t="shared" si="81"/>
        <v>0</v>
      </c>
      <c r="K195" s="19">
        <v>249.8134</v>
      </c>
      <c r="L195" s="19">
        <f t="shared" si="93"/>
        <v>749.4402</v>
      </c>
      <c r="M195" s="19">
        <f t="shared" si="82"/>
        <v>0</v>
      </c>
      <c r="N195" s="19">
        <f t="shared" si="83"/>
        <v>0</v>
      </c>
      <c r="O195" s="19">
        <f t="shared" si="84"/>
        <v>0</v>
      </c>
      <c r="P195" s="69">
        <f t="shared" si="77"/>
        <v>0</v>
      </c>
      <c r="V195" s="4">
        <v>300.98</v>
      </c>
      <c r="W195" s="4">
        <f t="shared" si="94"/>
        <v>249.8134</v>
      </c>
    </row>
    <row r="196" spans="1:23" ht="28.8" x14ac:dyDescent="0.25">
      <c r="A196" s="14" t="s">
        <v>485</v>
      </c>
      <c r="B196" s="15">
        <v>134803</v>
      </c>
      <c r="C196" s="16" t="s">
        <v>314</v>
      </c>
      <c r="D196" s="17" t="s">
        <v>315</v>
      </c>
      <c r="E196" s="16" t="s">
        <v>28</v>
      </c>
      <c r="F196" s="16" t="s">
        <v>16</v>
      </c>
      <c r="G196" s="18">
        <v>2</v>
      </c>
      <c r="H196" s="18">
        <v>0</v>
      </c>
      <c r="I196" s="18"/>
      <c r="J196" s="18">
        <f t="shared" si="81"/>
        <v>0</v>
      </c>
      <c r="K196" s="19">
        <v>583.30739999999992</v>
      </c>
      <c r="L196" s="19">
        <f t="shared" si="93"/>
        <v>1166.6147999999998</v>
      </c>
      <c r="M196" s="19">
        <f t="shared" si="82"/>
        <v>0</v>
      </c>
      <c r="N196" s="19">
        <f t="shared" si="83"/>
        <v>0</v>
      </c>
      <c r="O196" s="19">
        <f t="shared" si="84"/>
        <v>0</v>
      </c>
      <c r="P196" s="69">
        <f t="shared" si="77"/>
        <v>0</v>
      </c>
      <c r="V196" s="4">
        <v>702.78</v>
      </c>
      <c r="W196" s="4">
        <f t="shared" si="94"/>
        <v>583.30739999999992</v>
      </c>
    </row>
    <row r="197" spans="1:23" x14ac:dyDescent="0.25">
      <c r="A197" s="10" t="s">
        <v>316</v>
      </c>
      <c r="B197" s="9"/>
      <c r="C197" s="9"/>
      <c r="D197" s="11"/>
      <c r="E197" s="9"/>
      <c r="F197" s="9"/>
      <c r="G197" s="12"/>
      <c r="H197" s="12"/>
      <c r="I197" s="12"/>
      <c r="J197" s="18"/>
      <c r="K197" s="13"/>
      <c r="L197" s="13">
        <f>SUM(L198:L199)</f>
        <v>2510.2852000000003</v>
      </c>
      <c r="M197" s="13">
        <f t="shared" ref="M197:O197" si="95">SUM(M198:M199)</f>
        <v>0</v>
      </c>
      <c r="N197" s="13">
        <f t="shared" si="95"/>
        <v>0</v>
      </c>
      <c r="O197" s="13">
        <f t="shared" si="95"/>
        <v>0</v>
      </c>
      <c r="P197" s="69">
        <f t="shared" si="77"/>
        <v>0</v>
      </c>
    </row>
    <row r="198" spans="1:23" x14ac:dyDescent="0.25">
      <c r="A198" s="14" t="s">
        <v>317</v>
      </c>
      <c r="B198" s="15">
        <v>136947</v>
      </c>
      <c r="C198" s="15">
        <v>9537</v>
      </c>
      <c r="D198" s="17" t="s">
        <v>318</v>
      </c>
      <c r="E198" s="16" t="s">
        <v>28</v>
      </c>
      <c r="F198" s="16" t="s">
        <v>34</v>
      </c>
      <c r="G198" s="18">
        <v>604</v>
      </c>
      <c r="H198" s="18">
        <v>0</v>
      </c>
      <c r="I198" s="18"/>
      <c r="J198" s="18">
        <f t="shared" si="81"/>
        <v>0</v>
      </c>
      <c r="K198" s="19">
        <v>2.1579999999999999</v>
      </c>
      <c r="L198" s="19">
        <f>G198*K198</f>
        <v>1303.432</v>
      </c>
      <c r="M198" s="19">
        <f t="shared" si="82"/>
        <v>0</v>
      </c>
      <c r="N198" s="19">
        <f t="shared" si="83"/>
        <v>0</v>
      </c>
      <c r="O198" s="19">
        <f t="shared" si="84"/>
        <v>0</v>
      </c>
      <c r="P198" s="69">
        <f t="shared" si="77"/>
        <v>0</v>
      </c>
      <c r="V198" s="4">
        <v>2.6</v>
      </c>
      <c r="W198" s="4">
        <f t="shared" ref="W198:W199" si="96">V198-V198*$R$5</f>
        <v>2.1579999999999999</v>
      </c>
    </row>
    <row r="199" spans="1:23" ht="43.2" x14ac:dyDescent="0.25">
      <c r="A199" s="14" t="s">
        <v>319</v>
      </c>
      <c r="B199" s="15">
        <v>154010</v>
      </c>
      <c r="C199" s="16" t="s">
        <v>320</v>
      </c>
      <c r="D199" s="17" t="s">
        <v>321</v>
      </c>
      <c r="E199" s="16" t="s">
        <v>28</v>
      </c>
      <c r="F199" s="16" t="s">
        <v>57</v>
      </c>
      <c r="G199" s="18">
        <v>36</v>
      </c>
      <c r="H199" s="18">
        <v>0</v>
      </c>
      <c r="I199" s="18"/>
      <c r="J199" s="18">
        <f t="shared" si="81"/>
        <v>0</v>
      </c>
      <c r="K199" s="19">
        <v>33.523699999999998</v>
      </c>
      <c r="L199" s="19">
        <f>G199*K199</f>
        <v>1206.8532</v>
      </c>
      <c r="M199" s="19">
        <f t="shared" si="82"/>
        <v>0</v>
      </c>
      <c r="N199" s="19">
        <f t="shared" si="83"/>
        <v>0</v>
      </c>
      <c r="O199" s="19">
        <f t="shared" si="84"/>
        <v>0</v>
      </c>
      <c r="P199" s="69">
        <f t="shared" si="77"/>
        <v>0</v>
      </c>
      <c r="V199" s="4">
        <v>40.39</v>
      </c>
      <c r="W199" s="4">
        <f t="shared" si="96"/>
        <v>33.523699999999998</v>
      </c>
    </row>
    <row r="200" spans="1:23" x14ac:dyDescent="0.25">
      <c r="A200" s="10" t="s">
        <v>322</v>
      </c>
      <c r="B200" s="9"/>
      <c r="C200" s="9"/>
      <c r="D200" s="11"/>
      <c r="E200" s="9"/>
      <c r="F200" s="9"/>
      <c r="G200" s="12"/>
      <c r="H200" s="12"/>
      <c r="I200" s="12"/>
      <c r="J200" s="18"/>
      <c r="K200" s="13"/>
      <c r="L200" s="13">
        <f>SUM(L201,L203,L206,L210,L212,L214,L221,L226,L230,)</f>
        <v>38961.254851999998</v>
      </c>
      <c r="M200" s="13">
        <f t="shared" ref="M200:O200" si="97">SUM(M201,M203,M206,M210,M212,M214,M221,M226,M230,)</f>
        <v>0</v>
      </c>
      <c r="N200" s="13">
        <f t="shared" si="97"/>
        <v>12439.530712000002</v>
      </c>
      <c r="O200" s="13">
        <f t="shared" si="97"/>
        <v>12439.530712000002</v>
      </c>
      <c r="P200" s="69">
        <f t="shared" si="77"/>
        <v>0.31927951908256985</v>
      </c>
      <c r="Q200" s="21"/>
    </row>
    <row r="201" spans="1:23" x14ac:dyDescent="0.25">
      <c r="A201" s="10" t="s">
        <v>323</v>
      </c>
      <c r="B201" s="9"/>
      <c r="C201" s="9"/>
      <c r="D201" s="11"/>
      <c r="E201" s="9"/>
      <c r="F201" s="9"/>
      <c r="G201" s="12"/>
      <c r="H201" s="12"/>
      <c r="I201" s="12"/>
      <c r="J201" s="18"/>
      <c r="K201" s="13"/>
      <c r="L201" s="13">
        <f>SUM(L202)</f>
        <v>436.24799999999993</v>
      </c>
      <c r="M201" s="13">
        <f t="shared" ref="M201:O201" si="98">SUM(M202)</f>
        <v>0</v>
      </c>
      <c r="N201" s="13">
        <f t="shared" si="98"/>
        <v>436.24799999999993</v>
      </c>
      <c r="O201" s="13">
        <f t="shared" si="98"/>
        <v>436.24799999999993</v>
      </c>
      <c r="P201" s="69" t="str">
        <f t="shared" si="77"/>
        <v/>
      </c>
    </row>
    <row r="202" spans="1:23" ht="43.2" x14ac:dyDescent="0.25">
      <c r="A202" s="14" t="s">
        <v>324</v>
      </c>
      <c r="B202" s="15">
        <v>163387</v>
      </c>
      <c r="C202" s="16" t="s">
        <v>36</v>
      </c>
      <c r="D202" s="17" t="s">
        <v>37</v>
      </c>
      <c r="E202" s="16" t="s">
        <v>28</v>
      </c>
      <c r="F202" s="16" t="s">
        <v>34</v>
      </c>
      <c r="G202" s="18">
        <v>72</v>
      </c>
      <c r="H202" s="18">
        <v>0</v>
      </c>
      <c r="I202" s="18">
        <f>G202</f>
        <v>72</v>
      </c>
      <c r="J202" s="18">
        <f t="shared" si="81"/>
        <v>72</v>
      </c>
      <c r="K202" s="19">
        <v>6.0589999999999993</v>
      </c>
      <c r="L202" s="19">
        <f>G202*K202</f>
        <v>436.24799999999993</v>
      </c>
      <c r="M202" s="19">
        <f t="shared" si="82"/>
        <v>0</v>
      </c>
      <c r="N202" s="19">
        <f t="shared" si="83"/>
        <v>436.24799999999993</v>
      </c>
      <c r="O202" s="19">
        <f t="shared" si="84"/>
        <v>436.24799999999993</v>
      </c>
      <c r="P202" s="69" t="str">
        <f t="shared" ref="P202:P236" si="99">IF(O202&lt;&gt;L202,O202/L202,"")</f>
        <v/>
      </c>
      <c r="V202" s="4">
        <v>7.3</v>
      </c>
      <c r="W202" s="4">
        <f>V202-V202*$R$5</f>
        <v>6.0589999999999993</v>
      </c>
    </row>
    <row r="203" spans="1:23" x14ac:dyDescent="0.25">
      <c r="A203" s="10" t="s">
        <v>325</v>
      </c>
      <c r="B203" s="9"/>
      <c r="C203" s="9"/>
      <c r="D203" s="11"/>
      <c r="E203" s="9"/>
      <c r="F203" s="9"/>
      <c r="G203" s="12"/>
      <c r="H203" s="12"/>
      <c r="I203" s="12"/>
      <c r="J203" s="18"/>
      <c r="K203" s="13"/>
      <c r="L203" s="13">
        <f>SUM(L204:L205)</f>
        <v>3886.5672960000002</v>
      </c>
      <c r="M203" s="13">
        <f t="shared" ref="M203:O203" si="100">SUM(M204:M205)</f>
        <v>0</v>
      </c>
      <c r="N203" s="13">
        <f t="shared" si="100"/>
        <v>3886.5672960000002</v>
      </c>
      <c r="O203" s="13">
        <f t="shared" si="100"/>
        <v>3886.5672960000002</v>
      </c>
      <c r="P203" s="69" t="str">
        <f t="shared" si="99"/>
        <v/>
      </c>
    </row>
    <row r="204" spans="1:23" ht="28.8" x14ac:dyDescent="0.25">
      <c r="A204" s="14" t="s">
        <v>326</v>
      </c>
      <c r="B204" s="15">
        <v>160239</v>
      </c>
      <c r="C204" s="16"/>
      <c r="D204" s="17" t="s">
        <v>56</v>
      </c>
      <c r="E204" s="16" t="s">
        <v>28</v>
      </c>
      <c r="F204" s="16" t="s">
        <v>57</v>
      </c>
      <c r="G204" s="18">
        <v>18.239999999999998</v>
      </c>
      <c r="H204" s="18">
        <v>0</v>
      </c>
      <c r="I204" s="18">
        <f>'MEMORIAL DE CÁLCULOS'!J116</f>
        <v>18.239999999999998</v>
      </c>
      <c r="J204" s="18">
        <f t="shared" si="81"/>
        <v>18.239999999999998</v>
      </c>
      <c r="K204" s="19">
        <v>63.113200000000006</v>
      </c>
      <c r="L204" s="19">
        <f>G204*K204</f>
        <v>1151.1847680000001</v>
      </c>
      <c r="M204" s="19">
        <f t="shared" si="82"/>
        <v>0</v>
      </c>
      <c r="N204" s="19">
        <f t="shared" si="83"/>
        <v>1151.1847680000001</v>
      </c>
      <c r="O204" s="19">
        <f t="shared" si="84"/>
        <v>1151.1847680000001</v>
      </c>
      <c r="P204" s="69" t="str">
        <f t="shared" si="99"/>
        <v/>
      </c>
      <c r="V204" s="4">
        <v>76.040000000000006</v>
      </c>
      <c r="W204" s="4">
        <f t="shared" ref="W204:W205" si="101">V204-V204*$R$5</f>
        <v>63.113200000000006</v>
      </c>
    </row>
    <row r="205" spans="1:23" ht="28.8" x14ac:dyDescent="0.25">
      <c r="A205" s="14" t="s">
        <v>327</v>
      </c>
      <c r="B205" s="15">
        <v>146934</v>
      </c>
      <c r="C205" s="15">
        <v>95467</v>
      </c>
      <c r="D205" s="17" t="s">
        <v>65</v>
      </c>
      <c r="E205" s="16" t="s">
        <v>28</v>
      </c>
      <c r="F205" s="16" t="s">
        <v>57</v>
      </c>
      <c r="G205" s="18">
        <v>8.64</v>
      </c>
      <c r="H205" s="18">
        <v>0</v>
      </c>
      <c r="I205" s="18">
        <f>'MEMORIAL DE CÁLCULOS'!J120</f>
        <v>8.64</v>
      </c>
      <c r="J205" s="18">
        <f t="shared" si="81"/>
        <v>8.64</v>
      </c>
      <c r="K205" s="19">
        <v>316.59519999999998</v>
      </c>
      <c r="L205" s="19">
        <f>G205*K205</f>
        <v>2735.3825280000001</v>
      </c>
      <c r="M205" s="19">
        <f t="shared" si="82"/>
        <v>0</v>
      </c>
      <c r="N205" s="19">
        <f t="shared" si="83"/>
        <v>2735.3825280000001</v>
      </c>
      <c r="O205" s="19">
        <f t="shared" si="84"/>
        <v>2735.3825280000001</v>
      </c>
      <c r="P205" s="69" t="str">
        <f t="shared" si="99"/>
        <v/>
      </c>
      <c r="V205" s="4">
        <v>381.44</v>
      </c>
      <c r="W205" s="4">
        <f t="shared" si="101"/>
        <v>316.59519999999998</v>
      </c>
    </row>
    <row r="206" spans="1:23" x14ac:dyDescent="0.25">
      <c r="A206" s="10" t="s">
        <v>328</v>
      </c>
      <c r="B206" s="9"/>
      <c r="C206" s="9"/>
      <c r="D206" s="11"/>
      <c r="E206" s="9"/>
      <c r="F206" s="9"/>
      <c r="G206" s="12"/>
      <c r="H206" s="12"/>
      <c r="I206" s="12"/>
      <c r="J206" s="18"/>
      <c r="K206" s="13"/>
      <c r="L206" s="13">
        <f>SUM(L207:L209)</f>
        <v>4403.6831920000004</v>
      </c>
      <c r="M206" s="13">
        <f t="shared" ref="M206:O206" si="102">SUM(M207:M209)</f>
        <v>0</v>
      </c>
      <c r="N206" s="13">
        <f t="shared" si="102"/>
        <v>4403.6831920000004</v>
      </c>
      <c r="O206" s="13">
        <f t="shared" si="102"/>
        <v>4403.6831920000004</v>
      </c>
      <c r="P206" s="69" t="str">
        <f t="shared" si="99"/>
        <v/>
      </c>
    </row>
    <row r="207" spans="1:23" ht="28.8" x14ac:dyDescent="0.25">
      <c r="A207" s="14" t="s">
        <v>329</v>
      </c>
      <c r="B207" s="15">
        <v>154476</v>
      </c>
      <c r="C207" s="15">
        <v>96616</v>
      </c>
      <c r="D207" s="17" t="s">
        <v>69</v>
      </c>
      <c r="E207" s="16" t="s">
        <v>28</v>
      </c>
      <c r="F207" s="16" t="s">
        <v>57</v>
      </c>
      <c r="G207" s="18">
        <v>1.5</v>
      </c>
      <c r="H207" s="18">
        <v>0</v>
      </c>
      <c r="I207" s="18">
        <f>'MEMORIAL DE CÁLCULOS'!J124</f>
        <v>1.5</v>
      </c>
      <c r="J207" s="18">
        <f t="shared" si="81"/>
        <v>1.5</v>
      </c>
      <c r="K207" s="19">
        <v>463.80399999999997</v>
      </c>
      <c r="L207" s="19">
        <f>G207*K207</f>
        <v>695.7059999999999</v>
      </c>
      <c r="M207" s="19">
        <f t="shared" si="82"/>
        <v>0</v>
      </c>
      <c r="N207" s="19">
        <f t="shared" si="83"/>
        <v>695.7059999999999</v>
      </c>
      <c r="O207" s="19">
        <f t="shared" si="84"/>
        <v>695.7059999999999</v>
      </c>
      <c r="P207" s="69" t="str">
        <f t="shared" si="99"/>
        <v/>
      </c>
      <c r="V207" s="4">
        <v>558.79999999999995</v>
      </c>
      <c r="W207" s="4">
        <f t="shared" ref="W207:W209" si="103">V207-V207*$R$5</f>
        <v>463.80399999999997</v>
      </c>
    </row>
    <row r="208" spans="1:23" ht="43.2" x14ac:dyDescent="0.25">
      <c r="A208" s="14" t="s">
        <v>330</v>
      </c>
      <c r="B208" s="15">
        <v>161024</v>
      </c>
      <c r="C208" s="16"/>
      <c r="D208" s="17" t="s">
        <v>71</v>
      </c>
      <c r="E208" s="16" t="s">
        <v>28</v>
      </c>
      <c r="F208" s="16" t="s">
        <v>57</v>
      </c>
      <c r="G208" s="18">
        <v>1.52</v>
      </c>
      <c r="H208" s="18">
        <v>0</v>
      </c>
      <c r="I208" s="18">
        <f>'MEMORIAL DE CÁLCULOS'!J128</f>
        <v>1.52</v>
      </c>
      <c r="J208" s="18">
        <f t="shared" si="81"/>
        <v>1.52</v>
      </c>
      <c r="K208" s="19">
        <v>1008.5329999999999</v>
      </c>
      <c r="L208" s="19">
        <f>G208*K208</f>
        <v>1532.9701599999999</v>
      </c>
      <c r="M208" s="19">
        <f t="shared" si="82"/>
        <v>0</v>
      </c>
      <c r="N208" s="19">
        <f t="shared" si="83"/>
        <v>1532.9701599999999</v>
      </c>
      <c r="O208" s="19">
        <f t="shared" si="84"/>
        <v>1532.9701599999999</v>
      </c>
      <c r="P208" s="69" t="str">
        <f t="shared" si="99"/>
        <v/>
      </c>
      <c r="V208" s="4">
        <v>1215.0999999999999</v>
      </c>
      <c r="W208" s="4">
        <f t="shared" si="103"/>
        <v>1008.5329999999999</v>
      </c>
    </row>
    <row r="209" spans="1:23" ht="43.2" x14ac:dyDescent="0.25">
      <c r="A209" s="14" t="s">
        <v>331</v>
      </c>
      <c r="B209" s="15">
        <v>161026</v>
      </c>
      <c r="C209" s="16"/>
      <c r="D209" s="17" t="s">
        <v>73</v>
      </c>
      <c r="E209" s="16" t="s">
        <v>28</v>
      </c>
      <c r="F209" s="16" t="s">
        <v>57</v>
      </c>
      <c r="G209" s="18">
        <v>2.16</v>
      </c>
      <c r="H209" s="18">
        <v>0</v>
      </c>
      <c r="I209" s="18">
        <f>'MEMORIAL DE CÁLCULOS'!J131</f>
        <v>2.16</v>
      </c>
      <c r="J209" s="18">
        <f t="shared" si="81"/>
        <v>2.16</v>
      </c>
      <c r="K209" s="19">
        <v>1006.9477000000001</v>
      </c>
      <c r="L209" s="19">
        <f>G209*K209</f>
        <v>2175.0070320000004</v>
      </c>
      <c r="M209" s="19">
        <f t="shared" si="82"/>
        <v>0</v>
      </c>
      <c r="N209" s="19">
        <f t="shared" si="83"/>
        <v>2175.0070320000004</v>
      </c>
      <c r="O209" s="19">
        <f t="shared" si="84"/>
        <v>2175.0070320000004</v>
      </c>
      <c r="P209" s="69" t="str">
        <f t="shared" si="99"/>
        <v/>
      </c>
      <c r="V209" s="4">
        <v>1213.19</v>
      </c>
      <c r="W209" s="4">
        <f t="shared" si="103"/>
        <v>1006.9477000000001</v>
      </c>
    </row>
    <row r="210" spans="1:23" x14ac:dyDescent="0.25">
      <c r="A210" s="10" t="s">
        <v>332</v>
      </c>
      <c r="B210" s="9"/>
      <c r="C210" s="9"/>
      <c r="D210" s="11"/>
      <c r="E210" s="9"/>
      <c r="F210" s="9"/>
      <c r="G210" s="12"/>
      <c r="H210" s="12"/>
      <c r="I210" s="12"/>
      <c r="J210" s="18"/>
      <c r="K210" s="13"/>
      <c r="L210" s="13">
        <f>L211</f>
        <v>3713.032224</v>
      </c>
      <c r="M210" s="13">
        <f t="shared" ref="M210:O210" si="104">M211</f>
        <v>0</v>
      </c>
      <c r="N210" s="13">
        <f t="shared" si="104"/>
        <v>3713.032224</v>
      </c>
      <c r="O210" s="13">
        <f t="shared" si="104"/>
        <v>3713.032224</v>
      </c>
      <c r="P210" s="69" t="str">
        <f t="shared" si="99"/>
        <v/>
      </c>
    </row>
    <row r="211" spans="1:23" ht="57.6" x14ac:dyDescent="0.25">
      <c r="A211" s="14" t="s">
        <v>333</v>
      </c>
      <c r="B211" s="15">
        <v>161031</v>
      </c>
      <c r="C211" s="16"/>
      <c r="D211" s="17" t="s">
        <v>78</v>
      </c>
      <c r="E211" s="16" t="s">
        <v>15</v>
      </c>
      <c r="F211" s="16" t="s">
        <v>57</v>
      </c>
      <c r="G211" s="18">
        <v>1.32</v>
      </c>
      <c r="H211" s="18">
        <v>0</v>
      </c>
      <c r="I211" s="18">
        <f>'MEMORIAL DE CÁLCULOS'!J135</f>
        <v>1.32</v>
      </c>
      <c r="J211" s="18">
        <f t="shared" si="81"/>
        <v>1.32</v>
      </c>
      <c r="K211" s="19">
        <v>2812.9031999999997</v>
      </c>
      <c r="L211" s="19">
        <f>G211*K211</f>
        <v>3713.032224</v>
      </c>
      <c r="M211" s="19">
        <f t="shared" si="82"/>
        <v>0</v>
      </c>
      <c r="N211" s="19">
        <f t="shared" si="83"/>
        <v>3713.032224</v>
      </c>
      <c r="O211" s="19">
        <f t="shared" si="84"/>
        <v>3713.032224</v>
      </c>
      <c r="P211" s="69" t="str">
        <f t="shared" si="99"/>
        <v/>
      </c>
      <c r="V211" s="4">
        <v>3389.04</v>
      </c>
      <c r="W211" s="4">
        <f>V211-V211*$R$5</f>
        <v>2812.9031999999997</v>
      </c>
    </row>
    <row r="212" spans="1:23" x14ac:dyDescent="0.25">
      <c r="A212" s="10" t="s">
        <v>334</v>
      </c>
      <c r="B212" s="9"/>
      <c r="C212" s="9"/>
      <c r="D212" s="11"/>
      <c r="E212" s="9"/>
      <c r="F212" s="9"/>
      <c r="G212" s="12"/>
      <c r="H212" s="12"/>
      <c r="I212" s="12"/>
      <c r="J212" s="18"/>
      <c r="K212" s="13"/>
      <c r="L212" s="13">
        <f>L213</f>
        <v>1021.8959999999998</v>
      </c>
      <c r="M212" s="13">
        <f t="shared" ref="M212:O212" si="105">M213</f>
        <v>0</v>
      </c>
      <c r="N212" s="13">
        <f t="shared" si="105"/>
        <v>0</v>
      </c>
      <c r="O212" s="13">
        <f t="shared" si="105"/>
        <v>0</v>
      </c>
      <c r="P212" s="69">
        <f t="shared" si="99"/>
        <v>0</v>
      </c>
    </row>
    <row r="213" spans="1:23" ht="57.6" x14ac:dyDescent="0.25">
      <c r="A213" s="14" t="s">
        <v>335</v>
      </c>
      <c r="B213" s="15">
        <v>160118</v>
      </c>
      <c r="C213" s="16"/>
      <c r="D213" s="17" t="s">
        <v>95</v>
      </c>
      <c r="E213" s="16" t="s">
        <v>28</v>
      </c>
      <c r="F213" s="16" t="s">
        <v>34</v>
      </c>
      <c r="G213" s="18">
        <v>30</v>
      </c>
      <c r="H213" s="18">
        <v>0</v>
      </c>
      <c r="I213" s="18"/>
      <c r="J213" s="18">
        <f t="shared" si="81"/>
        <v>0</v>
      </c>
      <c r="K213" s="19">
        <v>34.063199999999995</v>
      </c>
      <c r="L213" s="19">
        <f>G213*K213</f>
        <v>1021.8959999999998</v>
      </c>
      <c r="M213" s="19">
        <f t="shared" si="82"/>
        <v>0</v>
      </c>
      <c r="N213" s="19">
        <f t="shared" si="83"/>
        <v>0</v>
      </c>
      <c r="O213" s="19">
        <f t="shared" si="84"/>
        <v>0</v>
      </c>
      <c r="P213" s="69">
        <f t="shared" si="99"/>
        <v>0</v>
      </c>
      <c r="V213" s="4">
        <v>41.04</v>
      </c>
      <c r="W213" s="4">
        <f>V213-V213*$R$5</f>
        <v>34.063199999999995</v>
      </c>
    </row>
    <row r="214" spans="1:23" x14ac:dyDescent="0.25">
      <c r="A214" s="8" t="s">
        <v>336</v>
      </c>
      <c r="B214" s="9"/>
      <c r="C214" s="9"/>
      <c r="D214" s="11"/>
      <c r="E214" s="9"/>
      <c r="F214" s="9"/>
      <c r="G214" s="12"/>
      <c r="H214" s="12"/>
      <c r="I214" s="12"/>
      <c r="J214" s="18"/>
      <c r="K214" s="13"/>
      <c r="L214" s="13">
        <f>SUM(L215:L220)</f>
        <v>12255.211039999998</v>
      </c>
      <c r="M214" s="13">
        <f t="shared" ref="M214:O214" si="106">SUM(M215:M220)</f>
        <v>0</v>
      </c>
      <c r="N214" s="13">
        <f t="shared" si="106"/>
        <v>0</v>
      </c>
      <c r="O214" s="13">
        <f t="shared" si="106"/>
        <v>0</v>
      </c>
      <c r="P214" s="69">
        <f t="shared" si="99"/>
        <v>0</v>
      </c>
    </row>
    <row r="215" spans="1:23" ht="57.6" x14ac:dyDescent="0.25">
      <c r="A215" s="14" t="s">
        <v>337</v>
      </c>
      <c r="B215" s="15">
        <v>133392</v>
      </c>
      <c r="C215" s="15">
        <v>92565</v>
      </c>
      <c r="D215" s="17" t="s">
        <v>338</v>
      </c>
      <c r="E215" s="16" t="s">
        <v>28</v>
      </c>
      <c r="F215" s="16" t="s">
        <v>34</v>
      </c>
      <c r="G215" s="18">
        <v>0</v>
      </c>
      <c r="H215" s="18">
        <v>0</v>
      </c>
      <c r="I215" s="18"/>
      <c r="J215" s="18">
        <f t="shared" si="81"/>
        <v>0</v>
      </c>
      <c r="K215" s="19">
        <v>28.966999999999999</v>
      </c>
      <c r="L215" s="19">
        <f>G215*K215</f>
        <v>0</v>
      </c>
      <c r="M215" s="19">
        <f t="shared" si="82"/>
        <v>0</v>
      </c>
      <c r="N215" s="19">
        <f t="shared" si="83"/>
        <v>0</v>
      </c>
      <c r="O215" s="19">
        <f t="shared" si="84"/>
        <v>0</v>
      </c>
      <c r="P215" s="69" t="str">
        <f t="shared" si="99"/>
        <v/>
      </c>
      <c r="V215" s="4">
        <v>34.9</v>
      </c>
      <c r="W215" s="4">
        <f t="shared" ref="W215:W218" si="107">V215-V215*$R$5</f>
        <v>28.966999999999999</v>
      </c>
    </row>
    <row r="216" spans="1:23" ht="57.6" x14ac:dyDescent="0.25">
      <c r="A216" s="14" t="s">
        <v>339</v>
      </c>
      <c r="B216" s="15">
        <v>133365</v>
      </c>
      <c r="C216" s="15">
        <v>92260</v>
      </c>
      <c r="D216" s="17" t="s">
        <v>340</v>
      </c>
      <c r="E216" s="16" t="s">
        <v>28</v>
      </c>
      <c r="F216" s="16" t="s">
        <v>16</v>
      </c>
      <c r="G216" s="18">
        <v>0</v>
      </c>
      <c r="H216" s="18">
        <v>0</v>
      </c>
      <c r="I216" s="18"/>
      <c r="J216" s="18">
        <f t="shared" si="81"/>
        <v>0</v>
      </c>
      <c r="K216" s="19">
        <v>398.4581</v>
      </c>
      <c r="L216" s="19">
        <f>G216*K216</f>
        <v>0</v>
      </c>
      <c r="M216" s="19">
        <f t="shared" si="82"/>
        <v>0</v>
      </c>
      <c r="N216" s="19">
        <f t="shared" si="83"/>
        <v>0</v>
      </c>
      <c r="O216" s="19">
        <f t="shared" si="84"/>
        <v>0</v>
      </c>
      <c r="P216" s="69" t="str">
        <f t="shared" si="99"/>
        <v/>
      </c>
      <c r="V216" s="4">
        <v>480.07</v>
      </c>
      <c r="W216" s="4">
        <f t="shared" si="107"/>
        <v>398.4581</v>
      </c>
    </row>
    <row r="217" spans="1:23" ht="43.2" x14ac:dyDescent="0.25">
      <c r="A217" s="14" t="s">
        <v>341</v>
      </c>
      <c r="B217" s="15">
        <v>146764</v>
      </c>
      <c r="C217" s="15">
        <v>94445</v>
      </c>
      <c r="D217" s="17" t="s">
        <v>131</v>
      </c>
      <c r="E217" s="16" t="s">
        <v>28</v>
      </c>
      <c r="F217" s="16" t="s">
        <v>34</v>
      </c>
      <c r="G217" s="18">
        <v>83.16</v>
      </c>
      <c r="H217" s="18">
        <v>0</v>
      </c>
      <c r="I217" s="18"/>
      <c r="J217" s="18">
        <f t="shared" si="81"/>
        <v>0</v>
      </c>
      <c r="K217" s="19">
        <v>30.543999999999997</v>
      </c>
      <c r="L217" s="19">
        <f>G217*K217</f>
        <v>2540.0390399999997</v>
      </c>
      <c r="M217" s="19">
        <f t="shared" si="82"/>
        <v>0</v>
      </c>
      <c r="N217" s="19">
        <f t="shared" si="83"/>
        <v>0</v>
      </c>
      <c r="O217" s="19">
        <f t="shared" si="84"/>
        <v>0</v>
      </c>
      <c r="P217" s="69">
        <f t="shared" si="99"/>
        <v>0</v>
      </c>
      <c r="V217" s="4">
        <v>36.799999999999997</v>
      </c>
      <c r="W217" s="4">
        <f t="shared" si="107"/>
        <v>30.543999999999997</v>
      </c>
    </row>
    <row r="218" spans="1:23" ht="57.6" x14ac:dyDescent="0.25">
      <c r="A218" s="14" t="s">
        <v>342</v>
      </c>
      <c r="B218" s="15">
        <v>146775</v>
      </c>
      <c r="C218" s="15">
        <v>94221</v>
      </c>
      <c r="D218" s="17" t="s">
        <v>133</v>
      </c>
      <c r="E218" s="16" t="s">
        <v>28</v>
      </c>
      <c r="F218" s="16" t="s">
        <v>86</v>
      </c>
      <c r="G218" s="18">
        <v>12.6</v>
      </c>
      <c r="H218" s="18">
        <v>0</v>
      </c>
      <c r="I218" s="18"/>
      <c r="J218" s="18">
        <f t="shared" si="81"/>
        <v>0</v>
      </c>
      <c r="K218" s="19">
        <v>16.600000000000001</v>
      </c>
      <c r="L218" s="19">
        <f>G218*K218</f>
        <v>209.16000000000003</v>
      </c>
      <c r="M218" s="19">
        <f t="shared" si="82"/>
        <v>0</v>
      </c>
      <c r="N218" s="19">
        <f t="shared" si="83"/>
        <v>0</v>
      </c>
      <c r="O218" s="19">
        <f t="shared" si="84"/>
        <v>0</v>
      </c>
      <c r="P218" s="69">
        <f t="shared" si="99"/>
        <v>0</v>
      </c>
      <c r="V218" s="4">
        <v>20</v>
      </c>
      <c r="W218" s="4">
        <f t="shared" si="107"/>
        <v>16.600000000000001</v>
      </c>
    </row>
    <row r="219" spans="1:23" ht="43.2" x14ac:dyDescent="0.25">
      <c r="A219" s="14" t="s">
        <v>486</v>
      </c>
      <c r="B219" s="15"/>
      <c r="C219" s="15">
        <v>92548</v>
      </c>
      <c r="D219" s="17" t="s">
        <v>487</v>
      </c>
      <c r="E219" s="16" t="s">
        <v>28</v>
      </c>
      <c r="F219" s="16" t="s">
        <v>16</v>
      </c>
      <c r="G219" s="18">
        <v>4</v>
      </c>
      <c r="H219" s="18">
        <v>0</v>
      </c>
      <c r="I219" s="18"/>
      <c r="J219" s="18">
        <f t="shared" si="81"/>
        <v>0</v>
      </c>
      <c r="K219" s="19">
        <v>1093.76</v>
      </c>
      <c r="L219" s="19">
        <f t="shared" ref="L219:L220" si="108">G219*K219</f>
        <v>4375.04</v>
      </c>
      <c r="M219" s="19">
        <f t="shared" ref="M219:M220" si="109">H219*K219</f>
        <v>0</v>
      </c>
      <c r="N219" s="19">
        <f t="shared" ref="N219:N220" si="110">I219*K219</f>
        <v>0</v>
      </c>
      <c r="O219" s="19">
        <f t="shared" ref="O219:O220" si="111">J219*K219</f>
        <v>0</v>
      </c>
      <c r="P219" s="69">
        <f t="shared" si="99"/>
        <v>0</v>
      </c>
    </row>
    <row r="220" spans="1:23" ht="43.2" x14ac:dyDescent="0.25">
      <c r="A220" s="14" t="s">
        <v>488</v>
      </c>
      <c r="B220" s="15"/>
      <c r="C220" s="15">
        <v>92541</v>
      </c>
      <c r="D220" s="17" t="s">
        <v>489</v>
      </c>
      <c r="E220" s="16" t="s">
        <v>28</v>
      </c>
      <c r="F220" s="16" t="s">
        <v>34</v>
      </c>
      <c r="G220" s="18">
        <v>83.16</v>
      </c>
      <c r="H220" s="18">
        <v>0</v>
      </c>
      <c r="I220" s="18"/>
      <c r="J220" s="18">
        <f t="shared" si="81"/>
        <v>0</v>
      </c>
      <c r="K220" s="19">
        <v>61.7</v>
      </c>
      <c r="L220" s="19">
        <f t="shared" si="108"/>
        <v>5130.9719999999998</v>
      </c>
      <c r="M220" s="19">
        <f t="shared" si="109"/>
        <v>0</v>
      </c>
      <c r="N220" s="19">
        <f t="shared" si="110"/>
        <v>0</v>
      </c>
      <c r="O220" s="19">
        <f t="shared" si="111"/>
        <v>0</v>
      </c>
      <c r="P220" s="69">
        <f t="shared" si="99"/>
        <v>0</v>
      </c>
    </row>
    <row r="221" spans="1:23" x14ac:dyDescent="0.25">
      <c r="A221" s="10" t="s">
        <v>343</v>
      </c>
      <c r="B221" s="9"/>
      <c r="C221" s="9"/>
      <c r="D221" s="11"/>
      <c r="E221" s="9"/>
      <c r="F221" s="9"/>
      <c r="G221" s="12"/>
      <c r="H221" s="12"/>
      <c r="I221" s="12"/>
      <c r="J221" s="18"/>
      <c r="K221" s="13"/>
      <c r="L221" s="13">
        <f>SUM(L222:L225)</f>
        <v>2226.9564</v>
      </c>
      <c r="M221" s="13">
        <f t="shared" ref="M221:O221" si="112">SUM(M222:M225)</f>
        <v>0</v>
      </c>
      <c r="N221" s="13">
        <f t="shared" si="112"/>
        <v>0</v>
      </c>
      <c r="O221" s="13">
        <f t="shared" si="112"/>
        <v>0</v>
      </c>
      <c r="P221" s="69">
        <f t="shared" si="99"/>
        <v>0</v>
      </c>
    </row>
    <row r="222" spans="1:23" ht="28.8" x14ac:dyDescent="0.25">
      <c r="A222" s="14" t="s">
        <v>344</v>
      </c>
      <c r="B222" s="15">
        <v>160114</v>
      </c>
      <c r="C222" s="16"/>
      <c r="D222" s="17" t="s">
        <v>144</v>
      </c>
      <c r="E222" s="16" t="s">
        <v>28</v>
      </c>
      <c r="F222" s="16" t="s">
        <v>34</v>
      </c>
      <c r="G222" s="18">
        <v>60</v>
      </c>
      <c r="H222" s="18">
        <v>0</v>
      </c>
      <c r="I222" s="18"/>
      <c r="J222" s="18">
        <f t="shared" si="81"/>
        <v>0</v>
      </c>
      <c r="K222" s="19">
        <v>2.9714</v>
      </c>
      <c r="L222" s="19">
        <f>G222*K222</f>
        <v>178.28399999999999</v>
      </c>
      <c r="M222" s="19">
        <f t="shared" si="82"/>
        <v>0</v>
      </c>
      <c r="N222" s="19">
        <f t="shared" si="83"/>
        <v>0</v>
      </c>
      <c r="O222" s="19">
        <f t="shared" si="84"/>
        <v>0</v>
      </c>
      <c r="P222" s="69">
        <f t="shared" si="99"/>
        <v>0</v>
      </c>
      <c r="V222" s="4">
        <v>3.58</v>
      </c>
      <c r="W222" s="4">
        <f t="shared" ref="W222:W225" si="113">V222-V222*$R$5</f>
        <v>2.9714</v>
      </c>
    </row>
    <row r="223" spans="1:23" ht="43.2" x14ac:dyDescent="0.25">
      <c r="A223" s="14" t="s">
        <v>345</v>
      </c>
      <c r="B223" s="15">
        <v>161080</v>
      </c>
      <c r="C223" s="16" t="s">
        <v>146</v>
      </c>
      <c r="D223" s="17" t="s">
        <v>147</v>
      </c>
      <c r="E223" s="16" t="s">
        <v>28</v>
      </c>
      <c r="F223" s="16" t="s">
        <v>34</v>
      </c>
      <c r="G223" s="18">
        <v>40.5</v>
      </c>
      <c r="H223" s="18">
        <v>0</v>
      </c>
      <c r="I223" s="18"/>
      <c r="J223" s="18">
        <f t="shared" si="81"/>
        <v>0</v>
      </c>
      <c r="K223" s="19">
        <v>18.002700000000001</v>
      </c>
      <c r="L223" s="19">
        <f>G223*K223</f>
        <v>729.10935000000006</v>
      </c>
      <c r="M223" s="19">
        <f t="shared" si="82"/>
        <v>0</v>
      </c>
      <c r="N223" s="19">
        <f t="shared" si="83"/>
        <v>0</v>
      </c>
      <c r="O223" s="19">
        <f t="shared" si="84"/>
        <v>0</v>
      </c>
      <c r="P223" s="69">
        <f t="shared" si="99"/>
        <v>0</v>
      </c>
      <c r="V223" s="4">
        <v>21.69</v>
      </c>
      <c r="W223" s="4">
        <f t="shared" si="113"/>
        <v>18.002700000000001</v>
      </c>
    </row>
    <row r="224" spans="1:23" ht="43.2" x14ac:dyDescent="0.25">
      <c r="A224" s="14" t="s">
        <v>346</v>
      </c>
      <c r="B224" s="15">
        <v>160138</v>
      </c>
      <c r="C224" s="16"/>
      <c r="D224" s="17" t="s">
        <v>149</v>
      </c>
      <c r="E224" s="16" t="s">
        <v>28</v>
      </c>
      <c r="F224" s="16" t="s">
        <v>34</v>
      </c>
      <c r="G224" s="18">
        <v>19.5</v>
      </c>
      <c r="H224" s="18">
        <v>0</v>
      </c>
      <c r="I224" s="18"/>
      <c r="J224" s="18">
        <f t="shared" si="81"/>
        <v>0</v>
      </c>
      <c r="K224" s="19">
        <v>14.475200000000001</v>
      </c>
      <c r="L224" s="19">
        <f>G224*K224</f>
        <v>282.26640000000003</v>
      </c>
      <c r="M224" s="19">
        <f t="shared" si="82"/>
        <v>0</v>
      </c>
      <c r="N224" s="19">
        <f t="shared" si="83"/>
        <v>0</v>
      </c>
      <c r="O224" s="19">
        <f t="shared" si="84"/>
        <v>0</v>
      </c>
      <c r="P224" s="69">
        <f t="shared" si="99"/>
        <v>0</v>
      </c>
      <c r="V224" s="4">
        <v>17.440000000000001</v>
      </c>
      <c r="W224" s="4">
        <f t="shared" si="113"/>
        <v>14.475200000000001</v>
      </c>
    </row>
    <row r="225" spans="1:23" ht="57.6" x14ac:dyDescent="0.25">
      <c r="A225" s="14" t="s">
        <v>347</v>
      </c>
      <c r="B225" s="15">
        <v>160279</v>
      </c>
      <c r="C225" s="16"/>
      <c r="D225" s="17" t="s">
        <v>151</v>
      </c>
      <c r="E225" s="16" t="s">
        <v>28</v>
      </c>
      <c r="F225" s="16" t="s">
        <v>34</v>
      </c>
      <c r="G225" s="18">
        <v>19.5</v>
      </c>
      <c r="H225" s="18">
        <v>0</v>
      </c>
      <c r="I225" s="18"/>
      <c r="J225" s="18">
        <f t="shared" si="81"/>
        <v>0</v>
      </c>
      <c r="K225" s="19">
        <v>53.194700000000005</v>
      </c>
      <c r="L225" s="19">
        <f>G225*K225</f>
        <v>1037.29665</v>
      </c>
      <c r="M225" s="19">
        <f t="shared" si="82"/>
        <v>0</v>
      </c>
      <c r="N225" s="19">
        <f t="shared" si="83"/>
        <v>0</v>
      </c>
      <c r="O225" s="19">
        <f t="shared" si="84"/>
        <v>0</v>
      </c>
      <c r="P225" s="69">
        <f t="shared" si="99"/>
        <v>0</v>
      </c>
      <c r="V225" s="4">
        <v>64.09</v>
      </c>
      <c r="W225" s="4">
        <f t="shared" si="113"/>
        <v>53.194700000000005</v>
      </c>
    </row>
    <row r="226" spans="1:23" x14ac:dyDescent="0.25">
      <c r="A226" s="8" t="s">
        <v>348</v>
      </c>
      <c r="B226" s="9"/>
      <c r="C226" s="9"/>
      <c r="D226" s="11"/>
      <c r="E226" s="9"/>
      <c r="F226" s="9"/>
      <c r="G226" s="12"/>
      <c r="H226" s="12"/>
      <c r="I226" s="12"/>
      <c r="J226" s="18"/>
      <c r="K226" s="13"/>
      <c r="L226" s="13">
        <f>SUM(L227:L229)</f>
        <v>9507.3678</v>
      </c>
      <c r="M226" s="13">
        <f t="shared" ref="M226:O226" si="114">SUM(M227:M229)</f>
        <v>0</v>
      </c>
      <c r="N226" s="13">
        <f t="shared" si="114"/>
        <v>0</v>
      </c>
      <c r="O226" s="13">
        <f t="shared" si="114"/>
        <v>0</v>
      </c>
      <c r="P226" s="69">
        <f t="shared" si="99"/>
        <v>0</v>
      </c>
    </row>
    <row r="227" spans="1:23" ht="28.8" x14ac:dyDescent="0.25">
      <c r="A227" s="14" t="s">
        <v>349</v>
      </c>
      <c r="B227" s="15">
        <v>148340</v>
      </c>
      <c r="C227" s="16"/>
      <c r="D227" s="17" t="s">
        <v>183</v>
      </c>
      <c r="E227" s="16" t="s">
        <v>28</v>
      </c>
      <c r="F227" s="16" t="s">
        <v>57</v>
      </c>
      <c r="G227" s="18">
        <v>6</v>
      </c>
      <c r="H227" s="18">
        <v>0</v>
      </c>
      <c r="I227" s="18"/>
      <c r="J227" s="18">
        <f t="shared" ref="J227:J235" si="115">H227+I227</f>
        <v>0</v>
      </c>
      <c r="K227" s="19">
        <v>244.5429</v>
      </c>
      <c r="L227" s="19">
        <f>G227*K227</f>
        <v>1467.2574</v>
      </c>
      <c r="M227" s="19">
        <f t="shared" ref="M227:M235" si="116">H227*K227</f>
        <v>0</v>
      </c>
      <c r="N227" s="19">
        <f t="shared" ref="N227:N235" si="117">I227*K227</f>
        <v>0</v>
      </c>
      <c r="O227" s="19">
        <f t="shared" ref="O227:O235" si="118">J227*K227</f>
        <v>0</v>
      </c>
      <c r="P227" s="69">
        <f t="shared" si="99"/>
        <v>0</v>
      </c>
      <c r="V227" s="4">
        <v>294.63</v>
      </c>
      <c r="W227" s="4">
        <f t="shared" ref="W227:W229" si="119">V227-V227*$R$5</f>
        <v>244.5429</v>
      </c>
    </row>
    <row r="228" spans="1:23" ht="43.2" x14ac:dyDescent="0.25">
      <c r="A228" s="14" t="s">
        <v>350</v>
      </c>
      <c r="B228" s="15">
        <v>161085</v>
      </c>
      <c r="C228" s="16" t="s">
        <v>189</v>
      </c>
      <c r="D228" s="17" t="s">
        <v>190</v>
      </c>
      <c r="E228" s="16" t="s">
        <v>28</v>
      </c>
      <c r="F228" s="16" t="s">
        <v>34</v>
      </c>
      <c r="G228" s="18">
        <v>72</v>
      </c>
      <c r="H228" s="18">
        <v>0</v>
      </c>
      <c r="I228" s="18"/>
      <c r="J228" s="18">
        <f t="shared" si="115"/>
        <v>0</v>
      </c>
      <c r="K228" s="19">
        <v>95.557899999999989</v>
      </c>
      <c r="L228" s="19">
        <f>G228*K228</f>
        <v>6880.1687999999995</v>
      </c>
      <c r="M228" s="19">
        <f t="shared" si="116"/>
        <v>0</v>
      </c>
      <c r="N228" s="19">
        <f t="shared" si="117"/>
        <v>0</v>
      </c>
      <c r="O228" s="19">
        <f t="shared" si="118"/>
        <v>0</v>
      </c>
      <c r="P228" s="69">
        <f t="shared" si="99"/>
        <v>0</v>
      </c>
      <c r="V228" s="4">
        <v>115.13</v>
      </c>
      <c r="W228" s="4">
        <f t="shared" si="119"/>
        <v>95.557899999999989</v>
      </c>
    </row>
    <row r="229" spans="1:23" ht="28.8" x14ac:dyDescent="0.25">
      <c r="A229" s="14" t="s">
        <v>351</v>
      </c>
      <c r="B229" s="15">
        <v>162295</v>
      </c>
      <c r="C229" s="16"/>
      <c r="D229" s="17" t="s">
        <v>192</v>
      </c>
      <c r="E229" s="16" t="s">
        <v>28</v>
      </c>
      <c r="F229" s="16" t="s">
        <v>34</v>
      </c>
      <c r="G229" s="18">
        <v>72</v>
      </c>
      <c r="H229" s="18">
        <v>0</v>
      </c>
      <c r="I229" s="18"/>
      <c r="J229" s="18">
        <f t="shared" si="115"/>
        <v>0</v>
      </c>
      <c r="K229" s="19">
        <v>16.110299999999999</v>
      </c>
      <c r="L229" s="19">
        <f>G229*K229</f>
        <v>1159.9415999999999</v>
      </c>
      <c r="M229" s="19">
        <f t="shared" si="116"/>
        <v>0</v>
      </c>
      <c r="N229" s="19">
        <f t="shared" si="117"/>
        <v>0</v>
      </c>
      <c r="O229" s="19">
        <f t="shared" si="118"/>
        <v>0</v>
      </c>
      <c r="P229" s="69">
        <f t="shared" si="99"/>
        <v>0</v>
      </c>
      <c r="V229" s="4">
        <v>19.41</v>
      </c>
      <c r="W229" s="4">
        <f t="shared" si="119"/>
        <v>16.110299999999999</v>
      </c>
    </row>
    <row r="230" spans="1:23" x14ac:dyDescent="0.25">
      <c r="A230" s="8" t="s">
        <v>352</v>
      </c>
      <c r="B230" s="9"/>
      <c r="C230" s="9"/>
      <c r="D230" s="11"/>
      <c r="E230" s="9"/>
      <c r="F230" s="9"/>
      <c r="G230" s="12"/>
      <c r="H230" s="12"/>
      <c r="I230" s="12"/>
      <c r="J230" s="18"/>
      <c r="K230" s="13"/>
      <c r="L230" s="13">
        <f>SUM(L231:L235)</f>
        <v>1510.2929000000001</v>
      </c>
      <c r="M230" s="13">
        <f t="shared" ref="M230:O230" si="120">SUM(M231:M235)</f>
        <v>0</v>
      </c>
      <c r="N230" s="13">
        <f t="shared" si="120"/>
        <v>0</v>
      </c>
      <c r="O230" s="13">
        <f t="shared" si="120"/>
        <v>0</v>
      </c>
      <c r="P230" s="69">
        <f t="shared" si="99"/>
        <v>0</v>
      </c>
    </row>
    <row r="231" spans="1:23" ht="43.2" x14ac:dyDescent="0.25">
      <c r="A231" s="14" t="s">
        <v>353</v>
      </c>
      <c r="B231" s="15">
        <v>134755</v>
      </c>
      <c r="C231" s="15">
        <v>93141</v>
      </c>
      <c r="D231" s="17" t="s">
        <v>279</v>
      </c>
      <c r="E231" s="16" t="s">
        <v>28</v>
      </c>
      <c r="F231" s="16" t="s">
        <v>16</v>
      </c>
      <c r="G231" s="18">
        <v>4</v>
      </c>
      <c r="H231" s="18">
        <v>0</v>
      </c>
      <c r="I231" s="18"/>
      <c r="J231" s="18">
        <f t="shared" si="115"/>
        <v>0</v>
      </c>
      <c r="K231" s="19">
        <v>134.2774</v>
      </c>
      <c r="L231" s="19">
        <f>G231*K231</f>
        <v>537.1096</v>
      </c>
      <c r="M231" s="19">
        <f t="shared" si="116"/>
        <v>0</v>
      </c>
      <c r="N231" s="19">
        <f t="shared" si="117"/>
        <v>0</v>
      </c>
      <c r="O231" s="19">
        <f t="shared" si="118"/>
        <v>0</v>
      </c>
      <c r="P231" s="69">
        <f t="shared" si="99"/>
        <v>0</v>
      </c>
      <c r="V231" s="4">
        <v>161.78</v>
      </c>
      <c r="W231" s="4">
        <f t="shared" ref="W231:W235" si="121">V231-V231*$R$5</f>
        <v>134.2774</v>
      </c>
    </row>
    <row r="232" spans="1:23" ht="57.6" x14ac:dyDescent="0.25">
      <c r="A232" s="14" t="s">
        <v>354</v>
      </c>
      <c r="B232" s="15">
        <v>134751</v>
      </c>
      <c r="C232" s="15">
        <v>93128</v>
      </c>
      <c r="D232" s="17" t="s">
        <v>278</v>
      </c>
      <c r="E232" s="16" t="s">
        <v>15</v>
      </c>
      <c r="F232" s="16" t="s">
        <v>16</v>
      </c>
      <c r="G232" s="18">
        <v>4</v>
      </c>
      <c r="H232" s="18">
        <v>0</v>
      </c>
      <c r="I232" s="18"/>
      <c r="J232" s="18">
        <f t="shared" si="115"/>
        <v>0</v>
      </c>
      <c r="K232" s="19">
        <v>105.33529999999999</v>
      </c>
      <c r="L232" s="19">
        <f>G232*K232</f>
        <v>421.34119999999996</v>
      </c>
      <c r="M232" s="19">
        <f t="shared" si="116"/>
        <v>0</v>
      </c>
      <c r="N232" s="19">
        <f t="shared" si="117"/>
        <v>0</v>
      </c>
      <c r="O232" s="19">
        <f t="shared" si="118"/>
        <v>0</v>
      </c>
      <c r="P232" s="69">
        <f t="shared" si="99"/>
        <v>0</v>
      </c>
      <c r="V232" s="4">
        <v>126.91</v>
      </c>
      <c r="W232" s="4">
        <f t="shared" si="121"/>
        <v>105.33529999999999</v>
      </c>
    </row>
    <row r="233" spans="1:23" ht="57.6" x14ac:dyDescent="0.25">
      <c r="A233" s="14" t="s">
        <v>355</v>
      </c>
      <c r="B233" s="15">
        <v>162209</v>
      </c>
      <c r="C233" s="16"/>
      <c r="D233" s="17" t="s">
        <v>356</v>
      </c>
      <c r="E233" s="16" t="s">
        <v>15</v>
      </c>
      <c r="F233" s="16" t="s">
        <v>16</v>
      </c>
      <c r="G233" s="18">
        <v>4</v>
      </c>
      <c r="H233" s="18">
        <v>0</v>
      </c>
      <c r="I233" s="18"/>
      <c r="J233" s="18">
        <f t="shared" si="115"/>
        <v>0</v>
      </c>
      <c r="K233" s="19">
        <v>97.425399999999996</v>
      </c>
      <c r="L233" s="19">
        <f>G233*K233</f>
        <v>389.70159999999998</v>
      </c>
      <c r="M233" s="19">
        <f t="shared" si="116"/>
        <v>0</v>
      </c>
      <c r="N233" s="19">
        <f t="shared" si="117"/>
        <v>0</v>
      </c>
      <c r="O233" s="19">
        <f t="shared" si="118"/>
        <v>0</v>
      </c>
      <c r="P233" s="69">
        <f t="shared" si="99"/>
        <v>0</v>
      </c>
      <c r="V233" s="4">
        <v>117.38</v>
      </c>
      <c r="W233" s="4">
        <f t="shared" si="121"/>
        <v>97.425399999999996</v>
      </c>
    </row>
    <row r="234" spans="1:23" ht="43.2" x14ac:dyDescent="0.25">
      <c r="A234" s="14" t="s">
        <v>357</v>
      </c>
      <c r="B234" s="15">
        <v>134530</v>
      </c>
      <c r="C234" s="15">
        <v>91943</v>
      </c>
      <c r="D234" s="17" t="s">
        <v>358</v>
      </c>
      <c r="E234" s="16" t="s">
        <v>28</v>
      </c>
      <c r="F234" s="16" t="s">
        <v>16</v>
      </c>
      <c r="G234" s="18">
        <v>1</v>
      </c>
      <c r="H234" s="18">
        <v>0</v>
      </c>
      <c r="I234" s="18"/>
      <c r="J234" s="18">
        <f t="shared" si="115"/>
        <v>0</v>
      </c>
      <c r="K234" s="19">
        <v>12.740499999999999</v>
      </c>
      <c r="L234" s="19">
        <f>G234*K234</f>
        <v>12.740499999999999</v>
      </c>
      <c r="M234" s="19">
        <f t="shared" si="116"/>
        <v>0</v>
      </c>
      <c r="N234" s="19">
        <f t="shared" si="117"/>
        <v>0</v>
      </c>
      <c r="O234" s="19">
        <f t="shared" si="118"/>
        <v>0</v>
      </c>
      <c r="P234" s="69">
        <f t="shared" si="99"/>
        <v>0</v>
      </c>
      <c r="V234" s="4">
        <v>15.35</v>
      </c>
      <c r="W234" s="4">
        <f t="shared" si="121"/>
        <v>12.740499999999999</v>
      </c>
    </row>
    <row r="235" spans="1:23" ht="43.2" x14ac:dyDescent="0.25">
      <c r="A235" s="14" t="s">
        <v>359</v>
      </c>
      <c r="B235" s="15">
        <v>134458</v>
      </c>
      <c r="C235" s="15">
        <v>91927</v>
      </c>
      <c r="D235" s="17" t="s">
        <v>360</v>
      </c>
      <c r="E235" s="16" t="s">
        <v>28</v>
      </c>
      <c r="F235" s="16" t="s">
        <v>86</v>
      </c>
      <c r="G235" s="18">
        <v>30</v>
      </c>
      <c r="H235" s="18">
        <v>0</v>
      </c>
      <c r="I235" s="18"/>
      <c r="J235" s="18">
        <f t="shared" si="115"/>
        <v>0</v>
      </c>
      <c r="K235" s="19">
        <v>4.9800000000000004</v>
      </c>
      <c r="L235" s="19">
        <f>G235*K235</f>
        <v>149.4</v>
      </c>
      <c r="M235" s="19">
        <f t="shared" si="116"/>
        <v>0</v>
      </c>
      <c r="N235" s="19">
        <f t="shared" si="117"/>
        <v>0</v>
      </c>
      <c r="O235" s="19">
        <f t="shared" si="118"/>
        <v>0</v>
      </c>
      <c r="P235" s="69">
        <f t="shared" si="99"/>
        <v>0</v>
      </c>
      <c r="V235" s="4">
        <v>6</v>
      </c>
      <c r="W235" s="4">
        <f t="shared" si="121"/>
        <v>4.9800000000000004</v>
      </c>
    </row>
    <row r="236" spans="1:23" s="3" customFormat="1" ht="18" customHeight="1" x14ac:dyDescent="0.25">
      <c r="A236" s="81" t="s">
        <v>379</v>
      </c>
      <c r="B236" s="82"/>
      <c r="C236" s="82"/>
      <c r="D236" s="82"/>
      <c r="E236" s="82"/>
      <c r="F236" s="82"/>
      <c r="G236" s="82"/>
      <c r="H236" s="82"/>
      <c r="I236" s="82"/>
      <c r="J236" s="82"/>
      <c r="K236" s="83"/>
      <c r="L236" s="13">
        <f>L200+L18+L9</f>
        <v>1249356.4491324998</v>
      </c>
      <c r="M236" s="13">
        <f t="shared" ref="M236:O236" si="122">M200+M18+M9</f>
        <v>375420.67793499993</v>
      </c>
      <c r="N236" s="13">
        <f t="shared" si="122"/>
        <v>248853.99117599998</v>
      </c>
      <c r="O236" s="13">
        <f t="shared" si="122"/>
        <v>624274.66911100002</v>
      </c>
      <c r="P236" s="69">
        <f t="shared" si="99"/>
        <v>0.49967698933676608</v>
      </c>
      <c r="Q236" s="67"/>
      <c r="V236" s="4"/>
      <c r="W236" s="4"/>
    </row>
    <row r="237" spans="1:23" ht="18.600000000000001" customHeight="1" x14ac:dyDescent="0.25">
      <c r="A237" s="81" t="s">
        <v>378</v>
      </c>
      <c r="B237" s="82"/>
      <c r="C237" s="82"/>
      <c r="D237" s="82"/>
      <c r="E237" s="82"/>
      <c r="F237" s="82"/>
      <c r="G237" s="82"/>
      <c r="H237" s="82"/>
      <c r="I237" s="82"/>
      <c r="J237" s="82"/>
      <c r="K237" s="83"/>
      <c r="L237" s="84">
        <f>O236-M236</f>
        <v>248853.9911760001</v>
      </c>
      <c r="M237" s="85"/>
      <c r="N237" s="85"/>
      <c r="O237" s="86"/>
      <c r="Q237" s="68"/>
    </row>
    <row r="238" spans="1:23" ht="19.2" customHeight="1" x14ac:dyDescent="0.25">
      <c r="A238" s="87" t="s">
        <v>533</v>
      </c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9"/>
    </row>
  </sheetData>
  <mergeCells count="18">
    <mergeCell ref="K7:K8"/>
    <mergeCell ref="A237:K237"/>
    <mergeCell ref="L237:O237"/>
    <mergeCell ref="A238:O238"/>
    <mergeCell ref="A236:K236"/>
    <mergeCell ref="G7:J7"/>
    <mergeCell ref="F7:F8"/>
    <mergeCell ref="A7:A8"/>
    <mergeCell ref="B7:B8"/>
    <mergeCell ref="C7:C8"/>
    <mergeCell ref="D7:D8"/>
    <mergeCell ref="E7:E8"/>
    <mergeCell ref="L7:O7"/>
    <mergeCell ref="A1:O1"/>
    <mergeCell ref="A2:O2"/>
    <mergeCell ref="F3:J3"/>
    <mergeCell ref="F5:J5"/>
    <mergeCell ref="A6:O6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55AA-D2E8-48F9-8173-CFD932D163B5}">
  <sheetPr>
    <pageSetUpPr fitToPage="1"/>
  </sheetPr>
  <dimension ref="A1:M137"/>
  <sheetViews>
    <sheetView view="pageBreakPreview" topLeftCell="A2" zoomScaleNormal="100" zoomScaleSheetLayoutView="100" workbookViewId="0">
      <selection activeCell="A6" sqref="A6:K6"/>
    </sheetView>
  </sheetViews>
  <sheetFormatPr defaultColWidth="9.109375" defaultRowHeight="14.4" x14ac:dyDescent="0.3"/>
  <cols>
    <col min="1" max="1" width="9.109375" style="44"/>
    <col min="2" max="2" width="46.44140625" style="44" customWidth="1"/>
    <col min="3" max="3" width="9.6640625" style="44" customWidth="1"/>
    <col min="4" max="4" width="9.109375" style="44" customWidth="1"/>
    <col min="5" max="5" width="10.109375" style="44" customWidth="1"/>
    <col min="6" max="6" width="9.109375" style="44"/>
    <col min="7" max="7" width="15.109375" style="44" customWidth="1"/>
    <col min="8" max="16384" width="9.109375" style="44"/>
  </cols>
  <sheetData>
    <row r="1" spans="1:13" ht="18" hidden="1" customHeight="1" x14ac:dyDescent="0.3">
      <c r="A1" s="108" t="str">
        <f>[14]ORÇAMENTO!A1:J1</f>
        <v>ESTADO DA PARAÍBA</v>
      </c>
      <c r="B1" s="109"/>
      <c r="C1" s="109"/>
      <c r="D1" s="109"/>
      <c r="E1" s="109"/>
      <c r="F1" s="109"/>
      <c r="G1" s="109"/>
      <c r="H1" s="109"/>
      <c r="I1" s="109"/>
      <c r="J1" s="109"/>
      <c r="K1" s="110"/>
    </row>
    <row r="2" spans="1:13" ht="18" customHeight="1" x14ac:dyDescent="0.3">
      <c r="A2" s="111" t="s">
        <v>364</v>
      </c>
      <c r="B2" s="112"/>
      <c r="C2" s="112"/>
      <c r="D2" s="112"/>
      <c r="E2" s="112"/>
      <c r="F2" s="112"/>
      <c r="G2" s="112"/>
      <c r="H2" s="112"/>
      <c r="I2" s="112"/>
      <c r="J2" s="112"/>
      <c r="K2" s="113"/>
    </row>
    <row r="3" spans="1:13" ht="15.6" x14ac:dyDescent="0.3">
      <c r="A3" s="114" t="s">
        <v>377</v>
      </c>
      <c r="B3" s="115"/>
      <c r="C3" s="115"/>
      <c r="D3" s="115"/>
      <c r="E3" s="115"/>
      <c r="F3" s="115"/>
      <c r="G3" s="115"/>
      <c r="H3" s="115"/>
      <c r="I3" s="115"/>
      <c r="J3" s="115"/>
      <c r="K3" s="116"/>
    </row>
    <row r="4" spans="1:13" ht="16.8" customHeight="1" x14ac:dyDescent="0.3">
      <c r="A4" s="117" t="str">
        <f>'BM-03'!A3</f>
        <v>CONTRATO Nº 10004/2023</v>
      </c>
      <c r="B4" s="118"/>
      <c r="C4" s="118"/>
      <c r="D4" s="118"/>
      <c r="E4" s="118"/>
      <c r="F4" s="118"/>
      <c r="G4" s="118"/>
      <c r="H4" s="118"/>
      <c r="I4" s="118"/>
      <c r="J4" s="118"/>
      <c r="K4" s="119"/>
    </row>
    <row r="5" spans="1:13" ht="16.8" customHeight="1" x14ac:dyDescent="0.3">
      <c r="A5" s="120" t="str">
        <f>'BM-03'!A4</f>
        <v>OBRA: CONSTRUÇÃO DE UMA UNIDADE ESCOLAR DE 06 (SEIS) SALAS DE AULA PARA O MUNICÍPIO DE COREMAS-PB</v>
      </c>
      <c r="B5" s="121"/>
      <c r="C5" s="121"/>
      <c r="D5" s="121"/>
      <c r="E5" s="121"/>
      <c r="F5" s="121"/>
      <c r="G5" s="121"/>
      <c r="H5" s="121"/>
      <c r="I5" s="121"/>
      <c r="J5" s="121"/>
      <c r="K5" s="122"/>
    </row>
    <row r="6" spans="1:13" ht="21" x14ac:dyDescent="0.3">
      <c r="A6" s="107" t="s">
        <v>531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</row>
    <row r="7" spans="1:13" x14ac:dyDescent="0.3">
      <c r="A7" s="123" t="s">
        <v>5</v>
      </c>
      <c r="B7" s="123" t="s">
        <v>8</v>
      </c>
      <c r="C7" s="124" t="s">
        <v>383</v>
      </c>
      <c r="D7" s="124"/>
      <c r="E7" s="124"/>
      <c r="F7" s="124"/>
      <c r="G7" s="124" t="s">
        <v>384</v>
      </c>
      <c r="H7" s="124"/>
      <c r="I7" s="124" t="s">
        <v>385</v>
      </c>
      <c r="J7" s="124"/>
      <c r="K7" s="125" t="s">
        <v>386</v>
      </c>
    </row>
    <row r="8" spans="1:13" ht="27.6" x14ac:dyDescent="0.3">
      <c r="A8" s="123"/>
      <c r="B8" s="123"/>
      <c r="C8" s="45" t="s">
        <v>387</v>
      </c>
      <c r="D8" s="45" t="s">
        <v>388</v>
      </c>
      <c r="E8" s="45" t="s">
        <v>389</v>
      </c>
      <c r="F8" s="45" t="s">
        <v>390</v>
      </c>
      <c r="G8" s="45" t="s">
        <v>391</v>
      </c>
      <c r="H8" s="45" t="s">
        <v>392</v>
      </c>
      <c r="I8" s="45" t="s">
        <v>393</v>
      </c>
      <c r="J8" s="46" t="s">
        <v>394</v>
      </c>
      <c r="K8" s="125"/>
    </row>
    <row r="9" spans="1:13" ht="16.95" customHeight="1" x14ac:dyDescent="0.3">
      <c r="A9" s="47">
        <v>1</v>
      </c>
      <c r="B9" s="48" t="s">
        <v>395</v>
      </c>
      <c r="C9" s="49"/>
      <c r="D9" s="49"/>
      <c r="E9" s="49"/>
      <c r="F9" s="49"/>
      <c r="G9" s="49"/>
      <c r="H9" s="49"/>
      <c r="I9" s="49"/>
      <c r="J9" s="50"/>
      <c r="K9" s="51"/>
    </row>
    <row r="10" spans="1:13" ht="16.95" customHeight="1" x14ac:dyDescent="0.3">
      <c r="A10" s="47" t="s">
        <v>361</v>
      </c>
      <c r="B10" s="48" t="s">
        <v>396</v>
      </c>
      <c r="C10" s="49"/>
      <c r="D10" s="49"/>
      <c r="E10" s="49"/>
      <c r="F10" s="49"/>
      <c r="G10" s="49"/>
      <c r="H10" s="49"/>
      <c r="I10" s="49"/>
      <c r="J10" s="50"/>
      <c r="K10" s="51"/>
    </row>
    <row r="11" spans="1:13" ht="14.4" customHeight="1" x14ac:dyDescent="0.3">
      <c r="A11" s="52" t="str">
        <f>'BM-03'!A11</f>
        <v>1.1.1</v>
      </c>
      <c r="B11" s="103" t="str">
        <f>'BM-03'!D11</f>
        <v>ADMINSTRACAO LOCAL - PESSOAL</v>
      </c>
      <c r="C11" s="104"/>
      <c r="D11" s="104"/>
      <c r="E11" s="104"/>
      <c r="F11" s="104"/>
      <c r="G11" s="104"/>
      <c r="H11" s="104"/>
      <c r="I11" s="104"/>
      <c r="J11" s="53">
        <f>ROUND(SUM(J12:J12),2)</f>
        <v>1.36</v>
      </c>
      <c r="K11" s="54" t="str">
        <f>'BM-03'!F11</f>
        <v>UN</v>
      </c>
      <c r="M11" s="55"/>
    </row>
    <row r="12" spans="1:13" ht="14.4" customHeight="1" x14ac:dyDescent="0.3">
      <c r="A12" s="56"/>
      <c r="B12" s="57" t="s">
        <v>397</v>
      </c>
      <c r="C12" s="58">
        <v>1.36</v>
      </c>
      <c r="D12" s="58"/>
      <c r="E12" s="58"/>
      <c r="F12" s="58"/>
      <c r="G12" s="58"/>
      <c r="H12" s="58"/>
      <c r="I12" s="58"/>
      <c r="J12" s="59">
        <f>C12</f>
        <v>1.36</v>
      </c>
      <c r="K12" s="60"/>
    </row>
    <row r="13" spans="1:13" ht="14.4" customHeight="1" x14ac:dyDescent="0.3">
      <c r="A13" s="100"/>
      <c r="B13" s="101"/>
      <c r="C13" s="101"/>
      <c r="D13" s="101"/>
      <c r="E13" s="101"/>
      <c r="F13" s="101"/>
      <c r="G13" s="101"/>
      <c r="H13" s="101"/>
      <c r="I13" s="101"/>
      <c r="J13" s="101"/>
      <c r="K13" s="102"/>
    </row>
    <row r="14" spans="1:13" ht="14.4" customHeight="1" x14ac:dyDescent="0.3">
      <c r="A14" s="52" t="str">
        <f>'BM-03'!A12</f>
        <v>1.1.2</v>
      </c>
      <c r="B14" s="103" t="str">
        <f>'BM-03'!D12</f>
        <v>ADMINISTRACAO LOCAL - DESPESAS GERAIS MENSAIS</v>
      </c>
      <c r="C14" s="104"/>
      <c r="D14" s="104"/>
      <c r="E14" s="104"/>
      <c r="F14" s="104"/>
      <c r="G14" s="104"/>
      <c r="H14" s="104"/>
      <c r="I14" s="104"/>
      <c r="J14" s="53">
        <f>ROUND(SUM(J15:J15),2)</f>
        <v>1.36</v>
      </c>
      <c r="K14" s="54" t="str">
        <f>'BM-03'!F12</f>
        <v>UN</v>
      </c>
      <c r="M14" s="55"/>
    </row>
    <row r="15" spans="1:13" x14ac:dyDescent="0.3">
      <c r="A15" s="56"/>
      <c r="B15" s="57" t="s">
        <v>397</v>
      </c>
      <c r="C15" s="58">
        <v>1.36</v>
      </c>
      <c r="D15" s="58"/>
      <c r="E15" s="58"/>
      <c r="F15" s="58"/>
      <c r="G15" s="58"/>
      <c r="H15" s="58"/>
      <c r="I15" s="58"/>
      <c r="J15" s="59">
        <f>C15</f>
        <v>1.36</v>
      </c>
      <c r="K15" s="60"/>
    </row>
    <row r="16" spans="1:13" ht="14.4" customHeight="1" x14ac:dyDescent="0.3">
      <c r="A16" s="100"/>
      <c r="B16" s="101"/>
      <c r="C16" s="101"/>
      <c r="D16" s="101"/>
      <c r="E16" s="101"/>
      <c r="F16" s="101"/>
      <c r="G16" s="101"/>
      <c r="H16" s="101"/>
      <c r="I16" s="101"/>
      <c r="J16" s="101"/>
      <c r="K16" s="102"/>
    </row>
    <row r="17" spans="1:13" ht="14.4" customHeight="1" x14ac:dyDescent="0.3">
      <c r="A17" s="52" t="str">
        <f>'BM-03'!A13</f>
        <v>1.1.3</v>
      </c>
      <c r="B17" s="103" t="str">
        <f>'BM-03'!D13</f>
        <v>ADMINISTRACAO LOCAL - DESPESAS GERAIS FIXAS</v>
      </c>
      <c r="C17" s="104"/>
      <c r="D17" s="104"/>
      <c r="E17" s="104"/>
      <c r="F17" s="104"/>
      <c r="G17" s="104"/>
      <c r="H17" s="104"/>
      <c r="I17" s="104"/>
      <c r="J17" s="53">
        <f>ROUND(SUM(J18:J18),2)</f>
        <v>0.17</v>
      </c>
      <c r="K17" s="54" t="str">
        <f>'BM-03'!F13</f>
        <v>UN</v>
      </c>
      <c r="M17" s="55"/>
    </row>
    <row r="18" spans="1:13" x14ac:dyDescent="0.3">
      <c r="A18" s="56"/>
      <c r="B18" s="57" t="s">
        <v>397</v>
      </c>
      <c r="C18" s="58">
        <v>0.17</v>
      </c>
      <c r="D18" s="58"/>
      <c r="E18" s="58"/>
      <c r="F18" s="58"/>
      <c r="G18" s="58"/>
      <c r="H18" s="58"/>
      <c r="I18" s="58"/>
      <c r="J18" s="59">
        <f>C18</f>
        <v>0.17</v>
      </c>
      <c r="K18" s="60"/>
    </row>
    <row r="19" spans="1:13" ht="14.4" customHeight="1" x14ac:dyDescent="0.3">
      <c r="A19" s="100"/>
      <c r="B19" s="101"/>
      <c r="C19" s="101"/>
      <c r="D19" s="101"/>
      <c r="E19" s="101"/>
      <c r="F19" s="101"/>
      <c r="G19" s="101"/>
      <c r="H19" s="101"/>
      <c r="I19" s="101"/>
      <c r="J19" s="101"/>
      <c r="K19" s="102"/>
    </row>
    <row r="20" spans="1:13" ht="14.4" customHeight="1" x14ac:dyDescent="0.3">
      <c r="A20" s="52" t="str">
        <f>'BM-03'!A14</f>
        <v>1.1.4</v>
      </c>
      <c r="B20" s="103" t="str">
        <f>'BM-03'!D14</f>
        <v xml:space="preserve">ADMINISTRACAO   LOCAL   -   VECULOS   E EQUIPAMENTOS </v>
      </c>
      <c r="C20" s="104"/>
      <c r="D20" s="104"/>
      <c r="E20" s="104"/>
      <c r="F20" s="104"/>
      <c r="G20" s="104"/>
      <c r="H20" s="104"/>
      <c r="I20" s="104"/>
      <c r="J20" s="53">
        <f>ROUND(SUM(J21:J21),2)</f>
        <v>1.36</v>
      </c>
      <c r="K20" s="54" t="str">
        <f>'BM-03'!F14</f>
        <v>UN</v>
      </c>
      <c r="M20" s="55"/>
    </row>
    <row r="21" spans="1:13" x14ac:dyDescent="0.3">
      <c r="A21" s="56"/>
      <c r="B21" s="57" t="s">
        <v>397</v>
      </c>
      <c r="C21" s="58">
        <v>1.36</v>
      </c>
      <c r="D21" s="58"/>
      <c r="E21" s="58"/>
      <c r="F21" s="58"/>
      <c r="G21" s="58"/>
      <c r="H21" s="58"/>
      <c r="I21" s="58"/>
      <c r="J21" s="59">
        <f>C21</f>
        <v>1.36</v>
      </c>
      <c r="K21" s="60"/>
    </row>
    <row r="22" spans="1:13" ht="14.4" customHeight="1" x14ac:dyDescent="0.3">
      <c r="A22" s="100"/>
      <c r="B22" s="101"/>
      <c r="C22" s="101"/>
      <c r="D22" s="101"/>
      <c r="E22" s="101"/>
      <c r="F22" s="101"/>
      <c r="G22" s="101"/>
      <c r="H22" s="101"/>
      <c r="I22" s="101"/>
      <c r="J22" s="101"/>
      <c r="K22" s="102"/>
    </row>
    <row r="23" spans="1:13" ht="14.4" customHeight="1" x14ac:dyDescent="0.3">
      <c r="A23" s="52" t="str">
        <f>'BM-03'!A15</f>
        <v>1.1.5</v>
      </c>
      <c r="B23" s="103" t="str">
        <f>'BM-03'!D15</f>
        <v xml:space="preserve">ADMINISTRACAO   LOCAL   -   MOVEIS   E UTENSILIOS </v>
      </c>
      <c r="C23" s="104"/>
      <c r="D23" s="104"/>
      <c r="E23" s="104"/>
      <c r="F23" s="104"/>
      <c r="G23" s="104"/>
      <c r="H23" s="104"/>
      <c r="I23" s="104"/>
      <c r="J23" s="53">
        <f>ROUND(SUM(J24:J24),2)</f>
        <v>0.17</v>
      </c>
      <c r="K23" s="54" t="str">
        <f>'BM-03'!F15</f>
        <v>UN</v>
      </c>
      <c r="M23" s="55"/>
    </row>
    <row r="24" spans="1:13" x14ac:dyDescent="0.3">
      <c r="A24" s="56"/>
      <c r="B24" s="57" t="s">
        <v>397</v>
      </c>
      <c r="C24" s="58">
        <v>0.17</v>
      </c>
      <c r="D24" s="58"/>
      <c r="E24" s="58"/>
      <c r="F24" s="58"/>
      <c r="G24" s="58"/>
      <c r="H24" s="58"/>
      <c r="I24" s="58"/>
      <c r="J24" s="59">
        <f>C24</f>
        <v>0.17</v>
      </c>
      <c r="K24" s="60"/>
    </row>
    <row r="25" spans="1:13" ht="14.4" customHeight="1" x14ac:dyDescent="0.3">
      <c r="A25" s="100"/>
      <c r="B25" s="101"/>
      <c r="C25" s="101"/>
      <c r="D25" s="101"/>
      <c r="E25" s="101"/>
      <c r="F25" s="101"/>
      <c r="G25" s="101"/>
      <c r="H25" s="101"/>
      <c r="I25" s="101"/>
      <c r="J25" s="101"/>
      <c r="K25" s="102"/>
    </row>
    <row r="26" spans="1:13" ht="16.95" customHeight="1" x14ac:dyDescent="0.3">
      <c r="A26" s="47">
        <v>2</v>
      </c>
      <c r="B26" s="48" t="s">
        <v>398</v>
      </c>
      <c r="C26" s="49"/>
      <c r="D26" s="49"/>
      <c r="E26" s="49"/>
      <c r="F26" s="49"/>
      <c r="G26" s="49"/>
      <c r="H26" s="49"/>
      <c r="I26" s="49"/>
      <c r="J26" s="50"/>
      <c r="K26" s="51"/>
    </row>
    <row r="27" spans="1:13" ht="16.95" customHeight="1" x14ac:dyDescent="0.3">
      <c r="A27" s="47" t="s">
        <v>362</v>
      </c>
      <c r="B27" s="48" t="s">
        <v>399</v>
      </c>
      <c r="C27" s="49"/>
      <c r="D27" s="49"/>
      <c r="E27" s="49"/>
      <c r="F27" s="49"/>
      <c r="G27" s="49"/>
      <c r="H27" s="49"/>
      <c r="I27" s="49"/>
      <c r="J27" s="50"/>
      <c r="K27" s="51"/>
    </row>
    <row r="28" spans="1:13" ht="14.4" customHeight="1" x14ac:dyDescent="0.3">
      <c r="A28" s="52" t="str">
        <f>'BM-03'!A32</f>
        <v>2.2.3</v>
      </c>
      <c r="B28" s="103" t="str">
        <f>'BM-03'!D32</f>
        <v>ATERRO  DO  CAIXAO  COM  AQUISICAO  DO MATERIAL/AREIA, APILOADO EM CAMADAS DE 0,20M</v>
      </c>
      <c r="C28" s="104"/>
      <c r="D28" s="104"/>
      <c r="E28" s="104"/>
      <c r="F28" s="104"/>
      <c r="G28" s="104"/>
      <c r="H28" s="104"/>
      <c r="I28" s="104"/>
      <c r="J28" s="53">
        <f>ROUND(SUM(J29:J29),2)</f>
        <v>55.31</v>
      </c>
      <c r="K28" s="54" t="str">
        <f>'BM-03'!F32</f>
        <v>M3</v>
      </c>
      <c r="M28" s="55"/>
    </row>
    <row r="29" spans="1:13" ht="41.4" x14ac:dyDescent="0.3">
      <c r="A29" s="61"/>
      <c r="B29" s="57" t="s">
        <v>504</v>
      </c>
      <c r="C29" s="58"/>
      <c r="D29" s="58"/>
      <c r="E29" s="58"/>
      <c r="F29" s="58"/>
      <c r="G29" s="57"/>
      <c r="H29" s="58"/>
      <c r="I29" s="58"/>
      <c r="J29" s="62">
        <f>0.1*(SUM(J30:J33))</f>
        <v>55.306611666666669</v>
      </c>
      <c r="K29" s="63"/>
    </row>
    <row r="30" spans="1:13" x14ac:dyDescent="0.3">
      <c r="A30" s="61"/>
      <c r="B30" s="57" t="s">
        <v>500</v>
      </c>
      <c r="C30" s="58">
        <v>1</v>
      </c>
      <c r="D30" s="58">
        <v>53.3</v>
      </c>
      <c r="E30" s="58">
        <v>8</v>
      </c>
      <c r="F30" s="58">
        <v>0.29999999999999993</v>
      </c>
      <c r="G30" s="58"/>
      <c r="H30" s="58"/>
      <c r="I30" s="58">
        <f>D30*E30*F30</f>
        <v>127.91999999999996</v>
      </c>
      <c r="J30" s="59">
        <f>C30*I30</f>
        <v>127.91999999999996</v>
      </c>
      <c r="K30" s="63"/>
    </row>
    <row r="31" spans="1:13" x14ac:dyDescent="0.3">
      <c r="A31" s="61"/>
      <c r="B31" s="57" t="s">
        <v>501</v>
      </c>
      <c r="C31" s="58">
        <v>1</v>
      </c>
      <c r="D31" s="58">
        <v>19.809999999999999</v>
      </c>
      <c r="E31" s="58">
        <v>1.8</v>
      </c>
      <c r="F31" s="58">
        <v>0.4</v>
      </c>
      <c r="G31" s="58"/>
      <c r="H31" s="58"/>
      <c r="I31" s="58">
        <f>D31*E31*F31</f>
        <v>14.263200000000001</v>
      </c>
      <c r="J31" s="59">
        <f>C31*I31</f>
        <v>14.263200000000001</v>
      </c>
      <c r="K31" s="63"/>
    </row>
    <row r="32" spans="1:13" x14ac:dyDescent="0.3">
      <c r="A32" s="61"/>
      <c r="B32" s="57" t="s">
        <v>502</v>
      </c>
      <c r="C32" s="58">
        <v>1</v>
      </c>
      <c r="D32" s="58">
        <v>12.35</v>
      </c>
      <c r="E32" s="58">
        <v>5</v>
      </c>
      <c r="F32" s="58">
        <v>0.80000000000000016</v>
      </c>
      <c r="G32" s="58"/>
      <c r="H32" s="58"/>
      <c r="I32" s="58">
        <f t="shared" ref="I32:I33" si="0">D32*E32*F32</f>
        <v>49.400000000000013</v>
      </c>
      <c r="J32" s="59">
        <f t="shared" ref="J32:J33" si="1">C32*I32</f>
        <v>49.400000000000013</v>
      </c>
      <c r="K32" s="63"/>
    </row>
    <row r="33" spans="1:13" x14ac:dyDescent="0.3">
      <c r="A33" s="61"/>
      <c r="B33" s="57" t="s">
        <v>503</v>
      </c>
      <c r="C33" s="58">
        <v>1</v>
      </c>
      <c r="D33" s="58">
        <v>29.65</v>
      </c>
      <c r="E33" s="58">
        <f>8.3+5</f>
        <v>13.3</v>
      </c>
      <c r="F33" s="58">
        <v>0.91666666666666674</v>
      </c>
      <c r="G33" s="58"/>
      <c r="H33" s="58"/>
      <c r="I33" s="58">
        <f t="shared" si="0"/>
        <v>361.48291666666671</v>
      </c>
      <c r="J33" s="59">
        <f t="shared" si="1"/>
        <v>361.48291666666671</v>
      </c>
      <c r="K33" s="63"/>
    </row>
    <row r="34" spans="1:13" ht="14.4" customHeight="1" x14ac:dyDescent="0.3">
      <c r="A34" s="100"/>
      <c r="B34" s="101"/>
      <c r="C34" s="101"/>
      <c r="D34" s="101"/>
      <c r="E34" s="101"/>
      <c r="F34" s="101"/>
      <c r="G34" s="101"/>
      <c r="H34" s="101"/>
      <c r="I34" s="101"/>
      <c r="J34" s="101"/>
      <c r="K34" s="102"/>
    </row>
    <row r="35" spans="1:13" ht="16.95" customHeight="1" x14ac:dyDescent="0.3">
      <c r="A35" s="47" t="s">
        <v>363</v>
      </c>
      <c r="B35" s="48" t="s">
        <v>400</v>
      </c>
      <c r="C35" s="49"/>
      <c r="D35" s="49"/>
      <c r="E35" s="49"/>
      <c r="F35" s="49"/>
      <c r="G35" s="49"/>
      <c r="H35" s="49"/>
      <c r="I35" s="49"/>
      <c r="J35" s="50"/>
      <c r="K35" s="51"/>
    </row>
    <row r="36" spans="1:13" ht="28.8" customHeight="1" x14ac:dyDescent="0.3">
      <c r="A36" s="52" t="str">
        <f>'BM-03'!A35</f>
        <v>2.3.2</v>
      </c>
      <c r="B36" s="103" t="str">
        <f>'BM-03'!D35</f>
        <v>ALVENARIA DE 1 VEZ VEDACAO COM BLOCOS CERAMICO FURADOS 9 X 19 X 19 CM FUROS HORIZONTAIS,  ESPESSURA  DA  PAREDE  19 CM,  JUNTAS  DE  10  MM  COM  ARGAMASSA TRACO 1:2:8 (CIMENTO, CAL E AREIA MEDIA)</v>
      </c>
      <c r="C36" s="104"/>
      <c r="D36" s="104"/>
      <c r="E36" s="104"/>
      <c r="F36" s="104"/>
      <c r="G36" s="104"/>
      <c r="H36" s="104"/>
      <c r="I36" s="104"/>
      <c r="J36" s="53">
        <f>ROUND(SUM(J37:J39),2)</f>
        <v>97.73</v>
      </c>
      <c r="K36" s="54" t="str">
        <f>'BM-03'!F35</f>
        <v>M2</v>
      </c>
      <c r="M36" s="55"/>
    </row>
    <row r="37" spans="1:13" x14ac:dyDescent="0.3">
      <c r="A37" s="96"/>
      <c r="B37" s="98" t="s">
        <v>505</v>
      </c>
      <c r="C37" s="70">
        <v>2</v>
      </c>
      <c r="D37" s="70">
        <v>12</v>
      </c>
      <c r="E37" s="58"/>
      <c r="F37" s="58">
        <v>0.91666666666666674</v>
      </c>
      <c r="G37" s="58"/>
      <c r="H37" s="58"/>
      <c r="I37" s="58">
        <f t="shared" ref="I37:I39" si="2">D37*F37</f>
        <v>11</v>
      </c>
      <c r="J37" s="59">
        <f t="shared" ref="J37:J39" si="3">C37*I37</f>
        <v>22</v>
      </c>
      <c r="K37" s="63"/>
    </row>
    <row r="38" spans="1:13" x14ac:dyDescent="0.3">
      <c r="A38" s="97"/>
      <c r="B38" s="99"/>
      <c r="C38" s="70">
        <v>5</v>
      </c>
      <c r="D38" s="70">
        <v>6</v>
      </c>
      <c r="E38" s="58"/>
      <c r="F38" s="58">
        <v>0.91666666666666674</v>
      </c>
      <c r="G38" s="58"/>
      <c r="H38" s="58"/>
      <c r="I38" s="58">
        <f t="shared" si="2"/>
        <v>5.5</v>
      </c>
      <c r="J38" s="59">
        <f t="shared" si="3"/>
        <v>27.5</v>
      </c>
      <c r="K38" s="63"/>
    </row>
    <row r="39" spans="1:13" ht="27.6" x14ac:dyDescent="0.3">
      <c r="A39" s="65"/>
      <c r="B39" s="66" t="s">
        <v>506</v>
      </c>
      <c r="C39" s="70">
        <v>1</v>
      </c>
      <c r="D39" s="70">
        <f>31+24.29+5</f>
        <v>60.29</v>
      </c>
      <c r="E39" s="58"/>
      <c r="F39" s="58">
        <v>0.8</v>
      </c>
      <c r="G39" s="58"/>
      <c r="H39" s="58"/>
      <c r="I39" s="58">
        <f t="shared" si="2"/>
        <v>48.231999999999999</v>
      </c>
      <c r="J39" s="59">
        <f t="shared" si="3"/>
        <v>48.231999999999999</v>
      </c>
      <c r="K39" s="63"/>
    </row>
    <row r="40" spans="1:13" ht="14.4" customHeight="1" x14ac:dyDescent="0.3">
      <c r="A40" s="100"/>
      <c r="B40" s="101"/>
      <c r="C40" s="101"/>
      <c r="D40" s="101"/>
      <c r="E40" s="101"/>
      <c r="F40" s="101"/>
      <c r="G40" s="101"/>
      <c r="H40" s="101"/>
      <c r="I40" s="101"/>
      <c r="J40" s="101"/>
      <c r="K40" s="102"/>
    </row>
    <row r="41" spans="1:13" ht="16.95" customHeight="1" x14ac:dyDescent="0.3">
      <c r="A41" s="47" t="s">
        <v>490</v>
      </c>
      <c r="B41" s="48" t="s">
        <v>491</v>
      </c>
      <c r="C41" s="49"/>
      <c r="D41" s="49"/>
      <c r="E41" s="49"/>
      <c r="F41" s="49"/>
      <c r="G41" s="49"/>
      <c r="H41" s="49"/>
      <c r="I41" s="49"/>
      <c r="J41" s="50"/>
      <c r="K41" s="51"/>
    </row>
    <row r="42" spans="1:13" ht="28.8" customHeight="1" x14ac:dyDescent="0.3">
      <c r="A42" s="52" t="str">
        <f>'BM-03'!A41</f>
        <v>2.4.1</v>
      </c>
      <c r="B42" s="103" t="str">
        <f>'BM-03'!D41</f>
        <v>CONCRETO    ARMADO    (PREPARO    E LANCAMENTO) PARA VIGA COM FCK&gt;=30MPA, COM FORMA EM CHAPA DE MADEIRA COM- P E N S A D A       R E S I N A D A ,       C O M APROVEITAMENTO   DE   3   VEZES   COM BETONEIRA   -</v>
      </c>
      <c r="C42" s="104"/>
      <c r="D42" s="104"/>
      <c r="E42" s="104"/>
      <c r="F42" s="104"/>
      <c r="G42" s="104"/>
      <c r="H42" s="104"/>
      <c r="I42" s="104"/>
      <c r="J42" s="53">
        <f>ROUND(SUM(J43:J43),2)</f>
        <v>24.23</v>
      </c>
      <c r="K42" s="54" t="str">
        <f>'BM-03'!F41</f>
        <v>M3</v>
      </c>
      <c r="M42" s="55"/>
    </row>
    <row r="43" spans="1:13" x14ac:dyDescent="0.3">
      <c r="A43" s="56"/>
      <c r="B43" s="57" t="s">
        <v>508</v>
      </c>
      <c r="C43" s="58">
        <f>24.23</f>
        <v>24.23</v>
      </c>
      <c r="D43" s="58"/>
      <c r="E43" s="58"/>
      <c r="F43" s="58"/>
      <c r="G43" s="58"/>
      <c r="H43" s="58"/>
      <c r="I43" s="58"/>
      <c r="J43" s="59">
        <f>C43</f>
        <v>24.23</v>
      </c>
      <c r="K43" s="60"/>
    </row>
    <row r="44" spans="1:13" ht="14.4" customHeight="1" x14ac:dyDescent="0.3">
      <c r="A44" s="100"/>
      <c r="B44" s="101"/>
      <c r="C44" s="101"/>
      <c r="D44" s="101"/>
      <c r="E44" s="101"/>
      <c r="F44" s="101"/>
      <c r="G44" s="101"/>
      <c r="H44" s="101"/>
      <c r="I44" s="101"/>
      <c r="J44" s="101"/>
      <c r="K44" s="102"/>
    </row>
    <row r="45" spans="1:13" ht="28.8" customHeight="1" x14ac:dyDescent="0.3">
      <c r="A45" s="52" t="str">
        <f>'BM-03'!A49</f>
        <v>2.4.9</v>
      </c>
      <c r="B45" s="103" t="str">
        <f>'BM-03'!D49</f>
        <v>MONTAGEM E DESMONTAGEM DE FÔRMA DE LAJE MACIÇA COM ÁREA MÉDIA MAIOR QUE 20 M², PÉ-DIREITO SIMPLES, EM CHAPA DE MADEIRA COMPENSADA RESINADA, 2 UTILIZAÇÕES</v>
      </c>
      <c r="C45" s="104"/>
      <c r="D45" s="104"/>
      <c r="E45" s="104"/>
      <c r="F45" s="104"/>
      <c r="G45" s="104"/>
      <c r="H45" s="104"/>
      <c r="I45" s="104"/>
      <c r="J45" s="53">
        <f>ROUND(SUM(J46:J46),2)</f>
        <v>560.03</v>
      </c>
      <c r="K45" s="54" t="str">
        <f>'BM-03'!F49</f>
        <v>M2</v>
      </c>
    </row>
    <row r="46" spans="1:13" ht="14.4" customHeight="1" x14ac:dyDescent="0.3">
      <c r="A46" s="61"/>
      <c r="B46" s="57" t="s">
        <v>509</v>
      </c>
      <c r="C46" s="58">
        <v>560.03</v>
      </c>
      <c r="D46" s="58"/>
      <c r="E46" s="58"/>
      <c r="F46" s="58"/>
      <c r="G46" s="58"/>
      <c r="H46" s="58"/>
      <c r="I46" s="58"/>
      <c r="J46" s="59">
        <f>C46</f>
        <v>560.03</v>
      </c>
      <c r="K46" s="63"/>
    </row>
    <row r="47" spans="1:13" ht="14.4" customHeight="1" x14ac:dyDescent="0.3">
      <c r="A47" s="100"/>
      <c r="B47" s="101"/>
      <c r="C47" s="101"/>
      <c r="D47" s="101"/>
      <c r="E47" s="101"/>
      <c r="F47" s="101"/>
      <c r="G47" s="101"/>
      <c r="H47" s="101"/>
      <c r="I47" s="101"/>
      <c r="J47" s="101"/>
      <c r="K47" s="102"/>
    </row>
    <row r="48" spans="1:13" ht="28.8" customHeight="1" x14ac:dyDescent="0.3">
      <c r="A48" s="52" t="str">
        <f>'BM-03'!A50</f>
        <v>2.4.10</v>
      </c>
      <c r="B48" s="103" t="str">
        <f>'BM-03'!D50</f>
        <v>ARMAÇÃO DE LAJE DE UMA ESTRUTURA CONVENCIONAL DE CONCRETO ARMADO EM UMA EDIFICAÇÃO TÉRREA OU SOBRADO UTILIZANDO AÇO CA-60 DE 5,0 MM - MONTAGEM. AF_12/2015</v>
      </c>
      <c r="C48" s="104"/>
      <c r="D48" s="104"/>
      <c r="E48" s="104"/>
      <c r="F48" s="104"/>
      <c r="G48" s="104"/>
      <c r="H48" s="104"/>
      <c r="I48" s="104"/>
      <c r="J48" s="53">
        <f>ROUND(SUM(J49:J49),2)</f>
        <v>8.8000000000000007</v>
      </c>
      <c r="K48" s="54" t="str">
        <f>'BM-03'!F50</f>
        <v>KG</v>
      </c>
    </row>
    <row r="49" spans="1:13" ht="14.4" customHeight="1" x14ac:dyDescent="0.3">
      <c r="A49" s="61"/>
      <c r="B49" s="57" t="s">
        <v>509</v>
      </c>
      <c r="C49" s="58">
        <v>8.8000000000000007</v>
      </c>
      <c r="D49" s="58"/>
      <c r="E49" s="58"/>
      <c r="F49" s="58"/>
      <c r="G49" s="58"/>
      <c r="H49" s="58"/>
      <c r="I49" s="58"/>
      <c r="J49" s="59">
        <f>C49</f>
        <v>8.8000000000000007</v>
      </c>
      <c r="K49" s="63"/>
    </row>
    <row r="50" spans="1:13" ht="14.4" customHeight="1" x14ac:dyDescent="0.3">
      <c r="A50" s="100"/>
      <c r="B50" s="101"/>
      <c r="C50" s="101"/>
      <c r="D50" s="101"/>
      <c r="E50" s="101"/>
      <c r="F50" s="101"/>
      <c r="G50" s="101"/>
      <c r="H50" s="101"/>
      <c r="I50" s="101"/>
      <c r="J50" s="101"/>
      <c r="K50" s="102"/>
    </row>
    <row r="51" spans="1:13" ht="28.8" customHeight="1" x14ac:dyDescent="0.3">
      <c r="A51" s="52" t="str">
        <f>'BM-03'!A51</f>
        <v>2.4.11</v>
      </c>
      <c r="B51" s="103" t="str">
        <f>'BM-03'!D51</f>
        <v>ARMAÇÃO DE LAJE DE UMA ESTRUTURA CONVENCIONAL DE CONCRETO ARMADO EM UMA EDIFICAÇÃO TÉRREA OU SOBRADO UTILIZANDO AÇO CA-50 DE 6,3 MM - MONTAGEM. AF_12/2015</v>
      </c>
      <c r="C51" s="104"/>
      <c r="D51" s="104"/>
      <c r="E51" s="104"/>
      <c r="F51" s="104"/>
      <c r="G51" s="104"/>
      <c r="H51" s="104"/>
      <c r="I51" s="104"/>
      <c r="J51" s="53">
        <f>ROUND(SUM(J52:J52),2)</f>
        <v>1103.2</v>
      </c>
      <c r="K51" s="54" t="str">
        <f>'BM-03'!F51</f>
        <v>KG</v>
      </c>
    </row>
    <row r="52" spans="1:13" ht="14.4" customHeight="1" x14ac:dyDescent="0.3">
      <c r="A52" s="61"/>
      <c r="B52" s="57" t="s">
        <v>509</v>
      </c>
      <c r="C52" s="58">
        <v>1103.2</v>
      </c>
      <c r="D52" s="58"/>
      <c r="E52" s="58"/>
      <c r="F52" s="58"/>
      <c r="G52" s="58"/>
      <c r="H52" s="58"/>
      <c r="I52" s="58"/>
      <c r="J52" s="59">
        <f>C52</f>
        <v>1103.2</v>
      </c>
      <c r="K52" s="63"/>
    </row>
    <row r="53" spans="1:13" ht="14.4" customHeight="1" x14ac:dyDescent="0.3">
      <c r="A53" s="100"/>
      <c r="B53" s="101"/>
      <c r="C53" s="101"/>
      <c r="D53" s="101"/>
      <c r="E53" s="101"/>
      <c r="F53" s="101"/>
      <c r="G53" s="101"/>
      <c r="H53" s="101"/>
      <c r="I53" s="101"/>
      <c r="J53" s="101"/>
      <c r="K53" s="102"/>
    </row>
    <row r="54" spans="1:13" ht="28.8" customHeight="1" x14ac:dyDescent="0.3">
      <c r="A54" s="52" t="str">
        <f>'BM-03'!A52</f>
        <v>2.4.12</v>
      </c>
      <c r="B54" s="103" t="str">
        <f>'BM-03'!D52</f>
        <v>ARMAÇÃO DE LAJE DE UMA ESTRUTURA CONVENCIONAL DE CONCRETO ARMADO EM UMA EDIFICAÇÃO TÉRREA OU SOBRADO UTILIZANDO AÇO CA-50 DE 8,0 MM - MONTAGEM. AF_12/2015</v>
      </c>
      <c r="C54" s="104"/>
      <c r="D54" s="104"/>
      <c r="E54" s="104"/>
      <c r="F54" s="104"/>
      <c r="G54" s="104"/>
      <c r="H54" s="104"/>
      <c r="I54" s="104"/>
      <c r="J54" s="53">
        <f>ROUND(SUM(J55:J55),2)</f>
        <v>740</v>
      </c>
      <c r="K54" s="54" t="str">
        <f>'BM-03'!F52</f>
        <v>KG</v>
      </c>
    </row>
    <row r="55" spans="1:13" ht="14.4" customHeight="1" x14ac:dyDescent="0.3">
      <c r="A55" s="61"/>
      <c r="B55" s="57" t="s">
        <v>509</v>
      </c>
      <c r="C55" s="58">
        <v>740</v>
      </c>
      <c r="D55" s="58"/>
      <c r="E55" s="58"/>
      <c r="F55" s="58"/>
      <c r="G55" s="58"/>
      <c r="H55" s="58"/>
      <c r="I55" s="58"/>
      <c r="J55" s="59">
        <f>C55</f>
        <v>740</v>
      </c>
      <c r="K55" s="63"/>
    </row>
    <row r="56" spans="1:13" ht="14.4" customHeight="1" x14ac:dyDescent="0.3">
      <c r="A56" s="100"/>
      <c r="B56" s="101"/>
      <c r="C56" s="101"/>
      <c r="D56" s="101"/>
      <c r="E56" s="101"/>
      <c r="F56" s="101"/>
      <c r="G56" s="101"/>
      <c r="H56" s="101"/>
      <c r="I56" s="101"/>
      <c r="J56" s="101"/>
      <c r="K56" s="102"/>
    </row>
    <row r="57" spans="1:13" ht="28.8" customHeight="1" x14ac:dyDescent="0.3">
      <c r="A57" s="52" t="str">
        <f>'BM-03'!A53</f>
        <v>2.4.13</v>
      </c>
      <c r="B57" s="103" t="str">
        <f>'BM-03'!D53</f>
        <v>ARMAÇÃO DE LAJE DE UMA ESTRUTURA CONVENCIONAL DE CONCRETO ARMADO EM UMA EDIFICAÇÃO TÉRREA OU SOBRADO UTILIZANDO AÇO CA-50 DE 10,0 MM - MONTAGEM. AF_12/2015</v>
      </c>
      <c r="C57" s="104"/>
      <c r="D57" s="104"/>
      <c r="E57" s="104"/>
      <c r="F57" s="104"/>
      <c r="G57" s="104"/>
      <c r="H57" s="104"/>
      <c r="I57" s="126"/>
      <c r="J57" s="53">
        <f>ROUND(SUM(J58:J58),2)</f>
        <v>227.6</v>
      </c>
      <c r="K57" s="54" t="str">
        <f>'BM-03'!F53</f>
        <v>KG</v>
      </c>
    </row>
    <row r="58" spans="1:13" ht="14.4" customHeight="1" x14ac:dyDescent="0.3">
      <c r="A58" s="61"/>
      <c r="B58" s="57" t="s">
        <v>509</v>
      </c>
      <c r="C58" s="58">
        <v>227.6</v>
      </c>
      <c r="D58" s="58"/>
      <c r="E58" s="58"/>
      <c r="F58" s="58"/>
      <c r="G58" s="58"/>
      <c r="H58" s="58"/>
      <c r="I58" s="58"/>
      <c r="J58" s="59">
        <f>C58</f>
        <v>227.6</v>
      </c>
      <c r="K58" s="63"/>
    </row>
    <row r="59" spans="1:13" ht="14.4" customHeight="1" x14ac:dyDescent="0.3">
      <c r="A59" s="100"/>
      <c r="B59" s="101"/>
      <c r="C59" s="101"/>
      <c r="D59" s="101"/>
      <c r="E59" s="101"/>
      <c r="F59" s="101"/>
      <c r="G59" s="101"/>
      <c r="H59" s="101"/>
      <c r="I59" s="101"/>
      <c r="J59" s="101"/>
      <c r="K59" s="102"/>
    </row>
    <row r="60" spans="1:13" ht="28.8" customHeight="1" x14ac:dyDescent="0.3">
      <c r="A60" s="52" t="str">
        <f>'BM-03'!A54</f>
        <v>2.4.14</v>
      </c>
      <c r="B60" s="103" t="str">
        <f>'BM-03'!D54</f>
        <v>CONCRETAGEM DE VIGAS E LAJES, FCK=20 MPA, PARA LAJES MACIÇAS OU NERVURADAS COM USO DE BOMBA EM EDIFICAÇÃO COM ÁREA MÉDIA DE LAJES MAIOR QUE 20 M² - LANÇAMENTO, ADENSAMENTO E ACABAMENTO. AF_12/2015</v>
      </c>
      <c r="C60" s="104"/>
      <c r="D60" s="104"/>
      <c r="E60" s="104"/>
      <c r="F60" s="104"/>
      <c r="G60" s="104"/>
      <c r="H60" s="104"/>
      <c r="I60" s="104"/>
      <c r="J60" s="53">
        <f>ROUND(SUM(J61:J61),2)</f>
        <v>50.36</v>
      </c>
      <c r="K60" s="54" t="str">
        <f>'BM-03'!F54</f>
        <v>M3</v>
      </c>
    </row>
    <row r="61" spans="1:13" ht="14.4" customHeight="1" x14ac:dyDescent="0.3">
      <c r="A61" s="61"/>
      <c r="B61" s="57" t="s">
        <v>509</v>
      </c>
      <c r="C61" s="58">
        <v>50.36</v>
      </c>
      <c r="D61" s="58"/>
      <c r="E61" s="58"/>
      <c r="F61" s="58"/>
      <c r="G61" s="58"/>
      <c r="H61" s="58"/>
      <c r="I61" s="58"/>
      <c r="J61" s="59">
        <f>C61</f>
        <v>50.36</v>
      </c>
      <c r="K61" s="63"/>
    </row>
    <row r="62" spans="1:13" ht="14.4" customHeight="1" x14ac:dyDescent="0.3">
      <c r="A62" s="100"/>
      <c r="B62" s="101"/>
      <c r="C62" s="101"/>
      <c r="D62" s="101"/>
      <c r="E62" s="101"/>
      <c r="F62" s="101"/>
      <c r="G62" s="101"/>
      <c r="H62" s="101"/>
      <c r="I62" s="101"/>
      <c r="J62" s="101"/>
      <c r="K62" s="102"/>
    </row>
    <row r="63" spans="1:13" ht="16.95" customHeight="1" x14ac:dyDescent="0.3">
      <c r="A63" s="47" t="s">
        <v>492</v>
      </c>
      <c r="B63" s="48" t="s">
        <v>493</v>
      </c>
      <c r="C63" s="49"/>
      <c r="D63" s="49"/>
      <c r="E63" s="49"/>
      <c r="F63" s="49"/>
      <c r="G63" s="49"/>
      <c r="H63" s="49"/>
      <c r="I63" s="49"/>
      <c r="J63" s="50"/>
      <c r="K63" s="51"/>
    </row>
    <row r="64" spans="1:13" ht="28.8" customHeight="1" x14ac:dyDescent="0.3">
      <c r="A64" s="52" t="str">
        <f>'BM-03'!A56</f>
        <v>2.5.1</v>
      </c>
      <c r="B64" s="103" t="str">
        <f>'BM-03'!D56</f>
        <v>ALVENARIA  DE  1/2  VEZ  VEDACAO  COM BLOCOS CERAMICO FURADOS 9 X 19 X 19 CM FUROS   HORIZONTAIS,   ESPESSURA   DA PAREDE  9  CM,  JUNTAS  DE  10  MM  COM ARGAMASSA TRACO 1:2:8 (CIMENTO, CAL E</v>
      </c>
      <c r="C64" s="104"/>
      <c r="D64" s="104"/>
      <c r="E64" s="104"/>
      <c r="F64" s="104"/>
      <c r="G64" s="104"/>
      <c r="H64" s="104"/>
      <c r="I64" s="104"/>
      <c r="J64" s="53">
        <f>ROUND(SUM(J65:J65),2)</f>
        <v>83.43</v>
      </c>
      <c r="K64" s="54" t="str">
        <f>'BM-03'!F56</f>
        <v>M2</v>
      </c>
      <c r="M64" s="55"/>
    </row>
    <row r="65" spans="1:11" x14ac:dyDescent="0.3">
      <c r="A65" s="56"/>
      <c r="B65" s="64" t="s">
        <v>507</v>
      </c>
      <c r="C65" s="58"/>
      <c r="D65" s="58"/>
      <c r="E65" s="58"/>
      <c r="F65" s="58"/>
      <c r="G65" s="58"/>
      <c r="H65" s="58"/>
      <c r="I65" s="58"/>
      <c r="J65" s="62">
        <f>ROUND(0.1*(SUM(J66:J95)),2)</f>
        <v>83.43</v>
      </c>
      <c r="K65" s="60"/>
    </row>
    <row r="66" spans="1:11" x14ac:dyDescent="0.3">
      <c r="A66" s="96"/>
      <c r="B66" s="98" t="s">
        <v>494</v>
      </c>
      <c r="C66" s="58">
        <v>6</v>
      </c>
      <c r="D66" s="58">
        <v>7.2</v>
      </c>
      <c r="E66" s="58"/>
      <c r="F66" s="58">
        <v>3.2</v>
      </c>
      <c r="G66" s="58"/>
      <c r="H66" s="58"/>
      <c r="I66" s="58">
        <f>D66*F66</f>
        <v>23.040000000000003</v>
      </c>
      <c r="J66" s="59">
        <f>C66*I66</f>
        <v>138.24</v>
      </c>
      <c r="K66" s="63"/>
    </row>
    <row r="67" spans="1:11" x14ac:dyDescent="0.3">
      <c r="A67" s="106"/>
      <c r="B67" s="105"/>
      <c r="C67" s="58">
        <v>6</v>
      </c>
      <c r="D67" s="58">
        <v>7.53</v>
      </c>
      <c r="E67" s="58"/>
      <c r="F67" s="58">
        <v>3.2</v>
      </c>
      <c r="G67" s="58"/>
      <c r="H67" s="58"/>
      <c r="I67" s="58">
        <f t="shared" ref="I67:I93" si="4">D67*F67</f>
        <v>24.096000000000004</v>
      </c>
      <c r="J67" s="59">
        <f t="shared" ref="J67:J93" si="5">C67*I67</f>
        <v>144.57600000000002</v>
      </c>
      <c r="K67" s="63"/>
    </row>
    <row r="68" spans="1:11" x14ac:dyDescent="0.3">
      <c r="A68" s="106"/>
      <c r="B68" s="105"/>
      <c r="C68" s="58">
        <v>5</v>
      </c>
      <c r="D68" s="58">
        <v>7.35</v>
      </c>
      <c r="E68" s="58"/>
      <c r="F68" s="58">
        <v>3.2</v>
      </c>
      <c r="G68" s="58"/>
      <c r="H68" s="58"/>
      <c r="I68" s="58">
        <f t="shared" si="4"/>
        <v>23.52</v>
      </c>
      <c r="J68" s="59">
        <f t="shared" si="5"/>
        <v>117.6</v>
      </c>
      <c r="K68" s="63"/>
    </row>
    <row r="69" spans="1:11" x14ac:dyDescent="0.3">
      <c r="A69" s="106"/>
      <c r="B69" s="105"/>
      <c r="C69" s="58">
        <v>1</v>
      </c>
      <c r="D69" s="58">
        <v>9.5</v>
      </c>
      <c r="E69" s="58"/>
      <c r="F69" s="58">
        <v>3.2</v>
      </c>
      <c r="G69" s="58"/>
      <c r="H69" s="58"/>
      <c r="I69" s="58">
        <f t="shared" si="4"/>
        <v>30.400000000000002</v>
      </c>
      <c r="J69" s="59">
        <f t="shared" si="5"/>
        <v>30.400000000000002</v>
      </c>
      <c r="K69" s="63"/>
    </row>
    <row r="70" spans="1:11" x14ac:dyDescent="0.3">
      <c r="A70" s="106"/>
      <c r="B70" s="105"/>
      <c r="C70" s="58">
        <v>1</v>
      </c>
      <c r="D70" s="58">
        <v>12.05</v>
      </c>
      <c r="E70" s="58"/>
      <c r="F70" s="58">
        <v>3.2</v>
      </c>
      <c r="G70" s="58"/>
      <c r="H70" s="58"/>
      <c r="I70" s="58">
        <f t="shared" si="4"/>
        <v>38.56</v>
      </c>
      <c r="J70" s="59">
        <f t="shared" si="5"/>
        <v>38.56</v>
      </c>
      <c r="K70" s="63"/>
    </row>
    <row r="71" spans="1:11" x14ac:dyDescent="0.3">
      <c r="A71" s="97"/>
      <c r="B71" s="99"/>
      <c r="C71" s="58">
        <v>1</v>
      </c>
      <c r="D71" s="58">
        <v>24.29</v>
      </c>
      <c r="E71" s="58"/>
      <c r="F71" s="58">
        <v>2.6</v>
      </c>
      <c r="G71" s="58"/>
      <c r="H71" s="58"/>
      <c r="I71" s="58">
        <f t="shared" si="4"/>
        <v>63.154000000000003</v>
      </c>
      <c r="J71" s="59">
        <f t="shared" si="5"/>
        <v>63.154000000000003</v>
      </c>
      <c r="K71" s="63"/>
    </row>
    <row r="72" spans="1:11" x14ac:dyDescent="0.3">
      <c r="A72" s="96"/>
      <c r="B72" s="98" t="s">
        <v>495</v>
      </c>
      <c r="C72" s="58">
        <v>1</v>
      </c>
      <c r="D72" s="58">
        <v>2.25</v>
      </c>
      <c r="E72" s="58"/>
      <c r="F72" s="58">
        <v>2.6</v>
      </c>
      <c r="G72" s="58"/>
      <c r="H72" s="58"/>
      <c r="I72" s="58">
        <f t="shared" si="4"/>
        <v>5.8500000000000005</v>
      </c>
      <c r="J72" s="59">
        <f t="shared" si="5"/>
        <v>5.8500000000000005</v>
      </c>
      <c r="K72" s="63"/>
    </row>
    <row r="73" spans="1:11" x14ac:dyDescent="0.3">
      <c r="A73" s="106"/>
      <c r="B73" s="105"/>
      <c r="C73" s="58">
        <v>2</v>
      </c>
      <c r="D73" s="58">
        <v>2.95</v>
      </c>
      <c r="E73" s="58"/>
      <c r="F73" s="58">
        <v>2.6</v>
      </c>
      <c r="G73" s="58"/>
      <c r="H73" s="58"/>
      <c r="I73" s="58">
        <f t="shared" si="4"/>
        <v>7.6700000000000008</v>
      </c>
      <c r="J73" s="59">
        <f t="shared" si="5"/>
        <v>15.340000000000002</v>
      </c>
      <c r="K73" s="63"/>
    </row>
    <row r="74" spans="1:11" x14ac:dyDescent="0.3">
      <c r="A74" s="97"/>
      <c r="B74" s="99"/>
      <c r="C74" s="58">
        <v>1</v>
      </c>
      <c r="D74" s="58">
        <v>1.25</v>
      </c>
      <c r="E74" s="58"/>
      <c r="F74" s="58">
        <v>2.6</v>
      </c>
      <c r="G74" s="58"/>
      <c r="H74" s="58"/>
      <c r="I74" s="58">
        <f t="shared" si="4"/>
        <v>3.25</v>
      </c>
      <c r="J74" s="59">
        <f t="shared" si="5"/>
        <v>3.25</v>
      </c>
      <c r="K74" s="63"/>
    </row>
    <row r="75" spans="1:11" x14ac:dyDescent="0.3">
      <c r="A75" s="96"/>
      <c r="B75" s="98" t="s">
        <v>496</v>
      </c>
      <c r="C75" s="58">
        <v>1</v>
      </c>
      <c r="D75" s="58">
        <v>8.4499999999999993</v>
      </c>
      <c r="E75" s="58"/>
      <c r="F75" s="58">
        <v>3.2</v>
      </c>
      <c r="G75" s="58"/>
      <c r="H75" s="58"/>
      <c r="I75" s="58">
        <f t="shared" si="4"/>
        <v>27.04</v>
      </c>
      <c r="J75" s="59">
        <f t="shared" si="5"/>
        <v>27.04</v>
      </c>
      <c r="K75" s="63"/>
    </row>
    <row r="76" spans="1:11" x14ac:dyDescent="0.3">
      <c r="A76" s="106"/>
      <c r="B76" s="105"/>
      <c r="C76" s="58">
        <v>2</v>
      </c>
      <c r="D76" s="58">
        <v>3.5</v>
      </c>
      <c r="E76" s="58"/>
      <c r="F76" s="58">
        <v>3.2</v>
      </c>
      <c r="G76" s="58"/>
      <c r="H76" s="58"/>
      <c r="I76" s="58">
        <f t="shared" si="4"/>
        <v>11.200000000000001</v>
      </c>
      <c r="J76" s="59">
        <f t="shared" si="5"/>
        <v>22.400000000000002</v>
      </c>
      <c r="K76" s="63"/>
    </row>
    <row r="77" spans="1:11" x14ac:dyDescent="0.3">
      <c r="A77" s="106"/>
      <c r="B77" s="105"/>
      <c r="C77" s="58">
        <v>2</v>
      </c>
      <c r="D77" s="58">
        <v>5.4</v>
      </c>
      <c r="E77" s="58"/>
      <c r="F77" s="58">
        <v>3.2</v>
      </c>
      <c r="G77" s="58"/>
      <c r="H77" s="58"/>
      <c r="I77" s="58">
        <f t="shared" si="4"/>
        <v>17.28</v>
      </c>
      <c r="J77" s="59">
        <f t="shared" si="5"/>
        <v>34.56</v>
      </c>
      <c r="K77" s="63"/>
    </row>
    <row r="78" spans="1:11" x14ac:dyDescent="0.3">
      <c r="A78" s="106"/>
      <c r="B78" s="105"/>
      <c r="C78" s="58">
        <v>2</v>
      </c>
      <c r="D78" s="58">
        <v>2.5499999999999998</v>
      </c>
      <c r="E78" s="58"/>
      <c r="F78" s="58">
        <v>3.2</v>
      </c>
      <c r="G78" s="58"/>
      <c r="H78" s="58"/>
      <c r="I78" s="58">
        <f t="shared" si="4"/>
        <v>8.16</v>
      </c>
      <c r="J78" s="59">
        <f t="shared" si="5"/>
        <v>16.32</v>
      </c>
      <c r="K78" s="63"/>
    </row>
    <row r="79" spans="1:11" x14ac:dyDescent="0.3">
      <c r="A79" s="106"/>
      <c r="B79" s="105"/>
      <c r="C79" s="58">
        <v>1</v>
      </c>
      <c r="D79" s="58">
        <v>10.88</v>
      </c>
      <c r="E79" s="58"/>
      <c r="F79" s="58">
        <v>3.2</v>
      </c>
      <c r="G79" s="58"/>
      <c r="H79" s="58"/>
      <c r="I79" s="58">
        <f t="shared" si="4"/>
        <v>34.816000000000003</v>
      </c>
      <c r="J79" s="59">
        <f t="shared" si="5"/>
        <v>34.816000000000003</v>
      </c>
      <c r="K79" s="63"/>
    </row>
    <row r="80" spans="1:11" x14ac:dyDescent="0.3">
      <c r="A80" s="106"/>
      <c r="B80" s="105"/>
      <c r="C80" s="58">
        <v>1</v>
      </c>
      <c r="D80" s="58">
        <v>6.26</v>
      </c>
      <c r="E80" s="58"/>
      <c r="F80" s="58">
        <v>3.2</v>
      </c>
      <c r="G80" s="58"/>
      <c r="H80" s="58"/>
      <c r="I80" s="58">
        <f t="shared" si="4"/>
        <v>20.032</v>
      </c>
      <c r="J80" s="59">
        <f t="shared" si="5"/>
        <v>20.032</v>
      </c>
      <c r="K80" s="63"/>
    </row>
    <row r="81" spans="1:11" x14ac:dyDescent="0.3">
      <c r="A81" s="106"/>
      <c r="B81" s="105"/>
      <c r="C81" s="58">
        <v>3</v>
      </c>
      <c r="D81" s="58">
        <v>2.48</v>
      </c>
      <c r="E81" s="58"/>
      <c r="F81" s="58">
        <v>3.2</v>
      </c>
      <c r="G81" s="58"/>
      <c r="H81" s="58"/>
      <c r="I81" s="58">
        <f t="shared" si="4"/>
        <v>7.9359999999999999</v>
      </c>
      <c r="J81" s="59">
        <f t="shared" si="5"/>
        <v>23.808</v>
      </c>
      <c r="K81" s="63"/>
    </row>
    <row r="82" spans="1:11" x14ac:dyDescent="0.3">
      <c r="A82" s="106"/>
      <c r="B82" s="105"/>
      <c r="C82" s="58">
        <v>2</v>
      </c>
      <c r="D82" s="58">
        <v>2.7</v>
      </c>
      <c r="E82" s="58"/>
      <c r="F82" s="58">
        <v>3.2</v>
      </c>
      <c r="G82" s="58"/>
      <c r="H82" s="58"/>
      <c r="I82" s="58">
        <f t="shared" si="4"/>
        <v>8.64</v>
      </c>
      <c r="J82" s="59">
        <f t="shared" si="5"/>
        <v>17.28</v>
      </c>
      <c r="K82" s="63"/>
    </row>
    <row r="83" spans="1:11" x14ac:dyDescent="0.3">
      <c r="A83" s="106"/>
      <c r="B83" s="105"/>
      <c r="C83" s="58">
        <v>1</v>
      </c>
      <c r="D83" s="58">
        <v>2.65</v>
      </c>
      <c r="E83" s="58"/>
      <c r="F83" s="58">
        <v>3.2</v>
      </c>
      <c r="G83" s="58"/>
      <c r="H83" s="58"/>
      <c r="I83" s="58">
        <f t="shared" si="4"/>
        <v>8.48</v>
      </c>
      <c r="J83" s="59">
        <f t="shared" si="5"/>
        <v>8.48</v>
      </c>
      <c r="K83" s="63"/>
    </row>
    <row r="84" spans="1:11" x14ac:dyDescent="0.3">
      <c r="A84" s="106"/>
      <c r="B84" s="105"/>
      <c r="C84" s="58">
        <v>2</v>
      </c>
      <c r="D84" s="58">
        <v>1.2</v>
      </c>
      <c r="E84" s="58"/>
      <c r="F84" s="58">
        <v>3.2</v>
      </c>
      <c r="G84" s="58"/>
      <c r="H84" s="58"/>
      <c r="I84" s="58">
        <f t="shared" si="4"/>
        <v>3.84</v>
      </c>
      <c r="J84" s="59">
        <f t="shared" si="5"/>
        <v>7.68</v>
      </c>
      <c r="K84" s="63"/>
    </row>
    <row r="85" spans="1:11" x14ac:dyDescent="0.3">
      <c r="A85" s="106"/>
      <c r="B85" s="105"/>
      <c r="C85" s="58">
        <v>1</v>
      </c>
      <c r="D85" s="58">
        <v>2.38</v>
      </c>
      <c r="E85" s="58"/>
      <c r="F85" s="58">
        <v>3.2</v>
      </c>
      <c r="G85" s="58"/>
      <c r="H85" s="58"/>
      <c r="I85" s="58">
        <f t="shared" si="4"/>
        <v>7.6159999999999997</v>
      </c>
      <c r="J85" s="59">
        <f t="shared" si="5"/>
        <v>7.6159999999999997</v>
      </c>
      <c r="K85" s="63"/>
    </row>
    <row r="86" spans="1:11" x14ac:dyDescent="0.3">
      <c r="A86" s="106"/>
      <c r="B86" s="105"/>
      <c r="C86" s="58">
        <v>3</v>
      </c>
      <c r="D86" s="58">
        <v>2</v>
      </c>
      <c r="E86" s="58"/>
      <c r="F86" s="58">
        <v>3.2</v>
      </c>
      <c r="G86" s="58"/>
      <c r="H86" s="58"/>
      <c r="I86" s="58">
        <f t="shared" si="4"/>
        <v>6.4</v>
      </c>
      <c r="J86" s="59">
        <f t="shared" si="5"/>
        <v>19.200000000000003</v>
      </c>
      <c r="K86" s="63"/>
    </row>
    <row r="87" spans="1:11" x14ac:dyDescent="0.3">
      <c r="A87" s="106"/>
      <c r="B87" s="105"/>
      <c r="C87" s="58">
        <v>1</v>
      </c>
      <c r="D87" s="58">
        <v>4.4000000000000004</v>
      </c>
      <c r="E87" s="58"/>
      <c r="F87" s="58">
        <v>3.2</v>
      </c>
      <c r="G87" s="58"/>
      <c r="H87" s="58"/>
      <c r="I87" s="58">
        <f t="shared" si="4"/>
        <v>14.080000000000002</v>
      </c>
      <c r="J87" s="59">
        <f t="shared" si="5"/>
        <v>14.080000000000002</v>
      </c>
      <c r="K87" s="63"/>
    </row>
    <row r="88" spans="1:11" x14ac:dyDescent="0.3">
      <c r="A88" s="97"/>
      <c r="B88" s="99"/>
      <c r="C88" s="58">
        <v>1</v>
      </c>
      <c r="D88" s="58">
        <v>1.1200000000000001</v>
      </c>
      <c r="E88" s="58"/>
      <c r="F88" s="58">
        <v>3.2</v>
      </c>
      <c r="G88" s="58"/>
      <c r="H88" s="58"/>
      <c r="I88" s="58">
        <f t="shared" si="4"/>
        <v>3.5840000000000005</v>
      </c>
      <c r="J88" s="59">
        <f t="shared" si="5"/>
        <v>3.5840000000000005</v>
      </c>
      <c r="K88" s="63"/>
    </row>
    <row r="89" spans="1:11" x14ac:dyDescent="0.3">
      <c r="A89" s="96"/>
      <c r="B89" s="98" t="s">
        <v>497</v>
      </c>
      <c r="C89" s="58">
        <v>2</v>
      </c>
      <c r="D89" s="58">
        <v>8.7799999999999994</v>
      </c>
      <c r="E89" s="58"/>
      <c r="F89" s="58">
        <v>3.2</v>
      </c>
      <c r="G89" s="58"/>
      <c r="H89" s="58"/>
      <c r="I89" s="58">
        <f t="shared" si="4"/>
        <v>28.096</v>
      </c>
      <c r="J89" s="59">
        <f t="shared" si="5"/>
        <v>56.192</v>
      </c>
      <c r="K89" s="63"/>
    </row>
    <row r="90" spans="1:11" x14ac:dyDescent="0.3">
      <c r="A90" s="106"/>
      <c r="B90" s="105"/>
      <c r="C90" s="58">
        <v>3</v>
      </c>
      <c r="D90" s="58">
        <v>4.03</v>
      </c>
      <c r="E90" s="58"/>
      <c r="F90" s="58">
        <v>3.2</v>
      </c>
      <c r="G90" s="58"/>
      <c r="H90" s="58"/>
      <c r="I90" s="58">
        <f t="shared" si="4"/>
        <v>12.896000000000001</v>
      </c>
      <c r="J90" s="59">
        <f t="shared" si="5"/>
        <v>38.688000000000002</v>
      </c>
      <c r="K90" s="63"/>
    </row>
    <row r="91" spans="1:11" x14ac:dyDescent="0.3">
      <c r="A91" s="106"/>
      <c r="B91" s="105"/>
      <c r="C91" s="58">
        <v>1</v>
      </c>
      <c r="D91" s="58">
        <v>1.95</v>
      </c>
      <c r="E91" s="58"/>
      <c r="F91" s="58">
        <v>3.2</v>
      </c>
      <c r="G91" s="58"/>
      <c r="H91" s="58"/>
      <c r="I91" s="58">
        <f t="shared" si="4"/>
        <v>6.24</v>
      </c>
      <c r="J91" s="59">
        <f t="shared" si="5"/>
        <v>6.24</v>
      </c>
      <c r="K91" s="63"/>
    </row>
    <row r="92" spans="1:11" x14ac:dyDescent="0.3">
      <c r="A92" s="106"/>
      <c r="B92" s="105"/>
      <c r="C92" s="58">
        <v>1</v>
      </c>
      <c r="D92" s="58">
        <v>3.15</v>
      </c>
      <c r="E92" s="58"/>
      <c r="F92" s="58">
        <v>3.2</v>
      </c>
      <c r="G92" s="58"/>
      <c r="H92" s="58"/>
      <c r="I92" s="58">
        <f t="shared" si="4"/>
        <v>10.08</v>
      </c>
      <c r="J92" s="59">
        <f t="shared" si="5"/>
        <v>10.08</v>
      </c>
      <c r="K92" s="63"/>
    </row>
    <row r="93" spans="1:11" x14ac:dyDescent="0.3">
      <c r="A93" s="97"/>
      <c r="B93" s="99"/>
      <c r="C93" s="58">
        <v>1</v>
      </c>
      <c r="D93" s="58">
        <v>1.8</v>
      </c>
      <c r="E93" s="58"/>
      <c r="F93" s="58">
        <v>3.2</v>
      </c>
      <c r="G93" s="58"/>
      <c r="H93" s="58"/>
      <c r="I93" s="58">
        <f t="shared" si="4"/>
        <v>5.7600000000000007</v>
      </c>
      <c r="J93" s="59">
        <f t="shared" si="5"/>
        <v>5.7600000000000007</v>
      </c>
      <c r="K93" s="63"/>
    </row>
    <row r="94" spans="1:11" x14ac:dyDescent="0.3">
      <c r="A94" s="61"/>
      <c r="B94" s="57" t="s">
        <v>498</v>
      </c>
      <c r="C94" s="58">
        <f>-'BM-03'!G68</f>
        <v>-59.11</v>
      </c>
      <c r="D94" s="58"/>
      <c r="E94" s="58"/>
      <c r="F94" s="58"/>
      <c r="G94" s="58"/>
      <c r="H94" s="58"/>
      <c r="I94" s="58"/>
      <c r="J94" s="59">
        <f>C94</f>
        <v>-59.11</v>
      </c>
      <c r="K94" s="63"/>
    </row>
    <row r="95" spans="1:11" x14ac:dyDescent="0.3">
      <c r="A95" s="61"/>
      <c r="B95" s="57" t="s">
        <v>499</v>
      </c>
      <c r="C95" s="58">
        <f>-'BM-03'!G57</f>
        <v>-37.44</v>
      </c>
      <c r="D95" s="58"/>
      <c r="E95" s="58"/>
      <c r="F95" s="58"/>
      <c r="G95" s="58"/>
      <c r="H95" s="58"/>
      <c r="I95" s="58"/>
      <c r="J95" s="59">
        <f>C95</f>
        <v>-37.44</v>
      </c>
      <c r="K95" s="63"/>
    </row>
    <row r="96" spans="1:11" ht="14.4" customHeight="1" x14ac:dyDescent="0.3">
      <c r="A96" s="100"/>
      <c r="B96" s="101"/>
      <c r="C96" s="101"/>
      <c r="D96" s="101"/>
      <c r="E96" s="101"/>
      <c r="F96" s="101"/>
      <c r="G96" s="101"/>
      <c r="H96" s="101"/>
      <c r="I96" s="101"/>
      <c r="J96" s="101"/>
      <c r="K96" s="102"/>
    </row>
    <row r="97" spans="1:13" ht="57.6" customHeight="1" x14ac:dyDescent="0.3">
      <c r="A97" s="52" t="str">
        <f>'BM-03'!A58</f>
        <v>2.5.3</v>
      </c>
      <c r="B97" s="103" t="str">
        <f>'BM-03'!D58</f>
        <v>MURO  EM  ALVENARIA  DE  1/2  VEZ  COM TIJOLOS  DE  8  FUROS  COM  LOCACAO  E I N C L U S I V E       E X E C U C A O       D E GABARITO,ESCAVACAO MANUAL DE VALAS, ALVENARIA  DE  PEDRA  ARGAMASSADA, EMBASAMENTO  EM  ALVENARIA  DE  1  VEZ, CONCRETO ARMADOPARA RADIER E CINTA SUPERIOR,   COLUNAS   DE   CONCRETO ARMADO   A   CADA   3,0M,   CHAPISCADO, REBOCADO, SELADOR ACRILICO EPINTADO,</v>
      </c>
      <c r="C97" s="104"/>
      <c r="D97" s="104"/>
      <c r="E97" s="104"/>
      <c r="F97" s="104"/>
      <c r="G97" s="104"/>
      <c r="H97" s="104"/>
      <c r="I97" s="126"/>
      <c r="J97" s="53">
        <f>ROUND(SUM(J98:J98),2)</f>
        <v>120</v>
      </c>
      <c r="K97" s="54" t="str">
        <f>'BM-03'!F58</f>
        <v>M</v>
      </c>
    </row>
    <row r="98" spans="1:13" ht="14.4" customHeight="1" x14ac:dyDescent="0.3">
      <c r="A98" s="61"/>
      <c r="B98" s="127" t="s">
        <v>532</v>
      </c>
      <c r="C98" s="58">
        <f>(0.8*(60*2+30))</f>
        <v>120</v>
      </c>
      <c r="D98" s="58"/>
      <c r="E98" s="58"/>
      <c r="F98" s="58"/>
      <c r="G98" s="58"/>
      <c r="H98" s="58"/>
      <c r="I98" s="58"/>
      <c r="J98" s="59">
        <f>C98</f>
        <v>120</v>
      </c>
      <c r="K98" s="63"/>
    </row>
    <row r="99" spans="1:13" ht="14.4" customHeight="1" x14ac:dyDescent="0.3">
      <c r="A99" s="100"/>
      <c r="B99" s="101"/>
      <c r="C99" s="101"/>
      <c r="D99" s="101"/>
      <c r="E99" s="101"/>
      <c r="F99" s="101"/>
      <c r="G99" s="101"/>
      <c r="H99" s="101"/>
      <c r="I99" s="101"/>
      <c r="J99" s="101"/>
      <c r="K99" s="102"/>
    </row>
    <row r="100" spans="1:13" ht="16.95" customHeight="1" x14ac:dyDescent="0.3">
      <c r="A100" s="47" t="s">
        <v>510</v>
      </c>
      <c r="B100" s="48" t="s">
        <v>511</v>
      </c>
      <c r="C100" s="49"/>
      <c r="D100" s="49"/>
      <c r="E100" s="49"/>
      <c r="F100" s="49"/>
      <c r="G100" s="49"/>
      <c r="H100" s="49"/>
      <c r="I100" s="49"/>
      <c r="J100" s="50"/>
      <c r="K100" s="51"/>
    </row>
    <row r="101" spans="1:13" ht="14.4" customHeight="1" x14ac:dyDescent="0.3">
      <c r="A101" s="52" t="str">
        <f>'BM-03'!A90</f>
        <v>2.8.1</v>
      </c>
      <c r="B101" s="103" t="str">
        <f>'BM-03'!D90</f>
        <v>CHAPISCO EM PAREDES VERTICAIS TRACO 1:3 (CIMENTO E AREIA), ESPESSURA 0,5CM, PREPARO MECANICO;</v>
      </c>
      <c r="C101" s="104"/>
      <c r="D101" s="104"/>
      <c r="E101" s="104"/>
      <c r="F101" s="104"/>
      <c r="G101" s="104"/>
      <c r="H101" s="104"/>
      <c r="I101" s="104"/>
      <c r="J101" s="53">
        <f>ROUND(SUM(J102:J102),2)</f>
        <v>1668.56</v>
      </c>
      <c r="K101" s="54" t="str">
        <f>'BM-03'!F90</f>
        <v>M2</v>
      </c>
      <c r="M101" s="55"/>
    </row>
    <row r="102" spans="1:13" ht="14.4" customHeight="1" x14ac:dyDescent="0.3">
      <c r="A102" s="56"/>
      <c r="B102" s="57" t="s">
        <v>512</v>
      </c>
      <c r="C102" s="58">
        <f>2*'BM-03'!J56</f>
        <v>1668.56</v>
      </c>
      <c r="D102" s="58"/>
      <c r="E102" s="58"/>
      <c r="F102" s="58"/>
      <c r="G102" s="58"/>
      <c r="H102" s="58"/>
      <c r="I102" s="58"/>
      <c r="J102" s="59">
        <f>C102</f>
        <v>1668.56</v>
      </c>
      <c r="K102" s="60"/>
    </row>
    <row r="103" spans="1:13" ht="14.4" customHeight="1" x14ac:dyDescent="0.3">
      <c r="A103" s="100"/>
      <c r="B103" s="101"/>
      <c r="C103" s="101"/>
      <c r="D103" s="101"/>
      <c r="E103" s="101"/>
      <c r="F103" s="101"/>
      <c r="G103" s="101"/>
      <c r="H103" s="101"/>
      <c r="I103" s="101"/>
      <c r="J103" s="101"/>
      <c r="K103" s="102"/>
    </row>
    <row r="104" spans="1:13" ht="14.4" customHeight="1" x14ac:dyDescent="0.3">
      <c r="A104" s="52" t="str">
        <f>'BM-03'!A91</f>
        <v>2.8.2</v>
      </c>
      <c r="B104" s="103" t="str">
        <f>'BM-03'!D91</f>
        <v>REBOCO VERTICAL, EM ARGAMASSA TRACO 1:2:8 - PREPARO MECANICO COM BETONEIRA
400L, ESPESSURA DE 20MM</v>
      </c>
      <c r="C104" s="104"/>
      <c r="D104" s="104"/>
      <c r="E104" s="104"/>
      <c r="F104" s="104"/>
      <c r="G104" s="104"/>
      <c r="H104" s="104"/>
      <c r="I104" s="104"/>
      <c r="J104" s="53">
        <f>ROUND(SUM(J105:J105),2)</f>
        <v>849.42</v>
      </c>
      <c r="K104" s="54" t="str">
        <f>'BM-03'!F91</f>
        <v>M2</v>
      </c>
      <c r="M104" s="55"/>
    </row>
    <row r="105" spans="1:13" ht="14.4" customHeight="1" x14ac:dyDescent="0.3">
      <c r="A105" s="56"/>
      <c r="B105" s="57" t="s">
        <v>513</v>
      </c>
      <c r="C105" s="58">
        <f>J101-J107</f>
        <v>849.42</v>
      </c>
      <c r="D105" s="58"/>
      <c r="E105" s="58"/>
      <c r="F105" s="58"/>
      <c r="G105" s="58"/>
      <c r="H105" s="58"/>
      <c r="I105" s="58"/>
      <c r="J105" s="59">
        <f>C105</f>
        <v>849.42</v>
      </c>
      <c r="K105" s="60"/>
    </row>
    <row r="106" spans="1:13" ht="14.4" customHeight="1" x14ac:dyDescent="0.3">
      <c r="A106" s="100"/>
      <c r="B106" s="101"/>
      <c r="C106" s="101"/>
      <c r="D106" s="101"/>
      <c r="E106" s="101"/>
      <c r="F106" s="101"/>
      <c r="G106" s="101"/>
      <c r="H106" s="101"/>
      <c r="I106" s="101"/>
      <c r="J106" s="101"/>
      <c r="K106" s="102"/>
    </row>
    <row r="107" spans="1:13" ht="28.8" customHeight="1" x14ac:dyDescent="0.3">
      <c r="A107" s="52" t="str">
        <f>'BM-03'!A92</f>
        <v>2.8.3</v>
      </c>
      <c r="B107" s="103" t="str">
        <f>'BM-03'!D92</f>
        <v>EMBOCO,    PARA    RECEBIMENTO    DE CERAMICA,  EM  ARGAMASSA  TRAO  1:2:8, PREPARO MECANICO COM BETONEIRA 400L, APLICADO  MANUALMENTE,  ESPESSURA  DE</v>
      </c>
      <c r="C107" s="104"/>
      <c r="D107" s="104"/>
      <c r="E107" s="104"/>
      <c r="F107" s="104"/>
      <c r="G107" s="104"/>
      <c r="H107" s="104"/>
      <c r="I107" s="104"/>
      <c r="J107" s="53">
        <f>ROUND(SUM(J108:J108),2)</f>
        <v>819.14</v>
      </c>
      <c r="K107" s="54" t="str">
        <f>'BM-03'!F92</f>
        <v>M2</v>
      </c>
      <c r="M107" s="55"/>
    </row>
    <row r="108" spans="1:13" ht="14.4" customHeight="1" x14ac:dyDescent="0.3">
      <c r="A108" s="56"/>
      <c r="B108" s="57" t="s">
        <v>514</v>
      </c>
      <c r="C108" s="58">
        <f>'BM-03'!G93+'BM-03'!G94+'BM-03'!G97</f>
        <v>819.14</v>
      </c>
      <c r="D108" s="58"/>
      <c r="E108" s="58"/>
      <c r="F108" s="58"/>
      <c r="G108" s="58"/>
      <c r="H108" s="58"/>
      <c r="I108" s="58"/>
      <c r="J108" s="59">
        <f>C108</f>
        <v>819.14</v>
      </c>
      <c r="K108" s="60"/>
    </row>
    <row r="109" spans="1:13" ht="14.4" customHeight="1" x14ac:dyDescent="0.3">
      <c r="A109" s="100"/>
      <c r="B109" s="101"/>
      <c r="C109" s="101"/>
      <c r="D109" s="101"/>
      <c r="E109" s="101"/>
      <c r="F109" s="101"/>
      <c r="G109" s="101"/>
      <c r="H109" s="101"/>
      <c r="I109" s="101"/>
      <c r="J109" s="101"/>
      <c r="K109" s="102"/>
    </row>
    <row r="110" spans="1:13" ht="16.95" customHeight="1" x14ac:dyDescent="0.3">
      <c r="A110" s="47">
        <v>3</v>
      </c>
      <c r="B110" s="48" t="s">
        <v>515</v>
      </c>
      <c r="C110" s="49"/>
      <c r="D110" s="49"/>
      <c r="E110" s="49"/>
      <c r="F110" s="49"/>
      <c r="G110" s="49"/>
      <c r="H110" s="49"/>
      <c r="I110" s="49"/>
      <c r="J110" s="50"/>
      <c r="K110" s="51"/>
    </row>
    <row r="111" spans="1:13" ht="16.95" customHeight="1" x14ac:dyDescent="0.3">
      <c r="A111" s="47" t="s">
        <v>517</v>
      </c>
      <c r="B111" s="48" t="s">
        <v>516</v>
      </c>
      <c r="C111" s="49"/>
      <c r="D111" s="49"/>
      <c r="E111" s="49"/>
      <c r="F111" s="49"/>
      <c r="G111" s="49"/>
      <c r="H111" s="49"/>
      <c r="I111" s="49"/>
      <c r="J111" s="50"/>
      <c r="K111" s="51"/>
    </row>
    <row r="112" spans="1:13" ht="28.8" customHeight="1" x14ac:dyDescent="0.3">
      <c r="A112" s="52" t="str">
        <f>'BM-03'!A202</f>
        <v>3.1.1</v>
      </c>
      <c r="B112" s="103" t="str">
        <f>'BM-03'!D202</f>
        <v>LOCACAO   CONVENCIONAL   DE   OBRA, ATRAVES   DE   GABARITO   DE   TABUAS CORRIDAS    PONTALETADAS,    COM REAPROVEITAMENTO   DE   3   VEZES   -</v>
      </c>
      <c r="C112" s="104"/>
      <c r="D112" s="104"/>
      <c r="E112" s="104"/>
      <c r="F112" s="104"/>
      <c r="G112" s="104"/>
      <c r="H112" s="104"/>
      <c r="I112" s="104"/>
      <c r="J112" s="53">
        <f>ROUND(SUM(J113:J113),2)</f>
        <v>72</v>
      </c>
      <c r="K112" s="54" t="str">
        <f>'BM-03'!F202</f>
        <v>M2</v>
      </c>
      <c r="M112" s="55"/>
    </row>
    <row r="113" spans="1:13" ht="14.4" customHeight="1" x14ac:dyDescent="0.3">
      <c r="A113" s="56"/>
      <c r="B113" s="57" t="s">
        <v>523</v>
      </c>
      <c r="C113" s="58">
        <v>1</v>
      </c>
      <c r="D113" s="58">
        <v>12</v>
      </c>
      <c r="E113" s="58">
        <v>6</v>
      </c>
      <c r="F113" s="58"/>
      <c r="G113" s="58"/>
      <c r="H113" s="58"/>
      <c r="I113" s="58">
        <f>D113*E113</f>
        <v>72</v>
      </c>
      <c r="J113" s="59">
        <f>C113*I113</f>
        <v>72</v>
      </c>
      <c r="K113" s="60"/>
    </row>
    <row r="114" spans="1:13" ht="14.4" customHeight="1" x14ac:dyDescent="0.3">
      <c r="A114" s="100"/>
      <c r="B114" s="101"/>
      <c r="C114" s="101"/>
      <c r="D114" s="101"/>
      <c r="E114" s="101"/>
      <c r="F114" s="101"/>
      <c r="G114" s="101"/>
      <c r="H114" s="101"/>
      <c r="I114" s="101"/>
      <c r="J114" s="101"/>
      <c r="K114" s="102"/>
    </row>
    <row r="115" spans="1:13" ht="16.95" customHeight="1" x14ac:dyDescent="0.3">
      <c r="A115" s="47" t="s">
        <v>518</v>
      </c>
      <c r="B115" s="48" t="s">
        <v>399</v>
      </c>
      <c r="C115" s="49"/>
      <c r="D115" s="49"/>
      <c r="E115" s="49"/>
      <c r="F115" s="49"/>
      <c r="G115" s="49"/>
      <c r="H115" s="49"/>
      <c r="I115" s="49"/>
      <c r="J115" s="50"/>
      <c r="K115" s="51"/>
    </row>
    <row r="116" spans="1:13" ht="14.4" customHeight="1" x14ac:dyDescent="0.3">
      <c r="A116" s="52" t="str">
        <f>'BM-03'!A204</f>
        <v>3.2.1</v>
      </c>
      <c r="B116" s="103" t="str">
        <f>'BM-03'!D204</f>
        <v>ESCAVACAO MANUAL DE VALA EM MATERIAL DE QUALQUER CATEGORIA, EXCETO ROCHA COM PROFUNDIDADE ATE 2M.</v>
      </c>
      <c r="C116" s="104"/>
      <c r="D116" s="104"/>
      <c r="E116" s="104"/>
      <c r="F116" s="104"/>
      <c r="G116" s="104"/>
      <c r="H116" s="104"/>
      <c r="I116" s="104"/>
      <c r="J116" s="53">
        <f>ROUND(SUM(J117:J118),2)</f>
        <v>18.239999999999998</v>
      </c>
      <c r="K116" s="54" t="str">
        <f>'BM-03'!F204</f>
        <v>M3</v>
      </c>
      <c r="M116" s="55"/>
    </row>
    <row r="117" spans="1:13" ht="14.4" customHeight="1" x14ac:dyDescent="0.3">
      <c r="A117" s="56"/>
      <c r="B117" s="57" t="s">
        <v>524</v>
      </c>
      <c r="C117" s="58">
        <v>11</v>
      </c>
      <c r="D117" s="58">
        <v>0.8</v>
      </c>
      <c r="E117" s="58">
        <v>0.8</v>
      </c>
      <c r="F117" s="58">
        <v>1.204</v>
      </c>
      <c r="G117" s="58"/>
      <c r="H117" s="58"/>
      <c r="I117" s="58">
        <f>D117*E117*F117</f>
        <v>0.77056000000000013</v>
      </c>
      <c r="J117" s="59">
        <f>C117*I117</f>
        <v>8.4761600000000019</v>
      </c>
      <c r="K117" s="60"/>
    </row>
    <row r="118" spans="1:13" ht="14.4" customHeight="1" x14ac:dyDescent="0.3">
      <c r="A118" s="56"/>
      <c r="B118" s="57" t="s">
        <v>525</v>
      </c>
      <c r="C118" s="58">
        <v>1</v>
      </c>
      <c r="D118" s="58">
        <f>(3*5.8 + 2*11.6)</f>
        <v>40.599999999999994</v>
      </c>
      <c r="E118" s="58">
        <v>0.4</v>
      </c>
      <c r="F118" s="58">
        <v>0.60099999999999998</v>
      </c>
      <c r="G118" s="58"/>
      <c r="H118" s="58"/>
      <c r="I118" s="58">
        <f>D118*E118*F118</f>
        <v>9.7602399999999996</v>
      </c>
      <c r="J118" s="59">
        <f>C118*I118</f>
        <v>9.7602399999999996</v>
      </c>
      <c r="K118" s="60"/>
    </row>
    <row r="119" spans="1:13" ht="14.4" customHeight="1" x14ac:dyDescent="0.3">
      <c r="A119" s="100"/>
      <c r="B119" s="101"/>
      <c r="C119" s="101"/>
      <c r="D119" s="101"/>
      <c r="E119" s="101"/>
      <c r="F119" s="101"/>
      <c r="G119" s="101"/>
      <c r="H119" s="101"/>
      <c r="I119" s="101"/>
      <c r="J119" s="101"/>
      <c r="K119" s="102"/>
    </row>
    <row r="120" spans="1:13" x14ac:dyDescent="0.3">
      <c r="A120" s="52" t="str">
        <f>'BM-03'!A205</f>
        <v>3.2.2</v>
      </c>
      <c r="B120" s="103" t="str">
        <f>'BM-03'!D205</f>
        <v>EMBASAMENTO  C/PEDRA  ARGAMASSADA UTILIZANDO  ARG.CIM/AREIA  1:4</v>
      </c>
      <c r="C120" s="104"/>
      <c r="D120" s="104"/>
      <c r="E120" s="104"/>
      <c r="F120" s="104"/>
      <c r="G120" s="104"/>
      <c r="H120" s="104"/>
      <c r="I120" s="104"/>
      <c r="J120" s="53">
        <f>ROUND(SUM(J121:J121),2)</f>
        <v>8.64</v>
      </c>
      <c r="K120" s="54" t="str">
        <f>'BM-03'!F205</f>
        <v>M3</v>
      </c>
      <c r="M120" s="55"/>
    </row>
    <row r="121" spans="1:13" ht="14.4" customHeight="1" x14ac:dyDescent="0.3">
      <c r="A121" s="56"/>
      <c r="B121" s="57" t="s">
        <v>526</v>
      </c>
      <c r="C121" s="58">
        <v>1</v>
      </c>
      <c r="D121" s="58">
        <f>(3*5.8 + 2*11.6)</f>
        <v>40.599999999999994</v>
      </c>
      <c r="E121" s="58">
        <v>0.4</v>
      </c>
      <c r="F121" s="128">
        <v>0.53200000000000003</v>
      </c>
      <c r="G121" s="58"/>
      <c r="H121" s="58"/>
      <c r="I121" s="58">
        <f>D121*E121*F121</f>
        <v>8.6396800000000002</v>
      </c>
      <c r="J121" s="59">
        <f>C121*I121</f>
        <v>8.6396800000000002</v>
      </c>
      <c r="K121" s="60"/>
    </row>
    <row r="122" spans="1:13" ht="14.4" customHeight="1" x14ac:dyDescent="0.3">
      <c r="A122" s="100"/>
      <c r="B122" s="101"/>
      <c r="C122" s="101"/>
      <c r="D122" s="101"/>
      <c r="E122" s="101"/>
      <c r="F122" s="101"/>
      <c r="G122" s="101"/>
      <c r="H122" s="101"/>
      <c r="I122" s="101"/>
      <c r="J122" s="101"/>
      <c r="K122" s="102"/>
    </row>
    <row r="123" spans="1:13" ht="16.95" customHeight="1" x14ac:dyDescent="0.3">
      <c r="A123" s="47" t="s">
        <v>519</v>
      </c>
      <c r="B123" s="48" t="s">
        <v>520</v>
      </c>
      <c r="C123" s="49"/>
      <c r="D123" s="49"/>
      <c r="E123" s="49"/>
      <c r="F123" s="49"/>
      <c r="G123" s="49"/>
      <c r="H123" s="49"/>
      <c r="I123" s="49"/>
      <c r="J123" s="50"/>
      <c r="K123" s="51"/>
    </row>
    <row r="124" spans="1:13" x14ac:dyDescent="0.3">
      <c r="A124" s="52" t="str">
        <f>'BM-03'!A207</f>
        <v>3.3.1</v>
      </c>
      <c r="B124" s="103" t="str">
        <f>'BM-03'!D207</f>
        <v xml:space="preserve">LASTRO DE CONCRETO MAGRO, APLICADO EM    BLOCOS    DE    COROAMENTO    OU SAPATAS.AF_08/2017 </v>
      </c>
      <c r="C124" s="104"/>
      <c r="D124" s="104"/>
      <c r="E124" s="104"/>
      <c r="F124" s="104"/>
      <c r="G124" s="104"/>
      <c r="H124" s="104"/>
      <c r="I124" s="104"/>
      <c r="J124" s="53">
        <f>ROUND(SUM(J125:J126),2)</f>
        <v>1.5</v>
      </c>
      <c r="K124" s="54" t="str">
        <f>'BM-03'!F207</f>
        <v>M3</v>
      </c>
      <c r="M124" s="55"/>
    </row>
    <row r="125" spans="1:13" ht="14.4" customHeight="1" x14ac:dyDescent="0.3">
      <c r="A125" s="56"/>
      <c r="B125" s="57" t="s">
        <v>524</v>
      </c>
      <c r="C125" s="58">
        <v>11</v>
      </c>
      <c r="D125" s="58">
        <v>0.8</v>
      </c>
      <c r="E125" s="58">
        <v>0.8</v>
      </c>
      <c r="F125" s="58">
        <v>0.1</v>
      </c>
      <c r="G125" s="58"/>
      <c r="H125" s="58"/>
      <c r="I125" s="58">
        <f>D125*E125*F125</f>
        <v>6.4000000000000015E-2</v>
      </c>
      <c r="J125" s="59">
        <f>C125*I125</f>
        <v>0.70400000000000018</v>
      </c>
      <c r="K125" s="60"/>
    </row>
    <row r="126" spans="1:13" ht="14.4" customHeight="1" x14ac:dyDescent="0.3">
      <c r="A126" s="56"/>
      <c r="B126" s="57" t="s">
        <v>525</v>
      </c>
      <c r="C126" s="58">
        <v>1</v>
      </c>
      <c r="D126" s="58">
        <f>(3*5.8 + 2*11.6)</f>
        <v>40.599999999999994</v>
      </c>
      <c r="E126" s="58">
        <v>0.4</v>
      </c>
      <c r="F126" s="58">
        <v>0.05</v>
      </c>
      <c r="G126" s="58"/>
      <c r="H126" s="58"/>
      <c r="I126" s="58">
        <f>D126*E126*F126</f>
        <v>0.81199999999999994</v>
      </c>
      <c r="J126" s="59">
        <f>ROUND(C126*I126,1)</f>
        <v>0.8</v>
      </c>
      <c r="K126" s="60"/>
    </row>
    <row r="127" spans="1:13" ht="14.4" customHeight="1" x14ac:dyDescent="0.3">
      <c r="A127" s="100"/>
      <c r="B127" s="101"/>
      <c r="C127" s="101"/>
      <c r="D127" s="101"/>
      <c r="E127" s="101"/>
      <c r="F127" s="101"/>
      <c r="G127" s="101"/>
      <c r="H127" s="101"/>
      <c r="I127" s="101"/>
      <c r="J127" s="101"/>
      <c r="K127" s="102"/>
    </row>
    <row r="128" spans="1:13" ht="28.8" customHeight="1" x14ac:dyDescent="0.3">
      <c r="A128" s="52" t="str">
        <f>'BM-03'!A208</f>
        <v>3.3.2</v>
      </c>
      <c r="B128" s="103" t="str">
        <f>'BM-03'!D208</f>
        <v>CONCRETO    ARMADO    (PREPARO    E LANCAMENTO)PARA  SAPATAS  COM  FCK  &gt;= 25MPA,   COM   FORMA   DE   TABUA,   COM APROVEI   TAMENTO   DE   2   VEZES,   COM BETONEIRA   -</v>
      </c>
      <c r="C128" s="104"/>
      <c r="D128" s="104"/>
      <c r="E128" s="104"/>
      <c r="F128" s="104"/>
      <c r="G128" s="104"/>
      <c r="H128" s="104"/>
      <c r="I128" s="104"/>
      <c r="J128" s="53">
        <f>ROUND(SUM(J129:J129),2)</f>
        <v>1.52</v>
      </c>
      <c r="K128" s="54" t="str">
        <f>'BM-03'!F208</f>
        <v>M3</v>
      </c>
      <c r="M128" s="55"/>
    </row>
    <row r="129" spans="1:13" ht="14.4" customHeight="1" x14ac:dyDescent="0.3">
      <c r="A129" s="56"/>
      <c r="B129" s="57" t="s">
        <v>528</v>
      </c>
      <c r="C129" s="58">
        <f>1.52</f>
        <v>1.52</v>
      </c>
      <c r="D129" s="58"/>
      <c r="E129" s="58"/>
      <c r="F129" s="58"/>
      <c r="G129" s="58"/>
      <c r="H129" s="58"/>
      <c r="I129" s="58"/>
      <c r="J129" s="59">
        <f>C129</f>
        <v>1.52</v>
      </c>
      <c r="K129" s="60"/>
    </row>
    <row r="130" spans="1:13" ht="14.4" customHeight="1" x14ac:dyDescent="0.3">
      <c r="A130" s="100"/>
      <c r="B130" s="101"/>
      <c r="C130" s="101"/>
      <c r="D130" s="101"/>
      <c r="E130" s="101"/>
      <c r="F130" s="101"/>
      <c r="G130" s="101"/>
      <c r="H130" s="101"/>
      <c r="I130" s="101"/>
      <c r="J130" s="101"/>
      <c r="K130" s="102"/>
    </row>
    <row r="131" spans="1:13" ht="28.8" customHeight="1" x14ac:dyDescent="0.3">
      <c r="A131" s="52" t="str">
        <f>'BM-03'!A209</f>
        <v>3.3.3</v>
      </c>
      <c r="B131" s="103" t="str">
        <f>'BM-03'!D209</f>
        <v>CONCRETO    ARMADO    (PREPARO    E LANCAMENTO)    PARA    RADIER    COM FCK&gt;=25MPA, COM TABUA DE MADEIRA, COM APROVEITAMENTO   DE   3   VEZES   COM BETONEIRA   -</v>
      </c>
      <c r="C131" s="104"/>
      <c r="D131" s="104"/>
      <c r="E131" s="104"/>
      <c r="F131" s="104"/>
      <c r="G131" s="104"/>
      <c r="H131" s="104"/>
      <c r="I131" s="104"/>
      <c r="J131" s="53">
        <f>ROUND(SUM(J132:J132),2)</f>
        <v>2.16</v>
      </c>
      <c r="K131" s="54" t="str">
        <f>'BM-03'!F209</f>
        <v>M3</v>
      </c>
      <c r="M131" s="55"/>
    </row>
    <row r="132" spans="1:13" ht="14.4" customHeight="1" x14ac:dyDescent="0.3">
      <c r="A132" s="56"/>
      <c r="B132" s="57" t="s">
        <v>527</v>
      </c>
      <c r="C132" s="58">
        <f>2.16</f>
        <v>2.16</v>
      </c>
      <c r="D132" s="58"/>
      <c r="E132" s="58"/>
      <c r="F132" s="58"/>
      <c r="G132" s="58"/>
      <c r="H132" s="58"/>
      <c r="I132" s="58"/>
      <c r="J132" s="59">
        <f>C132</f>
        <v>2.16</v>
      </c>
      <c r="K132" s="60"/>
    </row>
    <row r="133" spans="1:13" ht="14.4" customHeight="1" x14ac:dyDescent="0.3">
      <c r="A133" s="100"/>
      <c r="B133" s="101"/>
      <c r="C133" s="101"/>
      <c r="D133" s="101"/>
      <c r="E133" s="101"/>
      <c r="F133" s="101"/>
      <c r="G133" s="101"/>
      <c r="H133" s="101"/>
      <c r="I133" s="101"/>
      <c r="J133" s="101"/>
      <c r="K133" s="102"/>
    </row>
    <row r="134" spans="1:13" ht="16.95" customHeight="1" x14ac:dyDescent="0.3">
      <c r="A134" s="47" t="s">
        <v>521</v>
      </c>
      <c r="B134" s="48" t="s">
        <v>522</v>
      </c>
      <c r="C134" s="49"/>
      <c r="D134" s="49"/>
      <c r="E134" s="49"/>
      <c r="F134" s="49"/>
      <c r="G134" s="49"/>
      <c r="H134" s="49"/>
      <c r="I134" s="49"/>
      <c r="J134" s="50"/>
      <c r="K134" s="51"/>
    </row>
    <row r="135" spans="1:13" ht="28.8" customHeight="1" x14ac:dyDescent="0.3">
      <c r="A135" s="52" t="str">
        <f>'BM-03'!A211</f>
        <v>3.4.1</v>
      </c>
      <c r="B135" s="103" t="str">
        <f>'BM-03'!D211</f>
        <v>CONCRETO    ARMADO    (PREPARO    E LANCAMENTO) P/ PILARES COM FCK&gt;=30MPA, COM FORMA EM CHAPA DE MADEIRA COM- P E N S A D A       R E S I N A D A ,       C O M APROVEITAMENTO   DE   3   VEZES,   COM BETONEIRA   -</v>
      </c>
      <c r="C135" s="104"/>
      <c r="D135" s="104"/>
      <c r="E135" s="104"/>
      <c r="F135" s="104"/>
      <c r="G135" s="104"/>
      <c r="H135" s="104"/>
      <c r="I135" s="104"/>
      <c r="J135" s="53">
        <f>ROUND(SUM(J136:J136),2)</f>
        <v>1.32</v>
      </c>
      <c r="K135" s="54" t="str">
        <f>'BM-03'!F211</f>
        <v>M3</v>
      </c>
      <c r="M135" s="55"/>
    </row>
    <row r="136" spans="1:13" ht="14.4" customHeight="1" x14ac:dyDescent="0.3">
      <c r="A136" s="56"/>
      <c r="B136" s="57" t="s">
        <v>529</v>
      </c>
      <c r="C136" s="58">
        <f>1.14+0.18</f>
        <v>1.3199999999999998</v>
      </c>
      <c r="D136" s="58"/>
      <c r="E136" s="58"/>
      <c r="F136" s="58"/>
      <c r="G136" s="58"/>
      <c r="H136" s="58"/>
      <c r="I136" s="58"/>
      <c r="J136" s="59">
        <f>C136</f>
        <v>1.3199999999999998</v>
      </c>
      <c r="K136" s="60"/>
    </row>
    <row r="137" spans="1:13" ht="14.4" customHeight="1" x14ac:dyDescent="0.3">
      <c r="A137" s="100"/>
      <c r="B137" s="101"/>
      <c r="C137" s="101"/>
      <c r="D137" s="101"/>
      <c r="E137" s="101"/>
      <c r="F137" s="101"/>
      <c r="G137" s="101"/>
      <c r="H137" s="101"/>
      <c r="I137" s="101"/>
      <c r="J137" s="101"/>
      <c r="K137" s="102"/>
    </row>
  </sheetData>
  <mergeCells count="74">
    <mergeCell ref="A130:K130"/>
    <mergeCell ref="B131:I131"/>
    <mergeCell ref="A133:K133"/>
    <mergeCell ref="B135:I135"/>
    <mergeCell ref="A137:K137"/>
    <mergeCell ref="B120:I120"/>
    <mergeCell ref="A122:K122"/>
    <mergeCell ref="B124:I124"/>
    <mergeCell ref="A127:K127"/>
    <mergeCell ref="B128:I128"/>
    <mergeCell ref="A109:K109"/>
    <mergeCell ref="B112:I112"/>
    <mergeCell ref="A114:K114"/>
    <mergeCell ref="B116:I116"/>
    <mergeCell ref="A119:K119"/>
    <mergeCell ref="B101:I101"/>
    <mergeCell ref="A103:K103"/>
    <mergeCell ref="B104:I104"/>
    <mergeCell ref="A106:K106"/>
    <mergeCell ref="B107:I107"/>
    <mergeCell ref="B97:I97"/>
    <mergeCell ref="A99:K99"/>
    <mergeCell ref="A62:K62"/>
    <mergeCell ref="B54:I54"/>
    <mergeCell ref="A56:K56"/>
    <mergeCell ref="B57:I57"/>
    <mergeCell ref="A59:K59"/>
    <mergeCell ref="B60:I60"/>
    <mergeCell ref="A22:K22"/>
    <mergeCell ref="B23:I23"/>
    <mergeCell ref="A25:K25"/>
    <mergeCell ref="B28:I28"/>
    <mergeCell ref="A34:K34"/>
    <mergeCell ref="B36:I36"/>
    <mergeCell ref="A40:K40"/>
    <mergeCell ref="A13:K13"/>
    <mergeCell ref="B14:I14"/>
    <mergeCell ref="A16:K16"/>
    <mergeCell ref="B17:I17"/>
    <mergeCell ref="B20:I20"/>
    <mergeCell ref="A6:K6"/>
    <mergeCell ref="A1:K1"/>
    <mergeCell ref="A2:K2"/>
    <mergeCell ref="A3:K3"/>
    <mergeCell ref="A4:K4"/>
    <mergeCell ref="A5:K5"/>
    <mergeCell ref="A19:K19"/>
    <mergeCell ref="A7:A8"/>
    <mergeCell ref="B7:B8"/>
    <mergeCell ref="C7:F7"/>
    <mergeCell ref="G7:H7"/>
    <mergeCell ref="I7:J7"/>
    <mergeCell ref="K7:K8"/>
    <mergeCell ref="B11:I11"/>
    <mergeCell ref="A89:A93"/>
    <mergeCell ref="A96:K96"/>
    <mergeCell ref="B42:I42"/>
    <mergeCell ref="A44:K44"/>
    <mergeCell ref="B64:I64"/>
    <mergeCell ref="B72:B74"/>
    <mergeCell ref="B66:B71"/>
    <mergeCell ref="A66:A71"/>
    <mergeCell ref="A72:A74"/>
    <mergeCell ref="B45:I45"/>
    <mergeCell ref="A47:K47"/>
    <mergeCell ref="B48:I48"/>
    <mergeCell ref="A50:K50"/>
    <mergeCell ref="B51:I51"/>
    <mergeCell ref="A53:K53"/>
    <mergeCell ref="A37:A38"/>
    <mergeCell ref="B37:B38"/>
    <mergeCell ref="B75:B88"/>
    <mergeCell ref="A75:A88"/>
    <mergeCell ref="B89:B93"/>
  </mergeCells>
  <conditionalFormatting sqref="B11:B12">
    <cfRule type="expression" dxfId="43" priority="87" stopIfTrue="1">
      <formula>#REF!=1</formula>
    </cfRule>
  </conditionalFormatting>
  <conditionalFormatting sqref="B14:B15">
    <cfRule type="expression" dxfId="42" priority="86" stopIfTrue="1">
      <formula>#REF!=1</formula>
    </cfRule>
  </conditionalFormatting>
  <conditionalFormatting sqref="B17:B18">
    <cfRule type="expression" dxfId="41" priority="85" stopIfTrue="1">
      <formula>#REF!=1</formula>
    </cfRule>
  </conditionalFormatting>
  <conditionalFormatting sqref="B20:B21 B28:B33 G29">
    <cfRule type="expression" dxfId="40" priority="84" stopIfTrue="1">
      <formula>#REF!=1</formula>
    </cfRule>
  </conditionalFormatting>
  <conditionalFormatting sqref="B23:B24">
    <cfRule type="expression" dxfId="39" priority="83" stopIfTrue="1">
      <formula>#REF!=1</formula>
    </cfRule>
  </conditionalFormatting>
  <conditionalFormatting sqref="B36">
    <cfRule type="expression" dxfId="38" priority="43" stopIfTrue="1">
      <formula>#REF!=1</formula>
    </cfRule>
  </conditionalFormatting>
  <conditionalFormatting sqref="B42:B43">
    <cfRule type="expression" dxfId="35" priority="54" stopIfTrue="1">
      <formula>#REF!=1</formula>
    </cfRule>
  </conditionalFormatting>
  <conditionalFormatting sqref="B64:B66">
    <cfRule type="expression" dxfId="34" priority="51" stopIfTrue="1">
      <formula>#REF!=1</formula>
    </cfRule>
  </conditionalFormatting>
  <conditionalFormatting sqref="B72 B75 B89 B94:B95">
    <cfRule type="expression" dxfId="33" priority="70" stopIfTrue="1">
      <formula>#REF!=1</formula>
    </cfRule>
  </conditionalFormatting>
  <conditionalFormatting sqref="B45:B46">
    <cfRule type="expression" dxfId="32" priority="40" stopIfTrue="1">
      <formula>#REF!=1</formula>
    </cfRule>
  </conditionalFormatting>
  <conditionalFormatting sqref="B49">
    <cfRule type="expression" dxfId="31" priority="39" stopIfTrue="1">
      <formula>#REF!=1</formula>
    </cfRule>
  </conditionalFormatting>
  <conditionalFormatting sqref="B52">
    <cfRule type="expression" dxfId="30" priority="38" stopIfTrue="1">
      <formula>#REF!=1</formula>
    </cfRule>
  </conditionalFormatting>
  <conditionalFormatting sqref="B55">
    <cfRule type="expression" dxfId="29" priority="37" stopIfTrue="1">
      <formula>#REF!=1</formula>
    </cfRule>
  </conditionalFormatting>
  <conditionalFormatting sqref="B58">
    <cfRule type="expression" dxfId="28" priority="36" stopIfTrue="1">
      <formula>#REF!=1</formula>
    </cfRule>
  </conditionalFormatting>
  <conditionalFormatting sqref="B61">
    <cfRule type="expression" dxfId="27" priority="35" stopIfTrue="1">
      <formula>#REF!=1</formula>
    </cfRule>
  </conditionalFormatting>
  <conditionalFormatting sqref="B48">
    <cfRule type="expression" dxfId="26" priority="29" stopIfTrue="1">
      <formula>#REF!=1</formula>
    </cfRule>
  </conditionalFormatting>
  <conditionalFormatting sqref="B60">
    <cfRule type="expression" dxfId="25" priority="25" stopIfTrue="1">
      <formula>#REF!=1</formula>
    </cfRule>
  </conditionalFormatting>
  <conditionalFormatting sqref="B51">
    <cfRule type="expression" dxfId="24" priority="24" stopIfTrue="1">
      <formula>#REF!=1</formula>
    </cfRule>
  </conditionalFormatting>
  <conditionalFormatting sqref="B54">
    <cfRule type="expression" dxfId="23" priority="23" stopIfTrue="1">
      <formula>#REF!=1</formula>
    </cfRule>
  </conditionalFormatting>
  <conditionalFormatting sqref="B57">
    <cfRule type="expression" dxfId="22" priority="22" stopIfTrue="1">
      <formula>#REF!=1</formula>
    </cfRule>
  </conditionalFormatting>
  <conditionalFormatting sqref="B98">
    <cfRule type="expression" dxfId="21" priority="21" stopIfTrue="1">
      <formula>#REF!=1</formula>
    </cfRule>
  </conditionalFormatting>
  <conditionalFormatting sqref="B97">
    <cfRule type="expression" dxfId="20" priority="20" stopIfTrue="1">
      <formula>#REF!=1</formula>
    </cfRule>
  </conditionalFormatting>
  <conditionalFormatting sqref="B101:B102">
    <cfRule type="expression" dxfId="19" priority="19" stopIfTrue="1">
      <formula>#REF!=1</formula>
    </cfRule>
  </conditionalFormatting>
  <conditionalFormatting sqref="B104:B105">
    <cfRule type="expression" dxfId="18" priority="18" stopIfTrue="1">
      <formula>#REF!=1</formula>
    </cfRule>
  </conditionalFormatting>
  <conditionalFormatting sqref="B107:B108">
    <cfRule type="expression" dxfId="17" priority="17" stopIfTrue="1">
      <formula>#REF!=1</formula>
    </cfRule>
  </conditionalFormatting>
  <conditionalFormatting sqref="B113">
    <cfRule type="expression" dxfId="16" priority="16" stopIfTrue="1">
      <formula>#REF!=1</formula>
    </cfRule>
  </conditionalFormatting>
  <conditionalFormatting sqref="B116:B118">
    <cfRule type="expression" dxfId="15" priority="15" stopIfTrue="1">
      <formula>#REF!=1</formula>
    </cfRule>
  </conditionalFormatting>
  <conditionalFormatting sqref="B121">
    <cfRule type="expression" dxfId="14" priority="14" stopIfTrue="1">
      <formula>#REF!=1</formula>
    </cfRule>
  </conditionalFormatting>
  <conditionalFormatting sqref="B124">
    <cfRule type="expression" dxfId="13" priority="13" stopIfTrue="1">
      <formula>#REF!=1</formula>
    </cfRule>
  </conditionalFormatting>
  <conditionalFormatting sqref="B120">
    <cfRule type="expression" dxfId="9" priority="9" stopIfTrue="1">
      <formula>#REF!=1</formula>
    </cfRule>
  </conditionalFormatting>
  <conditionalFormatting sqref="B128">
    <cfRule type="expression" dxfId="8" priority="8" stopIfTrue="1">
      <formula>#REF!=1</formula>
    </cfRule>
  </conditionalFormatting>
  <conditionalFormatting sqref="B131">
    <cfRule type="expression" dxfId="7" priority="7" stopIfTrue="1">
      <formula>#REF!=1</formula>
    </cfRule>
  </conditionalFormatting>
  <conditionalFormatting sqref="B135">
    <cfRule type="expression" dxfId="5" priority="6" stopIfTrue="1">
      <formula>#REF!=1</formula>
    </cfRule>
  </conditionalFormatting>
  <conditionalFormatting sqref="B112">
    <cfRule type="expression" dxfId="4" priority="5" stopIfTrue="1">
      <formula>#REF!=1</formula>
    </cfRule>
  </conditionalFormatting>
  <conditionalFormatting sqref="B125:B126">
    <cfRule type="expression" dxfId="3" priority="4" stopIfTrue="1">
      <formula>#REF!=1</formula>
    </cfRule>
  </conditionalFormatting>
  <conditionalFormatting sqref="B132">
    <cfRule type="expression" dxfId="2" priority="3" stopIfTrue="1">
      <formula>#REF!=1</formula>
    </cfRule>
  </conditionalFormatting>
  <conditionalFormatting sqref="B129">
    <cfRule type="expression" dxfId="1" priority="2" stopIfTrue="1">
      <formula>#REF!=1</formula>
    </cfRule>
  </conditionalFormatting>
  <conditionalFormatting sqref="B136">
    <cfRule type="expression" dxfId="0" priority="1" stopIfTrue="1">
      <formula>#REF!=1</formula>
    </cfRule>
  </conditionalFormatting>
  <printOptions horizontalCentered="1"/>
  <pageMargins left="0.70866141732283472" right="0.70866141732283472" top="0.78740157480314965" bottom="0.78740157480314965" header="0.31496062992125984" footer="0.31496062992125984"/>
  <pageSetup paperSize="9" scale="67" fitToHeight="0" orientation="portrait" horizontalDpi="360" verticalDpi="360" r:id="rId1"/>
  <rowBreaks count="1" manualBreakCount="1">
    <brk id="6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BM-03</vt:lpstr>
      <vt:lpstr>MEMORIAL DE CÁLCULOS</vt:lpstr>
      <vt:lpstr>'BM-03'!Area_de_impressao</vt:lpstr>
      <vt:lpstr>'MEMORIAL DE CÁLCULOS'!Area_de_impressao</vt:lpstr>
      <vt:lpstr>'BM-03'!Titulos_de_impressao</vt:lpstr>
      <vt:lpstr>'MEMORIAL DE CÁLCULOS'!Titulos_de_impressao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Emanoel (J. Galdino)</dc:creator>
  <cp:lastModifiedBy>Emanoel de Souza</cp:lastModifiedBy>
  <cp:lastPrinted>2024-04-15T03:47:23Z</cp:lastPrinted>
  <dcterms:created xsi:type="dcterms:W3CDTF">2023-07-30T22:59:07Z</dcterms:created>
  <dcterms:modified xsi:type="dcterms:W3CDTF">2024-04-15T04:33:43Z</dcterms:modified>
</cp:coreProperties>
</file>