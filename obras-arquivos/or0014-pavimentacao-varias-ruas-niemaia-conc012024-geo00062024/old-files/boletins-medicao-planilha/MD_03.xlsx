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9F7C99F0-22E8-4B26-87E9-F077B6B5B0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3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8" i="2" l="1"/>
  <c r="G1109" i="2"/>
  <c r="K1109" i="2" s="1"/>
  <c r="G1110" i="2"/>
  <c r="K1110" i="2" s="1"/>
  <c r="G1111" i="2"/>
  <c r="G1112" i="2"/>
  <c r="K1112" i="2" s="1"/>
  <c r="G1101" i="2"/>
  <c r="K1101" i="2" s="1"/>
  <c r="G1102" i="2"/>
  <c r="K1102" i="2" s="1"/>
  <c r="G1103" i="2"/>
  <c r="G1104" i="2"/>
  <c r="G1105" i="2"/>
  <c r="G919" i="2"/>
  <c r="K919" i="2" s="1"/>
  <c r="G920" i="2"/>
  <c r="G921" i="2"/>
  <c r="G922" i="2"/>
  <c r="G923" i="2"/>
  <c r="G915" i="2"/>
  <c r="K915" i="2" s="1"/>
  <c r="G912" i="2"/>
  <c r="K912" i="2" s="1"/>
  <c r="K705" i="2"/>
  <c r="K567" i="2"/>
  <c r="G470" i="2"/>
  <c r="G14" i="2"/>
  <c r="G70" i="2"/>
  <c r="I1332" i="2"/>
  <c r="I419" i="2"/>
  <c r="G961" i="2"/>
  <c r="K961" i="2" s="1"/>
  <c r="I961" i="2"/>
  <c r="J961" i="2"/>
  <c r="J1416" i="2"/>
  <c r="I1416" i="2"/>
  <c r="G1416" i="2"/>
  <c r="K1416" i="2" s="1"/>
  <c r="J1415" i="2"/>
  <c r="I1415" i="2"/>
  <c r="G1415" i="2"/>
  <c r="K1415" i="2" s="1"/>
  <c r="J1413" i="2"/>
  <c r="I1413" i="2"/>
  <c r="G1413" i="2"/>
  <c r="K1413" i="2" s="1"/>
  <c r="J1412" i="2"/>
  <c r="I1412" i="2"/>
  <c r="G1412" i="2"/>
  <c r="K1412" i="2" s="1"/>
  <c r="J1411" i="2"/>
  <c r="I1411" i="2"/>
  <c r="G1411" i="2"/>
  <c r="K1411" i="2" s="1"/>
  <c r="J1409" i="2"/>
  <c r="I1409" i="2"/>
  <c r="G1409" i="2"/>
  <c r="K1409" i="2" s="1"/>
  <c r="J1408" i="2"/>
  <c r="I1408" i="2"/>
  <c r="G1408" i="2"/>
  <c r="K1408" i="2" s="1"/>
  <c r="J1407" i="2"/>
  <c r="I1407" i="2"/>
  <c r="G1407" i="2"/>
  <c r="K1407" i="2" s="1"/>
  <c r="J1406" i="2"/>
  <c r="I1406" i="2"/>
  <c r="G1406" i="2"/>
  <c r="K1406" i="2" s="1"/>
  <c r="J1405" i="2"/>
  <c r="I1405" i="2"/>
  <c r="G1405" i="2"/>
  <c r="K1405" i="2" s="1"/>
  <c r="J1404" i="2"/>
  <c r="I1404" i="2"/>
  <c r="G1404" i="2"/>
  <c r="K1404" i="2" s="1"/>
  <c r="J1402" i="2"/>
  <c r="I1402" i="2"/>
  <c r="G1402" i="2"/>
  <c r="K1402" i="2" s="1"/>
  <c r="J1401" i="2"/>
  <c r="I1401" i="2"/>
  <c r="G1401" i="2"/>
  <c r="K1401" i="2" s="1"/>
  <c r="J1400" i="2"/>
  <c r="I1400" i="2"/>
  <c r="G1400" i="2"/>
  <c r="K1400" i="2" s="1"/>
  <c r="J1399" i="2"/>
  <c r="I1399" i="2"/>
  <c r="G1399" i="2"/>
  <c r="K1399" i="2" s="1"/>
  <c r="J1398" i="2"/>
  <c r="I1398" i="2"/>
  <c r="G1398" i="2"/>
  <c r="K1398" i="2" s="1"/>
  <c r="J1397" i="2"/>
  <c r="I1397" i="2"/>
  <c r="G1397" i="2"/>
  <c r="K1397" i="2" s="1"/>
  <c r="J1395" i="2"/>
  <c r="J1394" i="2" s="1"/>
  <c r="I1395" i="2"/>
  <c r="I1394" i="2" s="1"/>
  <c r="G1395" i="2"/>
  <c r="K1395" i="2" s="1"/>
  <c r="K1394" i="2" s="1"/>
  <c r="J1393" i="2"/>
  <c r="I1393" i="2"/>
  <c r="G1393" i="2"/>
  <c r="K1393" i="2" s="1"/>
  <c r="J1392" i="2"/>
  <c r="I1392" i="2"/>
  <c r="G1392" i="2"/>
  <c r="K1392" i="2" s="1"/>
  <c r="J1389" i="2"/>
  <c r="I1389" i="2"/>
  <c r="G1389" i="2"/>
  <c r="K1389" i="2" s="1"/>
  <c r="J1388" i="2"/>
  <c r="I1388" i="2"/>
  <c r="I1387" i="2" s="1"/>
  <c r="G1388" i="2"/>
  <c r="K1388" i="2" s="1"/>
  <c r="J1386" i="2"/>
  <c r="I1386" i="2"/>
  <c r="G1386" i="2"/>
  <c r="K1386" i="2" s="1"/>
  <c r="J1385" i="2"/>
  <c r="I1385" i="2"/>
  <c r="G1385" i="2"/>
  <c r="K1385" i="2" s="1"/>
  <c r="J1384" i="2"/>
  <c r="I1384" i="2"/>
  <c r="G1384" i="2"/>
  <c r="K1384" i="2" s="1"/>
  <c r="J1382" i="2"/>
  <c r="I1382" i="2"/>
  <c r="G1382" i="2"/>
  <c r="K1382" i="2" s="1"/>
  <c r="J1381" i="2"/>
  <c r="I1381" i="2"/>
  <c r="G1381" i="2"/>
  <c r="K1381" i="2" s="1"/>
  <c r="J1380" i="2"/>
  <c r="I1380" i="2"/>
  <c r="G1380" i="2"/>
  <c r="K1380" i="2" s="1"/>
  <c r="J1379" i="2"/>
  <c r="I1379" i="2"/>
  <c r="G1379" i="2"/>
  <c r="K1379" i="2" s="1"/>
  <c r="J1378" i="2"/>
  <c r="I1378" i="2"/>
  <c r="G1378" i="2"/>
  <c r="K1378" i="2" s="1"/>
  <c r="J1377" i="2"/>
  <c r="I1377" i="2"/>
  <c r="G1377" i="2"/>
  <c r="K1377" i="2" s="1"/>
  <c r="J1375" i="2"/>
  <c r="I1375" i="2"/>
  <c r="G1375" i="2"/>
  <c r="K1375" i="2" s="1"/>
  <c r="J1374" i="2"/>
  <c r="I1374" i="2"/>
  <c r="G1374" i="2"/>
  <c r="K1374" i="2" s="1"/>
  <c r="J1373" i="2"/>
  <c r="I1373" i="2"/>
  <c r="G1373" i="2"/>
  <c r="K1373" i="2" s="1"/>
  <c r="J1372" i="2"/>
  <c r="I1372" i="2"/>
  <c r="G1372" i="2"/>
  <c r="K1372" i="2" s="1"/>
  <c r="J1371" i="2"/>
  <c r="I1371" i="2"/>
  <c r="G1371" i="2"/>
  <c r="K1371" i="2" s="1"/>
  <c r="J1370" i="2"/>
  <c r="I1370" i="2"/>
  <c r="G1370" i="2"/>
  <c r="K1370" i="2" s="1"/>
  <c r="J1368" i="2"/>
  <c r="J1367" i="2" s="1"/>
  <c r="I1368" i="2"/>
  <c r="I1367" i="2" s="1"/>
  <c r="G1368" i="2"/>
  <c r="K1368" i="2" s="1"/>
  <c r="K1367" i="2" s="1"/>
  <c r="J1366" i="2"/>
  <c r="I1366" i="2"/>
  <c r="G1366" i="2"/>
  <c r="K1366" i="2" s="1"/>
  <c r="J1365" i="2"/>
  <c r="I1365" i="2"/>
  <c r="G1365" i="2"/>
  <c r="K1365" i="2" s="1"/>
  <c r="J1362" i="2"/>
  <c r="I1362" i="2"/>
  <c r="G1362" i="2"/>
  <c r="K1362" i="2" s="1"/>
  <c r="J1361" i="2"/>
  <c r="I1361" i="2"/>
  <c r="G1361" i="2"/>
  <c r="K1361" i="2" s="1"/>
  <c r="J1359" i="2"/>
  <c r="I1359" i="2"/>
  <c r="G1359" i="2"/>
  <c r="K1359" i="2" s="1"/>
  <c r="J1358" i="2"/>
  <c r="I1358" i="2"/>
  <c r="G1358" i="2"/>
  <c r="K1358" i="2" s="1"/>
  <c r="J1357" i="2"/>
  <c r="I1357" i="2"/>
  <c r="G1357" i="2"/>
  <c r="K1357" i="2" s="1"/>
  <c r="J1355" i="2"/>
  <c r="I1355" i="2"/>
  <c r="G1355" i="2"/>
  <c r="K1355" i="2" s="1"/>
  <c r="J1354" i="2"/>
  <c r="I1354" i="2"/>
  <c r="G1354" i="2"/>
  <c r="K1354" i="2" s="1"/>
  <c r="J1353" i="2"/>
  <c r="I1353" i="2"/>
  <c r="G1353" i="2"/>
  <c r="K1353" i="2" s="1"/>
  <c r="J1352" i="2"/>
  <c r="I1352" i="2"/>
  <c r="G1352" i="2"/>
  <c r="K1352" i="2" s="1"/>
  <c r="J1351" i="2"/>
  <c r="I1351" i="2"/>
  <c r="G1351" i="2"/>
  <c r="K1351" i="2" s="1"/>
  <c r="J1350" i="2"/>
  <c r="I1350" i="2"/>
  <c r="G1350" i="2"/>
  <c r="K1350" i="2" s="1"/>
  <c r="J1348" i="2"/>
  <c r="I1348" i="2"/>
  <c r="G1348" i="2"/>
  <c r="K1348" i="2" s="1"/>
  <c r="J1347" i="2"/>
  <c r="I1347" i="2"/>
  <c r="G1347" i="2"/>
  <c r="K1347" i="2" s="1"/>
  <c r="J1346" i="2"/>
  <c r="I1346" i="2"/>
  <c r="G1346" i="2"/>
  <c r="K1346" i="2" s="1"/>
  <c r="J1345" i="2"/>
  <c r="I1345" i="2"/>
  <c r="G1345" i="2"/>
  <c r="K1345" i="2" s="1"/>
  <c r="J1344" i="2"/>
  <c r="I1344" i="2"/>
  <c r="G1344" i="2"/>
  <c r="K1344" i="2" s="1"/>
  <c r="J1343" i="2"/>
  <c r="I1343" i="2"/>
  <c r="G1343" i="2"/>
  <c r="K1343" i="2" s="1"/>
  <c r="J1341" i="2"/>
  <c r="J1340" i="2" s="1"/>
  <c r="I1341" i="2"/>
  <c r="I1340" i="2" s="1"/>
  <c r="G1341" i="2"/>
  <c r="K1341" i="2" s="1"/>
  <c r="K1340" i="2" s="1"/>
  <c r="J1339" i="2"/>
  <c r="I1339" i="2"/>
  <c r="I1337" i="2" s="1"/>
  <c r="G1339" i="2"/>
  <c r="K1339" i="2" s="1"/>
  <c r="J1338" i="2"/>
  <c r="I1338" i="2"/>
  <c r="G1338" i="2"/>
  <c r="K1338" i="2" s="1"/>
  <c r="J1335" i="2"/>
  <c r="I1335" i="2"/>
  <c r="G1335" i="2"/>
  <c r="K1335" i="2" s="1"/>
  <c r="J1334" i="2"/>
  <c r="I1334" i="2"/>
  <c r="I1333" i="2" s="1"/>
  <c r="G1334" i="2"/>
  <c r="K1334" i="2" s="1"/>
  <c r="J1332" i="2"/>
  <c r="G1332" i="2"/>
  <c r="K1332" i="2" s="1"/>
  <c r="J1331" i="2"/>
  <c r="I1331" i="2"/>
  <c r="G1331" i="2"/>
  <c r="K1331" i="2" s="1"/>
  <c r="J1330" i="2"/>
  <c r="I1330" i="2"/>
  <c r="G1330" i="2"/>
  <c r="K1330" i="2" s="1"/>
  <c r="J1328" i="2"/>
  <c r="I1328" i="2"/>
  <c r="G1328" i="2"/>
  <c r="K1328" i="2" s="1"/>
  <c r="J1327" i="2"/>
  <c r="I1327" i="2"/>
  <c r="G1327" i="2"/>
  <c r="K1327" i="2" s="1"/>
  <c r="J1326" i="2"/>
  <c r="I1326" i="2"/>
  <c r="G1326" i="2"/>
  <c r="K1326" i="2" s="1"/>
  <c r="J1325" i="2"/>
  <c r="I1325" i="2"/>
  <c r="G1325" i="2"/>
  <c r="K1325" i="2" s="1"/>
  <c r="J1324" i="2"/>
  <c r="I1324" i="2"/>
  <c r="G1324" i="2"/>
  <c r="K1324" i="2" s="1"/>
  <c r="J1323" i="2"/>
  <c r="I1323" i="2"/>
  <c r="G1323" i="2"/>
  <c r="K1323" i="2" s="1"/>
  <c r="J1321" i="2"/>
  <c r="I1321" i="2"/>
  <c r="G1321" i="2"/>
  <c r="K1321" i="2" s="1"/>
  <c r="J1320" i="2"/>
  <c r="I1320" i="2"/>
  <c r="G1320" i="2"/>
  <c r="K1320" i="2" s="1"/>
  <c r="J1319" i="2"/>
  <c r="I1319" i="2"/>
  <c r="G1319" i="2"/>
  <c r="K1319" i="2" s="1"/>
  <c r="J1318" i="2"/>
  <c r="I1318" i="2"/>
  <c r="G1318" i="2"/>
  <c r="K1318" i="2" s="1"/>
  <c r="J1317" i="2"/>
  <c r="I1317" i="2"/>
  <c r="G1317" i="2"/>
  <c r="K1317" i="2" s="1"/>
  <c r="J1316" i="2"/>
  <c r="I1316" i="2"/>
  <c r="G1316" i="2"/>
  <c r="K1316" i="2" s="1"/>
  <c r="J1314" i="2"/>
  <c r="J1313" i="2" s="1"/>
  <c r="I1314" i="2"/>
  <c r="I1313" i="2" s="1"/>
  <c r="G1314" i="2"/>
  <c r="K1314" i="2" s="1"/>
  <c r="K1313" i="2" s="1"/>
  <c r="J1312" i="2"/>
  <c r="I1312" i="2"/>
  <c r="G1312" i="2"/>
  <c r="K1312" i="2" s="1"/>
  <c r="J1311" i="2"/>
  <c r="I1311" i="2"/>
  <c r="I1310" i="2" s="1"/>
  <c r="G1311" i="2"/>
  <c r="K1311" i="2" s="1"/>
  <c r="J1308" i="2"/>
  <c r="I1308" i="2"/>
  <c r="G1308" i="2"/>
  <c r="K1308" i="2" s="1"/>
  <c r="J1307" i="2"/>
  <c r="I1307" i="2"/>
  <c r="G1307" i="2"/>
  <c r="K1307" i="2" s="1"/>
  <c r="J1305" i="2"/>
  <c r="I1305" i="2"/>
  <c r="G1305" i="2"/>
  <c r="K1305" i="2" s="1"/>
  <c r="J1304" i="2"/>
  <c r="I1304" i="2"/>
  <c r="G1304" i="2"/>
  <c r="K1304" i="2" s="1"/>
  <c r="J1303" i="2"/>
  <c r="I1303" i="2"/>
  <c r="G1303" i="2"/>
  <c r="K1303" i="2" s="1"/>
  <c r="J1301" i="2"/>
  <c r="I1301" i="2"/>
  <c r="G1301" i="2"/>
  <c r="K1301" i="2" s="1"/>
  <c r="J1300" i="2"/>
  <c r="I1300" i="2"/>
  <c r="G1300" i="2"/>
  <c r="K1300" i="2" s="1"/>
  <c r="J1299" i="2"/>
  <c r="I1299" i="2"/>
  <c r="G1299" i="2"/>
  <c r="K1299" i="2" s="1"/>
  <c r="J1298" i="2"/>
  <c r="I1298" i="2"/>
  <c r="G1298" i="2"/>
  <c r="K1298" i="2" s="1"/>
  <c r="J1297" i="2"/>
  <c r="I1297" i="2"/>
  <c r="G1297" i="2"/>
  <c r="K1297" i="2" s="1"/>
  <c r="J1296" i="2"/>
  <c r="I1296" i="2"/>
  <c r="G1296" i="2"/>
  <c r="K1296" i="2" s="1"/>
  <c r="J1294" i="2"/>
  <c r="I1294" i="2"/>
  <c r="G1294" i="2"/>
  <c r="K1294" i="2" s="1"/>
  <c r="J1293" i="2"/>
  <c r="I1293" i="2"/>
  <c r="G1293" i="2"/>
  <c r="K1293" i="2" s="1"/>
  <c r="J1292" i="2"/>
  <c r="I1292" i="2"/>
  <c r="G1292" i="2"/>
  <c r="K1292" i="2" s="1"/>
  <c r="J1291" i="2"/>
  <c r="I1291" i="2"/>
  <c r="G1291" i="2"/>
  <c r="K1291" i="2" s="1"/>
  <c r="J1290" i="2"/>
  <c r="I1290" i="2"/>
  <c r="G1290" i="2"/>
  <c r="K1290" i="2" s="1"/>
  <c r="J1289" i="2"/>
  <c r="I1289" i="2"/>
  <c r="G1289" i="2"/>
  <c r="K1289" i="2" s="1"/>
  <c r="J1287" i="2"/>
  <c r="J1286" i="2" s="1"/>
  <c r="I1287" i="2"/>
  <c r="I1286" i="2" s="1"/>
  <c r="G1287" i="2"/>
  <c r="K1287" i="2" s="1"/>
  <c r="K1286" i="2" s="1"/>
  <c r="J1285" i="2"/>
  <c r="I1285" i="2"/>
  <c r="G1285" i="2"/>
  <c r="K1285" i="2" s="1"/>
  <c r="J1284" i="2"/>
  <c r="I1284" i="2"/>
  <c r="G1284" i="2"/>
  <c r="K1284" i="2" s="1"/>
  <c r="J1281" i="2"/>
  <c r="I1281" i="2"/>
  <c r="G1281" i="2"/>
  <c r="K1281" i="2" s="1"/>
  <c r="J1280" i="2"/>
  <c r="I1280" i="2"/>
  <c r="I1279" i="2" s="1"/>
  <c r="G1280" i="2"/>
  <c r="K1280" i="2" s="1"/>
  <c r="J1278" i="2"/>
  <c r="I1278" i="2"/>
  <c r="G1278" i="2"/>
  <c r="K1278" i="2" s="1"/>
  <c r="J1277" i="2"/>
  <c r="I1277" i="2"/>
  <c r="G1277" i="2"/>
  <c r="K1277" i="2" s="1"/>
  <c r="J1276" i="2"/>
  <c r="I1276" i="2"/>
  <c r="G1276" i="2"/>
  <c r="K1276" i="2" s="1"/>
  <c r="J1274" i="2"/>
  <c r="I1274" i="2"/>
  <c r="G1274" i="2"/>
  <c r="K1274" i="2" s="1"/>
  <c r="J1273" i="2"/>
  <c r="I1273" i="2"/>
  <c r="G1273" i="2"/>
  <c r="K1273" i="2" s="1"/>
  <c r="J1272" i="2"/>
  <c r="I1272" i="2"/>
  <c r="G1272" i="2"/>
  <c r="K1272" i="2" s="1"/>
  <c r="J1271" i="2"/>
  <c r="I1271" i="2"/>
  <c r="G1271" i="2"/>
  <c r="K1271" i="2" s="1"/>
  <c r="J1270" i="2"/>
  <c r="I1270" i="2"/>
  <c r="G1270" i="2"/>
  <c r="K1270" i="2" s="1"/>
  <c r="J1269" i="2"/>
  <c r="I1269" i="2"/>
  <c r="G1269" i="2"/>
  <c r="K1269" i="2" s="1"/>
  <c r="J1267" i="2"/>
  <c r="I1267" i="2"/>
  <c r="G1267" i="2"/>
  <c r="K1267" i="2" s="1"/>
  <c r="J1266" i="2"/>
  <c r="I1266" i="2"/>
  <c r="G1266" i="2"/>
  <c r="K1266" i="2" s="1"/>
  <c r="J1265" i="2"/>
  <c r="I1265" i="2"/>
  <c r="G1265" i="2"/>
  <c r="K1265" i="2" s="1"/>
  <c r="J1264" i="2"/>
  <c r="I1264" i="2"/>
  <c r="G1264" i="2"/>
  <c r="K1264" i="2" s="1"/>
  <c r="J1263" i="2"/>
  <c r="I1263" i="2"/>
  <c r="G1263" i="2"/>
  <c r="K1263" i="2" s="1"/>
  <c r="J1262" i="2"/>
  <c r="I1262" i="2"/>
  <c r="G1262" i="2"/>
  <c r="K1262" i="2" s="1"/>
  <c r="J1260" i="2"/>
  <c r="J1259" i="2" s="1"/>
  <c r="I1260" i="2"/>
  <c r="I1259" i="2" s="1"/>
  <c r="G1260" i="2"/>
  <c r="K1260" i="2" s="1"/>
  <c r="K1259" i="2" s="1"/>
  <c r="J1258" i="2"/>
  <c r="I1258" i="2"/>
  <c r="G1258" i="2"/>
  <c r="K1258" i="2" s="1"/>
  <c r="J1257" i="2"/>
  <c r="I1257" i="2"/>
  <c r="I1256" i="2" s="1"/>
  <c r="G1257" i="2"/>
  <c r="K1257" i="2" s="1"/>
  <c r="J1254" i="2"/>
  <c r="I1254" i="2"/>
  <c r="G1254" i="2"/>
  <c r="K1254" i="2" s="1"/>
  <c r="J1253" i="2"/>
  <c r="I1253" i="2"/>
  <c r="G1253" i="2"/>
  <c r="K1253" i="2" s="1"/>
  <c r="J1251" i="2"/>
  <c r="I1251" i="2"/>
  <c r="G1251" i="2"/>
  <c r="K1251" i="2" s="1"/>
  <c r="J1250" i="2"/>
  <c r="I1250" i="2"/>
  <c r="G1250" i="2"/>
  <c r="K1250" i="2" s="1"/>
  <c r="J1249" i="2"/>
  <c r="I1249" i="2"/>
  <c r="G1249" i="2"/>
  <c r="K1249" i="2" s="1"/>
  <c r="J1247" i="2"/>
  <c r="I1247" i="2"/>
  <c r="G1247" i="2"/>
  <c r="K1247" i="2" s="1"/>
  <c r="J1246" i="2"/>
  <c r="I1246" i="2"/>
  <c r="G1246" i="2"/>
  <c r="K1246" i="2" s="1"/>
  <c r="J1245" i="2"/>
  <c r="I1245" i="2"/>
  <c r="G1245" i="2"/>
  <c r="K1245" i="2" s="1"/>
  <c r="J1244" i="2"/>
  <c r="I1244" i="2"/>
  <c r="G1244" i="2"/>
  <c r="K1244" i="2" s="1"/>
  <c r="J1243" i="2"/>
  <c r="I1243" i="2"/>
  <c r="G1243" i="2"/>
  <c r="K1243" i="2" s="1"/>
  <c r="J1242" i="2"/>
  <c r="I1242" i="2"/>
  <c r="G1242" i="2"/>
  <c r="K1242" i="2" s="1"/>
  <c r="J1240" i="2"/>
  <c r="I1240" i="2"/>
  <c r="G1240" i="2"/>
  <c r="K1240" i="2" s="1"/>
  <c r="J1239" i="2"/>
  <c r="I1239" i="2"/>
  <c r="G1239" i="2"/>
  <c r="K1239" i="2" s="1"/>
  <c r="J1238" i="2"/>
  <c r="I1238" i="2"/>
  <c r="G1238" i="2"/>
  <c r="K1238" i="2" s="1"/>
  <c r="J1237" i="2"/>
  <c r="I1237" i="2"/>
  <c r="G1237" i="2"/>
  <c r="K1237" i="2" s="1"/>
  <c r="J1236" i="2"/>
  <c r="I1236" i="2"/>
  <c r="G1236" i="2"/>
  <c r="K1236" i="2" s="1"/>
  <c r="J1235" i="2"/>
  <c r="I1235" i="2"/>
  <c r="G1235" i="2"/>
  <c r="K1235" i="2" s="1"/>
  <c r="J1233" i="2"/>
  <c r="J1232" i="2" s="1"/>
  <c r="I1233" i="2"/>
  <c r="I1232" i="2" s="1"/>
  <c r="G1233" i="2"/>
  <c r="K1233" i="2" s="1"/>
  <c r="K1232" i="2" s="1"/>
  <c r="J1231" i="2"/>
  <c r="I1231" i="2"/>
  <c r="G1231" i="2"/>
  <c r="K1231" i="2" s="1"/>
  <c r="J1230" i="2"/>
  <c r="I1230" i="2"/>
  <c r="G1230" i="2"/>
  <c r="K1230" i="2" s="1"/>
  <c r="J1227" i="2"/>
  <c r="I1227" i="2"/>
  <c r="G1227" i="2"/>
  <c r="K1227" i="2" s="1"/>
  <c r="J1226" i="2"/>
  <c r="I1226" i="2"/>
  <c r="I1225" i="2" s="1"/>
  <c r="G1226" i="2"/>
  <c r="K1226" i="2" s="1"/>
  <c r="J1224" i="2"/>
  <c r="I1224" i="2"/>
  <c r="G1224" i="2"/>
  <c r="K1224" i="2" s="1"/>
  <c r="J1223" i="2"/>
  <c r="I1223" i="2"/>
  <c r="G1223" i="2"/>
  <c r="K1223" i="2" s="1"/>
  <c r="J1222" i="2"/>
  <c r="I1222" i="2"/>
  <c r="G1222" i="2"/>
  <c r="K1222" i="2" s="1"/>
  <c r="J1220" i="2"/>
  <c r="I1220" i="2"/>
  <c r="G1220" i="2"/>
  <c r="K1220" i="2" s="1"/>
  <c r="J1219" i="2"/>
  <c r="I1219" i="2"/>
  <c r="G1219" i="2"/>
  <c r="K1219" i="2" s="1"/>
  <c r="J1218" i="2"/>
  <c r="I1218" i="2"/>
  <c r="G1218" i="2"/>
  <c r="K1218" i="2" s="1"/>
  <c r="J1217" i="2"/>
  <c r="I1217" i="2"/>
  <c r="G1217" i="2"/>
  <c r="K1217" i="2" s="1"/>
  <c r="J1216" i="2"/>
  <c r="I1216" i="2"/>
  <c r="G1216" i="2"/>
  <c r="K1216" i="2" s="1"/>
  <c r="J1215" i="2"/>
  <c r="I1215" i="2"/>
  <c r="G1215" i="2"/>
  <c r="K1215" i="2" s="1"/>
  <c r="J1213" i="2"/>
  <c r="I1213" i="2"/>
  <c r="G1213" i="2"/>
  <c r="K1213" i="2" s="1"/>
  <c r="J1212" i="2"/>
  <c r="I1212" i="2"/>
  <c r="G1212" i="2"/>
  <c r="K1212" i="2" s="1"/>
  <c r="J1211" i="2"/>
  <c r="I1211" i="2"/>
  <c r="G1211" i="2"/>
  <c r="K1211" i="2" s="1"/>
  <c r="J1210" i="2"/>
  <c r="I1210" i="2"/>
  <c r="G1210" i="2"/>
  <c r="K1210" i="2" s="1"/>
  <c r="J1209" i="2"/>
  <c r="I1209" i="2"/>
  <c r="G1209" i="2"/>
  <c r="K1209" i="2" s="1"/>
  <c r="J1208" i="2"/>
  <c r="I1208" i="2"/>
  <c r="G1208" i="2"/>
  <c r="K1208" i="2" s="1"/>
  <c r="J1206" i="2"/>
  <c r="J1205" i="2" s="1"/>
  <c r="I1206" i="2"/>
  <c r="I1205" i="2" s="1"/>
  <c r="G1206" i="2"/>
  <c r="K1206" i="2" s="1"/>
  <c r="K1205" i="2" s="1"/>
  <c r="J1204" i="2"/>
  <c r="I1204" i="2"/>
  <c r="G1204" i="2"/>
  <c r="K1204" i="2" s="1"/>
  <c r="J1203" i="2"/>
  <c r="I1203" i="2"/>
  <c r="G1203" i="2"/>
  <c r="K1203" i="2" s="1"/>
  <c r="J1200" i="2"/>
  <c r="I1200" i="2"/>
  <c r="G1200" i="2"/>
  <c r="K1200" i="2" s="1"/>
  <c r="J1199" i="2"/>
  <c r="I1199" i="2"/>
  <c r="I1198" i="2" s="1"/>
  <c r="G1199" i="2"/>
  <c r="K1199" i="2" s="1"/>
  <c r="J1197" i="2"/>
  <c r="I1197" i="2"/>
  <c r="G1197" i="2"/>
  <c r="K1197" i="2" s="1"/>
  <c r="J1196" i="2"/>
  <c r="I1196" i="2"/>
  <c r="G1196" i="2"/>
  <c r="K1196" i="2" s="1"/>
  <c r="J1195" i="2"/>
  <c r="I1195" i="2"/>
  <c r="G1195" i="2"/>
  <c r="K1195" i="2" s="1"/>
  <c r="J1193" i="2"/>
  <c r="I1193" i="2"/>
  <c r="G1193" i="2"/>
  <c r="K1193" i="2" s="1"/>
  <c r="J1192" i="2"/>
  <c r="I1192" i="2"/>
  <c r="G1192" i="2"/>
  <c r="K1192" i="2" s="1"/>
  <c r="J1191" i="2"/>
  <c r="I1191" i="2"/>
  <c r="G1191" i="2"/>
  <c r="K1191" i="2" s="1"/>
  <c r="J1190" i="2"/>
  <c r="I1190" i="2"/>
  <c r="G1190" i="2"/>
  <c r="K1190" i="2" s="1"/>
  <c r="J1189" i="2"/>
  <c r="I1189" i="2"/>
  <c r="G1189" i="2"/>
  <c r="K1189" i="2" s="1"/>
  <c r="J1188" i="2"/>
  <c r="I1188" i="2"/>
  <c r="G1188" i="2"/>
  <c r="K1188" i="2" s="1"/>
  <c r="J1186" i="2"/>
  <c r="I1186" i="2"/>
  <c r="G1186" i="2"/>
  <c r="K1186" i="2" s="1"/>
  <c r="J1185" i="2"/>
  <c r="I1185" i="2"/>
  <c r="G1185" i="2"/>
  <c r="K1185" i="2" s="1"/>
  <c r="J1184" i="2"/>
  <c r="I1184" i="2"/>
  <c r="G1184" i="2"/>
  <c r="K1184" i="2" s="1"/>
  <c r="J1183" i="2"/>
  <c r="I1183" i="2"/>
  <c r="G1183" i="2"/>
  <c r="K1183" i="2" s="1"/>
  <c r="J1182" i="2"/>
  <c r="I1182" i="2"/>
  <c r="G1182" i="2"/>
  <c r="K1182" i="2" s="1"/>
  <c r="J1181" i="2"/>
  <c r="I1181" i="2"/>
  <c r="G1181" i="2"/>
  <c r="K1181" i="2" s="1"/>
  <c r="J1179" i="2"/>
  <c r="J1178" i="2" s="1"/>
  <c r="I1179" i="2"/>
  <c r="I1178" i="2" s="1"/>
  <c r="G1179" i="2"/>
  <c r="K1179" i="2" s="1"/>
  <c r="K1178" i="2" s="1"/>
  <c r="J1177" i="2"/>
  <c r="I1177" i="2"/>
  <c r="G1177" i="2"/>
  <c r="K1177" i="2" s="1"/>
  <c r="J1176" i="2"/>
  <c r="I1176" i="2"/>
  <c r="G1176" i="2"/>
  <c r="K1176" i="2" s="1"/>
  <c r="J1173" i="2"/>
  <c r="I1173" i="2"/>
  <c r="I1171" i="2" s="1"/>
  <c r="G1173" i="2"/>
  <c r="K1173" i="2" s="1"/>
  <c r="J1172" i="2"/>
  <c r="I1172" i="2"/>
  <c r="G1172" i="2"/>
  <c r="K1172" i="2" s="1"/>
  <c r="J1170" i="2"/>
  <c r="I1170" i="2"/>
  <c r="G1170" i="2"/>
  <c r="K1170" i="2" s="1"/>
  <c r="J1169" i="2"/>
  <c r="I1169" i="2"/>
  <c r="G1169" i="2"/>
  <c r="K1169" i="2" s="1"/>
  <c r="J1168" i="2"/>
  <c r="I1168" i="2"/>
  <c r="G1168" i="2"/>
  <c r="K1168" i="2" s="1"/>
  <c r="J1166" i="2"/>
  <c r="I1166" i="2"/>
  <c r="G1166" i="2"/>
  <c r="K1166" i="2" s="1"/>
  <c r="J1165" i="2"/>
  <c r="I1165" i="2"/>
  <c r="G1165" i="2"/>
  <c r="K1165" i="2" s="1"/>
  <c r="J1164" i="2"/>
  <c r="I1164" i="2"/>
  <c r="G1164" i="2"/>
  <c r="K1164" i="2" s="1"/>
  <c r="J1163" i="2"/>
  <c r="I1163" i="2"/>
  <c r="G1163" i="2"/>
  <c r="K1163" i="2" s="1"/>
  <c r="J1162" i="2"/>
  <c r="I1162" i="2"/>
  <c r="G1162" i="2"/>
  <c r="K1162" i="2" s="1"/>
  <c r="J1161" i="2"/>
  <c r="I1161" i="2"/>
  <c r="G1161" i="2"/>
  <c r="K1161" i="2" s="1"/>
  <c r="J1159" i="2"/>
  <c r="I1159" i="2"/>
  <c r="G1159" i="2"/>
  <c r="K1159" i="2" s="1"/>
  <c r="J1158" i="2"/>
  <c r="I1158" i="2"/>
  <c r="G1158" i="2"/>
  <c r="K1158" i="2" s="1"/>
  <c r="J1157" i="2"/>
  <c r="I1157" i="2"/>
  <c r="G1157" i="2"/>
  <c r="K1157" i="2" s="1"/>
  <c r="J1156" i="2"/>
  <c r="I1156" i="2"/>
  <c r="G1156" i="2"/>
  <c r="K1156" i="2" s="1"/>
  <c r="J1155" i="2"/>
  <c r="I1155" i="2"/>
  <c r="G1155" i="2"/>
  <c r="K1155" i="2" s="1"/>
  <c r="J1154" i="2"/>
  <c r="I1154" i="2"/>
  <c r="G1154" i="2"/>
  <c r="K1154" i="2" s="1"/>
  <c r="J1152" i="2"/>
  <c r="J1151" i="2" s="1"/>
  <c r="I1152" i="2"/>
  <c r="I1151" i="2" s="1"/>
  <c r="G1152" i="2"/>
  <c r="K1152" i="2" s="1"/>
  <c r="K1151" i="2" s="1"/>
  <c r="J1150" i="2"/>
  <c r="I1150" i="2"/>
  <c r="G1150" i="2"/>
  <c r="K1150" i="2" s="1"/>
  <c r="J1149" i="2"/>
  <c r="I1149" i="2"/>
  <c r="G1149" i="2"/>
  <c r="K1149" i="2" s="1"/>
  <c r="J1146" i="2"/>
  <c r="I1146" i="2"/>
  <c r="G1146" i="2"/>
  <c r="K1146" i="2" s="1"/>
  <c r="J1145" i="2"/>
  <c r="I1145" i="2"/>
  <c r="I1144" i="2" s="1"/>
  <c r="G1145" i="2"/>
  <c r="K1145" i="2" s="1"/>
  <c r="J1143" i="2"/>
  <c r="I1143" i="2"/>
  <c r="G1143" i="2"/>
  <c r="K1143" i="2" s="1"/>
  <c r="J1142" i="2"/>
  <c r="I1142" i="2"/>
  <c r="G1142" i="2"/>
  <c r="K1142" i="2" s="1"/>
  <c r="J1141" i="2"/>
  <c r="I1141" i="2"/>
  <c r="G1141" i="2"/>
  <c r="K1141" i="2" s="1"/>
  <c r="J1139" i="2"/>
  <c r="I1139" i="2"/>
  <c r="G1139" i="2"/>
  <c r="K1139" i="2" s="1"/>
  <c r="J1138" i="2"/>
  <c r="I1138" i="2"/>
  <c r="G1138" i="2"/>
  <c r="K1138" i="2" s="1"/>
  <c r="J1137" i="2"/>
  <c r="I1137" i="2"/>
  <c r="G1137" i="2"/>
  <c r="K1137" i="2" s="1"/>
  <c r="J1136" i="2"/>
  <c r="I1136" i="2"/>
  <c r="G1136" i="2"/>
  <c r="K1136" i="2" s="1"/>
  <c r="J1135" i="2"/>
  <c r="I1135" i="2"/>
  <c r="G1135" i="2"/>
  <c r="K1135" i="2" s="1"/>
  <c r="J1134" i="2"/>
  <c r="I1134" i="2"/>
  <c r="G1134" i="2"/>
  <c r="K1134" i="2" s="1"/>
  <c r="J1132" i="2"/>
  <c r="I1132" i="2"/>
  <c r="G1132" i="2"/>
  <c r="K1132" i="2" s="1"/>
  <c r="J1131" i="2"/>
  <c r="I1131" i="2"/>
  <c r="G1131" i="2"/>
  <c r="K1131" i="2" s="1"/>
  <c r="J1130" i="2"/>
  <c r="I1130" i="2"/>
  <c r="G1130" i="2"/>
  <c r="K1130" i="2" s="1"/>
  <c r="J1129" i="2"/>
  <c r="I1129" i="2"/>
  <c r="G1129" i="2"/>
  <c r="K1129" i="2" s="1"/>
  <c r="J1128" i="2"/>
  <c r="I1128" i="2"/>
  <c r="G1128" i="2"/>
  <c r="K1128" i="2" s="1"/>
  <c r="J1127" i="2"/>
  <c r="I1127" i="2"/>
  <c r="G1127" i="2"/>
  <c r="K1127" i="2" s="1"/>
  <c r="J1125" i="2"/>
  <c r="J1124" i="2" s="1"/>
  <c r="I1125" i="2"/>
  <c r="I1124" i="2" s="1"/>
  <c r="G1125" i="2"/>
  <c r="K1125" i="2" s="1"/>
  <c r="K1124" i="2" s="1"/>
  <c r="J1123" i="2"/>
  <c r="I1123" i="2"/>
  <c r="I1121" i="2" s="1"/>
  <c r="G1123" i="2"/>
  <c r="K1123" i="2" s="1"/>
  <c r="J1122" i="2"/>
  <c r="I1122" i="2"/>
  <c r="G1122" i="2"/>
  <c r="K1122" i="2" s="1"/>
  <c r="J1119" i="2"/>
  <c r="I1119" i="2"/>
  <c r="G1119" i="2"/>
  <c r="K1119" i="2" s="1"/>
  <c r="J1118" i="2"/>
  <c r="I1118" i="2"/>
  <c r="I1117" i="2" s="1"/>
  <c r="G1118" i="2"/>
  <c r="K1118" i="2" s="1"/>
  <c r="J1116" i="2"/>
  <c r="I1116" i="2"/>
  <c r="G1116" i="2"/>
  <c r="K1116" i="2" s="1"/>
  <c r="J1115" i="2"/>
  <c r="I1115" i="2"/>
  <c r="G1115" i="2"/>
  <c r="K1115" i="2" s="1"/>
  <c r="J1114" i="2"/>
  <c r="I1114" i="2"/>
  <c r="I1113" i="2" s="1"/>
  <c r="G1114" i="2"/>
  <c r="K1114" i="2" s="1"/>
  <c r="J1112" i="2"/>
  <c r="I1112" i="2"/>
  <c r="J1111" i="2"/>
  <c r="I1111" i="2"/>
  <c r="K1111" i="2"/>
  <c r="J1110" i="2"/>
  <c r="I1110" i="2"/>
  <c r="J1109" i="2"/>
  <c r="I1109" i="2"/>
  <c r="J1108" i="2"/>
  <c r="I1108" i="2"/>
  <c r="K1108" i="2"/>
  <c r="J1107" i="2"/>
  <c r="I1107" i="2"/>
  <c r="G1107" i="2"/>
  <c r="K1107" i="2" s="1"/>
  <c r="J1105" i="2"/>
  <c r="I1105" i="2"/>
  <c r="K1105" i="2"/>
  <c r="J1104" i="2"/>
  <c r="I1104" i="2"/>
  <c r="K1104" i="2"/>
  <c r="J1103" i="2"/>
  <c r="I1103" i="2"/>
  <c r="K1103" i="2"/>
  <c r="J1102" i="2"/>
  <c r="I1102" i="2"/>
  <c r="J1101" i="2"/>
  <c r="I1101" i="2"/>
  <c r="J1100" i="2"/>
  <c r="I1100" i="2"/>
  <c r="G1100" i="2"/>
  <c r="K1100" i="2" s="1"/>
  <c r="J1098" i="2"/>
  <c r="J1097" i="2" s="1"/>
  <c r="I1098" i="2"/>
  <c r="I1097" i="2" s="1"/>
  <c r="G1098" i="2"/>
  <c r="K1098" i="2" s="1"/>
  <c r="K1097" i="2" s="1"/>
  <c r="J1096" i="2"/>
  <c r="I1096" i="2"/>
  <c r="G1096" i="2"/>
  <c r="K1096" i="2" s="1"/>
  <c r="J1095" i="2"/>
  <c r="I1095" i="2"/>
  <c r="I1094" i="2" s="1"/>
  <c r="G1095" i="2"/>
  <c r="K1095" i="2" s="1"/>
  <c r="J1092" i="2"/>
  <c r="I1092" i="2"/>
  <c r="G1092" i="2"/>
  <c r="K1092" i="2" s="1"/>
  <c r="J1091" i="2"/>
  <c r="J1090" i="2" s="1"/>
  <c r="I1091" i="2"/>
  <c r="G1091" i="2"/>
  <c r="K1091" i="2" s="1"/>
  <c r="J1089" i="2"/>
  <c r="I1089" i="2"/>
  <c r="G1089" i="2"/>
  <c r="K1089" i="2" s="1"/>
  <c r="J1088" i="2"/>
  <c r="I1088" i="2"/>
  <c r="G1088" i="2"/>
  <c r="K1088" i="2" s="1"/>
  <c r="J1087" i="2"/>
  <c r="I1087" i="2"/>
  <c r="G1087" i="2"/>
  <c r="K1087" i="2" s="1"/>
  <c r="J1085" i="2"/>
  <c r="I1085" i="2"/>
  <c r="G1085" i="2"/>
  <c r="K1085" i="2" s="1"/>
  <c r="J1084" i="2"/>
  <c r="I1084" i="2"/>
  <c r="G1084" i="2"/>
  <c r="K1084" i="2" s="1"/>
  <c r="J1083" i="2"/>
  <c r="I1083" i="2"/>
  <c r="G1083" i="2"/>
  <c r="K1083" i="2" s="1"/>
  <c r="J1082" i="2"/>
  <c r="I1082" i="2"/>
  <c r="G1082" i="2"/>
  <c r="K1082" i="2" s="1"/>
  <c r="J1081" i="2"/>
  <c r="I1081" i="2"/>
  <c r="G1081" i="2"/>
  <c r="K1081" i="2" s="1"/>
  <c r="J1080" i="2"/>
  <c r="I1080" i="2"/>
  <c r="G1080" i="2"/>
  <c r="K1080" i="2" s="1"/>
  <c r="J1078" i="2"/>
  <c r="I1078" i="2"/>
  <c r="G1078" i="2"/>
  <c r="K1078" i="2" s="1"/>
  <c r="J1077" i="2"/>
  <c r="I1077" i="2"/>
  <c r="G1077" i="2"/>
  <c r="K1077" i="2" s="1"/>
  <c r="J1076" i="2"/>
  <c r="I1076" i="2"/>
  <c r="G1076" i="2"/>
  <c r="K1076" i="2" s="1"/>
  <c r="J1075" i="2"/>
  <c r="I1075" i="2"/>
  <c r="G1075" i="2"/>
  <c r="K1075" i="2" s="1"/>
  <c r="J1074" i="2"/>
  <c r="I1074" i="2"/>
  <c r="G1074" i="2"/>
  <c r="K1074" i="2" s="1"/>
  <c r="J1073" i="2"/>
  <c r="I1073" i="2"/>
  <c r="G1073" i="2"/>
  <c r="K1073" i="2" s="1"/>
  <c r="J1071" i="2"/>
  <c r="J1070" i="2" s="1"/>
  <c r="I1071" i="2"/>
  <c r="I1070" i="2" s="1"/>
  <c r="G1071" i="2"/>
  <c r="K1071" i="2" s="1"/>
  <c r="K1070" i="2" s="1"/>
  <c r="J1069" i="2"/>
  <c r="I1069" i="2"/>
  <c r="G1069" i="2"/>
  <c r="K1069" i="2" s="1"/>
  <c r="J1068" i="2"/>
  <c r="I1068" i="2"/>
  <c r="G1068" i="2"/>
  <c r="K1068" i="2" s="1"/>
  <c r="J1065" i="2"/>
  <c r="I1065" i="2"/>
  <c r="G1065" i="2"/>
  <c r="K1065" i="2" s="1"/>
  <c r="J1064" i="2"/>
  <c r="I1064" i="2"/>
  <c r="G1064" i="2"/>
  <c r="K1064" i="2" s="1"/>
  <c r="J1062" i="2"/>
  <c r="I1062" i="2"/>
  <c r="G1062" i="2"/>
  <c r="K1062" i="2" s="1"/>
  <c r="J1061" i="2"/>
  <c r="I1061" i="2"/>
  <c r="G1061" i="2"/>
  <c r="K1061" i="2" s="1"/>
  <c r="J1060" i="2"/>
  <c r="I1060" i="2"/>
  <c r="G1060" i="2"/>
  <c r="K1060" i="2" s="1"/>
  <c r="J1058" i="2"/>
  <c r="I1058" i="2"/>
  <c r="G1058" i="2"/>
  <c r="K1058" i="2" s="1"/>
  <c r="J1057" i="2"/>
  <c r="I1057" i="2"/>
  <c r="G1057" i="2"/>
  <c r="K1057" i="2" s="1"/>
  <c r="J1056" i="2"/>
  <c r="I1056" i="2"/>
  <c r="G1056" i="2"/>
  <c r="K1056" i="2" s="1"/>
  <c r="J1055" i="2"/>
  <c r="I1055" i="2"/>
  <c r="G1055" i="2"/>
  <c r="K1055" i="2" s="1"/>
  <c r="J1054" i="2"/>
  <c r="I1054" i="2"/>
  <c r="G1054" i="2"/>
  <c r="K1054" i="2" s="1"/>
  <c r="J1053" i="2"/>
  <c r="I1053" i="2"/>
  <c r="G1053" i="2"/>
  <c r="K1053" i="2" s="1"/>
  <c r="J1051" i="2"/>
  <c r="I1051" i="2"/>
  <c r="G1051" i="2"/>
  <c r="K1051" i="2" s="1"/>
  <c r="J1050" i="2"/>
  <c r="I1050" i="2"/>
  <c r="G1050" i="2"/>
  <c r="K1050" i="2" s="1"/>
  <c r="J1049" i="2"/>
  <c r="I1049" i="2"/>
  <c r="G1049" i="2"/>
  <c r="K1049" i="2" s="1"/>
  <c r="J1048" i="2"/>
  <c r="I1048" i="2"/>
  <c r="G1048" i="2"/>
  <c r="K1048" i="2" s="1"/>
  <c r="J1047" i="2"/>
  <c r="I1047" i="2"/>
  <c r="G1047" i="2"/>
  <c r="K1047" i="2" s="1"/>
  <c r="J1046" i="2"/>
  <c r="I1046" i="2"/>
  <c r="G1046" i="2"/>
  <c r="K1046" i="2" s="1"/>
  <c r="J1044" i="2"/>
  <c r="J1043" i="2" s="1"/>
  <c r="I1044" i="2"/>
  <c r="I1043" i="2" s="1"/>
  <c r="G1044" i="2"/>
  <c r="K1044" i="2" s="1"/>
  <c r="K1043" i="2" s="1"/>
  <c r="J1042" i="2"/>
  <c r="I1042" i="2"/>
  <c r="G1042" i="2"/>
  <c r="K1042" i="2" s="1"/>
  <c r="J1041" i="2"/>
  <c r="I1041" i="2"/>
  <c r="G1041" i="2"/>
  <c r="K1041" i="2" s="1"/>
  <c r="J1038" i="2"/>
  <c r="I1038" i="2"/>
  <c r="G1038" i="2"/>
  <c r="K1038" i="2" s="1"/>
  <c r="J1037" i="2"/>
  <c r="I1037" i="2"/>
  <c r="I1036" i="2" s="1"/>
  <c r="G1037" i="2"/>
  <c r="K1037" i="2" s="1"/>
  <c r="J1035" i="2"/>
  <c r="I1035" i="2"/>
  <c r="G1035" i="2"/>
  <c r="K1035" i="2" s="1"/>
  <c r="J1034" i="2"/>
  <c r="I1034" i="2"/>
  <c r="G1034" i="2"/>
  <c r="K1034" i="2" s="1"/>
  <c r="J1033" i="2"/>
  <c r="I1033" i="2"/>
  <c r="G1033" i="2"/>
  <c r="K1033" i="2" s="1"/>
  <c r="J1031" i="2"/>
  <c r="I1031" i="2"/>
  <c r="G1031" i="2"/>
  <c r="K1031" i="2" s="1"/>
  <c r="J1030" i="2"/>
  <c r="I1030" i="2"/>
  <c r="G1030" i="2"/>
  <c r="K1030" i="2" s="1"/>
  <c r="J1029" i="2"/>
  <c r="I1029" i="2"/>
  <c r="G1029" i="2"/>
  <c r="K1029" i="2" s="1"/>
  <c r="J1028" i="2"/>
  <c r="I1028" i="2"/>
  <c r="G1028" i="2"/>
  <c r="K1028" i="2" s="1"/>
  <c r="J1027" i="2"/>
  <c r="I1027" i="2"/>
  <c r="G1027" i="2"/>
  <c r="K1027" i="2" s="1"/>
  <c r="J1026" i="2"/>
  <c r="I1026" i="2"/>
  <c r="G1026" i="2"/>
  <c r="K1026" i="2" s="1"/>
  <c r="J1024" i="2"/>
  <c r="I1024" i="2"/>
  <c r="G1024" i="2"/>
  <c r="K1024" i="2" s="1"/>
  <c r="J1023" i="2"/>
  <c r="I1023" i="2"/>
  <c r="G1023" i="2"/>
  <c r="K1023" i="2" s="1"/>
  <c r="J1022" i="2"/>
  <c r="I1022" i="2"/>
  <c r="G1022" i="2"/>
  <c r="K1022" i="2" s="1"/>
  <c r="J1021" i="2"/>
  <c r="I1021" i="2"/>
  <c r="G1021" i="2"/>
  <c r="K1021" i="2" s="1"/>
  <c r="J1020" i="2"/>
  <c r="I1020" i="2"/>
  <c r="G1020" i="2"/>
  <c r="K1020" i="2" s="1"/>
  <c r="J1019" i="2"/>
  <c r="I1019" i="2"/>
  <c r="G1019" i="2"/>
  <c r="K1019" i="2" s="1"/>
  <c r="J1017" i="2"/>
  <c r="J1016" i="2" s="1"/>
  <c r="I1017" i="2"/>
  <c r="I1016" i="2" s="1"/>
  <c r="G1017" i="2"/>
  <c r="K1017" i="2" s="1"/>
  <c r="K1016" i="2" s="1"/>
  <c r="J1015" i="2"/>
  <c r="I1015" i="2"/>
  <c r="I1013" i="2" s="1"/>
  <c r="G1015" i="2"/>
  <c r="K1015" i="2" s="1"/>
  <c r="J1014" i="2"/>
  <c r="I1014" i="2"/>
  <c r="G1014" i="2"/>
  <c r="K1014" i="2" s="1"/>
  <c r="J1011" i="2"/>
  <c r="I1011" i="2"/>
  <c r="G1011" i="2"/>
  <c r="K1011" i="2" s="1"/>
  <c r="J1010" i="2"/>
  <c r="I1010" i="2"/>
  <c r="G1010" i="2"/>
  <c r="K1010" i="2" s="1"/>
  <c r="J1008" i="2"/>
  <c r="I1008" i="2"/>
  <c r="G1008" i="2"/>
  <c r="K1008" i="2" s="1"/>
  <c r="J1007" i="2"/>
  <c r="I1007" i="2"/>
  <c r="G1007" i="2"/>
  <c r="K1007" i="2" s="1"/>
  <c r="J1006" i="2"/>
  <c r="I1006" i="2"/>
  <c r="G1006" i="2"/>
  <c r="K1006" i="2" s="1"/>
  <c r="J1004" i="2"/>
  <c r="I1004" i="2"/>
  <c r="G1004" i="2"/>
  <c r="K1004" i="2" s="1"/>
  <c r="J1003" i="2"/>
  <c r="I1003" i="2"/>
  <c r="G1003" i="2"/>
  <c r="K1003" i="2" s="1"/>
  <c r="J1002" i="2"/>
  <c r="I1002" i="2"/>
  <c r="G1002" i="2"/>
  <c r="K1002" i="2" s="1"/>
  <c r="J1001" i="2"/>
  <c r="I1001" i="2"/>
  <c r="G1001" i="2"/>
  <c r="K1001" i="2" s="1"/>
  <c r="J1000" i="2"/>
  <c r="I1000" i="2"/>
  <c r="G1000" i="2"/>
  <c r="K1000" i="2" s="1"/>
  <c r="J999" i="2"/>
  <c r="I999" i="2"/>
  <c r="G999" i="2"/>
  <c r="K999" i="2" s="1"/>
  <c r="J997" i="2"/>
  <c r="I997" i="2"/>
  <c r="G997" i="2"/>
  <c r="K997" i="2" s="1"/>
  <c r="J996" i="2"/>
  <c r="I996" i="2"/>
  <c r="G996" i="2"/>
  <c r="K996" i="2" s="1"/>
  <c r="J995" i="2"/>
  <c r="I995" i="2"/>
  <c r="G995" i="2"/>
  <c r="K995" i="2" s="1"/>
  <c r="J994" i="2"/>
  <c r="I994" i="2"/>
  <c r="G994" i="2"/>
  <c r="K994" i="2" s="1"/>
  <c r="J993" i="2"/>
  <c r="I993" i="2"/>
  <c r="G993" i="2"/>
  <c r="K993" i="2" s="1"/>
  <c r="J992" i="2"/>
  <c r="I992" i="2"/>
  <c r="G992" i="2"/>
  <c r="K992" i="2" s="1"/>
  <c r="J990" i="2"/>
  <c r="J989" i="2" s="1"/>
  <c r="I990" i="2"/>
  <c r="I989" i="2" s="1"/>
  <c r="G990" i="2"/>
  <c r="K990" i="2" s="1"/>
  <c r="K989" i="2" s="1"/>
  <c r="J988" i="2"/>
  <c r="I988" i="2"/>
  <c r="G988" i="2"/>
  <c r="K988" i="2" s="1"/>
  <c r="J987" i="2"/>
  <c r="I987" i="2"/>
  <c r="I986" i="2" s="1"/>
  <c r="G987" i="2"/>
  <c r="K987" i="2" s="1"/>
  <c r="J984" i="2"/>
  <c r="I984" i="2"/>
  <c r="G984" i="2"/>
  <c r="K984" i="2" s="1"/>
  <c r="J983" i="2"/>
  <c r="I983" i="2"/>
  <c r="I982" i="2" s="1"/>
  <c r="G983" i="2"/>
  <c r="K983" i="2" s="1"/>
  <c r="J981" i="2"/>
  <c r="I981" i="2"/>
  <c r="G981" i="2"/>
  <c r="K981" i="2" s="1"/>
  <c r="J980" i="2"/>
  <c r="I980" i="2"/>
  <c r="G980" i="2"/>
  <c r="K980" i="2" s="1"/>
  <c r="J979" i="2"/>
  <c r="I979" i="2"/>
  <c r="G979" i="2"/>
  <c r="K979" i="2" s="1"/>
  <c r="J977" i="2"/>
  <c r="I977" i="2"/>
  <c r="G977" i="2"/>
  <c r="K977" i="2" s="1"/>
  <c r="J976" i="2"/>
  <c r="I976" i="2"/>
  <c r="G976" i="2"/>
  <c r="K976" i="2" s="1"/>
  <c r="J975" i="2"/>
  <c r="I975" i="2"/>
  <c r="G975" i="2"/>
  <c r="K975" i="2" s="1"/>
  <c r="J974" i="2"/>
  <c r="I974" i="2"/>
  <c r="G974" i="2"/>
  <c r="K974" i="2" s="1"/>
  <c r="J973" i="2"/>
  <c r="I973" i="2"/>
  <c r="G973" i="2"/>
  <c r="K973" i="2" s="1"/>
  <c r="J972" i="2"/>
  <c r="I972" i="2"/>
  <c r="G972" i="2"/>
  <c r="K972" i="2" s="1"/>
  <c r="J970" i="2"/>
  <c r="I970" i="2"/>
  <c r="G970" i="2"/>
  <c r="K970" i="2" s="1"/>
  <c r="J969" i="2"/>
  <c r="I969" i="2"/>
  <c r="G969" i="2"/>
  <c r="K969" i="2" s="1"/>
  <c r="J968" i="2"/>
  <c r="I968" i="2"/>
  <c r="G968" i="2"/>
  <c r="K968" i="2" s="1"/>
  <c r="J967" i="2"/>
  <c r="I967" i="2"/>
  <c r="G967" i="2"/>
  <c r="K967" i="2" s="1"/>
  <c r="J966" i="2"/>
  <c r="I966" i="2"/>
  <c r="G966" i="2"/>
  <c r="K966" i="2" s="1"/>
  <c r="J965" i="2"/>
  <c r="I965" i="2"/>
  <c r="G965" i="2"/>
  <c r="K965" i="2" s="1"/>
  <c r="J963" i="2"/>
  <c r="J962" i="2" s="1"/>
  <c r="I963" i="2"/>
  <c r="I962" i="2" s="1"/>
  <c r="G963" i="2"/>
  <c r="K963" i="2" s="1"/>
  <c r="K962" i="2" s="1"/>
  <c r="J960" i="2"/>
  <c r="I960" i="2"/>
  <c r="G960" i="2"/>
  <c r="K960" i="2" s="1"/>
  <c r="J957" i="2"/>
  <c r="I957" i="2"/>
  <c r="G957" i="2"/>
  <c r="K957" i="2" s="1"/>
  <c r="J956" i="2"/>
  <c r="I956" i="2"/>
  <c r="G956" i="2"/>
  <c r="K956" i="2" s="1"/>
  <c r="J954" i="2"/>
  <c r="I954" i="2"/>
  <c r="G954" i="2"/>
  <c r="K954" i="2" s="1"/>
  <c r="J953" i="2"/>
  <c r="I953" i="2"/>
  <c r="G953" i="2"/>
  <c r="K953" i="2" s="1"/>
  <c r="J952" i="2"/>
  <c r="I952" i="2"/>
  <c r="G952" i="2"/>
  <c r="K952" i="2" s="1"/>
  <c r="J950" i="2"/>
  <c r="I950" i="2"/>
  <c r="G950" i="2"/>
  <c r="K950" i="2" s="1"/>
  <c r="J949" i="2"/>
  <c r="I949" i="2"/>
  <c r="G949" i="2"/>
  <c r="K949" i="2" s="1"/>
  <c r="J948" i="2"/>
  <c r="I948" i="2"/>
  <c r="G948" i="2"/>
  <c r="K948" i="2" s="1"/>
  <c r="J947" i="2"/>
  <c r="I947" i="2"/>
  <c r="G947" i="2"/>
  <c r="K947" i="2" s="1"/>
  <c r="J946" i="2"/>
  <c r="I946" i="2"/>
  <c r="G946" i="2"/>
  <c r="K946" i="2" s="1"/>
  <c r="J945" i="2"/>
  <c r="I945" i="2"/>
  <c r="G945" i="2"/>
  <c r="K945" i="2" s="1"/>
  <c r="J943" i="2"/>
  <c r="I943" i="2"/>
  <c r="G943" i="2"/>
  <c r="K943" i="2" s="1"/>
  <c r="J942" i="2"/>
  <c r="I942" i="2"/>
  <c r="G942" i="2"/>
  <c r="K942" i="2" s="1"/>
  <c r="J941" i="2"/>
  <c r="I941" i="2"/>
  <c r="G941" i="2"/>
  <c r="K941" i="2" s="1"/>
  <c r="J940" i="2"/>
  <c r="I940" i="2"/>
  <c r="G940" i="2"/>
  <c r="K940" i="2" s="1"/>
  <c r="J939" i="2"/>
  <c r="I939" i="2"/>
  <c r="G939" i="2"/>
  <c r="K939" i="2" s="1"/>
  <c r="J938" i="2"/>
  <c r="I938" i="2"/>
  <c r="G938" i="2"/>
  <c r="K938" i="2" s="1"/>
  <c r="J936" i="2"/>
  <c r="J935" i="2" s="1"/>
  <c r="I936" i="2"/>
  <c r="I935" i="2" s="1"/>
  <c r="G936" i="2"/>
  <c r="K936" i="2" s="1"/>
  <c r="K935" i="2" s="1"/>
  <c r="J934" i="2"/>
  <c r="I934" i="2"/>
  <c r="G934" i="2"/>
  <c r="K934" i="2" s="1"/>
  <c r="J933" i="2"/>
  <c r="I933" i="2"/>
  <c r="G933" i="2"/>
  <c r="K933" i="2" s="1"/>
  <c r="J930" i="2"/>
  <c r="I930" i="2"/>
  <c r="G930" i="2"/>
  <c r="K930" i="2" s="1"/>
  <c r="J929" i="2"/>
  <c r="I929" i="2"/>
  <c r="G929" i="2"/>
  <c r="K929" i="2" s="1"/>
  <c r="J927" i="2"/>
  <c r="I927" i="2"/>
  <c r="G927" i="2"/>
  <c r="K927" i="2" s="1"/>
  <c r="J926" i="2"/>
  <c r="I926" i="2"/>
  <c r="G926" i="2"/>
  <c r="K926" i="2" s="1"/>
  <c r="J925" i="2"/>
  <c r="I925" i="2"/>
  <c r="G925" i="2"/>
  <c r="K925" i="2" s="1"/>
  <c r="J923" i="2"/>
  <c r="I923" i="2"/>
  <c r="K923" i="2"/>
  <c r="K922" i="2"/>
  <c r="J922" i="2"/>
  <c r="I922" i="2"/>
  <c r="J921" i="2"/>
  <c r="I921" i="2"/>
  <c r="K921" i="2"/>
  <c r="J920" i="2"/>
  <c r="I920" i="2"/>
  <c r="K920" i="2"/>
  <c r="J919" i="2"/>
  <c r="I919" i="2"/>
  <c r="J918" i="2"/>
  <c r="I918" i="2"/>
  <c r="G918" i="2"/>
  <c r="K918" i="2" s="1"/>
  <c r="J916" i="2"/>
  <c r="I916" i="2"/>
  <c r="G916" i="2"/>
  <c r="K916" i="2" s="1"/>
  <c r="J915" i="2"/>
  <c r="I915" i="2"/>
  <c r="J914" i="2"/>
  <c r="I914" i="2"/>
  <c r="G914" i="2"/>
  <c r="K914" i="2" s="1"/>
  <c r="J913" i="2"/>
  <c r="I913" i="2"/>
  <c r="G913" i="2"/>
  <c r="K913" i="2" s="1"/>
  <c r="J912" i="2"/>
  <c r="I912" i="2"/>
  <c r="J911" i="2"/>
  <c r="I911" i="2"/>
  <c r="I910" i="2" s="1"/>
  <c r="G911" i="2"/>
  <c r="K911" i="2" s="1"/>
  <c r="J909" i="2"/>
  <c r="J908" i="2" s="1"/>
  <c r="I909" i="2"/>
  <c r="I908" i="2" s="1"/>
  <c r="G909" i="2"/>
  <c r="K909" i="2" s="1"/>
  <c r="K908" i="2" s="1"/>
  <c r="J907" i="2"/>
  <c r="I907" i="2"/>
  <c r="G907" i="2"/>
  <c r="K907" i="2" s="1"/>
  <c r="J906" i="2"/>
  <c r="I906" i="2"/>
  <c r="I905" i="2" s="1"/>
  <c r="G906" i="2"/>
  <c r="K906" i="2" s="1"/>
  <c r="J903" i="2"/>
  <c r="I903" i="2"/>
  <c r="G903" i="2"/>
  <c r="K903" i="2" s="1"/>
  <c r="J902" i="2"/>
  <c r="I902" i="2"/>
  <c r="G902" i="2"/>
  <c r="K902" i="2" s="1"/>
  <c r="J900" i="2"/>
  <c r="I900" i="2"/>
  <c r="G900" i="2"/>
  <c r="K900" i="2" s="1"/>
  <c r="J899" i="2"/>
  <c r="I899" i="2"/>
  <c r="G899" i="2"/>
  <c r="K899" i="2" s="1"/>
  <c r="J898" i="2"/>
  <c r="I898" i="2"/>
  <c r="G898" i="2"/>
  <c r="K898" i="2" s="1"/>
  <c r="J896" i="2"/>
  <c r="I896" i="2"/>
  <c r="G896" i="2"/>
  <c r="K896" i="2" s="1"/>
  <c r="J895" i="2"/>
  <c r="I895" i="2"/>
  <c r="G895" i="2"/>
  <c r="K895" i="2" s="1"/>
  <c r="J894" i="2"/>
  <c r="I894" i="2"/>
  <c r="G894" i="2"/>
  <c r="K894" i="2" s="1"/>
  <c r="J893" i="2"/>
  <c r="I893" i="2"/>
  <c r="G893" i="2"/>
  <c r="K893" i="2" s="1"/>
  <c r="J892" i="2"/>
  <c r="I892" i="2"/>
  <c r="G892" i="2"/>
  <c r="K892" i="2" s="1"/>
  <c r="J891" i="2"/>
  <c r="I891" i="2"/>
  <c r="G891" i="2"/>
  <c r="K891" i="2" s="1"/>
  <c r="J889" i="2"/>
  <c r="I889" i="2"/>
  <c r="G889" i="2"/>
  <c r="K889" i="2" s="1"/>
  <c r="J888" i="2"/>
  <c r="I888" i="2"/>
  <c r="G888" i="2"/>
  <c r="K888" i="2" s="1"/>
  <c r="J887" i="2"/>
  <c r="I887" i="2"/>
  <c r="G887" i="2"/>
  <c r="K887" i="2" s="1"/>
  <c r="J886" i="2"/>
  <c r="I886" i="2"/>
  <c r="G886" i="2"/>
  <c r="K886" i="2" s="1"/>
  <c r="J885" i="2"/>
  <c r="I885" i="2"/>
  <c r="G885" i="2"/>
  <c r="K885" i="2" s="1"/>
  <c r="J884" i="2"/>
  <c r="I884" i="2"/>
  <c r="G884" i="2"/>
  <c r="K884" i="2" s="1"/>
  <c r="J882" i="2"/>
  <c r="J881" i="2" s="1"/>
  <c r="I882" i="2"/>
  <c r="I881" i="2" s="1"/>
  <c r="G882" i="2"/>
  <c r="K882" i="2" s="1"/>
  <c r="K881" i="2" s="1"/>
  <c r="J880" i="2"/>
  <c r="I880" i="2"/>
  <c r="G880" i="2"/>
  <c r="K880" i="2" s="1"/>
  <c r="J879" i="2"/>
  <c r="I879" i="2"/>
  <c r="G879" i="2"/>
  <c r="K879" i="2" s="1"/>
  <c r="G865" i="2"/>
  <c r="K865" i="2" s="1"/>
  <c r="G867" i="2"/>
  <c r="K867" i="2" s="1"/>
  <c r="I858" i="2"/>
  <c r="I859" i="2"/>
  <c r="G855" i="2"/>
  <c r="K855" i="2" s="1"/>
  <c r="K854" i="2" s="1"/>
  <c r="G853" i="2"/>
  <c r="K853" i="2" s="1"/>
  <c r="I757" i="2"/>
  <c r="G759" i="2"/>
  <c r="K759" i="2" s="1"/>
  <c r="G761" i="2"/>
  <c r="K761" i="2" s="1"/>
  <c r="I751" i="2"/>
  <c r="G713" i="2"/>
  <c r="K713" i="2" s="1"/>
  <c r="G703" i="2"/>
  <c r="I707" i="2"/>
  <c r="G696" i="2"/>
  <c r="G697" i="2"/>
  <c r="I691" i="2"/>
  <c r="G649" i="2"/>
  <c r="G653" i="2"/>
  <c r="K653" i="2" s="1"/>
  <c r="I642" i="2"/>
  <c r="G643" i="2"/>
  <c r="G637" i="2"/>
  <c r="K637" i="2" s="1"/>
  <c r="G636" i="2"/>
  <c r="K636" i="2" s="1"/>
  <c r="G622" i="2"/>
  <c r="G615" i="2"/>
  <c r="I616" i="2"/>
  <c r="I617" i="2"/>
  <c r="G612" i="2"/>
  <c r="K612" i="2" s="1"/>
  <c r="K611" i="2" s="1"/>
  <c r="G609" i="2"/>
  <c r="K609" i="2" s="1"/>
  <c r="I568" i="2"/>
  <c r="G570" i="2"/>
  <c r="K570" i="2" s="1"/>
  <c r="G567" i="2"/>
  <c r="G561" i="2"/>
  <c r="I562" i="2"/>
  <c r="G565" i="2"/>
  <c r="K565" i="2" s="1"/>
  <c r="G556" i="2"/>
  <c r="K556" i="2" s="1"/>
  <c r="K542" i="2"/>
  <c r="I543" i="2"/>
  <c r="G529" i="2"/>
  <c r="K529" i="2" s="1"/>
  <c r="G489" i="2"/>
  <c r="K489" i="2" s="1"/>
  <c r="I437" i="2"/>
  <c r="I426" i="2"/>
  <c r="I430" i="2"/>
  <c r="I421" i="2"/>
  <c r="I399" i="2"/>
  <c r="G400" i="2"/>
  <c r="K400" i="2" s="1"/>
  <c r="G401" i="2"/>
  <c r="K401" i="2" s="1"/>
  <c r="G356" i="2"/>
  <c r="K356" i="2" s="1"/>
  <c r="I353" i="2"/>
  <c r="G351" i="2"/>
  <c r="K351" i="2" s="1"/>
  <c r="G349" i="2"/>
  <c r="K349" i="2" s="1"/>
  <c r="G344" i="2"/>
  <c r="K344" i="2" s="1"/>
  <c r="G342" i="2"/>
  <c r="K342" i="2" s="1"/>
  <c r="K341" i="2" s="1"/>
  <c r="G339" i="2"/>
  <c r="K339" i="2" s="1"/>
  <c r="G192" i="2"/>
  <c r="K192" i="2" s="1"/>
  <c r="G194" i="2"/>
  <c r="K194" i="2" s="1"/>
  <c r="I183" i="2"/>
  <c r="I184" i="2"/>
  <c r="G104" i="2"/>
  <c r="K104" i="2" s="1"/>
  <c r="G109" i="2"/>
  <c r="K109" i="2" s="1"/>
  <c r="I113" i="2"/>
  <c r="G101" i="2"/>
  <c r="K101" i="2" s="1"/>
  <c r="G111" i="2"/>
  <c r="K111" i="2" s="1"/>
  <c r="I825" i="2"/>
  <c r="G842" i="2"/>
  <c r="K842" i="2" s="1"/>
  <c r="I839" i="2"/>
  <c r="I835" i="2"/>
  <c r="G833" i="2"/>
  <c r="K833" i="2" s="1"/>
  <c r="I830" i="2"/>
  <c r="G821" i="2"/>
  <c r="K821" i="2" s="1"/>
  <c r="G815" i="2"/>
  <c r="K815" i="2" s="1"/>
  <c r="G811" i="2"/>
  <c r="K811" i="2" s="1"/>
  <c r="G808" i="2"/>
  <c r="K808" i="2" s="1"/>
  <c r="G806" i="2"/>
  <c r="K806" i="2" s="1"/>
  <c r="G801" i="2"/>
  <c r="K801" i="2" s="1"/>
  <c r="K800" i="2" s="1"/>
  <c r="G798" i="2"/>
  <c r="K798" i="2" s="1"/>
  <c r="G784" i="2"/>
  <c r="K784" i="2" s="1"/>
  <c r="I781" i="2"/>
  <c r="G774" i="2"/>
  <c r="K774" i="2" s="1"/>
  <c r="K773" i="2" s="1"/>
  <c r="I771" i="2"/>
  <c r="G740" i="2"/>
  <c r="K740" i="2" s="1"/>
  <c r="G731" i="2"/>
  <c r="K731" i="2" s="1"/>
  <c r="G730" i="2"/>
  <c r="K730" i="2" s="1"/>
  <c r="G727" i="2"/>
  <c r="K727" i="2" s="1"/>
  <c r="G724" i="2"/>
  <c r="K724" i="2" s="1"/>
  <c r="G722" i="2"/>
  <c r="K722" i="2" s="1"/>
  <c r="I720" i="2"/>
  <c r="I719" i="2" s="1"/>
  <c r="G717" i="2"/>
  <c r="K717" i="2" s="1"/>
  <c r="G673" i="2"/>
  <c r="K673" i="2" s="1"/>
  <c r="G663" i="2"/>
  <c r="K663" i="2" s="1"/>
  <c r="G733" i="2"/>
  <c r="K733" i="2" s="1"/>
  <c r="G729" i="2"/>
  <c r="K729" i="2" s="1"/>
  <c r="I726" i="2"/>
  <c r="G718" i="2"/>
  <c r="K718" i="2" s="1"/>
  <c r="I672" i="2"/>
  <c r="G595" i="2"/>
  <c r="K595" i="2" s="1"/>
  <c r="G592" i="2"/>
  <c r="K592" i="2" s="1"/>
  <c r="G585" i="2"/>
  <c r="K585" i="2" s="1"/>
  <c r="K584" i="2" s="1"/>
  <c r="G582" i="2"/>
  <c r="K582" i="2" s="1"/>
  <c r="I511" i="2"/>
  <c r="I501" i="2"/>
  <c r="G484" i="2"/>
  <c r="K484" i="2" s="1"/>
  <c r="G474" i="2"/>
  <c r="K474" i="2" s="1"/>
  <c r="G389" i="2"/>
  <c r="K389" i="2" s="1"/>
  <c r="I380" i="2"/>
  <c r="G376" i="2"/>
  <c r="K376" i="2" s="1"/>
  <c r="I375" i="2"/>
  <c r="G371" i="2"/>
  <c r="K371" i="2" s="1"/>
  <c r="G366" i="2"/>
  <c r="K366" i="2" s="1"/>
  <c r="I295" i="2"/>
  <c r="I285" i="2"/>
  <c r="I268" i="2"/>
  <c r="I258" i="2"/>
  <c r="G254" i="2"/>
  <c r="K254" i="2" s="1"/>
  <c r="G214" i="2"/>
  <c r="K214" i="2" s="1"/>
  <c r="G204" i="2"/>
  <c r="K204" i="2" s="1"/>
  <c r="G173" i="2"/>
  <c r="K173" i="2" s="1"/>
  <c r="G165" i="2"/>
  <c r="K165" i="2" s="1"/>
  <c r="I156" i="2"/>
  <c r="G158" i="2"/>
  <c r="K158" i="2" s="1"/>
  <c r="G151" i="2"/>
  <c r="K151" i="2" s="1"/>
  <c r="G150" i="2"/>
  <c r="K150" i="2" s="1"/>
  <c r="G137" i="2"/>
  <c r="K137" i="2" s="1"/>
  <c r="G129" i="2"/>
  <c r="K129" i="2" s="1"/>
  <c r="G132" i="2"/>
  <c r="K132" i="2" s="1"/>
  <c r="G876" i="2"/>
  <c r="G875" i="2"/>
  <c r="K875" i="2" s="1"/>
  <c r="G873" i="2"/>
  <c r="K873" i="2" s="1"/>
  <c r="G872" i="2"/>
  <c r="K872" i="2" s="1"/>
  <c r="G871" i="2"/>
  <c r="K871" i="2" s="1"/>
  <c r="G869" i="2"/>
  <c r="K869" i="2" s="1"/>
  <c r="G868" i="2"/>
  <c r="K868" i="2" s="1"/>
  <c r="G866" i="2"/>
  <c r="K866" i="2" s="1"/>
  <c r="G864" i="2"/>
  <c r="K864" i="2" s="1"/>
  <c r="G862" i="2"/>
  <c r="K862" i="2" s="1"/>
  <c r="G861" i="2"/>
  <c r="K861" i="2" s="1"/>
  <c r="G860" i="2"/>
  <c r="K860" i="2" s="1"/>
  <c r="G857" i="2"/>
  <c r="K857" i="2" s="1"/>
  <c r="G852" i="2"/>
  <c r="K852" i="2" s="1"/>
  <c r="G849" i="2"/>
  <c r="K849" i="2" s="1"/>
  <c r="G848" i="2"/>
  <c r="K848" i="2" s="1"/>
  <c r="G846" i="2"/>
  <c r="K846" i="2" s="1"/>
  <c r="G845" i="2"/>
  <c r="K845" i="2" s="1"/>
  <c r="G844" i="2"/>
  <c r="K844" i="2" s="1"/>
  <c r="G841" i="2"/>
  <c r="K841" i="2" s="1"/>
  <c r="G840" i="2"/>
  <c r="K840" i="2" s="1"/>
  <c r="G839" i="2"/>
  <c r="K839" i="2" s="1"/>
  <c r="G838" i="2"/>
  <c r="K838" i="2" s="1"/>
  <c r="G837" i="2"/>
  <c r="K837" i="2" s="1"/>
  <c r="G835" i="2"/>
  <c r="K835" i="2" s="1"/>
  <c r="G834" i="2"/>
  <c r="K834" i="2" s="1"/>
  <c r="G832" i="2"/>
  <c r="K832" i="2" s="1"/>
  <c r="G831" i="2"/>
  <c r="K831" i="2" s="1"/>
  <c r="G830" i="2"/>
  <c r="K830" i="2" s="1"/>
  <c r="G828" i="2"/>
  <c r="K828" i="2" s="1"/>
  <c r="K827" i="2" s="1"/>
  <c r="G826" i="2"/>
  <c r="K826" i="2" s="1"/>
  <c r="G825" i="2"/>
  <c r="K825" i="2" s="1"/>
  <c r="G822" i="2"/>
  <c r="K822" i="2" s="1"/>
  <c r="G819" i="2"/>
  <c r="K819" i="2" s="1"/>
  <c r="G818" i="2"/>
  <c r="K818" i="2" s="1"/>
  <c r="G817" i="2"/>
  <c r="K817" i="2" s="1"/>
  <c r="G814" i="2"/>
  <c r="K814" i="2" s="1"/>
  <c r="G813" i="2"/>
  <c r="K813" i="2" s="1"/>
  <c r="G812" i="2"/>
  <c r="K812" i="2" s="1"/>
  <c r="G810" i="2"/>
  <c r="K810" i="2" s="1"/>
  <c r="G807" i="2"/>
  <c r="K807" i="2" s="1"/>
  <c r="G805" i="2"/>
  <c r="K805" i="2" s="1"/>
  <c r="G804" i="2"/>
  <c r="K804" i="2" s="1"/>
  <c r="G803" i="2"/>
  <c r="K803" i="2" s="1"/>
  <c r="G799" i="2"/>
  <c r="K799" i="2" s="1"/>
  <c r="G795" i="2"/>
  <c r="K795" i="2" s="1"/>
  <c r="G794" i="2"/>
  <c r="K794" i="2" s="1"/>
  <c r="G792" i="2"/>
  <c r="K792" i="2" s="1"/>
  <c r="G791" i="2"/>
  <c r="K791" i="2" s="1"/>
  <c r="G790" i="2"/>
  <c r="K790" i="2" s="1"/>
  <c r="G788" i="2"/>
  <c r="K788" i="2" s="1"/>
  <c r="G787" i="2"/>
  <c r="K787" i="2" s="1"/>
  <c r="G786" i="2"/>
  <c r="K786" i="2" s="1"/>
  <c r="G785" i="2"/>
  <c r="K785" i="2" s="1"/>
  <c r="G783" i="2"/>
  <c r="K783" i="2" s="1"/>
  <c r="G780" i="2"/>
  <c r="K780" i="2" s="1"/>
  <c r="G779" i="2"/>
  <c r="K779" i="2" s="1"/>
  <c r="G778" i="2"/>
  <c r="K778" i="2" s="1"/>
  <c r="G777" i="2"/>
  <c r="K777" i="2" s="1"/>
  <c r="G776" i="2"/>
  <c r="K776" i="2" s="1"/>
  <c r="G772" i="2"/>
  <c r="K772" i="2" s="1"/>
  <c r="G768" i="2"/>
  <c r="K768" i="2" s="1"/>
  <c r="G767" i="2"/>
  <c r="K767" i="2" s="1"/>
  <c r="G765" i="2"/>
  <c r="K765" i="2" s="1"/>
  <c r="G764" i="2"/>
  <c r="K764" i="2" s="1"/>
  <c r="G763" i="2"/>
  <c r="K763" i="2" s="1"/>
  <c r="G760" i="2"/>
  <c r="G758" i="2"/>
  <c r="K758" i="2" s="1"/>
  <c r="G756" i="2"/>
  <c r="K756" i="2" s="1"/>
  <c r="G754" i="2"/>
  <c r="K754" i="2" s="1"/>
  <c r="G753" i="2"/>
  <c r="G752" i="2"/>
  <c r="K752" i="2" s="1"/>
  <c r="G750" i="2"/>
  <c r="G749" i="2"/>
  <c r="K749" i="2" s="1"/>
  <c r="G747" i="2"/>
  <c r="K747" i="2" s="1"/>
  <c r="K746" i="2" s="1"/>
  <c r="G745" i="2"/>
  <c r="K745" i="2" s="1"/>
  <c r="G744" i="2"/>
  <c r="K744" i="2" s="1"/>
  <c r="G741" i="2"/>
  <c r="K741" i="2" s="1"/>
  <c r="G738" i="2"/>
  <c r="K738" i="2" s="1"/>
  <c r="G737" i="2"/>
  <c r="K737" i="2" s="1"/>
  <c r="G736" i="2"/>
  <c r="G734" i="2"/>
  <c r="K734" i="2" s="1"/>
  <c r="G732" i="2"/>
  <c r="K732" i="2" s="1"/>
  <c r="G725" i="2"/>
  <c r="K725" i="2" s="1"/>
  <c r="G723" i="2"/>
  <c r="K723" i="2" s="1"/>
  <c r="G714" i="2"/>
  <c r="K714" i="2" s="1"/>
  <c r="G711" i="2"/>
  <c r="K711" i="2" s="1"/>
  <c r="G710" i="2"/>
  <c r="K710" i="2" s="1"/>
  <c r="G709" i="2"/>
  <c r="K709" i="2" s="1"/>
  <c r="G707" i="2"/>
  <c r="K707" i="2" s="1"/>
  <c r="G706" i="2"/>
  <c r="G705" i="2"/>
  <c r="G704" i="2"/>
  <c r="G702" i="2"/>
  <c r="K702" i="2" s="1"/>
  <c r="G700" i="2"/>
  <c r="K700" i="2" s="1"/>
  <c r="G699" i="2"/>
  <c r="G698" i="2"/>
  <c r="K698" i="2" s="1"/>
  <c r="G695" i="2"/>
  <c r="K695" i="2" s="1"/>
  <c r="G693" i="2"/>
  <c r="K693" i="2" s="1"/>
  <c r="K692" i="2" s="1"/>
  <c r="G690" i="2"/>
  <c r="K690" i="2" s="1"/>
  <c r="G687" i="2"/>
  <c r="K687" i="2" s="1"/>
  <c r="G686" i="2"/>
  <c r="K686" i="2" s="1"/>
  <c r="G684" i="2"/>
  <c r="K684" i="2" s="1"/>
  <c r="G683" i="2"/>
  <c r="K683" i="2" s="1"/>
  <c r="G682" i="2"/>
  <c r="G680" i="2"/>
  <c r="K680" i="2" s="1"/>
  <c r="G679" i="2"/>
  <c r="K679" i="2" s="1"/>
  <c r="G678" i="2"/>
  <c r="G677" i="2"/>
  <c r="K677" i="2" s="1"/>
  <c r="G676" i="2"/>
  <c r="K676" i="2" s="1"/>
  <c r="G675" i="2"/>
  <c r="K675" i="2" s="1"/>
  <c r="G672" i="2"/>
  <c r="K672" i="2" s="1"/>
  <c r="G671" i="2"/>
  <c r="G670" i="2"/>
  <c r="K670" i="2" s="1"/>
  <c r="G669" i="2"/>
  <c r="K669" i="2" s="1"/>
  <c r="G668" i="2"/>
  <c r="K668" i="2" s="1"/>
  <c r="G666" i="2"/>
  <c r="K666" i="2" s="1"/>
  <c r="K665" i="2" s="1"/>
  <c r="G664" i="2"/>
  <c r="K664" i="2" s="1"/>
  <c r="G660" i="2"/>
  <c r="K660" i="2" s="1"/>
  <c r="G659" i="2"/>
  <c r="K659" i="2" s="1"/>
  <c r="G657" i="2"/>
  <c r="K657" i="2" s="1"/>
  <c r="G656" i="2"/>
  <c r="K656" i="2" s="1"/>
  <c r="G655" i="2"/>
  <c r="K655" i="2" s="1"/>
  <c r="G652" i="2"/>
  <c r="G651" i="2"/>
  <c r="K651" i="2" s="1"/>
  <c r="G650" i="2"/>
  <c r="G648" i="2"/>
  <c r="K648" i="2" s="1"/>
  <c r="G646" i="2"/>
  <c r="K646" i="2" s="1"/>
  <c r="G645" i="2"/>
  <c r="G644" i="2"/>
  <c r="K644" i="2" s="1"/>
  <c r="G641" i="2"/>
  <c r="K641" i="2" s="1"/>
  <c r="G639" i="2"/>
  <c r="K639" i="2" s="1"/>
  <c r="K638" i="2" s="1"/>
  <c r="G633" i="2"/>
  <c r="K633" i="2" s="1"/>
  <c r="G632" i="2"/>
  <c r="K632" i="2" s="1"/>
  <c r="G630" i="2"/>
  <c r="K630" i="2" s="1"/>
  <c r="G629" i="2"/>
  <c r="K629" i="2" s="1"/>
  <c r="G628" i="2"/>
  <c r="K628" i="2" s="1"/>
  <c r="G626" i="2"/>
  <c r="K626" i="2" s="1"/>
  <c r="G625" i="2"/>
  <c r="G624" i="2"/>
  <c r="K624" i="2" s="1"/>
  <c r="G623" i="2"/>
  <c r="G621" i="2"/>
  <c r="K621" i="2" s="1"/>
  <c r="G619" i="2"/>
  <c r="K619" i="2" s="1"/>
  <c r="G618" i="2"/>
  <c r="G616" i="2"/>
  <c r="G614" i="2"/>
  <c r="K614" i="2" s="1"/>
  <c r="K610" i="2"/>
  <c r="G606" i="2"/>
  <c r="G605" i="2"/>
  <c r="K605" i="2" s="1"/>
  <c r="G603" i="2"/>
  <c r="K603" i="2" s="1"/>
  <c r="G602" i="2"/>
  <c r="K602" i="2" s="1"/>
  <c r="G601" i="2"/>
  <c r="K601" i="2" s="1"/>
  <c r="G599" i="2"/>
  <c r="K599" i="2" s="1"/>
  <c r="G598" i="2"/>
  <c r="K598" i="2" s="1"/>
  <c r="G597" i="2"/>
  <c r="K597" i="2" s="1"/>
  <c r="G596" i="2"/>
  <c r="K596" i="2" s="1"/>
  <c r="G594" i="2"/>
  <c r="K594" i="2" s="1"/>
  <c r="G591" i="2"/>
  <c r="K591" i="2" s="1"/>
  <c r="G590" i="2"/>
  <c r="K590" i="2" s="1"/>
  <c r="G589" i="2"/>
  <c r="K589" i="2" s="1"/>
  <c r="G588" i="2"/>
  <c r="K588" i="2" s="1"/>
  <c r="G587" i="2"/>
  <c r="K587" i="2" s="1"/>
  <c r="G583" i="2"/>
  <c r="G579" i="2"/>
  <c r="K579" i="2" s="1"/>
  <c r="G578" i="2"/>
  <c r="K578" i="2" s="1"/>
  <c r="G576" i="2"/>
  <c r="K576" i="2" s="1"/>
  <c r="G575" i="2"/>
  <c r="K575" i="2" s="1"/>
  <c r="G574" i="2"/>
  <c r="K574" i="2" s="1"/>
  <c r="G572" i="2"/>
  <c r="K572" i="2" s="1"/>
  <c r="G571" i="2"/>
  <c r="G569" i="2"/>
  <c r="K569" i="2" s="1"/>
  <c r="G564" i="2"/>
  <c r="G563" i="2"/>
  <c r="K563" i="2" s="1"/>
  <c r="G562" i="2"/>
  <c r="K562" i="2" s="1"/>
  <c r="G560" i="2"/>
  <c r="K560" i="2" s="1"/>
  <c r="G558" i="2"/>
  <c r="K558" i="2" s="1"/>
  <c r="K557" i="2" s="1"/>
  <c r="G555" i="2"/>
  <c r="K555" i="2" s="1"/>
  <c r="G552" i="2"/>
  <c r="K552" i="2" s="1"/>
  <c r="G551" i="2"/>
  <c r="K551" i="2" s="1"/>
  <c r="G549" i="2"/>
  <c r="G548" i="2"/>
  <c r="K548" i="2" s="1"/>
  <c r="G547" i="2"/>
  <c r="K547" i="2" s="1"/>
  <c r="G545" i="2"/>
  <c r="K545" i="2" s="1"/>
  <c r="G544" i="2"/>
  <c r="K544" i="2" s="1"/>
  <c r="G543" i="2"/>
  <c r="K543" i="2" s="1"/>
  <c r="G541" i="2"/>
  <c r="K541" i="2" s="1"/>
  <c r="G540" i="2"/>
  <c r="K540" i="2" s="1"/>
  <c r="G538" i="2"/>
  <c r="K538" i="2" s="1"/>
  <c r="G537" i="2"/>
  <c r="K537" i="2" s="1"/>
  <c r="G536" i="2"/>
  <c r="K536" i="2" s="1"/>
  <c r="K535" i="2"/>
  <c r="G534" i="2"/>
  <c r="K534" i="2" s="1"/>
  <c r="G533" i="2"/>
  <c r="K533" i="2" s="1"/>
  <c r="G531" i="2"/>
  <c r="K531" i="2" s="1"/>
  <c r="K530" i="2" s="1"/>
  <c r="G528" i="2"/>
  <c r="K528" i="2" s="1"/>
  <c r="G525" i="2"/>
  <c r="K525" i="2" s="1"/>
  <c r="G524" i="2"/>
  <c r="K524" i="2" s="1"/>
  <c r="G522" i="2"/>
  <c r="K522" i="2" s="1"/>
  <c r="G521" i="2"/>
  <c r="K521" i="2" s="1"/>
  <c r="G520" i="2"/>
  <c r="K520" i="2" s="1"/>
  <c r="G518" i="2"/>
  <c r="G517" i="2"/>
  <c r="K517" i="2" s="1"/>
  <c r="G516" i="2"/>
  <c r="K516" i="2" s="1"/>
  <c r="G515" i="2"/>
  <c r="K515" i="2" s="1"/>
  <c r="G514" i="2"/>
  <c r="K514" i="2" s="1"/>
  <c r="G513" i="2"/>
  <c r="K513" i="2" s="1"/>
  <c r="G511" i="2"/>
  <c r="K511" i="2" s="1"/>
  <c r="G510" i="2"/>
  <c r="K510" i="2" s="1"/>
  <c r="G509" i="2"/>
  <c r="K509" i="2" s="1"/>
  <c r="G508" i="2"/>
  <c r="K508" i="2" s="1"/>
  <c r="G507" i="2"/>
  <c r="K507" i="2" s="1"/>
  <c r="G506" i="2"/>
  <c r="K506" i="2" s="1"/>
  <c r="G504" i="2"/>
  <c r="K504" i="2" s="1"/>
  <c r="K503" i="2" s="1"/>
  <c r="G502" i="2"/>
  <c r="K502" i="2" s="1"/>
  <c r="G501" i="2"/>
  <c r="K501" i="2" s="1"/>
  <c r="G498" i="2"/>
  <c r="K498" i="2" s="1"/>
  <c r="G497" i="2"/>
  <c r="G495" i="2"/>
  <c r="K495" i="2" s="1"/>
  <c r="G494" i="2"/>
  <c r="K494" i="2" s="1"/>
  <c r="G493" i="2"/>
  <c r="K493" i="2" s="1"/>
  <c r="G491" i="2"/>
  <c r="K491" i="2" s="1"/>
  <c r="G490" i="2"/>
  <c r="K490" i="2" s="1"/>
  <c r="G488" i="2"/>
  <c r="K488" i="2" s="1"/>
  <c r="G487" i="2"/>
  <c r="K487" i="2" s="1"/>
  <c r="G486" i="2"/>
  <c r="G483" i="2"/>
  <c r="K483" i="2" s="1"/>
  <c r="G482" i="2"/>
  <c r="K482" i="2" s="1"/>
  <c r="G481" i="2"/>
  <c r="K481" i="2" s="1"/>
  <c r="G480" i="2"/>
  <c r="K480" i="2" s="1"/>
  <c r="G479" i="2"/>
  <c r="K479" i="2" s="1"/>
  <c r="G477" i="2"/>
  <c r="K477" i="2" s="1"/>
  <c r="K476" i="2" s="1"/>
  <c r="G475" i="2"/>
  <c r="K475" i="2" s="1"/>
  <c r="G471" i="2"/>
  <c r="K471" i="2" s="1"/>
  <c r="K470" i="2"/>
  <c r="G468" i="2"/>
  <c r="K468" i="2" s="1"/>
  <c r="G467" i="2"/>
  <c r="K467" i="2" s="1"/>
  <c r="G466" i="2"/>
  <c r="K466" i="2" s="1"/>
  <c r="G464" i="2"/>
  <c r="K464" i="2" s="1"/>
  <c r="G463" i="2"/>
  <c r="K463" i="2" s="1"/>
  <c r="G462" i="2"/>
  <c r="K462" i="2" s="1"/>
  <c r="G461" i="2"/>
  <c r="K461" i="2" s="1"/>
  <c r="G460" i="2"/>
  <c r="K460" i="2" s="1"/>
  <c r="G459" i="2"/>
  <c r="K459" i="2" s="1"/>
  <c r="G457" i="2"/>
  <c r="K457" i="2" s="1"/>
  <c r="G456" i="2"/>
  <c r="K456" i="2" s="1"/>
  <c r="G455" i="2"/>
  <c r="K455" i="2" s="1"/>
  <c r="G454" i="2"/>
  <c r="K454" i="2" s="1"/>
  <c r="G453" i="2"/>
  <c r="K453" i="2" s="1"/>
  <c r="G452" i="2"/>
  <c r="K452" i="2" s="1"/>
  <c r="G450" i="2"/>
  <c r="K450" i="2" s="1"/>
  <c r="K449" i="2" s="1"/>
  <c r="G448" i="2"/>
  <c r="K448" i="2" s="1"/>
  <c r="G447" i="2"/>
  <c r="K447" i="2" s="1"/>
  <c r="G444" i="2"/>
  <c r="K444" i="2" s="1"/>
  <c r="G443" i="2"/>
  <c r="K443" i="2" s="1"/>
  <c r="G441" i="2"/>
  <c r="K441" i="2" s="1"/>
  <c r="G440" i="2"/>
  <c r="K440" i="2" s="1"/>
  <c r="G439" i="2"/>
  <c r="K439" i="2" s="1"/>
  <c r="G437" i="2"/>
  <c r="K437" i="2" s="1"/>
  <c r="G436" i="2"/>
  <c r="K436" i="2" s="1"/>
  <c r="G435" i="2"/>
  <c r="K435" i="2" s="1"/>
  <c r="G434" i="2"/>
  <c r="K434" i="2" s="1"/>
  <c r="G433" i="2"/>
  <c r="K433" i="2" s="1"/>
  <c r="G432" i="2"/>
  <c r="K432" i="2" s="1"/>
  <c r="G429" i="2"/>
  <c r="K429" i="2" s="1"/>
  <c r="G428" i="2"/>
  <c r="K428" i="2" s="1"/>
  <c r="G427" i="2"/>
  <c r="K427" i="2" s="1"/>
  <c r="G426" i="2"/>
  <c r="K426" i="2" s="1"/>
  <c r="G425" i="2"/>
  <c r="K425" i="2" s="1"/>
  <c r="G423" i="2"/>
  <c r="G420" i="2"/>
  <c r="K420" i="2" s="1"/>
  <c r="G417" i="2"/>
  <c r="K417" i="2" s="1"/>
  <c r="G416" i="2"/>
  <c r="K416" i="2" s="1"/>
  <c r="G414" i="2"/>
  <c r="K414" i="2" s="1"/>
  <c r="G413" i="2"/>
  <c r="K413" i="2" s="1"/>
  <c r="G412" i="2"/>
  <c r="K412" i="2" s="1"/>
  <c r="G410" i="2"/>
  <c r="K410" i="2" s="1"/>
  <c r="G409" i="2"/>
  <c r="K409" i="2" s="1"/>
  <c r="G408" i="2"/>
  <c r="K408" i="2" s="1"/>
  <c r="G407" i="2"/>
  <c r="K407" i="2" s="1"/>
  <c r="G406" i="2"/>
  <c r="K406" i="2" s="1"/>
  <c r="G405" i="2"/>
  <c r="K405" i="2" s="1"/>
  <c r="G403" i="2"/>
  <c r="K403" i="2" s="1"/>
  <c r="G402" i="2"/>
  <c r="K402" i="2" s="1"/>
  <c r="G399" i="2"/>
  <c r="K399" i="2" s="1"/>
  <c r="G398" i="2"/>
  <c r="K398" i="2" s="1"/>
  <c r="G396" i="2"/>
  <c r="K396" i="2" s="1"/>
  <c r="K395" i="2" s="1"/>
  <c r="G394" i="2"/>
  <c r="K394" i="2" s="1"/>
  <c r="G393" i="2"/>
  <c r="K393" i="2" s="1"/>
  <c r="G390" i="2"/>
  <c r="K390" i="2" s="1"/>
  <c r="G387" i="2"/>
  <c r="K387" i="2" s="1"/>
  <c r="G386" i="2"/>
  <c r="K386" i="2" s="1"/>
  <c r="G385" i="2"/>
  <c r="K385" i="2" s="1"/>
  <c r="G383" i="2"/>
  <c r="K383" i="2" s="1"/>
  <c r="G382" i="2"/>
  <c r="K382" i="2" s="1"/>
  <c r="G381" i="2"/>
  <c r="K381" i="2" s="1"/>
  <c r="G380" i="2"/>
  <c r="K380" i="2" s="1"/>
  <c r="G379" i="2"/>
  <c r="K379" i="2" s="1"/>
  <c r="G378" i="2"/>
  <c r="K378" i="2" s="1"/>
  <c r="G375" i="2"/>
  <c r="K375" i="2" s="1"/>
  <c r="G374" i="2"/>
  <c r="K374" i="2" s="1"/>
  <c r="G373" i="2"/>
  <c r="K373" i="2" s="1"/>
  <c r="G372" i="2"/>
  <c r="K372" i="2" s="1"/>
  <c r="G369" i="2"/>
  <c r="K369" i="2" s="1"/>
  <c r="K368" i="2" s="1"/>
  <c r="G367" i="2"/>
  <c r="K367" i="2" s="1"/>
  <c r="G363" i="2"/>
  <c r="K363" i="2" s="1"/>
  <c r="G362" i="2"/>
  <c r="K362" i="2" s="1"/>
  <c r="G360" i="2"/>
  <c r="K360" i="2" s="1"/>
  <c r="G359" i="2"/>
  <c r="K359" i="2" s="1"/>
  <c r="G358" i="2"/>
  <c r="K358" i="2" s="1"/>
  <c r="K355" i="2"/>
  <c r="G354" i="2"/>
  <c r="K354" i="2" s="1"/>
  <c r="G353" i="2"/>
  <c r="K353" i="2" s="1"/>
  <c r="K352" i="2"/>
  <c r="K348" i="2"/>
  <c r="G347" i="2"/>
  <c r="K347" i="2" s="1"/>
  <c r="G346" i="2"/>
  <c r="K346" i="2" s="1"/>
  <c r="K345" i="2"/>
  <c r="G340" i="2"/>
  <c r="K340" i="2" s="1"/>
  <c r="G336" i="2"/>
  <c r="K336" i="2" s="1"/>
  <c r="G335" i="2"/>
  <c r="K335" i="2" s="1"/>
  <c r="G333" i="2"/>
  <c r="K333" i="2" s="1"/>
  <c r="G332" i="2"/>
  <c r="K332" i="2" s="1"/>
  <c r="G331" i="2"/>
  <c r="K331" i="2" s="1"/>
  <c r="G329" i="2"/>
  <c r="K329" i="2" s="1"/>
  <c r="G328" i="2"/>
  <c r="K328" i="2" s="1"/>
  <c r="G327" i="2"/>
  <c r="K327" i="2" s="1"/>
  <c r="G326" i="2"/>
  <c r="K326" i="2" s="1"/>
  <c r="G325" i="2"/>
  <c r="K325" i="2" s="1"/>
  <c r="G324" i="2"/>
  <c r="K324" i="2" s="1"/>
  <c r="G322" i="2"/>
  <c r="K322" i="2" s="1"/>
  <c r="G321" i="2"/>
  <c r="K321" i="2" s="1"/>
  <c r="G320" i="2"/>
  <c r="K320" i="2" s="1"/>
  <c r="G319" i="2"/>
  <c r="K319" i="2" s="1"/>
  <c r="G318" i="2"/>
  <c r="K318" i="2" s="1"/>
  <c r="G317" i="2"/>
  <c r="K317" i="2" s="1"/>
  <c r="G315" i="2"/>
  <c r="K315" i="2" s="1"/>
  <c r="K314" i="2" s="1"/>
  <c r="G313" i="2"/>
  <c r="K313" i="2" s="1"/>
  <c r="G312" i="2"/>
  <c r="K312" i="2" s="1"/>
  <c r="G309" i="2"/>
  <c r="K309" i="2" s="1"/>
  <c r="G308" i="2"/>
  <c r="K308" i="2" s="1"/>
  <c r="G306" i="2"/>
  <c r="K306" i="2" s="1"/>
  <c r="G305" i="2"/>
  <c r="K305" i="2" s="1"/>
  <c r="G304" i="2"/>
  <c r="K304" i="2" s="1"/>
  <c r="G302" i="2"/>
  <c r="K302" i="2" s="1"/>
  <c r="G301" i="2"/>
  <c r="K301" i="2" s="1"/>
  <c r="G300" i="2"/>
  <c r="K300" i="2" s="1"/>
  <c r="G299" i="2"/>
  <c r="K299" i="2" s="1"/>
  <c r="G298" i="2"/>
  <c r="K298" i="2" s="1"/>
  <c r="G297" i="2"/>
  <c r="K297" i="2" s="1"/>
  <c r="G295" i="2"/>
  <c r="K295" i="2" s="1"/>
  <c r="G294" i="2"/>
  <c r="K294" i="2" s="1"/>
  <c r="G293" i="2"/>
  <c r="K293" i="2" s="1"/>
  <c r="G292" i="2"/>
  <c r="K292" i="2" s="1"/>
  <c r="G291" i="2"/>
  <c r="K291" i="2" s="1"/>
  <c r="G290" i="2"/>
  <c r="K290" i="2" s="1"/>
  <c r="G288" i="2"/>
  <c r="K288" i="2" s="1"/>
  <c r="K287" i="2" s="1"/>
  <c r="G286" i="2"/>
  <c r="K286" i="2" s="1"/>
  <c r="G285" i="2"/>
  <c r="K285" i="2" s="1"/>
  <c r="G282" i="2"/>
  <c r="K282" i="2" s="1"/>
  <c r="G281" i="2"/>
  <c r="K281" i="2" s="1"/>
  <c r="G279" i="2"/>
  <c r="K279" i="2" s="1"/>
  <c r="G278" i="2"/>
  <c r="K278" i="2" s="1"/>
  <c r="G277" i="2"/>
  <c r="K277" i="2" s="1"/>
  <c r="G275" i="2"/>
  <c r="K275" i="2" s="1"/>
  <c r="G274" i="2"/>
  <c r="K274" i="2" s="1"/>
  <c r="G273" i="2"/>
  <c r="K273" i="2" s="1"/>
  <c r="G272" i="2"/>
  <c r="K272" i="2" s="1"/>
  <c r="G271" i="2"/>
  <c r="K271" i="2" s="1"/>
  <c r="G270" i="2"/>
  <c r="G267" i="2"/>
  <c r="K267" i="2" s="1"/>
  <c r="G266" i="2"/>
  <c r="K266" i="2" s="1"/>
  <c r="G265" i="2"/>
  <c r="K265" i="2" s="1"/>
  <c r="G264" i="2"/>
  <c r="K264" i="2" s="1"/>
  <c r="G263" i="2"/>
  <c r="K263" i="2" s="1"/>
  <c r="G261" i="2"/>
  <c r="K261" i="2" s="1"/>
  <c r="K260" i="2" s="1"/>
  <c r="G259" i="2"/>
  <c r="K259" i="2" s="1"/>
  <c r="G255" i="2"/>
  <c r="K255" i="2" s="1"/>
  <c r="G252" i="2"/>
  <c r="K252" i="2" s="1"/>
  <c r="G251" i="2"/>
  <c r="K251" i="2" s="1"/>
  <c r="G250" i="2"/>
  <c r="K250" i="2" s="1"/>
  <c r="G248" i="2"/>
  <c r="K248" i="2" s="1"/>
  <c r="G247" i="2"/>
  <c r="K247" i="2" s="1"/>
  <c r="G246" i="2"/>
  <c r="K246" i="2" s="1"/>
  <c r="G245" i="2"/>
  <c r="K245" i="2" s="1"/>
  <c r="G244" i="2"/>
  <c r="K244" i="2" s="1"/>
  <c r="G243" i="2"/>
  <c r="K243" i="2" s="1"/>
  <c r="G241" i="2"/>
  <c r="K241" i="2" s="1"/>
  <c r="G240" i="2"/>
  <c r="K240" i="2" s="1"/>
  <c r="G239" i="2"/>
  <c r="K239" i="2" s="1"/>
  <c r="G238" i="2"/>
  <c r="K238" i="2" s="1"/>
  <c r="G237" i="2"/>
  <c r="K237" i="2" s="1"/>
  <c r="G236" i="2"/>
  <c r="K236" i="2" s="1"/>
  <c r="G234" i="2"/>
  <c r="K234" i="2" s="1"/>
  <c r="K233" i="2" s="1"/>
  <c r="G232" i="2"/>
  <c r="K232" i="2" s="1"/>
  <c r="G231" i="2"/>
  <c r="K231" i="2" s="1"/>
  <c r="G228" i="2"/>
  <c r="K228" i="2" s="1"/>
  <c r="G227" i="2"/>
  <c r="K227" i="2" s="1"/>
  <c r="G225" i="2"/>
  <c r="K225" i="2" s="1"/>
  <c r="G224" i="2"/>
  <c r="K224" i="2" s="1"/>
  <c r="G223" i="2"/>
  <c r="K223" i="2" s="1"/>
  <c r="G221" i="2"/>
  <c r="K221" i="2" s="1"/>
  <c r="G220" i="2"/>
  <c r="K220" i="2" s="1"/>
  <c r="G219" i="2"/>
  <c r="K219" i="2" s="1"/>
  <c r="G218" i="2"/>
  <c r="K218" i="2" s="1"/>
  <c r="G217" i="2"/>
  <c r="K217" i="2" s="1"/>
  <c r="G216" i="2"/>
  <c r="K216" i="2" s="1"/>
  <c r="G213" i="2"/>
  <c r="K213" i="2" s="1"/>
  <c r="G212" i="2"/>
  <c r="K212" i="2" s="1"/>
  <c r="G211" i="2"/>
  <c r="K211" i="2" s="1"/>
  <c r="G210" i="2"/>
  <c r="K210" i="2" s="1"/>
  <c r="G209" i="2"/>
  <c r="K209" i="2" s="1"/>
  <c r="G207" i="2"/>
  <c r="K207" i="2" s="1"/>
  <c r="K206" i="2" s="1"/>
  <c r="G205" i="2"/>
  <c r="K205" i="2" s="1"/>
  <c r="G201" i="2"/>
  <c r="K201" i="2" s="1"/>
  <c r="G200" i="2"/>
  <c r="K200" i="2" s="1"/>
  <c r="G198" i="2"/>
  <c r="K198" i="2" s="1"/>
  <c r="G197" i="2"/>
  <c r="K197" i="2" s="1"/>
  <c r="G196" i="2"/>
  <c r="K196" i="2" s="1"/>
  <c r="G193" i="2"/>
  <c r="K193" i="2" s="1"/>
  <c r="G191" i="2"/>
  <c r="K191" i="2" s="1"/>
  <c r="G190" i="2"/>
  <c r="K190" i="2" s="1"/>
  <c r="G189" i="2"/>
  <c r="K189" i="2" s="1"/>
  <c r="G187" i="2"/>
  <c r="K187" i="2" s="1"/>
  <c r="G186" i="2"/>
  <c r="K186" i="2" s="1"/>
  <c r="G185" i="2"/>
  <c r="K185" i="2" s="1"/>
  <c r="G183" i="2"/>
  <c r="K183" i="2" s="1"/>
  <c r="G182" i="2"/>
  <c r="K182" i="2" s="1"/>
  <c r="G180" i="2"/>
  <c r="K180" i="2" s="1"/>
  <c r="K179" i="2" s="1"/>
  <c r="G178" i="2"/>
  <c r="K178" i="2" s="1"/>
  <c r="G177" i="2"/>
  <c r="K177" i="2" s="1"/>
  <c r="G174" i="2"/>
  <c r="K174" i="2" s="1"/>
  <c r="G171" i="2"/>
  <c r="K171" i="2" s="1"/>
  <c r="G170" i="2"/>
  <c r="G169" i="2"/>
  <c r="K169" i="2" s="1"/>
  <c r="G167" i="2"/>
  <c r="K167" i="2" s="1"/>
  <c r="G166" i="2"/>
  <c r="K166" i="2" s="1"/>
  <c r="G164" i="2"/>
  <c r="K164" i="2" s="1"/>
  <c r="G163" i="2"/>
  <c r="K163" i="2" s="1"/>
  <c r="G162" i="2"/>
  <c r="K162" i="2" s="1"/>
  <c r="G160" i="2"/>
  <c r="K160" i="2" s="1"/>
  <c r="G159" i="2"/>
  <c r="K159" i="2" s="1"/>
  <c r="G157" i="2"/>
  <c r="K157" i="2" s="1"/>
  <c r="G156" i="2"/>
  <c r="K156" i="2" s="1"/>
  <c r="G155" i="2"/>
  <c r="K155" i="2" s="1"/>
  <c r="G153" i="2"/>
  <c r="K153" i="2" s="1"/>
  <c r="K152" i="2" s="1"/>
  <c r="G147" i="2"/>
  <c r="K147" i="2" s="1"/>
  <c r="G146" i="2"/>
  <c r="K146" i="2" s="1"/>
  <c r="G144" i="2"/>
  <c r="K144" i="2" s="1"/>
  <c r="G143" i="2"/>
  <c r="K143" i="2" s="1"/>
  <c r="G142" i="2"/>
  <c r="K142" i="2" s="1"/>
  <c r="G140" i="2"/>
  <c r="K140" i="2" s="1"/>
  <c r="G139" i="2"/>
  <c r="K139" i="2" s="1"/>
  <c r="G138" i="2"/>
  <c r="K138" i="2" s="1"/>
  <c r="G136" i="2"/>
  <c r="K136" i="2" s="1"/>
  <c r="G135" i="2"/>
  <c r="K135" i="2" s="1"/>
  <c r="G133" i="2"/>
  <c r="K133" i="2" s="1"/>
  <c r="G131" i="2"/>
  <c r="K131" i="2" s="1"/>
  <c r="G130" i="2"/>
  <c r="K130" i="2" s="1"/>
  <c r="G128" i="2"/>
  <c r="K128" i="2" s="1"/>
  <c r="G126" i="2"/>
  <c r="K126" i="2" s="1"/>
  <c r="K125" i="2" s="1"/>
  <c r="G124" i="2"/>
  <c r="K124" i="2" s="1"/>
  <c r="G123" i="2"/>
  <c r="K123" i="2" s="1"/>
  <c r="G120" i="2"/>
  <c r="K120" i="2" s="1"/>
  <c r="G119" i="2"/>
  <c r="K119" i="2" s="1"/>
  <c r="G117" i="2"/>
  <c r="K117" i="2" s="1"/>
  <c r="G116" i="2"/>
  <c r="K116" i="2" s="1"/>
  <c r="G115" i="2"/>
  <c r="K115" i="2" s="1"/>
  <c r="G112" i="2"/>
  <c r="K112" i="2" s="1"/>
  <c r="G110" i="2"/>
  <c r="K110" i="2" s="1"/>
  <c r="G108" i="2"/>
  <c r="K108" i="2" s="1"/>
  <c r="G106" i="2"/>
  <c r="K106" i="2" s="1"/>
  <c r="G105" i="2"/>
  <c r="K105" i="2" s="1"/>
  <c r="G103" i="2"/>
  <c r="K103" i="2" s="1"/>
  <c r="G102" i="2"/>
  <c r="K102" i="2" s="1"/>
  <c r="G99" i="2"/>
  <c r="K99" i="2" s="1"/>
  <c r="K98" i="2" s="1"/>
  <c r="G97" i="2"/>
  <c r="K97" i="2" s="1"/>
  <c r="G96" i="2"/>
  <c r="K96" i="2" s="1"/>
  <c r="G93" i="2"/>
  <c r="G90" i="2"/>
  <c r="G89" i="2"/>
  <c r="G88" i="2"/>
  <c r="G66" i="2"/>
  <c r="G63" i="2"/>
  <c r="G62" i="2"/>
  <c r="G61" i="2"/>
  <c r="G39" i="2"/>
  <c r="G35" i="2"/>
  <c r="G36" i="2"/>
  <c r="G34" i="2"/>
  <c r="K170" i="2"/>
  <c r="K270" i="2"/>
  <c r="K423" i="2"/>
  <c r="K422" i="2" s="1"/>
  <c r="K486" i="2"/>
  <c r="K497" i="2"/>
  <c r="K518" i="2"/>
  <c r="K549" i="2"/>
  <c r="K583" i="2"/>
  <c r="K606" i="2"/>
  <c r="K671" i="2"/>
  <c r="K678" i="2"/>
  <c r="K682" i="2"/>
  <c r="K736" i="2"/>
  <c r="K876" i="2"/>
  <c r="I92" i="2"/>
  <c r="G82" i="2"/>
  <c r="G83" i="2"/>
  <c r="G84" i="2"/>
  <c r="G85" i="2"/>
  <c r="I86" i="2"/>
  <c r="G81" i="2"/>
  <c r="I75" i="2"/>
  <c r="G76" i="2"/>
  <c r="G77" i="2"/>
  <c r="G78" i="2"/>
  <c r="G79" i="2"/>
  <c r="G74" i="2"/>
  <c r="G72" i="2"/>
  <c r="I69" i="2"/>
  <c r="G65" i="2"/>
  <c r="I55" i="2"/>
  <c r="I56" i="2"/>
  <c r="I57" i="2"/>
  <c r="G58" i="2"/>
  <c r="G59" i="2"/>
  <c r="G54" i="2"/>
  <c r="G48" i="2"/>
  <c r="I49" i="2"/>
  <c r="G50" i="2"/>
  <c r="G51" i="2"/>
  <c r="G52" i="2"/>
  <c r="G47" i="2"/>
  <c r="G45" i="2"/>
  <c r="G43" i="2"/>
  <c r="G42" i="2"/>
  <c r="G38" i="2"/>
  <c r="G28" i="2"/>
  <c r="G29" i="2"/>
  <c r="G30" i="2"/>
  <c r="G31" i="2"/>
  <c r="I32" i="2"/>
  <c r="G27" i="2"/>
  <c r="G21" i="2"/>
  <c r="I22" i="2"/>
  <c r="I23" i="2"/>
  <c r="G24" i="2"/>
  <c r="G25" i="2"/>
  <c r="G20" i="2"/>
  <c r="I18" i="2"/>
  <c r="I17" i="2" s="1"/>
  <c r="I16" i="2"/>
  <c r="I39" i="2"/>
  <c r="I24" i="2"/>
  <c r="G15" i="2"/>
  <c r="J876" i="2"/>
  <c r="J875" i="2"/>
  <c r="J873" i="2"/>
  <c r="J872" i="2"/>
  <c r="J871" i="2"/>
  <c r="J869" i="2"/>
  <c r="J868" i="2"/>
  <c r="J867" i="2"/>
  <c r="J866" i="2"/>
  <c r="J865" i="2"/>
  <c r="J864" i="2"/>
  <c r="J862" i="2"/>
  <c r="J861" i="2"/>
  <c r="J860" i="2"/>
  <c r="J859" i="2"/>
  <c r="J858" i="2"/>
  <c r="J857" i="2"/>
  <c r="J855" i="2"/>
  <c r="J854" i="2" s="1"/>
  <c r="J853" i="2"/>
  <c r="J852" i="2"/>
  <c r="J849" i="2"/>
  <c r="J848" i="2"/>
  <c r="J846" i="2"/>
  <c r="J845" i="2"/>
  <c r="J844" i="2"/>
  <c r="J842" i="2"/>
  <c r="J841" i="2"/>
  <c r="J840" i="2"/>
  <c r="J839" i="2"/>
  <c r="J838" i="2"/>
  <c r="J837" i="2"/>
  <c r="J835" i="2"/>
  <c r="J834" i="2"/>
  <c r="J833" i="2"/>
  <c r="J832" i="2"/>
  <c r="J831" i="2"/>
  <c r="J830" i="2"/>
  <c r="J828" i="2"/>
  <c r="J827" i="2" s="1"/>
  <c r="J826" i="2"/>
  <c r="J825" i="2"/>
  <c r="J822" i="2"/>
  <c r="J821" i="2"/>
  <c r="J819" i="2"/>
  <c r="J818" i="2"/>
  <c r="J817" i="2"/>
  <c r="J815" i="2"/>
  <c r="J814" i="2"/>
  <c r="J813" i="2"/>
  <c r="J812" i="2"/>
  <c r="J811" i="2"/>
  <c r="J810" i="2"/>
  <c r="J808" i="2"/>
  <c r="J807" i="2"/>
  <c r="J806" i="2"/>
  <c r="J805" i="2"/>
  <c r="J804" i="2"/>
  <c r="J803" i="2"/>
  <c r="J801" i="2"/>
  <c r="J800" i="2" s="1"/>
  <c r="J799" i="2"/>
  <c r="J798" i="2"/>
  <c r="J795" i="2"/>
  <c r="J794" i="2"/>
  <c r="J792" i="2"/>
  <c r="J791" i="2"/>
  <c r="J790" i="2"/>
  <c r="J788" i="2"/>
  <c r="J787" i="2"/>
  <c r="J786" i="2"/>
  <c r="J785" i="2"/>
  <c r="J784" i="2"/>
  <c r="J783" i="2"/>
  <c r="J781" i="2"/>
  <c r="J780" i="2"/>
  <c r="J779" i="2"/>
  <c r="J778" i="2"/>
  <c r="J777" i="2"/>
  <c r="J776" i="2"/>
  <c r="J774" i="2"/>
  <c r="J773" i="2" s="1"/>
  <c r="J772" i="2"/>
  <c r="J771" i="2"/>
  <c r="J768" i="2"/>
  <c r="J767" i="2"/>
  <c r="J765" i="2"/>
  <c r="J764" i="2"/>
  <c r="J763" i="2"/>
  <c r="J761" i="2"/>
  <c r="J760" i="2"/>
  <c r="J759" i="2"/>
  <c r="J758" i="2"/>
  <c r="J757" i="2"/>
  <c r="J756" i="2"/>
  <c r="J754" i="2"/>
  <c r="J753" i="2"/>
  <c r="J752" i="2"/>
  <c r="J751" i="2"/>
  <c r="J750" i="2"/>
  <c r="J749" i="2"/>
  <c r="J747" i="2"/>
  <c r="J746" i="2" s="1"/>
  <c r="J745" i="2"/>
  <c r="J744" i="2"/>
  <c r="J741" i="2"/>
  <c r="J740" i="2"/>
  <c r="J738" i="2"/>
  <c r="J737" i="2"/>
  <c r="J736" i="2"/>
  <c r="J734" i="2"/>
  <c r="J733" i="2"/>
  <c r="J732" i="2"/>
  <c r="J731" i="2"/>
  <c r="J730" i="2"/>
  <c r="J729" i="2"/>
  <c r="J727" i="2"/>
  <c r="J726" i="2"/>
  <c r="J725" i="2"/>
  <c r="J724" i="2"/>
  <c r="J723" i="2"/>
  <c r="J722" i="2"/>
  <c r="J720" i="2"/>
  <c r="J719" i="2" s="1"/>
  <c r="J718" i="2"/>
  <c r="J717" i="2"/>
  <c r="J714" i="2"/>
  <c r="J713" i="2"/>
  <c r="J711" i="2"/>
  <c r="J710" i="2"/>
  <c r="J709" i="2"/>
  <c r="J707" i="2"/>
  <c r="J706" i="2"/>
  <c r="J705" i="2"/>
  <c r="J704" i="2"/>
  <c r="J703" i="2"/>
  <c r="J702" i="2"/>
  <c r="J700" i="2"/>
  <c r="J699" i="2"/>
  <c r="J698" i="2"/>
  <c r="J697" i="2"/>
  <c r="J696" i="2"/>
  <c r="J695" i="2"/>
  <c r="J693" i="2"/>
  <c r="J692" i="2" s="1"/>
  <c r="J691" i="2"/>
  <c r="J690" i="2"/>
  <c r="J686" i="2"/>
  <c r="J649" i="2"/>
  <c r="J385" i="2"/>
  <c r="J687" i="2"/>
  <c r="J684" i="2"/>
  <c r="J683" i="2"/>
  <c r="J682" i="2"/>
  <c r="J680" i="2"/>
  <c r="J679" i="2"/>
  <c r="J678" i="2"/>
  <c r="J677" i="2"/>
  <c r="J676" i="2"/>
  <c r="J675" i="2"/>
  <c r="J673" i="2"/>
  <c r="J672" i="2"/>
  <c r="J671" i="2"/>
  <c r="J670" i="2"/>
  <c r="J669" i="2"/>
  <c r="J668" i="2"/>
  <c r="J666" i="2"/>
  <c r="J665" i="2" s="1"/>
  <c r="J664" i="2"/>
  <c r="J663" i="2"/>
  <c r="J660" i="2"/>
  <c r="J659" i="2"/>
  <c r="J657" i="2"/>
  <c r="J656" i="2"/>
  <c r="J655" i="2"/>
  <c r="J653" i="2"/>
  <c r="J652" i="2"/>
  <c r="J651" i="2"/>
  <c r="J650" i="2"/>
  <c r="J648" i="2"/>
  <c r="J646" i="2"/>
  <c r="J645" i="2"/>
  <c r="J644" i="2"/>
  <c r="J643" i="2"/>
  <c r="J642" i="2"/>
  <c r="J641" i="2"/>
  <c r="J639" i="2"/>
  <c r="J638" i="2" s="1"/>
  <c r="J637" i="2"/>
  <c r="J636" i="2"/>
  <c r="J633" i="2"/>
  <c r="J632" i="2"/>
  <c r="J630" i="2"/>
  <c r="J629" i="2"/>
  <c r="J628" i="2"/>
  <c r="J626" i="2"/>
  <c r="J624" i="2"/>
  <c r="J623" i="2"/>
  <c r="J622" i="2"/>
  <c r="J621" i="2"/>
  <c r="J619" i="2"/>
  <c r="J617" i="2"/>
  <c r="J616" i="2"/>
  <c r="J615" i="2"/>
  <c r="J614" i="2"/>
  <c r="J612" i="2"/>
  <c r="J611" i="2" s="1"/>
  <c r="J609" i="2"/>
  <c r="J606" i="2"/>
  <c r="J605" i="2"/>
  <c r="J603" i="2"/>
  <c r="J602" i="2"/>
  <c r="J601" i="2"/>
  <c r="J599" i="2"/>
  <c r="J598" i="2"/>
  <c r="J597" i="2"/>
  <c r="J596" i="2"/>
  <c r="J595" i="2"/>
  <c r="J594" i="2"/>
  <c r="J592" i="2"/>
  <c r="J591" i="2"/>
  <c r="J590" i="2"/>
  <c r="J589" i="2"/>
  <c r="J588" i="2"/>
  <c r="J587" i="2"/>
  <c r="J585" i="2"/>
  <c r="J584" i="2" s="1"/>
  <c r="J583" i="2"/>
  <c r="J582" i="2"/>
  <c r="J579" i="2"/>
  <c r="J578" i="2"/>
  <c r="J576" i="2"/>
  <c r="J575" i="2"/>
  <c r="J574" i="2"/>
  <c r="J572" i="2"/>
  <c r="J571" i="2"/>
  <c r="J570" i="2"/>
  <c r="J569" i="2"/>
  <c r="J568" i="2"/>
  <c r="J567" i="2"/>
  <c r="J565" i="2"/>
  <c r="J564" i="2"/>
  <c r="J563" i="2"/>
  <c r="J562" i="2"/>
  <c r="J561" i="2"/>
  <c r="J560" i="2"/>
  <c r="J558" i="2"/>
  <c r="J557" i="2" s="1"/>
  <c r="J556" i="2"/>
  <c r="J555" i="2"/>
  <c r="J552" i="2"/>
  <c r="J551" i="2"/>
  <c r="J549" i="2"/>
  <c r="J548" i="2"/>
  <c r="J547" i="2"/>
  <c r="J545" i="2"/>
  <c r="J544" i="2"/>
  <c r="J543" i="2"/>
  <c r="J542" i="2"/>
  <c r="J541" i="2"/>
  <c r="J540" i="2"/>
  <c r="J538" i="2"/>
  <c r="J537" i="2"/>
  <c r="J536" i="2"/>
  <c r="J535" i="2"/>
  <c r="J534" i="2"/>
  <c r="J533" i="2"/>
  <c r="J531" i="2"/>
  <c r="J530" i="2" s="1"/>
  <c r="J529" i="2"/>
  <c r="J528" i="2"/>
  <c r="J525" i="2"/>
  <c r="J524" i="2"/>
  <c r="J522" i="2"/>
  <c r="J521" i="2"/>
  <c r="J520" i="2"/>
  <c r="J518" i="2"/>
  <c r="J517" i="2"/>
  <c r="J516" i="2"/>
  <c r="J515" i="2"/>
  <c r="J514" i="2"/>
  <c r="J513" i="2"/>
  <c r="J511" i="2"/>
  <c r="J510" i="2"/>
  <c r="J509" i="2"/>
  <c r="J508" i="2"/>
  <c r="J507" i="2"/>
  <c r="J506" i="2"/>
  <c r="J504" i="2"/>
  <c r="J503" i="2" s="1"/>
  <c r="J502" i="2"/>
  <c r="J501" i="2"/>
  <c r="J498" i="2"/>
  <c r="J497" i="2"/>
  <c r="J495" i="2"/>
  <c r="J494" i="2"/>
  <c r="J493" i="2"/>
  <c r="J491" i="2"/>
  <c r="J490" i="2"/>
  <c r="J489" i="2"/>
  <c r="J488" i="2"/>
  <c r="J487" i="2"/>
  <c r="J486" i="2"/>
  <c r="J484" i="2"/>
  <c r="J483" i="2"/>
  <c r="J482" i="2"/>
  <c r="J481" i="2"/>
  <c r="J480" i="2"/>
  <c r="J479" i="2"/>
  <c r="J477" i="2"/>
  <c r="J476" i="2" s="1"/>
  <c r="J475" i="2"/>
  <c r="J474" i="2"/>
  <c r="J471" i="2"/>
  <c r="J470" i="2"/>
  <c r="J468" i="2"/>
  <c r="J467" i="2"/>
  <c r="J466" i="2"/>
  <c r="J464" i="2"/>
  <c r="J463" i="2"/>
  <c r="J462" i="2"/>
  <c r="J461" i="2"/>
  <c r="J460" i="2"/>
  <c r="J459" i="2"/>
  <c r="J457" i="2"/>
  <c r="J456" i="2"/>
  <c r="J455" i="2"/>
  <c r="J454" i="2"/>
  <c r="J453" i="2"/>
  <c r="J452" i="2"/>
  <c r="J450" i="2"/>
  <c r="J449" i="2" s="1"/>
  <c r="J448" i="2"/>
  <c r="J447" i="2"/>
  <c r="J444" i="2"/>
  <c r="J443" i="2"/>
  <c r="J441" i="2"/>
  <c r="J440" i="2"/>
  <c r="J439" i="2"/>
  <c r="J437" i="2"/>
  <c r="J436" i="2"/>
  <c r="J435" i="2"/>
  <c r="J434" i="2"/>
  <c r="J433" i="2"/>
  <c r="J432" i="2"/>
  <c r="J430" i="2"/>
  <c r="J429" i="2"/>
  <c r="J428" i="2"/>
  <c r="J427" i="2"/>
  <c r="J426" i="2"/>
  <c r="J425" i="2"/>
  <c r="J423" i="2"/>
  <c r="J422" i="2" s="1"/>
  <c r="J421" i="2"/>
  <c r="J420" i="2"/>
  <c r="J417" i="2"/>
  <c r="J416" i="2"/>
  <c r="J414" i="2"/>
  <c r="J413" i="2"/>
  <c r="J412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6" i="2"/>
  <c r="J395" i="2" s="1"/>
  <c r="J394" i="2"/>
  <c r="J393" i="2"/>
  <c r="J390" i="2"/>
  <c r="J389" i="2"/>
  <c r="J387" i="2"/>
  <c r="J386" i="2"/>
  <c r="J383" i="2"/>
  <c r="J382" i="2"/>
  <c r="J381" i="2"/>
  <c r="J380" i="2"/>
  <c r="J379" i="2"/>
  <c r="J378" i="2"/>
  <c r="J376" i="2"/>
  <c r="J375" i="2"/>
  <c r="J374" i="2"/>
  <c r="J373" i="2"/>
  <c r="J372" i="2"/>
  <c r="J371" i="2"/>
  <c r="J369" i="2"/>
  <c r="J368" i="2" s="1"/>
  <c r="J367" i="2"/>
  <c r="J366" i="2"/>
  <c r="J363" i="2"/>
  <c r="J362" i="2"/>
  <c r="J360" i="2"/>
  <c r="J359" i="2"/>
  <c r="J358" i="2"/>
  <c r="J356" i="2"/>
  <c r="J355" i="2"/>
  <c r="J354" i="2"/>
  <c r="J353" i="2"/>
  <c r="J352" i="2"/>
  <c r="J351" i="2"/>
  <c r="J349" i="2"/>
  <c r="J348" i="2"/>
  <c r="J347" i="2"/>
  <c r="J346" i="2"/>
  <c r="J345" i="2"/>
  <c r="J344" i="2"/>
  <c r="J342" i="2"/>
  <c r="J341" i="2" s="1"/>
  <c r="J340" i="2"/>
  <c r="J339" i="2"/>
  <c r="J336" i="2"/>
  <c r="J335" i="2"/>
  <c r="J333" i="2"/>
  <c r="J332" i="2"/>
  <c r="J331" i="2"/>
  <c r="J329" i="2"/>
  <c r="J328" i="2"/>
  <c r="J327" i="2"/>
  <c r="J326" i="2"/>
  <c r="J325" i="2"/>
  <c r="J324" i="2"/>
  <c r="J322" i="2"/>
  <c r="J321" i="2"/>
  <c r="J320" i="2"/>
  <c r="J319" i="2"/>
  <c r="J318" i="2"/>
  <c r="J317" i="2"/>
  <c r="J315" i="2"/>
  <c r="J314" i="2" s="1"/>
  <c r="J313" i="2"/>
  <c r="J312" i="2"/>
  <c r="J309" i="2"/>
  <c r="J308" i="2"/>
  <c r="J306" i="2"/>
  <c r="J305" i="2"/>
  <c r="J304" i="2"/>
  <c r="J302" i="2"/>
  <c r="J301" i="2"/>
  <c r="J300" i="2"/>
  <c r="J299" i="2"/>
  <c r="J298" i="2"/>
  <c r="J297" i="2"/>
  <c r="J295" i="2"/>
  <c r="J294" i="2"/>
  <c r="J293" i="2"/>
  <c r="J292" i="2"/>
  <c r="J291" i="2"/>
  <c r="J290" i="2"/>
  <c r="J288" i="2"/>
  <c r="J287" i="2" s="1"/>
  <c r="J286" i="2"/>
  <c r="J285" i="2"/>
  <c r="J282" i="2"/>
  <c r="J281" i="2"/>
  <c r="J279" i="2"/>
  <c r="J278" i="2"/>
  <c r="J277" i="2"/>
  <c r="J275" i="2"/>
  <c r="J274" i="2"/>
  <c r="J273" i="2"/>
  <c r="J272" i="2"/>
  <c r="J271" i="2"/>
  <c r="J270" i="2"/>
  <c r="J268" i="2"/>
  <c r="J267" i="2"/>
  <c r="J266" i="2"/>
  <c r="J265" i="2"/>
  <c r="J264" i="2"/>
  <c r="J263" i="2"/>
  <c r="J261" i="2"/>
  <c r="J260" i="2" s="1"/>
  <c r="J259" i="2"/>
  <c r="J258" i="2"/>
  <c r="J255" i="2"/>
  <c r="J254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4" i="2"/>
  <c r="J233" i="2" s="1"/>
  <c r="J232" i="2"/>
  <c r="J231" i="2"/>
  <c r="J228" i="2"/>
  <c r="J227" i="2"/>
  <c r="J225" i="2"/>
  <c r="J224" i="2"/>
  <c r="J223" i="2"/>
  <c r="J221" i="2"/>
  <c r="J220" i="2"/>
  <c r="J219" i="2"/>
  <c r="J218" i="2"/>
  <c r="J217" i="2"/>
  <c r="J216" i="2"/>
  <c r="J214" i="2"/>
  <c r="J213" i="2"/>
  <c r="J212" i="2"/>
  <c r="J211" i="2"/>
  <c r="J210" i="2"/>
  <c r="J209" i="2"/>
  <c r="J207" i="2"/>
  <c r="J206" i="2" s="1"/>
  <c r="J205" i="2"/>
  <c r="J204" i="2"/>
  <c r="J201" i="2"/>
  <c r="J200" i="2"/>
  <c r="J198" i="2"/>
  <c r="J197" i="2"/>
  <c r="J196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0" i="2"/>
  <c r="J179" i="2" s="1"/>
  <c r="J178" i="2"/>
  <c r="J177" i="2"/>
  <c r="J174" i="2"/>
  <c r="J173" i="2"/>
  <c r="J171" i="2"/>
  <c r="J170" i="2"/>
  <c r="J169" i="2"/>
  <c r="J167" i="2"/>
  <c r="J166" i="2"/>
  <c r="J165" i="2"/>
  <c r="J164" i="2"/>
  <c r="J163" i="2"/>
  <c r="J162" i="2"/>
  <c r="J160" i="2"/>
  <c r="J159" i="2"/>
  <c r="J158" i="2"/>
  <c r="J157" i="2"/>
  <c r="J156" i="2"/>
  <c r="J155" i="2"/>
  <c r="J153" i="2"/>
  <c r="J152" i="2" s="1"/>
  <c r="J151" i="2"/>
  <c r="J150" i="2"/>
  <c r="J147" i="2"/>
  <c r="J146" i="2"/>
  <c r="J144" i="2"/>
  <c r="J143" i="2"/>
  <c r="J142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 s="1"/>
  <c r="J124" i="2"/>
  <c r="J123" i="2"/>
  <c r="J120" i="2"/>
  <c r="J119" i="2"/>
  <c r="J117" i="2"/>
  <c r="J116" i="2"/>
  <c r="J115" i="2"/>
  <c r="J113" i="2"/>
  <c r="J112" i="2"/>
  <c r="J111" i="2"/>
  <c r="J110" i="2"/>
  <c r="J109" i="2"/>
  <c r="J108" i="2"/>
  <c r="J106" i="2"/>
  <c r="J105" i="2"/>
  <c r="J104" i="2"/>
  <c r="J103" i="2"/>
  <c r="J102" i="2"/>
  <c r="J101" i="2"/>
  <c r="J99" i="2"/>
  <c r="J98" i="2" s="1"/>
  <c r="J97" i="2"/>
  <c r="J96" i="2"/>
  <c r="J93" i="2"/>
  <c r="J92" i="2"/>
  <c r="J90" i="2"/>
  <c r="J89" i="2"/>
  <c r="J88" i="2"/>
  <c r="J86" i="2"/>
  <c r="J85" i="2"/>
  <c r="J84" i="2"/>
  <c r="J83" i="2"/>
  <c r="J82" i="2"/>
  <c r="J81" i="2"/>
  <c r="J79" i="2"/>
  <c r="J78" i="2"/>
  <c r="J77" i="2"/>
  <c r="J76" i="2"/>
  <c r="J75" i="2"/>
  <c r="J74" i="2"/>
  <c r="J72" i="2"/>
  <c r="J71" i="2" s="1"/>
  <c r="J70" i="2"/>
  <c r="J69" i="2"/>
  <c r="J66" i="2"/>
  <c r="J65" i="2"/>
  <c r="J62" i="2"/>
  <c r="J63" i="2"/>
  <c r="J61" i="2"/>
  <c r="J55" i="2"/>
  <c r="J56" i="2"/>
  <c r="J57" i="2"/>
  <c r="J58" i="2"/>
  <c r="J59" i="2"/>
  <c r="J54" i="2"/>
  <c r="J48" i="2"/>
  <c r="J49" i="2"/>
  <c r="J50" i="2"/>
  <c r="J51" i="2"/>
  <c r="J52" i="2"/>
  <c r="J47" i="2"/>
  <c r="J45" i="2"/>
  <c r="J44" i="2" s="1"/>
  <c r="J43" i="2"/>
  <c r="J42" i="2"/>
  <c r="J39" i="2"/>
  <c r="J38" i="2"/>
  <c r="J35" i="2"/>
  <c r="J36" i="2"/>
  <c r="J34" i="2"/>
  <c r="J28" i="2"/>
  <c r="J29" i="2"/>
  <c r="J30" i="2"/>
  <c r="J31" i="2"/>
  <c r="J32" i="2"/>
  <c r="J27" i="2"/>
  <c r="J21" i="2"/>
  <c r="J22" i="2"/>
  <c r="J23" i="2"/>
  <c r="J24" i="2"/>
  <c r="J25" i="2"/>
  <c r="J20" i="2"/>
  <c r="J18" i="2"/>
  <c r="J15" i="2"/>
  <c r="J16" i="2"/>
  <c r="J14" i="2"/>
  <c r="I876" i="2"/>
  <c r="I875" i="2"/>
  <c r="I874" i="2" s="1"/>
  <c r="I873" i="2"/>
  <c r="I872" i="2"/>
  <c r="I871" i="2"/>
  <c r="I869" i="2"/>
  <c r="I868" i="2"/>
  <c r="I867" i="2"/>
  <c r="I866" i="2"/>
  <c r="I865" i="2"/>
  <c r="I864" i="2"/>
  <c r="I862" i="2"/>
  <c r="I861" i="2"/>
  <c r="I860" i="2"/>
  <c r="I857" i="2"/>
  <c r="I855" i="2"/>
  <c r="I854" i="2" s="1"/>
  <c r="I852" i="2"/>
  <c r="I849" i="2"/>
  <c r="I848" i="2"/>
  <c r="I846" i="2"/>
  <c r="I845" i="2"/>
  <c r="I844" i="2"/>
  <c r="I842" i="2"/>
  <c r="I841" i="2"/>
  <c r="I840" i="2"/>
  <c r="I838" i="2"/>
  <c r="I837" i="2"/>
  <c r="I834" i="2"/>
  <c r="I833" i="2"/>
  <c r="I832" i="2"/>
  <c r="I831" i="2"/>
  <c r="I828" i="2"/>
  <c r="I827" i="2" s="1"/>
  <c r="I826" i="2"/>
  <c r="I822" i="2"/>
  <c r="I821" i="2"/>
  <c r="I819" i="2"/>
  <c r="I818" i="2"/>
  <c r="I817" i="2"/>
  <c r="I815" i="2"/>
  <c r="I814" i="2"/>
  <c r="I813" i="2"/>
  <c r="I812" i="2"/>
  <c r="I811" i="2"/>
  <c r="I810" i="2"/>
  <c r="I807" i="2"/>
  <c r="I806" i="2"/>
  <c r="I805" i="2"/>
  <c r="I804" i="2"/>
  <c r="I803" i="2"/>
  <c r="I801" i="2"/>
  <c r="I800" i="2" s="1"/>
  <c r="I799" i="2"/>
  <c r="I795" i="2"/>
  <c r="I794" i="2"/>
  <c r="I792" i="2"/>
  <c r="I791" i="2"/>
  <c r="I790" i="2"/>
  <c r="I788" i="2"/>
  <c r="I787" i="2"/>
  <c r="I786" i="2"/>
  <c r="I785" i="2"/>
  <c r="I783" i="2"/>
  <c r="I780" i="2"/>
  <c r="I779" i="2"/>
  <c r="I778" i="2"/>
  <c r="I777" i="2"/>
  <c r="I776" i="2"/>
  <c r="I772" i="2"/>
  <c r="I768" i="2"/>
  <c r="I767" i="2"/>
  <c r="I765" i="2"/>
  <c r="I764" i="2"/>
  <c r="I763" i="2"/>
  <c r="I761" i="2"/>
  <c r="I759" i="2"/>
  <c r="I758" i="2"/>
  <c r="I756" i="2"/>
  <c r="I754" i="2"/>
  <c r="I752" i="2"/>
  <c r="I750" i="2"/>
  <c r="I749" i="2"/>
  <c r="I748" i="2" s="1"/>
  <c r="I747" i="2"/>
  <c r="I746" i="2" s="1"/>
  <c r="I745" i="2"/>
  <c r="I744" i="2"/>
  <c r="I743" i="2" s="1"/>
  <c r="I741" i="2"/>
  <c r="I740" i="2"/>
  <c r="I738" i="2"/>
  <c r="I737" i="2"/>
  <c r="I736" i="2"/>
  <c r="I734" i="2"/>
  <c r="I733" i="2"/>
  <c r="I732" i="2"/>
  <c r="I729" i="2"/>
  <c r="I727" i="2"/>
  <c r="I725" i="2"/>
  <c r="I724" i="2"/>
  <c r="I723" i="2"/>
  <c r="I722" i="2"/>
  <c r="I718" i="2"/>
  <c r="I717" i="2"/>
  <c r="I714" i="2"/>
  <c r="I713" i="2"/>
  <c r="I712" i="2" s="1"/>
  <c r="I711" i="2"/>
  <c r="I710" i="2"/>
  <c r="I709" i="2"/>
  <c r="I708" i="2" s="1"/>
  <c r="I705" i="2"/>
  <c r="I704" i="2"/>
  <c r="I702" i="2"/>
  <c r="I700" i="2"/>
  <c r="I698" i="2"/>
  <c r="I697" i="2"/>
  <c r="I696" i="2"/>
  <c r="I695" i="2"/>
  <c r="I694" i="2" s="1"/>
  <c r="I693" i="2"/>
  <c r="I692" i="2" s="1"/>
  <c r="I690" i="2"/>
  <c r="I689" i="2" s="1"/>
  <c r="I687" i="2"/>
  <c r="I686" i="2"/>
  <c r="I684" i="2"/>
  <c r="I683" i="2"/>
  <c r="I682" i="2"/>
  <c r="I680" i="2"/>
  <c r="I679" i="2"/>
  <c r="I678" i="2"/>
  <c r="I677" i="2"/>
  <c r="I676" i="2"/>
  <c r="I675" i="2"/>
  <c r="I671" i="2"/>
  <c r="I670" i="2"/>
  <c r="I669" i="2"/>
  <c r="I668" i="2"/>
  <c r="I666" i="2"/>
  <c r="I665" i="2" s="1"/>
  <c r="I664" i="2"/>
  <c r="I660" i="2"/>
  <c r="I659" i="2"/>
  <c r="I657" i="2"/>
  <c r="I656" i="2"/>
  <c r="I655" i="2"/>
  <c r="I653" i="2"/>
  <c r="I651" i="2"/>
  <c r="I650" i="2"/>
  <c r="I649" i="2"/>
  <c r="I648" i="2"/>
  <c r="I646" i="2"/>
  <c r="I644" i="2"/>
  <c r="I643" i="2"/>
  <c r="I640" i="2" s="1"/>
  <c r="I641" i="2"/>
  <c r="I639" i="2"/>
  <c r="I638" i="2" s="1"/>
  <c r="I637" i="2"/>
  <c r="I636" i="2"/>
  <c r="I633" i="2"/>
  <c r="I632" i="2"/>
  <c r="I631" i="2" s="1"/>
  <c r="I630" i="2"/>
  <c r="I629" i="2"/>
  <c r="I628" i="2"/>
  <c r="I626" i="2"/>
  <c r="I624" i="2"/>
  <c r="I623" i="2"/>
  <c r="I622" i="2"/>
  <c r="I621" i="2"/>
  <c r="I619" i="2"/>
  <c r="I614" i="2"/>
  <c r="I612" i="2"/>
  <c r="I611" i="2" s="1"/>
  <c r="I610" i="2"/>
  <c r="I609" i="2"/>
  <c r="I608" i="2" s="1"/>
  <c r="I606" i="2"/>
  <c r="I605" i="2"/>
  <c r="I603" i="2"/>
  <c r="I602" i="2"/>
  <c r="I601" i="2"/>
  <c r="I599" i="2"/>
  <c r="I598" i="2"/>
  <c r="I597" i="2"/>
  <c r="I596" i="2"/>
  <c r="I595" i="2"/>
  <c r="I594" i="2"/>
  <c r="I592" i="2"/>
  <c r="I591" i="2"/>
  <c r="I590" i="2"/>
  <c r="I589" i="2"/>
  <c r="I588" i="2"/>
  <c r="I587" i="2"/>
  <c r="I585" i="2"/>
  <c r="I584" i="2" s="1"/>
  <c r="I583" i="2"/>
  <c r="I582" i="2"/>
  <c r="I579" i="2"/>
  <c r="I578" i="2"/>
  <c r="I576" i="2"/>
  <c r="I575" i="2"/>
  <c r="I574" i="2"/>
  <c r="I572" i="2"/>
  <c r="I570" i="2"/>
  <c r="I569" i="2"/>
  <c r="I567" i="2"/>
  <c r="I566" i="2" s="1"/>
  <c r="I565" i="2"/>
  <c r="I563" i="2"/>
  <c r="I561" i="2"/>
  <c r="I560" i="2"/>
  <c r="I558" i="2"/>
  <c r="I557" i="2" s="1"/>
  <c r="I555" i="2"/>
  <c r="I552" i="2"/>
  <c r="I551" i="2"/>
  <c r="I550" i="2" s="1"/>
  <c r="I549" i="2"/>
  <c r="I548" i="2"/>
  <c r="I547" i="2"/>
  <c r="I546" i="2" s="1"/>
  <c r="I545" i="2"/>
  <c r="I544" i="2"/>
  <c r="I542" i="2"/>
  <c r="I541" i="2"/>
  <c r="I540" i="2"/>
  <c r="I539" i="2" s="1"/>
  <c r="I538" i="2"/>
  <c r="I537" i="2"/>
  <c r="I536" i="2"/>
  <c r="I535" i="2"/>
  <c r="I534" i="2"/>
  <c r="I533" i="2"/>
  <c r="I531" i="2"/>
  <c r="I530" i="2" s="1"/>
  <c r="I528" i="2"/>
  <c r="I525" i="2"/>
  <c r="I524" i="2"/>
  <c r="I522" i="2"/>
  <c r="I521" i="2"/>
  <c r="I520" i="2"/>
  <c r="I518" i="2"/>
  <c r="I517" i="2"/>
  <c r="I516" i="2"/>
  <c r="I515" i="2"/>
  <c r="I514" i="2"/>
  <c r="I513" i="2"/>
  <c r="I510" i="2"/>
  <c r="I509" i="2"/>
  <c r="I508" i="2"/>
  <c r="I507" i="2"/>
  <c r="I506" i="2"/>
  <c r="I504" i="2"/>
  <c r="I503" i="2" s="1"/>
  <c r="I502" i="2"/>
  <c r="I498" i="2"/>
  <c r="I497" i="2"/>
  <c r="I495" i="2"/>
  <c r="I494" i="2"/>
  <c r="I493" i="2"/>
  <c r="I491" i="2"/>
  <c r="I490" i="2"/>
  <c r="I489" i="2"/>
  <c r="I488" i="2"/>
  <c r="I487" i="2"/>
  <c r="I486" i="2"/>
  <c r="I484" i="2"/>
  <c r="I483" i="2"/>
  <c r="I482" i="2"/>
  <c r="I481" i="2"/>
  <c r="I480" i="2"/>
  <c r="I479" i="2"/>
  <c r="I477" i="2"/>
  <c r="I476" i="2" s="1"/>
  <c r="I475" i="2"/>
  <c r="I474" i="2"/>
  <c r="I471" i="2"/>
  <c r="I470" i="2"/>
  <c r="I469" i="2" s="1"/>
  <c r="I468" i="2"/>
  <c r="I467" i="2"/>
  <c r="I466" i="2"/>
  <c r="I464" i="2"/>
  <c r="I463" i="2"/>
  <c r="I462" i="2"/>
  <c r="I461" i="2"/>
  <c r="I460" i="2"/>
  <c r="I459" i="2"/>
  <c r="I457" i="2"/>
  <c r="I456" i="2"/>
  <c r="I455" i="2"/>
  <c r="I454" i="2"/>
  <c r="I453" i="2"/>
  <c r="I452" i="2"/>
  <c r="I450" i="2"/>
  <c r="I449" i="2" s="1"/>
  <c r="I448" i="2"/>
  <c r="I447" i="2"/>
  <c r="I446" i="2" s="1"/>
  <c r="I444" i="2"/>
  <c r="I443" i="2"/>
  <c r="I441" i="2"/>
  <c r="I440" i="2"/>
  <c r="I439" i="2"/>
  <c r="I436" i="2"/>
  <c r="I435" i="2"/>
  <c r="I434" i="2"/>
  <c r="I433" i="2"/>
  <c r="I432" i="2"/>
  <c r="I429" i="2"/>
  <c r="I428" i="2"/>
  <c r="I427" i="2"/>
  <c r="I425" i="2"/>
  <c r="I424" i="2" s="1"/>
  <c r="I423" i="2"/>
  <c r="I422" i="2" s="1"/>
  <c r="I420" i="2"/>
  <c r="I417" i="2"/>
  <c r="I416" i="2"/>
  <c r="I414" i="2"/>
  <c r="I413" i="2"/>
  <c r="I412" i="2"/>
  <c r="I410" i="2"/>
  <c r="I409" i="2"/>
  <c r="I408" i="2"/>
  <c r="I407" i="2"/>
  <c r="I406" i="2"/>
  <c r="I405" i="2"/>
  <c r="I403" i="2"/>
  <c r="I402" i="2"/>
  <c r="I401" i="2"/>
  <c r="I400" i="2"/>
  <c r="I398" i="2"/>
  <c r="I396" i="2"/>
  <c r="I395" i="2" s="1"/>
  <c r="I394" i="2"/>
  <c r="I393" i="2"/>
  <c r="I392" i="2" s="1"/>
  <c r="I390" i="2"/>
  <c r="I387" i="2"/>
  <c r="I386" i="2"/>
  <c r="I385" i="2"/>
  <c r="I383" i="2"/>
  <c r="I382" i="2"/>
  <c r="I381" i="2"/>
  <c r="I379" i="2"/>
  <c r="I378" i="2"/>
  <c r="I376" i="2"/>
  <c r="I374" i="2"/>
  <c r="I373" i="2"/>
  <c r="I372" i="2"/>
  <c r="I369" i="2"/>
  <c r="I368" i="2" s="1"/>
  <c r="I367" i="2"/>
  <c r="I366" i="2"/>
  <c r="I363" i="2"/>
  <c r="I362" i="2"/>
  <c r="I360" i="2"/>
  <c r="I359" i="2"/>
  <c r="I358" i="2"/>
  <c r="I356" i="2"/>
  <c r="I355" i="2"/>
  <c r="I354" i="2"/>
  <c r="I352" i="2"/>
  <c r="I351" i="2"/>
  <c r="I349" i="2"/>
  <c r="I348" i="2"/>
  <c r="I347" i="2"/>
  <c r="I346" i="2"/>
  <c r="I345" i="2"/>
  <c r="I344" i="2"/>
  <c r="I340" i="2"/>
  <c r="I339" i="2"/>
  <c r="I336" i="2"/>
  <c r="I335" i="2"/>
  <c r="I333" i="2"/>
  <c r="I332" i="2"/>
  <c r="I331" i="2"/>
  <c r="I329" i="2"/>
  <c r="I328" i="2"/>
  <c r="I327" i="2"/>
  <c r="I326" i="2"/>
  <c r="I325" i="2"/>
  <c r="I324" i="2"/>
  <c r="I322" i="2"/>
  <c r="I321" i="2"/>
  <c r="I320" i="2"/>
  <c r="I319" i="2"/>
  <c r="I318" i="2"/>
  <c r="I317" i="2"/>
  <c r="I315" i="2"/>
  <c r="I314" i="2" s="1"/>
  <c r="I313" i="2"/>
  <c r="I312" i="2"/>
  <c r="I309" i="2"/>
  <c r="I308" i="2"/>
  <c r="I306" i="2"/>
  <c r="I305" i="2"/>
  <c r="I304" i="2"/>
  <c r="I302" i="2"/>
  <c r="I301" i="2"/>
  <c r="I300" i="2"/>
  <c r="I299" i="2"/>
  <c r="I298" i="2"/>
  <c r="I297" i="2"/>
  <c r="I294" i="2"/>
  <c r="I293" i="2"/>
  <c r="I292" i="2"/>
  <c r="I291" i="2"/>
  <c r="I290" i="2"/>
  <c r="I288" i="2"/>
  <c r="I287" i="2" s="1"/>
  <c r="I286" i="2"/>
  <c r="I282" i="2"/>
  <c r="I281" i="2"/>
  <c r="I279" i="2"/>
  <c r="I278" i="2"/>
  <c r="I277" i="2"/>
  <c r="I275" i="2"/>
  <c r="I274" i="2"/>
  <c r="I273" i="2"/>
  <c r="I272" i="2"/>
  <c r="I271" i="2"/>
  <c r="I270" i="2"/>
  <c r="I267" i="2"/>
  <c r="I266" i="2"/>
  <c r="I265" i="2"/>
  <c r="I264" i="2"/>
  <c r="I263" i="2"/>
  <c r="I261" i="2"/>
  <c r="I260" i="2" s="1"/>
  <c r="I259" i="2"/>
  <c r="I255" i="2"/>
  <c r="I254" i="2"/>
  <c r="I252" i="2"/>
  <c r="I251" i="2"/>
  <c r="I250" i="2"/>
  <c r="I248" i="2"/>
  <c r="I247" i="2"/>
  <c r="I246" i="2"/>
  <c r="I245" i="2"/>
  <c r="I244" i="2"/>
  <c r="I243" i="2"/>
  <c r="I241" i="2"/>
  <c r="I240" i="2"/>
  <c r="I239" i="2"/>
  <c r="I238" i="2"/>
  <c r="I237" i="2"/>
  <c r="I236" i="2"/>
  <c r="I234" i="2"/>
  <c r="I233" i="2" s="1"/>
  <c r="I232" i="2"/>
  <c r="I231" i="2"/>
  <c r="I228" i="2"/>
  <c r="I227" i="2"/>
  <c r="I225" i="2"/>
  <c r="I224" i="2"/>
  <c r="I223" i="2"/>
  <c r="I221" i="2"/>
  <c r="I220" i="2"/>
  <c r="I219" i="2"/>
  <c r="I218" i="2"/>
  <c r="I217" i="2"/>
  <c r="I216" i="2"/>
  <c r="I214" i="2"/>
  <c r="I213" i="2"/>
  <c r="I212" i="2"/>
  <c r="I211" i="2"/>
  <c r="I210" i="2"/>
  <c r="I209" i="2"/>
  <c r="I207" i="2"/>
  <c r="I206" i="2" s="1"/>
  <c r="I205" i="2"/>
  <c r="I204" i="2"/>
  <c r="I201" i="2"/>
  <c r="I200" i="2"/>
  <c r="I198" i="2"/>
  <c r="I197" i="2"/>
  <c r="I196" i="2"/>
  <c r="I193" i="2"/>
  <c r="I192" i="2"/>
  <c r="I191" i="2"/>
  <c r="I190" i="2"/>
  <c r="I189" i="2"/>
  <c r="I187" i="2"/>
  <c r="I186" i="2"/>
  <c r="I185" i="2"/>
  <c r="I182" i="2"/>
  <c r="I180" i="2"/>
  <c r="I179" i="2" s="1"/>
  <c r="I178" i="2"/>
  <c r="I177" i="2"/>
  <c r="I176" i="2" s="1"/>
  <c r="I174" i="2"/>
  <c r="I173" i="2"/>
  <c r="I171" i="2"/>
  <c r="I170" i="2"/>
  <c r="I169" i="2"/>
  <c r="I167" i="2"/>
  <c r="I166" i="2"/>
  <c r="I164" i="2"/>
  <c r="I163" i="2"/>
  <c r="I162" i="2"/>
  <c r="I160" i="2"/>
  <c r="I159" i="2"/>
  <c r="I158" i="2"/>
  <c r="I157" i="2"/>
  <c r="I155" i="2"/>
  <c r="I153" i="2"/>
  <c r="I152" i="2" s="1"/>
  <c r="I151" i="2"/>
  <c r="I150" i="2"/>
  <c r="I147" i="2"/>
  <c r="I146" i="2"/>
  <c r="I144" i="2"/>
  <c r="I143" i="2"/>
  <c r="I142" i="2"/>
  <c r="I140" i="2"/>
  <c r="I139" i="2"/>
  <c r="I138" i="2"/>
  <c r="I137" i="2"/>
  <c r="I136" i="2"/>
  <c r="I135" i="2"/>
  <c r="I133" i="2"/>
  <c r="I132" i="2"/>
  <c r="I131" i="2"/>
  <c r="I130" i="2"/>
  <c r="I128" i="2"/>
  <c r="I126" i="2"/>
  <c r="I125" i="2" s="1"/>
  <c r="I124" i="2"/>
  <c r="I123" i="2"/>
  <c r="I120" i="2"/>
  <c r="I119" i="2"/>
  <c r="I117" i="2"/>
  <c r="I116" i="2"/>
  <c r="I115" i="2"/>
  <c r="I112" i="2"/>
  <c r="I111" i="2"/>
  <c r="I110" i="2"/>
  <c r="I109" i="2"/>
  <c r="I108" i="2"/>
  <c r="I106" i="2"/>
  <c r="I105" i="2"/>
  <c r="I104" i="2"/>
  <c r="I103" i="2"/>
  <c r="I102" i="2"/>
  <c r="I101" i="2"/>
  <c r="I99" i="2"/>
  <c r="I98" i="2" s="1"/>
  <c r="I97" i="2"/>
  <c r="I96" i="2"/>
  <c r="I95" i="2" s="1"/>
  <c r="I93" i="2"/>
  <c r="I90" i="2"/>
  <c r="I89" i="2"/>
  <c r="I88" i="2"/>
  <c r="I85" i="2"/>
  <c r="K85" i="2" s="1"/>
  <c r="I84" i="2"/>
  <c r="I81" i="2"/>
  <c r="I79" i="2"/>
  <c r="I74" i="2"/>
  <c r="I72" i="2"/>
  <c r="I71" i="2" s="1"/>
  <c r="I70" i="2"/>
  <c r="I45" i="2"/>
  <c r="I44" i="2" s="1"/>
  <c r="I47" i="2"/>
  <c r="I48" i="2"/>
  <c r="I51" i="2"/>
  <c r="I52" i="2"/>
  <c r="I58" i="2"/>
  <c r="I59" i="2"/>
  <c r="K59" i="2" s="1"/>
  <c r="I61" i="2"/>
  <c r="I62" i="2"/>
  <c r="K62" i="2" s="1"/>
  <c r="I63" i="2"/>
  <c r="I66" i="2"/>
  <c r="I35" i="2"/>
  <c r="I36" i="2"/>
  <c r="I34" i="2"/>
  <c r="I25" i="2"/>
  <c r="I20" i="2"/>
  <c r="I14" i="2"/>
  <c r="F150" i="3"/>
  <c r="F149" i="3"/>
  <c r="F148" i="3" s="1"/>
  <c r="F172" i="3"/>
  <c r="F169" i="3"/>
  <c r="F168" i="3"/>
  <c r="F167" i="3"/>
  <c r="F165" i="3"/>
  <c r="F163" i="3"/>
  <c r="F162" i="3"/>
  <c r="F160" i="3"/>
  <c r="F158" i="3"/>
  <c r="F156" i="3"/>
  <c r="F155" i="3"/>
  <c r="F143" i="3"/>
  <c r="F142" i="3"/>
  <c r="F141" i="3"/>
  <c r="F140" i="3"/>
  <c r="F139" i="3"/>
  <c r="F138" i="3"/>
  <c r="F122" i="3"/>
  <c r="F121" i="3"/>
  <c r="F120" i="3"/>
  <c r="F119" i="3"/>
  <c r="F118" i="3"/>
  <c r="F117" i="3"/>
  <c r="F104" i="3"/>
  <c r="F97" i="3"/>
  <c r="F98" i="3"/>
  <c r="F99" i="3"/>
  <c r="F100" i="3"/>
  <c r="F101" i="3"/>
  <c r="F96" i="3"/>
  <c r="I901" i="2" l="1"/>
  <c r="I357" i="2"/>
  <c r="I397" i="2"/>
  <c r="J1175" i="2"/>
  <c r="I863" i="2"/>
  <c r="I924" i="2"/>
  <c r="I627" i="2"/>
  <c r="I878" i="2"/>
  <c r="I877" i="2" s="1"/>
  <c r="I1009" i="2"/>
  <c r="I1140" i="2"/>
  <c r="I1194" i="2"/>
  <c r="I107" i="2"/>
  <c r="I118" i="2"/>
  <c r="I338" i="2"/>
  <c r="I350" i="2"/>
  <c r="I856" i="2"/>
  <c r="I1214" i="2"/>
  <c r="I890" i="2"/>
  <c r="I955" i="2"/>
  <c r="I978" i="2"/>
  <c r="I1032" i="2"/>
  <c r="I1175" i="2"/>
  <c r="I532" i="2"/>
  <c r="I100" i="2"/>
  <c r="I343" i="2"/>
  <c r="I404" i="2"/>
  <c r="I647" i="2"/>
  <c r="I1275" i="2"/>
  <c r="K66" i="2"/>
  <c r="I620" i="2"/>
  <c r="K63" i="2"/>
  <c r="K60" i="2" s="1"/>
  <c r="I181" i="2"/>
  <c r="K15" i="2"/>
  <c r="K88" i="2"/>
  <c r="I195" i="2"/>
  <c r="I415" i="2"/>
  <c r="I431" i="2"/>
  <c r="I442" i="2"/>
  <c r="I573" i="2"/>
  <c r="I635" i="2"/>
  <c r="I755" i="2"/>
  <c r="I883" i="2"/>
  <c r="I897" i="2"/>
  <c r="I559" i="2"/>
  <c r="I316" i="2"/>
  <c r="I330" i="2"/>
  <c r="I451" i="2"/>
  <c r="I445" i="2" s="1"/>
  <c r="I991" i="2"/>
  <c r="I1018" i="2"/>
  <c r="I1099" i="2"/>
  <c r="I1207" i="2"/>
  <c r="I311" i="2"/>
  <c r="I310" i="2" s="1"/>
  <c r="I465" i="2"/>
  <c r="I766" i="2"/>
  <c r="I870" i="2"/>
  <c r="I917" i="2"/>
  <c r="I904" i="2" s="1"/>
  <c r="I1261" i="2"/>
  <c r="I1315" i="2"/>
  <c r="I1360" i="2"/>
  <c r="I114" i="2"/>
  <c r="I323" i="2"/>
  <c r="I654" i="2"/>
  <c r="I998" i="2"/>
  <c r="I1106" i="2"/>
  <c r="I1180" i="2"/>
  <c r="I1202" i="2"/>
  <c r="I1201" i="2" s="1"/>
  <c r="I1221" i="2"/>
  <c r="I199" i="2"/>
  <c r="I334" i="2"/>
  <c r="I458" i="2"/>
  <c r="I1268" i="2"/>
  <c r="I1255" i="2" s="1"/>
  <c r="I1322" i="2"/>
  <c r="I1309" i="2" s="1"/>
  <c r="I928" i="2"/>
  <c r="I964" i="2"/>
  <c r="I1005" i="2"/>
  <c r="I1126" i="2"/>
  <c r="I361" i="2"/>
  <c r="I411" i="2"/>
  <c r="I438" i="2"/>
  <c r="I418" i="2" s="1"/>
  <c r="I577" i="2"/>
  <c r="I658" i="2"/>
  <c r="I762" i="2"/>
  <c r="I742" i="2" s="1"/>
  <c r="I959" i="2"/>
  <c r="I971" i="2"/>
  <c r="I958" i="2" s="1"/>
  <c r="I1025" i="2"/>
  <c r="J1063" i="2"/>
  <c r="I1133" i="2"/>
  <c r="I1187" i="2"/>
  <c r="I1174" i="2" s="1"/>
  <c r="I1391" i="2"/>
  <c r="I391" i="2"/>
  <c r="K20" i="2"/>
  <c r="K61" i="2"/>
  <c r="K34" i="2"/>
  <c r="K58" i="2"/>
  <c r="K74" i="2"/>
  <c r="K93" i="2"/>
  <c r="I820" i="2"/>
  <c r="I847" i="2"/>
  <c r="J1040" i="2"/>
  <c r="J1072" i="2"/>
  <c r="K1117" i="2"/>
  <c r="J1005" i="2"/>
  <c r="I1329" i="2"/>
  <c r="K47" i="2"/>
  <c r="I1040" i="2"/>
  <c r="J1333" i="2"/>
  <c r="I1012" i="2"/>
  <c r="I634" i="2"/>
  <c r="J1013" i="2"/>
  <c r="K1090" i="2"/>
  <c r="J1094" i="2"/>
  <c r="I1283" i="2"/>
  <c r="I932" i="2"/>
  <c r="J1036" i="2"/>
  <c r="J1225" i="2"/>
  <c r="J1283" i="2"/>
  <c r="J1337" i="2"/>
  <c r="K978" i="2"/>
  <c r="J955" i="2"/>
  <c r="J1198" i="2"/>
  <c r="J1310" i="2"/>
  <c r="K1072" i="2"/>
  <c r="I384" i="2"/>
  <c r="J1396" i="2"/>
  <c r="J951" i="2"/>
  <c r="J1306" i="2"/>
  <c r="J1360" i="2"/>
  <c r="I145" i="2"/>
  <c r="I249" i="2"/>
  <c r="I816" i="2"/>
  <c r="I843" i="2"/>
  <c r="J1059" i="2"/>
  <c r="J1117" i="2"/>
  <c r="J1229" i="2"/>
  <c r="J1302" i="2"/>
  <c r="J1387" i="2"/>
  <c r="J1045" i="2"/>
  <c r="J1067" i="2"/>
  <c r="I1167" i="2"/>
  <c r="J1207" i="2"/>
  <c r="J978" i="2"/>
  <c r="I1160" i="2"/>
  <c r="J1167" i="2"/>
  <c r="J1268" i="2"/>
  <c r="J1279" i="2"/>
  <c r="I1342" i="2"/>
  <c r="I1410" i="2"/>
  <c r="J986" i="2"/>
  <c r="K1126" i="2"/>
  <c r="J1202" i="2"/>
  <c r="J1342" i="2"/>
  <c r="I1356" i="2"/>
  <c r="J1140" i="2"/>
  <c r="J1261" i="2"/>
  <c r="I937" i="2"/>
  <c r="J1018" i="2"/>
  <c r="J1086" i="2"/>
  <c r="J1148" i="2"/>
  <c r="J1256" i="2"/>
  <c r="J1414" i="2"/>
  <c r="K955" i="2"/>
  <c r="J944" i="2"/>
  <c r="J932" i="2"/>
  <c r="K905" i="2"/>
  <c r="J890" i="2"/>
  <c r="K1221" i="2"/>
  <c r="I1369" i="2"/>
  <c r="K878" i="2"/>
  <c r="I951" i="2"/>
  <c r="K1040" i="2"/>
  <c r="J1079" i="2"/>
  <c r="J1214" i="2"/>
  <c r="K1229" i="2"/>
  <c r="I1248" i="2"/>
  <c r="K1252" i="2"/>
  <c r="K1268" i="2"/>
  <c r="J1288" i="2"/>
  <c r="J1315" i="2"/>
  <c r="K1349" i="2"/>
  <c r="J1369" i="2"/>
  <c r="K1410" i="2"/>
  <c r="K897" i="2"/>
  <c r="K924" i="2"/>
  <c r="J964" i="2"/>
  <c r="J905" i="2"/>
  <c r="J1099" i="2"/>
  <c r="J1126" i="2"/>
  <c r="J1171" i="2"/>
  <c r="J1248" i="2"/>
  <c r="I1252" i="2"/>
  <c r="K1295" i="2"/>
  <c r="I1376" i="2"/>
  <c r="I1403" i="2"/>
  <c r="J878" i="2"/>
  <c r="J901" i="2"/>
  <c r="K1059" i="2"/>
  <c r="I1153" i="2"/>
  <c r="K1202" i="2"/>
  <c r="J1241" i="2"/>
  <c r="K1337" i="2"/>
  <c r="J1403" i="2"/>
  <c r="J1410" i="2"/>
  <c r="K1005" i="2"/>
  <c r="I1059" i="2"/>
  <c r="I1067" i="2"/>
  <c r="J1106" i="2"/>
  <c r="K1121" i="2"/>
  <c r="K1148" i="2"/>
  <c r="K1194" i="2"/>
  <c r="K1302" i="2"/>
  <c r="J1329" i="2"/>
  <c r="I1396" i="2"/>
  <c r="K1403" i="2"/>
  <c r="J1052" i="2"/>
  <c r="I1148" i="2"/>
  <c r="J1180" i="2"/>
  <c r="K1198" i="2"/>
  <c r="J1275" i="2"/>
  <c r="K1283" i="2"/>
  <c r="I1302" i="2"/>
  <c r="J1322" i="2"/>
  <c r="J1356" i="2"/>
  <c r="K1360" i="2"/>
  <c r="I1364" i="2"/>
  <c r="J1391" i="2"/>
  <c r="J991" i="2"/>
  <c r="J1025" i="2"/>
  <c r="J1113" i="2"/>
  <c r="K1167" i="2"/>
  <c r="J1234" i="2"/>
  <c r="J1295" i="2"/>
  <c r="K998" i="2"/>
  <c r="K1013" i="2"/>
  <c r="K1261" i="2"/>
  <c r="K1094" i="2"/>
  <c r="K890" i="2"/>
  <c r="K964" i="2"/>
  <c r="K1009" i="2"/>
  <c r="K1241" i="2"/>
  <c r="K1369" i="2"/>
  <c r="K1018" i="2"/>
  <c r="K1275" i="2"/>
  <c r="K1032" i="2"/>
  <c r="K1322" i="2"/>
  <c r="K55" i="2"/>
  <c r="K928" i="2"/>
  <c r="K932" i="2"/>
  <c r="J982" i="2"/>
  <c r="I1072" i="2"/>
  <c r="J1144" i="2"/>
  <c r="K1175" i="2"/>
  <c r="J1194" i="2"/>
  <c r="J1221" i="2"/>
  <c r="K1225" i="2"/>
  <c r="I1229" i="2"/>
  <c r="I1241" i="2"/>
  <c r="I1295" i="2"/>
  <c r="K1310" i="2"/>
  <c r="J1364" i="2"/>
  <c r="J1376" i="2"/>
  <c r="K910" i="2"/>
  <c r="J910" i="2"/>
  <c r="J924" i="2"/>
  <c r="J998" i="2"/>
  <c r="I1086" i="2"/>
  <c r="J1252" i="2"/>
  <c r="K1045" i="2"/>
  <c r="K1342" i="2"/>
  <c r="J883" i="2"/>
  <c r="J928" i="2"/>
  <c r="J959" i="2"/>
  <c r="K1052" i="2"/>
  <c r="K1067" i="2"/>
  <c r="J1121" i="2"/>
  <c r="K1180" i="2"/>
  <c r="I1288" i="2"/>
  <c r="I1306" i="2"/>
  <c r="I1349" i="2"/>
  <c r="K1414" i="2"/>
  <c r="I1414" i="2"/>
  <c r="J1009" i="2"/>
  <c r="J1032" i="2"/>
  <c r="J1349" i="2"/>
  <c r="I1063" i="2"/>
  <c r="I1383" i="2"/>
  <c r="I1090" i="2"/>
  <c r="J1160" i="2"/>
  <c r="K1256" i="2"/>
  <c r="K1391" i="2"/>
  <c r="J897" i="2"/>
  <c r="K901" i="2"/>
  <c r="J917" i="2"/>
  <c r="J937" i="2"/>
  <c r="K944" i="2"/>
  <c r="J971" i="2"/>
  <c r="I1045" i="2"/>
  <c r="K1106" i="2"/>
  <c r="K1140" i="2"/>
  <c r="J1153" i="2"/>
  <c r="I1234" i="2"/>
  <c r="K1248" i="2"/>
  <c r="K1288" i="2"/>
  <c r="J1383" i="2"/>
  <c r="K959" i="2"/>
  <c r="I1052" i="2"/>
  <c r="I1079" i="2"/>
  <c r="I944" i="2"/>
  <c r="K982" i="2"/>
  <c r="J1133" i="2"/>
  <c r="K1144" i="2"/>
  <c r="J1187" i="2"/>
  <c r="K1364" i="2"/>
  <c r="K70" i="2"/>
  <c r="K89" i="2"/>
  <c r="I604" i="2"/>
  <c r="K24" i="2"/>
  <c r="K22" i="2"/>
  <c r="K49" i="2"/>
  <c r="K92" i="2"/>
  <c r="K1086" i="2"/>
  <c r="K25" i="2"/>
  <c r="K90" i="2"/>
  <c r="I523" i="2"/>
  <c r="K39" i="2"/>
  <c r="K69" i="2"/>
  <c r="K75" i="2"/>
  <c r="K986" i="2"/>
  <c r="K1036" i="2"/>
  <c r="K1160" i="2"/>
  <c r="K1171" i="2"/>
  <c r="K1207" i="2"/>
  <c r="K1306" i="2"/>
  <c r="K1333" i="2"/>
  <c r="K1376" i="2"/>
  <c r="K36" i="2"/>
  <c r="K52" i="2"/>
  <c r="K79" i="2"/>
  <c r="K32" i="2"/>
  <c r="K86" i="2"/>
  <c r="K917" i="2"/>
  <c r="K937" i="2"/>
  <c r="K971" i="2"/>
  <c r="K1063" i="2"/>
  <c r="K1153" i="2"/>
  <c r="K1356" i="2"/>
  <c r="K1383" i="2"/>
  <c r="K1396" i="2"/>
  <c r="K35" i="2"/>
  <c r="K51" i="2"/>
  <c r="K81" i="2"/>
  <c r="I280" i="2"/>
  <c r="J334" i="2"/>
  <c r="J874" i="2"/>
  <c r="K951" i="2"/>
  <c r="K1099" i="2"/>
  <c r="K1133" i="2"/>
  <c r="K1187" i="2"/>
  <c r="K1214" i="2"/>
  <c r="K1201" i="2" s="1"/>
  <c r="K1234" i="2"/>
  <c r="K1315" i="2"/>
  <c r="K1329" i="2"/>
  <c r="K1387" i="2"/>
  <c r="K48" i="2"/>
  <c r="K84" i="2"/>
  <c r="I473" i="2"/>
  <c r="K991" i="2"/>
  <c r="K1079" i="2"/>
  <c r="K1279" i="2"/>
  <c r="I365" i="2"/>
  <c r="K56" i="2"/>
  <c r="K883" i="2"/>
  <c r="K1025" i="2"/>
  <c r="K1113" i="2"/>
  <c r="G858" i="2"/>
  <c r="K858" i="2" s="1"/>
  <c r="G859" i="2"/>
  <c r="K859" i="2" s="1"/>
  <c r="I853" i="2"/>
  <c r="I851" i="2" s="1"/>
  <c r="G757" i="2"/>
  <c r="K755" i="2" s="1"/>
  <c r="G751" i="2"/>
  <c r="K751" i="2" s="1"/>
  <c r="I703" i="2"/>
  <c r="I701" i="2" s="1"/>
  <c r="I688" i="2" s="1"/>
  <c r="G691" i="2"/>
  <c r="K691" i="2" s="1"/>
  <c r="K689" i="2" s="1"/>
  <c r="G642" i="2"/>
  <c r="K640" i="2" s="1"/>
  <c r="I615" i="2"/>
  <c r="I613" i="2" s="1"/>
  <c r="G617" i="2"/>
  <c r="K617" i="2" s="1"/>
  <c r="K613" i="2" s="1"/>
  <c r="G568" i="2"/>
  <c r="K566" i="2" s="1"/>
  <c r="I556" i="2"/>
  <c r="I554" i="2" s="1"/>
  <c r="I529" i="2"/>
  <c r="I527" i="2" s="1"/>
  <c r="I526" i="2" s="1"/>
  <c r="G430" i="2"/>
  <c r="K430" i="2" s="1"/>
  <c r="G421" i="2"/>
  <c r="K421" i="2" s="1"/>
  <c r="K419" i="2" s="1"/>
  <c r="I342" i="2"/>
  <c r="I341" i="2" s="1"/>
  <c r="I194" i="2"/>
  <c r="I188" i="2" s="1"/>
  <c r="G184" i="2"/>
  <c r="K184" i="2" s="1"/>
  <c r="K181" i="2" s="1"/>
  <c r="G113" i="2"/>
  <c r="K113" i="2" s="1"/>
  <c r="K107" i="2" s="1"/>
  <c r="K57" i="2"/>
  <c r="I674" i="2"/>
  <c r="I215" i="2"/>
  <c r="I296" i="2"/>
  <c r="I485" i="2"/>
  <c r="I519" i="2"/>
  <c r="I586" i="2"/>
  <c r="I685" i="2"/>
  <c r="I721" i="2"/>
  <c r="I793" i="2"/>
  <c r="I149" i="2"/>
  <c r="I172" i="2"/>
  <c r="I226" i="2"/>
  <c r="I262" i="2"/>
  <c r="I307" i="2"/>
  <c r="I496" i="2"/>
  <c r="I735" i="2"/>
  <c r="I836" i="2"/>
  <c r="I203" i="2"/>
  <c r="I141" i="2"/>
  <c r="I253" i="2"/>
  <c r="I276" i="2"/>
  <c r="I478" i="2"/>
  <c r="I505" i="2"/>
  <c r="I581" i="2"/>
  <c r="I681" i="2"/>
  <c r="I789" i="2"/>
  <c r="I122" i="2"/>
  <c r="I134" i="2"/>
  <c r="I168" i="2"/>
  <c r="I222" i="2"/>
  <c r="I235" i="2"/>
  <c r="I269" i="2"/>
  <c r="I303" i="2"/>
  <c r="I492" i="2"/>
  <c r="I593" i="2"/>
  <c r="I716" i="2"/>
  <c r="I257" i="2"/>
  <c r="I284" i="2"/>
  <c r="I500" i="2"/>
  <c r="I829" i="2"/>
  <c r="I809" i="2"/>
  <c r="I208" i="2"/>
  <c r="I377" i="2"/>
  <c r="I512" i="2"/>
  <c r="I230" i="2"/>
  <c r="I289" i="2"/>
  <c r="I775" i="2"/>
  <c r="I770" i="2"/>
  <c r="I154" i="2"/>
  <c r="I242" i="2"/>
  <c r="I600" i="2"/>
  <c r="I739" i="2"/>
  <c r="K91" i="2"/>
  <c r="K45" i="2"/>
  <c r="K44" i="2" s="1"/>
  <c r="K72" i="2"/>
  <c r="K71" i="2" s="1"/>
  <c r="I824" i="2"/>
  <c r="K18" i="2"/>
  <c r="K17" i="2" s="1"/>
  <c r="K23" i="2"/>
  <c r="I798" i="2"/>
  <c r="I797" i="2" s="1"/>
  <c r="I808" i="2"/>
  <c r="I802" i="2" s="1"/>
  <c r="I774" i="2"/>
  <c r="I773" i="2" s="1"/>
  <c r="I784" i="2"/>
  <c r="I782" i="2" s="1"/>
  <c r="G771" i="2"/>
  <c r="K771" i="2" s="1"/>
  <c r="K770" i="2" s="1"/>
  <c r="G781" i="2"/>
  <c r="K781" i="2" s="1"/>
  <c r="I730" i="2"/>
  <c r="G720" i="2"/>
  <c r="K720" i="2" s="1"/>
  <c r="K719" i="2" s="1"/>
  <c r="I731" i="2"/>
  <c r="I673" i="2"/>
  <c r="I667" i="2" s="1"/>
  <c r="I663" i="2"/>
  <c r="I662" i="2" s="1"/>
  <c r="G726" i="2"/>
  <c r="K726" i="2" s="1"/>
  <c r="K721" i="2" s="1"/>
  <c r="I389" i="2"/>
  <c r="I388" i="2" s="1"/>
  <c r="I371" i="2"/>
  <c r="I370" i="2" s="1"/>
  <c r="G258" i="2"/>
  <c r="K258" i="2" s="1"/>
  <c r="K257" i="2" s="1"/>
  <c r="G268" i="2"/>
  <c r="K268" i="2" s="1"/>
  <c r="K262" i="2" s="1"/>
  <c r="I165" i="2"/>
  <c r="I161" i="2" s="1"/>
  <c r="I129" i="2"/>
  <c r="I127" i="2" s="1"/>
  <c r="J95" i="2"/>
  <c r="I83" i="2"/>
  <c r="K83" i="2" s="1"/>
  <c r="K874" i="2"/>
  <c r="K712" i="2"/>
  <c r="I78" i="2"/>
  <c r="K78" i="2" s="1"/>
  <c r="J176" i="2"/>
  <c r="G57" i="2"/>
  <c r="K762" i="2"/>
  <c r="K766" i="2"/>
  <c r="I42" i="2"/>
  <c r="K42" i="2" s="1"/>
  <c r="J19" i="2"/>
  <c r="K496" i="2"/>
  <c r="I15" i="2"/>
  <c r="I87" i="2"/>
  <c r="K870" i="2"/>
  <c r="I43" i="2"/>
  <c r="I54" i="2"/>
  <c r="J365" i="2"/>
  <c r="J604" i="2"/>
  <c r="J743" i="2"/>
  <c r="I38" i="2"/>
  <c r="I91" i="2"/>
  <c r="K203" i="2"/>
  <c r="I65" i="2"/>
  <c r="I77" i="2"/>
  <c r="K77" i="2" s="1"/>
  <c r="J13" i="2"/>
  <c r="J33" i="2"/>
  <c r="K816" i="2"/>
  <c r="K658" i="2"/>
  <c r="K635" i="2"/>
  <c r="K95" i="2"/>
  <c r="I27" i="2"/>
  <c r="K27" i="2" s="1"/>
  <c r="K604" i="2"/>
  <c r="K577" i="2"/>
  <c r="K685" i="2"/>
  <c r="J26" i="2"/>
  <c r="K631" i="2"/>
  <c r="G69" i="2"/>
  <c r="I33" i="2"/>
  <c r="I60" i="2"/>
  <c r="J793" i="2"/>
  <c r="K141" i="2"/>
  <c r="K226" i="2"/>
  <c r="I82" i="2"/>
  <c r="K82" i="2" s="1"/>
  <c r="J384" i="2"/>
  <c r="K176" i="2"/>
  <c r="K284" i="2"/>
  <c r="K338" i="2"/>
  <c r="K392" i="2"/>
  <c r="K500" i="2"/>
  <c r="K554" i="2"/>
  <c r="K608" i="2"/>
  <c r="K694" i="2"/>
  <c r="K716" i="2"/>
  <c r="K824" i="2"/>
  <c r="K843" i="2"/>
  <c r="K208" i="2"/>
  <c r="I28" i="2"/>
  <c r="K28" i="2" s="1"/>
  <c r="I50" i="2"/>
  <c r="I76" i="2"/>
  <c r="K76" i="2" s="1"/>
  <c r="J473" i="2"/>
  <c r="J527" i="2"/>
  <c r="J739" i="2"/>
  <c r="I31" i="2"/>
  <c r="K31" i="2" s="1"/>
  <c r="G22" i="2"/>
  <c r="K820" i="2"/>
  <c r="K797" i="2"/>
  <c r="K361" i="2"/>
  <c r="K296" i="2"/>
  <c r="G49" i="2"/>
  <c r="G23" i="2"/>
  <c r="K627" i="2"/>
  <c r="J226" i="2"/>
  <c r="J280" i="2"/>
  <c r="J442" i="2"/>
  <c r="J496" i="2"/>
  <c r="G16" i="2"/>
  <c r="K851" i="2"/>
  <c r="G92" i="2"/>
  <c r="K145" i="2"/>
  <c r="K199" i="2"/>
  <c r="K303" i="2"/>
  <c r="K168" i="2"/>
  <c r="K330" i="2"/>
  <c r="J122" i="2"/>
  <c r="J766" i="2"/>
  <c r="J820" i="2"/>
  <c r="G18" i="2"/>
  <c r="G32" i="2"/>
  <c r="K743" i="2"/>
  <c r="K415" i="2"/>
  <c r="K230" i="2"/>
  <c r="G75" i="2"/>
  <c r="K365" i="2"/>
  <c r="K438" i="2"/>
  <c r="K473" i="2"/>
  <c r="K527" i="2"/>
  <c r="K581" i="2"/>
  <c r="K573" i="2"/>
  <c r="J469" i="2"/>
  <c r="K728" i="2"/>
  <c r="K512" i="2"/>
  <c r="K311" i="2"/>
  <c r="K149" i="2"/>
  <c r="G55" i="2"/>
  <c r="G86" i="2"/>
  <c r="K172" i="2"/>
  <c r="K280" i="2"/>
  <c r="J361" i="2"/>
  <c r="J438" i="2"/>
  <c r="J492" i="2"/>
  <c r="K388" i="2"/>
  <c r="G56" i="2"/>
  <c r="K863" i="2"/>
  <c r="K793" i="2"/>
  <c r="K782" i="2"/>
  <c r="K739" i="2"/>
  <c r="K654" i="2"/>
  <c r="K708" i="2"/>
  <c r="K667" i="2"/>
  <c r="K802" i="2"/>
  <c r="K701" i="2"/>
  <c r="K789" i="2"/>
  <c r="K748" i="2"/>
  <c r="K735" i="2"/>
  <c r="K674" i="2"/>
  <c r="K662" i="2"/>
  <c r="K829" i="2"/>
  <c r="K809" i="2"/>
  <c r="K847" i="2"/>
  <c r="K681" i="2"/>
  <c r="K775" i="2"/>
  <c r="K647" i="2"/>
  <c r="K836" i="2"/>
  <c r="K424" i="2"/>
  <c r="K384" i="2"/>
  <c r="K600" i="2"/>
  <c r="K620" i="2"/>
  <c r="K539" i="2"/>
  <c r="K465" i="2"/>
  <c r="K404" i="2"/>
  <c r="K478" i="2"/>
  <c r="K559" i="2"/>
  <c r="K442" i="2"/>
  <c r="K411" i="2"/>
  <c r="K343" i="2"/>
  <c r="K546" i="2"/>
  <c r="K485" i="2"/>
  <c r="K431" i="2"/>
  <c r="K350" i="2"/>
  <c r="K523" i="2"/>
  <c r="K505" i="2"/>
  <c r="K586" i="2"/>
  <c r="K492" i="2"/>
  <c r="K451" i="2"/>
  <c r="K370" i="2"/>
  <c r="K469" i="2"/>
  <c r="K357" i="2"/>
  <c r="K593" i="2"/>
  <c r="K550" i="2"/>
  <c r="K532" i="2"/>
  <c r="K519" i="2"/>
  <c r="K458" i="2"/>
  <c r="K446" i="2"/>
  <c r="K397" i="2"/>
  <c r="K377" i="2"/>
  <c r="K323" i="2"/>
  <c r="K316" i="2"/>
  <c r="K334" i="2"/>
  <c r="K307" i="2"/>
  <c r="K289" i="2"/>
  <c r="K269" i="2"/>
  <c r="K276" i="2"/>
  <c r="K249" i="2"/>
  <c r="K242" i="2"/>
  <c r="K235" i="2"/>
  <c r="K253" i="2"/>
  <c r="K215" i="2"/>
  <c r="K222" i="2"/>
  <c r="K188" i="2"/>
  <c r="K195" i="2"/>
  <c r="K161" i="2"/>
  <c r="K154" i="2"/>
  <c r="K134" i="2"/>
  <c r="K127" i="2"/>
  <c r="K122" i="2"/>
  <c r="K118" i="2"/>
  <c r="K100" i="2"/>
  <c r="K114" i="2"/>
  <c r="I68" i="2"/>
  <c r="I21" i="2"/>
  <c r="I30" i="2"/>
  <c r="K30" i="2" s="1"/>
  <c r="I29" i="2"/>
  <c r="K29" i="2" s="1"/>
  <c r="J446" i="2"/>
  <c r="J500" i="2"/>
  <c r="J550" i="2"/>
  <c r="J91" i="2"/>
  <c r="J357" i="2"/>
  <c r="J809" i="2"/>
  <c r="J870" i="2"/>
  <c r="J613" i="2"/>
  <c r="J161" i="2"/>
  <c r="J269" i="2"/>
  <c r="J316" i="2"/>
  <c r="J330" i="2"/>
  <c r="J600" i="2"/>
  <c r="J654" i="2"/>
  <c r="J647" i="2"/>
  <c r="J689" i="2"/>
  <c r="J154" i="2"/>
  <c r="J257" i="2"/>
  <c r="J311" i="2"/>
  <c r="J415" i="2"/>
  <c r="J100" i="2"/>
  <c r="J118" i="2"/>
  <c r="J134" i="2"/>
  <c r="J215" i="2"/>
  <c r="J397" i="2"/>
  <c r="J505" i="2"/>
  <c r="J87" i="2"/>
  <c r="J141" i="2"/>
  <c r="J195" i="2"/>
  <c r="J546" i="2"/>
  <c r="J284" i="2"/>
  <c r="J388" i="2"/>
  <c r="J631" i="2"/>
  <c r="J712" i="2"/>
  <c r="J377" i="2"/>
  <c r="J411" i="2"/>
  <c r="J485" i="2"/>
  <c r="J253" i="2"/>
  <c r="J307" i="2"/>
  <c r="J338" i="2"/>
  <c r="J392" i="2"/>
  <c r="J168" i="2"/>
  <c r="J222" i="2"/>
  <c r="J431" i="2"/>
  <c r="J539" i="2"/>
  <c r="J573" i="2"/>
  <c r="J685" i="2"/>
  <c r="J770" i="2"/>
  <c r="J824" i="2"/>
  <c r="J577" i="2"/>
  <c r="J658" i="2"/>
  <c r="J681" i="2"/>
  <c r="J581" i="2"/>
  <c r="J762" i="2"/>
  <c r="J797" i="2"/>
  <c r="J851" i="2"/>
  <c r="J701" i="2"/>
  <c r="J728" i="2"/>
  <c r="J748" i="2"/>
  <c r="J181" i="2"/>
  <c r="J188" i="2"/>
  <c r="J199" i="2"/>
  <c r="J230" i="2"/>
  <c r="J242" i="2"/>
  <c r="J289" i="2"/>
  <c r="J303" i="2"/>
  <c r="J323" i="2"/>
  <c r="J370" i="2"/>
  <c r="J419" i="2"/>
  <c r="J458" i="2"/>
  <c r="J478" i="2"/>
  <c r="J554" i="2"/>
  <c r="J593" i="2"/>
  <c r="J662" i="2"/>
  <c r="J708" i="2"/>
  <c r="J789" i="2"/>
  <c r="J802" i="2"/>
  <c r="J350" i="2"/>
  <c r="J566" i="2"/>
  <c r="J586" i="2"/>
  <c r="J674" i="2"/>
  <c r="J114" i="2"/>
  <c r="J235" i="2"/>
  <c r="J296" i="2"/>
  <c r="J343" i="2"/>
  <c r="J635" i="2"/>
  <c r="J782" i="2"/>
  <c r="J829" i="2"/>
  <c r="J107" i="2"/>
  <c r="J172" i="2"/>
  <c r="J203" i="2"/>
  <c r="J276" i="2"/>
  <c r="J424" i="2"/>
  <c r="J519" i="2"/>
  <c r="J863" i="2"/>
  <c r="J46" i="2"/>
  <c r="J68" i="2"/>
  <c r="J73" i="2"/>
  <c r="J127" i="2"/>
  <c r="J145" i="2"/>
  <c r="J404" i="2"/>
  <c r="J532" i="2"/>
  <c r="J608" i="2"/>
  <c r="J627" i="2"/>
  <c r="J694" i="2"/>
  <c r="J721" i="2"/>
  <c r="J775" i="2"/>
  <c r="J843" i="2"/>
  <c r="J208" i="2"/>
  <c r="J451" i="2"/>
  <c r="J512" i="2"/>
  <c r="J640" i="2"/>
  <c r="J735" i="2"/>
  <c r="J755" i="2"/>
  <c r="J816" i="2"/>
  <c r="J836" i="2"/>
  <c r="J80" i="2"/>
  <c r="J149" i="2"/>
  <c r="J249" i="2"/>
  <c r="J262" i="2"/>
  <c r="J465" i="2"/>
  <c r="J523" i="2"/>
  <c r="J559" i="2"/>
  <c r="J620" i="2"/>
  <c r="J667" i="2"/>
  <c r="J716" i="2"/>
  <c r="J847" i="2"/>
  <c r="J856" i="2"/>
  <c r="F166" i="3"/>
  <c r="F170" i="3"/>
  <c r="G155" i="3"/>
  <c r="F144" i="3"/>
  <c r="F123" i="3"/>
  <c r="F102" i="3"/>
  <c r="I553" i="2" l="1"/>
  <c r="I850" i="2"/>
  <c r="I175" i="2"/>
  <c r="I607" i="2"/>
  <c r="I1120" i="2"/>
  <c r="I94" i="2"/>
  <c r="I337" i="2"/>
  <c r="I1093" i="2"/>
  <c r="I985" i="2"/>
  <c r="J1174" i="2"/>
  <c r="J1282" i="2"/>
  <c r="I1336" i="2"/>
  <c r="J1390" i="2"/>
  <c r="J1255" i="2"/>
  <c r="J1039" i="2"/>
  <c r="I823" i="2"/>
  <c r="I931" i="2"/>
  <c r="J1336" i="2"/>
  <c r="K33" i="2"/>
  <c r="J985" i="2"/>
  <c r="I1228" i="2"/>
  <c r="I1147" i="2"/>
  <c r="I121" i="2"/>
  <c r="K904" i="2"/>
  <c r="J1093" i="2"/>
  <c r="I1282" i="2"/>
  <c r="I1039" i="2"/>
  <c r="J1012" i="2"/>
  <c r="J1309" i="2"/>
  <c r="J1066" i="2"/>
  <c r="J1228" i="2"/>
  <c r="I1363" i="2"/>
  <c r="I1066" i="2"/>
  <c r="I283" i="2"/>
  <c r="J931" i="2"/>
  <c r="J904" i="2"/>
  <c r="K877" i="2"/>
  <c r="K1390" i="2"/>
  <c r="K1309" i="2"/>
  <c r="J877" i="2"/>
  <c r="K1147" i="2"/>
  <c r="K1093" i="2"/>
  <c r="K1336" i="2"/>
  <c r="K1228" i="2"/>
  <c r="J1363" i="2"/>
  <c r="K1255" i="2"/>
  <c r="J1201" i="2"/>
  <c r="K1012" i="2"/>
  <c r="K1282" i="2"/>
  <c r="J1147" i="2"/>
  <c r="I1390" i="2"/>
  <c r="K1039" i="2"/>
  <c r="K1066" i="2"/>
  <c r="J1120" i="2"/>
  <c r="I80" i="2"/>
  <c r="K1120" i="2"/>
  <c r="K958" i="2"/>
  <c r="K1174" i="2"/>
  <c r="K931" i="2"/>
  <c r="K87" i="2"/>
  <c r="J958" i="2"/>
  <c r="K1363" i="2"/>
  <c r="K985" i="2"/>
  <c r="I499" i="2"/>
  <c r="I229" i="2"/>
  <c r="K68" i="2"/>
  <c r="I148" i="2"/>
  <c r="I202" i="2"/>
  <c r="I472" i="2"/>
  <c r="K856" i="2"/>
  <c r="K850" i="2" s="1"/>
  <c r="I728" i="2"/>
  <c r="I715" i="2" s="1"/>
  <c r="I364" i="2"/>
  <c r="I256" i="2"/>
  <c r="I580" i="2"/>
  <c r="I661" i="2"/>
  <c r="K73" i="2"/>
  <c r="I796" i="2"/>
  <c r="I769" i="2"/>
  <c r="I46" i="2"/>
  <c r="K50" i="2"/>
  <c r="K46" i="2" s="1"/>
  <c r="K80" i="2"/>
  <c r="I53" i="2"/>
  <c r="K54" i="2"/>
  <c r="K53" i="2" s="1"/>
  <c r="I64" i="2"/>
  <c r="K65" i="2"/>
  <c r="K64" i="2" s="1"/>
  <c r="I41" i="2"/>
  <c r="K43" i="2"/>
  <c r="K41" i="2" s="1"/>
  <c r="I37" i="2"/>
  <c r="K38" i="2"/>
  <c r="K37" i="2" s="1"/>
  <c r="I13" i="2"/>
  <c r="K16" i="2"/>
  <c r="I19" i="2"/>
  <c r="K21" i="2"/>
  <c r="K19" i="2" s="1"/>
  <c r="K26" i="2"/>
  <c r="I73" i="2"/>
  <c r="K553" i="2"/>
  <c r="K634" i="2"/>
  <c r="K445" i="2"/>
  <c r="K499" i="2"/>
  <c r="K202" i="2"/>
  <c r="K283" i="2"/>
  <c r="K796" i="2"/>
  <c r="K769" i="2"/>
  <c r="I26" i="2"/>
  <c r="K229" i="2"/>
  <c r="K310" i="2"/>
  <c r="K580" i="2"/>
  <c r="K337" i="2"/>
  <c r="K607" i="2"/>
  <c r="K742" i="2"/>
  <c r="K715" i="2"/>
  <c r="K256" i="2"/>
  <c r="K175" i="2"/>
  <c r="J472" i="2"/>
  <c r="J94" i="2"/>
  <c r="J364" i="2"/>
  <c r="K418" i="2"/>
  <c r="K472" i="2"/>
  <c r="K148" i="2"/>
  <c r="K94" i="2"/>
  <c r="K121" i="2"/>
  <c r="K526" i="2"/>
  <c r="J526" i="2"/>
  <c r="J121" i="2"/>
  <c r="J202" i="2"/>
  <c r="J742" i="2"/>
  <c r="I67" i="2"/>
  <c r="J175" i="2"/>
  <c r="J661" i="2"/>
  <c r="K364" i="2"/>
  <c r="K823" i="2"/>
  <c r="K661" i="2"/>
  <c r="K391" i="2"/>
  <c r="K688" i="2"/>
  <c r="J283" i="2"/>
  <c r="J67" i="2"/>
  <c r="J823" i="2"/>
  <c r="J850" i="2"/>
  <c r="J499" i="2"/>
  <c r="J607" i="2"/>
  <c r="J229" i="2"/>
  <c r="J796" i="2"/>
  <c r="J688" i="2"/>
  <c r="J445" i="2"/>
  <c r="J769" i="2"/>
  <c r="J715" i="2"/>
  <c r="J148" i="2"/>
  <c r="J634" i="2"/>
  <c r="J310" i="2"/>
  <c r="J418" i="2"/>
  <c r="J580" i="2"/>
  <c r="J391" i="2"/>
  <c r="J256" i="2"/>
  <c r="J553" i="2"/>
  <c r="J337" i="2"/>
  <c r="J41" i="2"/>
  <c r="J64" i="2"/>
  <c r="J53" i="2"/>
  <c r="J60" i="2"/>
  <c r="F171" i="3"/>
  <c r="F173" i="3" s="1"/>
  <c r="F153" i="3" s="1"/>
  <c r="F134" i="3"/>
  <c r="K14" i="2" l="1"/>
  <c r="K13" i="2" s="1"/>
  <c r="I12" i="2"/>
  <c r="I1418" i="2" s="1"/>
  <c r="K67" i="2"/>
  <c r="K12" i="2"/>
  <c r="K1418" i="2" s="1"/>
  <c r="K1419" i="2" s="1"/>
  <c r="I40" i="2"/>
  <c r="K40" i="2"/>
  <c r="J40" i="2"/>
  <c r="F146" i="3"/>
  <c r="F136" i="3"/>
  <c r="F135" i="3"/>
  <c r="F133" i="3"/>
  <c r="F132" i="3"/>
  <c r="F131" i="3"/>
  <c r="F130" i="3"/>
  <c r="F129" i="3"/>
  <c r="F128" i="3"/>
  <c r="F125" i="3"/>
  <c r="F115" i="3"/>
  <c r="F114" i="3"/>
  <c r="F113" i="3"/>
  <c r="F112" i="3"/>
  <c r="F111" i="3"/>
  <c r="F110" i="3"/>
  <c r="F109" i="3"/>
  <c r="F108" i="3"/>
  <c r="F107" i="3"/>
  <c r="F87" i="3"/>
  <c r="F88" i="3"/>
  <c r="F89" i="3"/>
  <c r="F90" i="3"/>
  <c r="F91" i="3"/>
  <c r="F92" i="3"/>
  <c r="F93" i="3"/>
  <c r="F94" i="3"/>
  <c r="F86" i="3"/>
  <c r="F137" i="3" l="1"/>
  <c r="F116" i="3"/>
  <c r="F124" i="3" s="1"/>
  <c r="F126" i="3" s="1"/>
  <c r="F106" i="3" s="1"/>
  <c r="F95" i="3"/>
  <c r="F83" i="3"/>
  <c r="F145" i="3" l="1"/>
  <c r="F147" i="3" s="1"/>
  <c r="F127" i="3" s="1"/>
  <c r="F103" i="3"/>
  <c r="F105" i="3" s="1"/>
  <c r="F85" i="3" s="1"/>
  <c r="F82" i="3"/>
  <c r="F81" i="3" s="1"/>
  <c r="F79" i="3"/>
  <c r="F73" i="3"/>
  <c r="F74" i="3" s="1"/>
  <c r="F69" i="3"/>
  <c r="F71" i="3"/>
  <c r="F70" i="3"/>
  <c r="F68" i="3"/>
  <c r="F67" i="3"/>
  <c r="F66" i="3"/>
  <c r="F65" i="3"/>
  <c r="F64" i="3"/>
  <c r="F52" i="3"/>
  <c r="F37" i="3"/>
  <c r="F38" i="3"/>
  <c r="F40" i="3"/>
  <c r="F41" i="3"/>
  <c r="F42" i="3"/>
  <c r="F44" i="3"/>
  <c r="F45" i="3"/>
  <c r="F46" i="3"/>
  <c r="F47" i="3"/>
  <c r="F48" i="3"/>
  <c r="F49" i="3"/>
  <c r="F50" i="3"/>
  <c r="F36" i="3"/>
  <c r="F43" i="3"/>
  <c r="F34" i="3"/>
  <c r="F62" i="3"/>
  <c r="F61" i="3"/>
  <c r="F60" i="3"/>
  <c r="F56" i="3"/>
  <c r="F57" i="3"/>
  <c r="F58" i="3"/>
  <c r="F31" i="3"/>
  <c r="F30" i="3" s="1"/>
  <c r="F29" i="3"/>
  <c r="F72" i="3" l="1"/>
  <c r="F63" i="3" s="1"/>
  <c r="F51" i="3"/>
  <c r="F53" i="3" s="1"/>
  <c r="F33" i="3" s="1"/>
  <c r="F54" i="3"/>
  <c r="F28" i="3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F185" i="3"/>
  <c r="B185" i="3"/>
  <c r="A185" i="3"/>
  <c r="F183" i="3"/>
  <c r="F176" i="3"/>
  <c r="F175" i="3"/>
  <c r="B153" i="3"/>
  <c r="B127" i="3"/>
  <c r="B106" i="3"/>
  <c r="B85" i="3"/>
  <c r="B81" i="3"/>
  <c r="F77" i="3"/>
  <c r="B76" i="3"/>
  <c r="B54" i="3"/>
  <c r="F26" i="3"/>
  <c r="F25" i="3"/>
  <c r="E23" i="3"/>
  <c r="D23" i="3"/>
  <c r="C23" i="3"/>
  <c r="E22" i="3"/>
  <c r="D22" i="3"/>
  <c r="B22" i="3"/>
  <c r="F20" i="3"/>
  <c r="F19" i="3" s="1"/>
  <c r="B15" i="3"/>
  <c r="F10" i="3"/>
  <c r="F9" i="3"/>
  <c r="B9" i="3"/>
  <c r="F8" i="3"/>
  <c r="F7" i="3"/>
  <c r="F6" i="3"/>
  <c r="F5" i="3"/>
  <c r="B4" i="3"/>
  <c r="F78" i="3" l="1"/>
  <c r="F80" i="3" s="1"/>
  <c r="F76" i="3" s="1"/>
  <c r="F24" i="3"/>
  <c r="F22" i="3"/>
  <c r="F23" i="3"/>
  <c r="F4" i="3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F21" i="3" l="1"/>
  <c r="M33" i="4"/>
  <c r="M5" i="4"/>
  <c r="J37" i="2" l="1"/>
  <c r="J17" i="2"/>
  <c r="J12" i="2" l="1"/>
  <c r="J1418" i="2" s="1"/>
</calcChain>
</file>

<file path=xl/sharedStrings.xml><?xml version="1.0" encoding="utf-8"?>
<sst xmlns="http://schemas.openxmlformats.org/spreadsheetml/2006/main" count="5773" uniqueCount="2043">
  <si>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</si>
  <si>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</si>
  <si>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</si>
  <si>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</si>
  <si>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</si>
  <si>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</si>
  <si>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</si>
  <si>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</si>
  <si>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</si>
  <si>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</si>
  <si>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</si>
  <si>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</si>
  <si>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</si>
  <si>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</si>
  <si>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</si>
  <si>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</si>
  <si>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</si>
  <si>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</si>
  <si>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</si>
  <si>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</si>
  <si>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</si>
  <si>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</si>
  <si>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</si>
  <si>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</si>
  <si>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</si>
  <si>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</si>
  <si>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</si>
  <si>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</si>
  <si>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</si>
  <si>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</si>
  <si>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</si>
  <si>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</si>
  <si>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</si>
  <si>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</si>
  <si>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</si>
  <si>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</si>
  <si>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</si>
  <si>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</si>
  <si>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</si>
  <si>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PONTO DE LUZ EM TETO OU PAREDE, COM ELETRODUTO PVC RIGIDO EMBUTIDO 0 3/4 (COREMAS 5)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</si>
  <si>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</si>
  <si>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</si>
  <si>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</si>
  <si>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</si>
  <si>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</si>
  <si>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</si>
  <si>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</si>
  <si>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</si>
  <si>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</si>
  <si>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</si>
  <si>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</si>
  <si>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</si>
  <si>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</si>
  <si>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</si>
  <si>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</si>
  <si>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</si>
  <si>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</si>
  <si>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</si>
  <si>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</si>
  <si>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</si>
  <si>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</si>
  <si>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</si>
  <si>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</si>
  <si>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DESCRIÇÃO DOS SERVIÇOS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</si>
  <si>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</si>
  <si>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</si>
  <si>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</si>
  <si>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</si>
  <si>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</si>
  <si>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</si>
  <si>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</si>
  <si>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</t>
  </si>
  <si>
    <t>REFORMA DO POLO UNIVERSITÁRIO, NO MUNICÍPIO DE COREMAS/PB</t>
  </si>
  <si>
    <t>PAREDES E PAINÉIS</t>
  </si>
  <si>
    <t>1.2.2</t>
  </si>
  <si>
    <t>1.2.3</t>
  </si>
  <si>
    <t>1.3.6</t>
  </si>
  <si>
    <t>MADEIRAMENTO P/ TELHA CERÂMICA - (RIPA, CAIBRO, LINHA)</t>
  </si>
  <si>
    <t>1.4.1</t>
  </si>
  <si>
    <t>1.4.2</t>
  </si>
  <si>
    <t>1.4.3</t>
  </si>
  <si>
    <t>PORTA DE ALUMÍNIO ANODIZADO COMPACTA</t>
  </si>
  <si>
    <t>1.4.4</t>
  </si>
  <si>
    <t>TINTA ANTIFLAMA 2 DEMÃOS E PRIMER EM ESQUADRIAS DE FERRO</t>
  </si>
  <si>
    <t>1.4.5</t>
  </si>
  <si>
    <t>REMOÇÃO DE JANELAS, DE FORMA MANUAL, SEM REAPROVEITAMENTO. AF_09/2023</t>
  </si>
  <si>
    <t>JANELA BASCULANTE EM ALUMÍNIO ANODIZADO NATURAL, EXCLUSIVE VIDRO</t>
  </si>
  <si>
    <t>m³</t>
  </si>
  <si>
    <t>1.5.3</t>
  </si>
  <si>
    <t>1.5.4</t>
  </si>
  <si>
    <t>Revisão de ponto de tomada simples com reposição da tomada</t>
  </si>
  <si>
    <t>1.6</t>
  </si>
  <si>
    <t>1.6.1</t>
  </si>
  <si>
    <t>1.6.2</t>
  </si>
  <si>
    <t>1.6.3</t>
  </si>
  <si>
    <t>1.7</t>
  </si>
  <si>
    <t>1.7.2</t>
  </si>
  <si>
    <t>1.7.3</t>
  </si>
  <si>
    <t>1.8</t>
  </si>
  <si>
    <t>1.8.1</t>
  </si>
  <si>
    <t>1.8.2</t>
  </si>
  <si>
    <t>1.8.3</t>
  </si>
  <si>
    <t>1.8.4</t>
  </si>
  <si>
    <t>1.9</t>
  </si>
  <si>
    <t>1.9.1</t>
  </si>
  <si>
    <t>1.9.1.2</t>
  </si>
  <si>
    <t>1.10</t>
  </si>
  <si>
    <t>SERVIÇOS COMPLEMENTARES</t>
  </si>
  <si>
    <t>1.10.1</t>
  </si>
  <si>
    <t>Bancada em granito branco fortaleza, e = 2cm</t>
  </si>
  <si>
    <t>1.10.2</t>
  </si>
  <si>
    <t>CUBA DE INOX PARA BANCADA,COMPLETA</t>
  </si>
  <si>
    <t>1.10.3</t>
  </si>
  <si>
    <t>SIFÃO DE PVC D= 2” (INSTALADO)</t>
  </si>
  <si>
    <t>1.10.4</t>
  </si>
  <si>
    <t>TORNEIRA CROMADA 1/2” OU 3/4” PARA TANQUE, PADRÃO POPULAR - FORNECIMENTO E INSTALAÇÃO. AF_01/2020</t>
  </si>
  <si>
    <t>1.10.5</t>
  </si>
  <si>
    <t>VASO SANITARIO SIFONADO CONVENCIONAL COM LOUÇA BRANCA, INCLUSO CONJUNTO DE LIGAÇÃO PARA BACIA SANITÁRIA AJUSTÁVEL - FORNECIMENTO E INSTALAÇÃO. AF_01/2020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</si>
  <si>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</si>
  <si>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</si>
  <si>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</si>
  <si>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</si>
  <si>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</si>
  <si>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</si>
  <si>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</si>
  <si>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Parede entre as salas 03 e 04</t>
  </si>
  <si>
    <t>Parede entre as salas 03 e 05</t>
  </si>
  <si>
    <t>Parede entre as salas 01 e 02</t>
  </si>
  <si>
    <t>Desconto da porta</t>
  </si>
  <si>
    <t>m</t>
  </si>
  <si>
    <t>Medida retirada pelo AutoCad</t>
  </si>
  <si>
    <t>ACRÉSCIMO</t>
  </si>
  <si>
    <t>und</t>
  </si>
  <si>
    <t>Medidas retiradas in loco (Porta da Fachada)</t>
  </si>
  <si>
    <t>Janelas banheiro</t>
  </si>
  <si>
    <t>Medidas retiradas in loco (Janelas da Fachada)</t>
  </si>
  <si>
    <t>Janelas Banheiro</t>
  </si>
  <si>
    <t>Medida retirada in loco (Meia parede da Cozinha)</t>
  </si>
  <si>
    <t>Largura</t>
  </si>
  <si>
    <t>Medidas retiradas in loco (Bancada Recepção)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</si>
  <si>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</si>
  <si>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</si>
  <si>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</si>
  <si>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</si>
  <si>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</si>
  <si>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</si>
  <si>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</si>
  <si>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</si>
  <si>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</si>
  <si>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</si>
  <si>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</si>
  <si>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</si>
  <si>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</si>
  <si>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</si>
  <si>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</si>
  <si>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</si>
  <si>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</si>
  <si>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</si>
  <si>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</si>
  <si>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</si>
  <si>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</si>
  <si>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</si>
  <si>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</si>
  <si>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</si>
  <si>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</si>
  <si>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</si>
  <si>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</si>
  <si>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</si>
  <si>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</si>
  <si>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</si>
  <si>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</si>
  <si>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</si>
  <si>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</si>
  <si>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</si>
  <si>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</si>
  <si>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</si>
  <si>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</si>
  <si>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</si>
  <si>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</si>
  <si>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</si>
  <si>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</si>
  <si>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</si>
  <si>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</si>
  <si>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</si>
  <si>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</si>
  <si>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</si>
  <si>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</si>
  <si>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</si>
  <si>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</si>
  <si>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</si>
  <si>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</si>
  <si>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</si>
  <si>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</si>
  <si>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</si>
  <si>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</si>
  <si>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</si>
  <si>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</si>
  <si>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</si>
  <si>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</si>
  <si>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</si>
  <si>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</si>
  <si>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</si>
  <si>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</si>
  <si>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</si>
  <si>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</si>
  <si>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</si>
  <si>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</si>
  <si>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</si>
  <si>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</si>
  <si>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</si>
  <si>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</si>
  <si>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</si>
  <si>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</si>
  <si>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</si>
  <si>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</si>
  <si>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</si>
  <si>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</si>
  <si>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</si>
  <si>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</si>
  <si>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</si>
  <si>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</si>
  <si>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</si>
  <si>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</si>
  <si>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</si>
  <si>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</si>
  <si>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</si>
  <si>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</si>
  <si>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</si>
  <si>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</si>
  <si>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</si>
  <si>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</si>
  <si>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</si>
  <si>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</si>
  <si>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</si>
  <si>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</si>
  <si>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</si>
  <si>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</si>
  <si>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</si>
  <si>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</si>
  <si>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</si>
  <si>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</si>
  <si>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</si>
  <si>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</si>
  <si>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</si>
  <si>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</si>
  <si>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</si>
  <si>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</si>
  <si>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</si>
  <si>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</si>
  <si>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</si>
  <si>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</si>
  <si>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</si>
  <si>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</si>
  <si>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</si>
  <si>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</si>
  <si>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</si>
  <si>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</si>
  <si>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</si>
  <si>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</si>
  <si>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</si>
  <si>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</si>
  <si>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</si>
  <si>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</si>
  <si>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</si>
  <si>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</si>
  <si>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</si>
  <si>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</si>
  <si>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</si>
  <si>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</si>
  <si>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</si>
  <si>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</si>
  <si>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</si>
  <si>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</si>
  <si>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</si>
  <si>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</si>
  <si>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</si>
  <si>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</si>
  <si>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</si>
  <si>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</si>
  <si>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</si>
  <si>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</si>
  <si>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</si>
  <si>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</si>
  <si>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</si>
  <si>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</si>
  <si>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</si>
  <si>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</si>
  <si>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</si>
  <si>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</si>
  <si>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</si>
  <si>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</si>
  <si>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</si>
  <si>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</si>
  <si>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</si>
  <si>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</si>
  <si>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</si>
  <si>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</si>
  <si>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</si>
  <si>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</si>
  <si>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</si>
  <si>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</si>
  <si>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</si>
  <si>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</si>
  <si>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</si>
  <si>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</si>
  <si>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</si>
  <si>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</si>
  <si>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</si>
  <si>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</si>
  <si>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</si>
  <si>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</si>
  <si>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</si>
  <si>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</si>
  <si>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</si>
  <si>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</si>
  <si>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</si>
  <si>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</si>
  <si>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</si>
  <si>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</si>
  <si>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</si>
  <si>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</si>
  <si>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</si>
  <si>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</si>
  <si>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</si>
  <si>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</si>
  <si>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</si>
  <si>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</si>
  <si>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</si>
  <si>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</si>
  <si>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</si>
  <si>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</si>
  <si>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</si>
  <si>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</si>
  <si>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</si>
  <si>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</si>
  <si>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</si>
  <si>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</si>
  <si>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</si>
  <si>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</si>
  <si>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</si>
  <si>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</si>
  <si>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</si>
  <si>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</si>
  <si>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</si>
  <si>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</si>
  <si>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</si>
  <si>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</si>
  <si>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</si>
  <si>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</si>
  <si>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</si>
  <si>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</si>
  <si>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</si>
  <si>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</si>
  <si>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</si>
  <si>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</si>
  <si>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</si>
  <si>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</si>
  <si>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</si>
  <si>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</si>
  <si>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</si>
  <si>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</si>
  <si>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</si>
  <si>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</si>
  <si>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</si>
  <si>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</si>
  <si>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</si>
  <si>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</si>
  <si>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</si>
  <si>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</si>
  <si>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</si>
  <si>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</si>
  <si>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</si>
  <si>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</si>
  <si>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</si>
  <si>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</si>
  <si>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</si>
  <si>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</si>
  <si>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</si>
  <si>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</si>
  <si>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</si>
  <si>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</si>
  <si>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</si>
  <si>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</si>
  <si>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</si>
  <si>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</si>
  <si>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</si>
  <si>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</si>
  <si>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</si>
  <si>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</si>
  <si>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</si>
  <si>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</si>
  <si>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</si>
  <si>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</si>
  <si>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</si>
  <si>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</si>
  <si>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</si>
  <si>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</si>
  <si>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</si>
  <si>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</si>
  <si>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</si>
  <si>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</si>
  <si>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</si>
  <si>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</si>
  <si>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</si>
  <si>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</si>
  <si>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</si>
  <si>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</si>
  <si>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</si>
  <si>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</si>
  <si>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</si>
  <si>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</si>
  <si>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</si>
  <si>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</si>
  <si>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</si>
  <si>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</si>
  <si>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</si>
  <si>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</si>
  <si>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</si>
  <si>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</si>
  <si>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</si>
  <si>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</si>
  <si>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</si>
  <si>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</si>
  <si>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</si>
  <si>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</si>
  <si>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</si>
  <si>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</si>
  <si>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</si>
  <si>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</si>
  <si>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</si>
  <si>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</si>
  <si>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</si>
  <si>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</si>
  <si>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</si>
  <si>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</si>
  <si>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</si>
  <si>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</si>
  <si>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</si>
  <si>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</si>
  <si>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</si>
  <si>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</si>
  <si>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</si>
  <si>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</si>
  <si>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</si>
  <si>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</si>
  <si>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</si>
  <si>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</si>
  <si>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</si>
  <si>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</si>
  <si>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</si>
  <si>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</si>
  <si>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</si>
  <si>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</si>
  <si>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</si>
  <si>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</si>
  <si>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</si>
  <si>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</si>
  <si>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</si>
  <si>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</si>
  <si>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</si>
  <si>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</si>
  <si>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</si>
  <si>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</si>
  <si>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</si>
  <si>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</si>
  <si>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</si>
  <si>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</si>
  <si>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</si>
  <si>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</si>
  <si>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</si>
  <si>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</si>
  <si>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</si>
  <si>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</si>
  <si>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</si>
  <si>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</si>
  <si>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</si>
  <si>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</si>
  <si>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</si>
  <si>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</si>
  <si>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</si>
  <si>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</si>
  <si>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</si>
  <si>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</si>
  <si>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</si>
  <si>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</si>
  <si>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</si>
  <si>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</si>
  <si>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</si>
  <si>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</si>
  <si>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</si>
  <si>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</si>
  <si>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</si>
  <si>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</si>
  <si>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</si>
  <si>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</si>
  <si>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</si>
  <si>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</si>
  <si>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</si>
  <si>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</si>
  <si>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</si>
  <si>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</si>
  <si>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</si>
  <si>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</si>
  <si>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</si>
  <si>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</si>
  <si>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</si>
  <si>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</si>
  <si>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</si>
  <si>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</si>
  <si>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</si>
  <si>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</si>
  <si>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</si>
  <si>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</si>
  <si>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</si>
  <si>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</si>
  <si>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</si>
  <si>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</si>
  <si>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</si>
  <si>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</si>
  <si>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</si>
  <si>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</si>
  <si>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</si>
  <si>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</si>
  <si>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</si>
  <si>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</si>
  <si>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</si>
  <si>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</si>
  <si>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</si>
  <si>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</si>
  <si>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</si>
  <si>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</si>
  <si>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</si>
  <si>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</si>
  <si>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</si>
  <si>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</si>
  <si>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</si>
  <si>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</si>
  <si>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</si>
  <si>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</si>
  <si>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</si>
  <si>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</si>
  <si>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</si>
  <si>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</si>
  <si>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</si>
  <si>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</si>
  <si>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</si>
  <si>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</si>
  <si>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</si>
  <si>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</si>
  <si>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</si>
  <si>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</si>
  <si>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</si>
  <si>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</si>
  <si>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</si>
  <si>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</si>
  <si>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</si>
  <si>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</si>
  <si>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</si>
  <si>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</si>
  <si>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</si>
  <si>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</si>
  <si>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</si>
  <si>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</si>
  <si>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</si>
  <si>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</si>
  <si>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</si>
  <si>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</si>
  <si>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</si>
  <si>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</si>
  <si>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</si>
  <si>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</si>
  <si>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</si>
  <si>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</si>
  <si>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</si>
  <si>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</si>
  <si>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</si>
  <si>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</si>
  <si>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</si>
  <si>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</si>
  <si>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</si>
  <si>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</si>
  <si>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</si>
  <si>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</si>
  <si>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</si>
  <si>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</si>
  <si>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</si>
  <si>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</si>
  <si>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</si>
  <si>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</si>
  <si>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</si>
  <si>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</si>
  <si>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</si>
  <si>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 xml:space="preserve">SUPRESSÃO </t>
  </si>
  <si>
    <t>Banheiro Masculino</t>
  </si>
  <si>
    <t>Banheiro Feminio</t>
  </si>
  <si>
    <t>CONTRAPISO EM ARGAMASSA TRAÇO 1:4 (CIMENTO E AREIA), PREPARO MANUAL, APLICADO EM ÁREAS SECAS SOBRE LAJE, ADERIDO, ACABAMENTO NÃO REFORÇADO, ESPESSURA</t>
  </si>
  <si>
    <t>Copa</t>
  </si>
  <si>
    <t>Banheiro Feminino</t>
  </si>
  <si>
    <t>Recepção</t>
  </si>
  <si>
    <t>Sala 01</t>
  </si>
  <si>
    <t>Sala 02</t>
  </si>
  <si>
    <t>Área Coberta</t>
  </si>
  <si>
    <t>TOTAL GERAL</t>
  </si>
  <si>
    <t>VALOR CONTRATO</t>
  </si>
  <si>
    <t>VALOR DO ACRESCIMO</t>
  </si>
  <si>
    <t>PISO EM GRANILITE, MARMORITE OU GRANITINA EM AMBIENTES INTERNOS, COM ESPESSURA DE 8 MM, INCLUSO MISTURA EM BETONEIRA, COLOCAÇÃO DAS JUNTAS, APLICAÇÃO DO</t>
  </si>
  <si>
    <t>Sala 03</t>
  </si>
  <si>
    <t>Circ. 01</t>
  </si>
  <si>
    <t>Sala 04</t>
  </si>
  <si>
    <t>Circ. 02</t>
  </si>
  <si>
    <t>VALOR DA SUPRESSÃO</t>
  </si>
  <si>
    <t>Banheiro Masc.</t>
  </si>
  <si>
    <t>Banheiro Fem.</t>
  </si>
  <si>
    <t>VALOR DO ACRÉSCIMO</t>
  </si>
  <si>
    <t>TOTAL GERAL DO SELADOR</t>
  </si>
  <si>
    <t>TOTAL DO DESCONTO DAS ESQUADRIAS</t>
  </si>
  <si>
    <t>TOTAL GERAL DO EMASSAMENTO</t>
  </si>
  <si>
    <t>TOTAL GERAL DA PINTURA</t>
  </si>
  <si>
    <t>ÁREA COBERTA</t>
  </si>
  <si>
    <t>LATERAIS SUPERIOR DA ÁREA COBERTA</t>
  </si>
  <si>
    <t>LADO A</t>
  </si>
  <si>
    <t>LADO B</t>
  </si>
  <si>
    <t>LADO C</t>
  </si>
  <si>
    <t>Área retungular</t>
  </si>
  <si>
    <t>Área triangular</t>
  </si>
  <si>
    <t>TOTAL DO EMASSAMENTO</t>
  </si>
  <si>
    <t>Sala nova 01</t>
  </si>
  <si>
    <t>Sala nova 02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</si>
  <si>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</si>
  <si>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</si>
  <si>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</si>
  <si>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</si>
  <si>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</si>
  <si>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</si>
  <si>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</si>
  <si>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</si>
  <si>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</si>
  <si>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</si>
  <si>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</si>
  <si>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</si>
  <si>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</si>
  <si>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</si>
  <si>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</si>
  <si>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</si>
  <si>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</si>
  <si>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</si>
  <si>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</si>
  <si>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</si>
  <si>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</si>
  <si>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</si>
  <si>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</si>
  <si>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</si>
  <si>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</si>
  <si>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</si>
  <si>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</si>
  <si>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</si>
  <si>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</si>
  <si>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</si>
  <si>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</si>
  <si>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</si>
  <si>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</si>
  <si>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</si>
  <si>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</si>
  <si>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</si>
  <si>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</si>
  <si>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</si>
  <si>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</si>
  <si>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</si>
  <si>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</si>
  <si>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</si>
  <si>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</si>
  <si>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</si>
  <si>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</si>
  <si>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</si>
  <si>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</si>
  <si>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</si>
  <si>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</si>
  <si>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</si>
  <si>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</si>
  <si>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</si>
  <si>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</si>
  <si>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</si>
  <si>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</si>
  <si>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</si>
  <si>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</si>
  <si>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</si>
  <si>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</si>
  <si>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</si>
  <si>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</si>
  <si>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</si>
  <si>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</si>
  <si>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</si>
  <si>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</si>
  <si>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</si>
  <si>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</si>
  <si>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</si>
  <si>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</si>
  <si>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</si>
  <si>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</si>
  <si>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</si>
  <si>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</si>
  <si>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</si>
  <si>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</si>
  <si>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</si>
  <si>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</si>
  <si>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</si>
  <si>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</si>
  <si>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</si>
  <si>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</si>
  <si>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</si>
  <si>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</si>
  <si>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</si>
  <si>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</si>
  <si>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</si>
  <si>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</si>
  <si>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</si>
  <si>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</si>
  <si>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</si>
  <si>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</si>
  <si>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</si>
  <si>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</si>
  <si>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</si>
  <si>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</si>
  <si>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</si>
  <si>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</si>
  <si>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</si>
  <si>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</si>
  <si>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</si>
  <si>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</si>
  <si>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</si>
  <si>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</si>
  <si>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</si>
  <si>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</si>
  <si>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</si>
  <si>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</si>
  <si>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</si>
  <si>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</si>
  <si>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</si>
  <si>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</si>
  <si>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</si>
  <si>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</si>
  <si>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</si>
  <si>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</si>
  <si>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</si>
  <si>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</si>
  <si>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</si>
  <si>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</si>
  <si>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</si>
  <si>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</si>
  <si>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</si>
  <si>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</si>
  <si>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</si>
  <si>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</si>
  <si>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</si>
  <si>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</si>
  <si>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</si>
  <si>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</si>
  <si>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</si>
  <si>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</si>
  <si>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</si>
  <si>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</si>
  <si>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</si>
  <si>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</si>
  <si>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</si>
  <si>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</si>
  <si>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</si>
  <si>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</si>
  <si>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</si>
  <si>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</si>
  <si>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</si>
  <si>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</si>
  <si>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</si>
  <si>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</si>
  <si>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</si>
  <si>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</si>
  <si>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</si>
  <si>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</si>
  <si>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</si>
  <si>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</si>
  <si>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</si>
  <si>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</si>
  <si>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</si>
  <si>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</si>
  <si>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</si>
  <si>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</si>
  <si>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</si>
  <si>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</si>
  <si>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</si>
  <si>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</si>
  <si>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</si>
  <si>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</si>
  <si>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</si>
  <si>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</si>
  <si>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</si>
  <si>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</si>
  <si>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</si>
  <si>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</si>
  <si>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</si>
  <si>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</si>
  <si>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</si>
  <si>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</si>
  <si>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</si>
  <si>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</si>
  <si>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</si>
  <si>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</si>
  <si>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</si>
  <si>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</si>
  <si>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</si>
  <si>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</si>
  <si>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</si>
  <si>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</si>
  <si>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</si>
  <si>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</si>
  <si>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</si>
  <si>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</si>
  <si>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</si>
  <si>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</si>
  <si>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</si>
  <si>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</si>
  <si>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</si>
  <si>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</si>
  <si>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</si>
  <si>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</si>
  <si>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</si>
  <si>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</si>
  <si>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</si>
  <si>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</si>
  <si>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</si>
  <si>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</si>
  <si>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</si>
  <si>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</si>
  <si>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</si>
  <si>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</si>
  <si>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</si>
  <si>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</si>
  <si>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</si>
  <si>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</si>
  <si>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</si>
  <si>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</si>
  <si>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</si>
  <si>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</si>
  <si>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</si>
  <si>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</si>
  <si>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</si>
  <si>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</si>
  <si>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</si>
  <si>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</si>
  <si>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</si>
  <si>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</si>
  <si>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</si>
  <si>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</si>
  <si>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</si>
  <si>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</si>
  <si>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</si>
  <si>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</si>
  <si>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</si>
  <si>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</si>
  <si>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</si>
  <si>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</si>
  <si>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</si>
  <si>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</si>
  <si>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</si>
  <si>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</si>
  <si>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</si>
  <si>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</si>
  <si>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</si>
  <si>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</si>
  <si>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</si>
  <si>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</si>
  <si>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</si>
  <si>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</si>
  <si>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</si>
  <si>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</si>
  <si>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</si>
  <si>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</si>
  <si>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</si>
  <si>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</si>
  <si>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</si>
  <si>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</si>
  <si>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</si>
  <si>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</si>
  <si>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</si>
  <si>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</si>
  <si>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</si>
  <si>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</si>
  <si>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</si>
  <si>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</si>
  <si>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</si>
  <si>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</si>
  <si>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</si>
  <si>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</si>
  <si>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</si>
  <si>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</si>
  <si>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</si>
  <si>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</si>
  <si>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</si>
  <si>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</si>
  <si>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</si>
  <si>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</si>
  <si>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</si>
  <si>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</si>
  <si>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</si>
  <si>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</si>
  <si>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</si>
  <si>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</si>
  <si>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</si>
  <si>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</si>
  <si>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</si>
  <si>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</si>
  <si>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</si>
  <si>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</si>
  <si>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</si>
  <si>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</si>
  <si>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</si>
  <si>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</si>
  <si>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</si>
  <si>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</si>
  <si>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</si>
  <si>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</si>
  <si>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</si>
  <si>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</si>
  <si>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</si>
  <si>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</si>
  <si>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</si>
  <si>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</si>
  <si>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</si>
  <si>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</si>
  <si>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</si>
  <si>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</si>
  <si>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</si>
  <si>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</si>
  <si>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</si>
  <si>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</si>
  <si>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</si>
  <si>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</si>
  <si>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</si>
  <si>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</si>
  <si>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</si>
  <si>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</si>
  <si>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</si>
  <si>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</si>
  <si>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</si>
  <si>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</si>
  <si>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</si>
  <si>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</si>
  <si>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</si>
  <si>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</si>
  <si>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</si>
  <si>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</si>
  <si>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</si>
  <si>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</si>
  <si>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</si>
  <si>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</si>
  <si>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</si>
  <si>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</si>
  <si>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</si>
  <si>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</si>
  <si>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</si>
  <si>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</si>
  <si>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</si>
  <si>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</si>
  <si>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</si>
  <si>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</si>
  <si>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</si>
  <si>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</si>
  <si>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</si>
  <si>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</si>
  <si>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</si>
  <si>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</si>
  <si>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</si>
  <si>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</si>
  <si>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</si>
  <si>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</si>
  <si>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</si>
  <si>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</si>
  <si>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</si>
  <si>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</si>
  <si>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</si>
  <si>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</si>
  <si>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</si>
  <si>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</si>
  <si>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</si>
  <si>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</si>
  <si>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</si>
  <si>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</si>
  <si>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</si>
  <si>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</si>
  <si>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</si>
  <si>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</si>
  <si>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</si>
  <si>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</si>
  <si>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</si>
  <si>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</si>
  <si>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</si>
  <si>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</si>
  <si>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</si>
  <si>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</si>
  <si>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</si>
  <si>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</si>
  <si>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</si>
  <si>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</si>
  <si>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</si>
  <si>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</si>
  <si>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</si>
  <si>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</si>
  <si>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</si>
  <si>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</si>
  <si>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</si>
  <si>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</si>
  <si>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</si>
  <si>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</si>
  <si>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</si>
  <si>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</si>
  <si>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</si>
  <si>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</si>
  <si>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</si>
  <si>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</si>
  <si>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</si>
  <si>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</si>
  <si>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</si>
  <si>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</si>
  <si>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</si>
  <si>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</si>
  <si>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</si>
  <si>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</si>
  <si>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</si>
  <si>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</si>
  <si>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</si>
  <si>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</si>
  <si>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</si>
  <si>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</si>
  <si>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</si>
  <si>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</si>
  <si>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</si>
  <si>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</si>
  <si>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</si>
  <si>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</si>
  <si>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</si>
  <si>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</si>
  <si>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</si>
  <si>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</si>
  <si>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</si>
  <si>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</si>
  <si>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</si>
  <si>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</si>
  <si>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</si>
  <si>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</si>
  <si>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</si>
  <si>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</si>
  <si>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</si>
  <si>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</si>
  <si>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</si>
  <si>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</si>
  <si>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</si>
  <si>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</si>
  <si>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</si>
  <si>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</si>
  <si>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</si>
  <si>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</si>
  <si>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</si>
  <si>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</si>
  <si>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</si>
  <si>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</si>
  <si>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</si>
  <si>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</si>
  <si>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</si>
  <si>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</si>
  <si>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</si>
  <si>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</si>
  <si>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</si>
  <si>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</si>
  <si>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</si>
  <si>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</si>
  <si>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</si>
  <si>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</si>
  <si>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</si>
  <si>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</si>
  <si>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</si>
  <si>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</si>
  <si>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</si>
  <si>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</si>
  <si>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</si>
  <si>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</si>
  <si>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</si>
  <si>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</si>
  <si>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</si>
  <si>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</si>
  <si>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</si>
  <si>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</si>
  <si>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</si>
  <si>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</si>
  <si>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</si>
  <si>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</si>
  <si>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</si>
  <si>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</si>
  <si>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</si>
  <si>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</si>
  <si>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</si>
  <si>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</si>
  <si>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</si>
  <si>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</si>
  <si>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</si>
  <si>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</si>
  <si>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</si>
  <si>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</si>
  <si>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</si>
  <si>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</si>
  <si>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</si>
  <si>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</si>
  <si>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</si>
  <si>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</si>
  <si>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</si>
  <si>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</si>
  <si>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</si>
  <si>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</si>
  <si>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</si>
  <si>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</si>
  <si>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</si>
  <si>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</si>
  <si>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</si>
  <si>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</si>
  <si>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</si>
  <si>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</si>
  <si>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</si>
  <si>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</si>
  <si>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</si>
  <si>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</si>
  <si>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</si>
  <si>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</si>
  <si>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</si>
  <si>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</si>
  <si>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</si>
  <si>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</si>
  <si>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</si>
  <si>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</si>
  <si>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</si>
  <si>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</si>
  <si>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</si>
  <si>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</si>
  <si>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</si>
  <si>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</si>
  <si>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</si>
  <si>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</si>
  <si>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</si>
  <si>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</si>
  <si>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</si>
  <si>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</si>
  <si>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</si>
  <si>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</si>
  <si>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</si>
  <si>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</si>
  <si>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</si>
  <si>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</si>
  <si>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</si>
  <si>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</si>
  <si>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</si>
  <si>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</si>
  <si>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</si>
  <si>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</si>
  <si>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</si>
  <si>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</si>
  <si>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</si>
  <si>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</si>
  <si>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</si>
  <si>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</si>
  <si>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</si>
  <si>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</si>
  <si>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</si>
  <si>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</si>
  <si>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</si>
  <si>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</si>
  <si>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</si>
  <si>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</si>
  <si>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</si>
  <si>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</si>
  <si>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</si>
  <si>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</si>
  <si>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</si>
  <si>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</si>
  <si>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</si>
  <si>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</si>
  <si>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</si>
  <si>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</si>
  <si>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</si>
  <si>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</si>
  <si>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</si>
  <si>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</si>
  <si>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</si>
  <si>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</si>
  <si>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</si>
  <si>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</si>
  <si>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</si>
  <si>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</si>
  <si>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</si>
  <si>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</si>
  <si>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</si>
  <si>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</si>
  <si>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</si>
  <si>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</si>
  <si>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</si>
  <si>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</si>
  <si>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</si>
  <si>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</si>
  <si>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</si>
  <si>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</si>
  <si>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</si>
  <si>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</si>
  <si>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</si>
  <si>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</si>
  <si>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</si>
  <si>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</si>
  <si>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</si>
  <si>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</si>
  <si>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</si>
  <si>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</si>
  <si>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</si>
  <si>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</si>
  <si>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</si>
  <si>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</si>
  <si>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</si>
  <si>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</si>
  <si>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</si>
  <si>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</si>
  <si>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</si>
  <si>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</si>
  <si>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</si>
  <si>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</si>
  <si>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</si>
  <si>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</si>
  <si>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</si>
  <si>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</si>
  <si>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</si>
  <si>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</si>
  <si>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</si>
  <si>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</si>
  <si>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</si>
  <si>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</si>
  <si>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</si>
  <si>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</si>
  <si>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</si>
  <si>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</si>
  <si>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</si>
  <si>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</si>
  <si>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</si>
  <si>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</si>
  <si>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</si>
  <si>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</si>
  <si>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</si>
  <si>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</si>
  <si>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</si>
  <si>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</si>
  <si>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</si>
  <si>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</si>
  <si>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</si>
  <si>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</si>
  <si>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</si>
  <si>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</si>
  <si>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</si>
  <si>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</si>
  <si>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</si>
  <si>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</si>
  <si>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</si>
  <si>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</si>
  <si>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</si>
  <si>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</si>
  <si>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</si>
  <si>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</si>
  <si>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</si>
  <si>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</si>
  <si>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</si>
  <si>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</si>
  <si>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</si>
  <si>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</si>
  <si>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</si>
  <si>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</si>
  <si>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</si>
  <si>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</si>
  <si>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</si>
  <si>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</si>
  <si>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</si>
  <si>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</si>
  <si>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</si>
  <si>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</si>
  <si>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</si>
  <si>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</si>
  <si>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</si>
  <si>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</si>
  <si>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</si>
  <si>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</si>
  <si>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</si>
  <si>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</si>
  <si>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</si>
  <si>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</si>
  <si>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</si>
  <si>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</si>
  <si>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</si>
  <si>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</si>
  <si>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</si>
  <si>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</si>
  <si>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</si>
  <si>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</si>
  <si>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</si>
  <si>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</si>
  <si>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</si>
  <si>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</si>
  <si>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</si>
  <si>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</si>
  <si>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</si>
  <si>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</si>
  <si>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</si>
  <si>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</si>
  <si>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</si>
  <si>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</si>
  <si>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</si>
  <si>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</si>
  <si>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</si>
  <si>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</si>
  <si>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</si>
  <si>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</si>
  <si>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</si>
  <si>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</si>
  <si>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</si>
  <si>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</si>
  <si>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</si>
  <si>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</si>
  <si>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</si>
  <si>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</si>
  <si>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</si>
  <si>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</si>
  <si>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</si>
  <si>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</si>
  <si>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</si>
  <si>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</si>
  <si>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</si>
  <si>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</si>
  <si>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</si>
  <si>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</si>
  <si>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</si>
  <si>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</si>
  <si>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</si>
  <si>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</si>
  <si>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</si>
  <si>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</si>
  <si>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</si>
  <si>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</si>
  <si>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</si>
  <si>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</si>
  <si>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</si>
  <si>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</si>
  <si>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</si>
  <si>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</si>
  <si>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</si>
  <si>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</si>
  <si>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</si>
  <si>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</si>
  <si>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</si>
  <si>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</si>
  <si>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</si>
  <si>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</si>
  <si>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</si>
  <si>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</si>
  <si>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</si>
  <si>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</si>
  <si>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</si>
  <si>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</si>
  <si>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</si>
  <si>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</si>
  <si>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</si>
  <si>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</si>
  <si>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</si>
  <si>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</si>
  <si>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</si>
  <si>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</si>
  <si>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</si>
  <si>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</si>
  <si>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</si>
  <si>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</si>
  <si>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</si>
  <si>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</si>
  <si>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</si>
  <si>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</si>
  <si>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</si>
  <si>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</si>
  <si>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</si>
  <si>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</si>
  <si>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</si>
  <si>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</si>
  <si>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</si>
  <si>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</si>
  <si>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</si>
  <si>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</si>
  <si>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</si>
  <si>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</si>
  <si>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</si>
  <si>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</si>
  <si>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</si>
  <si>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</si>
  <si>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</si>
  <si>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</si>
  <si>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</si>
  <si>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</si>
  <si>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</si>
  <si>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</si>
  <si>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</si>
  <si>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</si>
  <si>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</si>
  <si>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</si>
  <si>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</si>
  <si>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</si>
  <si>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</si>
  <si>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</si>
  <si>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</si>
  <si>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</si>
  <si>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</si>
  <si>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</si>
  <si>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</si>
  <si>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</si>
  <si>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</si>
  <si>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</si>
  <si>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</si>
  <si>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</si>
  <si>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</si>
  <si>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</si>
  <si>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</si>
  <si>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</si>
  <si>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</si>
  <si>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</si>
  <si>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</si>
  <si>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</si>
  <si>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</si>
  <si>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</si>
  <si>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</si>
  <si>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</si>
  <si>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</si>
  <si>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</si>
  <si>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</si>
  <si>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</si>
  <si>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</si>
  <si>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</si>
  <si>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</si>
  <si>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</si>
  <si>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</si>
  <si>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</si>
  <si>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</si>
  <si>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</si>
  <si>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</si>
  <si>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</si>
  <si>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</si>
  <si>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</si>
  <si>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</si>
  <si>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</si>
  <si>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</si>
  <si>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</si>
  <si>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</si>
  <si>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</si>
  <si>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</si>
  <si>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</si>
  <si>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</si>
  <si>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</si>
  <si>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</si>
  <si>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</si>
  <si>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</si>
  <si>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</si>
  <si>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</si>
  <si>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</si>
  <si>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</si>
  <si>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</si>
  <si>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</si>
  <si>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</si>
  <si>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</si>
  <si>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</si>
  <si>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</si>
  <si>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</si>
  <si>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</si>
  <si>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</si>
  <si>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</si>
  <si>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</si>
  <si>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</si>
  <si>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</si>
  <si>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</si>
  <si>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</si>
  <si>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</si>
  <si>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</si>
  <si>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</si>
  <si>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</si>
  <si>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</si>
  <si>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</si>
  <si>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</si>
  <si>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</si>
  <si>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</si>
  <si>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</si>
  <si>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</si>
  <si>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</si>
  <si>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</si>
  <si>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</si>
  <si>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</si>
  <si>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</si>
  <si>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</si>
  <si>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</si>
  <si>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</si>
  <si>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</si>
  <si>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</si>
  <si>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</si>
  <si>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</si>
  <si>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</si>
  <si>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</si>
  <si>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</si>
  <si>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</si>
  <si>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</si>
  <si>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</si>
  <si>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</si>
  <si>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</si>
  <si>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</si>
  <si>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</si>
  <si>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</si>
  <si>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</si>
  <si>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</si>
  <si>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</si>
  <si>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</si>
  <si>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</si>
  <si>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</si>
  <si>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</si>
  <si>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</si>
  <si>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</si>
  <si>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</si>
  <si>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</si>
  <si>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</si>
  <si>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</si>
  <si>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</si>
  <si>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</si>
  <si>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</si>
  <si>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</si>
  <si>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</si>
  <si>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</si>
  <si>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</si>
  <si>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</si>
  <si>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</si>
  <si>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</si>
  <si>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</si>
  <si>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</si>
  <si>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</si>
  <si>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</si>
  <si>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</si>
  <si>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</si>
  <si>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</si>
  <si>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</si>
  <si>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</si>
  <si>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</si>
  <si>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</si>
  <si>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</si>
  <si>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</si>
  <si>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</si>
  <si>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</si>
  <si>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</si>
  <si>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</si>
  <si>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</si>
  <si>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</si>
  <si>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</si>
  <si>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</si>
  <si>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</si>
  <si>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</si>
  <si>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</si>
  <si>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</si>
  <si>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</si>
  <si>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</si>
  <si>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</si>
  <si>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</si>
  <si>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</si>
  <si>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</si>
  <si>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</si>
  <si>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</si>
  <si>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</si>
  <si>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</si>
  <si>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</si>
  <si>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</si>
  <si>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</si>
  <si>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</si>
  <si>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</si>
  <si>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</si>
  <si>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</si>
  <si>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</si>
  <si>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</si>
  <si>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</si>
  <si>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</si>
  <si>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</si>
  <si>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</si>
  <si>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</si>
  <si>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</si>
  <si>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</si>
  <si>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</si>
  <si>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</si>
  <si>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</si>
  <si>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</si>
  <si>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</si>
  <si>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</si>
  <si>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</si>
  <si>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</si>
  <si>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</si>
  <si>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</si>
  <si>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</si>
  <si>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</si>
  <si>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</si>
  <si>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</si>
  <si>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</si>
  <si>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</si>
  <si>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</si>
  <si>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</si>
  <si>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</si>
  <si>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</si>
  <si>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</si>
  <si>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</si>
  <si>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</si>
  <si>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</si>
  <si>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</si>
  <si>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</si>
  <si>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</si>
  <si>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</si>
  <si>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</si>
  <si>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</si>
  <si>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</si>
  <si>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</si>
  <si>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</si>
  <si>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</si>
  <si>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</si>
  <si>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</si>
  <si>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</si>
  <si>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</si>
  <si>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</si>
  <si>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</si>
  <si>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</si>
  <si>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</si>
  <si>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</si>
  <si>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</si>
  <si>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</si>
  <si>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</si>
  <si>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</si>
  <si>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</si>
  <si>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</si>
  <si>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</si>
  <si>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</si>
  <si>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</si>
  <si>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</si>
  <si>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</si>
  <si>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</si>
  <si>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</si>
  <si>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</si>
  <si>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</si>
  <si>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</si>
  <si>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</si>
  <si>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</si>
  <si>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</si>
  <si>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</si>
  <si>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</si>
  <si>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</si>
  <si>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</si>
  <si>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</si>
  <si>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</si>
  <si>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</si>
  <si>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</si>
  <si>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</si>
  <si>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</si>
  <si>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</si>
  <si>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</si>
  <si>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</si>
  <si>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</si>
  <si>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</si>
  <si>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</si>
  <si>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</si>
  <si>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</si>
  <si>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</si>
  <si>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</si>
  <si>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</si>
  <si>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</si>
  <si>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</si>
  <si>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</si>
  <si>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</si>
  <si>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</si>
  <si>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</si>
  <si>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</si>
  <si>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</si>
  <si>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</si>
  <si>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</si>
  <si>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</si>
  <si>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</si>
  <si>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</si>
  <si>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</si>
  <si>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</si>
  <si>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</si>
  <si>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</si>
  <si>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</si>
  <si>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</si>
  <si>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</si>
  <si>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</si>
  <si>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</si>
  <si>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</si>
  <si>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</si>
  <si>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</si>
  <si>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</si>
  <si>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</si>
  <si>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</si>
  <si>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</si>
  <si>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</si>
  <si>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</si>
  <si>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</si>
  <si>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</si>
  <si>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</si>
  <si>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</si>
  <si>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</si>
  <si>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</si>
  <si>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</si>
  <si>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</si>
  <si>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</si>
  <si>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</si>
  <si>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</si>
  <si>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</si>
  <si>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</si>
  <si>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</si>
  <si>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</si>
  <si>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</si>
  <si>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</si>
  <si>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</si>
  <si>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</si>
  <si>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</si>
  <si>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</si>
  <si>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</si>
  <si>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</si>
  <si>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</si>
  <si>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</si>
  <si>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</si>
  <si>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</si>
  <si>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</si>
  <si>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</si>
  <si>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</si>
  <si>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</si>
  <si>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</si>
  <si>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</si>
  <si>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</si>
  <si>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</si>
  <si>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</si>
  <si>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</si>
  <si>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</si>
  <si>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</si>
  <si>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</si>
  <si>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</si>
  <si>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</si>
  <si>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</si>
  <si>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</si>
  <si>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</si>
  <si>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</si>
  <si>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</si>
  <si>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</si>
  <si>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</si>
  <si>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</si>
  <si>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</si>
  <si>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</si>
  <si>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</si>
  <si>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</si>
  <si>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</si>
  <si>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</si>
  <si>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</si>
  <si>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</si>
  <si>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</si>
  <si>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</si>
  <si>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</si>
  <si>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</si>
  <si>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</si>
  <si>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</si>
  <si>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</si>
  <si>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</si>
  <si>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</si>
  <si>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</si>
  <si>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</si>
  <si>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</si>
  <si>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</si>
  <si>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</si>
  <si>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</si>
  <si>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</si>
  <si>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</si>
  <si>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</si>
  <si>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</si>
  <si>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</si>
  <si>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</si>
  <si>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</si>
  <si>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</si>
  <si>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</si>
  <si>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</si>
  <si>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</si>
  <si>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</si>
  <si>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</si>
  <si>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</si>
  <si>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</si>
  <si>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</si>
  <si>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</si>
  <si>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</si>
  <si>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</si>
  <si>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</si>
  <si>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</si>
  <si>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</si>
  <si>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</si>
  <si>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</si>
  <si>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</si>
  <si>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</si>
  <si>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</si>
  <si>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</si>
  <si>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</si>
  <si>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</si>
  <si>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</si>
  <si>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</si>
  <si>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</si>
  <si>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</si>
  <si>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</si>
  <si>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</si>
  <si>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</si>
  <si>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</si>
  <si>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</si>
  <si>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</si>
  <si>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</si>
  <si>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</si>
  <si>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</si>
  <si>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</si>
  <si>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</si>
  <si>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</si>
  <si>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</si>
  <si>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</si>
  <si>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</si>
  <si>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</si>
  <si>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</si>
  <si>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</si>
  <si>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</si>
  <si>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</si>
  <si>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</si>
  <si>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</si>
  <si>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</si>
  <si>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</si>
  <si>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</si>
  <si>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</si>
  <si>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</si>
  <si>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</si>
  <si>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</si>
  <si>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</si>
  <si>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</si>
  <si>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</si>
  <si>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</si>
  <si>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</si>
  <si>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</si>
  <si>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</si>
  <si>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</si>
  <si>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</si>
  <si>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</si>
  <si>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</si>
  <si>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</si>
  <si>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</si>
  <si>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</si>
  <si>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</si>
  <si>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</si>
  <si>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</si>
  <si>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</si>
  <si>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</si>
  <si>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</si>
  <si>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</si>
  <si>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</si>
  <si>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</si>
  <si>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</si>
  <si>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</si>
  <si>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</si>
  <si>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</si>
  <si>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</si>
  <si>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</si>
  <si>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</si>
  <si>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</si>
  <si>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</si>
  <si>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</si>
  <si>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</si>
  <si>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</si>
  <si>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</si>
  <si>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</si>
  <si>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</si>
  <si>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</si>
  <si>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</si>
  <si>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</si>
  <si>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</si>
  <si>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</si>
  <si>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</si>
  <si>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</si>
  <si>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</si>
  <si>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</si>
  <si>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</si>
  <si>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</si>
  <si>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</si>
  <si>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</si>
  <si>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</si>
  <si>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</si>
  <si>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</si>
  <si>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</si>
  <si>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</si>
  <si>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</si>
  <si>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</si>
  <si>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</si>
  <si>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</si>
  <si>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</si>
  <si>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</si>
  <si>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</si>
  <si>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</si>
  <si>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</si>
  <si>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</si>
  <si>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</si>
  <si>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</si>
  <si>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</si>
  <si>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</si>
  <si>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</si>
  <si>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</si>
  <si>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</si>
  <si>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</si>
  <si>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</si>
  <si>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</si>
  <si>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</si>
  <si>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</si>
  <si>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</si>
  <si>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</si>
  <si>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</si>
  <si>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</si>
  <si>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</si>
  <si>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</si>
  <si>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</si>
  <si>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</si>
  <si>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</si>
  <si>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</si>
  <si>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</si>
  <si>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</si>
  <si>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</si>
  <si>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</si>
  <si>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</si>
  <si>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</si>
  <si>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</si>
  <si>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</si>
  <si>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</si>
  <si>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</si>
  <si>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</si>
  <si>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</si>
  <si>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</si>
  <si>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</si>
  <si>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</si>
  <si>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</si>
  <si>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</si>
  <si>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</si>
  <si>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</si>
  <si>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</si>
  <si>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</si>
  <si>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</si>
  <si>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</si>
  <si>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</si>
  <si>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</si>
  <si>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</si>
  <si>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</si>
  <si>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</si>
  <si>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</si>
  <si>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</si>
  <si>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</si>
  <si>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</si>
  <si>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</si>
  <si>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</si>
  <si>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</si>
  <si>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</si>
  <si>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</si>
  <si>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</si>
  <si>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</si>
  <si>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</si>
  <si>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</si>
  <si>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</si>
  <si>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</si>
  <si>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</si>
  <si>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</si>
  <si>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</si>
  <si>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</si>
  <si>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</si>
  <si>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</si>
  <si>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</si>
  <si>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</si>
  <si>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</si>
  <si>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</si>
  <si>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</si>
  <si>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</si>
  <si>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</si>
  <si>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</si>
  <si>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</si>
  <si>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</si>
  <si>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</si>
  <si>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</si>
  <si>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</si>
  <si>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</si>
  <si>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</si>
  <si>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</si>
  <si>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</si>
  <si>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</si>
  <si>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</si>
  <si>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</si>
  <si>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</si>
  <si>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</si>
  <si>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</si>
  <si>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</si>
  <si>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</si>
  <si>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</si>
  <si>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</si>
  <si>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</si>
  <si>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</si>
  <si>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</si>
  <si>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</si>
  <si>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</si>
  <si>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</si>
  <si>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</si>
  <si>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</si>
  <si>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</si>
  <si>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</si>
  <si>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</si>
  <si>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</si>
  <si>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</si>
  <si>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</si>
  <si>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</si>
  <si>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</si>
  <si>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</si>
  <si>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</si>
  <si>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</si>
  <si>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</si>
  <si>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</si>
  <si>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</si>
  <si>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</si>
  <si>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</si>
  <si>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</si>
  <si>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</si>
  <si>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</si>
  <si>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</si>
  <si>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</si>
  <si>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</si>
  <si>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</si>
  <si>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</si>
  <si>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</si>
  <si>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MEDIÇÃO: 3ª. MEDIÇÃO PARCIAL</t>
  </si>
  <si>
    <t>PERÍODO: 01/08/2024 A 12/08/2024</t>
  </si>
  <si>
    <t>PRAZO DA OBRA: 240 DIAS CORRIDOS</t>
  </si>
  <si>
    <t>PRAZO DECORRIDO: 54 DIAS CORRIDOS</t>
  </si>
  <si>
    <t>Valor da Alteração-01 (R$):</t>
  </si>
  <si>
    <t>Valor do Contrato (PI + Alteração) (R$):</t>
  </si>
  <si>
    <t>MEDIÇÃO Nº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</si>
</sst>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11"/>
      <name val="Times New Roman"/>
      <family val="1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3" fillId="0" borderId="6"/>
  </cellStyleXfs>
  <cellXfs count="308">
    <xf numFmtId="0" fontId="0" fillId="0" borderId="0" xfId="0"/>
    <xf numFmtId="0" fontId="4" fillId="0" borderId="0" xfId="0" applyFont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shrinkToFit="1"/>
    </xf>
    <xf numFmtId="4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2" fontId="9" fillId="5" borderId="1" xfId="0" applyNumberFormat="1" applyFont="1" applyFill="1" applyBorder="1" applyAlignment="1">
      <alignment horizontal="center" vertical="center" shrinkToFit="1"/>
    </xf>
    <xf numFmtId="2" fontId="9" fillId="5" borderId="1" xfId="0" applyNumberFormat="1" applyFont="1" applyFill="1" applyBorder="1" applyAlignment="1">
      <alignment horizontal="left" vertical="center" shrinkToFit="1"/>
    </xf>
    <xf numFmtId="0" fontId="10" fillId="6" borderId="0" xfId="0" applyFont="1" applyFill="1"/>
    <xf numFmtId="2" fontId="9" fillId="0" borderId="1" xfId="0" applyNumberFormat="1" applyFont="1" applyBorder="1" applyAlignment="1">
      <alignment horizontal="left" vertical="center" shrinkToFit="1"/>
    </xf>
    <xf numFmtId="0" fontId="9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" fontId="13" fillId="3" borderId="17" xfId="0" applyNumberFormat="1" applyFont="1" applyFill="1" applyBorder="1" applyAlignment="1">
      <alignment horizontal="center" vertical="top" wrapText="1"/>
    </xf>
    <xf numFmtId="4" fontId="14" fillId="3" borderId="17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4" fontId="11" fillId="0" borderId="16" xfId="0" applyNumberFormat="1" applyFont="1" applyBorder="1" applyAlignment="1">
      <alignment horizontal="center" wrapText="1"/>
    </xf>
    <xf numFmtId="4" fontId="16" fillId="0" borderId="1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4" fontId="13" fillId="7" borderId="29" xfId="0" applyNumberFormat="1" applyFont="1" applyFill="1" applyBorder="1" applyAlignment="1">
      <alignment horizontal="center" vertical="center" wrapText="1"/>
    </xf>
    <xf numFmtId="4" fontId="14" fillId="7" borderId="29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center" wrapText="1"/>
    </xf>
    <xf numFmtId="4" fontId="18" fillId="8" borderId="1" xfId="0" applyNumberFormat="1" applyFont="1" applyFill="1" applyBorder="1" applyAlignment="1">
      <alignment horizontal="center" vertical="center" shrinkToFit="1"/>
    </xf>
    <xf numFmtId="4" fontId="18" fillId="8" borderId="1" xfId="0" applyNumberFormat="1" applyFont="1" applyFill="1" applyBorder="1" applyAlignment="1">
      <alignment horizontal="center" vertical="top" shrinkToFit="1"/>
    </xf>
    <xf numFmtId="4" fontId="19" fillId="8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66" fontId="25" fillId="0" borderId="9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wrapText="1"/>
    </xf>
    <xf numFmtId="166" fontId="8" fillId="0" borderId="9" xfId="0" applyNumberFormat="1" applyFont="1" applyBorder="1" applyAlignment="1">
      <alignment horizontal="right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0" fontId="4" fillId="0" borderId="10" xfId="0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9" borderId="30" xfId="0" applyFont="1" applyFill="1" applyBorder="1" applyAlignment="1">
      <alignment wrapText="1"/>
    </xf>
    <xf numFmtId="0" fontId="4" fillId="9" borderId="31" xfId="0" applyFont="1" applyFill="1" applyBorder="1" applyAlignment="1">
      <alignment wrapText="1"/>
    </xf>
    <xf numFmtId="164" fontId="24" fillId="9" borderId="33" xfId="0" applyNumberFormat="1" applyFont="1" applyFill="1" applyBorder="1" applyAlignment="1">
      <alignment horizontal="right" vertical="center" wrapText="1"/>
    </xf>
    <xf numFmtId="0" fontId="4" fillId="9" borderId="34" xfId="0" applyFont="1" applyFill="1" applyBorder="1" applyAlignment="1">
      <alignment wrapText="1"/>
    </xf>
    <xf numFmtId="0" fontId="4" fillId="9" borderId="35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4" fillId="5" borderId="1" xfId="0" applyFont="1" applyFill="1" applyBorder="1" applyAlignment="1">
      <alignment horizontal="left"/>
    </xf>
    <xf numFmtId="0" fontId="35" fillId="0" borderId="2" xfId="0" applyFont="1" applyBorder="1" applyAlignment="1">
      <alignment horizontal="right" vertical="center" wrapText="1"/>
    </xf>
    <xf numFmtId="2" fontId="9" fillId="0" borderId="4" xfId="0" applyNumberFormat="1" applyFont="1" applyBorder="1" applyAlignment="1">
      <alignment horizontal="left" vertical="center" shrinkToFit="1"/>
    </xf>
    <xf numFmtId="2" fontId="9" fillId="5" borderId="33" xfId="0" applyNumberFormat="1" applyFont="1" applyFill="1" applyBorder="1" applyAlignment="1">
      <alignment horizontal="center" vertical="center" shrinkToFit="1"/>
    </xf>
    <xf numFmtId="2" fontId="9" fillId="0" borderId="37" xfId="0" applyNumberFormat="1" applyFont="1" applyBorder="1" applyAlignment="1">
      <alignment horizontal="center" vertical="center" shrinkToFit="1"/>
    </xf>
    <xf numFmtId="0" fontId="34" fillId="5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right" vertical="center" wrapText="1"/>
    </xf>
    <xf numFmtId="2" fontId="9" fillId="0" borderId="38" xfId="0" applyNumberFormat="1" applyFont="1" applyBorder="1" applyAlignment="1">
      <alignment horizontal="center" vertical="center" shrinkToFit="1"/>
    </xf>
    <xf numFmtId="2" fontId="9" fillId="0" borderId="32" xfId="0" applyNumberFormat="1" applyFont="1" applyBorder="1" applyAlignment="1">
      <alignment horizontal="left" vertical="center" shrinkToFit="1"/>
    </xf>
    <xf numFmtId="2" fontId="9" fillId="5" borderId="10" xfId="0" applyNumberFormat="1" applyFont="1" applyFill="1" applyBorder="1" applyAlignment="1">
      <alignment horizontal="left" vertical="center" shrinkToFit="1"/>
    </xf>
    <xf numFmtId="0" fontId="35" fillId="0" borderId="37" xfId="0" applyFont="1" applyBorder="1" applyAlignment="1">
      <alignment horizontal="right" vertical="center" wrapText="1"/>
    </xf>
    <xf numFmtId="2" fontId="9" fillId="0" borderId="37" xfId="0" applyNumberFormat="1" applyFont="1" applyBorder="1" applyAlignment="1">
      <alignment horizontal="left" vertical="center" shrinkToFit="1"/>
    </xf>
    <xf numFmtId="0" fontId="9" fillId="5" borderId="33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33" xfId="0" applyFont="1" applyFill="1" applyBorder="1" applyAlignment="1">
      <alignment horizontal="center" vertical="center" wrapText="1"/>
    </xf>
    <xf numFmtId="0" fontId="10" fillId="13" borderId="0" xfId="0" applyFont="1" applyFill="1"/>
    <xf numFmtId="0" fontId="0" fillId="13" borderId="0" xfId="0" applyFill="1"/>
    <xf numFmtId="0" fontId="35" fillId="5" borderId="1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2" fontId="9" fillId="5" borderId="33" xfId="0" applyNumberFormat="1" applyFont="1" applyFill="1" applyBorder="1" applyAlignment="1">
      <alignment horizontal="left" vertical="center" shrinkToFit="1"/>
    </xf>
    <xf numFmtId="2" fontId="9" fillId="5" borderId="39" xfId="0" applyNumberFormat="1" applyFont="1" applyFill="1" applyBorder="1" applyAlignment="1">
      <alignment horizontal="center" vertical="center" shrinkToFit="1"/>
    </xf>
    <xf numFmtId="0" fontId="9" fillId="12" borderId="37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center" vertical="center" wrapText="1"/>
    </xf>
    <xf numFmtId="0" fontId="9" fillId="12" borderId="37" xfId="0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right" vertical="center" wrapText="1"/>
    </xf>
    <xf numFmtId="0" fontId="36" fillId="0" borderId="37" xfId="0" applyFont="1" applyBorder="1" applyAlignment="1">
      <alignment horizontal="right" vertical="center" wrapText="1"/>
    </xf>
    <xf numFmtId="0" fontId="38" fillId="0" borderId="37" xfId="0" applyFont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right" vertical="center" wrapText="1"/>
    </xf>
    <xf numFmtId="4" fontId="9" fillId="12" borderId="37" xfId="0" applyNumberFormat="1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righ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5" fillId="5" borderId="37" xfId="0" applyFont="1" applyFill="1" applyBorder="1" applyAlignment="1">
      <alignment horizontal="left" vertical="center" wrapText="1"/>
    </xf>
    <xf numFmtId="2" fontId="9" fillId="5" borderId="37" xfId="0" applyNumberFormat="1" applyFont="1" applyFill="1" applyBorder="1" applyAlignment="1">
      <alignment horizontal="center" vertical="center" shrinkToFit="1"/>
    </xf>
    <xf numFmtId="0" fontId="36" fillId="0" borderId="30" xfId="0" applyFont="1" applyBorder="1" applyAlignment="1">
      <alignment horizontal="right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right" vertical="center" wrapText="1"/>
    </xf>
    <xf numFmtId="0" fontId="37" fillId="0" borderId="37" xfId="0" applyFont="1" applyBorder="1" applyAlignment="1">
      <alignment horizontal="right" vertical="center" wrapText="1"/>
    </xf>
    <xf numFmtId="2" fontId="9" fillId="5" borderId="36" xfId="0" applyNumberFormat="1" applyFont="1" applyFill="1" applyBorder="1" applyAlignment="1">
      <alignment horizontal="center" vertical="center" shrinkToFit="1"/>
    </xf>
    <xf numFmtId="2" fontId="9" fillId="12" borderId="37" xfId="0" applyNumberFormat="1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right" vertical="center" wrapText="1"/>
    </xf>
    <xf numFmtId="2" fontId="9" fillId="12" borderId="1" xfId="0" applyNumberFormat="1" applyFont="1" applyFill="1" applyBorder="1" applyAlignment="1">
      <alignment horizontal="left" vertical="center" shrinkToFit="1"/>
    </xf>
    <xf numFmtId="0" fontId="11" fillId="5" borderId="33" xfId="0" applyFont="1" applyFill="1" applyBorder="1" applyAlignment="1">
      <alignment horizontal="left" vertical="center" wrapText="1"/>
    </xf>
    <xf numFmtId="0" fontId="11" fillId="12" borderId="37" xfId="0" applyFont="1" applyFill="1" applyBorder="1" applyAlignment="1">
      <alignment horizontal="left" vertical="center" wrapText="1"/>
    </xf>
    <xf numFmtId="2" fontId="9" fillId="12" borderId="37" xfId="0" applyNumberFormat="1" applyFont="1" applyFill="1" applyBorder="1" applyAlignment="1">
      <alignment horizontal="center" vertical="center" shrinkToFit="1"/>
    </xf>
    <xf numFmtId="0" fontId="7" fillId="13" borderId="37" xfId="0" applyFont="1" applyFill="1" applyBorder="1"/>
    <xf numFmtId="2" fontId="9" fillId="12" borderId="37" xfId="0" applyNumberFormat="1" applyFont="1" applyFill="1" applyBorder="1" applyAlignment="1">
      <alignment horizontal="left" vertical="center" shrinkToFit="1"/>
    </xf>
    <xf numFmtId="0" fontId="39" fillId="0" borderId="30" xfId="0" applyFont="1" applyBorder="1" applyAlignment="1">
      <alignment horizontal="right" vertical="center" wrapText="1"/>
    </xf>
    <xf numFmtId="0" fontId="39" fillId="0" borderId="37" xfId="0" applyFont="1" applyBorder="1" applyAlignment="1">
      <alignment horizontal="right" vertical="center" wrapText="1"/>
    </xf>
    <xf numFmtId="0" fontId="40" fillId="13" borderId="37" xfId="0" applyFont="1" applyFill="1" applyBorder="1"/>
    <xf numFmtId="0" fontId="7" fillId="13" borderId="37" xfId="0" applyFont="1" applyFill="1" applyBorder="1" applyAlignment="1">
      <alignment horizontal="center"/>
    </xf>
    <xf numFmtId="2" fontId="34" fillId="12" borderId="37" xfId="0" applyNumberFormat="1" applyFont="1" applyFill="1" applyBorder="1" applyAlignment="1">
      <alignment horizontal="center" vertical="center" shrinkToFit="1"/>
    </xf>
    <xf numFmtId="0" fontId="11" fillId="12" borderId="2" xfId="0" applyFont="1" applyFill="1" applyBorder="1" applyAlignment="1">
      <alignment horizontal="left" vertical="center" wrapText="1"/>
    </xf>
    <xf numFmtId="0" fontId="41" fillId="0" borderId="37" xfId="0" applyFont="1" applyBorder="1" applyAlignment="1">
      <alignment horizontal="right" vertical="center" wrapText="1"/>
    </xf>
    <xf numFmtId="2" fontId="35" fillId="12" borderId="37" xfId="0" applyNumberFormat="1" applyFont="1" applyFill="1" applyBorder="1" applyAlignment="1">
      <alignment horizontal="center" vertical="center" shrinkToFit="1"/>
    </xf>
    <xf numFmtId="2" fontId="9" fillId="5" borderId="39" xfId="0" applyNumberFormat="1" applyFont="1" applyFill="1" applyBorder="1" applyAlignment="1">
      <alignment horizontal="left" vertical="center" shrinkToFi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1" fillId="12" borderId="38" xfId="0" applyFont="1" applyFill="1" applyBorder="1" applyAlignment="1">
      <alignment horizontal="left" vertical="center" wrapText="1"/>
    </xf>
    <xf numFmtId="2" fontId="9" fillId="12" borderId="38" xfId="0" applyNumberFormat="1" applyFont="1" applyFill="1" applyBorder="1" applyAlignment="1">
      <alignment horizontal="center" vertical="center" shrinkToFit="1"/>
    </xf>
    <xf numFmtId="2" fontId="9" fillId="12" borderId="33" xfId="0" applyNumberFormat="1" applyFont="1" applyFill="1" applyBorder="1" applyAlignment="1">
      <alignment horizontal="left" vertical="center" shrinkToFit="1"/>
    </xf>
    <xf numFmtId="0" fontId="9" fillId="5" borderId="34" xfId="0" applyFont="1" applyFill="1" applyBorder="1" applyAlignment="1">
      <alignment horizontal="left" vertical="center" wrapText="1"/>
    </xf>
    <xf numFmtId="0" fontId="9" fillId="5" borderId="35" xfId="0" applyFont="1" applyFill="1" applyBorder="1" applyAlignment="1">
      <alignment horizontal="left" vertical="center" wrapText="1"/>
    </xf>
    <xf numFmtId="0" fontId="9" fillId="5" borderId="36" xfId="0" applyFont="1" applyFill="1" applyBorder="1" applyAlignment="1">
      <alignment horizontal="left" vertical="center" wrapText="1"/>
    </xf>
    <xf numFmtId="0" fontId="35" fillId="12" borderId="37" xfId="0" applyFont="1" applyFill="1" applyBorder="1" applyAlignment="1">
      <alignment horizontal="righ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0" fillId="13" borderId="47" xfId="0" applyFill="1" applyBorder="1"/>
    <xf numFmtId="0" fontId="3" fillId="13" borderId="0" xfId="0" applyFont="1" applyFill="1"/>
    <xf numFmtId="4" fontId="0" fillId="13" borderId="53" xfId="0" applyNumberFormat="1" applyFill="1" applyBorder="1" applyAlignment="1">
      <alignment horizontal="right"/>
    </xf>
    <xf numFmtId="0" fontId="0" fillId="13" borderId="6" xfId="0" applyFill="1" applyBorder="1"/>
    <xf numFmtId="0" fontId="9" fillId="4" borderId="10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left" vertical="center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shrinkToFit="1"/>
    </xf>
    <xf numFmtId="168" fontId="9" fillId="0" borderId="1" xfId="0" applyNumberFormat="1" applyFont="1" applyBorder="1" applyAlignment="1">
      <alignment horizontal="center" vertical="center" wrapText="1" shrinkToFit="1"/>
    </xf>
    <xf numFmtId="168" fontId="9" fillId="4" borderId="10" xfId="0" applyNumberFormat="1" applyFont="1" applyFill="1" applyBorder="1" applyAlignment="1">
      <alignment horizontal="center" vertical="center" wrapText="1"/>
    </xf>
    <xf numFmtId="4" fontId="0" fillId="13" borderId="0" xfId="0" applyNumberFormat="1" applyFill="1"/>
    <xf numFmtId="4" fontId="0" fillId="13" borderId="6" xfId="0" applyNumberFormat="1" applyFill="1" applyBorder="1"/>
    <xf numFmtId="0" fontId="9" fillId="4" borderId="55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/>
    </xf>
    <xf numFmtId="4" fontId="9" fillId="5" borderId="6" xfId="0" applyNumberFormat="1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9" fontId="9" fillId="4" borderId="10" xfId="0" applyNumberFormat="1" applyFont="1" applyFill="1" applyBorder="1" applyAlignment="1">
      <alignment horizontal="center" vertical="center" shrinkToFit="1"/>
    </xf>
    <xf numFmtId="169" fontId="9" fillId="5" borderId="1" xfId="0" applyNumberFormat="1" applyFont="1" applyFill="1" applyBorder="1" applyAlignment="1">
      <alignment horizontal="center" vertical="center" shrinkToFit="1"/>
    </xf>
    <xf numFmtId="169" fontId="9" fillId="0" borderId="1" xfId="0" applyNumberFormat="1" applyFont="1" applyBorder="1" applyAlignment="1">
      <alignment horizontal="center" vertical="center" shrinkToFit="1"/>
    </xf>
    <xf numFmtId="169" fontId="9" fillId="0" borderId="1" xfId="0" quotePrefix="1" applyNumberFormat="1" applyFont="1" applyBorder="1" applyAlignment="1">
      <alignment horizontal="center" vertical="center" shrinkToFit="1"/>
    </xf>
    <xf numFmtId="169" fontId="9" fillId="0" borderId="33" xfId="0" applyNumberFormat="1" applyFont="1" applyBorder="1" applyAlignment="1">
      <alignment horizontal="center" vertical="center" shrinkToFit="1"/>
    </xf>
    <xf numFmtId="169" fontId="9" fillId="0" borderId="2" xfId="0" applyNumberFormat="1" applyFont="1" applyBorder="1" applyAlignment="1">
      <alignment horizontal="center" vertical="center" shrinkToFit="1"/>
    </xf>
    <xf numFmtId="169" fontId="9" fillId="0" borderId="37" xfId="0" applyNumberFormat="1" applyFont="1" applyBorder="1" applyAlignment="1">
      <alignment horizontal="center" vertical="center" shrinkToFit="1"/>
    </xf>
    <xf numFmtId="169" fontId="9" fillId="4" borderId="10" xfId="0" applyNumberFormat="1" applyFont="1" applyFill="1" applyBorder="1" applyAlignment="1">
      <alignment horizontal="center" vertical="center" wrapText="1"/>
    </xf>
    <xf numFmtId="169" fontId="9" fillId="5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 shrinkToFit="1"/>
    </xf>
    <xf numFmtId="0" fontId="9" fillId="4" borderId="55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3" fillId="13" borderId="46" xfId="0" applyFont="1" applyFill="1" applyBorder="1" applyAlignment="1">
      <alignment horizontal="left" vertical="center"/>
    </xf>
    <xf numFmtId="0" fontId="3" fillId="13" borderId="47" xfId="0" applyFont="1" applyFill="1" applyBorder="1" applyAlignment="1">
      <alignment horizontal="left" vertical="center"/>
    </xf>
    <xf numFmtId="0" fontId="3" fillId="13" borderId="47" xfId="0" applyFont="1" applyFill="1" applyBorder="1" applyAlignment="1">
      <alignment horizontal="right"/>
    </xf>
    <xf numFmtId="0" fontId="3" fillId="13" borderId="48" xfId="0" applyFont="1" applyFill="1" applyBorder="1" applyAlignment="1">
      <alignment horizontal="right"/>
    </xf>
    <xf numFmtId="0" fontId="7" fillId="0" borderId="54" xfId="0" applyFont="1" applyBorder="1"/>
    <xf numFmtId="0" fontId="9" fillId="4" borderId="55" xfId="0" applyFont="1" applyFill="1" applyBorder="1" applyAlignment="1">
      <alignment horizontal="left" vertical="center" wrapText="1"/>
    </xf>
    <xf numFmtId="0" fontId="3" fillId="13" borderId="47" xfId="0" applyFont="1" applyFill="1" applyBorder="1" applyAlignment="1">
      <alignment horizontal="center"/>
    </xf>
    <xf numFmtId="0" fontId="3" fillId="13" borderId="0" xfId="0" applyFont="1" applyFill="1"/>
    <xf numFmtId="0" fontId="0" fillId="13" borderId="0" xfId="0" applyFill="1" applyAlignment="1">
      <alignment horizontal="left"/>
    </xf>
    <xf numFmtId="0" fontId="0" fillId="13" borderId="0" xfId="0" applyFill="1"/>
    <xf numFmtId="0" fontId="2" fillId="13" borderId="0" xfId="0" applyFont="1" applyFill="1"/>
    <xf numFmtId="0" fontId="3" fillId="13" borderId="49" xfId="0" applyFont="1" applyFill="1" applyBorder="1" applyAlignment="1">
      <alignment horizontal="right"/>
    </xf>
    <xf numFmtId="0" fontId="3" fillId="13" borderId="50" xfId="0" applyFont="1" applyFill="1" applyBorder="1" applyAlignment="1">
      <alignment horizontal="right"/>
    </xf>
    <xf numFmtId="0" fontId="3" fillId="13" borderId="52" xfId="0" applyFont="1" applyFill="1" applyBorder="1" applyAlignment="1">
      <alignment horizontal="right"/>
    </xf>
    <xf numFmtId="0" fontId="3" fillId="13" borderId="6" xfId="0" applyFont="1" applyFill="1" applyBorder="1" applyAlignment="1">
      <alignment horizontal="right"/>
    </xf>
    <xf numFmtId="2" fontId="34" fillId="12" borderId="40" xfId="0" applyNumberFormat="1" applyFont="1" applyFill="1" applyBorder="1" applyAlignment="1">
      <alignment horizontal="center" vertical="center" shrinkToFit="1"/>
    </xf>
    <xf numFmtId="2" fontId="34" fillId="12" borderId="41" xfId="0" applyNumberFormat="1" applyFont="1" applyFill="1" applyBorder="1" applyAlignment="1">
      <alignment horizontal="center" vertical="center" shrinkToFit="1"/>
    </xf>
    <xf numFmtId="2" fontId="34" fillId="12" borderId="42" xfId="0" applyNumberFormat="1" applyFont="1" applyFill="1" applyBorder="1" applyAlignment="1">
      <alignment horizontal="center" vertical="center" shrinkToFit="1"/>
    </xf>
    <xf numFmtId="2" fontId="9" fillId="12" borderId="41" xfId="0" applyNumberFormat="1" applyFont="1" applyFill="1" applyBorder="1" applyAlignment="1">
      <alignment horizontal="center" vertical="center" shrinkToFit="1"/>
    </xf>
    <xf numFmtId="2" fontId="9" fillId="12" borderId="42" xfId="0" applyNumberFormat="1" applyFont="1" applyFill="1" applyBorder="1" applyAlignment="1">
      <alignment horizontal="center" vertical="center" shrinkToFit="1"/>
    </xf>
    <xf numFmtId="2" fontId="34" fillId="12" borderId="43" xfId="0" applyNumberFormat="1" applyFont="1" applyFill="1" applyBorder="1" applyAlignment="1">
      <alignment horizontal="center" vertical="center" shrinkToFit="1"/>
    </xf>
    <xf numFmtId="2" fontId="34" fillId="12" borderId="44" xfId="0" applyNumberFormat="1" applyFont="1" applyFill="1" applyBorder="1" applyAlignment="1">
      <alignment horizontal="center" vertical="center" shrinkToFit="1"/>
    </xf>
    <xf numFmtId="2" fontId="34" fillId="12" borderId="45" xfId="0" applyNumberFormat="1" applyFont="1" applyFill="1" applyBorder="1" applyAlignment="1">
      <alignment horizontal="center" vertical="center" shrinkToFit="1"/>
    </xf>
    <xf numFmtId="2" fontId="9" fillId="5" borderId="8" xfId="0" applyNumberFormat="1" applyFont="1" applyFill="1" applyBorder="1" applyAlignment="1">
      <alignment horizontal="center" vertical="center" shrinkToFit="1"/>
    </xf>
    <xf numFmtId="0" fontId="7" fillId="0" borderId="6" xfId="0" applyFont="1" applyBorder="1"/>
    <xf numFmtId="0" fontId="7" fillId="0" borderId="17" xfId="0" applyFont="1" applyBorder="1"/>
    <xf numFmtId="2" fontId="9" fillId="5" borderId="2" xfId="0" applyNumberFormat="1" applyFont="1" applyFill="1" applyBorder="1" applyAlignment="1">
      <alignment horizontal="center" vertical="center" shrinkToFit="1"/>
    </xf>
    <xf numFmtId="0" fontId="7" fillId="0" borderId="3" xfId="0" applyFont="1" applyBorder="1"/>
    <xf numFmtId="0" fontId="7" fillId="0" borderId="4" xfId="0" applyFont="1" applyBorder="1"/>
    <xf numFmtId="0" fontId="34" fillId="12" borderId="40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9" fillId="12" borderId="42" xfId="0" applyFont="1" applyFill="1" applyBorder="1" applyAlignment="1">
      <alignment horizontal="center" vertical="center" wrapText="1"/>
    </xf>
    <xf numFmtId="2" fontId="34" fillId="5" borderId="37" xfId="0" applyNumberFormat="1" applyFont="1" applyFill="1" applyBorder="1" applyAlignment="1">
      <alignment horizontal="center" vertical="center" shrinkToFit="1"/>
    </xf>
    <xf numFmtId="0" fontId="7" fillId="0" borderId="37" xfId="0" applyFont="1" applyBorder="1"/>
    <xf numFmtId="2" fontId="34" fillId="5" borderId="2" xfId="0" applyNumberFormat="1" applyFont="1" applyFill="1" applyBorder="1" applyAlignment="1">
      <alignment horizontal="center" vertical="center" shrinkToFit="1"/>
    </xf>
    <xf numFmtId="2" fontId="34" fillId="5" borderId="30" xfId="0" applyNumberFormat="1" applyFont="1" applyFill="1" applyBorder="1" applyAlignment="1">
      <alignment horizontal="center" vertical="center" shrinkToFit="1"/>
    </xf>
    <xf numFmtId="0" fontId="7" fillId="0" borderId="31" xfId="0" applyFont="1" applyBorder="1"/>
    <xf numFmtId="0" fontId="7" fillId="0" borderId="32" xfId="0" applyFont="1" applyBorder="1"/>
    <xf numFmtId="0" fontId="9" fillId="4" borderId="11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7" fillId="7" borderId="20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13" fillId="7" borderId="22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4" xfId="0" applyFont="1" applyBorder="1"/>
    <xf numFmtId="0" fontId="12" fillId="3" borderId="5" xfId="0" applyFont="1" applyFill="1" applyBorder="1" applyAlignment="1">
      <alignment horizontal="center" vertical="top" wrapText="1"/>
    </xf>
    <xf numFmtId="0" fontId="7" fillId="0" borderId="7" xfId="0" applyFont="1" applyBorder="1"/>
    <xf numFmtId="0" fontId="16" fillId="0" borderId="14" xfId="0" applyFont="1" applyBorder="1"/>
    <xf numFmtId="0" fontId="12" fillId="7" borderId="18" xfId="0" applyFont="1" applyFill="1" applyBorder="1" applyAlignment="1">
      <alignment horizontal="center" vertical="center" wrapText="1"/>
    </xf>
    <xf numFmtId="0" fontId="7" fillId="0" borderId="25" xfId="0" applyFont="1" applyBorder="1"/>
    <xf numFmtId="0" fontId="13" fillId="7" borderId="19" xfId="0" applyFont="1" applyFill="1" applyBorder="1" applyAlignment="1">
      <alignment horizontal="center" vertical="center" wrapText="1"/>
    </xf>
    <xf numFmtId="0" fontId="7" fillId="0" borderId="26" xfId="0" applyFont="1" applyBorder="1"/>
    <xf numFmtId="0" fontId="13" fillId="7" borderId="19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15" xfId="0" applyFont="1" applyBorder="1" applyAlignment="1">
      <alignment horizontal="center" wrapText="1"/>
    </xf>
    <xf numFmtId="0" fontId="23" fillId="0" borderId="9" xfId="0" applyFont="1" applyBorder="1" applyAlignment="1">
      <alignment horizontal="left" vertical="center" wrapText="1"/>
    </xf>
    <xf numFmtId="0" fontId="7" fillId="0" borderId="10" xfId="0" applyFont="1" applyBorder="1"/>
    <xf numFmtId="0" fontId="24" fillId="0" borderId="9" xfId="0" applyFont="1" applyBorder="1" applyAlignment="1">
      <alignment horizontal="left" vertical="center" wrapText="1"/>
    </xf>
    <xf numFmtId="164" fontId="24" fillId="0" borderId="9" xfId="0" applyNumberFormat="1" applyFont="1" applyBorder="1" applyAlignment="1">
      <alignment horizontal="right" vertical="center" wrapText="1"/>
    </xf>
    <xf numFmtId="164" fontId="22" fillId="9" borderId="32" xfId="0" applyNumberFormat="1" applyFont="1" applyFill="1" applyBorder="1" applyAlignment="1">
      <alignment horizontal="right" vertical="center" wrapText="1"/>
    </xf>
    <xf numFmtId="0" fontId="7" fillId="0" borderId="36" xfId="0" applyFont="1" applyBorder="1"/>
    <xf numFmtId="164" fontId="24" fillId="9" borderId="9" xfId="0" applyNumberFormat="1" applyFont="1" applyFill="1" applyBorder="1" applyAlignment="1">
      <alignment horizontal="right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167" fontId="24" fillId="0" borderId="2" xfId="0" applyNumberFormat="1" applyFont="1" applyBorder="1" applyAlignment="1">
      <alignment horizontal="right" vertical="top" wrapText="1"/>
    </xf>
    <xf numFmtId="4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center" wrapText="1"/>
    </xf>
    <xf numFmtId="4" fontId="27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4" fontId="24" fillId="0" borderId="2" xfId="0" applyNumberFormat="1" applyFont="1" applyBorder="1" applyAlignment="1">
      <alignment horizontal="right" vertical="top" wrapText="1"/>
    </xf>
    <xf numFmtId="0" fontId="1" fillId="13" borderId="0" xfId="0" applyFont="1" applyFill="1" applyAlignment="1">
      <alignment horizontal="left"/>
    </xf>
    <xf numFmtId="0" fontId="1" fillId="13" borderId="0" xfId="0" applyFont="1" applyFill="1"/>
    <xf numFmtId="0" fontId="1" fillId="13" borderId="52" xfId="0" applyFont="1" applyFill="1" applyBorder="1" applyAlignment="1">
      <alignment horizontal="right"/>
    </xf>
    <xf numFmtId="0" fontId="9" fillId="4" borderId="57" xfId="0" applyFont="1" applyFill="1" applyBorder="1" applyAlignment="1">
      <alignment horizontal="center" vertical="center" wrapText="1"/>
    </xf>
    <xf numFmtId="0" fontId="3" fillId="13" borderId="58" xfId="0" applyFont="1" applyFill="1" applyBorder="1" applyAlignment="1">
      <alignment horizontal="right"/>
    </xf>
    <xf numFmtId="0" fontId="3" fillId="13" borderId="56" xfId="0" applyFont="1" applyFill="1" applyBorder="1" applyAlignment="1">
      <alignment horizontal="right"/>
    </xf>
    <xf numFmtId="4" fontId="0" fillId="13" borderId="59" xfId="0" applyNumberFormat="1" applyFill="1" applyBorder="1" applyAlignment="1">
      <alignment horizontal="right"/>
    </xf>
    <xf numFmtId="4" fontId="0" fillId="13" borderId="51" xfId="0" applyNumberFormat="1" applyFill="1" applyBorder="1"/>
    <xf numFmtId="4" fontId="0" fillId="13" borderId="53" xfId="0" applyNumberFormat="1" applyFill="1" applyBorder="1"/>
    <xf numFmtId="0" fontId="1" fillId="13" borderId="47" xfId="0" applyFont="1" applyFill="1" applyBorder="1" applyAlignment="1">
      <alignment horizontal="right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19"/>
  <sheetViews>
    <sheetView tabSelected="1" zoomScale="55" zoomScaleNormal="55" workbookViewId="0">
      <selection activeCell="I2" sqref="I2"/>
    </sheetView>
  </sheetViews>
  <sheetFormatPr defaultColWidth="14.453125" defaultRowHeight="14.5"/>
  <cols>
    <col min="1" max="1" width="13.26953125" style="135" customWidth="1"/>
    <col min="2" max="2" width="80" style="135" customWidth="1"/>
    <col min="3" max="3" width="9.1796875" style="135" hidden="1" customWidth="1"/>
    <col min="4" max="4" width="11.7265625" style="135" customWidth="1"/>
    <col min="5" max="5" width="13.6328125" style="135" customWidth="1"/>
    <col min="6" max="6" width="11.453125" style="195" customWidth="1"/>
    <col min="7" max="7" width="13.81640625" style="195" customWidth="1"/>
    <col min="8" max="8" width="18.26953125" style="135" customWidth="1"/>
    <col min="9" max="9" width="18.6328125" style="135" bestFit="1" customWidth="1"/>
    <col min="10" max="10" width="33.81640625" style="135" bestFit="1" customWidth="1"/>
    <col min="11" max="11" width="18.453125" style="135" customWidth="1"/>
    <col min="12" max="16384" width="14.453125" style="135"/>
  </cols>
  <sheetData>
    <row r="1" spans="1:11" ht="15" thickBot="1">
      <c r="A1" s="217" t="s">
        <v>638</v>
      </c>
      <c r="B1" s="218"/>
      <c r="C1" s="184"/>
      <c r="D1" s="223" t="s">
        <v>639</v>
      </c>
      <c r="E1" s="223"/>
      <c r="F1" s="223"/>
      <c r="G1" s="223"/>
      <c r="H1" s="223"/>
      <c r="I1" s="307" t="s">
        <v>2042</v>
      </c>
      <c r="J1" s="219"/>
      <c r="K1" s="220"/>
    </row>
    <row r="3" spans="1:11" ht="14" customHeight="1">
      <c r="A3" s="224" t="s">
        <v>640</v>
      </c>
      <c r="B3" s="224"/>
      <c r="C3" s="224"/>
      <c r="D3" s="224"/>
      <c r="E3" s="224"/>
      <c r="F3" s="224"/>
    </row>
    <row r="4" spans="1:11" ht="20" customHeight="1" thickBot="1">
      <c r="A4" s="298" t="s">
        <v>2036</v>
      </c>
      <c r="B4" s="225"/>
      <c r="D4" s="185" t="s">
        <v>643</v>
      </c>
      <c r="G4" s="135"/>
      <c r="I4" s="227"/>
      <c r="J4" s="226"/>
    </row>
    <row r="5" spans="1:11" ht="20" customHeight="1">
      <c r="A5" s="226" t="s">
        <v>641</v>
      </c>
      <c r="B5" s="226"/>
      <c r="D5" s="299" t="s">
        <v>2037</v>
      </c>
      <c r="I5" s="228" t="s">
        <v>645</v>
      </c>
      <c r="J5" s="229"/>
      <c r="K5" s="305">
        <v>5487662.5</v>
      </c>
    </row>
    <row r="6" spans="1:11" ht="20" customHeight="1">
      <c r="A6" s="226" t="s">
        <v>642</v>
      </c>
      <c r="B6" s="226"/>
      <c r="I6" s="300" t="s">
        <v>2040</v>
      </c>
      <c r="J6" s="231"/>
      <c r="K6" s="306">
        <v>733038.96</v>
      </c>
    </row>
    <row r="7" spans="1:11">
      <c r="D7" s="299" t="s">
        <v>2038</v>
      </c>
      <c r="I7" s="300" t="s">
        <v>2041</v>
      </c>
      <c r="J7" s="231"/>
      <c r="K7" s="186">
        <v>6220701.46</v>
      </c>
    </row>
    <row r="8" spans="1:11">
      <c r="D8" s="299" t="s">
        <v>2039</v>
      </c>
      <c r="I8" s="230" t="s">
        <v>644</v>
      </c>
      <c r="J8" s="231"/>
      <c r="K8" s="186">
        <v>5258638.0199999996</v>
      </c>
    </row>
    <row r="9" spans="1:11" ht="15" thickBot="1">
      <c r="A9" s="187"/>
      <c r="B9" s="187"/>
      <c r="C9" s="187"/>
      <c r="D9" s="187"/>
      <c r="E9" s="187"/>
      <c r="F9" s="196"/>
      <c r="G9" s="196"/>
      <c r="H9" s="187"/>
      <c r="I9" s="302" t="s">
        <v>646</v>
      </c>
      <c r="J9" s="303"/>
      <c r="K9" s="304">
        <v>962063.44</v>
      </c>
    </row>
    <row r="10" spans="1:11" ht="26" customHeight="1" thickTop="1" thickBot="1">
      <c r="A10" s="215" t="s">
        <v>2</v>
      </c>
      <c r="B10" s="222" t="s">
        <v>628</v>
      </c>
      <c r="C10" s="215" t="s">
        <v>64</v>
      </c>
      <c r="D10" s="215" t="s">
        <v>633</v>
      </c>
      <c r="E10" s="215" t="s">
        <v>629</v>
      </c>
      <c r="F10" s="215"/>
      <c r="G10" s="215" t="s">
        <v>632</v>
      </c>
      <c r="H10" s="197" t="s">
        <v>634</v>
      </c>
      <c r="I10" s="301" t="s">
        <v>636</v>
      </c>
      <c r="J10" s="301"/>
      <c r="K10" s="301" t="s">
        <v>637</v>
      </c>
    </row>
    <row r="11" spans="1:11" ht="27" thickTop="1" thickBot="1">
      <c r="A11" s="221"/>
      <c r="B11" s="221"/>
      <c r="C11" s="221"/>
      <c r="D11" s="216"/>
      <c r="E11" s="198" t="s">
        <v>630</v>
      </c>
      <c r="F11" s="198" t="s">
        <v>631</v>
      </c>
      <c r="G11" s="216"/>
      <c r="H11" s="198" t="s">
        <v>635</v>
      </c>
      <c r="I11" s="198" t="s">
        <v>630</v>
      </c>
      <c r="J11" s="198" t="s">
        <v>631</v>
      </c>
      <c r="K11" s="216"/>
    </row>
    <row r="12" spans="1:11">
      <c r="A12" s="183">
        <v>1</v>
      </c>
      <c r="B12" s="188" t="s">
        <v>653</v>
      </c>
      <c r="C12" s="183"/>
      <c r="D12" s="183"/>
      <c r="E12" s="210"/>
      <c r="F12" s="210"/>
      <c r="G12" s="210"/>
      <c r="H12" s="183"/>
      <c r="I12" s="203">
        <f>SUM(I13,I17,I19,I26,I33,I37)</f>
        <v>67676.830199999997</v>
      </c>
      <c r="J12" s="203">
        <f>SUM(J13,J17,J19,J26,J33,J37)</f>
        <v>68246.627999999997</v>
      </c>
      <c r="K12" s="203">
        <f>SUM(K13,K17,K19,K26,K33,K37)</f>
        <v>569.79780000000028</v>
      </c>
    </row>
    <row r="13" spans="1:11">
      <c r="A13" s="8" t="s">
        <v>9</v>
      </c>
      <c r="B13" s="9" t="s">
        <v>8</v>
      </c>
      <c r="C13" s="8"/>
      <c r="D13" s="8"/>
      <c r="E13" s="211"/>
      <c r="F13" s="211"/>
      <c r="G13" s="211"/>
      <c r="H13" s="191"/>
      <c r="I13" s="204">
        <f>SUM(I14:I16)</f>
        <v>5813.0454</v>
      </c>
      <c r="J13" s="204">
        <f>SUM(J14:J16)</f>
        <v>5813.0454</v>
      </c>
      <c r="K13" s="204">
        <f>SUM(K14:K16)</f>
        <v>0</v>
      </c>
    </row>
    <row r="14" spans="1:11">
      <c r="A14" s="11" t="s">
        <v>647</v>
      </c>
      <c r="B14" s="12" t="s">
        <v>648</v>
      </c>
      <c r="C14" s="10" t="s">
        <v>11</v>
      </c>
      <c r="D14" s="13" t="s">
        <v>124</v>
      </c>
      <c r="E14" s="205">
        <v>0</v>
      </c>
      <c r="F14" s="205">
        <v>0</v>
      </c>
      <c r="G14" s="205">
        <f>F14-E14</f>
        <v>0</v>
      </c>
      <c r="H14" s="192">
        <v>385.69</v>
      </c>
      <c r="I14" s="205">
        <f>H14*E14</f>
        <v>0</v>
      </c>
      <c r="J14" s="205">
        <f>H14*F14</f>
        <v>0</v>
      </c>
      <c r="K14" s="205">
        <f>J13-I13</f>
        <v>0</v>
      </c>
    </row>
    <row r="15" spans="1:11" ht="26">
      <c r="A15" s="11" t="s">
        <v>650</v>
      </c>
      <c r="B15" s="12" t="s">
        <v>652</v>
      </c>
      <c r="C15" s="10" t="s">
        <v>13</v>
      </c>
      <c r="D15" s="13" t="s">
        <v>124</v>
      </c>
      <c r="E15" s="205">
        <v>657.9</v>
      </c>
      <c r="F15" s="205">
        <v>657.9</v>
      </c>
      <c r="G15" s="205">
        <f t="shared" ref="G15:G16" si="0">F15-E15</f>
        <v>0</v>
      </c>
      <c r="H15" s="192">
        <v>0.36</v>
      </c>
      <c r="I15" s="205">
        <f t="shared" ref="I15:I16" si="1">H15*E15</f>
        <v>236.84399999999999</v>
      </c>
      <c r="J15" s="205">
        <f t="shared" ref="J15:J16" si="2">H15*F15</f>
        <v>236.84399999999999</v>
      </c>
      <c r="K15" s="205">
        <f t="shared" ref="K15:K16" si="3">J14-I14</f>
        <v>0</v>
      </c>
    </row>
    <row r="16" spans="1:11" ht="52">
      <c r="A16" s="11" t="s">
        <v>651</v>
      </c>
      <c r="B16" s="12" t="s">
        <v>649</v>
      </c>
      <c r="C16" s="10" t="s">
        <v>11</v>
      </c>
      <c r="D16" s="13" t="s">
        <v>124</v>
      </c>
      <c r="E16" s="205">
        <v>90.42</v>
      </c>
      <c r="F16" s="205">
        <v>90.42</v>
      </c>
      <c r="G16" s="205">
        <f t="shared" si="0"/>
        <v>0</v>
      </c>
      <c r="H16" s="192">
        <v>61.67</v>
      </c>
      <c r="I16" s="205">
        <f t="shared" si="1"/>
        <v>5576.2013999999999</v>
      </c>
      <c r="J16" s="205">
        <f t="shared" si="2"/>
        <v>5576.2013999999999</v>
      </c>
      <c r="K16" s="205">
        <f t="shared" si="3"/>
        <v>0</v>
      </c>
    </row>
    <row r="17" spans="1:11">
      <c r="A17" s="8" t="s">
        <v>12</v>
      </c>
      <c r="B17" s="9" t="s">
        <v>654</v>
      </c>
      <c r="C17" s="8"/>
      <c r="D17" s="8"/>
      <c r="E17" s="211"/>
      <c r="F17" s="211"/>
      <c r="G17" s="211"/>
      <c r="H17" s="191"/>
      <c r="I17" s="204">
        <f>SUM(I18:I18)</f>
        <v>250.00199999999998</v>
      </c>
      <c r="J17" s="204">
        <f>SUM(J18:J18)</f>
        <v>250.00199999999998</v>
      </c>
      <c r="K17" s="204">
        <f>K18</f>
        <v>0</v>
      </c>
    </row>
    <row r="18" spans="1:11" ht="26">
      <c r="A18" s="11" t="s">
        <v>656</v>
      </c>
      <c r="B18" s="12" t="s">
        <v>655</v>
      </c>
      <c r="C18" s="10"/>
      <c r="D18" s="13" t="s">
        <v>124</v>
      </c>
      <c r="E18" s="205">
        <v>657.9</v>
      </c>
      <c r="F18" s="205">
        <v>657.9</v>
      </c>
      <c r="G18" s="205">
        <f>F18-E18</f>
        <v>0</v>
      </c>
      <c r="H18" s="192">
        <v>0.38</v>
      </c>
      <c r="I18" s="205">
        <f>H18*E18</f>
        <v>250.00199999999998</v>
      </c>
      <c r="J18" s="205">
        <f>H18*F18</f>
        <v>250.00199999999998</v>
      </c>
      <c r="K18" s="205">
        <f>J18-I18</f>
        <v>0</v>
      </c>
    </row>
    <row r="19" spans="1:11">
      <c r="A19" s="8" t="s">
        <v>14</v>
      </c>
      <c r="B19" s="9" t="s">
        <v>657</v>
      </c>
      <c r="C19" s="8"/>
      <c r="D19" s="8"/>
      <c r="E19" s="211"/>
      <c r="F19" s="211"/>
      <c r="G19" s="211"/>
      <c r="H19" s="191"/>
      <c r="I19" s="204">
        <f>SUM(I20:I25)</f>
        <v>30231.228899999998</v>
      </c>
      <c r="J19" s="204">
        <f>SUM(J20:J25)</f>
        <v>30516.127799999998</v>
      </c>
      <c r="K19" s="204">
        <f>SUM(K20:K25)</f>
        <v>284.89890000000014</v>
      </c>
    </row>
    <row r="20" spans="1:11">
      <c r="A20" s="11" t="s">
        <v>663</v>
      </c>
      <c r="B20" s="12" t="s">
        <v>658</v>
      </c>
      <c r="C20" s="10"/>
      <c r="D20" s="13" t="s">
        <v>124</v>
      </c>
      <c r="E20" s="205">
        <v>657.9</v>
      </c>
      <c r="F20" s="205">
        <v>657.9</v>
      </c>
      <c r="G20" s="205">
        <f>F20-E20</f>
        <v>0</v>
      </c>
      <c r="H20" s="192">
        <v>1.75</v>
      </c>
      <c r="I20" s="205">
        <f>H20*E20</f>
        <v>1151.325</v>
      </c>
      <c r="J20" s="205">
        <f>H20*F20</f>
        <v>1151.325</v>
      </c>
      <c r="K20" s="205">
        <f>J20-I20</f>
        <v>0</v>
      </c>
    </row>
    <row r="21" spans="1:11" ht="26">
      <c r="A21" s="11" t="s">
        <v>664</v>
      </c>
      <c r="B21" s="12" t="s">
        <v>659</v>
      </c>
      <c r="C21" s="10"/>
      <c r="D21" s="13" t="s">
        <v>87</v>
      </c>
      <c r="E21" s="205">
        <v>19.739999999999998</v>
      </c>
      <c r="F21" s="205">
        <v>19.739999999999998</v>
      </c>
      <c r="G21" s="205">
        <f t="shared" ref="G21:G25" si="4">F21-E21</f>
        <v>0</v>
      </c>
      <c r="H21" s="192">
        <v>10.32</v>
      </c>
      <c r="I21" s="205">
        <f t="shared" ref="I21:I25" si="5">H21*E21</f>
        <v>203.71679999999998</v>
      </c>
      <c r="J21" s="205">
        <f t="shared" ref="J21:J25" si="6">H21*F21</f>
        <v>203.71679999999998</v>
      </c>
      <c r="K21" s="205">
        <f t="shared" ref="K21:K25" si="7">J21-I21</f>
        <v>0</v>
      </c>
    </row>
    <row r="22" spans="1:11" ht="28.5" customHeight="1">
      <c r="A22" s="11" t="s">
        <v>665</v>
      </c>
      <c r="B22" s="12" t="s">
        <v>660</v>
      </c>
      <c r="C22" s="10"/>
      <c r="D22" s="13" t="s">
        <v>1485</v>
      </c>
      <c r="E22" s="205">
        <v>592.11</v>
      </c>
      <c r="F22" s="205">
        <v>592.11</v>
      </c>
      <c r="G22" s="205">
        <f t="shared" si="4"/>
        <v>0</v>
      </c>
      <c r="H22" s="192">
        <v>2.14</v>
      </c>
      <c r="I22" s="205">
        <f t="shared" si="5"/>
        <v>1267.1154000000001</v>
      </c>
      <c r="J22" s="205">
        <f t="shared" si="6"/>
        <v>1267.1154000000001</v>
      </c>
      <c r="K22" s="205">
        <f t="shared" si="7"/>
        <v>0</v>
      </c>
    </row>
    <row r="23" spans="1:11" ht="29" customHeight="1">
      <c r="A23" s="11" t="s">
        <v>666</v>
      </c>
      <c r="B23" s="12" t="s">
        <v>668</v>
      </c>
      <c r="C23" s="10"/>
      <c r="D23" s="13" t="s">
        <v>1485</v>
      </c>
      <c r="E23" s="205">
        <v>1271.23</v>
      </c>
      <c r="F23" s="205">
        <v>1598.7</v>
      </c>
      <c r="G23" s="205">
        <f t="shared" si="4"/>
        <v>327.47000000000003</v>
      </c>
      <c r="H23" s="192">
        <v>0.87</v>
      </c>
      <c r="I23" s="205">
        <f t="shared" si="5"/>
        <v>1105.9701</v>
      </c>
      <c r="J23" s="205">
        <f t="shared" si="6"/>
        <v>1390.8690000000001</v>
      </c>
      <c r="K23" s="205">
        <f t="shared" si="7"/>
        <v>284.89890000000014</v>
      </c>
    </row>
    <row r="24" spans="1:11" ht="28" customHeight="1">
      <c r="A24" s="11" t="s">
        <v>667</v>
      </c>
      <c r="B24" s="12" t="s">
        <v>661</v>
      </c>
      <c r="C24" s="10"/>
      <c r="D24" s="13" t="s">
        <v>87</v>
      </c>
      <c r="E24" s="205">
        <v>19.739999999999998</v>
      </c>
      <c r="F24" s="205">
        <v>19.739999999999998</v>
      </c>
      <c r="G24" s="205">
        <f t="shared" si="4"/>
        <v>0</v>
      </c>
      <c r="H24" s="192">
        <v>1248.29</v>
      </c>
      <c r="I24" s="205">
        <f t="shared" si="5"/>
        <v>24641.244599999998</v>
      </c>
      <c r="J24" s="205">
        <f t="shared" si="6"/>
        <v>24641.244599999998</v>
      </c>
      <c r="K24" s="205">
        <f t="shared" si="7"/>
        <v>0</v>
      </c>
    </row>
    <row r="25" spans="1:11" ht="17.5" customHeight="1">
      <c r="A25" s="11" t="s">
        <v>76</v>
      </c>
      <c r="B25" s="12" t="s">
        <v>662</v>
      </c>
      <c r="C25" s="10"/>
      <c r="D25" s="13" t="s">
        <v>124</v>
      </c>
      <c r="E25" s="205">
        <v>657.9</v>
      </c>
      <c r="F25" s="205">
        <v>657.9</v>
      </c>
      <c r="G25" s="205">
        <f t="shared" si="4"/>
        <v>0</v>
      </c>
      <c r="H25" s="192">
        <v>2.83</v>
      </c>
      <c r="I25" s="205">
        <f t="shared" si="5"/>
        <v>1861.857</v>
      </c>
      <c r="J25" s="205">
        <f t="shared" si="6"/>
        <v>1861.857</v>
      </c>
      <c r="K25" s="205">
        <f t="shared" si="7"/>
        <v>0</v>
      </c>
    </row>
    <row r="26" spans="1:11">
      <c r="A26" s="8" t="s">
        <v>16</v>
      </c>
      <c r="B26" s="9" t="s">
        <v>669</v>
      </c>
      <c r="C26" s="8"/>
      <c r="D26" s="8"/>
      <c r="E26" s="211"/>
      <c r="F26" s="211"/>
      <c r="G26" s="211"/>
      <c r="H26" s="191"/>
      <c r="I26" s="204">
        <f>SUM(I27:I32)</f>
        <v>30231.228899999998</v>
      </c>
      <c r="J26" s="204">
        <f>SUM(J27:J32)</f>
        <v>30516.127799999998</v>
      </c>
      <c r="K26" s="204">
        <f>SUM(K27:K32)</f>
        <v>284.89890000000014</v>
      </c>
    </row>
    <row r="27" spans="1:11">
      <c r="A27" s="11" t="s">
        <v>78</v>
      </c>
      <c r="B27" s="12" t="s">
        <v>658</v>
      </c>
      <c r="C27" s="10"/>
      <c r="D27" s="14" t="s">
        <v>124</v>
      </c>
      <c r="E27" s="205">
        <v>657.9</v>
      </c>
      <c r="F27" s="205">
        <v>657.9</v>
      </c>
      <c r="G27" s="205">
        <f>F27-E27</f>
        <v>0</v>
      </c>
      <c r="H27" s="192">
        <v>1.75</v>
      </c>
      <c r="I27" s="205">
        <f>H27*E27</f>
        <v>1151.325</v>
      </c>
      <c r="J27" s="205">
        <f>H27*F27</f>
        <v>1151.325</v>
      </c>
      <c r="K27" s="205">
        <f>J27-I27</f>
        <v>0</v>
      </c>
    </row>
    <row r="28" spans="1:11" ht="26">
      <c r="A28" s="11" t="s">
        <v>79</v>
      </c>
      <c r="B28" s="12" t="s">
        <v>659</v>
      </c>
      <c r="C28" s="10"/>
      <c r="D28" s="14" t="s">
        <v>87</v>
      </c>
      <c r="E28" s="205">
        <v>19.739999999999998</v>
      </c>
      <c r="F28" s="212">
        <v>19.739999999999998</v>
      </c>
      <c r="G28" s="205">
        <f t="shared" ref="G28:G32" si="8">F28-E28</f>
        <v>0</v>
      </c>
      <c r="H28" s="192">
        <v>10.32</v>
      </c>
      <c r="I28" s="205">
        <f t="shared" ref="I28:I32" si="9">H28*E28</f>
        <v>203.71679999999998</v>
      </c>
      <c r="J28" s="205">
        <f t="shared" ref="J28:J32" si="10">H28*F28</f>
        <v>203.71679999999998</v>
      </c>
      <c r="K28" s="205">
        <f t="shared" ref="K28:K32" si="11">J28-I28</f>
        <v>0</v>
      </c>
    </row>
    <row r="29" spans="1:11" ht="28.5" customHeight="1">
      <c r="A29" s="11" t="s">
        <v>80</v>
      </c>
      <c r="B29" s="12" t="s">
        <v>660</v>
      </c>
      <c r="C29" s="10"/>
      <c r="D29" s="14" t="s">
        <v>1485</v>
      </c>
      <c r="E29" s="205">
        <v>592.11</v>
      </c>
      <c r="F29" s="212">
        <v>592.11</v>
      </c>
      <c r="G29" s="205">
        <f t="shared" si="8"/>
        <v>0</v>
      </c>
      <c r="H29" s="192">
        <v>2.14</v>
      </c>
      <c r="I29" s="205">
        <f t="shared" si="9"/>
        <v>1267.1154000000001</v>
      </c>
      <c r="J29" s="205">
        <f t="shared" si="10"/>
        <v>1267.1154000000001</v>
      </c>
      <c r="K29" s="205">
        <f t="shared" si="11"/>
        <v>0</v>
      </c>
    </row>
    <row r="30" spans="1:11" ht="32.5" customHeight="1">
      <c r="A30" s="11" t="s">
        <v>82</v>
      </c>
      <c r="B30" s="18" t="s">
        <v>668</v>
      </c>
      <c r="C30" s="10"/>
      <c r="D30" s="189" t="s">
        <v>1485</v>
      </c>
      <c r="E30" s="205">
        <v>1271.23</v>
      </c>
      <c r="F30" s="212">
        <v>1598.7</v>
      </c>
      <c r="G30" s="205">
        <f t="shared" si="8"/>
        <v>327.47000000000003</v>
      </c>
      <c r="H30" s="193">
        <v>0.87</v>
      </c>
      <c r="I30" s="205">
        <f t="shared" si="9"/>
        <v>1105.9701</v>
      </c>
      <c r="J30" s="205">
        <f t="shared" si="10"/>
        <v>1390.8690000000001</v>
      </c>
      <c r="K30" s="205">
        <f t="shared" si="11"/>
        <v>284.89890000000014</v>
      </c>
    </row>
    <row r="31" spans="1:11" ht="26.5">
      <c r="A31" s="11" t="s">
        <v>84</v>
      </c>
      <c r="B31" s="18" t="s">
        <v>670</v>
      </c>
      <c r="C31" s="10"/>
      <c r="D31" s="14" t="s">
        <v>87</v>
      </c>
      <c r="E31" s="205">
        <v>19.739999999999998</v>
      </c>
      <c r="F31" s="212">
        <v>19.739999999999998</v>
      </c>
      <c r="G31" s="205">
        <f t="shared" si="8"/>
        <v>0</v>
      </c>
      <c r="H31" s="192">
        <v>1248.29</v>
      </c>
      <c r="I31" s="205">
        <f t="shared" si="9"/>
        <v>24641.244599999998</v>
      </c>
      <c r="J31" s="205">
        <f t="shared" si="10"/>
        <v>24641.244599999998</v>
      </c>
      <c r="K31" s="205">
        <f t="shared" si="11"/>
        <v>0</v>
      </c>
    </row>
    <row r="32" spans="1:11" ht="16.5" customHeight="1">
      <c r="A32" s="11" t="s">
        <v>672</v>
      </c>
      <c r="B32" s="16" t="s">
        <v>671</v>
      </c>
      <c r="C32" s="10" t="s">
        <v>87</v>
      </c>
      <c r="D32" s="14" t="s">
        <v>124</v>
      </c>
      <c r="E32" s="205">
        <v>657.9</v>
      </c>
      <c r="F32" s="212">
        <v>657.9</v>
      </c>
      <c r="G32" s="205">
        <f t="shared" si="8"/>
        <v>0</v>
      </c>
      <c r="H32" s="192">
        <v>2.83</v>
      </c>
      <c r="I32" s="205">
        <f t="shared" si="9"/>
        <v>1861.857</v>
      </c>
      <c r="J32" s="205">
        <f t="shared" si="10"/>
        <v>1861.857</v>
      </c>
      <c r="K32" s="205">
        <f t="shared" si="11"/>
        <v>0</v>
      </c>
    </row>
    <row r="33" spans="1:11">
      <c r="A33" s="8" t="s">
        <v>17</v>
      </c>
      <c r="B33" s="9" t="s">
        <v>107</v>
      </c>
      <c r="C33" s="8"/>
      <c r="D33" s="8"/>
      <c r="E33" s="211"/>
      <c r="F33" s="211"/>
      <c r="G33" s="211"/>
      <c r="H33" s="191"/>
      <c r="I33" s="204">
        <f>SUM(I34:I36)</f>
        <v>0</v>
      </c>
      <c r="J33" s="204">
        <f>SUM(J34:J36)</f>
        <v>0</v>
      </c>
      <c r="K33" s="204">
        <f>SUM(K34:K36)</f>
        <v>0</v>
      </c>
    </row>
    <row r="34" spans="1:11" ht="39">
      <c r="A34" s="11" t="s">
        <v>675</v>
      </c>
      <c r="B34" s="12" t="s">
        <v>673</v>
      </c>
      <c r="C34" s="10" t="s">
        <v>33</v>
      </c>
      <c r="D34" s="13" t="s">
        <v>1486</v>
      </c>
      <c r="E34" s="205">
        <v>0</v>
      </c>
      <c r="F34" s="205">
        <v>0</v>
      </c>
      <c r="G34" s="205">
        <f>F34-E34</f>
        <v>0</v>
      </c>
      <c r="H34" s="192">
        <v>625.09</v>
      </c>
      <c r="I34" s="205">
        <f>H34*E34</f>
        <v>0</v>
      </c>
      <c r="J34" s="205">
        <f>H34*F34</f>
        <v>0</v>
      </c>
      <c r="K34" s="205">
        <f>J34-I34</f>
        <v>0</v>
      </c>
    </row>
    <row r="35" spans="1:11" ht="17" customHeight="1">
      <c r="A35" s="11" t="s">
        <v>676</v>
      </c>
      <c r="B35" s="190" t="s">
        <v>679</v>
      </c>
      <c r="C35" s="10" t="s">
        <v>33</v>
      </c>
      <c r="D35" s="13" t="s">
        <v>124</v>
      </c>
      <c r="E35" s="205">
        <v>0</v>
      </c>
      <c r="F35" s="205">
        <v>0</v>
      </c>
      <c r="G35" s="205">
        <f t="shared" ref="G35:G36" si="12">F35-E35</f>
        <v>0</v>
      </c>
      <c r="H35" s="192">
        <v>16.260000000000002</v>
      </c>
      <c r="I35" s="205">
        <f t="shared" ref="I35:I36" si="13">H35*E35</f>
        <v>0</v>
      </c>
      <c r="J35" s="205">
        <f t="shared" ref="J35:J36" si="14">H35*F35</f>
        <v>0</v>
      </c>
      <c r="K35" s="205">
        <f t="shared" ref="K35:K36" si="15">J35-I35</f>
        <v>0</v>
      </c>
    </row>
    <row r="36" spans="1:11" ht="16.5" customHeight="1">
      <c r="A36" s="11" t="s">
        <v>88</v>
      </c>
      <c r="B36" s="12" t="s">
        <v>674</v>
      </c>
      <c r="C36" s="10" t="s">
        <v>33</v>
      </c>
      <c r="D36" s="13" t="s">
        <v>124</v>
      </c>
      <c r="E36" s="205">
        <v>0</v>
      </c>
      <c r="F36" s="205">
        <v>0</v>
      </c>
      <c r="G36" s="205">
        <f t="shared" si="12"/>
        <v>0</v>
      </c>
      <c r="H36" s="192">
        <v>4.5599999999999996</v>
      </c>
      <c r="I36" s="205">
        <f t="shared" si="13"/>
        <v>0</v>
      </c>
      <c r="J36" s="205">
        <f t="shared" si="14"/>
        <v>0</v>
      </c>
      <c r="K36" s="205">
        <f t="shared" si="15"/>
        <v>0</v>
      </c>
    </row>
    <row r="37" spans="1:11">
      <c r="A37" s="8" t="s">
        <v>91</v>
      </c>
      <c r="B37" s="9" t="s">
        <v>677</v>
      </c>
      <c r="C37" s="8"/>
      <c r="D37" s="8"/>
      <c r="E37" s="211">
        <v>0</v>
      </c>
      <c r="F37" s="211">
        <v>0</v>
      </c>
      <c r="G37" s="211">
        <v>0</v>
      </c>
      <c r="H37" s="191"/>
      <c r="I37" s="204">
        <f>SUM(I38:I39)</f>
        <v>1151.325</v>
      </c>
      <c r="J37" s="204">
        <f>SUM(J38:J39)</f>
        <v>1151.325</v>
      </c>
      <c r="K37" s="204">
        <f>SUM(K38:K39)</f>
        <v>0</v>
      </c>
    </row>
    <row r="38" spans="1:11">
      <c r="A38" s="11" t="s">
        <v>92</v>
      </c>
      <c r="B38" s="12" t="s">
        <v>658</v>
      </c>
      <c r="C38" s="10" t="s">
        <v>11</v>
      </c>
      <c r="D38" s="13" t="s">
        <v>124</v>
      </c>
      <c r="E38" s="205">
        <v>657.9</v>
      </c>
      <c r="F38" s="205">
        <v>657.9</v>
      </c>
      <c r="G38" s="205">
        <f>F38-E38</f>
        <v>0</v>
      </c>
      <c r="H38" s="192">
        <v>1.75</v>
      </c>
      <c r="I38" s="205">
        <f>H38*E38</f>
        <v>1151.325</v>
      </c>
      <c r="J38" s="205">
        <f>H38*F38</f>
        <v>1151.325</v>
      </c>
      <c r="K38" s="205">
        <f>J38-I38</f>
        <v>0</v>
      </c>
    </row>
    <row r="39" spans="1:11">
      <c r="A39" s="11" t="s">
        <v>93</v>
      </c>
      <c r="B39" s="12" t="s">
        <v>678</v>
      </c>
      <c r="C39" s="10" t="s">
        <v>11</v>
      </c>
      <c r="D39" s="13" t="s">
        <v>1486</v>
      </c>
      <c r="E39" s="205">
        <v>0</v>
      </c>
      <c r="F39" s="205">
        <v>0</v>
      </c>
      <c r="G39" s="205">
        <f>F39-E39</f>
        <v>0</v>
      </c>
      <c r="H39" s="192">
        <v>92.34</v>
      </c>
      <c r="I39" s="205">
        <f>H39*E39</f>
        <v>0</v>
      </c>
      <c r="J39" s="205">
        <f>H39*F39</f>
        <v>0</v>
      </c>
      <c r="K39" s="205">
        <f>J39-I39</f>
        <v>0</v>
      </c>
    </row>
    <row r="40" spans="1:11">
      <c r="A40" s="183">
        <v>2</v>
      </c>
      <c r="B40" s="188" t="s">
        <v>680</v>
      </c>
      <c r="C40" s="183"/>
      <c r="D40" s="183"/>
      <c r="E40" s="210"/>
      <c r="F40" s="210"/>
      <c r="G40" s="210"/>
      <c r="H40" s="194"/>
      <c r="I40" s="203">
        <f>SUM(I41,I44,I46,I53,I60,I64)</f>
        <v>39659.551299999999</v>
      </c>
      <c r="J40" s="203">
        <f>SUM(J41,J44,J46,J53,J60,J64)</f>
        <v>40195.923699999999</v>
      </c>
      <c r="K40" s="203">
        <f>SUM(K41,K44,K46,K53,K60,K64)</f>
        <v>536.3724000000002</v>
      </c>
    </row>
    <row r="41" spans="1:11">
      <c r="A41" s="8" t="s">
        <v>20</v>
      </c>
      <c r="B41" s="9" t="s">
        <v>8</v>
      </c>
      <c r="C41" s="8"/>
      <c r="D41" s="8"/>
      <c r="E41" s="211"/>
      <c r="F41" s="211"/>
      <c r="G41" s="211"/>
      <c r="H41" s="191"/>
      <c r="I41" s="204">
        <f>SUM(I42:I43)</f>
        <v>2907.9494</v>
      </c>
      <c r="J41" s="204">
        <f>SUM(J42:J43)</f>
        <v>2907.9494</v>
      </c>
      <c r="K41" s="204">
        <f>SUM(K42:K43)</f>
        <v>0</v>
      </c>
    </row>
    <row r="42" spans="1:11" ht="26">
      <c r="A42" s="11" t="s">
        <v>681</v>
      </c>
      <c r="B42" s="12" t="s">
        <v>652</v>
      </c>
      <c r="C42" s="10" t="s">
        <v>13</v>
      </c>
      <c r="D42" s="13" t="s">
        <v>124</v>
      </c>
      <c r="E42" s="205">
        <v>392.87</v>
      </c>
      <c r="F42" s="205">
        <v>392.87</v>
      </c>
      <c r="G42" s="205">
        <f>F42-E42</f>
        <v>0</v>
      </c>
      <c r="H42" s="192">
        <v>0.36</v>
      </c>
      <c r="I42" s="205">
        <f>H42*E42</f>
        <v>141.4332</v>
      </c>
      <c r="J42" s="205">
        <f>H42*F42</f>
        <v>141.4332</v>
      </c>
      <c r="K42" s="205">
        <f>J42-I42</f>
        <v>0</v>
      </c>
    </row>
    <row r="43" spans="1:11" ht="52">
      <c r="A43" s="11" t="s">
        <v>682</v>
      </c>
      <c r="B43" s="12" t="s">
        <v>649</v>
      </c>
      <c r="C43" s="10" t="s">
        <v>11</v>
      </c>
      <c r="D43" s="13" t="s">
        <v>124</v>
      </c>
      <c r="E43" s="205">
        <v>44.86</v>
      </c>
      <c r="F43" s="205">
        <v>44.86</v>
      </c>
      <c r="G43" s="205">
        <f>F43-E43</f>
        <v>0</v>
      </c>
      <c r="H43" s="192">
        <v>61.67</v>
      </c>
      <c r="I43" s="205">
        <f>H43*E43</f>
        <v>2766.5162</v>
      </c>
      <c r="J43" s="205">
        <f>H43*F43</f>
        <v>2766.5162</v>
      </c>
      <c r="K43" s="205">
        <f>J43-I43</f>
        <v>0</v>
      </c>
    </row>
    <row r="44" spans="1:11">
      <c r="A44" s="8" t="s">
        <v>21</v>
      </c>
      <c r="B44" s="9" t="s">
        <v>654</v>
      </c>
      <c r="C44" s="8"/>
      <c r="D44" s="8"/>
      <c r="E44" s="211"/>
      <c r="F44" s="211"/>
      <c r="G44" s="211"/>
      <c r="H44" s="191"/>
      <c r="I44" s="204">
        <f>SUM(I45:I45)</f>
        <v>149.29060000000001</v>
      </c>
      <c r="J44" s="204">
        <f>SUM(J45:J45)</f>
        <v>149.29060000000001</v>
      </c>
      <c r="K44" s="204">
        <f>SUM(K45:K45)</f>
        <v>0</v>
      </c>
    </row>
    <row r="45" spans="1:11" ht="26">
      <c r="A45" s="11" t="s">
        <v>683</v>
      </c>
      <c r="B45" s="12" t="s">
        <v>655</v>
      </c>
      <c r="C45" s="10"/>
      <c r="D45" s="13" t="s">
        <v>124</v>
      </c>
      <c r="E45" s="205">
        <v>392.87</v>
      </c>
      <c r="F45" s="205">
        <v>392.87</v>
      </c>
      <c r="G45" s="205">
        <f>F45-E45</f>
        <v>0</v>
      </c>
      <c r="H45" s="192">
        <v>0.38</v>
      </c>
      <c r="I45" s="205">
        <f t="shared" ref="I45:I66" si="16">H45*E45</f>
        <v>149.29060000000001</v>
      </c>
      <c r="J45" s="205">
        <f>H45*F45</f>
        <v>149.29060000000001</v>
      </c>
      <c r="K45" s="205">
        <f>J45-I45</f>
        <v>0</v>
      </c>
    </row>
    <row r="46" spans="1:11">
      <c r="A46" s="8" t="s">
        <v>22</v>
      </c>
      <c r="B46" s="9" t="s">
        <v>657</v>
      </c>
      <c r="C46" s="8"/>
      <c r="D46" s="8"/>
      <c r="E46" s="211"/>
      <c r="F46" s="211"/>
      <c r="G46" s="211"/>
      <c r="H46" s="191"/>
      <c r="I46" s="204">
        <f>SUM(I47:I52)</f>
        <v>17957.394400000001</v>
      </c>
      <c r="J46" s="204">
        <f>SUM(J47:J52)</f>
        <v>18225.580600000001</v>
      </c>
      <c r="K46" s="204">
        <f>SUM(K47:K52)</f>
        <v>268.1862000000001</v>
      </c>
    </row>
    <row r="47" spans="1:11">
      <c r="A47" s="11" t="s">
        <v>684</v>
      </c>
      <c r="B47" s="12" t="s">
        <v>658</v>
      </c>
      <c r="C47" s="10"/>
      <c r="D47" s="13" t="s">
        <v>124</v>
      </c>
      <c r="E47" s="205">
        <v>392.87</v>
      </c>
      <c r="F47" s="205">
        <v>392.87</v>
      </c>
      <c r="G47" s="205">
        <f t="shared" ref="G47:G52" si="17">F47-E47</f>
        <v>0</v>
      </c>
      <c r="H47" s="192">
        <v>1.75</v>
      </c>
      <c r="I47" s="205">
        <f t="shared" si="16"/>
        <v>687.52250000000004</v>
      </c>
      <c r="J47" s="205">
        <f>H47*F47</f>
        <v>687.52250000000004</v>
      </c>
      <c r="K47" s="205">
        <f>J47-I47</f>
        <v>0</v>
      </c>
    </row>
    <row r="48" spans="1:11" ht="26">
      <c r="A48" s="11" t="s">
        <v>685</v>
      </c>
      <c r="B48" s="12" t="s">
        <v>659</v>
      </c>
      <c r="C48" s="10"/>
      <c r="D48" s="13" t="s">
        <v>87</v>
      </c>
      <c r="E48" s="205">
        <v>11.79</v>
      </c>
      <c r="F48" s="205">
        <v>11.79</v>
      </c>
      <c r="G48" s="205">
        <f t="shared" si="17"/>
        <v>0</v>
      </c>
      <c r="H48" s="192">
        <v>10.32</v>
      </c>
      <c r="I48" s="205">
        <f t="shared" si="16"/>
        <v>121.6728</v>
      </c>
      <c r="J48" s="205">
        <f t="shared" ref="J48:J52" si="18">H48*F48</f>
        <v>121.6728</v>
      </c>
      <c r="K48" s="205">
        <f t="shared" ref="K48:K52" si="19">J48-I48</f>
        <v>0</v>
      </c>
    </row>
    <row r="49" spans="1:11" ht="28.5" customHeight="1">
      <c r="A49" s="11" t="s">
        <v>686</v>
      </c>
      <c r="B49" s="12" t="s">
        <v>660</v>
      </c>
      <c r="C49" s="10"/>
      <c r="D49" s="13" t="s">
        <v>1485</v>
      </c>
      <c r="E49" s="205">
        <v>353.58</v>
      </c>
      <c r="F49" s="205">
        <v>353.58</v>
      </c>
      <c r="G49" s="205">
        <f t="shared" si="17"/>
        <v>0</v>
      </c>
      <c r="H49" s="192">
        <v>2.14</v>
      </c>
      <c r="I49" s="205">
        <f t="shared" si="16"/>
        <v>756.66120000000001</v>
      </c>
      <c r="J49" s="205">
        <f t="shared" si="18"/>
        <v>756.66120000000001</v>
      </c>
      <c r="K49" s="205">
        <f t="shared" si="19"/>
        <v>0</v>
      </c>
    </row>
    <row r="50" spans="1:11" ht="29" customHeight="1">
      <c r="A50" s="11" t="s">
        <v>687</v>
      </c>
      <c r="B50" s="12" t="s">
        <v>668</v>
      </c>
      <c r="C50" s="10"/>
      <c r="D50" s="13" t="s">
        <v>1485</v>
      </c>
      <c r="E50" s="205">
        <v>646.41</v>
      </c>
      <c r="F50" s="205">
        <v>954.67</v>
      </c>
      <c r="G50" s="205">
        <f t="shared" si="17"/>
        <v>308.26</v>
      </c>
      <c r="H50" s="192">
        <v>0.87</v>
      </c>
      <c r="I50" s="205">
        <f t="shared" si="16"/>
        <v>562.37669999999991</v>
      </c>
      <c r="J50" s="205">
        <f t="shared" si="18"/>
        <v>830.56290000000001</v>
      </c>
      <c r="K50" s="205">
        <f t="shared" si="19"/>
        <v>268.1862000000001</v>
      </c>
    </row>
    <row r="51" spans="1:11" ht="28" customHeight="1">
      <c r="A51" s="11" t="s">
        <v>688</v>
      </c>
      <c r="B51" s="12" t="s">
        <v>661</v>
      </c>
      <c r="C51" s="10"/>
      <c r="D51" s="13" t="s">
        <v>87</v>
      </c>
      <c r="E51" s="205">
        <v>11.79</v>
      </c>
      <c r="F51" s="205">
        <v>11.79</v>
      </c>
      <c r="G51" s="205">
        <f t="shared" si="17"/>
        <v>0</v>
      </c>
      <c r="H51" s="192">
        <v>1248.29</v>
      </c>
      <c r="I51" s="205">
        <f t="shared" si="16"/>
        <v>14717.339099999999</v>
      </c>
      <c r="J51" s="205">
        <f t="shared" si="18"/>
        <v>14717.339099999999</v>
      </c>
      <c r="K51" s="205">
        <f t="shared" si="19"/>
        <v>0</v>
      </c>
    </row>
    <row r="52" spans="1:11" ht="17.5" customHeight="1">
      <c r="A52" s="11" t="s">
        <v>689</v>
      </c>
      <c r="B52" s="12" t="s">
        <v>662</v>
      </c>
      <c r="C52" s="10"/>
      <c r="D52" s="13" t="s">
        <v>124</v>
      </c>
      <c r="E52" s="205">
        <v>392.87</v>
      </c>
      <c r="F52" s="205">
        <v>392.87</v>
      </c>
      <c r="G52" s="205">
        <f t="shared" si="17"/>
        <v>0</v>
      </c>
      <c r="H52" s="192">
        <v>2.83</v>
      </c>
      <c r="I52" s="205">
        <f t="shared" si="16"/>
        <v>1111.8221000000001</v>
      </c>
      <c r="J52" s="205">
        <f t="shared" si="18"/>
        <v>1111.8221000000001</v>
      </c>
      <c r="K52" s="205">
        <f t="shared" si="19"/>
        <v>0</v>
      </c>
    </row>
    <row r="53" spans="1:11">
      <c r="A53" s="8" t="s">
        <v>690</v>
      </c>
      <c r="B53" s="9" t="s">
        <v>669</v>
      </c>
      <c r="C53" s="8"/>
      <c r="D53" s="8"/>
      <c r="E53" s="211"/>
      <c r="F53" s="211"/>
      <c r="G53" s="211"/>
      <c r="H53" s="191"/>
      <c r="I53" s="204">
        <f>SUM(I54:I59)</f>
        <v>17957.394400000001</v>
      </c>
      <c r="J53" s="204">
        <f>SUM(J54:J59)</f>
        <v>18225.580600000001</v>
      </c>
      <c r="K53" s="204">
        <f>SUM(K54:K59)</f>
        <v>268.1862000000001</v>
      </c>
    </row>
    <row r="54" spans="1:11">
      <c r="A54" s="11" t="s">
        <v>691</v>
      </c>
      <c r="B54" s="12" t="s">
        <v>658</v>
      </c>
      <c r="C54" s="10"/>
      <c r="D54" s="14" t="s">
        <v>124</v>
      </c>
      <c r="E54" s="205">
        <v>392.87</v>
      </c>
      <c r="F54" s="205">
        <v>392.87</v>
      </c>
      <c r="G54" s="205">
        <f t="shared" ref="G54:G59" si="20">F54-E54</f>
        <v>0</v>
      </c>
      <c r="H54" s="192">
        <v>1.75</v>
      </c>
      <c r="I54" s="205">
        <f t="shared" si="16"/>
        <v>687.52250000000004</v>
      </c>
      <c r="J54" s="205">
        <f>H54*F54</f>
        <v>687.52250000000004</v>
      </c>
      <c r="K54" s="205">
        <f>J54-I54</f>
        <v>0</v>
      </c>
    </row>
    <row r="55" spans="1:11" ht="26">
      <c r="A55" s="11" t="s">
        <v>692</v>
      </c>
      <c r="B55" s="12" t="s">
        <v>659</v>
      </c>
      <c r="C55" s="10"/>
      <c r="D55" s="14" t="s">
        <v>87</v>
      </c>
      <c r="E55" s="205">
        <v>11.79</v>
      </c>
      <c r="F55" s="212">
        <v>11.79</v>
      </c>
      <c r="G55" s="205">
        <f t="shared" si="20"/>
        <v>0</v>
      </c>
      <c r="H55" s="192">
        <v>10.32</v>
      </c>
      <c r="I55" s="205">
        <f t="shared" si="16"/>
        <v>121.6728</v>
      </c>
      <c r="J55" s="205">
        <f t="shared" ref="J55:J59" si="21">H55*F55</f>
        <v>121.6728</v>
      </c>
      <c r="K55" s="205">
        <f t="shared" ref="K55:K59" si="22">J55-I55</f>
        <v>0</v>
      </c>
    </row>
    <row r="56" spans="1:11" ht="28.5" customHeight="1">
      <c r="A56" s="11" t="s">
        <v>693</v>
      </c>
      <c r="B56" s="12" t="s">
        <v>660</v>
      </c>
      <c r="C56" s="10"/>
      <c r="D56" s="14" t="s">
        <v>1485</v>
      </c>
      <c r="E56" s="205">
        <v>353.58</v>
      </c>
      <c r="F56" s="212">
        <v>353.58</v>
      </c>
      <c r="G56" s="205">
        <f t="shared" si="20"/>
        <v>0</v>
      </c>
      <c r="H56" s="192">
        <v>2.14</v>
      </c>
      <c r="I56" s="205">
        <f t="shared" si="16"/>
        <v>756.66120000000001</v>
      </c>
      <c r="J56" s="205">
        <f t="shared" si="21"/>
        <v>756.66120000000001</v>
      </c>
      <c r="K56" s="205">
        <f t="shared" si="22"/>
        <v>0</v>
      </c>
    </row>
    <row r="57" spans="1:11" ht="32.5" customHeight="1">
      <c r="A57" s="11" t="s">
        <v>694</v>
      </c>
      <c r="B57" s="18" t="s">
        <v>668</v>
      </c>
      <c r="C57" s="10"/>
      <c r="D57" s="189" t="s">
        <v>1485</v>
      </c>
      <c r="E57" s="205">
        <v>646.41</v>
      </c>
      <c r="F57" s="213">
        <v>954.67</v>
      </c>
      <c r="G57" s="205">
        <f t="shared" si="20"/>
        <v>308.26</v>
      </c>
      <c r="H57" s="193">
        <v>0.87</v>
      </c>
      <c r="I57" s="205">
        <f t="shared" si="16"/>
        <v>562.37669999999991</v>
      </c>
      <c r="J57" s="205">
        <f t="shared" si="21"/>
        <v>830.56290000000001</v>
      </c>
      <c r="K57" s="205">
        <f t="shared" si="22"/>
        <v>268.1862000000001</v>
      </c>
    </row>
    <row r="58" spans="1:11" ht="26.5">
      <c r="A58" s="11" t="s">
        <v>695</v>
      </c>
      <c r="B58" s="18" t="s">
        <v>670</v>
      </c>
      <c r="C58" s="10"/>
      <c r="D58" s="14" t="s">
        <v>87</v>
      </c>
      <c r="E58" s="205">
        <v>11.79</v>
      </c>
      <c r="F58" s="212">
        <v>11.79</v>
      </c>
      <c r="G58" s="205">
        <f t="shared" si="20"/>
        <v>0</v>
      </c>
      <c r="H58" s="192">
        <v>1248.29</v>
      </c>
      <c r="I58" s="205">
        <f t="shared" si="16"/>
        <v>14717.339099999999</v>
      </c>
      <c r="J58" s="205">
        <f t="shared" si="21"/>
        <v>14717.339099999999</v>
      </c>
      <c r="K58" s="205">
        <f t="shared" si="22"/>
        <v>0</v>
      </c>
    </row>
    <row r="59" spans="1:11" ht="16.5" customHeight="1">
      <c r="A59" s="11" t="s">
        <v>696</v>
      </c>
      <c r="B59" s="16" t="s">
        <v>671</v>
      </c>
      <c r="C59" s="10" t="s">
        <v>87</v>
      </c>
      <c r="D59" s="14" t="s">
        <v>124</v>
      </c>
      <c r="E59" s="205">
        <v>392.87</v>
      </c>
      <c r="F59" s="212">
        <v>392.87</v>
      </c>
      <c r="G59" s="205">
        <f t="shared" si="20"/>
        <v>0</v>
      </c>
      <c r="H59" s="192">
        <v>2.83</v>
      </c>
      <c r="I59" s="205">
        <f t="shared" si="16"/>
        <v>1111.8221000000001</v>
      </c>
      <c r="J59" s="205">
        <f t="shared" si="21"/>
        <v>1111.8221000000001</v>
      </c>
      <c r="K59" s="205">
        <f t="shared" si="22"/>
        <v>0</v>
      </c>
    </row>
    <row r="60" spans="1:11">
      <c r="A60" s="8" t="s">
        <v>697</v>
      </c>
      <c r="B60" s="9" t="s">
        <v>107</v>
      </c>
      <c r="C60" s="8"/>
      <c r="D60" s="8"/>
      <c r="E60" s="211"/>
      <c r="F60" s="211"/>
      <c r="G60" s="211"/>
      <c r="H60" s="191"/>
      <c r="I60" s="204">
        <f>SUM(I61:I63)</f>
        <v>0</v>
      </c>
      <c r="J60" s="204">
        <f>SUM(J61:J63)</f>
        <v>0</v>
      </c>
      <c r="K60" s="204">
        <f>SUM(K61:K63)</f>
        <v>0</v>
      </c>
    </row>
    <row r="61" spans="1:11" ht="39">
      <c r="A61" s="11" t="s">
        <v>698</v>
      </c>
      <c r="B61" s="12" t="s">
        <v>673</v>
      </c>
      <c r="C61" s="10" t="s">
        <v>33</v>
      </c>
      <c r="D61" s="13" t="s">
        <v>1486</v>
      </c>
      <c r="E61" s="205">
        <v>0</v>
      </c>
      <c r="F61" s="205">
        <v>0</v>
      </c>
      <c r="G61" s="205">
        <f>F61-E61</f>
        <v>0</v>
      </c>
      <c r="H61" s="192">
        <v>625.09</v>
      </c>
      <c r="I61" s="205">
        <f t="shared" si="16"/>
        <v>0</v>
      </c>
      <c r="J61" s="205">
        <f>H61*F61</f>
        <v>0</v>
      </c>
      <c r="K61" s="206">
        <f>J61-I61</f>
        <v>0</v>
      </c>
    </row>
    <row r="62" spans="1:11" ht="17" customHeight="1">
      <c r="A62" s="11" t="s">
        <v>699</v>
      </c>
      <c r="B62" s="190" t="s">
        <v>679</v>
      </c>
      <c r="C62" s="10" t="s">
        <v>33</v>
      </c>
      <c r="D62" s="13" t="s">
        <v>124</v>
      </c>
      <c r="E62" s="205">
        <v>0</v>
      </c>
      <c r="F62" s="205">
        <v>0</v>
      </c>
      <c r="G62" s="205">
        <f>F62-E62</f>
        <v>0</v>
      </c>
      <c r="H62" s="192">
        <v>16.260000000000002</v>
      </c>
      <c r="I62" s="205">
        <f t="shared" si="16"/>
        <v>0</v>
      </c>
      <c r="J62" s="205">
        <f t="shared" ref="J62:J63" si="23">H62*F62</f>
        <v>0</v>
      </c>
      <c r="K62" s="206">
        <f t="shared" ref="K62:K63" si="24">J62-I62</f>
        <v>0</v>
      </c>
    </row>
    <row r="63" spans="1:11" ht="16.5" customHeight="1">
      <c r="A63" s="11" t="s">
        <v>700</v>
      </c>
      <c r="B63" s="12" t="s">
        <v>674</v>
      </c>
      <c r="C63" s="10" t="s">
        <v>33</v>
      </c>
      <c r="D63" s="13" t="s">
        <v>124</v>
      </c>
      <c r="E63" s="205">
        <v>0</v>
      </c>
      <c r="F63" s="205">
        <v>0</v>
      </c>
      <c r="G63" s="205">
        <f>F63-E63</f>
        <v>0</v>
      </c>
      <c r="H63" s="192">
        <v>4.5599999999999996</v>
      </c>
      <c r="I63" s="205">
        <f t="shared" si="16"/>
        <v>0</v>
      </c>
      <c r="J63" s="205">
        <f t="shared" si="23"/>
        <v>0</v>
      </c>
      <c r="K63" s="206">
        <f t="shared" si="24"/>
        <v>0</v>
      </c>
    </row>
    <row r="64" spans="1:11">
      <c r="A64" s="8" t="s">
        <v>701</v>
      </c>
      <c r="B64" s="9" t="s">
        <v>677</v>
      </c>
      <c r="C64" s="8"/>
      <c r="D64" s="8"/>
      <c r="E64" s="211"/>
      <c r="F64" s="211"/>
      <c r="G64" s="211"/>
      <c r="H64" s="191"/>
      <c r="I64" s="204">
        <f>SUM(I65:I66)</f>
        <v>687.52250000000004</v>
      </c>
      <c r="J64" s="204">
        <f>SUM(J65:J66)</f>
        <v>687.52250000000004</v>
      </c>
      <c r="K64" s="204">
        <f>SUM(K65:K66)</f>
        <v>0</v>
      </c>
    </row>
    <row r="65" spans="1:11">
      <c r="A65" s="11" t="s">
        <v>702</v>
      </c>
      <c r="B65" s="12" t="s">
        <v>658</v>
      </c>
      <c r="C65" s="10" t="s">
        <v>11</v>
      </c>
      <c r="D65" s="13" t="s">
        <v>124</v>
      </c>
      <c r="E65" s="205">
        <v>392.87</v>
      </c>
      <c r="F65" s="205">
        <v>392.87</v>
      </c>
      <c r="G65" s="205">
        <f>F65-E65</f>
        <v>0</v>
      </c>
      <c r="H65" s="192">
        <v>1.75</v>
      </c>
      <c r="I65" s="205">
        <f t="shared" si="16"/>
        <v>687.52250000000004</v>
      </c>
      <c r="J65" s="205">
        <f>H65*F65</f>
        <v>687.52250000000004</v>
      </c>
      <c r="K65" s="206">
        <f>J65-I65</f>
        <v>0</v>
      </c>
    </row>
    <row r="66" spans="1:11">
      <c r="A66" s="11" t="s">
        <v>703</v>
      </c>
      <c r="B66" s="12" t="s">
        <v>678</v>
      </c>
      <c r="C66" s="10" t="s">
        <v>11</v>
      </c>
      <c r="D66" s="13" t="s">
        <v>1486</v>
      </c>
      <c r="E66" s="205">
        <v>0</v>
      </c>
      <c r="F66" s="205">
        <v>0</v>
      </c>
      <c r="G66" s="205">
        <f>F66-E66</f>
        <v>0</v>
      </c>
      <c r="H66" s="192">
        <v>92.34</v>
      </c>
      <c r="I66" s="205">
        <f t="shared" si="16"/>
        <v>0</v>
      </c>
      <c r="J66" s="205">
        <f>H66*F66</f>
        <v>0</v>
      </c>
      <c r="K66" s="206">
        <f>J66-I66</f>
        <v>0</v>
      </c>
    </row>
    <row r="67" spans="1:11">
      <c r="A67" s="183">
        <v>3</v>
      </c>
      <c r="B67" s="188" t="s">
        <v>1455</v>
      </c>
      <c r="C67" s="183"/>
      <c r="D67" s="183"/>
      <c r="E67" s="210"/>
      <c r="F67" s="210"/>
      <c r="G67" s="210"/>
      <c r="H67" s="194"/>
      <c r="I67" s="203">
        <f>SUM(I68,I71,I73,I80,I87,I91)</f>
        <v>276953.57550000004</v>
      </c>
      <c r="J67" s="203">
        <f>SUM(J68,J71,J73,J80,J87,J91)</f>
        <v>279652.05450000009</v>
      </c>
      <c r="K67" s="203">
        <f>SUM(K68,K71,K73,K80,K87,K91)</f>
        <v>2698.4789999999994</v>
      </c>
    </row>
    <row r="68" spans="1:11">
      <c r="A68" s="8" t="s">
        <v>25</v>
      </c>
      <c r="B68" s="9" t="s">
        <v>8</v>
      </c>
      <c r="C68" s="8"/>
      <c r="D68" s="8"/>
      <c r="E68" s="211"/>
      <c r="F68" s="211"/>
      <c r="G68" s="211"/>
      <c r="H68" s="191"/>
      <c r="I68" s="204">
        <f>SUM(I69:I70)</f>
        <v>23076.007599999997</v>
      </c>
      <c r="J68" s="204">
        <f>SUM(J69:J70)</f>
        <v>23076.007599999997</v>
      </c>
      <c r="K68" s="204">
        <f>SUM(K69:K70)</f>
        <v>0</v>
      </c>
    </row>
    <row r="69" spans="1:11" ht="26">
      <c r="A69" s="11" t="s">
        <v>704</v>
      </c>
      <c r="B69" s="12" t="s">
        <v>652</v>
      </c>
      <c r="C69" s="10" t="s">
        <v>13</v>
      </c>
      <c r="D69" s="13" t="s">
        <v>124</v>
      </c>
      <c r="E69" s="205">
        <v>2704.11</v>
      </c>
      <c r="F69" s="205">
        <v>2704.11</v>
      </c>
      <c r="G69" s="205">
        <f>F69-E69</f>
        <v>0</v>
      </c>
      <c r="H69" s="192">
        <v>0.36</v>
      </c>
      <c r="I69" s="205">
        <f>H69*E69</f>
        <v>973.4796</v>
      </c>
      <c r="J69" s="205">
        <f>H69*F69</f>
        <v>973.4796</v>
      </c>
      <c r="K69" s="206">
        <f>J69-I69</f>
        <v>0</v>
      </c>
    </row>
    <row r="70" spans="1:11" ht="52">
      <c r="A70" s="11" t="s">
        <v>705</v>
      </c>
      <c r="B70" s="12" t="s">
        <v>649</v>
      </c>
      <c r="C70" s="10" t="s">
        <v>11</v>
      </c>
      <c r="D70" s="13" t="s">
        <v>124</v>
      </c>
      <c r="E70" s="205">
        <v>358.4</v>
      </c>
      <c r="F70" s="205">
        <v>358.4</v>
      </c>
      <c r="G70" s="205">
        <f>F70-E70</f>
        <v>0</v>
      </c>
      <c r="H70" s="192">
        <v>61.67</v>
      </c>
      <c r="I70" s="205">
        <f>H70*E70</f>
        <v>22102.527999999998</v>
      </c>
      <c r="J70" s="205">
        <f>H70*F70</f>
        <v>22102.527999999998</v>
      </c>
      <c r="K70" s="206">
        <f>J70-I70</f>
        <v>0</v>
      </c>
    </row>
    <row r="71" spans="1:11">
      <c r="A71" s="8" t="s">
        <v>26</v>
      </c>
      <c r="B71" s="9" t="s">
        <v>654</v>
      </c>
      <c r="C71" s="8"/>
      <c r="D71" s="8"/>
      <c r="E71" s="211"/>
      <c r="F71" s="211"/>
      <c r="G71" s="211"/>
      <c r="H71" s="191"/>
      <c r="I71" s="204">
        <f>SUM(I72:I72)</f>
        <v>1027.5617999999999</v>
      </c>
      <c r="J71" s="204">
        <f>SUM(J72:J72)</f>
        <v>1027.5617999999999</v>
      </c>
      <c r="K71" s="204">
        <f>SUM(K72:K72)</f>
        <v>0</v>
      </c>
    </row>
    <row r="72" spans="1:11" ht="26">
      <c r="A72" s="11" t="s">
        <v>706</v>
      </c>
      <c r="B72" s="12" t="s">
        <v>655</v>
      </c>
      <c r="C72" s="10"/>
      <c r="D72" s="13" t="s">
        <v>124</v>
      </c>
      <c r="E72" s="205">
        <v>2704.11</v>
      </c>
      <c r="F72" s="205">
        <v>2704.11</v>
      </c>
      <c r="G72" s="205">
        <f>F72-E72</f>
        <v>0</v>
      </c>
      <c r="H72" s="192">
        <v>0.38</v>
      </c>
      <c r="I72" s="205">
        <f t="shared" ref="I72:I93" si="25">H72*E72</f>
        <v>1027.5617999999999</v>
      </c>
      <c r="J72" s="205">
        <f>H72*F72</f>
        <v>1027.5617999999999</v>
      </c>
      <c r="K72" s="206">
        <f>J72-I72</f>
        <v>0</v>
      </c>
    </row>
    <row r="73" spans="1:11">
      <c r="A73" s="8" t="s">
        <v>27</v>
      </c>
      <c r="B73" s="9" t="s">
        <v>657</v>
      </c>
      <c r="C73" s="8"/>
      <c r="D73" s="8"/>
      <c r="E73" s="211"/>
      <c r="F73" s="211"/>
      <c r="G73" s="211"/>
      <c r="H73" s="191"/>
      <c r="I73" s="204">
        <f>SUM(I74:I79)</f>
        <v>124058.9068</v>
      </c>
      <c r="J73" s="204">
        <f>SUM(J74:J79)</f>
        <v>125408.14630000002</v>
      </c>
      <c r="K73" s="204">
        <f>SUM(K74:K79)</f>
        <v>1349.2394999999997</v>
      </c>
    </row>
    <row r="74" spans="1:11">
      <c r="A74" s="11" t="s">
        <v>707</v>
      </c>
      <c r="B74" s="12" t="s">
        <v>658</v>
      </c>
      <c r="C74" s="10"/>
      <c r="D74" s="13" t="s">
        <v>124</v>
      </c>
      <c r="E74" s="205">
        <v>2704.11</v>
      </c>
      <c r="F74" s="205">
        <v>2704.11</v>
      </c>
      <c r="G74" s="205">
        <f t="shared" ref="G74:G79" si="26">F74-E74</f>
        <v>0</v>
      </c>
      <c r="H74" s="192">
        <v>1.75</v>
      </c>
      <c r="I74" s="205">
        <f t="shared" si="25"/>
        <v>4732.1925000000001</v>
      </c>
      <c r="J74" s="205">
        <f>H74*F74</f>
        <v>4732.1925000000001</v>
      </c>
      <c r="K74" s="206">
        <f>J74-I74</f>
        <v>0</v>
      </c>
    </row>
    <row r="75" spans="1:11" ht="26">
      <c r="A75" s="11" t="s">
        <v>708</v>
      </c>
      <c r="B75" s="12" t="s">
        <v>659</v>
      </c>
      <c r="C75" s="10"/>
      <c r="D75" s="13" t="s">
        <v>87</v>
      </c>
      <c r="E75" s="205">
        <v>81.12</v>
      </c>
      <c r="F75" s="205">
        <v>81.12</v>
      </c>
      <c r="G75" s="205">
        <f t="shared" si="26"/>
        <v>0</v>
      </c>
      <c r="H75" s="192">
        <v>10.32</v>
      </c>
      <c r="I75" s="205">
        <f t="shared" si="25"/>
        <v>837.15840000000003</v>
      </c>
      <c r="J75" s="205">
        <f t="shared" ref="J75:J79" si="27">H75*F75</f>
        <v>837.15840000000003</v>
      </c>
      <c r="K75" s="206">
        <f t="shared" ref="K75:K79" si="28">J75-I75</f>
        <v>0</v>
      </c>
    </row>
    <row r="76" spans="1:11" ht="28.5" customHeight="1">
      <c r="A76" s="11" t="s">
        <v>709</v>
      </c>
      <c r="B76" s="12" t="s">
        <v>660</v>
      </c>
      <c r="C76" s="10"/>
      <c r="D76" s="13" t="s">
        <v>1485</v>
      </c>
      <c r="E76" s="205">
        <v>2433.6999999999998</v>
      </c>
      <c r="F76" s="205">
        <v>2433.6999999999998</v>
      </c>
      <c r="G76" s="205">
        <f t="shared" si="26"/>
        <v>0</v>
      </c>
      <c r="H76" s="192">
        <v>2.14</v>
      </c>
      <c r="I76" s="205">
        <f t="shared" si="25"/>
        <v>5208.1179999999995</v>
      </c>
      <c r="J76" s="205">
        <f t="shared" si="27"/>
        <v>5208.1179999999995</v>
      </c>
      <c r="K76" s="206">
        <f t="shared" si="28"/>
        <v>0</v>
      </c>
    </row>
    <row r="77" spans="1:11" ht="29" customHeight="1">
      <c r="A77" s="11" t="s">
        <v>710</v>
      </c>
      <c r="B77" s="12" t="s">
        <v>668</v>
      </c>
      <c r="C77" s="10"/>
      <c r="D77" s="13" t="s">
        <v>1485</v>
      </c>
      <c r="E77" s="205">
        <v>5020.1400000000003</v>
      </c>
      <c r="F77" s="205">
        <v>6570.99</v>
      </c>
      <c r="G77" s="205">
        <f t="shared" si="26"/>
        <v>1550.8499999999995</v>
      </c>
      <c r="H77" s="192">
        <v>0.87</v>
      </c>
      <c r="I77" s="205">
        <f t="shared" si="25"/>
        <v>4367.5218000000004</v>
      </c>
      <c r="J77" s="205">
        <f t="shared" si="27"/>
        <v>5716.7613000000001</v>
      </c>
      <c r="K77" s="206">
        <f t="shared" si="28"/>
        <v>1349.2394999999997</v>
      </c>
    </row>
    <row r="78" spans="1:11" ht="28" customHeight="1">
      <c r="A78" s="11" t="s">
        <v>711</v>
      </c>
      <c r="B78" s="12" t="s">
        <v>661</v>
      </c>
      <c r="C78" s="10"/>
      <c r="D78" s="13" t="s">
        <v>87</v>
      </c>
      <c r="E78" s="205">
        <v>81.12</v>
      </c>
      <c r="F78" s="205">
        <v>81.12</v>
      </c>
      <c r="G78" s="205">
        <f t="shared" si="26"/>
        <v>0</v>
      </c>
      <c r="H78" s="192">
        <v>1248.29</v>
      </c>
      <c r="I78" s="205">
        <f t="shared" si="25"/>
        <v>101261.28480000001</v>
      </c>
      <c r="J78" s="205">
        <f t="shared" si="27"/>
        <v>101261.28480000001</v>
      </c>
      <c r="K78" s="206">
        <f t="shared" si="28"/>
        <v>0</v>
      </c>
    </row>
    <row r="79" spans="1:11" ht="17.5" customHeight="1">
      <c r="A79" s="11" t="s">
        <v>712</v>
      </c>
      <c r="B79" s="12" t="s">
        <v>662</v>
      </c>
      <c r="C79" s="10"/>
      <c r="D79" s="13" t="s">
        <v>124</v>
      </c>
      <c r="E79" s="205">
        <v>2704.11</v>
      </c>
      <c r="F79" s="205">
        <v>2704.11</v>
      </c>
      <c r="G79" s="205">
        <f t="shared" si="26"/>
        <v>0</v>
      </c>
      <c r="H79" s="192">
        <v>2.83</v>
      </c>
      <c r="I79" s="205">
        <f t="shared" si="25"/>
        <v>7652.6313000000009</v>
      </c>
      <c r="J79" s="205">
        <f t="shared" si="27"/>
        <v>7652.6313000000009</v>
      </c>
      <c r="K79" s="206">
        <f t="shared" si="28"/>
        <v>0</v>
      </c>
    </row>
    <row r="80" spans="1:11">
      <c r="A80" s="8" t="s">
        <v>28</v>
      </c>
      <c r="B80" s="9" t="s">
        <v>669</v>
      </c>
      <c r="C80" s="8"/>
      <c r="D80" s="8"/>
      <c r="E80" s="211"/>
      <c r="F80" s="211"/>
      <c r="G80" s="211"/>
      <c r="H80" s="191"/>
      <c r="I80" s="204">
        <f>SUM(I81:I86)</f>
        <v>124058.9068</v>
      </c>
      <c r="J80" s="204">
        <f>SUM(J81:J86)</f>
        <v>125408.14630000002</v>
      </c>
      <c r="K80" s="204">
        <f>SUM(K81:K86)</f>
        <v>1349.2394999999997</v>
      </c>
    </row>
    <row r="81" spans="1:11">
      <c r="A81" s="11" t="s">
        <v>713</v>
      </c>
      <c r="B81" s="12" t="s">
        <v>658</v>
      </c>
      <c r="C81" s="10"/>
      <c r="D81" s="14" t="s">
        <v>124</v>
      </c>
      <c r="E81" s="205">
        <v>2704.11</v>
      </c>
      <c r="F81" s="205">
        <v>2704.11</v>
      </c>
      <c r="G81" s="205">
        <f t="shared" ref="G81:G86" si="29">F81-E81</f>
        <v>0</v>
      </c>
      <c r="H81" s="192">
        <v>1.75</v>
      </c>
      <c r="I81" s="205">
        <f t="shared" si="25"/>
        <v>4732.1925000000001</v>
      </c>
      <c r="J81" s="205">
        <f>H81*F81</f>
        <v>4732.1925000000001</v>
      </c>
      <c r="K81" s="206">
        <f>J81-I81</f>
        <v>0</v>
      </c>
    </row>
    <row r="82" spans="1:11" ht="26">
      <c r="A82" s="11" t="s">
        <v>714</v>
      </c>
      <c r="B82" s="12" t="s">
        <v>659</v>
      </c>
      <c r="C82" s="10"/>
      <c r="D82" s="14" t="s">
        <v>87</v>
      </c>
      <c r="E82" s="205">
        <v>81.12</v>
      </c>
      <c r="F82" s="212">
        <v>81.12</v>
      </c>
      <c r="G82" s="205">
        <f t="shared" si="29"/>
        <v>0</v>
      </c>
      <c r="H82" s="192">
        <v>10.32</v>
      </c>
      <c r="I82" s="205">
        <f t="shared" si="25"/>
        <v>837.15840000000003</v>
      </c>
      <c r="J82" s="205">
        <f t="shared" ref="J82:J86" si="30">H82*F82</f>
        <v>837.15840000000003</v>
      </c>
      <c r="K82" s="206">
        <f t="shared" ref="K82:K86" si="31">J82-I82</f>
        <v>0</v>
      </c>
    </row>
    <row r="83" spans="1:11" ht="28.5" customHeight="1">
      <c r="A83" s="11" t="s">
        <v>715</v>
      </c>
      <c r="B83" s="12" t="s">
        <v>660</v>
      </c>
      <c r="C83" s="10"/>
      <c r="D83" s="14" t="s">
        <v>1485</v>
      </c>
      <c r="E83" s="205">
        <v>2433.6999999999998</v>
      </c>
      <c r="F83" s="212">
        <v>2433.6999999999998</v>
      </c>
      <c r="G83" s="205">
        <f t="shared" si="29"/>
        <v>0</v>
      </c>
      <c r="H83" s="192">
        <v>2.14</v>
      </c>
      <c r="I83" s="205">
        <f t="shared" si="25"/>
        <v>5208.1179999999995</v>
      </c>
      <c r="J83" s="205">
        <f t="shared" si="30"/>
        <v>5208.1179999999995</v>
      </c>
      <c r="K83" s="206">
        <f t="shared" si="31"/>
        <v>0</v>
      </c>
    </row>
    <row r="84" spans="1:11" ht="32.5" customHeight="1">
      <c r="A84" s="11" t="s">
        <v>716</v>
      </c>
      <c r="B84" s="18" t="s">
        <v>668</v>
      </c>
      <c r="C84" s="10"/>
      <c r="D84" s="189" t="s">
        <v>1485</v>
      </c>
      <c r="E84" s="205">
        <v>5020.1400000000003</v>
      </c>
      <c r="F84" s="213">
        <v>6570.99</v>
      </c>
      <c r="G84" s="205">
        <f t="shared" si="29"/>
        <v>1550.8499999999995</v>
      </c>
      <c r="H84" s="193">
        <v>0.87</v>
      </c>
      <c r="I84" s="205">
        <f t="shared" si="25"/>
        <v>4367.5218000000004</v>
      </c>
      <c r="J84" s="205">
        <f t="shared" si="30"/>
        <v>5716.7613000000001</v>
      </c>
      <c r="K84" s="206">
        <f t="shared" si="31"/>
        <v>1349.2394999999997</v>
      </c>
    </row>
    <row r="85" spans="1:11" ht="26.5">
      <c r="A85" s="11" t="s">
        <v>717</v>
      </c>
      <c r="B85" s="18" t="s">
        <v>670</v>
      </c>
      <c r="C85" s="10"/>
      <c r="D85" s="14" t="s">
        <v>87</v>
      </c>
      <c r="E85" s="205">
        <v>81.12</v>
      </c>
      <c r="F85" s="212">
        <v>81.12</v>
      </c>
      <c r="G85" s="205">
        <f t="shared" si="29"/>
        <v>0</v>
      </c>
      <c r="H85" s="192">
        <v>1248.29</v>
      </c>
      <c r="I85" s="205">
        <f t="shared" si="25"/>
        <v>101261.28480000001</v>
      </c>
      <c r="J85" s="205">
        <f t="shared" si="30"/>
        <v>101261.28480000001</v>
      </c>
      <c r="K85" s="206">
        <f t="shared" si="31"/>
        <v>0</v>
      </c>
    </row>
    <row r="86" spans="1:11" ht="16.5" customHeight="1">
      <c r="A86" s="11" t="s">
        <v>718</v>
      </c>
      <c r="B86" s="16" t="s">
        <v>671</v>
      </c>
      <c r="C86" s="10" t="s">
        <v>87</v>
      </c>
      <c r="D86" s="14" t="s">
        <v>124</v>
      </c>
      <c r="E86" s="205">
        <v>2704.11</v>
      </c>
      <c r="F86" s="212">
        <v>2704.11</v>
      </c>
      <c r="G86" s="205">
        <f t="shared" si="29"/>
        <v>0</v>
      </c>
      <c r="H86" s="192">
        <v>2.83</v>
      </c>
      <c r="I86" s="205">
        <f t="shared" si="25"/>
        <v>7652.6313000000009</v>
      </c>
      <c r="J86" s="205">
        <f t="shared" si="30"/>
        <v>7652.6313000000009</v>
      </c>
      <c r="K86" s="206">
        <f t="shared" si="31"/>
        <v>0</v>
      </c>
    </row>
    <row r="87" spans="1:11">
      <c r="A87" s="8" t="s">
        <v>29</v>
      </c>
      <c r="B87" s="9" t="s">
        <v>107</v>
      </c>
      <c r="C87" s="8"/>
      <c r="D87" s="8"/>
      <c r="E87" s="211"/>
      <c r="F87" s="211"/>
      <c r="G87" s="211"/>
      <c r="H87" s="191"/>
      <c r="I87" s="204">
        <f>SUM(I88:I90)</f>
        <v>0</v>
      </c>
      <c r="J87" s="204">
        <f>SUM(J88:J90)</f>
        <v>0</v>
      </c>
      <c r="K87" s="204">
        <f>SUM(K88:K90)</f>
        <v>0</v>
      </c>
    </row>
    <row r="88" spans="1:11" ht="39">
      <c r="A88" s="11" t="s">
        <v>719</v>
      </c>
      <c r="B88" s="12" t="s">
        <v>673</v>
      </c>
      <c r="C88" s="10" t="s">
        <v>33</v>
      </c>
      <c r="D88" s="13" t="s">
        <v>1486</v>
      </c>
      <c r="E88" s="205">
        <v>0</v>
      </c>
      <c r="F88" s="205">
        <v>0</v>
      </c>
      <c r="G88" s="205">
        <f>F88-E88</f>
        <v>0</v>
      </c>
      <c r="H88" s="192">
        <v>625.09</v>
      </c>
      <c r="I88" s="205">
        <f t="shared" si="25"/>
        <v>0</v>
      </c>
      <c r="J88" s="205">
        <f>H88*F88</f>
        <v>0</v>
      </c>
      <c r="K88" s="206">
        <f>J88-I88</f>
        <v>0</v>
      </c>
    </row>
    <row r="89" spans="1:11" ht="17" customHeight="1">
      <c r="A89" s="11" t="s">
        <v>720</v>
      </c>
      <c r="B89" s="190" t="s">
        <v>679</v>
      </c>
      <c r="C89" s="10" t="s">
        <v>33</v>
      </c>
      <c r="D89" s="13" t="s">
        <v>124</v>
      </c>
      <c r="E89" s="205">
        <v>0</v>
      </c>
      <c r="F89" s="205">
        <v>0</v>
      </c>
      <c r="G89" s="205">
        <f>F89-E89</f>
        <v>0</v>
      </c>
      <c r="H89" s="192">
        <v>16.260000000000002</v>
      </c>
      <c r="I89" s="205">
        <f t="shared" si="25"/>
        <v>0</v>
      </c>
      <c r="J89" s="205">
        <f t="shared" ref="J89:J90" si="32">H89*F89</f>
        <v>0</v>
      </c>
      <c r="K89" s="206">
        <f t="shared" ref="K89:K90" si="33">J89-I89</f>
        <v>0</v>
      </c>
    </row>
    <row r="90" spans="1:11" ht="16.5" customHeight="1">
      <c r="A90" s="11" t="s">
        <v>721</v>
      </c>
      <c r="B90" s="12" t="s">
        <v>674</v>
      </c>
      <c r="C90" s="10" t="s">
        <v>33</v>
      </c>
      <c r="D90" s="13" t="s">
        <v>124</v>
      </c>
      <c r="E90" s="205">
        <v>0</v>
      </c>
      <c r="F90" s="205">
        <v>0</v>
      </c>
      <c r="G90" s="205">
        <f>F90-E90</f>
        <v>0</v>
      </c>
      <c r="H90" s="192">
        <v>4.5599999999999996</v>
      </c>
      <c r="I90" s="205">
        <f t="shared" si="25"/>
        <v>0</v>
      </c>
      <c r="J90" s="205">
        <f t="shared" si="32"/>
        <v>0</v>
      </c>
      <c r="K90" s="206">
        <f t="shared" si="33"/>
        <v>0</v>
      </c>
    </row>
    <row r="91" spans="1:11">
      <c r="A91" s="8" t="s">
        <v>722</v>
      </c>
      <c r="B91" s="9" t="s">
        <v>677</v>
      </c>
      <c r="C91" s="8"/>
      <c r="D91" s="8"/>
      <c r="E91" s="211"/>
      <c r="F91" s="211"/>
      <c r="G91" s="211"/>
      <c r="H91" s="191"/>
      <c r="I91" s="204">
        <f>SUM(I92:I93)</f>
        <v>4732.1925000000001</v>
      </c>
      <c r="J91" s="204">
        <f>SUM(J92:J93)</f>
        <v>4732.1925000000001</v>
      </c>
      <c r="K91" s="204">
        <f>SUM(K92:K93)</f>
        <v>0</v>
      </c>
    </row>
    <row r="92" spans="1:11">
      <c r="A92" s="11" t="s">
        <v>723</v>
      </c>
      <c r="B92" s="12" t="s">
        <v>658</v>
      </c>
      <c r="C92" s="10" t="s">
        <v>11</v>
      </c>
      <c r="D92" s="13" t="s">
        <v>124</v>
      </c>
      <c r="E92" s="205">
        <v>2704.11</v>
      </c>
      <c r="F92" s="205">
        <v>2704.11</v>
      </c>
      <c r="G92" s="205">
        <f>F92-E92</f>
        <v>0</v>
      </c>
      <c r="H92" s="192">
        <v>1.75</v>
      </c>
      <c r="I92" s="205">
        <f t="shared" si="25"/>
        <v>4732.1925000000001</v>
      </c>
      <c r="J92" s="205">
        <f>H92*F92</f>
        <v>4732.1925000000001</v>
      </c>
      <c r="K92" s="206">
        <f>J92-I92</f>
        <v>0</v>
      </c>
    </row>
    <row r="93" spans="1:11">
      <c r="A93" s="11" t="s">
        <v>724</v>
      </c>
      <c r="B93" s="12" t="s">
        <v>678</v>
      </c>
      <c r="C93" s="10" t="s">
        <v>11</v>
      </c>
      <c r="D93" s="13" t="s">
        <v>1486</v>
      </c>
      <c r="E93" s="205">
        <v>0</v>
      </c>
      <c r="F93" s="205">
        <v>0</v>
      </c>
      <c r="G93" s="205">
        <f>F93-E93</f>
        <v>0</v>
      </c>
      <c r="H93" s="192">
        <v>92.34</v>
      </c>
      <c r="I93" s="205">
        <f t="shared" si="25"/>
        <v>0</v>
      </c>
      <c r="J93" s="205">
        <f>H93*F93</f>
        <v>0</v>
      </c>
      <c r="K93" s="206">
        <f>J93-I93</f>
        <v>0</v>
      </c>
    </row>
    <row r="94" spans="1:11">
      <c r="A94" s="183">
        <v>4</v>
      </c>
      <c r="B94" s="188" t="s">
        <v>1456</v>
      </c>
      <c r="C94" s="183"/>
      <c r="D94" s="183"/>
      <c r="E94" s="210"/>
      <c r="F94" s="210"/>
      <c r="G94" s="210"/>
      <c r="H94" s="194"/>
      <c r="I94" s="203">
        <f>SUM(I95,I98,I100,I107,I114,I118)</f>
        <v>27587.789599999996</v>
      </c>
      <c r="J94" s="203">
        <f>SUM(J95,J98,J100,J107,J114,J118)</f>
        <v>31433.274799999992</v>
      </c>
      <c r="K94" s="203">
        <f>SUM(K95,K98,K100,K107,K114,K118)</f>
        <v>3845.4851999999996</v>
      </c>
    </row>
    <row r="95" spans="1:11">
      <c r="A95" s="8" t="s">
        <v>32</v>
      </c>
      <c r="B95" s="9" t="s">
        <v>8</v>
      </c>
      <c r="C95" s="8"/>
      <c r="D95" s="8"/>
      <c r="E95" s="211"/>
      <c r="F95" s="211"/>
      <c r="G95" s="211"/>
      <c r="H95" s="191"/>
      <c r="I95" s="204">
        <f>SUM(I96:I97)</f>
        <v>1852.7641000000001</v>
      </c>
      <c r="J95" s="204">
        <f>SUM(J96:J97)</f>
        <v>5212.5456999999997</v>
      </c>
      <c r="K95" s="204">
        <f>SUM(K96:K97)</f>
        <v>3359.7815999999998</v>
      </c>
    </row>
    <row r="96" spans="1:11" ht="26">
      <c r="A96" s="11" t="s">
        <v>725</v>
      </c>
      <c r="B96" s="12" t="s">
        <v>652</v>
      </c>
      <c r="C96" s="10" t="s">
        <v>13</v>
      </c>
      <c r="D96" s="13" t="s">
        <v>124</v>
      </c>
      <c r="E96" s="205">
        <v>276.35000000000002</v>
      </c>
      <c r="F96" s="205">
        <v>276.35000000000002</v>
      </c>
      <c r="G96" s="205">
        <f>F96-E96</f>
        <v>0</v>
      </c>
      <c r="H96" s="192">
        <v>0.36</v>
      </c>
      <c r="I96" s="205">
        <f>H96*E96</f>
        <v>99.486000000000004</v>
      </c>
      <c r="J96" s="205">
        <f>H96*F96</f>
        <v>99.486000000000004</v>
      </c>
      <c r="K96" s="205">
        <f t="shared" ref="K96:K97" si="34">G96*H96</f>
        <v>0</v>
      </c>
    </row>
    <row r="97" spans="1:11" ht="52">
      <c r="A97" s="11" t="s">
        <v>726</v>
      </c>
      <c r="B97" s="12" t="s">
        <v>649</v>
      </c>
      <c r="C97" s="10" t="s">
        <v>11</v>
      </c>
      <c r="D97" s="13" t="s">
        <v>124</v>
      </c>
      <c r="E97" s="205">
        <v>28.43</v>
      </c>
      <c r="F97" s="205">
        <v>82.91</v>
      </c>
      <c r="G97" s="205">
        <f>F97-E97</f>
        <v>54.48</v>
      </c>
      <c r="H97" s="192">
        <v>61.67</v>
      </c>
      <c r="I97" s="205">
        <f>H97*E97</f>
        <v>1753.2781</v>
      </c>
      <c r="J97" s="205">
        <f>H97*F97</f>
        <v>5113.0596999999998</v>
      </c>
      <c r="K97" s="205">
        <f t="shared" si="34"/>
        <v>3359.7815999999998</v>
      </c>
    </row>
    <row r="98" spans="1:11">
      <c r="A98" s="8" t="s">
        <v>727</v>
      </c>
      <c r="B98" s="9" t="s">
        <v>654</v>
      </c>
      <c r="C98" s="8"/>
      <c r="D98" s="8"/>
      <c r="E98" s="211"/>
      <c r="F98" s="211"/>
      <c r="G98" s="211"/>
      <c r="H98" s="191"/>
      <c r="I98" s="204">
        <f>SUM(I99:I99)</f>
        <v>105.01300000000001</v>
      </c>
      <c r="J98" s="204">
        <f>SUM(J99:J99)</f>
        <v>105.01300000000001</v>
      </c>
      <c r="K98" s="204">
        <f>SUM(K99:K99)</f>
        <v>0</v>
      </c>
    </row>
    <row r="99" spans="1:11" ht="26">
      <c r="A99" s="11" t="s">
        <v>728</v>
      </c>
      <c r="B99" s="12" t="s">
        <v>655</v>
      </c>
      <c r="C99" s="10"/>
      <c r="D99" s="13" t="s">
        <v>124</v>
      </c>
      <c r="E99" s="205">
        <v>276.35000000000002</v>
      </c>
      <c r="F99" s="205">
        <v>276.35000000000002</v>
      </c>
      <c r="G99" s="205">
        <f>F99-E99</f>
        <v>0</v>
      </c>
      <c r="H99" s="192">
        <v>0.38</v>
      </c>
      <c r="I99" s="205">
        <f t="shared" ref="I99:I120" si="35">H99*E99</f>
        <v>105.01300000000001</v>
      </c>
      <c r="J99" s="205">
        <f>H99*F99</f>
        <v>105.01300000000001</v>
      </c>
      <c r="K99" s="205">
        <f t="shared" ref="K99" si="36">G99*H99</f>
        <v>0</v>
      </c>
    </row>
    <row r="100" spans="1:11">
      <c r="A100" s="8" t="s">
        <v>729</v>
      </c>
      <c r="B100" s="9" t="s">
        <v>657</v>
      </c>
      <c r="C100" s="8"/>
      <c r="D100" s="8"/>
      <c r="E100" s="211"/>
      <c r="F100" s="211"/>
      <c r="G100" s="211"/>
      <c r="H100" s="191"/>
      <c r="I100" s="204">
        <f>SUM(I101:I106)</f>
        <v>12573.199999999999</v>
      </c>
      <c r="J100" s="204">
        <f>SUM(J101:J106)</f>
        <v>12816.051799999997</v>
      </c>
      <c r="K100" s="204">
        <f>SUM(K101:K106)</f>
        <v>242.8518</v>
      </c>
    </row>
    <row r="101" spans="1:11">
      <c r="A101" s="11" t="s">
        <v>730</v>
      </c>
      <c r="B101" s="12" t="s">
        <v>658</v>
      </c>
      <c r="C101" s="10"/>
      <c r="D101" s="13" t="s">
        <v>124</v>
      </c>
      <c r="E101" s="205">
        <v>276.35000000000002</v>
      </c>
      <c r="F101" s="205">
        <v>276.35000000000002</v>
      </c>
      <c r="G101" s="205">
        <f t="shared" ref="G101:G106" si="37">F101-E101</f>
        <v>0</v>
      </c>
      <c r="H101" s="192">
        <v>1.75</v>
      </c>
      <c r="I101" s="205">
        <f t="shared" si="35"/>
        <v>483.61250000000007</v>
      </c>
      <c r="J101" s="205">
        <f>H101*F101</f>
        <v>483.61250000000007</v>
      </c>
      <c r="K101" s="205">
        <f t="shared" ref="K101:K106" si="38">G101*H101</f>
        <v>0</v>
      </c>
    </row>
    <row r="102" spans="1:11" ht="26">
      <c r="A102" s="11" t="s">
        <v>731</v>
      </c>
      <c r="B102" s="12" t="s">
        <v>659</v>
      </c>
      <c r="C102" s="10"/>
      <c r="D102" s="13" t="s">
        <v>87</v>
      </c>
      <c r="E102" s="205">
        <v>8.2899999999999991</v>
      </c>
      <c r="F102" s="205">
        <v>8.2899999999999991</v>
      </c>
      <c r="G102" s="205">
        <f t="shared" si="37"/>
        <v>0</v>
      </c>
      <c r="H102" s="192">
        <v>10.32</v>
      </c>
      <c r="I102" s="205">
        <f t="shared" si="35"/>
        <v>85.552799999999991</v>
      </c>
      <c r="J102" s="205">
        <f t="shared" ref="J102:J106" si="39">H102*F102</f>
        <v>85.552799999999991</v>
      </c>
      <c r="K102" s="205">
        <f t="shared" si="38"/>
        <v>0</v>
      </c>
    </row>
    <row r="103" spans="1:11" ht="28.5" customHeight="1">
      <c r="A103" s="11" t="s">
        <v>732</v>
      </c>
      <c r="B103" s="12" t="s">
        <v>660</v>
      </c>
      <c r="C103" s="10"/>
      <c r="D103" s="13" t="s">
        <v>1485</v>
      </c>
      <c r="E103" s="205">
        <v>248.72</v>
      </c>
      <c r="F103" s="205">
        <v>248.72</v>
      </c>
      <c r="G103" s="205">
        <f t="shared" si="37"/>
        <v>0</v>
      </c>
      <c r="H103" s="192">
        <v>2.14</v>
      </c>
      <c r="I103" s="205">
        <f t="shared" si="35"/>
        <v>532.26080000000002</v>
      </c>
      <c r="J103" s="205">
        <f t="shared" si="39"/>
        <v>532.26080000000002</v>
      </c>
      <c r="K103" s="205">
        <f t="shared" si="38"/>
        <v>0</v>
      </c>
    </row>
    <row r="104" spans="1:11" ht="29" customHeight="1">
      <c r="A104" s="11" t="s">
        <v>733</v>
      </c>
      <c r="B104" s="12" t="s">
        <v>668</v>
      </c>
      <c r="C104" s="10"/>
      <c r="D104" s="13" t="s">
        <v>1485</v>
      </c>
      <c r="E104" s="205">
        <v>392.39</v>
      </c>
      <c r="F104" s="205">
        <v>671.53</v>
      </c>
      <c r="G104" s="205">
        <f t="shared" si="37"/>
        <v>279.14</v>
      </c>
      <c r="H104" s="192">
        <v>0.87</v>
      </c>
      <c r="I104" s="205">
        <f t="shared" si="35"/>
        <v>341.3793</v>
      </c>
      <c r="J104" s="205">
        <f t="shared" si="39"/>
        <v>584.23109999999997</v>
      </c>
      <c r="K104" s="205">
        <f t="shared" si="38"/>
        <v>242.8518</v>
      </c>
    </row>
    <row r="105" spans="1:11" ht="28" customHeight="1">
      <c r="A105" s="11" t="s">
        <v>734</v>
      </c>
      <c r="B105" s="12" t="s">
        <v>661</v>
      </c>
      <c r="C105" s="10"/>
      <c r="D105" s="13" t="s">
        <v>87</v>
      </c>
      <c r="E105" s="205">
        <v>8.2899999999999991</v>
      </c>
      <c r="F105" s="205">
        <v>8.2899999999999991</v>
      </c>
      <c r="G105" s="205">
        <f t="shared" si="37"/>
        <v>0</v>
      </c>
      <c r="H105" s="192">
        <v>1248.29</v>
      </c>
      <c r="I105" s="205">
        <f t="shared" si="35"/>
        <v>10348.324099999998</v>
      </c>
      <c r="J105" s="205">
        <f t="shared" si="39"/>
        <v>10348.324099999998</v>
      </c>
      <c r="K105" s="205">
        <f t="shared" si="38"/>
        <v>0</v>
      </c>
    </row>
    <row r="106" spans="1:11" ht="17.5" customHeight="1">
      <c r="A106" s="11" t="s">
        <v>735</v>
      </c>
      <c r="B106" s="12" t="s">
        <v>662</v>
      </c>
      <c r="C106" s="10"/>
      <c r="D106" s="13" t="s">
        <v>124</v>
      </c>
      <c r="E106" s="205">
        <v>276.35000000000002</v>
      </c>
      <c r="F106" s="205">
        <v>276.35000000000002</v>
      </c>
      <c r="G106" s="205">
        <f t="shared" si="37"/>
        <v>0</v>
      </c>
      <c r="H106" s="192">
        <v>2.83</v>
      </c>
      <c r="I106" s="205">
        <f t="shared" si="35"/>
        <v>782.07050000000004</v>
      </c>
      <c r="J106" s="205">
        <f t="shared" si="39"/>
        <v>782.07050000000004</v>
      </c>
      <c r="K106" s="205">
        <f t="shared" si="38"/>
        <v>0</v>
      </c>
    </row>
    <row r="107" spans="1:11">
      <c r="A107" s="8" t="s">
        <v>736</v>
      </c>
      <c r="B107" s="9" t="s">
        <v>669</v>
      </c>
      <c r="C107" s="8"/>
      <c r="D107" s="8"/>
      <c r="E107" s="211"/>
      <c r="F107" s="211"/>
      <c r="G107" s="211"/>
      <c r="H107" s="191"/>
      <c r="I107" s="204">
        <f>SUM(I108:I113)</f>
        <v>12573.199999999999</v>
      </c>
      <c r="J107" s="204">
        <f>SUM(J108:J113)</f>
        <v>12816.051799999997</v>
      </c>
      <c r="K107" s="204">
        <f>SUM(K108:K113)</f>
        <v>242.8518</v>
      </c>
    </row>
    <row r="108" spans="1:11">
      <c r="A108" s="11" t="s">
        <v>737</v>
      </c>
      <c r="B108" s="12" t="s">
        <v>658</v>
      </c>
      <c r="C108" s="10"/>
      <c r="D108" s="14" t="s">
        <v>124</v>
      </c>
      <c r="E108" s="205">
        <v>276.35000000000002</v>
      </c>
      <c r="F108" s="205">
        <v>276.35000000000002</v>
      </c>
      <c r="G108" s="205">
        <f t="shared" ref="G108:G113" si="40">F108-E108</f>
        <v>0</v>
      </c>
      <c r="H108" s="192">
        <v>1.75</v>
      </c>
      <c r="I108" s="205">
        <f t="shared" si="35"/>
        <v>483.61250000000007</v>
      </c>
      <c r="J108" s="205">
        <f>H108*F108</f>
        <v>483.61250000000007</v>
      </c>
      <c r="K108" s="205">
        <f t="shared" ref="K108:K113" si="41">G108*H108</f>
        <v>0</v>
      </c>
    </row>
    <row r="109" spans="1:11" ht="26">
      <c r="A109" s="11" t="s">
        <v>738</v>
      </c>
      <c r="B109" s="12" t="s">
        <v>659</v>
      </c>
      <c r="C109" s="10"/>
      <c r="D109" s="14" t="s">
        <v>87</v>
      </c>
      <c r="E109" s="205">
        <v>8.2899999999999991</v>
      </c>
      <c r="F109" s="205">
        <v>8.2899999999999991</v>
      </c>
      <c r="G109" s="205">
        <f t="shared" si="40"/>
        <v>0</v>
      </c>
      <c r="H109" s="192">
        <v>10.32</v>
      </c>
      <c r="I109" s="205">
        <f t="shared" si="35"/>
        <v>85.552799999999991</v>
      </c>
      <c r="J109" s="205">
        <f t="shared" ref="J109:J113" si="42">H109*F109</f>
        <v>85.552799999999991</v>
      </c>
      <c r="K109" s="205">
        <f t="shared" si="41"/>
        <v>0</v>
      </c>
    </row>
    <row r="110" spans="1:11" ht="28.5" customHeight="1">
      <c r="A110" s="11" t="s">
        <v>739</v>
      </c>
      <c r="B110" s="12" t="s">
        <v>660</v>
      </c>
      <c r="C110" s="10"/>
      <c r="D110" s="14" t="s">
        <v>1485</v>
      </c>
      <c r="E110" s="205">
        <v>248.72</v>
      </c>
      <c r="F110" s="205">
        <v>248.72</v>
      </c>
      <c r="G110" s="205">
        <f t="shared" si="40"/>
        <v>0</v>
      </c>
      <c r="H110" s="192">
        <v>2.14</v>
      </c>
      <c r="I110" s="205">
        <f t="shared" si="35"/>
        <v>532.26080000000002</v>
      </c>
      <c r="J110" s="205">
        <f t="shared" si="42"/>
        <v>532.26080000000002</v>
      </c>
      <c r="K110" s="205">
        <f t="shared" si="41"/>
        <v>0</v>
      </c>
    </row>
    <row r="111" spans="1:11" ht="32.5" customHeight="1">
      <c r="A111" s="11" t="s">
        <v>740</v>
      </c>
      <c r="B111" s="18" t="s">
        <v>668</v>
      </c>
      <c r="C111" s="10"/>
      <c r="D111" s="189" t="s">
        <v>1485</v>
      </c>
      <c r="E111" s="205">
        <v>392.39</v>
      </c>
      <c r="F111" s="205">
        <v>671.53</v>
      </c>
      <c r="G111" s="205">
        <f t="shared" si="40"/>
        <v>279.14</v>
      </c>
      <c r="H111" s="193">
        <v>0.87</v>
      </c>
      <c r="I111" s="205">
        <f t="shared" si="35"/>
        <v>341.3793</v>
      </c>
      <c r="J111" s="205">
        <f t="shared" si="42"/>
        <v>584.23109999999997</v>
      </c>
      <c r="K111" s="205">
        <f t="shared" si="41"/>
        <v>242.8518</v>
      </c>
    </row>
    <row r="112" spans="1:11" ht="26.5">
      <c r="A112" s="11" t="s">
        <v>741</v>
      </c>
      <c r="B112" s="18" t="s">
        <v>670</v>
      </c>
      <c r="C112" s="10"/>
      <c r="D112" s="14" t="s">
        <v>87</v>
      </c>
      <c r="E112" s="205">
        <v>8.2899999999999991</v>
      </c>
      <c r="F112" s="205">
        <v>8.2899999999999991</v>
      </c>
      <c r="G112" s="205">
        <f t="shared" si="40"/>
        <v>0</v>
      </c>
      <c r="H112" s="192">
        <v>1248.29</v>
      </c>
      <c r="I112" s="205">
        <f t="shared" si="35"/>
        <v>10348.324099999998</v>
      </c>
      <c r="J112" s="205">
        <f t="shared" si="42"/>
        <v>10348.324099999998</v>
      </c>
      <c r="K112" s="205">
        <f t="shared" si="41"/>
        <v>0</v>
      </c>
    </row>
    <row r="113" spans="1:11" ht="16.5" customHeight="1">
      <c r="A113" s="11" t="s">
        <v>742</v>
      </c>
      <c r="B113" s="16" t="s">
        <v>671</v>
      </c>
      <c r="C113" s="10" t="s">
        <v>87</v>
      </c>
      <c r="D113" s="14" t="s">
        <v>124</v>
      </c>
      <c r="E113" s="205">
        <v>276.35000000000002</v>
      </c>
      <c r="F113" s="205">
        <v>276.35000000000002</v>
      </c>
      <c r="G113" s="205">
        <f t="shared" si="40"/>
        <v>0</v>
      </c>
      <c r="H113" s="192">
        <v>2.83</v>
      </c>
      <c r="I113" s="205">
        <f t="shared" si="35"/>
        <v>782.07050000000004</v>
      </c>
      <c r="J113" s="205">
        <f t="shared" si="42"/>
        <v>782.07050000000004</v>
      </c>
      <c r="K113" s="205">
        <f t="shared" si="41"/>
        <v>0</v>
      </c>
    </row>
    <row r="114" spans="1:11">
      <c r="A114" s="8" t="s">
        <v>743</v>
      </c>
      <c r="B114" s="9" t="s">
        <v>107</v>
      </c>
      <c r="C114" s="8"/>
      <c r="D114" s="8"/>
      <c r="E114" s="211"/>
      <c r="F114" s="211"/>
      <c r="G114" s="211"/>
      <c r="H114" s="191"/>
      <c r="I114" s="204">
        <f>SUM(I115:I117)</f>
        <v>0</v>
      </c>
      <c r="J114" s="204">
        <f>SUM(J115:J117)</f>
        <v>0</v>
      </c>
      <c r="K114" s="204">
        <f>SUM(K115:K117)</f>
        <v>0</v>
      </c>
    </row>
    <row r="115" spans="1:11" ht="39">
      <c r="A115" s="11" t="s">
        <v>744</v>
      </c>
      <c r="B115" s="12" t="s">
        <v>673</v>
      </c>
      <c r="C115" s="10" t="s">
        <v>33</v>
      </c>
      <c r="D115" s="13" t="s">
        <v>1486</v>
      </c>
      <c r="E115" s="205">
        <v>0</v>
      </c>
      <c r="F115" s="205">
        <v>0</v>
      </c>
      <c r="G115" s="205">
        <f>F115-E115</f>
        <v>0</v>
      </c>
      <c r="H115" s="192">
        <v>625.09</v>
      </c>
      <c r="I115" s="205">
        <f t="shared" si="35"/>
        <v>0</v>
      </c>
      <c r="J115" s="205">
        <f>H115*F115</f>
        <v>0</v>
      </c>
      <c r="K115" s="205">
        <f t="shared" ref="K115:K117" si="43">G115*H115</f>
        <v>0</v>
      </c>
    </row>
    <row r="116" spans="1:11" ht="17" customHeight="1">
      <c r="A116" s="11" t="s">
        <v>745</v>
      </c>
      <c r="B116" s="190" t="s">
        <v>679</v>
      </c>
      <c r="C116" s="10" t="s">
        <v>33</v>
      </c>
      <c r="D116" s="13" t="s">
        <v>124</v>
      </c>
      <c r="E116" s="205">
        <v>0</v>
      </c>
      <c r="F116" s="205">
        <v>0</v>
      </c>
      <c r="G116" s="205">
        <f>F116-E116</f>
        <v>0</v>
      </c>
      <c r="H116" s="192">
        <v>16.260000000000002</v>
      </c>
      <c r="I116" s="205">
        <f t="shared" si="35"/>
        <v>0</v>
      </c>
      <c r="J116" s="205">
        <f t="shared" ref="J116:J117" si="44">H116*F116</f>
        <v>0</v>
      </c>
      <c r="K116" s="205">
        <f t="shared" si="43"/>
        <v>0</v>
      </c>
    </row>
    <row r="117" spans="1:11" ht="16.5" customHeight="1">
      <c r="A117" s="11" t="s">
        <v>746</v>
      </c>
      <c r="B117" s="12" t="s">
        <v>674</v>
      </c>
      <c r="C117" s="10" t="s">
        <v>33</v>
      </c>
      <c r="D117" s="13" t="s">
        <v>124</v>
      </c>
      <c r="E117" s="205">
        <v>0</v>
      </c>
      <c r="F117" s="205">
        <v>0</v>
      </c>
      <c r="G117" s="205">
        <f>F117-E117</f>
        <v>0</v>
      </c>
      <c r="H117" s="192">
        <v>4.5599999999999996</v>
      </c>
      <c r="I117" s="205">
        <f t="shared" si="35"/>
        <v>0</v>
      </c>
      <c r="J117" s="205">
        <f t="shared" si="44"/>
        <v>0</v>
      </c>
      <c r="K117" s="205">
        <f t="shared" si="43"/>
        <v>0</v>
      </c>
    </row>
    <row r="118" spans="1:11">
      <c r="A118" s="8" t="s">
        <v>747</v>
      </c>
      <c r="B118" s="9" t="s">
        <v>677</v>
      </c>
      <c r="C118" s="8"/>
      <c r="D118" s="8"/>
      <c r="E118" s="211"/>
      <c r="F118" s="211"/>
      <c r="G118" s="211"/>
      <c r="H118" s="191"/>
      <c r="I118" s="204">
        <f>SUM(I119:I120)</f>
        <v>483.61250000000007</v>
      </c>
      <c r="J118" s="204">
        <f>SUM(J119:J120)</f>
        <v>483.61250000000007</v>
      </c>
      <c r="K118" s="204">
        <f>SUM(K119:K120)</f>
        <v>0</v>
      </c>
    </row>
    <row r="119" spans="1:11">
      <c r="A119" s="11" t="s">
        <v>748</v>
      </c>
      <c r="B119" s="12" t="s">
        <v>658</v>
      </c>
      <c r="C119" s="10" t="s">
        <v>11</v>
      </c>
      <c r="D119" s="13" t="s">
        <v>124</v>
      </c>
      <c r="E119" s="205">
        <v>276.35000000000002</v>
      </c>
      <c r="F119" s="205">
        <v>276.35000000000002</v>
      </c>
      <c r="G119" s="205">
        <f>F119-E119</f>
        <v>0</v>
      </c>
      <c r="H119" s="192">
        <v>1.75</v>
      </c>
      <c r="I119" s="205">
        <f t="shared" si="35"/>
        <v>483.61250000000007</v>
      </c>
      <c r="J119" s="205">
        <f>H119*F119</f>
        <v>483.61250000000007</v>
      </c>
      <c r="K119" s="205">
        <f t="shared" ref="K119:K120" si="45">G119*H119</f>
        <v>0</v>
      </c>
    </row>
    <row r="120" spans="1:11">
      <c r="A120" s="11" t="s">
        <v>749</v>
      </c>
      <c r="B120" s="12" t="s">
        <v>678</v>
      </c>
      <c r="C120" s="10" t="s">
        <v>11</v>
      </c>
      <c r="D120" s="13" t="s">
        <v>1486</v>
      </c>
      <c r="E120" s="205">
        <v>0</v>
      </c>
      <c r="F120" s="205">
        <v>0</v>
      </c>
      <c r="G120" s="205">
        <f>F120-E120</f>
        <v>0</v>
      </c>
      <c r="H120" s="192">
        <v>92.34</v>
      </c>
      <c r="I120" s="205">
        <f t="shared" si="35"/>
        <v>0</v>
      </c>
      <c r="J120" s="205">
        <f>H120*F120</f>
        <v>0</v>
      </c>
      <c r="K120" s="205">
        <f t="shared" si="45"/>
        <v>0</v>
      </c>
    </row>
    <row r="121" spans="1:11">
      <c r="A121" s="183">
        <v>5</v>
      </c>
      <c r="B121" s="188" t="s">
        <v>1457</v>
      </c>
      <c r="C121" s="183"/>
      <c r="D121" s="183"/>
      <c r="E121" s="210"/>
      <c r="F121" s="210"/>
      <c r="G121" s="210"/>
      <c r="H121" s="194"/>
      <c r="I121" s="203">
        <f>SUM(I122,I125,I127,I134,I141,I145)</f>
        <v>62599.934899999993</v>
      </c>
      <c r="J121" s="203">
        <f>SUM(J122,J125,J127,J134,J141,J145)</f>
        <v>63428.870899999994</v>
      </c>
      <c r="K121" s="203">
        <f>SUM(K122,K125,K127,K134,K141,K145)</f>
        <v>828.93600000000015</v>
      </c>
    </row>
    <row r="122" spans="1:11">
      <c r="A122" s="8" t="s">
        <v>36</v>
      </c>
      <c r="B122" s="9" t="s">
        <v>8</v>
      </c>
      <c r="C122" s="8"/>
      <c r="D122" s="8"/>
      <c r="E122" s="211"/>
      <c r="F122" s="211"/>
      <c r="G122" s="211"/>
      <c r="H122" s="191"/>
      <c r="I122" s="204">
        <f>SUM(I123:I124)</f>
        <v>4506.4983000000002</v>
      </c>
      <c r="J122" s="204">
        <f>SUM(J123:J124)</f>
        <v>4506.4983000000002</v>
      </c>
      <c r="K122" s="204">
        <f>SUM(K123:K124)</f>
        <v>0</v>
      </c>
    </row>
    <row r="123" spans="1:11" ht="26">
      <c r="A123" s="11" t="s">
        <v>750</v>
      </c>
      <c r="B123" s="12" t="s">
        <v>652</v>
      </c>
      <c r="C123" s="10" t="s">
        <v>13</v>
      </c>
      <c r="D123" s="13" t="s">
        <v>124</v>
      </c>
      <c r="E123" s="205">
        <v>620.88</v>
      </c>
      <c r="F123" s="205">
        <v>620.88</v>
      </c>
      <c r="G123" s="205">
        <f>F123-E123</f>
        <v>0</v>
      </c>
      <c r="H123" s="192">
        <v>0.36</v>
      </c>
      <c r="I123" s="205">
        <f>H123*E123</f>
        <v>223.51679999999999</v>
      </c>
      <c r="J123" s="205">
        <f>H123*F123</f>
        <v>223.51679999999999</v>
      </c>
      <c r="K123" s="205">
        <f t="shared" ref="K123:K124" si="46">G123*H123</f>
        <v>0</v>
      </c>
    </row>
    <row r="124" spans="1:11" ht="52">
      <c r="A124" s="11" t="s">
        <v>751</v>
      </c>
      <c r="B124" s="12" t="s">
        <v>649</v>
      </c>
      <c r="C124" s="10" t="s">
        <v>11</v>
      </c>
      <c r="D124" s="13" t="s">
        <v>124</v>
      </c>
      <c r="E124" s="205">
        <v>69.45</v>
      </c>
      <c r="F124" s="205">
        <v>69.45</v>
      </c>
      <c r="G124" s="205">
        <f>F124-E124</f>
        <v>0</v>
      </c>
      <c r="H124" s="192">
        <v>61.67</v>
      </c>
      <c r="I124" s="205">
        <f>H124*E124</f>
        <v>4282.9814999999999</v>
      </c>
      <c r="J124" s="205">
        <f>H124*F124</f>
        <v>4282.9814999999999</v>
      </c>
      <c r="K124" s="205">
        <f t="shared" si="46"/>
        <v>0</v>
      </c>
    </row>
    <row r="125" spans="1:11">
      <c r="A125" s="8" t="s">
        <v>37</v>
      </c>
      <c r="B125" s="9" t="s">
        <v>654</v>
      </c>
      <c r="C125" s="8"/>
      <c r="D125" s="8"/>
      <c r="E125" s="211"/>
      <c r="F125" s="211"/>
      <c r="G125" s="211"/>
      <c r="H125" s="191"/>
      <c r="I125" s="204">
        <f>SUM(I126:I126)</f>
        <v>235.93440000000001</v>
      </c>
      <c r="J125" s="204">
        <f>SUM(J126:J126)</f>
        <v>235.93440000000001</v>
      </c>
      <c r="K125" s="204">
        <f>SUM(K126:K126)</f>
        <v>0</v>
      </c>
    </row>
    <row r="126" spans="1:11" ht="26">
      <c r="A126" s="11" t="s">
        <v>752</v>
      </c>
      <c r="B126" s="12" t="s">
        <v>655</v>
      </c>
      <c r="C126" s="10"/>
      <c r="D126" s="13" t="s">
        <v>124</v>
      </c>
      <c r="E126" s="205">
        <v>620.88</v>
      </c>
      <c r="F126" s="205">
        <v>620.88</v>
      </c>
      <c r="G126" s="205">
        <f>F126-E126</f>
        <v>0</v>
      </c>
      <c r="H126" s="192">
        <v>0.38</v>
      </c>
      <c r="I126" s="205">
        <f t="shared" ref="I126:I147" si="47">H126*E126</f>
        <v>235.93440000000001</v>
      </c>
      <c r="J126" s="205">
        <f>H126*F126</f>
        <v>235.93440000000001</v>
      </c>
      <c r="K126" s="205">
        <f t="shared" ref="K126" si="48">G126*H126</f>
        <v>0</v>
      </c>
    </row>
    <row r="127" spans="1:11">
      <c r="A127" s="8" t="s">
        <v>38</v>
      </c>
      <c r="B127" s="9" t="s">
        <v>657</v>
      </c>
      <c r="C127" s="8"/>
      <c r="D127" s="8"/>
      <c r="E127" s="211"/>
      <c r="F127" s="211"/>
      <c r="G127" s="211"/>
      <c r="H127" s="191"/>
      <c r="I127" s="204">
        <f>SUM(I128:I133)</f>
        <v>28385.481099999997</v>
      </c>
      <c r="J127" s="204">
        <f>SUM(J128:J133)</f>
        <v>28799.949099999998</v>
      </c>
      <c r="K127" s="204">
        <f>SUM(K128:K133)</f>
        <v>414.46800000000007</v>
      </c>
    </row>
    <row r="128" spans="1:11">
      <c r="A128" s="11" t="s">
        <v>753</v>
      </c>
      <c r="B128" s="12" t="s">
        <v>658</v>
      </c>
      <c r="C128" s="10"/>
      <c r="D128" s="13" t="s">
        <v>124</v>
      </c>
      <c r="E128" s="205">
        <v>620.88</v>
      </c>
      <c r="F128" s="205">
        <v>620.88</v>
      </c>
      <c r="G128" s="205">
        <f t="shared" ref="G128:G133" si="49">F128-E128</f>
        <v>0</v>
      </c>
      <c r="H128" s="192">
        <v>1.75</v>
      </c>
      <c r="I128" s="205">
        <f t="shared" si="47"/>
        <v>1086.54</v>
      </c>
      <c r="J128" s="205">
        <f>H128*F128</f>
        <v>1086.54</v>
      </c>
      <c r="K128" s="205">
        <f t="shared" ref="K128:K133" si="50">G128*H128</f>
        <v>0</v>
      </c>
    </row>
    <row r="129" spans="1:11" ht="26">
      <c r="A129" s="11" t="s">
        <v>754</v>
      </c>
      <c r="B129" s="12" t="s">
        <v>659</v>
      </c>
      <c r="C129" s="10"/>
      <c r="D129" s="13" t="s">
        <v>87</v>
      </c>
      <c r="E129" s="205">
        <v>18.63</v>
      </c>
      <c r="F129" s="205">
        <v>18.63</v>
      </c>
      <c r="G129" s="205">
        <f t="shared" si="49"/>
        <v>0</v>
      </c>
      <c r="H129" s="192">
        <v>10.32</v>
      </c>
      <c r="I129" s="205">
        <f t="shared" si="47"/>
        <v>192.26159999999999</v>
      </c>
      <c r="J129" s="205">
        <f t="shared" ref="J129:J133" si="51">H129*F129</f>
        <v>192.26159999999999</v>
      </c>
      <c r="K129" s="205">
        <f t="shared" si="50"/>
        <v>0</v>
      </c>
    </row>
    <row r="130" spans="1:11" ht="28.5" customHeight="1">
      <c r="A130" s="11" t="s">
        <v>755</v>
      </c>
      <c r="B130" s="12" t="s">
        <v>660</v>
      </c>
      <c r="C130" s="10"/>
      <c r="D130" s="13" t="s">
        <v>1485</v>
      </c>
      <c r="E130" s="205">
        <v>558.79</v>
      </c>
      <c r="F130" s="205">
        <v>558.79</v>
      </c>
      <c r="G130" s="205">
        <f t="shared" si="49"/>
        <v>0</v>
      </c>
      <c r="H130" s="192">
        <v>2.14</v>
      </c>
      <c r="I130" s="205">
        <f t="shared" si="47"/>
        <v>1195.8106</v>
      </c>
      <c r="J130" s="205">
        <f t="shared" si="51"/>
        <v>1195.8106</v>
      </c>
      <c r="K130" s="205">
        <f t="shared" si="50"/>
        <v>0</v>
      </c>
    </row>
    <row r="131" spans="1:11" ht="29" customHeight="1">
      <c r="A131" s="11" t="s">
        <v>756</v>
      </c>
      <c r="B131" s="12" t="s">
        <v>668</v>
      </c>
      <c r="C131" s="10"/>
      <c r="D131" s="13" t="s">
        <v>1485</v>
      </c>
      <c r="E131" s="205">
        <v>1032.3399999999999</v>
      </c>
      <c r="F131" s="205">
        <v>1508.74</v>
      </c>
      <c r="G131" s="205">
        <f t="shared" si="49"/>
        <v>476.40000000000009</v>
      </c>
      <c r="H131" s="192">
        <v>0.87</v>
      </c>
      <c r="I131" s="205">
        <f t="shared" si="47"/>
        <v>898.1357999999999</v>
      </c>
      <c r="J131" s="205">
        <f t="shared" si="51"/>
        <v>1312.6038000000001</v>
      </c>
      <c r="K131" s="205">
        <f t="shared" si="50"/>
        <v>414.46800000000007</v>
      </c>
    </row>
    <row r="132" spans="1:11" ht="28" customHeight="1">
      <c r="A132" s="11" t="s">
        <v>757</v>
      </c>
      <c r="B132" s="12" t="s">
        <v>661</v>
      </c>
      <c r="C132" s="10"/>
      <c r="D132" s="13" t="s">
        <v>87</v>
      </c>
      <c r="E132" s="205">
        <v>18.63</v>
      </c>
      <c r="F132" s="205">
        <v>18.63</v>
      </c>
      <c r="G132" s="205">
        <f t="shared" si="49"/>
        <v>0</v>
      </c>
      <c r="H132" s="192">
        <v>1248.29</v>
      </c>
      <c r="I132" s="205">
        <f t="shared" si="47"/>
        <v>23255.642699999997</v>
      </c>
      <c r="J132" s="205">
        <f t="shared" si="51"/>
        <v>23255.642699999997</v>
      </c>
      <c r="K132" s="205">
        <f t="shared" si="50"/>
        <v>0</v>
      </c>
    </row>
    <row r="133" spans="1:11" ht="17.5" customHeight="1">
      <c r="A133" s="11" t="s">
        <v>758</v>
      </c>
      <c r="B133" s="12" t="s">
        <v>662</v>
      </c>
      <c r="C133" s="10"/>
      <c r="D133" s="13" t="s">
        <v>124</v>
      </c>
      <c r="E133" s="205">
        <v>620.88</v>
      </c>
      <c r="F133" s="205">
        <v>620.88</v>
      </c>
      <c r="G133" s="205">
        <f t="shared" si="49"/>
        <v>0</v>
      </c>
      <c r="H133" s="192">
        <v>2.83</v>
      </c>
      <c r="I133" s="205">
        <f t="shared" si="47"/>
        <v>1757.0904</v>
      </c>
      <c r="J133" s="205">
        <f t="shared" si="51"/>
        <v>1757.0904</v>
      </c>
      <c r="K133" s="205">
        <f t="shared" si="50"/>
        <v>0</v>
      </c>
    </row>
    <row r="134" spans="1:11">
      <c r="A134" s="8" t="s">
        <v>759</v>
      </c>
      <c r="B134" s="9" t="s">
        <v>669</v>
      </c>
      <c r="C134" s="8"/>
      <c r="D134" s="8"/>
      <c r="E134" s="211"/>
      <c r="F134" s="211"/>
      <c r="G134" s="211"/>
      <c r="H134" s="191"/>
      <c r="I134" s="204">
        <f>SUM(I135:I140)</f>
        <v>28385.481099999997</v>
      </c>
      <c r="J134" s="204">
        <f>SUM(J135:J140)</f>
        <v>28799.949099999998</v>
      </c>
      <c r="K134" s="204">
        <f>SUM(K135:K140)</f>
        <v>414.46800000000007</v>
      </c>
    </row>
    <row r="135" spans="1:11">
      <c r="A135" s="11" t="s">
        <v>760</v>
      </c>
      <c r="B135" s="12" t="s">
        <v>658</v>
      </c>
      <c r="C135" s="10"/>
      <c r="D135" s="14" t="s">
        <v>124</v>
      </c>
      <c r="E135" s="205">
        <v>620.88</v>
      </c>
      <c r="F135" s="205">
        <v>620.88</v>
      </c>
      <c r="G135" s="205">
        <f t="shared" ref="G135:G140" si="52">F135-E135</f>
        <v>0</v>
      </c>
      <c r="H135" s="192">
        <v>1.75</v>
      </c>
      <c r="I135" s="205">
        <f t="shared" si="47"/>
        <v>1086.54</v>
      </c>
      <c r="J135" s="205">
        <f>H135*F135</f>
        <v>1086.54</v>
      </c>
      <c r="K135" s="205">
        <f t="shared" ref="K135:K140" si="53">G135*H135</f>
        <v>0</v>
      </c>
    </row>
    <row r="136" spans="1:11" ht="26">
      <c r="A136" s="11" t="s">
        <v>761</v>
      </c>
      <c r="B136" s="12" t="s">
        <v>659</v>
      </c>
      <c r="C136" s="10"/>
      <c r="D136" s="14" t="s">
        <v>87</v>
      </c>
      <c r="E136" s="205">
        <v>18.63</v>
      </c>
      <c r="F136" s="212">
        <v>18.63</v>
      </c>
      <c r="G136" s="205">
        <f t="shared" si="52"/>
        <v>0</v>
      </c>
      <c r="H136" s="192">
        <v>10.32</v>
      </c>
      <c r="I136" s="205">
        <f t="shared" si="47"/>
        <v>192.26159999999999</v>
      </c>
      <c r="J136" s="205">
        <f t="shared" ref="J136:J140" si="54">H136*F136</f>
        <v>192.26159999999999</v>
      </c>
      <c r="K136" s="205">
        <f t="shared" si="53"/>
        <v>0</v>
      </c>
    </row>
    <row r="137" spans="1:11" ht="28.5" customHeight="1">
      <c r="A137" s="11" t="s">
        <v>762</v>
      </c>
      <c r="B137" s="12" t="s">
        <v>660</v>
      </c>
      <c r="C137" s="10"/>
      <c r="D137" s="14" t="s">
        <v>1485</v>
      </c>
      <c r="E137" s="205">
        <v>558.79</v>
      </c>
      <c r="F137" s="212">
        <v>558.79</v>
      </c>
      <c r="G137" s="205">
        <f t="shared" si="52"/>
        <v>0</v>
      </c>
      <c r="H137" s="192">
        <v>2.14</v>
      </c>
      <c r="I137" s="205">
        <f t="shared" si="47"/>
        <v>1195.8106</v>
      </c>
      <c r="J137" s="205">
        <f t="shared" si="54"/>
        <v>1195.8106</v>
      </c>
      <c r="K137" s="205">
        <f t="shared" si="53"/>
        <v>0</v>
      </c>
    </row>
    <row r="138" spans="1:11" ht="32.5" customHeight="1">
      <c r="A138" s="11" t="s">
        <v>763</v>
      </c>
      <c r="B138" s="18" t="s">
        <v>668</v>
      </c>
      <c r="C138" s="10"/>
      <c r="D138" s="189" t="s">
        <v>1485</v>
      </c>
      <c r="E138" s="205">
        <v>1032.3399999999999</v>
      </c>
      <c r="F138" s="205">
        <v>1508.74</v>
      </c>
      <c r="G138" s="205">
        <f t="shared" si="52"/>
        <v>476.40000000000009</v>
      </c>
      <c r="H138" s="193">
        <v>0.87</v>
      </c>
      <c r="I138" s="205">
        <f t="shared" si="47"/>
        <v>898.1357999999999</v>
      </c>
      <c r="J138" s="205">
        <f t="shared" si="54"/>
        <v>1312.6038000000001</v>
      </c>
      <c r="K138" s="205">
        <f t="shared" si="53"/>
        <v>414.46800000000007</v>
      </c>
    </row>
    <row r="139" spans="1:11" ht="26.5">
      <c r="A139" s="11" t="s">
        <v>764</v>
      </c>
      <c r="B139" s="18" t="s">
        <v>670</v>
      </c>
      <c r="C139" s="10"/>
      <c r="D139" s="14" t="s">
        <v>87</v>
      </c>
      <c r="E139" s="205">
        <v>18.63</v>
      </c>
      <c r="F139" s="212">
        <v>18.63</v>
      </c>
      <c r="G139" s="205">
        <f t="shared" si="52"/>
        <v>0</v>
      </c>
      <c r="H139" s="192">
        <v>1248.29</v>
      </c>
      <c r="I139" s="205">
        <f t="shared" si="47"/>
        <v>23255.642699999997</v>
      </c>
      <c r="J139" s="205">
        <f t="shared" si="54"/>
        <v>23255.642699999997</v>
      </c>
      <c r="K139" s="205">
        <f t="shared" si="53"/>
        <v>0</v>
      </c>
    </row>
    <row r="140" spans="1:11" ht="16.5" customHeight="1">
      <c r="A140" s="11" t="s">
        <v>765</v>
      </c>
      <c r="B140" s="16" t="s">
        <v>671</v>
      </c>
      <c r="C140" s="10" t="s">
        <v>87</v>
      </c>
      <c r="D140" s="14" t="s">
        <v>124</v>
      </c>
      <c r="E140" s="205">
        <v>620.88</v>
      </c>
      <c r="F140" s="212">
        <v>620.88</v>
      </c>
      <c r="G140" s="205">
        <f t="shared" si="52"/>
        <v>0</v>
      </c>
      <c r="H140" s="192">
        <v>2.83</v>
      </c>
      <c r="I140" s="205">
        <f t="shared" si="47"/>
        <v>1757.0904</v>
      </c>
      <c r="J140" s="205">
        <f t="shared" si="54"/>
        <v>1757.0904</v>
      </c>
      <c r="K140" s="205">
        <f t="shared" si="53"/>
        <v>0</v>
      </c>
    </row>
    <row r="141" spans="1:11">
      <c r="A141" s="8" t="s">
        <v>766</v>
      </c>
      <c r="B141" s="9" t="s">
        <v>107</v>
      </c>
      <c r="C141" s="8"/>
      <c r="D141" s="8"/>
      <c r="E141" s="211"/>
      <c r="F141" s="211"/>
      <c r="G141" s="211"/>
      <c r="H141" s="191"/>
      <c r="I141" s="204">
        <f>SUM(I142:I144)</f>
        <v>0</v>
      </c>
      <c r="J141" s="204">
        <f>SUM(J142:J144)</f>
        <v>0</v>
      </c>
      <c r="K141" s="204">
        <f>SUM(K142:K144)</f>
        <v>0</v>
      </c>
    </row>
    <row r="142" spans="1:11" ht="39">
      <c r="A142" s="11" t="s">
        <v>767</v>
      </c>
      <c r="B142" s="12" t="s">
        <v>673</v>
      </c>
      <c r="C142" s="10" t="s">
        <v>33</v>
      </c>
      <c r="D142" s="13" t="s">
        <v>1486</v>
      </c>
      <c r="E142" s="205">
        <v>0</v>
      </c>
      <c r="F142" s="205">
        <v>0</v>
      </c>
      <c r="G142" s="205">
        <f>F142-E142</f>
        <v>0</v>
      </c>
      <c r="H142" s="192">
        <v>625.09</v>
      </c>
      <c r="I142" s="205">
        <f t="shared" si="47"/>
        <v>0</v>
      </c>
      <c r="J142" s="205">
        <f>H142*F142</f>
        <v>0</v>
      </c>
      <c r="K142" s="205">
        <f t="shared" ref="K142:K144" si="55">G142*H142</f>
        <v>0</v>
      </c>
    </row>
    <row r="143" spans="1:11" ht="17" customHeight="1">
      <c r="A143" s="11" t="s">
        <v>768</v>
      </c>
      <c r="B143" s="190" t="s">
        <v>679</v>
      </c>
      <c r="C143" s="10" t="s">
        <v>33</v>
      </c>
      <c r="D143" s="13" t="s">
        <v>124</v>
      </c>
      <c r="E143" s="205">
        <v>0</v>
      </c>
      <c r="F143" s="205">
        <v>0</v>
      </c>
      <c r="G143" s="205">
        <f>F143-E143</f>
        <v>0</v>
      </c>
      <c r="H143" s="192">
        <v>16.260000000000002</v>
      </c>
      <c r="I143" s="205">
        <f t="shared" si="47"/>
        <v>0</v>
      </c>
      <c r="J143" s="205">
        <f t="shared" ref="J143:J144" si="56">H143*F143</f>
        <v>0</v>
      </c>
      <c r="K143" s="205">
        <f t="shared" si="55"/>
        <v>0</v>
      </c>
    </row>
    <row r="144" spans="1:11" ht="16.5" customHeight="1">
      <c r="A144" s="11" t="s">
        <v>769</v>
      </c>
      <c r="B144" s="12" t="s">
        <v>674</v>
      </c>
      <c r="C144" s="10" t="s">
        <v>33</v>
      </c>
      <c r="D144" s="13" t="s">
        <v>124</v>
      </c>
      <c r="E144" s="205">
        <v>0</v>
      </c>
      <c r="F144" s="205">
        <v>0</v>
      </c>
      <c r="G144" s="205">
        <f>F144-E144</f>
        <v>0</v>
      </c>
      <c r="H144" s="192">
        <v>4.5599999999999996</v>
      </c>
      <c r="I144" s="205">
        <f t="shared" si="47"/>
        <v>0</v>
      </c>
      <c r="J144" s="205">
        <f t="shared" si="56"/>
        <v>0</v>
      </c>
      <c r="K144" s="205">
        <f t="shared" si="55"/>
        <v>0</v>
      </c>
    </row>
    <row r="145" spans="1:11">
      <c r="A145" s="8" t="s">
        <v>770</v>
      </c>
      <c r="B145" s="9" t="s">
        <v>677</v>
      </c>
      <c r="C145" s="8"/>
      <c r="D145" s="8"/>
      <c r="E145" s="211"/>
      <c r="F145" s="211"/>
      <c r="G145" s="211"/>
      <c r="H145" s="191"/>
      <c r="I145" s="204">
        <f>SUM(I146:I147)</f>
        <v>1086.54</v>
      </c>
      <c r="J145" s="204">
        <f>SUM(J146:J147)</f>
        <v>1086.54</v>
      </c>
      <c r="K145" s="204">
        <f>SUM(K146:K147)</f>
        <v>0</v>
      </c>
    </row>
    <row r="146" spans="1:11">
      <c r="A146" s="11" t="s">
        <v>771</v>
      </c>
      <c r="B146" s="12" t="s">
        <v>658</v>
      </c>
      <c r="C146" s="10" t="s">
        <v>11</v>
      </c>
      <c r="D146" s="13" t="s">
        <v>124</v>
      </c>
      <c r="E146" s="205">
        <v>620.88</v>
      </c>
      <c r="F146" s="205">
        <v>620.88</v>
      </c>
      <c r="G146" s="205">
        <f>F146-E146</f>
        <v>0</v>
      </c>
      <c r="H146" s="192">
        <v>1.75</v>
      </c>
      <c r="I146" s="205">
        <f t="shared" si="47"/>
        <v>1086.54</v>
      </c>
      <c r="J146" s="205">
        <f>H146*F146</f>
        <v>1086.54</v>
      </c>
      <c r="K146" s="205">
        <f t="shared" ref="K146:K147" si="57">G146*H146</f>
        <v>0</v>
      </c>
    </row>
    <row r="147" spans="1:11">
      <c r="A147" s="11" t="s">
        <v>772</v>
      </c>
      <c r="B147" s="12" t="s">
        <v>678</v>
      </c>
      <c r="C147" s="10" t="s">
        <v>11</v>
      </c>
      <c r="D147" s="13" t="s">
        <v>1486</v>
      </c>
      <c r="E147" s="205">
        <v>0</v>
      </c>
      <c r="F147" s="205">
        <v>0</v>
      </c>
      <c r="G147" s="205">
        <f>F147-E147</f>
        <v>0</v>
      </c>
      <c r="H147" s="192">
        <v>92.34</v>
      </c>
      <c r="I147" s="205">
        <f t="shared" si="47"/>
        <v>0</v>
      </c>
      <c r="J147" s="205">
        <f>H147*F147</f>
        <v>0</v>
      </c>
      <c r="K147" s="205">
        <f t="shared" si="57"/>
        <v>0</v>
      </c>
    </row>
    <row r="148" spans="1:11">
      <c r="A148" s="183">
        <v>6</v>
      </c>
      <c r="B148" s="188" t="s">
        <v>1458</v>
      </c>
      <c r="C148" s="183"/>
      <c r="D148" s="183"/>
      <c r="E148" s="210"/>
      <c r="F148" s="210"/>
      <c r="G148" s="210"/>
      <c r="H148" s="194"/>
      <c r="I148" s="203">
        <f>SUM(I149,I152,I154,I161,I168,I172)</f>
        <v>286870.1251</v>
      </c>
      <c r="J148" s="203">
        <f>SUM(J149,J152,J154,J161,J168,J172)</f>
        <v>290673.39639999997</v>
      </c>
      <c r="K148" s="203">
        <f>SUM(K149,K152,K154,K161,K168,K172)</f>
        <v>3803.2712999999976</v>
      </c>
    </row>
    <row r="149" spans="1:11">
      <c r="A149" s="8" t="s">
        <v>42</v>
      </c>
      <c r="B149" s="9" t="s">
        <v>8</v>
      </c>
      <c r="C149" s="8"/>
      <c r="D149" s="8"/>
      <c r="E149" s="211"/>
      <c r="F149" s="211"/>
      <c r="G149" s="211"/>
      <c r="H149" s="191"/>
      <c r="I149" s="204">
        <f>SUM(I150:I151)</f>
        <v>22837.851699999999</v>
      </c>
      <c r="J149" s="204">
        <f>SUM(J150:J151)</f>
        <v>23220.822400000001</v>
      </c>
      <c r="K149" s="204">
        <f>SUM(K150:K151)</f>
        <v>382.97069999999877</v>
      </c>
    </row>
    <row r="150" spans="1:11" ht="26">
      <c r="A150" s="11" t="s">
        <v>773</v>
      </c>
      <c r="B150" s="12" t="s">
        <v>652</v>
      </c>
      <c r="C150" s="10" t="s">
        <v>13</v>
      </c>
      <c r="D150" s="13" t="s">
        <v>124</v>
      </c>
      <c r="E150" s="205">
        <v>2818.58</v>
      </c>
      <c r="F150" s="205">
        <v>2818.58</v>
      </c>
      <c r="G150" s="205">
        <f>F150-E150</f>
        <v>0</v>
      </c>
      <c r="H150" s="192">
        <v>0.36</v>
      </c>
      <c r="I150" s="205">
        <f>H150*E150</f>
        <v>1014.6887999999999</v>
      </c>
      <c r="J150" s="205">
        <f>H150*F150</f>
        <v>1014.6887999999999</v>
      </c>
      <c r="K150" s="205">
        <f t="shared" ref="K150:K151" si="58">G150*H150</f>
        <v>0</v>
      </c>
    </row>
    <row r="151" spans="1:11" ht="52">
      <c r="A151" s="11" t="s">
        <v>774</v>
      </c>
      <c r="B151" s="12" t="s">
        <v>649</v>
      </c>
      <c r="C151" s="10" t="s">
        <v>11</v>
      </c>
      <c r="D151" s="13" t="s">
        <v>124</v>
      </c>
      <c r="E151" s="205">
        <v>353.87</v>
      </c>
      <c r="F151" s="205">
        <v>360.08</v>
      </c>
      <c r="G151" s="205">
        <f>F151-E151</f>
        <v>6.2099999999999795</v>
      </c>
      <c r="H151" s="192">
        <v>61.67</v>
      </c>
      <c r="I151" s="205">
        <f>H151*E151</f>
        <v>21823.162899999999</v>
      </c>
      <c r="J151" s="205">
        <f>H151*F151</f>
        <v>22206.133600000001</v>
      </c>
      <c r="K151" s="205">
        <f t="shared" si="58"/>
        <v>382.97069999999877</v>
      </c>
    </row>
    <row r="152" spans="1:11">
      <c r="A152" s="8" t="s">
        <v>43</v>
      </c>
      <c r="B152" s="9" t="s">
        <v>654</v>
      </c>
      <c r="C152" s="8"/>
      <c r="D152" s="8"/>
      <c r="E152" s="211"/>
      <c r="F152" s="211"/>
      <c r="G152" s="211"/>
      <c r="H152" s="191"/>
      <c r="I152" s="204">
        <f>SUM(I153:I153)</f>
        <v>1071.0604000000001</v>
      </c>
      <c r="J152" s="204">
        <f>SUM(J153:J153)</f>
        <v>1071.0604000000001</v>
      </c>
      <c r="K152" s="204">
        <f>SUM(K153:K153)</f>
        <v>0</v>
      </c>
    </row>
    <row r="153" spans="1:11" ht="26">
      <c r="A153" s="11" t="s">
        <v>775</v>
      </c>
      <c r="B153" s="12" t="s">
        <v>655</v>
      </c>
      <c r="C153" s="10"/>
      <c r="D153" s="13" t="s">
        <v>124</v>
      </c>
      <c r="E153" s="205">
        <v>2818.58</v>
      </c>
      <c r="F153" s="205">
        <v>2818.58</v>
      </c>
      <c r="G153" s="205">
        <f>F153-E153</f>
        <v>0</v>
      </c>
      <c r="H153" s="192">
        <v>0.38</v>
      </c>
      <c r="I153" s="205">
        <f t="shared" ref="I153:I174" si="59">H153*E153</f>
        <v>1071.0604000000001</v>
      </c>
      <c r="J153" s="205">
        <f>H153*F153</f>
        <v>1071.0604000000001</v>
      </c>
      <c r="K153" s="205">
        <f t="shared" ref="K153" si="60">G153*H153</f>
        <v>0</v>
      </c>
    </row>
    <row r="154" spans="1:11">
      <c r="A154" s="8" t="s">
        <v>44</v>
      </c>
      <c r="B154" s="9" t="s">
        <v>657</v>
      </c>
      <c r="C154" s="8"/>
      <c r="D154" s="8"/>
      <c r="E154" s="211"/>
      <c r="F154" s="211"/>
      <c r="G154" s="211"/>
      <c r="H154" s="191"/>
      <c r="I154" s="204">
        <f>SUM(I155:I160)</f>
        <v>129014.349</v>
      </c>
      <c r="J154" s="204">
        <f>SUM(J155:J160)</f>
        <v>130724.4993</v>
      </c>
      <c r="K154" s="204">
        <f>SUM(K155:K160)</f>
        <v>1710.1502999999996</v>
      </c>
    </row>
    <row r="155" spans="1:11">
      <c r="A155" s="11" t="s">
        <v>777</v>
      </c>
      <c r="B155" s="12" t="s">
        <v>658</v>
      </c>
      <c r="C155" s="10"/>
      <c r="D155" s="13" t="s">
        <v>124</v>
      </c>
      <c r="E155" s="205">
        <v>2818.58</v>
      </c>
      <c r="F155" s="205">
        <v>2818.58</v>
      </c>
      <c r="G155" s="205">
        <f t="shared" ref="G155:G160" si="61">F155-E155</f>
        <v>0</v>
      </c>
      <c r="H155" s="192">
        <v>1.75</v>
      </c>
      <c r="I155" s="205">
        <f t="shared" si="59"/>
        <v>4932.5149999999994</v>
      </c>
      <c r="J155" s="205">
        <f>H155*F155</f>
        <v>4932.5149999999994</v>
      </c>
      <c r="K155" s="205">
        <f t="shared" ref="K155:K160" si="62">G155*H155</f>
        <v>0</v>
      </c>
    </row>
    <row r="156" spans="1:11" ht="26">
      <c r="A156" s="11" t="s">
        <v>778</v>
      </c>
      <c r="B156" s="12" t="s">
        <v>659</v>
      </c>
      <c r="C156" s="10"/>
      <c r="D156" s="13" t="s">
        <v>87</v>
      </c>
      <c r="E156" s="205">
        <v>84.56</v>
      </c>
      <c r="F156" s="205">
        <v>84.56</v>
      </c>
      <c r="G156" s="205">
        <f t="shared" si="61"/>
        <v>0</v>
      </c>
      <c r="H156" s="192">
        <v>10.32</v>
      </c>
      <c r="I156" s="205">
        <f t="shared" si="59"/>
        <v>872.65920000000006</v>
      </c>
      <c r="J156" s="205">
        <f t="shared" ref="J156:J160" si="63">H156*F156</f>
        <v>872.65920000000006</v>
      </c>
      <c r="K156" s="205">
        <f t="shared" si="62"/>
        <v>0</v>
      </c>
    </row>
    <row r="157" spans="1:11" ht="28.5" customHeight="1">
      <c r="A157" s="11" t="s">
        <v>779</v>
      </c>
      <c r="B157" s="12" t="s">
        <v>660</v>
      </c>
      <c r="C157" s="10"/>
      <c r="D157" s="13" t="s">
        <v>1485</v>
      </c>
      <c r="E157" s="205">
        <v>2536.7199999999998</v>
      </c>
      <c r="F157" s="205">
        <v>2536.7199999999998</v>
      </c>
      <c r="G157" s="205">
        <f t="shared" si="61"/>
        <v>0</v>
      </c>
      <c r="H157" s="192">
        <v>2.14</v>
      </c>
      <c r="I157" s="205">
        <f t="shared" si="59"/>
        <v>5428.5807999999997</v>
      </c>
      <c r="J157" s="205">
        <f t="shared" si="63"/>
        <v>5428.5807999999997</v>
      </c>
      <c r="K157" s="205">
        <f t="shared" si="62"/>
        <v>0</v>
      </c>
    </row>
    <row r="158" spans="1:11" ht="29" customHeight="1">
      <c r="A158" s="11" t="s">
        <v>780</v>
      </c>
      <c r="B158" s="12" t="s">
        <v>668</v>
      </c>
      <c r="C158" s="10"/>
      <c r="D158" s="13" t="s">
        <v>1485</v>
      </c>
      <c r="E158" s="205">
        <v>4883.46</v>
      </c>
      <c r="F158" s="205">
        <v>6849.15</v>
      </c>
      <c r="G158" s="205">
        <f t="shared" si="61"/>
        <v>1965.6899999999996</v>
      </c>
      <c r="H158" s="192">
        <v>0.87</v>
      </c>
      <c r="I158" s="205">
        <f t="shared" si="59"/>
        <v>4248.6102000000001</v>
      </c>
      <c r="J158" s="205">
        <f t="shared" si="63"/>
        <v>5958.7604999999994</v>
      </c>
      <c r="K158" s="205">
        <f t="shared" si="62"/>
        <v>1710.1502999999996</v>
      </c>
    </row>
    <row r="159" spans="1:11" ht="28" customHeight="1">
      <c r="A159" s="11" t="s">
        <v>781</v>
      </c>
      <c r="B159" s="12" t="s">
        <v>661</v>
      </c>
      <c r="C159" s="10"/>
      <c r="D159" s="13" t="s">
        <v>87</v>
      </c>
      <c r="E159" s="205">
        <v>84.56</v>
      </c>
      <c r="F159" s="205">
        <v>84.56</v>
      </c>
      <c r="G159" s="205">
        <f t="shared" si="61"/>
        <v>0</v>
      </c>
      <c r="H159" s="192">
        <v>1248.29</v>
      </c>
      <c r="I159" s="205">
        <f t="shared" si="59"/>
        <v>105555.40240000001</v>
      </c>
      <c r="J159" s="205">
        <f t="shared" si="63"/>
        <v>105555.40240000001</v>
      </c>
      <c r="K159" s="205">
        <f t="shared" si="62"/>
        <v>0</v>
      </c>
    </row>
    <row r="160" spans="1:11" ht="17.5" customHeight="1">
      <c r="A160" s="11" t="s">
        <v>782</v>
      </c>
      <c r="B160" s="12" t="s">
        <v>662</v>
      </c>
      <c r="C160" s="10"/>
      <c r="D160" s="13" t="s">
        <v>124</v>
      </c>
      <c r="E160" s="205">
        <v>2818.58</v>
      </c>
      <c r="F160" s="205">
        <v>2818.58</v>
      </c>
      <c r="G160" s="205">
        <f t="shared" si="61"/>
        <v>0</v>
      </c>
      <c r="H160" s="192">
        <v>2.83</v>
      </c>
      <c r="I160" s="205">
        <f t="shared" si="59"/>
        <v>7976.5814</v>
      </c>
      <c r="J160" s="205">
        <f t="shared" si="63"/>
        <v>7976.5814</v>
      </c>
      <c r="K160" s="205">
        <f t="shared" si="62"/>
        <v>0</v>
      </c>
    </row>
    <row r="161" spans="1:11">
      <c r="A161" s="8" t="s">
        <v>776</v>
      </c>
      <c r="B161" s="9" t="s">
        <v>669</v>
      </c>
      <c r="C161" s="8"/>
      <c r="D161" s="8"/>
      <c r="E161" s="211"/>
      <c r="F161" s="211"/>
      <c r="G161" s="211"/>
      <c r="H161" s="191"/>
      <c r="I161" s="204">
        <f>SUM(I162:I167)</f>
        <v>129014.349</v>
      </c>
      <c r="J161" s="204">
        <f>SUM(J162:J167)</f>
        <v>130724.4993</v>
      </c>
      <c r="K161" s="204">
        <f>SUM(K162:K167)</f>
        <v>1710.1502999999996</v>
      </c>
    </row>
    <row r="162" spans="1:11">
      <c r="A162" s="11" t="s">
        <v>783</v>
      </c>
      <c r="B162" s="12" t="s">
        <v>658</v>
      </c>
      <c r="C162" s="10"/>
      <c r="D162" s="14" t="s">
        <v>124</v>
      </c>
      <c r="E162" s="205">
        <v>2818.58</v>
      </c>
      <c r="F162" s="205">
        <v>2818.58</v>
      </c>
      <c r="G162" s="205">
        <f t="shared" ref="G162:G167" si="64">F162-E162</f>
        <v>0</v>
      </c>
      <c r="H162" s="192">
        <v>1.75</v>
      </c>
      <c r="I162" s="205">
        <f t="shared" si="59"/>
        <v>4932.5149999999994</v>
      </c>
      <c r="J162" s="205">
        <f>H162*F162</f>
        <v>4932.5149999999994</v>
      </c>
      <c r="K162" s="205">
        <f t="shared" ref="K162:K167" si="65">G162*H162</f>
        <v>0</v>
      </c>
    </row>
    <row r="163" spans="1:11" ht="26">
      <c r="A163" s="11" t="s">
        <v>784</v>
      </c>
      <c r="B163" s="12" t="s">
        <v>659</v>
      </c>
      <c r="C163" s="10"/>
      <c r="D163" s="14" t="s">
        <v>87</v>
      </c>
      <c r="E163" s="205">
        <v>84.56</v>
      </c>
      <c r="F163" s="212">
        <v>84.56</v>
      </c>
      <c r="G163" s="205">
        <f t="shared" si="64"/>
        <v>0</v>
      </c>
      <c r="H163" s="192">
        <v>10.32</v>
      </c>
      <c r="I163" s="205">
        <f t="shared" si="59"/>
        <v>872.65920000000006</v>
      </c>
      <c r="J163" s="205">
        <f t="shared" ref="J163:J167" si="66">H163*F163</f>
        <v>872.65920000000006</v>
      </c>
      <c r="K163" s="205">
        <f t="shared" si="65"/>
        <v>0</v>
      </c>
    </row>
    <row r="164" spans="1:11" ht="28.5" customHeight="1">
      <c r="A164" s="11" t="s">
        <v>785</v>
      </c>
      <c r="B164" s="12" t="s">
        <v>660</v>
      </c>
      <c r="C164" s="10"/>
      <c r="D164" s="14" t="s">
        <v>1485</v>
      </c>
      <c r="E164" s="205">
        <v>2536.7199999999998</v>
      </c>
      <c r="F164" s="212">
        <v>2536.7199999999998</v>
      </c>
      <c r="G164" s="205">
        <f t="shared" si="64"/>
        <v>0</v>
      </c>
      <c r="H164" s="192">
        <v>2.14</v>
      </c>
      <c r="I164" s="205">
        <f t="shared" si="59"/>
        <v>5428.5807999999997</v>
      </c>
      <c r="J164" s="205">
        <f t="shared" si="66"/>
        <v>5428.5807999999997</v>
      </c>
      <c r="K164" s="205">
        <f t="shared" si="65"/>
        <v>0</v>
      </c>
    </row>
    <row r="165" spans="1:11" ht="32.5" customHeight="1">
      <c r="A165" s="11" t="s">
        <v>786</v>
      </c>
      <c r="B165" s="18" t="s">
        <v>668</v>
      </c>
      <c r="C165" s="10"/>
      <c r="D165" s="189" t="s">
        <v>1485</v>
      </c>
      <c r="E165" s="205">
        <v>4883.46</v>
      </c>
      <c r="F165" s="205">
        <v>6849.15</v>
      </c>
      <c r="G165" s="205">
        <f t="shared" si="64"/>
        <v>1965.6899999999996</v>
      </c>
      <c r="H165" s="193">
        <v>0.87</v>
      </c>
      <c r="I165" s="205">
        <f t="shared" si="59"/>
        <v>4248.6102000000001</v>
      </c>
      <c r="J165" s="205">
        <f t="shared" si="66"/>
        <v>5958.7604999999994</v>
      </c>
      <c r="K165" s="205">
        <f t="shared" si="65"/>
        <v>1710.1502999999996</v>
      </c>
    </row>
    <row r="166" spans="1:11" ht="26.5">
      <c r="A166" s="11" t="s">
        <v>787</v>
      </c>
      <c r="B166" s="18" t="s">
        <v>670</v>
      </c>
      <c r="C166" s="10"/>
      <c r="D166" s="14" t="s">
        <v>87</v>
      </c>
      <c r="E166" s="205">
        <v>84.56</v>
      </c>
      <c r="F166" s="212">
        <v>84.56</v>
      </c>
      <c r="G166" s="205">
        <f t="shared" si="64"/>
        <v>0</v>
      </c>
      <c r="H166" s="192">
        <v>1248.29</v>
      </c>
      <c r="I166" s="205">
        <f t="shared" si="59"/>
        <v>105555.40240000001</v>
      </c>
      <c r="J166" s="205">
        <f t="shared" si="66"/>
        <v>105555.40240000001</v>
      </c>
      <c r="K166" s="205">
        <f t="shared" si="65"/>
        <v>0</v>
      </c>
    </row>
    <row r="167" spans="1:11" ht="16.5" customHeight="1">
      <c r="A167" s="11" t="s">
        <v>788</v>
      </c>
      <c r="B167" s="16" t="s">
        <v>671</v>
      </c>
      <c r="C167" s="10" t="s">
        <v>87</v>
      </c>
      <c r="D167" s="14" t="s">
        <v>124</v>
      </c>
      <c r="E167" s="205">
        <v>2818.58</v>
      </c>
      <c r="F167" s="212">
        <v>2818.58</v>
      </c>
      <c r="G167" s="205">
        <f t="shared" si="64"/>
        <v>0</v>
      </c>
      <c r="H167" s="192">
        <v>2.83</v>
      </c>
      <c r="I167" s="205">
        <f t="shared" si="59"/>
        <v>7976.5814</v>
      </c>
      <c r="J167" s="205">
        <f t="shared" si="66"/>
        <v>7976.5814</v>
      </c>
      <c r="K167" s="205">
        <f t="shared" si="65"/>
        <v>0</v>
      </c>
    </row>
    <row r="168" spans="1:11">
      <c r="A168" s="8" t="s">
        <v>789</v>
      </c>
      <c r="B168" s="9" t="s">
        <v>107</v>
      </c>
      <c r="C168" s="8"/>
      <c r="D168" s="8"/>
      <c r="E168" s="211"/>
      <c r="F168" s="211"/>
      <c r="G168" s="211"/>
      <c r="H168" s="191"/>
      <c r="I168" s="204">
        <f>SUM(I169:I171)</f>
        <v>0</v>
      </c>
      <c r="J168" s="204">
        <f>SUM(J169:J171)</f>
        <v>0</v>
      </c>
      <c r="K168" s="204">
        <f>SUM(K169:K171)</f>
        <v>0</v>
      </c>
    </row>
    <row r="169" spans="1:11" ht="39">
      <c r="A169" s="11" t="s">
        <v>790</v>
      </c>
      <c r="B169" s="12" t="s">
        <v>673</v>
      </c>
      <c r="C169" s="10" t="s">
        <v>33</v>
      </c>
      <c r="D169" s="13" t="s">
        <v>1486</v>
      </c>
      <c r="E169" s="205">
        <v>0</v>
      </c>
      <c r="F169" s="205">
        <v>0</v>
      </c>
      <c r="G169" s="205">
        <f>F169-E169</f>
        <v>0</v>
      </c>
      <c r="H169" s="192">
        <v>625.09</v>
      </c>
      <c r="I169" s="205">
        <f t="shared" si="59"/>
        <v>0</v>
      </c>
      <c r="J169" s="205">
        <f>H169*F169</f>
        <v>0</v>
      </c>
      <c r="K169" s="205">
        <f t="shared" ref="K169:K171" si="67">G169*H169</f>
        <v>0</v>
      </c>
    </row>
    <row r="170" spans="1:11" ht="17" customHeight="1">
      <c r="A170" s="11" t="s">
        <v>791</v>
      </c>
      <c r="B170" s="190" t="s">
        <v>679</v>
      </c>
      <c r="C170" s="10" t="s">
        <v>33</v>
      </c>
      <c r="D170" s="13" t="s">
        <v>124</v>
      </c>
      <c r="E170" s="205">
        <v>0</v>
      </c>
      <c r="F170" s="205">
        <v>0</v>
      </c>
      <c r="G170" s="205">
        <f>F170-E170</f>
        <v>0</v>
      </c>
      <c r="H170" s="192">
        <v>16.260000000000002</v>
      </c>
      <c r="I170" s="205">
        <f t="shared" si="59"/>
        <v>0</v>
      </c>
      <c r="J170" s="205">
        <f t="shared" ref="J170:J171" si="68">H170*F170</f>
        <v>0</v>
      </c>
      <c r="K170" s="205">
        <f t="shared" si="67"/>
        <v>0</v>
      </c>
    </row>
    <row r="171" spans="1:11" ht="16.5" customHeight="1">
      <c r="A171" s="11" t="s">
        <v>792</v>
      </c>
      <c r="B171" s="12" t="s">
        <v>674</v>
      </c>
      <c r="C171" s="10" t="s">
        <v>33</v>
      </c>
      <c r="D171" s="13" t="s">
        <v>124</v>
      </c>
      <c r="E171" s="205">
        <v>0</v>
      </c>
      <c r="F171" s="205">
        <v>0</v>
      </c>
      <c r="G171" s="205">
        <f>F171-E171</f>
        <v>0</v>
      </c>
      <c r="H171" s="192">
        <v>4.5599999999999996</v>
      </c>
      <c r="I171" s="205">
        <f t="shared" si="59"/>
        <v>0</v>
      </c>
      <c r="J171" s="205">
        <f t="shared" si="68"/>
        <v>0</v>
      </c>
      <c r="K171" s="205">
        <f t="shared" si="67"/>
        <v>0</v>
      </c>
    </row>
    <row r="172" spans="1:11">
      <c r="A172" s="8" t="s">
        <v>793</v>
      </c>
      <c r="B172" s="9" t="s">
        <v>677</v>
      </c>
      <c r="C172" s="8"/>
      <c r="D172" s="8"/>
      <c r="E172" s="211"/>
      <c r="F172" s="211"/>
      <c r="G172" s="211"/>
      <c r="H172" s="191"/>
      <c r="I172" s="204">
        <f>SUM(I173:I174)</f>
        <v>4932.5149999999994</v>
      </c>
      <c r="J172" s="204">
        <f>SUM(J173:J174)</f>
        <v>4932.5149999999994</v>
      </c>
      <c r="K172" s="204">
        <f>SUM(K173:K174)</f>
        <v>0</v>
      </c>
    </row>
    <row r="173" spans="1:11">
      <c r="A173" s="11" t="s">
        <v>794</v>
      </c>
      <c r="B173" s="12" t="s">
        <v>658</v>
      </c>
      <c r="C173" s="10" t="s">
        <v>11</v>
      </c>
      <c r="D173" s="13" t="s">
        <v>124</v>
      </c>
      <c r="E173" s="205">
        <v>2818.58</v>
      </c>
      <c r="F173" s="205">
        <v>2818.58</v>
      </c>
      <c r="G173" s="205">
        <f>F173-E173</f>
        <v>0</v>
      </c>
      <c r="H173" s="192">
        <v>1.75</v>
      </c>
      <c r="I173" s="205">
        <f t="shared" si="59"/>
        <v>4932.5149999999994</v>
      </c>
      <c r="J173" s="205">
        <f>H173*F173</f>
        <v>4932.5149999999994</v>
      </c>
      <c r="K173" s="205">
        <f t="shared" ref="K173:K174" si="69">G173*H173</f>
        <v>0</v>
      </c>
    </row>
    <row r="174" spans="1:11">
      <c r="A174" s="11" t="s">
        <v>795</v>
      </c>
      <c r="B174" s="12" t="s">
        <v>678</v>
      </c>
      <c r="C174" s="10" t="s">
        <v>11</v>
      </c>
      <c r="D174" s="13" t="s">
        <v>1486</v>
      </c>
      <c r="E174" s="205">
        <v>0</v>
      </c>
      <c r="F174" s="205">
        <v>0</v>
      </c>
      <c r="G174" s="205">
        <f>F174-E174</f>
        <v>0</v>
      </c>
      <c r="H174" s="192">
        <v>92.34</v>
      </c>
      <c r="I174" s="205">
        <f t="shared" si="59"/>
        <v>0</v>
      </c>
      <c r="J174" s="205">
        <f>H174*F174</f>
        <v>0</v>
      </c>
      <c r="K174" s="205">
        <f t="shared" si="69"/>
        <v>0</v>
      </c>
    </row>
    <row r="175" spans="1:11">
      <c r="A175" s="183">
        <v>7</v>
      </c>
      <c r="B175" s="188" t="s">
        <v>1459</v>
      </c>
      <c r="C175" s="183"/>
      <c r="D175" s="183"/>
      <c r="E175" s="210"/>
      <c r="F175" s="210"/>
      <c r="G175" s="210"/>
      <c r="H175" s="194"/>
      <c r="I175" s="203">
        <f>SUM(I176,I179,I181,I188,I195,I199)</f>
        <v>213725.76730000001</v>
      </c>
      <c r="J175" s="203">
        <f>SUM(J176,J179,J181,J188,J195,J199)</f>
        <v>237466.16160000002</v>
      </c>
      <c r="K175" s="203">
        <f>SUM(K176,K179,K181,K188,K195,K199)</f>
        <v>23740.394299999996</v>
      </c>
    </row>
    <row r="176" spans="1:11">
      <c r="A176" s="8" t="s">
        <v>47</v>
      </c>
      <c r="B176" s="9" t="s">
        <v>8</v>
      </c>
      <c r="C176" s="8"/>
      <c r="D176" s="8"/>
      <c r="E176" s="211"/>
      <c r="F176" s="211"/>
      <c r="G176" s="211"/>
      <c r="H176" s="191"/>
      <c r="I176" s="204">
        <f>SUM(I177:I178)</f>
        <v>17816.869200000001</v>
      </c>
      <c r="J176" s="204">
        <f>SUM(J177:J178)</f>
        <v>39374.851099999993</v>
      </c>
      <c r="K176" s="204">
        <f>SUM(K177:K178)</f>
        <v>21557.981899999995</v>
      </c>
    </row>
    <row r="177" spans="1:11" ht="26">
      <c r="A177" s="11" t="s">
        <v>796</v>
      </c>
      <c r="B177" s="12" t="s">
        <v>652</v>
      </c>
      <c r="C177" s="10" t="s">
        <v>13</v>
      </c>
      <c r="D177" s="13" t="s">
        <v>124</v>
      </c>
      <c r="E177" s="205">
        <v>2087.63</v>
      </c>
      <c r="F177" s="205">
        <v>2087.63</v>
      </c>
      <c r="G177" s="205">
        <f>F177-E177</f>
        <v>0</v>
      </c>
      <c r="H177" s="192">
        <v>0.36</v>
      </c>
      <c r="I177" s="205">
        <f>H177*E177</f>
        <v>751.54679999999996</v>
      </c>
      <c r="J177" s="205">
        <f>H177*F177</f>
        <v>751.54679999999996</v>
      </c>
      <c r="K177" s="205">
        <f t="shared" ref="K177:K178" si="70">G177*H177</f>
        <v>0</v>
      </c>
    </row>
    <row r="178" spans="1:11" ht="52">
      <c r="A178" s="11" t="s">
        <v>797</v>
      </c>
      <c r="B178" s="12" t="s">
        <v>649</v>
      </c>
      <c r="C178" s="10" t="s">
        <v>11</v>
      </c>
      <c r="D178" s="13" t="s">
        <v>124</v>
      </c>
      <c r="E178" s="205">
        <v>276.72000000000003</v>
      </c>
      <c r="F178" s="205">
        <v>626.29</v>
      </c>
      <c r="G178" s="205">
        <f>F178-E178</f>
        <v>349.56999999999994</v>
      </c>
      <c r="H178" s="192">
        <v>61.67</v>
      </c>
      <c r="I178" s="205">
        <f>H178*E178</f>
        <v>17065.322400000001</v>
      </c>
      <c r="J178" s="205">
        <f>H178*F178</f>
        <v>38623.304299999996</v>
      </c>
      <c r="K178" s="205">
        <f t="shared" si="70"/>
        <v>21557.981899999995</v>
      </c>
    </row>
    <row r="179" spans="1:11">
      <c r="A179" s="8" t="s">
        <v>48</v>
      </c>
      <c r="B179" s="9" t="s">
        <v>654</v>
      </c>
      <c r="C179" s="8"/>
      <c r="D179" s="8"/>
      <c r="E179" s="211"/>
      <c r="F179" s="211"/>
      <c r="G179" s="211"/>
      <c r="H179" s="191"/>
      <c r="I179" s="204">
        <f>SUM(I180:I180)</f>
        <v>793.29940000000011</v>
      </c>
      <c r="J179" s="204">
        <f>SUM(J180:J180)</f>
        <v>793.29940000000011</v>
      </c>
      <c r="K179" s="204">
        <f>SUM(K180:K180)</f>
        <v>0</v>
      </c>
    </row>
    <row r="180" spans="1:11" ht="26">
      <c r="A180" s="11" t="s">
        <v>798</v>
      </c>
      <c r="B180" s="12" t="s">
        <v>655</v>
      </c>
      <c r="C180" s="10"/>
      <c r="D180" s="13" t="s">
        <v>124</v>
      </c>
      <c r="E180" s="205">
        <v>2087.63</v>
      </c>
      <c r="F180" s="205">
        <v>2087.63</v>
      </c>
      <c r="G180" s="205">
        <f>F180-E180</f>
        <v>0</v>
      </c>
      <c r="H180" s="192">
        <v>0.38</v>
      </c>
      <c r="I180" s="205">
        <f t="shared" ref="I180:I201" si="71">H180*E180</f>
        <v>793.29940000000011</v>
      </c>
      <c r="J180" s="205">
        <f>H180*F180</f>
        <v>793.29940000000011</v>
      </c>
      <c r="K180" s="205">
        <f t="shared" ref="K180" si="72">G180*H180</f>
        <v>0</v>
      </c>
    </row>
    <row r="181" spans="1:11">
      <c r="A181" s="8" t="s">
        <v>49</v>
      </c>
      <c r="B181" s="9" t="s">
        <v>657</v>
      </c>
      <c r="C181" s="8"/>
      <c r="D181" s="8"/>
      <c r="E181" s="211"/>
      <c r="F181" s="211"/>
      <c r="G181" s="211"/>
      <c r="H181" s="191"/>
      <c r="I181" s="204">
        <f>SUM(I182:I187)</f>
        <v>95731.123099999997</v>
      </c>
      <c r="J181" s="204">
        <f>SUM(J182:J187)</f>
        <v>96822.329299999998</v>
      </c>
      <c r="K181" s="204">
        <f>SUM(K182:K187)</f>
        <v>1091.2061999999999</v>
      </c>
    </row>
    <row r="182" spans="1:11">
      <c r="A182" s="11" t="s">
        <v>799</v>
      </c>
      <c r="B182" s="12" t="s">
        <v>658</v>
      </c>
      <c r="C182" s="10"/>
      <c r="D182" s="13" t="s">
        <v>124</v>
      </c>
      <c r="E182" s="205">
        <v>2087.63</v>
      </c>
      <c r="F182" s="205">
        <v>2087.63</v>
      </c>
      <c r="G182" s="205">
        <f t="shared" ref="G182:G187" si="73">F182-E182</f>
        <v>0</v>
      </c>
      <c r="H182" s="192">
        <v>1.75</v>
      </c>
      <c r="I182" s="205">
        <f t="shared" si="71"/>
        <v>3653.3525</v>
      </c>
      <c r="J182" s="205">
        <f>H182*F182</f>
        <v>3653.3525</v>
      </c>
      <c r="K182" s="205">
        <f t="shared" ref="K182:K187" si="74">G182*H182</f>
        <v>0</v>
      </c>
    </row>
    <row r="183" spans="1:11" ht="26">
      <c r="A183" s="11" t="s">
        <v>800</v>
      </c>
      <c r="B183" s="12" t="s">
        <v>659</v>
      </c>
      <c r="C183" s="10"/>
      <c r="D183" s="13" t="s">
        <v>87</v>
      </c>
      <c r="E183" s="205">
        <v>62.63</v>
      </c>
      <c r="F183" s="205">
        <v>62.63</v>
      </c>
      <c r="G183" s="205">
        <f t="shared" si="73"/>
        <v>0</v>
      </c>
      <c r="H183" s="192">
        <v>10.32</v>
      </c>
      <c r="I183" s="205">
        <f t="shared" si="71"/>
        <v>646.34160000000008</v>
      </c>
      <c r="J183" s="205">
        <f t="shared" ref="J183:J187" si="75">H183*F183</f>
        <v>646.34160000000008</v>
      </c>
      <c r="K183" s="205">
        <f t="shared" si="74"/>
        <v>0</v>
      </c>
    </row>
    <row r="184" spans="1:11" ht="28.5" customHeight="1">
      <c r="A184" s="11" t="s">
        <v>801</v>
      </c>
      <c r="B184" s="12" t="s">
        <v>660</v>
      </c>
      <c r="C184" s="10"/>
      <c r="D184" s="13" t="s">
        <v>1485</v>
      </c>
      <c r="E184" s="205">
        <v>1878.87</v>
      </c>
      <c r="F184" s="205">
        <v>1878.87</v>
      </c>
      <c r="G184" s="205">
        <f t="shared" si="73"/>
        <v>0</v>
      </c>
      <c r="H184" s="192">
        <v>2.14</v>
      </c>
      <c r="I184" s="205">
        <f t="shared" si="71"/>
        <v>4020.7818000000002</v>
      </c>
      <c r="J184" s="205">
        <f t="shared" si="75"/>
        <v>4020.7818000000002</v>
      </c>
      <c r="K184" s="205">
        <f t="shared" si="74"/>
        <v>0</v>
      </c>
    </row>
    <row r="185" spans="1:11" ht="29" customHeight="1">
      <c r="A185" s="11" t="s">
        <v>802</v>
      </c>
      <c r="B185" s="12" t="s">
        <v>668</v>
      </c>
      <c r="C185" s="10"/>
      <c r="D185" s="13" t="s">
        <v>1485</v>
      </c>
      <c r="E185" s="205">
        <v>3818.68</v>
      </c>
      <c r="F185" s="205">
        <v>5072.9399999999996</v>
      </c>
      <c r="G185" s="205">
        <f t="shared" si="73"/>
        <v>1254.2599999999998</v>
      </c>
      <c r="H185" s="192">
        <v>0.87</v>
      </c>
      <c r="I185" s="205">
        <f t="shared" si="71"/>
        <v>3322.2516000000001</v>
      </c>
      <c r="J185" s="205">
        <f t="shared" si="75"/>
        <v>4413.4577999999992</v>
      </c>
      <c r="K185" s="205">
        <f t="shared" si="74"/>
        <v>1091.2061999999999</v>
      </c>
    </row>
    <row r="186" spans="1:11" ht="28" customHeight="1">
      <c r="A186" s="11" t="s">
        <v>803</v>
      </c>
      <c r="B186" s="12" t="s">
        <v>661</v>
      </c>
      <c r="C186" s="10"/>
      <c r="D186" s="13" t="s">
        <v>87</v>
      </c>
      <c r="E186" s="205">
        <v>62.63</v>
      </c>
      <c r="F186" s="205">
        <v>62.63</v>
      </c>
      <c r="G186" s="205">
        <f t="shared" si="73"/>
        <v>0</v>
      </c>
      <c r="H186" s="192">
        <v>1248.29</v>
      </c>
      <c r="I186" s="205">
        <f t="shared" si="71"/>
        <v>78180.402700000006</v>
      </c>
      <c r="J186" s="205">
        <f t="shared" si="75"/>
        <v>78180.402700000006</v>
      </c>
      <c r="K186" s="205">
        <f t="shared" si="74"/>
        <v>0</v>
      </c>
    </row>
    <row r="187" spans="1:11" ht="17.5" customHeight="1">
      <c r="A187" s="11" t="s">
        <v>804</v>
      </c>
      <c r="B187" s="12" t="s">
        <v>662</v>
      </c>
      <c r="C187" s="10"/>
      <c r="D187" s="13" t="s">
        <v>124</v>
      </c>
      <c r="E187" s="205">
        <v>2087.63</v>
      </c>
      <c r="F187" s="205">
        <v>2087.63</v>
      </c>
      <c r="G187" s="205">
        <f t="shared" si="73"/>
        <v>0</v>
      </c>
      <c r="H187" s="192">
        <v>2.83</v>
      </c>
      <c r="I187" s="205">
        <f t="shared" si="71"/>
        <v>5907.9929000000002</v>
      </c>
      <c r="J187" s="205">
        <f t="shared" si="75"/>
        <v>5907.9929000000002</v>
      </c>
      <c r="K187" s="205">
        <f t="shared" si="74"/>
        <v>0</v>
      </c>
    </row>
    <row r="188" spans="1:11">
      <c r="A188" s="8" t="s">
        <v>805</v>
      </c>
      <c r="B188" s="9" t="s">
        <v>669</v>
      </c>
      <c r="C188" s="8"/>
      <c r="D188" s="8"/>
      <c r="E188" s="211"/>
      <c r="F188" s="211"/>
      <c r="G188" s="211"/>
      <c r="H188" s="191"/>
      <c r="I188" s="204">
        <f>SUM(I189:I194)</f>
        <v>95731.123099999997</v>
      </c>
      <c r="J188" s="204">
        <f>SUM(J189:J194)</f>
        <v>96822.329299999998</v>
      </c>
      <c r="K188" s="204">
        <f>SUM(K189:K194)</f>
        <v>1091.2061999999999</v>
      </c>
    </row>
    <row r="189" spans="1:11">
      <c r="A189" s="11" t="s">
        <v>806</v>
      </c>
      <c r="B189" s="12" t="s">
        <v>658</v>
      </c>
      <c r="C189" s="10"/>
      <c r="D189" s="14" t="s">
        <v>124</v>
      </c>
      <c r="E189" s="205">
        <v>2087.63</v>
      </c>
      <c r="F189" s="205">
        <v>2087.63</v>
      </c>
      <c r="G189" s="205">
        <f t="shared" ref="G189:G194" si="76">F189-E189</f>
        <v>0</v>
      </c>
      <c r="H189" s="192">
        <v>1.75</v>
      </c>
      <c r="I189" s="205">
        <f t="shared" si="71"/>
        <v>3653.3525</v>
      </c>
      <c r="J189" s="205">
        <f>H189*F189</f>
        <v>3653.3525</v>
      </c>
      <c r="K189" s="205">
        <f t="shared" ref="K189:K194" si="77">G189*H189</f>
        <v>0</v>
      </c>
    </row>
    <row r="190" spans="1:11" ht="26">
      <c r="A190" s="11" t="s">
        <v>807</v>
      </c>
      <c r="B190" s="12" t="s">
        <v>659</v>
      </c>
      <c r="C190" s="10"/>
      <c r="D190" s="14" t="s">
        <v>87</v>
      </c>
      <c r="E190" s="205">
        <v>62.63</v>
      </c>
      <c r="F190" s="205">
        <v>62.63</v>
      </c>
      <c r="G190" s="205">
        <f t="shared" si="76"/>
        <v>0</v>
      </c>
      <c r="H190" s="192">
        <v>10.32</v>
      </c>
      <c r="I190" s="205">
        <f t="shared" si="71"/>
        <v>646.34160000000008</v>
      </c>
      <c r="J190" s="205">
        <f t="shared" ref="J190:J194" si="78">H190*F190</f>
        <v>646.34160000000008</v>
      </c>
      <c r="K190" s="205">
        <f t="shared" si="77"/>
        <v>0</v>
      </c>
    </row>
    <row r="191" spans="1:11" ht="28.5" customHeight="1">
      <c r="A191" s="11" t="s">
        <v>808</v>
      </c>
      <c r="B191" s="12" t="s">
        <v>660</v>
      </c>
      <c r="C191" s="10"/>
      <c r="D191" s="14" t="s">
        <v>1485</v>
      </c>
      <c r="E191" s="205">
        <v>1878.87</v>
      </c>
      <c r="F191" s="205">
        <v>1878.87</v>
      </c>
      <c r="G191" s="205">
        <f t="shared" si="76"/>
        <v>0</v>
      </c>
      <c r="H191" s="192">
        <v>2.14</v>
      </c>
      <c r="I191" s="205">
        <f t="shared" si="71"/>
        <v>4020.7818000000002</v>
      </c>
      <c r="J191" s="205">
        <f t="shared" si="78"/>
        <v>4020.7818000000002</v>
      </c>
      <c r="K191" s="205">
        <f t="shared" si="77"/>
        <v>0</v>
      </c>
    </row>
    <row r="192" spans="1:11" ht="32.5" customHeight="1">
      <c r="A192" s="11" t="s">
        <v>809</v>
      </c>
      <c r="B192" s="18" t="s">
        <v>668</v>
      </c>
      <c r="C192" s="10"/>
      <c r="D192" s="189" t="s">
        <v>1485</v>
      </c>
      <c r="E192" s="205">
        <v>3818.68</v>
      </c>
      <c r="F192" s="205">
        <v>5072.9399999999996</v>
      </c>
      <c r="G192" s="205">
        <f t="shared" si="76"/>
        <v>1254.2599999999998</v>
      </c>
      <c r="H192" s="193">
        <v>0.87</v>
      </c>
      <c r="I192" s="205">
        <f t="shared" si="71"/>
        <v>3322.2516000000001</v>
      </c>
      <c r="J192" s="205">
        <f t="shared" si="78"/>
        <v>4413.4577999999992</v>
      </c>
      <c r="K192" s="205">
        <f t="shared" si="77"/>
        <v>1091.2061999999999</v>
      </c>
    </row>
    <row r="193" spans="1:11" ht="26.5">
      <c r="A193" s="11" t="s">
        <v>810</v>
      </c>
      <c r="B193" s="18" t="s">
        <v>670</v>
      </c>
      <c r="C193" s="10"/>
      <c r="D193" s="14" t="s">
        <v>87</v>
      </c>
      <c r="E193" s="205">
        <v>62.63</v>
      </c>
      <c r="F193" s="205">
        <v>62.63</v>
      </c>
      <c r="G193" s="205">
        <f t="shared" si="76"/>
        <v>0</v>
      </c>
      <c r="H193" s="192">
        <v>1248.29</v>
      </c>
      <c r="I193" s="205">
        <f t="shared" si="71"/>
        <v>78180.402700000006</v>
      </c>
      <c r="J193" s="205">
        <f t="shared" si="78"/>
        <v>78180.402700000006</v>
      </c>
      <c r="K193" s="205">
        <f t="shared" si="77"/>
        <v>0</v>
      </c>
    </row>
    <row r="194" spans="1:11" ht="16.5" customHeight="1">
      <c r="A194" s="11" t="s">
        <v>811</v>
      </c>
      <c r="B194" s="16" t="s">
        <v>671</v>
      </c>
      <c r="C194" s="10" t="s">
        <v>87</v>
      </c>
      <c r="D194" s="14" t="s">
        <v>124</v>
      </c>
      <c r="E194" s="205">
        <v>2087.63</v>
      </c>
      <c r="F194" s="205">
        <v>2087.63</v>
      </c>
      <c r="G194" s="205">
        <f t="shared" si="76"/>
        <v>0</v>
      </c>
      <c r="H194" s="192">
        <v>2.83</v>
      </c>
      <c r="I194" s="205">
        <f t="shared" si="71"/>
        <v>5907.9929000000002</v>
      </c>
      <c r="J194" s="205">
        <f t="shared" si="78"/>
        <v>5907.9929000000002</v>
      </c>
      <c r="K194" s="205">
        <f t="shared" si="77"/>
        <v>0</v>
      </c>
    </row>
    <row r="195" spans="1:11">
      <c r="A195" s="8" t="s">
        <v>812</v>
      </c>
      <c r="B195" s="9" t="s">
        <v>107</v>
      </c>
      <c r="C195" s="8"/>
      <c r="D195" s="8"/>
      <c r="E195" s="211"/>
      <c r="F195" s="211"/>
      <c r="G195" s="211"/>
      <c r="H195" s="191"/>
      <c r="I195" s="204">
        <f>SUM(I196:I198)</f>
        <v>0</v>
      </c>
      <c r="J195" s="204">
        <f>SUM(J196:J198)</f>
        <v>0</v>
      </c>
      <c r="K195" s="204">
        <f>SUM(K196:K198)</f>
        <v>0</v>
      </c>
    </row>
    <row r="196" spans="1:11" ht="39">
      <c r="A196" s="11" t="s">
        <v>813</v>
      </c>
      <c r="B196" s="12" t="s">
        <v>673</v>
      </c>
      <c r="C196" s="10" t="s">
        <v>33</v>
      </c>
      <c r="D196" s="13" t="s">
        <v>1486</v>
      </c>
      <c r="E196" s="205">
        <v>0</v>
      </c>
      <c r="F196" s="205">
        <v>0</v>
      </c>
      <c r="G196" s="205">
        <f>F196-E196</f>
        <v>0</v>
      </c>
      <c r="H196" s="192">
        <v>625.09</v>
      </c>
      <c r="I196" s="205">
        <f t="shared" si="71"/>
        <v>0</v>
      </c>
      <c r="J196" s="205">
        <f>H196*F196</f>
        <v>0</v>
      </c>
      <c r="K196" s="205">
        <f t="shared" ref="K196:K198" si="79">G196*H196</f>
        <v>0</v>
      </c>
    </row>
    <row r="197" spans="1:11" ht="17" customHeight="1">
      <c r="A197" s="11" t="s">
        <v>814</v>
      </c>
      <c r="B197" s="190" t="s">
        <v>679</v>
      </c>
      <c r="C197" s="10" t="s">
        <v>33</v>
      </c>
      <c r="D197" s="13" t="s">
        <v>124</v>
      </c>
      <c r="E197" s="205">
        <v>0</v>
      </c>
      <c r="F197" s="205">
        <v>0</v>
      </c>
      <c r="G197" s="205">
        <f>F197-E197</f>
        <v>0</v>
      </c>
      <c r="H197" s="192">
        <v>16.260000000000002</v>
      </c>
      <c r="I197" s="205">
        <f t="shared" si="71"/>
        <v>0</v>
      </c>
      <c r="J197" s="205">
        <f t="shared" ref="J197:J198" si="80">H197*F197</f>
        <v>0</v>
      </c>
      <c r="K197" s="205">
        <f t="shared" si="79"/>
        <v>0</v>
      </c>
    </row>
    <row r="198" spans="1:11" ht="16.5" customHeight="1">
      <c r="A198" s="11" t="s">
        <v>815</v>
      </c>
      <c r="B198" s="12" t="s">
        <v>674</v>
      </c>
      <c r="C198" s="10" t="s">
        <v>33</v>
      </c>
      <c r="D198" s="13" t="s">
        <v>124</v>
      </c>
      <c r="E198" s="205">
        <v>0</v>
      </c>
      <c r="F198" s="205">
        <v>0</v>
      </c>
      <c r="G198" s="205">
        <f>F198-E198</f>
        <v>0</v>
      </c>
      <c r="H198" s="192">
        <v>4.5599999999999996</v>
      </c>
      <c r="I198" s="205">
        <f t="shared" si="71"/>
        <v>0</v>
      </c>
      <c r="J198" s="205">
        <f t="shared" si="80"/>
        <v>0</v>
      </c>
      <c r="K198" s="205">
        <f t="shared" si="79"/>
        <v>0</v>
      </c>
    </row>
    <row r="199" spans="1:11">
      <c r="A199" s="8" t="s">
        <v>816</v>
      </c>
      <c r="B199" s="9" t="s">
        <v>677</v>
      </c>
      <c r="C199" s="8"/>
      <c r="D199" s="8"/>
      <c r="E199" s="211"/>
      <c r="F199" s="211"/>
      <c r="G199" s="211"/>
      <c r="H199" s="191"/>
      <c r="I199" s="204">
        <f>SUM(I200:I201)</f>
        <v>3653.3525</v>
      </c>
      <c r="J199" s="204">
        <f>SUM(J200:J201)</f>
        <v>3653.3525</v>
      </c>
      <c r="K199" s="204">
        <f>SUM(K200:K201)</f>
        <v>0</v>
      </c>
    </row>
    <row r="200" spans="1:11">
      <c r="A200" s="11" t="s">
        <v>817</v>
      </c>
      <c r="B200" s="12" t="s">
        <v>658</v>
      </c>
      <c r="C200" s="10" t="s">
        <v>11</v>
      </c>
      <c r="D200" s="13" t="s">
        <v>124</v>
      </c>
      <c r="E200" s="205">
        <v>2087.63</v>
      </c>
      <c r="F200" s="205">
        <v>2087.63</v>
      </c>
      <c r="G200" s="205">
        <f>F200-E200</f>
        <v>0</v>
      </c>
      <c r="H200" s="192">
        <v>1.75</v>
      </c>
      <c r="I200" s="205">
        <f t="shared" si="71"/>
        <v>3653.3525</v>
      </c>
      <c r="J200" s="205">
        <f>H200*F200</f>
        <v>3653.3525</v>
      </c>
      <c r="K200" s="205">
        <f t="shared" ref="K200:K201" si="81">G200*H200</f>
        <v>0</v>
      </c>
    </row>
    <row r="201" spans="1:11">
      <c r="A201" s="11" t="s">
        <v>818</v>
      </c>
      <c r="B201" s="12" t="s">
        <v>678</v>
      </c>
      <c r="C201" s="10" t="s">
        <v>11</v>
      </c>
      <c r="D201" s="13" t="s">
        <v>1486</v>
      </c>
      <c r="E201" s="205">
        <v>0</v>
      </c>
      <c r="F201" s="205">
        <v>0</v>
      </c>
      <c r="G201" s="205">
        <f>F201-E201</f>
        <v>0</v>
      </c>
      <c r="H201" s="192">
        <v>92.34</v>
      </c>
      <c r="I201" s="205">
        <f t="shared" si="71"/>
        <v>0</v>
      </c>
      <c r="J201" s="205">
        <f>H201*F201</f>
        <v>0</v>
      </c>
      <c r="K201" s="205">
        <f t="shared" si="81"/>
        <v>0</v>
      </c>
    </row>
    <row r="202" spans="1:11">
      <c r="A202" s="183">
        <v>8</v>
      </c>
      <c r="B202" s="188" t="s">
        <v>1460</v>
      </c>
      <c r="C202" s="183"/>
      <c r="D202" s="183"/>
      <c r="E202" s="210"/>
      <c r="F202" s="210"/>
      <c r="G202" s="210"/>
      <c r="H202" s="194"/>
      <c r="I202" s="203">
        <f>SUM(I203,I206,I208,I215,I222,I226)</f>
        <v>236899.24359999999</v>
      </c>
      <c r="J202" s="203">
        <f>SUM(J203,J206,J208,J215,J222,J226)</f>
        <v>240527.34700000001</v>
      </c>
      <c r="K202" s="203">
        <f>SUM(K203,K206,K208,K215,K222,K226)</f>
        <v>3628.1034</v>
      </c>
    </row>
    <row r="203" spans="1:11">
      <c r="A203" s="8" t="s">
        <v>52</v>
      </c>
      <c r="B203" s="9" t="s">
        <v>8</v>
      </c>
      <c r="C203" s="8"/>
      <c r="D203" s="8"/>
      <c r="E203" s="211"/>
      <c r="F203" s="211"/>
      <c r="G203" s="211"/>
      <c r="H203" s="191"/>
      <c r="I203" s="204">
        <f>SUM(I204:I205)</f>
        <v>18729.1446</v>
      </c>
      <c r="J203" s="204">
        <f>SUM(J204:J205)</f>
        <v>19472.8848</v>
      </c>
      <c r="K203" s="204">
        <f>SUM(K204:K205)</f>
        <v>743.74020000000019</v>
      </c>
    </row>
    <row r="204" spans="1:11" ht="26">
      <c r="A204" s="11" t="s">
        <v>819</v>
      </c>
      <c r="B204" s="12" t="s">
        <v>652</v>
      </c>
      <c r="C204" s="10" t="s">
        <v>13</v>
      </c>
      <c r="D204" s="13" t="s">
        <v>124</v>
      </c>
      <c r="E204" s="205">
        <v>2329.66</v>
      </c>
      <c r="F204" s="205">
        <v>2329.66</v>
      </c>
      <c r="G204" s="205">
        <f>F204-E204</f>
        <v>0</v>
      </c>
      <c r="H204" s="192">
        <v>0.36</v>
      </c>
      <c r="I204" s="205">
        <f>H204*E204</f>
        <v>838.67759999999987</v>
      </c>
      <c r="J204" s="205">
        <f>H204*F204</f>
        <v>838.67759999999987</v>
      </c>
      <c r="K204" s="205">
        <f t="shared" ref="K204:K205" si="82">G204*H204</f>
        <v>0</v>
      </c>
    </row>
    <row r="205" spans="1:11" ht="52">
      <c r="A205" s="11" t="s">
        <v>820</v>
      </c>
      <c r="B205" s="12" t="s">
        <v>649</v>
      </c>
      <c r="C205" s="10" t="s">
        <v>11</v>
      </c>
      <c r="D205" s="13" t="s">
        <v>124</v>
      </c>
      <c r="E205" s="205">
        <v>290.10000000000002</v>
      </c>
      <c r="F205" s="205">
        <v>302.16000000000003</v>
      </c>
      <c r="G205" s="205">
        <f>F205-E205</f>
        <v>12.060000000000002</v>
      </c>
      <c r="H205" s="192">
        <v>61.67</v>
      </c>
      <c r="I205" s="205">
        <f>H205*E205</f>
        <v>17890.467000000001</v>
      </c>
      <c r="J205" s="205">
        <f>H205*F205</f>
        <v>18634.207200000001</v>
      </c>
      <c r="K205" s="205">
        <f t="shared" si="82"/>
        <v>743.74020000000019</v>
      </c>
    </row>
    <row r="206" spans="1:11">
      <c r="A206" s="8" t="s">
        <v>53</v>
      </c>
      <c r="B206" s="9" t="s">
        <v>654</v>
      </c>
      <c r="C206" s="8"/>
      <c r="D206" s="8"/>
      <c r="E206" s="211"/>
      <c r="F206" s="211"/>
      <c r="G206" s="211"/>
      <c r="H206" s="191"/>
      <c r="I206" s="204">
        <f>SUM(I207:I207)</f>
        <v>885.27080000000001</v>
      </c>
      <c r="J206" s="204">
        <f>SUM(J207:J207)</f>
        <v>885.27080000000001</v>
      </c>
      <c r="K206" s="204">
        <f>SUM(K207:K207)</f>
        <v>0</v>
      </c>
    </row>
    <row r="207" spans="1:11" ht="26">
      <c r="A207" s="11" t="s">
        <v>821</v>
      </c>
      <c r="B207" s="12" t="s">
        <v>655</v>
      </c>
      <c r="C207" s="10"/>
      <c r="D207" s="13" t="s">
        <v>124</v>
      </c>
      <c r="E207" s="205">
        <v>2329.66</v>
      </c>
      <c r="F207" s="205">
        <v>2329.66</v>
      </c>
      <c r="G207" s="205">
        <f>F207-E207</f>
        <v>0</v>
      </c>
      <c r="H207" s="192">
        <v>0.38</v>
      </c>
      <c r="I207" s="205">
        <f t="shared" ref="I207:I228" si="83">H207*E207</f>
        <v>885.27080000000001</v>
      </c>
      <c r="J207" s="205">
        <f>H207*F207</f>
        <v>885.27080000000001</v>
      </c>
      <c r="K207" s="205">
        <f t="shared" ref="K207" si="84">G207*H207</f>
        <v>0</v>
      </c>
    </row>
    <row r="208" spans="1:11">
      <c r="A208" s="8" t="s">
        <v>54</v>
      </c>
      <c r="B208" s="9" t="s">
        <v>657</v>
      </c>
      <c r="C208" s="8"/>
      <c r="D208" s="8"/>
      <c r="E208" s="211"/>
      <c r="F208" s="211"/>
      <c r="G208" s="211"/>
      <c r="H208" s="191"/>
      <c r="I208" s="204">
        <f>SUM(I209:I214)</f>
        <v>106603.9616</v>
      </c>
      <c r="J208" s="204">
        <f>SUM(J209:J214)</f>
        <v>108046.14320000001</v>
      </c>
      <c r="K208" s="204">
        <f>SUM(K209:K214)</f>
        <v>1442.1815999999999</v>
      </c>
    </row>
    <row r="209" spans="1:11">
      <c r="A209" s="11" t="s">
        <v>822</v>
      </c>
      <c r="B209" s="12" t="s">
        <v>658</v>
      </c>
      <c r="C209" s="10"/>
      <c r="D209" s="13" t="s">
        <v>124</v>
      </c>
      <c r="E209" s="205">
        <v>2329.66</v>
      </c>
      <c r="F209" s="205">
        <v>2329.66</v>
      </c>
      <c r="G209" s="205">
        <f t="shared" ref="G209:G214" si="85">F209-E209</f>
        <v>0</v>
      </c>
      <c r="H209" s="192">
        <v>1.75</v>
      </c>
      <c r="I209" s="205">
        <f t="shared" si="83"/>
        <v>4076.9049999999997</v>
      </c>
      <c r="J209" s="205">
        <f>H209*F209</f>
        <v>4076.9049999999997</v>
      </c>
      <c r="K209" s="205">
        <f t="shared" ref="K209:K214" si="86">G209*H209</f>
        <v>0</v>
      </c>
    </row>
    <row r="210" spans="1:11" ht="26">
      <c r="A210" s="11" t="s">
        <v>823</v>
      </c>
      <c r="B210" s="12" t="s">
        <v>659</v>
      </c>
      <c r="C210" s="10"/>
      <c r="D210" s="13" t="s">
        <v>87</v>
      </c>
      <c r="E210" s="205">
        <v>69.89</v>
      </c>
      <c r="F210" s="205">
        <v>69.89</v>
      </c>
      <c r="G210" s="205">
        <f t="shared" si="85"/>
        <v>0</v>
      </c>
      <c r="H210" s="192">
        <v>10.32</v>
      </c>
      <c r="I210" s="205">
        <f t="shared" si="83"/>
        <v>721.26480000000004</v>
      </c>
      <c r="J210" s="205">
        <f t="shared" ref="J210:J214" si="87">H210*F210</f>
        <v>721.26480000000004</v>
      </c>
      <c r="K210" s="205">
        <f t="shared" si="86"/>
        <v>0</v>
      </c>
    </row>
    <row r="211" spans="1:11" ht="28.5" customHeight="1">
      <c r="A211" s="11" t="s">
        <v>824</v>
      </c>
      <c r="B211" s="12" t="s">
        <v>660</v>
      </c>
      <c r="C211" s="10"/>
      <c r="D211" s="13" t="s">
        <v>1485</v>
      </c>
      <c r="E211" s="205">
        <v>2096.69</v>
      </c>
      <c r="F211" s="205">
        <v>2096.69</v>
      </c>
      <c r="G211" s="205">
        <f t="shared" si="85"/>
        <v>0</v>
      </c>
      <c r="H211" s="192">
        <v>2.14</v>
      </c>
      <c r="I211" s="205">
        <f t="shared" si="83"/>
        <v>4486.9166000000005</v>
      </c>
      <c r="J211" s="205">
        <f t="shared" si="87"/>
        <v>4486.9166000000005</v>
      </c>
      <c r="K211" s="205">
        <f t="shared" si="86"/>
        <v>0</v>
      </c>
    </row>
    <row r="212" spans="1:11" ht="29" customHeight="1">
      <c r="A212" s="11" t="s">
        <v>825</v>
      </c>
      <c r="B212" s="12" t="s">
        <v>668</v>
      </c>
      <c r="C212" s="10"/>
      <c r="D212" s="13" t="s">
        <v>1485</v>
      </c>
      <c r="E212" s="205">
        <v>4003.39</v>
      </c>
      <c r="F212" s="205">
        <v>5661.07</v>
      </c>
      <c r="G212" s="205">
        <f t="shared" si="85"/>
        <v>1657.6799999999998</v>
      </c>
      <c r="H212" s="192">
        <v>0.87</v>
      </c>
      <c r="I212" s="205">
        <f t="shared" si="83"/>
        <v>3482.9492999999998</v>
      </c>
      <c r="J212" s="205">
        <f t="shared" si="87"/>
        <v>4925.1309000000001</v>
      </c>
      <c r="K212" s="205">
        <f t="shared" si="86"/>
        <v>1442.1815999999999</v>
      </c>
    </row>
    <row r="213" spans="1:11" ht="28" customHeight="1">
      <c r="A213" s="11" t="s">
        <v>826</v>
      </c>
      <c r="B213" s="12" t="s">
        <v>661</v>
      </c>
      <c r="C213" s="10"/>
      <c r="D213" s="13" t="s">
        <v>87</v>
      </c>
      <c r="E213" s="205">
        <v>69.89</v>
      </c>
      <c r="F213" s="205">
        <v>69.89</v>
      </c>
      <c r="G213" s="205">
        <f t="shared" si="85"/>
        <v>0</v>
      </c>
      <c r="H213" s="192">
        <v>1248.29</v>
      </c>
      <c r="I213" s="205">
        <f t="shared" si="83"/>
        <v>87242.988100000002</v>
      </c>
      <c r="J213" s="205">
        <f t="shared" si="87"/>
        <v>87242.988100000002</v>
      </c>
      <c r="K213" s="205">
        <f t="shared" si="86"/>
        <v>0</v>
      </c>
    </row>
    <row r="214" spans="1:11" ht="17.5" customHeight="1">
      <c r="A214" s="11" t="s">
        <v>827</v>
      </c>
      <c r="B214" s="12" t="s">
        <v>662</v>
      </c>
      <c r="C214" s="10"/>
      <c r="D214" s="13" t="s">
        <v>124</v>
      </c>
      <c r="E214" s="205">
        <v>2329.66</v>
      </c>
      <c r="F214" s="205">
        <v>2329.66</v>
      </c>
      <c r="G214" s="205">
        <f t="shared" si="85"/>
        <v>0</v>
      </c>
      <c r="H214" s="192">
        <v>2.83</v>
      </c>
      <c r="I214" s="205">
        <f t="shared" si="83"/>
        <v>6592.9377999999997</v>
      </c>
      <c r="J214" s="205">
        <f t="shared" si="87"/>
        <v>6592.9377999999997</v>
      </c>
      <c r="K214" s="205">
        <f t="shared" si="86"/>
        <v>0</v>
      </c>
    </row>
    <row r="215" spans="1:11">
      <c r="A215" s="8" t="s">
        <v>55</v>
      </c>
      <c r="B215" s="9" t="s">
        <v>669</v>
      </c>
      <c r="C215" s="8"/>
      <c r="D215" s="8"/>
      <c r="E215" s="211"/>
      <c r="F215" s="211"/>
      <c r="G215" s="211"/>
      <c r="H215" s="191"/>
      <c r="I215" s="204">
        <f>SUM(I216:I221)</f>
        <v>106603.9616</v>
      </c>
      <c r="J215" s="204">
        <f>SUM(J216:J221)</f>
        <v>108046.14320000001</v>
      </c>
      <c r="K215" s="204">
        <f>SUM(K216:K221)</f>
        <v>1442.1815999999999</v>
      </c>
    </row>
    <row r="216" spans="1:11">
      <c r="A216" s="11" t="s">
        <v>828</v>
      </c>
      <c r="B216" s="12" t="s">
        <v>658</v>
      </c>
      <c r="C216" s="10"/>
      <c r="D216" s="14" t="s">
        <v>124</v>
      </c>
      <c r="E216" s="205">
        <v>2329.66</v>
      </c>
      <c r="F216" s="205">
        <v>2329.66</v>
      </c>
      <c r="G216" s="205">
        <f t="shared" ref="G216:G221" si="88">F216-E216</f>
        <v>0</v>
      </c>
      <c r="H216" s="192">
        <v>1.75</v>
      </c>
      <c r="I216" s="205">
        <f t="shared" si="83"/>
        <v>4076.9049999999997</v>
      </c>
      <c r="J216" s="205">
        <f>H216*F216</f>
        <v>4076.9049999999997</v>
      </c>
      <c r="K216" s="205">
        <f t="shared" ref="K216:K221" si="89">G216*H216</f>
        <v>0</v>
      </c>
    </row>
    <row r="217" spans="1:11" ht="26">
      <c r="A217" s="11" t="s">
        <v>829</v>
      </c>
      <c r="B217" s="12" t="s">
        <v>659</v>
      </c>
      <c r="C217" s="10"/>
      <c r="D217" s="14" t="s">
        <v>87</v>
      </c>
      <c r="E217" s="205">
        <v>69.89</v>
      </c>
      <c r="F217" s="212">
        <v>69.89</v>
      </c>
      <c r="G217" s="205">
        <f t="shared" si="88"/>
        <v>0</v>
      </c>
      <c r="H217" s="192">
        <v>10.32</v>
      </c>
      <c r="I217" s="205">
        <f t="shared" si="83"/>
        <v>721.26480000000004</v>
      </c>
      <c r="J217" s="205">
        <f t="shared" ref="J217:J221" si="90">H217*F217</f>
        <v>721.26480000000004</v>
      </c>
      <c r="K217" s="205">
        <f t="shared" si="89"/>
        <v>0</v>
      </c>
    </row>
    <row r="218" spans="1:11" ht="28.5" customHeight="1">
      <c r="A218" s="11" t="s">
        <v>830</v>
      </c>
      <c r="B218" s="12" t="s">
        <v>660</v>
      </c>
      <c r="C218" s="10"/>
      <c r="D218" s="14" t="s">
        <v>1485</v>
      </c>
      <c r="E218" s="205">
        <v>2096.69</v>
      </c>
      <c r="F218" s="212">
        <v>2096.69</v>
      </c>
      <c r="G218" s="205">
        <f t="shared" si="88"/>
        <v>0</v>
      </c>
      <c r="H218" s="192">
        <v>2.14</v>
      </c>
      <c r="I218" s="205">
        <f t="shared" si="83"/>
        <v>4486.9166000000005</v>
      </c>
      <c r="J218" s="205">
        <f t="shared" si="90"/>
        <v>4486.9166000000005</v>
      </c>
      <c r="K218" s="205">
        <f t="shared" si="89"/>
        <v>0</v>
      </c>
    </row>
    <row r="219" spans="1:11" ht="32.5" customHeight="1">
      <c r="A219" s="11" t="s">
        <v>831</v>
      </c>
      <c r="B219" s="18" t="s">
        <v>668</v>
      </c>
      <c r="C219" s="10"/>
      <c r="D219" s="189" t="s">
        <v>1485</v>
      </c>
      <c r="E219" s="205">
        <v>4003.39</v>
      </c>
      <c r="F219" s="205">
        <v>5661.07</v>
      </c>
      <c r="G219" s="205">
        <f t="shared" si="88"/>
        <v>1657.6799999999998</v>
      </c>
      <c r="H219" s="193">
        <v>0.87</v>
      </c>
      <c r="I219" s="205">
        <f t="shared" si="83"/>
        <v>3482.9492999999998</v>
      </c>
      <c r="J219" s="205">
        <f t="shared" si="90"/>
        <v>4925.1309000000001</v>
      </c>
      <c r="K219" s="205">
        <f t="shared" si="89"/>
        <v>1442.1815999999999</v>
      </c>
    </row>
    <row r="220" spans="1:11" ht="26.5">
      <c r="A220" s="11" t="s">
        <v>832</v>
      </c>
      <c r="B220" s="18" t="s">
        <v>670</v>
      </c>
      <c r="C220" s="10"/>
      <c r="D220" s="14" t="s">
        <v>87</v>
      </c>
      <c r="E220" s="205">
        <v>69.89</v>
      </c>
      <c r="F220" s="212">
        <v>69.89</v>
      </c>
      <c r="G220" s="205">
        <f t="shared" si="88"/>
        <v>0</v>
      </c>
      <c r="H220" s="192">
        <v>1248.29</v>
      </c>
      <c r="I220" s="205">
        <f t="shared" si="83"/>
        <v>87242.988100000002</v>
      </c>
      <c r="J220" s="205">
        <f t="shared" si="90"/>
        <v>87242.988100000002</v>
      </c>
      <c r="K220" s="205">
        <f t="shared" si="89"/>
        <v>0</v>
      </c>
    </row>
    <row r="221" spans="1:11" ht="16.5" customHeight="1">
      <c r="A221" s="11" t="s">
        <v>833</v>
      </c>
      <c r="B221" s="16" t="s">
        <v>671</v>
      </c>
      <c r="C221" s="10" t="s">
        <v>87</v>
      </c>
      <c r="D221" s="14" t="s">
        <v>124</v>
      </c>
      <c r="E221" s="205">
        <v>2329.66</v>
      </c>
      <c r="F221" s="212">
        <v>2329.66</v>
      </c>
      <c r="G221" s="205">
        <f t="shared" si="88"/>
        <v>0</v>
      </c>
      <c r="H221" s="192">
        <v>2.83</v>
      </c>
      <c r="I221" s="205">
        <f t="shared" si="83"/>
        <v>6592.9377999999997</v>
      </c>
      <c r="J221" s="205">
        <f t="shared" si="90"/>
        <v>6592.9377999999997</v>
      </c>
      <c r="K221" s="205">
        <f t="shared" si="89"/>
        <v>0</v>
      </c>
    </row>
    <row r="222" spans="1:11">
      <c r="A222" s="8" t="s">
        <v>834</v>
      </c>
      <c r="B222" s="9" t="s">
        <v>107</v>
      </c>
      <c r="C222" s="8"/>
      <c r="D222" s="8"/>
      <c r="E222" s="211"/>
      <c r="F222" s="211"/>
      <c r="G222" s="211"/>
      <c r="H222" s="191"/>
      <c r="I222" s="204">
        <f>SUM(I223:I225)</f>
        <v>0</v>
      </c>
      <c r="J222" s="204">
        <f>SUM(J223:J225)</f>
        <v>0</v>
      </c>
      <c r="K222" s="204">
        <f>SUM(K223:K225)</f>
        <v>0</v>
      </c>
    </row>
    <row r="223" spans="1:11" ht="39">
      <c r="A223" s="11" t="s">
        <v>835</v>
      </c>
      <c r="B223" s="12" t="s">
        <v>673</v>
      </c>
      <c r="C223" s="10" t="s">
        <v>33</v>
      </c>
      <c r="D223" s="13" t="s">
        <v>1486</v>
      </c>
      <c r="E223" s="205">
        <v>0</v>
      </c>
      <c r="F223" s="205">
        <v>0</v>
      </c>
      <c r="G223" s="205">
        <f>F223-E223</f>
        <v>0</v>
      </c>
      <c r="H223" s="192">
        <v>625.09</v>
      </c>
      <c r="I223" s="205">
        <f t="shared" si="83"/>
        <v>0</v>
      </c>
      <c r="J223" s="205">
        <f>H223*F223</f>
        <v>0</v>
      </c>
      <c r="K223" s="205">
        <f t="shared" ref="K223:K225" si="91">G223*H223</f>
        <v>0</v>
      </c>
    </row>
    <row r="224" spans="1:11" ht="17" customHeight="1">
      <c r="A224" s="11" t="s">
        <v>836</v>
      </c>
      <c r="B224" s="190" t="s">
        <v>679</v>
      </c>
      <c r="C224" s="10" t="s">
        <v>33</v>
      </c>
      <c r="D224" s="13" t="s">
        <v>124</v>
      </c>
      <c r="E224" s="205">
        <v>0</v>
      </c>
      <c r="F224" s="205">
        <v>0</v>
      </c>
      <c r="G224" s="205">
        <f>F224-E224</f>
        <v>0</v>
      </c>
      <c r="H224" s="192">
        <v>16.260000000000002</v>
      </c>
      <c r="I224" s="205">
        <f t="shared" si="83"/>
        <v>0</v>
      </c>
      <c r="J224" s="205">
        <f t="shared" ref="J224:J225" si="92">H224*F224</f>
        <v>0</v>
      </c>
      <c r="K224" s="205">
        <f t="shared" si="91"/>
        <v>0</v>
      </c>
    </row>
    <row r="225" spans="1:11" ht="16.5" customHeight="1">
      <c r="A225" s="11" t="s">
        <v>837</v>
      </c>
      <c r="B225" s="12" t="s">
        <v>674</v>
      </c>
      <c r="C225" s="10" t="s">
        <v>33</v>
      </c>
      <c r="D225" s="13" t="s">
        <v>124</v>
      </c>
      <c r="E225" s="205">
        <v>0</v>
      </c>
      <c r="F225" s="205">
        <v>0</v>
      </c>
      <c r="G225" s="205">
        <f>F225-E225</f>
        <v>0</v>
      </c>
      <c r="H225" s="192">
        <v>4.5599999999999996</v>
      </c>
      <c r="I225" s="205">
        <f t="shared" si="83"/>
        <v>0</v>
      </c>
      <c r="J225" s="205">
        <f t="shared" si="92"/>
        <v>0</v>
      </c>
      <c r="K225" s="205">
        <f t="shared" si="91"/>
        <v>0</v>
      </c>
    </row>
    <row r="226" spans="1:11">
      <c r="A226" s="8" t="s">
        <v>838</v>
      </c>
      <c r="B226" s="9" t="s">
        <v>677</v>
      </c>
      <c r="C226" s="8"/>
      <c r="D226" s="8"/>
      <c r="E226" s="211"/>
      <c r="F226" s="211"/>
      <c r="G226" s="211"/>
      <c r="H226" s="191"/>
      <c r="I226" s="204">
        <f>SUM(I227:I228)</f>
        <v>4076.9049999999997</v>
      </c>
      <c r="J226" s="204">
        <f>SUM(J227:J228)</f>
        <v>4076.9049999999997</v>
      </c>
      <c r="K226" s="204">
        <f>SUM(K227:K228)</f>
        <v>0</v>
      </c>
    </row>
    <row r="227" spans="1:11">
      <c r="A227" s="11" t="s">
        <v>839</v>
      </c>
      <c r="B227" s="12" t="s">
        <v>658</v>
      </c>
      <c r="C227" s="10" t="s">
        <v>11</v>
      </c>
      <c r="D227" s="13" t="s">
        <v>124</v>
      </c>
      <c r="E227" s="205">
        <v>2329.66</v>
      </c>
      <c r="F227" s="205">
        <v>2329.66</v>
      </c>
      <c r="G227" s="205">
        <f>F227-E227</f>
        <v>0</v>
      </c>
      <c r="H227" s="192">
        <v>1.75</v>
      </c>
      <c r="I227" s="205">
        <f t="shared" si="83"/>
        <v>4076.9049999999997</v>
      </c>
      <c r="J227" s="205">
        <f>H227*F227</f>
        <v>4076.9049999999997</v>
      </c>
      <c r="K227" s="205">
        <f t="shared" ref="K227:K228" si="93">G227*H227</f>
        <v>0</v>
      </c>
    </row>
    <row r="228" spans="1:11">
      <c r="A228" s="11" t="s">
        <v>840</v>
      </c>
      <c r="B228" s="12" t="s">
        <v>678</v>
      </c>
      <c r="C228" s="10" t="s">
        <v>11</v>
      </c>
      <c r="D228" s="13" t="s">
        <v>1486</v>
      </c>
      <c r="E228" s="205">
        <v>0</v>
      </c>
      <c r="F228" s="205">
        <v>0</v>
      </c>
      <c r="G228" s="205">
        <f>F228-E228</f>
        <v>0</v>
      </c>
      <c r="H228" s="192">
        <v>92.34</v>
      </c>
      <c r="I228" s="205">
        <f t="shared" si="83"/>
        <v>0</v>
      </c>
      <c r="J228" s="205">
        <f>H228*F228</f>
        <v>0</v>
      </c>
      <c r="K228" s="205">
        <f t="shared" si="93"/>
        <v>0</v>
      </c>
    </row>
    <row r="229" spans="1:11">
      <c r="A229" s="183">
        <v>9</v>
      </c>
      <c r="B229" s="188" t="s">
        <v>1461</v>
      </c>
      <c r="C229" s="183"/>
      <c r="D229" s="183"/>
      <c r="E229" s="210"/>
      <c r="F229" s="210"/>
      <c r="G229" s="210"/>
      <c r="H229" s="194"/>
      <c r="I229" s="203">
        <f>SUM(I230,I233,I235,I242,I249,I253)</f>
        <v>31854.192599999995</v>
      </c>
      <c r="J229" s="203">
        <f>SUM(J230,J233,J235,J242,J249,J253)</f>
        <v>32087.857199999999</v>
      </c>
      <c r="K229" s="203">
        <f>SUM(K230,K233,K235,K242,K249,K253)</f>
        <v>233.66459999999992</v>
      </c>
    </row>
    <row r="230" spans="1:11">
      <c r="A230" s="8" t="s">
        <v>59</v>
      </c>
      <c r="B230" s="9" t="s">
        <v>8</v>
      </c>
      <c r="C230" s="8"/>
      <c r="D230" s="8"/>
      <c r="E230" s="211"/>
      <c r="F230" s="211"/>
      <c r="G230" s="211"/>
      <c r="H230" s="191"/>
      <c r="I230" s="204">
        <f>SUM(I231:I232)</f>
        <v>2737.2493999999997</v>
      </c>
      <c r="J230" s="204">
        <f>SUM(J231:J232)</f>
        <v>2737.2493999999997</v>
      </c>
      <c r="K230" s="204">
        <f>SUM(K231:K232)</f>
        <v>0</v>
      </c>
    </row>
    <row r="231" spans="1:11" ht="26">
      <c r="A231" s="11" t="s">
        <v>61</v>
      </c>
      <c r="B231" s="12" t="s">
        <v>652</v>
      </c>
      <c r="C231" s="10" t="s">
        <v>13</v>
      </c>
      <c r="D231" s="13" t="s">
        <v>124</v>
      </c>
      <c r="E231" s="205">
        <v>309.27999999999997</v>
      </c>
      <c r="F231" s="205">
        <v>309.27999999999997</v>
      </c>
      <c r="G231" s="205">
        <f>F231-E231</f>
        <v>0</v>
      </c>
      <c r="H231" s="192">
        <v>0.36</v>
      </c>
      <c r="I231" s="205">
        <f>H231*E231</f>
        <v>111.34079999999999</v>
      </c>
      <c r="J231" s="205">
        <f>H231*F231</f>
        <v>111.34079999999999</v>
      </c>
      <c r="K231" s="205">
        <f t="shared" ref="K231:K232" si="94">G231*H231</f>
        <v>0</v>
      </c>
    </row>
    <row r="232" spans="1:11" ht="52">
      <c r="A232" s="11" t="s">
        <v>62</v>
      </c>
      <c r="B232" s="12" t="s">
        <v>649</v>
      </c>
      <c r="C232" s="10" t="s">
        <v>11</v>
      </c>
      <c r="D232" s="13" t="s">
        <v>124</v>
      </c>
      <c r="E232" s="205">
        <v>42.58</v>
      </c>
      <c r="F232" s="205">
        <v>42.58</v>
      </c>
      <c r="G232" s="205">
        <f>F232-E232</f>
        <v>0</v>
      </c>
      <c r="H232" s="192">
        <v>61.67</v>
      </c>
      <c r="I232" s="205">
        <f>H232*E232</f>
        <v>2625.9085999999998</v>
      </c>
      <c r="J232" s="205">
        <f>H232*F232</f>
        <v>2625.9085999999998</v>
      </c>
      <c r="K232" s="205">
        <f t="shared" si="94"/>
        <v>0</v>
      </c>
    </row>
    <row r="233" spans="1:11">
      <c r="A233" s="8" t="s">
        <v>841</v>
      </c>
      <c r="B233" s="9" t="s">
        <v>654</v>
      </c>
      <c r="C233" s="8"/>
      <c r="D233" s="8"/>
      <c r="E233" s="211"/>
      <c r="F233" s="211"/>
      <c r="G233" s="211"/>
      <c r="H233" s="191"/>
      <c r="I233" s="204">
        <f>SUM(I234:I234)</f>
        <v>117.5264</v>
      </c>
      <c r="J233" s="204">
        <f>SUM(J234:J234)</f>
        <v>117.5264</v>
      </c>
      <c r="K233" s="204">
        <f>SUM(K234:K234)</f>
        <v>0</v>
      </c>
    </row>
    <row r="234" spans="1:11" ht="26">
      <c r="A234" s="11" t="s">
        <v>842</v>
      </c>
      <c r="B234" s="12" t="s">
        <v>655</v>
      </c>
      <c r="C234" s="10"/>
      <c r="D234" s="13" t="s">
        <v>124</v>
      </c>
      <c r="E234" s="205">
        <v>309.27999999999997</v>
      </c>
      <c r="F234" s="205">
        <v>309.27999999999997</v>
      </c>
      <c r="G234" s="205">
        <f>F234-E234</f>
        <v>0</v>
      </c>
      <c r="H234" s="192">
        <v>0.38</v>
      </c>
      <c r="I234" s="205">
        <f t="shared" ref="I234:I255" si="95">H234*E234</f>
        <v>117.5264</v>
      </c>
      <c r="J234" s="205">
        <f>H234*F234</f>
        <v>117.5264</v>
      </c>
      <c r="K234" s="205">
        <f t="shared" ref="K234" si="96">G234*H234</f>
        <v>0</v>
      </c>
    </row>
    <row r="235" spans="1:11">
      <c r="A235" s="8" t="s">
        <v>843</v>
      </c>
      <c r="B235" s="9" t="s">
        <v>657</v>
      </c>
      <c r="C235" s="8"/>
      <c r="D235" s="8"/>
      <c r="E235" s="211"/>
      <c r="F235" s="211"/>
      <c r="G235" s="211"/>
      <c r="H235" s="191"/>
      <c r="I235" s="204">
        <f>SUM(I236:I241)</f>
        <v>14229.088399999997</v>
      </c>
      <c r="J235" s="204">
        <f>SUM(J236:J241)</f>
        <v>14345.920699999999</v>
      </c>
      <c r="K235" s="204">
        <f>SUM(K236:K241)</f>
        <v>116.83229999999996</v>
      </c>
    </row>
    <row r="236" spans="1:11">
      <c r="A236" s="11" t="s">
        <v>844</v>
      </c>
      <c r="B236" s="12" t="s">
        <v>658</v>
      </c>
      <c r="C236" s="10"/>
      <c r="D236" s="13" t="s">
        <v>124</v>
      </c>
      <c r="E236" s="205">
        <v>309.27999999999997</v>
      </c>
      <c r="F236" s="205">
        <v>309.27999999999997</v>
      </c>
      <c r="G236" s="205">
        <f t="shared" ref="G236:G241" si="97">F236-E236</f>
        <v>0</v>
      </c>
      <c r="H236" s="192">
        <v>1.75</v>
      </c>
      <c r="I236" s="205">
        <f t="shared" si="95"/>
        <v>541.24</v>
      </c>
      <c r="J236" s="205">
        <f>H236*F236</f>
        <v>541.24</v>
      </c>
      <c r="K236" s="205">
        <f t="shared" ref="K236:K241" si="98">G236*H236</f>
        <v>0</v>
      </c>
    </row>
    <row r="237" spans="1:11" ht="26">
      <c r="A237" s="11" t="s">
        <v>845</v>
      </c>
      <c r="B237" s="12" t="s">
        <v>659</v>
      </c>
      <c r="C237" s="10"/>
      <c r="D237" s="13" t="s">
        <v>87</v>
      </c>
      <c r="E237" s="205">
        <v>9.2799999999999994</v>
      </c>
      <c r="F237" s="205">
        <v>9.2799999999999994</v>
      </c>
      <c r="G237" s="205">
        <f t="shared" si="97"/>
        <v>0</v>
      </c>
      <c r="H237" s="192">
        <v>10.32</v>
      </c>
      <c r="I237" s="205">
        <f t="shared" si="95"/>
        <v>95.769599999999997</v>
      </c>
      <c r="J237" s="205">
        <f t="shared" ref="J237:J241" si="99">H237*F237</f>
        <v>95.769599999999997</v>
      </c>
      <c r="K237" s="205">
        <f t="shared" si="98"/>
        <v>0</v>
      </c>
    </row>
    <row r="238" spans="1:11" ht="28.5" customHeight="1">
      <c r="A238" s="11" t="s">
        <v>846</v>
      </c>
      <c r="B238" s="12" t="s">
        <v>660</v>
      </c>
      <c r="C238" s="10"/>
      <c r="D238" s="13" t="s">
        <v>1485</v>
      </c>
      <c r="E238" s="205">
        <v>278.35000000000002</v>
      </c>
      <c r="F238" s="205">
        <v>278.35000000000002</v>
      </c>
      <c r="G238" s="205">
        <f t="shared" si="97"/>
        <v>0</v>
      </c>
      <c r="H238" s="192">
        <v>2.14</v>
      </c>
      <c r="I238" s="205">
        <f t="shared" si="95"/>
        <v>595.6690000000001</v>
      </c>
      <c r="J238" s="205">
        <f t="shared" si="99"/>
        <v>595.6690000000001</v>
      </c>
      <c r="K238" s="205">
        <f t="shared" si="98"/>
        <v>0</v>
      </c>
    </row>
    <row r="239" spans="1:11" ht="29" customHeight="1">
      <c r="A239" s="11" t="s">
        <v>847</v>
      </c>
      <c r="B239" s="12" t="s">
        <v>668</v>
      </c>
      <c r="C239" s="10"/>
      <c r="D239" s="13" t="s">
        <v>1485</v>
      </c>
      <c r="E239" s="205">
        <v>617.26</v>
      </c>
      <c r="F239" s="205">
        <v>751.55</v>
      </c>
      <c r="G239" s="205">
        <f t="shared" si="97"/>
        <v>134.28999999999996</v>
      </c>
      <c r="H239" s="192">
        <v>0.87</v>
      </c>
      <c r="I239" s="205">
        <f t="shared" si="95"/>
        <v>537.01620000000003</v>
      </c>
      <c r="J239" s="205">
        <f t="shared" si="99"/>
        <v>653.84849999999994</v>
      </c>
      <c r="K239" s="205">
        <f t="shared" si="98"/>
        <v>116.83229999999996</v>
      </c>
    </row>
    <row r="240" spans="1:11" ht="28" customHeight="1">
      <c r="A240" s="11" t="s">
        <v>848</v>
      </c>
      <c r="B240" s="12" t="s">
        <v>661</v>
      </c>
      <c r="C240" s="10"/>
      <c r="D240" s="13" t="s">
        <v>87</v>
      </c>
      <c r="E240" s="205">
        <v>9.2799999999999994</v>
      </c>
      <c r="F240" s="205">
        <v>9.2799999999999994</v>
      </c>
      <c r="G240" s="205">
        <f t="shared" si="97"/>
        <v>0</v>
      </c>
      <c r="H240" s="192">
        <v>1248.29</v>
      </c>
      <c r="I240" s="205">
        <f t="shared" si="95"/>
        <v>11584.131199999998</v>
      </c>
      <c r="J240" s="205">
        <f t="shared" si="99"/>
        <v>11584.131199999998</v>
      </c>
      <c r="K240" s="205">
        <f t="shared" si="98"/>
        <v>0</v>
      </c>
    </row>
    <row r="241" spans="1:11" ht="17.5" customHeight="1">
      <c r="A241" s="11" t="s">
        <v>849</v>
      </c>
      <c r="B241" s="12" t="s">
        <v>662</v>
      </c>
      <c r="C241" s="10"/>
      <c r="D241" s="13" t="s">
        <v>124</v>
      </c>
      <c r="E241" s="205">
        <v>309.27999999999997</v>
      </c>
      <c r="F241" s="205">
        <v>309.27999999999997</v>
      </c>
      <c r="G241" s="205">
        <f t="shared" si="97"/>
        <v>0</v>
      </c>
      <c r="H241" s="192">
        <v>2.83</v>
      </c>
      <c r="I241" s="205">
        <f t="shared" si="95"/>
        <v>875.26239999999996</v>
      </c>
      <c r="J241" s="205">
        <f t="shared" si="99"/>
        <v>875.26239999999996</v>
      </c>
      <c r="K241" s="205">
        <f t="shared" si="98"/>
        <v>0</v>
      </c>
    </row>
    <row r="242" spans="1:11">
      <c r="A242" s="8" t="s">
        <v>850</v>
      </c>
      <c r="B242" s="9" t="s">
        <v>669</v>
      </c>
      <c r="C242" s="8"/>
      <c r="D242" s="8"/>
      <c r="E242" s="211"/>
      <c r="F242" s="211"/>
      <c r="G242" s="211"/>
      <c r="H242" s="191"/>
      <c r="I242" s="204">
        <f>SUM(I243:I248)</f>
        <v>14229.088399999997</v>
      </c>
      <c r="J242" s="204">
        <f>SUM(J243:J248)</f>
        <v>14345.920699999999</v>
      </c>
      <c r="K242" s="204">
        <f>SUM(K243:K248)</f>
        <v>116.83229999999996</v>
      </c>
    </row>
    <row r="243" spans="1:11">
      <c r="A243" s="11" t="s">
        <v>851</v>
      </c>
      <c r="B243" s="12" t="s">
        <v>658</v>
      </c>
      <c r="C243" s="10"/>
      <c r="D243" s="14" t="s">
        <v>124</v>
      </c>
      <c r="E243" s="205">
        <v>309.27999999999997</v>
      </c>
      <c r="F243" s="205">
        <v>309.27999999999997</v>
      </c>
      <c r="G243" s="205">
        <f t="shared" ref="G243:G248" si="100">F243-E243</f>
        <v>0</v>
      </c>
      <c r="H243" s="192">
        <v>1.75</v>
      </c>
      <c r="I243" s="205">
        <f t="shared" si="95"/>
        <v>541.24</v>
      </c>
      <c r="J243" s="205">
        <f>H243*F243</f>
        <v>541.24</v>
      </c>
      <c r="K243" s="205">
        <f t="shared" ref="K243:K248" si="101">G243*H243</f>
        <v>0</v>
      </c>
    </row>
    <row r="244" spans="1:11" ht="26">
      <c r="A244" s="11" t="s">
        <v>852</v>
      </c>
      <c r="B244" s="12" t="s">
        <v>659</v>
      </c>
      <c r="C244" s="10"/>
      <c r="D244" s="14" t="s">
        <v>87</v>
      </c>
      <c r="E244" s="205">
        <v>9.2799999999999994</v>
      </c>
      <c r="F244" s="212">
        <v>9.2799999999999994</v>
      </c>
      <c r="G244" s="205">
        <f t="shared" si="100"/>
        <v>0</v>
      </c>
      <c r="H244" s="192">
        <v>10.32</v>
      </c>
      <c r="I244" s="205">
        <f t="shared" si="95"/>
        <v>95.769599999999997</v>
      </c>
      <c r="J244" s="205">
        <f t="shared" ref="J244:J248" si="102">H244*F244</f>
        <v>95.769599999999997</v>
      </c>
      <c r="K244" s="205">
        <f t="shared" si="101"/>
        <v>0</v>
      </c>
    </row>
    <row r="245" spans="1:11" ht="28.5" customHeight="1">
      <c r="A245" s="11" t="s">
        <v>853</v>
      </c>
      <c r="B245" s="12" t="s">
        <v>660</v>
      </c>
      <c r="C245" s="10"/>
      <c r="D245" s="14" t="s">
        <v>1485</v>
      </c>
      <c r="E245" s="205">
        <v>278.35000000000002</v>
      </c>
      <c r="F245" s="212">
        <v>278.35000000000002</v>
      </c>
      <c r="G245" s="205">
        <f t="shared" si="100"/>
        <v>0</v>
      </c>
      <c r="H245" s="192">
        <v>2.14</v>
      </c>
      <c r="I245" s="205">
        <f t="shared" si="95"/>
        <v>595.6690000000001</v>
      </c>
      <c r="J245" s="205">
        <f t="shared" si="102"/>
        <v>595.6690000000001</v>
      </c>
      <c r="K245" s="205">
        <f t="shared" si="101"/>
        <v>0</v>
      </c>
    </row>
    <row r="246" spans="1:11" ht="32.5" customHeight="1">
      <c r="A246" s="11" t="s">
        <v>854</v>
      </c>
      <c r="B246" s="18" t="s">
        <v>668</v>
      </c>
      <c r="C246" s="10"/>
      <c r="D246" s="189" t="s">
        <v>1485</v>
      </c>
      <c r="E246" s="205">
        <v>617.26</v>
      </c>
      <c r="F246" s="205">
        <v>751.55</v>
      </c>
      <c r="G246" s="205">
        <f t="shared" si="100"/>
        <v>134.28999999999996</v>
      </c>
      <c r="H246" s="193">
        <v>0.87</v>
      </c>
      <c r="I246" s="205">
        <f t="shared" si="95"/>
        <v>537.01620000000003</v>
      </c>
      <c r="J246" s="205">
        <f t="shared" si="102"/>
        <v>653.84849999999994</v>
      </c>
      <c r="K246" s="205">
        <f t="shared" si="101"/>
        <v>116.83229999999996</v>
      </c>
    </row>
    <row r="247" spans="1:11" ht="26.5">
      <c r="A247" s="11" t="s">
        <v>855</v>
      </c>
      <c r="B247" s="18" t="s">
        <v>670</v>
      </c>
      <c r="C247" s="10"/>
      <c r="D247" s="14" t="s">
        <v>87</v>
      </c>
      <c r="E247" s="205">
        <v>9.2799999999999994</v>
      </c>
      <c r="F247" s="212">
        <v>9.2799999999999994</v>
      </c>
      <c r="G247" s="205">
        <f t="shared" si="100"/>
        <v>0</v>
      </c>
      <c r="H247" s="192">
        <v>1248.29</v>
      </c>
      <c r="I247" s="205">
        <f t="shared" si="95"/>
        <v>11584.131199999998</v>
      </c>
      <c r="J247" s="205">
        <f t="shared" si="102"/>
        <v>11584.131199999998</v>
      </c>
      <c r="K247" s="205">
        <f t="shared" si="101"/>
        <v>0</v>
      </c>
    </row>
    <row r="248" spans="1:11" ht="16.5" customHeight="1">
      <c r="A248" s="11" t="s">
        <v>856</v>
      </c>
      <c r="B248" s="16" t="s">
        <v>671</v>
      </c>
      <c r="C248" s="10" t="s">
        <v>87</v>
      </c>
      <c r="D248" s="14" t="s">
        <v>124</v>
      </c>
      <c r="E248" s="205">
        <v>309.27999999999997</v>
      </c>
      <c r="F248" s="212">
        <v>309.27999999999997</v>
      </c>
      <c r="G248" s="205">
        <f t="shared" si="100"/>
        <v>0</v>
      </c>
      <c r="H248" s="192">
        <v>2.83</v>
      </c>
      <c r="I248" s="205">
        <f t="shared" si="95"/>
        <v>875.26239999999996</v>
      </c>
      <c r="J248" s="205">
        <f t="shared" si="102"/>
        <v>875.26239999999996</v>
      </c>
      <c r="K248" s="205">
        <f t="shared" si="101"/>
        <v>0</v>
      </c>
    </row>
    <row r="249" spans="1:11">
      <c r="A249" s="8" t="s">
        <v>857</v>
      </c>
      <c r="B249" s="9" t="s">
        <v>107</v>
      </c>
      <c r="C249" s="8"/>
      <c r="D249" s="8"/>
      <c r="E249" s="211"/>
      <c r="F249" s="211"/>
      <c r="G249" s="211"/>
      <c r="H249" s="191"/>
      <c r="I249" s="204">
        <f>SUM(I250:I252)</f>
        <v>0</v>
      </c>
      <c r="J249" s="204">
        <f>SUM(J250:J252)</f>
        <v>0</v>
      </c>
      <c r="K249" s="204">
        <f>SUM(K250:K252)</f>
        <v>0</v>
      </c>
    </row>
    <row r="250" spans="1:11" ht="39">
      <c r="A250" s="11" t="s">
        <v>858</v>
      </c>
      <c r="B250" s="12" t="s">
        <v>673</v>
      </c>
      <c r="C250" s="10" t="s">
        <v>33</v>
      </c>
      <c r="D250" s="13" t="s">
        <v>1486</v>
      </c>
      <c r="E250" s="205">
        <v>0</v>
      </c>
      <c r="F250" s="205">
        <v>0</v>
      </c>
      <c r="G250" s="205">
        <f>F250-E250</f>
        <v>0</v>
      </c>
      <c r="H250" s="192">
        <v>625.09</v>
      </c>
      <c r="I250" s="205">
        <f t="shared" si="95"/>
        <v>0</v>
      </c>
      <c r="J250" s="205">
        <f>H250*F250</f>
        <v>0</v>
      </c>
      <c r="K250" s="205">
        <f t="shared" ref="K250:K252" si="103">G250*H250</f>
        <v>0</v>
      </c>
    </row>
    <row r="251" spans="1:11" ht="17" customHeight="1">
      <c r="A251" s="11" t="s">
        <v>859</v>
      </c>
      <c r="B251" s="190" t="s">
        <v>679</v>
      </c>
      <c r="C251" s="10" t="s">
        <v>33</v>
      </c>
      <c r="D251" s="13" t="s">
        <v>124</v>
      </c>
      <c r="E251" s="205">
        <v>0</v>
      </c>
      <c r="F251" s="205">
        <v>0</v>
      </c>
      <c r="G251" s="205">
        <f>F251-E251</f>
        <v>0</v>
      </c>
      <c r="H251" s="192">
        <v>16.260000000000002</v>
      </c>
      <c r="I251" s="205">
        <f t="shared" si="95"/>
        <v>0</v>
      </c>
      <c r="J251" s="205">
        <f t="shared" ref="J251:J252" si="104">H251*F251</f>
        <v>0</v>
      </c>
      <c r="K251" s="205">
        <f t="shared" si="103"/>
        <v>0</v>
      </c>
    </row>
    <row r="252" spans="1:11" ht="16.5" customHeight="1">
      <c r="A252" s="11" t="s">
        <v>860</v>
      </c>
      <c r="B252" s="12" t="s">
        <v>674</v>
      </c>
      <c r="C252" s="10" t="s">
        <v>33</v>
      </c>
      <c r="D252" s="13" t="s">
        <v>124</v>
      </c>
      <c r="E252" s="205">
        <v>0</v>
      </c>
      <c r="F252" s="205">
        <v>0</v>
      </c>
      <c r="G252" s="205">
        <f>F252-E252</f>
        <v>0</v>
      </c>
      <c r="H252" s="192">
        <v>4.5599999999999996</v>
      </c>
      <c r="I252" s="205">
        <f t="shared" si="95"/>
        <v>0</v>
      </c>
      <c r="J252" s="205">
        <f t="shared" si="104"/>
        <v>0</v>
      </c>
      <c r="K252" s="205">
        <f t="shared" si="103"/>
        <v>0</v>
      </c>
    </row>
    <row r="253" spans="1:11">
      <c r="A253" s="8" t="s">
        <v>861</v>
      </c>
      <c r="B253" s="9" t="s">
        <v>677</v>
      </c>
      <c r="C253" s="8"/>
      <c r="D253" s="8"/>
      <c r="E253" s="211"/>
      <c r="F253" s="211"/>
      <c r="G253" s="211"/>
      <c r="H253" s="191"/>
      <c r="I253" s="204">
        <f>SUM(I254:I255)</f>
        <v>541.24</v>
      </c>
      <c r="J253" s="204">
        <f>SUM(J254:J255)</f>
        <v>541.24</v>
      </c>
      <c r="K253" s="204">
        <f>SUM(K254:K255)</f>
        <v>0</v>
      </c>
    </row>
    <row r="254" spans="1:11">
      <c r="A254" s="11" t="s">
        <v>862</v>
      </c>
      <c r="B254" s="12" t="s">
        <v>658</v>
      </c>
      <c r="C254" s="10" t="s">
        <v>11</v>
      </c>
      <c r="D254" s="13" t="s">
        <v>124</v>
      </c>
      <c r="E254" s="205">
        <v>309.27999999999997</v>
      </c>
      <c r="F254" s="205">
        <v>309.27999999999997</v>
      </c>
      <c r="G254" s="205">
        <f>F254-E254</f>
        <v>0</v>
      </c>
      <c r="H254" s="192">
        <v>1.75</v>
      </c>
      <c r="I254" s="205">
        <f t="shared" si="95"/>
        <v>541.24</v>
      </c>
      <c r="J254" s="205">
        <f>H254*F254</f>
        <v>541.24</v>
      </c>
      <c r="K254" s="205">
        <f t="shared" ref="K254:K255" si="105">G254*H254</f>
        <v>0</v>
      </c>
    </row>
    <row r="255" spans="1:11">
      <c r="A255" s="11" t="s">
        <v>863</v>
      </c>
      <c r="B255" s="12" t="s">
        <v>678</v>
      </c>
      <c r="C255" s="10" t="s">
        <v>11</v>
      </c>
      <c r="D255" s="13" t="s">
        <v>1486</v>
      </c>
      <c r="E255" s="205">
        <v>0</v>
      </c>
      <c r="F255" s="205">
        <v>0</v>
      </c>
      <c r="G255" s="205">
        <f>F255-E255</f>
        <v>0</v>
      </c>
      <c r="H255" s="192">
        <v>92.34</v>
      </c>
      <c r="I255" s="205">
        <f t="shared" si="95"/>
        <v>0</v>
      </c>
      <c r="J255" s="205">
        <f>H255*F255</f>
        <v>0</v>
      </c>
      <c r="K255" s="205">
        <f t="shared" si="105"/>
        <v>0</v>
      </c>
    </row>
    <row r="256" spans="1:11">
      <c r="A256" s="183">
        <v>10</v>
      </c>
      <c r="B256" s="188" t="s">
        <v>1462</v>
      </c>
      <c r="C256" s="183"/>
      <c r="D256" s="183"/>
      <c r="E256" s="210"/>
      <c r="F256" s="210"/>
      <c r="G256" s="210"/>
      <c r="H256" s="194"/>
      <c r="I256" s="203">
        <f>SUM(I257,I260,I262,I269,I276,I280)</f>
        <v>59285.431499999992</v>
      </c>
      <c r="J256" s="203">
        <f>SUM(J257,J260,J262,J269,J276,J280)</f>
        <v>67393.131999999998</v>
      </c>
      <c r="K256" s="203">
        <f>SUM(K257,K260,K262,K269,K276,K280)</f>
        <v>8107.7005000000036</v>
      </c>
    </row>
    <row r="257" spans="1:11">
      <c r="A257" s="8" t="s">
        <v>864</v>
      </c>
      <c r="B257" s="9" t="s">
        <v>8</v>
      </c>
      <c r="C257" s="8"/>
      <c r="D257" s="8"/>
      <c r="E257" s="211"/>
      <c r="F257" s="211"/>
      <c r="G257" s="211"/>
      <c r="H257" s="191"/>
      <c r="I257" s="204">
        <f>SUM(I258:I259)</f>
        <v>3757.7823000000003</v>
      </c>
      <c r="J257" s="204">
        <f>SUM(J258:J259)</f>
        <v>3784.3179000000005</v>
      </c>
      <c r="K257" s="204">
        <f>SUM(K258:K259)</f>
        <v>26.535600000000013</v>
      </c>
    </row>
    <row r="258" spans="1:11" ht="26">
      <c r="A258" s="11" t="s">
        <v>865</v>
      </c>
      <c r="B258" s="12" t="s">
        <v>652</v>
      </c>
      <c r="C258" s="10" t="s">
        <v>13</v>
      </c>
      <c r="D258" s="13" t="s">
        <v>124</v>
      </c>
      <c r="E258" s="205">
        <v>596.78</v>
      </c>
      <c r="F258" s="205">
        <v>670.49</v>
      </c>
      <c r="G258" s="205">
        <f>F258-E258</f>
        <v>73.710000000000036</v>
      </c>
      <c r="H258" s="192">
        <v>0.36</v>
      </c>
      <c r="I258" s="205">
        <f>H258*E258</f>
        <v>214.84079999999997</v>
      </c>
      <c r="J258" s="205">
        <f>H258*F258</f>
        <v>241.37639999999999</v>
      </c>
      <c r="K258" s="205">
        <f t="shared" ref="K258:K259" si="106">G258*H258</f>
        <v>26.535600000000013</v>
      </c>
    </row>
    <row r="259" spans="1:11" ht="52">
      <c r="A259" s="11" t="s">
        <v>866</v>
      </c>
      <c r="B259" s="12" t="s">
        <v>649</v>
      </c>
      <c r="C259" s="10" t="s">
        <v>11</v>
      </c>
      <c r="D259" s="13" t="s">
        <v>124</v>
      </c>
      <c r="E259" s="205">
        <v>57.45</v>
      </c>
      <c r="F259" s="205">
        <v>57.45</v>
      </c>
      <c r="G259" s="205">
        <f>F259-E259</f>
        <v>0</v>
      </c>
      <c r="H259" s="192">
        <v>61.67</v>
      </c>
      <c r="I259" s="205">
        <f>H259*E259</f>
        <v>3542.9415000000004</v>
      </c>
      <c r="J259" s="205">
        <f>H259*F259</f>
        <v>3542.9415000000004</v>
      </c>
      <c r="K259" s="205">
        <f t="shared" si="106"/>
        <v>0</v>
      </c>
    </row>
    <row r="260" spans="1:11">
      <c r="A260" s="8" t="s">
        <v>867</v>
      </c>
      <c r="B260" s="9" t="s">
        <v>654</v>
      </c>
      <c r="C260" s="8"/>
      <c r="D260" s="8"/>
      <c r="E260" s="211"/>
      <c r="F260" s="211"/>
      <c r="G260" s="211"/>
      <c r="H260" s="191"/>
      <c r="I260" s="204">
        <f>SUM(I261:I261)</f>
        <v>226.7764</v>
      </c>
      <c r="J260" s="204">
        <f>SUM(J261:J261)</f>
        <v>254.78620000000001</v>
      </c>
      <c r="K260" s="204">
        <f>SUM(K261:K261)</f>
        <v>28.009800000000013</v>
      </c>
    </row>
    <row r="261" spans="1:11" ht="26">
      <c r="A261" s="11" t="s">
        <v>868</v>
      </c>
      <c r="B261" s="12" t="s">
        <v>655</v>
      </c>
      <c r="C261" s="10"/>
      <c r="D261" s="13" t="s">
        <v>124</v>
      </c>
      <c r="E261" s="205">
        <v>596.78</v>
      </c>
      <c r="F261" s="205">
        <v>670.49</v>
      </c>
      <c r="G261" s="205">
        <f>F261-E261</f>
        <v>73.710000000000036</v>
      </c>
      <c r="H261" s="192">
        <v>0.38</v>
      </c>
      <c r="I261" s="205">
        <f t="shared" ref="I261:I282" si="107">H261*E261</f>
        <v>226.7764</v>
      </c>
      <c r="J261" s="205">
        <f>H261*F261</f>
        <v>254.78620000000001</v>
      </c>
      <c r="K261" s="205">
        <f t="shared" ref="K261" si="108">G261*H261</f>
        <v>28.009800000000013</v>
      </c>
    </row>
    <row r="262" spans="1:11">
      <c r="A262" s="8" t="s">
        <v>869</v>
      </c>
      <c r="B262" s="9" t="s">
        <v>657</v>
      </c>
      <c r="C262" s="8"/>
      <c r="D262" s="8"/>
      <c r="E262" s="211"/>
      <c r="F262" s="211"/>
      <c r="G262" s="211"/>
      <c r="H262" s="191"/>
      <c r="I262" s="204">
        <f>SUM(I263:I268)</f>
        <v>27128.253899999996</v>
      </c>
      <c r="J262" s="204">
        <f>SUM(J263:J268)</f>
        <v>31090.335200000001</v>
      </c>
      <c r="K262" s="204">
        <f>SUM(K263:K268)</f>
        <v>3962.0813000000016</v>
      </c>
    </row>
    <row r="263" spans="1:11">
      <c r="A263" s="11" t="s">
        <v>870</v>
      </c>
      <c r="B263" s="12" t="s">
        <v>658</v>
      </c>
      <c r="C263" s="10"/>
      <c r="D263" s="13" t="s">
        <v>124</v>
      </c>
      <c r="E263" s="205">
        <v>596.78</v>
      </c>
      <c r="F263" s="205">
        <v>670.49</v>
      </c>
      <c r="G263" s="205">
        <f t="shared" ref="G263:G268" si="109">F263-E263</f>
        <v>73.710000000000036</v>
      </c>
      <c r="H263" s="192">
        <v>1.75</v>
      </c>
      <c r="I263" s="205">
        <f t="shared" si="107"/>
        <v>1044.365</v>
      </c>
      <c r="J263" s="205">
        <f>H263*F263</f>
        <v>1173.3575000000001</v>
      </c>
      <c r="K263" s="205">
        <f t="shared" ref="K263:K268" si="110">G263*H263</f>
        <v>128.99250000000006</v>
      </c>
    </row>
    <row r="264" spans="1:11" ht="26">
      <c r="A264" s="11" t="s">
        <v>871</v>
      </c>
      <c r="B264" s="12" t="s">
        <v>659</v>
      </c>
      <c r="C264" s="10"/>
      <c r="D264" s="13" t="s">
        <v>87</v>
      </c>
      <c r="E264" s="205">
        <v>17.899999999999999</v>
      </c>
      <c r="F264" s="212">
        <v>20.11</v>
      </c>
      <c r="G264" s="205">
        <f t="shared" si="109"/>
        <v>2.2100000000000009</v>
      </c>
      <c r="H264" s="192">
        <v>10.32</v>
      </c>
      <c r="I264" s="205">
        <f t="shared" si="107"/>
        <v>184.72799999999998</v>
      </c>
      <c r="J264" s="205">
        <f t="shared" ref="J264:J268" si="111">H264*F264</f>
        <v>207.5352</v>
      </c>
      <c r="K264" s="205">
        <f t="shared" si="110"/>
        <v>22.807200000000009</v>
      </c>
    </row>
    <row r="265" spans="1:11" ht="28.5" customHeight="1">
      <c r="A265" s="11" t="s">
        <v>872</v>
      </c>
      <c r="B265" s="12" t="s">
        <v>660</v>
      </c>
      <c r="C265" s="10"/>
      <c r="D265" s="13" t="s">
        <v>1485</v>
      </c>
      <c r="E265" s="205">
        <v>537.1</v>
      </c>
      <c r="F265" s="212">
        <v>603.44000000000005</v>
      </c>
      <c r="G265" s="205">
        <f t="shared" si="109"/>
        <v>66.340000000000032</v>
      </c>
      <c r="H265" s="192">
        <v>2.14</v>
      </c>
      <c r="I265" s="205">
        <f t="shared" si="107"/>
        <v>1149.394</v>
      </c>
      <c r="J265" s="205">
        <f t="shared" si="111"/>
        <v>1291.3616000000002</v>
      </c>
      <c r="K265" s="205">
        <f t="shared" si="110"/>
        <v>141.96760000000009</v>
      </c>
    </row>
    <row r="266" spans="1:11" ht="29" customHeight="1">
      <c r="A266" s="11" t="s">
        <v>873</v>
      </c>
      <c r="B266" s="12" t="s">
        <v>668</v>
      </c>
      <c r="C266" s="10"/>
      <c r="D266" s="13" t="s">
        <v>1485</v>
      </c>
      <c r="E266" s="205">
        <v>823.55</v>
      </c>
      <c r="F266" s="213">
        <v>1629.29</v>
      </c>
      <c r="G266" s="205">
        <f t="shared" si="109"/>
        <v>805.74</v>
      </c>
      <c r="H266" s="192">
        <v>0.87</v>
      </c>
      <c r="I266" s="205">
        <f t="shared" si="107"/>
        <v>716.48849999999993</v>
      </c>
      <c r="J266" s="205">
        <f t="shared" si="111"/>
        <v>1417.4822999999999</v>
      </c>
      <c r="K266" s="205">
        <f t="shared" si="110"/>
        <v>700.99379999999996</v>
      </c>
    </row>
    <row r="267" spans="1:11" ht="28" customHeight="1">
      <c r="A267" s="11" t="s">
        <v>874</v>
      </c>
      <c r="B267" s="12" t="s">
        <v>661</v>
      </c>
      <c r="C267" s="10"/>
      <c r="D267" s="13" t="s">
        <v>87</v>
      </c>
      <c r="E267" s="205">
        <v>17.899999999999999</v>
      </c>
      <c r="F267" s="212">
        <v>20.11</v>
      </c>
      <c r="G267" s="205">
        <f t="shared" si="109"/>
        <v>2.2100000000000009</v>
      </c>
      <c r="H267" s="192">
        <v>1248.29</v>
      </c>
      <c r="I267" s="205">
        <f t="shared" si="107"/>
        <v>22344.390999999996</v>
      </c>
      <c r="J267" s="205">
        <f t="shared" si="111"/>
        <v>25103.1119</v>
      </c>
      <c r="K267" s="205">
        <f t="shared" si="110"/>
        <v>2758.7209000000012</v>
      </c>
    </row>
    <row r="268" spans="1:11" ht="17.5" customHeight="1">
      <c r="A268" s="11" t="s">
        <v>875</v>
      </c>
      <c r="B268" s="12" t="s">
        <v>662</v>
      </c>
      <c r="C268" s="10"/>
      <c r="D268" s="13" t="s">
        <v>124</v>
      </c>
      <c r="E268" s="205">
        <v>596.78</v>
      </c>
      <c r="F268" s="205">
        <v>670.49</v>
      </c>
      <c r="G268" s="205">
        <f t="shared" si="109"/>
        <v>73.710000000000036</v>
      </c>
      <c r="H268" s="192">
        <v>2.83</v>
      </c>
      <c r="I268" s="205">
        <f t="shared" si="107"/>
        <v>1688.8874000000001</v>
      </c>
      <c r="J268" s="205">
        <f t="shared" si="111"/>
        <v>1897.4867000000002</v>
      </c>
      <c r="K268" s="205">
        <f t="shared" si="110"/>
        <v>208.59930000000011</v>
      </c>
    </row>
    <row r="269" spans="1:11">
      <c r="A269" s="8" t="s">
        <v>876</v>
      </c>
      <c r="B269" s="9" t="s">
        <v>669</v>
      </c>
      <c r="C269" s="8"/>
      <c r="D269" s="8"/>
      <c r="E269" s="211"/>
      <c r="F269" s="211"/>
      <c r="G269" s="211"/>
      <c r="H269" s="191"/>
      <c r="I269" s="204">
        <f>SUM(I270:I275)</f>
        <v>27128.253899999996</v>
      </c>
      <c r="J269" s="204">
        <f>SUM(J270:J275)</f>
        <v>31090.335200000001</v>
      </c>
      <c r="K269" s="204">
        <f>SUM(K270:K275)</f>
        <v>3962.0813000000016</v>
      </c>
    </row>
    <row r="270" spans="1:11">
      <c r="A270" s="11" t="s">
        <v>877</v>
      </c>
      <c r="B270" s="12" t="s">
        <v>658</v>
      </c>
      <c r="C270" s="10"/>
      <c r="D270" s="14" t="s">
        <v>124</v>
      </c>
      <c r="E270" s="205">
        <v>596.78</v>
      </c>
      <c r="F270" s="205">
        <v>670.49</v>
      </c>
      <c r="G270" s="205">
        <f t="shared" ref="G270:G275" si="112">F270-E270</f>
        <v>73.710000000000036</v>
      </c>
      <c r="H270" s="192">
        <v>1.75</v>
      </c>
      <c r="I270" s="205">
        <f t="shared" si="107"/>
        <v>1044.365</v>
      </c>
      <c r="J270" s="205">
        <f>H270*F270</f>
        <v>1173.3575000000001</v>
      </c>
      <c r="K270" s="205">
        <f t="shared" ref="K270:K275" si="113">G270*H270</f>
        <v>128.99250000000006</v>
      </c>
    </row>
    <row r="271" spans="1:11" ht="26">
      <c r="A271" s="11" t="s">
        <v>878</v>
      </c>
      <c r="B271" s="12" t="s">
        <v>659</v>
      </c>
      <c r="C271" s="10"/>
      <c r="D271" s="14" t="s">
        <v>87</v>
      </c>
      <c r="E271" s="205">
        <v>17.899999999999999</v>
      </c>
      <c r="F271" s="212">
        <v>20.11</v>
      </c>
      <c r="G271" s="205">
        <f t="shared" si="112"/>
        <v>2.2100000000000009</v>
      </c>
      <c r="H271" s="192">
        <v>10.32</v>
      </c>
      <c r="I271" s="205">
        <f t="shared" si="107"/>
        <v>184.72799999999998</v>
      </c>
      <c r="J271" s="205">
        <f t="shared" ref="J271:J275" si="114">H271*F271</f>
        <v>207.5352</v>
      </c>
      <c r="K271" s="205">
        <f t="shared" si="113"/>
        <v>22.807200000000009</v>
      </c>
    </row>
    <row r="272" spans="1:11" ht="28.5" customHeight="1">
      <c r="A272" s="11" t="s">
        <v>879</v>
      </c>
      <c r="B272" s="12" t="s">
        <v>660</v>
      </c>
      <c r="C272" s="10"/>
      <c r="D272" s="14" t="s">
        <v>1485</v>
      </c>
      <c r="E272" s="205">
        <v>537.1</v>
      </c>
      <c r="F272" s="212">
        <v>603.44000000000005</v>
      </c>
      <c r="G272" s="205">
        <f t="shared" si="112"/>
        <v>66.340000000000032</v>
      </c>
      <c r="H272" s="192">
        <v>2.14</v>
      </c>
      <c r="I272" s="205">
        <f t="shared" si="107"/>
        <v>1149.394</v>
      </c>
      <c r="J272" s="205">
        <f t="shared" si="114"/>
        <v>1291.3616000000002</v>
      </c>
      <c r="K272" s="205">
        <f t="shared" si="113"/>
        <v>141.96760000000009</v>
      </c>
    </row>
    <row r="273" spans="1:11" ht="32.5" customHeight="1">
      <c r="A273" s="11" t="s">
        <v>880</v>
      </c>
      <c r="B273" s="18" t="s">
        <v>668</v>
      </c>
      <c r="C273" s="10"/>
      <c r="D273" s="189" t="s">
        <v>1485</v>
      </c>
      <c r="E273" s="205">
        <v>823.55</v>
      </c>
      <c r="F273" s="213">
        <v>1629.29</v>
      </c>
      <c r="G273" s="205">
        <f t="shared" si="112"/>
        <v>805.74</v>
      </c>
      <c r="H273" s="193">
        <v>0.87</v>
      </c>
      <c r="I273" s="205">
        <f t="shared" si="107"/>
        <v>716.48849999999993</v>
      </c>
      <c r="J273" s="205">
        <f t="shared" si="114"/>
        <v>1417.4822999999999</v>
      </c>
      <c r="K273" s="205">
        <f t="shared" si="113"/>
        <v>700.99379999999996</v>
      </c>
    </row>
    <row r="274" spans="1:11" ht="26.5">
      <c r="A274" s="11" t="s">
        <v>881</v>
      </c>
      <c r="B274" s="18" t="s">
        <v>670</v>
      </c>
      <c r="C274" s="10"/>
      <c r="D274" s="14" t="s">
        <v>87</v>
      </c>
      <c r="E274" s="205">
        <v>17.899999999999999</v>
      </c>
      <c r="F274" s="212">
        <v>20.11</v>
      </c>
      <c r="G274" s="205">
        <f t="shared" si="112"/>
        <v>2.2100000000000009</v>
      </c>
      <c r="H274" s="192">
        <v>1248.29</v>
      </c>
      <c r="I274" s="205">
        <f t="shared" si="107"/>
        <v>22344.390999999996</v>
      </c>
      <c r="J274" s="205">
        <f t="shared" si="114"/>
        <v>25103.1119</v>
      </c>
      <c r="K274" s="205">
        <f t="shared" si="113"/>
        <v>2758.7209000000012</v>
      </c>
    </row>
    <row r="275" spans="1:11" ht="16.5" customHeight="1">
      <c r="A275" s="11" t="s">
        <v>882</v>
      </c>
      <c r="B275" s="16" t="s">
        <v>671</v>
      </c>
      <c r="C275" s="10" t="s">
        <v>87</v>
      </c>
      <c r="D275" s="14" t="s">
        <v>124</v>
      </c>
      <c r="E275" s="205">
        <v>596.78</v>
      </c>
      <c r="F275" s="205">
        <v>670.49</v>
      </c>
      <c r="G275" s="205">
        <f t="shared" si="112"/>
        <v>73.710000000000036</v>
      </c>
      <c r="H275" s="192">
        <v>2.83</v>
      </c>
      <c r="I275" s="205">
        <f t="shared" si="107"/>
        <v>1688.8874000000001</v>
      </c>
      <c r="J275" s="205">
        <f t="shared" si="114"/>
        <v>1897.4867000000002</v>
      </c>
      <c r="K275" s="205">
        <f t="shared" si="113"/>
        <v>208.59930000000011</v>
      </c>
    </row>
    <row r="276" spans="1:11">
      <c r="A276" s="8" t="s">
        <v>883</v>
      </c>
      <c r="B276" s="9" t="s">
        <v>107</v>
      </c>
      <c r="C276" s="8"/>
      <c r="D276" s="8"/>
      <c r="E276" s="211"/>
      <c r="F276" s="211"/>
      <c r="G276" s="211"/>
      <c r="H276" s="191"/>
      <c r="I276" s="204">
        <f>SUM(I277:I279)</f>
        <v>0</v>
      </c>
      <c r="J276" s="204">
        <f>SUM(J277:J279)</f>
        <v>0</v>
      </c>
      <c r="K276" s="204">
        <f>SUM(K277:K279)</f>
        <v>0</v>
      </c>
    </row>
    <row r="277" spans="1:11" ht="39">
      <c r="A277" s="11" t="s">
        <v>884</v>
      </c>
      <c r="B277" s="12" t="s">
        <v>673</v>
      </c>
      <c r="C277" s="10" t="s">
        <v>33</v>
      </c>
      <c r="D277" s="13" t="s">
        <v>1486</v>
      </c>
      <c r="E277" s="205">
        <v>0</v>
      </c>
      <c r="F277" s="205">
        <v>0</v>
      </c>
      <c r="G277" s="205">
        <f>F277-E277</f>
        <v>0</v>
      </c>
      <c r="H277" s="192">
        <v>625.09</v>
      </c>
      <c r="I277" s="205">
        <f t="shared" si="107"/>
        <v>0</v>
      </c>
      <c r="J277" s="205">
        <f>H277*F277</f>
        <v>0</v>
      </c>
      <c r="K277" s="205">
        <f t="shared" ref="K277:K279" si="115">G277*H277</f>
        <v>0</v>
      </c>
    </row>
    <row r="278" spans="1:11" ht="17" customHeight="1">
      <c r="A278" s="11" t="s">
        <v>885</v>
      </c>
      <c r="B278" s="190" t="s">
        <v>679</v>
      </c>
      <c r="C278" s="10" t="s">
        <v>33</v>
      </c>
      <c r="D278" s="13" t="s">
        <v>124</v>
      </c>
      <c r="E278" s="205">
        <v>0</v>
      </c>
      <c r="F278" s="205">
        <v>0</v>
      </c>
      <c r="G278" s="205">
        <f>F278-E278</f>
        <v>0</v>
      </c>
      <c r="H278" s="192">
        <v>16.260000000000002</v>
      </c>
      <c r="I278" s="205">
        <f t="shared" si="107"/>
        <v>0</v>
      </c>
      <c r="J278" s="205">
        <f t="shared" ref="J278:J279" si="116">H278*F278</f>
        <v>0</v>
      </c>
      <c r="K278" s="205">
        <f t="shared" si="115"/>
        <v>0</v>
      </c>
    </row>
    <row r="279" spans="1:11" ht="16.5" customHeight="1">
      <c r="A279" s="11" t="s">
        <v>886</v>
      </c>
      <c r="B279" s="12" t="s">
        <v>674</v>
      </c>
      <c r="C279" s="10" t="s">
        <v>33</v>
      </c>
      <c r="D279" s="13" t="s">
        <v>124</v>
      </c>
      <c r="E279" s="205">
        <v>0</v>
      </c>
      <c r="F279" s="205">
        <v>0</v>
      </c>
      <c r="G279" s="205">
        <f>F279-E279</f>
        <v>0</v>
      </c>
      <c r="H279" s="192">
        <v>4.5599999999999996</v>
      </c>
      <c r="I279" s="205">
        <f t="shared" si="107"/>
        <v>0</v>
      </c>
      <c r="J279" s="205">
        <f t="shared" si="116"/>
        <v>0</v>
      </c>
      <c r="K279" s="205">
        <f t="shared" si="115"/>
        <v>0</v>
      </c>
    </row>
    <row r="280" spans="1:11">
      <c r="A280" s="8" t="s">
        <v>887</v>
      </c>
      <c r="B280" s="9" t="s">
        <v>677</v>
      </c>
      <c r="C280" s="8"/>
      <c r="D280" s="8"/>
      <c r="E280" s="211"/>
      <c r="F280" s="211"/>
      <c r="G280" s="211"/>
      <c r="H280" s="191"/>
      <c r="I280" s="204">
        <f>SUM(I281:I282)</f>
        <v>1044.365</v>
      </c>
      <c r="J280" s="204">
        <f>SUM(J281:J282)</f>
        <v>1173.3575000000001</v>
      </c>
      <c r="K280" s="204">
        <f>SUM(K281:K282)</f>
        <v>128.99250000000006</v>
      </c>
    </row>
    <row r="281" spans="1:11">
      <c r="A281" s="11" t="s">
        <v>888</v>
      </c>
      <c r="B281" s="12" t="s">
        <v>658</v>
      </c>
      <c r="C281" s="10" t="s">
        <v>11</v>
      </c>
      <c r="D281" s="13" t="s">
        <v>124</v>
      </c>
      <c r="E281" s="205">
        <v>596.78</v>
      </c>
      <c r="F281" s="205">
        <v>670.49</v>
      </c>
      <c r="G281" s="205">
        <f>F281-E281</f>
        <v>73.710000000000036</v>
      </c>
      <c r="H281" s="192">
        <v>1.75</v>
      </c>
      <c r="I281" s="205">
        <f t="shared" si="107"/>
        <v>1044.365</v>
      </c>
      <c r="J281" s="205">
        <f>H281*F281</f>
        <v>1173.3575000000001</v>
      </c>
      <c r="K281" s="205">
        <f t="shared" ref="K281:K282" si="117">G281*H281</f>
        <v>128.99250000000006</v>
      </c>
    </row>
    <row r="282" spans="1:11">
      <c r="A282" s="11" t="s">
        <v>889</v>
      </c>
      <c r="B282" s="12" t="s">
        <v>678</v>
      </c>
      <c r="C282" s="10" t="s">
        <v>11</v>
      </c>
      <c r="D282" s="13" t="s">
        <v>1486</v>
      </c>
      <c r="E282" s="205">
        <v>0</v>
      </c>
      <c r="F282" s="205">
        <v>0</v>
      </c>
      <c r="G282" s="205">
        <f>F282-E282</f>
        <v>0</v>
      </c>
      <c r="H282" s="192">
        <v>92.34</v>
      </c>
      <c r="I282" s="205">
        <f t="shared" si="107"/>
        <v>0</v>
      </c>
      <c r="J282" s="205">
        <f>H282*F282</f>
        <v>0</v>
      </c>
      <c r="K282" s="205">
        <f t="shared" si="117"/>
        <v>0</v>
      </c>
    </row>
    <row r="283" spans="1:11">
      <c r="A283" s="183">
        <v>11</v>
      </c>
      <c r="B283" s="188" t="s">
        <v>1463</v>
      </c>
      <c r="C283" s="183"/>
      <c r="D283" s="183"/>
      <c r="E283" s="210"/>
      <c r="F283" s="210"/>
      <c r="G283" s="210"/>
      <c r="H283" s="194"/>
      <c r="I283" s="203">
        <f>SUM(I284,I287,I289,I296,I303,I307)</f>
        <v>42723.108</v>
      </c>
      <c r="J283" s="203">
        <f>SUM(J284,J287,J289,J296,J303,J307)</f>
        <v>44057.298499999997</v>
      </c>
      <c r="K283" s="203">
        <f>SUM(K284,K287,K289,K296,K303,K307)</f>
        <v>1334.1905000000006</v>
      </c>
    </row>
    <row r="284" spans="1:11">
      <c r="A284" s="8" t="s">
        <v>890</v>
      </c>
      <c r="B284" s="9" t="s">
        <v>8</v>
      </c>
      <c r="C284" s="8"/>
      <c r="D284" s="8"/>
      <c r="E284" s="211"/>
      <c r="F284" s="211"/>
      <c r="G284" s="211"/>
      <c r="H284" s="191"/>
      <c r="I284" s="204">
        <f>SUM(I285:I286)</f>
        <v>2800.0902000000001</v>
      </c>
      <c r="J284" s="204">
        <f>SUM(J285:J286)</f>
        <v>2874.6859999999997</v>
      </c>
      <c r="K284" s="204">
        <f>SUM(K285:K286)</f>
        <v>74.595799999999983</v>
      </c>
    </row>
    <row r="285" spans="1:11" ht="26">
      <c r="A285" s="11" t="s">
        <v>891</v>
      </c>
      <c r="B285" s="12" t="s">
        <v>652</v>
      </c>
      <c r="C285" s="10" t="s">
        <v>13</v>
      </c>
      <c r="D285" s="13" t="s">
        <v>124</v>
      </c>
      <c r="E285" s="205">
        <v>429.02</v>
      </c>
      <c r="F285" s="205">
        <v>434.09</v>
      </c>
      <c r="G285" s="205">
        <f>F285-E285</f>
        <v>5.0699999999999932</v>
      </c>
      <c r="H285" s="192">
        <v>0.36</v>
      </c>
      <c r="I285" s="205">
        <f>H285*E285</f>
        <v>154.44719999999998</v>
      </c>
      <c r="J285" s="205">
        <f>H285*F285</f>
        <v>156.27239999999998</v>
      </c>
      <c r="K285" s="205">
        <f t="shared" ref="K285:K286" si="118">G285*H285</f>
        <v>1.8251999999999975</v>
      </c>
    </row>
    <row r="286" spans="1:11" ht="52">
      <c r="A286" s="11" t="s">
        <v>892</v>
      </c>
      <c r="B286" s="12" t="s">
        <v>649</v>
      </c>
      <c r="C286" s="10" t="s">
        <v>11</v>
      </c>
      <c r="D286" s="13" t="s">
        <v>124</v>
      </c>
      <c r="E286" s="205">
        <v>42.9</v>
      </c>
      <c r="F286" s="205">
        <v>44.08</v>
      </c>
      <c r="G286" s="205">
        <f>F286-E286</f>
        <v>1.1799999999999997</v>
      </c>
      <c r="H286" s="192">
        <v>61.67</v>
      </c>
      <c r="I286" s="205">
        <f>H286*E286</f>
        <v>2645.643</v>
      </c>
      <c r="J286" s="205">
        <f>H286*F286</f>
        <v>2718.4135999999999</v>
      </c>
      <c r="K286" s="205">
        <f t="shared" si="118"/>
        <v>72.770599999999988</v>
      </c>
    </row>
    <row r="287" spans="1:11">
      <c r="A287" s="8" t="s">
        <v>893</v>
      </c>
      <c r="B287" s="9" t="s">
        <v>654</v>
      </c>
      <c r="C287" s="8"/>
      <c r="D287" s="8"/>
      <c r="E287" s="211"/>
      <c r="F287" s="211"/>
      <c r="G287" s="211"/>
      <c r="H287" s="191"/>
      <c r="I287" s="204">
        <f>SUM(I288:I288)</f>
        <v>163.02760000000001</v>
      </c>
      <c r="J287" s="204">
        <f>SUM(J288:J288)</f>
        <v>164.95419999999999</v>
      </c>
      <c r="K287" s="204">
        <f>SUM(K288:K288)</f>
        <v>1.9265999999999974</v>
      </c>
    </row>
    <row r="288" spans="1:11" ht="26">
      <c r="A288" s="11" t="s">
        <v>894</v>
      </c>
      <c r="B288" s="12" t="s">
        <v>655</v>
      </c>
      <c r="C288" s="10"/>
      <c r="D288" s="13" t="s">
        <v>124</v>
      </c>
      <c r="E288" s="205">
        <v>429.02</v>
      </c>
      <c r="F288" s="205">
        <v>434.09</v>
      </c>
      <c r="G288" s="205">
        <f>F288-E288</f>
        <v>5.0699999999999932</v>
      </c>
      <c r="H288" s="192">
        <v>0.38</v>
      </c>
      <c r="I288" s="205">
        <f t="shared" ref="I288:I309" si="119">H288*E288</f>
        <v>163.02760000000001</v>
      </c>
      <c r="J288" s="205">
        <f>H288*F288</f>
        <v>164.95419999999999</v>
      </c>
      <c r="K288" s="205">
        <f t="shared" ref="K288" si="120">G288*H288</f>
        <v>1.9265999999999974</v>
      </c>
    </row>
    <row r="289" spans="1:11">
      <c r="A289" s="8" t="s">
        <v>895</v>
      </c>
      <c r="B289" s="9" t="s">
        <v>657</v>
      </c>
      <c r="C289" s="8"/>
      <c r="D289" s="8"/>
      <c r="E289" s="211"/>
      <c r="F289" s="211"/>
      <c r="G289" s="211"/>
      <c r="H289" s="191"/>
      <c r="I289" s="204">
        <f>SUM(I290:I295)</f>
        <v>19504.602599999998</v>
      </c>
      <c r="J289" s="204">
        <f>SUM(J290:J295)</f>
        <v>20129.000399999997</v>
      </c>
      <c r="K289" s="204">
        <f>SUM(K290:K295)</f>
        <v>624.39780000000042</v>
      </c>
    </row>
    <row r="290" spans="1:11">
      <c r="A290" s="11" t="s">
        <v>896</v>
      </c>
      <c r="B290" s="12" t="s">
        <v>658</v>
      </c>
      <c r="C290" s="10"/>
      <c r="D290" s="13" t="s">
        <v>124</v>
      </c>
      <c r="E290" s="205">
        <v>429.02</v>
      </c>
      <c r="F290" s="205">
        <v>434.09</v>
      </c>
      <c r="G290" s="205">
        <f t="shared" ref="G290:G295" si="121">F290-E290</f>
        <v>5.0699999999999932</v>
      </c>
      <c r="H290" s="192">
        <v>1.75</v>
      </c>
      <c r="I290" s="205">
        <f t="shared" si="119"/>
        <v>750.78499999999997</v>
      </c>
      <c r="J290" s="205">
        <f>H290*F290</f>
        <v>759.65749999999991</v>
      </c>
      <c r="K290" s="205">
        <f t="shared" ref="K290:K295" si="122">G290*H290</f>
        <v>8.8724999999999881</v>
      </c>
    </row>
    <row r="291" spans="1:11" ht="26">
      <c r="A291" s="11" t="s">
        <v>897</v>
      </c>
      <c r="B291" s="12" t="s">
        <v>659</v>
      </c>
      <c r="C291" s="10"/>
      <c r="D291" s="13" t="s">
        <v>87</v>
      </c>
      <c r="E291" s="205">
        <v>12.87</v>
      </c>
      <c r="F291" s="205">
        <v>13.02</v>
      </c>
      <c r="G291" s="205">
        <f t="shared" si="121"/>
        <v>0.15000000000000036</v>
      </c>
      <c r="H291" s="192">
        <v>10.32</v>
      </c>
      <c r="I291" s="205">
        <f t="shared" si="119"/>
        <v>132.8184</v>
      </c>
      <c r="J291" s="205">
        <f t="shared" ref="J291:J295" si="123">H291*F291</f>
        <v>134.3664</v>
      </c>
      <c r="K291" s="205">
        <f t="shared" si="122"/>
        <v>1.5480000000000038</v>
      </c>
    </row>
    <row r="292" spans="1:11" ht="28.5" customHeight="1">
      <c r="A292" s="11" t="s">
        <v>898</v>
      </c>
      <c r="B292" s="12" t="s">
        <v>660</v>
      </c>
      <c r="C292" s="10"/>
      <c r="D292" s="13" t="s">
        <v>1485</v>
      </c>
      <c r="E292" s="205">
        <v>386.12</v>
      </c>
      <c r="F292" s="205">
        <v>390.68</v>
      </c>
      <c r="G292" s="205">
        <f t="shared" si="121"/>
        <v>4.5600000000000023</v>
      </c>
      <c r="H292" s="192">
        <v>2.14</v>
      </c>
      <c r="I292" s="205">
        <f t="shared" si="119"/>
        <v>826.29680000000008</v>
      </c>
      <c r="J292" s="205">
        <f t="shared" si="123"/>
        <v>836.05520000000001</v>
      </c>
      <c r="K292" s="205">
        <f t="shared" si="122"/>
        <v>9.7584000000000053</v>
      </c>
    </row>
    <row r="293" spans="1:11" ht="29" customHeight="1">
      <c r="A293" s="11" t="s">
        <v>899</v>
      </c>
      <c r="B293" s="12" t="s">
        <v>668</v>
      </c>
      <c r="C293" s="10"/>
      <c r="D293" s="13" t="s">
        <v>1485</v>
      </c>
      <c r="E293" s="205">
        <v>592.04999999999995</v>
      </c>
      <c r="F293" s="205">
        <v>1054.8399999999999</v>
      </c>
      <c r="G293" s="205">
        <f t="shared" si="121"/>
        <v>462.78999999999996</v>
      </c>
      <c r="H293" s="192">
        <v>0.87</v>
      </c>
      <c r="I293" s="205">
        <f t="shared" si="119"/>
        <v>515.08349999999996</v>
      </c>
      <c r="J293" s="205">
        <f t="shared" si="123"/>
        <v>917.71079999999995</v>
      </c>
      <c r="K293" s="205">
        <f t="shared" si="122"/>
        <v>402.62729999999999</v>
      </c>
    </row>
    <row r="294" spans="1:11" ht="28" customHeight="1">
      <c r="A294" s="11" t="s">
        <v>900</v>
      </c>
      <c r="B294" s="12" t="s">
        <v>661</v>
      </c>
      <c r="C294" s="10"/>
      <c r="D294" s="13" t="s">
        <v>87</v>
      </c>
      <c r="E294" s="205">
        <v>12.87</v>
      </c>
      <c r="F294" s="205">
        <v>13.02</v>
      </c>
      <c r="G294" s="205">
        <f t="shared" si="121"/>
        <v>0.15000000000000036</v>
      </c>
      <c r="H294" s="192">
        <v>1248.29</v>
      </c>
      <c r="I294" s="205">
        <f t="shared" si="119"/>
        <v>16065.492299999998</v>
      </c>
      <c r="J294" s="205">
        <f t="shared" si="123"/>
        <v>16252.735799999999</v>
      </c>
      <c r="K294" s="205">
        <f t="shared" si="122"/>
        <v>187.24350000000044</v>
      </c>
    </row>
    <row r="295" spans="1:11" ht="17.5" customHeight="1">
      <c r="A295" s="11" t="s">
        <v>901</v>
      </c>
      <c r="B295" s="12" t="s">
        <v>662</v>
      </c>
      <c r="C295" s="10"/>
      <c r="D295" s="13" t="s">
        <v>124</v>
      </c>
      <c r="E295" s="205">
        <v>429.02</v>
      </c>
      <c r="F295" s="205">
        <v>434.09</v>
      </c>
      <c r="G295" s="205">
        <f t="shared" si="121"/>
        <v>5.0699999999999932</v>
      </c>
      <c r="H295" s="192">
        <v>2.83</v>
      </c>
      <c r="I295" s="205">
        <f t="shared" si="119"/>
        <v>1214.1266000000001</v>
      </c>
      <c r="J295" s="205">
        <f t="shared" si="123"/>
        <v>1228.4747</v>
      </c>
      <c r="K295" s="205">
        <f t="shared" si="122"/>
        <v>14.348099999999981</v>
      </c>
    </row>
    <row r="296" spans="1:11">
      <c r="A296" s="8" t="s">
        <v>902</v>
      </c>
      <c r="B296" s="9" t="s">
        <v>669</v>
      </c>
      <c r="C296" s="8"/>
      <c r="D296" s="8"/>
      <c r="E296" s="211"/>
      <c r="F296" s="211"/>
      <c r="G296" s="211"/>
      <c r="H296" s="191"/>
      <c r="I296" s="204">
        <f>SUM(I297:I302)</f>
        <v>19504.602599999998</v>
      </c>
      <c r="J296" s="204">
        <f>SUM(J297:J302)</f>
        <v>20129.000399999997</v>
      </c>
      <c r="K296" s="204">
        <f>SUM(K297:K302)</f>
        <v>624.39780000000042</v>
      </c>
    </row>
    <row r="297" spans="1:11">
      <c r="A297" s="11" t="s">
        <v>903</v>
      </c>
      <c r="B297" s="12" t="s">
        <v>658</v>
      </c>
      <c r="C297" s="10"/>
      <c r="D297" s="14" t="s">
        <v>124</v>
      </c>
      <c r="E297" s="205">
        <v>429.02</v>
      </c>
      <c r="F297" s="205">
        <v>434.09</v>
      </c>
      <c r="G297" s="205">
        <f t="shared" ref="G297:G302" si="124">F297-E297</f>
        <v>5.0699999999999932</v>
      </c>
      <c r="H297" s="192">
        <v>1.75</v>
      </c>
      <c r="I297" s="205">
        <f t="shared" si="119"/>
        <v>750.78499999999997</v>
      </c>
      <c r="J297" s="205">
        <f>H297*F297</f>
        <v>759.65749999999991</v>
      </c>
      <c r="K297" s="205">
        <f t="shared" ref="K297:K302" si="125">G297*H297</f>
        <v>8.8724999999999881</v>
      </c>
    </row>
    <row r="298" spans="1:11" ht="26">
      <c r="A298" s="11" t="s">
        <v>904</v>
      </c>
      <c r="B298" s="12" t="s">
        <v>659</v>
      </c>
      <c r="C298" s="10"/>
      <c r="D298" s="14" t="s">
        <v>87</v>
      </c>
      <c r="E298" s="205">
        <v>12.87</v>
      </c>
      <c r="F298" s="205">
        <v>13.02</v>
      </c>
      <c r="G298" s="205">
        <f t="shared" si="124"/>
        <v>0.15000000000000036</v>
      </c>
      <c r="H298" s="192">
        <v>10.32</v>
      </c>
      <c r="I298" s="205">
        <f t="shared" si="119"/>
        <v>132.8184</v>
      </c>
      <c r="J298" s="205">
        <f t="shared" ref="J298:J302" si="126">H298*F298</f>
        <v>134.3664</v>
      </c>
      <c r="K298" s="205">
        <f t="shared" si="125"/>
        <v>1.5480000000000038</v>
      </c>
    </row>
    <row r="299" spans="1:11" ht="28.5" customHeight="1">
      <c r="A299" s="11" t="s">
        <v>905</v>
      </c>
      <c r="B299" s="12" t="s">
        <v>660</v>
      </c>
      <c r="C299" s="10"/>
      <c r="D299" s="14" t="s">
        <v>1485</v>
      </c>
      <c r="E299" s="205">
        <v>386.12</v>
      </c>
      <c r="F299" s="205">
        <v>390.68</v>
      </c>
      <c r="G299" s="205">
        <f t="shared" si="124"/>
        <v>4.5600000000000023</v>
      </c>
      <c r="H299" s="192">
        <v>2.14</v>
      </c>
      <c r="I299" s="205">
        <f t="shared" si="119"/>
        <v>826.29680000000008</v>
      </c>
      <c r="J299" s="205">
        <f t="shared" si="126"/>
        <v>836.05520000000001</v>
      </c>
      <c r="K299" s="205">
        <f t="shared" si="125"/>
        <v>9.7584000000000053</v>
      </c>
    </row>
    <row r="300" spans="1:11" ht="32.5" customHeight="1">
      <c r="A300" s="11" t="s">
        <v>906</v>
      </c>
      <c r="B300" s="18" t="s">
        <v>668</v>
      </c>
      <c r="C300" s="10"/>
      <c r="D300" s="189" t="s">
        <v>1485</v>
      </c>
      <c r="E300" s="205">
        <v>592.04999999999995</v>
      </c>
      <c r="F300" s="205">
        <v>1054.8399999999999</v>
      </c>
      <c r="G300" s="205">
        <f t="shared" si="124"/>
        <v>462.78999999999996</v>
      </c>
      <c r="H300" s="193">
        <v>0.87</v>
      </c>
      <c r="I300" s="205">
        <f t="shared" si="119"/>
        <v>515.08349999999996</v>
      </c>
      <c r="J300" s="205">
        <f t="shared" si="126"/>
        <v>917.71079999999995</v>
      </c>
      <c r="K300" s="205">
        <f t="shared" si="125"/>
        <v>402.62729999999999</v>
      </c>
    </row>
    <row r="301" spans="1:11" ht="26.5">
      <c r="A301" s="11" t="s">
        <v>907</v>
      </c>
      <c r="B301" s="18" t="s">
        <v>670</v>
      </c>
      <c r="C301" s="10"/>
      <c r="D301" s="14" t="s">
        <v>87</v>
      </c>
      <c r="E301" s="205">
        <v>12.87</v>
      </c>
      <c r="F301" s="205">
        <v>13.02</v>
      </c>
      <c r="G301" s="205">
        <f t="shared" si="124"/>
        <v>0.15000000000000036</v>
      </c>
      <c r="H301" s="192">
        <v>1248.29</v>
      </c>
      <c r="I301" s="205">
        <f t="shared" si="119"/>
        <v>16065.492299999998</v>
      </c>
      <c r="J301" s="205">
        <f t="shared" si="126"/>
        <v>16252.735799999999</v>
      </c>
      <c r="K301" s="205">
        <f t="shared" si="125"/>
        <v>187.24350000000044</v>
      </c>
    </row>
    <row r="302" spans="1:11" ht="16.5" customHeight="1">
      <c r="A302" s="11" t="s">
        <v>908</v>
      </c>
      <c r="B302" s="16" t="s">
        <v>671</v>
      </c>
      <c r="C302" s="10" t="s">
        <v>87</v>
      </c>
      <c r="D302" s="14" t="s">
        <v>124</v>
      </c>
      <c r="E302" s="205">
        <v>429.02</v>
      </c>
      <c r="F302" s="205">
        <v>434.09</v>
      </c>
      <c r="G302" s="205">
        <f t="shared" si="124"/>
        <v>5.0699999999999932</v>
      </c>
      <c r="H302" s="192">
        <v>2.83</v>
      </c>
      <c r="I302" s="205">
        <f t="shared" si="119"/>
        <v>1214.1266000000001</v>
      </c>
      <c r="J302" s="205">
        <f t="shared" si="126"/>
        <v>1228.4747</v>
      </c>
      <c r="K302" s="205">
        <f t="shared" si="125"/>
        <v>14.348099999999981</v>
      </c>
    </row>
    <row r="303" spans="1:11">
      <c r="A303" s="8" t="s">
        <v>909</v>
      </c>
      <c r="B303" s="9" t="s">
        <v>107</v>
      </c>
      <c r="C303" s="8"/>
      <c r="D303" s="8"/>
      <c r="E303" s="211"/>
      <c r="F303" s="211"/>
      <c r="G303" s="211"/>
      <c r="H303" s="191"/>
      <c r="I303" s="204">
        <f>SUM(I304:I306)</f>
        <v>0</v>
      </c>
      <c r="J303" s="204">
        <f>SUM(J304:J306)</f>
        <v>0</v>
      </c>
      <c r="K303" s="204">
        <f>SUM(K304:K306)</f>
        <v>0</v>
      </c>
    </row>
    <row r="304" spans="1:11" ht="39">
      <c r="A304" s="11" t="s">
        <v>910</v>
      </c>
      <c r="B304" s="12" t="s">
        <v>673</v>
      </c>
      <c r="C304" s="10" t="s">
        <v>33</v>
      </c>
      <c r="D304" s="13" t="s">
        <v>1486</v>
      </c>
      <c r="E304" s="205">
        <v>0</v>
      </c>
      <c r="F304" s="205">
        <v>0</v>
      </c>
      <c r="G304" s="205">
        <f>F304-E304</f>
        <v>0</v>
      </c>
      <c r="H304" s="192">
        <v>625.09</v>
      </c>
      <c r="I304" s="205">
        <f t="shared" si="119"/>
        <v>0</v>
      </c>
      <c r="J304" s="205">
        <f>H304*F304</f>
        <v>0</v>
      </c>
      <c r="K304" s="205">
        <f t="shared" ref="K304:K306" si="127">G304*H304</f>
        <v>0</v>
      </c>
    </row>
    <row r="305" spans="1:11" ht="17" customHeight="1">
      <c r="A305" s="11" t="s">
        <v>911</v>
      </c>
      <c r="B305" s="190" t="s">
        <v>679</v>
      </c>
      <c r="C305" s="10" t="s">
        <v>33</v>
      </c>
      <c r="D305" s="13" t="s">
        <v>124</v>
      </c>
      <c r="E305" s="205">
        <v>0</v>
      </c>
      <c r="F305" s="205">
        <v>0</v>
      </c>
      <c r="G305" s="205">
        <f>F305-E305</f>
        <v>0</v>
      </c>
      <c r="H305" s="192">
        <v>16.260000000000002</v>
      </c>
      <c r="I305" s="205">
        <f t="shared" si="119"/>
        <v>0</v>
      </c>
      <c r="J305" s="205">
        <f t="shared" ref="J305:J306" si="128">H305*F305</f>
        <v>0</v>
      </c>
      <c r="K305" s="205">
        <f t="shared" si="127"/>
        <v>0</v>
      </c>
    </row>
    <row r="306" spans="1:11" ht="16.5" customHeight="1">
      <c r="A306" s="11" t="s">
        <v>912</v>
      </c>
      <c r="B306" s="12" t="s">
        <v>674</v>
      </c>
      <c r="C306" s="10" t="s">
        <v>33</v>
      </c>
      <c r="D306" s="13" t="s">
        <v>124</v>
      </c>
      <c r="E306" s="205">
        <v>0</v>
      </c>
      <c r="F306" s="205">
        <v>0</v>
      </c>
      <c r="G306" s="205">
        <f>F306-E306</f>
        <v>0</v>
      </c>
      <c r="H306" s="192">
        <v>4.5599999999999996</v>
      </c>
      <c r="I306" s="205">
        <f t="shared" si="119"/>
        <v>0</v>
      </c>
      <c r="J306" s="205">
        <f t="shared" si="128"/>
        <v>0</v>
      </c>
      <c r="K306" s="205">
        <f t="shared" si="127"/>
        <v>0</v>
      </c>
    </row>
    <row r="307" spans="1:11">
      <c r="A307" s="8" t="s">
        <v>913</v>
      </c>
      <c r="B307" s="9" t="s">
        <v>677</v>
      </c>
      <c r="C307" s="8"/>
      <c r="D307" s="8"/>
      <c r="E307" s="211"/>
      <c r="F307" s="211"/>
      <c r="G307" s="211"/>
      <c r="H307" s="191"/>
      <c r="I307" s="204">
        <f>SUM(I308:I309)</f>
        <v>750.78499999999997</v>
      </c>
      <c r="J307" s="204">
        <f>SUM(J308:J309)</f>
        <v>759.65749999999991</v>
      </c>
      <c r="K307" s="204">
        <f>SUM(K308:K309)</f>
        <v>8.8724999999999881</v>
      </c>
    </row>
    <row r="308" spans="1:11">
      <c r="A308" s="11" t="s">
        <v>914</v>
      </c>
      <c r="B308" s="12" t="s">
        <v>658</v>
      </c>
      <c r="C308" s="10" t="s">
        <v>11</v>
      </c>
      <c r="D308" s="13" t="s">
        <v>124</v>
      </c>
      <c r="E308" s="205">
        <v>429.02</v>
      </c>
      <c r="F308" s="205">
        <v>434.09</v>
      </c>
      <c r="G308" s="205">
        <f>F308-E308</f>
        <v>5.0699999999999932</v>
      </c>
      <c r="H308" s="192">
        <v>1.75</v>
      </c>
      <c r="I308" s="205">
        <f t="shared" si="119"/>
        <v>750.78499999999997</v>
      </c>
      <c r="J308" s="205">
        <f>H308*F308</f>
        <v>759.65749999999991</v>
      </c>
      <c r="K308" s="205">
        <f t="shared" ref="K308:K309" si="129">G308*H308</f>
        <v>8.8724999999999881</v>
      </c>
    </row>
    <row r="309" spans="1:11">
      <c r="A309" s="11" t="s">
        <v>915</v>
      </c>
      <c r="B309" s="12" t="s">
        <v>678</v>
      </c>
      <c r="C309" s="10" t="s">
        <v>11</v>
      </c>
      <c r="D309" s="13" t="s">
        <v>1486</v>
      </c>
      <c r="E309" s="205">
        <v>0</v>
      </c>
      <c r="F309" s="205">
        <v>0</v>
      </c>
      <c r="G309" s="205">
        <f>F309-E309</f>
        <v>0</v>
      </c>
      <c r="H309" s="192">
        <v>92.34</v>
      </c>
      <c r="I309" s="205">
        <f t="shared" si="119"/>
        <v>0</v>
      </c>
      <c r="J309" s="205">
        <f>H309*F309</f>
        <v>0</v>
      </c>
      <c r="K309" s="205">
        <f t="shared" si="129"/>
        <v>0</v>
      </c>
    </row>
    <row r="310" spans="1:11">
      <c r="A310" s="183">
        <v>12</v>
      </c>
      <c r="B310" s="188" t="s">
        <v>1464</v>
      </c>
      <c r="C310" s="183"/>
      <c r="D310" s="183"/>
      <c r="E310" s="210"/>
      <c r="F310" s="210"/>
      <c r="G310" s="210"/>
      <c r="H310" s="194"/>
      <c r="I310" s="203">
        <f>SUM(I311,I314,I316,I323,I330,I334)</f>
        <v>0</v>
      </c>
      <c r="J310" s="203">
        <f>SUM(J311,J314,J316,J323,J330,J334)</f>
        <v>0</v>
      </c>
      <c r="K310" s="203">
        <f>SUM(K311,K314,K316,K323,K330,K334)</f>
        <v>0</v>
      </c>
    </row>
    <row r="311" spans="1:11">
      <c r="A311" s="8" t="s">
        <v>916</v>
      </c>
      <c r="B311" s="9" t="s">
        <v>8</v>
      </c>
      <c r="C311" s="8"/>
      <c r="D311" s="8"/>
      <c r="E311" s="211"/>
      <c r="F311" s="211"/>
      <c r="G311" s="211"/>
      <c r="H311" s="191"/>
      <c r="I311" s="204">
        <f>SUM(I312:I313)</f>
        <v>0</v>
      </c>
      <c r="J311" s="204">
        <f>SUM(J312:J313)</f>
        <v>0</v>
      </c>
      <c r="K311" s="204">
        <f>SUM(K312:K313)</f>
        <v>0</v>
      </c>
    </row>
    <row r="312" spans="1:11" ht="26">
      <c r="A312" s="11" t="s">
        <v>917</v>
      </c>
      <c r="B312" s="12" t="s">
        <v>652</v>
      </c>
      <c r="C312" s="10" t="s">
        <v>13</v>
      </c>
      <c r="D312" s="13" t="s">
        <v>124</v>
      </c>
      <c r="E312" s="205">
        <v>0</v>
      </c>
      <c r="F312" s="205">
        <v>0</v>
      </c>
      <c r="G312" s="205">
        <f>F312-E312</f>
        <v>0</v>
      </c>
      <c r="H312" s="192">
        <v>0.36</v>
      </c>
      <c r="I312" s="205">
        <f>H312*E312</f>
        <v>0</v>
      </c>
      <c r="J312" s="205">
        <f>H312*F312</f>
        <v>0</v>
      </c>
      <c r="K312" s="205">
        <f t="shared" ref="K312:K313" si="130">G312*H312</f>
        <v>0</v>
      </c>
    </row>
    <row r="313" spans="1:11" ht="52">
      <c r="A313" s="11" t="s">
        <v>918</v>
      </c>
      <c r="B313" s="12" t="s">
        <v>649</v>
      </c>
      <c r="C313" s="10" t="s">
        <v>11</v>
      </c>
      <c r="D313" s="13" t="s">
        <v>124</v>
      </c>
      <c r="E313" s="205">
        <v>0</v>
      </c>
      <c r="F313" s="205">
        <v>0</v>
      </c>
      <c r="G313" s="205">
        <f>F313-E313</f>
        <v>0</v>
      </c>
      <c r="H313" s="192">
        <v>61.67</v>
      </c>
      <c r="I313" s="205">
        <f>H313*E313</f>
        <v>0</v>
      </c>
      <c r="J313" s="205">
        <f>H313*F313</f>
        <v>0</v>
      </c>
      <c r="K313" s="205">
        <f t="shared" si="130"/>
        <v>0</v>
      </c>
    </row>
    <row r="314" spans="1:11">
      <c r="A314" s="8" t="s">
        <v>919</v>
      </c>
      <c r="B314" s="9" t="s">
        <v>654</v>
      </c>
      <c r="C314" s="8"/>
      <c r="D314" s="8"/>
      <c r="E314" s="211"/>
      <c r="F314" s="211"/>
      <c r="G314" s="211"/>
      <c r="H314" s="191"/>
      <c r="I314" s="204">
        <f>SUM(I315:I315)</f>
        <v>0</v>
      </c>
      <c r="J314" s="204">
        <f>SUM(J315:J315)</f>
        <v>0</v>
      </c>
      <c r="K314" s="204">
        <f>SUM(K315:K315)</f>
        <v>0</v>
      </c>
    </row>
    <row r="315" spans="1:11" ht="26">
      <c r="A315" s="11" t="s">
        <v>920</v>
      </c>
      <c r="B315" s="12" t="s">
        <v>655</v>
      </c>
      <c r="C315" s="10"/>
      <c r="D315" s="13" t="s">
        <v>124</v>
      </c>
      <c r="E315" s="205">
        <v>0</v>
      </c>
      <c r="F315" s="205">
        <v>0</v>
      </c>
      <c r="G315" s="205">
        <f>F315-E315</f>
        <v>0</v>
      </c>
      <c r="H315" s="192">
        <v>0.38</v>
      </c>
      <c r="I315" s="205">
        <f t="shared" ref="I315:I336" si="131">H315*E315</f>
        <v>0</v>
      </c>
      <c r="J315" s="205">
        <f>H315*F315</f>
        <v>0</v>
      </c>
      <c r="K315" s="205">
        <f t="shared" ref="K315" si="132">G315*H315</f>
        <v>0</v>
      </c>
    </row>
    <row r="316" spans="1:11">
      <c r="A316" s="8" t="s">
        <v>921</v>
      </c>
      <c r="B316" s="9" t="s">
        <v>657</v>
      </c>
      <c r="C316" s="8"/>
      <c r="D316" s="8"/>
      <c r="E316" s="211"/>
      <c r="F316" s="211"/>
      <c r="G316" s="211"/>
      <c r="H316" s="191"/>
      <c r="I316" s="204">
        <f>SUM(I317:I322)</f>
        <v>0</v>
      </c>
      <c r="J316" s="204">
        <f>SUM(J317:J322)</f>
        <v>0</v>
      </c>
      <c r="K316" s="204">
        <f>SUM(K317:K322)</f>
        <v>0</v>
      </c>
    </row>
    <row r="317" spans="1:11">
      <c r="A317" s="11" t="s">
        <v>922</v>
      </c>
      <c r="B317" s="12" t="s">
        <v>658</v>
      </c>
      <c r="C317" s="10"/>
      <c r="D317" s="13" t="s">
        <v>124</v>
      </c>
      <c r="E317" s="205">
        <v>0</v>
      </c>
      <c r="F317" s="205">
        <v>0</v>
      </c>
      <c r="G317" s="205">
        <f t="shared" ref="G317:G322" si="133">F317-E317</f>
        <v>0</v>
      </c>
      <c r="H317" s="192">
        <v>1.75</v>
      </c>
      <c r="I317" s="205">
        <f t="shared" si="131"/>
        <v>0</v>
      </c>
      <c r="J317" s="205">
        <f>H317*F317</f>
        <v>0</v>
      </c>
      <c r="K317" s="205">
        <f t="shared" ref="K317:K322" si="134">G317*H317</f>
        <v>0</v>
      </c>
    </row>
    <row r="318" spans="1:11" ht="26">
      <c r="A318" s="11" t="s">
        <v>923</v>
      </c>
      <c r="B318" s="12" t="s">
        <v>659</v>
      </c>
      <c r="C318" s="10"/>
      <c r="D318" s="13" t="s">
        <v>87</v>
      </c>
      <c r="E318" s="205">
        <v>0</v>
      </c>
      <c r="F318" s="205">
        <v>0</v>
      </c>
      <c r="G318" s="205">
        <f t="shared" si="133"/>
        <v>0</v>
      </c>
      <c r="H318" s="192">
        <v>10.32</v>
      </c>
      <c r="I318" s="205">
        <f t="shared" si="131"/>
        <v>0</v>
      </c>
      <c r="J318" s="205">
        <f t="shared" ref="J318:J322" si="135">H318*F318</f>
        <v>0</v>
      </c>
      <c r="K318" s="205">
        <f t="shared" si="134"/>
        <v>0</v>
      </c>
    </row>
    <row r="319" spans="1:11" ht="28.5" customHeight="1">
      <c r="A319" s="11" t="s">
        <v>924</v>
      </c>
      <c r="B319" s="12" t="s">
        <v>660</v>
      </c>
      <c r="C319" s="10"/>
      <c r="D319" s="13" t="s">
        <v>1485</v>
      </c>
      <c r="E319" s="205">
        <v>0</v>
      </c>
      <c r="F319" s="205">
        <v>0</v>
      </c>
      <c r="G319" s="205">
        <f t="shared" si="133"/>
        <v>0</v>
      </c>
      <c r="H319" s="192">
        <v>2.14</v>
      </c>
      <c r="I319" s="205">
        <f t="shared" si="131"/>
        <v>0</v>
      </c>
      <c r="J319" s="205">
        <f t="shared" si="135"/>
        <v>0</v>
      </c>
      <c r="K319" s="205">
        <f t="shared" si="134"/>
        <v>0</v>
      </c>
    </row>
    <row r="320" spans="1:11" ht="29" customHeight="1">
      <c r="A320" s="11" t="s">
        <v>925</v>
      </c>
      <c r="B320" s="12" t="s">
        <v>668</v>
      </c>
      <c r="C320" s="10"/>
      <c r="D320" s="13" t="s">
        <v>1485</v>
      </c>
      <c r="E320" s="205">
        <v>0</v>
      </c>
      <c r="F320" s="205">
        <v>0</v>
      </c>
      <c r="G320" s="205">
        <f t="shared" si="133"/>
        <v>0</v>
      </c>
      <c r="H320" s="192">
        <v>0.87</v>
      </c>
      <c r="I320" s="205">
        <f t="shared" si="131"/>
        <v>0</v>
      </c>
      <c r="J320" s="205">
        <f t="shared" si="135"/>
        <v>0</v>
      </c>
      <c r="K320" s="205">
        <f t="shared" si="134"/>
        <v>0</v>
      </c>
    </row>
    <row r="321" spans="1:11" ht="28" customHeight="1">
      <c r="A321" s="11" t="s">
        <v>926</v>
      </c>
      <c r="B321" s="12" t="s">
        <v>661</v>
      </c>
      <c r="C321" s="10"/>
      <c r="D321" s="13" t="s">
        <v>87</v>
      </c>
      <c r="E321" s="205">
        <v>0</v>
      </c>
      <c r="F321" s="205">
        <v>0</v>
      </c>
      <c r="G321" s="205">
        <f t="shared" si="133"/>
        <v>0</v>
      </c>
      <c r="H321" s="192">
        <v>1248.29</v>
      </c>
      <c r="I321" s="205">
        <f t="shared" si="131"/>
        <v>0</v>
      </c>
      <c r="J321" s="205">
        <f t="shared" si="135"/>
        <v>0</v>
      </c>
      <c r="K321" s="205">
        <f t="shared" si="134"/>
        <v>0</v>
      </c>
    </row>
    <row r="322" spans="1:11" ht="17.5" customHeight="1">
      <c r="A322" s="11" t="s">
        <v>927</v>
      </c>
      <c r="B322" s="12" t="s">
        <v>662</v>
      </c>
      <c r="C322" s="10"/>
      <c r="D322" s="13" t="s">
        <v>124</v>
      </c>
      <c r="E322" s="205">
        <v>0</v>
      </c>
      <c r="F322" s="205">
        <v>0</v>
      </c>
      <c r="G322" s="205">
        <f t="shared" si="133"/>
        <v>0</v>
      </c>
      <c r="H322" s="192">
        <v>2.83</v>
      </c>
      <c r="I322" s="205">
        <f t="shared" si="131"/>
        <v>0</v>
      </c>
      <c r="J322" s="205">
        <f t="shared" si="135"/>
        <v>0</v>
      </c>
      <c r="K322" s="205">
        <f t="shared" si="134"/>
        <v>0</v>
      </c>
    </row>
    <row r="323" spans="1:11">
      <c r="A323" s="8" t="s">
        <v>928</v>
      </c>
      <c r="B323" s="9" t="s">
        <v>669</v>
      </c>
      <c r="C323" s="8"/>
      <c r="D323" s="8"/>
      <c r="E323" s="211"/>
      <c r="F323" s="211"/>
      <c r="G323" s="211"/>
      <c r="H323" s="191"/>
      <c r="I323" s="204">
        <f>SUM(I324:I329)</f>
        <v>0</v>
      </c>
      <c r="J323" s="204">
        <f>SUM(J324:J329)</f>
        <v>0</v>
      </c>
      <c r="K323" s="204">
        <f>SUM(K324:K329)</f>
        <v>0</v>
      </c>
    </row>
    <row r="324" spans="1:11">
      <c r="A324" s="11" t="s">
        <v>929</v>
      </c>
      <c r="B324" s="12" t="s">
        <v>658</v>
      </c>
      <c r="C324" s="10"/>
      <c r="D324" s="14" t="s">
        <v>124</v>
      </c>
      <c r="E324" s="205">
        <v>0</v>
      </c>
      <c r="F324" s="205">
        <v>0</v>
      </c>
      <c r="G324" s="205">
        <f t="shared" ref="G324:G329" si="136">F324-E324</f>
        <v>0</v>
      </c>
      <c r="H324" s="192">
        <v>1.75</v>
      </c>
      <c r="I324" s="205">
        <f t="shared" si="131"/>
        <v>0</v>
      </c>
      <c r="J324" s="205">
        <f>H324*F324</f>
        <v>0</v>
      </c>
      <c r="K324" s="205">
        <f t="shared" ref="K324:K329" si="137">G324*H324</f>
        <v>0</v>
      </c>
    </row>
    <row r="325" spans="1:11" ht="26">
      <c r="A325" s="11" t="s">
        <v>930</v>
      </c>
      <c r="B325" s="12" t="s">
        <v>659</v>
      </c>
      <c r="C325" s="10"/>
      <c r="D325" s="14" t="s">
        <v>87</v>
      </c>
      <c r="E325" s="205">
        <v>0</v>
      </c>
      <c r="F325" s="212">
        <v>0</v>
      </c>
      <c r="G325" s="205">
        <f t="shared" si="136"/>
        <v>0</v>
      </c>
      <c r="H325" s="192">
        <v>10.32</v>
      </c>
      <c r="I325" s="205">
        <f t="shared" si="131"/>
        <v>0</v>
      </c>
      <c r="J325" s="205">
        <f t="shared" ref="J325:J329" si="138">H325*F325</f>
        <v>0</v>
      </c>
      <c r="K325" s="205">
        <f t="shared" si="137"/>
        <v>0</v>
      </c>
    </row>
    <row r="326" spans="1:11" ht="28.5" customHeight="1">
      <c r="A326" s="11" t="s">
        <v>931</v>
      </c>
      <c r="B326" s="12" t="s">
        <v>660</v>
      </c>
      <c r="C326" s="10"/>
      <c r="D326" s="14" t="s">
        <v>1485</v>
      </c>
      <c r="E326" s="205">
        <v>0</v>
      </c>
      <c r="F326" s="212">
        <v>0</v>
      </c>
      <c r="G326" s="205">
        <f t="shared" si="136"/>
        <v>0</v>
      </c>
      <c r="H326" s="192">
        <v>2.14</v>
      </c>
      <c r="I326" s="205">
        <f t="shared" si="131"/>
        <v>0</v>
      </c>
      <c r="J326" s="205">
        <f t="shared" si="138"/>
        <v>0</v>
      </c>
      <c r="K326" s="205">
        <f t="shared" si="137"/>
        <v>0</v>
      </c>
    </row>
    <row r="327" spans="1:11" ht="32.5" customHeight="1">
      <c r="A327" s="11" t="s">
        <v>932</v>
      </c>
      <c r="B327" s="18" t="s">
        <v>668</v>
      </c>
      <c r="C327" s="10"/>
      <c r="D327" s="189" t="s">
        <v>1485</v>
      </c>
      <c r="E327" s="214">
        <v>0</v>
      </c>
      <c r="F327" s="213">
        <v>0</v>
      </c>
      <c r="G327" s="205">
        <f t="shared" si="136"/>
        <v>0</v>
      </c>
      <c r="H327" s="193">
        <v>0.87</v>
      </c>
      <c r="I327" s="205">
        <f t="shared" si="131"/>
        <v>0</v>
      </c>
      <c r="J327" s="205">
        <f t="shared" si="138"/>
        <v>0</v>
      </c>
      <c r="K327" s="205">
        <f t="shared" si="137"/>
        <v>0</v>
      </c>
    </row>
    <row r="328" spans="1:11" ht="26.5">
      <c r="A328" s="11" t="s">
        <v>933</v>
      </c>
      <c r="B328" s="18" t="s">
        <v>670</v>
      </c>
      <c r="C328" s="10"/>
      <c r="D328" s="14" t="s">
        <v>87</v>
      </c>
      <c r="E328" s="205">
        <v>0</v>
      </c>
      <c r="F328" s="212">
        <v>0</v>
      </c>
      <c r="G328" s="205">
        <f t="shared" si="136"/>
        <v>0</v>
      </c>
      <c r="H328" s="192">
        <v>1248.29</v>
      </c>
      <c r="I328" s="205">
        <f t="shared" si="131"/>
        <v>0</v>
      </c>
      <c r="J328" s="205">
        <f t="shared" si="138"/>
        <v>0</v>
      </c>
      <c r="K328" s="205">
        <f t="shared" si="137"/>
        <v>0</v>
      </c>
    </row>
    <row r="329" spans="1:11" ht="16.5" customHeight="1">
      <c r="A329" s="11" t="s">
        <v>934</v>
      </c>
      <c r="B329" s="16" t="s">
        <v>671</v>
      </c>
      <c r="C329" s="10" t="s">
        <v>87</v>
      </c>
      <c r="D329" s="14" t="s">
        <v>124</v>
      </c>
      <c r="E329" s="205">
        <v>0</v>
      </c>
      <c r="F329" s="212">
        <v>0</v>
      </c>
      <c r="G329" s="205">
        <f t="shared" si="136"/>
        <v>0</v>
      </c>
      <c r="H329" s="192">
        <v>2.83</v>
      </c>
      <c r="I329" s="205">
        <f t="shared" si="131"/>
        <v>0</v>
      </c>
      <c r="J329" s="205">
        <f t="shared" si="138"/>
        <v>0</v>
      </c>
      <c r="K329" s="205">
        <f t="shared" si="137"/>
        <v>0</v>
      </c>
    </row>
    <row r="330" spans="1:11">
      <c r="A330" s="8" t="s">
        <v>935</v>
      </c>
      <c r="B330" s="9" t="s">
        <v>107</v>
      </c>
      <c r="C330" s="8"/>
      <c r="D330" s="8"/>
      <c r="E330" s="211"/>
      <c r="F330" s="211"/>
      <c r="G330" s="211"/>
      <c r="H330" s="191"/>
      <c r="I330" s="204">
        <f>SUM(I331:I333)</f>
        <v>0</v>
      </c>
      <c r="J330" s="204">
        <f>SUM(J331:J333)</f>
        <v>0</v>
      </c>
      <c r="K330" s="204">
        <f>SUM(K331:K333)</f>
        <v>0</v>
      </c>
    </row>
    <row r="331" spans="1:11" ht="39">
      <c r="A331" s="11" t="s">
        <v>936</v>
      </c>
      <c r="B331" s="12" t="s">
        <v>673</v>
      </c>
      <c r="C331" s="10" t="s">
        <v>33</v>
      </c>
      <c r="D331" s="13" t="s">
        <v>1486</v>
      </c>
      <c r="E331" s="205">
        <v>0</v>
      </c>
      <c r="F331" s="205">
        <v>0</v>
      </c>
      <c r="G331" s="205">
        <f>F331-E331</f>
        <v>0</v>
      </c>
      <c r="H331" s="192">
        <v>625.09</v>
      </c>
      <c r="I331" s="205">
        <f t="shared" si="131"/>
        <v>0</v>
      </c>
      <c r="J331" s="205">
        <f>H331*F331</f>
        <v>0</v>
      </c>
      <c r="K331" s="205">
        <f t="shared" ref="K331:K333" si="139">G331*H331</f>
        <v>0</v>
      </c>
    </row>
    <row r="332" spans="1:11" ht="17" customHeight="1">
      <c r="A332" s="11" t="s">
        <v>937</v>
      </c>
      <c r="B332" s="190" t="s">
        <v>679</v>
      </c>
      <c r="C332" s="10" t="s">
        <v>33</v>
      </c>
      <c r="D332" s="13" t="s">
        <v>124</v>
      </c>
      <c r="E332" s="205">
        <v>0</v>
      </c>
      <c r="F332" s="205">
        <v>0</v>
      </c>
      <c r="G332" s="205">
        <f>F332-E332</f>
        <v>0</v>
      </c>
      <c r="H332" s="192">
        <v>16.260000000000002</v>
      </c>
      <c r="I332" s="205">
        <f t="shared" si="131"/>
        <v>0</v>
      </c>
      <c r="J332" s="205">
        <f t="shared" ref="J332:J333" si="140">H332*F332</f>
        <v>0</v>
      </c>
      <c r="K332" s="205">
        <f t="shared" si="139"/>
        <v>0</v>
      </c>
    </row>
    <row r="333" spans="1:11" ht="16.5" customHeight="1">
      <c r="A333" s="11" t="s">
        <v>938</v>
      </c>
      <c r="B333" s="12" t="s">
        <v>674</v>
      </c>
      <c r="C333" s="10" t="s">
        <v>33</v>
      </c>
      <c r="D333" s="13" t="s">
        <v>124</v>
      </c>
      <c r="E333" s="205">
        <v>0</v>
      </c>
      <c r="F333" s="205">
        <v>0</v>
      </c>
      <c r="G333" s="205">
        <f>F333-E333</f>
        <v>0</v>
      </c>
      <c r="H333" s="192">
        <v>4.5599999999999996</v>
      </c>
      <c r="I333" s="205">
        <f t="shared" si="131"/>
        <v>0</v>
      </c>
      <c r="J333" s="205">
        <f t="shared" si="140"/>
        <v>0</v>
      </c>
      <c r="K333" s="205">
        <f t="shared" si="139"/>
        <v>0</v>
      </c>
    </row>
    <row r="334" spans="1:11">
      <c r="A334" s="8" t="s">
        <v>939</v>
      </c>
      <c r="B334" s="9" t="s">
        <v>677</v>
      </c>
      <c r="C334" s="8"/>
      <c r="D334" s="8"/>
      <c r="E334" s="211"/>
      <c r="F334" s="211"/>
      <c r="G334" s="211"/>
      <c r="H334" s="191"/>
      <c r="I334" s="204">
        <f>SUM(I335:I336)</f>
        <v>0</v>
      </c>
      <c r="J334" s="204">
        <f>SUM(J335:J336)</f>
        <v>0</v>
      </c>
      <c r="K334" s="204">
        <f>SUM(K335:K336)</f>
        <v>0</v>
      </c>
    </row>
    <row r="335" spans="1:11">
      <c r="A335" s="11" t="s">
        <v>940</v>
      </c>
      <c r="B335" s="12" t="s">
        <v>658</v>
      </c>
      <c r="C335" s="10" t="s">
        <v>11</v>
      </c>
      <c r="D335" s="13" t="s">
        <v>124</v>
      </c>
      <c r="E335" s="205">
        <v>0</v>
      </c>
      <c r="F335" s="205">
        <v>0</v>
      </c>
      <c r="G335" s="205">
        <f>F335-E335</f>
        <v>0</v>
      </c>
      <c r="H335" s="192">
        <v>1.75</v>
      </c>
      <c r="I335" s="205">
        <f t="shared" si="131"/>
        <v>0</v>
      </c>
      <c r="J335" s="205">
        <f>H335*F335</f>
        <v>0</v>
      </c>
      <c r="K335" s="205">
        <f t="shared" ref="K335:K336" si="141">G335*H335</f>
        <v>0</v>
      </c>
    </row>
    <row r="336" spans="1:11">
      <c r="A336" s="11" t="s">
        <v>941</v>
      </c>
      <c r="B336" s="12" t="s">
        <v>678</v>
      </c>
      <c r="C336" s="10" t="s">
        <v>11</v>
      </c>
      <c r="D336" s="13" t="s">
        <v>1486</v>
      </c>
      <c r="E336" s="205">
        <v>0</v>
      </c>
      <c r="F336" s="205">
        <v>0</v>
      </c>
      <c r="G336" s="205">
        <f>F336-E336</f>
        <v>0</v>
      </c>
      <c r="H336" s="192">
        <v>92.34</v>
      </c>
      <c r="I336" s="205">
        <f t="shared" si="131"/>
        <v>0</v>
      </c>
      <c r="J336" s="205">
        <f>H336*F336</f>
        <v>0</v>
      </c>
      <c r="K336" s="205">
        <f t="shared" si="141"/>
        <v>0</v>
      </c>
    </row>
    <row r="337" spans="1:11">
      <c r="A337" s="183">
        <v>13</v>
      </c>
      <c r="B337" s="188" t="s">
        <v>1465</v>
      </c>
      <c r="C337" s="183"/>
      <c r="D337" s="183"/>
      <c r="E337" s="210"/>
      <c r="F337" s="210"/>
      <c r="G337" s="210"/>
      <c r="H337" s="194"/>
      <c r="I337" s="203">
        <f>SUM(I338,I341,I343,I350,I357,I361)</f>
        <v>183750.94460000005</v>
      </c>
      <c r="J337" s="203">
        <f>SUM(J338,J341,J343,J350,J357,J361)</f>
        <v>202654.30050000001</v>
      </c>
      <c r="K337" s="203">
        <f>SUM(K338,K341,K343,K350,K357,K361)</f>
        <v>18903.4591</v>
      </c>
    </row>
    <row r="338" spans="1:11">
      <c r="A338" s="8" t="s">
        <v>942</v>
      </c>
      <c r="B338" s="9" t="s">
        <v>8</v>
      </c>
      <c r="C338" s="8"/>
      <c r="D338" s="8"/>
      <c r="E338" s="211"/>
      <c r="F338" s="211"/>
      <c r="G338" s="211"/>
      <c r="H338" s="191"/>
      <c r="I338" s="204">
        <f>SUM(I339:I340)</f>
        <v>16188.963700000002</v>
      </c>
      <c r="J338" s="204">
        <f>SUM(J339:J340)</f>
        <v>33600.871500000001</v>
      </c>
      <c r="K338" s="204">
        <f>SUM(K339:K340)</f>
        <v>17411.907800000001</v>
      </c>
    </row>
    <row r="339" spans="1:11" ht="26">
      <c r="A339" s="11" t="s">
        <v>943</v>
      </c>
      <c r="B339" s="12" t="s">
        <v>652</v>
      </c>
      <c r="C339" s="10" t="s">
        <v>13</v>
      </c>
      <c r="D339" s="13" t="s">
        <v>124</v>
      </c>
      <c r="E339" s="205">
        <v>1781.5</v>
      </c>
      <c r="F339" s="205">
        <v>1781.5</v>
      </c>
      <c r="G339" s="205">
        <f>F339-E339</f>
        <v>0</v>
      </c>
      <c r="H339" s="192">
        <v>0.36</v>
      </c>
      <c r="I339" s="205">
        <f>H339*E339</f>
        <v>641.34</v>
      </c>
      <c r="J339" s="205">
        <f>H339*F339</f>
        <v>641.34</v>
      </c>
      <c r="K339" s="205">
        <f t="shared" ref="K339:K340" si="142">G339*H339</f>
        <v>0</v>
      </c>
    </row>
    <row r="340" spans="1:11" ht="52">
      <c r="A340" s="11" t="s">
        <v>944</v>
      </c>
      <c r="B340" s="12" t="s">
        <v>649</v>
      </c>
      <c r="C340" s="10" t="s">
        <v>11</v>
      </c>
      <c r="D340" s="13" t="s">
        <v>124</v>
      </c>
      <c r="E340" s="205">
        <v>252.11</v>
      </c>
      <c r="F340" s="205">
        <v>534.45000000000005</v>
      </c>
      <c r="G340" s="205">
        <f>F340-E340</f>
        <v>282.34000000000003</v>
      </c>
      <c r="H340" s="192">
        <v>61.67</v>
      </c>
      <c r="I340" s="205">
        <f>H340*E340</f>
        <v>15547.623700000002</v>
      </c>
      <c r="J340" s="205">
        <f>H340*F340</f>
        <v>32959.531500000005</v>
      </c>
      <c r="K340" s="205">
        <f t="shared" si="142"/>
        <v>17411.907800000001</v>
      </c>
    </row>
    <row r="341" spans="1:11">
      <c r="A341" s="8" t="s">
        <v>945</v>
      </c>
      <c r="B341" s="9" t="s">
        <v>654</v>
      </c>
      <c r="C341" s="8"/>
      <c r="D341" s="8"/>
      <c r="E341" s="211"/>
      <c r="F341" s="211"/>
      <c r="G341" s="211"/>
      <c r="H341" s="191"/>
      <c r="I341" s="204">
        <f>SUM(I342:I342)</f>
        <v>676.97</v>
      </c>
      <c r="J341" s="204">
        <f>SUM(J342:J342)</f>
        <v>676.97</v>
      </c>
      <c r="K341" s="204">
        <f>SUM(K342:K342)</f>
        <v>0</v>
      </c>
    </row>
    <row r="342" spans="1:11" ht="26">
      <c r="A342" s="11" t="s">
        <v>946</v>
      </c>
      <c r="B342" s="12" t="s">
        <v>655</v>
      </c>
      <c r="C342" s="10"/>
      <c r="D342" s="13" t="s">
        <v>124</v>
      </c>
      <c r="E342" s="205">
        <v>1781.5</v>
      </c>
      <c r="F342" s="205">
        <v>1781.5</v>
      </c>
      <c r="G342" s="205">
        <f>F342-E342</f>
        <v>0</v>
      </c>
      <c r="H342" s="192">
        <v>0.38</v>
      </c>
      <c r="I342" s="205">
        <f t="shared" ref="I342:I363" si="143">H342*E342</f>
        <v>676.97</v>
      </c>
      <c r="J342" s="205">
        <f>H342*F342</f>
        <v>676.97</v>
      </c>
      <c r="K342" s="205">
        <f t="shared" ref="K342" si="144">G342*H342</f>
        <v>0</v>
      </c>
    </row>
    <row r="343" spans="1:11">
      <c r="A343" s="8" t="s">
        <v>1487</v>
      </c>
      <c r="B343" s="9" t="s">
        <v>657</v>
      </c>
      <c r="C343" s="8"/>
      <c r="D343" s="8"/>
      <c r="E343" s="211"/>
      <c r="F343" s="211"/>
      <c r="G343" s="211"/>
      <c r="H343" s="191"/>
      <c r="I343" s="204">
        <f>SUM(I344:I349)</f>
        <v>81883.692950000011</v>
      </c>
      <c r="J343" s="204">
        <f>SUM(J344:J349)</f>
        <v>82629.417000000001</v>
      </c>
      <c r="K343" s="204">
        <f>SUM(K344:K349)</f>
        <v>745.77565000000004</v>
      </c>
    </row>
    <row r="344" spans="1:11">
      <c r="A344" s="11" t="s">
        <v>1488</v>
      </c>
      <c r="B344" s="12" t="s">
        <v>658</v>
      </c>
      <c r="C344" s="10"/>
      <c r="D344" s="13" t="s">
        <v>124</v>
      </c>
      <c r="E344" s="205">
        <v>1781.5</v>
      </c>
      <c r="F344" s="205">
        <v>1781.5</v>
      </c>
      <c r="G344" s="205">
        <f t="shared" ref="G344:G349" si="145">F344-E344</f>
        <v>0</v>
      </c>
      <c r="H344" s="192">
        <v>1.75</v>
      </c>
      <c r="I344" s="205">
        <f t="shared" si="143"/>
        <v>3117.625</v>
      </c>
      <c r="J344" s="205">
        <f>H344*F344</f>
        <v>3117.625</v>
      </c>
      <c r="K344" s="205">
        <f t="shared" ref="K344:K349" si="146">G344*H344</f>
        <v>0</v>
      </c>
    </row>
    <row r="345" spans="1:11" ht="26">
      <c r="A345" s="11" t="s">
        <v>1489</v>
      </c>
      <c r="B345" s="12" t="s">
        <v>659</v>
      </c>
      <c r="C345" s="10"/>
      <c r="D345" s="13" t="s">
        <v>87</v>
      </c>
      <c r="E345" s="205">
        <v>53.45</v>
      </c>
      <c r="F345" s="205">
        <v>53.45</v>
      </c>
      <c r="G345" s="205">
        <v>5.0000000000000001E-3</v>
      </c>
      <c r="H345" s="192">
        <v>10.32</v>
      </c>
      <c r="I345" s="205">
        <f t="shared" si="143"/>
        <v>551.60400000000004</v>
      </c>
      <c r="J345" s="205">
        <f t="shared" ref="J345:J349" si="147">H345*F345</f>
        <v>551.60400000000004</v>
      </c>
      <c r="K345" s="205">
        <f t="shared" si="146"/>
        <v>5.16E-2</v>
      </c>
    </row>
    <row r="346" spans="1:11" ht="28.5" customHeight="1">
      <c r="A346" s="11" t="s">
        <v>1490</v>
      </c>
      <c r="B346" s="12" t="s">
        <v>660</v>
      </c>
      <c r="C346" s="10"/>
      <c r="D346" s="13" t="s">
        <v>1485</v>
      </c>
      <c r="E346" s="205">
        <v>1603.35</v>
      </c>
      <c r="F346" s="205">
        <v>1603.35</v>
      </c>
      <c r="G346" s="205">
        <f t="shared" si="145"/>
        <v>0</v>
      </c>
      <c r="H346" s="192">
        <v>2.14</v>
      </c>
      <c r="I346" s="205">
        <f t="shared" si="143"/>
        <v>3431.1689999999999</v>
      </c>
      <c r="J346" s="205">
        <f t="shared" si="147"/>
        <v>3431.1689999999999</v>
      </c>
      <c r="K346" s="205">
        <f t="shared" si="146"/>
        <v>0</v>
      </c>
    </row>
    <row r="347" spans="1:11" ht="29" customHeight="1">
      <c r="A347" s="11" t="s">
        <v>1491</v>
      </c>
      <c r="B347" s="12" t="s">
        <v>668</v>
      </c>
      <c r="C347" s="10"/>
      <c r="D347" s="13" t="s">
        <v>1485</v>
      </c>
      <c r="E347" s="205">
        <v>3479.07</v>
      </c>
      <c r="F347" s="205">
        <v>4329.05</v>
      </c>
      <c r="G347" s="205">
        <f t="shared" si="145"/>
        <v>849.98</v>
      </c>
      <c r="H347" s="192">
        <v>0.87</v>
      </c>
      <c r="I347" s="205">
        <f t="shared" si="143"/>
        <v>3026.7909</v>
      </c>
      <c r="J347" s="205">
        <f t="shared" si="147"/>
        <v>3766.2735000000002</v>
      </c>
      <c r="K347" s="205">
        <f t="shared" si="146"/>
        <v>739.48260000000005</v>
      </c>
    </row>
    <row r="348" spans="1:11" ht="28" customHeight="1">
      <c r="A348" s="11" t="s">
        <v>1492</v>
      </c>
      <c r="B348" s="12" t="s">
        <v>661</v>
      </c>
      <c r="C348" s="10"/>
      <c r="D348" s="13" t="s">
        <v>87</v>
      </c>
      <c r="E348" s="205">
        <v>53.445</v>
      </c>
      <c r="F348" s="205">
        <v>53.45</v>
      </c>
      <c r="G348" s="205">
        <v>5.0000000000000001E-3</v>
      </c>
      <c r="H348" s="192">
        <v>1248.29</v>
      </c>
      <c r="I348" s="205">
        <f t="shared" si="143"/>
        <v>66714.859049999999</v>
      </c>
      <c r="J348" s="205">
        <f t="shared" si="147"/>
        <v>66721.1005</v>
      </c>
      <c r="K348" s="205">
        <f t="shared" si="146"/>
        <v>6.2414500000000004</v>
      </c>
    </row>
    <row r="349" spans="1:11" ht="17.5" customHeight="1">
      <c r="A349" s="11" t="s">
        <v>1493</v>
      </c>
      <c r="B349" s="12" t="s">
        <v>662</v>
      </c>
      <c r="C349" s="10"/>
      <c r="D349" s="13" t="s">
        <v>124</v>
      </c>
      <c r="E349" s="205">
        <v>1781.5</v>
      </c>
      <c r="F349" s="205">
        <v>1781.5</v>
      </c>
      <c r="G349" s="205">
        <f t="shared" si="145"/>
        <v>0</v>
      </c>
      <c r="H349" s="192">
        <v>2.83</v>
      </c>
      <c r="I349" s="205">
        <f t="shared" si="143"/>
        <v>5041.6450000000004</v>
      </c>
      <c r="J349" s="205">
        <f t="shared" si="147"/>
        <v>5041.6450000000004</v>
      </c>
      <c r="K349" s="205">
        <f t="shared" si="146"/>
        <v>0</v>
      </c>
    </row>
    <row r="350" spans="1:11">
      <c r="A350" s="8" t="s">
        <v>947</v>
      </c>
      <c r="B350" s="9" t="s">
        <v>669</v>
      </c>
      <c r="C350" s="8"/>
      <c r="D350" s="8"/>
      <c r="E350" s="211"/>
      <c r="F350" s="211"/>
      <c r="G350" s="211"/>
      <c r="H350" s="191"/>
      <c r="I350" s="204">
        <f>SUM(I351:I356)</f>
        <v>81883.692950000011</v>
      </c>
      <c r="J350" s="204">
        <f>SUM(J351:J356)</f>
        <v>82629.417000000001</v>
      </c>
      <c r="K350" s="204">
        <f>SUM(K351:K356)</f>
        <v>745.77565000000004</v>
      </c>
    </row>
    <row r="351" spans="1:11">
      <c r="A351" s="11" t="s">
        <v>948</v>
      </c>
      <c r="B351" s="12" t="s">
        <v>658</v>
      </c>
      <c r="C351" s="10"/>
      <c r="D351" s="14" t="s">
        <v>124</v>
      </c>
      <c r="E351" s="205">
        <v>1781.5</v>
      </c>
      <c r="F351" s="205">
        <v>1781.5</v>
      </c>
      <c r="G351" s="205">
        <f t="shared" ref="G351:G356" si="148">F351-E351</f>
        <v>0</v>
      </c>
      <c r="H351" s="192">
        <v>1.75</v>
      </c>
      <c r="I351" s="205">
        <f t="shared" si="143"/>
        <v>3117.625</v>
      </c>
      <c r="J351" s="205">
        <f>H351*F351</f>
        <v>3117.625</v>
      </c>
      <c r="K351" s="205">
        <f t="shared" ref="K351:K356" si="149">G351*H351</f>
        <v>0</v>
      </c>
    </row>
    <row r="352" spans="1:11" ht="26">
      <c r="A352" s="11" t="s">
        <v>949</v>
      </c>
      <c r="B352" s="12" t="s">
        <v>659</v>
      </c>
      <c r="C352" s="10"/>
      <c r="D352" s="14" t="s">
        <v>87</v>
      </c>
      <c r="E352" s="205">
        <v>53.45</v>
      </c>
      <c r="F352" s="205">
        <v>53.45</v>
      </c>
      <c r="G352" s="205">
        <v>5.0000000000000001E-3</v>
      </c>
      <c r="H352" s="192">
        <v>10.32</v>
      </c>
      <c r="I352" s="205">
        <f t="shared" si="143"/>
        <v>551.60400000000004</v>
      </c>
      <c r="J352" s="205">
        <f t="shared" ref="J352:J356" si="150">H352*F352</f>
        <v>551.60400000000004</v>
      </c>
      <c r="K352" s="205">
        <f t="shared" si="149"/>
        <v>5.16E-2</v>
      </c>
    </row>
    <row r="353" spans="1:11" ht="28.5" customHeight="1">
      <c r="A353" s="11" t="s">
        <v>950</v>
      </c>
      <c r="B353" s="12" t="s">
        <v>660</v>
      </c>
      <c r="C353" s="10"/>
      <c r="D353" s="14" t="s">
        <v>1485</v>
      </c>
      <c r="E353" s="205">
        <v>1603.35</v>
      </c>
      <c r="F353" s="205">
        <v>1603.35</v>
      </c>
      <c r="G353" s="205">
        <f t="shared" si="148"/>
        <v>0</v>
      </c>
      <c r="H353" s="192">
        <v>2.14</v>
      </c>
      <c r="I353" s="205">
        <f t="shared" si="143"/>
        <v>3431.1689999999999</v>
      </c>
      <c r="J353" s="205">
        <f t="shared" si="150"/>
        <v>3431.1689999999999</v>
      </c>
      <c r="K353" s="205">
        <f t="shared" si="149"/>
        <v>0</v>
      </c>
    </row>
    <row r="354" spans="1:11" ht="32.5" customHeight="1">
      <c r="A354" s="11" t="s">
        <v>951</v>
      </c>
      <c r="B354" s="18" t="s">
        <v>668</v>
      </c>
      <c r="C354" s="10"/>
      <c r="D354" s="189" t="s">
        <v>1485</v>
      </c>
      <c r="E354" s="205">
        <v>3479.07</v>
      </c>
      <c r="F354" s="205">
        <v>4329.05</v>
      </c>
      <c r="G354" s="205">
        <f t="shared" si="148"/>
        <v>849.98</v>
      </c>
      <c r="H354" s="193">
        <v>0.87</v>
      </c>
      <c r="I354" s="205">
        <f t="shared" si="143"/>
        <v>3026.7909</v>
      </c>
      <c r="J354" s="205">
        <f t="shared" si="150"/>
        <v>3766.2735000000002</v>
      </c>
      <c r="K354" s="205">
        <f t="shared" si="149"/>
        <v>739.48260000000005</v>
      </c>
    </row>
    <row r="355" spans="1:11" ht="26.5">
      <c r="A355" s="11" t="s">
        <v>952</v>
      </c>
      <c r="B355" s="18" t="s">
        <v>670</v>
      </c>
      <c r="C355" s="10"/>
      <c r="D355" s="14" t="s">
        <v>87</v>
      </c>
      <c r="E355" s="205">
        <v>53.445</v>
      </c>
      <c r="F355" s="205">
        <v>53.45</v>
      </c>
      <c r="G355" s="205">
        <v>5.0000000000000001E-3</v>
      </c>
      <c r="H355" s="192">
        <v>1248.29</v>
      </c>
      <c r="I355" s="205">
        <f t="shared" si="143"/>
        <v>66714.859049999999</v>
      </c>
      <c r="J355" s="205">
        <f t="shared" si="150"/>
        <v>66721.1005</v>
      </c>
      <c r="K355" s="205">
        <f t="shared" si="149"/>
        <v>6.2414500000000004</v>
      </c>
    </row>
    <row r="356" spans="1:11" ht="16.5" customHeight="1">
      <c r="A356" s="11" t="s">
        <v>953</v>
      </c>
      <c r="B356" s="16" t="s">
        <v>671</v>
      </c>
      <c r="C356" s="10" t="s">
        <v>87</v>
      </c>
      <c r="D356" s="14" t="s">
        <v>124</v>
      </c>
      <c r="E356" s="205">
        <v>1781.5</v>
      </c>
      <c r="F356" s="205">
        <v>1781.5</v>
      </c>
      <c r="G356" s="205">
        <f t="shared" si="148"/>
        <v>0</v>
      </c>
      <c r="H356" s="192">
        <v>2.83</v>
      </c>
      <c r="I356" s="205">
        <f t="shared" si="143"/>
        <v>5041.6450000000004</v>
      </c>
      <c r="J356" s="205">
        <f t="shared" si="150"/>
        <v>5041.6450000000004</v>
      </c>
      <c r="K356" s="205">
        <f t="shared" si="149"/>
        <v>0</v>
      </c>
    </row>
    <row r="357" spans="1:11">
      <c r="A357" s="8" t="s">
        <v>954</v>
      </c>
      <c r="B357" s="9" t="s">
        <v>107</v>
      </c>
      <c r="C357" s="8"/>
      <c r="D357" s="8"/>
      <c r="E357" s="211"/>
      <c r="F357" s="211"/>
      <c r="G357" s="211"/>
      <c r="H357" s="191"/>
      <c r="I357" s="204">
        <f>SUM(I358:I360)</f>
        <v>0</v>
      </c>
      <c r="J357" s="204">
        <f>SUM(J358:J360)</f>
        <v>0</v>
      </c>
      <c r="K357" s="204">
        <f>SUM(K358:K360)</f>
        <v>0</v>
      </c>
    </row>
    <row r="358" spans="1:11" ht="39">
      <c r="A358" s="11" t="s">
        <v>955</v>
      </c>
      <c r="B358" s="12" t="s">
        <v>673</v>
      </c>
      <c r="C358" s="10" t="s">
        <v>33</v>
      </c>
      <c r="D358" s="13" t="s">
        <v>1486</v>
      </c>
      <c r="E358" s="205">
        <v>0</v>
      </c>
      <c r="F358" s="205">
        <v>0</v>
      </c>
      <c r="G358" s="205">
        <f>F358-E358</f>
        <v>0</v>
      </c>
      <c r="H358" s="192">
        <v>625.09</v>
      </c>
      <c r="I358" s="205">
        <f t="shared" si="143"/>
        <v>0</v>
      </c>
      <c r="J358" s="205">
        <f>H358*F358</f>
        <v>0</v>
      </c>
      <c r="K358" s="205">
        <f t="shared" ref="K358:K360" si="151">G358*H358</f>
        <v>0</v>
      </c>
    </row>
    <row r="359" spans="1:11" ht="17" customHeight="1">
      <c r="A359" s="11" t="s">
        <v>956</v>
      </c>
      <c r="B359" s="190" t="s">
        <v>679</v>
      </c>
      <c r="C359" s="10" t="s">
        <v>33</v>
      </c>
      <c r="D359" s="13" t="s">
        <v>124</v>
      </c>
      <c r="E359" s="205">
        <v>0</v>
      </c>
      <c r="F359" s="205">
        <v>0</v>
      </c>
      <c r="G359" s="205">
        <f>F359-E359</f>
        <v>0</v>
      </c>
      <c r="H359" s="192">
        <v>16.260000000000002</v>
      </c>
      <c r="I359" s="205">
        <f t="shared" si="143"/>
        <v>0</v>
      </c>
      <c r="J359" s="205">
        <f t="shared" ref="J359:J360" si="152">H359*F359</f>
        <v>0</v>
      </c>
      <c r="K359" s="205">
        <f t="shared" si="151"/>
        <v>0</v>
      </c>
    </row>
    <row r="360" spans="1:11" ht="16.5" customHeight="1">
      <c r="A360" s="11" t="s">
        <v>957</v>
      </c>
      <c r="B360" s="12" t="s">
        <v>674</v>
      </c>
      <c r="C360" s="10" t="s">
        <v>33</v>
      </c>
      <c r="D360" s="13" t="s">
        <v>124</v>
      </c>
      <c r="E360" s="205">
        <v>0</v>
      </c>
      <c r="F360" s="205">
        <v>0</v>
      </c>
      <c r="G360" s="205">
        <f>F360-E360</f>
        <v>0</v>
      </c>
      <c r="H360" s="192">
        <v>4.5599999999999996</v>
      </c>
      <c r="I360" s="205">
        <f t="shared" si="143"/>
        <v>0</v>
      </c>
      <c r="J360" s="205">
        <f t="shared" si="152"/>
        <v>0</v>
      </c>
      <c r="K360" s="205">
        <f t="shared" si="151"/>
        <v>0</v>
      </c>
    </row>
    <row r="361" spans="1:11">
      <c r="A361" s="8" t="s">
        <v>958</v>
      </c>
      <c r="B361" s="9" t="s">
        <v>677</v>
      </c>
      <c r="C361" s="8"/>
      <c r="D361" s="8"/>
      <c r="E361" s="211"/>
      <c r="F361" s="211"/>
      <c r="G361" s="211"/>
      <c r="H361" s="191"/>
      <c r="I361" s="204">
        <f>SUM(I362:I363)</f>
        <v>3117.625</v>
      </c>
      <c r="J361" s="204">
        <f>SUM(J362:J363)</f>
        <v>3117.625</v>
      </c>
      <c r="K361" s="204">
        <f>SUM(K362:K363)</f>
        <v>0</v>
      </c>
    </row>
    <row r="362" spans="1:11">
      <c r="A362" s="11" t="s">
        <v>959</v>
      </c>
      <c r="B362" s="12" t="s">
        <v>658</v>
      </c>
      <c r="C362" s="10" t="s">
        <v>11</v>
      </c>
      <c r="D362" s="13" t="s">
        <v>124</v>
      </c>
      <c r="E362" s="205">
        <v>1781.5</v>
      </c>
      <c r="F362" s="205">
        <v>1781.5</v>
      </c>
      <c r="G362" s="205">
        <f>F362-E362</f>
        <v>0</v>
      </c>
      <c r="H362" s="192">
        <v>1.75</v>
      </c>
      <c r="I362" s="205">
        <f t="shared" si="143"/>
        <v>3117.625</v>
      </c>
      <c r="J362" s="205">
        <f>H362*F362</f>
        <v>3117.625</v>
      </c>
      <c r="K362" s="205">
        <f t="shared" ref="K362:K363" si="153">G362*H362</f>
        <v>0</v>
      </c>
    </row>
    <row r="363" spans="1:11">
      <c r="A363" s="11" t="s">
        <v>960</v>
      </c>
      <c r="B363" s="12" t="s">
        <v>678</v>
      </c>
      <c r="C363" s="10" t="s">
        <v>11</v>
      </c>
      <c r="D363" s="13" t="s">
        <v>1486</v>
      </c>
      <c r="E363" s="205">
        <v>0</v>
      </c>
      <c r="F363" s="205">
        <v>0</v>
      </c>
      <c r="G363" s="205">
        <f>F363-E363</f>
        <v>0</v>
      </c>
      <c r="H363" s="192">
        <v>92.34</v>
      </c>
      <c r="I363" s="205">
        <f t="shared" si="143"/>
        <v>0</v>
      </c>
      <c r="J363" s="205">
        <f>H363*F363</f>
        <v>0</v>
      </c>
      <c r="K363" s="205">
        <f t="shared" si="153"/>
        <v>0</v>
      </c>
    </row>
    <row r="364" spans="1:11">
      <c r="A364" s="183">
        <v>14</v>
      </c>
      <c r="B364" s="188" t="s">
        <v>1466</v>
      </c>
      <c r="C364" s="183"/>
      <c r="D364" s="183"/>
      <c r="E364" s="210"/>
      <c r="F364" s="210"/>
      <c r="G364" s="210"/>
      <c r="H364" s="194"/>
      <c r="I364" s="203">
        <f>SUM(I365,I368,I370,I377,I384,I388)</f>
        <v>59348.381399999991</v>
      </c>
      <c r="J364" s="203">
        <f>SUM(J365,J368,J370,J377,J384,J388)</f>
        <v>60299.832499999997</v>
      </c>
      <c r="K364" s="203">
        <f>SUM(K365,K368,K370,K377,K384,K388)</f>
        <v>951.45109999999988</v>
      </c>
    </row>
    <row r="365" spans="1:11">
      <c r="A365" s="8" t="s">
        <v>961</v>
      </c>
      <c r="B365" s="9" t="s">
        <v>8</v>
      </c>
      <c r="C365" s="8"/>
      <c r="D365" s="8"/>
      <c r="E365" s="211"/>
      <c r="F365" s="211"/>
      <c r="G365" s="211"/>
      <c r="H365" s="191"/>
      <c r="I365" s="204">
        <f>SUM(I366:I367)</f>
        <v>4669.5509000000002</v>
      </c>
      <c r="J365" s="204">
        <f>SUM(J366:J367)</f>
        <v>4888.4794000000002</v>
      </c>
      <c r="K365" s="204">
        <f>SUM(K366:K367)</f>
        <v>218.92849999999984</v>
      </c>
    </row>
    <row r="366" spans="1:11" ht="26">
      <c r="A366" s="11" t="s">
        <v>962</v>
      </c>
      <c r="B366" s="12" t="s">
        <v>652</v>
      </c>
      <c r="C366" s="10" t="s">
        <v>13</v>
      </c>
      <c r="D366" s="13" t="s">
        <v>124</v>
      </c>
      <c r="E366" s="205">
        <v>583.87</v>
      </c>
      <c r="F366" s="205">
        <v>583.87</v>
      </c>
      <c r="G366" s="205">
        <f>F366-E366</f>
        <v>0</v>
      </c>
      <c r="H366" s="192">
        <v>0.36</v>
      </c>
      <c r="I366" s="205">
        <f>H366*E366</f>
        <v>210.19319999999999</v>
      </c>
      <c r="J366" s="205">
        <f>H366*F366</f>
        <v>210.19319999999999</v>
      </c>
      <c r="K366" s="205">
        <f t="shared" ref="K366:K367" si="154">G366*H366</f>
        <v>0</v>
      </c>
    </row>
    <row r="367" spans="1:11" ht="52">
      <c r="A367" s="11" t="s">
        <v>963</v>
      </c>
      <c r="B367" s="12" t="s">
        <v>649</v>
      </c>
      <c r="C367" s="10" t="s">
        <v>11</v>
      </c>
      <c r="D367" s="13" t="s">
        <v>124</v>
      </c>
      <c r="E367" s="205">
        <v>72.31</v>
      </c>
      <c r="F367" s="205">
        <v>75.86</v>
      </c>
      <c r="G367" s="205">
        <f>F367-E367</f>
        <v>3.5499999999999972</v>
      </c>
      <c r="H367" s="192">
        <v>61.67</v>
      </c>
      <c r="I367" s="205">
        <f>H367*E367</f>
        <v>4459.3577000000005</v>
      </c>
      <c r="J367" s="205">
        <f>H367*F367</f>
        <v>4678.2862000000005</v>
      </c>
      <c r="K367" s="205">
        <f t="shared" si="154"/>
        <v>218.92849999999984</v>
      </c>
    </row>
    <row r="368" spans="1:11">
      <c r="A368" s="8" t="s">
        <v>964</v>
      </c>
      <c r="B368" s="9" t="s">
        <v>654</v>
      </c>
      <c r="C368" s="8"/>
      <c r="D368" s="8"/>
      <c r="E368" s="211"/>
      <c r="F368" s="211"/>
      <c r="G368" s="211"/>
      <c r="H368" s="191"/>
      <c r="I368" s="204">
        <f>SUM(I369:I369)</f>
        <v>221.8706</v>
      </c>
      <c r="J368" s="204">
        <f>SUM(J369:J369)</f>
        <v>221.8706</v>
      </c>
      <c r="K368" s="204">
        <f>SUM(K369:K369)</f>
        <v>0</v>
      </c>
    </row>
    <row r="369" spans="1:11" ht="26">
      <c r="A369" s="11" t="s">
        <v>965</v>
      </c>
      <c r="B369" s="12" t="s">
        <v>655</v>
      </c>
      <c r="C369" s="10"/>
      <c r="D369" s="13" t="s">
        <v>124</v>
      </c>
      <c r="E369" s="205">
        <v>583.87</v>
      </c>
      <c r="F369" s="205">
        <v>583.87</v>
      </c>
      <c r="G369" s="205">
        <f>F369-E369</f>
        <v>0</v>
      </c>
      <c r="H369" s="192">
        <v>0.38</v>
      </c>
      <c r="I369" s="205">
        <f t="shared" ref="I369:I390" si="155">H369*E369</f>
        <v>221.8706</v>
      </c>
      <c r="J369" s="205">
        <f>H369*F369</f>
        <v>221.8706</v>
      </c>
      <c r="K369" s="205">
        <f t="shared" ref="K369" si="156">G369*H369</f>
        <v>0</v>
      </c>
    </row>
    <row r="370" spans="1:11">
      <c r="A370" s="8" t="s">
        <v>966</v>
      </c>
      <c r="B370" s="9" t="s">
        <v>657</v>
      </c>
      <c r="C370" s="8"/>
      <c r="D370" s="8"/>
      <c r="E370" s="211"/>
      <c r="F370" s="211"/>
      <c r="G370" s="211"/>
      <c r="H370" s="191"/>
      <c r="I370" s="204">
        <f>SUM(I371:I376)</f>
        <v>26717.593699999998</v>
      </c>
      <c r="J370" s="204">
        <f>SUM(J371:J376)</f>
        <v>27083.855</v>
      </c>
      <c r="K370" s="204">
        <f>SUM(K371:K376)</f>
        <v>366.26130000000001</v>
      </c>
    </row>
    <row r="371" spans="1:11">
      <c r="A371" s="11" t="s">
        <v>967</v>
      </c>
      <c r="B371" s="12" t="s">
        <v>658</v>
      </c>
      <c r="C371" s="10"/>
      <c r="D371" s="13" t="s">
        <v>124</v>
      </c>
      <c r="E371" s="205">
        <v>583.87</v>
      </c>
      <c r="F371" s="205">
        <v>583.87</v>
      </c>
      <c r="G371" s="205">
        <f t="shared" ref="G371:G376" si="157">F371-E371</f>
        <v>0</v>
      </c>
      <c r="H371" s="192">
        <v>1.75</v>
      </c>
      <c r="I371" s="205">
        <f t="shared" si="155"/>
        <v>1021.7725</v>
      </c>
      <c r="J371" s="205">
        <f>H371*F371</f>
        <v>1021.7725</v>
      </c>
      <c r="K371" s="205">
        <f t="shared" ref="K371:K376" si="158">G371*H371</f>
        <v>0</v>
      </c>
    </row>
    <row r="372" spans="1:11" ht="26">
      <c r="A372" s="11" t="s">
        <v>968</v>
      </c>
      <c r="B372" s="12" t="s">
        <v>659</v>
      </c>
      <c r="C372" s="10"/>
      <c r="D372" s="13" t="s">
        <v>87</v>
      </c>
      <c r="E372" s="205">
        <v>17.52</v>
      </c>
      <c r="F372" s="205">
        <v>17.52</v>
      </c>
      <c r="G372" s="205">
        <f t="shared" si="157"/>
        <v>0</v>
      </c>
      <c r="H372" s="192">
        <v>10.32</v>
      </c>
      <c r="I372" s="205">
        <f t="shared" si="155"/>
        <v>180.8064</v>
      </c>
      <c r="J372" s="205">
        <f t="shared" ref="J372:J376" si="159">H372*F372</f>
        <v>180.8064</v>
      </c>
      <c r="K372" s="205">
        <f t="shared" si="158"/>
        <v>0</v>
      </c>
    </row>
    <row r="373" spans="1:11" ht="28.5" customHeight="1">
      <c r="A373" s="11" t="s">
        <v>969</v>
      </c>
      <c r="B373" s="12" t="s">
        <v>660</v>
      </c>
      <c r="C373" s="10"/>
      <c r="D373" s="13" t="s">
        <v>1485</v>
      </c>
      <c r="E373" s="205">
        <v>525.48</v>
      </c>
      <c r="F373" s="205">
        <v>525.48</v>
      </c>
      <c r="G373" s="205">
        <f t="shared" si="157"/>
        <v>0</v>
      </c>
      <c r="H373" s="192">
        <v>2.14</v>
      </c>
      <c r="I373" s="205">
        <f t="shared" si="155"/>
        <v>1124.5272</v>
      </c>
      <c r="J373" s="205">
        <f t="shared" si="159"/>
        <v>1124.5272</v>
      </c>
      <c r="K373" s="205">
        <f t="shared" si="158"/>
        <v>0</v>
      </c>
    </row>
    <row r="374" spans="1:11" ht="29" customHeight="1">
      <c r="A374" s="11" t="s">
        <v>970</v>
      </c>
      <c r="B374" s="12" t="s">
        <v>668</v>
      </c>
      <c r="C374" s="10"/>
      <c r="D374" s="13" t="s">
        <v>1485</v>
      </c>
      <c r="E374" s="205">
        <v>997.81</v>
      </c>
      <c r="F374" s="205">
        <v>1418.8</v>
      </c>
      <c r="G374" s="205">
        <f t="shared" si="157"/>
        <v>420.99</v>
      </c>
      <c r="H374" s="192">
        <v>0.87</v>
      </c>
      <c r="I374" s="205">
        <f t="shared" si="155"/>
        <v>868.09469999999999</v>
      </c>
      <c r="J374" s="205">
        <f t="shared" si="159"/>
        <v>1234.356</v>
      </c>
      <c r="K374" s="205">
        <f t="shared" si="158"/>
        <v>366.26130000000001</v>
      </c>
    </row>
    <row r="375" spans="1:11" ht="28" customHeight="1">
      <c r="A375" s="11" t="s">
        <v>971</v>
      </c>
      <c r="B375" s="12" t="s">
        <v>661</v>
      </c>
      <c r="C375" s="10"/>
      <c r="D375" s="13" t="s">
        <v>87</v>
      </c>
      <c r="E375" s="205">
        <v>17.52</v>
      </c>
      <c r="F375" s="205">
        <v>17.52</v>
      </c>
      <c r="G375" s="205">
        <f t="shared" si="157"/>
        <v>0</v>
      </c>
      <c r="H375" s="192">
        <v>1248.29</v>
      </c>
      <c r="I375" s="205">
        <f t="shared" si="155"/>
        <v>21870.040799999999</v>
      </c>
      <c r="J375" s="205">
        <f t="shared" si="159"/>
        <v>21870.040799999999</v>
      </c>
      <c r="K375" s="205">
        <f t="shared" si="158"/>
        <v>0</v>
      </c>
    </row>
    <row r="376" spans="1:11" ht="17.5" customHeight="1">
      <c r="A376" s="11" t="s">
        <v>972</v>
      </c>
      <c r="B376" s="12" t="s">
        <v>662</v>
      </c>
      <c r="C376" s="10"/>
      <c r="D376" s="13" t="s">
        <v>124</v>
      </c>
      <c r="E376" s="205">
        <v>583.87</v>
      </c>
      <c r="F376" s="205">
        <v>583.87</v>
      </c>
      <c r="G376" s="205">
        <f t="shared" si="157"/>
        <v>0</v>
      </c>
      <c r="H376" s="192">
        <v>2.83</v>
      </c>
      <c r="I376" s="205">
        <f t="shared" si="155"/>
        <v>1652.3521000000001</v>
      </c>
      <c r="J376" s="205">
        <f t="shared" si="159"/>
        <v>1652.3521000000001</v>
      </c>
      <c r="K376" s="205">
        <f t="shared" si="158"/>
        <v>0</v>
      </c>
    </row>
    <row r="377" spans="1:11">
      <c r="A377" s="8" t="s">
        <v>973</v>
      </c>
      <c r="B377" s="9" t="s">
        <v>669</v>
      </c>
      <c r="C377" s="8"/>
      <c r="D377" s="8"/>
      <c r="E377" s="211"/>
      <c r="F377" s="211"/>
      <c r="G377" s="211"/>
      <c r="H377" s="191"/>
      <c r="I377" s="204">
        <f>SUM(I378:I383)</f>
        <v>26717.593699999998</v>
      </c>
      <c r="J377" s="204">
        <f>SUM(J378:J383)</f>
        <v>27083.855</v>
      </c>
      <c r="K377" s="204">
        <f>SUM(K378:K383)</f>
        <v>366.26130000000001</v>
      </c>
    </row>
    <row r="378" spans="1:11">
      <c r="A378" s="11" t="s">
        <v>974</v>
      </c>
      <c r="B378" s="12" t="s">
        <v>658</v>
      </c>
      <c r="C378" s="10"/>
      <c r="D378" s="14" t="s">
        <v>124</v>
      </c>
      <c r="E378" s="205">
        <v>583.87</v>
      </c>
      <c r="F378" s="205">
        <v>583.87</v>
      </c>
      <c r="G378" s="205">
        <f t="shared" ref="G378:G383" si="160">F378-E378</f>
        <v>0</v>
      </c>
      <c r="H378" s="192">
        <v>1.75</v>
      </c>
      <c r="I378" s="205">
        <f t="shared" si="155"/>
        <v>1021.7725</v>
      </c>
      <c r="J378" s="205">
        <f>H378*F378</f>
        <v>1021.7725</v>
      </c>
      <c r="K378" s="205">
        <f t="shared" ref="K378:K383" si="161">G378*H378</f>
        <v>0</v>
      </c>
    </row>
    <row r="379" spans="1:11" ht="26">
      <c r="A379" s="11" t="s">
        <v>975</v>
      </c>
      <c r="B379" s="12" t="s">
        <v>659</v>
      </c>
      <c r="C379" s="10"/>
      <c r="D379" s="14" t="s">
        <v>87</v>
      </c>
      <c r="E379" s="205">
        <v>17.52</v>
      </c>
      <c r="F379" s="212">
        <v>17.52</v>
      </c>
      <c r="G379" s="205">
        <f t="shared" si="160"/>
        <v>0</v>
      </c>
      <c r="H379" s="192">
        <v>10.32</v>
      </c>
      <c r="I379" s="205">
        <f t="shared" si="155"/>
        <v>180.8064</v>
      </c>
      <c r="J379" s="205">
        <f t="shared" ref="J379:J383" si="162">H379*F379</f>
        <v>180.8064</v>
      </c>
      <c r="K379" s="205">
        <f t="shared" si="161"/>
        <v>0</v>
      </c>
    </row>
    <row r="380" spans="1:11" ht="28.5" customHeight="1">
      <c r="A380" s="11" t="s">
        <v>976</v>
      </c>
      <c r="B380" s="12" t="s">
        <v>660</v>
      </c>
      <c r="C380" s="10"/>
      <c r="D380" s="14" t="s">
        <v>1485</v>
      </c>
      <c r="E380" s="205">
        <v>525.48</v>
      </c>
      <c r="F380" s="212">
        <v>525.48</v>
      </c>
      <c r="G380" s="205">
        <f t="shared" si="160"/>
        <v>0</v>
      </c>
      <c r="H380" s="192">
        <v>2.14</v>
      </c>
      <c r="I380" s="205">
        <f t="shared" si="155"/>
        <v>1124.5272</v>
      </c>
      <c r="J380" s="205">
        <f t="shared" si="162"/>
        <v>1124.5272</v>
      </c>
      <c r="K380" s="205">
        <f t="shared" si="161"/>
        <v>0</v>
      </c>
    </row>
    <row r="381" spans="1:11" ht="32.5" customHeight="1">
      <c r="A381" s="11" t="s">
        <v>977</v>
      </c>
      <c r="B381" s="18" t="s">
        <v>668</v>
      </c>
      <c r="C381" s="10"/>
      <c r="D381" s="189" t="s">
        <v>1485</v>
      </c>
      <c r="E381" s="205">
        <v>997.81</v>
      </c>
      <c r="F381" s="205">
        <v>1418.8</v>
      </c>
      <c r="G381" s="205">
        <f t="shared" si="160"/>
        <v>420.99</v>
      </c>
      <c r="H381" s="193">
        <v>0.87</v>
      </c>
      <c r="I381" s="205">
        <f t="shared" si="155"/>
        <v>868.09469999999999</v>
      </c>
      <c r="J381" s="205">
        <f t="shared" si="162"/>
        <v>1234.356</v>
      </c>
      <c r="K381" s="205">
        <f t="shared" si="161"/>
        <v>366.26130000000001</v>
      </c>
    </row>
    <row r="382" spans="1:11" ht="26.5">
      <c r="A382" s="11" t="s">
        <v>978</v>
      </c>
      <c r="B382" s="18" t="s">
        <v>670</v>
      </c>
      <c r="C382" s="10"/>
      <c r="D382" s="14" t="s">
        <v>87</v>
      </c>
      <c r="E382" s="205">
        <v>17.52</v>
      </c>
      <c r="F382" s="212">
        <v>17.52</v>
      </c>
      <c r="G382" s="205">
        <f t="shared" si="160"/>
        <v>0</v>
      </c>
      <c r="H382" s="192">
        <v>1248.29</v>
      </c>
      <c r="I382" s="205">
        <f t="shared" si="155"/>
        <v>21870.040799999999</v>
      </c>
      <c r="J382" s="205">
        <f t="shared" si="162"/>
        <v>21870.040799999999</v>
      </c>
      <c r="K382" s="205">
        <f t="shared" si="161"/>
        <v>0</v>
      </c>
    </row>
    <row r="383" spans="1:11" ht="16.5" customHeight="1">
      <c r="A383" s="11" t="s">
        <v>979</v>
      </c>
      <c r="B383" s="16" t="s">
        <v>671</v>
      </c>
      <c r="C383" s="10" t="s">
        <v>87</v>
      </c>
      <c r="D383" s="14" t="s">
        <v>124</v>
      </c>
      <c r="E383" s="205">
        <v>583.87</v>
      </c>
      <c r="F383" s="212">
        <v>583.87</v>
      </c>
      <c r="G383" s="205">
        <f t="shared" si="160"/>
        <v>0</v>
      </c>
      <c r="H383" s="192">
        <v>2.83</v>
      </c>
      <c r="I383" s="205">
        <f t="shared" si="155"/>
        <v>1652.3521000000001</v>
      </c>
      <c r="J383" s="205">
        <f t="shared" si="162"/>
        <v>1652.3521000000001</v>
      </c>
      <c r="K383" s="205">
        <f t="shared" si="161"/>
        <v>0</v>
      </c>
    </row>
    <row r="384" spans="1:11">
      <c r="A384" s="8" t="s">
        <v>980</v>
      </c>
      <c r="B384" s="9" t="s">
        <v>107</v>
      </c>
      <c r="C384" s="8"/>
      <c r="D384" s="8"/>
      <c r="E384" s="211"/>
      <c r="F384" s="211"/>
      <c r="G384" s="211"/>
      <c r="H384" s="191"/>
      <c r="I384" s="204">
        <f>SUM(I385:I387)</f>
        <v>0</v>
      </c>
      <c r="J384" s="204">
        <f>SUM(J385:J387)</f>
        <v>0</v>
      </c>
      <c r="K384" s="204">
        <f>SUM(K385:K387)</f>
        <v>0</v>
      </c>
    </row>
    <row r="385" spans="1:11" ht="39">
      <c r="A385" s="11" t="s">
        <v>981</v>
      </c>
      <c r="B385" s="12" t="s">
        <v>673</v>
      </c>
      <c r="C385" s="10" t="s">
        <v>33</v>
      </c>
      <c r="D385" s="13" t="s">
        <v>1486</v>
      </c>
      <c r="E385" s="205">
        <v>0</v>
      </c>
      <c r="F385" s="205">
        <v>0</v>
      </c>
      <c r="G385" s="205">
        <f>F385-E385</f>
        <v>0</v>
      </c>
      <c r="H385" s="192">
        <v>625.09</v>
      </c>
      <c r="I385" s="205">
        <f t="shared" si="155"/>
        <v>0</v>
      </c>
      <c r="J385" s="205">
        <f>H385*F385</f>
        <v>0</v>
      </c>
      <c r="K385" s="205">
        <f t="shared" ref="K385:K387" si="163">G385*H385</f>
        <v>0</v>
      </c>
    </row>
    <row r="386" spans="1:11" ht="17" customHeight="1">
      <c r="A386" s="11" t="s">
        <v>982</v>
      </c>
      <c r="B386" s="190" t="s">
        <v>679</v>
      </c>
      <c r="C386" s="10" t="s">
        <v>33</v>
      </c>
      <c r="D386" s="13" t="s">
        <v>124</v>
      </c>
      <c r="E386" s="205">
        <v>0</v>
      </c>
      <c r="F386" s="205">
        <v>0</v>
      </c>
      <c r="G386" s="205">
        <f>F386-E386</f>
        <v>0</v>
      </c>
      <c r="H386" s="192">
        <v>16.260000000000002</v>
      </c>
      <c r="I386" s="205">
        <f t="shared" si="155"/>
        <v>0</v>
      </c>
      <c r="J386" s="205">
        <f t="shared" ref="J386:J387" si="164">H386*F386</f>
        <v>0</v>
      </c>
      <c r="K386" s="205">
        <f t="shared" si="163"/>
        <v>0</v>
      </c>
    </row>
    <row r="387" spans="1:11" ht="16.5" customHeight="1">
      <c r="A387" s="11" t="s">
        <v>983</v>
      </c>
      <c r="B387" s="12" t="s">
        <v>674</v>
      </c>
      <c r="C387" s="10" t="s">
        <v>33</v>
      </c>
      <c r="D387" s="13" t="s">
        <v>124</v>
      </c>
      <c r="E387" s="205">
        <v>0</v>
      </c>
      <c r="F387" s="205">
        <v>0</v>
      </c>
      <c r="G387" s="205">
        <f>F387-E387</f>
        <v>0</v>
      </c>
      <c r="H387" s="192">
        <v>4.5599999999999996</v>
      </c>
      <c r="I387" s="205">
        <f t="shared" si="155"/>
        <v>0</v>
      </c>
      <c r="J387" s="205">
        <f t="shared" si="164"/>
        <v>0</v>
      </c>
      <c r="K387" s="205">
        <f t="shared" si="163"/>
        <v>0</v>
      </c>
    </row>
    <row r="388" spans="1:11">
      <c r="A388" s="8" t="s">
        <v>984</v>
      </c>
      <c r="B388" s="9" t="s">
        <v>677</v>
      </c>
      <c r="C388" s="8"/>
      <c r="D388" s="8"/>
      <c r="E388" s="211"/>
      <c r="F388" s="211"/>
      <c r="G388" s="211"/>
      <c r="H388" s="191"/>
      <c r="I388" s="204">
        <f>SUM(I389:I390)</f>
        <v>1021.7725</v>
      </c>
      <c r="J388" s="204">
        <f>SUM(J389:J390)</f>
        <v>1021.7725</v>
      </c>
      <c r="K388" s="204">
        <f>SUM(K389:K390)</f>
        <v>0</v>
      </c>
    </row>
    <row r="389" spans="1:11">
      <c r="A389" s="11" t="s">
        <v>985</v>
      </c>
      <c r="B389" s="12" t="s">
        <v>658</v>
      </c>
      <c r="C389" s="10" t="s">
        <v>11</v>
      </c>
      <c r="D389" s="13" t="s">
        <v>124</v>
      </c>
      <c r="E389" s="205">
        <v>583.87</v>
      </c>
      <c r="F389" s="205">
        <v>583.87</v>
      </c>
      <c r="G389" s="205">
        <f>F389-E389</f>
        <v>0</v>
      </c>
      <c r="H389" s="192">
        <v>1.75</v>
      </c>
      <c r="I389" s="205">
        <f t="shared" si="155"/>
        <v>1021.7725</v>
      </c>
      <c r="J389" s="205">
        <f>H389*F389</f>
        <v>1021.7725</v>
      </c>
      <c r="K389" s="205">
        <f t="shared" ref="K389:K390" si="165">G389*H389</f>
        <v>0</v>
      </c>
    </row>
    <row r="390" spans="1:11">
      <c r="A390" s="11" t="s">
        <v>986</v>
      </c>
      <c r="B390" s="12" t="s">
        <v>678</v>
      </c>
      <c r="C390" s="10" t="s">
        <v>11</v>
      </c>
      <c r="D390" s="13" t="s">
        <v>1486</v>
      </c>
      <c r="E390" s="205">
        <v>0</v>
      </c>
      <c r="F390" s="205">
        <v>0</v>
      </c>
      <c r="G390" s="205">
        <f>F390-E390</f>
        <v>0</v>
      </c>
      <c r="H390" s="192">
        <v>92.34</v>
      </c>
      <c r="I390" s="205">
        <f t="shared" si="155"/>
        <v>0</v>
      </c>
      <c r="J390" s="205">
        <f>H390*F390</f>
        <v>0</v>
      </c>
      <c r="K390" s="205">
        <f t="shared" si="165"/>
        <v>0</v>
      </c>
    </row>
    <row r="391" spans="1:11">
      <c r="A391" s="183">
        <v>15</v>
      </c>
      <c r="B391" s="188" t="s">
        <v>1467</v>
      </c>
      <c r="C391" s="183"/>
      <c r="D391" s="183"/>
      <c r="E391" s="210"/>
      <c r="F391" s="210"/>
      <c r="G391" s="210"/>
      <c r="H391" s="194"/>
      <c r="I391" s="203">
        <f>SUM(I392,I395,I397,I404,I411,I415)</f>
        <v>59636.725200000008</v>
      </c>
      <c r="J391" s="203">
        <f>SUM(J392,J395,J397,J404,J411,J415)</f>
        <v>65444.229800000001</v>
      </c>
      <c r="K391" s="203">
        <f>SUM(K392,K395,K397,K404,K411,K415)</f>
        <v>5807.5046000000011</v>
      </c>
    </row>
    <row r="392" spans="1:11">
      <c r="A392" s="8" t="s">
        <v>987</v>
      </c>
      <c r="B392" s="9" t="s">
        <v>8</v>
      </c>
      <c r="C392" s="8"/>
      <c r="D392" s="8"/>
      <c r="E392" s="211"/>
      <c r="F392" s="211"/>
      <c r="G392" s="211"/>
      <c r="H392" s="191"/>
      <c r="I392" s="204">
        <f>SUM(I393:I394)</f>
        <v>5439.8326999999999</v>
      </c>
      <c r="J392" s="204">
        <f>SUM(J393:J394)</f>
        <v>10851.991900000001</v>
      </c>
      <c r="K392" s="204">
        <f>SUM(K393:K394)</f>
        <v>5412.159200000001</v>
      </c>
    </row>
    <row r="393" spans="1:11" ht="26">
      <c r="A393" s="11" t="s">
        <v>988</v>
      </c>
      <c r="B393" s="12" t="s">
        <v>652</v>
      </c>
      <c r="C393" s="10" t="s">
        <v>13</v>
      </c>
      <c r="D393" s="13" t="s">
        <v>124</v>
      </c>
      <c r="E393" s="205">
        <v>575.37</v>
      </c>
      <c r="F393" s="205">
        <v>575.37</v>
      </c>
      <c r="G393" s="205">
        <f>F393-E393</f>
        <v>0</v>
      </c>
      <c r="H393" s="192">
        <v>0.36</v>
      </c>
      <c r="I393" s="205">
        <f>H393*E393</f>
        <v>207.13319999999999</v>
      </c>
      <c r="J393" s="205">
        <f>H393*F393</f>
        <v>207.13319999999999</v>
      </c>
      <c r="K393" s="205">
        <f t="shared" ref="K393:K394" si="166">G393*H393</f>
        <v>0</v>
      </c>
    </row>
    <row r="394" spans="1:11" ht="52">
      <c r="A394" s="11" t="s">
        <v>989</v>
      </c>
      <c r="B394" s="12" t="s">
        <v>649</v>
      </c>
      <c r="C394" s="10" t="s">
        <v>11</v>
      </c>
      <c r="D394" s="13" t="s">
        <v>124</v>
      </c>
      <c r="E394" s="205">
        <v>84.85</v>
      </c>
      <c r="F394" s="205">
        <v>172.61</v>
      </c>
      <c r="G394" s="205">
        <f>F394-E394</f>
        <v>87.760000000000019</v>
      </c>
      <c r="H394" s="192">
        <v>61.67</v>
      </c>
      <c r="I394" s="205">
        <f>H394*E394</f>
        <v>5232.6994999999997</v>
      </c>
      <c r="J394" s="205">
        <f>H394*F394</f>
        <v>10644.858700000001</v>
      </c>
      <c r="K394" s="205">
        <f t="shared" si="166"/>
        <v>5412.159200000001</v>
      </c>
    </row>
    <row r="395" spans="1:11">
      <c r="A395" s="8" t="s">
        <v>990</v>
      </c>
      <c r="B395" s="9" t="s">
        <v>654</v>
      </c>
      <c r="C395" s="8"/>
      <c r="D395" s="8"/>
      <c r="E395" s="211"/>
      <c r="F395" s="211"/>
      <c r="G395" s="211"/>
      <c r="H395" s="191"/>
      <c r="I395" s="204">
        <f>SUM(I396:I396)</f>
        <v>218.64060000000001</v>
      </c>
      <c r="J395" s="204">
        <f>SUM(J396:J396)</f>
        <v>218.64060000000001</v>
      </c>
      <c r="K395" s="204">
        <f>SUM(K396:K396)</f>
        <v>0</v>
      </c>
    </row>
    <row r="396" spans="1:11" ht="26">
      <c r="A396" s="11" t="s">
        <v>991</v>
      </c>
      <c r="B396" s="12" t="s">
        <v>655</v>
      </c>
      <c r="C396" s="10"/>
      <c r="D396" s="13" t="s">
        <v>124</v>
      </c>
      <c r="E396" s="205">
        <v>575.37</v>
      </c>
      <c r="F396" s="205">
        <v>575.37</v>
      </c>
      <c r="G396" s="205">
        <f>F396-E396</f>
        <v>0</v>
      </c>
      <c r="H396" s="192">
        <v>0.38</v>
      </c>
      <c r="I396" s="205">
        <f t="shared" ref="I396:I417" si="167">H396*E396</f>
        <v>218.64060000000001</v>
      </c>
      <c r="J396" s="205">
        <f>H396*F396</f>
        <v>218.64060000000001</v>
      </c>
      <c r="K396" s="205">
        <f t="shared" ref="K396" si="168">G396*H396</f>
        <v>0</v>
      </c>
    </row>
    <row r="397" spans="1:11">
      <c r="A397" s="8" t="s">
        <v>992</v>
      </c>
      <c r="B397" s="9" t="s">
        <v>657</v>
      </c>
      <c r="C397" s="8"/>
      <c r="D397" s="8"/>
      <c r="E397" s="211"/>
      <c r="F397" s="211"/>
      <c r="G397" s="211"/>
      <c r="H397" s="191"/>
      <c r="I397" s="204">
        <f>SUM(I398:I403)</f>
        <v>26485.677200000002</v>
      </c>
      <c r="J397" s="204">
        <f>SUM(J398:J403)</f>
        <v>26683.349900000001</v>
      </c>
      <c r="K397" s="204">
        <f>SUM(K398:K403)</f>
        <v>197.67270000000002</v>
      </c>
    </row>
    <row r="398" spans="1:11">
      <c r="A398" s="11" t="s">
        <v>993</v>
      </c>
      <c r="B398" s="12" t="s">
        <v>658</v>
      </c>
      <c r="C398" s="10"/>
      <c r="D398" s="13" t="s">
        <v>124</v>
      </c>
      <c r="E398" s="205">
        <v>575.37</v>
      </c>
      <c r="F398" s="205">
        <v>575.37</v>
      </c>
      <c r="G398" s="205">
        <f t="shared" ref="G398:G403" si="169">F398-E398</f>
        <v>0</v>
      </c>
      <c r="H398" s="192">
        <v>1.75</v>
      </c>
      <c r="I398" s="205">
        <f t="shared" si="167"/>
        <v>1006.8975</v>
      </c>
      <c r="J398" s="205">
        <f>H398*F398</f>
        <v>1006.8975</v>
      </c>
      <c r="K398" s="205">
        <f t="shared" ref="K398:K403" si="170">G398*H398</f>
        <v>0</v>
      </c>
    </row>
    <row r="399" spans="1:11" ht="26">
      <c r="A399" s="11" t="s">
        <v>994</v>
      </c>
      <c r="B399" s="12" t="s">
        <v>659</v>
      </c>
      <c r="C399" s="10"/>
      <c r="D399" s="13" t="s">
        <v>87</v>
      </c>
      <c r="E399" s="205">
        <v>17.260000000000002</v>
      </c>
      <c r="F399" s="205">
        <v>17.260000000000002</v>
      </c>
      <c r="G399" s="205">
        <f t="shared" si="169"/>
        <v>0</v>
      </c>
      <c r="H399" s="192">
        <v>10.32</v>
      </c>
      <c r="I399" s="205">
        <f t="shared" si="167"/>
        <v>178.12320000000003</v>
      </c>
      <c r="J399" s="205">
        <f t="shared" ref="J399:J403" si="171">H399*F399</f>
        <v>178.12320000000003</v>
      </c>
      <c r="K399" s="205">
        <f t="shared" si="170"/>
        <v>0</v>
      </c>
    </row>
    <row r="400" spans="1:11" ht="28.5" customHeight="1">
      <c r="A400" s="11" t="s">
        <v>995</v>
      </c>
      <c r="B400" s="12" t="s">
        <v>660</v>
      </c>
      <c r="C400" s="10"/>
      <c r="D400" s="13" t="s">
        <v>1485</v>
      </c>
      <c r="E400" s="205">
        <v>517.83000000000004</v>
      </c>
      <c r="F400" s="205">
        <v>517.83000000000004</v>
      </c>
      <c r="G400" s="205">
        <f t="shared" si="169"/>
        <v>0</v>
      </c>
      <c r="H400" s="192">
        <v>2.14</v>
      </c>
      <c r="I400" s="205">
        <f t="shared" si="167"/>
        <v>1108.1562000000001</v>
      </c>
      <c r="J400" s="205">
        <f t="shared" si="171"/>
        <v>1108.1562000000001</v>
      </c>
      <c r="K400" s="205">
        <f t="shared" si="170"/>
        <v>0</v>
      </c>
    </row>
    <row r="401" spans="1:11" ht="29" customHeight="1">
      <c r="A401" s="11" t="s">
        <v>996</v>
      </c>
      <c r="B401" s="12" t="s">
        <v>668</v>
      </c>
      <c r="C401" s="10"/>
      <c r="D401" s="13" t="s">
        <v>1485</v>
      </c>
      <c r="E401" s="205">
        <v>1170.94</v>
      </c>
      <c r="F401" s="205">
        <v>1398.15</v>
      </c>
      <c r="G401" s="205">
        <f t="shared" si="169"/>
        <v>227.21000000000004</v>
      </c>
      <c r="H401" s="192">
        <v>0.87</v>
      </c>
      <c r="I401" s="205">
        <f t="shared" si="167"/>
        <v>1018.7178</v>
      </c>
      <c r="J401" s="205">
        <f t="shared" si="171"/>
        <v>1216.3905</v>
      </c>
      <c r="K401" s="205">
        <f t="shared" si="170"/>
        <v>197.67270000000002</v>
      </c>
    </row>
    <row r="402" spans="1:11" ht="28" customHeight="1">
      <c r="A402" s="11" t="s">
        <v>997</v>
      </c>
      <c r="B402" s="12" t="s">
        <v>661</v>
      </c>
      <c r="C402" s="10"/>
      <c r="D402" s="13" t="s">
        <v>87</v>
      </c>
      <c r="E402" s="205">
        <v>17.260000000000002</v>
      </c>
      <c r="F402" s="205">
        <v>17.260000000000002</v>
      </c>
      <c r="G402" s="205">
        <f t="shared" si="169"/>
        <v>0</v>
      </c>
      <c r="H402" s="192">
        <v>1248.29</v>
      </c>
      <c r="I402" s="205">
        <f t="shared" si="167"/>
        <v>21545.485400000001</v>
      </c>
      <c r="J402" s="205">
        <f t="shared" si="171"/>
        <v>21545.485400000001</v>
      </c>
      <c r="K402" s="205">
        <f t="shared" si="170"/>
        <v>0</v>
      </c>
    </row>
    <row r="403" spans="1:11" ht="17.5" customHeight="1">
      <c r="A403" s="11" t="s">
        <v>998</v>
      </c>
      <c r="B403" s="12" t="s">
        <v>662</v>
      </c>
      <c r="C403" s="10"/>
      <c r="D403" s="13" t="s">
        <v>124</v>
      </c>
      <c r="E403" s="205">
        <v>575.37</v>
      </c>
      <c r="F403" s="205">
        <v>575.37</v>
      </c>
      <c r="G403" s="205">
        <f t="shared" si="169"/>
        <v>0</v>
      </c>
      <c r="H403" s="192">
        <v>2.83</v>
      </c>
      <c r="I403" s="205">
        <f t="shared" si="167"/>
        <v>1628.2971</v>
      </c>
      <c r="J403" s="205">
        <f t="shared" si="171"/>
        <v>1628.2971</v>
      </c>
      <c r="K403" s="205">
        <f t="shared" si="170"/>
        <v>0</v>
      </c>
    </row>
    <row r="404" spans="1:11">
      <c r="A404" s="8" t="s">
        <v>999</v>
      </c>
      <c r="B404" s="9" t="s">
        <v>669</v>
      </c>
      <c r="C404" s="8"/>
      <c r="D404" s="8"/>
      <c r="E404" s="211"/>
      <c r="F404" s="211"/>
      <c r="G404" s="211"/>
      <c r="H404" s="191"/>
      <c r="I404" s="204">
        <f>SUM(I405:I410)</f>
        <v>26485.677200000002</v>
      </c>
      <c r="J404" s="204">
        <f>SUM(J405:J410)</f>
        <v>26683.349900000001</v>
      </c>
      <c r="K404" s="204">
        <f>SUM(K405:K410)</f>
        <v>197.67270000000002</v>
      </c>
    </row>
    <row r="405" spans="1:11">
      <c r="A405" s="11" t="s">
        <v>1000</v>
      </c>
      <c r="B405" s="12" t="s">
        <v>658</v>
      </c>
      <c r="C405" s="10"/>
      <c r="D405" s="14" t="s">
        <v>124</v>
      </c>
      <c r="E405" s="205">
        <v>575.37</v>
      </c>
      <c r="F405" s="205">
        <v>575.37</v>
      </c>
      <c r="G405" s="205">
        <f t="shared" ref="G405:G410" si="172">F405-E405</f>
        <v>0</v>
      </c>
      <c r="H405" s="192">
        <v>1.75</v>
      </c>
      <c r="I405" s="205">
        <f t="shared" si="167"/>
        <v>1006.8975</v>
      </c>
      <c r="J405" s="205">
        <f>H405*F405</f>
        <v>1006.8975</v>
      </c>
      <c r="K405" s="205">
        <f t="shared" ref="K405:K410" si="173">G405*H405</f>
        <v>0</v>
      </c>
    </row>
    <row r="406" spans="1:11" ht="26">
      <c r="A406" s="11" t="s">
        <v>1001</v>
      </c>
      <c r="B406" s="12" t="s">
        <v>659</v>
      </c>
      <c r="C406" s="10"/>
      <c r="D406" s="14" t="s">
        <v>87</v>
      </c>
      <c r="E406" s="205">
        <v>17.260000000000002</v>
      </c>
      <c r="F406" s="205">
        <v>17.260000000000002</v>
      </c>
      <c r="G406" s="205">
        <f t="shared" si="172"/>
        <v>0</v>
      </c>
      <c r="H406" s="192">
        <v>10.32</v>
      </c>
      <c r="I406" s="205">
        <f t="shared" si="167"/>
        <v>178.12320000000003</v>
      </c>
      <c r="J406" s="205">
        <f t="shared" ref="J406:J410" si="174">H406*F406</f>
        <v>178.12320000000003</v>
      </c>
      <c r="K406" s="205">
        <f t="shared" si="173"/>
        <v>0</v>
      </c>
    </row>
    <row r="407" spans="1:11" ht="28.5" customHeight="1">
      <c r="A407" s="11" t="s">
        <v>1002</v>
      </c>
      <c r="B407" s="12" t="s">
        <v>660</v>
      </c>
      <c r="C407" s="10"/>
      <c r="D407" s="14" t="s">
        <v>1485</v>
      </c>
      <c r="E407" s="205">
        <v>517.83000000000004</v>
      </c>
      <c r="F407" s="205">
        <v>517.83000000000004</v>
      </c>
      <c r="G407" s="205">
        <f t="shared" si="172"/>
        <v>0</v>
      </c>
      <c r="H407" s="192">
        <v>2.14</v>
      </c>
      <c r="I407" s="205">
        <f t="shared" si="167"/>
        <v>1108.1562000000001</v>
      </c>
      <c r="J407" s="205">
        <f t="shared" si="174"/>
        <v>1108.1562000000001</v>
      </c>
      <c r="K407" s="205">
        <f t="shared" si="173"/>
        <v>0</v>
      </c>
    </row>
    <row r="408" spans="1:11" ht="32.5" customHeight="1">
      <c r="A408" s="11" t="s">
        <v>1003</v>
      </c>
      <c r="B408" s="18" t="s">
        <v>668</v>
      </c>
      <c r="C408" s="10"/>
      <c r="D408" s="189" t="s">
        <v>1485</v>
      </c>
      <c r="E408" s="205">
        <v>1170.94</v>
      </c>
      <c r="F408" s="205">
        <v>1398.15</v>
      </c>
      <c r="G408" s="205">
        <f t="shared" si="172"/>
        <v>227.21000000000004</v>
      </c>
      <c r="H408" s="193">
        <v>0.87</v>
      </c>
      <c r="I408" s="205">
        <f t="shared" si="167"/>
        <v>1018.7178</v>
      </c>
      <c r="J408" s="205">
        <f t="shared" si="174"/>
        <v>1216.3905</v>
      </c>
      <c r="K408" s="205">
        <f t="shared" si="173"/>
        <v>197.67270000000002</v>
      </c>
    </row>
    <row r="409" spans="1:11" ht="26.5">
      <c r="A409" s="11" t="s">
        <v>1004</v>
      </c>
      <c r="B409" s="18" t="s">
        <v>670</v>
      </c>
      <c r="C409" s="10"/>
      <c r="D409" s="14" t="s">
        <v>87</v>
      </c>
      <c r="E409" s="205">
        <v>17.260000000000002</v>
      </c>
      <c r="F409" s="205">
        <v>17.260000000000002</v>
      </c>
      <c r="G409" s="205">
        <f t="shared" si="172"/>
        <v>0</v>
      </c>
      <c r="H409" s="192">
        <v>1248.29</v>
      </c>
      <c r="I409" s="205">
        <f t="shared" si="167"/>
        <v>21545.485400000001</v>
      </c>
      <c r="J409" s="205">
        <f t="shared" si="174"/>
        <v>21545.485400000001</v>
      </c>
      <c r="K409" s="205">
        <f t="shared" si="173"/>
        <v>0</v>
      </c>
    </row>
    <row r="410" spans="1:11" ht="16.5" customHeight="1">
      <c r="A410" s="11" t="s">
        <v>1005</v>
      </c>
      <c r="B410" s="16" t="s">
        <v>671</v>
      </c>
      <c r="C410" s="10" t="s">
        <v>87</v>
      </c>
      <c r="D410" s="14" t="s">
        <v>124</v>
      </c>
      <c r="E410" s="205">
        <v>575.37</v>
      </c>
      <c r="F410" s="205">
        <v>575.37</v>
      </c>
      <c r="G410" s="205">
        <f t="shared" si="172"/>
        <v>0</v>
      </c>
      <c r="H410" s="192">
        <v>2.83</v>
      </c>
      <c r="I410" s="205">
        <f t="shared" si="167"/>
        <v>1628.2971</v>
      </c>
      <c r="J410" s="205">
        <f t="shared" si="174"/>
        <v>1628.2971</v>
      </c>
      <c r="K410" s="205">
        <f t="shared" si="173"/>
        <v>0</v>
      </c>
    </row>
    <row r="411" spans="1:11">
      <c r="A411" s="8" t="s">
        <v>1006</v>
      </c>
      <c r="B411" s="9" t="s">
        <v>107</v>
      </c>
      <c r="C411" s="8"/>
      <c r="D411" s="8"/>
      <c r="E411" s="211"/>
      <c r="F411" s="211"/>
      <c r="G411" s="211"/>
      <c r="H411" s="191"/>
      <c r="I411" s="204">
        <f>SUM(I412:I414)</f>
        <v>0</v>
      </c>
      <c r="J411" s="204">
        <f>SUM(J412:J414)</f>
        <v>0</v>
      </c>
      <c r="K411" s="204">
        <f>SUM(K412:K414)</f>
        <v>0</v>
      </c>
    </row>
    <row r="412" spans="1:11" ht="39">
      <c r="A412" s="11" t="s">
        <v>1007</v>
      </c>
      <c r="B412" s="12" t="s">
        <v>673</v>
      </c>
      <c r="C412" s="10" t="s">
        <v>33</v>
      </c>
      <c r="D412" s="13" t="s">
        <v>1486</v>
      </c>
      <c r="E412" s="205">
        <v>0</v>
      </c>
      <c r="F412" s="205">
        <v>0</v>
      </c>
      <c r="G412" s="205">
        <f>F412-E412</f>
        <v>0</v>
      </c>
      <c r="H412" s="192">
        <v>625.09</v>
      </c>
      <c r="I412" s="205">
        <f t="shared" si="167"/>
        <v>0</v>
      </c>
      <c r="J412" s="205">
        <f>H412*F412</f>
        <v>0</v>
      </c>
      <c r="K412" s="205">
        <f t="shared" ref="K412:K414" si="175">G412*H412</f>
        <v>0</v>
      </c>
    </row>
    <row r="413" spans="1:11" ht="17" customHeight="1">
      <c r="A413" s="11" t="s">
        <v>1008</v>
      </c>
      <c r="B413" s="190" t="s">
        <v>679</v>
      </c>
      <c r="C413" s="10" t="s">
        <v>33</v>
      </c>
      <c r="D413" s="13" t="s">
        <v>124</v>
      </c>
      <c r="E413" s="205">
        <v>0</v>
      </c>
      <c r="F413" s="205">
        <v>0</v>
      </c>
      <c r="G413" s="205">
        <f>F413-E413</f>
        <v>0</v>
      </c>
      <c r="H413" s="192">
        <v>16.260000000000002</v>
      </c>
      <c r="I413" s="205">
        <f t="shared" si="167"/>
        <v>0</v>
      </c>
      <c r="J413" s="205">
        <f t="shared" ref="J413:J414" si="176">H413*F413</f>
        <v>0</v>
      </c>
      <c r="K413" s="205">
        <f t="shared" si="175"/>
        <v>0</v>
      </c>
    </row>
    <row r="414" spans="1:11" ht="16.5" customHeight="1">
      <c r="A414" s="11" t="s">
        <v>1009</v>
      </c>
      <c r="B414" s="12" t="s">
        <v>674</v>
      </c>
      <c r="C414" s="10" t="s">
        <v>33</v>
      </c>
      <c r="D414" s="13" t="s">
        <v>124</v>
      </c>
      <c r="E414" s="205">
        <v>0</v>
      </c>
      <c r="F414" s="205">
        <v>0</v>
      </c>
      <c r="G414" s="205">
        <f>F414-E414</f>
        <v>0</v>
      </c>
      <c r="H414" s="192">
        <v>4.5599999999999996</v>
      </c>
      <c r="I414" s="205">
        <f t="shared" si="167"/>
        <v>0</v>
      </c>
      <c r="J414" s="205">
        <f t="shared" si="176"/>
        <v>0</v>
      </c>
      <c r="K414" s="205">
        <f t="shared" si="175"/>
        <v>0</v>
      </c>
    </row>
    <row r="415" spans="1:11">
      <c r="A415" s="8" t="s">
        <v>1010</v>
      </c>
      <c r="B415" s="9" t="s">
        <v>677</v>
      </c>
      <c r="C415" s="8"/>
      <c r="D415" s="8"/>
      <c r="E415" s="211"/>
      <c r="F415" s="211"/>
      <c r="G415" s="211"/>
      <c r="H415" s="191"/>
      <c r="I415" s="204">
        <f>SUM(I416:I417)</f>
        <v>1006.8975</v>
      </c>
      <c r="J415" s="204">
        <f>SUM(J416:J417)</f>
        <v>1006.8975</v>
      </c>
      <c r="K415" s="204">
        <f>SUM(K416:K417)</f>
        <v>0</v>
      </c>
    </row>
    <row r="416" spans="1:11">
      <c r="A416" s="11" t="s">
        <v>1011</v>
      </c>
      <c r="B416" s="12" t="s">
        <v>658</v>
      </c>
      <c r="C416" s="10" t="s">
        <v>11</v>
      </c>
      <c r="D416" s="13" t="s">
        <v>124</v>
      </c>
      <c r="E416" s="205">
        <v>575.37</v>
      </c>
      <c r="F416" s="205">
        <v>575.37</v>
      </c>
      <c r="G416" s="205">
        <f>F416-E416</f>
        <v>0</v>
      </c>
      <c r="H416" s="192">
        <v>1.75</v>
      </c>
      <c r="I416" s="205">
        <f t="shared" si="167"/>
        <v>1006.8975</v>
      </c>
      <c r="J416" s="205">
        <f>H416*F416</f>
        <v>1006.8975</v>
      </c>
      <c r="K416" s="205">
        <f t="shared" ref="K416:K417" si="177">G416*H416</f>
        <v>0</v>
      </c>
    </row>
    <row r="417" spans="1:11">
      <c r="A417" s="11" t="s">
        <v>1012</v>
      </c>
      <c r="B417" s="12" t="s">
        <v>678</v>
      </c>
      <c r="C417" s="10" t="s">
        <v>11</v>
      </c>
      <c r="D417" s="13" t="s">
        <v>1486</v>
      </c>
      <c r="E417" s="205">
        <v>0</v>
      </c>
      <c r="F417" s="205">
        <v>0</v>
      </c>
      <c r="G417" s="205">
        <f>F417-E417</f>
        <v>0</v>
      </c>
      <c r="H417" s="192">
        <v>92.34</v>
      </c>
      <c r="I417" s="205">
        <f t="shared" si="167"/>
        <v>0</v>
      </c>
      <c r="J417" s="205">
        <f>H417*F417</f>
        <v>0</v>
      </c>
      <c r="K417" s="205">
        <f t="shared" si="177"/>
        <v>0</v>
      </c>
    </row>
    <row r="418" spans="1:11">
      <c r="A418" s="183">
        <v>16</v>
      </c>
      <c r="B418" s="188" t="s">
        <v>1468</v>
      </c>
      <c r="C418" s="183"/>
      <c r="D418" s="183"/>
      <c r="E418" s="210"/>
      <c r="F418" s="210"/>
      <c r="G418" s="210"/>
      <c r="H418" s="194"/>
      <c r="I418" s="203">
        <f>SUM(I419,I422,I424,I431,I438,I442)</f>
        <v>104811.9666</v>
      </c>
      <c r="J418" s="203">
        <f>SUM(J419,J422,J424,J431,J438,J442)</f>
        <v>116858.42949999998</v>
      </c>
      <c r="K418" s="203">
        <f>SUM(K419,K422,K424,K431,K438,K442)</f>
        <v>12046.462899999999</v>
      </c>
    </row>
    <row r="419" spans="1:11">
      <c r="A419" s="8" t="s">
        <v>1013</v>
      </c>
      <c r="B419" s="9" t="s">
        <v>8</v>
      </c>
      <c r="C419" s="8"/>
      <c r="D419" s="8"/>
      <c r="E419" s="211"/>
      <c r="F419" s="211"/>
      <c r="G419" s="211"/>
      <c r="H419" s="191"/>
      <c r="I419" s="204">
        <f>SUM(I420:I421)</f>
        <v>8506.5966000000008</v>
      </c>
      <c r="J419" s="204">
        <f>SUM(J420:J421)</f>
        <v>19377.1675</v>
      </c>
      <c r="K419" s="204">
        <f>SUM(K420:K421)</f>
        <v>10870.570899999999</v>
      </c>
    </row>
    <row r="420" spans="1:11" ht="26">
      <c r="A420" s="11" t="s">
        <v>1014</v>
      </c>
      <c r="B420" s="12" t="s">
        <v>652</v>
      </c>
      <c r="C420" s="10" t="s">
        <v>13</v>
      </c>
      <c r="D420" s="13" t="s">
        <v>124</v>
      </c>
      <c r="E420" s="205">
        <v>1027.3800000000001</v>
      </c>
      <c r="F420" s="205">
        <v>1027.3800000000001</v>
      </c>
      <c r="G420" s="205">
        <f>F420-E420</f>
        <v>0</v>
      </c>
      <c r="H420" s="192">
        <v>0.36</v>
      </c>
      <c r="I420" s="205">
        <f>H420*E420</f>
        <v>369.85680000000002</v>
      </c>
      <c r="J420" s="205">
        <f>H420*F420</f>
        <v>369.85680000000002</v>
      </c>
      <c r="K420" s="205">
        <f t="shared" ref="K420:K421" si="178">G420*H420</f>
        <v>0</v>
      </c>
    </row>
    <row r="421" spans="1:11" ht="52">
      <c r="A421" s="11" t="s">
        <v>1015</v>
      </c>
      <c r="B421" s="12" t="s">
        <v>649</v>
      </c>
      <c r="C421" s="10" t="s">
        <v>11</v>
      </c>
      <c r="D421" s="13" t="s">
        <v>124</v>
      </c>
      <c r="E421" s="205">
        <v>131.94</v>
      </c>
      <c r="F421" s="205">
        <v>308.20999999999998</v>
      </c>
      <c r="G421" s="205">
        <f>F421-E421</f>
        <v>176.26999999999998</v>
      </c>
      <c r="H421" s="192">
        <v>61.67</v>
      </c>
      <c r="I421" s="205">
        <f>H421*E421</f>
        <v>8136.7398000000003</v>
      </c>
      <c r="J421" s="205">
        <f>H421*F421</f>
        <v>19007.310699999998</v>
      </c>
      <c r="K421" s="205">
        <f t="shared" si="178"/>
        <v>10870.570899999999</v>
      </c>
    </row>
    <row r="422" spans="1:11">
      <c r="A422" s="8" t="s">
        <v>1016</v>
      </c>
      <c r="B422" s="9" t="s">
        <v>654</v>
      </c>
      <c r="C422" s="8"/>
      <c r="D422" s="8"/>
      <c r="E422" s="211"/>
      <c r="F422" s="211"/>
      <c r="G422" s="211"/>
      <c r="H422" s="191"/>
      <c r="I422" s="204">
        <f>SUM(I423:I423)</f>
        <v>390.40440000000007</v>
      </c>
      <c r="J422" s="204">
        <f>SUM(J423:J423)</f>
        <v>390.40440000000007</v>
      </c>
      <c r="K422" s="204">
        <f>SUM(K423:K423)</f>
        <v>0</v>
      </c>
    </row>
    <row r="423" spans="1:11" ht="26">
      <c r="A423" s="11" t="s">
        <v>1017</v>
      </c>
      <c r="B423" s="12" t="s">
        <v>655</v>
      </c>
      <c r="C423" s="10"/>
      <c r="D423" s="13" t="s">
        <v>124</v>
      </c>
      <c r="E423" s="205">
        <v>1027.3800000000001</v>
      </c>
      <c r="F423" s="205">
        <v>1027.3800000000001</v>
      </c>
      <c r="G423" s="205">
        <f>F423-E423</f>
        <v>0</v>
      </c>
      <c r="H423" s="192">
        <v>0.38</v>
      </c>
      <c r="I423" s="205">
        <f t="shared" ref="I423:I444" si="179">H423*E423</f>
        <v>390.40440000000007</v>
      </c>
      <c r="J423" s="205">
        <f>H423*F423</f>
        <v>390.40440000000007</v>
      </c>
      <c r="K423" s="205">
        <f t="shared" ref="K423" si="180">G423*H423</f>
        <v>0</v>
      </c>
    </row>
    <row r="424" spans="1:11">
      <c r="A424" s="8" t="s">
        <v>1018</v>
      </c>
      <c r="B424" s="9" t="s">
        <v>657</v>
      </c>
      <c r="C424" s="8"/>
      <c r="D424" s="8"/>
      <c r="E424" s="211"/>
      <c r="F424" s="211"/>
      <c r="G424" s="211"/>
      <c r="H424" s="191"/>
      <c r="I424" s="204">
        <f>SUM(I425:I430)</f>
        <v>47058.525300000001</v>
      </c>
      <c r="J424" s="204">
        <f>SUM(J425:J430)</f>
        <v>47646.471299999997</v>
      </c>
      <c r="K424" s="204">
        <f>SUM(K425:K430)</f>
        <v>587.94600000000014</v>
      </c>
    </row>
    <row r="425" spans="1:11">
      <c r="A425" s="11" t="s">
        <v>1019</v>
      </c>
      <c r="B425" s="12" t="s">
        <v>658</v>
      </c>
      <c r="C425" s="10"/>
      <c r="D425" s="13" t="s">
        <v>124</v>
      </c>
      <c r="E425" s="205">
        <v>1027.3800000000001</v>
      </c>
      <c r="F425" s="205">
        <v>1027.3800000000001</v>
      </c>
      <c r="G425" s="205">
        <f t="shared" ref="G425:G430" si="181">F425-E425</f>
        <v>0</v>
      </c>
      <c r="H425" s="192">
        <v>1.75</v>
      </c>
      <c r="I425" s="205">
        <f t="shared" si="179"/>
        <v>1797.9150000000002</v>
      </c>
      <c r="J425" s="205">
        <f>H425*F425</f>
        <v>1797.9150000000002</v>
      </c>
      <c r="K425" s="205">
        <f t="shared" ref="K425:K430" si="182">G425*H425</f>
        <v>0</v>
      </c>
    </row>
    <row r="426" spans="1:11" ht="26">
      <c r="A426" s="11" t="s">
        <v>1020</v>
      </c>
      <c r="B426" s="12" t="s">
        <v>659</v>
      </c>
      <c r="C426" s="10"/>
      <c r="D426" s="13" t="s">
        <v>87</v>
      </c>
      <c r="E426" s="205">
        <v>30.82</v>
      </c>
      <c r="F426" s="205">
        <v>30.82</v>
      </c>
      <c r="G426" s="205">
        <f t="shared" si="181"/>
        <v>0</v>
      </c>
      <c r="H426" s="192">
        <v>10.32</v>
      </c>
      <c r="I426" s="205">
        <f t="shared" si="179"/>
        <v>318.06240000000003</v>
      </c>
      <c r="J426" s="205">
        <f t="shared" ref="J426:J430" si="183">H426*F426</f>
        <v>318.06240000000003</v>
      </c>
      <c r="K426" s="205">
        <f t="shared" si="182"/>
        <v>0</v>
      </c>
    </row>
    <row r="427" spans="1:11" ht="28.5" customHeight="1">
      <c r="A427" s="11" t="s">
        <v>1021</v>
      </c>
      <c r="B427" s="12" t="s">
        <v>660</v>
      </c>
      <c r="C427" s="10"/>
      <c r="D427" s="13" t="s">
        <v>1485</v>
      </c>
      <c r="E427" s="205">
        <v>924.64</v>
      </c>
      <c r="F427" s="205">
        <v>924.64</v>
      </c>
      <c r="G427" s="205">
        <f t="shared" si="181"/>
        <v>0</v>
      </c>
      <c r="H427" s="192">
        <v>2.14</v>
      </c>
      <c r="I427" s="205">
        <f t="shared" si="179"/>
        <v>1978.7296000000001</v>
      </c>
      <c r="J427" s="205">
        <f t="shared" si="183"/>
        <v>1978.7296000000001</v>
      </c>
      <c r="K427" s="205">
        <f t="shared" si="182"/>
        <v>0</v>
      </c>
    </row>
    <row r="428" spans="1:11" ht="29" customHeight="1">
      <c r="A428" s="11" t="s">
        <v>1022</v>
      </c>
      <c r="B428" s="12" t="s">
        <v>668</v>
      </c>
      <c r="C428" s="10"/>
      <c r="D428" s="13" t="s">
        <v>1485</v>
      </c>
      <c r="E428" s="205">
        <v>1820.73</v>
      </c>
      <c r="F428" s="205">
        <v>2496.5300000000002</v>
      </c>
      <c r="G428" s="205">
        <f t="shared" si="181"/>
        <v>675.80000000000018</v>
      </c>
      <c r="H428" s="192">
        <v>0.87</v>
      </c>
      <c r="I428" s="205">
        <f t="shared" si="179"/>
        <v>1584.0351000000001</v>
      </c>
      <c r="J428" s="205">
        <f t="shared" si="183"/>
        <v>2171.9811</v>
      </c>
      <c r="K428" s="205">
        <f t="shared" si="182"/>
        <v>587.94600000000014</v>
      </c>
    </row>
    <row r="429" spans="1:11" ht="28" customHeight="1">
      <c r="A429" s="11" t="s">
        <v>1023</v>
      </c>
      <c r="B429" s="12" t="s">
        <v>661</v>
      </c>
      <c r="C429" s="10"/>
      <c r="D429" s="13" t="s">
        <v>87</v>
      </c>
      <c r="E429" s="205">
        <v>30.82</v>
      </c>
      <c r="F429" s="205">
        <v>30.82</v>
      </c>
      <c r="G429" s="205">
        <f t="shared" si="181"/>
        <v>0</v>
      </c>
      <c r="H429" s="192">
        <v>1248.29</v>
      </c>
      <c r="I429" s="205">
        <f t="shared" si="179"/>
        <v>38472.2978</v>
      </c>
      <c r="J429" s="205">
        <f t="shared" si="183"/>
        <v>38472.2978</v>
      </c>
      <c r="K429" s="205">
        <f t="shared" si="182"/>
        <v>0</v>
      </c>
    </row>
    <row r="430" spans="1:11" ht="17.5" customHeight="1">
      <c r="A430" s="11" t="s">
        <v>1024</v>
      </c>
      <c r="B430" s="12" t="s">
        <v>662</v>
      </c>
      <c r="C430" s="10"/>
      <c r="D430" s="13" t="s">
        <v>124</v>
      </c>
      <c r="E430" s="205">
        <v>1027.3800000000001</v>
      </c>
      <c r="F430" s="205">
        <v>1027.3800000000001</v>
      </c>
      <c r="G430" s="205">
        <f t="shared" si="181"/>
        <v>0</v>
      </c>
      <c r="H430" s="192">
        <v>2.83</v>
      </c>
      <c r="I430" s="205">
        <f t="shared" si="179"/>
        <v>2907.4854000000005</v>
      </c>
      <c r="J430" s="205">
        <f t="shared" si="183"/>
        <v>2907.4854000000005</v>
      </c>
      <c r="K430" s="205">
        <f t="shared" si="182"/>
        <v>0</v>
      </c>
    </row>
    <row r="431" spans="1:11">
      <c r="A431" s="8" t="s">
        <v>1025</v>
      </c>
      <c r="B431" s="9" t="s">
        <v>669</v>
      </c>
      <c r="C431" s="8"/>
      <c r="D431" s="8"/>
      <c r="E431" s="211"/>
      <c r="F431" s="211"/>
      <c r="G431" s="211"/>
      <c r="H431" s="191"/>
      <c r="I431" s="204">
        <f>SUM(I432:I437)</f>
        <v>47058.525300000001</v>
      </c>
      <c r="J431" s="204">
        <f>SUM(J432:J437)</f>
        <v>47646.471299999997</v>
      </c>
      <c r="K431" s="204">
        <f>SUM(K432:K437)</f>
        <v>587.94600000000014</v>
      </c>
    </row>
    <row r="432" spans="1:11">
      <c r="A432" s="11" t="s">
        <v>1026</v>
      </c>
      <c r="B432" s="12" t="s">
        <v>658</v>
      </c>
      <c r="C432" s="10"/>
      <c r="D432" s="14" t="s">
        <v>124</v>
      </c>
      <c r="E432" s="205">
        <v>1027.3800000000001</v>
      </c>
      <c r="F432" s="205">
        <v>1027.3800000000001</v>
      </c>
      <c r="G432" s="205">
        <f t="shared" ref="G432:G437" si="184">F432-E432</f>
        <v>0</v>
      </c>
      <c r="H432" s="192">
        <v>1.75</v>
      </c>
      <c r="I432" s="205">
        <f t="shared" si="179"/>
        <v>1797.9150000000002</v>
      </c>
      <c r="J432" s="205">
        <f>H432*F432</f>
        <v>1797.9150000000002</v>
      </c>
      <c r="K432" s="205">
        <f t="shared" ref="K432:K437" si="185">G432*H432</f>
        <v>0</v>
      </c>
    </row>
    <row r="433" spans="1:11" ht="26">
      <c r="A433" s="11" t="s">
        <v>1027</v>
      </c>
      <c r="B433" s="12" t="s">
        <v>659</v>
      </c>
      <c r="C433" s="10"/>
      <c r="D433" s="14" t="s">
        <v>87</v>
      </c>
      <c r="E433" s="205">
        <v>30.82</v>
      </c>
      <c r="F433" s="205">
        <v>30.82</v>
      </c>
      <c r="G433" s="205">
        <f t="shared" si="184"/>
        <v>0</v>
      </c>
      <c r="H433" s="192">
        <v>10.32</v>
      </c>
      <c r="I433" s="205">
        <f t="shared" si="179"/>
        <v>318.06240000000003</v>
      </c>
      <c r="J433" s="205">
        <f t="shared" ref="J433:J437" si="186">H433*F433</f>
        <v>318.06240000000003</v>
      </c>
      <c r="K433" s="205">
        <f t="shared" si="185"/>
        <v>0</v>
      </c>
    </row>
    <row r="434" spans="1:11" ht="28.5" customHeight="1">
      <c r="A434" s="11" t="s">
        <v>1028</v>
      </c>
      <c r="B434" s="12" t="s">
        <v>660</v>
      </c>
      <c r="C434" s="10"/>
      <c r="D434" s="14" t="s">
        <v>1485</v>
      </c>
      <c r="E434" s="205">
        <v>924.64</v>
      </c>
      <c r="F434" s="205">
        <v>924.64</v>
      </c>
      <c r="G434" s="205">
        <f t="shared" si="184"/>
        <v>0</v>
      </c>
      <c r="H434" s="192">
        <v>2.14</v>
      </c>
      <c r="I434" s="205">
        <f t="shared" si="179"/>
        <v>1978.7296000000001</v>
      </c>
      <c r="J434" s="205">
        <f t="shared" si="186"/>
        <v>1978.7296000000001</v>
      </c>
      <c r="K434" s="205">
        <f t="shared" si="185"/>
        <v>0</v>
      </c>
    </row>
    <row r="435" spans="1:11" ht="32.5" customHeight="1">
      <c r="A435" s="11" t="s">
        <v>1029</v>
      </c>
      <c r="B435" s="18" t="s">
        <v>668</v>
      </c>
      <c r="C435" s="10"/>
      <c r="D435" s="189" t="s">
        <v>1485</v>
      </c>
      <c r="E435" s="205">
        <v>1820.73</v>
      </c>
      <c r="F435" s="205">
        <v>2496.5300000000002</v>
      </c>
      <c r="G435" s="205">
        <f t="shared" si="184"/>
        <v>675.80000000000018</v>
      </c>
      <c r="H435" s="193">
        <v>0.87</v>
      </c>
      <c r="I435" s="205">
        <f t="shared" si="179"/>
        <v>1584.0351000000001</v>
      </c>
      <c r="J435" s="205">
        <f t="shared" si="186"/>
        <v>2171.9811</v>
      </c>
      <c r="K435" s="205">
        <f t="shared" si="185"/>
        <v>587.94600000000014</v>
      </c>
    </row>
    <row r="436" spans="1:11" ht="26.5">
      <c r="A436" s="11" t="s">
        <v>1030</v>
      </c>
      <c r="B436" s="18" t="s">
        <v>670</v>
      </c>
      <c r="C436" s="10"/>
      <c r="D436" s="14" t="s">
        <v>87</v>
      </c>
      <c r="E436" s="205">
        <v>30.82</v>
      </c>
      <c r="F436" s="205">
        <v>30.82</v>
      </c>
      <c r="G436" s="205">
        <f t="shared" si="184"/>
        <v>0</v>
      </c>
      <c r="H436" s="192">
        <v>1248.29</v>
      </c>
      <c r="I436" s="205">
        <f t="shared" si="179"/>
        <v>38472.2978</v>
      </c>
      <c r="J436" s="205">
        <f t="shared" si="186"/>
        <v>38472.2978</v>
      </c>
      <c r="K436" s="205">
        <f t="shared" si="185"/>
        <v>0</v>
      </c>
    </row>
    <row r="437" spans="1:11" ht="16.5" customHeight="1">
      <c r="A437" s="11" t="s">
        <v>1031</v>
      </c>
      <c r="B437" s="16" t="s">
        <v>671</v>
      </c>
      <c r="C437" s="10" t="s">
        <v>87</v>
      </c>
      <c r="D437" s="14" t="s">
        <v>124</v>
      </c>
      <c r="E437" s="205">
        <v>1027.3800000000001</v>
      </c>
      <c r="F437" s="205">
        <v>1027.3800000000001</v>
      </c>
      <c r="G437" s="205">
        <f t="shared" si="184"/>
        <v>0</v>
      </c>
      <c r="H437" s="192">
        <v>2.83</v>
      </c>
      <c r="I437" s="205">
        <f t="shared" si="179"/>
        <v>2907.4854000000005</v>
      </c>
      <c r="J437" s="205">
        <f t="shared" si="186"/>
        <v>2907.4854000000005</v>
      </c>
      <c r="K437" s="205">
        <f t="shared" si="185"/>
        <v>0</v>
      </c>
    </row>
    <row r="438" spans="1:11">
      <c r="A438" s="8" t="s">
        <v>1032</v>
      </c>
      <c r="B438" s="9" t="s">
        <v>107</v>
      </c>
      <c r="C438" s="8"/>
      <c r="D438" s="8"/>
      <c r="E438" s="211"/>
      <c r="F438" s="211"/>
      <c r="G438" s="211"/>
      <c r="H438" s="191"/>
      <c r="I438" s="204">
        <f>SUM(I439:I441)</f>
        <v>0</v>
      </c>
      <c r="J438" s="204">
        <f>SUM(J439:J441)</f>
        <v>0</v>
      </c>
      <c r="K438" s="204">
        <f>SUM(K439:K441)</f>
        <v>0</v>
      </c>
    </row>
    <row r="439" spans="1:11" ht="39">
      <c r="A439" s="11" t="s">
        <v>1033</v>
      </c>
      <c r="B439" s="12" t="s">
        <v>673</v>
      </c>
      <c r="C439" s="10" t="s">
        <v>33</v>
      </c>
      <c r="D439" s="13" t="s">
        <v>1486</v>
      </c>
      <c r="E439" s="205">
        <v>0</v>
      </c>
      <c r="F439" s="205">
        <v>0</v>
      </c>
      <c r="G439" s="205">
        <f>F439-E439</f>
        <v>0</v>
      </c>
      <c r="H439" s="192">
        <v>625.09</v>
      </c>
      <c r="I439" s="205">
        <f t="shared" si="179"/>
        <v>0</v>
      </c>
      <c r="J439" s="205">
        <f>H439*F439</f>
        <v>0</v>
      </c>
      <c r="K439" s="205">
        <f t="shared" ref="K439:K441" si="187">G439*H439</f>
        <v>0</v>
      </c>
    </row>
    <row r="440" spans="1:11" ht="17" customHeight="1">
      <c r="A440" s="11" t="s">
        <v>1034</v>
      </c>
      <c r="B440" s="190" t="s">
        <v>679</v>
      </c>
      <c r="C440" s="10" t="s">
        <v>33</v>
      </c>
      <c r="D440" s="13" t="s">
        <v>124</v>
      </c>
      <c r="E440" s="205">
        <v>0</v>
      </c>
      <c r="F440" s="205">
        <v>0</v>
      </c>
      <c r="G440" s="205">
        <f>F440-E440</f>
        <v>0</v>
      </c>
      <c r="H440" s="192">
        <v>16.260000000000002</v>
      </c>
      <c r="I440" s="205">
        <f t="shared" si="179"/>
        <v>0</v>
      </c>
      <c r="J440" s="205">
        <f t="shared" ref="J440:J441" si="188">H440*F440</f>
        <v>0</v>
      </c>
      <c r="K440" s="205">
        <f t="shared" si="187"/>
        <v>0</v>
      </c>
    </row>
    <row r="441" spans="1:11" ht="16.5" customHeight="1">
      <c r="A441" s="11" t="s">
        <v>1035</v>
      </c>
      <c r="B441" s="12" t="s">
        <v>674</v>
      </c>
      <c r="C441" s="10" t="s">
        <v>33</v>
      </c>
      <c r="D441" s="13" t="s">
        <v>124</v>
      </c>
      <c r="E441" s="205">
        <v>0</v>
      </c>
      <c r="F441" s="205">
        <v>0</v>
      </c>
      <c r="G441" s="205">
        <f>F441-E441</f>
        <v>0</v>
      </c>
      <c r="H441" s="192">
        <v>4.5599999999999996</v>
      </c>
      <c r="I441" s="205">
        <f t="shared" si="179"/>
        <v>0</v>
      </c>
      <c r="J441" s="205">
        <f t="shared" si="188"/>
        <v>0</v>
      </c>
      <c r="K441" s="205">
        <f t="shared" si="187"/>
        <v>0</v>
      </c>
    </row>
    <row r="442" spans="1:11">
      <c r="A442" s="8" t="s">
        <v>1036</v>
      </c>
      <c r="B442" s="9" t="s">
        <v>677</v>
      </c>
      <c r="C442" s="8"/>
      <c r="D442" s="8"/>
      <c r="E442" s="211"/>
      <c r="F442" s="211"/>
      <c r="G442" s="211"/>
      <c r="H442" s="191"/>
      <c r="I442" s="204">
        <f>SUM(I443:I444)</f>
        <v>1797.9150000000002</v>
      </c>
      <c r="J442" s="204">
        <f>SUM(J443:J444)</f>
        <v>1797.9150000000002</v>
      </c>
      <c r="K442" s="204">
        <f>SUM(K443:K444)</f>
        <v>0</v>
      </c>
    </row>
    <row r="443" spans="1:11">
      <c r="A443" s="11" t="s">
        <v>1037</v>
      </c>
      <c r="B443" s="12" t="s">
        <v>658</v>
      </c>
      <c r="C443" s="10" t="s">
        <v>11</v>
      </c>
      <c r="D443" s="13" t="s">
        <v>124</v>
      </c>
      <c r="E443" s="205">
        <v>1027.3800000000001</v>
      </c>
      <c r="F443" s="205">
        <v>1027.3800000000001</v>
      </c>
      <c r="G443" s="205">
        <f>F443-E443</f>
        <v>0</v>
      </c>
      <c r="H443" s="192">
        <v>1.75</v>
      </c>
      <c r="I443" s="205">
        <f t="shared" si="179"/>
        <v>1797.9150000000002</v>
      </c>
      <c r="J443" s="205">
        <f>H443*F443</f>
        <v>1797.9150000000002</v>
      </c>
      <c r="K443" s="205">
        <f t="shared" ref="K443:K444" si="189">G443*H443</f>
        <v>0</v>
      </c>
    </row>
    <row r="444" spans="1:11">
      <c r="A444" s="11" t="s">
        <v>1038</v>
      </c>
      <c r="B444" s="12" t="s">
        <v>678</v>
      </c>
      <c r="C444" s="10" t="s">
        <v>11</v>
      </c>
      <c r="D444" s="13" t="s">
        <v>1486</v>
      </c>
      <c r="E444" s="205">
        <v>0</v>
      </c>
      <c r="F444" s="205">
        <v>0</v>
      </c>
      <c r="G444" s="205">
        <f>F444-E444</f>
        <v>0</v>
      </c>
      <c r="H444" s="192">
        <v>92.34</v>
      </c>
      <c r="I444" s="205">
        <f t="shared" si="179"/>
        <v>0</v>
      </c>
      <c r="J444" s="205">
        <f>H444*F444</f>
        <v>0</v>
      </c>
      <c r="K444" s="205">
        <f t="shared" si="189"/>
        <v>0</v>
      </c>
    </row>
    <row r="445" spans="1:11">
      <c r="A445" s="183">
        <v>17</v>
      </c>
      <c r="B445" s="188" t="s">
        <v>1469</v>
      </c>
      <c r="C445" s="183"/>
      <c r="D445" s="183"/>
      <c r="E445" s="210"/>
      <c r="F445" s="210"/>
      <c r="G445" s="210"/>
      <c r="H445" s="194"/>
      <c r="I445" s="203">
        <f>SUM(I446,I449,I451,I458,I465,I469)</f>
        <v>0</v>
      </c>
      <c r="J445" s="203">
        <f>SUM(J446,J449,J451,J458,J465,J469)</f>
        <v>81082.913299999986</v>
      </c>
      <c r="K445" s="203">
        <f>SUM(K446,K449,K451,K458,K465,K469)</f>
        <v>81082.913299999986</v>
      </c>
    </row>
    <row r="446" spans="1:11">
      <c r="A446" s="8" t="s">
        <v>1039</v>
      </c>
      <c r="B446" s="9" t="s">
        <v>8</v>
      </c>
      <c r="C446" s="8"/>
      <c r="D446" s="8"/>
      <c r="E446" s="211"/>
      <c r="F446" s="211"/>
      <c r="G446" s="211"/>
      <c r="H446" s="191"/>
      <c r="I446" s="204">
        <f>SUM(I447:I448)</f>
        <v>0</v>
      </c>
      <c r="J446" s="204">
        <f>SUM(J447:J448)</f>
        <v>13112.979499999999</v>
      </c>
      <c r="K446" s="204">
        <f>SUM(K447:K448)</f>
        <v>13112.979499999999</v>
      </c>
    </row>
    <row r="447" spans="1:11" ht="26">
      <c r="A447" s="11" t="s">
        <v>1040</v>
      </c>
      <c r="B447" s="12" t="s">
        <v>652</v>
      </c>
      <c r="C447" s="10" t="s">
        <v>13</v>
      </c>
      <c r="D447" s="13" t="s">
        <v>124</v>
      </c>
      <c r="E447" s="205">
        <v>0</v>
      </c>
      <c r="F447" s="205">
        <v>716.3</v>
      </c>
      <c r="G447" s="205">
        <f>F447-E447</f>
        <v>716.3</v>
      </c>
      <c r="H447" s="192">
        <v>0.36</v>
      </c>
      <c r="I447" s="205">
        <f>H447*E447</f>
        <v>0</v>
      </c>
      <c r="J447" s="205">
        <f>H447*F447</f>
        <v>257.86799999999999</v>
      </c>
      <c r="K447" s="205">
        <f t="shared" ref="K447:K448" si="190">G447*H447</f>
        <v>257.86799999999999</v>
      </c>
    </row>
    <row r="448" spans="1:11" ht="52">
      <c r="A448" s="11" t="s">
        <v>1041</v>
      </c>
      <c r="B448" s="12" t="s">
        <v>649</v>
      </c>
      <c r="C448" s="10" t="s">
        <v>11</v>
      </c>
      <c r="D448" s="13" t="s">
        <v>124</v>
      </c>
      <c r="E448" s="205">
        <v>0</v>
      </c>
      <c r="F448" s="205">
        <v>208.45</v>
      </c>
      <c r="G448" s="205">
        <f>F448-E448</f>
        <v>208.45</v>
      </c>
      <c r="H448" s="192">
        <v>61.67</v>
      </c>
      <c r="I448" s="205">
        <f>H448*E448</f>
        <v>0</v>
      </c>
      <c r="J448" s="205">
        <f>H448*F448</f>
        <v>12855.111499999999</v>
      </c>
      <c r="K448" s="205">
        <f t="shared" si="190"/>
        <v>12855.111499999999</v>
      </c>
    </row>
    <row r="449" spans="1:11">
      <c r="A449" s="8" t="s">
        <v>1042</v>
      </c>
      <c r="B449" s="9" t="s">
        <v>654</v>
      </c>
      <c r="C449" s="8"/>
      <c r="D449" s="8"/>
      <c r="E449" s="211"/>
      <c r="F449" s="211"/>
      <c r="G449" s="211"/>
      <c r="H449" s="191"/>
      <c r="I449" s="204">
        <f>SUM(I450:I450)</f>
        <v>0</v>
      </c>
      <c r="J449" s="204">
        <f>SUM(J450:J450)</f>
        <v>272.19399999999996</v>
      </c>
      <c r="K449" s="204">
        <f>SUM(K450:K450)</f>
        <v>272.19399999999996</v>
      </c>
    </row>
    <row r="450" spans="1:11" ht="26">
      <c r="A450" s="11" t="s">
        <v>1043</v>
      </c>
      <c r="B450" s="12" t="s">
        <v>655</v>
      </c>
      <c r="C450" s="10"/>
      <c r="D450" s="13" t="s">
        <v>124</v>
      </c>
      <c r="E450" s="205">
        <v>0</v>
      </c>
      <c r="F450" s="205">
        <v>716.3</v>
      </c>
      <c r="G450" s="205">
        <f>F450-E450</f>
        <v>716.3</v>
      </c>
      <c r="H450" s="192">
        <v>0.38</v>
      </c>
      <c r="I450" s="205">
        <f t="shared" ref="I450:I471" si="191">H450*E450</f>
        <v>0</v>
      </c>
      <c r="J450" s="205">
        <f>H450*F450</f>
        <v>272.19399999999996</v>
      </c>
      <c r="K450" s="205">
        <f t="shared" ref="K450" si="192">G450*H450</f>
        <v>272.19399999999996</v>
      </c>
    </row>
    <row r="451" spans="1:11">
      <c r="A451" s="8" t="s">
        <v>1044</v>
      </c>
      <c r="B451" s="9" t="s">
        <v>657</v>
      </c>
      <c r="C451" s="8"/>
      <c r="D451" s="8"/>
      <c r="E451" s="211"/>
      <c r="F451" s="211"/>
      <c r="G451" s="211"/>
      <c r="H451" s="191"/>
      <c r="I451" s="204">
        <f>SUM(I452:I457)</f>
        <v>0</v>
      </c>
      <c r="J451" s="204">
        <f>SUM(J452:J457)</f>
        <v>33222.107400000001</v>
      </c>
      <c r="K451" s="204">
        <f>SUM(K452:K457)</f>
        <v>33222.107400000001</v>
      </c>
    </row>
    <row r="452" spans="1:11">
      <c r="A452" s="11" t="s">
        <v>1045</v>
      </c>
      <c r="B452" s="12" t="s">
        <v>658</v>
      </c>
      <c r="C452" s="10"/>
      <c r="D452" s="13" t="s">
        <v>124</v>
      </c>
      <c r="E452" s="205">
        <v>0</v>
      </c>
      <c r="F452" s="205">
        <v>716.3</v>
      </c>
      <c r="G452" s="205">
        <f t="shared" ref="G452:G457" si="193">F452-E452</f>
        <v>716.3</v>
      </c>
      <c r="H452" s="192">
        <v>1.75</v>
      </c>
      <c r="I452" s="205">
        <f t="shared" si="191"/>
        <v>0</v>
      </c>
      <c r="J452" s="205">
        <f>H452*F452</f>
        <v>1253.5249999999999</v>
      </c>
      <c r="K452" s="205">
        <f t="shared" ref="K452:K457" si="194">G452*H452</f>
        <v>1253.5249999999999</v>
      </c>
    </row>
    <row r="453" spans="1:11" ht="26">
      <c r="A453" s="11" t="s">
        <v>1046</v>
      </c>
      <c r="B453" s="12" t="s">
        <v>659</v>
      </c>
      <c r="C453" s="10"/>
      <c r="D453" s="13" t="s">
        <v>87</v>
      </c>
      <c r="E453" s="205">
        <v>0</v>
      </c>
      <c r="F453" s="205">
        <v>21.49</v>
      </c>
      <c r="G453" s="205">
        <f t="shared" si="193"/>
        <v>21.49</v>
      </c>
      <c r="H453" s="192">
        <v>10.32</v>
      </c>
      <c r="I453" s="205">
        <f t="shared" si="191"/>
        <v>0</v>
      </c>
      <c r="J453" s="205">
        <f t="shared" ref="J453:J457" si="195">H453*F453</f>
        <v>221.77679999999998</v>
      </c>
      <c r="K453" s="205">
        <f t="shared" si="194"/>
        <v>221.77679999999998</v>
      </c>
    </row>
    <row r="454" spans="1:11" ht="28.5" customHeight="1">
      <c r="A454" s="11" t="s">
        <v>1047</v>
      </c>
      <c r="B454" s="12" t="s">
        <v>660</v>
      </c>
      <c r="C454" s="10"/>
      <c r="D454" s="13" t="s">
        <v>1485</v>
      </c>
      <c r="E454" s="205">
        <v>0</v>
      </c>
      <c r="F454" s="205">
        <v>644.66999999999996</v>
      </c>
      <c r="G454" s="205">
        <f t="shared" si="193"/>
        <v>644.66999999999996</v>
      </c>
      <c r="H454" s="192">
        <v>2.14</v>
      </c>
      <c r="I454" s="205">
        <f t="shared" si="191"/>
        <v>0</v>
      </c>
      <c r="J454" s="205">
        <f t="shared" si="195"/>
        <v>1379.5938000000001</v>
      </c>
      <c r="K454" s="205">
        <f t="shared" si="194"/>
        <v>1379.5938000000001</v>
      </c>
    </row>
    <row r="455" spans="1:11" ht="29" customHeight="1">
      <c r="A455" s="11" t="s">
        <v>1048</v>
      </c>
      <c r="B455" s="12" t="s">
        <v>668</v>
      </c>
      <c r="C455" s="10"/>
      <c r="D455" s="13" t="s">
        <v>1485</v>
      </c>
      <c r="E455" s="205">
        <v>0</v>
      </c>
      <c r="F455" s="205">
        <v>1740.61</v>
      </c>
      <c r="G455" s="205">
        <f t="shared" si="193"/>
        <v>1740.61</v>
      </c>
      <c r="H455" s="192">
        <v>0.87</v>
      </c>
      <c r="I455" s="205">
        <f t="shared" si="191"/>
        <v>0</v>
      </c>
      <c r="J455" s="205">
        <f t="shared" si="195"/>
        <v>1514.3307</v>
      </c>
      <c r="K455" s="205">
        <f t="shared" si="194"/>
        <v>1514.3307</v>
      </c>
    </row>
    <row r="456" spans="1:11" ht="28" customHeight="1">
      <c r="A456" s="11" t="s">
        <v>1049</v>
      </c>
      <c r="B456" s="12" t="s">
        <v>661</v>
      </c>
      <c r="C456" s="10"/>
      <c r="D456" s="13" t="s">
        <v>87</v>
      </c>
      <c r="E456" s="205">
        <v>0</v>
      </c>
      <c r="F456" s="205">
        <v>21.49</v>
      </c>
      <c r="G456" s="205">
        <f t="shared" si="193"/>
        <v>21.49</v>
      </c>
      <c r="H456" s="192">
        <v>1248.29</v>
      </c>
      <c r="I456" s="205">
        <f t="shared" si="191"/>
        <v>0</v>
      </c>
      <c r="J456" s="205">
        <f t="shared" si="195"/>
        <v>26825.752099999998</v>
      </c>
      <c r="K456" s="205">
        <f t="shared" si="194"/>
        <v>26825.752099999998</v>
      </c>
    </row>
    <row r="457" spans="1:11" ht="17.5" customHeight="1">
      <c r="A457" s="11" t="s">
        <v>1050</v>
      </c>
      <c r="B457" s="12" t="s">
        <v>662</v>
      </c>
      <c r="C457" s="10"/>
      <c r="D457" s="13" t="s">
        <v>124</v>
      </c>
      <c r="E457" s="205">
        <v>0</v>
      </c>
      <c r="F457" s="205">
        <v>716.3</v>
      </c>
      <c r="G457" s="205">
        <f t="shared" si="193"/>
        <v>716.3</v>
      </c>
      <c r="H457" s="192">
        <v>2.83</v>
      </c>
      <c r="I457" s="205">
        <f t="shared" si="191"/>
        <v>0</v>
      </c>
      <c r="J457" s="205">
        <f t="shared" si="195"/>
        <v>2027.1289999999999</v>
      </c>
      <c r="K457" s="205">
        <f t="shared" si="194"/>
        <v>2027.1289999999999</v>
      </c>
    </row>
    <row r="458" spans="1:11">
      <c r="A458" s="8" t="s">
        <v>1051</v>
      </c>
      <c r="B458" s="9" t="s">
        <v>669</v>
      </c>
      <c r="C458" s="8"/>
      <c r="D458" s="8"/>
      <c r="E458" s="211"/>
      <c r="F458" s="211"/>
      <c r="G458" s="211"/>
      <c r="H458" s="191"/>
      <c r="I458" s="204">
        <f>SUM(I459:I464)</f>
        <v>0</v>
      </c>
      <c r="J458" s="204">
        <f>SUM(J459:J464)</f>
        <v>33222.107400000001</v>
      </c>
      <c r="K458" s="204">
        <f>SUM(K459:K464)</f>
        <v>33222.107400000001</v>
      </c>
    </row>
    <row r="459" spans="1:11">
      <c r="A459" s="11" t="s">
        <v>1052</v>
      </c>
      <c r="B459" s="12" t="s">
        <v>658</v>
      </c>
      <c r="C459" s="10"/>
      <c r="D459" s="14" t="s">
        <v>124</v>
      </c>
      <c r="E459" s="205">
        <v>0</v>
      </c>
      <c r="F459" s="205">
        <v>716.3</v>
      </c>
      <c r="G459" s="205">
        <f t="shared" ref="G459:G464" si="196">F459-E459</f>
        <v>716.3</v>
      </c>
      <c r="H459" s="192">
        <v>1.75</v>
      </c>
      <c r="I459" s="205">
        <f t="shared" si="191"/>
        <v>0</v>
      </c>
      <c r="J459" s="205">
        <f>H459*F459</f>
        <v>1253.5249999999999</v>
      </c>
      <c r="K459" s="205">
        <f t="shared" ref="K459:K464" si="197">G459*H459</f>
        <v>1253.5249999999999</v>
      </c>
    </row>
    <row r="460" spans="1:11" ht="26">
      <c r="A460" s="11" t="s">
        <v>1053</v>
      </c>
      <c r="B460" s="12" t="s">
        <v>659</v>
      </c>
      <c r="C460" s="10"/>
      <c r="D460" s="14" t="s">
        <v>87</v>
      </c>
      <c r="E460" s="205">
        <v>0</v>
      </c>
      <c r="F460" s="205">
        <v>21.49</v>
      </c>
      <c r="G460" s="205">
        <f t="shared" si="196"/>
        <v>21.49</v>
      </c>
      <c r="H460" s="192">
        <v>10.32</v>
      </c>
      <c r="I460" s="205">
        <f t="shared" si="191"/>
        <v>0</v>
      </c>
      <c r="J460" s="205">
        <f t="shared" ref="J460:J464" si="198">H460*F460</f>
        <v>221.77679999999998</v>
      </c>
      <c r="K460" s="205">
        <f t="shared" si="197"/>
        <v>221.77679999999998</v>
      </c>
    </row>
    <row r="461" spans="1:11" ht="28.5" customHeight="1">
      <c r="A461" s="11" t="s">
        <v>1054</v>
      </c>
      <c r="B461" s="12" t="s">
        <v>660</v>
      </c>
      <c r="C461" s="10"/>
      <c r="D461" s="14" t="s">
        <v>1485</v>
      </c>
      <c r="E461" s="205">
        <v>0</v>
      </c>
      <c r="F461" s="205">
        <v>644.66999999999996</v>
      </c>
      <c r="G461" s="205">
        <f t="shared" si="196"/>
        <v>644.66999999999996</v>
      </c>
      <c r="H461" s="192">
        <v>2.14</v>
      </c>
      <c r="I461" s="205">
        <f t="shared" si="191"/>
        <v>0</v>
      </c>
      <c r="J461" s="205">
        <f t="shared" si="198"/>
        <v>1379.5938000000001</v>
      </c>
      <c r="K461" s="205">
        <f t="shared" si="197"/>
        <v>1379.5938000000001</v>
      </c>
    </row>
    <row r="462" spans="1:11" ht="32.5" customHeight="1">
      <c r="A462" s="11" t="s">
        <v>1055</v>
      </c>
      <c r="B462" s="18" t="s">
        <v>668</v>
      </c>
      <c r="C462" s="10"/>
      <c r="D462" s="189" t="s">
        <v>1485</v>
      </c>
      <c r="E462" s="214">
        <v>0</v>
      </c>
      <c r="F462" s="205">
        <v>1740.61</v>
      </c>
      <c r="G462" s="205">
        <f t="shared" si="196"/>
        <v>1740.61</v>
      </c>
      <c r="H462" s="193">
        <v>0.87</v>
      </c>
      <c r="I462" s="205">
        <f t="shared" si="191"/>
        <v>0</v>
      </c>
      <c r="J462" s="205">
        <f t="shared" si="198"/>
        <v>1514.3307</v>
      </c>
      <c r="K462" s="205">
        <f t="shared" si="197"/>
        <v>1514.3307</v>
      </c>
    </row>
    <row r="463" spans="1:11" ht="26.5">
      <c r="A463" s="11" t="s">
        <v>1056</v>
      </c>
      <c r="B463" s="18" t="s">
        <v>670</v>
      </c>
      <c r="C463" s="10"/>
      <c r="D463" s="14" t="s">
        <v>87</v>
      </c>
      <c r="E463" s="205">
        <v>0</v>
      </c>
      <c r="F463" s="205">
        <v>21.49</v>
      </c>
      <c r="G463" s="205">
        <f t="shared" si="196"/>
        <v>21.49</v>
      </c>
      <c r="H463" s="192">
        <v>1248.29</v>
      </c>
      <c r="I463" s="205">
        <f t="shared" si="191"/>
        <v>0</v>
      </c>
      <c r="J463" s="205">
        <f t="shared" si="198"/>
        <v>26825.752099999998</v>
      </c>
      <c r="K463" s="205">
        <f t="shared" si="197"/>
        <v>26825.752099999998</v>
      </c>
    </row>
    <row r="464" spans="1:11" ht="16.5" customHeight="1">
      <c r="A464" s="11" t="s">
        <v>1057</v>
      </c>
      <c r="B464" s="16" t="s">
        <v>671</v>
      </c>
      <c r="C464" s="10" t="s">
        <v>87</v>
      </c>
      <c r="D464" s="14" t="s">
        <v>124</v>
      </c>
      <c r="E464" s="205">
        <v>0</v>
      </c>
      <c r="F464" s="205">
        <v>716.3</v>
      </c>
      <c r="G464" s="205">
        <f t="shared" si="196"/>
        <v>716.3</v>
      </c>
      <c r="H464" s="192">
        <v>2.83</v>
      </c>
      <c r="I464" s="205">
        <f t="shared" si="191"/>
        <v>0</v>
      </c>
      <c r="J464" s="205">
        <f t="shared" si="198"/>
        <v>2027.1289999999999</v>
      </c>
      <c r="K464" s="205">
        <f t="shared" si="197"/>
        <v>2027.1289999999999</v>
      </c>
    </row>
    <row r="465" spans="1:11">
      <c r="A465" s="8" t="s">
        <v>1058</v>
      </c>
      <c r="B465" s="9" t="s">
        <v>107</v>
      </c>
      <c r="C465" s="8"/>
      <c r="D465" s="8"/>
      <c r="E465" s="211"/>
      <c r="F465" s="211"/>
      <c r="G465" s="211"/>
      <c r="H465" s="191"/>
      <c r="I465" s="204">
        <f>SUM(I466:I468)</f>
        <v>0</v>
      </c>
      <c r="J465" s="204">
        <f>SUM(J466:J468)</f>
        <v>0</v>
      </c>
      <c r="K465" s="204">
        <f>SUM(K466:K468)</f>
        <v>0</v>
      </c>
    </row>
    <row r="466" spans="1:11" ht="39">
      <c r="A466" s="11" t="s">
        <v>1059</v>
      </c>
      <c r="B466" s="12" t="s">
        <v>673</v>
      </c>
      <c r="C466" s="10" t="s">
        <v>33</v>
      </c>
      <c r="D466" s="13" t="s">
        <v>1486</v>
      </c>
      <c r="E466" s="205">
        <v>0</v>
      </c>
      <c r="F466" s="205">
        <v>0</v>
      </c>
      <c r="G466" s="205">
        <f>F466-E466</f>
        <v>0</v>
      </c>
      <c r="H466" s="192">
        <v>625.09</v>
      </c>
      <c r="I466" s="205">
        <f t="shared" si="191"/>
        <v>0</v>
      </c>
      <c r="J466" s="205">
        <f>H466*F466</f>
        <v>0</v>
      </c>
      <c r="K466" s="205">
        <f t="shared" ref="K466:K468" si="199">G466*H466</f>
        <v>0</v>
      </c>
    </row>
    <row r="467" spans="1:11" ht="17" customHeight="1">
      <c r="A467" s="11" t="s">
        <v>1060</v>
      </c>
      <c r="B467" s="190" t="s">
        <v>679</v>
      </c>
      <c r="C467" s="10" t="s">
        <v>33</v>
      </c>
      <c r="D467" s="13" t="s">
        <v>124</v>
      </c>
      <c r="E467" s="205">
        <v>0</v>
      </c>
      <c r="F467" s="205">
        <v>0</v>
      </c>
      <c r="G467" s="205">
        <f>F467-E467</f>
        <v>0</v>
      </c>
      <c r="H467" s="192">
        <v>16.260000000000002</v>
      </c>
      <c r="I467" s="205">
        <f t="shared" si="191"/>
        <v>0</v>
      </c>
      <c r="J467" s="205">
        <f t="shared" ref="J467:J468" si="200">H467*F467</f>
        <v>0</v>
      </c>
      <c r="K467" s="205">
        <f t="shared" si="199"/>
        <v>0</v>
      </c>
    </row>
    <row r="468" spans="1:11" ht="16.5" customHeight="1">
      <c r="A468" s="11" t="s">
        <v>1061</v>
      </c>
      <c r="B468" s="12" t="s">
        <v>674</v>
      </c>
      <c r="C468" s="10" t="s">
        <v>33</v>
      </c>
      <c r="D468" s="13" t="s">
        <v>124</v>
      </c>
      <c r="E468" s="205">
        <v>0</v>
      </c>
      <c r="F468" s="205">
        <v>0</v>
      </c>
      <c r="G468" s="205">
        <f>F468-E468</f>
        <v>0</v>
      </c>
      <c r="H468" s="192">
        <v>4.5599999999999996</v>
      </c>
      <c r="I468" s="205">
        <f t="shared" si="191"/>
        <v>0</v>
      </c>
      <c r="J468" s="205">
        <f t="shared" si="200"/>
        <v>0</v>
      </c>
      <c r="K468" s="205">
        <f t="shared" si="199"/>
        <v>0</v>
      </c>
    </row>
    <row r="469" spans="1:11">
      <c r="A469" s="8" t="s">
        <v>1063</v>
      </c>
      <c r="B469" s="9" t="s">
        <v>677</v>
      </c>
      <c r="C469" s="8"/>
      <c r="D469" s="8"/>
      <c r="E469" s="211">
        <v>0</v>
      </c>
      <c r="F469" s="211">
        <v>0</v>
      </c>
      <c r="G469" s="211">
        <v>0</v>
      </c>
      <c r="H469" s="191"/>
      <c r="I469" s="204">
        <f>SUM(I470:I471)</f>
        <v>0</v>
      </c>
      <c r="J469" s="204">
        <f>SUM(J470:J471)</f>
        <v>1253.5249999999999</v>
      </c>
      <c r="K469" s="204">
        <f>SUM(K470:K471)</f>
        <v>1253.5249999999999</v>
      </c>
    </row>
    <row r="470" spans="1:11">
      <c r="A470" s="11" t="s">
        <v>1062</v>
      </c>
      <c r="B470" s="12" t="s">
        <v>658</v>
      </c>
      <c r="C470" s="10" t="s">
        <v>11</v>
      </c>
      <c r="D470" s="13" t="s">
        <v>124</v>
      </c>
      <c r="E470" s="205">
        <v>0</v>
      </c>
      <c r="F470" s="205">
        <v>716.3</v>
      </c>
      <c r="G470" s="205">
        <f>F470-E470</f>
        <v>716.3</v>
      </c>
      <c r="H470" s="192">
        <v>1.75</v>
      </c>
      <c r="I470" s="205">
        <f t="shared" si="191"/>
        <v>0</v>
      </c>
      <c r="J470" s="205">
        <f>H470*F470</f>
        <v>1253.5249999999999</v>
      </c>
      <c r="K470" s="205">
        <f t="shared" ref="K470:K471" si="201">G470*H470</f>
        <v>1253.5249999999999</v>
      </c>
    </row>
    <row r="471" spans="1:11">
      <c r="A471" s="11" t="s">
        <v>1064</v>
      </c>
      <c r="B471" s="12" t="s">
        <v>678</v>
      </c>
      <c r="C471" s="10" t="s">
        <v>11</v>
      </c>
      <c r="D471" s="13" t="s">
        <v>1486</v>
      </c>
      <c r="E471" s="205">
        <v>0</v>
      </c>
      <c r="F471" s="205">
        <v>0</v>
      </c>
      <c r="G471" s="205">
        <f>F471-E471</f>
        <v>0</v>
      </c>
      <c r="H471" s="192">
        <v>92.34</v>
      </c>
      <c r="I471" s="205">
        <f t="shared" si="191"/>
        <v>0</v>
      </c>
      <c r="J471" s="205">
        <f>H471*F471</f>
        <v>0</v>
      </c>
      <c r="K471" s="205">
        <f t="shared" si="201"/>
        <v>0</v>
      </c>
    </row>
    <row r="472" spans="1:11">
      <c r="A472" s="183">
        <v>18</v>
      </c>
      <c r="B472" s="188" t="s">
        <v>1470</v>
      </c>
      <c r="C472" s="183"/>
      <c r="D472" s="183"/>
      <c r="E472" s="210"/>
      <c r="F472" s="210"/>
      <c r="G472" s="210"/>
      <c r="H472" s="194"/>
      <c r="I472" s="203">
        <f>SUM(I473,I476,I478,I485,I492,I496)</f>
        <v>206693.0527</v>
      </c>
      <c r="J472" s="203">
        <f>SUM(J473,J476,J478,J485,J492,J496)</f>
        <v>210711.2084</v>
      </c>
      <c r="K472" s="203">
        <f>SUM(K473,K476,K478,K485,K492,K496)</f>
        <v>4018.1556999999998</v>
      </c>
    </row>
    <row r="473" spans="1:11">
      <c r="A473" s="8" t="s">
        <v>1065</v>
      </c>
      <c r="B473" s="9" t="s">
        <v>8</v>
      </c>
      <c r="C473" s="8"/>
      <c r="D473" s="8"/>
      <c r="E473" s="211"/>
      <c r="F473" s="211"/>
      <c r="G473" s="211"/>
      <c r="H473" s="191"/>
      <c r="I473" s="204">
        <f>SUM(I474:I475)</f>
        <v>16859.877899999999</v>
      </c>
      <c r="J473" s="204">
        <f>SUM(J474:J475)</f>
        <v>18598.355199999998</v>
      </c>
      <c r="K473" s="204">
        <f>SUM(K474:K475)</f>
        <v>1738.4773</v>
      </c>
    </row>
    <row r="474" spans="1:11" ht="26">
      <c r="A474" s="11" t="s">
        <v>1066</v>
      </c>
      <c r="B474" s="12" t="s">
        <v>652</v>
      </c>
      <c r="C474" s="10" t="s">
        <v>13</v>
      </c>
      <c r="D474" s="13" t="s">
        <v>124</v>
      </c>
      <c r="E474" s="205">
        <v>2024.6</v>
      </c>
      <c r="F474" s="205">
        <v>2024.6</v>
      </c>
      <c r="G474" s="205">
        <f>F474-E474</f>
        <v>0</v>
      </c>
      <c r="H474" s="192">
        <v>0.36</v>
      </c>
      <c r="I474" s="205">
        <f>H474*E474</f>
        <v>728.85599999999999</v>
      </c>
      <c r="J474" s="205">
        <f>H474*F474</f>
        <v>728.85599999999999</v>
      </c>
      <c r="K474" s="205">
        <f t="shared" ref="K474:K475" si="202">G474*H474</f>
        <v>0</v>
      </c>
    </row>
    <row r="475" spans="1:11" ht="52">
      <c r="A475" s="11" t="s">
        <v>1067</v>
      </c>
      <c r="B475" s="12" t="s">
        <v>649</v>
      </c>
      <c r="C475" s="10" t="s">
        <v>11</v>
      </c>
      <c r="D475" s="13" t="s">
        <v>124</v>
      </c>
      <c r="E475" s="205">
        <v>261.57</v>
      </c>
      <c r="F475" s="205">
        <v>289.76</v>
      </c>
      <c r="G475" s="205">
        <f>F475-E475</f>
        <v>28.189999999999998</v>
      </c>
      <c r="H475" s="192">
        <v>61.67</v>
      </c>
      <c r="I475" s="205">
        <f>H475*E475</f>
        <v>16131.0219</v>
      </c>
      <c r="J475" s="205">
        <f>H475*F475</f>
        <v>17869.499199999998</v>
      </c>
      <c r="K475" s="205">
        <f t="shared" si="202"/>
        <v>1738.4773</v>
      </c>
    </row>
    <row r="476" spans="1:11">
      <c r="A476" s="8" t="s">
        <v>1068</v>
      </c>
      <c r="B476" s="9" t="s">
        <v>654</v>
      </c>
      <c r="C476" s="8"/>
      <c r="D476" s="8"/>
      <c r="E476" s="211"/>
      <c r="F476" s="211"/>
      <c r="G476" s="211"/>
      <c r="H476" s="191"/>
      <c r="I476" s="204">
        <f>SUM(I477:I477)</f>
        <v>769.34799999999996</v>
      </c>
      <c r="J476" s="204">
        <f>SUM(J477:J477)</f>
        <v>769.34799999999996</v>
      </c>
      <c r="K476" s="204">
        <f>SUM(K477:K477)</f>
        <v>0</v>
      </c>
    </row>
    <row r="477" spans="1:11" ht="26">
      <c r="A477" s="11" t="s">
        <v>1069</v>
      </c>
      <c r="B477" s="12" t="s">
        <v>655</v>
      </c>
      <c r="C477" s="10"/>
      <c r="D477" s="13" t="s">
        <v>124</v>
      </c>
      <c r="E477" s="205">
        <v>2024.6</v>
      </c>
      <c r="F477" s="205">
        <v>2024.6</v>
      </c>
      <c r="G477" s="205">
        <f>F477-E477</f>
        <v>0</v>
      </c>
      <c r="H477" s="192">
        <v>0.38</v>
      </c>
      <c r="I477" s="205">
        <f t="shared" ref="I477:I498" si="203">H477*E477</f>
        <v>769.34799999999996</v>
      </c>
      <c r="J477" s="205">
        <f>H477*F477</f>
        <v>769.34799999999996</v>
      </c>
      <c r="K477" s="205">
        <f t="shared" ref="K477" si="204">G477*H477</f>
        <v>0</v>
      </c>
    </row>
    <row r="478" spans="1:11">
      <c r="A478" s="8" t="s">
        <v>1070</v>
      </c>
      <c r="B478" s="9" t="s">
        <v>657</v>
      </c>
      <c r="C478" s="8"/>
      <c r="D478" s="8"/>
      <c r="E478" s="211"/>
      <c r="F478" s="211"/>
      <c r="G478" s="211"/>
      <c r="H478" s="191"/>
      <c r="I478" s="204">
        <f>SUM(I479:I484)</f>
        <v>92760.388400000011</v>
      </c>
      <c r="J478" s="204">
        <f>SUM(J479:J484)</f>
        <v>93900.227600000013</v>
      </c>
      <c r="K478" s="204">
        <f>SUM(K479:K484)</f>
        <v>1139.8391999999999</v>
      </c>
    </row>
    <row r="479" spans="1:11">
      <c r="A479" s="11" t="s">
        <v>1071</v>
      </c>
      <c r="B479" s="12" t="s">
        <v>658</v>
      </c>
      <c r="C479" s="10"/>
      <c r="D479" s="13" t="s">
        <v>124</v>
      </c>
      <c r="E479" s="205">
        <v>2024.6</v>
      </c>
      <c r="F479" s="205">
        <v>2024.6</v>
      </c>
      <c r="G479" s="205">
        <f t="shared" ref="G479:G484" si="205">F479-E479</f>
        <v>0</v>
      </c>
      <c r="H479" s="192">
        <v>1.75</v>
      </c>
      <c r="I479" s="205">
        <f t="shared" si="203"/>
        <v>3543.0499999999997</v>
      </c>
      <c r="J479" s="205">
        <f>H479*F479</f>
        <v>3543.0499999999997</v>
      </c>
      <c r="K479" s="205">
        <f t="shared" ref="K479:K484" si="206">G479*H479</f>
        <v>0</v>
      </c>
    </row>
    <row r="480" spans="1:11" ht="26">
      <c r="A480" s="11" t="s">
        <v>1072</v>
      </c>
      <c r="B480" s="12" t="s">
        <v>659</v>
      </c>
      <c r="C480" s="10"/>
      <c r="D480" s="13" t="s">
        <v>87</v>
      </c>
      <c r="E480" s="205">
        <v>60.74</v>
      </c>
      <c r="F480" s="205">
        <v>60.74</v>
      </c>
      <c r="G480" s="205">
        <f t="shared" si="205"/>
        <v>0</v>
      </c>
      <c r="H480" s="192">
        <v>10.32</v>
      </c>
      <c r="I480" s="205">
        <f t="shared" si="203"/>
        <v>626.83680000000004</v>
      </c>
      <c r="J480" s="205">
        <f t="shared" ref="J480:J484" si="207">H480*F480</f>
        <v>626.83680000000004</v>
      </c>
      <c r="K480" s="205">
        <f t="shared" si="206"/>
        <v>0</v>
      </c>
    </row>
    <row r="481" spans="1:11" ht="28.5" customHeight="1">
      <c r="A481" s="11" t="s">
        <v>1073</v>
      </c>
      <c r="B481" s="12" t="s">
        <v>660</v>
      </c>
      <c r="C481" s="10"/>
      <c r="D481" s="13" t="s">
        <v>1485</v>
      </c>
      <c r="E481" s="205">
        <v>1822.14</v>
      </c>
      <c r="F481" s="205">
        <v>1822.14</v>
      </c>
      <c r="G481" s="205">
        <f t="shared" si="205"/>
        <v>0</v>
      </c>
      <c r="H481" s="192">
        <v>2.14</v>
      </c>
      <c r="I481" s="205">
        <f t="shared" si="203"/>
        <v>3899.3796000000007</v>
      </c>
      <c r="J481" s="205">
        <f t="shared" si="207"/>
        <v>3899.3796000000007</v>
      </c>
      <c r="K481" s="205">
        <f t="shared" si="206"/>
        <v>0</v>
      </c>
    </row>
    <row r="482" spans="1:11" ht="29" customHeight="1">
      <c r="A482" s="11" t="s">
        <v>1074</v>
      </c>
      <c r="B482" s="12" t="s">
        <v>668</v>
      </c>
      <c r="C482" s="10"/>
      <c r="D482" s="13" t="s">
        <v>1485</v>
      </c>
      <c r="E482" s="205">
        <v>3609.62</v>
      </c>
      <c r="F482" s="205">
        <v>4919.78</v>
      </c>
      <c r="G482" s="205">
        <f t="shared" si="205"/>
        <v>1310.1599999999999</v>
      </c>
      <c r="H482" s="192">
        <v>0.87</v>
      </c>
      <c r="I482" s="205">
        <f t="shared" si="203"/>
        <v>3140.3694</v>
      </c>
      <c r="J482" s="205">
        <f t="shared" si="207"/>
        <v>4280.2085999999999</v>
      </c>
      <c r="K482" s="205">
        <f t="shared" si="206"/>
        <v>1139.8391999999999</v>
      </c>
    </row>
    <row r="483" spans="1:11" ht="28" customHeight="1">
      <c r="A483" s="11" t="s">
        <v>1075</v>
      </c>
      <c r="B483" s="12" t="s">
        <v>661</v>
      </c>
      <c r="C483" s="10"/>
      <c r="D483" s="13" t="s">
        <v>87</v>
      </c>
      <c r="E483" s="205">
        <v>60.74</v>
      </c>
      <c r="F483" s="205">
        <v>60.74</v>
      </c>
      <c r="G483" s="205">
        <f t="shared" si="205"/>
        <v>0</v>
      </c>
      <c r="H483" s="192">
        <v>1248.29</v>
      </c>
      <c r="I483" s="205">
        <f t="shared" si="203"/>
        <v>75821.134600000005</v>
      </c>
      <c r="J483" s="205">
        <f t="shared" si="207"/>
        <v>75821.134600000005</v>
      </c>
      <c r="K483" s="205">
        <f t="shared" si="206"/>
        <v>0</v>
      </c>
    </row>
    <row r="484" spans="1:11" ht="17.5" customHeight="1">
      <c r="A484" s="11" t="s">
        <v>1076</v>
      </c>
      <c r="B484" s="12" t="s">
        <v>662</v>
      </c>
      <c r="C484" s="10"/>
      <c r="D484" s="13" t="s">
        <v>124</v>
      </c>
      <c r="E484" s="205">
        <v>2024.6</v>
      </c>
      <c r="F484" s="205">
        <v>2024.6</v>
      </c>
      <c r="G484" s="205">
        <f t="shared" si="205"/>
        <v>0</v>
      </c>
      <c r="H484" s="192">
        <v>2.83</v>
      </c>
      <c r="I484" s="205">
        <f t="shared" si="203"/>
        <v>5729.6179999999995</v>
      </c>
      <c r="J484" s="205">
        <f t="shared" si="207"/>
        <v>5729.6179999999995</v>
      </c>
      <c r="K484" s="205">
        <f t="shared" si="206"/>
        <v>0</v>
      </c>
    </row>
    <row r="485" spans="1:11">
      <c r="A485" s="8" t="s">
        <v>1077</v>
      </c>
      <c r="B485" s="9" t="s">
        <v>669</v>
      </c>
      <c r="C485" s="8"/>
      <c r="D485" s="8"/>
      <c r="E485" s="211"/>
      <c r="F485" s="211"/>
      <c r="G485" s="211"/>
      <c r="H485" s="191"/>
      <c r="I485" s="204">
        <f>SUM(I486:I491)</f>
        <v>92760.388400000011</v>
      </c>
      <c r="J485" s="204">
        <f>SUM(J486:J491)</f>
        <v>93900.227600000013</v>
      </c>
      <c r="K485" s="204">
        <f>SUM(K486:K491)</f>
        <v>1139.8391999999999</v>
      </c>
    </row>
    <row r="486" spans="1:11">
      <c r="A486" s="11" t="s">
        <v>1078</v>
      </c>
      <c r="B486" s="12" t="s">
        <v>658</v>
      </c>
      <c r="C486" s="10"/>
      <c r="D486" s="14" t="s">
        <v>124</v>
      </c>
      <c r="E486" s="205">
        <v>2024.6</v>
      </c>
      <c r="F486" s="205">
        <v>2024.6</v>
      </c>
      <c r="G486" s="205">
        <f t="shared" ref="G486:G491" si="208">F486-E486</f>
        <v>0</v>
      </c>
      <c r="H486" s="192">
        <v>1.75</v>
      </c>
      <c r="I486" s="205">
        <f t="shared" si="203"/>
        <v>3543.0499999999997</v>
      </c>
      <c r="J486" s="205">
        <f>H486*F486</f>
        <v>3543.0499999999997</v>
      </c>
      <c r="K486" s="205">
        <f t="shared" ref="K486:K491" si="209">G486*H486</f>
        <v>0</v>
      </c>
    </row>
    <row r="487" spans="1:11" ht="26">
      <c r="A487" s="11" t="s">
        <v>1079</v>
      </c>
      <c r="B487" s="12" t="s">
        <v>659</v>
      </c>
      <c r="C487" s="10"/>
      <c r="D487" s="14" t="s">
        <v>87</v>
      </c>
      <c r="E487" s="205">
        <v>60.74</v>
      </c>
      <c r="F487" s="212">
        <v>60.74</v>
      </c>
      <c r="G487" s="205">
        <f t="shared" si="208"/>
        <v>0</v>
      </c>
      <c r="H487" s="192">
        <v>10.32</v>
      </c>
      <c r="I487" s="205">
        <f t="shared" si="203"/>
        <v>626.83680000000004</v>
      </c>
      <c r="J487" s="205">
        <f t="shared" ref="J487:J491" si="210">H487*F487</f>
        <v>626.83680000000004</v>
      </c>
      <c r="K487" s="205">
        <f t="shared" si="209"/>
        <v>0</v>
      </c>
    </row>
    <row r="488" spans="1:11" ht="28.5" customHeight="1">
      <c r="A488" s="11" t="s">
        <v>1080</v>
      </c>
      <c r="B488" s="12" t="s">
        <v>660</v>
      </c>
      <c r="C488" s="10"/>
      <c r="D488" s="14" t="s">
        <v>1485</v>
      </c>
      <c r="E488" s="205">
        <v>1822.14</v>
      </c>
      <c r="F488" s="212">
        <v>1822.14</v>
      </c>
      <c r="G488" s="205">
        <f t="shared" si="208"/>
        <v>0</v>
      </c>
      <c r="H488" s="192">
        <v>2.14</v>
      </c>
      <c r="I488" s="205">
        <f t="shared" si="203"/>
        <v>3899.3796000000007</v>
      </c>
      <c r="J488" s="205">
        <f t="shared" si="210"/>
        <v>3899.3796000000007</v>
      </c>
      <c r="K488" s="205">
        <f t="shared" si="209"/>
        <v>0</v>
      </c>
    </row>
    <row r="489" spans="1:11" ht="32.5" customHeight="1">
      <c r="A489" s="11" t="s">
        <v>1081</v>
      </c>
      <c r="B489" s="18" t="s">
        <v>668</v>
      </c>
      <c r="C489" s="10"/>
      <c r="D489" s="189" t="s">
        <v>1485</v>
      </c>
      <c r="E489" s="205">
        <v>3609.62</v>
      </c>
      <c r="F489" s="205">
        <v>4919.78</v>
      </c>
      <c r="G489" s="205">
        <f t="shared" si="208"/>
        <v>1310.1599999999999</v>
      </c>
      <c r="H489" s="193">
        <v>0.87</v>
      </c>
      <c r="I489" s="205">
        <f t="shared" si="203"/>
        <v>3140.3694</v>
      </c>
      <c r="J489" s="205">
        <f t="shared" si="210"/>
        <v>4280.2085999999999</v>
      </c>
      <c r="K489" s="205">
        <f t="shared" si="209"/>
        <v>1139.8391999999999</v>
      </c>
    </row>
    <row r="490" spans="1:11" ht="26.5">
      <c r="A490" s="11" t="s">
        <v>1082</v>
      </c>
      <c r="B490" s="18" t="s">
        <v>670</v>
      </c>
      <c r="C490" s="10"/>
      <c r="D490" s="14" t="s">
        <v>87</v>
      </c>
      <c r="E490" s="205">
        <v>60.74</v>
      </c>
      <c r="F490" s="212">
        <v>60.74</v>
      </c>
      <c r="G490" s="205">
        <f t="shared" si="208"/>
        <v>0</v>
      </c>
      <c r="H490" s="192">
        <v>1248.29</v>
      </c>
      <c r="I490" s="205">
        <f t="shared" si="203"/>
        <v>75821.134600000005</v>
      </c>
      <c r="J490" s="205">
        <f t="shared" si="210"/>
        <v>75821.134600000005</v>
      </c>
      <c r="K490" s="205">
        <f t="shared" si="209"/>
        <v>0</v>
      </c>
    </row>
    <row r="491" spans="1:11" ht="16.5" customHeight="1">
      <c r="A491" s="11" t="s">
        <v>1083</v>
      </c>
      <c r="B491" s="16" t="s">
        <v>671</v>
      </c>
      <c r="C491" s="10" t="s">
        <v>87</v>
      </c>
      <c r="D491" s="14" t="s">
        <v>124</v>
      </c>
      <c r="E491" s="205">
        <v>2024.6</v>
      </c>
      <c r="F491" s="212">
        <v>2024.6</v>
      </c>
      <c r="G491" s="205">
        <f t="shared" si="208"/>
        <v>0</v>
      </c>
      <c r="H491" s="192">
        <v>2.83</v>
      </c>
      <c r="I491" s="205">
        <f t="shared" si="203"/>
        <v>5729.6179999999995</v>
      </c>
      <c r="J491" s="205">
        <f t="shared" si="210"/>
        <v>5729.6179999999995</v>
      </c>
      <c r="K491" s="205">
        <f t="shared" si="209"/>
        <v>0</v>
      </c>
    </row>
    <row r="492" spans="1:11">
      <c r="A492" s="8" t="s">
        <v>1084</v>
      </c>
      <c r="B492" s="9" t="s">
        <v>107</v>
      </c>
      <c r="C492" s="8"/>
      <c r="D492" s="8"/>
      <c r="E492" s="211"/>
      <c r="F492" s="211"/>
      <c r="G492" s="211"/>
      <c r="H492" s="191"/>
      <c r="I492" s="204">
        <f>SUM(I493:I495)</f>
        <v>0</v>
      </c>
      <c r="J492" s="204">
        <f>SUM(J493:J495)</f>
        <v>0</v>
      </c>
      <c r="K492" s="204">
        <f>SUM(K493:K495)</f>
        <v>0</v>
      </c>
    </row>
    <row r="493" spans="1:11" ht="39">
      <c r="A493" s="11" t="s">
        <v>1085</v>
      </c>
      <c r="B493" s="12" t="s">
        <v>673</v>
      </c>
      <c r="C493" s="10" t="s">
        <v>33</v>
      </c>
      <c r="D493" s="13" t="s">
        <v>1486</v>
      </c>
      <c r="E493" s="205">
        <v>0</v>
      </c>
      <c r="F493" s="205">
        <v>0</v>
      </c>
      <c r="G493" s="205">
        <f>F493-E493</f>
        <v>0</v>
      </c>
      <c r="H493" s="192">
        <v>625.09</v>
      </c>
      <c r="I493" s="205">
        <f t="shared" si="203"/>
        <v>0</v>
      </c>
      <c r="J493" s="205">
        <f>H493*F493</f>
        <v>0</v>
      </c>
      <c r="K493" s="205">
        <f t="shared" ref="K493:K495" si="211">G493*H493</f>
        <v>0</v>
      </c>
    </row>
    <row r="494" spans="1:11" ht="17" customHeight="1">
      <c r="A494" s="11" t="s">
        <v>1086</v>
      </c>
      <c r="B494" s="190" t="s">
        <v>679</v>
      </c>
      <c r="C494" s="10" t="s">
        <v>33</v>
      </c>
      <c r="D494" s="13" t="s">
        <v>124</v>
      </c>
      <c r="E494" s="205">
        <v>0</v>
      </c>
      <c r="F494" s="205">
        <v>0</v>
      </c>
      <c r="G494" s="205">
        <f>F494-E494</f>
        <v>0</v>
      </c>
      <c r="H494" s="192">
        <v>16.260000000000002</v>
      </c>
      <c r="I494" s="205">
        <f t="shared" si="203"/>
        <v>0</v>
      </c>
      <c r="J494" s="205">
        <f t="shared" ref="J494:J495" si="212">H494*F494</f>
        <v>0</v>
      </c>
      <c r="K494" s="205">
        <f t="shared" si="211"/>
        <v>0</v>
      </c>
    </row>
    <row r="495" spans="1:11" ht="16.5" customHeight="1">
      <c r="A495" s="11" t="s">
        <v>1087</v>
      </c>
      <c r="B495" s="12" t="s">
        <v>674</v>
      </c>
      <c r="C495" s="10" t="s">
        <v>33</v>
      </c>
      <c r="D495" s="13" t="s">
        <v>124</v>
      </c>
      <c r="E495" s="205">
        <v>0</v>
      </c>
      <c r="F495" s="205">
        <v>0</v>
      </c>
      <c r="G495" s="205">
        <f>F495-E495</f>
        <v>0</v>
      </c>
      <c r="H495" s="192">
        <v>4.5599999999999996</v>
      </c>
      <c r="I495" s="205">
        <f t="shared" si="203"/>
        <v>0</v>
      </c>
      <c r="J495" s="205">
        <f t="shared" si="212"/>
        <v>0</v>
      </c>
      <c r="K495" s="205">
        <f t="shared" si="211"/>
        <v>0</v>
      </c>
    </row>
    <row r="496" spans="1:11">
      <c r="A496" s="8" t="s">
        <v>1088</v>
      </c>
      <c r="B496" s="9" t="s">
        <v>677</v>
      </c>
      <c r="C496" s="8"/>
      <c r="D496" s="8"/>
      <c r="E496" s="211"/>
      <c r="F496" s="211"/>
      <c r="G496" s="211"/>
      <c r="H496" s="191"/>
      <c r="I496" s="204">
        <f>SUM(I497:I498)</f>
        <v>3543.0499999999997</v>
      </c>
      <c r="J496" s="204">
        <f>SUM(J497:J498)</f>
        <v>3543.0499999999997</v>
      </c>
      <c r="K496" s="204">
        <f>SUM(K497:K498)</f>
        <v>0</v>
      </c>
    </row>
    <row r="497" spans="1:11">
      <c r="A497" s="11" t="s">
        <v>1089</v>
      </c>
      <c r="B497" s="12" t="s">
        <v>658</v>
      </c>
      <c r="C497" s="10" t="s">
        <v>11</v>
      </c>
      <c r="D497" s="13" t="s">
        <v>124</v>
      </c>
      <c r="E497" s="205">
        <v>2024.6</v>
      </c>
      <c r="F497" s="205">
        <v>2024.6</v>
      </c>
      <c r="G497" s="205">
        <f>F497-E497</f>
        <v>0</v>
      </c>
      <c r="H497" s="192">
        <v>1.75</v>
      </c>
      <c r="I497" s="205">
        <f t="shared" si="203"/>
        <v>3543.0499999999997</v>
      </c>
      <c r="J497" s="205">
        <f>H497*F497</f>
        <v>3543.0499999999997</v>
      </c>
      <c r="K497" s="205">
        <f t="shared" ref="K497:K498" si="213">G497*H497</f>
        <v>0</v>
      </c>
    </row>
    <row r="498" spans="1:11">
      <c r="A498" s="11" t="s">
        <v>1090</v>
      </c>
      <c r="B498" s="12" t="s">
        <v>678</v>
      </c>
      <c r="C498" s="10" t="s">
        <v>11</v>
      </c>
      <c r="D498" s="13" t="s">
        <v>1486</v>
      </c>
      <c r="E498" s="205">
        <v>0</v>
      </c>
      <c r="F498" s="205">
        <v>0</v>
      </c>
      <c r="G498" s="205">
        <f>F498-E498</f>
        <v>0</v>
      </c>
      <c r="H498" s="192">
        <v>92.34</v>
      </c>
      <c r="I498" s="205">
        <f t="shared" si="203"/>
        <v>0</v>
      </c>
      <c r="J498" s="205">
        <f>H498*F498</f>
        <v>0</v>
      </c>
      <c r="K498" s="205">
        <f t="shared" si="213"/>
        <v>0</v>
      </c>
    </row>
    <row r="499" spans="1:11">
      <c r="A499" s="183">
        <v>19</v>
      </c>
      <c r="B499" s="188" t="s">
        <v>1471</v>
      </c>
      <c r="C499" s="183"/>
      <c r="D499" s="183"/>
      <c r="E499" s="210"/>
      <c r="F499" s="210"/>
      <c r="G499" s="210"/>
      <c r="H499" s="194"/>
      <c r="I499" s="203">
        <f>SUM(I500,I503,I505,I512,I519,I523)</f>
        <v>21597.866099999999</v>
      </c>
      <c r="J499" s="203">
        <f>SUM(J500,J503,J505,J512,J519,J523)</f>
        <v>21929.579700000002</v>
      </c>
      <c r="K499" s="203">
        <f>SUM(K500,K503,K505,K512,K519,K523)</f>
        <v>331.7136000000001</v>
      </c>
    </row>
    <row r="500" spans="1:11">
      <c r="A500" s="8" t="s">
        <v>1091</v>
      </c>
      <c r="B500" s="9" t="s">
        <v>8</v>
      </c>
      <c r="C500" s="8"/>
      <c r="D500" s="8"/>
      <c r="E500" s="211"/>
      <c r="F500" s="211"/>
      <c r="G500" s="211"/>
      <c r="H500" s="191"/>
      <c r="I500" s="204">
        <f>SUM(I501:I502)</f>
        <v>1400.1268000000002</v>
      </c>
      <c r="J500" s="204">
        <f>SUM(J501:J502)</f>
        <v>1400.1268000000002</v>
      </c>
      <c r="K500" s="204">
        <f>SUM(K501:K502)</f>
        <v>0</v>
      </c>
    </row>
    <row r="501" spans="1:11" ht="26">
      <c r="A501" s="11" t="s">
        <v>1092</v>
      </c>
      <c r="B501" s="12" t="s">
        <v>652</v>
      </c>
      <c r="C501" s="10" t="s">
        <v>13</v>
      </c>
      <c r="D501" s="13" t="s">
        <v>124</v>
      </c>
      <c r="E501" s="205">
        <v>216.45</v>
      </c>
      <c r="F501" s="205">
        <v>216.45</v>
      </c>
      <c r="G501" s="205">
        <f>F501-E501</f>
        <v>0</v>
      </c>
      <c r="H501" s="192">
        <v>0.36</v>
      </c>
      <c r="I501" s="205">
        <f>H501*E501</f>
        <v>77.921999999999997</v>
      </c>
      <c r="J501" s="205">
        <f>H501*F501</f>
        <v>77.921999999999997</v>
      </c>
      <c r="K501" s="205">
        <f t="shared" ref="K501:K502" si="214">G501*H501</f>
        <v>0</v>
      </c>
    </row>
    <row r="502" spans="1:11" ht="52">
      <c r="A502" s="11" t="s">
        <v>1093</v>
      </c>
      <c r="B502" s="12" t="s">
        <v>649</v>
      </c>
      <c r="C502" s="10" t="s">
        <v>11</v>
      </c>
      <c r="D502" s="13" t="s">
        <v>124</v>
      </c>
      <c r="E502" s="205">
        <v>21.44</v>
      </c>
      <c r="F502" s="205">
        <v>21.44</v>
      </c>
      <c r="G502" s="205">
        <f>F502-E502</f>
        <v>0</v>
      </c>
      <c r="H502" s="192">
        <v>61.67</v>
      </c>
      <c r="I502" s="205">
        <f>H502*E502</f>
        <v>1322.2048000000002</v>
      </c>
      <c r="J502" s="205">
        <f>H502*F502</f>
        <v>1322.2048000000002</v>
      </c>
      <c r="K502" s="205">
        <f t="shared" si="214"/>
        <v>0</v>
      </c>
    </row>
    <row r="503" spans="1:11">
      <c r="A503" s="8" t="s">
        <v>1094</v>
      </c>
      <c r="B503" s="9" t="s">
        <v>654</v>
      </c>
      <c r="C503" s="8"/>
      <c r="D503" s="8"/>
      <c r="E503" s="211"/>
      <c r="F503" s="211"/>
      <c r="G503" s="211"/>
      <c r="H503" s="191"/>
      <c r="I503" s="204">
        <f>SUM(I504:I504)</f>
        <v>82.250999999999991</v>
      </c>
      <c r="J503" s="204">
        <f>SUM(J504:J504)</f>
        <v>82.250999999999991</v>
      </c>
      <c r="K503" s="204">
        <f>SUM(K504:K504)</f>
        <v>0</v>
      </c>
    </row>
    <row r="504" spans="1:11" ht="26">
      <c r="A504" s="11" t="s">
        <v>1095</v>
      </c>
      <c r="B504" s="12" t="s">
        <v>655</v>
      </c>
      <c r="C504" s="10"/>
      <c r="D504" s="13" t="s">
        <v>124</v>
      </c>
      <c r="E504" s="205">
        <v>216.45</v>
      </c>
      <c r="F504" s="205">
        <v>216.45</v>
      </c>
      <c r="G504" s="205">
        <f>F504-E504</f>
        <v>0</v>
      </c>
      <c r="H504" s="192">
        <v>0.38</v>
      </c>
      <c r="I504" s="205">
        <f t="shared" ref="I504:I525" si="215">H504*E504</f>
        <v>82.250999999999991</v>
      </c>
      <c r="J504" s="205">
        <f>H504*F504</f>
        <v>82.250999999999991</v>
      </c>
      <c r="K504" s="205">
        <f t="shared" ref="K504" si="216">G504*H504</f>
        <v>0</v>
      </c>
    </row>
    <row r="505" spans="1:11">
      <c r="A505" s="8" t="s">
        <v>1096</v>
      </c>
      <c r="B505" s="9" t="s">
        <v>657</v>
      </c>
      <c r="C505" s="8"/>
      <c r="D505" s="8"/>
      <c r="E505" s="211"/>
      <c r="F505" s="211"/>
      <c r="G505" s="211"/>
      <c r="H505" s="191"/>
      <c r="I505" s="204">
        <f>SUM(I506:I511)</f>
        <v>9868.3504000000012</v>
      </c>
      <c r="J505" s="204">
        <f>SUM(J506:J511)</f>
        <v>10034.207200000001</v>
      </c>
      <c r="K505" s="204">
        <f>SUM(K506:K511)</f>
        <v>165.85680000000005</v>
      </c>
    </row>
    <row r="506" spans="1:11">
      <c r="A506" s="11" t="s">
        <v>1097</v>
      </c>
      <c r="B506" s="12" t="s">
        <v>658</v>
      </c>
      <c r="C506" s="10"/>
      <c r="D506" s="13" t="s">
        <v>124</v>
      </c>
      <c r="E506" s="205">
        <v>216.45</v>
      </c>
      <c r="F506" s="205">
        <v>216.45</v>
      </c>
      <c r="G506" s="205">
        <f t="shared" ref="G506:G511" si="217">F506-E506</f>
        <v>0</v>
      </c>
      <c r="H506" s="192">
        <v>1.75</v>
      </c>
      <c r="I506" s="205">
        <f t="shared" si="215"/>
        <v>378.78749999999997</v>
      </c>
      <c r="J506" s="205">
        <f>H506*F506</f>
        <v>378.78749999999997</v>
      </c>
      <c r="K506" s="205">
        <f t="shared" ref="K506:K511" si="218">G506*H506</f>
        <v>0</v>
      </c>
    </row>
    <row r="507" spans="1:11" ht="26">
      <c r="A507" s="11" t="s">
        <v>1098</v>
      </c>
      <c r="B507" s="12" t="s">
        <v>659</v>
      </c>
      <c r="C507" s="10"/>
      <c r="D507" s="13" t="s">
        <v>87</v>
      </c>
      <c r="E507" s="205">
        <v>6.49</v>
      </c>
      <c r="F507" s="205">
        <v>6.49</v>
      </c>
      <c r="G507" s="205">
        <f t="shared" si="217"/>
        <v>0</v>
      </c>
      <c r="H507" s="192">
        <v>10.32</v>
      </c>
      <c r="I507" s="205">
        <f t="shared" si="215"/>
        <v>66.976799999999997</v>
      </c>
      <c r="J507" s="205">
        <f t="shared" ref="J507:J511" si="219">H507*F507</f>
        <v>66.976799999999997</v>
      </c>
      <c r="K507" s="205">
        <f t="shared" si="218"/>
        <v>0</v>
      </c>
    </row>
    <row r="508" spans="1:11" ht="28.5" customHeight="1">
      <c r="A508" s="11" t="s">
        <v>1099</v>
      </c>
      <c r="B508" s="12" t="s">
        <v>660</v>
      </c>
      <c r="C508" s="10"/>
      <c r="D508" s="13" t="s">
        <v>1485</v>
      </c>
      <c r="E508" s="205">
        <v>194.81</v>
      </c>
      <c r="F508" s="205">
        <v>194.81</v>
      </c>
      <c r="G508" s="205">
        <f t="shared" si="217"/>
        <v>0</v>
      </c>
      <c r="H508" s="192">
        <v>2.14</v>
      </c>
      <c r="I508" s="205">
        <f t="shared" si="215"/>
        <v>416.89340000000004</v>
      </c>
      <c r="J508" s="205">
        <f t="shared" si="219"/>
        <v>416.89340000000004</v>
      </c>
      <c r="K508" s="205">
        <f t="shared" si="218"/>
        <v>0</v>
      </c>
    </row>
    <row r="509" spans="1:11" ht="29" customHeight="1">
      <c r="A509" s="11" t="s">
        <v>1100</v>
      </c>
      <c r="B509" s="12" t="s">
        <v>668</v>
      </c>
      <c r="C509" s="10"/>
      <c r="D509" s="13" t="s">
        <v>1485</v>
      </c>
      <c r="E509" s="205">
        <v>335.33</v>
      </c>
      <c r="F509" s="205">
        <v>525.97</v>
      </c>
      <c r="G509" s="205">
        <f t="shared" si="217"/>
        <v>190.64000000000004</v>
      </c>
      <c r="H509" s="192">
        <v>0.87</v>
      </c>
      <c r="I509" s="205">
        <f t="shared" si="215"/>
        <v>291.7371</v>
      </c>
      <c r="J509" s="205">
        <f t="shared" si="219"/>
        <v>457.59390000000002</v>
      </c>
      <c r="K509" s="205">
        <f t="shared" si="218"/>
        <v>165.85680000000005</v>
      </c>
    </row>
    <row r="510" spans="1:11" ht="28" customHeight="1">
      <c r="A510" s="11" t="s">
        <v>1101</v>
      </c>
      <c r="B510" s="12" t="s">
        <v>661</v>
      </c>
      <c r="C510" s="10"/>
      <c r="D510" s="13" t="s">
        <v>87</v>
      </c>
      <c r="E510" s="205">
        <v>6.49</v>
      </c>
      <c r="F510" s="205">
        <v>6.49</v>
      </c>
      <c r="G510" s="205">
        <f t="shared" si="217"/>
        <v>0</v>
      </c>
      <c r="H510" s="192">
        <v>1248.29</v>
      </c>
      <c r="I510" s="205">
        <f t="shared" si="215"/>
        <v>8101.4021000000002</v>
      </c>
      <c r="J510" s="205">
        <f t="shared" si="219"/>
        <v>8101.4021000000002</v>
      </c>
      <c r="K510" s="205">
        <f t="shared" si="218"/>
        <v>0</v>
      </c>
    </row>
    <row r="511" spans="1:11" ht="17.5" customHeight="1">
      <c r="A511" s="11" t="s">
        <v>1102</v>
      </c>
      <c r="B511" s="12" t="s">
        <v>662</v>
      </c>
      <c r="C511" s="10"/>
      <c r="D511" s="13" t="s">
        <v>124</v>
      </c>
      <c r="E511" s="205">
        <v>216.45</v>
      </c>
      <c r="F511" s="205">
        <v>216.45</v>
      </c>
      <c r="G511" s="205">
        <f t="shared" si="217"/>
        <v>0</v>
      </c>
      <c r="H511" s="192">
        <v>2.83</v>
      </c>
      <c r="I511" s="205">
        <f t="shared" si="215"/>
        <v>612.55349999999999</v>
      </c>
      <c r="J511" s="205">
        <f t="shared" si="219"/>
        <v>612.55349999999999</v>
      </c>
      <c r="K511" s="205">
        <f t="shared" si="218"/>
        <v>0</v>
      </c>
    </row>
    <row r="512" spans="1:11">
      <c r="A512" s="8" t="s">
        <v>1103</v>
      </c>
      <c r="B512" s="9" t="s">
        <v>669</v>
      </c>
      <c r="C512" s="8"/>
      <c r="D512" s="8"/>
      <c r="E512" s="211"/>
      <c r="F512" s="211"/>
      <c r="G512" s="211"/>
      <c r="H512" s="191"/>
      <c r="I512" s="204">
        <f>SUM(I513:I518)</f>
        <v>9868.3504000000012</v>
      </c>
      <c r="J512" s="204">
        <f>SUM(J513:J518)</f>
        <v>10034.207200000001</v>
      </c>
      <c r="K512" s="204">
        <f>SUM(K513:K518)</f>
        <v>165.85680000000005</v>
      </c>
    </row>
    <row r="513" spans="1:11">
      <c r="A513" s="11" t="s">
        <v>1104</v>
      </c>
      <c r="B513" s="12" t="s">
        <v>658</v>
      </c>
      <c r="C513" s="10"/>
      <c r="D513" s="14" t="s">
        <v>124</v>
      </c>
      <c r="E513" s="205">
        <v>216.45</v>
      </c>
      <c r="F513" s="205">
        <v>216.45</v>
      </c>
      <c r="G513" s="205">
        <f t="shared" ref="G513:G518" si="220">F513-E513</f>
        <v>0</v>
      </c>
      <c r="H513" s="192">
        <v>1.75</v>
      </c>
      <c r="I513" s="205">
        <f t="shared" si="215"/>
        <v>378.78749999999997</v>
      </c>
      <c r="J513" s="205">
        <f>H513*F513</f>
        <v>378.78749999999997</v>
      </c>
      <c r="K513" s="205">
        <f t="shared" ref="K513:K518" si="221">G513*H513</f>
        <v>0</v>
      </c>
    </row>
    <row r="514" spans="1:11" ht="26">
      <c r="A514" s="11" t="s">
        <v>1105</v>
      </c>
      <c r="B514" s="12" t="s">
        <v>659</v>
      </c>
      <c r="C514" s="10"/>
      <c r="D514" s="14" t="s">
        <v>87</v>
      </c>
      <c r="E514" s="205">
        <v>6.49</v>
      </c>
      <c r="F514" s="212">
        <v>6.49</v>
      </c>
      <c r="G514" s="205">
        <f t="shared" si="220"/>
        <v>0</v>
      </c>
      <c r="H514" s="192">
        <v>10.32</v>
      </c>
      <c r="I514" s="205">
        <f t="shared" si="215"/>
        <v>66.976799999999997</v>
      </c>
      <c r="J514" s="205">
        <f t="shared" ref="J514:J518" si="222">H514*F514</f>
        <v>66.976799999999997</v>
      </c>
      <c r="K514" s="205">
        <f t="shared" si="221"/>
        <v>0</v>
      </c>
    </row>
    <row r="515" spans="1:11" ht="28.5" customHeight="1">
      <c r="A515" s="11" t="s">
        <v>1106</v>
      </c>
      <c r="B515" s="12" t="s">
        <v>660</v>
      </c>
      <c r="C515" s="10"/>
      <c r="D515" s="14" t="s">
        <v>1485</v>
      </c>
      <c r="E515" s="205">
        <v>194.81</v>
      </c>
      <c r="F515" s="212">
        <v>194.81</v>
      </c>
      <c r="G515" s="205">
        <f t="shared" si="220"/>
        <v>0</v>
      </c>
      <c r="H515" s="192">
        <v>2.14</v>
      </c>
      <c r="I515" s="205">
        <f t="shared" si="215"/>
        <v>416.89340000000004</v>
      </c>
      <c r="J515" s="205">
        <f t="shared" si="222"/>
        <v>416.89340000000004</v>
      </c>
      <c r="K515" s="205">
        <f t="shared" si="221"/>
        <v>0</v>
      </c>
    </row>
    <row r="516" spans="1:11" ht="32.5" customHeight="1">
      <c r="A516" s="11" t="s">
        <v>1107</v>
      </c>
      <c r="B516" s="18" t="s">
        <v>668</v>
      </c>
      <c r="C516" s="10"/>
      <c r="D516" s="189" t="s">
        <v>1485</v>
      </c>
      <c r="E516" s="205">
        <v>335.33</v>
      </c>
      <c r="F516" s="205">
        <v>525.97</v>
      </c>
      <c r="G516" s="205">
        <f t="shared" si="220"/>
        <v>190.64000000000004</v>
      </c>
      <c r="H516" s="193">
        <v>0.87</v>
      </c>
      <c r="I516" s="205">
        <f t="shared" si="215"/>
        <v>291.7371</v>
      </c>
      <c r="J516" s="205">
        <f t="shared" si="222"/>
        <v>457.59390000000002</v>
      </c>
      <c r="K516" s="205">
        <f t="shared" si="221"/>
        <v>165.85680000000005</v>
      </c>
    </row>
    <row r="517" spans="1:11" ht="26.5">
      <c r="A517" s="11" t="s">
        <v>1108</v>
      </c>
      <c r="B517" s="18" t="s">
        <v>670</v>
      </c>
      <c r="C517" s="10"/>
      <c r="D517" s="14" t="s">
        <v>87</v>
      </c>
      <c r="E517" s="205">
        <v>6.49</v>
      </c>
      <c r="F517" s="212">
        <v>6.49</v>
      </c>
      <c r="G517" s="205">
        <f t="shared" si="220"/>
        <v>0</v>
      </c>
      <c r="H517" s="192">
        <v>1248.29</v>
      </c>
      <c r="I517" s="205">
        <f t="shared" si="215"/>
        <v>8101.4021000000002</v>
      </c>
      <c r="J517" s="205">
        <f t="shared" si="222"/>
        <v>8101.4021000000002</v>
      </c>
      <c r="K517" s="205">
        <f t="shared" si="221"/>
        <v>0</v>
      </c>
    </row>
    <row r="518" spans="1:11" ht="16.5" customHeight="1">
      <c r="A518" s="11" t="s">
        <v>1109</v>
      </c>
      <c r="B518" s="16" t="s">
        <v>671</v>
      </c>
      <c r="C518" s="10" t="s">
        <v>87</v>
      </c>
      <c r="D518" s="14" t="s">
        <v>124</v>
      </c>
      <c r="E518" s="205">
        <v>216.45</v>
      </c>
      <c r="F518" s="212">
        <v>216.45</v>
      </c>
      <c r="G518" s="205">
        <f t="shared" si="220"/>
        <v>0</v>
      </c>
      <c r="H518" s="192">
        <v>2.83</v>
      </c>
      <c r="I518" s="205">
        <f t="shared" si="215"/>
        <v>612.55349999999999</v>
      </c>
      <c r="J518" s="205">
        <f t="shared" si="222"/>
        <v>612.55349999999999</v>
      </c>
      <c r="K518" s="205">
        <f t="shared" si="221"/>
        <v>0</v>
      </c>
    </row>
    <row r="519" spans="1:11">
      <c r="A519" s="8" t="s">
        <v>1110</v>
      </c>
      <c r="B519" s="9" t="s">
        <v>107</v>
      </c>
      <c r="C519" s="8"/>
      <c r="D519" s="8"/>
      <c r="E519" s="211"/>
      <c r="F519" s="211"/>
      <c r="G519" s="211"/>
      <c r="H519" s="191"/>
      <c r="I519" s="204">
        <f>SUM(I520:I522)</f>
        <v>0</v>
      </c>
      <c r="J519" s="204">
        <f>SUM(J520:J522)</f>
        <v>0</v>
      </c>
      <c r="K519" s="204">
        <f>SUM(K520:K522)</f>
        <v>0</v>
      </c>
    </row>
    <row r="520" spans="1:11" ht="39">
      <c r="A520" s="11" t="s">
        <v>1111</v>
      </c>
      <c r="B520" s="12" t="s">
        <v>673</v>
      </c>
      <c r="C520" s="10" t="s">
        <v>33</v>
      </c>
      <c r="D520" s="13" t="s">
        <v>1486</v>
      </c>
      <c r="E520" s="205">
        <v>0</v>
      </c>
      <c r="F520" s="205">
        <v>0</v>
      </c>
      <c r="G520" s="205">
        <f>F520-E520</f>
        <v>0</v>
      </c>
      <c r="H520" s="192">
        <v>625.09</v>
      </c>
      <c r="I520" s="205">
        <f t="shared" si="215"/>
        <v>0</v>
      </c>
      <c r="J520" s="205">
        <f>H520*F520</f>
        <v>0</v>
      </c>
      <c r="K520" s="205">
        <f t="shared" ref="K520:K522" si="223">G520*H520</f>
        <v>0</v>
      </c>
    </row>
    <row r="521" spans="1:11" ht="17" customHeight="1">
      <c r="A521" s="11" t="s">
        <v>1112</v>
      </c>
      <c r="B521" s="190" t="s">
        <v>679</v>
      </c>
      <c r="C521" s="10" t="s">
        <v>33</v>
      </c>
      <c r="D521" s="13" t="s">
        <v>124</v>
      </c>
      <c r="E521" s="205">
        <v>0</v>
      </c>
      <c r="F521" s="205">
        <v>0</v>
      </c>
      <c r="G521" s="205">
        <f>F521-E521</f>
        <v>0</v>
      </c>
      <c r="H521" s="192">
        <v>16.260000000000002</v>
      </c>
      <c r="I521" s="205">
        <f t="shared" si="215"/>
        <v>0</v>
      </c>
      <c r="J521" s="205">
        <f t="shared" ref="J521:J522" si="224">H521*F521</f>
        <v>0</v>
      </c>
      <c r="K521" s="205">
        <f t="shared" si="223"/>
        <v>0</v>
      </c>
    </row>
    <row r="522" spans="1:11" ht="16.5" customHeight="1">
      <c r="A522" s="11" t="s">
        <v>1113</v>
      </c>
      <c r="B522" s="12" t="s">
        <v>674</v>
      </c>
      <c r="C522" s="10" t="s">
        <v>33</v>
      </c>
      <c r="D522" s="13" t="s">
        <v>124</v>
      </c>
      <c r="E522" s="205">
        <v>0</v>
      </c>
      <c r="F522" s="205">
        <v>0</v>
      </c>
      <c r="G522" s="205">
        <f>F522-E522</f>
        <v>0</v>
      </c>
      <c r="H522" s="192">
        <v>4.5599999999999996</v>
      </c>
      <c r="I522" s="205">
        <f t="shared" si="215"/>
        <v>0</v>
      </c>
      <c r="J522" s="205">
        <f t="shared" si="224"/>
        <v>0</v>
      </c>
      <c r="K522" s="205">
        <f t="shared" si="223"/>
        <v>0</v>
      </c>
    </row>
    <row r="523" spans="1:11">
      <c r="A523" s="8" t="s">
        <v>1114</v>
      </c>
      <c r="B523" s="9" t="s">
        <v>677</v>
      </c>
      <c r="C523" s="8"/>
      <c r="D523" s="8"/>
      <c r="E523" s="211"/>
      <c r="F523" s="211"/>
      <c r="G523" s="211"/>
      <c r="H523" s="191"/>
      <c r="I523" s="204">
        <f>SUM(I524:I525)</f>
        <v>378.78749999999997</v>
      </c>
      <c r="J523" s="204">
        <f>SUM(J524:J525)</f>
        <v>378.78749999999997</v>
      </c>
      <c r="K523" s="204">
        <f>SUM(K524:K525)</f>
        <v>0</v>
      </c>
    </row>
    <row r="524" spans="1:11">
      <c r="A524" s="11" t="s">
        <v>1115</v>
      </c>
      <c r="B524" s="12" t="s">
        <v>658</v>
      </c>
      <c r="C524" s="10" t="s">
        <v>11</v>
      </c>
      <c r="D524" s="13" t="s">
        <v>124</v>
      </c>
      <c r="E524" s="205">
        <v>216.45</v>
      </c>
      <c r="F524" s="205">
        <v>216.45</v>
      </c>
      <c r="G524" s="205">
        <f>F524-E524</f>
        <v>0</v>
      </c>
      <c r="H524" s="192">
        <v>1.75</v>
      </c>
      <c r="I524" s="205">
        <f t="shared" si="215"/>
        <v>378.78749999999997</v>
      </c>
      <c r="J524" s="205">
        <f>H524*F524</f>
        <v>378.78749999999997</v>
      </c>
      <c r="K524" s="205">
        <f t="shared" ref="K524:K525" si="225">G524*H524</f>
        <v>0</v>
      </c>
    </row>
    <row r="525" spans="1:11">
      <c r="A525" s="11" t="s">
        <v>1116</v>
      </c>
      <c r="B525" s="12" t="s">
        <v>678</v>
      </c>
      <c r="C525" s="10" t="s">
        <v>11</v>
      </c>
      <c r="D525" s="13" t="s">
        <v>1486</v>
      </c>
      <c r="E525" s="205">
        <v>0</v>
      </c>
      <c r="F525" s="205">
        <v>0</v>
      </c>
      <c r="G525" s="205">
        <f>F525-E525</f>
        <v>0</v>
      </c>
      <c r="H525" s="192">
        <v>92.34</v>
      </c>
      <c r="I525" s="205">
        <f t="shared" si="215"/>
        <v>0</v>
      </c>
      <c r="J525" s="205">
        <f>H525*F525</f>
        <v>0</v>
      </c>
      <c r="K525" s="205">
        <f t="shared" si="225"/>
        <v>0</v>
      </c>
    </row>
    <row r="526" spans="1:11">
      <c r="A526" s="183">
        <v>20</v>
      </c>
      <c r="B526" s="188" t="s">
        <v>1472</v>
      </c>
      <c r="C526" s="183"/>
      <c r="D526" s="183"/>
      <c r="E526" s="210"/>
      <c r="F526" s="210"/>
      <c r="G526" s="210"/>
      <c r="H526" s="194"/>
      <c r="I526" s="203">
        <f>SUM(I527,I530,I532,I539,I546,I550)</f>
        <v>197429.63010000001</v>
      </c>
      <c r="J526" s="203">
        <f>SUM(J527,J530,J532,J539,J546,J550)</f>
        <v>221659.44090000002</v>
      </c>
      <c r="K526" s="203">
        <f>SUM(K527,K530,K532,K539,K546,K550)</f>
        <v>24229.832200000004</v>
      </c>
    </row>
    <row r="527" spans="1:11">
      <c r="A527" s="8" t="s">
        <v>1117</v>
      </c>
      <c r="B527" s="9" t="s">
        <v>8</v>
      </c>
      <c r="C527" s="8"/>
      <c r="D527" s="8"/>
      <c r="E527" s="211"/>
      <c r="F527" s="211"/>
      <c r="G527" s="211"/>
      <c r="H527" s="191"/>
      <c r="I527" s="204">
        <f>SUM(I528:I529)</f>
        <v>15142.197199999999</v>
      </c>
      <c r="J527" s="204">
        <f>SUM(J528:J529)</f>
        <v>36755.065400000007</v>
      </c>
      <c r="K527" s="204">
        <f>SUM(K528:K529)</f>
        <v>21612.868200000004</v>
      </c>
    </row>
    <row r="528" spans="1:11" ht="26">
      <c r="A528" s="11" t="s">
        <v>1118</v>
      </c>
      <c r="B528" s="12" t="s">
        <v>652</v>
      </c>
      <c r="C528" s="10" t="s">
        <v>13</v>
      </c>
      <c r="D528" s="13" t="s">
        <v>124</v>
      </c>
      <c r="E528" s="205">
        <v>1948.75</v>
      </c>
      <c r="F528" s="205">
        <v>1948.75</v>
      </c>
      <c r="G528" s="205">
        <f>F528-E528</f>
        <v>0</v>
      </c>
      <c r="H528" s="192">
        <v>0.36</v>
      </c>
      <c r="I528" s="205">
        <f>H528*E528</f>
        <v>701.55</v>
      </c>
      <c r="J528" s="205">
        <f>H528*F528</f>
        <v>701.55</v>
      </c>
      <c r="K528" s="205">
        <f t="shared" ref="K528:K529" si="226">G528*H528</f>
        <v>0</v>
      </c>
    </row>
    <row r="529" spans="1:11" ht="52">
      <c r="A529" s="11" t="s">
        <v>1119</v>
      </c>
      <c r="B529" s="12" t="s">
        <v>649</v>
      </c>
      <c r="C529" s="10" t="s">
        <v>11</v>
      </c>
      <c r="D529" s="13" t="s">
        <v>124</v>
      </c>
      <c r="E529" s="205">
        <v>234.16</v>
      </c>
      <c r="F529" s="205">
        <v>584.62</v>
      </c>
      <c r="G529" s="205">
        <f>F529-E529</f>
        <v>350.46000000000004</v>
      </c>
      <c r="H529" s="192">
        <v>61.67</v>
      </c>
      <c r="I529" s="205">
        <f>H529*E529</f>
        <v>14440.647199999999</v>
      </c>
      <c r="J529" s="205">
        <f>H529*F529</f>
        <v>36053.515400000004</v>
      </c>
      <c r="K529" s="205">
        <f t="shared" si="226"/>
        <v>21612.868200000004</v>
      </c>
    </row>
    <row r="530" spans="1:11">
      <c r="A530" s="8" t="s">
        <v>1120</v>
      </c>
      <c r="B530" s="9" t="s">
        <v>654</v>
      </c>
      <c r="C530" s="8"/>
      <c r="D530" s="8"/>
      <c r="E530" s="211"/>
      <c r="F530" s="211"/>
      <c r="G530" s="211"/>
      <c r="H530" s="191"/>
      <c r="I530" s="204">
        <f>SUM(I531:I531)</f>
        <v>740.52499999999998</v>
      </c>
      <c r="J530" s="204">
        <f>SUM(J531:J531)</f>
        <v>740.52499999999998</v>
      </c>
      <c r="K530" s="204">
        <f>SUM(K531:K531)</f>
        <v>0</v>
      </c>
    </row>
    <row r="531" spans="1:11" ht="26">
      <c r="A531" s="11" t="s">
        <v>1121</v>
      </c>
      <c r="B531" s="12" t="s">
        <v>655</v>
      </c>
      <c r="C531" s="10"/>
      <c r="D531" s="13" t="s">
        <v>124</v>
      </c>
      <c r="E531" s="205">
        <v>1948.75</v>
      </c>
      <c r="F531" s="205">
        <v>1948.75</v>
      </c>
      <c r="G531" s="205">
        <f>F531-E531</f>
        <v>0</v>
      </c>
      <c r="H531" s="192">
        <v>0.38</v>
      </c>
      <c r="I531" s="205">
        <f t="shared" ref="I531:I552" si="227">H531*E531</f>
        <v>740.52499999999998</v>
      </c>
      <c r="J531" s="205">
        <f>H531*F531</f>
        <v>740.52499999999998</v>
      </c>
      <c r="K531" s="205">
        <f t="shared" ref="K531" si="228">G531*H531</f>
        <v>0</v>
      </c>
    </row>
    <row r="532" spans="1:11">
      <c r="A532" s="8" t="s">
        <v>1122</v>
      </c>
      <c r="B532" s="9" t="s">
        <v>657</v>
      </c>
      <c r="C532" s="8"/>
      <c r="D532" s="8"/>
      <c r="E532" s="211"/>
      <c r="F532" s="211"/>
      <c r="G532" s="211"/>
      <c r="H532" s="191"/>
      <c r="I532" s="204">
        <f>SUM(I533:I538)</f>
        <v>89068.297699999996</v>
      </c>
      <c r="J532" s="204">
        <f>SUM(J533:J538)</f>
        <v>90376.769</v>
      </c>
      <c r="K532" s="204">
        <f>SUM(K533:K538)</f>
        <v>1308.4820000000002</v>
      </c>
    </row>
    <row r="533" spans="1:11">
      <c r="A533" s="11" t="s">
        <v>1123</v>
      </c>
      <c r="B533" s="12" t="s">
        <v>658</v>
      </c>
      <c r="C533" s="10"/>
      <c r="D533" s="13" t="s">
        <v>124</v>
      </c>
      <c r="E533" s="205">
        <v>1948.75</v>
      </c>
      <c r="F533" s="205">
        <v>1948.75</v>
      </c>
      <c r="G533" s="205">
        <f t="shared" ref="G533:G538" si="229">F533-E533</f>
        <v>0</v>
      </c>
      <c r="H533" s="192">
        <v>1.75</v>
      </c>
      <c r="I533" s="205">
        <f t="shared" si="227"/>
        <v>3410.3125</v>
      </c>
      <c r="J533" s="205">
        <f>H533*F533</f>
        <v>3410.3125</v>
      </c>
      <c r="K533" s="205">
        <f t="shared" ref="K533:K538" si="230">G533*H533</f>
        <v>0</v>
      </c>
    </row>
    <row r="534" spans="1:11" ht="26">
      <c r="A534" s="11" t="s">
        <v>1124</v>
      </c>
      <c r="B534" s="12" t="s">
        <v>659</v>
      </c>
      <c r="C534" s="10"/>
      <c r="D534" s="13" t="s">
        <v>87</v>
      </c>
      <c r="E534" s="205">
        <v>58.46</v>
      </c>
      <c r="F534" s="205">
        <v>58.46</v>
      </c>
      <c r="G534" s="205">
        <f t="shared" si="229"/>
        <v>0</v>
      </c>
      <c r="H534" s="192">
        <v>10.32</v>
      </c>
      <c r="I534" s="205">
        <f t="shared" si="227"/>
        <v>603.30720000000008</v>
      </c>
      <c r="J534" s="205">
        <f t="shared" ref="J534:J538" si="231">H534*F534</f>
        <v>603.30720000000008</v>
      </c>
      <c r="K534" s="205">
        <f t="shared" si="230"/>
        <v>0</v>
      </c>
    </row>
    <row r="535" spans="1:11" ht="28.5" customHeight="1">
      <c r="A535" s="11" t="s">
        <v>1125</v>
      </c>
      <c r="B535" s="12" t="s">
        <v>660</v>
      </c>
      <c r="C535" s="10"/>
      <c r="D535" s="13" t="s">
        <v>1485</v>
      </c>
      <c r="E535" s="205">
        <v>1753.88</v>
      </c>
      <c r="F535" s="205">
        <v>1753.88</v>
      </c>
      <c r="G535" s="205">
        <v>5.0000000000000001E-3</v>
      </c>
      <c r="H535" s="192">
        <v>2.14</v>
      </c>
      <c r="I535" s="205">
        <f t="shared" si="227"/>
        <v>3753.3032000000003</v>
      </c>
      <c r="J535" s="205">
        <f t="shared" si="231"/>
        <v>3753.3032000000003</v>
      </c>
      <c r="K535" s="205">
        <f t="shared" si="230"/>
        <v>1.0700000000000001E-2</v>
      </c>
    </row>
    <row r="536" spans="1:11" ht="29" customHeight="1">
      <c r="A536" s="11" t="s">
        <v>1126</v>
      </c>
      <c r="B536" s="12" t="s">
        <v>668</v>
      </c>
      <c r="C536" s="10"/>
      <c r="D536" s="13" t="s">
        <v>1485</v>
      </c>
      <c r="E536" s="205">
        <v>3231.47</v>
      </c>
      <c r="F536" s="205">
        <v>4735.46</v>
      </c>
      <c r="G536" s="205">
        <f t="shared" si="229"/>
        <v>1503.9900000000002</v>
      </c>
      <c r="H536" s="192">
        <v>0.87</v>
      </c>
      <c r="I536" s="205">
        <f t="shared" si="227"/>
        <v>2811.3788999999997</v>
      </c>
      <c r="J536" s="205">
        <f t="shared" si="231"/>
        <v>4119.8501999999999</v>
      </c>
      <c r="K536" s="205">
        <f t="shared" si="230"/>
        <v>1308.4713000000002</v>
      </c>
    </row>
    <row r="537" spans="1:11" ht="28" customHeight="1">
      <c r="A537" s="11" t="s">
        <v>1127</v>
      </c>
      <c r="B537" s="12" t="s">
        <v>661</v>
      </c>
      <c r="C537" s="10"/>
      <c r="D537" s="13" t="s">
        <v>87</v>
      </c>
      <c r="E537" s="205">
        <v>58.46</v>
      </c>
      <c r="F537" s="205">
        <v>58.46</v>
      </c>
      <c r="G537" s="205">
        <f t="shared" si="229"/>
        <v>0</v>
      </c>
      <c r="H537" s="192">
        <v>1248.29</v>
      </c>
      <c r="I537" s="205">
        <f t="shared" si="227"/>
        <v>72975.0334</v>
      </c>
      <c r="J537" s="205">
        <f t="shared" si="231"/>
        <v>72975.0334</v>
      </c>
      <c r="K537" s="205">
        <f t="shared" si="230"/>
        <v>0</v>
      </c>
    </row>
    <row r="538" spans="1:11" ht="17.5" customHeight="1">
      <c r="A538" s="11" t="s">
        <v>1128</v>
      </c>
      <c r="B538" s="12" t="s">
        <v>662</v>
      </c>
      <c r="C538" s="10"/>
      <c r="D538" s="13" t="s">
        <v>124</v>
      </c>
      <c r="E538" s="205">
        <v>1948.75</v>
      </c>
      <c r="F538" s="205">
        <v>1948.75</v>
      </c>
      <c r="G538" s="205">
        <f t="shared" si="229"/>
        <v>0</v>
      </c>
      <c r="H538" s="192">
        <v>2.83</v>
      </c>
      <c r="I538" s="205">
        <f t="shared" si="227"/>
        <v>5514.9625000000005</v>
      </c>
      <c r="J538" s="205">
        <f t="shared" si="231"/>
        <v>5514.9625000000005</v>
      </c>
      <c r="K538" s="205">
        <f t="shared" si="230"/>
        <v>0</v>
      </c>
    </row>
    <row r="539" spans="1:11">
      <c r="A539" s="8" t="s">
        <v>1129</v>
      </c>
      <c r="B539" s="9" t="s">
        <v>669</v>
      </c>
      <c r="C539" s="8"/>
      <c r="D539" s="8"/>
      <c r="E539" s="211"/>
      <c r="F539" s="211"/>
      <c r="G539" s="211"/>
      <c r="H539" s="191"/>
      <c r="I539" s="204">
        <f>SUM(I540:I545)</f>
        <v>89068.297699999996</v>
      </c>
      <c r="J539" s="204">
        <f>SUM(J540:J545)</f>
        <v>90376.769</v>
      </c>
      <c r="K539" s="204">
        <f>SUM(K540:K545)</f>
        <v>1308.4820000000002</v>
      </c>
    </row>
    <row r="540" spans="1:11">
      <c r="A540" s="11" t="s">
        <v>1130</v>
      </c>
      <c r="B540" s="12" t="s">
        <v>658</v>
      </c>
      <c r="C540" s="10"/>
      <c r="D540" s="14" t="s">
        <v>124</v>
      </c>
      <c r="E540" s="205">
        <v>1948.75</v>
      </c>
      <c r="F540" s="205">
        <v>1948.75</v>
      </c>
      <c r="G540" s="205">
        <f t="shared" ref="G540:G545" si="232">F540-E540</f>
        <v>0</v>
      </c>
      <c r="H540" s="192">
        <v>1.75</v>
      </c>
      <c r="I540" s="205">
        <f t="shared" si="227"/>
        <v>3410.3125</v>
      </c>
      <c r="J540" s="205">
        <f>H540*F540</f>
        <v>3410.3125</v>
      </c>
      <c r="K540" s="205">
        <f t="shared" ref="K540:K545" si="233">G540*H540</f>
        <v>0</v>
      </c>
    </row>
    <row r="541" spans="1:11" ht="26">
      <c r="A541" s="11" t="s">
        <v>1131</v>
      </c>
      <c r="B541" s="12" t="s">
        <v>659</v>
      </c>
      <c r="C541" s="10"/>
      <c r="D541" s="14" t="s">
        <v>87</v>
      </c>
      <c r="E541" s="205">
        <v>58.46</v>
      </c>
      <c r="F541" s="205">
        <v>58.46</v>
      </c>
      <c r="G541" s="205">
        <f t="shared" si="232"/>
        <v>0</v>
      </c>
      <c r="H541" s="192">
        <v>10.32</v>
      </c>
      <c r="I541" s="205">
        <f t="shared" si="227"/>
        <v>603.30720000000008</v>
      </c>
      <c r="J541" s="205">
        <f t="shared" ref="J541:J545" si="234">H541*F541</f>
        <v>603.30720000000008</v>
      </c>
      <c r="K541" s="205">
        <f t="shared" si="233"/>
        <v>0</v>
      </c>
    </row>
    <row r="542" spans="1:11" ht="28.5" customHeight="1">
      <c r="A542" s="11" t="s">
        <v>1132</v>
      </c>
      <c r="B542" s="12" t="s">
        <v>660</v>
      </c>
      <c r="C542" s="10"/>
      <c r="D542" s="14" t="s">
        <v>1485</v>
      </c>
      <c r="E542" s="205">
        <v>1753.88</v>
      </c>
      <c r="F542" s="205">
        <v>1753.88</v>
      </c>
      <c r="G542" s="205">
        <v>5.0000000000000001E-3</v>
      </c>
      <c r="H542" s="192">
        <v>2.14</v>
      </c>
      <c r="I542" s="205">
        <f t="shared" si="227"/>
        <v>3753.3032000000003</v>
      </c>
      <c r="J542" s="205">
        <f t="shared" si="234"/>
        <v>3753.3032000000003</v>
      </c>
      <c r="K542" s="205">
        <f t="shared" si="233"/>
        <v>1.0700000000000001E-2</v>
      </c>
    </row>
    <row r="543" spans="1:11" ht="32.5" customHeight="1">
      <c r="A543" s="11" t="s">
        <v>1133</v>
      </c>
      <c r="B543" s="18" t="s">
        <v>668</v>
      </c>
      <c r="C543" s="10"/>
      <c r="D543" s="189" t="s">
        <v>1485</v>
      </c>
      <c r="E543" s="205">
        <v>3231.47</v>
      </c>
      <c r="F543" s="205">
        <v>4735.46</v>
      </c>
      <c r="G543" s="205">
        <f t="shared" si="232"/>
        <v>1503.9900000000002</v>
      </c>
      <c r="H543" s="193">
        <v>0.87</v>
      </c>
      <c r="I543" s="205">
        <f t="shared" si="227"/>
        <v>2811.3788999999997</v>
      </c>
      <c r="J543" s="205">
        <f t="shared" si="234"/>
        <v>4119.8501999999999</v>
      </c>
      <c r="K543" s="205">
        <f t="shared" si="233"/>
        <v>1308.4713000000002</v>
      </c>
    </row>
    <row r="544" spans="1:11" ht="26.5">
      <c r="A544" s="11" t="s">
        <v>1134</v>
      </c>
      <c r="B544" s="18" t="s">
        <v>670</v>
      </c>
      <c r="C544" s="10"/>
      <c r="D544" s="14" t="s">
        <v>87</v>
      </c>
      <c r="E544" s="205">
        <v>58.46</v>
      </c>
      <c r="F544" s="205">
        <v>58.46</v>
      </c>
      <c r="G544" s="205">
        <f t="shared" si="232"/>
        <v>0</v>
      </c>
      <c r="H544" s="192">
        <v>1248.29</v>
      </c>
      <c r="I544" s="205">
        <f t="shared" si="227"/>
        <v>72975.0334</v>
      </c>
      <c r="J544" s="205">
        <f t="shared" si="234"/>
        <v>72975.0334</v>
      </c>
      <c r="K544" s="205">
        <f t="shared" si="233"/>
        <v>0</v>
      </c>
    </row>
    <row r="545" spans="1:11" ht="16.5" customHeight="1">
      <c r="A545" s="11" t="s">
        <v>1135</v>
      </c>
      <c r="B545" s="16" t="s">
        <v>671</v>
      </c>
      <c r="C545" s="10" t="s">
        <v>87</v>
      </c>
      <c r="D545" s="14" t="s">
        <v>124</v>
      </c>
      <c r="E545" s="205">
        <v>1948.75</v>
      </c>
      <c r="F545" s="205">
        <v>1948.75</v>
      </c>
      <c r="G545" s="205">
        <f t="shared" si="232"/>
        <v>0</v>
      </c>
      <c r="H545" s="192">
        <v>2.83</v>
      </c>
      <c r="I545" s="205">
        <f t="shared" si="227"/>
        <v>5514.9625000000005</v>
      </c>
      <c r="J545" s="205">
        <f t="shared" si="234"/>
        <v>5514.9625000000005</v>
      </c>
      <c r="K545" s="205">
        <f t="shared" si="233"/>
        <v>0</v>
      </c>
    </row>
    <row r="546" spans="1:11">
      <c r="A546" s="8" t="s">
        <v>1136</v>
      </c>
      <c r="B546" s="9" t="s">
        <v>107</v>
      </c>
      <c r="C546" s="8"/>
      <c r="D546" s="8"/>
      <c r="E546" s="211"/>
      <c r="F546" s="211"/>
      <c r="G546" s="211"/>
      <c r="H546" s="191"/>
      <c r="I546" s="204">
        <f>SUM(I547:I549)</f>
        <v>0</v>
      </c>
      <c r="J546" s="204">
        <f>SUM(J547:J549)</f>
        <v>0</v>
      </c>
      <c r="K546" s="204">
        <f>SUM(K547:K549)</f>
        <v>0</v>
      </c>
    </row>
    <row r="547" spans="1:11" ht="39">
      <c r="A547" s="11" t="s">
        <v>1137</v>
      </c>
      <c r="B547" s="12" t="s">
        <v>673</v>
      </c>
      <c r="C547" s="10" t="s">
        <v>33</v>
      </c>
      <c r="D547" s="13" t="s">
        <v>1486</v>
      </c>
      <c r="E547" s="205">
        <v>0</v>
      </c>
      <c r="F547" s="205">
        <v>0</v>
      </c>
      <c r="G547" s="205">
        <f>F547-E547</f>
        <v>0</v>
      </c>
      <c r="H547" s="192">
        <v>625.09</v>
      </c>
      <c r="I547" s="205">
        <f t="shared" si="227"/>
        <v>0</v>
      </c>
      <c r="J547" s="205">
        <f>H547*F547</f>
        <v>0</v>
      </c>
      <c r="K547" s="205">
        <f t="shared" ref="K547:K549" si="235">G547*H547</f>
        <v>0</v>
      </c>
    </row>
    <row r="548" spans="1:11" ht="17" customHeight="1">
      <c r="A548" s="11" t="s">
        <v>1138</v>
      </c>
      <c r="B548" s="190" t="s">
        <v>679</v>
      </c>
      <c r="C548" s="10" t="s">
        <v>33</v>
      </c>
      <c r="D548" s="13" t="s">
        <v>124</v>
      </c>
      <c r="E548" s="205">
        <v>0</v>
      </c>
      <c r="F548" s="205">
        <v>0</v>
      </c>
      <c r="G548" s="205">
        <f>F548-E548</f>
        <v>0</v>
      </c>
      <c r="H548" s="192">
        <v>16.260000000000002</v>
      </c>
      <c r="I548" s="205">
        <f t="shared" si="227"/>
        <v>0</v>
      </c>
      <c r="J548" s="205">
        <f t="shared" ref="J548:J549" si="236">H548*F548</f>
        <v>0</v>
      </c>
      <c r="K548" s="205">
        <f t="shared" si="235"/>
        <v>0</v>
      </c>
    </row>
    <row r="549" spans="1:11" ht="16.5" customHeight="1">
      <c r="A549" s="11" t="s">
        <v>1139</v>
      </c>
      <c r="B549" s="12" t="s">
        <v>674</v>
      </c>
      <c r="C549" s="10" t="s">
        <v>33</v>
      </c>
      <c r="D549" s="13" t="s">
        <v>124</v>
      </c>
      <c r="E549" s="205">
        <v>0</v>
      </c>
      <c r="F549" s="205">
        <v>0</v>
      </c>
      <c r="G549" s="205">
        <f>F549-E549</f>
        <v>0</v>
      </c>
      <c r="H549" s="192">
        <v>4.5599999999999996</v>
      </c>
      <c r="I549" s="205">
        <f t="shared" si="227"/>
        <v>0</v>
      </c>
      <c r="J549" s="205">
        <f t="shared" si="236"/>
        <v>0</v>
      </c>
      <c r="K549" s="205">
        <f t="shared" si="235"/>
        <v>0</v>
      </c>
    </row>
    <row r="550" spans="1:11">
      <c r="A550" s="8" t="s">
        <v>1140</v>
      </c>
      <c r="B550" s="9" t="s">
        <v>677</v>
      </c>
      <c r="C550" s="8"/>
      <c r="D550" s="8"/>
      <c r="E550" s="211"/>
      <c r="F550" s="211"/>
      <c r="G550" s="211"/>
      <c r="H550" s="191"/>
      <c r="I550" s="204">
        <f>SUM(I551:I552)</f>
        <v>3410.3125</v>
      </c>
      <c r="J550" s="204">
        <f>SUM(J551:J552)</f>
        <v>3410.3125</v>
      </c>
      <c r="K550" s="204">
        <f>SUM(K551:K552)</f>
        <v>0</v>
      </c>
    </row>
    <row r="551" spans="1:11">
      <c r="A551" s="11" t="s">
        <v>1141</v>
      </c>
      <c r="B551" s="12" t="s">
        <v>658</v>
      </c>
      <c r="C551" s="10" t="s">
        <v>11</v>
      </c>
      <c r="D551" s="13" t="s">
        <v>124</v>
      </c>
      <c r="E551" s="205">
        <v>1948.75</v>
      </c>
      <c r="F551" s="205">
        <v>1948.75</v>
      </c>
      <c r="G551" s="205">
        <f>F551-E551</f>
        <v>0</v>
      </c>
      <c r="H551" s="192">
        <v>1.75</v>
      </c>
      <c r="I551" s="205">
        <f t="shared" si="227"/>
        <v>3410.3125</v>
      </c>
      <c r="J551" s="205">
        <f>H551*F551</f>
        <v>3410.3125</v>
      </c>
      <c r="K551" s="205">
        <f t="shared" ref="K551:K552" si="237">G551*H551</f>
        <v>0</v>
      </c>
    </row>
    <row r="552" spans="1:11">
      <c r="A552" s="11" t="s">
        <v>1142</v>
      </c>
      <c r="B552" s="12" t="s">
        <v>678</v>
      </c>
      <c r="C552" s="10" t="s">
        <v>11</v>
      </c>
      <c r="D552" s="13" t="s">
        <v>1486</v>
      </c>
      <c r="E552" s="205">
        <v>0</v>
      </c>
      <c r="F552" s="205">
        <v>0</v>
      </c>
      <c r="G552" s="205">
        <f>F552-E552</f>
        <v>0</v>
      </c>
      <c r="H552" s="192">
        <v>92.34</v>
      </c>
      <c r="I552" s="205">
        <f t="shared" si="227"/>
        <v>0</v>
      </c>
      <c r="J552" s="205">
        <f>H552*F552</f>
        <v>0</v>
      </c>
      <c r="K552" s="205">
        <f t="shared" si="237"/>
        <v>0</v>
      </c>
    </row>
    <row r="553" spans="1:11">
      <c r="A553" s="183">
        <v>21</v>
      </c>
      <c r="B553" s="188" t="s">
        <v>1473</v>
      </c>
      <c r="C553" s="183"/>
      <c r="D553" s="183"/>
      <c r="E553" s="210"/>
      <c r="F553" s="210"/>
      <c r="G553" s="210"/>
      <c r="H553" s="194"/>
      <c r="I553" s="203">
        <f>SUM(I554,I557,I559,I566,I573,I577)</f>
        <v>132094.72080000001</v>
      </c>
      <c r="J553" s="203">
        <f>SUM(J554,J557,J559,J566,J573,J577)</f>
        <v>148818.55420000001</v>
      </c>
      <c r="K553" s="203">
        <f>SUM(K554,K557,K559,K566,K573,K577)</f>
        <v>16723.848399999999</v>
      </c>
    </row>
    <row r="554" spans="1:11">
      <c r="A554" s="8" t="s">
        <v>1143</v>
      </c>
      <c r="B554" s="9" t="s">
        <v>8</v>
      </c>
      <c r="C554" s="8"/>
      <c r="D554" s="8"/>
      <c r="E554" s="211"/>
      <c r="F554" s="211"/>
      <c r="G554" s="211"/>
      <c r="H554" s="191"/>
      <c r="I554" s="204">
        <f>SUM(I555:I556)</f>
        <v>9839.2740999999987</v>
      </c>
      <c r="J554" s="204">
        <f>SUM(J555:J556)</f>
        <v>24675.842700000001</v>
      </c>
      <c r="K554" s="204">
        <f>SUM(K555:K556)</f>
        <v>14836.568600000001</v>
      </c>
    </row>
    <row r="555" spans="1:11" ht="26">
      <c r="A555" s="11" t="s">
        <v>1144</v>
      </c>
      <c r="B555" s="12" t="s">
        <v>652</v>
      </c>
      <c r="C555" s="10" t="s">
        <v>13</v>
      </c>
      <c r="D555" s="13" t="s">
        <v>124</v>
      </c>
      <c r="E555" s="205">
        <v>1308.29</v>
      </c>
      <c r="F555" s="205">
        <v>1308.29</v>
      </c>
      <c r="G555" s="205">
        <f>F555-E555</f>
        <v>0</v>
      </c>
      <c r="H555" s="192">
        <v>0.36</v>
      </c>
      <c r="I555" s="205">
        <f>H555*E555</f>
        <v>470.98439999999999</v>
      </c>
      <c r="J555" s="205">
        <f>H555*F555</f>
        <v>470.98439999999999</v>
      </c>
      <c r="K555" s="205">
        <f t="shared" ref="K555:K556" si="238">G555*H555</f>
        <v>0</v>
      </c>
    </row>
    <row r="556" spans="1:11" ht="52">
      <c r="A556" s="11" t="s">
        <v>1145</v>
      </c>
      <c r="B556" s="12" t="s">
        <v>649</v>
      </c>
      <c r="C556" s="10" t="s">
        <v>11</v>
      </c>
      <c r="D556" s="13" t="s">
        <v>124</v>
      </c>
      <c r="E556" s="205">
        <v>151.91</v>
      </c>
      <c r="F556" s="205">
        <v>392.49</v>
      </c>
      <c r="G556" s="205">
        <f>F556-E556</f>
        <v>240.58</v>
      </c>
      <c r="H556" s="192">
        <v>61.67</v>
      </c>
      <c r="I556" s="205">
        <f>H556*E556</f>
        <v>9368.2896999999994</v>
      </c>
      <c r="J556" s="205">
        <f>H556*F556</f>
        <v>24204.8583</v>
      </c>
      <c r="K556" s="205">
        <f t="shared" si="238"/>
        <v>14836.568600000001</v>
      </c>
    </row>
    <row r="557" spans="1:11">
      <c r="A557" s="8" t="s">
        <v>1146</v>
      </c>
      <c r="B557" s="9" t="s">
        <v>654</v>
      </c>
      <c r="C557" s="8"/>
      <c r="D557" s="8"/>
      <c r="E557" s="211"/>
      <c r="F557" s="211"/>
      <c r="G557" s="211"/>
      <c r="H557" s="191"/>
      <c r="I557" s="204">
        <f>SUM(I558:I558)</f>
        <v>497.15019999999998</v>
      </c>
      <c r="J557" s="204">
        <f>SUM(J558:J558)</f>
        <v>497.15019999999998</v>
      </c>
      <c r="K557" s="204">
        <f>SUM(K558:K558)</f>
        <v>0</v>
      </c>
    </row>
    <row r="558" spans="1:11" ht="26">
      <c r="A558" s="11" t="s">
        <v>1147</v>
      </c>
      <c r="B558" s="12" t="s">
        <v>655</v>
      </c>
      <c r="C558" s="10"/>
      <c r="D558" s="13" t="s">
        <v>124</v>
      </c>
      <c r="E558" s="205">
        <v>1308.29</v>
      </c>
      <c r="F558" s="205">
        <v>1308.29</v>
      </c>
      <c r="G558" s="205">
        <f>F558-E558</f>
        <v>0</v>
      </c>
      <c r="H558" s="192">
        <v>0.38</v>
      </c>
      <c r="I558" s="205">
        <f t="shared" ref="I558:I579" si="239">H558*E558</f>
        <v>497.15019999999998</v>
      </c>
      <c r="J558" s="205">
        <f>H558*F558</f>
        <v>497.15019999999998</v>
      </c>
      <c r="K558" s="205">
        <f t="shared" ref="K558" si="240">G558*H558</f>
        <v>0</v>
      </c>
    </row>
    <row r="559" spans="1:11">
      <c r="A559" s="8" t="s">
        <v>1148</v>
      </c>
      <c r="B559" s="9" t="s">
        <v>657</v>
      </c>
      <c r="C559" s="8"/>
      <c r="D559" s="8"/>
      <c r="E559" s="211"/>
      <c r="F559" s="211"/>
      <c r="G559" s="211"/>
      <c r="H559" s="191"/>
      <c r="I559" s="204">
        <f>SUM(I560:I565)</f>
        <v>59734.394500000002</v>
      </c>
      <c r="J559" s="204">
        <f>SUM(J560:J565)</f>
        <v>60678.026900000004</v>
      </c>
      <c r="K559" s="204">
        <f>SUM(K560:K565)</f>
        <v>943.63990000000001</v>
      </c>
    </row>
    <row r="560" spans="1:11">
      <c r="A560" s="11" t="s">
        <v>1149</v>
      </c>
      <c r="B560" s="12" t="s">
        <v>658</v>
      </c>
      <c r="C560" s="10"/>
      <c r="D560" s="13" t="s">
        <v>124</v>
      </c>
      <c r="E560" s="205">
        <v>1308.29</v>
      </c>
      <c r="F560" s="205">
        <v>1308.29</v>
      </c>
      <c r="G560" s="205">
        <f t="shared" ref="G560:G565" si="241">F560-E560</f>
        <v>0</v>
      </c>
      <c r="H560" s="192">
        <v>1.75</v>
      </c>
      <c r="I560" s="205">
        <f t="shared" si="239"/>
        <v>2289.5074999999997</v>
      </c>
      <c r="J560" s="205">
        <f>H560*F560</f>
        <v>2289.5074999999997</v>
      </c>
      <c r="K560" s="205">
        <f t="shared" ref="K560:K572" si="242">G560*H560</f>
        <v>0</v>
      </c>
    </row>
    <row r="561" spans="1:11" ht="26">
      <c r="A561" s="11" t="s">
        <v>1150</v>
      </c>
      <c r="B561" s="12" t="s">
        <v>659</v>
      </c>
      <c r="C561" s="10"/>
      <c r="D561" s="13" t="s">
        <v>87</v>
      </c>
      <c r="E561" s="205">
        <v>39.25</v>
      </c>
      <c r="F561" s="205">
        <v>39.25</v>
      </c>
      <c r="G561" s="205">
        <f t="shared" si="241"/>
        <v>0</v>
      </c>
      <c r="H561" s="192">
        <v>10.32</v>
      </c>
      <c r="I561" s="205">
        <f t="shared" si="239"/>
        <v>405.06</v>
      </c>
      <c r="J561" s="205">
        <f t="shared" ref="J561:J565" si="243">H561*F561</f>
        <v>405.06</v>
      </c>
      <c r="K561" s="205">
        <v>0.01</v>
      </c>
    </row>
    <row r="562" spans="1:11" ht="28.5" customHeight="1">
      <c r="A562" s="11" t="s">
        <v>1151</v>
      </c>
      <c r="B562" s="12" t="s">
        <v>660</v>
      </c>
      <c r="C562" s="10"/>
      <c r="D562" s="13" t="s">
        <v>1485</v>
      </c>
      <c r="E562" s="205">
        <v>1177.46</v>
      </c>
      <c r="F562" s="205">
        <v>1177.46</v>
      </c>
      <c r="G562" s="205">
        <f t="shared" si="241"/>
        <v>0</v>
      </c>
      <c r="H562" s="192">
        <v>2.14</v>
      </c>
      <c r="I562" s="205">
        <f t="shared" si="239"/>
        <v>2519.7644</v>
      </c>
      <c r="J562" s="205">
        <f t="shared" si="243"/>
        <v>2519.7644</v>
      </c>
      <c r="K562" s="205">
        <f t="shared" si="242"/>
        <v>0</v>
      </c>
    </row>
    <row r="563" spans="1:11" ht="29" customHeight="1">
      <c r="A563" s="11" t="s">
        <v>1152</v>
      </c>
      <c r="B563" s="12" t="s">
        <v>668</v>
      </c>
      <c r="C563" s="10"/>
      <c r="D563" s="13" t="s">
        <v>1485</v>
      </c>
      <c r="E563" s="205">
        <v>2096.37</v>
      </c>
      <c r="F563" s="205">
        <v>3179.14</v>
      </c>
      <c r="G563" s="205">
        <f t="shared" si="241"/>
        <v>1082.77</v>
      </c>
      <c r="H563" s="192">
        <v>0.87</v>
      </c>
      <c r="I563" s="205">
        <f t="shared" si="239"/>
        <v>1823.8418999999999</v>
      </c>
      <c r="J563" s="205">
        <f t="shared" si="243"/>
        <v>2765.8517999999999</v>
      </c>
      <c r="K563" s="205">
        <f t="shared" si="242"/>
        <v>942.00990000000002</v>
      </c>
    </row>
    <row r="564" spans="1:11" ht="28" customHeight="1">
      <c r="A564" s="11" t="s">
        <v>1153</v>
      </c>
      <c r="B564" s="12" t="s">
        <v>661</v>
      </c>
      <c r="C564" s="10"/>
      <c r="D564" s="13" t="s">
        <v>87</v>
      </c>
      <c r="E564" s="205">
        <v>39.25</v>
      </c>
      <c r="F564" s="205">
        <v>39.25</v>
      </c>
      <c r="G564" s="205">
        <f t="shared" si="241"/>
        <v>0</v>
      </c>
      <c r="H564" s="192">
        <v>1248.29</v>
      </c>
      <c r="I564" s="205">
        <v>48993.760000000002</v>
      </c>
      <c r="J564" s="205">
        <f t="shared" si="243"/>
        <v>48995.3825</v>
      </c>
      <c r="K564" s="205">
        <v>1.62</v>
      </c>
    </row>
    <row r="565" spans="1:11" ht="17.5" customHeight="1">
      <c r="A565" s="11" t="s">
        <v>1154</v>
      </c>
      <c r="B565" s="12" t="s">
        <v>662</v>
      </c>
      <c r="C565" s="10"/>
      <c r="D565" s="13" t="s">
        <v>124</v>
      </c>
      <c r="E565" s="205">
        <v>1308.29</v>
      </c>
      <c r="F565" s="205">
        <v>1308.29</v>
      </c>
      <c r="G565" s="205">
        <f t="shared" si="241"/>
        <v>0</v>
      </c>
      <c r="H565" s="192">
        <v>2.83</v>
      </c>
      <c r="I565" s="205">
        <f t="shared" si="239"/>
        <v>3702.4607000000001</v>
      </c>
      <c r="J565" s="205">
        <f t="shared" si="243"/>
        <v>3702.4607000000001</v>
      </c>
      <c r="K565" s="205">
        <f t="shared" si="242"/>
        <v>0</v>
      </c>
    </row>
    <row r="566" spans="1:11">
      <c r="A566" s="8" t="s">
        <v>1155</v>
      </c>
      <c r="B566" s="9" t="s">
        <v>669</v>
      </c>
      <c r="C566" s="8"/>
      <c r="D566" s="8"/>
      <c r="E566" s="211"/>
      <c r="F566" s="211"/>
      <c r="G566" s="211"/>
      <c r="H566" s="191"/>
      <c r="I566" s="204">
        <f>SUM(I567:I572)</f>
        <v>59734.394500000002</v>
      </c>
      <c r="J566" s="204">
        <f>SUM(J567:J572)</f>
        <v>60678.026900000004</v>
      </c>
      <c r="K566" s="204">
        <f>SUM(K567:K572)</f>
        <v>943.63990000000001</v>
      </c>
    </row>
    <row r="567" spans="1:11">
      <c r="A567" s="11" t="s">
        <v>1156</v>
      </c>
      <c r="B567" s="12" t="s">
        <v>658</v>
      </c>
      <c r="C567" s="10"/>
      <c r="D567" s="14" t="s">
        <v>124</v>
      </c>
      <c r="E567" s="205">
        <v>1308.29</v>
      </c>
      <c r="F567" s="205">
        <v>1308.29</v>
      </c>
      <c r="G567" s="205">
        <f t="shared" ref="G567:G572" si="244">F567-E567</f>
        <v>0</v>
      </c>
      <c r="H567" s="192">
        <v>1.75</v>
      </c>
      <c r="I567" s="205">
        <f t="shared" si="239"/>
        <v>2289.5074999999997</v>
      </c>
      <c r="J567" s="205">
        <f>H567*F567</f>
        <v>2289.5074999999997</v>
      </c>
      <c r="K567" s="205">
        <f t="shared" si="242"/>
        <v>0</v>
      </c>
    </row>
    <row r="568" spans="1:11" ht="26">
      <c r="A568" s="11" t="s">
        <v>1157</v>
      </c>
      <c r="B568" s="12" t="s">
        <v>659</v>
      </c>
      <c r="C568" s="10"/>
      <c r="D568" s="14" t="s">
        <v>87</v>
      </c>
      <c r="E568" s="205">
        <v>39.25</v>
      </c>
      <c r="F568" s="205">
        <v>39.25</v>
      </c>
      <c r="G568" s="205">
        <f t="shared" si="244"/>
        <v>0</v>
      </c>
      <c r="H568" s="192">
        <v>10.32</v>
      </c>
      <c r="I568" s="205">
        <f t="shared" si="239"/>
        <v>405.06</v>
      </c>
      <c r="J568" s="205">
        <f t="shared" ref="J568:J572" si="245">H568*F568</f>
        <v>405.06</v>
      </c>
      <c r="K568" s="205">
        <v>0.01</v>
      </c>
    </row>
    <row r="569" spans="1:11" ht="28.5" customHeight="1">
      <c r="A569" s="11" t="s">
        <v>1158</v>
      </c>
      <c r="B569" s="12" t="s">
        <v>660</v>
      </c>
      <c r="C569" s="10"/>
      <c r="D569" s="14" t="s">
        <v>1485</v>
      </c>
      <c r="E569" s="205">
        <v>1177.46</v>
      </c>
      <c r="F569" s="205">
        <v>1177.46</v>
      </c>
      <c r="G569" s="205">
        <f t="shared" si="244"/>
        <v>0</v>
      </c>
      <c r="H569" s="192">
        <v>2.14</v>
      </c>
      <c r="I569" s="205">
        <f t="shared" si="239"/>
        <v>2519.7644</v>
      </c>
      <c r="J569" s="205">
        <f t="shared" si="245"/>
        <v>2519.7644</v>
      </c>
      <c r="K569" s="205">
        <f t="shared" si="242"/>
        <v>0</v>
      </c>
    </row>
    <row r="570" spans="1:11" ht="32.5" customHeight="1">
      <c r="A570" s="11" t="s">
        <v>1159</v>
      </c>
      <c r="B570" s="18" t="s">
        <v>668</v>
      </c>
      <c r="C570" s="10"/>
      <c r="D570" s="189" t="s">
        <v>1485</v>
      </c>
      <c r="E570" s="205">
        <v>2096.37</v>
      </c>
      <c r="F570" s="205">
        <v>3179.14</v>
      </c>
      <c r="G570" s="205">
        <f t="shared" si="244"/>
        <v>1082.77</v>
      </c>
      <c r="H570" s="193">
        <v>0.87</v>
      </c>
      <c r="I570" s="205">
        <f t="shared" si="239"/>
        <v>1823.8418999999999</v>
      </c>
      <c r="J570" s="205">
        <f t="shared" si="245"/>
        <v>2765.8517999999999</v>
      </c>
      <c r="K570" s="205">
        <f t="shared" si="242"/>
        <v>942.00990000000002</v>
      </c>
    </row>
    <row r="571" spans="1:11" ht="26.5">
      <c r="A571" s="11" t="s">
        <v>1160</v>
      </c>
      <c r="B571" s="18" t="s">
        <v>670</v>
      </c>
      <c r="C571" s="10"/>
      <c r="D571" s="14" t="s">
        <v>87</v>
      </c>
      <c r="E571" s="205">
        <v>39.25</v>
      </c>
      <c r="F571" s="205">
        <v>39.25</v>
      </c>
      <c r="G571" s="205">
        <f t="shared" si="244"/>
        <v>0</v>
      </c>
      <c r="H571" s="192">
        <v>1248.29</v>
      </c>
      <c r="I571" s="205">
        <v>48993.760000000002</v>
      </c>
      <c r="J571" s="205">
        <f t="shared" si="245"/>
        <v>48995.3825</v>
      </c>
      <c r="K571" s="205">
        <v>1.62</v>
      </c>
    </row>
    <row r="572" spans="1:11" ht="16.5" customHeight="1">
      <c r="A572" s="11" t="s">
        <v>1161</v>
      </c>
      <c r="B572" s="16" t="s">
        <v>671</v>
      </c>
      <c r="C572" s="10" t="s">
        <v>87</v>
      </c>
      <c r="D572" s="14" t="s">
        <v>124</v>
      </c>
      <c r="E572" s="205">
        <v>1308.29</v>
      </c>
      <c r="F572" s="205">
        <v>1308.29</v>
      </c>
      <c r="G572" s="205">
        <f t="shared" si="244"/>
        <v>0</v>
      </c>
      <c r="H572" s="192">
        <v>2.83</v>
      </c>
      <c r="I572" s="205">
        <f t="shared" si="239"/>
        <v>3702.4607000000001</v>
      </c>
      <c r="J572" s="205">
        <f t="shared" si="245"/>
        <v>3702.4607000000001</v>
      </c>
      <c r="K572" s="205">
        <f t="shared" si="242"/>
        <v>0</v>
      </c>
    </row>
    <row r="573" spans="1:11">
      <c r="A573" s="8" t="s">
        <v>1162</v>
      </c>
      <c r="B573" s="9" t="s">
        <v>107</v>
      </c>
      <c r="C573" s="8"/>
      <c r="D573" s="8"/>
      <c r="E573" s="211"/>
      <c r="F573" s="211"/>
      <c r="G573" s="211"/>
      <c r="H573" s="191"/>
      <c r="I573" s="204">
        <f>SUM(I574:I576)</f>
        <v>0</v>
      </c>
      <c r="J573" s="204">
        <f>SUM(J574:J576)</f>
        <v>0</v>
      </c>
      <c r="K573" s="204">
        <f>SUM(K574:K576)</f>
        <v>0</v>
      </c>
    </row>
    <row r="574" spans="1:11" ht="39">
      <c r="A574" s="11" t="s">
        <v>1163</v>
      </c>
      <c r="B574" s="12" t="s">
        <v>673</v>
      </c>
      <c r="C574" s="10" t="s">
        <v>33</v>
      </c>
      <c r="D574" s="13" t="s">
        <v>1486</v>
      </c>
      <c r="E574" s="205">
        <v>0</v>
      </c>
      <c r="F574" s="205">
        <v>0</v>
      </c>
      <c r="G574" s="205">
        <f>F574-E574</f>
        <v>0</v>
      </c>
      <c r="H574" s="192">
        <v>625.09</v>
      </c>
      <c r="I574" s="205">
        <f t="shared" si="239"/>
        <v>0</v>
      </c>
      <c r="J574" s="205">
        <f>H574*F574</f>
        <v>0</v>
      </c>
      <c r="K574" s="205">
        <f t="shared" ref="K574:K576" si="246">G574*H574</f>
        <v>0</v>
      </c>
    </row>
    <row r="575" spans="1:11" ht="17" customHeight="1">
      <c r="A575" s="11" t="s">
        <v>1164</v>
      </c>
      <c r="B575" s="190" t="s">
        <v>679</v>
      </c>
      <c r="C575" s="10" t="s">
        <v>33</v>
      </c>
      <c r="D575" s="13" t="s">
        <v>124</v>
      </c>
      <c r="E575" s="205">
        <v>0</v>
      </c>
      <c r="F575" s="205">
        <v>0</v>
      </c>
      <c r="G575" s="205">
        <f>F575-E575</f>
        <v>0</v>
      </c>
      <c r="H575" s="192">
        <v>16.260000000000002</v>
      </c>
      <c r="I575" s="205">
        <f t="shared" si="239"/>
        <v>0</v>
      </c>
      <c r="J575" s="205">
        <f t="shared" ref="J575:J576" si="247">H575*F575</f>
        <v>0</v>
      </c>
      <c r="K575" s="205">
        <f t="shared" si="246"/>
        <v>0</v>
      </c>
    </row>
    <row r="576" spans="1:11" ht="16.5" customHeight="1">
      <c r="A576" s="11" t="s">
        <v>1165</v>
      </c>
      <c r="B576" s="12" t="s">
        <v>674</v>
      </c>
      <c r="C576" s="10" t="s">
        <v>33</v>
      </c>
      <c r="D576" s="13" t="s">
        <v>124</v>
      </c>
      <c r="E576" s="205">
        <v>0</v>
      </c>
      <c r="F576" s="205">
        <v>0</v>
      </c>
      <c r="G576" s="205">
        <f>F576-E576</f>
        <v>0</v>
      </c>
      <c r="H576" s="192">
        <v>4.5599999999999996</v>
      </c>
      <c r="I576" s="205">
        <f t="shared" si="239"/>
        <v>0</v>
      </c>
      <c r="J576" s="205">
        <f t="shared" si="247"/>
        <v>0</v>
      </c>
      <c r="K576" s="205">
        <f t="shared" si="246"/>
        <v>0</v>
      </c>
    </row>
    <row r="577" spans="1:11">
      <c r="A577" s="8" t="s">
        <v>1166</v>
      </c>
      <c r="B577" s="9" t="s">
        <v>677</v>
      </c>
      <c r="C577" s="8"/>
      <c r="D577" s="8"/>
      <c r="E577" s="211">
        <v>0</v>
      </c>
      <c r="F577" s="211">
        <v>0</v>
      </c>
      <c r="G577" s="211">
        <v>0</v>
      </c>
      <c r="H577" s="191"/>
      <c r="I577" s="204">
        <f>SUM(I578:I579)</f>
        <v>2289.5074999999997</v>
      </c>
      <c r="J577" s="204">
        <f>SUM(J578:J579)</f>
        <v>2289.5074999999997</v>
      </c>
      <c r="K577" s="204">
        <f>SUM(K578:K579)</f>
        <v>0</v>
      </c>
    </row>
    <row r="578" spans="1:11">
      <c r="A578" s="11" t="s">
        <v>1167</v>
      </c>
      <c r="B578" s="12" t="s">
        <v>658</v>
      </c>
      <c r="C578" s="10" t="s">
        <v>11</v>
      </c>
      <c r="D578" s="13" t="s">
        <v>124</v>
      </c>
      <c r="E578" s="205">
        <v>1308.29</v>
      </c>
      <c r="F578" s="205">
        <v>1308.29</v>
      </c>
      <c r="G578" s="205">
        <f>F578-E578</f>
        <v>0</v>
      </c>
      <c r="H578" s="192">
        <v>1.75</v>
      </c>
      <c r="I578" s="205">
        <f t="shared" si="239"/>
        <v>2289.5074999999997</v>
      </c>
      <c r="J578" s="205">
        <f>H578*F578</f>
        <v>2289.5074999999997</v>
      </c>
      <c r="K578" s="205">
        <f t="shared" ref="K578:K579" si="248">G578*H578</f>
        <v>0</v>
      </c>
    </row>
    <row r="579" spans="1:11">
      <c r="A579" s="11" t="s">
        <v>1168</v>
      </c>
      <c r="B579" s="12" t="s">
        <v>678</v>
      </c>
      <c r="C579" s="10" t="s">
        <v>11</v>
      </c>
      <c r="D579" s="13" t="s">
        <v>1486</v>
      </c>
      <c r="E579" s="205">
        <v>0</v>
      </c>
      <c r="F579" s="205">
        <v>0</v>
      </c>
      <c r="G579" s="205">
        <f>F579-E579</f>
        <v>0</v>
      </c>
      <c r="H579" s="192">
        <v>92.34</v>
      </c>
      <c r="I579" s="205">
        <f t="shared" si="239"/>
        <v>0</v>
      </c>
      <c r="J579" s="205">
        <f>H579*F579</f>
        <v>0</v>
      </c>
      <c r="K579" s="205">
        <f t="shared" si="248"/>
        <v>0</v>
      </c>
    </row>
    <row r="580" spans="1:11">
      <c r="A580" s="183">
        <v>22</v>
      </c>
      <c r="B580" s="188" t="s">
        <v>1474</v>
      </c>
      <c r="C580" s="183"/>
      <c r="D580" s="183"/>
      <c r="E580" s="210"/>
      <c r="F580" s="210"/>
      <c r="G580" s="210"/>
      <c r="H580" s="194"/>
      <c r="I580" s="203">
        <f>SUM(I581,I584,I586,I593,I600,I604)</f>
        <v>158273.88910000003</v>
      </c>
      <c r="J580" s="203">
        <f>SUM(J581,J584,J586,J593,J600,J604)</f>
        <v>163402.81299999999</v>
      </c>
      <c r="K580" s="203">
        <f>SUM(K581,K584,K586,K593,K600,K604)</f>
        <v>5128.9238999999889</v>
      </c>
    </row>
    <row r="581" spans="1:11">
      <c r="A581" s="8" t="s">
        <v>1169</v>
      </c>
      <c r="B581" s="9" t="s">
        <v>8</v>
      </c>
      <c r="C581" s="8"/>
      <c r="D581" s="8"/>
      <c r="E581" s="211"/>
      <c r="F581" s="211"/>
      <c r="G581" s="211"/>
      <c r="H581" s="191"/>
      <c r="I581" s="204">
        <f>SUM(I582:I583)</f>
        <v>10184.765000000001</v>
      </c>
      <c r="J581" s="204">
        <f>SUM(J582:J583)</f>
        <v>10193.1494</v>
      </c>
      <c r="K581" s="204">
        <f>SUM(K582:K583)</f>
        <v>8.384399999999987</v>
      </c>
    </row>
    <row r="582" spans="1:11" ht="26">
      <c r="A582" s="11" t="s">
        <v>1170</v>
      </c>
      <c r="B582" s="12" t="s">
        <v>652</v>
      </c>
      <c r="C582" s="10" t="s">
        <v>13</v>
      </c>
      <c r="D582" s="13" t="s">
        <v>124</v>
      </c>
      <c r="E582" s="205">
        <v>1591.33</v>
      </c>
      <c r="F582" s="205">
        <v>1614.62</v>
      </c>
      <c r="G582" s="205">
        <f>F582-E582</f>
        <v>23.289999999999964</v>
      </c>
      <c r="H582" s="192">
        <v>0.36</v>
      </c>
      <c r="I582" s="205">
        <f>H582*E582</f>
        <v>572.87879999999996</v>
      </c>
      <c r="J582" s="205">
        <f>H582*F582</f>
        <v>581.26319999999998</v>
      </c>
      <c r="K582" s="205">
        <f t="shared" ref="K582:K583" si="249">G582*H582</f>
        <v>8.384399999999987</v>
      </c>
    </row>
    <row r="583" spans="1:11" ht="52">
      <c r="A583" s="11" t="s">
        <v>1171</v>
      </c>
      <c r="B583" s="12" t="s">
        <v>649</v>
      </c>
      <c r="C583" s="10" t="s">
        <v>11</v>
      </c>
      <c r="D583" s="13" t="s">
        <v>124</v>
      </c>
      <c r="E583" s="205">
        <v>155.86000000000001</v>
      </c>
      <c r="F583" s="205">
        <v>155.86000000000001</v>
      </c>
      <c r="G583" s="205">
        <f>F583-E583</f>
        <v>0</v>
      </c>
      <c r="H583" s="192">
        <v>61.67</v>
      </c>
      <c r="I583" s="205">
        <f>H583*E583</f>
        <v>9611.8862000000008</v>
      </c>
      <c r="J583" s="205">
        <f>H583*F583</f>
        <v>9611.8862000000008</v>
      </c>
      <c r="K583" s="205">
        <f t="shared" si="249"/>
        <v>0</v>
      </c>
    </row>
    <row r="584" spans="1:11">
      <c r="A584" s="8" t="s">
        <v>1172</v>
      </c>
      <c r="B584" s="9" t="s">
        <v>654</v>
      </c>
      <c r="C584" s="8"/>
      <c r="D584" s="8"/>
      <c r="E584" s="211"/>
      <c r="F584" s="211"/>
      <c r="G584" s="211"/>
      <c r="H584" s="191"/>
      <c r="I584" s="204">
        <f>SUM(I585:I585)</f>
        <v>604.70539999999994</v>
      </c>
      <c r="J584" s="204">
        <f>SUM(J585:J585)</f>
        <v>613.55559999999991</v>
      </c>
      <c r="K584" s="204">
        <f>SUM(K585:K585)</f>
        <v>8.8501999999999867</v>
      </c>
    </row>
    <row r="585" spans="1:11" ht="26">
      <c r="A585" s="11" t="s">
        <v>1173</v>
      </c>
      <c r="B585" s="12" t="s">
        <v>655</v>
      </c>
      <c r="C585" s="10"/>
      <c r="D585" s="13" t="s">
        <v>124</v>
      </c>
      <c r="E585" s="205">
        <v>1591.33</v>
      </c>
      <c r="F585" s="205">
        <v>1614.62</v>
      </c>
      <c r="G585" s="205">
        <f>F585-E585</f>
        <v>23.289999999999964</v>
      </c>
      <c r="H585" s="192">
        <v>0.38</v>
      </c>
      <c r="I585" s="205">
        <f t="shared" ref="I585:I606" si="250">H585*E585</f>
        <v>604.70539999999994</v>
      </c>
      <c r="J585" s="205">
        <f>H585*F585</f>
        <v>613.55559999999991</v>
      </c>
      <c r="K585" s="205">
        <f t="shared" ref="K585" si="251">G585*H585</f>
        <v>8.8501999999999867</v>
      </c>
    </row>
    <row r="586" spans="1:11">
      <c r="A586" s="8" t="s">
        <v>1174</v>
      </c>
      <c r="B586" s="9" t="s">
        <v>657</v>
      </c>
      <c r="C586" s="8"/>
      <c r="D586" s="8"/>
      <c r="E586" s="211"/>
      <c r="F586" s="211"/>
      <c r="G586" s="211"/>
      <c r="H586" s="191"/>
      <c r="I586" s="204">
        <f>SUM(I587:I592)</f>
        <v>72349.795599999998</v>
      </c>
      <c r="J586" s="204">
        <f>SUM(J587:J592)</f>
        <v>74885.261499999993</v>
      </c>
      <c r="K586" s="204">
        <f>SUM(K587:K592)</f>
        <v>2535.4658999999947</v>
      </c>
    </row>
    <row r="587" spans="1:11">
      <c r="A587" s="11" t="s">
        <v>1175</v>
      </c>
      <c r="B587" s="12" t="s">
        <v>658</v>
      </c>
      <c r="C587" s="10"/>
      <c r="D587" s="13" t="s">
        <v>124</v>
      </c>
      <c r="E587" s="205">
        <v>1591.33</v>
      </c>
      <c r="F587" s="205">
        <v>1614.62</v>
      </c>
      <c r="G587" s="205">
        <f t="shared" ref="G587:G592" si="252">F587-E587</f>
        <v>23.289999999999964</v>
      </c>
      <c r="H587" s="192">
        <v>1.75</v>
      </c>
      <c r="I587" s="205">
        <f t="shared" si="250"/>
        <v>2784.8274999999999</v>
      </c>
      <c r="J587" s="205">
        <f>H587*F587</f>
        <v>2825.585</v>
      </c>
      <c r="K587" s="205">
        <f t="shared" ref="K587:K592" si="253">G587*H587</f>
        <v>40.757499999999936</v>
      </c>
    </row>
    <row r="588" spans="1:11" ht="26">
      <c r="A588" s="11" t="s">
        <v>1176</v>
      </c>
      <c r="B588" s="12" t="s">
        <v>659</v>
      </c>
      <c r="C588" s="10"/>
      <c r="D588" s="13" t="s">
        <v>87</v>
      </c>
      <c r="E588" s="205">
        <v>47.74</v>
      </c>
      <c r="F588" s="205">
        <v>48.44</v>
      </c>
      <c r="G588" s="205">
        <f t="shared" si="252"/>
        <v>0.69999999999999574</v>
      </c>
      <c r="H588" s="192">
        <v>10.32</v>
      </c>
      <c r="I588" s="205">
        <f t="shared" si="250"/>
        <v>492.67680000000001</v>
      </c>
      <c r="J588" s="205">
        <f t="shared" ref="J588:J592" si="254">H588*F588</f>
        <v>499.9008</v>
      </c>
      <c r="K588" s="205">
        <f t="shared" si="253"/>
        <v>7.2239999999999558</v>
      </c>
    </row>
    <row r="589" spans="1:11" ht="28.5" customHeight="1">
      <c r="A589" s="11" t="s">
        <v>1177</v>
      </c>
      <c r="B589" s="12" t="s">
        <v>660</v>
      </c>
      <c r="C589" s="10"/>
      <c r="D589" s="13" t="s">
        <v>1485</v>
      </c>
      <c r="E589" s="205">
        <v>1432.2</v>
      </c>
      <c r="F589" s="205">
        <v>1453.16</v>
      </c>
      <c r="G589" s="205">
        <f t="shared" si="252"/>
        <v>20.960000000000036</v>
      </c>
      <c r="H589" s="192">
        <v>2.14</v>
      </c>
      <c r="I589" s="205">
        <f t="shared" si="250"/>
        <v>3064.9080000000004</v>
      </c>
      <c r="J589" s="205">
        <f t="shared" si="254"/>
        <v>3109.7624000000005</v>
      </c>
      <c r="K589" s="205">
        <f t="shared" si="253"/>
        <v>44.854400000000084</v>
      </c>
    </row>
    <row r="590" spans="1:11" ht="29" customHeight="1">
      <c r="A590" s="11" t="s">
        <v>1178</v>
      </c>
      <c r="B590" s="12" t="s">
        <v>668</v>
      </c>
      <c r="C590" s="10"/>
      <c r="D590" s="13" t="s">
        <v>1485</v>
      </c>
      <c r="E590" s="205">
        <v>2196.04</v>
      </c>
      <c r="F590" s="205">
        <v>3923.53</v>
      </c>
      <c r="G590" s="205">
        <f t="shared" si="252"/>
        <v>1727.4900000000002</v>
      </c>
      <c r="H590" s="192">
        <v>0.87</v>
      </c>
      <c r="I590" s="205">
        <f t="shared" si="250"/>
        <v>1910.5547999999999</v>
      </c>
      <c r="J590" s="205">
        <f t="shared" si="254"/>
        <v>3413.4711000000002</v>
      </c>
      <c r="K590" s="205">
        <f t="shared" si="253"/>
        <v>1502.9163000000001</v>
      </c>
    </row>
    <row r="591" spans="1:11" ht="28" customHeight="1">
      <c r="A591" s="11" t="s">
        <v>1179</v>
      </c>
      <c r="B591" s="12" t="s">
        <v>661</v>
      </c>
      <c r="C591" s="10"/>
      <c r="D591" s="13" t="s">
        <v>87</v>
      </c>
      <c r="E591" s="205">
        <v>47.74</v>
      </c>
      <c r="F591" s="205">
        <v>48.44</v>
      </c>
      <c r="G591" s="205">
        <f t="shared" si="252"/>
        <v>0.69999999999999574</v>
      </c>
      <c r="H591" s="192">
        <v>1248.29</v>
      </c>
      <c r="I591" s="205">
        <f t="shared" si="250"/>
        <v>59593.364600000001</v>
      </c>
      <c r="J591" s="205">
        <f t="shared" si="254"/>
        <v>60467.167599999993</v>
      </c>
      <c r="K591" s="205">
        <f t="shared" si="253"/>
        <v>873.80299999999465</v>
      </c>
    </row>
    <row r="592" spans="1:11" ht="17.5" customHeight="1">
      <c r="A592" s="11" t="s">
        <v>1180</v>
      </c>
      <c r="B592" s="12" t="s">
        <v>662</v>
      </c>
      <c r="C592" s="10"/>
      <c r="D592" s="13" t="s">
        <v>124</v>
      </c>
      <c r="E592" s="205">
        <v>1591.33</v>
      </c>
      <c r="F592" s="205">
        <v>1614.62</v>
      </c>
      <c r="G592" s="205">
        <f t="shared" si="252"/>
        <v>23.289999999999964</v>
      </c>
      <c r="H592" s="192">
        <v>2.83</v>
      </c>
      <c r="I592" s="205">
        <f t="shared" si="250"/>
        <v>4503.4638999999997</v>
      </c>
      <c r="J592" s="205">
        <f t="shared" si="254"/>
        <v>4569.3746000000001</v>
      </c>
      <c r="K592" s="205">
        <f t="shared" si="253"/>
        <v>65.910699999999892</v>
      </c>
    </row>
    <row r="593" spans="1:11">
      <c r="A593" s="8" t="s">
        <v>1181</v>
      </c>
      <c r="B593" s="9" t="s">
        <v>669</v>
      </c>
      <c r="C593" s="8"/>
      <c r="D593" s="8"/>
      <c r="E593" s="211"/>
      <c r="F593" s="211"/>
      <c r="G593" s="211"/>
      <c r="H593" s="191"/>
      <c r="I593" s="204">
        <f>SUM(I594:I599)</f>
        <v>72349.795599999998</v>
      </c>
      <c r="J593" s="204">
        <f>SUM(J594:J599)</f>
        <v>74885.261499999993</v>
      </c>
      <c r="K593" s="204">
        <f>SUM(K594:K599)</f>
        <v>2535.4658999999947</v>
      </c>
    </row>
    <row r="594" spans="1:11">
      <c r="A594" s="11" t="s">
        <v>1182</v>
      </c>
      <c r="B594" s="12" t="s">
        <v>658</v>
      </c>
      <c r="C594" s="10"/>
      <c r="D594" s="14" t="s">
        <v>124</v>
      </c>
      <c r="E594" s="205">
        <v>1591.33</v>
      </c>
      <c r="F594" s="205">
        <v>1614.62</v>
      </c>
      <c r="G594" s="205">
        <f t="shared" ref="G594:G599" si="255">F594-E594</f>
        <v>23.289999999999964</v>
      </c>
      <c r="H594" s="192">
        <v>1.75</v>
      </c>
      <c r="I594" s="205">
        <f t="shared" si="250"/>
        <v>2784.8274999999999</v>
      </c>
      <c r="J594" s="205">
        <f>H594*F594</f>
        <v>2825.585</v>
      </c>
      <c r="K594" s="205">
        <f t="shared" ref="K594:K599" si="256">G594*H594</f>
        <v>40.757499999999936</v>
      </c>
    </row>
    <row r="595" spans="1:11" ht="26">
      <c r="A595" s="11" t="s">
        <v>1183</v>
      </c>
      <c r="B595" s="12" t="s">
        <v>659</v>
      </c>
      <c r="C595" s="10"/>
      <c r="D595" s="14" t="s">
        <v>87</v>
      </c>
      <c r="E595" s="205">
        <v>47.74</v>
      </c>
      <c r="F595" s="212">
        <v>48.44</v>
      </c>
      <c r="G595" s="205">
        <f t="shared" si="255"/>
        <v>0.69999999999999574</v>
      </c>
      <c r="H595" s="192">
        <v>10.32</v>
      </c>
      <c r="I595" s="205">
        <f t="shared" si="250"/>
        <v>492.67680000000001</v>
      </c>
      <c r="J595" s="205">
        <f t="shared" ref="J595:J599" si="257">H595*F595</f>
        <v>499.9008</v>
      </c>
      <c r="K595" s="205">
        <f t="shared" si="256"/>
        <v>7.2239999999999558</v>
      </c>
    </row>
    <row r="596" spans="1:11" ht="28.5" customHeight="1">
      <c r="A596" s="11" t="s">
        <v>1184</v>
      </c>
      <c r="B596" s="12" t="s">
        <v>660</v>
      </c>
      <c r="C596" s="10"/>
      <c r="D596" s="14" t="s">
        <v>1485</v>
      </c>
      <c r="E596" s="205">
        <v>1432.2</v>
      </c>
      <c r="F596" s="212">
        <v>1453.16</v>
      </c>
      <c r="G596" s="205">
        <f t="shared" si="255"/>
        <v>20.960000000000036</v>
      </c>
      <c r="H596" s="192">
        <v>2.14</v>
      </c>
      <c r="I596" s="205">
        <f t="shared" si="250"/>
        <v>3064.9080000000004</v>
      </c>
      <c r="J596" s="205">
        <f t="shared" si="257"/>
        <v>3109.7624000000005</v>
      </c>
      <c r="K596" s="205">
        <f t="shared" si="256"/>
        <v>44.854400000000084</v>
      </c>
    </row>
    <row r="597" spans="1:11" ht="32.5" customHeight="1">
      <c r="A597" s="11" t="s">
        <v>1185</v>
      </c>
      <c r="B597" s="18" t="s">
        <v>668</v>
      </c>
      <c r="C597" s="10"/>
      <c r="D597" s="189" t="s">
        <v>1485</v>
      </c>
      <c r="E597" s="205">
        <v>2196.04</v>
      </c>
      <c r="F597" s="213">
        <v>3923.53</v>
      </c>
      <c r="G597" s="205">
        <f t="shared" si="255"/>
        <v>1727.4900000000002</v>
      </c>
      <c r="H597" s="193">
        <v>0.87</v>
      </c>
      <c r="I597" s="205">
        <f t="shared" si="250"/>
        <v>1910.5547999999999</v>
      </c>
      <c r="J597" s="205">
        <f t="shared" si="257"/>
        <v>3413.4711000000002</v>
      </c>
      <c r="K597" s="205">
        <f t="shared" si="256"/>
        <v>1502.9163000000001</v>
      </c>
    </row>
    <row r="598" spans="1:11" ht="26.5">
      <c r="A598" s="11" t="s">
        <v>1186</v>
      </c>
      <c r="B598" s="18" t="s">
        <v>670</v>
      </c>
      <c r="C598" s="10"/>
      <c r="D598" s="14" t="s">
        <v>87</v>
      </c>
      <c r="E598" s="205">
        <v>47.74</v>
      </c>
      <c r="F598" s="212">
        <v>48.44</v>
      </c>
      <c r="G598" s="205">
        <f t="shared" si="255"/>
        <v>0.69999999999999574</v>
      </c>
      <c r="H598" s="192">
        <v>1248.29</v>
      </c>
      <c r="I598" s="205">
        <f t="shared" si="250"/>
        <v>59593.364600000001</v>
      </c>
      <c r="J598" s="205">
        <f t="shared" si="257"/>
        <v>60467.167599999993</v>
      </c>
      <c r="K598" s="205">
        <f t="shared" si="256"/>
        <v>873.80299999999465</v>
      </c>
    </row>
    <row r="599" spans="1:11" ht="16.5" customHeight="1">
      <c r="A599" s="11" t="s">
        <v>1187</v>
      </c>
      <c r="B599" s="16" t="s">
        <v>671</v>
      </c>
      <c r="C599" s="10" t="s">
        <v>87</v>
      </c>
      <c r="D599" s="14" t="s">
        <v>124</v>
      </c>
      <c r="E599" s="205">
        <v>1591.33</v>
      </c>
      <c r="F599" s="205">
        <v>1614.62</v>
      </c>
      <c r="G599" s="205">
        <f t="shared" si="255"/>
        <v>23.289999999999964</v>
      </c>
      <c r="H599" s="192">
        <v>2.83</v>
      </c>
      <c r="I599" s="205">
        <f t="shared" si="250"/>
        <v>4503.4638999999997</v>
      </c>
      <c r="J599" s="205">
        <f t="shared" si="257"/>
        <v>4569.3746000000001</v>
      </c>
      <c r="K599" s="205">
        <f t="shared" si="256"/>
        <v>65.910699999999892</v>
      </c>
    </row>
    <row r="600" spans="1:11">
      <c r="A600" s="8" t="s">
        <v>1188</v>
      </c>
      <c r="B600" s="9" t="s">
        <v>107</v>
      </c>
      <c r="C600" s="8"/>
      <c r="D600" s="8"/>
      <c r="E600" s="211"/>
      <c r="F600" s="211"/>
      <c r="G600" s="211"/>
      <c r="H600" s="191"/>
      <c r="I600" s="204">
        <f>SUM(I601:I603)</f>
        <v>0</v>
      </c>
      <c r="J600" s="204">
        <f>SUM(J601:J603)</f>
        <v>0</v>
      </c>
      <c r="K600" s="204">
        <f>SUM(K601:K603)</f>
        <v>0</v>
      </c>
    </row>
    <row r="601" spans="1:11" ht="39">
      <c r="A601" s="11" t="s">
        <v>1189</v>
      </c>
      <c r="B601" s="12" t="s">
        <v>673</v>
      </c>
      <c r="C601" s="10" t="s">
        <v>33</v>
      </c>
      <c r="D601" s="13" t="s">
        <v>1486</v>
      </c>
      <c r="E601" s="205">
        <v>0</v>
      </c>
      <c r="F601" s="205">
        <v>0</v>
      </c>
      <c r="G601" s="205">
        <f>F601-E601</f>
        <v>0</v>
      </c>
      <c r="H601" s="192">
        <v>625.09</v>
      </c>
      <c r="I601" s="205">
        <f t="shared" si="250"/>
        <v>0</v>
      </c>
      <c r="J601" s="205">
        <f>H601*F601</f>
        <v>0</v>
      </c>
      <c r="K601" s="205">
        <f t="shared" ref="K601:K603" si="258">G601*H601</f>
        <v>0</v>
      </c>
    </row>
    <row r="602" spans="1:11" ht="17" customHeight="1">
      <c r="A602" s="11" t="s">
        <v>1190</v>
      </c>
      <c r="B602" s="190" t="s">
        <v>679</v>
      </c>
      <c r="C602" s="10" t="s">
        <v>33</v>
      </c>
      <c r="D602" s="13" t="s">
        <v>124</v>
      </c>
      <c r="E602" s="205">
        <v>0</v>
      </c>
      <c r="F602" s="205">
        <v>0</v>
      </c>
      <c r="G602" s="205">
        <f>F602-E602</f>
        <v>0</v>
      </c>
      <c r="H602" s="192">
        <v>16.260000000000002</v>
      </c>
      <c r="I602" s="205">
        <f t="shared" si="250"/>
        <v>0</v>
      </c>
      <c r="J602" s="205">
        <f t="shared" ref="J602:J603" si="259">H602*F602</f>
        <v>0</v>
      </c>
      <c r="K602" s="205">
        <f t="shared" si="258"/>
        <v>0</v>
      </c>
    </row>
    <row r="603" spans="1:11" ht="16.5" customHeight="1">
      <c r="A603" s="11" t="s">
        <v>1191</v>
      </c>
      <c r="B603" s="12" t="s">
        <v>674</v>
      </c>
      <c r="C603" s="10" t="s">
        <v>33</v>
      </c>
      <c r="D603" s="13" t="s">
        <v>124</v>
      </c>
      <c r="E603" s="205">
        <v>0</v>
      </c>
      <c r="F603" s="205">
        <v>0</v>
      </c>
      <c r="G603" s="205">
        <f>F603-E603</f>
        <v>0</v>
      </c>
      <c r="H603" s="192">
        <v>4.5599999999999996</v>
      </c>
      <c r="I603" s="205">
        <f t="shared" si="250"/>
        <v>0</v>
      </c>
      <c r="J603" s="205">
        <f t="shared" si="259"/>
        <v>0</v>
      </c>
      <c r="K603" s="205">
        <f t="shared" si="258"/>
        <v>0</v>
      </c>
    </row>
    <row r="604" spans="1:11">
      <c r="A604" s="8" t="s">
        <v>1192</v>
      </c>
      <c r="B604" s="9" t="s">
        <v>677</v>
      </c>
      <c r="C604" s="8"/>
      <c r="D604" s="8"/>
      <c r="E604" s="211"/>
      <c r="F604" s="211"/>
      <c r="G604" s="211"/>
      <c r="H604" s="191"/>
      <c r="I604" s="204">
        <f>SUM(I605:I606)</f>
        <v>2784.8274999999999</v>
      </c>
      <c r="J604" s="204">
        <f>SUM(J605:J606)</f>
        <v>2825.585</v>
      </c>
      <c r="K604" s="204">
        <f>SUM(K605:K606)</f>
        <v>40.757499999999936</v>
      </c>
    </row>
    <row r="605" spans="1:11">
      <c r="A605" s="11" t="s">
        <v>1193</v>
      </c>
      <c r="B605" s="12" t="s">
        <v>658</v>
      </c>
      <c r="C605" s="10" t="s">
        <v>11</v>
      </c>
      <c r="D605" s="13" t="s">
        <v>124</v>
      </c>
      <c r="E605" s="205">
        <v>1591.33</v>
      </c>
      <c r="F605" s="205">
        <v>1614.62</v>
      </c>
      <c r="G605" s="205">
        <f>F605-E605</f>
        <v>23.289999999999964</v>
      </c>
      <c r="H605" s="192">
        <v>1.75</v>
      </c>
      <c r="I605" s="205">
        <f t="shared" si="250"/>
        <v>2784.8274999999999</v>
      </c>
      <c r="J605" s="205">
        <f>H605*F605</f>
        <v>2825.585</v>
      </c>
      <c r="K605" s="205">
        <f t="shared" ref="K605:K606" si="260">G605*H605</f>
        <v>40.757499999999936</v>
      </c>
    </row>
    <row r="606" spans="1:11">
      <c r="A606" s="11" t="s">
        <v>1194</v>
      </c>
      <c r="B606" s="12" t="s">
        <v>678</v>
      </c>
      <c r="C606" s="10" t="s">
        <v>11</v>
      </c>
      <c r="D606" s="13" t="s">
        <v>1486</v>
      </c>
      <c r="E606" s="205">
        <v>0</v>
      </c>
      <c r="F606" s="205">
        <v>0</v>
      </c>
      <c r="G606" s="205">
        <f>F606-E606</f>
        <v>0</v>
      </c>
      <c r="H606" s="192">
        <v>92.34</v>
      </c>
      <c r="I606" s="205">
        <f t="shared" si="250"/>
        <v>0</v>
      </c>
      <c r="J606" s="205">
        <f>H606*F606</f>
        <v>0</v>
      </c>
      <c r="K606" s="205">
        <f t="shared" si="260"/>
        <v>0</v>
      </c>
    </row>
    <row r="607" spans="1:11">
      <c r="A607" s="183">
        <v>23</v>
      </c>
      <c r="B607" s="188" t="s">
        <v>1475</v>
      </c>
      <c r="C607" s="183"/>
      <c r="D607" s="183"/>
      <c r="E607" s="210"/>
      <c r="F607" s="210"/>
      <c r="G607" s="210"/>
      <c r="H607" s="194"/>
      <c r="I607" s="203">
        <f>SUM(I608,I611,I613,I620,I627,I631)</f>
        <v>348560.79369999998</v>
      </c>
      <c r="J607" s="203">
        <f>SUM(J608,J611,J613,J620,J627,J631)</f>
        <v>384233.84139999992</v>
      </c>
      <c r="K607" s="203">
        <f>SUM(K608,K611,K613,K620,K627,K631)</f>
        <v>35673.352200000001</v>
      </c>
    </row>
    <row r="608" spans="1:11">
      <c r="A608" s="8" t="s">
        <v>1195</v>
      </c>
      <c r="B608" s="9" t="s">
        <v>8</v>
      </c>
      <c r="C608" s="8"/>
      <c r="D608" s="8"/>
      <c r="E608" s="211"/>
      <c r="F608" s="211"/>
      <c r="G608" s="211"/>
      <c r="H608" s="191"/>
      <c r="I608" s="204">
        <f>SUM(I609:I610)</f>
        <v>30808.371900000006</v>
      </c>
      <c r="J608" s="204">
        <f>SUM(J609:J610)</f>
        <v>63709.312400000003</v>
      </c>
      <c r="K608" s="204">
        <f>SUM(K609:K610)</f>
        <v>32900.945</v>
      </c>
    </row>
    <row r="609" spans="1:11" ht="26">
      <c r="A609" s="11" t="s">
        <v>1196</v>
      </c>
      <c r="B609" s="12" t="s">
        <v>652</v>
      </c>
      <c r="C609" s="10" t="s">
        <v>13</v>
      </c>
      <c r="D609" s="13" t="s">
        <v>124</v>
      </c>
      <c r="E609" s="205">
        <v>3377.84</v>
      </c>
      <c r="F609" s="205">
        <v>3377.84</v>
      </c>
      <c r="G609" s="205">
        <f>F609-E609</f>
        <v>0</v>
      </c>
      <c r="H609" s="192">
        <v>0.36</v>
      </c>
      <c r="I609" s="205">
        <f>H609*E609</f>
        <v>1216.0224000000001</v>
      </c>
      <c r="J609" s="205">
        <f>H609*F609</f>
        <v>1216.0224000000001</v>
      </c>
      <c r="K609" s="205">
        <f t="shared" ref="K609:K610" si="261">G609*H609</f>
        <v>0</v>
      </c>
    </row>
    <row r="610" spans="1:11" ht="52">
      <c r="A610" s="11" t="s">
        <v>1197</v>
      </c>
      <c r="B610" s="12" t="s">
        <v>649</v>
      </c>
      <c r="C610" s="10" t="s">
        <v>11</v>
      </c>
      <c r="D610" s="13" t="s">
        <v>124</v>
      </c>
      <c r="E610" s="205">
        <v>479.85</v>
      </c>
      <c r="F610" s="205">
        <v>1013.85</v>
      </c>
      <c r="G610" s="205">
        <v>533.5</v>
      </c>
      <c r="H610" s="192">
        <v>61.67</v>
      </c>
      <c r="I610" s="205">
        <f>H610*E610</f>
        <v>29592.349500000004</v>
      </c>
      <c r="J610" s="205">
        <v>62493.29</v>
      </c>
      <c r="K610" s="205">
        <f t="shared" si="261"/>
        <v>32900.945</v>
      </c>
    </row>
    <row r="611" spans="1:11">
      <c r="A611" s="8" t="s">
        <v>1198</v>
      </c>
      <c r="B611" s="9" t="s">
        <v>654</v>
      </c>
      <c r="C611" s="8"/>
      <c r="D611" s="8"/>
      <c r="E611" s="211"/>
      <c r="F611" s="211"/>
      <c r="G611" s="211"/>
      <c r="H611" s="191"/>
      <c r="I611" s="204">
        <f>SUM(I612:I612)</f>
        <v>1283.5792000000001</v>
      </c>
      <c r="J611" s="204">
        <f>SUM(J612:J612)</f>
        <v>1283.5792000000001</v>
      </c>
      <c r="K611" s="204">
        <f>SUM(K612:K612)</f>
        <v>0</v>
      </c>
    </row>
    <row r="612" spans="1:11" ht="26">
      <c r="A612" s="11" t="s">
        <v>1199</v>
      </c>
      <c r="B612" s="12" t="s">
        <v>655</v>
      </c>
      <c r="C612" s="10"/>
      <c r="D612" s="13" t="s">
        <v>124</v>
      </c>
      <c r="E612" s="205">
        <v>3377.84</v>
      </c>
      <c r="F612" s="205">
        <v>3377.84</v>
      </c>
      <c r="G612" s="205">
        <f>F612-E612</f>
        <v>0</v>
      </c>
      <c r="H612" s="192">
        <v>0.38</v>
      </c>
      <c r="I612" s="205">
        <f t="shared" ref="I612:I633" si="262">H612*E612</f>
        <v>1283.5792000000001</v>
      </c>
      <c r="J612" s="205">
        <f>H612*F612</f>
        <v>1283.5792000000001</v>
      </c>
      <c r="K612" s="205">
        <f t="shared" ref="K612" si="263">G612*H612</f>
        <v>0</v>
      </c>
    </row>
    <row r="613" spans="1:11">
      <c r="A613" s="8" t="s">
        <v>1200</v>
      </c>
      <c r="B613" s="9" t="s">
        <v>657</v>
      </c>
      <c r="C613" s="8"/>
      <c r="D613" s="8"/>
      <c r="E613" s="211"/>
      <c r="F613" s="211"/>
      <c r="G613" s="211"/>
      <c r="H613" s="191"/>
      <c r="I613" s="204">
        <f>SUM(I614:I619)</f>
        <v>155278.8113</v>
      </c>
      <c r="J613" s="204">
        <f>SUM(J614:J619)</f>
        <v>156664.86489999999</v>
      </c>
      <c r="K613" s="204">
        <f>SUM(K614:K619)</f>
        <v>1386.2035999999998</v>
      </c>
    </row>
    <row r="614" spans="1:11">
      <c r="A614" s="11" t="s">
        <v>1201</v>
      </c>
      <c r="B614" s="12" t="s">
        <v>658</v>
      </c>
      <c r="C614" s="10"/>
      <c r="D614" s="13" t="s">
        <v>124</v>
      </c>
      <c r="E614" s="205">
        <v>3377.84</v>
      </c>
      <c r="F614" s="205">
        <v>3377.84</v>
      </c>
      <c r="G614" s="205">
        <f t="shared" ref="G614:G619" si="264">F614-E614</f>
        <v>0</v>
      </c>
      <c r="H614" s="192">
        <v>1.75</v>
      </c>
      <c r="I614" s="205">
        <f t="shared" si="262"/>
        <v>5911.22</v>
      </c>
      <c r="J614" s="205">
        <f>H614*F614</f>
        <v>5911.22</v>
      </c>
      <c r="K614" s="205">
        <f t="shared" ref="K614:K619" si="265">G614*H614</f>
        <v>0</v>
      </c>
    </row>
    <row r="615" spans="1:11" ht="26">
      <c r="A615" s="11" t="s">
        <v>1202</v>
      </c>
      <c r="B615" s="12" t="s">
        <v>659</v>
      </c>
      <c r="C615" s="10"/>
      <c r="D615" s="13" t="s">
        <v>87</v>
      </c>
      <c r="E615" s="205">
        <v>101.34</v>
      </c>
      <c r="F615" s="205">
        <v>101.34</v>
      </c>
      <c r="G615" s="205">
        <f t="shared" si="264"/>
        <v>0</v>
      </c>
      <c r="H615" s="192">
        <v>10.32</v>
      </c>
      <c r="I615" s="205">
        <f t="shared" si="262"/>
        <v>1045.8288</v>
      </c>
      <c r="J615" s="205">
        <f t="shared" ref="J615:J619" si="266">H615*F615</f>
        <v>1045.8288</v>
      </c>
      <c r="K615" s="205">
        <v>0.05</v>
      </c>
    </row>
    <row r="616" spans="1:11" ht="28.5" customHeight="1">
      <c r="A616" s="11" t="s">
        <v>1203</v>
      </c>
      <c r="B616" s="12" t="s">
        <v>660</v>
      </c>
      <c r="C616" s="10"/>
      <c r="D616" s="13" t="s">
        <v>1485</v>
      </c>
      <c r="E616" s="205">
        <v>3040.06</v>
      </c>
      <c r="F616" s="205">
        <v>3040.06</v>
      </c>
      <c r="G616" s="205">
        <f t="shared" si="264"/>
        <v>0</v>
      </c>
      <c r="H616" s="192">
        <v>2.14</v>
      </c>
      <c r="I616" s="205">
        <f t="shared" si="262"/>
        <v>6505.7284</v>
      </c>
      <c r="J616" s="205">
        <f t="shared" si="266"/>
        <v>6505.7284</v>
      </c>
      <c r="K616" s="205">
        <v>0.1</v>
      </c>
    </row>
    <row r="617" spans="1:11" ht="29" customHeight="1">
      <c r="A617" s="11" t="s">
        <v>1204</v>
      </c>
      <c r="B617" s="12" t="s">
        <v>668</v>
      </c>
      <c r="C617" s="10"/>
      <c r="D617" s="13" t="s">
        <v>1485</v>
      </c>
      <c r="E617" s="205">
        <v>6621.87</v>
      </c>
      <c r="F617" s="205">
        <v>8208.15</v>
      </c>
      <c r="G617" s="205">
        <f t="shared" si="264"/>
        <v>1586.2799999999997</v>
      </c>
      <c r="H617" s="192">
        <v>0.87</v>
      </c>
      <c r="I617" s="205">
        <f t="shared" si="262"/>
        <v>5761.0268999999998</v>
      </c>
      <c r="J617" s="205">
        <f t="shared" si="266"/>
        <v>7141.0904999999993</v>
      </c>
      <c r="K617" s="205">
        <f t="shared" si="265"/>
        <v>1380.0635999999997</v>
      </c>
    </row>
    <row r="618" spans="1:11" ht="28" customHeight="1">
      <c r="A618" s="11" t="s">
        <v>1205</v>
      </c>
      <c r="B618" s="12" t="s">
        <v>661</v>
      </c>
      <c r="C618" s="10"/>
      <c r="D618" s="13" t="s">
        <v>87</v>
      </c>
      <c r="E618" s="205">
        <v>101.34</v>
      </c>
      <c r="F618" s="205">
        <v>101.34</v>
      </c>
      <c r="G618" s="205">
        <f t="shared" si="264"/>
        <v>0</v>
      </c>
      <c r="H618" s="192">
        <v>1248.29</v>
      </c>
      <c r="I618" s="205">
        <v>126495.72</v>
      </c>
      <c r="J618" s="205">
        <v>126501.71</v>
      </c>
      <c r="K618" s="205">
        <v>5.99</v>
      </c>
    </row>
    <row r="619" spans="1:11" ht="17.5" customHeight="1">
      <c r="A619" s="11" t="s">
        <v>1206</v>
      </c>
      <c r="B619" s="12" t="s">
        <v>662</v>
      </c>
      <c r="C619" s="10"/>
      <c r="D619" s="13" t="s">
        <v>124</v>
      </c>
      <c r="E619" s="205">
        <v>3377.84</v>
      </c>
      <c r="F619" s="205">
        <v>3377.84</v>
      </c>
      <c r="G619" s="205">
        <f t="shared" si="264"/>
        <v>0</v>
      </c>
      <c r="H619" s="192">
        <v>2.83</v>
      </c>
      <c r="I619" s="205">
        <f t="shared" si="262"/>
        <v>9559.2872000000007</v>
      </c>
      <c r="J619" s="205">
        <f t="shared" si="266"/>
        <v>9559.2872000000007</v>
      </c>
      <c r="K619" s="205">
        <f t="shared" si="265"/>
        <v>0</v>
      </c>
    </row>
    <row r="620" spans="1:11">
      <c r="A620" s="8" t="s">
        <v>1207</v>
      </c>
      <c r="B620" s="9" t="s">
        <v>669</v>
      </c>
      <c r="C620" s="8"/>
      <c r="D620" s="8"/>
      <c r="E620" s="211"/>
      <c r="F620" s="211"/>
      <c r="G620" s="211"/>
      <c r="H620" s="191"/>
      <c r="I620" s="204">
        <f>SUM(I621:I626)</f>
        <v>155278.8113</v>
      </c>
      <c r="J620" s="204">
        <f>SUM(J621:J626)</f>
        <v>156664.86489999999</v>
      </c>
      <c r="K620" s="204">
        <f>SUM(K621:K626)</f>
        <v>1386.2035999999998</v>
      </c>
    </row>
    <row r="621" spans="1:11">
      <c r="A621" s="11" t="s">
        <v>1208</v>
      </c>
      <c r="B621" s="12" t="s">
        <v>658</v>
      </c>
      <c r="C621" s="10"/>
      <c r="D621" s="14" t="s">
        <v>124</v>
      </c>
      <c r="E621" s="205">
        <v>3377.84</v>
      </c>
      <c r="F621" s="205">
        <v>3377.84</v>
      </c>
      <c r="G621" s="205">
        <f t="shared" ref="G621:G626" si="267">F621-E621</f>
        <v>0</v>
      </c>
      <c r="H621" s="192">
        <v>1.75</v>
      </c>
      <c r="I621" s="205">
        <f t="shared" si="262"/>
        <v>5911.22</v>
      </c>
      <c r="J621" s="205">
        <f>H621*F621</f>
        <v>5911.22</v>
      </c>
      <c r="K621" s="205">
        <f t="shared" ref="K621:K626" si="268">G621*H621</f>
        <v>0</v>
      </c>
    </row>
    <row r="622" spans="1:11" ht="26">
      <c r="A622" s="11" t="s">
        <v>1209</v>
      </c>
      <c r="B622" s="12" t="s">
        <v>659</v>
      </c>
      <c r="C622" s="10"/>
      <c r="D622" s="14" t="s">
        <v>87</v>
      </c>
      <c r="E622" s="205">
        <v>101.34</v>
      </c>
      <c r="F622" s="205">
        <v>101.34</v>
      </c>
      <c r="G622" s="205">
        <f t="shared" si="267"/>
        <v>0</v>
      </c>
      <c r="H622" s="192">
        <v>10.32</v>
      </c>
      <c r="I622" s="205">
        <f t="shared" si="262"/>
        <v>1045.8288</v>
      </c>
      <c r="J622" s="205">
        <f t="shared" ref="J622:J626" si="269">H622*F622</f>
        <v>1045.8288</v>
      </c>
      <c r="K622" s="205">
        <v>0.05</v>
      </c>
    </row>
    <row r="623" spans="1:11" ht="28.5" customHeight="1">
      <c r="A623" s="11" t="s">
        <v>1210</v>
      </c>
      <c r="B623" s="12" t="s">
        <v>660</v>
      </c>
      <c r="C623" s="10"/>
      <c r="D623" s="14" t="s">
        <v>1485</v>
      </c>
      <c r="E623" s="205">
        <v>3040.06</v>
      </c>
      <c r="F623" s="205">
        <v>3040.06</v>
      </c>
      <c r="G623" s="205">
        <f t="shared" si="267"/>
        <v>0</v>
      </c>
      <c r="H623" s="192">
        <v>2.14</v>
      </c>
      <c r="I623" s="205">
        <f t="shared" si="262"/>
        <v>6505.7284</v>
      </c>
      <c r="J623" s="205">
        <f t="shared" si="269"/>
        <v>6505.7284</v>
      </c>
      <c r="K623" s="205">
        <v>0.1</v>
      </c>
    </row>
    <row r="624" spans="1:11" ht="32.5" customHeight="1">
      <c r="A624" s="11" t="s">
        <v>1211</v>
      </c>
      <c r="B624" s="18" t="s">
        <v>668</v>
      </c>
      <c r="C624" s="10"/>
      <c r="D624" s="189" t="s">
        <v>1485</v>
      </c>
      <c r="E624" s="205">
        <v>6621.87</v>
      </c>
      <c r="F624" s="205">
        <v>8208.15</v>
      </c>
      <c r="G624" s="205">
        <f t="shared" si="267"/>
        <v>1586.2799999999997</v>
      </c>
      <c r="H624" s="193">
        <v>0.87</v>
      </c>
      <c r="I624" s="205">
        <f t="shared" si="262"/>
        <v>5761.0268999999998</v>
      </c>
      <c r="J624" s="205">
        <f t="shared" si="269"/>
        <v>7141.0904999999993</v>
      </c>
      <c r="K624" s="205">
        <f t="shared" ref="K624" si="270">G624*H624</f>
        <v>1380.0635999999997</v>
      </c>
    </row>
    <row r="625" spans="1:11" ht="26.5">
      <c r="A625" s="11" t="s">
        <v>1212</v>
      </c>
      <c r="B625" s="18" t="s">
        <v>670</v>
      </c>
      <c r="C625" s="10"/>
      <c r="D625" s="14" t="s">
        <v>87</v>
      </c>
      <c r="E625" s="205">
        <v>101.34</v>
      </c>
      <c r="F625" s="205">
        <v>101.34</v>
      </c>
      <c r="G625" s="205">
        <f t="shared" si="267"/>
        <v>0</v>
      </c>
      <c r="H625" s="192">
        <v>1248.29</v>
      </c>
      <c r="I625" s="205">
        <v>126495.72</v>
      </c>
      <c r="J625" s="205">
        <v>126501.71</v>
      </c>
      <c r="K625" s="205">
        <v>5.99</v>
      </c>
    </row>
    <row r="626" spans="1:11" ht="16.5" customHeight="1">
      <c r="A626" s="11" t="s">
        <v>1213</v>
      </c>
      <c r="B626" s="16" t="s">
        <v>671</v>
      </c>
      <c r="C626" s="10" t="s">
        <v>87</v>
      </c>
      <c r="D626" s="14" t="s">
        <v>124</v>
      </c>
      <c r="E626" s="205">
        <v>3377.84</v>
      </c>
      <c r="F626" s="205">
        <v>3377.84</v>
      </c>
      <c r="G626" s="205">
        <f t="shared" si="267"/>
        <v>0</v>
      </c>
      <c r="H626" s="192">
        <v>2.83</v>
      </c>
      <c r="I626" s="205">
        <f t="shared" si="262"/>
        <v>9559.2872000000007</v>
      </c>
      <c r="J626" s="205">
        <f t="shared" si="269"/>
        <v>9559.2872000000007</v>
      </c>
      <c r="K626" s="205">
        <f t="shared" si="268"/>
        <v>0</v>
      </c>
    </row>
    <row r="627" spans="1:11">
      <c r="A627" s="8" t="s">
        <v>1214</v>
      </c>
      <c r="B627" s="9" t="s">
        <v>107</v>
      </c>
      <c r="C627" s="8"/>
      <c r="D627" s="8"/>
      <c r="E627" s="211"/>
      <c r="F627" s="211"/>
      <c r="G627" s="211"/>
      <c r="H627" s="191"/>
      <c r="I627" s="204">
        <f>SUM(I628:I630)</f>
        <v>0</v>
      </c>
      <c r="J627" s="204">
        <f>SUM(J628:J630)</f>
        <v>0</v>
      </c>
      <c r="K627" s="204">
        <f>SUM(K628:K630)</f>
        <v>0</v>
      </c>
    </row>
    <row r="628" spans="1:11" ht="39">
      <c r="A628" s="11" t="s">
        <v>1215</v>
      </c>
      <c r="B628" s="12" t="s">
        <v>673</v>
      </c>
      <c r="C628" s="10" t="s">
        <v>33</v>
      </c>
      <c r="D628" s="13" t="s">
        <v>1486</v>
      </c>
      <c r="E628" s="205">
        <v>0</v>
      </c>
      <c r="F628" s="205">
        <v>0</v>
      </c>
      <c r="G628" s="205">
        <f>F628-E628</f>
        <v>0</v>
      </c>
      <c r="H628" s="192">
        <v>625.09</v>
      </c>
      <c r="I628" s="205">
        <f t="shared" si="262"/>
        <v>0</v>
      </c>
      <c r="J628" s="205">
        <f>H628*F628</f>
        <v>0</v>
      </c>
      <c r="K628" s="205">
        <f t="shared" ref="K628:K630" si="271">G628*H628</f>
        <v>0</v>
      </c>
    </row>
    <row r="629" spans="1:11" ht="17" customHeight="1">
      <c r="A629" s="11" t="s">
        <v>1216</v>
      </c>
      <c r="B629" s="190" t="s">
        <v>679</v>
      </c>
      <c r="C629" s="10" t="s">
        <v>33</v>
      </c>
      <c r="D629" s="13" t="s">
        <v>124</v>
      </c>
      <c r="E629" s="205">
        <v>0</v>
      </c>
      <c r="F629" s="205">
        <v>0</v>
      </c>
      <c r="G629" s="205">
        <f>F629-E629</f>
        <v>0</v>
      </c>
      <c r="H629" s="192">
        <v>16.260000000000002</v>
      </c>
      <c r="I629" s="205">
        <f t="shared" si="262"/>
        <v>0</v>
      </c>
      <c r="J629" s="205">
        <f t="shared" ref="J629:J630" si="272">H629*F629</f>
        <v>0</v>
      </c>
      <c r="K629" s="205">
        <f t="shared" si="271"/>
        <v>0</v>
      </c>
    </row>
    <row r="630" spans="1:11" ht="16.5" customHeight="1">
      <c r="A630" s="11" t="s">
        <v>1217</v>
      </c>
      <c r="B630" s="12" t="s">
        <v>674</v>
      </c>
      <c r="C630" s="10" t="s">
        <v>33</v>
      </c>
      <c r="D630" s="13" t="s">
        <v>124</v>
      </c>
      <c r="E630" s="205">
        <v>0</v>
      </c>
      <c r="F630" s="205">
        <v>0</v>
      </c>
      <c r="G630" s="205">
        <f>F630-E630</f>
        <v>0</v>
      </c>
      <c r="H630" s="192">
        <v>4.5599999999999996</v>
      </c>
      <c r="I630" s="205">
        <f t="shared" si="262"/>
        <v>0</v>
      </c>
      <c r="J630" s="205">
        <f t="shared" si="272"/>
        <v>0</v>
      </c>
      <c r="K630" s="205">
        <f t="shared" si="271"/>
        <v>0</v>
      </c>
    </row>
    <row r="631" spans="1:11">
      <c r="A631" s="8" t="s">
        <v>1218</v>
      </c>
      <c r="B631" s="9" t="s">
        <v>677</v>
      </c>
      <c r="C631" s="8"/>
      <c r="D631" s="8"/>
      <c r="E631" s="211"/>
      <c r="F631" s="211"/>
      <c r="G631" s="211"/>
      <c r="H631" s="191"/>
      <c r="I631" s="204">
        <f>SUM(I632:I633)</f>
        <v>5911.22</v>
      </c>
      <c r="J631" s="204">
        <f>SUM(J632:J633)</f>
        <v>5911.22</v>
      </c>
      <c r="K631" s="204">
        <f>SUM(K632:K633)</f>
        <v>0</v>
      </c>
    </row>
    <row r="632" spans="1:11">
      <c r="A632" s="11" t="s">
        <v>1219</v>
      </c>
      <c r="B632" s="12" t="s">
        <v>658</v>
      </c>
      <c r="C632" s="10" t="s">
        <v>11</v>
      </c>
      <c r="D632" s="13" t="s">
        <v>124</v>
      </c>
      <c r="E632" s="205">
        <v>3377.84</v>
      </c>
      <c r="F632" s="205">
        <v>3377.84</v>
      </c>
      <c r="G632" s="205">
        <f>F632-E632</f>
        <v>0</v>
      </c>
      <c r="H632" s="192">
        <v>1.75</v>
      </c>
      <c r="I632" s="205">
        <f t="shared" si="262"/>
        <v>5911.22</v>
      </c>
      <c r="J632" s="205">
        <f>H632*F632</f>
        <v>5911.22</v>
      </c>
      <c r="K632" s="205">
        <f t="shared" ref="K632:K633" si="273">G632*H632</f>
        <v>0</v>
      </c>
    </row>
    <row r="633" spans="1:11">
      <c r="A633" s="11" t="s">
        <v>1220</v>
      </c>
      <c r="B633" s="12" t="s">
        <v>678</v>
      </c>
      <c r="C633" s="10" t="s">
        <v>11</v>
      </c>
      <c r="D633" s="13" t="s">
        <v>1486</v>
      </c>
      <c r="E633" s="205">
        <v>0</v>
      </c>
      <c r="F633" s="205">
        <v>0</v>
      </c>
      <c r="G633" s="205">
        <f>F633-E633</f>
        <v>0</v>
      </c>
      <c r="H633" s="192">
        <v>92.34</v>
      </c>
      <c r="I633" s="205">
        <f t="shared" si="262"/>
        <v>0</v>
      </c>
      <c r="J633" s="205">
        <f>H633*F633</f>
        <v>0</v>
      </c>
      <c r="K633" s="205">
        <f t="shared" si="273"/>
        <v>0</v>
      </c>
    </row>
    <row r="634" spans="1:11">
      <c r="A634" s="183">
        <v>24</v>
      </c>
      <c r="B634" s="188" t="s">
        <v>1476</v>
      </c>
      <c r="C634" s="183"/>
      <c r="D634" s="183"/>
      <c r="E634" s="210"/>
      <c r="F634" s="210"/>
      <c r="G634" s="210"/>
      <c r="H634" s="194"/>
      <c r="I634" s="203">
        <f>SUM(I635,I638,I640,I647,I654,I658)</f>
        <v>244917.09570000001</v>
      </c>
      <c r="J634" s="203">
        <f>SUM(J635,J638,J640,J647,J654,J658)</f>
        <v>272764.42879999994</v>
      </c>
      <c r="K634" s="203">
        <f>SUM(K635,K638,K640,K647,K654,K658)</f>
        <v>27847.387899999998</v>
      </c>
    </row>
    <row r="635" spans="1:11">
      <c r="A635" s="8" t="s">
        <v>1221</v>
      </c>
      <c r="B635" s="9" t="s">
        <v>8</v>
      </c>
      <c r="C635" s="8"/>
      <c r="D635" s="8"/>
      <c r="E635" s="211"/>
      <c r="F635" s="211"/>
      <c r="G635" s="211"/>
      <c r="H635" s="191"/>
      <c r="I635" s="204">
        <f>SUM(I636:I637)</f>
        <v>20053.105100000001</v>
      </c>
      <c r="J635" s="204">
        <f>SUM(J636:J637)</f>
        <v>45227.415800000002</v>
      </c>
      <c r="K635" s="204">
        <f>SUM(K636:K637)</f>
        <v>25174.310699999998</v>
      </c>
    </row>
    <row r="636" spans="1:11" ht="26">
      <c r="A636" s="11" t="s">
        <v>1222</v>
      </c>
      <c r="B636" s="12" t="s">
        <v>652</v>
      </c>
      <c r="C636" s="10" t="s">
        <v>13</v>
      </c>
      <c r="D636" s="13" t="s">
        <v>124</v>
      </c>
      <c r="E636" s="205">
        <v>2397.92</v>
      </c>
      <c r="F636" s="205">
        <v>2397.92</v>
      </c>
      <c r="G636" s="205">
        <f>F636-E636</f>
        <v>0</v>
      </c>
      <c r="H636" s="192">
        <v>0.36</v>
      </c>
      <c r="I636" s="205">
        <f>H636*E636</f>
        <v>863.25120000000004</v>
      </c>
      <c r="J636" s="205">
        <f>H636*F636</f>
        <v>863.25120000000004</v>
      </c>
      <c r="K636" s="205">
        <f t="shared" ref="K636:K637" si="274">G636*H636</f>
        <v>0</v>
      </c>
    </row>
    <row r="637" spans="1:11" ht="52">
      <c r="A637" s="11" t="s">
        <v>1223</v>
      </c>
      <c r="B637" s="12" t="s">
        <v>649</v>
      </c>
      <c r="C637" s="10" t="s">
        <v>11</v>
      </c>
      <c r="D637" s="13" t="s">
        <v>124</v>
      </c>
      <c r="E637" s="205">
        <v>311.17</v>
      </c>
      <c r="F637" s="205">
        <v>719.38</v>
      </c>
      <c r="G637" s="205">
        <f>F637-E637</f>
        <v>408.21</v>
      </c>
      <c r="H637" s="192">
        <v>61.67</v>
      </c>
      <c r="I637" s="205">
        <f>H637*E637</f>
        <v>19189.853900000002</v>
      </c>
      <c r="J637" s="205">
        <f>H637*F637</f>
        <v>44364.164600000004</v>
      </c>
      <c r="K637" s="205">
        <f t="shared" si="274"/>
        <v>25174.310699999998</v>
      </c>
    </row>
    <row r="638" spans="1:11">
      <c r="A638" s="8" t="s">
        <v>1224</v>
      </c>
      <c r="B638" s="9" t="s">
        <v>654</v>
      </c>
      <c r="C638" s="8"/>
      <c r="D638" s="8"/>
      <c r="E638" s="211"/>
      <c r="F638" s="211"/>
      <c r="G638" s="211"/>
      <c r="H638" s="191"/>
      <c r="I638" s="204">
        <f>SUM(I639:I639)</f>
        <v>911.20960000000002</v>
      </c>
      <c r="J638" s="204">
        <f>SUM(J639:J639)</f>
        <v>911.20960000000002</v>
      </c>
      <c r="K638" s="204">
        <f>SUM(K639:K639)</f>
        <v>0</v>
      </c>
    </row>
    <row r="639" spans="1:11" ht="26">
      <c r="A639" s="11" t="s">
        <v>1225</v>
      </c>
      <c r="B639" s="12" t="s">
        <v>655</v>
      </c>
      <c r="C639" s="10"/>
      <c r="D639" s="13" t="s">
        <v>124</v>
      </c>
      <c r="E639" s="205">
        <v>2397.92</v>
      </c>
      <c r="F639" s="205">
        <v>2397.92</v>
      </c>
      <c r="G639" s="205">
        <f>F639-E639</f>
        <v>0</v>
      </c>
      <c r="H639" s="192">
        <v>0.38</v>
      </c>
      <c r="I639" s="205">
        <f t="shared" ref="I639:I660" si="275">H639*E639</f>
        <v>911.20960000000002</v>
      </c>
      <c r="J639" s="205">
        <f>H639*F639</f>
        <v>911.20960000000002</v>
      </c>
      <c r="K639" s="205">
        <f t="shared" ref="K639" si="276">G639*H639</f>
        <v>0</v>
      </c>
    </row>
    <row r="640" spans="1:11">
      <c r="A640" s="8" t="s">
        <v>1226</v>
      </c>
      <c r="B640" s="9" t="s">
        <v>657</v>
      </c>
      <c r="C640" s="8"/>
      <c r="D640" s="8"/>
      <c r="E640" s="211"/>
      <c r="F640" s="211"/>
      <c r="G640" s="211"/>
      <c r="H640" s="191"/>
      <c r="I640" s="204">
        <f>SUM(I641:I646)</f>
        <v>109878.2105</v>
      </c>
      <c r="J640" s="204">
        <f>SUM(J641:J646)</f>
        <v>111214.72169999998</v>
      </c>
      <c r="K640" s="204">
        <f>SUM(K641:K646)</f>
        <v>1336.5385999999999</v>
      </c>
    </row>
    <row r="641" spans="1:11">
      <c r="A641" s="11" t="s">
        <v>1227</v>
      </c>
      <c r="B641" s="12" t="s">
        <v>658</v>
      </c>
      <c r="C641" s="10"/>
      <c r="D641" s="13" t="s">
        <v>124</v>
      </c>
      <c r="E641" s="205">
        <v>2397.92</v>
      </c>
      <c r="F641" s="205">
        <v>2397.92</v>
      </c>
      <c r="G641" s="205">
        <f t="shared" ref="G641:G646" si="277">F641-E641</f>
        <v>0</v>
      </c>
      <c r="H641" s="192">
        <v>1.75</v>
      </c>
      <c r="I641" s="205">
        <f t="shared" si="275"/>
        <v>4196.3600000000006</v>
      </c>
      <c r="J641" s="205">
        <f>H641*F641</f>
        <v>4196.3600000000006</v>
      </c>
      <c r="K641" s="205">
        <f t="shared" ref="K641:K646" si="278">G641*H641</f>
        <v>0</v>
      </c>
    </row>
    <row r="642" spans="1:11" ht="26">
      <c r="A642" s="11" t="s">
        <v>1228</v>
      </c>
      <c r="B642" s="12" t="s">
        <v>659</v>
      </c>
      <c r="C642" s="10"/>
      <c r="D642" s="13" t="s">
        <v>87</v>
      </c>
      <c r="E642" s="205">
        <v>71.94</v>
      </c>
      <c r="F642" s="205">
        <v>71.94</v>
      </c>
      <c r="G642" s="205">
        <f t="shared" si="277"/>
        <v>0</v>
      </c>
      <c r="H642" s="192">
        <v>10.32</v>
      </c>
      <c r="I642" s="205">
        <f t="shared" si="275"/>
        <v>742.42079999999999</v>
      </c>
      <c r="J642" s="205">
        <f t="shared" ref="J642:J646" si="279">H642*F642</f>
        <v>742.42079999999999</v>
      </c>
      <c r="K642" s="205">
        <v>0.02</v>
      </c>
    </row>
    <row r="643" spans="1:11" ht="28.5" customHeight="1">
      <c r="A643" s="11" t="s">
        <v>1229</v>
      </c>
      <c r="B643" s="12" t="s">
        <v>660</v>
      </c>
      <c r="C643" s="10"/>
      <c r="D643" s="13" t="s">
        <v>1485</v>
      </c>
      <c r="E643" s="205">
        <v>2158.13</v>
      </c>
      <c r="F643" s="205">
        <v>2158.13</v>
      </c>
      <c r="G643" s="205">
        <f t="shared" si="277"/>
        <v>0</v>
      </c>
      <c r="H643" s="192">
        <v>2.14</v>
      </c>
      <c r="I643" s="205">
        <f t="shared" si="275"/>
        <v>4618.3982000000005</v>
      </c>
      <c r="J643" s="205">
        <f t="shared" si="279"/>
        <v>4618.3982000000005</v>
      </c>
      <c r="K643" s="205">
        <v>0.01</v>
      </c>
    </row>
    <row r="644" spans="1:11" ht="29" customHeight="1">
      <c r="A644" s="11" t="s">
        <v>1230</v>
      </c>
      <c r="B644" s="12" t="s">
        <v>668</v>
      </c>
      <c r="C644" s="10"/>
      <c r="D644" s="13" t="s">
        <v>1485</v>
      </c>
      <c r="E644" s="205">
        <v>4294.17</v>
      </c>
      <c r="F644" s="205">
        <v>5826.95</v>
      </c>
      <c r="G644" s="205">
        <f t="shared" si="277"/>
        <v>1532.7799999999997</v>
      </c>
      <c r="H644" s="192">
        <v>0.87</v>
      </c>
      <c r="I644" s="205">
        <f t="shared" si="275"/>
        <v>3735.9279000000001</v>
      </c>
      <c r="J644" s="205">
        <f t="shared" si="279"/>
        <v>5069.4465</v>
      </c>
      <c r="K644" s="205">
        <f t="shared" si="278"/>
        <v>1333.5185999999999</v>
      </c>
    </row>
    <row r="645" spans="1:11" ht="28" customHeight="1">
      <c r="A645" s="11" t="s">
        <v>1231</v>
      </c>
      <c r="B645" s="12" t="s">
        <v>661</v>
      </c>
      <c r="C645" s="10"/>
      <c r="D645" s="13" t="s">
        <v>87</v>
      </c>
      <c r="E645" s="205">
        <v>71.94</v>
      </c>
      <c r="F645" s="205">
        <v>71.94</v>
      </c>
      <c r="G645" s="205">
        <f t="shared" si="277"/>
        <v>0</v>
      </c>
      <c r="H645" s="192">
        <v>1248.29</v>
      </c>
      <c r="I645" s="205">
        <v>89798.99</v>
      </c>
      <c r="J645" s="205">
        <f t="shared" si="279"/>
        <v>89801.982599999988</v>
      </c>
      <c r="K645" s="205">
        <v>2.99</v>
      </c>
    </row>
    <row r="646" spans="1:11" ht="17.5" customHeight="1">
      <c r="A646" s="11" t="s">
        <v>1232</v>
      </c>
      <c r="B646" s="12" t="s">
        <v>662</v>
      </c>
      <c r="C646" s="10"/>
      <c r="D646" s="13" t="s">
        <v>124</v>
      </c>
      <c r="E646" s="205">
        <v>2397.92</v>
      </c>
      <c r="F646" s="205">
        <v>2397.92</v>
      </c>
      <c r="G646" s="205">
        <f t="shared" si="277"/>
        <v>0</v>
      </c>
      <c r="H646" s="192">
        <v>2.83</v>
      </c>
      <c r="I646" s="205">
        <f t="shared" si="275"/>
        <v>6786.1136000000006</v>
      </c>
      <c r="J646" s="205">
        <f t="shared" si="279"/>
        <v>6786.1136000000006</v>
      </c>
      <c r="K646" s="205">
        <f t="shared" si="278"/>
        <v>0</v>
      </c>
    </row>
    <row r="647" spans="1:11">
      <c r="A647" s="8" t="s">
        <v>1233</v>
      </c>
      <c r="B647" s="9" t="s">
        <v>669</v>
      </c>
      <c r="C647" s="8"/>
      <c r="D647" s="8"/>
      <c r="E647" s="211"/>
      <c r="F647" s="211"/>
      <c r="G647" s="211"/>
      <c r="H647" s="191"/>
      <c r="I647" s="204">
        <f>SUM(I648:I653)</f>
        <v>109878.2105</v>
      </c>
      <c r="J647" s="204">
        <f>SUM(J648:J653)</f>
        <v>111214.72169999998</v>
      </c>
      <c r="K647" s="204">
        <f>SUM(K648:K653)</f>
        <v>1336.5385999999999</v>
      </c>
    </row>
    <row r="648" spans="1:11">
      <c r="A648" s="11" t="s">
        <v>1234</v>
      </c>
      <c r="B648" s="12" t="s">
        <v>658</v>
      </c>
      <c r="C648" s="10"/>
      <c r="D648" s="14" t="s">
        <v>124</v>
      </c>
      <c r="E648" s="205">
        <v>2397.92</v>
      </c>
      <c r="F648" s="205">
        <v>2397.92</v>
      </c>
      <c r="G648" s="205">
        <f t="shared" ref="G648:G653" si="280">F648-E648</f>
        <v>0</v>
      </c>
      <c r="H648" s="192">
        <v>1.75</v>
      </c>
      <c r="I648" s="205">
        <f t="shared" si="275"/>
        <v>4196.3600000000006</v>
      </c>
      <c r="J648" s="205">
        <f>H648*F648</f>
        <v>4196.3600000000006</v>
      </c>
      <c r="K648" s="205">
        <f t="shared" ref="K648:K653" si="281">G648*H648</f>
        <v>0</v>
      </c>
    </row>
    <row r="649" spans="1:11" ht="26">
      <c r="A649" s="11" t="s">
        <v>1235</v>
      </c>
      <c r="B649" s="12" t="s">
        <v>659</v>
      </c>
      <c r="C649" s="10"/>
      <c r="D649" s="14" t="s">
        <v>87</v>
      </c>
      <c r="E649" s="205">
        <v>71.94</v>
      </c>
      <c r="F649" s="205">
        <v>71.94</v>
      </c>
      <c r="G649" s="205">
        <f t="shared" si="280"/>
        <v>0</v>
      </c>
      <c r="H649" s="192">
        <v>10.32</v>
      </c>
      <c r="I649" s="205">
        <f t="shared" si="275"/>
        <v>742.42079999999999</v>
      </c>
      <c r="J649" s="205">
        <f>H649*F649</f>
        <v>742.42079999999999</v>
      </c>
      <c r="K649" s="205">
        <v>0.02</v>
      </c>
    </row>
    <row r="650" spans="1:11" ht="28.5" customHeight="1">
      <c r="A650" s="11" t="s">
        <v>1236</v>
      </c>
      <c r="B650" s="12" t="s">
        <v>660</v>
      </c>
      <c r="C650" s="10"/>
      <c r="D650" s="14" t="s">
        <v>1485</v>
      </c>
      <c r="E650" s="205">
        <v>2158.13</v>
      </c>
      <c r="F650" s="205">
        <v>2158.13</v>
      </c>
      <c r="G650" s="205">
        <f t="shared" si="280"/>
        <v>0</v>
      </c>
      <c r="H650" s="192">
        <v>2.14</v>
      </c>
      <c r="I650" s="205">
        <f t="shared" si="275"/>
        <v>4618.3982000000005</v>
      </c>
      <c r="J650" s="205">
        <f t="shared" ref="J650:J653" si="282">H650*F650</f>
        <v>4618.3982000000005</v>
      </c>
      <c r="K650" s="205">
        <v>0.01</v>
      </c>
    </row>
    <row r="651" spans="1:11" ht="32.5" customHeight="1">
      <c r="A651" s="11" t="s">
        <v>1237</v>
      </c>
      <c r="B651" s="18" t="s">
        <v>668</v>
      </c>
      <c r="C651" s="10"/>
      <c r="D651" s="189" t="s">
        <v>1485</v>
      </c>
      <c r="E651" s="205">
        <v>4294.17</v>
      </c>
      <c r="F651" s="205">
        <v>5826.95</v>
      </c>
      <c r="G651" s="205">
        <f t="shared" si="280"/>
        <v>1532.7799999999997</v>
      </c>
      <c r="H651" s="193">
        <v>0.87</v>
      </c>
      <c r="I651" s="205">
        <f t="shared" si="275"/>
        <v>3735.9279000000001</v>
      </c>
      <c r="J651" s="205">
        <f t="shared" si="282"/>
        <v>5069.4465</v>
      </c>
      <c r="K651" s="205">
        <f t="shared" ref="K651" si="283">G651*H651</f>
        <v>1333.5185999999999</v>
      </c>
    </row>
    <row r="652" spans="1:11" ht="26.5">
      <c r="A652" s="11" t="s">
        <v>1238</v>
      </c>
      <c r="B652" s="18" t="s">
        <v>670</v>
      </c>
      <c r="C652" s="10"/>
      <c r="D652" s="14" t="s">
        <v>87</v>
      </c>
      <c r="E652" s="205">
        <v>71.94</v>
      </c>
      <c r="F652" s="205">
        <v>71.94</v>
      </c>
      <c r="G652" s="205">
        <f t="shared" si="280"/>
        <v>0</v>
      </c>
      <c r="H652" s="192">
        <v>1248.29</v>
      </c>
      <c r="I652" s="205">
        <v>89798.99</v>
      </c>
      <c r="J652" s="205">
        <f t="shared" si="282"/>
        <v>89801.982599999988</v>
      </c>
      <c r="K652" s="205">
        <v>2.99</v>
      </c>
    </row>
    <row r="653" spans="1:11" ht="16.5" customHeight="1">
      <c r="A653" s="11" t="s">
        <v>1239</v>
      </c>
      <c r="B653" s="16" t="s">
        <v>671</v>
      </c>
      <c r="C653" s="10" t="s">
        <v>87</v>
      </c>
      <c r="D653" s="14" t="s">
        <v>124</v>
      </c>
      <c r="E653" s="205">
        <v>2397.92</v>
      </c>
      <c r="F653" s="205">
        <v>2397.92</v>
      </c>
      <c r="G653" s="205">
        <f t="shared" si="280"/>
        <v>0</v>
      </c>
      <c r="H653" s="192">
        <v>2.83</v>
      </c>
      <c r="I653" s="205">
        <f t="shared" si="275"/>
        <v>6786.1136000000006</v>
      </c>
      <c r="J653" s="205">
        <f t="shared" si="282"/>
        <v>6786.1136000000006</v>
      </c>
      <c r="K653" s="205">
        <f t="shared" si="281"/>
        <v>0</v>
      </c>
    </row>
    <row r="654" spans="1:11">
      <c r="A654" s="8" t="s">
        <v>1240</v>
      </c>
      <c r="B654" s="9" t="s">
        <v>107</v>
      </c>
      <c r="C654" s="8"/>
      <c r="D654" s="8"/>
      <c r="E654" s="211"/>
      <c r="F654" s="211"/>
      <c r="G654" s="211"/>
      <c r="H654" s="191"/>
      <c r="I654" s="204">
        <f>SUM(I655:I657)</f>
        <v>0</v>
      </c>
      <c r="J654" s="204">
        <f>SUM(J655:J657)</f>
        <v>0</v>
      </c>
      <c r="K654" s="204">
        <f>SUM(K655:K657)</f>
        <v>0</v>
      </c>
    </row>
    <row r="655" spans="1:11" ht="39">
      <c r="A655" s="11" t="s">
        <v>1241</v>
      </c>
      <c r="B655" s="12" t="s">
        <v>673</v>
      </c>
      <c r="C655" s="10" t="s">
        <v>33</v>
      </c>
      <c r="D655" s="13" t="s">
        <v>1486</v>
      </c>
      <c r="E655" s="205">
        <v>0</v>
      </c>
      <c r="F655" s="205">
        <v>0</v>
      </c>
      <c r="G655" s="205">
        <f>F655-E655</f>
        <v>0</v>
      </c>
      <c r="H655" s="192">
        <v>625.09</v>
      </c>
      <c r="I655" s="205">
        <f t="shared" si="275"/>
        <v>0</v>
      </c>
      <c r="J655" s="205">
        <f>H655*F655</f>
        <v>0</v>
      </c>
      <c r="K655" s="205">
        <f t="shared" ref="K655:K657" si="284">G655*H655</f>
        <v>0</v>
      </c>
    </row>
    <row r="656" spans="1:11" ht="17" customHeight="1">
      <c r="A656" s="11" t="s">
        <v>1242</v>
      </c>
      <c r="B656" s="190" t="s">
        <v>679</v>
      </c>
      <c r="C656" s="10" t="s">
        <v>33</v>
      </c>
      <c r="D656" s="13" t="s">
        <v>124</v>
      </c>
      <c r="E656" s="205">
        <v>0</v>
      </c>
      <c r="F656" s="205">
        <v>0</v>
      </c>
      <c r="G656" s="205">
        <f>F656-E656</f>
        <v>0</v>
      </c>
      <c r="H656" s="192">
        <v>16.260000000000002</v>
      </c>
      <c r="I656" s="205">
        <f t="shared" si="275"/>
        <v>0</v>
      </c>
      <c r="J656" s="205">
        <f t="shared" ref="J656:J657" si="285">H656*F656</f>
        <v>0</v>
      </c>
      <c r="K656" s="205">
        <f t="shared" si="284"/>
        <v>0</v>
      </c>
    </row>
    <row r="657" spans="1:11" ht="16.5" customHeight="1">
      <c r="A657" s="11" t="s">
        <v>1243</v>
      </c>
      <c r="B657" s="12" t="s">
        <v>674</v>
      </c>
      <c r="C657" s="10" t="s">
        <v>33</v>
      </c>
      <c r="D657" s="13" t="s">
        <v>124</v>
      </c>
      <c r="E657" s="205">
        <v>0</v>
      </c>
      <c r="F657" s="205">
        <v>0</v>
      </c>
      <c r="G657" s="205">
        <f>F657-E657</f>
        <v>0</v>
      </c>
      <c r="H657" s="192">
        <v>4.5599999999999996</v>
      </c>
      <c r="I657" s="205">
        <f t="shared" si="275"/>
        <v>0</v>
      </c>
      <c r="J657" s="205">
        <f t="shared" si="285"/>
        <v>0</v>
      </c>
      <c r="K657" s="205">
        <f t="shared" si="284"/>
        <v>0</v>
      </c>
    </row>
    <row r="658" spans="1:11">
      <c r="A658" s="8" t="s">
        <v>1244</v>
      </c>
      <c r="B658" s="9" t="s">
        <v>677</v>
      </c>
      <c r="C658" s="8"/>
      <c r="D658" s="8"/>
      <c r="E658" s="211"/>
      <c r="F658" s="211"/>
      <c r="G658" s="211"/>
      <c r="H658" s="191"/>
      <c r="I658" s="204">
        <f>SUM(I659:I660)</f>
        <v>4196.3600000000006</v>
      </c>
      <c r="J658" s="204">
        <f>SUM(J659:J660)</f>
        <v>4196.3600000000006</v>
      </c>
      <c r="K658" s="204">
        <f>SUM(K659:K660)</f>
        <v>0</v>
      </c>
    </row>
    <row r="659" spans="1:11">
      <c r="A659" s="11" t="s">
        <v>1245</v>
      </c>
      <c r="B659" s="12" t="s">
        <v>658</v>
      </c>
      <c r="C659" s="10" t="s">
        <v>11</v>
      </c>
      <c r="D659" s="13" t="s">
        <v>124</v>
      </c>
      <c r="E659" s="205">
        <v>2397.92</v>
      </c>
      <c r="F659" s="205">
        <v>2397.92</v>
      </c>
      <c r="G659" s="205">
        <f>F659-E659</f>
        <v>0</v>
      </c>
      <c r="H659" s="192">
        <v>1.75</v>
      </c>
      <c r="I659" s="205">
        <f t="shared" si="275"/>
        <v>4196.3600000000006</v>
      </c>
      <c r="J659" s="205">
        <f>H659*F659</f>
        <v>4196.3600000000006</v>
      </c>
      <c r="K659" s="205">
        <f t="shared" ref="K659:K660" si="286">G659*H659</f>
        <v>0</v>
      </c>
    </row>
    <row r="660" spans="1:11">
      <c r="A660" s="11" t="s">
        <v>1246</v>
      </c>
      <c r="B660" s="12" t="s">
        <v>678</v>
      </c>
      <c r="C660" s="10" t="s">
        <v>11</v>
      </c>
      <c r="D660" s="13" t="s">
        <v>1486</v>
      </c>
      <c r="E660" s="205">
        <v>0</v>
      </c>
      <c r="F660" s="205">
        <v>0</v>
      </c>
      <c r="G660" s="205">
        <f>F660-E660</f>
        <v>0</v>
      </c>
      <c r="H660" s="192">
        <v>92.34</v>
      </c>
      <c r="I660" s="205">
        <f t="shared" si="275"/>
        <v>0</v>
      </c>
      <c r="J660" s="205">
        <f>H660*F660</f>
        <v>0</v>
      </c>
      <c r="K660" s="205">
        <f t="shared" si="286"/>
        <v>0</v>
      </c>
    </row>
    <row r="661" spans="1:11">
      <c r="A661" s="183">
        <v>25</v>
      </c>
      <c r="B661" s="188" t="s">
        <v>1477</v>
      </c>
      <c r="C661" s="183"/>
      <c r="D661" s="183"/>
      <c r="E661" s="210"/>
      <c r="F661" s="210"/>
      <c r="G661" s="210"/>
      <c r="H661" s="194"/>
      <c r="I661" s="203">
        <f>SUM(I662,I665,I667,I674,I681,I685)</f>
        <v>52946.750400000004</v>
      </c>
      <c r="J661" s="203">
        <f>SUM(J662,J665,J667,J674,J681,J685)</f>
        <v>53603.600399999996</v>
      </c>
      <c r="K661" s="203">
        <f>SUM(K662,K665,K667,K674,K681,K685)</f>
        <v>656.8499999999998</v>
      </c>
    </row>
    <row r="662" spans="1:11">
      <c r="A662" s="8" t="s">
        <v>1247</v>
      </c>
      <c r="B662" s="9" t="s">
        <v>8</v>
      </c>
      <c r="C662" s="8"/>
      <c r="D662" s="8"/>
      <c r="E662" s="211"/>
      <c r="F662" s="211"/>
      <c r="G662" s="211"/>
      <c r="H662" s="191"/>
      <c r="I662" s="204">
        <f>SUM(I663:I664)</f>
        <v>4135.7957999999999</v>
      </c>
      <c r="J662" s="204">
        <f>SUM(J663:J664)</f>
        <v>4135.7957999999999</v>
      </c>
      <c r="K662" s="204">
        <f>SUM(K663:K664)</f>
        <v>0</v>
      </c>
    </row>
    <row r="663" spans="1:11" ht="26">
      <c r="A663" s="11" t="s">
        <v>1248</v>
      </c>
      <c r="B663" s="12" t="s">
        <v>652</v>
      </c>
      <c r="C663" s="10" t="s">
        <v>13</v>
      </c>
      <c r="D663" s="13" t="s">
        <v>124</v>
      </c>
      <c r="E663" s="205">
        <v>521.34</v>
      </c>
      <c r="F663" s="205">
        <v>521.34</v>
      </c>
      <c r="G663" s="205">
        <f>F663-E663</f>
        <v>0</v>
      </c>
      <c r="H663" s="192">
        <v>0.36</v>
      </c>
      <c r="I663" s="205">
        <f>H663*E663</f>
        <v>187.6824</v>
      </c>
      <c r="J663" s="205">
        <f>H663*F663</f>
        <v>187.6824</v>
      </c>
      <c r="K663" s="205">
        <f t="shared" ref="K663:K664" si="287">G663*H663</f>
        <v>0</v>
      </c>
    </row>
    <row r="664" spans="1:11" ht="52">
      <c r="A664" s="11" t="s">
        <v>1249</v>
      </c>
      <c r="B664" s="12" t="s">
        <v>649</v>
      </c>
      <c r="C664" s="10" t="s">
        <v>11</v>
      </c>
      <c r="D664" s="13" t="s">
        <v>124</v>
      </c>
      <c r="E664" s="205">
        <v>64.02</v>
      </c>
      <c r="F664" s="205">
        <v>64.02</v>
      </c>
      <c r="G664" s="205">
        <f>F664-E664</f>
        <v>0</v>
      </c>
      <c r="H664" s="192">
        <v>61.67</v>
      </c>
      <c r="I664" s="205">
        <f>H664*E664</f>
        <v>3948.1133999999997</v>
      </c>
      <c r="J664" s="205">
        <f>H664*F664</f>
        <v>3948.1133999999997</v>
      </c>
      <c r="K664" s="205">
        <f t="shared" si="287"/>
        <v>0</v>
      </c>
    </row>
    <row r="665" spans="1:11">
      <c r="A665" s="8" t="s">
        <v>1250</v>
      </c>
      <c r="B665" s="9" t="s">
        <v>654</v>
      </c>
      <c r="C665" s="8"/>
      <c r="D665" s="8"/>
      <c r="E665" s="211"/>
      <c r="F665" s="211"/>
      <c r="G665" s="211"/>
      <c r="H665" s="191"/>
      <c r="I665" s="204">
        <f>SUM(I666:I666)</f>
        <v>198.10920000000002</v>
      </c>
      <c r="J665" s="204">
        <f>SUM(J666:J666)</f>
        <v>198.10920000000002</v>
      </c>
      <c r="K665" s="204">
        <f>SUM(K666:K666)</f>
        <v>0</v>
      </c>
    </row>
    <row r="666" spans="1:11" ht="26">
      <c r="A666" s="11" t="s">
        <v>1251</v>
      </c>
      <c r="B666" s="12" t="s">
        <v>655</v>
      </c>
      <c r="C666" s="10"/>
      <c r="D666" s="13" t="s">
        <v>124</v>
      </c>
      <c r="E666" s="205">
        <v>521.34</v>
      </c>
      <c r="F666" s="205">
        <v>521.34</v>
      </c>
      <c r="G666" s="205">
        <f>F666-E666</f>
        <v>0</v>
      </c>
      <c r="H666" s="192">
        <v>0.38</v>
      </c>
      <c r="I666" s="205">
        <f t="shared" ref="I666:I687" si="288">H666*E666</f>
        <v>198.10920000000002</v>
      </c>
      <c r="J666" s="205">
        <f>H666*F666</f>
        <v>198.10920000000002</v>
      </c>
      <c r="K666" s="205">
        <f t="shared" ref="K666" si="289">G666*H666</f>
        <v>0</v>
      </c>
    </row>
    <row r="667" spans="1:11">
      <c r="A667" s="8" t="s">
        <v>1252</v>
      </c>
      <c r="B667" s="9" t="s">
        <v>657</v>
      </c>
      <c r="C667" s="8"/>
      <c r="D667" s="8"/>
      <c r="E667" s="211"/>
      <c r="F667" s="211"/>
      <c r="G667" s="211"/>
      <c r="H667" s="191"/>
      <c r="I667" s="204">
        <f>SUM(I668:I673)</f>
        <v>23850.250200000002</v>
      </c>
      <c r="J667" s="204">
        <f>SUM(J668:J673)</f>
        <v>24178.675199999998</v>
      </c>
      <c r="K667" s="204">
        <f>SUM(K668:K673)</f>
        <v>328.4249999999999</v>
      </c>
    </row>
    <row r="668" spans="1:11">
      <c r="A668" s="11" t="s">
        <v>1253</v>
      </c>
      <c r="B668" s="12" t="s">
        <v>658</v>
      </c>
      <c r="C668" s="10"/>
      <c r="D668" s="13" t="s">
        <v>124</v>
      </c>
      <c r="E668" s="205">
        <v>521.34</v>
      </c>
      <c r="F668" s="205">
        <v>521.34</v>
      </c>
      <c r="G668" s="205">
        <f t="shared" ref="G668:G673" si="290">F668-E668</f>
        <v>0</v>
      </c>
      <c r="H668" s="192">
        <v>1.75</v>
      </c>
      <c r="I668" s="205">
        <f t="shared" si="288"/>
        <v>912.34500000000003</v>
      </c>
      <c r="J668" s="205">
        <f>H668*F668</f>
        <v>912.34500000000003</v>
      </c>
      <c r="K668" s="205">
        <f t="shared" ref="K668:K673" si="291">G668*H668</f>
        <v>0</v>
      </c>
    </row>
    <row r="669" spans="1:11" ht="26">
      <c r="A669" s="11" t="s">
        <v>1254</v>
      </c>
      <c r="B669" s="12" t="s">
        <v>659</v>
      </c>
      <c r="C669" s="10"/>
      <c r="D669" s="13" t="s">
        <v>87</v>
      </c>
      <c r="E669" s="205">
        <v>15.64</v>
      </c>
      <c r="F669" s="205">
        <v>15.64</v>
      </c>
      <c r="G669" s="205">
        <f t="shared" si="290"/>
        <v>0</v>
      </c>
      <c r="H669" s="192">
        <v>10.32</v>
      </c>
      <c r="I669" s="205">
        <f t="shared" si="288"/>
        <v>161.40480000000002</v>
      </c>
      <c r="J669" s="205">
        <f t="shared" ref="J669:J673" si="292">H669*F669</f>
        <v>161.40480000000002</v>
      </c>
      <c r="K669" s="205">
        <f t="shared" si="291"/>
        <v>0</v>
      </c>
    </row>
    <row r="670" spans="1:11" ht="28.5" customHeight="1">
      <c r="A670" s="11" t="s">
        <v>1255</v>
      </c>
      <c r="B670" s="12" t="s">
        <v>660</v>
      </c>
      <c r="C670" s="10"/>
      <c r="D670" s="13" t="s">
        <v>1485</v>
      </c>
      <c r="E670" s="205">
        <v>469.21</v>
      </c>
      <c r="F670" s="205">
        <v>469.21</v>
      </c>
      <c r="G670" s="205">
        <f t="shared" si="290"/>
        <v>0</v>
      </c>
      <c r="H670" s="192">
        <v>2.14</v>
      </c>
      <c r="I670" s="205">
        <f t="shared" si="288"/>
        <v>1004.1094000000001</v>
      </c>
      <c r="J670" s="205">
        <f t="shared" si="292"/>
        <v>1004.1094000000001</v>
      </c>
      <c r="K670" s="205">
        <f t="shared" si="291"/>
        <v>0</v>
      </c>
    </row>
    <row r="671" spans="1:11" ht="29" customHeight="1">
      <c r="A671" s="11" t="s">
        <v>1256</v>
      </c>
      <c r="B671" s="12" t="s">
        <v>668</v>
      </c>
      <c r="C671" s="10"/>
      <c r="D671" s="13" t="s">
        <v>1485</v>
      </c>
      <c r="E671" s="205">
        <v>889.36</v>
      </c>
      <c r="F671" s="205">
        <v>1266.8599999999999</v>
      </c>
      <c r="G671" s="205">
        <f t="shared" si="290"/>
        <v>377.49999999999989</v>
      </c>
      <c r="H671" s="192">
        <v>0.87</v>
      </c>
      <c r="I671" s="205">
        <f t="shared" si="288"/>
        <v>773.7432</v>
      </c>
      <c r="J671" s="205">
        <f t="shared" si="292"/>
        <v>1102.1681999999998</v>
      </c>
      <c r="K671" s="205">
        <f t="shared" si="291"/>
        <v>328.4249999999999</v>
      </c>
    </row>
    <row r="672" spans="1:11" ht="28" customHeight="1">
      <c r="A672" s="11" t="s">
        <v>1257</v>
      </c>
      <c r="B672" s="12" t="s">
        <v>661</v>
      </c>
      <c r="C672" s="10"/>
      <c r="D672" s="13" t="s">
        <v>87</v>
      </c>
      <c r="E672" s="205">
        <v>15.64</v>
      </c>
      <c r="F672" s="205">
        <v>15.64</v>
      </c>
      <c r="G672" s="205">
        <f t="shared" si="290"/>
        <v>0</v>
      </c>
      <c r="H672" s="192">
        <v>1248.29</v>
      </c>
      <c r="I672" s="205">
        <f t="shared" si="288"/>
        <v>19523.2556</v>
      </c>
      <c r="J672" s="205">
        <f t="shared" si="292"/>
        <v>19523.2556</v>
      </c>
      <c r="K672" s="205">
        <f t="shared" si="291"/>
        <v>0</v>
      </c>
    </row>
    <row r="673" spans="1:11" ht="17.5" customHeight="1">
      <c r="A673" s="11" t="s">
        <v>1258</v>
      </c>
      <c r="B673" s="12" t="s">
        <v>662</v>
      </c>
      <c r="C673" s="10"/>
      <c r="D673" s="13" t="s">
        <v>124</v>
      </c>
      <c r="E673" s="205">
        <v>521.34</v>
      </c>
      <c r="F673" s="205">
        <v>521.34</v>
      </c>
      <c r="G673" s="205">
        <f t="shared" si="290"/>
        <v>0</v>
      </c>
      <c r="H673" s="192">
        <v>2.83</v>
      </c>
      <c r="I673" s="205">
        <f t="shared" si="288"/>
        <v>1475.3922000000002</v>
      </c>
      <c r="J673" s="205">
        <f t="shared" si="292"/>
        <v>1475.3922000000002</v>
      </c>
      <c r="K673" s="205">
        <f t="shared" si="291"/>
        <v>0</v>
      </c>
    </row>
    <row r="674" spans="1:11">
      <c r="A674" s="8" t="s">
        <v>1259</v>
      </c>
      <c r="B674" s="9" t="s">
        <v>669</v>
      </c>
      <c r="C674" s="8"/>
      <c r="D674" s="8"/>
      <c r="E674" s="211"/>
      <c r="F674" s="211"/>
      <c r="G674" s="211"/>
      <c r="H674" s="191"/>
      <c r="I674" s="204">
        <f>SUM(I675:I680)</f>
        <v>23850.250200000002</v>
      </c>
      <c r="J674" s="204">
        <f>SUM(J675:J680)</f>
        <v>24178.675199999998</v>
      </c>
      <c r="K674" s="204">
        <f>SUM(K675:K680)</f>
        <v>328.4249999999999</v>
      </c>
    </row>
    <row r="675" spans="1:11">
      <c r="A675" s="11" t="s">
        <v>1260</v>
      </c>
      <c r="B675" s="12" t="s">
        <v>658</v>
      </c>
      <c r="C675" s="10"/>
      <c r="D675" s="14" t="s">
        <v>124</v>
      </c>
      <c r="E675" s="205">
        <v>521.34</v>
      </c>
      <c r="F675" s="205">
        <v>521.34</v>
      </c>
      <c r="G675" s="205">
        <f t="shared" ref="G675:G680" si="293">F675-E675</f>
        <v>0</v>
      </c>
      <c r="H675" s="192">
        <v>1.75</v>
      </c>
      <c r="I675" s="205">
        <f t="shared" si="288"/>
        <v>912.34500000000003</v>
      </c>
      <c r="J675" s="205">
        <f>H675*F675</f>
        <v>912.34500000000003</v>
      </c>
      <c r="K675" s="205">
        <f t="shared" ref="K675:K680" si="294">G675*H675</f>
        <v>0</v>
      </c>
    </row>
    <row r="676" spans="1:11" ht="26">
      <c r="A676" s="11" t="s">
        <v>1261</v>
      </c>
      <c r="B676" s="12" t="s">
        <v>659</v>
      </c>
      <c r="C676" s="10"/>
      <c r="D676" s="14" t="s">
        <v>87</v>
      </c>
      <c r="E676" s="205">
        <v>15.64</v>
      </c>
      <c r="F676" s="212">
        <v>15.64</v>
      </c>
      <c r="G676" s="205">
        <f t="shared" si="293"/>
        <v>0</v>
      </c>
      <c r="H676" s="192">
        <v>10.32</v>
      </c>
      <c r="I676" s="205">
        <f t="shared" si="288"/>
        <v>161.40480000000002</v>
      </c>
      <c r="J676" s="205">
        <f t="shared" ref="J676:J680" si="295">H676*F676</f>
        <v>161.40480000000002</v>
      </c>
      <c r="K676" s="205">
        <f t="shared" si="294"/>
        <v>0</v>
      </c>
    </row>
    <row r="677" spans="1:11" ht="28.5" customHeight="1">
      <c r="A677" s="11" t="s">
        <v>1262</v>
      </c>
      <c r="B677" s="12" t="s">
        <v>660</v>
      </c>
      <c r="C677" s="10"/>
      <c r="D677" s="14" t="s">
        <v>1485</v>
      </c>
      <c r="E677" s="205">
        <v>469.21</v>
      </c>
      <c r="F677" s="212">
        <v>469.21</v>
      </c>
      <c r="G677" s="205">
        <f t="shared" si="293"/>
        <v>0</v>
      </c>
      <c r="H677" s="192">
        <v>2.14</v>
      </c>
      <c r="I677" s="205">
        <f t="shared" si="288"/>
        <v>1004.1094000000001</v>
      </c>
      <c r="J677" s="205">
        <f t="shared" si="295"/>
        <v>1004.1094000000001</v>
      </c>
      <c r="K677" s="205">
        <f t="shared" si="294"/>
        <v>0</v>
      </c>
    </row>
    <row r="678" spans="1:11" ht="32.5" customHeight="1">
      <c r="A678" s="11" t="s">
        <v>1263</v>
      </c>
      <c r="B678" s="18" t="s">
        <v>668</v>
      </c>
      <c r="C678" s="10"/>
      <c r="D678" s="189" t="s">
        <v>1485</v>
      </c>
      <c r="E678" s="205">
        <v>889.36</v>
      </c>
      <c r="F678" s="205">
        <v>1266.8599999999999</v>
      </c>
      <c r="G678" s="205">
        <f t="shared" si="293"/>
        <v>377.49999999999989</v>
      </c>
      <c r="H678" s="193">
        <v>0.87</v>
      </c>
      <c r="I678" s="205">
        <f t="shared" si="288"/>
        <v>773.7432</v>
      </c>
      <c r="J678" s="205">
        <f t="shared" si="295"/>
        <v>1102.1681999999998</v>
      </c>
      <c r="K678" s="205">
        <f t="shared" si="294"/>
        <v>328.4249999999999</v>
      </c>
    </row>
    <row r="679" spans="1:11" ht="26.5">
      <c r="A679" s="11" t="s">
        <v>1264</v>
      </c>
      <c r="B679" s="18" t="s">
        <v>670</v>
      </c>
      <c r="C679" s="10"/>
      <c r="D679" s="14" t="s">
        <v>87</v>
      </c>
      <c r="E679" s="205">
        <v>15.64</v>
      </c>
      <c r="F679" s="212">
        <v>15.64</v>
      </c>
      <c r="G679" s="205">
        <f t="shared" si="293"/>
        <v>0</v>
      </c>
      <c r="H679" s="192">
        <v>1248.29</v>
      </c>
      <c r="I679" s="205">
        <f t="shared" si="288"/>
        <v>19523.2556</v>
      </c>
      <c r="J679" s="205">
        <f t="shared" si="295"/>
        <v>19523.2556</v>
      </c>
      <c r="K679" s="205">
        <f t="shared" si="294"/>
        <v>0</v>
      </c>
    </row>
    <row r="680" spans="1:11" ht="16.5" customHeight="1">
      <c r="A680" s="11" t="s">
        <v>1265</v>
      </c>
      <c r="B680" s="16" t="s">
        <v>671</v>
      </c>
      <c r="C680" s="10" t="s">
        <v>87</v>
      </c>
      <c r="D680" s="14" t="s">
        <v>124</v>
      </c>
      <c r="E680" s="205">
        <v>521.34</v>
      </c>
      <c r="F680" s="212">
        <v>521.34</v>
      </c>
      <c r="G680" s="205">
        <f t="shared" si="293"/>
        <v>0</v>
      </c>
      <c r="H680" s="192">
        <v>2.83</v>
      </c>
      <c r="I680" s="205">
        <f t="shared" si="288"/>
        <v>1475.3922000000002</v>
      </c>
      <c r="J680" s="205">
        <f t="shared" si="295"/>
        <v>1475.3922000000002</v>
      </c>
      <c r="K680" s="205">
        <f t="shared" si="294"/>
        <v>0</v>
      </c>
    </row>
    <row r="681" spans="1:11">
      <c r="A681" s="8" t="s">
        <v>1266</v>
      </c>
      <c r="B681" s="9" t="s">
        <v>107</v>
      </c>
      <c r="C681" s="8"/>
      <c r="D681" s="8"/>
      <c r="E681" s="211"/>
      <c r="F681" s="211"/>
      <c r="G681" s="211"/>
      <c r="H681" s="191"/>
      <c r="I681" s="204">
        <f>SUM(I682:I684)</f>
        <v>0</v>
      </c>
      <c r="J681" s="204">
        <f>SUM(J682:J684)</f>
        <v>0</v>
      </c>
      <c r="K681" s="204">
        <f>SUM(K682:K684)</f>
        <v>0</v>
      </c>
    </row>
    <row r="682" spans="1:11" ht="39">
      <c r="A682" s="11" t="s">
        <v>1267</v>
      </c>
      <c r="B682" s="12" t="s">
        <v>673</v>
      </c>
      <c r="C682" s="10" t="s">
        <v>33</v>
      </c>
      <c r="D682" s="13" t="s">
        <v>1486</v>
      </c>
      <c r="E682" s="205">
        <v>0</v>
      </c>
      <c r="F682" s="205">
        <v>0</v>
      </c>
      <c r="G682" s="205">
        <f>F682-E682</f>
        <v>0</v>
      </c>
      <c r="H682" s="192">
        <v>625.09</v>
      </c>
      <c r="I682" s="205">
        <f t="shared" si="288"/>
        <v>0</v>
      </c>
      <c r="J682" s="205">
        <f>H682*F682</f>
        <v>0</v>
      </c>
      <c r="K682" s="205">
        <f t="shared" ref="K682:K684" si="296">G682*H682</f>
        <v>0</v>
      </c>
    </row>
    <row r="683" spans="1:11" ht="17" customHeight="1">
      <c r="A683" s="11" t="s">
        <v>1268</v>
      </c>
      <c r="B683" s="190" t="s">
        <v>679</v>
      </c>
      <c r="C683" s="10" t="s">
        <v>33</v>
      </c>
      <c r="D683" s="13" t="s">
        <v>124</v>
      </c>
      <c r="E683" s="205">
        <v>0</v>
      </c>
      <c r="F683" s="205">
        <v>0</v>
      </c>
      <c r="G683" s="205">
        <f>F683-E683</f>
        <v>0</v>
      </c>
      <c r="H683" s="192">
        <v>16.260000000000002</v>
      </c>
      <c r="I683" s="205">
        <f t="shared" si="288"/>
        <v>0</v>
      </c>
      <c r="J683" s="205">
        <f t="shared" ref="J683:J684" si="297">H683*F683</f>
        <v>0</v>
      </c>
      <c r="K683" s="205">
        <f t="shared" si="296"/>
        <v>0</v>
      </c>
    </row>
    <row r="684" spans="1:11" ht="16.5" customHeight="1">
      <c r="A684" s="11" t="s">
        <v>1269</v>
      </c>
      <c r="B684" s="12" t="s">
        <v>674</v>
      </c>
      <c r="C684" s="10" t="s">
        <v>33</v>
      </c>
      <c r="D684" s="13" t="s">
        <v>124</v>
      </c>
      <c r="E684" s="205">
        <v>0</v>
      </c>
      <c r="F684" s="205">
        <v>0</v>
      </c>
      <c r="G684" s="205">
        <f>F684-E684</f>
        <v>0</v>
      </c>
      <c r="H684" s="192">
        <v>4.5599999999999996</v>
      </c>
      <c r="I684" s="205">
        <f t="shared" si="288"/>
        <v>0</v>
      </c>
      <c r="J684" s="205">
        <f t="shared" si="297"/>
        <v>0</v>
      </c>
      <c r="K684" s="205">
        <f t="shared" si="296"/>
        <v>0</v>
      </c>
    </row>
    <row r="685" spans="1:11">
      <c r="A685" s="8" t="s">
        <v>1270</v>
      </c>
      <c r="B685" s="9" t="s">
        <v>677</v>
      </c>
      <c r="C685" s="8"/>
      <c r="D685" s="8"/>
      <c r="E685" s="211"/>
      <c r="F685" s="211"/>
      <c r="G685" s="211"/>
      <c r="H685" s="191"/>
      <c r="I685" s="204">
        <f>SUM(I686:I687)</f>
        <v>912.34500000000003</v>
      </c>
      <c r="J685" s="204">
        <f>SUM(J686:J687)</f>
        <v>912.34500000000003</v>
      </c>
      <c r="K685" s="204">
        <f>SUM(K686:K687)</f>
        <v>0</v>
      </c>
    </row>
    <row r="686" spans="1:11">
      <c r="A686" s="11" t="s">
        <v>1271</v>
      </c>
      <c r="B686" s="12" t="s">
        <v>658</v>
      </c>
      <c r="C686" s="10" t="s">
        <v>11</v>
      </c>
      <c r="D686" s="13" t="s">
        <v>124</v>
      </c>
      <c r="E686" s="205">
        <v>521.34</v>
      </c>
      <c r="F686" s="205">
        <v>521.34</v>
      </c>
      <c r="G686" s="205">
        <f>F686-E686</f>
        <v>0</v>
      </c>
      <c r="H686" s="192">
        <v>1.75</v>
      </c>
      <c r="I686" s="205">
        <f t="shared" si="288"/>
        <v>912.34500000000003</v>
      </c>
      <c r="J686" s="205">
        <f>H686*F686</f>
        <v>912.34500000000003</v>
      </c>
      <c r="K686" s="205">
        <f t="shared" ref="K686:K687" si="298">G686*H686</f>
        <v>0</v>
      </c>
    </row>
    <row r="687" spans="1:11">
      <c r="A687" s="11" t="s">
        <v>1272</v>
      </c>
      <c r="B687" s="12" t="s">
        <v>678</v>
      </c>
      <c r="C687" s="10" t="s">
        <v>11</v>
      </c>
      <c r="D687" s="13" t="s">
        <v>1486</v>
      </c>
      <c r="E687" s="205">
        <v>0</v>
      </c>
      <c r="F687" s="205">
        <v>0</v>
      </c>
      <c r="G687" s="205">
        <f>F687-E687</f>
        <v>0</v>
      </c>
      <c r="H687" s="192">
        <v>92.34</v>
      </c>
      <c r="I687" s="205">
        <f t="shared" si="288"/>
        <v>0</v>
      </c>
      <c r="J687" s="205">
        <f>H687*F687</f>
        <v>0</v>
      </c>
      <c r="K687" s="205">
        <f t="shared" si="298"/>
        <v>0</v>
      </c>
    </row>
    <row r="688" spans="1:11">
      <c r="A688" s="183">
        <v>26</v>
      </c>
      <c r="B688" s="188" t="s">
        <v>1478</v>
      </c>
      <c r="C688" s="183"/>
      <c r="D688" s="183"/>
      <c r="E688" s="210"/>
      <c r="F688" s="210"/>
      <c r="G688" s="210"/>
      <c r="H688" s="194"/>
      <c r="I688" s="203">
        <f>SUM(I689,I692,I694,I701,I708,I712)</f>
        <v>229615.91680000001</v>
      </c>
      <c r="J688" s="203">
        <f>SUM(J689,J692,J694,J701,J708,J712)</f>
        <v>258354.67889999997</v>
      </c>
      <c r="K688" s="203">
        <f>SUM(K689,K692,K694,K701,K708,K712)</f>
        <v>28738.840900000003</v>
      </c>
    </row>
    <row r="689" spans="1:11">
      <c r="A689" s="8" t="s">
        <v>1273</v>
      </c>
      <c r="B689" s="9" t="s">
        <v>8</v>
      </c>
      <c r="C689" s="8"/>
      <c r="D689" s="8"/>
      <c r="E689" s="211"/>
      <c r="F689" s="211"/>
      <c r="G689" s="211"/>
      <c r="H689" s="191"/>
      <c r="I689" s="204">
        <f>SUM(I690:I691)</f>
        <v>17294.016700000004</v>
      </c>
      <c r="J689" s="204">
        <f>SUM(J690:J691)</f>
        <v>42837.114000000001</v>
      </c>
      <c r="K689" s="204">
        <f>SUM(K690:K691)</f>
        <v>25543.097300000001</v>
      </c>
    </row>
    <row r="690" spans="1:11" ht="26">
      <c r="A690" s="11" t="s">
        <v>1274</v>
      </c>
      <c r="B690" s="12" t="s">
        <v>652</v>
      </c>
      <c r="C690" s="10" t="s">
        <v>13</v>
      </c>
      <c r="D690" s="13" t="s">
        <v>124</v>
      </c>
      <c r="E690" s="205">
        <v>2271.23</v>
      </c>
      <c r="F690" s="205">
        <v>2271.23</v>
      </c>
      <c r="G690" s="205">
        <f>F690-E690</f>
        <v>0</v>
      </c>
      <c r="H690" s="192">
        <v>0.36</v>
      </c>
      <c r="I690" s="205">
        <f>H690*E690</f>
        <v>817.64279999999997</v>
      </c>
      <c r="J690" s="205">
        <f>H690*F690</f>
        <v>817.64279999999997</v>
      </c>
      <c r="K690" s="205">
        <f t="shared" ref="K690:K691" si="299">G690*H690</f>
        <v>0</v>
      </c>
    </row>
    <row r="691" spans="1:11" ht="52">
      <c r="A691" s="11" t="s">
        <v>1275</v>
      </c>
      <c r="B691" s="12" t="s">
        <v>649</v>
      </c>
      <c r="C691" s="10" t="s">
        <v>11</v>
      </c>
      <c r="D691" s="13" t="s">
        <v>124</v>
      </c>
      <c r="E691" s="205">
        <v>267.17</v>
      </c>
      <c r="F691" s="205">
        <v>681.36</v>
      </c>
      <c r="G691" s="205">
        <f>F691-E691</f>
        <v>414.19</v>
      </c>
      <c r="H691" s="192">
        <v>61.67</v>
      </c>
      <c r="I691" s="205">
        <f>H691*E691</f>
        <v>16476.373900000002</v>
      </c>
      <c r="J691" s="205">
        <f>H691*F691</f>
        <v>42019.4712</v>
      </c>
      <c r="K691" s="205">
        <f t="shared" si="299"/>
        <v>25543.097300000001</v>
      </c>
    </row>
    <row r="692" spans="1:11">
      <c r="A692" s="8" t="s">
        <v>1276</v>
      </c>
      <c r="B692" s="9" t="s">
        <v>654</v>
      </c>
      <c r="C692" s="8"/>
      <c r="D692" s="8"/>
      <c r="E692" s="211"/>
      <c r="F692" s="211"/>
      <c r="G692" s="211"/>
      <c r="H692" s="191"/>
      <c r="I692" s="204">
        <f>SUM(I693:I693)</f>
        <v>863.06740000000002</v>
      </c>
      <c r="J692" s="204">
        <f>SUM(J693:J693)</f>
        <v>863.06740000000002</v>
      </c>
      <c r="K692" s="204">
        <f>SUM(K693:K693)</f>
        <v>0</v>
      </c>
    </row>
    <row r="693" spans="1:11" ht="26">
      <c r="A693" s="11" t="s">
        <v>1277</v>
      </c>
      <c r="B693" s="12" t="s">
        <v>655</v>
      </c>
      <c r="C693" s="10"/>
      <c r="D693" s="13" t="s">
        <v>124</v>
      </c>
      <c r="E693" s="205">
        <v>2271.23</v>
      </c>
      <c r="F693" s="205">
        <v>2271.23</v>
      </c>
      <c r="G693" s="205">
        <f>F693-E693</f>
        <v>0</v>
      </c>
      <c r="H693" s="192">
        <v>0.38</v>
      </c>
      <c r="I693" s="205">
        <f t="shared" ref="I693:I714" si="300">H693*E693</f>
        <v>863.06740000000002</v>
      </c>
      <c r="J693" s="205">
        <f>H693*F693</f>
        <v>863.06740000000002</v>
      </c>
      <c r="K693" s="205">
        <f t="shared" ref="K693" si="301">G693*H693</f>
        <v>0</v>
      </c>
    </row>
    <row r="694" spans="1:11">
      <c r="A694" s="8" t="s">
        <v>1278</v>
      </c>
      <c r="B694" s="9" t="s">
        <v>657</v>
      </c>
      <c r="C694" s="8"/>
      <c r="D694" s="8"/>
      <c r="E694" s="211"/>
      <c r="F694" s="211"/>
      <c r="G694" s="211"/>
      <c r="H694" s="191"/>
      <c r="I694" s="204">
        <f>SUM(I695:I700)</f>
        <v>103742.0901</v>
      </c>
      <c r="J694" s="204">
        <f>SUM(J695:J700)</f>
        <v>105339.9225</v>
      </c>
      <c r="K694" s="204">
        <f>SUM(K695:K700)</f>
        <v>1597.8718000000001</v>
      </c>
    </row>
    <row r="695" spans="1:11">
      <c r="A695" s="11" t="s">
        <v>1279</v>
      </c>
      <c r="B695" s="12" t="s">
        <v>658</v>
      </c>
      <c r="C695" s="10"/>
      <c r="D695" s="13" t="s">
        <v>124</v>
      </c>
      <c r="E695" s="205">
        <v>2271.23</v>
      </c>
      <c r="F695" s="205">
        <v>2271.23</v>
      </c>
      <c r="G695" s="205">
        <f t="shared" ref="G695:G700" si="302">F695-E695</f>
        <v>0</v>
      </c>
      <c r="H695" s="192">
        <v>1.75</v>
      </c>
      <c r="I695" s="205">
        <f t="shared" si="300"/>
        <v>3974.6525000000001</v>
      </c>
      <c r="J695" s="205">
        <f>H695*F695</f>
        <v>3974.6525000000001</v>
      </c>
      <c r="K695" s="205">
        <f t="shared" ref="K695:K700" si="303">G695*H695</f>
        <v>0</v>
      </c>
    </row>
    <row r="696" spans="1:11" ht="26">
      <c r="A696" s="11" t="s">
        <v>1280</v>
      </c>
      <c r="B696" s="12" t="s">
        <v>659</v>
      </c>
      <c r="C696" s="10"/>
      <c r="D696" s="13" t="s">
        <v>87</v>
      </c>
      <c r="E696" s="205">
        <v>68.14</v>
      </c>
      <c r="F696" s="205">
        <v>68.14</v>
      </c>
      <c r="G696" s="205">
        <f t="shared" si="302"/>
        <v>0</v>
      </c>
      <c r="H696" s="192">
        <v>10.32</v>
      </c>
      <c r="I696" s="205">
        <f t="shared" si="300"/>
        <v>703.20479999999998</v>
      </c>
      <c r="J696" s="205">
        <f t="shared" ref="J696:J700" si="304">H696*F696</f>
        <v>703.20479999999998</v>
      </c>
      <c r="K696" s="205">
        <v>0.03</v>
      </c>
    </row>
    <row r="697" spans="1:11" ht="28.5" customHeight="1">
      <c r="A697" s="11" t="s">
        <v>1281</v>
      </c>
      <c r="B697" s="12" t="s">
        <v>660</v>
      </c>
      <c r="C697" s="10"/>
      <c r="D697" s="13" t="s">
        <v>1485</v>
      </c>
      <c r="E697" s="205">
        <v>2044.11</v>
      </c>
      <c r="F697" s="205">
        <v>2044.11</v>
      </c>
      <c r="G697" s="205">
        <f t="shared" si="302"/>
        <v>0</v>
      </c>
      <c r="H697" s="192">
        <v>2.14</v>
      </c>
      <c r="I697" s="205">
        <f t="shared" si="300"/>
        <v>4374.3954000000003</v>
      </c>
      <c r="J697" s="205">
        <f t="shared" si="304"/>
        <v>4374.3954000000003</v>
      </c>
      <c r="K697" s="205">
        <v>0.01</v>
      </c>
    </row>
    <row r="698" spans="1:11" ht="29" customHeight="1">
      <c r="A698" s="11" t="s">
        <v>1282</v>
      </c>
      <c r="B698" s="12" t="s">
        <v>668</v>
      </c>
      <c r="C698" s="10"/>
      <c r="D698" s="13" t="s">
        <v>1485</v>
      </c>
      <c r="E698" s="205">
        <v>3686.95</v>
      </c>
      <c r="F698" s="205">
        <v>5519.09</v>
      </c>
      <c r="G698" s="205">
        <f t="shared" si="302"/>
        <v>1832.1400000000003</v>
      </c>
      <c r="H698" s="192">
        <v>0.87</v>
      </c>
      <c r="I698" s="205">
        <f t="shared" si="300"/>
        <v>3207.6464999999998</v>
      </c>
      <c r="J698" s="205">
        <f t="shared" si="304"/>
        <v>4801.6082999999999</v>
      </c>
      <c r="K698" s="205">
        <f t="shared" si="303"/>
        <v>1593.9618000000003</v>
      </c>
    </row>
    <row r="699" spans="1:11" ht="28" customHeight="1">
      <c r="A699" s="11" t="s">
        <v>1283</v>
      </c>
      <c r="B699" s="12" t="s">
        <v>661</v>
      </c>
      <c r="C699" s="10"/>
      <c r="D699" s="13" t="s">
        <v>87</v>
      </c>
      <c r="E699" s="205">
        <v>68.14</v>
      </c>
      <c r="F699" s="205">
        <v>68.14</v>
      </c>
      <c r="G699" s="205">
        <f t="shared" si="302"/>
        <v>0</v>
      </c>
      <c r="H699" s="192">
        <v>1248.29</v>
      </c>
      <c r="I699" s="205">
        <v>85054.61</v>
      </c>
      <c r="J699" s="205">
        <f t="shared" si="304"/>
        <v>85058.480599999995</v>
      </c>
      <c r="K699" s="205">
        <v>3.87</v>
      </c>
    </row>
    <row r="700" spans="1:11" ht="17.5" customHeight="1">
      <c r="A700" s="11" t="s">
        <v>1284</v>
      </c>
      <c r="B700" s="12" t="s">
        <v>662</v>
      </c>
      <c r="C700" s="10"/>
      <c r="D700" s="13" t="s">
        <v>124</v>
      </c>
      <c r="E700" s="205">
        <v>2271.23</v>
      </c>
      <c r="F700" s="205">
        <v>2271.23</v>
      </c>
      <c r="G700" s="205">
        <f t="shared" si="302"/>
        <v>0</v>
      </c>
      <c r="H700" s="192">
        <v>2.83</v>
      </c>
      <c r="I700" s="205">
        <f t="shared" si="300"/>
        <v>6427.5808999999999</v>
      </c>
      <c r="J700" s="205">
        <f t="shared" si="304"/>
        <v>6427.5808999999999</v>
      </c>
      <c r="K700" s="205">
        <f t="shared" si="303"/>
        <v>0</v>
      </c>
    </row>
    <row r="701" spans="1:11">
      <c r="A701" s="8" t="s">
        <v>1285</v>
      </c>
      <c r="B701" s="9" t="s">
        <v>669</v>
      </c>
      <c r="C701" s="8"/>
      <c r="D701" s="8"/>
      <c r="E701" s="211"/>
      <c r="F701" s="211"/>
      <c r="G701" s="211"/>
      <c r="H701" s="191"/>
      <c r="I701" s="204">
        <f>SUM(I702:I707)</f>
        <v>103742.0901</v>
      </c>
      <c r="J701" s="204">
        <f>SUM(J702:J707)</f>
        <v>105339.9225</v>
      </c>
      <c r="K701" s="204">
        <f>SUM(K702:K707)</f>
        <v>1597.8718000000001</v>
      </c>
    </row>
    <row r="702" spans="1:11">
      <c r="A702" s="11" t="s">
        <v>1286</v>
      </c>
      <c r="B702" s="12" t="s">
        <v>658</v>
      </c>
      <c r="C702" s="10"/>
      <c r="D702" s="14" t="s">
        <v>124</v>
      </c>
      <c r="E702" s="205">
        <v>2271.23</v>
      </c>
      <c r="F702" s="205">
        <v>2271.23</v>
      </c>
      <c r="G702" s="205">
        <f t="shared" ref="G702:G707" si="305">F702-E702</f>
        <v>0</v>
      </c>
      <c r="H702" s="192">
        <v>1.75</v>
      </c>
      <c r="I702" s="205">
        <f t="shared" si="300"/>
        <v>3974.6525000000001</v>
      </c>
      <c r="J702" s="205">
        <f>H702*F702</f>
        <v>3974.6525000000001</v>
      </c>
      <c r="K702" s="205">
        <f t="shared" ref="K702:K707" si="306">G702*H702</f>
        <v>0</v>
      </c>
    </row>
    <row r="703" spans="1:11" ht="26">
      <c r="A703" s="11" t="s">
        <v>1287</v>
      </c>
      <c r="B703" s="12" t="s">
        <v>659</v>
      </c>
      <c r="C703" s="10"/>
      <c r="D703" s="14" t="s">
        <v>87</v>
      </c>
      <c r="E703" s="205">
        <v>68.14</v>
      </c>
      <c r="F703" s="205">
        <v>68.14</v>
      </c>
      <c r="G703" s="205">
        <f t="shared" si="305"/>
        <v>0</v>
      </c>
      <c r="H703" s="192">
        <v>10.32</v>
      </c>
      <c r="I703" s="205">
        <f t="shared" si="300"/>
        <v>703.20479999999998</v>
      </c>
      <c r="J703" s="205">
        <f t="shared" ref="J703:J707" si="307">H703*F703</f>
        <v>703.20479999999998</v>
      </c>
      <c r="K703" s="205">
        <v>0.03</v>
      </c>
    </row>
    <row r="704" spans="1:11" ht="28.5" customHeight="1">
      <c r="A704" s="11" t="s">
        <v>1288</v>
      </c>
      <c r="B704" s="12" t="s">
        <v>660</v>
      </c>
      <c r="C704" s="10"/>
      <c r="D704" s="14" t="s">
        <v>1485</v>
      </c>
      <c r="E704" s="205">
        <v>2044.11</v>
      </c>
      <c r="F704" s="205">
        <v>2044.11</v>
      </c>
      <c r="G704" s="205">
        <f t="shared" si="305"/>
        <v>0</v>
      </c>
      <c r="H704" s="192">
        <v>2.14</v>
      </c>
      <c r="I704" s="205">
        <f t="shared" si="300"/>
        <v>4374.3954000000003</v>
      </c>
      <c r="J704" s="205">
        <f t="shared" si="307"/>
        <v>4374.3954000000003</v>
      </c>
      <c r="K704" s="205">
        <v>0.01</v>
      </c>
    </row>
    <row r="705" spans="1:11" ht="32.5" customHeight="1">
      <c r="A705" s="11" t="s">
        <v>1289</v>
      </c>
      <c r="B705" s="18" t="s">
        <v>668</v>
      </c>
      <c r="C705" s="10"/>
      <c r="D705" s="189" t="s">
        <v>1485</v>
      </c>
      <c r="E705" s="205">
        <v>3686.95</v>
      </c>
      <c r="F705" s="205">
        <v>5519.09</v>
      </c>
      <c r="G705" s="205">
        <f t="shared" si="305"/>
        <v>1832.1400000000003</v>
      </c>
      <c r="H705" s="193">
        <v>0.87</v>
      </c>
      <c r="I705" s="205">
        <f t="shared" si="300"/>
        <v>3207.6464999999998</v>
      </c>
      <c r="J705" s="205">
        <f t="shared" si="307"/>
        <v>4801.6082999999999</v>
      </c>
      <c r="K705" s="205">
        <f t="shared" ref="K705" si="308">G705*H705</f>
        <v>1593.9618000000003</v>
      </c>
    </row>
    <row r="706" spans="1:11" ht="26.5">
      <c r="A706" s="11" t="s">
        <v>1290</v>
      </c>
      <c r="B706" s="18" t="s">
        <v>670</v>
      </c>
      <c r="C706" s="10"/>
      <c r="D706" s="14" t="s">
        <v>87</v>
      </c>
      <c r="E706" s="205">
        <v>68.14</v>
      </c>
      <c r="F706" s="205">
        <v>68.14</v>
      </c>
      <c r="G706" s="205">
        <f t="shared" si="305"/>
        <v>0</v>
      </c>
      <c r="H706" s="192">
        <v>1248.29</v>
      </c>
      <c r="I706" s="205">
        <v>85054.61</v>
      </c>
      <c r="J706" s="205">
        <f t="shared" si="307"/>
        <v>85058.480599999995</v>
      </c>
      <c r="K706" s="205">
        <v>3.87</v>
      </c>
    </row>
    <row r="707" spans="1:11" ht="16.5" customHeight="1">
      <c r="A707" s="11" t="s">
        <v>1291</v>
      </c>
      <c r="B707" s="16" t="s">
        <v>671</v>
      </c>
      <c r="C707" s="10" t="s">
        <v>87</v>
      </c>
      <c r="D707" s="14" t="s">
        <v>124</v>
      </c>
      <c r="E707" s="205">
        <v>2271.23</v>
      </c>
      <c r="F707" s="205">
        <v>2271.23</v>
      </c>
      <c r="G707" s="205">
        <f t="shared" si="305"/>
        <v>0</v>
      </c>
      <c r="H707" s="192">
        <v>2.83</v>
      </c>
      <c r="I707" s="205">
        <f t="shared" si="300"/>
        <v>6427.5808999999999</v>
      </c>
      <c r="J707" s="205">
        <f t="shared" si="307"/>
        <v>6427.5808999999999</v>
      </c>
      <c r="K707" s="205">
        <f t="shared" si="306"/>
        <v>0</v>
      </c>
    </row>
    <row r="708" spans="1:11">
      <c r="A708" s="8" t="s">
        <v>1292</v>
      </c>
      <c r="B708" s="9" t="s">
        <v>107</v>
      </c>
      <c r="C708" s="8"/>
      <c r="D708" s="8"/>
      <c r="E708" s="211"/>
      <c r="F708" s="211"/>
      <c r="G708" s="211"/>
      <c r="H708" s="191"/>
      <c r="I708" s="204">
        <f>SUM(I709:I711)</f>
        <v>0</v>
      </c>
      <c r="J708" s="204">
        <f>SUM(J709:J711)</f>
        <v>0</v>
      </c>
      <c r="K708" s="204">
        <f>SUM(K709:K711)</f>
        <v>0</v>
      </c>
    </row>
    <row r="709" spans="1:11" ht="39">
      <c r="A709" s="11" t="s">
        <v>1293</v>
      </c>
      <c r="B709" s="12" t="s">
        <v>673</v>
      </c>
      <c r="C709" s="10" t="s">
        <v>33</v>
      </c>
      <c r="D709" s="13" t="s">
        <v>1486</v>
      </c>
      <c r="E709" s="205">
        <v>0</v>
      </c>
      <c r="F709" s="205">
        <v>0</v>
      </c>
      <c r="G709" s="205">
        <f>F709-E709</f>
        <v>0</v>
      </c>
      <c r="H709" s="192">
        <v>625.09</v>
      </c>
      <c r="I709" s="205">
        <f t="shared" si="300"/>
        <v>0</v>
      </c>
      <c r="J709" s="205">
        <f>H709*F709</f>
        <v>0</v>
      </c>
      <c r="K709" s="205">
        <f t="shared" ref="K709:K711" si="309">G709*H709</f>
        <v>0</v>
      </c>
    </row>
    <row r="710" spans="1:11" ht="17" customHeight="1">
      <c r="A710" s="11" t="s">
        <v>1294</v>
      </c>
      <c r="B710" s="190" t="s">
        <v>679</v>
      </c>
      <c r="C710" s="10" t="s">
        <v>33</v>
      </c>
      <c r="D710" s="13" t="s">
        <v>124</v>
      </c>
      <c r="E710" s="205">
        <v>0</v>
      </c>
      <c r="F710" s="205">
        <v>0</v>
      </c>
      <c r="G710" s="205">
        <f>F710-E710</f>
        <v>0</v>
      </c>
      <c r="H710" s="192">
        <v>16.260000000000002</v>
      </c>
      <c r="I710" s="205">
        <f t="shared" si="300"/>
        <v>0</v>
      </c>
      <c r="J710" s="205">
        <f t="shared" ref="J710:J711" si="310">H710*F710</f>
        <v>0</v>
      </c>
      <c r="K710" s="205">
        <f t="shared" si="309"/>
        <v>0</v>
      </c>
    </row>
    <row r="711" spans="1:11" ht="16.5" customHeight="1">
      <c r="A711" s="11" t="s">
        <v>1295</v>
      </c>
      <c r="B711" s="12" t="s">
        <v>674</v>
      </c>
      <c r="C711" s="10" t="s">
        <v>33</v>
      </c>
      <c r="D711" s="13" t="s">
        <v>124</v>
      </c>
      <c r="E711" s="205">
        <v>0</v>
      </c>
      <c r="F711" s="205">
        <v>0</v>
      </c>
      <c r="G711" s="205">
        <f>F711-E711</f>
        <v>0</v>
      </c>
      <c r="H711" s="192">
        <v>4.5599999999999996</v>
      </c>
      <c r="I711" s="205">
        <f t="shared" si="300"/>
        <v>0</v>
      </c>
      <c r="J711" s="205">
        <f t="shared" si="310"/>
        <v>0</v>
      </c>
      <c r="K711" s="205">
        <f t="shared" si="309"/>
        <v>0</v>
      </c>
    </row>
    <row r="712" spans="1:11">
      <c r="A712" s="8" t="s">
        <v>1296</v>
      </c>
      <c r="B712" s="9" t="s">
        <v>677</v>
      </c>
      <c r="C712" s="8"/>
      <c r="D712" s="8"/>
      <c r="E712" s="211"/>
      <c r="F712" s="211"/>
      <c r="G712" s="211"/>
      <c r="H712" s="191"/>
      <c r="I712" s="204">
        <f>SUM(I713:I714)</f>
        <v>3974.6525000000001</v>
      </c>
      <c r="J712" s="204">
        <f>SUM(J713:J714)</f>
        <v>3974.6525000000001</v>
      </c>
      <c r="K712" s="204">
        <f>SUM(K713:K714)</f>
        <v>0</v>
      </c>
    </row>
    <row r="713" spans="1:11">
      <c r="A713" s="11" t="s">
        <v>1297</v>
      </c>
      <c r="B713" s="12" t="s">
        <v>658</v>
      </c>
      <c r="C713" s="10" t="s">
        <v>11</v>
      </c>
      <c r="D713" s="13" t="s">
        <v>124</v>
      </c>
      <c r="E713" s="205">
        <v>2271.23</v>
      </c>
      <c r="F713" s="205">
        <v>2271.23</v>
      </c>
      <c r="G713" s="205">
        <f>F713-E713</f>
        <v>0</v>
      </c>
      <c r="H713" s="192">
        <v>1.75</v>
      </c>
      <c r="I713" s="205">
        <f t="shared" si="300"/>
        <v>3974.6525000000001</v>
      </c>
      <c r="J713" s="205">
        <f>H713*F713</f>
        <v>3974.6525000000001</v>
      </c>
      <c r="K713" s="205">
        <f t="shared" ref="K713:K714" si="311">G713*H713</f>
        <v>0</v>
      </c>
    </row>
    <row r="714" spans="1:11">
      <c r="A714" s="11" t="s">
        <v>1298</v>
      </c>
      <c r="B714" s="12" t="s">
        <v>678</v>
      </c>
      <c r="C714" s="10" t="s">
        <v>11</v>
      </c>
      <c r="D714" s="13" t="s">
        <v>1486</v>
      </c>
      <c r="E714" s="205">
        <v>0</v>
      </c>
      <c r="F714" s="205">
        <v>0</v>
      </c>
      <c r="G714" s="205">
        <f>F714-E714</f>
        <v>0</v>
      </c>
      <c r="H714" s="192">
        <v>92.34</v>
      </c>
      <c r="I714" s="205">
        <f t="shared" si="300"/>
        <v>0</v>
      </c>
      <c r="J714" s="205">
        <f>H714*F714</f>
        <v>0</v>
      </c>
      <c r="K714" s="205">
        <f t="shared" si="311"/>
        <v>0</v>
      </c>
    </row>
    <row r="715" spans="1:11">
      <c r="A715" s="183">
        <v>27</v>
      </c>
      <c r="B715" s="188" t="s">
        <v>1479</v>
      </c>
      <c r="C715" s="183"/>
      <c r="D715" s="183"/>
      <c r="E715" s="210"/>
      <c r="F715" s="210"/>
      <c r="G715" s="210"/>
      <c r="H715" s="194"/>
      <c r="I715" s="203">
        <f>SUM(I716,I719,I721,I728,I735,I739)</f>
        <v>142944.125</v>
      </c>
      <c r="J715" s="203">
        <f>SUM(J716,J719,J721,J728,J735,J739)</f>
        <v>145190.35770000002</v>
      </c>
      <c r="K715" s="203">
        <f>SUM(K716,K719,K721,K728,K735,K739)</f>
        <v>2246.2327</v>
      </c>
    </row>
    <row r="716" spans="1:11">
      <c r="A716" s="8" t="s">
        <v>1299</v>
      </c>
      <c r="B716" s="9" t="s">
        <v>8</v>
      </c>
      <c r="C716" s="8"/>
      <c r="D716" s="8"/>
      <c r="E716" s="211"/>
      <c r="F716" s="211"/>
      <c r="G716" s="211"/>
      <c r="H716" s="191"/>
      <c r="I716" s="204">
        <f>SUM(I717:I718)</f>
        <v>11173.222400000002</v>
      </c>
      <c r="J716" s="204">
        <f>SUM(J717:J718)</f>
        <v>11620.329900000002</v>
      </c>
      <c r="K716" s="204">
        <f>SUM(K717:K718)</f>
        <v>447.10750000000002</v>
      </c>
    </row>
    <row r="717" spans="1:11" ht="26">
      <c r="A717" s="11" t="s">
        <v>1300</v>
      </c>
      <c r="B717" s="12" t="s">
        <v>652</v>
      </c>
      <c r="C717" s="10" t="s">
        <v>13</v>
      </c>
      <c r="D717" s="13" t="s">
        <v>124</v>
      </c>
      <c r="E717" s="205">
        <v>1407.72</v>
      </c>
      <c r="F717" s="205">
        <v>1407.72</v>
      </c>
      <c r="G717" s="205">
        <f>F717-E717</f>
        <v>0</v>
      </c>
      <c r="H717" s="192">
        <v>0.36</v>
      </c>
      <c r="I717" s="205">
        <f>H717*E717</f>
        <v>506.7792</v>
      </c>
      <c r="J717" s="205">
        <f>H717*F717</f>
        <v>506.7792</v>
      </c>
      <c r="K717" s="205">
        <f t="shared" ref="K717:K718" si="312">G717*H717</f>
        <v>0</v>
      </c>
    </row>
    <row r="718" spans="1:11" ht="52">
      <c r="A718" s="11" t="s">
        <v>1301</v>
      </c>
      <c r="B718" s="12" t="s">
        <v>649</v>
      </c>
      <c r="C718" s="10" t="s">
        <v>11</v>
      </c>
      <c r="D718" s="13" t="s">
        <v>124</v>
      </c>
      <c r="E718" s="205">
        <v>172.96</v>
      </c>
      <c r="F718" s="205">
        <v>180.21</v>
      </c>
      <c r="G718" s="205">
        <f>F718-E718</f>
        <v>7.25</v>
      </c>
      <c r="H718" s="192">
        <v>61.67</v>
      </c>
      <c r="I718" s="205">
        <f>H718*E718</f>
        <v>10666.443200000002</v>
      </c>
      <c r="J718" s="205">
        <f>H718*F718</f>
        <v>11113.550700000002</v>
      </c>
      <c r="K718" s="205">
        <f t="shared" si="312"/>
        <v>447.10750000000002</v>
      </c>
    </row>
    <row r="719" spans="1:11">
      <c r="A719" s="8" t="s">
        <v>1302</v>
      </c>
      <c r="B719" s="9" t="s">
        <v>654</v>
      </c>
      <c r="C719" s="8"/>
      <c r="D719" s="8"/>
      <c r="E719" s="211"/>
      <c r="F719" s="211"/>
      <c r="G719" s="211"/>
      <c r="H719" s="191"/>
      <c r="I719" s="204">
        <f>SUM(I720:I720)</f>
        <v>534.93360000000007</v>
      </c>
      <c r="J719" s="204">
        <f>SUM(J720:J720)</f>
        <v>534.93360000000007</v>
      </c>
      <c r="K719" s="204">
        <f>SUM(K720:K720)</f>
        <v>0</v>
      </c>
    </row>
    <row r="720" spans="1:11" ht="26">
      <c r="A720" s="11" t="s">
        <v>1303</v>
      </c>
      <c r="B720" s="12" t="s">
        <v>655</v>
      </c>
      <c r="C720" s="10"/>
      <c r="D720" s="13" t="s">
        <v>124</v>
      </c>
      <c r="E720" s="205">
        <v>1407.72</v>
      </c>
      <c r="F720" s="205">
        <v>1407.72</v>
      </c>
      <c r="G720" s="205">
        <f>F720-E720</f>
        <v>0</v>
      </c>
      <c r="H720" s="192">
        <v>0.38</v>
      </c>
      <c r="I720" s="205">
        <f t="shared" ref="I720:I741" si="313">H720*E720</f>
        <v>534.93360000000007</v>
      </c>
      <c r="J720" s="205">
        <f>H720*F720</f>
        <v>534.93360000000007</v>
      </c>
      <c r="K720" s="205">
        <f t="shared" ref="K720" si="314">G720*H720</f>
        <v>0</v>
      </c>
    </row>
    <row r="721" spans="1:11">
      <c r="A721" s="8" t="s">
        <v>1304</v>
      </c>
      <c r="B721" s="9" t="s">
        <v>657</v>
      </c>
      <c r="C721" s="8"/>
      <c r="D721" s="8"/>
      <c r="E721" s="211"/>
      <c r="F721" s="211"/>
      <c r="G721" s="211"/>
      <c r="H721" s="191"/>
      <c r="I721" s="204">
        <f>SUM(I722:I727)</f>
        <v>64386.229500000001</v>
      </c>
      <c r="J721" s="204">
        <f>SUM(J722:J727)</f>
        <v>65285.792099999999</v>
      </c>
      <c r="K721" s="204">
        <f>SUM(K722:K727)</f>
        <v>899.56259999999997</v>
      </c>
    </row>
    <row r="722" spans="1:11">
      <c r="A722" s="11" t="s">
        <v>1305</v>
      </c>
      <c r="B722" s="12" t="s">
        <v>658</v>
      </c>
      <c r="C722" s="10"/>
      <c r="D722" s="13" t="s">
        <v>124</v>
      </c>
      <c r="E722" s="205">
        <v>1407.72</v>
      </c>
      <c r="F722" s="205">
        <v>1407.72</v>
      </c>
      <c r="G722" s="205">
        <f t="shared" ref="G722:G727" si="315">F722-E722</f>
        <v>0</v>
      </c>
      <c r="H722" s="192">
        <v>1.75</v>
      </c>
      <c r="I722" s="205">
        <f t="shared" si="313"/>
        <v>2463.5100000000002</v>
      </c>
      <c r="J722" s="205">
        <f>H722*F722</f>
        <v>2463.5100000000002</v>
      </c>
      <c r="K722" s="205">
        <f t="shared" ref="K722:K727" si="316">G722*H722</f>
        <v>0</v>
      </c>
    </row>
    <row r="723" spans="1:11" ht="26">
      <c r="A723" s="11" t="s">
        <v>1306</v>
      </c>
      <c r="B723" s="12" t="s">
        <v>659</v>
      </c>
      <c r="C723" s="10"/>
      <c r="D723" s="13" t="s">
        <v>87</v>
      </c>
      <c r="E723" s="205">
        <v>42.23</v>
      </c>
      <c r="F723" s="205">
        <v>42.23</v>
      </c>
      <c r="G723" s="205">
        <f t="shared" si="315"/>
        <v>0</v>
      </c>
      <c r="H723" s="192">
        <v>10.32</v>
      </c>
      <c r="I723" s="205">
        <f t="shared" si="313"/>
        <v>435.81360000000001</v>
      </c>
      <c r="J723" s="205">
        <f t="shared" ref="J723:J727" si="317">H723*F723</f>
        <v>435.81360000000001</v>
      </c>
      <c r="K723" s="205">
        <f t="shared" si="316"/>
        <v>0</v>
      </c>
    </row>
    <row r="724" spans="1:11" ht="28.5" customHeight="1">
      <c r="A724" s="11" t="s">
        <v>1307</v>
      </c>
      <c r="B724" s="12" t="s">
        <v>660</v>
      </c>
      <c r="C724" s="10"/>
      <c r="D724" s="13" t="s">
        <v>1485</v>
      </c>
      <c r="E724" s="205">
        <v>1266.95</v>
      </c>
      <c r="F724" s="205">
        <v>1266.95</v>
      </c>
      <c r="G724" s="205">
        <f t="shared" si="315"/>
        <v>0</v>
      </c>
      <c r="H724" s="192">
        <v>2.14</v>
      </c>
      <c r="I724" s="205">
        <f t="shared" si="313"/>
        <v>2711.2730000000001</v>
      </c>
      <c r="J724" s="205">
        <f t="shared" si="317"/>
        <v>2711.2730000000001</v>
      </c>
      <c r="K724" s="205">
        <f t="shared" si="316"/>
        <v>0</v>
      </c>
    </row>
    <row r="725" spans="1:11" ht="29" customHeight="1">
      <c r="A725" s="11" t="s">
        <v>1308</v>
      </c>
      <c r="B725" s="12" t="s">
        <v>668</v>
      </c>
      <c r="C725" s="10"/>
      <c r="D725" s="13" t="s">
        <v>1485</v>
      </c>
      <c r="E725" s="205">
        <v>2386.7800000000002</v>
      </c>
      <c r="F725" s="205">
        <v>3420.76</v>
      </c>
      <c r="G725" s="205">
        <f t="shared" si="315"/>
        <v>1033.98</v>
      </c>
      <c r="H725" s="192">
        <v>0.87</v>
      </c>
      <c r="I725" s="205">
        <f t="shared" si="313"/>
        <v>2076.4986000000004</v>
      </c>
      <c r="J725" s="205">
        <f t="shared" si="317"/>
        <v>2976.0612000000001</v>
      </c>
      <c r="K725" s="205">
        <f t="shared" si="316"/>
        <v>899.56259999999997</v>
      </c>
    </row>
    <row r="726" spans="1:11" ht="28" customHeight="1">
      <c r="A726" s="11" t="s">
        <v>1309</v>
      </c>
      <c r="B726" s="12" t="s">
        <v>661</v>
      </c>
      <c r="C726" s="10"/>
      <c r="D726" s="13" t="s">
        <v>87</v>
      </c>
      <c r="E726" s="205">
        <v>42.23</v>
      </c>
      <c r="F726" s="205">
        <v>42.23</v>
      </c>
      <c r="G726" s="205">
        <f t="shared" si="315"/>
        <v>0</v>
      </c>
      <c r="H726" s="192">
        <v>1248.29</v>
      </c>
      <c r="I726" s="205">
        <f t="shared" si="313"/>
        <v>52715.286699999997</v>
      </c>
      <c r="J726" s="205">
        <f t="shared" si="317"/>
        <v>52715.286699999997</v>
      </c>
      <c r="K726" s="205">
        <f t="shared" si="316"/>
        <v>0</v>
      </c>
    </row>
    <row r="727" spans="1:11" ht="17.5" customHeight="1">
      <c r="A727" s="11" t="s">
        <v>1310</v>
      </c>
      <c r="B727" s="12" t="s">
        <v>662</v>
      </c>
      <c r="C727" s="10"/>
      <c r="D727" s="13" t="s">
        <v>124</v>
      </c>
      <c r="E727" s="205">
        <v>1407.72</v>
      </c>
      <c r="F727" s="205">
        <v>1407.72</v>
      </c>
      <c r="G727" s="205">
        <f t="shared" si="315"/>
        <v>0</v>
      </c>
      <c r="H727" s="192">
        <v>2.83</v>
      </c>
      <c r="I727" s="205">
        <f t="shared" si="313"/>
        <v>3983.8476000000001</v>
      </c>
      <c r="J727" s="205">
        <f t="shared" si="317"/>
        <v>3983.8476000000001</v>
      </c>
      <c r="K727" s="205">
        <f t="shared" si="316"/>
        <v>0</v>
      </c>
    </row>
    <row r="728" spans="1:11">
      <c r="A728" s="8" t="s">
        <v>1311</v>
      </c>
      <c r="B728" s="9" t="s">
        <v>669</v>
      </c>
      <c r="C728" s="8"/>
      <c r="D728" s="8"/>
      <c r="E728" s="211"/>
      <c r="F728" s="211"/>
      <c r="G728" s="211"/>
      <c r="H728" s="191"/>
      <c r="I728" s="204">
        <f>SUM(I729:I734)</f>
        <v>64386.229500000001</v>
      </c>
      <c r="J728" s="204">
        <f>SUM(J729:J734)</f>
        <v>65285.792099999999</v>
      </c>
      <c r="K728" s="204">
        <f>SUM(K729:K734)</f>
        <v>899.56259999999997</v>
      </c>
    </row>
    <row r="729" spans="1:11">
      <c r="A729" s="11" t="s">
        <v>1312</v>
      </c>
      <c r="B729" s="12" t="s">
        <v>658</v>
      </c>
      <c r="C729" s="10"/>
      <c r="D729" s="14" t="s">
        <v>124</v>
      </c>
      <c r="E729" s="205">
        <v>1407.72</v>
      </c>
      <c r="F729" s="205">
        <v>1407.72</v>
      </c>
      <c r="G729" s="205">
        <f t="shared" ref="G729:G734" si="318">F729-E729</f>
        <v>0</v>
      </c>
      <c r="H729" s="192">
        <v>1.75</v>
      </c>
      <c r="I729" s="205">
        <f t="shared" si="313"/>
        <v>2463.5100000000002</v>
      </c>
      <c r="J729" s="205">
        <f>H729*F729</f>
        <v>2463.5100000000002</v>
      </c>
      <c r="K729" s="205">
        <f t="shared" ref="K729:K734" si="319">G729*H729</f>
        <v>0</v>
      </c>
    </row>
    <row r="730" spans="1:11" ht="26">
      <c r="A730" s="11" t="s">
        <v>1313</v>
      </c>
      <c r="B730" s="12" t="s">
        <v>659</v>
      </c>
      <c r="C730" s="10"/>
      <c r="D730" s="14" t="s">
        <v>87</v>
      </c>
      <c r="E730" s="205">
        <v>42.23</v>
      </c>
      <c r="F730" s="212">
        <v>42.23</v>
      </c>
      <c r="G730" s="205">
        <f t="shared" si="318"/>
        <v>0</v>
      </c>
      <c r="H730" s="192">
        <v>10.32</v>
      </c>
      <c r="I730" s="205">
        <f t="shared" si="313"/>
        <v>435.81360000000001</v>
      </c>
      <c r="J730" s="205">
        <f t="shared" ref="J730:J734" si="320">H730*F730</f>
        <v>435.81360000000001</v>
      </c>
      <c r="K730" s="205">
        <f t="shared" si="319"/>
        <v>0</v>
      </c>
    </row>
    <row r="731" spans="1:11" ht="28.5" customHeight="1">
      <c r="A731" s="11" t="s">
        <v>1314</v>
      </c>
      <c r="B731" s="12" t="s">
        <v>660</v>
      </c>
      <c r="C731" s="10"/>
      <c r="D731" s="14" t="s">
        <v>1485</v>
      </c>
      <c r="E731" s="205">
        <v>1266.95</v>
      </c>
      <c r="F731" s="212">
        <v>1266.95</v>
      </c>
      <c r="G731" s="205">
        <f t="shared" si="318"/>
        <v>0</v>
      </c>
      <c r="H731" s="192">
        <v>2.14</v>
      </c>
      <c r="I731" s="205">
        <f t="shared" si="313"/>
        <v>2711.2730000000001</v>
      </c>
      <c r="J731" s="205">
        <f t="shared" si="320"/>
        <v>2711.2730000000001</v>
      </c>
      <c r="K731" s="205">
        <f t="shared" si="319"/>
        <v>0</v>
      </c>
    </row>
    <row r="732" spans="1:11" ht="32.5" customHeight="1">
      <c r="A732" s="11" t="s">
        <v>1315</v>
      </c>
      <c r="B732" s="18" t="s">
        <v>668</v>
      </c>
      <c r="C732" s="10"/>
      <c r="D732" s="189" t="s">
        <v>1485</v>
      </c>
      <c r="E732" s="205">
        <v>2386.7800000000002</v>
      </c>
      <c r="F732" s="205">
        <v>3420.76</v>
      </c>
      <c r="G732" s="205">
        <f t="shared" si="318"/>
        <v>1033.98</v>
      </c>
      <c r="H732" s="193">
        <v>0.87</v>
      </c>
      <c r="I732" s="205">
        <f t="shared" si="313"/>
        <v>2076.4986000000004</v>
      </c>
      <c r="J732" s="205">
        <f t="shared" si="320"/>
        <v>2976.0612000000001</v>
      </c>
      <c r="K732" s="205">
        <f t="shared" si="319"/>
        <v>899.56259999999997</v>
      </c>
    </row>
    <row r="733" spans="1:11" ht="26.5">
      <c r="A733" s="11" t="s">
        <v>1316</v>
      </c>
      <c r="B733" s="18" t="s">
        <v>670</v>
      </c>
      <c r="C733" s="10"/>
      <c r="D733" s="14" t="s">
        <v>87</v>
      </c>
      <c r="E733" s="205">
        <v>42.23</v>
      </c>
      <c r="F733" s="212">
        <v>42.23</v>
      </c>
      <c r="G733" s="205">
        <f t="shared" si="318"/>
        <v>0</v>
      </c>
      <c r="H733" s="192">
        <v>1248.29</v>
      </c>
      <c r="I733" s="205">
        <f t="shared" si="313"/>
        <v>52715.286699999997</v>
      </c>
      <c r="J733" s="205">
        <f t="shared" si="320"/>
        <v>52715.286699999997</v>
      </c>
      <c r="K733" s="205">
        <f t="shared" si="319"/>
        <v>0</v>
      </c>
    </row>
    <row r="734" spans="1:11" ht="16.5" customHeight="1">
      <c r="A734" s="11" t="s">
        <v>1317</v>
      </c>
      <c r="B734" s="16" t="s">
        <v>671</v>
      </c>
      <c r="C734" s="10" t="s">
        <v>87</v>
      </c>
      <c r="D734" s="14" t="s">
        <v>124</v>
      </c>
      <c r="E734" s="205">
        <v>1407.72</v>
      </c>
      <c r="F734" s="212">
        <v>1407.72</v>
      </c>
      <c r="G734" s="205">
        <f t="shared" si="318"/>
        <v>0</v>
      </c>
      <c r="H734" s="192">
        <v>2.83</v>
      </c>
      <c r="I734" s="205">
        <f t="shared" si="313"/>
        <v>3983.8476000000001</v>
      </c>
      <c r="J734" s="205">
        <f t="shared" si="320"/>
        <v>3983.8476000000001</v>
      </c>
      <c r="K734" s="205">
        <f t="shared" si="319"/>
        <v>0</v>
      </c>
    </row>
    <row r="735" spans="1:11">
      <c r="A735" s="8" t="s">
        <v>1318</v>
      </c>
      <c r="B735" s="9" t="s">
        <v>107</v>
      </c>
      <c r="C735" s="8"/>
      <c r="D735" s="8"/>
      <c r="E735" s="211"/>
      <c r="F735" s="211"/>
      <c r="G735" s="211"/>
      <c r="H735" s="191"/>
      <c r="I735" s="204">
        <f>SUM(I736:I738)</f>
        <v>0</v>
      </c>
      <c r="J735" s="204">
        <f>SUM(J736:J738)</f>
        <v>0</v>
      </c>
      <c r="K735" s="204">
        <f>SUM(K736:K738)</f>
        <v>0</v>
      </c>
    </row>
    <row r="736" spans="1:11" ht="39">
      <c r="A736" s="11" t="s">
        <v>1319</v>
      </c>
      <c r="B736" s="12" t="s">
        <v>673</v>
      </c>
      <c r="C736" s="10" t="s">
        <v>33</v>
      </c>
      <c r="D736" s="13" t="s">
        <v>1486</v>
      </c>
      <c r="E736" s="205">
        <v>0</v>
      </c>
      <c r="F736" s="205">
        <v>0</v>
      </c>
      <c r="G736" s="205">
        <f>F736-E736</f>
        <v>0</v>
      </c>
      <c r="H736" s="192">
        <v>625.09</v>
      </c>
      <c r="I736" s="205">
        <f t="shared" si="313"/>
        <v>0</v>
      </c>
      <c r="J736" s="205">
        <f>H736*F736</f>
        <v>0</v>
      </c>
      <c r="K736" s="205">
        <f t="shared" ref="K736:K738" si="321">G736*H736</f>
        <v>0</v>
      </c>
    </row>
    <row r="737" spans="1:11" ht="17" customHeight="1">
      <c r="A737" s="11" t="s">
        <v>1320</v>
      </c>
      <c r="B737" s="190" t="s">
        <v>679</v>
      </c>
      <c r="C737" s="10" t="s">
        <v>33</v>
      </c>
      <c r="D737" s="13" t="s">
        <v>124</v>
      </c>
      <c r="E737" s="205">
        <v>0</v>
      </c>
      <c r="F737" s="205">
        <v>0</v>
      </c>
      <c r="G737" s="205">
        <f>F737-E737</f>
        <v>0</v>
      </c>
      <c r="H737" s="192">
        <v>16.260000000000002</v>
      </c>
      <c r="I737" s="205">
        <f t="shared" si="313"/>
        <v>0</v>
      </c>
      <c r="J737" s="205">
        <f t="shared" ref="J737:J738" si="322">H737*F737</f>
        <v>0</v>
      </c>
      <c r="K737" s="205">
        <f t="shared" si="321"/>
        <v>0</v>
      </c>
    </row>
    <row r="738" spans="1:11" ht="16.5" customHeight="1">
      <c r="A738" s="11" t="s">
        <v>1321</v>
      </c>
      <c r="B738" s="12" t="s">
        <v>674</v>
      </c>
      <c r="C738" s="10" t="s">
        <v>33</v>
      </c>
      <c r="D738" s="13" t="s">
        <v>124</v>
      </c>
      <c r="E738" s="205">
        <v>0</v>
      </c>
      <c r="F738" s="205">
        <v>0</v>
      </c>
      <c r="G738" s="205">
        <f>F738-E738</f>
        <v>0</v>
      </c>
      <c r="H738" s="192">
        <v>4.5599999999999996</v>
      </c>
      <c r="I738" s="205">
        <f t="shared" si="313"/>
        <v>0</v>
      </c>
      <c r="J738" s="205">
        <f t="shared" si="322"/>
        <v>0</v>
      </c>
      <c r="K738" s="205">
        <f t="shared" si="321"/>
        <v>0</v>
      </c>
    </row>
    <row r="739" spans="1:11">
      <c r="A739" s="8" t="s">
        <v>1322</v>
      </c>
      <c r="B739" s="9" t="s">
        <v>677</v>
      </c>
      <c r="C739" s="8"/>
      <c r="D739" s="8"/>
      <c r="E739" s="211"/>
      <c r="F739" s="211"/>
      <c r="G739" s="211"/>
      <c r="H739" s="191"/>
      <c r="I739" s="204">
        <f>SUM(I740:I741)</f>
        <v>2463.5100000000002</v>
      </c>
      <c r="J739" s="204">
        <f>SUM(J740:J741)</f>
        <v>2463.5100000000002</v>
      </c>
      <c r="K739" s="204">
        <f>SUM(K740:K741)</f>
        <v>0</v>
      </c>
    </row>
    <row r="740" spans="1:11">
      <c r="A740" s="11" t="s">
        <v>1323</v>
      </c>
      <c r="B740" s="12" t="s">
        <v>658</v>
      </c>
      <c r="C740" s="10" t="s">
        <v>11</v>
      </c>
      <c r="D740" s="13" t="s">
        <v>124</v>
      </c>
      <c r="E740" s="205">
        <v>1407.72</v>
      </c>
      <c r="F740" s="205">
        <v>1407.72</v>
      </c>
      <c r="G740" s="205">
        <f>F740-E740</f>
        <v>0</v>
      </c>
      <c r="H740" s="192">
        <v>1.75</v>
      </c>
      <c r="I740" s="205">
        <f t="shared" si="313"/>
        <v>2463.5100000000002</v>
      </c>
      <c r="J740" s="205">
        <f>H740*F740</f>
        <v>2463.5100000000002</v>
      </c>
      <c r="K740" s="205">
        <f t="shared" ref="K740:K741" si="323">G740*H740</f>
        <v>0</v>
      </c>
    </row>
    <row r="741" spans="1:11">
      <c r="A741" s="11" t="s">
        <v>1324</v>
      </c>
      <c r="B741" s="12" t="s">
        <v>678</v>
      </c>
      <c r="C741" s="10" t="s">
        <v>11</v>
      </c>
      <c r="D741" s="13" t="s">
        <v>1486</v>
      </c>
      <c r="E741" s="205">
        <v>0</v>
      </c>
      <c r="F741" s="205">
        <v>0</v>
      </c>
      <c r="G741" s="205">
        <f>F741-E741</f>
        <v>0</v>
      </c>
      <c r="H741" s="192">
        <v>92.34</v>
      </c>
      <c r="I741" s="205">
        <f t="shared" si="313"/>
        <v>0</v>
      </c>
      <c r="J741" s="205">
        <f>H741*F741</f>
        <v>0</v>
      </c>
      <c r="K741" s="205">
        <f t="shared" si="323"/>
        <v>0</v>
      </c>
    </row>
    <row r="742" spans="1:11">
      <c r="A742" s="183">
        <v>28</v>
      </c>
      <c r="B742" s="188" t="s">
        <v>1480</v>
      </c>
      <c r="C742" s="183"/>
      <c r="D742" s="183"/>
      <c r="E742" s="210"/>
      <c r="F742" s="210"/>
      <c r="G742" s="210"/>
      <c r="H742" s="194"/>
      <c r="I742" s="203">
        <f>SUM(I743,I746,I748,I755,I762,I766)</f>
        <v>236861.7868</v>
      </c>
      <c r="J742" s="203">
        <f>SUM(J743,J746,J748,J755,J762,J766)</f>
        <v>262753.38859999995</v>
      </c>
      <c r="K742" s="203">
        <f>SUM(K743,K746,K748,K755,K762,K766)</f>
        <v>25891.687800000003</v>
      </c>
    </row>
    <row r="743" spans="1:11">
      <c r="A743" s="8" t="s">
        <v>1325</v>
      </c>
      <c r="B743" s="9" t="s">
        <v>8</v>
      </c>
      <c r="C743" s="8"/>
      <c r="D743" s="8"/>
      <c r="E743" s="211"/>
      <c r="F743" s="211"/>
      <c r="G743" s="211"/>
      <c r="H743" s="191"/>
      <c r="I743" s="204">
        <f>SUM(I744:I745)</f>
        <v>19990.579300000001</v>
      </c>
      <c r="J743" s="204">
        <f>SUM(J744:J745)</f>
        <v>43567.020300000004</v>
      </c>
      <c r="K743" s="204">
        <f>SUM(K744:K745)</f>
        <v>23576.441000000003</v>
      </c>
    </row>
    <row r="744" spans="1:11" ht="26">
      <c r="A744" s="11" t="s">
        <v>1326</v>
      </c>
      <c r="B744" s="12" t="s">
        <v>652</v>
      </c>
      <c r="C744" s="10" t="s">
        <v>13</v>
      </c>
      <c r="D744" s="13" t="s">
        <v>124</v>
      </c>
      <c r="E744" s="205">
        <v>2309.89</v>
      </c>
      <c r="F744" s="205">
        <v>2309.89</v>
      </c>
      <c r="G744" s="205">
        <f>F744-E744</f>
        <v>0</v>
      </c>
      <c r="H744" s="192">
        <v>0.36</v>
      </c>
      <c r="I744" s="205">
        <f>H744*E744</f>
        <v>831.56039999999996</v>
      </c>
      <c r="J744" s="205">
        <f>H744*F744</f>
        <v>831.56039999999996</v>
      </c>
      <c r="K744" s="205">
        <f t="shared" ref="K744:K745" si="324">G744*H744</f>
        <v>0</v>
      </c>
    </row>
    <row r="745" spans="1:11" ht="52">
      <c r="A745" s="11" t="s">
        <v>1327</v>
      </c>
      <c r="B745" s="12" t="s">
        <v>649</v>
      </c>
      <c r="C745" s="10" t="s">
        <v>11</v>
      </c>
      <c r="D745" s="13" t="s">
        <v>124</v>
      </c>
      <c r="E745" s="205">
        <v>310.67</v>
      </c>
      <c r="F745" s="205">
        <v>692.97</v>
      </c>
      <c r="G745" s="205">
        <f>F745-E745</f>
        <v>382.3</v>
      </c>
      <c r="H745" s="192">
        <v>61.67</v>
      </c>
      <c r="I745" s="205">
        <f>H745*E745</f>
        <v>19159.018900000003</v>
      </c>
      <c r="J745" s="205">
        <f>H745*F745</f>
        <v>42735.459900000002</v>
      </c>
      <c r="K745" s="205">
        <f t="shared" si="324"/>
        <v>23576.441000000003</v>
      </c>
    </row>
    <row r="746" spans="1:11">
      <c r="A746" s="8" t="s">
        <v>1328</v>
      </c>
      <c r="B746" s="9" t="s">
        <v>654</v>
      </c>
      <c r="C746" s="8"/>
      <c r="D746" s="8"/>
      <c r="E746" s="211"/>
      <c r="F746" s="211"/>
      <c r="G746" s="211"/>
      <c r="H746" s="191"/>
      <c r="I746" s="204">
        <f>SUM(I747:I747)</f>
        <v>877.75819999999999</v>
      </c>
      <c r="J746" s="204">
        <f>SUM(J747:J747)</f>
        <v>877.75819999999999</v>
      </c>
      <c r="K746" s="204">
        <f>SUM(K747:K747)</f>
        <v>0</v>
      </c>
    </row>
    <row r="747" spans="1:11" ht="26">
      <c r="A747" s="11" t="s">
        <v>1329</v>
      </c>
      <c r="B747" s="12" t="s">
        <v>655</v>
      </c>
      <c r="C747" s="10"/>
      <c r="D747" s="13" t="s">
        <v>124</v>
      </c>
      <c r="E747" s="205">
        <v>2309.89</v>
      </c>
      <c r="F747" s="205">
        <v>2309.89</v>
      </c>
      <c r="G747" s="205">
        <f>F747-E747</f>
        <v>0</v>
      </c>
      <c r="H747" s="192">
        <v>0.38</v>
      </c>
      <c r="I747" s="205">
        <f t="shared" ref="I747:I768" si="325">H747*E747</f>
        <v>877.75819999999999</v>
      </c>
      <c r="J747" s="205">
        <f>H747*F747</f>
        <v>877.75819999999999</v>
      </c>
      <c r="K747" s="205">
        <f t="shared" ref="K747" si="326">G747*H747</f>
        <v>0</v>
      </c>
    </row>
    <row r="748" spans="1:11">
      <c r="A748" s="8" t="s">
        <v>1330</v>
      </c>
      <c r="B748" s="9" t="s">
        <v>657</v>
      </c>
      <c r="C748" s="8"/>
      <c r="D748" s="8"/>
      <c r="E748" s="211"/>
      <c r="F748" s="211"/>
      <c r="G748" s="211"/>
      <c r="H748" s="191"/>
      <c r="I748" s="204">
        <f>SUM(I749:I754)</f>
        <v>105975.57090000001</v>
      </c>
      <c r="J748" s="204">
        <f>SUM(J749:J754)</f>
        <v>107133.15129999998</v>
      </c>
      <c r="K748" s="204">
        <f>SUM(K749:K754)</f>
        <v>1157.6233999999995</v>
      </c>
    </row>
    <row r="749" spans="1:11">
      <c r="A749" s="11" t="s">
        <v>1331</v>
      </c>
      <c r="B749" s="12" t="s">
        <v>658</v>
      </c>
      <c r="C749" s="10"/>
      <c r="D749" s="13" t="s">
        <v>124</v>
      </c>
      <c r="E749" s="205">
        <v>2309.89</v>
      </c>
      <c r="F749" s="205">
        <v>2309.89</v>
      </c>
      <c r="G749" s="205">
        <f t="shared" ref="G749:G754" si="327">F749-E749</f>
        <v>0</v>
      </c>
      <c r="H749" s="192">
        <v>1.75</v>
      </c>
      <c r="I749" s="205">
        <f t="shared" si="325"/>
        <v>4042.3074999999999</v>
      </c>
      <c r="J749" s="205">
        <f>H749*F749</f>
        <v>4042.3074999999999</v>
      </c>
      <c r="K749" s="205">
        <f t="shared" ref="K749:K754" si="328">G749*H749</f>
        <v>0</v>
      </c>
    </row>
    <row r="750" spans="1:11" ht="26">
      <c r="A750" s="11" t="s">
        <v>1332</v>
      </c>
      <c r="B750" s="12" t="s">
        <v>659</v>
      </c>
      <c r="C750" s="10"/>
      <c r="D750" s="13" t="s">
        <v>87</v>
      </c>
      <c r="E750" s="205">
        <v>69.3</v>
      </c>
      <c r="F750" s="205">
        <v>69.3</v>
      </c>
      <c r="G750" s="205">
        <f t="shared" si="327"/>
        <v>0</v>
      </c>
      <c r="H750" s="192">
        <v>10.32</v>
      </c>
      <c r="I750" s="205">
        <f t="shared" si="325"/>
        <v>715.17600000000004</v>
      </c>
      <c r="J750" s="205">
        <f t="shared" ref="J750:J754" si="329">H750*F750</f>
        <v>715.17600000000004</v>
      </c>
      <c r="K750" s="205">
        <v>0.04</v>
      </c>
    </row>
    <row r="751" spans="1:11" ht="28.5" customHeight="1">
      <c r="A751" s="11" t="s">
        <v>1333</v>
      </c>
      <c r="B751" s="12" t="s">
        <v>660</v>
      </c>
      <c r="C751" s="10"/>
      <c r="D751" s="13" t="s">
        <v>1485</v>
      </c>
      <c r="E751" s="205">
        <v>2078.9</v>
      </c>
      <c r="F751" s="205">
        <v>2078.9</v>
      </c>
      <c r="G751" s="205">
        <f t="shared" si="327"/>
        <v>0</v>
      </c>
      <c r="H751" s="192">
        <v>2.14</v>
      </c>
      <c r="I751" s="205">
        <f t="shared" si="325"/>
        <v>4448.8460000000005</v>
      </c>
      <c r="J751" s="205">
        <f t="shared" si="329"/>
        <v>4448.8460000000005</v>
      </c>
      <c r="K751" s="205">
        <f t="shared" si="328"/>
        <v>0</v>
      </c>
    </row>
    <row r="752" spans="1:11" ht="29" customHeight="1">
      <c r="A752" s="11" t="s">
        <v>1334</v>
      </c>
      <c r="B752" s="12" t="s">
        <v>668</v>
      </c>
      <c r="C752" s="10"/>
      <c r="D752" s="13" t="s">
        <v>1485</v>
      </c>
      <c r="E752" s="205">
        <v>4287.21</v>
      </c>
      <c r="F752" s="205">
        <v>5613.03</v>
      </c>
      <c r="G752" s="205">
        <f t="shared" si="327"/>
        <v>1325.8199999999997</v>
      </c>
      <c r="H752" s="192">
        <v>0.87</v>
      </c>
      <c r="I752" s="205">
        <f t="shared" si="325"/>
        <v>3729.8726999999999</v>
      </c>
      <c r="J752" s="205">
        <f t="shared" si="329"/>
        <v>4883.3360999999995</v>
      </c>
      <c r="K752" s="205">
        <f t="shared" si="328"/>
        <v>1153.4633999999996</v>
      </c>
    </row>
    <row r="753" spans="1:11" ht="28" customHeight="1">
      <c r="A753" s="11" t="s">
        <v>1335</v>
      </c>
      <c r="B753" s="12" t="s">
        <v>661</v>
      </c>
      <c r="C753" s="10"/>
      <c r="D753" s="13" t="s">
        <v>87</v>
      </c>
      <c r="E753" s="205">
        <v>69.3</v>
      </c>
      <c r="F753" s="205">
        <v>69.3</v>
      </c>
      <c r="G753" s="205">
        <f t="shared" si="327"/>
        <v>0</v>
      </c>
      <c r="H753" s="192">
        <v>1248.29</v>
      </c>
      <c r="I753" s="205">
        <v>86502.38</v>
      </c>
      <c r="J753" s="205">
        <f t="shared" si="329"/>
        <v>86506.496999999988</v>
      </c>
      <c r="K753" s="205">
        <v>4.12</v>
      </c>
    </row>
    <row r="754" spans="1:11" ht="17.5" customHeight="1">
      <c r="A754" s="11" t="s">
        <v>1336</v>
      </c>
      <c r="B754" s="12" t="s">
        <v>662</v>
      </c>
      <c r="C754" s="10"/>
      <c r="D754" s="13" t="s">
        <v>124</v>
      </c>
      <c r="E754" s="205">
        <v>2309.89</v>
      </c>
      <c r="F754" s="205">
        <v>2309.89</v>
      </c>
      <c r="G754" s="205">
        <f t="shared" si="327"/>
        <v>0</v>
      </c>
      <c r="H754" s="192">
        <v>2.83</v>
      </c>
      <c r="I754" s="205">
        <f t="shared" si="325"/>
        <v>6536.9886999999999</v>
      </c>
      <c r="J754" s="205">
        <f t="shared" si="329"/>
        <v>6536.9886999999999</v>
      </c>
      <c r="K754" s="205">
        <f t="shared" si="328"/>
        <v>0</v>
      </c>
    </row>
    <row r="755" spans="1:11">
      <c r="A755" s="8" t="s">
        <v>1337</v>
      </c>
      <c r="B755" s="9" t="s">
        <v>669</v>
      </c>
      <c r="C755" s="8"/>
      <c r="D755" s="8"/>
      <c r="E755" s="211"/>
      <c r="F755" s="211"/>
      <c r="G755" s="211"/>
      <c r="H755" s="191"/>
      <c r="I755" s="204">
        <f>SUM(I756:I761)</f>
        <v>105975.57090000001</v>
      </c>
      <c r="J755" s="204">
        <f>SUM(J756:J761)</f>
        <v>107133.15129999998</v>
      </c>
      <c r="K755" s="204">
        <f>SUM(K756:K761)</f>
        <v>1157.6233999999995</v>
      </c>
    </row>
    <row r="756" spans="1:11">
      <c r="A756" s="11" t="s">
        <v>1338</v>
      </c>
      <c r="B756" s="12" t="s">
        <v>658</v>
      </c>
      <c r="C756" s="10"/>
      <c r="D756" s="14" t="s">
        <v>124</v>
      </c>
      <c r="E756" s="205">
        <v>2309.89</v>
      </c>
      <c r="F756" s="205">
        <v>2309.89</v>
      </c>
      <c r="G756" s="205">
        <f t="shared" ref="G756:G761" si="330">F756-E756</f>
        <v>0</v>
      </c>
      <c r="H756" s="192">
        <v>1.75</v>
      </c>
      <c r="I756" s="205">
        <f t="shared" si="325"/>
        <v>4042.3074999999999</v>
      </c>
      <c r="J756" s="205">
        <f>H756*F756</f>
        <v>4042.3074999999999</v>
      </c>
      <c r="K756" s="205">
        <f t="shared" ref="K756:K761" si="331">G756*H756</f>
        <v>0</v>
      </c>
    </row>
    <row r="757" spans="1:11" ht="26">
      <c r="A757" s="11" t="s">
        <v>1339</v>
      </c>
      <c r="B757" s="12" t="s">
        <v>659</v>
      </c>
      <c r="C757" s="10"/>
      <c r="D757" s="14" t="s">
        <v>87</v>
      </c>
      <c r="E757" s="205">
        <v>69.3</v>
      </c>
      <c r="F757" s="205">
        <v>69.3</v>
      </c>
      <c r="G757" s="205">
        <f t="shared" si="330"/>
        <v>0</v>
      </c>
      <c r="H757" s="192">
        <v>10.32</v>
      </c>
      <c r="I757" s="205">
        <f t="shared" si="325"/>
        <v>715.17600000000004</v>
      </c>
      <c r="J757" s="205">
        <f t="shared" ref="J757:J761" si="332">H757*F757</f>
        <v>715.17600000000004</v>
      </c>
      <c r="K757" s="205">
        <v>0.04</v>
      </c>
    </row>
    <row r="758" spans="1:11" ht="28.5" customHeight="1">
      <c r="A758" s="11" t="s">
        <v>1340</v>
      </c>
      <c r="B758" s="12" t="s">
        <v>660</v>
      </c>
      <c r="C758" s="10"/>
      <c r="D758" s="14" t="s">
        <v>1485</v>
      </c>
      <c r="E758" s="205">
        <v>2078.9</v>
      </c>
      <c r="F758" s="205">
        <v>2078.9</v>
      </c>
      <c r="G758" s="205">
        <f t="shared" si="330"/>
        <v>0</v>
      </c>
      <c r="H758" s="192">
        <v>2.14</v>
      </c>
      <c r="I758" s="205">
        <f t="shared" si="325"/>
        <v>4448.8460000000005</v>
      </c>
      <c r="J758" s="205">
        <f t="shared" si="332"/>
        <v>4448.8460000000005</v>
      </c>
      <c r="K758" s="205">
        <f t="shared" ref="K758:K759" si="333">G758*H758</f>
        <v>0</v>
      </c>
    </row>
    <row r="759" spans="1:11" ht="32.5" customHeight="1">
      <c r="A759" s="11" t="s">
        <v>1341</v>
      </c>
      <c r="B759" s="18" t="s">
        <v>668</v>
      </c>
      <c r="C759" s="10"/>
      <c r="D759" s="189" t="s">
        <v>1485</v>
      </c>
      <c r="E759" s="205">
        <v>4287.21</v>
      </c>
      <c r="F759" s="205">
        <v>5613.03</v>
      </c>
      <c r="G759" s="205">
        <f t="shared" si="330"/>
        <v>1325.8199999999997</v>
      </c>
      <c r="H759" s="193">
        <v>0.87</v>
      </c>
      <c r="I759" s="205">
        <f t="shared" si="325"/>
        <v>3729.8726999999999</v>
      </c>
      <c r="J759" s="205">
        <f t="shared" si="332"/>
        <v>4883.3360999999995</v>
      </c>
      <c r="K759" s="205">
        <f t="shared" si="333"/>
        <v>1153.4633999999996</v>
      </c>
    </row>
    <row r="760" spans="1:11" ht="26.5">
      <c r="A760" s="11" t="s">
        <v>1342</v>
      </c>
      <c r="B760" s="18" t="s">
        <v>670</v>
      </c>
      <c r="C760" s="10"/>
      <c r="D760" s="14" t="s">
        <v>87</v>
      </c>
      <c r="E760" s="205">
        <v>69.3</v>
      </c>
      <c r="F760" s="205">
        <v>69.3</v>
      </c>
      <c r="G760" s="205">
        <f t="shared" si="330"/>
        <v>0</v>
      </c>
      <c r="H760" s="192">
        <v>1248.29</v>
      </c>
      <c r="I760" s="205">
        <v>86502.38</v>
      </c>
      <c r="J760" s="205">
        <f t="shared" si="332"/>
        <v>86506.496999999988</v>
      </c>
      <c r="K760" s="205">
        <v>4.12</v>
      </c>
    </row>
    <row r="761" spans="1:11" ht="16.5" customHeight="1">
      <c r="A761" s="11" t="s">
        <v>1343</v>
      </c>
      <c r="B761" s="16" t="s">
        <v>671</v>
      </c>
      <c r="C761" s="10" t="s">
        <v>87</v>
      </c>
      <c r="D761" s="14" t="s">
        <v>124</v>
      </c>
      <c r="E761" s="205">
        <v>2309.89</v>
      </c>
      <c r="F761" s="205">
        <v>2309.89</v>
      </c>
      <c r="G761" s="205">
        <f t="shared" si="330"/>
        <v>0</v>
      </c>
      <c r="H761" s="192">
        <v>2.83</v>
      </c>
      <c r="I761" s="205">
        <f t="shared" si="325"/>
        <v>6536.9886999999999</v>
      </c>
      <c r="J761" s="205">
        <f t="shared" si="332"/>
        <v>6536.9886999999999</v>
      </c>
      <c r="K761" s="205">
        <f t="shared" si="331"/>
        <v>0</v>
      </c>
    </row>
    <row r="762" spans="1:11">
      <c r="A762" s="8" t="s">
        <v>1344</v>
      </c>
      <c r="B762" s="9" t="s">
        <v>107</v>
      </c>
      <c r="C762" s="8"/>
      <c r="D762" s="8"/>
      <c r="E762" s="211"/>
      <c r="F762" s="211"/>
      <c r="G762" s="211"/>
      <c r="H762" s="191"/>
      <c r="I762" s="204">
        <f>SUM(I763:I765)</f>
        <v>0</v>
      </c>
      <c r="J762" s="204">
        <f>SUM(J763:J765)</f>
        <v>0</v>
      </c>
      <c r="K762" s="204">
        <f>SUM(K763:K765)</f>
        <v>0</v>
      </c>
    </row>
    <row r="763" spans="1:11" ht="39">
      <c r="A763" s="11" t="s">
        <v>1345</v>
      </c>
      <c r="B763" s="12" t="s">
        <v>673</v>
      </c>
      <c r="C763" s="10" t="s">
        <v>33</v>
      </c>
      <c r="D763" s="13" t="s">
        <v>1486</v>
      </c>
      <c r="E763" s="205">
        <v>0</v>
      </c>
      <c r="F763" s="205">
        <v>0</v>
      </c>
      <c r="G763" s="205">
        <f>F763-E763</f>
        <v>0</v>
      </c>
      <c r="H763" s="192">
        <v>625.09</v>
      </c>
      <c r="I763" s="205">
        <f t="shared" si="325"/>
        <v>0</v>
      </c>
      <c r="J763" s="205">
        <f>H763*F763</f>
        <v>0</v>
      </c>
      <c r="K763" s="205">
        <f t="shared" ref="K763:K765" si="334">G763*H763</f>
        <v>0</v>
      </c>
    </row>
    <row r="764" spans="1:11" ht="17" customHeight="1">
      <c r="A764" s="11" t="s">
        <v>1346</v>
      </c>
      <c r="B764" s="190" t="s">
        <v>679</v>
      </c>
      <c r="C764" s="10" t="s">
        <v>33</v>
      </c>
      <c r="D764" s="13" t="s">
        <v>124</v>
      </c>
      <c r="E764" s="205">
        <v>0</v>
      </c>
      <c r="F764" s="205">
        <v>0</v>
      </c>
      <c r="G764" s="205">
        <f>F764-E764</f>
        <v>0</v>
      </c>
      <c r="H764" s="192">
        <v>16.260000000000002</v>
      </c>
      <c r="I764" s="205">
        <f t="shared" si="325"/>
        <v>0</v>
      </c>
      <c r="J764" s="205">
        <f t="shared" ref="J764:J765" si="335">H764*F764</f>
        <v>0</v>
      </c>
      <c r="K764" s="205">
        <f t="shared" si="334"/>
        <v>0</v>
      </c>
    </row>
    <row r="765" spans="1:11" ht="16.5" customHeight="1">
      <c r="A765" s="11" t="s">
        <v>1347</v>
      </c>
      <c r="B765" s="12" t="s">
        <v>674</v>
      </c>
      <c r="C765" s="10" t="s">
        <v>33</v>
      </c>
      <c r="D765" s="13" t="s">
        <v>124</v>
      </c>
      <c r="E765" s="205">
        <v>0</v>
      </c>
      <c r="F765" s="205">
        <v>0</v>
      </c>
      <c r="G765" s="205">
        <f>F765-E765</f>
        <v>0</v>
      </c>
      <c r="H765" s="192">
        <v>4.5599999999999996</v>
      </c>
      <c r="I765" s="205">
        <f t="shared" si="325"/>
        <v>0</v>
      </c>
      <c r="J765" s="205">
        <f t="shared" si="335"/>
        <v>0</v>
      </c>
      <c r="K765" s="205">
        <f t="shared" si="334"/>
        <v>0</v>
      </c>
    </row>
    <row r="766" spans="1:11">
      <c r="A766" s="8" t="s">
        <v>1348</v>
      </c>
      <c r="B766" s="9" t="s">
        <v>677</v>
      </c>
      <c r="C766" s="8"/>
      <c r="D766" s="8"/>
      <c r="E766" s="211"/>
      <c r="F766" s="211"/>
      <c r="G766" s="211"/>
      <c r="H766" s="191"/>
      <c r="I766" s="204">
        <f>SUM(I767:I768)</f>
        <v>4042.3074999999999</v>
      </c>
      <c r="J766" s="204">
        <f>SUM(J767:J768)</f>
        <v>4042.3074999999999</v>
      </c>
      <c r="K766" s="204">
        <f>SUM(K767:K768)</f>
        <v>0</v>
      </c>
    </row>
    <row r="767" spans="1:11">
      <c r="A767" s="11" t="s">
        <v>1349</v>
      </c>
      <c r="B767" s="12" t="s">
        <v>658</v>
      </c>
      <c r="C767" s="10" t="s">
        <v>11</v>
      </c>
      <c r="D767" s="13" t="s">
        <v>124</v>
      </c>
      <c r="E767" s="205">
        <v>2309.89</v>
      </c>
      <c r="F767" s="205">
        <v>2309.89</v>
      </c>
      <c r="G767" s="205">
        <f>F767-E767</f>
        <v>0</v>
      </c>
      <c r="H767" s="192">
        <v>1.75</v>
      </c>
      <c r="I767" s="205">
        <f t="shared" si="325"/>
        <v>4042.3074999999999</v>
      </c>
      <c r="J767" s="205">
        <f>H767*F767</f>
        <v>4042.3074999999999</v>
      </c>
      <c r="K767" s="205">
        <f t="shared" ref="K767:K768" si="336">G767*H767</f>
        <v>0</v>
      </c>
    </row>
    <row r="768" spans="1:11">
      <c r="A768" s="11" t="s">
        <v>1350</v>
      </c>
      <c r="B768" s="12" t="s">
        <v>678</v>
      </c>
      <c r="C768" s="10" t="s">
        <v>11</v>
      </c>
      <c r="D768" s="13" t="s">
        <v>1486</v>
      </c>
      <c r="E768" s="205">
        <v>0</v>
      </c>
      <c r="F768" s="205">
        <v>0</v>
      </c>
      <c r="G768" s="205">
        <f>F768-E768</f>
        <v>0</v>
      </c>
      <c r="H768" s="192">
        <v>92.34</v>
      </c>
      <c r="I768" s="205">
        <f t="shared" si="325"/>
        <v>0</v>
      </c>
      <c r="J768" s="205">
        <f>H768*F768</f>
        <v>0</v>
      </c>
      <c r="K768" s="205">
        <f t="shared" si="336"/>
        <v>0</v>
      </c>
    </row>
    <row r="769" spans="1:11">
      <c r="A769" s="183">
        <v>29</v>
      </c>
      <c r="B769" s="188" t="s">
        <v>1481</v>
      </c>
      <c r="C769" s="183"/>
      <c r="D769" s="183"/>
      <c r="E769" s="210"/>
      <c r="F769" s="210"/>
      <c r="G769" s="210"/>
      <c r="H769" s="194"/>
      <c r="I769" s="203">
        <f>SUM(I770,I773,I775,I782,I789,I793)</f>
        <v>228655.52000000002</v>
      </c>
      <c r="J769" s="203">
        <f>SUM(J770,J773,J775,J782,J789,J793)</f>
        <v>232797.3847</v>
      </c>
      <c r="K769" s="203">
        <f>SUM(K770,K773,K775,K782,K789,K793)</f>
        <v>4141.864700000001</v>
      </c>
    </row>
    <row r="770" spans="1:11">
      <c r="A770" s="8" t="s">
        <v>1351</v>
      </c>
      <c r="B770" s="9" t="s">
        <v>8</v>
      </c>
      <c r="C770" s="8"/>
      <c r="D770" s="8"/>
      <c r="E770" s="211"/>
      <c r="F770" s="211"/>
      <c r="G770" s="211"/>
      <c r="H770" s="191"/>
      <c r="I770" s="204">
        <f>SUM(I771:I772)</f>
        <v>18331.669300000001</v>
      </c>
      <c r="J770" s="204">
        <f>SUM(J771:J772)</f>
        <v>19804.965600000003</v>
      </c>
      <c r="K770" s="204">
        <f>SUM(K771:K772)</f>
        <v>1473.2963000000027</v>
      </c>
    </row>
    <row r="771" spans="1:11" ht="26">
      <c r="A771" s="11" t="s">
        <v>1352</v>
      </c>
      <c r="B771" s="12" t="s">
        <v>652</v>
      </c>
      <c r="C771" s="10" t="s">
        <v>13</v>
      </c>
      <c r="D771" s="13" t="s">
        <v>124</v>
      </c>
      <c r="E771" s="205">
        <v>2244.83</v>
      </c>
      <c r="F771" s="205">
        <v>2244.83</v>
      </c>
      <c r="G771" s="205">
        <f>F771-E771</f>
        <v>0</v>
      </c>
      <c r="H771" s="192">
        <v>0.36</v>
      </c>
      <c r="I771" s="205">
        <f>H771*E771</f>
        <v>808.13879999999995</v>
      </c>
      <c r="J771" s="205">
        <f>H771*F771</f>
        <v>808.13879999999995</v>
      </c>
      <c r="K771" s="205">
        <f t="shared" ref="K771:K772" si="337">G771*H771</f>
        <v>0</v>
      </c>
    </row>
    <row r="772" spans="1:11" ht="52">
      <c r="A772" s="11" t="s">
        <v>1354</v>
      </c>
      <c r="B772" s="12" t="s">
        <v>649</v>
      </c>
      <c r="C772" s="10" t="s">
        <v>11</v>
      </c>
      <c r="D772" s="13" t="s">
        <v>124</v>
      </c>
      <c r="E772" s="205">
        <v>284.14999999999998</v>
      </c>
      <c r="F772" s="205">
        <v>308.04000000000002</v>
      </c>
      <c r="G772" s="205">
        <f>F772-E772</f>
        <v>23.890000000000043</v>
      </c>
      <c r="H772" s="192">
        <v>61.67</v>
      </c>
      <c r="I772" s="205">
        <f>H772*E772</f>
        <v>17523.530500000001</v>
      </c>
      <c r="J772" s="205">
        <f>H772*F772</f>
        <v>18996.826800000003</v>
      </c>
      <c r="K772" s="205">
        <f t="shared" si="337"/>
        <v>1473.2963000000027</v>
      </c>
    </row>
    <row r="773" spans="1:11">
      <c r="A773" s="8" t="s">
        <v>1353</v>
      </c>
      <c r="B773" s="9" t="s">
        <v>654</v>
      </c>
      <c r="C773" s="8"/>
      <c r="D773" s="8"/>
      <c r="E773" s="211"/>
      <c r="F773" s="211"/>
      <c r="G773" s="211"/>
      <c r="H773" s="191"/>
      <c r="I773" s="204">
        <f>SUM(I774:I774)</f>
        <v>853.03539999999998</v>
      </c>
      <c r="J773" s="204">
        <f>SUM(J774:J774)</f>
        <v>853.03539999999998</v>
      </c>
      <c r="K773" s="204">
        <f>SUM(K774:K774)</f>
        <v>0</v>
      </c>
    </row>
    <row r="774" spans="1:11" ht="26">
      <c r="A774" s="11" t="s">
        <v>1355</v>
      </c>
      <c r="B774" s="12" t="s">
        <v>655</v>
      </c>
      <c r="C774" s="10"/>
      <c r="D774" s="13" t="s">
        <v>124</v>
      </c>
      <c r="E774" s="205">
        <v>2244.83</v>
      </c>
      <c r="F774" s="205">
        <v>2244.83</v>
      </c>
      <c r="G774" s="205">
        <f>F774-E774</f>
        <v>0</v>
      </c>
      <c r="H774" s="192">
        <v>0.38</v>
      </c>
      <c r="I774" s="205">
        <f t="shared" ref="I774:I795" si="338">H774*E774</f>
        <v>853.03539999999998</v>
      </c>
      <c r="J774" s="205">
        <f>H774*F774</f>
        <v>853.03539999999998</v>
      </c>
      <c r="K774" s="205">
        <f t="shared" ref="K774" si="339">G774*H774</f>
        <v>0</v>
      </c>
    </row>
    <row r="775" spans="1:11">
      <c r="A775" s="8" t="s">
        <v>1356</v>
      </c>
      <c r="B775" s="9" t="s">
        <v>657</v>
      </c>
      <c r="C775" s="8"/>
      <c r="D775" s="8"/>
      <c r="E775" s="211"/>
      <c r="F775" s="211"/>
      <c r="G775" s="211"/>
      <c r="H775" s="191"/>
      <c r="I775" s="204">
        <f>SUM(I776:I781)</f>
        <v>102771.1814</v>
      </c>
      <c r="J775" s="204">
        <f>SUM(J776:J781)</f>
        <v>104105.4656</v>
      </c>
      <c r="K775" s="204">
        <f>SUM(K776:K781)</f>
        <v>1334.2841999999994</v>
      </c>
    </row>
    <row r="776" spans="1:11">
      <c r="A776" s="11" t="s">
        <v>1357</v>
      </c>
      <c r="B776" s="12" t="s">
        <v>658</v>
      </c>
      <c r="C776" s="10"/>
      <c r="D776" s="13" t="s">
        <v>124</v>
      </c>
      <c r="E776" s="205">
        <v>2244.83</v>
      </c>
      <c r="F776" s="205">
        <v>2244.83</v>
      </c>
      <c r="G776" s="205">
        <f t="shared" ref="G776:G781" si="340">F776-E776</f>
        <v>0</v>
      </c>
      <c r="H776" s="192">
        <v>1.75</v>
      </c>
      <c r="I776" s="205">
        <f t="shared" si="338"/>
        <v>3928.4524999999999</v>
      </c>
      <c r="J776" s="205">
        <f>H776*F776</f>
        <v>3928.4524999999999</v>
      </c>
      <c r="K776" s="205">
        <f t="shared" ref="K776:K781" si="341">G776*H776</f>
        <v>0</v>
      </c>
    </row>
    <row r="777" spans="1:11" ht="26">
      <c r="A777" s="11" t="s">
        <v>1358</v>
      </c>
      <c r="B777" s="12" t="s">
        <v>659</v>
      </c>
      <c r="C777" s="10"/>
      <c r="D777" s="13" t="s">
        <v>87</v>
      </c>
      <c r="E777" s="205">
        <v>67.34</v>
      </c>
      <c r="F777" s="205">
        <v>67.34</v>
      </c>
      <c r="G777" s="205">
        <f t="shared" si="340"/>
        <v>0</v>
      </c>
      <c r="H777" s="192">
        <v>10.32</v>
      </c>
      <c r="I777" s="205">
        <f t="shared" si="338"/>
        <v>694.94880000000001</v>
      </c>
      <c r="J777" s="205">
        <f t="shared" ref="J777:J781" si="342">H777*F777</f>
        <v>694.94880000000001</v>
      </c>
      <c r="K777" s="205">
        <f t="shared" si="341"/>
        <v>0</v>
      </c>
    </row>
    <row r="778" spans="1:11" ht="28.5" customHeight="1">
      <c r="A778" s="11" t="s">
        <v>1359</v>
      </c>
      <c r="B778" s="12" t="s">
        <v>660</v>
      </c>
      <c r="C778" s="10"/>
      <c r="D778" s="13" t="s">
        <v>1485</v>
      </c>
      <c r="E778" s="205">
        <v>2020.35</v>
      </c>
      <c r="F778" s="205">
        <v>2020.35</v>
      </c>
      <c r="G778" s="205">
        <f t="shared" si="340"/>
        <v>0</v>
      </c>
      <c r="H778" s="192">
        <v>2.14</v>
      </c>
      <c r="I778" s="205">
        <f t="shared" si="338"/>
        <v>4323.549</v>
      </c>
      <c r="J778" s="205">
        <f t="shared" si="342"/>
        <v>4323.549</v>
      </c>
      <c r="K778" s="205">
        <f t="shared" si="341"/>
        <v>0</v>
      </c>
    </row>
    <row r="779" spans="1:11" ht="29" customHeight="1">
      <c r="A779" s="11" t="s">
        <v>1360</v>
      </c>
      <c r="B779" s="12" t="s">
        <v>668</v>
      </c>
      <c r="C779" s="10"/>
      <c r="D779" s="13" t="s">
        <v>1485</v>
      </c>
      <c r="E779" s="205">
        <v>3921.28</v>
      </c>
      <c r="F779" s="205">
        <v>5454.94</v>
      </c>
      <c r="G779" s="205">
        <f t="shared" si="340"/>
        <v>1533.6599999999994</v>
      </c>
      <c r="H779" s="192">
        <v>0.87</v>
      </c>
      <c r="I779" s="205">
        <f t="shared" si="338"/>
        <v>3411.5136000000002</v>
      </c>
      <c r="J779" s="205">
        <f t="shared" si="342"/>
        <v>4745.7977999999994</v>
      </c>
      <c r="K779" s="205">
        <f t="shared" si="341"/>
        <v>1334.2841999999994</v>
      </c>
    </row>
    <row r="780" spans="1:11" ht="28" customHeight="1">
      <c r="A780" s="11" t="s">
        <v>1361</v>
      </c>
      <c r="B780" s="12" t="s">
        <v>661</v>
      </c>
      <c r="C780" s="10"/>
      <c r="D780" s="13" t="s">
        <v>87</v>
      </c>
      <c r="E780" s="205">
        <v>67.34</v>
      </c>
      <c r="F780" s="205">
        <v>67.34</v>
      </c>
      <c r="G780" s="205">
        <f t="shared" si="340"/>
        <v>0</v>
      </c>
      <c r="H780" s="192">
        <v>1248.29</v>
      </c>
      <c r="I780" s="205">
        <f t="shared" si="338"/>
        <v>84059.848599999998</v>
      </c>
      <c r="J780" s="205">
        <f t="shared" si="342"/>
        <v>84059.848599999998</v>
      </c>
      <c r="K780" s="205">
        <f t="shared" si="341"/>
        <v>0</v>
      </c>
    </row>
    <row r="781" spans="1:11" ht="17.5" customHeight="1">
      <c r="A781" s="11" t="s">
        <v>1362</v>
      </c>
      <c r="B781" s="12" t="s">
        <v>662</v>
      </c>
      <c r="C781" s="10"/>
      <c r="D781" s="13" t="s">
        <v>124</v>
      </c>
      <c r="E781" s="205">
        <v>2244.83</v>
      </c>
      <c r="F781" s="205">
        <v>2244.83</v>
      </c>
      <c r="G781" s="205">
        <f t="shared" si="340"/>
        <v>0</v>
      </c>
      <c r="H781" s="192">
        <v>2.83</v>
      </c>
      <c r="I781" s="205">
        <f t="shared" si="338"/>
        <v>6352.8689000000004</v>
      </c>
      <c r="J781" s="205">
        <f t="shared" si="342"/>
        <v>6352.8689000000004</v>
      </c>
      <c r="K781" s="205">
        <f t="shared" si="341"/>
        <v>0</v>
      </c>
    </row>
    <row r="782" spans="1:11">
      <c r="A782" s="8" t="s">
        <v>1363</v>
      </c>
      <c r="B782" s="9" t="s">
        <v>669</v>
      </c>
      <c r="C782" s="8"/>
      <c r="D782" s="8"/>
      <c r="E782" s="211"/>
      <c r="F782" s="211"/>
      <c r="G782" s="211"/>
      <c r="H782" s="191"/>
      <c r="I782" s="204">
        <f>SUM(I783:I788)</f>
        <v>102771.1814</v>
      </c>
      <c r="J782" s="204">
        <f>SUM(J783:J788)</f>
        <v>104105.4656</v>
      </c>
      <c r="K782" s="204">
        <f>SUM(K783:K788)</f>
        <v>1334.2841999999994</v>
      </c>
    </row>
    <row r="783" spans="1:11">
      <c r="A783" s="11" t="s">
        <v>1364</v>
      </c>
      <c r="B783" s="12" t="s">
        <v>658</v>
      </c>
      <c r="C783" s="10"/>
      <c r="D783" s="14" t="s">
        <v>124</v>
      </c>
      <c r="E783" s="205">
        <v>2244.83</v>
      </c>
      <c r="F783" s="205">
        <v>2244.83</v>
      </c>
      <c r="G783" s="205">
        <f t="shared" ref="G783:G788" si="343">F783-E783</f>
        <v>0</v>
      </c>
      <c r="H783" s="192">
        <v>1.75</v>
      </c>
      <c r="I783" s="205">
        <f t="shared" si="338"/>
        <v>3928.4524999999999</v>
      </c>
      <c r="J783" s="205">
        <f>H783*F783</f>
        <v>3928.4524999999999</v>
      </c>
      <c r="K783" s="205">
        <f t="shared" ref="K783:K788" si="344">G783*H783</f>
        <v>0</v>
      </c>
    </row>
    <row r="784" spans="1:11" ht="26">
      <c r="A784" s="11" t="s">
        <v>1365</v>
      </c>
      <c r="B784" s="12" t="s">
        <v>659</v>
      </c>
      <c r="C784" s="10"/>
      <c r="D784" s="14" t="s">
        <v>87</v>
      </c>
      <c r="E784" s="205">
        <v>67.34</v>
      </c>
      <c r="F784" s="212">
        <v>67.34</v>
      </c>
      <c r="G784" s="205">
        <f t="shared" si="343"/>
        <v>0</v>
      </c>
      <c r="H784" s="192">
        <v>10.32</v>
      </c>
      <c r="I784" s="205">
        <f t="shared" si="338"/>
        <v>694.94880000000001</v>
      </c>
      <c r="J784" s="205">
        <f t="shared" ref="J784:J788" si="345">H784*F784</f>
        <v>694.94880000000001</v>
      </c>
      <c r="K784" s="205">
        <f t="shared" si="344"/>
        <v>0</v>
      </c>
    </row>
    <row r="785" spans="1:11" ht="28.5" customHeight="1">
      <c r="A785" s="11" t="s">
        <v>1366</v>
      </c>
      <c r="B785" s="12" t="s">
        <v>660</v>
      </c>
      <c r="C785" s="10"/>
      <c r="D785" s="14" t="s">
        <v>1485</v>
      </c>
      <c r="E785" s="205">
        <v>2020.35</v>
      </c>
      <c r="F785" s="212">
        <v>2020.35</v>
      </c>
      <c r="G785" s="205">
        <f t="shared" si="343"/>
        <v>0</v>
      </c>
      <c r="H785" s="192">
        <v>2.14</v>
      </c>
      <c r="I785" s="205">
        <f t="shared" si="338"/>
        <v>4323.549</v>
      </c>
      <c r="J785" s="205">
        <f t="shared" si="345"/>
        <v>4323.549</v>
      </c>
      <c r="K785" s="205">
        <f t="shared" si="344"/>
        <v>0</v>
      </c>
    </row>
    <row r="786" spans="1:11" ht="32.5" customHeight="1">
      <c r="A786" s="11" t="s">
        <v>1367</v>
      </c>
      <c r="B786" s="18" t="s">
        <v>668</v>
      </c>
      <c r="C786" s="10"/>
      <c r="D786" s="189" t="s">
        <v>1485</v>
      </c>
      <c r="E786" s="205">
        <v>3921.28</v>
      </c>
      <c r="F786" s="205">
        <v>5454.94</v>
      </c>
      <c r="G786" s="205">
        <f t="shared" si="343"/>
        <v>1533.6599999999994</v>
      </c>
      <c r="H786" s="193">
        <v>0.87</v>
      </c>
      <c r="I786" s="205">
        <f t="shared" si="338"/>
        <v>3411.5136000000002</v>
      </c>
      <c r="J786" s="205">
        <f t="shared" si="345"/>
        <v>4745.7977999999994</v>
      </c>
      <c r="K786" s="205">
        <f t="shared" si="344"/>
        <v>1334.2841999999994</v>
      </c>
    </row>
    <row r="787" spans="1:11" ht="26.5">
      <c r="A787" s="11" t="s">
        <v>1368</v>
      </c>
      <c r="B787" s="18" t="s">
        <v>670</v>
      </c>
      <c r="C787" s="10"/>
      <c r="D787" s="14" t="s">
        <v>87</v>
      </c>
      <c r="E787" s="205">
        <v>67.34</v>
      </c>
      <c r="F787" s="212">
        <v>67.34</v>
      </c>
      <c r="G787" s="205">
        <f t="shared" si="343"/>
        <v>0</v>
      </c>
      <c r="H787" s="192">
        <v>1248.29</v>
      </c>
      <c r="I787" s="205">
        <f t="shared" si="338"/>
        <v>84059.848599999998</v>
      </c>
      <c r="J787" s="205">
        <f t="shared" si="345"/>
        <v>84059.848599999998</v>
      </c>
      <c r="K787" s="205">
        <f t="shared" si="344"/>
        <v>0</v>
      </c>
    </row>
    <row r="788" spans="1:11" ht="16.5" customHeight="1">
      <c r="A788" s="11" t="s">
        <v>1369</v>
      </c>
      <c r="B788" s="16" t="s">
        <v>671</v>
      </c>
      <c r="C788" s="10" t="s">
        <v>87</v>
      </c>
      <c r="D788" s="14" t="s">
        <v>124</v>
      </c>
      <c r="E788" s="205">
        <v>2244.83</v>
      </c>
      <c r="F788" s="212">
        <v>2244.83</v>
      </c>
      <c r="G788" s="205">
        <f t="shared" si="343"/>
        <v>0</v>
      </c>
      <c r="H788" s="192">
        <v>2.83</v>
      </c>
      <c r="I788" s="205">
        <f t="shared" si="338"/>
        <v>6352.8689000000004</v>
      </c>
      <c r="J788" s="205">
        <f t="shared" si="345"/>
        <v>6352.8689000000004</v>
      </c>
      <c r="K788" s="205">
        <f t="shared" si="344"/>
        <v>0</v>
      </c>
    </row>
    <row r="789" spans="1:11">
      <c r="A789" s="8" t="s">
        <v>1370</v>
      </c>
      <c r="B789" s="9" t="s">
        <v>107</v>
      </c>
      <c r="C789" s="8"/>
      <c r="D789" s="8"/>
      <c r="E789" s="211"/>
      <c r="F789" s="211"/>
      <c r="G789" s="211"/>
      <c r="H789" s="191"/>
      <c r="I789" s="204">
        <f>SUM(I790:I792)</f>
        <v>0</v>
      </c>
      <c r="J789" s="204">
        <f>SUM(J790:J792)</f>
        <v>0</v>
      </c>
      <c r="K789" s="204">
        <f>SUM(K790:K792)</f>
        <v>0</v>
      </c>
    </row>
    <row r="790" spans="1:11" ht="39">
      <c r="A790" s="11" t="s">
        <v>1371</v>
      </c>
      <c r="B790" s="12" t="s">
        <v>673</v>
      </c>
      <c r="C790" s="10" t="s">
        <v>33</v>
      </c>
      <c r="D790" s="13" t="s">
        <v>1486</v>
      </c>
      <c r="E790" s="205">
        <v>0</v>
      </c>
      <c r="F790" s="205">
        <v>0</v>
      </c>
      <c r="G790" s="205">
        <f>F790-E790</f>
        <v>0</v>
      </c>
      <c r="H790" s="192">
        <v>625.09</v>
      </c>
      <c r="I790" s="205">
        <f t="shared" si="338"/>
        <v>0</v>
      </c>
      <c r="J790" s="205">
        <f>H790*F790</f>
        <v>0</v>
      </c>
      <c r="K790" s="205">
        <f t="shared" ref="K790:K792" si="346">G790*H790</f>
        <v>0</v>
      </c>
    </row>
    <row r="791" spans="1:11" ht="17" customHeight="1">
      <c r="A791" s="11" t="s">
        <v>1372</v>
      </c>
      <c r="B791" s="190" t="s">
        <v>679</v>
      </c>
      <c r="C791" s="10" t="s">
        <v>33</v>
      </c>
      <c r="D791" s="13" t="s">
        <v>124</v>
      </c>
      <c r="E791" s="205">
        <v>0</v>
      </c>
      <c r="F791" s="205">
        <v>0</v>
      </c>
      <c r="G791" s="205">
        <f>F791-E791</f>
        <v>0</v>
      </c>
      <c r="H791" s="192">
        <v>16.260000000000002</v>
      </c>
      <c r="I791" s="205">
        <f t="shared" si="338"/>
        <v>0</v>
      </c>
      <c r="J791" s="205">
        <f t="shared" ref="J791:J792" si="347">H791*F791</f>
        <v>0</v>
      </c>
      <c r="K791" s="205">
        <f t="shared" si="346"/>
        <v>0</v>
      </c>
    </row>
    <row r="792" spans="1:11" ht="16.5" customHeight="1">
      <c r="A792" s="11" t="s">
        <v>1373</v>
      </c>
      <c r="B792" s="12" t="s">
        <v>674</v>
      </c>
      <c r="C792" s="10" t="s">
        <v>33</v>
      </c>
      <c r="D792" s="13" t="s">
        <v>124</v>
      </c>
      <c r="E792" s="205">
        <v>0</v>
      </c>
      <c r="F792" s="205">
        <v>0</v>
      </c>
      <c r="G792" s="205">
        <f>F792-E792</f>
        <v>0</v>
      </c>
      <c r="H792" s="192">
        <v>4.5599999999999996</v>
      </c>
      <c r="I792" s="205">
        <f t="shared" si="338"/>
        <v>0</v>
      </c>
      <c r="J792" s="205">
        <f t="shared" si="347"/>
        <v>0</v>
      </c>
      <c r="K792" s="205">
        <f t="shared" si="346"/>
        <v>0</v>
      </c>
    </row>
    <row r="793" spans="1:11">
      <c r="A793" s="8" t="s">
        <v>1374</v>
      </c>
      <c r="B793" s="9" t="s">
        <v>677</v>
      </c>
      <c r="C793" s="8"/>
      <c r="D793" s="8"/>
      <c r="E793" s="211"/>
      <c r="F793" s="211"/>
      <c r="G793" s="211"/>
      <c r="H793" s="191"/>
      <c r="I793" s="204">
        <f>SUM(I794:I795)</f>
        <v>3928.4524999999999</v>
      </c>
      <c r="J793" s="204">
        <f>SUM(J794:J795)</f>
        <v>3928.4524999999999</v>
      </c>
      <c r="K793" s="204">
        <f>SUM(K794:K795)</f>
        <v>0</v>
      </c>
    </row>
    <row r="794" spans="1:11">
      <c r="A794" s="11" t="s">
        <v>1375</v>
      </c>
      <c r="B794" s="12" t="s">
        <v>658</v>
      </c>
      <c r="C794" s="10" t="s">
        <v>11</v>
      </c>
      <c r="D794" s="13" t="s">
        <v>124</v>
      </c>
      <c r="E794" s="205">
        <v>2244.83</v>
      </c>
      <c r="F794" s="205">
        <v>2244.83</v>
      </c>
      <c r="G794" s="205">
        <f>F794-E794</f>
        <v>0</v>
      </c>
      <c r="H794" s="192">
        <v>1.75</v>
      </c>
      <c r="I794" s="205">
        <f t="shared" si="338"/>
        <v>3928.4524999999999</v>
      </c>
      <c r="J794" s="205">
        <f>H794*F794</f>
        <v>3928.4524999999999</v>
      </c>
      <c r="K794" s="205">
        <f t="shared" ref="K794:K795" si="348">G794*H794</f>
        <v>0</v>
      </c>
    </row>
    <row r="795" spans="1:11">
      <c r="A795" s="11" t="s">
        <v>1376</v>
      </c>
      <c r="B795" s="12" t="s">
        <v>678</v>
      </c>
      <c r="C795" s="10" t="s">
        <v>11</v>
      </c>
      <c r="D795" s="13" t="s">
        <v>1486</v>
      </c>
      <c r="E795" s="205">
        <v>0</v>
      </c>
      <c r="F795" s="205">
        <v>0</v>
      </c>
      <c r="G795" s="205">
        <f>F795-E795</f>
        <v>0</v>
      </c>
      <c r="H795" s="192">
        <v>92.34</v>
      </c>
      <c r="I795" s="205">
        <f t="shared" si="338"/>
        <v>0</v>
      </c>
      <c r="J795" s="205">
        <f>H795*F795</f>
        <v>0</v>
      </c>
      <c r="K795" s="205">
        <f t="shared" si="348"/>
        <v>0</v>
      </c>
    </row>
    <row r="796" spans="1:11">
      <c r="A796" s="183">
        <v>30</v>
      </c>
      <c r="B796" s="188" t="s">
        <v>1482</v>
      </c>
      <c r="C796" s="183"/>
      <c r="D796" s="183"/>
      <c r="E796" s="210"/>
      <c r="F796" s="210"/>
      <c r="G796" s="210"/>
      <c r="H796" s="194"/>
      <c r="I796" s="203">
        <f>SUM(I797,I800,I802,I809,I816,I820)</f>
        <v>39065.7336</v>
      </c>
      <c r="J796" s="203">
        <f>SUM(J797,J800,J802,J809,J816,J820)</f>
        <v>39621.524399999995</v>
      </c>
      <c r="K796" s="203">
        <f>SUM(K797,K800,K802,K809,K816,K820)</f>
        <v>555.7908000000001</v>
      </c>
    </row>
    <row r="797" spans="1:11">
      <c r="A797" s="8" t="s">
        <v>1377</v>
      </c>
      <c r="B797" s="9" t="s">
        <v>8</v>
      </c>
      <c r="C797" s="8"/>
      <c r="D797" s="8"/>
      <c r="E797" s="211"/>
      <c r="F797" s="211"/>
      <c r="G797" s="211"/>
      <c r="H797" s="191"/>
      <c r="I797" s="204">
        <f>SUM(I798:I799)</f>
        <v>2804.4587000000001</v>
      </c>
      <c r="J797" s="204">
        <f>SUM(J798:J799)</f>
        <v>2804.4587000000001</v>
      </c>
      <c r="K797" s="204">
        <f>SUM(K798:K799)</f>
        <v>0</v>
      </c>
    </row>
    <row r="798" spans="1:11" ht="26">
      <c r="A798" s="11" t="s">
        <v>1378</v>
      </c>
      <c r="B798" s="12" t="s">
        <v>652</v>
      </c>
      <c r="C798" s="10" t="s">
        <v>13</v>
      </c>
      <c r="D798" s="13" t="s">
        <v>124</v>
      </c>
      <c r="E798" s="205">
        <v>388.05</v>
      </c>
      <c r="F798" s="205">
        <v>388.05</v>
      </c>
      <c r="G798" s="205">
        <f>F798-E798</f>
        <v>0</v>
      </c>
      <c r="H798" s="192">
        <v>0.36</v>
      </c>
      <c r="I798" s="205">
        <f>H798*E798</f>
        <v>139.69800000000001</v>
      </c>
      <c r="J798" s="205">
        <f>H798*F798</f>
        <v>139.69800000000001</v>
      </c>
      <c r="K798" s="205">
        <f t="shared" ref="K798:K799" si="349">G798*H798</f>
        <v>0</v>
      </c>
    </row>
    <row r="799" spans="1:11" ht="52">
      <c r="A799" s="11" t="s">
        <v>1379</v>
      </c>
      <c r="B799" s="12" t="s">
        <v>649</v>
      </c>
      <c r="C799" s="10" t="s">
        <v>11</v>
      </c>
      <c r="D799" s="13" t="s">
        <v>124</v>
      </c>
      <c r="E799" s="205">
        <v>43.21</v>
      </c>
      <c r="F799" s="205">
        <v>43.21</v>
      </c>
      <c r="G799" s="205">
        <f>F799-E799</f>
        <v>0</v>
      </c>
      <c r="H799" s="192">
        <v>61.67</v>
      </c>
      <c r="I799" s="205">
        <f>H799*E799</f>
        <v>2664.7607000000003</v>
      </c>
      <c r="J799" s="205">
        <f>H799*F799</f>
        <v>2664.7607000000003</v>
      </c>
      <c r="K799" s="205">
        <f t="shared" si="349"/>
        <v>0</v>
      </c>
    </row>
    <row r="800" spans="1:11">
      <c r="A800" s="8" t="s">
        <v>1380</v>
      </c>
      <c r="B800" s="9" t="s">
        <v>654</v>
      </c>
      <c r="C800" s="8"/>
      <c r="D800" s="8"/>
      <c r="E800" s="211"/>
      <c r="F800" s="211"/>
      <c r="G800" s="211"/>
      <c r="H800" s="191"/>
      <c r="I800" s="204">
        <f>SUM(I801:I801)</f>
        <v>147.459</v>
      </c>
      <c r="J800" s="204">
        <f>SUM(J801:J801)</f>
        <v>147.459</v>
      </c>
      <c r="K800" s="204">
        <f>SUM(K801:K801)</f>
        <v>0</v>
      </c>
    </row>
    <row r="801" spans="1:11" ht="26">
      <c r="A801" s="11" t="s">
        <v>1381</v>
      </c>
      <c r="B801" s="12" t="s">
        <v>655</v>
      </c>
      <c r="C801" s="10"/>
      <c r="D801" s="13" t="s">
        <v>124</v>
      </c>
      <c r="E801" s="205">
        <v>388.05</v>
      </c>
      <c r="F801" s="205">
        <v>388.05</v>
      </c>
      <c r="G801" s="205">
        <f>F801-E801</f>
        <v>0</v>
      </c>
      <c r="H801" s="192">
        <v>0.38</v>
      </c>
      <c r="I801" s="205">
        <f t="shared" ref="I801:I822" si="350">H801*E801</f>
        <v>147.459</v>
      </c>
      <c r="J801" s="205">
        <f>H801*F801</f>
        <v>147.459</v>
      </c>
      <c r="K801" s="205">
        <f t="shared" ref="K801" si="351">G801*H801</f>
        <v>0</v>
      </c>
    </row>
    <row r="802" spans="1:11">
      <c r="A802" s="8" t="s">
        <v>1382</v>
      </c>
      <c r="B802" s="9" t="s">
        <v>657</v>
      </c>
      <c r="C802" s="8"/>
      <c r="D802" s="8"/>
      <c r="E802" s="211"/>
      <c r="F802" s="211"/>
      <c r="G802" s="211"/>
      <c r="H802" s="191"/>
      <c r="I802" s="204">
        <f>SUM(I803:I808)</f>
        <v>17717.3642</v>
      </c>
      <c r="J802" s="204">
        <f>SUM(J803:J808)</f>
        <v>17995.259599999998</v>
      </c>
      <c r="K802" s="204">
        <f>SUM(K803:K808)</f>
        <v>277.89540000000005</v>
      </c>
    </row>
    <row r="803" spans="1:11">
      <c r="A803" s="11" t="s">
        <v>1383</v>
      </c>
      <c r="B803" s="12" t="s">
        <v>658</v>
      </c>
      <c r="C803" s="10"/>
      <c r="D803" s="13" t="s">
        <v>124</v>
      </c>
      <c r="E803" s="205">
        <v>388.05</v>
      </c>
      <c r="F803" s="205">
        <v>388.05</v>
      </c>
      <c r="G803" s="205">
        <f t="shared" ref="G803:G808" si="352">F803-E803</f>
        <v>0</v>
      </c>
      <c r="H803" s="192">
        <v>1.75</v>
      </c>
      <c r="I803" s="205">
        <f t="shared" si="350"/>
        <v>679.08749999999998</v>
      </c>
      <c r="J803" s="205">
        <f>H803*F803</f>
        <v>679.08749999999998</v>
      </c>
      <c r="K803" s="205">
        <f t="shared" ref="K803:K808" si="353">G803*H803</f>
        <v>0</v>
      </c>
    </row>
    <row r="804" spans="1:11" ht="26">
      <c r="A804" s="11" t="s">
        <v>1384</v>
      </c>
      <c r="B804" s="12" t="s">
        <v>659</v>
      </c>
      <c r="C804" s="10"/>
      <c r="D804" s="13" t="s">
        <v>87</v>
      </c>
      <c r="E804" s="205">
        <v>11.64</v>
      </c>
      <c r="F804" s="205">
        <v>11.64</v>
      </c>
      <c r="G804" s="205">
        <f t="shared" si="352"/>
        <v>0</v>
      </c>
      <c r="H804" s="192">
        <v>10.32</v>
      </c>
      <c r="I804" s="205">
        <f t="shared" si="350"/>
        <v>120.12480000000001</v>
      </c>
      <c r="J804" s="205">
        <f t="shared" ref="J804:J808" si="354">H804*F804</f>
        <v>120.12480000000001</v>
      </c>
      <c r="K804" s="205">
        <f t="shared" si="353"/>
        <v>0</v>
      </c>
    </row>
    <row r="805" spans="1:11" ht="28.5" customHeight="1">
      <c r="A805" s="11" t="s">
        <v>1385</v>
      </c>
      <c r="B805" s="12" t="s">
        <v>660</v>
      </c>
      <c r="C805" s="10"/>
      <c r="D805" s="13" t="s">
        <v>1485</v>
      </c>
      <c r="E805" s="205">
        <v>349.25</v>
      </c>
      <c r="F805" s="205">
        <v>349.25</v>
      </c>
      <c r="G805" s="205">
        <f t="shared" si="352"/>
        <v>0</v>
      </c>
      <c r="H805" s="192">
        <v>2.14</v>
      </c>
      <c r="I805" s="205">
        <f t="shared" si="350"/>
        <v>747.3950000000001</v>
      </c>
      <c r="J805" s="205">
        <f t="shared" si="354"/>
        <v>747.3950000000001</v>
      </c>
      <c r="K805" s="205">
        <f t="shared" si="353"/>
        <v>0</v>
      </c>
    </row>
    <row r="806" spans="1:11" ht="29" customHeight="1">
      <c r="A806" s="11" t="s">
        <v>1386</v>
      </c>
      <c r="B806" s="12" t="s">
        <v>668</v>
      </c>
      <c r="C806" s="10"/>
      <c r="D806" s="13" t="s">
        <v>1485</v>
      </c>
      <c r="E806" s="205">
        <v>623.54</v>
      </c>
      <c r="F806" s="205">
        <v>942.96</v>
      </c>
      <c r="G806" s="205">
        <f t="shared" si="352"/>
        <v>319.42000000000007</v>
      </c>
      <c r="H806" s="192">
        <v>0.87</v>
      </c>
      <c r="I806" s="205">
        <f t="shared" si="350"/>
        <v>542.47979999999995</v>
      </c>
      <c r="J806" s="205">
        <f t="shared" si="354"/>
        <v>820.37520000000006</v>
      </c>
      <c r="K806" s="205">
        <f t="shared" si="353"/>
        <v>277.89540000000005</v>
      </c>
    </row>
    <row r="807" spans="1:11" ht="28" customHeight="1">
      <c r="A807" s="11" t="s">
        <v>1387</v>
      </c>
      <c r="B807" s="12" t="s">
        <v>661</v>
      </c>
      <c r="C807" s="10"/>
      <c r="D807" s="13" t="s">
        <v>87</v>
      </c>
      <c r="E807" s="205">
        <v>11.64</v>
      </c>
      <c r="F807" s="205">
        <v>11.64</v>
      </c>
      <c r="G807" s="205">
        <f t="shared" si="352"/>
        <v>0</v>
      </c>
      <c r="H807" s="192">
        <v>1248.29</v>
      </c>
      <c r="I807" s="205">
        <f t="shared" si="350"/>
        <v>14530.095600000001</v>
      </c>
      <c r="J807" s="205">
        <f t="shared" si="354"/>
        <v>14530.095600000001</v>
      </c>
      <c r="K807" s="205">
        <f t="shared" si="353"/>
        <v>0</v>
      </c>
    </row>
    <row r="808" spans="1:11" ht="17.5" customHeight="1">
      <c r="A808" s="11" t="s">
        <v>1388</v>
      </c>
      <c r="B808" s="12" t="s">
        <v>662</v>
      </c>
      <c r="C808" s="10"/>
      <c r="D808" s="13" t="s">
        <v>124</v>
      </c>
      <c r="E808" s="205">
        <v>388.05</v>
      </c>
      <c r="F808" s="205">
        <v>388.05</v>
      </c>
      <c r="G808" s="205">
        <f t="shared" si="352"/>
        <v>0</v>
      </c>
      <c r="H808" s="192">
        <v>2.83</v>
      </c>
      <c r="I808" s="205">
        <f t="shared" si="350"/>
        <v>1098.1815000000001</v>
      </c>
      <c r="J808" s="205">
        <f t="shared" si="354"/>
        <v>1098.1815000000001</v>
      </c>
      <c r="K808" s="205">
        <f t="shared" si="353"/>
        <v>0</v>
      </c>
    </row>
    <row r="809" spans="1:11">
      <c r="A809" s="8" t="s">
        <v>1389</v>
      </c>
      <c r="B809" s="9" t="s">
        <v>669</v>
      </c>
      <c r="C809" s="8"/>
      <c r="D809" s="8"/>
      <c r="E809" s="211"/>
      <c r="F809" s="211"/>
      <c r="G809" s="211"/>
      <c r="H809" s="191"/>
      <c r="I809" s="204">
        <f>SUM(I810:I815)</f>
        <v>17717.3642</v>
      </c>
      <c r="J809" s="204">
        <f>SUM(J810:J815)</f>
        <v>17995.259599999998</v>
      </c>
      <c r="K809" s="204">
        <f>SUM(K810:K815)</f>
        <v>277.89540000000005</v>
      </c>
    </row>
    <row r="810" spans="1:11">
      <c r="A810" s="11" t="s">
        <v>1390</v>
      </c>
      <c r="B810" s="12" t="s">
        <v>658</v>
      </c>
      <c r="C810" s="10"/>
      <c r="D810" s="14" t="s">
        <v>124</v>
      </c>
      <c r="E810" s="205">
        <v>388.05</v>
      </c>
      <c r="F810" s="205">
        <v>388.05</v>
      </c>
      <c r="G810" s="205">
        <f t="shared" ref="G810:G815" si="355">F810-E810</f>
        <v>0</v>
      </c>
      <c r="H810" s="192">
        <v>1.75</v>
      </c>
      <c r="I810" s="205">
        <f t="shared" si="350"/>
        <v>679.08749999999998</v>
      </c>
      <c r="J810" s="205">
        <f>H810*F810</f>
        <v>679.08749999999998</v>
      </c>
      <c r="K810" s="205">
        <f t="shared" ref="K810:K815" si="356">G810*H810</f>
        <v>0</v>
      </c>
    </row>
    <row r="811" spans="1:11" ht="26">
      <c r="A811" s="11" t="s">
        <v>1391</v>
      </c>
      <c r="B811" s="12" t="s">
        <v>659</v>
      </c>
      <c r="C811" s="10"/>
      <c r="D811" s="14" t="s">
        <v>87</v>
      </c>
      <c r="E811" s="205">
        <v>11.64</v>
      </c>
      <c r="F811" s="212">
        <v>11.64</v>
      </c>
      <c r="G811" s="205">
        <f t="shared" si="355"/>
        <v>0</v>
      </c>
      <c r="H811" s="192">
        <v>10.32</v>
      </c>
      <c r="I811" s="205">
        <f t="shared" si="350"/>
        <v>120.12480000000001</v>
      </c>
      <c r="J811" s="205">
        <f t="shared" ref="J811:J815" si="357">H811*F811</f>
        <v>120.12480000000001</v>
      </c>
      <c r="K811" s="205">
        <f t="shared" si="356"/>
        <v>0</v>
      </c>
    </row>
    <row r="812" spans="1:11" ht="28.5" customHeight="1">
      <c r="A812" s="11" t="s">
        <v>1392</v>
      </c>
      <c r="B812" s="12" t="s">
        <v>660</v>
      </c>
      <c r="C812" s="10"/>
      <c r="D812" s="14" t="s">
        <v>1485</v>
      </c>
      <c r="E812" s="205">
        <v>349.25</v>
      </c>
      <c r="F812" s="212">
        <v>349.25</v>
      </c>
      <c r="G812" s="205">
        <f t="shared" si="355"/>
        <v>0</v>
      </c>
      <c r="H812" s="192">
        <v>2.14</v>
      </c>
      <c r="I812" s="205">
        <f t="shared" si="350"/>
        <v>747.3950000000001</v>
      </c>
      <c r="J812" s="205">
        <f t="shared" si="357"/>
        <v>747.3950000000001</v>
      </c>
      <c r="K812" s="205">
        <f t="shared" si="356"/>
        <v>0</v>
      </c>
    </row>
    <row r="813" spans="1:11" ht="32.5" customHeight="1">
      <c r="A813" s="11" t="s">
        <v>1393</v>
      </c>
      <c r="B813" s="18" t="s">
        <v>668</v>
      </c>
      <c r="C813" s="10"/>
      <c r="D813" s="189" t="s">
        <v>1485</v>
      </c>
      <c r="E813" s="205">
        <v>623.54</v>
      </c>
      <c r="F813" s="213">
        <v>942.96</v>
      </c>
      <c r="G813" s="205">
        <f t="shared" si="355"/>
        <v>319.42000000000007</v>
      </c>
      <c r="H813" s="193">
        <v>0.87</v>
      </c>
      <c r="I813" s="205">
        <f t="shared" si="350"/>
        <v>542.47979999999995</v>
      </c>
      <c r="J813" s="205">
        <f t="shared" si="357"/>
        <v>820.37520000000006</v>
      </c>
      <c r="K813" s="205">
        <f t="shared" si="356"/>
        <v>277.89540000000005</v>
      </c>
    </row>
    <row r="814" spans="1:11" ht="26.5">
      <c r="A814" s="11" t="s">
        <v>1394</v>
      </c>
      <c r="B814" s="18" t="s">
        <v>670</v>
      </c>
      <c r="C814" s="10"/>
      <c r="D814" s="14" t="s">
        <v>87</v>
      </c>
      <c r="E814" s="205">
        <v>11.64</v>
      </c>
      <c r="F814" s="212">
        <v>11.64</v>
      </c>
      <c r="G814" s="205">
        <f t="shared" si="355"/>
        <v>0</v>
      </c>
      <c r="H814" s="192">
        <v>1248.29</v>
      </c>
      <c r="I814" s="205">
        <f t="shared" si="350"/>
        <v>14530.095600000001</v>
      </c>
      <c r="J814" s="205">
        <f t="shared" si="357"/>
        <v>14530.095600000001</v>
      </c>
      <c r="K814" s="205">
        <f t="shared" si="356"/>
        <v>0</v>
      </c>
    </row>
    <row r="815" spans="1:11" ht="16.5" customHeight="1">
      <c r="A815" s="11" t="s">
        <v>1395</v>
      </c>
      <c r="B815" s="16" t="s">
        <v>671</v>
      </c>
      <c r="C815" s="10" t="s">
        <v>87</v>
      </c>
      <c r="D815" s="14" t="s">
        <v>124</v>
      </c>
      <c r="E815" s="205">
        <v>388.05</v>
      </c>
      <c r="F815" s="212">
        <v>388.05</v>
      </c>
      <c r="G815" s="205">
        <f t="shared" si="355"/>
        <v>0</v>
      </c>
      <c r="H815" s="192">
        <v>2.83</v>
      </c>
      <c r="I815" s="205">
        <f t="shared" si="350"/>
        <v>1098.1815000000001</v>
      </c>
      <c r="J815" s="205">
        <f t="shared" si="357"/>
        <v>1098.1815000000001</v>
      </c>
      <c r="K815" s="205">
        <f t="shared" si="356"/>
        <v>0</v>
      </c>
    </row>
    <row r="816" spans="1:11">
      <c r="A816" s="8" t="s">
        <v>1396</v>
      </c>
      <c r="B816" s="9" t="s">
        <v>107</v>
      </c>
      <c r="C816" s="8"/>
      <c r="D816" s="8"/>
      <c r="E816" s="211"/>
      <c r="F816" s="211"/>
      <c r="G816" s="211"/>
      <c r="H816" s="191"/>
      <c r="I816" s="204">
        <f>SUM(I817:I819)</f>
        <v>0</v>
      </c>
      <c r="J816" s="204">
        <f>SUM(J817:J819)</f>
        <v>0</v>
      </c>
      <c r="K816" s="204">
        <f>SUM(K817:K819)</f>
        <v>0</v>
      </c>
    </row>
    <row r="817" spans="1:11" ht="39">
      <c r="A817" s="11" t="s">
        <v>1397</v>
      </c>
      <c r="B817" s="12" t="s">
        <v>673</v>
      </c>
      <c r="C817" s="10" t="s">
        <v>33</v>
      </c>
      <c r="D817" s="13" t="s">
        <v>1486</v>
      </c>
      <c r="E817" s="205">
        <v>0</v>
      </c>
      <c r="F817" s="205">
        <v>0</v>
      </c>
      <c r="G817" s="205">
        <f>F817-E817</f>
        <v>0</v>
      </c>
      <c r="H817" s="192">
        <v>625.09</v>
      </c>
      <c r="I817" s="205">
        <f t="shared" si="350"/>
        <v>0</v>
      </c>
      <c r="J817" s="205">
        <f>H817*F817</f>
        <v>0</v>
      </c>
      <c r="K817" s="205">
        <f t="shared" ref="K817:K819" si="358">G817*H817</f>
        <v>0</v>
      </c>
    </row>
    <row r="818" spans="1:11" ht="17" customHeight="1">
      <c r="A818" s="11" t="s">
        <v>1398</v>
      </c>
      <c r="B818" s="190" t="s">
        <v>679</v>
      </c>
      <c r="C818" s="10" t="s">
        <v>33</v>
      </c>
      <c r="D818" s="13" t="s">
        <v>124</v>
      </c>
      <c r="E818" s="205">
        <v>0</v>
      </c>
      <c r="F818" s="205">
        <v>0</v>
      </c>
      <c r="G818" s="205">
        <f>F818-E818</f>
        <v>0</v>
      </c>
      <c r="H818" s="192">
        <v>16.260000000000002</v>
      </c>
      <c r="I818" s="205">
        <f t="shared" si="350"/>
        <v>0</v>
      </c>
      <c r="J818" s="205">
        <f t="shared" ref="J818:J819" si="359">H818*F818</f>
        <v>0</v>
      </c>
      <c r="K818" s="205">
        <f t="shared" si="358"/>
        <v>0</v>
      </c>
    </row>
    <row r="819" spans="1:11" ht="16.5" customHeight="1">
      <c r="A819" s="11" t="s">
        <v>1399</v>
      </c>
      <c r="B819" s="12" t="s">
        <v>674</v>
      </c>
      <c r="C819" s="10" t="s">
        <v>33</v>
      </c>
      <c r="D819" s="13" t="s">
        <v>124</v>
      </c>
      <c r="E819" s="205">
        <v>0</v>
      </c>
      <c r="F819" s="205">
        <v>0</v>
      </c>
      <c r="G819" s="205">
        <f>F819-E819</f>
        <v>0</v>
      </c>
      <c r="H819" s="192">
        <v>4.5599999999999996</v>
      </c>
      <c r="I819" s="205">
        <f t="shared" si="350"/>
        <v>0</v>
      </c>
      <c r="J819" s="205">
        <f t="shared" si="359"/>
        <v>0</v>
      </c>
      <c r="K819" s="205">
        <f t="shared" si="358"/>
        <v>0</v>
      </c>
    </row>
    <row r="820" spans="1:11">
      <c r="A820" s="8" t="s">
        <v>1400</v>
      </c>
      <c r="B820" s="9" t="s">
        <v>677</v>
      </c>
      <c r="C820" s="8"/>
      <c r="D820" s="8"/>
      <c r="E820" s="211"/>
      <c r="F820" s="211"/>
      <c r="G820" s="211"/>
      <c r="H820" s="191"/>
      <c r="I820" s="204">
        <f>SUM(I821:I822)</f>
        <v>679.08749999999998</v>
      </c>
      <c r="J820" s="204">
        <f>SUM(J821:J822)</f>
        <v>679.08749999999998</v>
      </c>
      <c r="K820" s="204">
        <f>SUM(K821:K822)</f>
        <v>0</v>
      </c>
    </row>
    <row r="821" spans="1:11">
      <c r="A821" s="11" t="s">
        <v>1401</v>
      </c>
      <c r="B821" s="12" t="s">
        <v>658</v>
      </c>
      <c r="C821" s="10" t="s">
        <v>11</v>
      </c>
      <c r="D821" s="13" t="s">
        <v>124</v>
      </c>
      <c r="E821" s="205">
        <v>388.05</v>
      </c>
      <c r="F821" s="205">
        <v>388.05</v>
      </c>
      <c r="G821" s="205">
        <f>F821-E821</f>
        <v>0</v>
      </c>
      <c r="H821" s="192">
        <v>1.75</v>
      </c>
      <c r="I821" s="205">
        <f t="shared" si="350"/>
        <v>679.08749999999998</v>
      </c>
      <c r="J821" s="205">
        <f>H821*F821</f>
        <v>679.08749999999998</v>
      </c>
      <c r="K821" s="205">
        <f t="shared" ref="K821:K822" si="360">G821*H821</f>
        <v>0</v>
      </c>
    </row>
    <row r="822" spans="1:11">
      <c r="A822" s="11" t="s">
        <v>1402</v>
      </c>
      <c r="B822" s="12" t="s">
        <v>678</v>
      </c>
      <c r="C822" s="10" t="s">
        <v>11</v>
      </c>
      <c r="D822" s="13" t="s">
        <v>1486</v>
      </c>
      <c r="E822" s="205">
        <v>0</v>
      </c>
      <c r="F822" s="205">
        <v>0</v>
      </c>
      <c r="G822" s="205">
        <f>F822-E822</f>
        <v>0</v>
      </c>
      <c r="H822" s="192">
        <v>92.34</v>
      </c>
      <c r="I822" s="205">
        <f t="shared" si="350"/>
        <v>0</v>
      </c>
      <c r="J822" s="205">
        <f>H822*F822</f>
        <v>0</v>
      </c>
      <c r="K822" s="205">
        <f t="shared" si="360"/>
        <v>0</v>
      </c>
    </row>
    <row r="823" spans="1:11">
      <c r="A823" s="183">
        <v>31</v>
      </c>
      <c r="B823" s="188" t="s">
        <v>1483</v>
      </c>
      <c r="C823" s="183"/>
      <c r="D823" s="183"/>
      <c r="E823" s="210"/>
      <c r="F823" s="210"/>
      <c r="G823" s="210"/>
      <c r="H823" s="194"/>
      <c r="I823" s="203">
        <f>SUM(I824,I827,I829,I836,I843,I847)</f>
        <v>89775.968099999969</v>
      </c>
      <c r="J823" s="203">
        <f>SUM(J824,J827,J829,J836,J843,J847)</f>
        <v>91007.609699999972</v>
      </c>
      <c r="K823" s="203">
        <f>SUM(K824,K827,K829,K836,K843,K847)</f>
        <v>1231.6416000000002</v>
      </c>
    </row>
    <row r="824" spans="1:11">
      <c r="A824" s="8" t="s">
        <v>1403</v>
      </c>
      <c r="B824" s="9" t="s">
        <v>8</v>
      </c>
      <c r="C824" s="8"/>
      <c r="D824" s="8"/>
      <c r="E824" s="211"/>
      <c r="F824" s="211"/>
      <c r="G824" s="211"/>
      <c r="H824" s="191"/>
      <c r="I824" s="204">
        <f>SUM(I825:I826)</f>
        <v>6715.0065999999997</v>
      </c>
      <c r="J824" s="204">
        <f>SUM(J825:J826)</f>
        <v>6715.0065999999997</v>
      </c>
      <c r="K824" s="204">
        <f>SUM(K825:K826)</f>
        <v>0</v>
      </c>
    </row>
    <row r="825" spans="1:11" ht="26">
      <c r="A825" s="11" t="s">
        <v>1404</v>
      </c>
      <c r="B825" s="12" t="s">
        <v>652</v>
      </c>
      <c r="C825" s="10" t="s">
        <v>13</v>
      </c>
      <c r="D825" s="13" t="s">
        <v>124</v>
      </c>
      <c r="E825" s="205">
        <v>888.41</v>
      </c>
      <c r="F825" s="205">
        <v>888.41</v>
      </c>
      <c r="G825" s="205">
        <f>F825-E825</f>
        <v>0</v>
      </c>
      <c r="H825" s="192">
        <v>0.36</v>
      </c>
      <c r="I825" s="205">
        <f>H825*E825</f>
        <v>319.82759999999996</v>
      </c>
      <c r="J825" s="205">
        <f>H825*F825</f>
        <v>319.82759999999996</v>
      </c>
      <c r="K825" s="205">
        <f t="shared" ref="K825:K826" si="361">G825*H825</f>
        <v>0</v>
      </c>
    </row>
    <row r="826" spans="1:11" ht="52">
      <c r="A826" s="11" t="s">
        <v>1405</v>
      </c>
      <c r="B826" s="12" t="s">
        <v>649</v>
      </c>
      <c r="C826" s="10" t="s">
        <v>11</v>
      </c>
      <c r="D826" s="13" t="s">
        <v>124</v>
      </c>
      <c r="E826" s="205">
        <v>103.7</v>
      </c>
      <c r="F826" s="205">
        <v>103.7</v>
      </c>
      <c r="G826" s="205">
        <f>F826-E826</f>
        <v>0</v>
      </c>
      <c r="H826" s="192">
        <v>61.67</v>
      </c>
      <c r="I826" s="205">
        <f>H826*E826</f>
        <v>6395.1790000000001</v>
      </c>
      <c r="J826" s="205">
        <f>H826*F826</f>
        <v>6395.1790000000001</v>
      </c>
      <c r="K826" s="205">
        <f t="shared" si="361"/>
        <v>0</v>
      </c>
    </row>
    <row r="827" spans="1:11">
      <c r="A827" s="8" t="s">
        <v>1406</v>
      </c>
      <c r="B827" s="9" t="s">
        <v>654</v>
      </c>
      <c r="C827" s="8"/>
      <c r="D827" s="8"/>
      <c r="E827" s="211"/>
      <c r="F827" s="211"/>
      <c r="G827" s="211"/>
      <c r="H827" s="191"/>
      <c r="I827" s="204">
        <f>SUM(I828:I828)</f>
        <v>337.5958</v>
      </c>
      <c r="J827" s="204">
        <f>SUM(J828:J828)</f>
        <v>337.5958</v>
      </c>
      <c r="K827" s="204">
        <f>SUM(K828:K828)</f>
        <v>0</v>
      </c>
    </row>
    <row r="828" spans="1:11" ht="26">
      <c r="A828" s="11" t="s">
        <v>1407</v>
      </c>
      <c r="B828" s="12" t="s">
        <v>655</v>
      </c>
      <c r="C828" s="10"/>
      <c r="D828" s="13" t="s">
        <v>124</v>
      </c>
      <c r="E828" s="205">
        <v>888.41</v>
      </c>
      <c r="F828" s="205">
        <v>888.41</v>
      </c>
      <c r="G828" s="205">
        <f>F828-E828</f>
        <v>0</v>
      </c>
      <c r="H828" s="192">
        <v>0.38</v>
      </c>
      <c r="I828" s="205">
        <f t="shared" ref="I828:I849" si="362">H828*E828</f>
        <v>337.5958</v>
      </c>
      <c r="J828" s="205">
        <f>H828*F828</f>
        <v>337.5958</v>
      </c>
      <c r="K828" s="205">
        <f t="shared" ref="K828" si="363">G828*H828</f>
        <v>0</v>
      </c>
    </row>
    <row r="829" spans="1:11">
      <c r="A829" s="8" t="s">
        <v>1408</v>
      </c>
      <c r="B829" s="9" t="s">
        <v>657</v>
      </c>
      <c r="C829" s="8"/>
      <c r="D829" s="8"/>
      <c r="E829" s="211"/>
      <c r="F829" s="211"/>
      <c r="G829" s="211"/>
      <c r="H829" s="191"/>
      <c r="I829" s="204">
        <f>SUM(I830:I835)</f>
        <v>40584.324099999991</v>
      </c>
      <c r="J829" s="204">
        <f>SUM(J830:J835)</f>
        <v>41200.144899999992</v>
      </c>
      <c r="K829" s="204">
        <f>SUM(K830:K835)</f>
        <v>615.82080000000008</v>
      </c>
    </row>
    <row r="830" spans="1:11">
      <c r="A830" s="11" t="s">
        <v>1409</v>
      </c>
      <c r="B830" s="12" t="s">
        <v>658</v>
      </c>
      <c r="C830" s="10"/>
      <c r="D830" s="13" t="s">
        <v>124</v>
      </c>
      <c r="E830" s="205">
        <v>888.41</v>
      </c>
      <c r="F830" s="205">
        <v>888.41</v>
      </c>
      <c r="G830" s="205">
        <f t="shared" ref="G830:G835" si="364">F830-E830</f>
        <v>0</v>
      </c>
      <c r="H830" s="192">
        <v>1.75</v>
      </c>
      <c r="I830" s="205">
        <f t="shared" si="362"/>
        <v>1554.7175</v>
      </c>
      <c r="J830" s="205">
        <f>H830*F830</f>
        <v>1554.7175</v>
      </c>
      <c r="K830" s="205">
        <f t="shared" ref="K830:K835" si="365">G830*H830</f>
        <v>0</v>
      </c>
    </row>
    <row r="831" spans="1:11" ht="26">
      <c r="A831" s="11" t="s">
        <v>1410</v>
      </c>
      <c r="B831" s="12" t="s">
        <v>659</v>
      </c>
      <c r="C831" s="10"/>
      <c r="D831" s="13" t="s">
        <v>87</v>
      </c>
      <c r="E831" s="205">
        <v>26.65</v>
      </c>
      <c r="F831" s="205">
        <v>26.65</v>
      </c>
      <c r="G831" s="205">
        <f t="shared" si="364"/>
        <v>0</v>
      </c>
      <c r="H831" s="192">
        <v>10.32</v>
      </c>
      <c r="I831" s="205">
        <f t="shared" si="362"/>
        <v>275.02800000000002</v>
      </c>
      <c r="J831" s="205">
        <f t="shared" ref="J831:J835" si="366">H831*F831</f>
        <v>275.02800000000002</v>
      </c>
      <c r="K831" s="205">
        <f t="shared" si="365"/>
        <v>0</v>
      </c>
    </row>
    <row r="832" spans="1:11" ht="28.5" customHeight="1">
      <c r="A832" s="11" t="s">
        <v>1411</v>
      </c>
      <c r="B832" s="12" t="s">
        <v>660</v>
      </c>
      <c r="C832" s="10"/>
      <c r="D832" s="13" t="s">
        <v>1485</v>
      </c>
      <c r="E832" s="205">
        <v>799.57</v>
      </c>
      <c r="F832" s="205">
        <v>799.57</v>
      </c>
      <c r="G832" s="205">
        <f t="shared" si="364"/>
        <v>0</v>
      </c>
      <c r="H832" s="192">
        <v>2.14</v>
      </c>
      <c r="I832" s="205">
        <f t="shared" si="362"/>
        <v>1711.0798000000002</v>
      </c>
      <c r="J832" s="205">
        <f t="shared" si="366"/>
        <v>1711.0798000000002</v>
      </c>
      <c r="K832" s="205">
        <f t="shared" si="365"/>
        <v>0</v>
      </c>
    </row>
    <row r="833" spans="1:11" ht="29" customHeight="1">
      <c r="A833" s="11" t="s">
        <v>1412</v>
      </c>
      <c r="B833" s="12" t="s">
        <v>668</v>
      </c>
      <c r="C833" s="10"/>
      <c r="D833" s="13" t="s">
        <v>1485</v>
      </c>
      <c r="E833" s="205">
        <v>1451</v>
      </c>
      <c r="F833" s="205">
        <v>2158.84</v>
      </c>
      <c r="G833" s="205">
        <f t="shared" si="364"/>
        <v>707.84000000000015</v>
      </c>
      <c r="H833" s="192">
        <v>0.87</v>
      </c>
      <c r="I833" s="205">
        <f t="shared" si="362"/>
        <v>1262.3699999999999</v>
      </c>
      <c r="J833" s="205">
        <f t="shared" si="366"/>
        <v>1878.1908000000001</v>
      </c>
      <c r="K833" s="205">
        <f t="shared" si="365"/>
        <v>615.82080000000008</v>
      </c>
    </row>
    <row r="834" spans="1:11" ht="28" customHeight="1">
      <c r="A834" s="11" t="s">
        <v>1413</v>
      </c>
      <c r="B834" s="12" t="s">
        <v>661</v>
      </c>
      <c r="C834" s="10"/>
      <c r="D834" s="13" t="s">
        <v>87</v>
      </c>
      <c r="E834" s="205">
        <v>26.65</v>
      </c>
      <c r="F834" s="205">
        <v>26.65</v>
      </c>
      <c r="G834" s="205">
        <f t="shared" si="364"/>
        <v>0</v>
      </c>
      <c r="H834" s="192">
        <v>1248.29</v>
      </c>
      <c r="I834" s="205">
        <f t="shared" si="362"/>
        <v>33266.928499999995</v>
      </c>
      <c r="J834" s="205">
        <f t="shared" si="366"/>
        <v>33266.928499999995</v>
      </c>
      <c r="K834" s="205">
        <f t="shared" si="365"/>
        <v>0</v>
      </c>
    </row>
    <row r="835" spans="1:11" ht="17.5" customHeight="1">
      <c r="A835" s="11" t="s">
        <v>1414</v>
      </c>
      <c r="B835" s="12" t="s">
        <v>662</v>
      </c>
      <c r="C835" s="10"/>
      <c r="D835" s="13" t="s">
        <v>124</v>
      </c>
      <c r="E835" s="205">
        <v>888.41</v>
      </c>
      <c r="F835" s="205">
        <v>888.41</v>
      </c>
      <c r="G835" s="205">
        <f t="shared" si="364"/>
        <v>0</v>
      </c>
      <c r="H835" s="192">
        <v>2.83</v>
      </c>
      <c r="I835" s="205">
        <f t="shared" si="362"/>
        <v>2514.2003</v>
      </c>
      <c r="J835" s="205">
        <f t="shared" si="366"/>
        <v>2514.2003</v>
      </c>
      <c r="K835" s="205">
        <f t="shared" si="365"/>
        <v>0</v>
      </c>
    </row>
    <row r="836" spans="1:11">
      <c r="A836" s="8" t="s">
        <v>1415</v>
      </c>
      <c r="B836" s="9" t="s">
        <v>669</v>
      </c>
      <c r="C836" s="8"/>
      <c r="D836" s="8"/>
      <c r="E836" s="211"/>
      <c r="F836" s="211"/>
      <c r="G836" s="211"/>
      <c r="H836" s="191"/>
      <c r="I836" s="204">
        <f>SUM(I837:I842)</f>
        <v>40584.324099999991</v>
      </c>
      <c r="J836" s="204">
        <f>SUM(J837:J842)</f>
        <v>41200.144899999992</v>
      </c>
      <c r="K836" s="204">
        <f>SUM(K837:K842)</f>
        <v>615.82080000000008</v>
      </c>
    </row>
    <row r="837" spans="1:11">
      <c r="A837" s="11" t="s">
        <v>1416</v>
      </c>
      <c r="B837" s="12" t="s">
        <v>658</v>
      </c>
      <c r="C837" s="10"/>
      <c r="D837" s="14" t="s">
        <v>124</v>
      </c>
      <c r="E837" s="205">
        <v>888.41</v>
      </c>
      <c r="F837" s="205">
        <v>888.41</v>
      </c>
      <c r="G837" s="205">
        <f t="shared" ref="G837:G842" si="367">F837-E837</f>
        <v>0</v>
      </c>
      <c r="H837" s="192">
        <v>1.75</v>
      </c>
      <c r="I837" s="205">
        <f t="shared" si="362"/>
        <v>1554.7175</v>
      </c>
      <c r="J837" s="205">
        <f>H837*F837</f>
        <v>1554.7175</v>
      </c>
      <c r="K837" s="205">
        <f t="shared" ref="K837:K842" si="368">G837*H837</f>
        <v>0</v>
      </c>
    </row>
    <row r="838" spans="1:11" ht="26">
      <c r="A838" s="11" t="s">
        <v>1417</v>
      </c>
      <c r="B838" s="12" t="s">
        <v>659</v>
      </c>
      <c r="C838" s="10"/>
      <c r="D838" s="14" t="s">
        <v>87</v>
      </c>
      <c r="E838" s="205">
        <v>26.65</v>
      </c>
      <c r="F838" s="212">
        <v>26.65</v>
      </c>
      <c r="G838" s="205">
        <f t="shared" si="367"/>
        <v>0</v>
      </c>
      <c r="H838" s="192">
        <v>10.32</v>
      </c>
      <c r="I838" s="205">
        <f t="shared" si="362"/>
        <v>275.02800000000002</v>
      </c>
      <c r="J838" s="205">
        <f t="shared" ref="J838:J842" si="369">H838*F838</f>
        <v>275.02800000000002</v>
      </c>
      <c r="K838" s="205">
        <f t="shared" si="368"/>
        <v>0</v>
      </c>
    </row>
    <row r="839" spans="1:11" ht="28.5" customHeight="1">
      <c r="A839" s="11" t="s">
        <v>1418</v>
      </c>
      <c r="B839" s="12" t="s">
        <v>660</v>
      </c>
      <c r="C839" s="10"/>
      <c r="D839" s="14" t="s">
        <v>1485</v>
      </c>
      <c r="E839" s="205">
        <v>799.57</v>
      </c>
      <c r="F839" s="212">
        <v>799.57</v>
      </c>
      <c r="G839" s="205">
        <f t="shared" si="367"/>
        <v>0</v>
      </c>
      <c r="H839" s="192">
        <v>2.14</v>
      </c>
      <c r="I839" s="205">
        <f t="shared" si="362"/>
        <v>1711.0798000000002</v>
      </c>
      <c r="J839" s="205">
        <f t="shared" si="369"/>
        <v>1711.0798000000002</v>
      </c>
      <c r="K839" s="205">
        <f t="shared" si="368"/>
        <v>0</v>
      </c>
    </row>
    <row r="840" spans="1:11" ht="32.5" customHeight="1">
      <c r="A840" s="11" t="s">
        <v>1419</v>
      </c>
      <c r="B840" s="18" t="s">
        <v>668</v>
      </c>
      <c r="C840" s="10"/>
      <c r="D840" s="189" t="s">
        <v>1485</v>
      </c>
      <c r="E840" s="205">
        <v>1451</v>
      </c>
      <c r="F840" s="205">
        <v>2158.84</v>
      </c>
      <c r="G840" s="205">
        <f t="shared" si="367"/>
        <v>707.84000000000015</v>
      </c>
      <c r="H840" s="193">
        <v>0.87</v>
      </c>
      <c r="I840" s="205">
        <f t="shared" si="362"/>
        <v>1262.3699999999999</v>
      </c>
      <c r="J840" s="205">
        <f t="shared" si="369"/>
        <v>1878.1908000000001</v>
      </c>
      <c r="K840" s="205">
        <f t="shared" si="368"/>
        <v>615.82080000000008</v>
      </c>
    </row>
    <row r="841" spans="1:11" ht="26.5">
      <c r="A841" s="11" t="s">
        <v>1420</v>
      </c>
      <c r="B841" s="18" t="s">
        <v>670</v>
      </c>
      <c r="C841" s="10"/>
      <c r="D841" s="14" t="s">
        <v>87</v>
      </c>
      <c r="E841" s="205">
        <v>26.65</v>
      </c>
      <c r="F841" s="212">
        <v>26.65</v>
      </c>
      <c r="G841" s="205">
        <f t="shared" si="367"/>
        <v>0</v>
      </c>
      <c r="H841" s="192">
        <v>1248.29</v>
      </c>
      <c r="I841" s="205">
        <f t="shared" si="362"/>
        <v>33266.928499999995</v>
      </c>
      <c r="J841" s="205">
        <f t="shared" si="369"/>
        <v>33266.928499999995</v>
      </c>
      <c r="K841" s="205">
        <f t="shared" si="368"/>
        <v>0</v>
      </c>
    </row>
    <row r="842" spans="1:11" ht="16.5" customHeight="1">
      <c r="A842" s="11" t="s">
        <v>1421</v>
      </c>
      <c r="B842" s="16" t="s">
        <v>671</v>
      </c>
      <c r="C842" s="10" t="s">
        <v>87</v>
      </c>
      <c r="D842" s="14" t="s">
        <v>124</v>
      </c>
      <c r="E842" s="205">
        <v>888.41</v>
      </c>
      <c r="F842" s="212">
        <v>888.41</v>
      </c>
      <c r="G842" s="205">
        <f t="shared" si="367"/>
        <v>0</v>
      </c>
      <c r="H842" s="192">
        <v>2.83</v>
      </c>
      <c r="I842" s="205">
        <f t="shared" si="362"/>
        <v>2514.2003</v>
      </c>
      <c r="J842" s="205">
        <f t="shared" si="369"/>
        <v>2514.2003</v>
      </c>
      <c r="K842" s="205">
        <f t="shared" si="368"/>
        <v>0</v>
      </c>
    </row>
    <row r="843" spans="1:11">
      <c r="A843" s="8" t="s">
        <v>1422</v>
      </c>
      <c r="B843" s="9" t="s">
        <v>107</v>
      </c>
      <c r="C843" s="8"/>
      <c r="D843" s="8"/>
      <c r="E843" s="211"/>
      <c r="F843" s="211"/>
      <c r="G843" s="211"/>
      <c r="H843" s="191"/>
      <c r="I843" s="204">
        <f>SUM(I844:I846)</f>
        <v>0</v>
      </c>
      <c r="J843" s="204">
        <f>SUM(J844:J846)</f>
        <v>0</v>
      </c>
      <c r="K843" s="204">
        <f>SUM(K844:K846)</f>
        <v>0</v>
      </c>
    </row>
    <row r="844" spans="1:11" ht="39">
      <c r="A844" s="11" t="s">
        <v>1423</v>
      </c>
      <c r="B844" s="12" t="s">
        <v>673</v>
      </c>
      <c r="C844" s="10" t="s">
        <v>33</v>
      </c>
      <c r="D844" s="13" t="s">
        <v>1486</v>
      </c>
      <c r="E844" s="205">
        <v>0</v>
      </c>
      <c r="F844" s="205">
        <v>0</v>
      </c>
      <c r="G844" s="205">
        <f>F844-E844</f>
        <v>0</v>
      </c>
      <c r="H844" s="192">
        <v>625.09</v>
      </c>
      <c r="I844" s="205">
        <f t="shared" si="362"/>
        <v>0</v>
      </c>
      <c r="J844" s="205">
        <f>H844*F844</f>
        <v>0</v>
      </c>
      <c r="K844" s="205">
        <f t="shared" ref="K844:K846" si="370">G844*H844</f>
        <v>0</v>
      </c>
    </row>
    <row r="845" spans="1:11" ht="17" customHeight="1">
      <c r="A845" s="11" t="s">
        <v>1424</v>
      </c>
      <c r="B845" s="190" t="s">
        <v>679</v>
      </c>
      <c r="C845" s="10" t="s">
        <v>33</v>
      </c>
      <c r="D845" s="13" t="s">
        <v>124</v>
      </c>
      <c r="E845" s="205">
        <v>0</v>
      </c>
      <c r="F845" s="205">
        <v>0</v>
      </c>
      <c r="G845" s="205">
        <f>F845-E845</f>
        <v>0</v>
      </c>
      <c r="H845" s="192">
        <v>16.260000000000002</v>
      </c>
      <c r="I845" s="205">
        <f t="shared" si="362"/>
        <v>0</v>
      </c>
      <c r="J845" s="205">
        <f t="shared" ref="J845:J846" si="371">H845*F845</f>
        <v>0</v>
      </c>
      <c r="K845" s="205">
        <f t="shared" si="370"/>
        <v>0</v>
      </c>
    </row>
    <row r="846" spans="1:11" ht="16.5" customHeight="1">
      <c r="A846" s="11" t="s">
        <v>1425</v>
      </c>
      <c r="B846" s="12" t="s">
        <v>674</v>
      </c>
      <c r="C846" s="10" t="s">
        <v>33</v>
      </c>
      <c r="D846" s="13" t="s">
        <v>124</v>
      </c>
      <c r="E846" s="205">
        <v>0</v>
      </c>
      <c r="F846" s="205">
        <v>0</v>
      </c>
      <c r="G846" s="205">
        <f>F846-E846</f>
        <v>0</v>
      </c>
      <c r="H846" s="192">
        <v>4.5599999999999996</v>
      </c>
      <c r="I846" s="205">
        <f t="shared" si="362"/>
        <v>0</v>
      </c>
      <c r="J846" s="205">
        <f t="shared" si="371"/>
        <v>0</v>
      </c>
      <c r="K846" s="205">
        <f t="shared" si="370"/>
        <v>0</v>
      </c>
    </row>
    <row r="847" spans="1:11">
      <c r="A847" s="8" t="s">
        <v>1426</v>
      </c>
      <c r="B847" s="9" t="s">
        <v>677</v>
      </c>
      <c r="C847" s="8"/>
      <c r="D847" s="8"/>
      <c r="E847" s="211"/>
      <c r="F847" s="211"/>
      <c r="G847" s="211"/>
      <c r="H847" s="191"/>
      <c r="I847" s="204">
        <f>SUM(I848:I849)</f>
        <v>1554.7175</v>
      </c>
      <c r="J847" s="204">
        <f>SUM(J848:J849)</f>
        <v>1554.7175</v>
      </c>
      <c r="K847" s="204">
        <f>SUM(K848:K849)</f>
        <v>0</v>
      </c>
    </row>
    <row r="848" spans="1:11">
      <c r="A848" s="11" t="s">
        <v>1427</v>
      </c>
      <c r="B848" s="12" t="s">
        <v>658</v>
      </c>
      <c r="C848" s="10" t="s">
        <v>11</v>
      </c>
      <c r="D848" s="13" t="s">
        <v>124</v>
      </c>
      <c r="E848" s="205">
        <v>888.41</v>
      </c>
      <c r="F848" s="205">
        <v>888.41</v>
      </c>
      <c r="G848" s="205">
        <f>F848-E848</f>
        <v>0</v>
      </c>
      <c r="H848" s="192">
        <v>1.75</v>
      </c>
      <c r="I848" s="205">
        <f t="shared" si="362"/>
        <v>1554.7175</v>
      </c>
      <c r="J848" s="205">
        <f>H848*F848</f>
        <v>1554.7175</v>
      </c>
      <c r="K848" s="205">
        <f t="shared" ref="K848:K849" si="372">G848*H848</f>
        <v>0</v>
      </c>
    </row>
    <row r="849" spans="1:11">
      <c r="A849" s="11" t="s">
        <v>1428</v>
      </c>
      <c r="B849" s="12" t="s">
        <v>678</v>
      </c>
      <c r="C849" s="10" t="s">
        <v>11</v>
      </c>
      <c r="D849" s="13" t="s">
        <v>1486</v>
      </c>
      <c r="E849" s="205">
        <v>0</v>
      </c>
      <c r="F849" s="205">
        <v>0</v>
      </c>
      <c r="G849" s="205">
        <f>F849-E849</f>
        <v>0</v>
      </c>
      <c r="H849" s="192">
        <v>92.34</v>
      </c>
      <c r="I849" s="205">
        <f t="shared" si="362"/>
        <v>0</v>
      </c>
      <c r="J849" s="205">
        <f>H849*F849</f>
        <v>0</v>
      </c>
      <c r="K849" s="205">
        <f t="shared" si="372"/>
        <v>0</v>
      </c>
    </row>
    <row r="850" spans="1:11">
      <c r="A850" s="183">
        <v>32</v>
      </c>
      <c r="B850" s="188" t="s">
        <v>1484</v>
      </c>
      <c r="C850" s="183"/>
      <c r="D850" s="183"/>
      <c r="E850" s="210"/>
      <c r="F850" s="210"/>
      <c r="G850" s="210"/>
      <c r="H850" s="194"/>
      <c r="I850" s="203">
        <f>SUM(I851,I854,I856,I863,I870,I874)</f>
        <v>44121.6227</v>
      </c>
      <c r="J850" s="203">
        <f>SUM(J851,J854,J856,J863,J870,J874)</f>
        <v>48912.770400000001</v>
      </c>
      <c r="K850" s="203">
        <f>SUM(K851,K854,K856,K863,K870,K874)</f>
        <v>4791.1476999999995</v>
      </c>
    </row>
    <row r="851" spans="1:11">
      <c r="A851" s="8" t="s">
        <v>1429</v>
      </c>
      <c r="B851" s="9" t="s">
        <v>8</v>
      </c>
      <c r="C851" s="8"/>
      <c r="D851" s="8"/>
      <c r="E851" s="211"/>
      <c r="F851" s="211"/>
      <c r="G851" s="211"/>
      <c r="H851" s="191"/>
      <c r="I851" s="204">
        <f>SUM(I852:I853)</f>
        <v>3741.5379999999996</v>
      </c>
      <c r="J851" s="204">
        <f>SUM(J852:J853)</f>
        <v>8110.8575000000001</v>
      </c>
      <c r="K851" s="204">
        <f>SUM(K852:K853)</f>
        <v>4369.3194999999996</v>
      </c>
    </row>
    <row r="852" spans="1:11" ht="26">
      <c r="A852" s="11" t="s">
        <v>1430</v>
      </c>
      <c r="B852" s="12" t="s">
        <v>652</v>
      </c>
      <c r="C852" s="10" t="s">
        <v>13</v>
      </c>
      <c r="D852" s="13" t="s">
        <v>124</v>
      </c>
      <c r="E852" s="205">
        <v>430.03</v>
      </c>
      <c r="F852" s="205">
        <v>430.03</v>
      </c>
      <c r="G852" s="205">
        <f>F852-E852</f>
        <v>0</v>
      </c>
      <c r="H852" s="192">
        <v>0.36</v>
      </c>
      <c r="I852" s="205">
        <f>H852*E852</f>
        <v>154.81079999999997</v>
      </c>
      <c r="J852" s="205">
        <f>H852*F852</f>
        <v>154.81079999999997</v>
      </c>
      <c r="K852" s="205">
        <f t="shared" ref="K852:K853" si="373">G852*H852</f>
        <v>0</v>
      </c>
    </row>
    <row r="853" spans="1:11" ht="52">
      <c r="A853" s="11" t="s">
        <v>1431</v>
      </c>
      <c r="B853" s="12" t="s">
        <v>649</v>
      </c>
      <c r="C853" s="10" t="s">
        <v>11</v>
      </c>
      <c r="D853" s="13" t="s">
        <v>124</v>
      </c>
      <c r="E853" s="205">
        <v>58.16</v>
      </c>
      <c r="F853" s="205">
        <v>129.01</v>
      </c>
      <c r="G853" s="205">
        <f>F853-E853</f>
        <v>70.849999999999994</v>
      </c>
      <c r="H853" s="192">
        <v>61.67</v>
      </c>
      <c r="I853" s="205">
        <f>H853*E853</f>
        <v>3586.7271999999998</v>
      </c>
      <c r="J853" s="205">
        <f>H853*F853</f>
        <v>7956.0466999999999</v>
      </c>
      <c r="K853" s="205">
        <f t="shared" si="373"/>
        <v>4369.3194999999996</v>
      </c>
    </row>
    <row r="854" spans="1:11">
      <c r="A854" s="8" t="s">
        <v>1432</v>
      </c>
      <c r="B854" s="9" t="s">
        <v>654</v>
      </c>
      <c r="C854" s="8"/>
      <c r="D854" s="8"/>
      <c r="E854" s="211"/>
      <c r="F854" s="211"/>
      <c r="G854" s="211"/>
      <c r="H854" s="191"/>
      <c r="I854" s="204">
        <f>SUM(I855:I855)</f>
        <v>163.41139999999999</v>
      </c>
      <c r="J854" s="204">
        <f>SUM(J855:J855)</f>
        <v>163.41139999999999</v>
      </c>
      <c r="K854" s="204">
        <f>SUM(K855:K855)</f>
        <v>0</v>
      </c>
    </row>
    <row r="855" spans="1:11" ht="26">
      <c r="A855" s="11" t="s">
        <v>1433</v>
      </c>
      <c r="B855" s="12" t="s">
        <v>655</v>
      </c>
      <c r="C855" s="10"/>
      <c r="D855" s="13" t="s">
        <v>124</v>
      </c>
      <c r="E855" s="205">
        <v>430.03</v>
      </c>
      <c r="F855" s="205">
        <v>430.03</v>
      </c>
      <c r="G855" s="205">
        <f>F855-E855</f>
        <v>0</v>
      </c>
      <c r="H855" s="192">
        <v>0.38</v>
      </c>
      <c r="I855" s="205">
        <f t="shared" ref="I855:I876" si="374">H855*E855</f>
        <v>163.41139999999999</v>
      </c>
      <c r="J855" s="205">
        <f>H855*F855</f>
        <v>163.41139999999999</v>
      </c>
      <c r="K855" s="205">
        <f t="shared" ref="K855" si="375">G855*H855</f>
        <v>0</v>
      </c>
    </row>
    <row r="856" spans="1:11">
      <c r="A856" s="8" t="s">
        <v>1434</v>
      </c>
      <c r="B856" s="9" t="s">
        <v>657</v>
      </c>
      <c r="C856" s="8"/>
      <c r="D856" s="8"/>
      <c r="E856" s="211"/>
      <c r="F856" s="211"/>
      <c r="G856" s="211"/>
      <c r="H856" s="191"/>
      <c r="I856" s="204">
        <f>SUM(I857:I862)</f>
        <v>19732.060399999998</v>
      </c>
      <c r="J856" s="204">
        <f>SUM(J857:J862)</f>
        <v>19942.9745</v>
      </c>
      <c r="K856" s="204">
        <f>SUM(K857:K862)</f>
        <v>210.91410000000005</v>
      </c>
    </row>
    <row r="857" spans="1:11">
      <c r="A857" s="11" t="s">
        <v>1435</v>
      </c>
      <c r="B857" s="12" t="s">
        <v>658</v>
      </c>
      <c r="C857" s="10"/>
      <c r="D857" s="13" t="s">
        <v>124</v>
      </c>
      <c r="E857" s="205">
        <v>430.03</v>
      </c>
      <c r="F857" s="205">
        <v>430.03</v>
      </c>
      <c r="G857" s="205">
        <f t="shared" ref="G857:G862" si="376">F857-E857</f>
        <v>0</v>
      </c>
      <c r="H857" s="192">
        <v>1.75</v>
      </c>
      <c r="I857" s="205">
        <f t="shared" si="374"/>
        <v>752.55250000000001</v>
      </c>
      <c r="J857" s="205">
        <f>H857*F857</f>
        <v>752.55250000000001</v>
      </c>
      <c r="K857" s="205">
        <f t="shared" ref="K857:K862" si="377">G857*H857</f>
        <v>0</v>
      </c>
    </row>
    <row r="858" spans="1:11" ht="26">
      <c r="A858" s="11" t="s">
        <v>1436</v>
      </c>
      <c r="B858" s="12" t="s">
        <v>659</v>
      </c>
      <c r="C858" s="10"/>
      <c r="D858" s="13" t="s">
        <v>87</v>
      </c>
      <c r="E858" s="205">
        <v>12.9</v>
      </c>
      <c r="F858" s="205">
        <v>12.9</v>
      </c>
      <c r="G858" s="205">
        <f t="shared" si="376"/>
        <v>0</v>
      </c>
      <c r="H858" s="192">
        <v>10.32</v>
      </c>
      <c r="I858" s="205">
        <f t="shared" si="374"/>
        <v>133.12800000000001</v>
      </c>
      <c r="J858" s="205">
        <f t="shared" ref="J858:J862" si="378">H858*F858</f>
        <v>133.12800000000001</v>
      </c>
      <c r="K858" s="205">
        <f t="shared" si="377"/>
        <v>0</v>
      </c>
    </row>
    <row r="859" spans="1:11" ht="28.5" customHeight="1">
      <c r="A859" s="11" t="s">
        <v>1437</v>
      </c>
      <c r="B859" s="12" t="s">
        <v>660</v>
      </c>
      <c r="C859" s="10"/>
      <c r="D859" s="13" t="s">
        <v>1485</v>
      </c>
      <c r="E859" s="205">
        <v>387.03</v>
      </c>
      <c r="F859" s="205">
        <v>387.03</v>
      </c>
      <c r="G859" s="205">
        <f t="shared" si="376"/>
        <v>0</v>
      </c>
      <c r="H859" s="192">
        <v>2.14</v>
      </c>
      <c r="I859" s="205">
        <f t="shared" si="374"/>
        <v>828.24419999999998</v>
      </c>
      <c r="J859" s="205">
        <f t="shared" si="378"/>
        <v>828.24419999999998</v>
      </c>
      <c r="K859" s="205">
        <f t="shared" si="377"/>
        <v>0</v>
      </c>
    </row>
    <row r="860" spans="1:11" ht="29" customHeight="1">
      <c r="A860" s="11" t="s">
        <v>1438</v>
      </c>
      <c r="B860" s="12" t="s">
        <v>668</v>
      </c>
      <c r="C860" s="10"/>
      <c r="D860" s="13" t="s">
        <v>1485</v>
      </c>
      <c r="E860" s="205">
        <v>802.54</v>
      </c>
      <c r="F860" s="205">
        <v>1044.97</v>
      </c>
      <c r="G860" s="205">
        <f t="shared" si="376"/>
        <v>242.43000000000006</v>
      </c>
      <c r="H860" s="192">
        <v>0.87</v>
      </c>
      <c r="I860" s="205">
        <f t="shared" si="374"/>
        <v>698.20979999999997</v>
      </c>
      <c r="J860" s="205">
        <f t="shared" si="378"/>
        <v>909.12390000000005</v>
      </c>
      <c r="K860" s="205">
        <f t="shared" si="377"/>
        <v>210.91410000000005</v>
      </c>
    </row>
    <row r="861" spans="1:11" ht="28" customHeight="1">
      <c r="A861" s="11" t="s">
        <v>1439</v>
      </c>
      <c r="B861" s="12" t="s">
        <v>661</v>
      </c>
      <c r="C861" s="10"/>
      <c r="D861" s="13" t="s">
        <v>87</v>
      </c>
      <c r="E861" s="205">
        <v>12.9</v>
      </c>
      <c r="F861" s="205">
        <v>12.9</v>
      </c>
      <c r="G861" s="205">
        <f t="shared" si="376"/>
        <v>0</v>
      </c>
      <c r="H861" s="192">
        <v>1248.29</v>
      </c>
      <c r="I861" s="205">
        <f t="shared" si="374"/>
        <v>16102.941000000001</v>
      </c>
      <c r="J861" s="205">
        <f t="shared" si="378"/>
        <v>16102.941000000001</v>
      </c>
      <c r="K861" s="205">
        <f t="shared" si="377"/>
        <v>0</v>
      </c>
    </row>
    <row r="862" spans="1:11" ht="17.5" customHeight="1">
      <c r="A862" s="11" t="s">
        <v>1440</v>
      </c>
      <c r="B862" s="12" t="s">
        <v>662</v>
      </c>
      <c r="C862" s="10"/>
      <c r="D862" s="13" t="s">
        <v>124</v>
      </c>
      <c r="E862" s="205">
        <v>430.03</v>
      </c>
      <c r="F862" s="205">
        <v>430.03</v>
      </c>
      <c r="G862" s="205">
        <f t="shared" si="376"/>
        <v>0</v>
      </c>
      <c r="H862" s="192">
        <v>2.83</v>
      </c>
      <c r="I862" s="205">
        <f t="shared" si="374"/>
        <v>1216.9848999999999</v>
      </c>
      <c r="J862" s="205">
        <f t="shared" si="378"/>
        <v>1216.9848999999999</v>
      </c>
      <c r="K862" s="205">
        <f t="shared" si="377"/>
        <v>0</v>
      </c>
    </row>
    <row r="863" spans="1:11">
      <c r="A863" s="8" t="s">
        <v>1441</v>
      </c>
      <c r="B863" s="9" t="s">
        <v>669</v>
      </c>
      <c r="C863" s="8"/>
      <c r="D863" s="8"/>
      <c r="E863" s="211"/>
      <c r="F863" s="211"/>
      <c r="G863" s="211"/>
      <c r="H863" s="191"/>
      <c r="I863" s="204">
        <f>SUM(I864:I869)</f>
        <v>19732.060399999998</v>
      </c>
      <c r="J863" s="204">
        <f>SUM(J864:J869)</f>
        <v>19942.9745</v>
      </c>
      <c r="K863" s="204">
        <f>SUM(K864:K869)</f>
        <v>210.91410000000005</v>
      </c>
    </row>
    <row r="864" spans="1:11">
      <c r="A864" s="11" t="s">
        <v>1442</v>
      </c>
      <c r="B864" s="12" t="s">
        <v>658</v>
      </c>
      <c r="C864" s="10"/>
      <c r="D864" s="14" t="s">
        <v>124</v>
      </c>
      <c r="E864" s="205">
        <v>430.03</v>
      </c>
      <c r="F864" s="205">
        <v>430.03</v>
      </c>
      <c r="G864" s="205">
        <f t="shared" ref="G864:G869" si="379">F864-E864</f>
        <v>0</v>
      </c>
      <c r="H864" s="192">
        <v>1.75</v>
      </c>
      <c r="I864" s="205">
        <f t="shared" si="374"/>
        <v>752.55250000000001</v>
      </c>
      <c r="J864" s="205">
        <f>H864*F864</f>
        <v>752.55250000000001</v>
      </c>
      <c r="K864" s="205">
        <f t="shared" ref="K864:K869" si="380">G864*H864</f>
        <v>0</v>
      </c>
    </row>
    <row r="865" spans="1:11" ht="26">
      <c r="A865" s="11" t="s">
        <v>1443</v>
      </c>
      <c r="B865" s="12" t="s">
        <v>659</v>
      </c>
      <c r="C865" s="10"/>
      <c r="D865" s="14" t="s">
        <v>87</v>
      </c>
      <c r="E865" s="205">
        <v>12.9</v>
      </c>
      <c r="F865" s="205">
        <v>12.9</v>
      </c>
      <c r="G865" s="205">
        <f t="shared" si="379"/>
        <v>0</v>
      </c>
      <c r="H865" s="192">
        <v>10.32</v>
      </c>
      <c r="I865" s="205">
        <f t="shared" si="374"/>
        <v>133.12800000000001</v>
      </c>
      <c r="J865" s="205">
        <f t="shared" ref="J865:J869" si="381">H865*F865</f>
        <v>133.12800000000001</v>
      </c>
      <c r="K865" s="205">
        <f t="shared" si="380"/>
        <v>0</v>
      </c>
    </row>
    <row r="866" spans="1:11" ht="28.5" customHeight="1">
      <c r="A866" s="11" t="s">
        <v>1444</v>
      </c>
      <c r="B866" s="12" t="s">
        <v>660</v>
      </c>
      <c r="C866" s="10"/>
      <c r="D866" s="14" t="s">
        <v>1485</v>
      </c>
      <c r="E866" s="205">
        <v>387.03</v>
      </c>
      <c r="F866" s="205">
        <v>387.03</v>
      </c>
      <c r="G866" s="205">
        <f t="shared" si="379"/>
        <v>0</v>
      </c>
      <c r="H866" s="192">
        <v>2.14</v>
      </c>
      <c r="I866" s="205">
        <f t="shared" si="374"/>
        <v>828.24419999999998</v>
      </c>
      <c r="J866" s="205">
        <f t="shared" si="381"/>
        <v>828.24419999999998</v>
      </c>
      <c r="K866" s="205">
        <f t="shared" si="380"/>
        <v>0</v>
      </c>
    </row>
    <row r="867" spans="1:11" ht="32.5" customHeight="1">
      <c r="A867" s="11" t="s">
        <v>1445</v>
      </c>
      <c r="B867" s="18" t="s">
        <v>668</v>
      </c>
      <c r="C867" s="10"/>
      <c r="D867" s="189" t="s">
        <v>1485</v>
      </c>
      <c r="E867" s="205">
        <v>802.54</v>
      </c>
      <c r="F867" s="205">
        <v>1044.97</v>
      </c>
      <c r="G867" s="205">
        <f t="shared" si="379"/>
        <v>242.43000000000006</v>
      </c>
      <c r="H867" s="193">
        <v>0.87</v>
      </c>
      <c r="I867" s="205">
        <f t="shared" si="374"/>
        <v>698.20979999999997</v>
      </c>
      <c r="J867" s="205">
        <f t="shared" si="381"/>
        <v>909.12390000000005</v>
      </c>
      <c r="K867" s="205">
        <f t="shared" si="380"/>
        <v>210.91410000000005</v>
      </c>
    </row>
    <row r="868" spans="1:11" ht="26.5">
      <c r="A868" s="11" t="s">
        <v>1446</v>
      </c>
      <c r="B868" s="18" t="s">
        <v>670</v>
      </c>
      <c r="C868" s="10"/>
      <c r="D868" s="14" t="s">
        <v>87</v>
      </c>
      <c r="E868" s="205">
        <v>12.9</v>
      </c>
      <c r="F868" s="205">
        <v>12.9</v>
      </c>
      <c r="G868" s="205">
        <f t="shared" si="379"/>
        <v>0</v>
      </c>
      <c r="H868" s="192">
        <v>1248.29</v>
      </c>
      <c r="I868" s="205">
        <f t="shared" si="374"/>
        <v>16102.941000000001</v>
      </c>
      <c r="J868" s="205">
        <f t="shared" si="381"/>
        <v>16102.941000000001</v>
      </c>
      <c r="K868" s="205">
        <f t="shared" si="380"/>
        <v>0</v>
      </c>
    </row>
    <row r="869" spans="1:11" ht="16.5" customHeight="1">
      <c r="A869" s="11" t="s">
        <v>1447</v>
      </c>
      <c r="B869" s="16" t="s">
        <v>671</v>
      </c>
      <c r="C869" s="10" t="s">
        <v>87</v>
      </c>
      <c r="D869" s="14" t="s">
        <v>124</v>
      </c>
      <c r="E869" s="205">
        <v>430.03</v>
      </c>
      <c r="F869" s="205">
        <v>430.03</v>
      </c>
      <c r="G869" s="205">
        <f t="shared" si="379"/>
        <v>0</v>
      </c>
      <c r="H869" s="192">
        <v>2.83</v>
      </c>
      <c r="I869" s="205">
        <f t="shared" si="374"/>
        <v>1216.9848999999999</v>
      </c>
      <c r="J869" s="205">
        <f t="shared" si="381"/>
        <v>1216.9848999999999</v>
      </c>
      <c r="K869" s="205">
        <f t="shared" si="380"/>
        <v>0</v>
      </c>
    </row>
    <row r="870" spans="1:11">
      <c r="A870" s="8" t="s">
        <v>1448</v>
      </c>
      <c r="B870" s="9" t="s">
        <v>107</v>
      </c>
      <c r="C870" s="8"/>
      <c r="D870" s="8"/>
      <c r="E870" s="211"/>
      <c r="F870" s="211"/>
      <c r="G870" s="211"/>
      <c r="H870" s="191"/>
      <c r="I870" s="204">
        <f>SUM(I871:I873)</f>
        <v>0</v>
      </c>
      <c r="J870" s="204">
        <f>SUM(J871:J873)</f>
        <v>0</v>
      </c>
      <c r="K870" s="204">
        <f>SUM(K871:K873)</f>
        <v>0</v>
      </c>
    </row>
    <row r="871" spans="1:11" ht="39">
      <c r="A871" s="11" t="s">
        <v>1449</v>
      </c>
      <c r="B871" s="12" t="s">
        <v>673</v>
      </c>
      <c r="C871" s="10" t="s">
        <v>33</v>
      </c>
      <c r="D871" s="13" t="s">
        <v>1486</v>
      </c>
      <c r="E871" s="205">
        <v>0</v>
      </c>
      <c r="F871" s="205">
        <v>0</v>
      </c>
      <c r="G871" s="205">
        <f>F871-E871</f>
        <v>0</v>
      </c>
      <c r="H871" s="192">
        <v>625.09</v>
      </c>
      <c r="I871" s="205">
        <f t="shared" si="374"/>
        <v>0</v>
      </c>
      <c r="J871" s="205">
        <f>H871*F871</f>
        <v>0</v>
      </c>
      <c r="K871" s="205">
        <f t="shared" ref="K871:K873" si="382">G871*H871</f>
        <v>0</v>
      </c>
    </row>
    <row r="872" spans="1:11" ht="17" customHeight="1">
      <c r="A872" s="11" t="s">
        <v>1450</v>
      </c>
      <c r="B872" s="190" t="s">
        <v>679</v>
      </c>
      <c r="C872" s="10" t="s">
        <v>33</v>
      </c>
      <c r="D872" s="13" t="s">
        <v>124</v>
      </c>
      <c r="E872" s="205">
        <v>0</v>
      </c>
      <c r="F872" s="205">
        <v>0</v>
      </c>
      <c r="G872" s="205">
        <f>F872-E872</f>
        <v>0</v>
      </c>
      <c r="H872" s="192">
        <v>16.260000000000002</v>
      </c>
      <c r="I872" s="205">
        <f t="shared" si="374"/>
        <v>0</v>
      </c>
      <c r="J872" s="205">
        <f t="shared" ref="J872:J873" si="383">H872*F872</f>
        <v>0</v>
      </c>
      <c r="K872" s="205">
        <f t="shared" si="382"/>
        <v>0</v>
      </c>
    </row>
    <row r="873" spans="1:11" ht="16.5" customHeight="1">
      <c r="A873" s="11" t="s">
        <v>1451</v>
      </c>
      <c r="B873" s="12" t="s">
        <v>674</v>
      </c>
      <c r="C873" s="10" t="s">
        <v>33</v>
      </c>
      <c r="D873" s="13" t="s">
        <v>124</v>
      </c>
      <c r="E873" s="205">
        <v>0</v>
      </c>
      <c r="F873" s="205">
        <v>0</v>
      </c>
      <c r="G873" s="205">
        <f>F873-E873</f>
        <v>0</v>
      </c>
      <c r="H873" s="192">
        <v>4.5599999999999996</v>
      </c>
      <c r="I873" s="205">
        <f t="shared" si="374"/>
        <v>0</v>
      </c>
      <c r="J873" s="205">
        <f t="shared" si="383"/>
        <v>0</v>
      </c>
      <c r="K873" s="205">
        <f t="shared" si="382"/>
        <v>0</v>
      </c>
    </row>
    <row r="874" spans="1:11">
      <c r="A874" s="8" t="s">
        <v>1452</v>
      </c>
      <c r="B874" s="9" t="s">
        <v>677</v>
      </c>
      <c r="C874" s="8"/>
      <c r="D874" s="8"/>
      <c r="E874" s="211"/>
      <c r="F874" s="211"/>
      <c r="G874" s="211"/>
      <c r="H874" s="191"/>
      <c r="I874" s="204">
        <f>SUM(I875:I876)</f>
        <v>752.55250000000001</v>
      </c>
      <c r="J874" s="204">
        <f>SUM(J875:J876)</f>
        <v>752.55250000000001</v>
      </c>
      <c r="K874" s="204">
        <f>SUM(K875:K876)</f>
        <v>0</v>
      </c>
    </row>
    <row r="875" spans="1:11">
      <c r="A875" s="11" t="s">
        <v>1453</v>
      </c>
      <c r="B875" s="12" t="s">
        <v>658</v>
      </c>
      <c r="C875" s="10" t="s">
        <v>11</v>
      </c>
      <c r="D875" s="13" t="s">
        <v>124</v>
      </c>
      <c r="E875" s="205">
        <v>430.03</v>
      </c>
      <c r="F875" s="205">
        <v>430.03</v>
      </c>
      <c r="G875" s="205">
        <f>F875-E875</f>
        <v>0</v>
      </c>
      <c r="H875" s="192">
        <v>1.75</v>
      </c>
      <c r="I875" s="205">
        <f t="shared" si="374"/>
        <v>752.55250000000001</v>
      </c>
      <c r="J875" s="205">
        <f>H875*F875</f>
        <v>752.55250000000001</v>
      </c>
      <c r="K875" s="207">
        <f t="shared" ref="K875:K876" si="384">G875*H875</f>
        <v>0</v>
      </c>
    </row>
    <row r="876" spans="1:11">
      <c r="A876" s="11" t="s">
        <v>1454</v>
      </c>
      <c r="B876" s="12" t="s">
        <v>678</v>
      </c>
      <c r="C876" s="10" t="s">
        <v>11</v>
      </c>
      <c r="D876" s="13" t="s">
        <v>1486</v>
      </c>
      <c r="E876" s="205">
        <v>0</v>
      </c>
      <c r="F876" s="205">
        <v>0</v>
      </c>
      <c r="G876" s="205">
        <f>F876-E876</f>
        <v>0</v>
      </c>
      <c r="H876" s="192">
        <v>92.34</v>
      </c>
      <c r="I876" s="205">
        <f t="shared" si="374"/>
        <v>0</v>
      </c>
      <c r="J876" s="208">
        <f>H876*F876</f>
        <v>0</v>
      </c>
      <c r="K876" s="209">
        <f t="shared" si="384"/>
        <v>0</v>
      </c>
    </row>
    <row r="877" spans="1:11">
      <c r="A877" s="183">
        <v>33</v>
      </c>
      <c r="B877" s="188" t="s">
        <v>1472</v>
      </c>
      <c r="C877" s="183"/>
      <c r="D877" s="183"/>
      <c r="E877" s="210"/>
      <c r="F877" s="210"/>
      <c r="G877" s="210"/>
      <c r="H877" s="194"/>
      <c r="I877" s="203">
        <f>SUM(I878,I881,I883,I890,I897,I901)</f>
        <v>0</v>
      </c>
      <c r="J877" s="203">
        <f>SUM(J878,J881,J883,J890,J897,J901)</f>
        <v>56927.164300000004</v>
      </c>
      <c r="K877" s="203">
        <f>SUM(K878,K881,K883,K890,K897,K901)</f>
        <v>56927.164300000004</v>
      </c>
    </row>
    <row r="878" spans="1:11">
      <c r="A878" s="8" t="s">
        <v>1497</v>
      </c>
      <c r="B878" s="9" t="s">
        <v>8</v>
      </c>
      <c r="C878" s="8"/>
      <c r="D878" s="8"/>
      <c r="E878" s="211"/>
      <c r="F878" s="211"/>
      <c r="G878" s="211"/>
      <c r="H878" s="191"/>
      <c r="I878" s="204">
        <f>SUM(I879:I880)</f>
        <v>0</v>
      </c>
      <c r="J878" s="204">
        <f>SUM(J879:J880)</f>
        <v>8822.4330000000009</v>
      </c>
      <c r="K878" s="204">
        <f>SUM(K879:K880)</f>
        <v>8822.4330000000009</v>
      </c>
    </row>
    <row r="879" spans="1:11" ht="26">
      <c r="A879" s="11" t="s">
        <v>1498</v>
      </c>
      <c r="B879" s="12" t="s">
        <v>652</v>
      </c>
      <c r="C879" s="10" t="s">
        <v>13</v>
      </c>
      <c r="D879" s="13" t="s">
        <v>124</v>
      </c>
      <c r="E879" s="205">
        <v>0</v>
      </c>
      <c r="F879" s="205">
        <v>506.85</v>
      </c>
      <c r="G879" s="205">
        <f>F879-E879</f>
        <v>506.85</v>
      </c>
      <c r="H879" s="192">
        <v>0.36</v>
      </c>
      <c r="I879" s="205">
        <f>H879*E879</f>
        <v>0</v>
      </c>
      <c r="J879" s="205">
        <f>H879*F879</f>
        <v>182.46600000000001</v>
      </c>
      <c r="K879" s="205">
        <f t="shared" ref="K879:K880" si="385">G879*H879</f>
        <v>182.46600000000001</v>
      </c>
    </row>
    <row r="880" spans="1:11" ht="52">
      <c r="A880" s="11" t="s">
        <v>1499</v>
      </c>
      <c r="B880" s="12" t="s">
        <v>649</v>
      </c>
      <c r="C880" s="10" t="s">
        <v>11</v>
      </c>
      <c r="D880" s="13" t="s">
        <v>124</v>
      </c>
      <c r="E880" s="205">
        <v>0</v>
      </c>
      <c r="F880" s="205">
        <v>140.1</v>
      </c>
      <c r="G880" s="205">
        <f>F880-E880</f>
        <v>140.1</v>
      </c>
      <c r="H880" s="192">
        <v>61.67</v>
      </c>
      <c r="I880" s="205">
        <f>H880*E880</f>
        <v>0</v>
      </c>
      <c r="J880" s="205">
        <f>H880*F880</f>
        <v>8639.9670000000006</v>
      </c>
      <c r="K880" s="205">
        <f t="shared" si="385"/>
        <v>8639.9670000000006</v>
      </c>
    </row>
    <row r="881" spans="1:11">
      <c r="A881" s="8" t="s">
        <v>1500</v>
      </c>
      <c r="B881" s="9" t="s">
        <v>654</v>
      </c>
      <c r="C881" s="8"/>
      <c r="D881" s="8"/>
      <c r="E881" s="211"/>
      <c r="F881" s="211"/>
      <c r="G881" s="211"/>
      <c r="H881" s="191"/>
      <c r="I881" s="204">
        <f>SUM(I882:I882)</f>
        <v>0</v>
      </c>
      <c r="J881" s="204">
        <f>SUM(J882:J882)</f>
        <v>192.60300000000001</v>
      </c>
      <c r="K881" s="204">
        <f>SUM(K882:K882)</f>
        <v>192.60300000000001</v>
      </c>
    </row>
    <row r="882" spans="1:11" ht="26">
      <c r="A882" s="11" t="s">
        <v>1501</v>
      </c>
      <c r="B882" s="12" t="s">
        <v>655</v>
      </c>
      <c r="C882" s="10"/>
      <c r="D882" s="13" t="s">
        <v>124</v>
      </c>
      <c r="E882" s="205">
        <v>0</v>
      </c>
      <c r="F882" s="205">
        <v>506.85</v>
      </c>
      <c r="G882" s="205">
        <f>F882-E882</f>
        <v>506.85</v>
      </c>
      <c r="H882" s="192">
        <v>0.38</v>
      </c>
      <c r="I882" s="205">
        <f t="shared" ref="I882" si="386">H882*E882</f>
        <v>0</v>
      </c>
      <c r="J882" s="205">
        <f>H882*F882</f>
        <v>192.60300000000001</v>
      </c>
      <c r="K882" s="205">
        <f t="shared" ref="K882" si="387">G882*H882</f>
        <v>192.60300000000001</v>
      </c>
    </row>
    <row r="883" spans="1:11">
      <c r="A883" s="8" t="s">
        <v>1502</v>
      </c>
      <c r="B883" s="9" t="s">
        <v>657</v>
      </c>
      <c r="C883" s="8"/>
      <c r="D883" s="8"/>
      <c r="E883" s="211"/>
      <c r="F883" s="211"/>
      <c r="G883" s="211"/>
      <c r="H883" s="191"/>
      <c r="I883" s="204">
        <f>SUM(I884:I889)</f>
        <v>0</v>
      </c>
      <c r="J883" s="204">
        <f>SUM(J884:J889)</f>
        <v>23512.570400000001</v>
      </c>
      <c r="K883" s="204">
        <f>SUM(K884:K889)</f>
        <v>23512.570400000001</v>
      </c>
    </row>
    <row r="884" spans="1:11">
      <c r="A884" s="11" t="s">
        <v>1503</v>
      </c>
      <c r="B884" s="12" t="s">
        <v>658</v>
      </c>
      <c r="C884" s="10"/>
      <c r="D884" s="13" t="s">
        <v>124</v>
      </c>
      <c r="E884" s="205">
        <v>0</v>
      </c>
      <c r="F884" s="205">
        <v>506.85</v>
      </c>
      <c r="G884" s="205">
        <f t="shared" ref="G884:G889" si="388">F884-E884</f>
        <v>506.85</v>
      </c>
      <c r="H884" s="192">
        <v>1.75</v>
      </c>
      <c r="I884" s="205">
        <f t="shared" ref="I884:I889" si="389">H884*E884</f>
        <v>0</v>
      </c>
      <c r="J884" s="205">
        <f>H884*F884</f>
        <v>886.98750000000007</v>
      </c>
      <c r="K884" s="205">
        <f t="shared" ref="K884:K889" si="390">G884*H884</f>
        <v>886.98750000000007</v>
      </c>
    </row>
    <row r="885" spans="1:11" ht="26">
      <c r="A885" s="11" t="s">
        <v>1504</v>
      </c>
      <c r="B885" s="12" t="s">
        <v>659</v>
      </c>
      <c r="C885" s="10"/>
      <c r="D885" s="13" t="s">
        <v>87</v>
      </c>
      <c r="E885" s="205">
        <v>0</v>
      </c>
      <c r="F885" s="205">
        <v>15.21</v>
      </c>
      <c r="G885" s="205">
        <f t="shared" si="388"/>
        <v>15.21</v>
      </c>
      <c r="H885" s="192">
        <v>10.32</v>
      </c>
      <c r="I885" s="205">
        <f t="shared" si="389"/>
        <v>0</v>
      </c>
      <c r="J885" s="205">
        <f t="shared" ref="J885:J889" si="391">H885*F885</f>
        <v>156.96720000000002</v>
      </c>
      <c r="K885" s="205">
        <f t="shared" si="390"/>
        <v>156.96720000000002</v>
      </c>
    </row>
    <row r="886" spans="1:11" ht="28.5" customHeight="1">
      <c r="A886" s="11" t="s">
        <v>1505</v>
      </c>
      <c r="B886" s="12" t="s">
        <v>660</v>
      </c>
      <c r="C886" s="10"/>
      <c r="D886" s="13" t="s">
        <v>1485</v>
      </c>
      <c r="E886" s="205">
        <v>0</v>
      </c>
      <c r="F886" s="205">
        <v>456.17</v>
      </c>
      <c r="G886" s="205">
        <f t="shared" si="388"/>
        <v>456.17</v>
      </c>
      <c r="H886" s="192">
        <v>2.14</v>
      </c>
      <c r="I886" s="205">
        <f t="shared" si="389"/>
        <v>0</v>
      </c>
      <c r="J886" s="205">
        <f t="shared" si="391"/>
        <v>976.20380000000011</v>
      </c>
      <c r="K886" s="205">
        <f t="shared" si="390"/>
        <v>976.20380000000011</v>
      </c>
    </row>
    <row r="887" spans="1:11" ht="29" customHeight="1">
      <c r="A887" s="11" t="s">
        <v>1506</v>
      </c>
      <c r="B887" s="12" t="s">
        <v>668</v>
      </c>
      <c r="C887" s="10"/>
      <c r="D887" s="13" t="s">
        <v>1485</v>
      </c>
      <c r="E887" s="205">
        <v>0</v>
      </c>
      <c r="F887" s="205">
        <v>1231.6500000000001</v>
      </c>
      <c r="G887" s="205">
        <f t="shared" si="388"/>
        <v>1231.6500000000001</v>
      </c>
      <c r="H887" s="192">
        <v>0.87</v>
      </c>
      <c r="I887" s="205">
        <f t="shared" si="389"/>
        <v>0</v>
      </c>
      <c r="J887" s="205">
        <f t="shared" si="391"/>
        <v>1071.5355000000002</v>
      </c>
      <c r="K887" s="205">
        <f t="shared" si="390"/>
        <v>1071.5355000000002</v>
      </c>
    </row>
    <row r="888" spans="1:11" ht="28" customHeight="1">
      <c r="A888" s="11" t="s">
        <v>1507</v>
      </c>
      <c r="B888" s="12" t="s">
        <v>661</v>
      </c>
      <c r="C888" s="10"/>
      <c r="D888" s="13" t="s">
        <v>87</v>
      </c>
      <c r="E888" s="205">
        <v>0</v>
      </c>
      <c r="F888" s="205">
        <v>15.21</v>
      </c>
      <c r="G888" s="205">
        <f t="shared" si="388"/>
        <v>15.21</v>
      </c>
      <c r="H888" s="192">
        <v>1248.29</v>
      </c>
      <c r="I888" s="205">
        <f t="shared" si="389"/>
        <v>0</v>
      </c>
      <c r="J888" s="205">
        <f t="shared" si="391"/>
        <v>18986.490900000001</v>
      </c>
      <c r="K888" s="205">
        <f t="shared" si="390"/>
        <v>18986.490900000001</v>
      </c>
    </row>
    <row r="889" spans="1:11" ht="17.5" customHeight="1">
      <c r="A889" s="11" t="s">
        <v>1508</v>
      </c>
      <c r="B889" s="12" t="s">
        <v>662</v>
      </c>
      <c r="C889" s="10"/>
      <c r="D889" s="13" t="s">
        <v>124</v>
      </c>
      <c r="E889" s="205">
        <v>0</v>
      </c>
      <c r="F889" s="205">
        <v>506.85</v>
      </c>
      <c r="G889" s="205">
        <f t="shared" si="388"/>
        <v>506.85</v>
      </c>
      <c r="H889" s="192">
        <v>2.83</v>
      </c>
      <c r="I889" s="205">
        <f t="shared" si="389"/>
        <v>0</v>
      </c>
      <c r="J889" s="205">
        <f t="shared" si="391"/>
        <v>1434.3855000000001</v>
      </c>
      <c r="K889" s="205">
        <f t="shared" si="390"/>
        <v>1434.3855000000001</v>
      </c>
    </row>
    <row r="890" spans="1:11">
      <c r="A890" s="8" t="s">
        <v>1509</v>
      </c>
      <c r="B890" s="9" t="s">
        <v>669</v>
      </c>
      <c r="C890" s="8"/>
      <c r="D890" s="8"/>
      <c r="E890" s="211"/>
      <c r="F890" s="211"/>
      <c r="G890" s="211"/>
      <c r="H890" s="191"/>
      <c r="I890" s="204">
        <f>SUM(I891:I896)</f>
        <v>0</v>
      </c>
      <c r="J890" s="204">
        <f>SUM(J891:J896)</f>
        <v>23512.570400000001</v>
      </c>
      <c r="K890" s="204">
        <f>SUM(K891:K896)</f>
        <v>23512.570400000001</v>
      </c>
    </row>
    <row r="891" spans="1:11">
      <c r="A891" s="11" t="s">
        <v>1510</v>
      </c>
      <c r="B891" s="12" t="s">
        <v>658</v>
      </c>
      <c r="C891" s="10"/>
      <c r="D891" s="14" t="s">
        <v>124</v>
      </c>
      <c r="E891" s="205">
        <v>0</v>
      </c>
      <c r="F891" s="205">
        <v>506.85</v>
      </c>
      <c r="G891" s="205">
        <f t="shared" ref="G891:G896" si="392">F891-E891</f>
        <v>506.85</v>
      </c>
      <c r="H891" s="192">
        <v>1.75</v>
      </c>
      <c r="I891" s="205">
        <f t="shared" ref="I891:I896" si="393">H891*E891</f>
        <v>0</v>
      </c>
      <c r="J891" s="205">
        <f>H891*F891</f>
        <v>886.98750000000007</v>
      </c>
      <c r="K891" s="205">
        <f t="shared" ref="K891:K896" si="394">G891*H891</f>
        <v>886.98750000000007</v>
      </c>
    </row>
    <row r="892" spans="1:11" ht="26">
      <c r="A892" s="11" t="s">
        <v>1511</v>
      </c>
      <c r="B892" s="12" t="s">
        <v>659</v>
      </c>
      <c r="C892" s="10"/>
      <c r="D892" s="14" t="s">
        <v>87</v>
      </c>
      <c r="E892" s="205">
        <v>0</v>
      </c>
      <c r="F892" s="205">
        <v>15.21</v>
      </c>
      <c r="G892" s="205">
        <f t="shared" si="392"/>
        <v>15.21</v>
      </c>
      <c r="H892" s="192">
        <v>10.32</v>
      </c>
      <c r="I892" s="205">
        <f t="shared" si="393"/>
        <v>0</v>
      </c>
      <c r="J892" s="205">
        <f t="shared" ref="J892:J896" si="395">H892*F892</f>
        <v>156.96720000000002</v>
      </c>
      <c r="K892" s="205">
        <f t="shared" si="394"/>
        <v>156.96720000000002</v>
      </c>
    </row>
    <row r="893" spans="1:11" ht="28.5" customHeight="1">
      <c r="A893" s="11" t="s">
        <v>1512</v>
      </c>
      <c r="B893" s="12" t="s">
        <v>660</v>
      </c>
      <c r="C893" s="10"/>
      <c r="D893" s="14" t="s">
        <v>1485</v>
      </c>
      <c r="E893" s="205">
        <v>0</v>
      </c>
      <c r="F893" s="205">
        <v>456.17</v>
      </c>
      <c r="G893" s="205">
        <f t="shared" si="392"/>
        <v>456.17</v>
      </c>
      <c r="H893" s="192">
        <v>2.14</v>
      </c>
      <c r="I893" s="205">
        <f t="shared" si="393"/>
        <v>0</v>
      </c>
      <c r="J893" s="205">
        <f t="shared" si="395"/>
        <v>976.20380000000011</v>
      </c>
      <c r="K893" s="205">
        <f t="shared" si="394"/>
        <v>976.20380000000011</v>
      </c>
    </row>
    <row r="894" spans="1:11" ht="32.5" customHeight="1">
      <c r="A894" s="11" t="s">
        <v>1513</v>
      </c>
      <c r="B894" s="18" t="s">
        <v>668</v>
      </c>
      <c r="C894" s="10"/>
      <c r="D894" s="189" t="s">
        <v>1485</v>
      </c>
      <c r="E894" s="214">
        <v>0</v>
      </c>
      <c r="F894" s="205">
        <v>1231.6500000000001</v>
      </c>
      <c r="G894" s="205">
        <f t="shared" si="392"/>
        <v>1231.6500000000001</v>
      </c>
      <c r="H894" s="193">
        <v>0.87</v>
      </c>
      <c r="I894" s="205">
        <f t="shared" si="393"/>
        <v>0</v>
      </c>
      <c r="J894" s="205">
        <f t="shared" si="395"/>
        <v>1071.5355000000002</v>
      </c>
      <c r="K894" s="205">
        <f t="shared" si="394"/>
        <v>1071.5355000000002</v>
      </c>
    </row>
    <row r="895" spans="1:11" ht="26.5">
      <c r="A895" s="11" t="s">
        <v>1514</v>
      </c>
      <c r="B895" s="18" t="s">
        <v>670</v>
      </c>
      <c r="C895" s="10"/>
      <c r="D895" s="14" t="s">
        <v>87</v>
      </c>
      <c r="E895" s="205">
        <v>0</v>
      </c>
      <c r="F895" s="205">
        <v>15.21</v>
      </c>
      <c r="G895" s="205">
        <f t="shared" si="392"/>
        <v>15.21</v>
      </c>
      <c r="H895" s="192">
        <v>1248.29</v>
      </c>
      <c r="I895" s="205">
        <f t="shared" si="393"/>
        <v>0</v>
      </c>
      <c r="J895" s="205">
        <f t="shared" si="395"/>
        <v>18986.490900000001</v>
      </c>
      <c r="K895" s="205">
        <f t="shared" si="394"/>
        <v>18986.490900000001</v>
      </c>
    </row>
    <row r="896" spans="1:11" ht="16.5" customHeight="1">
      <c r="A896" s="11" t="s">
        <v>1515</v>
      </c>
      <c r="B896" s="16" t="s">
        <v>671</v>
      </c>
      <c r="C896" s="10" t="s">
        <v>87</v>
      </c>
      <c r="D896" s="14" t="s">
        <v>124</v>
      </c>
      <c r="E896" s="205">
        <v>0</v>
      </c>
      <c r="F896" s="205">
        <v>506.85</v>
      </c>
      <c r="G896" s="205">
        <f t="shared" si="392"/>
        <v>506.85</v>
      </c>
      <c r="H896" s="192">
        <v>2.83</v>
      </c>
      <c r="I896" s="205">
        <f t="shared" si="393"/>
        <v>0</v>
      </c>
      <c r="J896" s="205">
        <f t="shared" si="395"/>
        <v>1434.3855000000001</v>
      </c>
      <c r="K896" s="205">
        <f t="shared" si="394"/>
        <v>1434.3855000000001</v>
      </c>
    </row>
    <row r="897" spans="1:11">
      <c r="A897" s="8" t="s">
        <v>1516</v>
      </c>
      <c r="B897" s="9" t="s">
        <v>107</v>
      </c>
      <c r="C897" s="8"/>
      <c r="D897" s="8"/>
      <c r="E897" s="211"/>
      <c r="F897" s="211"/>
      <c r="G897" s="211"/>
      <c r="H897" s="191"/>
      <c r="I897" s="204">
        <f>SUM(I898:I900)</f>
        <v>0</v>
      </c>
      <c r="J897" s="204">
        <f>SUM(J898:J900)</f>
        <v>0</v>
      </c>
      <c r="K897" s="204">
        <f>SUM(K898:K900)</f>
        <v>0</v>
      </c>
    </row>
    <row r="898" spans="1:11" ht="39">
      <c r="A898" s="11" t="s">
        <v>1517</v>
      </c>
      <c r="B898" s="12" t="s">
        <v>673</v>
      </c>
      <c r="C898" s="10" t="s">
        <v>33</v>
      </c>
      <c r="D898" s="13" t="s">
        <v>1486</v>
      </c>
      <c r="E898" s="205">
        <v>0</v>
      </c>
      <c r="F898" s="205">
        <v>0</v>
      </c>
      <c r="G898" s="205">
        <f>F898-E898</f>
        <v>0</v>
      </c>
      <c r="H898" s="192">
        <v>625.09</v>
      </c>
      <c r="I898" s="205">
        <f t="shared" ref="I898:I900" si="396">H898*E898</f>
        <v>0</v>
      </c>
      <c r="J898" s="205">
        <f>H898*F898</f>
        <v>0</v>
      </c>
      <c r="K898" s="205">
        <f t="shared" ref="K898:K900" si="397">G898*H898</f>
        <v>0</v>
      </c>
    </row>
    <row r="899" spans="1:11" ht="17" customHeight="1">
      <c r="A899" s="11" t="s">
        <v>1518</v>
      </c>
      <c r="B899" s="190" t="s">
        <v>679</v>
      </c>
      <c r="C899" s="10" t="s">
        <v>33</v>
      </c>
      <c r="D899" s="13" t="s">
        <v>124</v>
      </c>
      <c r="E899" s="205">
        <v>0</v>
      </c>
      <c r="F899" s="205">
        <v>0</v>
      </c>
      <c r="G899" s="205">
        <f>F899-E899</f>
        <v>0</v>
      </c>
      <c r="H899" s="192">
        <v>16.260000000000002</v>
      </c>
      <c r="I899" s="205">
        <f t="shared" si="396"/>
        <v>0</v>
      </c>
      <c r="J899" s="205">
        <f t="shared" ref="J899:J900" si="398">H899*F899</f>
        <v>0</v>
      </c>
      <c r="K899" s="205">
        <f t="shared" si="397"/>
        <v>0</v>
      </c>
    </row>
    <row r="900" spans="1:11" ht="16.5" customHeight="1">
      <c r="A900" s="11" t="s">
        <v>1519</v>
      </c>
      <c r="B900" s="12" t="s">
        <v>674</v>
      </c>
      <c r="C900" s="10" t="s">
        <v>33</v>
      </c>
      <c r="D900" s="13" t="s">
        <v>124</v>
      </c>
      <c r="E900" s="205">
        <v>0</v>
      </c>
      <c r="F900" s="205">
        <v>0</v>
      </c>
      <c r="G900" s="205">
        <f>F900-E900</f>
        <v>0</v>
      </c>
      <c r="H900" s="192">
        <v>4.5599999999999996</v>
      </c>
      <c r="I900" s="205">
        <f t="shared" si="396"/>
        <v>0</v>
      </c>
      <c r="J900" s="205">
        <f t="shared" si="398"/>
        <v>0</v>
      </c>
      <c r="K900" s="205">
        <f t="shared" si="397"/>
        <v>0</v>
      </c>
    </row>
    <row r="901" spans="1:11">
      <c r="A901" s="8" t="s">
        <v>1520</v>
      </c>
      <c r="B901" s="9" t="s">
        <v>677</v>
      </c>
      <c r="C901" s="8"/>
      <c r="D901" s="8"/>
      <c r="E901" s="211"/>
      <c r="F901" s="211"/>
      <c r="G901" s="211"/>
      <c r="H901" s="191"/>
      <c r="I901" s="204">
        <f>SUM(I902:I903)</f>
        <v>0</v>
      </c>
      <c r="J901" s="204">
        <f>SUM(J902:J903)</f>
        <v>886.98750000000007</v>
      </c>
      <c r="K901" s="204">
        <f>SUM(K902:K903)</f>
        <v>886.98750000000007</v>
      </c>
    </row>
    <row r="902" spans="1:11">
      <c r="A902" s="11" t="s">
        <v>1521</v>
      </c>
      <c r="B902" s="12" t="s">
        <v>658</v>
      </c>
      <c r="C902" s="10" t="s">
        <v>11</v>
      </c>
      <c r="D902" s="13" t="s">
        <v>124</v>
      </c>
      <c r="E902" s="205">
        <v>0</v>
      </c>
      <c r="F902" s="205">
        <v>506.85</v>
      </c>
      <c r="G902" s="205">
        <f>F902-E902</f>
        <v>506.85</v>
      </c>
      <c r="H902" s="192">
        <v>1.75</v>
      </c>
      <c r="I902" s="205">
        <f t="shared" ref="I902:I903" si="399">H902*E902</f>
        <v>0</v>
      </c>
      <c r="J902" s="205">
        <f>H902*F902</f>
        <v>886.98750000000007</v>
      </c>
      <c r="K902" s="205">
        <f t="shared" ref="K902:K903" si="400">G902*H902</f>
        <v>886.98750000000007</v>
      </c>
    </row>
    <row r="903" spans="1:11">
      <c r="A903" s="11" t="s">
        <v>1522</v>
      </c>
      <c r="B903" s="12" t="s">
        <v>678</v>
      </c>
      <c r="C903" s="10" t="s">
        <v>11</v>
      </c>
      <c r="D903" s="13" t="s">
        <v>1486</v>
      </c>
      <c r="E903" s="205">
        <v>0</v>
      </c>
      <c r="F903" s="205">
        <v>0</v>
      </c>
      <c r="G903" s="205">
        <f>F903-E903</f>
        <v>0</v>
      </c>
      <c r="H903" s="192">
        <v>92.34</v>
      </c>
      <c r="I903" s="205">
        <f t="shared" si="399"/>
        <v>0</v>
      </c>
      <c r="J903" s="205">
        <f>H903*F903</f>
        <v>0</v>
      </c>
      <c r="K903" s="205">
        <f t="shared" si="400"/>
        <v>0</v>
      </c>
    </row>
    <row r="904" spans="1:11">
      <c r="A904" s="183">
        <v>34</v>
      </c>
      <c r="B904" s="188" t="s">
        <v>2017</v>
      </c>
      <c r="C904" s="183"/>
      <c r="D904" s="183"/>
      <c r="E904" s="210"/>
      <c r="F904" s="210"/>
      <c r="G904" s="210"/>
      <c r="H904" s="194"/>
      <c r="I904" s="203">
        <f>SUM(I905,I908,I910,I917,I924,I928)</f>
        <v>0</v>
      </c>
      <c r="J904" s="203">
        <f>SUM(J905,J908,J910,J917,J924,J928)</f>
        <v>8478.3546000000006</v>
      </c>
      <c r="K904" s="203">
        <f>SUM(K905,K908,K910,K917,K924,K928)</f>
        <v>8478.3546000000006</v>
      </c>
    </row>
    <row r="905" spans="1:11">
      <c r="A905" s="8" t="s">
        <v>1523</v>
      </c>
      <c r="B905" s="9" t="s">
        <v>8</v>
      </c>
      <c r="C905" s="8"/>
      <c r="D905" s="8"/>
      <c r="E905" s="211"/>
      <c r="F905" s="211"/>
      <c r="G905" s="211"/>
      <c r="H905" s="191"/>
      <c r="I905" s="204">
        <f>SUM(I906:I907)</f>
        <v>0</v>
      </c>
      <c r="J905" s="204">
        <f>SUM(J906:J907)</f>
        <v>919.19240000000002</v>
      </c>
      <c r="K905" s="204">
        <f>SUM(K906:K907)</f>
        <v>919.19240000000002</v>
      </c>
    </row>
    <row r="906" spans="1:11" ht="26">
      <c r="A906" s="11" t="s">
        <v>1524</v>
      </c>
      <c r="B906" s="12" t="s">
        <v>652</v>
      </c>
      <c r="C906" s="10" t="s">
        <v>13</v>
      </c>
      <c r="D906" s="13" t="s">
        <v>124</v>
      </c>
      <c r="E906" s="205">
        <v>0</v>
      </c>
      <c r="F906" s="205">
        <v>79.66</v>
      </c>
      <c r="G906" s="205">
        <f>F906-E906</f>
        <v>79.66</v>
      </c>
      <c r="H906" s="192">
        <v>0.36</v>
      </c>
      <c r="I906" s="205">
        <f>H906*E906</f>
        <v>0</v>
      </c>
      <c r="J906" s="205">
        <f>H906*F906</f>
        <v>28.677599999999998</v>
      </c>
      <c r="K906" s="205">
        <f t="shared" ref="K906:K907" si="401">G906*H906</f>
        <v>28.677599999999998</v>
      </c>
    </row>
    <row r="907" spans="1:11" ht="52">
      <c r="A907" s="11" t="s">
        <v>1525</v>
      </c>
      <c r="B907" s="12" t="s">
        <v>649</v>
      </c>
      <c r="C907" s="10" t="s">
        <v>11</v>
      </c>
      <c r="D907" s="13" t="s">
        <v>124</v>
      </c>
      <c r="E907" s="205">
        <v>0</v>
      </c>
      <c r="F907" s="205">
        <v>14.44</v>
      </c>
      <c r="G907" s="205">
        <f>F907-E907</f>
        <v>14.44</v>
      </c>
      <c r="H907" s="192">
        <v>61.67</v>
      </c>
      <c r="I907" s="205">
        <f>H907*E907</f>
        <v>0</v>
      </c>
      <c r="J907" s="205">
        <f>H907*F907</f>
        <v>890.51480000000004</v>
      </c>
      <c r="K907" s="205">
        <f t="shared" si="401"/>
        <v>890.51480000000004</v>
      </c>
    </row>
    <row r="908" spans="1:11">
      <c r="A908" s="8" t="s">
        <v>1526</v>
      </c>
      <c r="B908" s="9" t="s">
        <v>654</v>
      </c>
      <c r="C908" s="8"/>
      <c r="D908" s="8"/>
      <c r="E908" s="211"/>
      <c r="F908" s="211"/>
      <c r="G908" s="211"/>
      <c r="H908" s="191"/>
      <c r="I908" s="204">
        <f>SUM(I909:I909)</f>
        <v>0</v>
      </c>
      <c r="J908" s="204">
        <f>SUM(J909:J909)</f>
        <v>30.270799999999998</v>
      </c>
      <c r="K908" s="204">
        <f>SUM(K909:K909)</f>
        <v>30.270799999999998</v>
      </c>
    </row>
    <row r="909" spans="1:11" ht="26">
      <c r="A909" s="11" t="s">
        <v>1527</v>
      </c>
      <c r="B909" s="12" t="s">
        <v>655</v>
      </c>
      <c r="C909" s="10"/>
      <c r="D909" s="13" t="s">
        <v>124</v>
      </c>
      <c r="E909" s="205">
        <v>0</v>
      </c>
      <c r="F909" s="205">
        <v>79.66</v>
      </c>
      <c r="G909" s="205">
        <f>F909-E909</f>
        <v>79.66</v>
      </c>
      <c r="H909" s="192">
        <v>0.38</v>
      </c>
      <c r="I909" s="205">
        <f t="shared" ref="I909" si="402">H909*E909</f>
        <v>0</v>
      </c>
      <c r="J909" s="205">
        <f>H909*F909</f>
        <v>30.270799999999998</v>
      </c>
      <c r="K909" s="205">
        <f t="shared" ref="K909" si="403">G909*H909</f>
        <v>30.270799999999998</v>
      </c>
    </row>
    <row r="910" spans="1:11">
      <c r="A910" s="8" t="s">
        <v>1528</v>
      </c>
      <c r="B910" s="9" t="s">
        <v>657</v>
      </c>
      <c r="C910" s="8"/>
      <c r="D910" s="8"/>
      <c r="E910" s="211"/>
      <c r="F910" s="211"/>
      <c r="G910" s="211"/>
      <c r="H910" s="191"/>
      <c r="I910" s="204">
        <f>SUM(I911:I916)</f>
        <v>0</v>
      </c>
      <c r="J910" s="204">
        <f>SUM(J911:J916)</f>
        <v>3694.7432000000003</v>
      </c>
      <c r="K910" s="204">
        <f>SUM(K911:K916)</f>
        <v>3694.7432000000003</v>
      </c>
    </row>
    <row r="911" spans="1:11">
      <c r="A911" s="11" t="s">
        <v>1529</v>
      </c>
      <c r="B911" s="12" t="s">
        <v>658</v>
      </c>
      <c r="C911" s="10"/>
      <c r="D911" s="13" t="s">
        <v>124</v>
      </c>
      <c r="E911" s="205">
        <v>0</v>
      </c>
      <c r="F911" s="205">
        <v>79.66</v>
      </c>
      <c r="G911" s="205">
        <f t="shared" ref="G911:G912" si="404">F911-E911</f>
        <v>79.66</v>
      </c>
      <c r="H911" s="192">
        <v>1.75</v>
      </c>
      <c r="I911" s="205">
        <f t="shared" ref="I911:I916" si="405">H911*E911</f>
        <v>0</v>
      </c>
      <c r="J911" s="205">
        <f>H911*F911</f>
        <v>139.405</v>
      </c>
      <c r="K911" s="205">
        <f t="shared" ref="K911:K916" si="406">G911*H911</f>
        <v>139.405</v>
      </c>
    </row>
    <row r="912" spans="1:11" ht="26">
      <c r="A912" s="11" t="s">
        <v>1530</v>
      </c>
      <c r="B912" s="12" t="s">
        <v>659</v>
      </c>
      <c r="C912" s="10"/>
      <c r="D912" s="13" t="s">
        <v>87</v>
      </c>
      <c r="E912" s="205">
        <v>0</v>
      </c>
      <c r="F912" s="205">
        <v>2.39</v>
      </c>
      <c r="G912" s="205">
        <f t="shared" si="404"/>
        <v>2.39</v>
      </c>
      <c r="H912" s="192">
        <v>10.32</v>
      </c>
      <c r="I912" s="205">
        <f t="shared" si="405"/>
        <v>0</v>
      </c>
      <c r="J912" s="205">
        <f t="shared" ref="J912:J916" si="407">H912*F912</f>
        <v>24.664800000000003</v>
      </c>
      <c r="K912" s="205">
        <f t="shared" si="406"/>
        <v>24.664800000000003</v>
      </c>
    </row>
    <row r="913" spans="1:11" ht="28.5" customHeight="1">
      <c r="A913" s="11" t="s">
        <v>1531</v>
      </c>
      <c r="B913" s="12" t="s">
        <v>660</v>
      </c>
      <c r="C913" s="10"/>
      <c r="D913" s="13" t="s">
        <v>1485</v>
      </c>
      <c r="E913" s="205">
        <v>0</v>
      </c>
      <c r="F913" s="205">
        <v>71.69</v>
      </c>
      <c r="G913" s="205">
        <f t="shared" ref="G913:G915" si="408">F913-E913</f>
        <v>71.69</v>
      </c>
      <c r="H913" s="192">
        <v>2.14</v>
      </c>
      <c r="I913" s="205">
        <f t="shared" si="405"/>
        <v>0</v>
      </c>
      <c r="J913" s="205">
        <f t="shared" si="407"/>
        <v>153.41660000000002</v>
      </c>
      <c r="K913" s="205">
        <f t="shared" si="406"/>
        <v>153.41660000000002</v>
      </c>
    </row>
    <row r="914" spans="1:11" ht="29" customHeight="1">
      <c r="A914" s="11" t="s">
        <v>1532</v>
      </c>
      <c r="B914" s="12" t="s">
        <v>668</v>
      </c>
      <c r="C914" s="10"/>
      <c r="D914" s="13" t="s">
        <v>1485</v>
      </c>
      <c r="E914" s="205">
        <v>0</v>
      </c>
      <c r="F914" s="205">
        <v>193.57</v>
      </c>
      <c r="G914" s="205">
        <f t="shared" si="408"/>
        <v>193.57</v>
      </c>
      <c r="H914" s="192">
        <v>0.87</v>
      </c>
      <c r="I914" s="205">
        <f t="shared" si="405"/>
        <v>0</v>
      </c>
      <c r="J914" s="205">
        <f t="shared" si="407"/>
        <v>168.4059</v>
      </c>
      <c r="K914" s="205">
        <f t="shared" si="406"/>
        <v>168.4059</v>
      </c>
    </row>
    <row r="915" spans="1:11" ht="28" customHeight="1">
      <c r="A915" s="11" t="s">
        <v>1533</v>
      </c>
      <c r="B915" s="12" t="s">
        <v>661</v>
      </c>
      <c r="C915" s="10"/>
      <c r="D915" s="13" t="s">
        <v>87</v>
      </c>
      <c r="E915" s="205">
        <v>0</v>
      </c>
      <c r="F915" s="205">
        <v>2.39</v>
      </c>
      <c r="G915" s="205">
        <f t="shared" si="408"/>
        <v>2.39</v>
      </c>
      <c r="H915" s="192">
        <v>1248.29</v>
      </c>
      <c r="I915" s="205">
        <f t="shared" si="405"/>
        <v>0</v>
      </c>
      <c r="J915" s="205">
        <f t="shared" si="407"/>
        <v>2983.4131000000002</v>
      </c>
      <c r="K915" s="205">
        <f t="shared" si="406"/>
        <v>2983.4131000000002</v>
      </c>
    </row>
    <row r="916" spans="1:11" ht="17.5" customHeight="1">
      <c r="A916" s="11" t="s">
        <v>1534</v>
      </c>
      <c r="B916" s="12" t="s">
        <v>662</v>
      </c>
      <c r="C916" s="10"/>
      <c r="D916" s="13" t="s">
        <v>124</v>
      </c>
      <c r="E916" s="205">
        <v>0</v>
      </c>
      <c r="F916" s="205">
        <v>79.66</v>
      </c>
      <c r="G916" s="205">
        <f t="shared" ref="G916" si="409">F916-E916</f>
        <v>79.66</v>
      </c>
      <c r="H916" s="192">
        <v>2.83</v>
      </c>
      <c r="I916" s="205">
        <f t="shared" si="405"/>
        <v>0</v>
      </c>
      <c r="J916" s="205">
        <f t="shared" si="407"/>
        <v>225.43780000000001</v>
      </c>
      <c r="K916" s="205">
        <f t="shared" si="406"/>
        <v>225.43780000000001</v>
      </c>
    </row>
    <row r="917" spans="1:11">
      <c r="A917" s="8" t="s">
        <v>1535</v>
      </c>
      <c r="B917" s="9" t="s">
        <v>669</v>
      </c>
      <c r="C917" s="8"/>
      <c r="D917" s="8"/>
      <c r="E917" s="211"/>
      <c r="F917" s="211"/>
      <c r="G917" s="211"/>
      <c r="H917" s="191"/>
      <c r="I917" s="204">
        <f>SUM(I918:I923)</f>
        <v>0</v>
      </c>
      <c r="J917" s="204">
        <f>SUM(J918:J923)</f>
        <v>3694.7432000000003</v>
      </c>
      <c r="K917" s="204">
        <f>SUM(K918:K923)</f>
        <v>3694.7432000000003</v>
      </c>
    </row>
    <row r="918" spans="1:11">
      <c r="A918" s="11" t="s">
        <v>1536</v>
      </c>
      <c r="B918" s="12" t="s">
        <v>658</v>
      </c>
      <c r="C918" s="10"/>
      <c r="D918" s="14" t="s">
        <v>124</v>
      </c>
      <c r="E918" s="205">
        <v>0</v>
      </c>
      <c r="F918" s="205">
        <v>79.66</v>
      </c>
      <c r="G918" s="205">
        <f t="shared" ref="G918:G923" si="410">F918-E918</f>
        <v>79.66</v>
      </c>
      <c r="H918" s="192">
        <v>1.75</v>
      </c>
      <c r="I918" s="205">
        <f t="shared" ref="I918:I923" si="411">H918*E918</f>
        <v>0</v>
      </c>
      <c r="J918" s="205">
        <f>H918*F918</f>
        <v>139.405</v>
      </c>
      <c r="K918" s="205">
        <f t="shared" ref="K918:K923" si="412">G918*H918</f>
        <v>139.405</v>
      </c>
    </row>
    <row r="919" spans="1:11" ht="26">
      <c r="A919" s="11" t="s">
        <v>1537</v>
      </c>
      <c r="B919" s="12" t="s">
        <v>659</v>
      </c>
      <c r="C919" s="10"/>
      <c r="D919" s="14" t="s">
        <v>87</v>
      </c>
      <c r="E919" s="205">
        <v>0</v>
      </c>
      <c r="F919" s="205">
        <v>2.39</v>
      </c>
      <c r="G919" s="205">
        <f t="shared" si="410"/>
        <v>2.39</v>
      </c>
      <c r="H919" s="192">
        <v>10.32</v>
      </c>
      <c r="I919" s="205">
        <f t="shared" si="411"/>
        <v>0</v>
      </c>
      <c r="J919" s="205">
        <f t="shared" ref="J919:J923" si="413">H919*F919</f>
        <v>24.664800000000003</v>
      </c>
      <c r="K919" s="205">
        <f t="shared" si="412"/>
        <v>24.664800000000003</v>
      </c>
    </row>
    <row r="920" spans="1:11" ht="28.5" customHeight="1">
      <c r="A920" s="11" t="s">
        <v>1538</v>
      </c>
      <c r="B920" s="12" t="s">
        <v>660</v>
      </c>
      <c r="C920" s="10"/>
      <c r="D920" s="14" t="s">
        <v>1485</v>
      </c>
      <c r="E920" s="205">
        <v>0</v>
      </c>
      <c r="F920" s="205">
        <v>71.69</v>
      </c>
      <c r="G920" s="205">
        <f t="shared" si="410"/>
        <v>71.69</v>
      </c>
      <c r="H920" s="192">
        <v>2.14</v>
      </c>
      <c r="I920" s="205">
        <f t="shared" si="411"/>
        <v>0</v>
      </c>
      <c r="J920" s="205">
        <f t="shared" si="413"/>
        <v>153.41660000000002</v>
      </c>
      <c r="K920" s="205">
        <f t="shared" si="412"/>
        <v>153.41660000000002</v>
      </c>
    </row>
    <row r="921" spans="1:11" ht="32.5" customHeight="1">
      <c r="A921" s="11" t="s">
        <v>1539</v>
      </c>
      <c r="B921" s="18" t="s">
        <v>668</v>
      </c>
      <c r="C921" s="10"/>
      <c r="D921" s="189" t="s">
        <v>1485</v>
      </c>
      <c r="E921" s="205">
        <v>0</v>
      </c>
      <c r="F921" s="205">
        <v>193.57</v>
      </c>
      <c r="G921" s="205">
        <f t="shared" si="410"/>
        <v>193.57</v>
      </c>
      <c r="H921" s="193">
        <v>0.87</v>
      </c>
      <c r="I921" s="205">
        <f t="shared" si="411"/>
        <v>0</v>
      </c>
      <c r="J921" s="205">
        <f t="shared" si="413"/>
        <v>168.4059</v>
      </c>
      <c r="K921" s="205">
        <f t="shared" si="412"/>
        <v>168.4059</v>
      </c>
    </row>
    <row r="922" spans="1:11" ht="26.5">
      <c r="A922" s="11" t="s">
        <v>1540</v>
      </c>
      <c r="B922" s="18" t="s">
        <v>670</v>
      </c>
      <c r="C922" s="10"/>
      <c r="D922" s="14" t="s">
        <v>87</v>
      </c>
      <c r="E922" s="205">
        <v>0</v>
      </c>
      <c r="F922" s="205">
        <v>2.39</v>
      </c>
      <c r="G922" s="205">
        <f t="shared" si="410"/>
        <v>2.39</v>
      </c>
      <c r="H922" s="192">
        <v>1248.29</v>
      </c>
      <c r="I922" s="205">
        <f t="shared" si="411"/>
        <v>0</v>
      </c>
      <c r="J922" s="205">
        <f t="shared" si="413"/>
        <v>2983.4131000000002</v>
      </c>
      <c r="K922" s="205">
        <f t="shared" si="412"/>
        <v>2983.4131000000002</v>
      </c>
    </row>
    <row r="923" spans="1:11" ht="16.5" customHeight="1">
      <c r="A923" s="11" t="s">
        <v>1541</v>
      </c>
      <c r="B923" s="16" t="s">
        <v>671</v>
      </c>
      <c r="C923" s="10" t="s">
        <v>87</v>
      </c>
      <c r="D923" s="14" t="s">
        <v>124</v>
      </c>
      <c r="E923" s="205">
        <v>0</v>
      </c>
      <c r="F923" s="205">
        <v>79.66</v>
      </c>
      <c r="G923" s="205">
        <f t="shared" si="410"/>
        <v>79.66</v>
      </c>
      <c r="H923" s="192">
        <v>2.83</v>
      </c>
      <c r="I923" s="205">
        <f t="shared" si="411"/>
        <v>0</v>
      </c>
      <c r="J923" s="205">
        <f t="shared" si="413"/>
        <v>225.43780000000001</v>
      </c>
      <c r="K923" s="205">
        <f t="shared" si="412"/>
        <v>225.43780000000001</v>
      </c>
    </row>
    <row r="924" spans="1:11">
      <c r="A924" s="8" t="s">
        <v>1542</v>
      </c>
      <c r="B924" s="9" t="s">
        <v>107</v>
      </c>
      <c r="C924" s="8"/>
      <c r="D924" s="8"/>
      <c r="E924" s="211"/>
      <c r="F924" s="211"/>
      <c r="G924" s="211"/>
      <c r="H924" s="191"/>
      <c r="I924" s="204">
        <f>SUM(I925:I927)</f>
        <v>0</v>
      </c>
      <c r="J924" s="204">
        <f>SUM(J925:J927)</f>
        <v>0</v>
      </c>
      <c r="K924" s="204">
        <f>SUM(K925:K927)</f>
        <v>0</v>
      </c>
    </row>
    <row r="925" spans="1:11" ht="39">
      <c r="A925" s="11" t="s">
        <v>1543</v>
      </c>
      <c r="B925" s="12" t="s">
        <v>673</v>
      </c>
      <c r="C925" s="10" t="s">
        <v>33</v>
      </c>
      <c r="D925" s="13" t="s">
        <v>1486</v>
      </c>
      <c r="E925" s="205">
        <v>0</v>
      </c>
      <c r="F925" s="205">
        <v>0</v>
      </c>
      <c r="G925" s="205">
        <f>F925-E925</f>
        <v>0</v>
      </c>
      <c r="H925" s="192">
        <v>625.09</v>
      </c>
      <c r="I925" s="205">
        <f t="shared" ref="I925:I927" si="414">H925*E925</f>
        <v>0</v>
      </c>
      <c r="J925" s="205">
        <f>H925*F925</f>
        <v>0</v>
      </c>
      <c r="K925" s="205">
        <f t="shared" ref="K925:K927" si="415">G925*H925</f>
        <v>0</v>
      </c>
    </row>
    <row r="926" spans="1:11" ht="17" customHeight="1">
      <c r="A926" s="11" t="s">
        <v>1544</v>
      </c>
      <c r="B926" s="190" t="s">
        <v>679</v>
      </c>
      <c r="C926" s="10" t="s">
        <v>33</v>
      </c>
      <c r="D926" s="13" t="s">
        <v>124</v>
      </c>
      <c r="E926" s="205">
        <v>0</v>
      </c>
      <c r="F926" s="205">
        <v>0</v>
      </c>
      <c r="G926" s="205">
        <f>F926-E926</f>
        <v>0</v>
      </c>
      <c r="H926" s="192">
        <v>16.260000000000002</v>
      </c>
      <c r="I926" s="205">
        <f t="shared" si="414"/>
        <v>0</v>
      </c>
      <c r="J926" s="205">
        <f t="shared" ref="J926:J927" si="416">H926*F926</f>
        <v>0</v>
      </c>
      <c r="K926" s="205">
        <f t="shared" si="415"/>
        <v>0</v>
      </c>
    </row>
    <row r="927" spans="1:11" ht="16.5" customHeight="1">
      <c r="A927" s="11" t="s">
        <v>1545</v>
      </c>
      <c r="B927" s="12" t="s">
        <v>674</v>
      </c>
      <c r="C927" s="10" t="s">
        <v>33</v>
      </c>
      <c r="D927" s="13" t="s">
        <v>124</v>
      </c>
      <c r="E927" s="205">
        <v>0</v>
      </c>
      <c r="F927" s="205">
        <v>0</v>
      </c>
      <c r="G927" s="205">
        <f>F927-E927</f>
        <v>0</v>
      </c>
      <c r="H927" s="192">
        <v>4.5599999999999996</v>
      </c>
      <c r="I927" s="205">
        <f t="shared" si="414"/>
        <v>0</v>
      </c>
      <c r="J927" s="205">
        <f t="shared" si="416"/>
        <v>0</v>
      </c>
      <c r="K927" s="205">
        <f t="shared" si="415"/>
        <v>0</v>
      </c>
    </row>
    <row r="928" spans="1:11">
      <c r="A928" s="8" t="s">
        <v>1546</v>
      </c>
      <c r="B928" s="9" t="s">
        <v>677</v>
      </c>
      <c r="C928" s="8"/>
      <c r="D928" s="8"/>
      <c r="E928" s="211"/>
      <c r="F928" s="211"/>
      <c r="G928" s="211"/>
      <c r="H928" s="191"/>
      <c r="I928" s="204">
        <f>SUM(I929:I930)</f>
        <v>0</v>
      </c>
      <c r="J928" s="204">
        <f>SUM(J929:J930)</f>
        <v>139.405</v>
      </c>
      <c r="K928" s="204">
        <f>SUM(K929:K930)</f>
        <v>139.405</v>
      </c>
    </row>
    <row r="929" spans="1:11">
      <c r="A929" s="11" t="s">
        <v>1547</v>
      </c>
      <c r="B929" s="12" t="s">
        <v>658</v>
      </c>
      <c r="C929" s="10" t="s">
        <v>11</v>
      </c>
      <c r="D929" s="13" t="s">
        <v>124</v>
      </c>
      <c r="E929" s="205">
        <v>0</v>
      </c>
      <c r="F929" s="205">
        <v>79.66</v>
      </c>
      <c r="G929" s="205">
        <f>F929-E929</f>
        <v>79.66</v>
      </c>
      <c r="H929" s="192">
        <v>1.75</v>
      </c>
      <c r="I929" s="205">
        <f t="shared" ref="I929:I930" si="417">H929*E929</f>
        <v>0</v>
      </c>
      <c r="J929" s="205">
        <f>H929*F929</f>
        <v>139.405</v>
      </c>
      <c r="K929" s="205">
        <f t="shared" ref="K929:K930" si="418">G929*H929</f>
        <v>139.405</v>
      </c>
    </row>
    <row r="930" spans="1:11">
      <c r="A930" s="11" t="s">
        <v>1548</v>
      </c>
      <c r="B930" s="12" t="s">
        <v>678</v>
      </c>
      <c r="C930" s="10" t="s">
        <v>11</v>
      </c>
      <c r="D930" s="13" t="s">
        <v>1486</v>
      </c>
      <c r="E930" s="205">
        <v>0</v>
      </c>
      <c r="F930" s="205">
        <v>0</v>
      </c>
      <c r="G930" s="205">
        <f>F930-E930</f>
        <v>0</v>
      </c>
      <c r="H930" s="192">
        <v>92.34</v>
      </c>
      <c r="I930" s="205">
        <f t="shared" si="417"/>
        <v>0</v>
      </c>
      <c r="J930" s="205">
        <f>H930*F930</f>
        <v>0</v>
      </c>
      <c r="K930" s="205">
        <f t="shared" si="418"/>
        <v>0</v>
      </c>
    </row>
    <row r="931" spans="1:11">
      <c r="A931" s="183">
        <v>35</v>
      </c>
      <c r="B931" s="188" t="s">
        <v>2018</v>
      </c>
      <c r="C931" s="183"/>
      <c r="D931" s="183"/>
      <c r="E931" s="210"/>
      <c r="F931" s="210"/>
      <c r="G931" s="210"/>
      <c r="H931" s="194"/>
      <c r="I931" s="203">
        <f>SUM(I932,I935,I937,I944,I951,I955)</f>
        <v>0</v>
      </c>
      <c r="J931" s="203">
        <f>SUM(J932,J935,J937,J944,J951,J955)</f>
        <v>69922.998799999987</v>
      </c>
      <c r="K931" s="203">
        <f>SUM(K932,K935,K937,K944,K951,K955)</f>
        <v>69922.998799999987</v>
      </c>
    </row>
    <row r="932" spans="1:11">
      <c r="A932" s="8" t="s">
        <v>1549</v>
      </c>
      <c r="B932" s="9" t="s">
        <v>8</v>
      </c>
      <c r="C932" s="8"/>
      <c r="D932" s="8"/>
      <c r="E932" s="211"/>
      <c r="F932" s="211"/>
      <c r="G932" s="211"/>
      <c r="H932" s="191"/>
      <c r="I932" s="204">
        <f>SUM(I933:I934)</f>
        <v>0</v>
      </c>
      <c r="J932" s="204">
        <f>SUM(J933:J934)</f>
        <v>11506.5913</v>
      </c>
      <c r="K932" s="204">
        <f>SUM(K933:K934)</f>
        <v>11506.5913</v>
      </c>
    </row>
    <row r="933" spans="1:11" ht="26">
      <c r="A933" s="11" t="s">
        <v>1550</v>
      </c>
      <c r="B933" s="12" t="s">
        <v>652</v>
      </c>
      <c r="C933" s="10" t="s">
        <v>13</v>
      </c>
      <c r="D933" s="13" t="s">
        <v>124</v>
      </c>
      <c r="E933" s="205">
        <v>0</v>
      </c>
      <c r="F933" s="205">
        <v>615.54999999999995</v>
      </c>
      <c r="G933" s="205">
        <f>F933-E933</f>
        <v>615.54999999999995</v>
      </c>
      <c r="H933" s="192">
        <v>0.36</v>
      </c>
      <c r="I933" s="205">
        <f>H933*E933</f>
        <v>0</v>
      </c>
      <c r="J933" s="205">
        <f>H933*F933</f>
        <v>221.59799999999998</v>
      </c>
      <c r="K933" s="205">
        <f t="shared" ref="K933:K934" si="419">G933*H933</f>
        <v>221.59799999999998</v>
      </c>
    </row>
    <row r="934" spans="1:11" ht="52">
      <c r="A934" s="11" t="s">
        <v>1551</v>
      </c>
      <c r="B934" s="12" t="s">
        <v>649</v>
      </c>
      <c r="C934" s="10" t="s">
        <v>11</v>
      </c>
      <c r="D934" s="13" t="s">
        <v>124</v>
      </c>
      <c r="E934" s="205">
        <v>0</v>
      </c>
      <c r="F934" s="205">
        <v>182.99</v>
      </c>
      <c r="G934" s="205">
        <f>F934-E934</f>
        <v>182.99</v>
      </c>
      <c r="H934" s="192">
        <v>61.67</v>
      </c>
      <c r="I934" s="205">
        <f>H934*E934</f>
        <v>0</v>
      </c>
      <c r="J934" s="205">
        <f>H934*F934</f>
        <v>11284.9933</v>
      </c>
      <c r="K934" s="205">
        <f t="shared" si="419"/>
        <v>11284.9933</v>
      </c>
    </row>
    <row r="935" spans="1:11">
      <c r="A935" s="8" t="s">
        <v>1552</v>
      </c>
      <c r="B935" s="9" t="s">
        <v>654</v>
      </c>
      <c r="C935" s="8"/>
      <c r="D935" s="8"/>
      <c r="E935" s="211"/>
      <c r="F935" s="211"/>
      <c r="G935" s="211"/>
      <c r="H935" s="191"/>
      <c r="I935" s="204">
        <f>SUM(I936:I936)</f>
        <v>0</v>
      </c>
      <c r="J935" s="204">
        <f>SUM(J936:J936)</f>
        <v>233.90899999999999</v>
      </c>
      <c r="K935" s="204">
        <f>SUM(K936:K936)</f>
        <v>233.90899999999999</v>
      </c>
    </row>
    <row r="936" spans="1:11" ht="26">
      <c r="A936" s="11" t="s">
        <v>1553</v>
      </c>
      <c r="B936" s="12" t="s">
        <v>655</v>
      </c>
      <c r="C936" s="10"/>
      <c r="D936" s="13" t="s">
        <v>124</v>
      </c>
      <c r="E936" s="205">
        <v>0</v>
      </c>
      <c r="F936" s="205">
        <v>615.54999999999995</v>
      </c>
      <c r="G936" s="205">
        <f>F936-E936</f>
        <v>615.54999999999995</v>
      </c>
      <c r="H936" s="192">
        <v>0.38</v>
      </c>
      <c r="I936" s="205">
        <f t="shared" ref="I936" si="420">H936*E936</f>
        <v>0</v>
      </c>
      <c r="J936" s="205">
        <f>H936*F936</f>
        <v>233.90899999999999</v>
      </c>
      <c r="K936" s="205">
        <f t="shared" ref="K936" si="421">G936*H936</f>
        <v>233.90899999999999</v>
      </c>
    </row>
    <row r="937" spans="1:11">
      <c r="A937" s="8" t="s">
        <v>1554</v>
      </c>
      <c r="B937" s="9" t="s">
        <v>657</v>
      </c>
      <c r="C937" s="8"/>
      <c r="D937" s="8"/>
      <c r="E937" s="211"/>
      <c r="F937" s="211"/>
      <c r="G937" s="211"/>
      <c r="H937" s="191"/>
      <c r="I937" s="204">
        <f>SUM(I938:I943)</f>
        <v>0</v>
      </c>
      <c r="J937" s="204">
        <f>SUM(J938:J943)</f>
        <v>28552.642999999996</v>
      </c>
      <c r="K937" s="204">
        <f>SUM(K938:K943)</f>
        <v>28552.642999999996</v>
      </c>
    </row>
    <row r="938" spans="1:11">
      <c r="A938" s="11" t="s">
        <v>1555</v>
      </c>
      <c r="B938" s="12" t="s">
        <v>658</v>
      </c>
      <c r="C938" s="10"/>
      <c r="D938" s="13" t="s">
        <v>124</v>
      </c>
      <c r="E938" s="205">
        <v>0</v>
      </c>
      <c r="F938" s="205">
        <v>615.54999999999995</v>
      </c>
      <c r="G938" s="205">
        <f t="shared" ref="G938:G943" si="422">F938-E938</f>
        <v>615.54999999999995</v>
      </c>
      <c r="H938" s="192">
        <v>1.75</v>
      </c>
      <c r="I938" s="205">
        <f t="shared" ref="I938:I943" si="423">H938*E938</f>
        <v>0</v>
      </c>
      <c r="J938" s="205">
        <f>H938*F938</f>
        <v>1077.2124999999999</v>
      </c>
      <c r="K938" s="205">
        <f t="shared" ref="K938:K943" si="424">G938*H938</f>
        <v>1077.2124999999999</v>
      </c>
    </row>
    <row r="939" spans="1:11" ht="26">
      <c r="A939" s="11" t="s">
        <v>1556</v>
      </c>
      <c r="B939" s="12" t="s">
        <v>659</v>
      </c>
      <c r="C939" s="10"/>
      <c r="D939" s="13" t="s">
        <v>87</v>
      </c>
      <c r="E939" s="205">
        <v>0</v>
      </c>
      <c r="F939" s="205">
        <v>18.47</v>
      </c>
      <c r="G939" s="205">
        <f t="shared" si="422"/>
        <v>18.47</v>
      </c>
      <c r="H939" s="192">
        <v>10.32</v>
      </c>
      <c r="I939" s="205">
        <f t="shared" si="423"/>
        <v>0</v>
      </c>
      <c r="J939" s="205">
        <f t="shared" ref="J939:J943" si="425">H939*F939</f>
        <v>190.6104</v>
      </c>
      <c r="K939" s="205">
        <f t="shared" si="424"/>
        <v>190.6104</v>
      </c>
    </row>
    <row r="940" spans="1:11" ht="28.5" customHeight="1">
      <c r="A940" s="11" t="s">
        <v>1557</v>
      </c>
      <c r="B940" s="12" t="s">
        <v>660</v>
      </c>
      <c r="C940" s="10"/>
      <c r="D940" s="13" t="s">
        <v>1485</v>
      </c>
      <c r="E940" s="205">
        <v>0</v>
      </c>
      <c r="F940" s="205">
        <v>554</v>
      </c>
      <c r="G940" s="205">
        <f t="shared" si="422"/>
        <v>554</v>
      </c>
      <c r="H940" s="192">
        <v>2.14</v>
      </c>
      <c r="I940" s="205">
        <f t="shared" si="423"/>
        <v>0</v>
      </c>
      <c r="J940" s="205">
        <f t="shared" si="425"/>
        <v>1185.5600000000002</v>
      </c>
      <c r="K940" s="205">
        <f t="shared" si="424"/>
        <v>1185.5600000000002</v>
      </c>
    </row>
    <row r="941" spans="1:11" ht="29" customHeight="1">
      <c r="A941" s="11" t="s">
        <v>1558</v>
      </c>
      <c r="B941" s="12" t="s">
        <v>668</v>
      </c>
      <c r="C941" s="10"/>
      <c r="D941" s="13" t="s">
        <v>1485</v>
      </c>
      <c r="E941" s="205">
        <v>0</v>
      </c>
      <c r="F941" s="205">
        <v>1495.79</v>
      </c>
      <c r="G941" s="205">
        <f t="shared" si="422"/>
        <v>1495.79</v>
      </c>
      <c r="H941" s="192">
        <v>0.87</v>
      </c>
      <c r="I941" s="205">
        <f t="shared" si="423"/>
        <v>0</v>
      </c>
      <c r="J941" s="205">
        <f t="shared" si="425"/>
        <v>1301.3372999999999</v>
      </c>
      <c r="K941" s="205">
        <f t="shared" si="424"/>
        <v>1301.3372999999999</v>
      </c>
    </row>
    <row r="942" spans="1:11" ht="28" customHeight="1">
      <c r="A942" s="11" t="s">
        <v>1559</v>
      </c>
      <c r="B942" s="12" t="s">
        <v>661</v>
      </c>
      <c r="C942" s="10"/>
      <c r="D942" s="13" t="s">
        <v>87</v>
      </c>
      <c r="E942" s="205">
        <v>0</v>
      </c>
      <c r="F942" s="205">
        <v>18.47</v>
      </c>
      <c r="G942" s="205">
        <f t="shared" si="422"/>
        <v>18.47</v>
      </c>
      <c r="H942" s="192">
        <v>1248.29</v>
      </c>
      <c r="I942" s="205">
        <f t="shared" si="423"/>
        <v>0</v>
      </c>
      <c r="J942" s="205">
        <f t="shared" si="425"/>
        <v>23055.916299999997</v>
      </c>
      <c r="K942" s="205">
        <f t="shared" si="424"/>
        <v>23055.916299999997</v>
      </c>
    </row>
    <row r="943" spans="1:11" ht="17.5" customHeight="1">
      <c r="A943" s="11" t="s">
        <v>1560</v>
      </c>
      <c r="B943" s="12" t="s">
        <v>662</v>
      </c>
      <c r="C943" s="10"/>
      <c r="D943" s="13" t="s">
        <v>124</v>
      </c>
      <c r="E943" s="205">
        <v>0</v>
      </c>
      <c r="F943" s="205">
        <v>615.54999999999995</v>
      </c>
      <c r="G943" s="205">
        <f t="shared" si="422"/>
        <v>615.54999999999995</v>
      </c>
      <c r="H943" s="192">
        <v>2.83</v>
      </c>
      <c r="I943" s="205">
        <f t="shared" si="423"/>
        <v>0</v>
      </c>
      <c r="J943" s="205">
        <f t="shared" si="425"/>
        <v>1742.0065</v>
      </c>
      <c r="K943" s="205">
        <f t="shared" si="424"/>
        <v>1742.0065</v>
      </c>
    </row>
    <row r="944" spans="1:11">
      <c r="A944" s="8" t="s">
        <v>1561</v>
      </c>
      <c r="B944" s="9" t="s">
        <v>669</v>
      </c>
      <c r="C944" s="8"/>
      <c r="D944" s="8"/>
      <c r="E944" s="211"/>
      <c r="F944" s="211"/>
      <c r="G944" s="211"/>
      <c r="H944" s="191"/>
      <c r="I944" s="204">
        <f>SUM(I945:I950)</f>
        <v>0</v>
      </c>
      <c r="J944" s="204">
        <f>SUM(J945:J950)</f>
        <v>28552.642999999996</v>
      </c>
      <c r="K944" s="204">
        <f>SUM(K945:K950)</f>
        <v>28552.642999999996</v>
      </c>
    </row>
    <row r="945" spans="1:11">
      <c r="A945" s="11" t="s">
        <v>1562</v>
      </c>
      <c r="B945" s="12" t="s">
        <v>658</v>
      </c>
      <c r="C945" s="10"/>
      <c r="D945" s="14" t="s">
        <v>124</v>
      </c>
      <c r="E945" s="205">
        <v>0</v>
      </c>
      <c r="F945" s="205">
        <v>615.54999999999995</v>
      </c>
      <c r="G945" s="205">
        <f t="shared" ref="G945:G950" si="426">F945-E945</f>
        <v>615.54999999999995</v>
      </c>
      <c r="H945" s="192">
        <v>1.75</v>
      </c>
      <c r="I945" s="205">
        <f t="shared" ref="I945:I950" si="427">H945*E945</f>
        <v>0</v>
      </c>
      <c r="J945" s="205">
        <f>H945*F945</f>
        <v>1077.2124999999999</v>
      </c>
      <c r="K945" s="205">
        <f t="shared" ref="K945:K950" si="428">G945*H945</f>
        <v>1077.2124999999999</v>
      </c>
    </row>
    <row r="946" spans="1:11" ht="26">
      <c r="A946" s="11" t="s">
        <v>1563</v>
      </c>
      <c r="B946" s="12" t="s">
        <v>659</v>
      </c>
      <c r="C946" s="10"/>
      <c r="D946" s="14" t="s">
        <v>87</v>
      </c>
      <c r="E946" s="205">
        <v>0</v>
      </c>
      <c r="F946" s="205">
        <v>18.47</v>
      </c>
      <c r="G946" s="205">
        <f t="shared" si="426"/>
        <v>18.47</v>
      </c>
      <c r="H946" s="192">
        <v>10.32</v>
      </c>
      <c r="I946" s="205">
        <f t="shared" si="427"/>
        <v>0</v>
      </c>
      <c r="J946" s="205">
        <f t="shared" ref="J946:J950" si="429">H946*F946</f>
        <v>190.6104</v>
      </c>
      <c r="K946" s="205">
        <f t="shared" si="428"/>
        <v>190.6104</v>
      </c>
    </row>
    <row r="947" spans="1:11" ht="28.5" customHeight="1">
      <c r="A947" s="11" t="s">
        <v>1564</v>
      </c>
      <c r="B947" s="12" t="s">
        <v>660</v>
      </c>
      <c r="C947" s="10"/>
      <c r="D947" s="14" t="s">
        <v>1485</v>
      </c>
      <c r="E947" s="205">
        <v>0</v>
      </c>
      <c r="F947" s="205">
        <v>554</v>
      </c>
      <c r="G947" s="205">
        <f t="shared" si="426"/>
        <v>554</v>
      </c>
      <c r="H947" s="192">
        <v>2.14</v>
      </c>
      <c r="I947" s="205">
        <f t="shared" si="427"/>
        <v>0</v>
      </c>
      <c r="J947" s="205">
        <f t="shared" si="429"/>
        <v>1185.5600000000002</v>
      </c>
      <c r="K947" s="205">
        <f t="shared" si="428"/>
        <v>1185.5600000000002</v>
      </c>
    </row>
    <row r="948" spans="1:11" ht="32.5" customHeight="1">
      <c r="A948" s="11" t="s">
        <v>1565</v>
      </c>
      <c r="B948" s="18" t="s">
        <v>668</v>
      </c>
      <c r="C948" s="10"/>
      <c r="D948" s="189" t="s">
        <v>1485</v>
      </c>
      <c r="E948" s="205">
        <v>0</v>
      </c>
      <c r="F948" s="205">
        <v>1495.79</v>
      </c>
      <c r="G948" s="205">
        <f t="shared" si="426"/>
        <v>1495.79</v>
      </c>
      <c r="H948" s="193">
        <v>0.87</v>
      </c>
      <c r="I948" s="205">
        <f t="shared" si="427"/>
        <v>0</v>
      </c>
      <c r="J948" s="205">
        <f t="shared" si="429"/>
        <v>1301.3372999999999</v>
      </c>
      <c r="K948" s="205">
        <f t="shared" si="428"/>
        <v>1301.3372999999999</v>
      </c>
    </row>
    <row r="949" spans="1:11" ht="26.5">
      <c r="A949" s="11" t="s">
        <v>1566</v>
      </c>
      <c r="B949" s="18" t="s">
        <v>670</v>
      </c>
      <c r="C949" s="10"/>
      <c r="D949" s="14" t="s">
        <v>87</v>
      </c>
      <c r="E949" s="205">
        <v>0</v>
      </c>
      <c r="F949" s="205">
        <v>18.47</v>
      </c>
      <c r="G949" s="205">
        <f t="shared" si="426"/>
        <v>18.47</v>
      </c>
      <c r="H949" s="192">
        <v>1248.29</v>
      </c>
      <c r="I949" s="205">
        <f t="shared" si="427"/>
        <v>0</v>
      </c>
      <c r="J949" s="205">
        <f t="shared" si="429"/>
        <v>23055.916299999997</v>
      </c>
      <c r="K949" s="205">
        <f t="shared" si="428"/>
        <v>23055.916299999997</v>
      </c>
    </row>
    <row r="950" spans="1:11" ht="16.5" customHeight="1">
      <c r="A950" s="11" t="s">
        <v>1567</v>
      </c>
      <c r="B950" s="16" t="s">
        <v>671</v>
      </c>
      <c r="C950" s="10" t="s">
        <v>87</v>
      </c>
      <c r="D950" s="14" t="s">
        <v>124</v>
      </c>
      <c r="E950" s="205">
        <v>0</v>
      </c>
      <c r="F950" s="205">
        <v>615.54999999999995</v>
      </c>
      <c r="G950" s="205">
        <f t="shared" si="426"/>
        <v>615.54999999999995</v>
      </c>
      <c r="H950" s="192">
        <v>2.83</v>
      </c>
      <c r="I950" s="205">
        <f t="shared" si="427"/>
        <v>0</v>
      </c>
      <c r="J950" s="205">
        <f t="shared" si="429"/>
        <v>1742.0065</v>
      </c>
      <c r="K950" s="205">
        <f t="shared" si="428"/>
        <v>1742.0065</v>
      </c>
    </row>
    <row r="951" spans="1:11">
      <c r="A951" s="8" t="s">
        <v>1568</v>
      </c>
      <c r="B951" s="9" t="s">
        <v>107</v>
      </c>
      <c r="C951" s="8"/>
      <c r="D951" s="8"/>
      <c r="E951" s="211"/>
      <c r="F951" s="211"/>
      <c r="G951" s="211"/>
      <c r="H951" s="191"/>
      <c r="I951" s="204">
        <f>SUM(I952:I954)</f>
        <v>0</v>
      </c>
      <c r="J951" s="204">
        <f>SUM(J952:J954)</f>
        <v>0</v>
      </c>
      <c r="K951" s="204">
        <f>SUM(K952:K954)</f>
        <v>0</v>
      </c>
    </row>
    <row r="952" spans="1:11" ht="39">
      <c r="A952" s="11" t="s">
        <v>1569</v>
      </c>
      <c r="B952" s="12" t="s">
        <v>673</v>
      </c>
      <c r="C952" s="10" t="s">
        <v>33</v>
      </c>
      <c r="D952" s="13" t="s">
        <v>1486</v>
      </c>
      <c r="E952" s="205">
        <v>0</v>
      </c>
      <c r="F952" s="205">
        <v>0</v>
      </c>
      <c r="G952" s="205">
        <f>F952-E952</f>
        <v>0</v>
      </c>
      <c r="H952" s="192">
        <v>625.09</v>
      </c>
      <c r="I952" s="205">
        <f t="shared" ref="I952:I954" si="430">H952*E952</f>
        <v>0</v>
      </c>
      <c r="J952" s="205">
        <f>H952*F952</f>
        <v>0</v>
      </c>
      <c r="K952" s="205">
        <f t="shared" ref="K952:K954" si="431">G952*H952</f>
        <v>0</v>
      </c>
    </row>
    <row r="953" spans="1:11" ht="17" customHeight="1">
      <c r="A953" s="11" t="s">
        <v>1570</v>
      </c>
      <c r="B953" s="190" t="s">
        <v>679</v>
      </c>
      <c r="C953" s="10" t="s">
        <v>33</v>
      </c>
      <c r="D953" s="13" t="s">
        <v>124</v>
      </c>
      <c r="E953" s="205">
        <v>0</v>
      </c>
      <c r="F953" s="205">
        <v>0</v>
      </c>
      <c r="G953" s="205">
        <f>F953-E953</f>
        <v>0</v>
      </c>
      <c r="H953" s="192">
        <v>16.260000000000002</v>
      </c>
      <c r="I953" s="205">
        <f t="shared" si="430"/>
        <v>0</v>
      </c>
      <c r="J953" s="205">
        <f t="shared" ref="J953:J954" si="432">H953*F953</f>
        <v>0</v>
      </c>
      <c r="K953" s="205">
        <f t="shared" si="431"/>
        <v>0</v>
      </c>
    </row>
    <row r="954" spans="1:11" ht="16.5" customHeight="1">
      <c r="A954" s="11" t="s">
        <v>1571</v>
      </c>
      <c r="B954" s="12" t="s">
        <v>674</v>
      </c>
      <c r="C954" s="10" t="s">
        <v>33</v>
      </c>
      <c r="D954" s="13" t="s">
        <v>124</v>
      </c>
      <c r="E954" s="205">
        <v>0</v>
      </c>
      <c r="F954" s="205">
        <v>0</v>
      </c>
      <c r="G954" s="205">
        <f>F954-E954</f>
        <v>0</v>
      </c>
      <c r="H954" s="192">
        <v>4.5599999999999996</v>
      </c>
      <c r="I954" s="205">
        <f t="shared" si="430"/>
        <v>0</v>
      </c>
      <c r="J954" s="205">
        <f t="shared" si="432"/>
        <v>0</v>
      </c>
      <c r="K954" s="205">
        <f t="shared" si="431"/>
        <v>0</v>
      </c>
    </row>
    <row r="955" spans="1:11">
      <c r="A955" s="8" t="s">
        <v>1572</v>
      </c>
      <c r="B955" s="9" t="s">
        <v>677</v>
      </c>
      <c r="C955" s="8"/>
      <c r="D955" s="8"/>
      <c r="E955" s="211"/>
      <c r="F955" s="211"/>
      <c r="G955" s="211"/>
      <c r="H955" s="191"/>
      <c r="I955" s="204">
        <f>SUM(I956:I957)</f>
        <v>0</v>
      </c>
      <c r="J955" s="204">
        <f>SUM(J956:J957)</f>
        <v>1077.2124999999999</v>
      </c>
      <c r="K955" s="204">
        <f>SUM(K956:K957)</f>
        <v>1077.2124999999999</v>
      </c>
    </row>
    <row r="956" spans="1:11">
      <c r="A956" s="11" t="s">
        <v>1573</v>
      </c>
      <c r="B956" s="12" t="s">
        <v>658</v>
      </c>
      <c r="C956" s="10" t="s">
        <v>11</v>
      </c>
      <c r="D956" s="13" t="s">
        <v>124</v>
      </c>
      <c r="E956" s="205">
        <v>0</v>
      </c>
      <c r="F956" s="205">
        <v>615.54999999999995</v>
      </c>
      <c r="G956" s="205">
        <f>F956-E956</f>
        <v>615.54999999999995</v>
      </c>
      <c r="H956" s="192">
        <v>1.75</v>
      </c>
      <c r="I956" s="205">
        <f t="shared" ref="I956:I957" si="433">H956*E956</f>
        <v>0</v>
      </c>
      <c r="J956" s="205">
        <f>H956*F956</f>
        <v>1077.2124999999999</v>
      </c>
      <c r="K956" s="205">
        <f t="shared" ref="K956:K957" si="434">G956*H956</f>
        <v>1077.2124999999999</v>
      </c>
    </row>
    <row r="957" spans="1:11">
      <c r="A957" s="11" t="s">
        <v>1574</v>
      </c>
      <c r="B957" s="12" t="s">
        <v>678</v>
      </c>
      <c r="C957" s="10" t="s">
        <v>11</v>
      </c>
      <c r="D957" s="13" t="s">
        <v>1486</v>
      </c>
      <c r="E957" s="205">
        <v>0</v>
      </c>
      <c r="F957" s="205">
        <v>0</v>
      </c>
      <c r="G957" s="205">
        <f>F957-E957</f>
        <v>0</v>
      </c>
      <c r="H957" s="192">
        <v>92.34</v>
      </c>
      <c r="I957" s="205">
        <f t="shared" si="433"/>
        <v>0</v>
      </c>
      <c r="J957" s="205">
        <f>H957*F957</f>
        <v>0</v>
      </c>
      <c r="K957" s="205">
        <f t="shared" si="434"/>
        <v>0</v>
      </c>
    </row>
    <row r="958" spans="1:11">
      <c r="A958" s="183">
        <v>36</v>
      </c>
      <c r="B958" s="188" t="s">
        <v>2019</v>
      </c>
      <c r="C958" s="183"/>
      <c r="D958" s="183"/>
      <c r="E958" s="210"/>
      <c r="F958" s="210"/>
      <c r="G958" s="210"/>
      <c r="H958" s="194"/>
      <c r="I958" s="203">
        <f>SUM(I959,I962,I964,I971,I978,I982)</f>
        <v>0</v>
      </c>
      <c r="J958" s="203">
        <f>SUM(J959,J962,J964,J971,J978,J982)</f>
        <v>81285.878000000012</v>
      </c>
      <c r="K958" s="203">
        <f>SUM(K959,K962,K964,K971,K978,K982)</f>
        <v>81285.878000000012</v>
      </c>
    </row>
    <row r="959" spans="1:11">
      <c r="A959" s="8" t="s">
        <v>1575</v>
      </c>
      <c r="B959" s="9" t="s">
        <v>8</v>
      </c>
      <c r="C959" s="8"/>
      <c r="D959" s="8"/>
      <c r="E959" s="211"/>
      <c r="F959" s="211"/>
      <c r="G959" s="211"/>
      <c r="H959" s="191"/>
      <c r="I959" s="204">
        <f>SUM(I960:I961)</f>
        <v>0</v>
      </c>
      <c r="J959" s="204">
        <f>SUM(J960:J961)</f>
        <v>12748.174200000001</v>
      </c>
      <c r="K959" s="204">
        <f>SUM(K960:K961)</f>
        <v>12748.174200000001</v>
      </c>
    </row>
    <row r="960" spans="1:11" ht="26">
      <c r="A960" s="11" t="s">
        <v>1576</v>
      </c>
      <c r="B960" s="12" t="s">
        <v>652</v>
      </c>
      <c r="C960" s="10" t="s">
        <v>13</v>
      </c>
      <c r="D960" s="13" t="s">
        <v>124</v>
      </c>
      <c r="E960" s="205">
        <v>0</v>
      </c>
      <c r="F960" s="205">
        <v>722.22</v>
      </c>
      <c r="G960" s="205">
        <f>F960-E960</f>
        <v>722.22</v>
      </c>
      <c r="H960" s="192">
        <v>0.36</v>
      </c>
      <c r="I960" s="205">
        <f>H960*E960</f>
        <v>0</v>
      </c>
      <c r="J960" s="205">
        <f>H960*F960</f>
        <v>259.99919999999997</v>
      </c>
      <c r="K960" s="205">
        <f t="shared" ref="K960:K961" si="435">G960*H960</f>
        <v>259.99919999999997</v>
      </c>
    </row>
    <row r="961" spans="1:11" ht="52">
      <c r="A961" s="11" t="s">
        <v>1577</v>
      </c>
      <c r="B961" s="12" t="s">
        <v>649</v>
      </c>
      <c r="C961" s="10" t="s">
        <v>11</v>
      </c>
      <c r="D961" s="13" t="s">
        <v>124</v>
      </c>
      <c r="E961" s="205">
        <v>0</v>
      </c>
      <c r="F961" s="205">
        <v>202.5</v>
      </c>
      <c r="G961" s="205">
        <f>F961-E961</f>
        <v>202.5</v>
      </c>
      <c r="H961" s="192">
        <v>61.67</v>
      </c>
      <c r="I961" s="205">
        <f>H961*E961</f>
        <v>0</v>
      </c>
      <c r="J961" s="205">
        <f>H961*F961</f>
        <v>12488.175000000001</v>
      </c>
      <c r="K961" s="205">
        <f t="shared" si="435"/>
        <v>12488.175000000001</v>
      </c>
    </row>
    <row r="962" spans="1:11">
      <c r="A962" s="8" t="s">
        <v>1578</v>
      </c>
      <c r="B962" s="9" t="s">
        <v>654</v>
      </c>
      <c r="C962" s="8"/>
      <c r="D962" s="8"/>
      <c r="E962" s="211"/>
      <c r="F962" s="211"/>
      <c r="G962" s="211"/>
      <c r="H962" s="191"/>
      <c r="I962" s="204">
        <f>SUM(I963:I963)</f>
        <v>0</v>
      </c>
      <c r="J962" s="204">
        <f>SUM(J963:J963)</f>
        <v>274.4436</v>
      </c>
      <c r="K962" s="204">
        <f>SUM(K963:K963)</f>
        <v>274.4436</v>
      </c>
    </row>
    <row r="963" spans="1:11" ht="26">
      <c r="A963" s="11" t="s">
        <v>1579</v>
      </c>
      <c r="B963" s="12" t="s">
        <v>655</v>
      </c>
      <c r="C963" s="10"/>
      <c r="D963" s="13" t="s">
        <v>124</v>
      </c>
      <c r="E963" s="205">
        <v>0</v>
      </c>
      <c r="F963" s="205">
        <v>722.22</v>
      </c>
      <c r="G963" s="205">
        <f>F963-E963</f>
        <v>722.22</v>
      </c>
      <c r="H963" s="192">
        <v>0.38</v>
      </c>
      <c r="I963" s="205">
        <f t="shared" ref="I963" si="436">H963*E963</f>
        <v>0</v>
      </c>
      <c r="J963" s="205">
        <f>H963*F963</f>
        <v>274.4436</v>
      </c>
      <c r="K963" s="205">
        <f t="shared" ref="K963" si="437">G963*H963</f>
        <v>274.4436</v>
      </c>
    </row>
    <row r="964" spans="1:11">
      <c r="A964" s="8" t="s">
        <v>1580</v>
      </c>
      <c r="B964" s="9" t="s">
        <v>657</v>
      </c>
      <c r="C964" s="8"/>
      <c r="D964" s="8"/>
      <c r="E964" s="211"/>
      <c r="F964" s="211"/>
      <c r="G964" s="211"/>
      <c r="H964" s="191"/>
      <c r="I964" s="204">
        <f>SUM(I965:I970)</f>
        <v>0</v>
      </c>
      <c r="J964" s="204">
        <f>SUM(J965:J970)</f>
        <v>33499.687600000005</v>
      </c>
      <c r="K964" s="204">
        <f>SUM(K965:K970)</f>
        <v>33499.687600000005</v>
      </c>
    </row>
    <row r="965" spans="1:11">
      <c r="A965" s="11" t="s">
        <v>1581</v>
      </c>
      <c r="B965" s="12" t="s">
        <v>658</v>
      </c>
      <c r="C965" s="10"/>
      <c r="D965" s="13" t="s">
        <v>124</v>
      </c>
      <c r="E965" s="205">
        <v>0</v>
      </c>
      <c r="F965" s="205">
        <v>722.22</v>
      </c>
      <c r="G965" s="205">
        <f t="shared" ref="G965:G970" si="438">F965-E965</f>
        <v>722.22</v>
      </c>
      <c r="H965" s="192">
        <v>1.75</v>
      </c>
      <c r="I965" s="205">
        <f t="shared" ref="I965:I970" si="439">H965*E965</f>
        <v>0</v>
      </c>
      <c r="J965" s="205">
        <f>H965*F965</f>
        <v>1263.885</v>
      </c>
      <c r="K965" s="205">
        <f t="shared" ref="K965:K970" si="440">G965*H965</f>
        <v>1263.885</v>
      </c>
    </row>
    <row r="966" spans="1:11" ht="26">
      <c r="A966" s="11" t="s">
        <v>1582</v>
      </c>
      <c r="B966" s="12" t="s">
        <v>659</v>
      </c>
      <c r="C966" s="10"/>
      <c r="D966" s="13" t="s">
        <v>87</v>
      </c>
      <c r="E966" s="205">
        <v>0</v>
      </c>
      <c r="F966" s="205">
        <v>21.67</v>
      </c>
      <c r="G966" s="205">
        <f t="shared" si="438"/>
        <v>21.67</v>
      </c>
      <c r="H966" s="192">
        <v>10.32</v>
      </c>
      <c r="I966" s="205">
        <f t="shared" si="439"/>
        <v>0</v>
      </c>
      <c r="J966" s="205">
        <f t="shared" ref="J966:J970" si="441">H966*F966</f>
        <v>223.63440000000003</v>
      </c>
      <c r="K966" s="205">
        <f t="shared" si="440"/>
        <v>223.63440000000003</v>
      </c>
    </row>
    <row r="967" spans="1:11" ht="28.5" customHeight="1">
      <c r="A967" s="11" t="s">
        <v>1583</v>
      </c>
      <c r="B967" s="12" t="s">
        <v>660</v>
      </c>
      <c r="C967" s="10"/>
      <c r="D967" s="13" t="s">
        <v>1485</v>
      </c>
      <c r="E967" s="205">
        <v>0</v>
      </c>
      <c r="F967" s="205">
        <v>650</v>
      </c>
      <c r="G967" s="205">
        <f t="shared" si="438"/>
        <v>650</v>
      </c>
      <c r="H967" s="192">
        <v>2.14</v>
      </c>
      <c r="I967" s="205">
        <f t="shared" si="439"/>
        <v>0</v>
      </c>
      <c r="J967" s="205">
        <f t="shared" si="441"/>
        <v>1391</v>
      </c>
      <c r="K967" s="205">
        <f t="shared" si="440"/>
        <v>1391</v>
      </c>
    </row>
    <row r="968" spans="1:11" ht="29" customHeight="1">
      <c r="A968" s="11" t="s">
        <v>1584</v>
      </c>
      <c r="B968" s="12" t="s">
        <v>668</v>
      </c>
      <c r="C968" s="10"/>
      <c r="D968" s="13" t="s">
        <v>1485</v>
      </c>
      <c r="E968" s="205">
        <v>0</v>
      </c>
      <c r="F968" s="205">
        <v>1754.99</v>
      </c>
      <c r="G968" s="205">
        <f t="shared" si="438"/>
        <v>1754.99</v>
      </c>
      <c r="H968" s="192">
        <v>0.87</v>
      </c>
      <c r="I968" s="205">
        <f t="shared" si="439"/>
        <v>0</v>
      </c>
      <c r="J968" s="205">
        <f t="shared" si="441"/>
        <v>1526.8413</v>
      </c>
      <c r="K968" s="205">
        <f t="shared" si="440"/>
        <v>1526.8413</v>
      </c>
    </row>
    <row r="969" spans="1:11" ht="28" customHeight="1">
      <c r="A969" s="11" t="s">
        <v>1585</v>
      </c>
      <c r="B969" s="12" t="s">
        <v>661</v>
      </c>
      <c r="C969" s="10"/>
      <c r="D969" s="13" t="s">
        <v>87</v>
      </c>
      <c r="E969" s="205">
        <v>0</v>
      </c>
      <c r="F969" s="205">
        <v>21.67</v>
      </c>
      <c r="G969" s="205">
        <f t="shared" si="438"/>
        <v>21.67</v>
      </c>
      <c r="H969" s="192">
        <v>1248.29</v>
      </c>
      <c r="I969" s="205">
        <f t="shared" si="439"/>
        <v>0</v>
      </c>
      <c r="J969" s="205">
        <f t="shared" si="441"/>
        <v>27050.444300000003</v>
      </c>
      <c r="K969" s="205">
        <f t="shared" si="440"/>
        <v>27050.444300000003</v>
      </c>
    </row>
    <row r="970" spans="1:11" ht="17.5" customHeight="1">
      <c r="A970" s="11" t="s">
        <v>1586</v>
      </c>
      <c r="B970" s="12" t="s">
        <v>662</v>
      </c>
      <c r="C970" s="10"/>
      <c r="D970" s="13" t="s">
        <v>124</v>
      </c>
      <c r="E970" s="205">
        <v>0</v>
      </c>
      <c r="F970" s="205">
        <v>722.22</v>
      </c>
      <c r="G970" s="205">
        <f t="shared" si="438"/>
        <v>722.22</v>
      </c>
      <c r="H970" s="192">
        <v>2.83</v>
      </c>
      <c r="I970" s="205">
        <f t="shared" si="439"/>
        <v>0</v>
      </c>
      <c r="J970" s="205">
        <f t="shared" si="441"/>
        <v>2043.8826000000001</v>
      </c>
      <c r="K970" s="205">
        <f t="shared" si="440"/>
        <v>2043.8826000000001</v>
      </c>
    </row>
    <row r="971" spans="1:11">
      <c r="A971" s="8" t="s">
        <v>1587</v>
      </c>
      <c r="B971" s="9" t="s">
        <v>669</v>
      </c>
      <c r="C971" s="8"/>
      <c r="D971" s="8"/>
      <c r="E971" s="211"/>
      <c r="F971" s="211"/>
      <c r="G971" s="211"/>
      <c r="H971" s="191"/>
      <c r="I971" s="204">
        <f>SUM(I972:I977)</f>
        <v>0</v>
      </c>
      <c r="J971" s="204">
        <f>SUM(J972:J977)</f>
        <v>33499.687600000005</v>
      </c>
      <c r="K971" s="204">
        <f>SUM(K972:K977)</f>
        <v>33499.687600000005</v>
      </c>
    </row>
    <row r="972" spans="1:11">
      <c r="A972" s="11" t="s">
        <v>1588</v>
      </c>
      <c r="B972" s="12" t="s">
        <v>658</v>
      </c>
      <c r="C972" s="10"/>
      <c r="D972" s="14" t="s">
        <v>124</v>
      </c>
      <c r="E972" s="205">
        <v>0</v>
      </c>
      <c r="F972" s="205">
        <v>722.22</v>
      </c>
      <c r="G972" s="205">
        <f t="shared" ref="G972:G977" si="442">F972-E972</f>
        <v>722.22</v>
      </c>
      <c r="H972" s="192">
        <v>1.75</v>
      </c>
      <c r="I972" s="205">
        <f t="shared" ref="I972:I977" si="443">H972*E972</f>
        <v>0</v>
      </c>
      <c r="J972" s="205">
        <f>H972*F972</f>
        <v>1263.885</v>
      </c>
      <c r="K972" s="205">
        <f t="shared" ref="K972:K977" si="444">G972*H972</f>
        <v>1263.885</v>
      </c>
    </row>
    <row r="973" spans="1:11" ht="26">
      <c r="A973" s="11" t="s">
        <v>1589</v>
      </c>
      <c r="B973" s="12" t="s">
        <v>659</v>
      </c>
      <c r="C973" s="10"/>
      <c r="D973" s="14" t="s">
        <v>87</v>
      </c>
      <c r="E973" s="205">
        <v>0</v>
      </c>
      <c r="F973" s="205">
        <v>21.67</v>
      </c>
      <c r="G973" s="205">
        <f t="shared" si="442"/>
        <v>21.67</v>
      </c>
      <c r="H973" s="192">
        <v>10.32</v>
      </c>
      <c r="I973" s="205">
        <f t="shared" si="443"/>
        <v>0</v>
      </c>
      <c r="J973" s="205">
        <f t="shared" ref="J973:J977" si="445">H973*F973</f>
        <v>223.63440000000003</v>
      </c>
      <c r="K973" s="205">
        <f t="shared" si="444"/>
        <v>223.63440000000003</v>
      </c>
    </row>
    <row r="974" spans="1:11" ht="28.5" customHeight="1">
      <c r="A974" s="11" t="s">
        <v>1590</v>
      </c>
      <c r="B974" s="12" t="s">
        <v>660</v>
      </c>
      <c r="C974" s="10"/>
      <c r="D974" s="14" t="s">
        <v>1485</v>
      </c>
      <c r="E974" s="205">
        <v>0</v>
      </c>
      <c r="F974" s="205">
        <v>650</v>
      </c>
      <c r="G974" s="205">
        <f t="shared" si="442"/>
        <v>650</v>
      </c>
      <c r="H974" s="192">
        <v>2.14</v>
      </c>
      <c r="I974" s="205">
        <f t="shared" si="443"/>
        <v>0</v>
      </c>
      <c r="J974" s="205">
        <f t="shared" si="445"/>
        <v>1391</v>
      </c>
      <c r="K974" s="205">
        <f t="shared" si="444"/>
        <v>1391</v>
      </c>
    </row>
    <row r="975" spans="1:11" ht="32.5" customHeight="1">
      <c r="A975" s="11" t="s">
        <v>1591</v>
      </c>
      <c r="B975" s="18" t="s">
        <v>668</v>
      </c>
      <c r="C975" s="10"/>
      <c r="D975" s="189" t="s">
        <v>1485</v>
      </c>
      <c r="E975" s="205">
        <v>0</v>
      </c>
      <c r="F975" s="205">
        <v>1754.99</v>
      </c>
      <c r="G975" s="205">
        <f t="shared" si="442"/>
        <v>1754.99</v>
      </c>
      <c r="H975" s="193">
        <v>0.87</v>
      </c>
      <c r="I975" s="205">
        <f t="shared" si="443"/>
        <v>0</v>
      </c>
      <c r="J975" s="205">
        <f t="shared" si="445"/>
        <v>1526.8413</v>
      </c>
      <c r="K975" s="205">
        <f t="shared" si="444"/>
        <v>1526.8413</v>
      </c>
    </row>
    <row r="976" spans="1:11" ht="26.5">
      <c r="A976" s="11" t="s">
        <v>1592</v>
      </c>
      <c r="B976" s="18" t="s">
        <v>670</v>
      </c>
      <c r="C976" s="10"/>
      <c r="D976" s="14" t="s">
        <v>87</v>
      </c>
      <c r="E976" s="205">
        <v>0</v>
      </c>
      <c r="F976" s="205">
        <v>21.67</v>
      </c>
      <c r="G976" s="205">
        <f t="shared" si="442"/>
        <v>21.67</v>
      </c>
      <c r="H976" s="192">
        <v>1248.29</v>
      </c>
      <c r="I976" s="205">
        <f t="shared" si="443"/>
        <v>0</v>
      </c>
      <c r="J976" s="205">
        <f t="shared" si="445"/>
        <v>27050.444300000003</v>
      </c>
      <c r="K976" s="205">
        <f t="shared" si="444"/>
        <v>27050.444300000003</v>
      </c>
    </row>
    <row r="977" spans="1:11" ht="16.5" customHeight="1">
      <c r="A977" s="11" t="s">
        <v>1593</v>
      </c>
      <c r="B977" s="16" t="s">
        <v>671</v>
      </c>
      <c r="C977" s="10" t="s">
        <v>87</v>
      </c>
      <c r="D977" s="14" t="s">
        <v>124</v>
      </c>
      <c r="E977" s="205">
        <v>0</v>
      </c>
      <c r="F977" s="205">
        <v>722.22</v>
      </c>
      <c r="G977" s="205">
        <f t="shared" si="442"/>
        <v>722.22</v>
      </c>
      <c r="H977" s="192">
        <v>2.83</v>
      </c>
      <c r="I977" s="205">
        <f t="shared" si="443"/>
        <v>0</v>
      </c>
      <c r="J977" s="205">
        <f t="shared" si="445"/>
        <v>2043.8826000000001</v>
      </c>
      <c r="K977" s="205">
        <f t="shared" si="444"/>
        <v>2043.8826000000001</v>
      </c>
    </row>
    <row r="978" spans="1:11">
      <c r="A978" s="8" t="s">
        <v>1594</v>
      </c>
      <c r="B978" s="9" t="s">
        <v>107</v>
      </c>
      <c r="C978" s="8"/>
      <c r="D978" s="8"/>
      <c r="E978" s="211"/>
      <c r="F978" s="211"/>
      <c r="G978" s="211"/>
      <c r="H978" s="191"/>
      <c r="I978" s="204">
        <f>SUM(I979:I981)</f>
        <v>0</v>
      </c>
      <c r="J978" s="204">
        <f>SUM(J979:J981)</f>
        <v>0</v>
      </c>
      <c r="K978" s="204">
        <f>SUM(K979:K981)</f>
        <v>0</v>
      </c>
    </row>
    <row r="979" spans="1:11" ht="39">
      <c r="A979" s="11" t="s">
        <v>1595</v>
      </c>
      <c r="B979" s="12" t="s">
        <v>673</v>
      </c>
      <c r="C979" s="10" t="s">
        <v>33</v>
      </c>
      <c r="D979" s="13" t="s">
        <v>1486</v>
      </c>
      <c r="E979" s="205">
        <v>0</v>
      </c>
      <c r="F979" s="205">
        <v>0</v>
      </c>
      <c r="G979" s="205">
        <f>F979-E979</f>
        <v>0</v>
      </c>
      <c r="H979" s="192">
        <v>625.09</v>
      </c>
      <c r="I979" s="205">
        <f t="shared" ref="I979:I981" si="446">H979*E979</f>
        <v>0</v>
      </c>
      <c r="J979" s="205">
        <f>H979*F979</f>
        <v>0</v>
      </c>
      <c r="K979" s="205">
        <f t="shared" ref="K979:K981" si="447">G979*H979</f>
        <v>0</v>
      </c>
    </row>
    <row r="980" spans="1:11" ht="17" customHeight="1">
      <c r="A980" s="11" t="s">
        <v>1596</v>
      </c>
      <c r="B980" s="190" t="s">
        <v>679</v>
      </c>
      <c r="C980" s="10" t="s">
        <v>33</v>
      </c>
      <c r="D980" s="13" t="s">
        <v>124</v>
      </c>
      <c r="E980" s="205">
        <v>0</v>
      </c>
      <c r="F980" s="205">
        <v>0</v>
      </c>
      <c r="G980" s="205">
        <f>F980-E980</f>
        <v>0</v>
      </c>
      <c r="H980" s="192">
        <v>16.260000000000002</v>
      </c>
      <c r="I980" s="205">
        <f t="shared" si="446"/>
        <v>0</v>
      </c>
      <c r="J980" s="205">
        <f t="shared" ref="J980:J981" si="448">H980*F980</f>
        <v>0</v>
      </c>
      <c r="K980" s="205">
        <f t="shared" si="447"/>
        <v>0</v>
      </c>
    </row>
    <row r="981" spans="1:11" ht="16.5" customHeight="1">
      <c r="A981" s="11" t="s">
        <v>1597</v>
      </c>
      <c r="B981" s="12" t="s">
        <v>674</v>
      </c>
      <c r="C981" s="10" t="s">
        <v>33</v>
      </c>
      <c r="D981" s="13" t="s">
        <v>124</v>
      </c>
      <c r="E981" s="205">
        <v>0</v>
      </c>
      <c r="F981" s="205">
        <v>0</v>
      </c>
      <c r="G981" s="205">
        <f>F981-E981</f>
        <v>0</v>
      </c>
      <c r="H981" s="192">
        <v>4.5599999999999996</v>
      </c>
      <c r="I981" s="205">
        <f t="shared" si="446"/>
        <v>0</v>
      </c>
      <c r="J981" s="205">
        <f t="shared" si="448"/>
        <v>0</v>
      </c>
      <c r="K981" s="205">
        <f t="shared" si="447"/>
        <v>0</v>
      </c>
    </row>
    <row r="982" spans="1:11">
      <c r="A982" s="8" t="s">
        <v>1598</v>
      </c>
      <c r="B982" s="9" t="s">
        <v>677</v>
      </c>
      <c r="C982" s="8"/>
      <c r="D982" s="8"/>
      <c r="E982" s="211"/>
      <c r="F982" s="211"/>
      <c r="G982" s="211"/>
      <c r="H982" s="191"/>
      <c r="I982" s="204">
        <f>SUM(I983:I984)</f>
        <v>0</v>
      </c>
      <c r="J982" s="204">
        <f>SUM(J983:J984)</f>
        <v>1263.885</v>
      </c>
      <c r="K982" s="204">
        <f>SUM(K983:K984)</f>
        <v>1263.885</v>
      </c>
    </row>
    <row r="983" spans="1:11">
      <c r="A983" s="11" t="s">
        <v>1599</v>
      </c>
      <c r="B983" s="12" t="s">
        <v>658</v>
      </c>
      <c r="C983" s="10" t="s">
        <v>11</v>
      </c>
      <c r="D983" s="13" t="s">
        <v>124</v>
      </c>
      <c r="E983" s="205">
        <v>0</v>
      </c>
      <c r="F983" s="205">
        <v>722.22</v>
      </c>
      <c r="G983" s="205">
        <f>F983-E983</f>
        <v>722.22</v>
      </c>
      <c r="H983" s="192">
        <v>1.75</v>
      </c>
      <c r="I983" s="205">
        <f t="shared" ref="I983:I984" si="449">H983*E983</f>
        <v>0</v>
      </c>
      <c r="J983" s="205">
        <f>H983*F983</f>
        <v>1263.885</v>
      </c>
      <c r="K983" s="205">
        <f t="shared" ref="K983:K984" si="450">G983*H983</f>
        <v>1263.885</v>
      </c>
    </row>
    <row r="984" spans="1:11">
      <c r="A984" s="11" t="s">
        <v>1600</v>
      </c>
      <c r="B984" s="12" t="s">
        <v>678</v>
      </c>
      <c r="C984" s="10" t="s">
        <v>11</v>
      </c>
      <c r="D984" s="13" t="s">
        <v>1486</v>
      </c>
      <c r="E984" s="205">
        <v>0</v>
      </c>
      <c r="F984" s="205">
        <v>0</v>
      </c>
      <c r="G984" s="205">
        <f>F984-E984</f>
        <v>0</v>
      </c>
      <c r="H984" s="192">
        <v>92.34</v>
      </c>
      <c r="I984" s="205">
        <f t="shared" si="449"/>
        <v>0</v>
      </c>
      <c r="J984" s="205">
        <f>H984*F984</f>
        <v>0</v>
      </c>
      <c r="K984" s="205">
        <f t="shared" si="450"/>
        <v>0</v>
      </c>
    </row>
    <row r="985" spans="1:11">
      <c r="A985" s="183">
        <v>37</v>
      </c>
      <c r="B985" s="188" t="s">
        <v>2020</v>
      </c>
      <c r="C985" s="183"/>
      <c r="D985" s="183"/>
      <c r="E985" s="210"/>
      <c r="F985" s="210"/>
      <c r="G985" s="210"/>
      <c r="H985" s="194"/>
      <c r="I985" s="203">
        <f>SUM(I986,I989,I991,I998,I1005,I1009)</f>
        <v>0</v>
      </c>
      <c r="J985" s="203">
        <f>SUM(J986,J989,J991,J998,J1005,J1009)</f>
        <v>67267.106599999999</v>
      </c>
      <c r="K985" s="203">
        <f>SUM(K986,K989,K991,K998,K1005,K1009)</f>
        <v>67267.106599999999</v>
      </c>
    </row>
    <row r="986" spans="1:11">
      <c r="A986" s="8" t="s">
        <v>1601</v>
      </c>
      <c r="B986" s="9" t="s">
        <v>8</v>
      </c>
      <c r="C986" s="8"/>
      <c r="D986" s="8"/>
      <c r="E986" s="211"/>
      <c r="F986" s="211"/>
      <c r="G986" s="211"/>
      <c r="H986" s="191"/>
      <c r="I986" s="204">
        <f>SUM(I987:I988)</f>
        <v>0</v>
      </c>
      <c r="J986" s="204">
        <f>SUM(J987:J988)</f>
        <v>10936.276900000001</v>
      </c>
      <c r="K986" s="204">
        <f>SUM(K987:K988)</f>
        <v>10936.276900000001</v>
      </c>
    </row>
    <row r="987" spans="1:11" ht="26">
      <c r="A987" s="11" t="s">
        <v>1602</v>
      </c>
      <c r="B987" s="12" t="s">
        <v>652</v>
      </c>
      <c r="C987" s="10" t="s">
        <v>13</v>
      </c>
      <c r="D987" s="13" t="s">
        <v>124</v>
      </c>
      <c r="E987" s="205">
        <v>0</v>
      </c>
      <c r="F987" s="205">
        <v>593.65</v>
      </c>
      <c r="G987" s="205">
        <f>F987-E987</f>
        <v>593.65</v>
      </c>
      <c r="H987" s="192">
        <v>0.36</v>
      </c>
      <c r="I987" s="205">
        <f>H987*E987</f>
        <v>0</v>
      </c>
      <c r="J987" s="205">
        <f>H987*F987</f>
        <v>213.71399999999997</v>
      </c>
      <c r="K987" s="205">
        <f t="shared" ref="K987:K988" si="451">G987*H987</f>
        <v>213.71399999999997</v>
      </c>
    </row>
    <row r="988" spans="1:11" ht="52">
      <c r="A988" s="11" t="s">
        <v>1603</v>
      </c>
      <c r="B988" s="12" t="s">
        <v>649</v>
      </c>
      <c r="C988" s="10" t="s">
        <v>11</v>
      </c>
      <c r="D988" s="13" t="s">
        <v>124</v>
      </c>
      <c r="E988" s="205">
        <v>0</v>
      </c>
      <c r="F988" s="205">
        <v>173.87</v>
      </c>
      <c r="G988" s="205">
        <f>F988-E988</f>
        <v>173.87</v>
      </c>
      <c r="H988" s="192">
        <v>61.67</v>
      </c>
      <c r="I988" s="205">
        <f>H988*E988</f>
        <v>0</v>
      </c>
      <c r="J988" s="205">
        <f>H988*F988</f>
        <v>10722.562900000001</v>
      </c>
      <c r="K988" s="205">
        <f t="shared" si="451"/>
        <v>10722.562900000001</v>
      </c>
    </row>
    <row r="989" spans="1:11">
      <c r="A989" s="8" t="s">
        <v>1604</v>
      </c>
      <c r="B989" s="9" t="s">
        <v>654</v>
      </c>
      <c r="C989" s="8"/>
      <c r="D989" s="8"/>
      <c r="E989" s="211"/>
      <c r="F989" s="211"/>
      <c r="G989" s="211"/>
      <c r="H989" s="191"/>
      <c r="I989" s="204">
        <f>SUM(I990:I990)</f>
        <v>0</v>
      </c>
      <c r="J989" s="204">
        <f>SUM(J990:J990)</f>
        <v>225.58699999999999</v>
      </c>
      <c r="K989" s="204">
        <f>SUM(K990:K990)</f>
        <v>225.58699999999999</v>
      </c>
    </row>
    <row r="990" spans="1:11" ht="26">
      <c r="A990" s="11" t="s">
        <v>1605</v>
      </c>
      <c r="B990" s="12" t="s">
        <v>655</v>
      </c>
      <c r="C990" s="10"/>
      <c r="D990" s="13" t="s">
        <v>124</v>
      </c>
      <c r="E990" s="205">
        <v>0</v>
      </c>
      <c r="F990" s="205">
        <v>593.65</v>
      </c>
      <c r="G990" s="205">
        <f>F990-E990</f>
        <v>593.65</v>
      </c>
      <c r="H990" s="192">
        <v>0.38</v>
      </c>
      <c r="I990" s="205">
        <f t="shared" ref="I990" si="452">H990*E990</f>
        <v>0</v>
      </c>
      <c r="J990" s="205">
        <f>H990*F990</f>
        <v>225.58699999999999</v>
      </c>
      <c r="K990" s="205">
        <f t="shared" ref="K990" si="453">G990*H990</f>
        <v>225.58699999999999</v>
      </c>
    </row>
    <row r="991" spans="1:11">
      <c r="A991" s="8" t="s">
        <v>1606</v>
      </c>
      <c r="B991" s="9" t="s">
        <v>657</v>
      </c>
      <c r="C991" s="8"/>
      <c r="D991" s="8"/>
      <c r="E991" s="211"/>
      <c r="F991" s="211"/>
      <c r="G991" s="211"/>
      <c r="H991" s="191"/>
      <c r="I991" s="204">
        <f>SUM(I992:I997)</f>
        <v>0</v>
      </c>
      <c r="J991" s="204">
        <f>SUM(J992:J997)</f>
        <v>27533.177599999999</v>
      </c>
      <c r="K991" s="204">
        <f>SUM(K992:K997)</f>
        <v>27533.177599999999</v>
      </c>
    </row>
    <row r="992" spans="1:11">
      <c r="A992" s="11" t="s">
        <v>1607</v>
      </c>
      <c r="B992" s="12" t="s">
        <v>658</v>
      </c>
      <c r="C992" s="10"/>
      <c r="D992" s="13" t="s">
        <v>124</v>
      </c>
      <c r="E992" s="205">
        <v>0</v>
      </c>
      <c r="F992" s="205">
        <v>593.65</v>
      </c>
      <c r="G992" s="205">
        <f t="shared" ref="G992:G997" si="454">F992-E992</f>
        <v>593.65</v>
      </c>
      <c r="H992" s="192">
        <v>1.75</v>
      </c>
      <c r="I992" s="205">
        <f t="shared" ref="I992:I997" si="455">H992*E992</f>
        <v>0</v>
      </c>
      <c r="J992" s="205">
        <f>H992*F992</f>
        <v>1038.8875</v>
      </c>
      <c r="K992" s="205">
        <f t="shared" ref="K992:K997" si="456">G992*H992</f>
        <v>1038.8875</v>
      </c>
    </row>
    <row r="993" spans="1:11" ht="26">
      <c r="A993" s="11" t="s">
        <v>1608</v>
      </c>
      <c r="B993" s="12" t="s">
        <v>659</v>
      </c>
      <c r="C993" s="10"/>
      <c r="D993" s="13" t="s">
        <v>87</v>
      </c>
      <c r="E993" s="205">
        <v>0</v>
      </c>
      <c r="F993" s="205">
        <v>17.809999999999999</v>
      </c>
      <c r="G993" s="205">
        <f t="shared" si="454"/>
        <v>17.809999999999999</v>
      </c>
      <c r="H993" s="192">
        <v>10.32</v>
      </c>
      <c r="I993" s="205">
        <f t="shared" si="455"/>
        <v>0</v>
      </c>
      <c r="J993" s="205">
        <f t="shared" ref="J993:J997" si="457">H993*F993</f>
        <v>183.79919999999998</v>
      </c>
      <c r="K993" s="205">
        <f t="shared" si="456"/>
        <v>183.79919999999998</v>
      </c>
    </row>
    <row r="994" spans="1:11" ht="28.5" customHeight="1">
      <c r="A994" s="11" t="s">
        <v>1609</v>
      </c>
      <c r="B994" s="12" t="s">
        <v>660</v>
      </c>
      <c r="C994" s="10"/>
      <c r="D994" s="13" t="s">
        <v>1485</v>
      </c>
      <c r="E994" s="205">
        <v>0</v>
      </c>
      <c r="F994" s="205">
        <v>534.29</v>
      </c>
      <c r="G994" s="205">
        <f t="shared" si="454"/>
        <v>534.29</v>
      </c>
      <c r="H994" s="192">
        <v>2.14</v>
      </c>
      <c r="I994" s="205">
        <f t="shared" si="455"/>
        <v>0</v>
      </c>
      <c r="J994" s="205">
        <f t="shared" si="457"/>
        <v>1143.3806</v>
      </c>
      <c r="K994" s="205">
        <f t="shared" si="456"/>
        <v>1143.3806</v>
      </c>
    </row>
    <row r="995" spans="1:11" ht="29" customHeight="1">
      <c r="A995" s="11" t="s">
        <v>1610</v>
      </c>
      <c r="B995" s="12" t="s">
        <v>668</v>
      </c>
      <c r="C995" s="10"/>
      <c r="D995" s="13" t="s">
        <v>1485</v>
      </c>
      <c r="E995" s="205">
        <v>0</v>
      </c>
      <c r="F995" s="205">
        <v>1442.57</v>
      </c>
      <c r="G995" s="205">
        <f t="shared" si="454"/>
        <v>1442.57</v>
      </c>
      <c r="H995" s="192">
        <v>0.87</v>
      </c>
      <c r="I995" s="205">
        <f t="shared" si="455"/>
        <v>0</v>
      </c>
      <c r="J995" s="205">
        <f t="shared" si="457"/>
        <v>1255.0358999999999</v>
      </c>
      <c r="K995" s="205">
        <f t="shared" si="456"/>
        <v>1255.0358999999999</v>
      </c>
    </row>
    <row r="996" spans="1:11" ht="28" customHeight="1">
      <c r="A996" s="11" t="s">
        <v>1611</v>
      </c>
      <c r="B996" s="12" t="s">
        <v>661</v>
      </c>
      <c r="C996" s="10"/>
      <c r="D996" s="13" t="s">
        <v>87</v>
      </c>
      <c r="E996" s="205">
        <v>0</v>
      </c>
      <c r="F996" s="205">
        <v>17.809999999999999</v>
      </c>
      <c r="G996" s="205">
        <f t="shared" si="454"/>
        <v>17.809999999999999</v>
      </c>
      <c r="H996" s="192">
        <v>1248.29</v>
      </c>
      <c r="I996" s="205">
        <f t="shared" si="455"/>
        <v>0</v>
      </c>
      <c r="J996" s="205">
        <f t="shared" si="457"/>
        <v>22232.044899999997</v>
      </c>
      <c r="K996" s="205">
        <f t="shared" si="456"/>
        <v>22232.044899999997</v>
      </c>
    </row>
    <row r="997" spans="1:11" ht="17.5" customHeight="1">
      <c r="A997" s="11" t="s">
        <v>1612</v>
      </c>
      <c r="B997" s="12" t="s">
        <v>662</v>
      </c>
      <c r="C997" s="10"/>
      <c r="D997" s="13" t="s">
        <v>124</v>
      </c>
      <c r="E997" s="205">
        <v>0</v>
      </c>
      <c r="F997" s="205">
        <v>593.65</v>
      </c>
      <c r="G997" s="205">
        <f t="shared" si="454"/>
        <v>593.65</v>
      </c>
      <c r="H997" s="192">
        <v>2.83</v>
      </c>
      <c r="I997" s="205">
        <f t="shared" si="455"/>
        <v>0</v>
      </c>
      <c r="J997" s="205">
        <f t="shared" si="457"/>
        <v>1680.0294999999999</v>
      </c>
      <c r="K997" s="205">
        <f t="shared" si="456"/>
        <v>1680.0294999999999</v>
      </c>
    </row>
    <row r="998" spans="1:11">
      <c r="A998" s="8" t="s">
        <v>1613</v>
      </c>
      <c r="B998" s="9" t="s">
        <v>669</v>
      </c>
      <c r="C998" s="8"/>
      <c r="D998" s="8"/>
      <c r="E998" s="211"/>
      <c r="F998" s="211"/>
      <c r="G998" s="211"/>
      <c r="H998" s="191"/>
      <c r="I998" s="204">
        <f>SUM(I999:I1004)</f>
        <v>0</v>
      </c>
      <c r="J998" s="204">
        <f>SUM(J999:J1004)</f>
        <v>27533.177599999999</v>
      </c>
      <c r="K998" s="204">
        <f>SUM(K999:K1004)</f>
        <v>27533.177599999999</v>
      </c>
    </row>
    <row r="999" spans="1:11">
      <c r="A999" s="11" t="s">
        <v>1614</v>
      </c>
      <c r="B999" s="12" t="s">
        <v>658</v>
      </c>
      <c r="C999" s="10"/>
      <c r="D999" s="14" t="s">
        <v>124</v>
      </c>
      <c r="E999" s="205">
        <v>0</v>
      </c>
      <c r="F999" s="205">
        <v>593.65</v>
      </c>
      <c r="G999" s="205">
        <f t="shared" ref="G999:G1004" si="458">F999-E999</f>
        <v>593.65</v>
      </c>
      <c r="H999" s="192">
        <v>1.75</v>
      </c>
      <c r="I999" s="205">
        <f t="shared" ref="I999:I1004" si="459">H999*E999</f>
        <v>0</v>
      </c>
      <c r="J999" s="205">
        <f>H999*F999</f>
        <v>1038.8875</v>
      </c>
      <c r="K999" s="205">
        <f t="shared" ref="K999:K1004" si="460">G999*H999</f>
        <v>1038.8875</v>
      </c>
    </row>
    <row r="1000" spans="1:11" ht="26">
      <c r="A1000" s="11" t="s">
        <v>1615</v>
      </c>
      <c r="B1000" s="12" t="s">
        <v>659</v>
      </c>
      <c r="C1000" s="10"/>
      <c r="D1000" s="14" t="s">
        <v>87</v>
      </c>
      <c r="E1000" s="205">
        <v>0</v>
      </c>
      <c r="F1000" s="205">
        <v>17.809999999999999</v>
      </c>
      <c r="G1000" s="205">
        <f t="shared" si="458"/>
        <v>17.809999999999999</v>
      </c>
      <c r="H1000" s="192">
        <v>10.32</v>
      </c>
      <c r="I1000" s="205">
        <f t="shared" si="459"/>
        <v>0</v>
      </c>
      <c r="J1000" s="205">
        <f t="shared" ref="J1000:J1004" si="461">H1000*F1000</f>
        <v>183.79919999999998</v>
      </c>
      <c r="K1000" s="205">
        <f t="shared" si="460"/>
        <v>183.79919999999998</v>
      </c>
    </row>
    <row r="1001" spans="1:11" ht="28.5" customHeight="1">
      <c r="A1001" s="11" t="s">
        <v>1616</v>
      </c>
      <c r="B1001" s="12" t="s">
        <v>660</v>
      </c>
      <c r="C1001" s="10"/>
      <c r="D1001" s="14" t="s">
        <v>1485</v>
      </c>
      <c r="E1001" s="205">
        <v>0</v>
      </c>
      <c r="F1001" s="205">
        <v>534.29</v>
      </c>
      <c r="G1001" s="205">
        <f t="shared" si="458"/>
        <v>534.29</v>
      </c>
      <c r="H1001" s="192">
        <v>2.14</v>
      </c>
      <c r="I1001" s="205">
        <f t="shared" si="459"/>
        <v>0</v>
      </c>
      <c r="J1001" s="205">
        <f t="shared" si="461"/>
        <v>1143.3806</v>
      </c>
      <c r="K1001" s="205">
        <f t="shared" si="460"/>
        <v>1143.3806</v>
      </c>
    </row>
    <row r="1002" spans="1:11" ht="32.5" customHeight="1">
      <c r="A1002" s="11" t="s">
        <v>1617</v>
      </c>
      <c r="B1002" s="18" t="s">
        <v>668</v>
      </c>
      <c r="C1002" s="10"/>
      <c r="D1002" s="189" t="s">
        <v>1485</v>
      </c>
      <c r="E1002" s="205">
        <v>0</v>
      </c>
      <c r="F1002" s="205">
        <v>1442.57</v>
      </c>
      <c r="G1002" s="205">
        <f t="shared" si="458"/>
        <v>1442.57</v>
      </c>
      <c r="H1002" s="193">
        <v>0.87</v>
      </c>
      <c r="I1002" s="205">
        <f t="shared" si="459"/>
        <v>0</v>
      </c>
      <c r="J1002" s="205">
        <f t="shared" si="461"/>
        <v>1255.0358999999999</v>
      </c>
      <c r="K1002" s="205">
        <f t="shared" si="460"/>
        <v>1255.0358999999999</v>
      </c>
    </row>
    <row r="1003" spans="1:11" ht="26.5">
      <c r="A1003" s="11" t="s">
        <v>1618</v>
      </c>
      <c r="B1003" s="18" t="s">
        <v>670</v>
      </c>
      <c r="C1003" s="10"/>
      <c r="D1003" s="14" t="s">
        <v>87</v>
      </c>
      <c r="E1003" s="205">
        <v>0</v>
      </c>
      <c r="F1003" s="205">
        <v>17.809999999999999</v>
      </c>
      <c r="G1003" s="205">
        <f t="shared" si="458"/>
        <v>17.809999999999999</v>
      </c>
      <c r="H1003" s="192">
        <v>1248.29</v>
      </c>
      <c r="I1003" s="205">
        <f t="shared" si="459"/>
        <v>0</v>
      </c>
      <c r="J1003" s="205">
        <f t="shared" si="461"/>
        <v>22232.044899999997</v>
      </c>
      <c r="K1003" s="205">
        <f t="shared" si="460"/>
        <v>22232.044899999997</v>
      </c>
    </row>
    <row r="1004" spans="1:11" ht="16.5" customHeight="1">
      <c r="A1004" s="11" t="s">
        <v>1619</v>
      </c>
      <c r="B1004" s="16" t="s">
        <v>671</v>
      </c>
      <c r="C1004" s="10" t="s">
        <v>87</v>
      </c>
      <c r="D1004" s="14" t="s">
        <v>124</v>
      </c>
      <c r="E1004" s="205">
        <v>0</v>
      </c>
      <c r="F1004" s="205">
        <v>593.65</v>
      </c>
      <c r="G1004" s="205">
        <f t="shared" si="458"/>
        <v>593.65</v>
      </c>
      <c r="H1004" s="192">
        <v>2.83</v>
      </c>
      <c r="I1004" s="205">
        <f t="shared" si="459"/>
        <v>0</v>
      </c>
      <c r="J1004" s="205">
        <f t="shared" si="461"/>
        <v>1680.0294999999999</v>
      </c>
      <c r="K1004" s="205">
        <f t="shared" si="460"/>
        <v>1680.0294999999999</v>
      </c>
    </row>
    <row r="1005" spans="1:11">
      <c r="A1005" s="8" t="s">
        <v>1620</v>
      </c>
      <c r="B1005" s="9" t="s">
        <v>107</v>
      </c>
      <c r="C1005" s="8"/>
      <c r="D1005" s="8"/>
      <c r="E1005" s="211"/>
      <c r="F1005" s="211"/>
      <c r="G1005" s="211"/>
      <c r="H1005" s="191"/>
      <c r="I1005" s="204">
        <f>SUM(I1006:I1008)</f>
        <v>0</v>
      </c>
      <c r="J1005" s="204">
        <f>SUM(J1006:J1008)</f>
        <v>0</v>
      </c>
      <c r="K1005" s="204">
        <f>SUM(K1006:K1008)</f>
        <v>0</v>
      </c>
    </row>
    <row r="1006" spans="1:11" ht="39">
      <c r="A1006" s="11" t="s">
        <v>1621</v>
      </c>
      <c r="B1006" s="12" t="s">
        <v>673</v>
      </c>
      <c r="C1006" s="10" t="s">
        <v>33</v>
      </c>
      <c r="D1006" s="13" t="s">
        <v>1486</v>
      </c>
      <c r="E1006" s="205">
        <v>0</v>
      </c>
      <c r="F1006" s="205">
        <v>0</v>
      </c>
      <c r="G1006" s="205">
        <f>F1006-E1006</f>
        <v>0</v>
      </c>
      <c r="H1006" s="192">
        <v>625.09</v>
      </c>
      <c r="I1006" s="205">
        <f t="shared" ref="I1006:I1008" si="462">H1006*E1006</f>
        <v>0</v>
      </c>
      <c r="J1006" s="205">
        <f>H1006*F1006</f>
        <v>0</v>
      </c>
      <c r="K1006" s="205">
        <f t="shared" ref="K1006:K1008" si="463">G1006*H1006</f>
        <v>0</v>
      </c>
    </row>
    <row r="1007" spans="1:11" ht="17" customHeight="1">
      <c r="A1007" s="11" t="s">
        <v>1622</v>
      </c>
      <c r="B1007" s="190" t="s">
        <v>679</v>
      </c>
      <c r="C1007" s="10" t="s">
        <v>33</v>
      </c>
      <c r="D1007" s="13" t="s">
        <v>124</v>
      </c>
      <c r="E1007" s="205">
        <v>0</v>
      </c>
      <c r="F1007" s="205">
        <v>0</v>
      </c>
      <c r="G1007" s="205">
        <f>F1007-E1007</f>
        <v>0</v>
      </c>
      <c r="H1007" s="192">
        <v>16.260000000000002</v>
      </c>
      <c r="I1007" s="205">
        <f t="shared" si="462"/>
        <v>0</v>
      </c>
      <c r="J1007" s="205">
        <f t="shared" ref="J1007:J1008" si="464">H1007*F1007</f>
        <v>0</v>
      </c>
      <c r="K1007" s="205">
        <f t="shared" si="463"/>
        <v>0</v>
      </c>
    </row>
    <row r="1008" spans="1:11" ht="16.5" customHeight="1">
      <c r="A1008" s="11" t="s">
        <v>1623</v>
      </c>
      <c r="B1008" s="12" t="s">
        <v>674</v>
      </c>
      <c r="C1008" s="10" t="s">
        <v>33</v>
      </c>
      <c r="D1008" s="13" t="s">
        <v>124</v>
      </c>
      <c r="E1008" s="205">
        <v>0</v>
      </c>
      <c r="F1008" s="205">
        <v>0</v>
      </c>
      <c r="G1008" s="205">
        <f>F1008-E1008</f>
        <v>0</v>
      </c>
      <c r="H1008" s="192">
        <v>4.5599999999999996</v>
      </c>
      <c r="I1008" s="205">
        <f t="shared" si="462"/>
        <v>0</v>
      </c>
      <c r="J1008" s="205">
        <f t="shared" si="464"/>
        <v>0</v>
      </c>
      <c r="K1008" s="205">
        <f t="shared" si="463"/>
        <v>0</v>
      </c>
    </row>
    <row r="1009" spans="1:11">
      <c r="A1009" s="8" t="s">
        <v>1624</v>
      </c>
      <c r="B1009" s="9" t="s">
        <v>677</v>
      </c>
      <c r="C1009" s="8"/>
      <c r="D1009" s="8"/>
      <c r="E1009" s="211"/>
      <c r="F1009" s="211"/>
      <c r="G1009" s="211"/>
      <c r="H1009" s="191"/>
      <c r="I1009" s="204">
        <f>SUM(I1010:I1011)</f>
        <v>0</v>
      </c>
      <c r="J1009" s="204">
        <f>SUM(J1010:J1011)</f>
        <v>1038.8875</v>
      </c>
      <c r="K1009" s="204">
        <f>SUM(K1010:K1011)</f>
        <v>1038.8875</v>
      </c>
    </row>
    <row r="1010" spans="1:11">
      <c r="A1010" s="11" t="s">
        <v>1625</v>
      </c>
      <c r="B1010" s="12" t="s">
        <v>658</v>
      </c>
      <c r="C1010" s="10" t="s">
        <v>11</v>
      </c>
      <c r="D1010" s="13" t="s">
        <v>124</v>
      </c>
      <c r="E1010" s="205">
        <v>0</v>
      </c>
      <c r="F1010" s="205">
        <v>593.65</v>
      </c>
      <c r="G1010" s="205">
        <f>F1010-E1010</f>
        <v>593.65</v>
      </c>
      <c r="H1010" s="192">
        <v>1.75</v>
      </c>
      <c r="I1010" s="205">
        <f t="shared" ref="I1010:I1011" si="465">H1010*E1010</f>
        <v>0</v>
      </c>
      <c r="J1010" s="205">
        <f>H1010*F1010</f>
        <v>1038.8875</v>
      </c>
      <c r="K1010" s="205">
        <f t="shared" ref="K1010:K1011" si="466">G1010*H1010</f>
        <v>1038.8875</v>
      </c>
    </row>
    <row r="1011" spans="1:11">
      <c r="A1011" s="11" t="s">
        <v>1626</v>
      </c>
      <c r="B1011" s="12" t="s">
        <v>678</v>
      </c>
      <c r="C1011" s="10" t="s">
        <v>11</v>
      </c>
      <c r="D1011" s="13" t="s">
        <v>1486</v>
      </c>
      <c r="E1011" s="205">
        <v>0</v>
      </c>
      <c r="F1011" s="205">
        <v>0</v>
      </c>
      <c r="G1011" s="205">
        <f>F1011-E1011</f>
        <v>0</v>
      </c>
      <c r="H1011" s="192">
        <v>92.34</v>
      </c>
      <c r="I1011" s="205">
        <f t="shared" si="465"/>
        <v>0</v>
      </c>
      <c r="J1011" s="205">
        <f>H1011*F1011</f>
        <v>0</v>
      </c>
      <c r="K1011" s="205">
        <f t="shared" si="466"/>
        <v>0</v>
      </c>
    </row>
    <row r="1012" spans="1:11">
      <c r="A1012" s="183">
        <v>38</v>
      </c>
      <c r="B1012" s="188" t="s">
        <v>2021</v>
      </c>
      <c r="C1012" s="183"/>
      <c r="D1012" s="183"/>
      <c r="E1012" s="210"/>
      <c r="F1012" s="210"/>
      <c r="G1012" s="210"/>
      <c r="H1012" s="194"/>
      <c r="I1012" s="203">
        <f>SUM(I1013,I1016,I1018,I1025,I1032,I1036)</f>
        <v>0</v>
      </c>
      <c r="J1012" s="203">
        <f>SUM(J1013,J1016,J1018,J1025,J1032,J1036)</f>
        <v>119100.19579999999</v>
      </c>
      <c r="K1012" s="203">
        <f>SUM(K1013,K1016,K1018,K1025,K1032,K1036)</f>
        <v>119100.19579999999</v>
      </c>
    </row>
    <row r="1013" spans="1:11">
      <c r="A1013" s="8" t="s">
        <v>1627</v>
      </c>
      <c r="B1013" s="9" t="s">
        <v>8</v>
      </c>
      <c r="C1013" s="8"/>
      <c r="D1013" s="8"/>
      <c r="E1013" s="211"/>
      <c r="F1013" s="211"/>
      <c r="G1013" s="211"/>
      <c r="H1013" s="191"/>
      <c r="I1013" s="204">
        <f>SUM(I1014:I1015)</f>
        <v>0</v>
      </c>
      <c r="J1013" s="204">
        <f>SUM(J1014:J1015)</f>
        <v>19278.129799999999</v>
      </c>
      <c r="K1013" s="204">
        <f>SUM(K1014:K1015)</f>
        <v>19278.129799999999</v>
      </c>
    </row>
    <row r="1014" spans="1:11" ht="26">
      <c r="A1014" s="11" t="s">
        <v>1628</v>
      </c>
      <c r="B1014" s="12" t="s">
        <v>652</v>
      </c>
      <c r="C1014" s="10" t="s">
        <v>13</v>
      </c>
      <c r="D1014" s="13" t="s">
        <v>124</v>
      </c>
      <c r="E1014" s="205">
        <v>0</v>
      </c>
      <c r="F1014" s="205">
        <v>1052.06</v>
      </c>
      <c r="G1014" s="205">
        <f>F1014-E1014</f>
        <v>1052.06</v>
      </c>
      <c r="H1014" s="192">
        <v>0.36</v>
      </c>
      <c r="I1014" s="205">
        <f>H1014*E1014</f>
        <v>0</v>
      </c>
      <c r="J1014" s="205">
        <f>H1014*F1014</f>
        <v>378.74159999999995</v>
      </c>
      <c r="K1014" s="205">
        <f t="shared" ref="K1014:K1015" si="467">G1014*H1014</f>
        <v>378.74159999999995</v>
      </c>
    </row>
    <row r="1015" spans="1:11" ht="52">
      <c r="A1015" s="11" t="s">
        <v>1629</v>
      </c>
      <c r="B1015" s="12" t="s">
        <v>649</v>
      </c>
      <c r="C1015" s="10" t="s">
        <v>11</v>
      </c>
      <c r="D1015" s="13" t="s">
        <v>124</v>
      </c>
      <c r="E1015" s="205">
        <v>0</v>
      </c>
      <c r="F1015" s="205">
        <v>306.45999999999998</v>
      </c>
      <c r="G1015" s="205">
        <f>F1015-E1015</f>
        <v>306.45999999999998</v>
      </c>
      <c r="H1015" s="192">
        <v>61.67</v>
      </c>
      <c r="I1015" s="205">
        <f>H1015*E1015</f>
        <v>0</v>
      </c>
      <c r="J1015" s="205">
        <f>H1015*F1015</f>
        <v>18899.388199999998</v>
      </c>
      <c r="K1015" s="205">
        <f t="shared" si="467"/>
        <v>18899.388199999998</v>
      </c>
    </row>
    <row r="1016" spans="1:11">
      <c r="A1016" s="8" t="s">
        <v>1630</v>
      </c>
      <c r="B1016" s="9" t="s">
        <v>654</v>
      </c>
      <c r="C1016" s="8"/>
      <c r="D1016" s="8"/>
      <c r="E1016" s="211"/>
      <c r="F1016" s="211"/>
      <c r="G1016" s="211"/>
      <c r="H1016" s="191"/>
      <c r="I1016" s="204">
        <f>SUM(I1017:I1017)</f>
        <v>0</v>
      </c>
      <c r="J1016" s="204">
        <f>SUM(J1017:J1017)</f>
        <v>399.78280000000001</v>
      </c>
      <c r="K1016" s="204">
        <f>SUM(K1017:K1017)</f>
        <v>399.78280000000001</v>
      </c>
    </row>
    <row r="1017" spans="1:11" ht="26">
      <c r="A1017" s="11" t="s">
        <v>1631</v>
      </c>
      <c r="B1017" s="12" t="s">
        <v>655</v>
      </c>
      <c r="C1017" s="10"/>
      <c r="D1017" s="13" t="s">
        <v>124</v>
      </c>
      <c r="E1017" s="205">
        <v>0</v>
      </c>
      <c r="F1017" s="205">
        <v>1052.06</v>
      </c>
      <c r="G1017" s="205">
        <f>F1017-E1017</f>
        <v>1052.06</v>
      </c>
      <c r="H1017" s="192">
        <v>0.38</v>
      </c>
      <c r="I1017" s="205">
        <f t="shared" ref="I1017" si="468">H1017*E1017</f>
        <v>0</v>
      </c>
      <c r="J1017" s="205">
        <f>H1017*F1017</f>
        <v>399.78280000000001</v>
      </c>
      <c r="K1017" s="205">
        <f t="shared" ref="K1017" si="469">G1017*H1017</f>
        <v>399.78280000000001</v>
      </c>
    </row>
    <row r="1018" spans="1:11">
      <c r="A1018" s="8" t="s">
        <v>1632</v>
      </c>
      <c r="B1018" s="9" t="s">
        <v>657</v>
      </c>
      <c r="C1018" s="8"/>
      <c r="D1018" s="8"/>
      <c r="E1018" s="211"/>
      <c r="F1018" s="211"/>
      <c r="G1018" s="211"/>
      <c r="H1018" s="191"/>
      <c r="I1018" s="204">
        <f>SUM(I1019:I1024)</f>
        <v>0</v>
      </c>
      <c r="J1018" s="204">
        <f>SUM(J1019:J1024)</f>
        <v>48790.589099999997</v>
      </c>
      <c r="K1018" s="204">
        <f>SUM(K1019:K1024)</f>
        <v>48790.589099999997</v>
      </c>
    </row>
    <row r="1019" spans="1:11">
      <c r="A1019" s="11" t="s">
        <v>1633</v>
      </c>
      <c r="B1019" s="12" t="s">
        <v>658</v>
      </c>
      <c r="C1019" s="10"/>
      <c r="D1019" s="13" t="s">
        <v>124</v>
      </c>
      <c r="E1019" s="205">
        <v>0</v>
      </c>
      <c r="F1019" s="205">
        <v>1052.06</v>
      </c>
      <c r="G1019" s="205">
        <f t="shared" ref="G1019:G1024" si="470">F1019-E1019</f>
        <v>1052.06</v>
      </c>
      <c r="H1019" s="192">
        <v>1.75</v>
      </c>
      <c r="I1019" s="205">
        <f t="shared" ref="I1019:I1024" si="471">H1019*E1019</f>
        <v>0</v>
      </c>
      <c r="J1019" s="205">
        <f>H1019*F1019</f>
        <v>1841.105</v>
      </c>
      <c r="K1019" s="205">
        <f t="shared" ref="K1019:K1024" si="472">G1019*H1019</f>
        <v>1841.105</v>
      </c>
    </row>
    <row r="1020" spans="1:11" ht="26">
      <c r="A1020" s="11" t="s">
        <v>1634</v>
      </c>
      <c r="B1020" s="12" t="s">
        <v>659</v>
      </c>
      <c r="C1020" s="10"/>
      <c r="D1020" s="13" t="s">
        <v>87</v>
      </c>
      <c r="E1020" s="205">
        <v>0</v>
      </c>
      <c r="F1020" s="205">
        <v>31.56</v>
      </c>
      <c r="G1020" s="205">
        <f t="shared" si="470"/>
        <v>31.56</v>
      </c>
      <c r="H1020" s="192">
        <v>10.32</v>
      </c>
      <c r="I1020" s="205">
        <f t="shared" si="471"/>
        <v>0</v>
      </c>
      <c r="J1020" s="205">
        <f t="shared" ref="J1020:J1024" si="473">H1020*F1020</f>
        <v>325.69920000000002</v>
      </c>
      <c r="K1020" s="205">
        <f t="shared" si="472"/>
        <v>325.69920000000002</v>
      </c>
    </row>
    <row r="1021" spans="1:11" ht="28.5" customHeight="1">
      <c r="A1021" s="11" t="s">
        <v>1635</v>
      </c>
      <c r="B1021" s="12" t="s">
        <v>660</v>
      </c>
      <c r="C1021" s="10"/>
      <c r="D1021" s="13" t="s">
        <v>1485</v>
      </c>
      <c r="E1021" s="205">
        <v>0</v>
      </c>
      <c r="F1021" s="205">
        <v>946.85</v>
      </c>
      <c r="G1021" s="205">
        <f t="shared" si="470"/>
        <v>946.85</v>
      </c>
      <c r="H1021" s="192">
        <v>2.14</v>
      </c>
      <c r="I1021" s="205">
        <f t="shared" si="471"/>
        <v>0</v>
      </c>
      <c r="J1021" s="205">
        <f t="shared" si="473"/>
        <v>2026.2590000000002</v>
      </c>
      <c r="K1021" s="205">
        <f t="shared" si="472"/>
        <v>2026.2590000000002</v>
      </c>
    </row>
    <row r="1022" spans="1:11" ht="29" customHeight="1">
      <c r="A1022" s="11" t="s">
        <v>1636</v>
      </c>
      <c r="B1022" s="12" t="s">
        <v>668</v>
      </c>
      <c r="C1022" s="10"/>
      <c r="D1022" s="13" t="s">
        <v>1485</v>
      </c>
      <c r="E1022" s="205">
        <v>0</v>
      </c>
      <c r="F1022" s="205">
        <v>2556.5100000000002</v>
      </c>
      <c r="G1022" s="205">
        <f t="shared" si="470"/>
        <v>2556.5100000000002</v>
      </c>
      <c r="H1022" s="192">
        <v>0.87</v>
      </c>
      <c r="I1022" s="205">
        <f t="shared" si="471"/>
        <v>0</v>
      </c>
      <c r="J1022" s="205">
        <f t="shared" si="473"/>
        <v>2224.1637000000001</v>
      </c>
      <c r="K1022" s="205">
        <f t="shared" si="472"/>
        <v>2224.1637000000001</v>
      </c>
    </row>
    <row r="1023" spans="1:11" ht="28" customHeight="1">
      <c r="A1023" s="11" t="s">
        <v>1637</v>
      </c>
      <c r="B1023" s="12" t="s">
        <v>661</v>
      </c>
      <c r="C1023" s="10"/>
      <c r="D1023" s="13" t="s">
        <v>87</v>
      </c>
      <c r="E1023" s="205">
        <v>0</v>
      </c>
      <c r="F1023" s="205">
        <v>31.56</v>
      </c>
      <c r="G1023" s="205">
        <f t="shared" si="470"/>
        <v>31.56</v>
      </c>
      <c r="H1023" s="192">
        <v>1248.29</v>
      </c>
      <c r="I1023" s="205">
        <f t="shared" si="471"/>
        <v>0</v>
      </c>
      <c r="J1023" s="205">
        <f t="shared" si="473"/>
        <v>39396.032399999996</v>
      </c>
      <c r="K1023" s="205">
        <f t="shared" si="472"/>
        <v>39396.032399999996</v>
      </c>
    </row>
    <row r="1024" spans="1:11" ht="17.5" customHeight="1">
      <c r="A1024" s="11" t="s">
        <v>1638</v>
      </c>
      <c r="B1024" s="12" t="s">
        <v>662</v>
      </c>
      <c r="C1024" s="10"/>
      <c r="D1024" s="13" t="s">
        <v>124</v>
      </c>
      <c r="E1024" s="205">
        <v>0</v>
      </c>
      <c r="F1024" s="205">
        <v>1052.06</v>
      </c>
      <c r="G1024" s="205">
        <f t="shared" si="470"/>
        <v>1052.06</v>
      </c>
      <c r="H1024" s="192">
        <v>2.83</v>
      </c>
      <c r="I1024" s="205">
        <f t="shared" si="471"/>
        <v>0</v>
      </c>
      <c r="J1024" s="205">
        <f t="shared" si="473"/>
        <v>2977.3298</v>
      </c>
      <c r="K1024" s="205">
        <f t="shared" si="472"/>
        <v>2977.3298</v>
      </c>
    </row>
    <row r="1025" spans="1:11">
      <c r="A1025" s="8" t="s">
        <v>1639</v>
      </c>
      <c r="B1025" s="9" t="s">
        <v>669</v>
      </c>
      <c r="C1025" s="8"/>
      <c r="D1025" s="8"/>
      <c r="E1025" s="211"/>
      <c r="F1025" s="211"/>
      <c r="G1025" s="211"/>
      <c r="H1025" s="191"/>
      <c r="I1025" s="204">
        <f>SUM(I1026:I1031)</f>
        <v>0</v>
      </c>
      <c r="J1025" s="204">
        <f>SUM(J1026:J1031)</f>
        <v>48790.589099999997</v>
      </c>
      <c r="K1025" s="204">
        <f>SUM(K1026:K1031)</f>
        <v>48790.589099999997</v>
      </c>
    </row>
    <row r="1026" spans="1:11">
      <c r="A1026" s="11" t="s">
        <v>1640</v>
      </c>
      <c r="B1026" s="12" t="s">
        <v>658</v>
      </c>
      <c r="C1026" s="10"/>
      <c r="D1026" s="14" t="s">
        <v>124</v>
      </c>
      <c r="E1026" s="205">
        <v>0</v>
      </c>
      <c r="F1026" s="205">
        <v>1052.06</v>
      </c>
      <c r="G1026" s="205">
        <f t="shared" ref="G1026:G1031" si="474">F1026-E1026</f>
        <v>1052.06</v>
      </c>
      <c r="H1026" s="192">
        <v>1.75</v>
      </c>
      <c r="I1026" s="205">
        <f t="shared" ref="I1026:I1031" si="475">H1026*E1026</f>
        <v>0</v>
      </c>
      <c r="J1026" s="205">
        <f>H1026*F1026</f>
        <v>1841.105</v>
      </c>
      <c r="K1026" s="205">
        <f t="shared" ref="K1026:K1031" si="476">G1026*H1026</f>
        <v>1841.105</v>
      </c>
    </row>
    <row r="1027" spans="1:11" ht="26">
      <c r="A1027" s="11" t="s">
        <v>1641</v>
      </c>
      <c r="B1027" s="12" t="s">
        <v>659</v>
      </c>
      <c r="C1027" s="10"/>
      <c r="D1027" s="14" t="s">
        <v>87</v>
      </c>
      <c r="E1027" s="205">
        <v>0</v>
      </c>
      <c r="F1027" s="205">
        <v>31.56</v>
      </c>
      <c r="G1027" s="205">
        <f t="shared" si="474"/>
        <v>31.56</v>
      </c>
      <c r="H1027" s="192">
        <v>10.32</v>
      </c>
      <c r="I1027" s="205">
        <f t="shared" si="475"/>
        <v>0</v>
      </c>
      <c r="J1027" s="205">
        <f t="shared" ref="J1027:J1031" si="477">H1027*F1027</f>
        <v>325.69920000000002</v>
      </c>
      <c r="K1027" s="205">
        <f t="shared" si="476"/>
        <v>325.69920000000002</v>
      </c>
    </row>
    <row r="1028" spans="1:11" ht="28.5" customHeight="1">
      <c r="A1028" s="11" t="s">
        <v>1642</v>
      </c>
      <c r="B1028" s="12" t="s">
        <v>660</v>
      </c>
      <c r="C1028" s="10"/>
      <c r="D1028" s="14" t="s">
        <v>1485</v>
      </c>
      <c r="E1028" s="205">
        <v>0</v>
      </c>
      <c r="F1028" s="205">
        <v>946.85</v>
      </c>
      <c r="G1028" s="205">
        <f t="shared" si="474"/>
        <v>946.85</v>
      </c>
      <c r="H1028" s="192">
        <v>2.14</v>
      </c>
      <c r="I1028" s="205">
        <f t="shared" si="475"/>
        <v>0</v>
      </c>
      <c r="J1028" s="205">
        <f t="shared" si="477"/>
        <v>2026.2590000000002</v>
      </c>
      <c r="K1028" s="205">
        <f t="shared" si="476"/>
        <v>2026.2590000000002</v>
      </c>
    </row>
    <row r="1029" spans="1:11" ht="32.5" customHeight="1">
      <c r="A1029" s="11" t="s">
        <v>1643</v>
      </c>
      <c r="B1029" s="18" t="s">
        <v>668</v>
      </c>
      <c r="C1029" s="10"/>
      <c r="D1029" s="189" t="s">
        <v>1485</v>
      </c>
      <c r="E1029" s="214">
        <v>0</v>
      </c>
      <c r="F1029" s="205">
        <v>2556.5100000000002</v>
      </c>
      <c r="G1029" s="205">
        <f t="shared" si="474"/>
        <v>2556.5100000000002</v>
      </c>
      <c r="H1029" s="193">
        <v>0.87</v>
      </c>
      <c r="I1029" s="205">
        <f t="shared" si="475"/>
        <v>0</v>
      </c>
      <c r="J1029" s="205">
        <f t="shared" si="477"/>
        <v>2224.1637000000001</v>
      </c>
      <c r="K1029" s="205">
        <f t="shared" si="476"/>
        <v>2224.1637000000001</v>
      </c>
    </row>
    <row r="1030" spans="1:11" ht="26.5">
      <c r="A1030" s="11" t="s">
        <v>1644</v>
      </c>
      <c r="B1030" s="18" t="s">
        <v>670</v>
      </c>
      <c r="C1030" s="10"/>
      <c r="D1030" s="14" t="s">
        <v>87</v>
      </c>
      <c r="E1030" s="205">
        <v>0</v>
      </c>
      <c r="F1030" s="205">
        <v>31.56</v>
      </c>
      <c r="G1030" s="205">
        <f t="shared" si="474"/>
        <v>31.56</v>
      </c>
      <c r="H1030" s="192">
        <v>1248.29</v>
      </c>
      <c r="I1030" s="205">
        <f t="shared" si="475"/>
        <v>0</v>
      </c>
      <c r="J1030" s="205">
        <f t="shared" si="477"/>
        <v>39396.032399999996</v>
      </c>
      <c r="K1030" s="205">
        <f t="shared" si="476"/>
        <v>39396.032399999996</v>
      </c>
    </row>
    <row r="1031" spans="1:11" ht="16.5" customHeight="1">
      <c r="A1031" s="11" t="s">
        <v>1645</v>
      </c>
      <c r="B1031" s="16" t="s">
        <v>671</v>
      </c>
      <c r="C1031" s="10" t="s">
        <v>87</v>
      </c>
      <c r="D1031" s="14" t="s">
        <v>124</v>
      </c>
      <c r="E1031" s="205">
        <v>0</v>
      </c>
      <c r="F1031" s="205">
        <v>1052.06</v>
      </c>
      <c r="G1031" s="205">
        <f t="shared" si="474"/>
        <v>1052.06</v>
      </c>
      <c r="H1031" s="192">
        <v>2.83</v>
      </c>
      <c r="I1031" s="205">
        <f t="shared" si="475"/>
        <v>0</v>
      </c>
      <c r="J1031" s="205">
        <f t="shared" si="477"/>
        <v>2977.3298</v>
      </c>
      <c r="K1031" s="205">
        <f t="shared" si="476"/>
        <v>2977.3298</v>
      </c>
    </row>
    <row r="1032" spans="1:11">
      <c r="A1032" s="8" t="s">
        <v>1646</v>
      </c>
      <c r="B1032" s="9" t="s">
        <v>107</v>
      </c>
      <c r="C1032" s="8"/>
      <c r="D1032" s="8"/>
      <c r="E1032" s="211"/>
      <c r="F1032" s="211"/>
      <c r="G1032" s="211"/>
      <c r="H1032" s="191"/>
      <c r="I1032" s="204">
        <f>SUM(I1033:I1035)</f>
        <v>0</v>
      </c>
      <c r="J1032" s="204">
        <f>SUM(J1033:J1035)</f>
        <v>0</v>
      </c>
      <c r="K1032" s="204">
        <f>SUM(K1033:K1035)</f>
        <v>0</v>
      </c>
    </row>
    <row r="1033" spans="1:11" ht="39">
      <c r="A1033" s="11" t="s">
        <v>1647</v>
      </c>
      <c r="B1033" s="12" t="s">
        <v>673</v>
      </c>
      <c r="C1033" s="10" t="s">
        <v>33</v>
      </c>
      <c r="D1033" s="13" t="s">
        <v>1486</v>
      </c>
      <c r="E1033" s="205">
        <v>0</v>
      </c>
      <c r="F1033" s="205">
        <v>0</v>
      </c>
      <c r="G1033" s="205">
        <f>F1033-E1033</f>
        <v>0</v>
      </c>
      <c r="H1033" s="192">
        <v>625.09</v>
      </c>
      <c r="I1033" s="205">
        <f t="shared" ref="I1033:I1035" si="478">H1033*E1033</f>
        <v>0</v>
      </c>
      <c r="J1033" s="205">
        <f>H1033*F1033</f>
        <v>0</v>
      </c>
      <c r="K1033" s="205">
        <f t="shared" ref="K1033:K1035" si="479">G1033*H1033</f>
        <v>0</v>
      </c>
    </row>
    <row r="1034" spans="1:11" ht="17" customHeight="1">
      <c r="A1034" s="11" t="s">
        <v>1648</v>
      </c>
      <c r="B1034" s="190" t="s">
        <v>679</v>
      </c>
      <c r="C1034" s="10" t="s">
        <v>33</v>
      </c>
      <c r="D1034" s="13" t="s">
        <v>124</v>
      </c>
      <c r="E1034" s="205">
        <v>0</v>
      </c>
      <c r="F1034" s="205">
        <v>0</v>
      </c>
      <c r="G1034" s="205">
        <f>F1034-E1034</f>
        <v>0</v>
      </c>
      <c r="H1034" s="192">
        <v>16.260000000000002</v>
      </c>
      <c r="I1034" s="205">
        <f t="shared" si="478"/>
        <v>0</v>
      </c>
      <c r="J1034" s="205">
        <f t="shared" ref="J1034:J1035" si="480">H1034*F1034</f>
        <v>0</v>
      </c>
      <c r="K1034" s="205">
        <f t="shared" si="479"/>
        <v>0</v>
      </c>
    </row>
    <row r="1035" spans="1:11" ht="16.5" customHeight="1">
      <c r="A1035" s="11" t="s">
        <v>1649</v>
      </c>
      <c r="B1035" s="12" t="s">
        <v>674</v>
      </c>
      <c r="C1035" s="10" t="s">
        <v>33</v>
      </c>
      <c r="D1035" s="13" t="s">
        <v>124</v>
      </c>
      <c r="E1035" s="205">
        <v>0</v>
      </c>
      <c r="F1035" s="205">
        <v>0</v>
      </c>
      <c r="G1035" s="205">
        <f>F1035-E1035</f>
        <v>0</v>
      </c>
      <c r="H1035" s="192">
        <v>4.5599999999999996</v>
      </c>
      <c r="I1035" s="205">
        <f t="shared" si="478"/>
        <v>0</v>
      </c>
      <c r="J1035" s="205">
        <f t="shared" si="480"/>
        <v>0</v>
      </c>
      <c r="K1035" s="205">
        <f t="shared" si="479"/>
        <v>0</v>
      </c>
    </row>
    <row r="1036" spans="1:11">
      <c r="A1036" s="8" t="s">
        <v>1650</v>
      </c>
      <c r="B1036" s="9" t="s">
        <v>677</v>
      </c>
      <c r="C1036" s="8"/>
      <c r="D1036" s="8"/>
      <c r="E1036" s="211"/>
      <c r="F1036" s="211"/>
      <c r="G1036" s="211"/>
      <c r="H1036" s="191"/>
      <c r="I1036" s="204">
        <f>SUM(I1037:I1038)</f>
        <v>0</v>
      </c>
      <c r="J1036" s="204">
        <f>SUM(J1037:J1038)</f>
        <v>1841.105</v>
      </c>
      <c r="K1036" s="204">
        <f>SUM(K1037:K1038)</f>
        <v>1841.105</v>
      </c>
    </row>
    <row r="1037" spans="1:11">
      <c r="A1037" s="11" t="s">
        <v>1651</v>
      </c>
      <c r="B1037" s="12" t="s">
        <v>658</v>
      </c>
      <c r="C1037" s="10" t="s">
        <v>11</v>
      </c>
      <c r="D1037" s="13" t="s">
        <v>124</v>
      </c>
      <c r="E1037" s="205">
        <v>0</v>
      </c>
      <c r="F1037" s="205">
        <v>1052.06</v>
      </c>
      <c r="G1037" s="205">
        <f>F1037-E1037</f>
        <v>1052.06</v>
      </c>
      <c r="H1037" s="192">
        <v>1.75</v>
      </c>
      <c r="I1037" s="205">
        <f t="shared" ref="I1037:I1038" si="481">H1037*E1037</f>
        <v>0</v>
      </c>
      <c r="J1037" s="205">
        <f>H1037*F1037</f>
        <v>1841.105</v>
      </c>
      <c r="K1037" s="205">
        <f t="shared" ref="K1037:K1038" si="482">G1037*H1037</f>
        <v>1841.105</v>
      </c>
    </row>
    <row r="1038" spans="1:11">
      <c r="A1038" s="11" t="s">
        <v>1652</v>
      </c>
      <c r="B1038" s="12" t="s">
        <v>678</v>
      </c>
      <c r="C1038" s="10" t="s">
        <v>11</v>
      </c>
      <c r="D1038" s="13" t="s">
        <v>1486</v>
      </c>
      <c r="E1038" s="205">
        <v>0</v>
      </c>
      <c r="F1038" s="205">
        <v>0</v>
      </c>
      <c r="G1038" s="205">
        <f>F1038-E1038</f>
        <v>0</v>
      </c>
      <c r="H1038" s="192">
        <v>92.34</v>
      </c>
      <c r="I1038" s="205">
        <f t="shared" si="481"/>
        <v>0</v>
      </c>
      <c r="J1038" s="205">
        <f>H1038*F1038</f>
        <v>0</v>
      </c>
      <c r="K1038" s="205">
        <f t="shared" si="482"/>
        <v>0</v>
      </c>
    </row>
    <row r="1039" spans="1:11">
      <c r="A1039" s="183">
        <v>39</v>
      </c>
      <c r="B1039" s="188" t="s">
        <v>2022</v>
      </c>
      <c r="C1039" s="183"/>
      <c r="D1039" s="183"/>
      <c r="E1039" s="210"/>
      <c r="F1039" s="210"/>
      <c r="G1039" s="210"/>
      <c r="H1039" s="194"/>
      <c r="I1039" s="203">
        <f>SUM(I1040,I1043,I1045,I1052,I1059,I1063)</f>
        <v>0</v>
      </c>
      <c r="J1039" s="203">
        <f>SUM(J1040,J1043,J1045,J1052,J1059,J1063)</f>
        <v>123057.32549999999</v>
      </c>
      <c r="K1039" s="203">
        <f>SUM(K1040,K1043,K1045,K1052,K1059,K1063)</f>
        <v>123057.32549999999</v>
      </c>
    </row>
    <row r="1040" spans="1:11">
      <c r="A1040" s="8" t="s">
        <v>1653</v>
      </c>
      <c r="B1040" s="9" t="s">
        <v>8</v>
      </c>
      <c r="C1040" s="8"/>
      <c r="D1040" s="8"/>
      <c r="E1040" s="211"/>
      <c r="F1040" s="211"/>
      <c r="G1040" s="211"/>
      <c r="H1040" s="191"/>
      <c r="I1040" s="204">
        <f>SUM(I1041:I1042)</f>
        <v>0</v>
      </c>
      <c r="J1040" s="204">
        <f>SUM(J1041:J1042)</f>
        <v>20107.685600000001</v>
      </c>
      <c r="K1040" s="204">
        <f>SUM(K1041:K1042)</f>
        <v>20107.685600000001</v>
      </c>
    </row>
    <row r="1041" spans="1:11" ht="26">
      <c r="A1041" s="11" t="s">
        <v>1654</v>
      </c>
      <c r="B1041" s="12" t="s">
        <v>652</v>
      </c>
      <c r="C1041" s="10" t="s">
        <v>13</v>
      </c>
      <c r="D1041" s="13" t="s">
        <v>124</v>
      </c>
      <c r="E1041" s="205">
        <v>0</v>
      </c>
      <c r="F1041" s="205">
        <v>1084.8699999999999</v>
      </c>
      <c r="G1041" s="205">
        <f>F1041-E1041</f>
        <v>1084.8699999999999</v>
      </c>
      <c r="H1041" s="192">
        <v>0.36</v>
      </c>
      <c r="I1041" s="205">
        <f>H1041*E1041</f>
        <v>0</v>
      </c>
      <c r="J1041" s="205">
        <f>H1041*F1041</f>
        <v>390.55319999999995</v>
      </c>
      <c r="K1041" s="205">
        <f t="shared" ref="K1041:K1042" si="483">G1041*H1041</f>
        <v>390.55319999999995</v>
      </c>
    </row>
    <row r="1042" spans="1:11" ht="52">
      <c r="A1042" s="11" t="s">
        <v>1655</v>
      </c>
      <c r="B1042" s="12" t="s">
        <v>649</v>
      </c>
      <c r="C1042" s="10" t="s">
        <v>11</v>
      </c>
      <c r="D1042" s="13" t="s">
        <v>124</v>
      </c>
      <c r="E1042" s="205">
        <v>0</v>
      </c>
      <c r="F1042" s="205">
        <v>319.72000000000003</v>
      </c>
      <c r="G1042" s="205">
        <f>F1042-E1042</f>
        <v>319.72000000000003</v>
      </c>
      <c r="H1042" s="192">
        <v>61.67</v>
      </c>
      <c r="I1042" s="205">
        <f>H1042*E1042</f>
        <v>0</v>
      </c>
      <c r="J1042" s="205">
        <f>H1042*F1042</f>
        <v>19717.132400000002</v>
      </c>
      <c r="K1042" s="205">
        <f t="shared" si="483"/>
        <v>19717.132400000002</v>
      </c>
    </row>
    <row r="1043" spans="1:11">
      <c r="A1043" s="8" t="s">
        <v>1656</v>
      </c>
      <c r="B1043" s="9" t="s">
        <v>654</v>
      </c>
      <c r="C1043" s="8"/>
      <c r="D1043" s="8"/>
      <c r="E1043" s="211"/>
      <c r="F1043" s="211"/>
      <c r="G1043" s="211"/>
      <c r="H1043" s="191"/>
      <c r="I1043" s="204">
        <f>SUM(I1044:I1044)</f>
        <v>0</v>
      </c>
      <c r="J1043" s="204">
        <f>SUM(J1044:J1044)</f>
        <v>412.25059999999996</v>
      </c>
      <c r="K1043" s="204">
        <f>SUM(K1044:K1044)</f>
        <v>412.25059999999996</v>
      </c>
    </row>
    <row r="1044" spans="1:11" ht="26">
      <c r="A1044" s="11" t="s">
        <v>1657</v>
      </c>
      <c r="B1044" s="12" t="s">
        <v>655</v>
      </c>
      <c r="C1044" s="10"/>
      <c r="D1044" s="13" t="s">
        <v>124</v>
      </c>
      <c r="E1044" s="205">
        <v>0</v>
      </c>
      <c r="F1044" s="205">
        <v>1084.8699999999999</v>
      </c>
      <c r="G1044" s="205">
        <f>F1044-E1044</f>
        <v>1084.8699999999999</v>
      </c>
      <c r="H1044" s="192">
        <v>0.38</v>
      </c>
      <c r="I1044" s="205">
        <f t="shared" ref="I1044" si="484">H1044*E1044</f>
        <v>0</v>
      </c>
      <c r="J1044" s="205">
        <f>H1044*F1044</f>
        <v>412.25059999999996</v>
      </c>
      <c r="K1044" s="205">
        <f t="shared" ref="K1044" si="485">G1044*H1044</f>
        <v>412.25059999999996</v>
      </c>
    </row>
    <row r="1045" spans="1:11">
      <c r="A1045" s="8" t="s">
        <v>1658</v>
      </c>
      <c r="B1045" s="9" t="s">
        <v>657</v>
      </c>
      <c r="C1045" s="8"/>
      <c r="D1045" s="8"/>
      <c r="E1045" s="211"/>
      <c r="F1045" s="211"/>
      <c r="G1045" s="211"/>
      <c r="H1045" s="191"/>
      <c r="I1045" s="204">
        <f>SUM(I1046:I1051)</f>
        <v>0</v>
      </c>
      <c r="J1045" s="204">
        <f>SUM(J1046:J1051)</f>
        <v>50319.433399999994</v>
      </c>
      <c r="K1045" s="204">
        <f>SUM(K1046:K1051)</f>
        <v>50319.433399999994</v>
      </c>
    </row>
    <row r="1046" spans="1:11">
      <c r="A1046" s="11" t="s">
        <v>1659</v>
      </c>
      <c r="B1046" s="12" t="s">
        <v>658</v>
      </c>
      <c r="C1046" s="10"/>
      <c r="D1046" s="13" t="s">
        <v>124</v>
      </c>
      <c r="E1046" s="205">
        <v>0</v>
      </c>
      <c r="F1046" s="205">
        <v>1084.8699999999999</v>
      </c>
      <c r="G1046" s="205">
        <f t="shared" ref="G1046:G1051" si="486">F1046-E1046</f>
        <v>1084.8699999999999</v>
      </c>
      <c r="H1046" s="192">
        <v>1.75</v>
      </c>
      <c r="I1046" s="205">
        <f t="shared" ref="I1046:I1051" si="487">H1046*E1046</f>
        <v>0</v>
      </c>
      <c r="J1046" s="205">
        <f>H1046*F1046</f>
        <v>1898.5224999999998</v>
      </c>
      <c r="K1046" s="205">
        <f t="shared" ref="K1046:K1051" si="488">G1046*H1046</f>
        <v>1898.5224999999998</v>
      </c>
    </row>
    <row r="1047" spans="1:11" ht="26">
      <c r="A1047" s="11" t="s">
        <v>1660</v>
      </c>
      <c r="B1047" s="12" t="s">
        <v>659</v>
      </c>
      <c r="C1047" s="10"/>
      <c r="D1047" s="13" t="s">
        <v>87</v>
      </c>
      <c r="E1047" s="205">
        <v>0</v>
      </c>
      <c r="F1047" s="205">
        <v>32.549999999999997</v>
      </c>
      <c r="G1047" s="205">
        <f t="shared" si="486"/>
        <v>32.549999999999997</v>
      </c>
      <c r="H1047" s="192">
        <v>10.32</v>
      </c>
      <c r="I1047" s="205">
        <f t="shared" si="487"/>
        <v>0</v>
      </c>
      <c r="J1047" s="205">
        <f t="shared" ref="J1047:J1051" si="489">H1047*F1047</f>
        <v>335.916</v>
      </c>
      <c r="K1047" s="205">
        <f t="shared" si="488"/>
        <v>335.916</v>
      </c>
    </row>
    <row r="1048" spans="1:11" ht="28.5" customHeight="1">
      <c r="A1048" s="11" t="s">
        <v>1661</v>
      </c>
      <c r="B1048" s="12" t="s">
        <v>660</v>
      </c>
      <c r="C1048" s="10"/>
      <c r="D1048" s="13" t="s">
        <v>1485</v>
      </c>
      <c r="E1048" s="205">
        <v>0</v>
      </c>
      <c r="F1048" s="205">
        <v>976.38</v>
      </c>
      <c r="G1048" s="205">
        <f t="shared" si="486"/>
        <v>976.38</v>
      </c>
      <c r="H1048" s="192">
        <v>2.14</v>
      </c>
      <c r="I1048" s="205">
        <f t="shared" si="487"/>
        <v>0</v>
      </c>
      <c r="J1048" s="205">
        <f t="shared" si="489"/>
        <v>2089.4531999999999</v>
      </c>
      <c r="K1048" s="205">
        <f t="shared" si="488"/>
        <v>2089.4531999999999</v>
      </c>
    </row>
    <row r="1049" spans="1:11" ht="29" customHeight="1">
      <c r="A1049" s="11" t="s">
        <v>1662</v>
      </c>
      <c r="B1049" s="12" t="s">
        <v>668</v>
      </c>
      <c r="C1049" s="10"/>
      <c r="D1049" s="13" t="s">
        <v>1485</v>
      </c>
      <c r="E1049" s="205">
        <v>0</v>
      </c>
      <c r="F1049" s="205">
        <v>2636.23</v>
      </c>
      <c r="G1049" s="205">
        <f t="shared" si="486"/>
        <v>2636.23</v>
      </c>
      <c r="H1049" s="192">
        <v>0.87</v>
      </c>
      <c r="I1049" s="205">
        <f t="shared" si="487"/>
        <v>0</v>
      </c>
      <c r="J1049" s="205">
        <f t="shared" si="489"/>
        <v>2293.5201000000002</v>
      </c>
      <c r="K1049" s="205">
        <f t="shared" si="488"/>
        <v>2293.5201000000002</v>
      </c>
    </row>
    <row r="1050" spans="1:11" ht="28" customHeight="1">
      <c r="A1050" s="11" t="s">
        <v>1663</v>
      </c>
      <c r="B1050" s="12" t="s">
        <v>661</v>
      </c>
      <c r="C1050" s="10"/>
      <c r="D1050" s="13" t="s">
        <v>87</v>
      </c>
      <c r="E1050" s="205">
        <v>0</v>
      </c>
      <c r="F1050" s="205">
        <v>32.549999999999997</v>
      </c>
      <c r="G1050" s="205">
        <f t="shared" si="486"/>
        <v>32.549999999999997</v>
      </c>
      <c r="H1050" s="192">
        <v>1248.29</v>
      </c>
      <c r="I1050" s="205">
        <f t="shared" si="487"/>
        <v>0</v>
      </c>
      <c r="J1050" s="205">
        <f t="shared" si="489"/>
        <v>40631.839499999995</v>
      </c>
      <c r="K1050" s="205">
        <f t="shared" si="488"/>
        <v>40631.839499999995</v>
      </c>
    </row>
    <row r="1051" spans="1:11" ht="17.5" customHeight="1">
      <c r="A1051" s="11" t="s">
        <v>1664</v>
      </c>
      <c r="B1051" s="12" t="s">
        <v>662</v>
      </c>
      <c r="C1051" s="10"/>
      <c r="D1051" s="13" t="s">
        <v>124</v>
      </c>
      <c r="E1051" s="205">
        <v>0</v>
      </c>
      <c r="F1051" s="205">
        <v>1084.8699999999999</v>
      </c>
      <c r="G1051" s="205">
        <f t="shared" si="486"/>
        <v>1084.8699999999999</v>
      </c>
      <c r="H1051" s="192">
        <v>2.83</v>
      </c>
      <c r="I1051" s="205">
        <f t="shared" si="487"/>
        <v>0</v>
      </c>
      <c r="J1051" s="205">
        <f t="shared" si="489"/>
        <v>3070.1821</v>
      </c>
      <c r="K1051" s="205">
        <f t="shared" si="488"/>
        <v>3070.1821</v>
      </c>
    </row>
    <row r="1052" spans="1:11">
      <c r="A1052" s="8" t="s">
        <v>1665</v>
      </c>
      <c r="B1052" s="9" t="s">
        <v>669</v>
      </c>
      <c r="C1052" s="8"/>
      <c r="D1052" s="8"/>
      <c r="E1052" s="211"/>
      <c r="F1052" s="211"/>
      <c r="G1052" s="211"/>
      <c r="H1052" s="191"/>
      <c r="I1052" s="204">
        <f>SUM(I1053:I1058)</f>
        <v>0</v>
      </c>
      <c r="J1052" s="204">
        <f>SUM(J1053:J1058)</f>
        <v>50319.433399999994</v>
      </c>
      <c r="K1052" s="204">
        <f>SUM(K1053:K1058)</f>
        <v>50319.433399999994</v>
      </c>
    </row>
    <row r="1053" spans="1:11">
      <c r="A1053" s="11" t="s">
        <v>1666</v>
      </c>
      <c r="B1053" s="12" t="s">
        <v>658</v>
      </c>
      <c r="C1053" s="10"/>
      <c r="D1053" s="14" t="s">
        <v>124</v>
      </c>
      <c r="E1053" s="205">
        <v>0</v>
      </c>
      <c r="F1053" s="205">
        <v>1084.8699999999999</v>
      </c>
      <c r="G1053" s="205">
        <f t="shared" ref="G1053:G1058" si="490">F1053-E1053</f>
        <v>1084.8699999999999</v>
      </c>
      <c r="H1053" s="192">
        <v>1.75</v>
      </c>
      <c r="I1053" s="205">
        <f t="shared" ref="I1053:I1058" si="491">H1053*E1053</f>
        <v>0</v>
      </c>
      <c r="J1053" s="205">
        <f>H1053*F1053</f>
        <v>1898.5224999999998</v>
      </c>
      <c r="K1053" s="205">
        <f t="shared" ref="K1053:K1058" si="492">G1053*H1053</f>
        <v>1898.5224999999998</v>
      </c>
    </row>
    <row r="1054" spans="1:11" ht="26">
      <c r="A1054" s="11" t="s">
        <v>1667</v>
      </c>
      <c r="B1054" s="12" t="s">
        <v>659</v>
      </c>
      <c r="C1054" s="10"/>
      <c r="D1054" s="14" t="s">
        <v>87</v>
      </c>
      <c r="E1054" s="205">
        <v>0</v>
      </c>
      <c r="F1054" s="205">
        <v>32.549999999999997</v>
      </c>
      <c r="G1054" s="205">
        <f t="shared" si="490"/>
        <v>32.549999999999997</v>
      </c>
      <c r="H1054" s="192">
        <v>10.32</v>
      </c>
      <c r="I1054" s="205">
        <f t="shared" si="491"/>
        <v>0</v>
      </c>
      <c r="J1054" s="205">
        <f t="shared" ref="J1054:J1058" si="493">H1054*F1054</f>
        <v>335.916</v>
      </c>
      <c r="K1054" s="205">
        <f t="shared" si="492"/>
        <v>335.916</v>
      </c>
    </row>
    <row r="1055" spans="1:11" ht="28.5" customHeight="1">
      <c r="A1055" s="11" t="s">
        <v>1668</v>
      </c>
      <c r="B1055" s="12" t="s">
        <v>660</v>
      </c>
      <c r="C1055" s="10"/>
      <c r="D1055" s="14" t="s">
        <v>1485</v>
      </c>
      <c r="E1055" s="205">
        <v>0</v>
      </c>
      <c r="F1055" s="205">
        <v>976.38</v>
      </c>
      <c r="G1055" s="205">
        <f t="shared" si="490"/>
        <v>976.38</v>
      </c>
      <c r="H1055" s="192">
        <v>2.14</v>
      </c>
      <c r="I1055" s="205">
        <f t="shared" si="491"/>
        <v>0</v>
      </c>
      <c r="J1055" s="205">
        <f t="shared" si="493"/>
        <v>2089.4531999999999</v>
      </c>
      <c r="K1055" s="205">
        <f t="shared" si="492"/>
        <v>2089.4531999999999</v>
      </c>
    </row>
    <row r="1056" spans="1:11" ht="32.5" customHeight="1">
      <c r="A1056" s="11" t="s">
        <v>1669</v>
      </c>
      <c r="B1056" s="18" t="s">
        <v>668</v>
      </c>
      <c r="C1056" s="10"/>
      <c r="D1056" s="189" t="s">
        <v>1485</v>
      </c>
      <c r="E1056" s="205">
        <v>0</v>
      </c>
      <c r="F1056" s="205">
        <v>2636.23</v>
      </c>
      <c r="G1056" s="205">
        <f t="shared" si="490"/>
        <v>2636.23</v>
      </c>
      <c r="H1056" s="193">
        <v>0.87</v>
      </c>
      <c r="I1056" s="205">
        <f t="shared" si="491"/>
        <v>0</v>
      </c>
      <c r="J1056" s="205">
        <f t="shared" si="493"/>
        <v>2293.5201000000002</v>
      </c>
      <c r="K1056" s="205">
        <f t="shared" si="492"/>
        <v>2293.5201000000002</v>
      </c>
    </row>
    <row r="1057" spans="1:11" ht="26.5">
      <c r="A1057" s="11" t="s">
        <v>1670</v>
      </c>
      <c r="B1057" s="18" t="s">
        <v>670</v>
      </c>
      <c r="C1057" s="10"/>
      <c r="D1057" s="14" t="s">
        <v>87</v>
      </c>
      <c r="E1057" s="205">
        <v>0</v>
      </c>
      <c r="F1057" s="205">
        <v>32.549999999999997</v>
      </c>
      <c r="G1057" s="205">
        <f t="shared" si="490"/>
        <v>32.549999999999997</v>
      </c>
      <c r="H1057" s="192">
        <v>1248.29</v>
      </c>
      <c r="I1057" s="205">
        <f t="shared" si="491"/>
        <v>0</v>
      </c>
      <c r="J1057" s="205">
        <f t="shared" si="493"/>
        <v>40631.839499999995</v>
      </c>
      <c r="K1057" s="205">
        <f t="shared" si="492"/>
        <v>40631.839499999995</v>
      </c>
    </row>
    <row r="1058" spans="1:11" ht="16.5" customHeight="1">
      <c r="A1058" s="11" t="s">
        <v>1671</v>
      </c>
      <c r="B1058" s="16" t="s">
        <v>671</v>
      </c>
      <c r="C1058" s="10" t="s">
        <v>87</v>
      </c>
      <c r="D1058" s="14" t="s">
        <v>124</v>
      </c>
      <c r="E1058" s="205">
        <v>0</v>
      </c>
      <c r="F1058" s="205">
        <v>1084.8699999999999</v>
      </c>
      <c r="G1058" s="205">
        <f t="shared" si="490"/>
        <v>1084.8699999999999</v>
      </c>
      <c r="H1058" s="192">
        <v>2.83</v>
      </c>
      <c r="I1058" s="205">
        <f t="shared" si="491"/>
        <v>0</v>
      </c>
      <c r="J1058" s="205">
        <f t="shared" si="493"/>
        <v>3070.1821</v>
      </c>
      <c r="K1058" s="205">
        <f t="shared" si="492"/>
        <v>3070.1821</v>
      </c>
    </row>
    <row r="1059" spans="1:11">
      <c r="A1059" s="8" t="s">
        <v>1672</v>
      </c>
      <c r="B1059" s="9" t="s">
        <v>107</v>
      </c>
      <c r="C1059" s="8"/>
      <c r="D1059" s="8"/>
      <c r="E1059" s="211"/>
      <c r="F1059" s="211"/>
      <c r="G1059" s="211"/>
      <c r="H1059" s="191"/>
      <c r="I1059" s="204">
        <f>SUM(I1060:I1062)</f>
        <v>0</v>
      </c>
      <c r="J1059" s="204">
        <f>SUM(J1060:J1062)</f>
        <v>0</v>
      </c>
      <c r="K1059" s="204">
        <f>SUM(K1060:K1062)</f>
        <v>0</v>
      </c>
    </row>
    <row r="1060" spans="1:11" ht="39">
      <c r="A1060" s="11" t="s">
        <v>1673</v>
      </c>
      <c r="B1060" s="12" t="s">
        <v>673</v>
      </c>
      <c r="C1060" s="10" t="s">
        <v>33</v>
      </c>
      <c r="D1060" s="13" t="s">
        <v>1486</v>
      </c>
      <c r="E1060" s="205">
        <v>0</v>
      </c>
      <c r="F1060" s="205">
        <v>0</v>
      </c>
      <c r="G1060" s="205">
        <f>F1060-E1060</f>
        <v>0</v>
      </c>
      <c r="H1060" s="192">
        <v>625.09</v>
      </c>
      <c r="I1060" s="205">
        <f t="shared" ref="I1060:I1062" si="494">H1060*E1060</f>
        <v>0</v>
      </c>
      <c r="J1060" s="205">
        <f>H1060*F1060</f>
        <v>0</v>
      </c>
      <c r="K1060" s="205">
        <f t="shared" ref="K1060:K1062" si="495">G1060*H1060</f>
        <v>0</v>
      </c>
    </row>
    <row r="1061" spans="1:11" ht="17" customHeight="1">
      <c r="A1061" s="11" t="s">
        <v>1674</v>
      </c>
      <c r="B1061" s="190" t="s">
        <v>679</v>
      </c>
      <c r="C1061" s="10" t="s">
        <v>33</v>
      </c>
      <c r="D1061" s="13" t="s">
        <v>124</v>
      </c>
      <c r="E1061" s="205">
        <v>0</v>
      </c>
      <c r="F1061" s="205">
        <v>0</v>
      </c>
      <c r="G1061" s="205">
        <f>F1061-E1061</f>
        <v>0</v>
      </c>
      <c r="H1061" s="192">
        <v>16.260000000000002</v>
      </c>
      <c r="I1061" s="205">
        <f t="shared" si="494"/>
        <v>0</v>
      </c>
      <c r="J1061" s="205">
        <f t="shared" ref="J1061:J1062" si="496">H1061*F1061</f>
        <v>0</v>
      </c>
      <c r="K1061" s="205">
        <f t="shared" si="495"/>
        <v>0</v>
      </c>
    </row>
    <row r="1062" spans="1:11" ht="16.5" customHeight="1">
      <c r="A1062" s="11" t="s">
        <v>1675</v>
      </c>
      <c r="B1062" s="12" t="s">
        <v>674</v>
      </c>
      <c r="C1062" s="10" t="s">
        <v>33</v>
      </c>
      <c r="D1062" s="13" t="s">
        <v>124</v>
      </c>
      <c r="E1062" s="205">
        <v>0</v>
      </c>
      <c r="F1062" s="205">
        <v>0</v>
      </c>
      <c r="G1062" s="205">
        <f>F1062-E1062</f>
        <v>0</v>
      </c>
      <c r="H1062" s="192">
        <v>4.5599999999999996</v>
      </c>
      <c r="I1062" s="205">
        <f t="shared" si="494"/>
        <v>0</v>
      </c>
      <c r="J1062" s="205">
        <f t="shared" si="496"/>
        <v>0</v>
      </c>
      <c r="K1062" s="205">
        <f t="shared" si="495"/>
        <v>0</v>
      </c>
    </row>
    <row r="1063" spans="1:11">
      <c r="A1063" s="8" t="s">
        <v>1676</v>
      </c>
      <c r="B1063" s="9" t="s">
        <v>677</v>
      </c>
      <c r="C1063" s="8"/>
      <c r="D1063" s="8"/>
      <c r="E1063" s="211"/>
      <c r="F1063" s="211"/>
      <c r="G1063" s="211"/>
      <c r="H1063" s="191"/>
      <c r="I1063" s="204">
        <f>SUM(I1064:I1065)</f>
        <v>0</v>
      </c>
      <c r="J1063" s="204">
        <f>SUM(J1064:J1065)</f>
        <v>1898.5224999999998</v>
      </c>
      <c r="K1063" s="204">
        <f>SUM(K1064:K1065)</f>
        <v>1898.5224999999998</v>
      </c>
    </row>
    <row r="1064" spans="1:11">
      <c r="A1064" s="11" t="s">
        <v>1677</v>
      </c>
      <c r="B1064" s="12" t="s">
        <v>658</v>
      </c>
      <c r="C1064" s="10" t="s">
        <v>11</v>
      </c>
      <c r="D1064" s="13" t="s">
        <v>124</v>
      </c>
      <c r="E1064" s="205">
        <v>0</v>
      </c>
      <c r="F1064" s="205">
        <v>1084.8699999999999</v>
      </c>
      <c r="G1064" s="205">
        <f>F1064-E1064</f>
        <v>1084.8699999999999</v>
      </c>
      <c r="H1064" s="192">
        <v>1.75</v>
      </c>
      <c r="I1064" s="205">
        <f t="shared" ref="I1064:I1065" si="497">H1064*E1064</f>
        <v>0</v>
      </c>
      <c r="J1064" s="205">
        <f>H1064*F1064</f>
        <v>1898.5224999999998</v>
      </c>
      <c r="K1064" s="205">
        <f t="shared" ref="K1064:K1065" si="498">G1064*H1064</f>
        <v>1898.5224999999998</v>
      </c>
    </row>
    <row r="1065" spans="1:11">
      <c r="A1065" s="11" t="s">
        <v>1678</v>
      </c>
      <c r="B1065" s="12" t="s">
        <v>678</v>
      </c>
      <c r="C1065" s="10" t="s">
        <v>11</v>
      </c>
      <c r="D1065" s="13" t="s">
        <v>1486</v>
      </c>
      <c r="E1065" s="205">
        <v>0</v>
      </c>
      <c r="F1065" s="205">
        <v>0</v>
      </c>
      <c r="G1065" s="205">
        <f>F1065-E1065</f>
        <v>0</v>
      </c>
      <c r="H1065" s="192">
        <v>92.34</v>
      </c>
      <c r="I1065" s="205">
        <f t="shared" si="497"/>
        <v>0</v>
      </c>
      <c r="J1065" s="205">
        <f>H1065*F1065</f>
        <v>0</v>
      </c>
      <c r="K1065" s="205">
        <f t="shared" si="498"/>
        <v>0</v>
      </c>
    </row>
    <row r="1066" spans="1:11">
      <c r="A1066" s="183">
        <v>40</v>
      </c>
      <c r="B1066" s="188" t="s">
        <v>2023</v>
      </c>
      <c r="C1066" s="183"/>
      <c r="D1066" s="183"/>
      <c r="E1066" s="210"/>
      <c r="F1066" s="210"/>
      <c r="G1066" s="210"/>
      <c r="H1066" s="194"/>
      <c r="I1066" s="203">
        <f>SUM(I1067,I1070,I1072,I1079,I1086,I1090)</f>
        <v>0</v>
      </c>
      <c r="J1066" s="203">
        <f>SUM(J1067,J1070,J1072,J1079,J1086,J1090)</f>
        <v>110021.28580000001</v>
      </c>
      <c r="K1066" s="203">
        <f>SUM(K1067,K1070,K1072,K1079,K1086,K1090)</f>
        <v>110021.28580000001</v>
      </c>
    </row>
    <row r="1067" spans="1:11">
      <c r="A1067" s="8" t="s">
        <v>1679</v>
      </c>
      <c r="B1067" s="9" t="s">
        <v>8</v>
      </c>
      <c r="C1067" s="8"/>
      <c r="D1067" s="8"/>
      <c r="E1067" s="211"/>
      <c r="F1067" s="211"/>
      <c r="G1067" s="211"/>
      <c r="H1067" s="191"/>
      <c r="I1067" s="204">
        <f>SUM(I1068:I1069)</f>
        <v>0</v>
      </c>
      <c r="J1067" s="204">
        <f>SUM(J1068:J1069)</f>
        <v>17567.829000000002</v>
      </c>
      <c r="K1067" s="204">
        <f>SUM(K1068:K1069)</f>
        <v>17567.829000000002</v>
      </c>
    </row>
    <row r="1068" spans="1:11" ht="26">
      <c r="A1068" s="11" t="s">
        <v>1680</v>
      </c>
      <c r="B1068" s="12" t="s">
        <v>652</v>
      </c>
      <c r="C1068" s="10" t="s">
        <v>13</v>
      </c>
      <c r="D1068" s="13" t="s">
        <v>124</v>
      </c>
      <c r="E1068" s="205">
        <v>0</v>
      </c>
      <c r="F1068" s="205">
        <v>974.44</v>
      </c>
      <c r="G1068" s="205">
        <f>F1068-E1068</f>
        <v>974.44</v>
      </c>
      <c r="H1068" s="192">
        <v>0.36</v>
      </c>
      <c r="I1068" s="205">
        <f>H1068*E1068</f>
        <v>0</v>
      </c>
      <c r="J1068" s="205">
        <f>H1068*F1068</f>
        <v>350.79840000000002</v>
      </c>
      <c r="K1068" s="205">
        <f t="shared" ref="K1068:K1069" si="499">G1068*H1068</f>
        <v>350.79840000000002</v>
      </c>
    </row>
    <row r="1069" spans="1:11" ht="52">
      <c r="A1069" s="11" t="s">
        <v>1681</v>
      </c>
      <c r="B1069" s="12" t="s">
        <v>649</v>
      </c>
      <c r="C1069" s="10" t="s">
        <v>11</v>
      </c>
      <c r="D1069" s="13" t="s">
        <v>124</v>
      </c>
      <c r="E1069" s="205">
        <v>0</v>
      </c>
      <c r="F1069" s="205">
        <v>279.18</v>
      </c>
      <c r="G1069" s="205">
        <f>F1069-E1069</f>
        <v>279.18</v>
      </c>
      <c r="H1069" s="192">
        <v>61.67</v>
      </c>
      <c r="I1069" s="205">
        <f>H1069*E1069</f>
        <v>0</v>
      </c>
      <c r="J1069" s="205">
        <f>H1069*F1069</f>
        <v>17217.030600000002</v>
      </c>
      <c r="K1069" s="205">
        <f t="shared" si="499"/>
        <v>17217.030600000002</v>
      </c>
    </row>
    <row r="1070" spans="1:11">
      <c r="A1070" s="8" t="s">
        <v>1682</v>
      </c>
      <c r="B1070" s="9" t="s">
        <v>654</v>
      </c>
      <c r="C1070" s="8"/>
      <c r="D1070" s="8"/>
      <c r="E1070" s="211"/>
      <c r="F1070" s="211"/>
      <c r="G1070" s="211"/>
      <c r="H1070" s="191"/>
      <c r="I1070" s="204">
        <f>SUM(I1071:I1071)</f>
        <v>0</v>
      </c>
      <c r="J1070" s="204">
        <f>SUM(J1071:J1071)</f>
        <v>370.28720000000004</v>
      </c>
      <c r="K1070" s="204">
        <f>SUM(K1071:K1071)</f>
        <v>370.28720000000004</v>
      </c>
    </row>
    <row r="1071" spans="1:11" ht="26">
      <c r="A1071" s="11" t="s">
        <v>1683</v>
      </c>
      <c r="B1071" s="12" t="s">
        <v>655</v>
      </c>
      <c r="C1071" s="10"/>
      <c r="D1071" s="13" t="s">
        <v>124</v>
      </c>
      <c r="E1071" s="205">
        <v>0</v>
      </c>
      <c r="F1071" s="205">
        <v>974.44</v>
      </c>
      <c r="G1071" s="205">
        <f>F1071-E1071</f>
        <v>974.44</v>
      </c>
      <c r="H1071" s="192">
        <v>0.38</v>
      </c>
      <c r="I1071" s="205">
        <f t="shared" ref="I1071" si="500">H1071*E1071</f>
        <v>0</v>
      </c>
      <c r="J1071" s="205">
        <f>H1071*F1071</f>
        <v>370.28720000000004</v>
      </c>
      <c r="K1071" s="205">
        <f t="shared" ref="K1071" si="501">G1071*H1071</f>
        <v>370.28720000000004</v>
      </c>
    </row>
    <row r="1072" spans="1:11">
      <c r="A1072" s="8" t="s">
        <v>1684</v>
      </c>
      <c r="B1072" s="9" t="s">
        <v>657</v>
      </c>
      <c r="C1072" s="8"/>
      <c r="D1072" s="8"/>
      <c r="E1072" s="211"/>
      <c r="F1072" s="211"/>
      <c r="G1072" s="211"/>
      <c r="H1072" s="191"/>
      <c r="I1072" s="204">
        <f>SUM(I1073:I1078)</f>
        <v>0</v>
      </c>
      <c r="J1072" s="204">
        <f>SUM(J1073:J1078)</f>
        <v>45188.949800000002</v>
      </c>
      <c r="K1072" s="204">
        <f>SUM(K1073:K1078)</f>
        <v>45188.949800000002</v>
      </c>
    </row>
    <row r="1073" spans="1:11">
      <c r="A1073" s="11" t="s">
        <v>1685</v>
      </c>
      <c r="B1073" s="12" t="s">
        <v>658</v>
      </c>
      <c r="C1073" s="10"/>
      <c r="D1073" s="13" t="s">
        <v>124</v>
      </c>
      <c r="E1073" s="205">
        <v>0</v>
      </c>
      <c r="F1073" s="205">
        <v>974.44</v>
      </c>
      <c r="G1073" s="205">
        <f t="shared" ref="G1073:G1078" si="502">F1073-E1073</f>
        <v>974.44</v>
      </c>
      <c r="H1073" s="192">
        <v>1.75</v>
      </c>
      <c r="I1073" s="205">
        <f t="shared" ref="I1073:I1078" si="503">H1073*E1073</f>
        <v>0</v>
      </c>
      <c r="J1073" s="205">
        <f>H1073*F1073</f>
        <v>1705.27</v>
      </c>
      <c r="K1073" s="205">
        <f t="shared" ref="K1073:K1078" si="504">G1073*H1073</f>
        <v>1705.27</v>
      </c>
    </row>
    <row r="1074" spans="1:11" ht="26">
      <c r="A1074" s="11" t="s">
        <v>1686</v>
      </c>
      <c r="B1074" s="12" t="s">
        <v>659</v>
      </c>
      <c r="C1074" s="10"/>
      <c r="D1074" s="13" t="s">
        <v>87</v>
      </c>
      <c r="E1074" s="205">
        <v>0</v>
      </c>
      <c r="F1074" s="205">
        <v>29.23</v>
      </c>
      <c r="G1074" s="205">
        <f t="shared" si="502"/>
        <v>29.23</v>
      </c>
      <c r="H1074" s="192">
        <v>10.32</v>
      </c>
      <c r="I1074" s="205">
        <f t="shared" si="503"/>
        <v>0</v>
      </c>
      <c r="J1074" s="205">
        <f t="shared" ref="J1074:J1078" si="505">H1074*F1074</f>
        <v>301.65360000000004</v>
      </c>
      <c r="K1074" s="205">
        <f t="shared" si="504"/>
        <v>301.65360000000004</v>
      </c>
    </row>
    <row r="1075" spans="1:11" ht="28.5" customHeight="1">
      <c r="A1075" s="11" t="s">
        <v>1687</v>
      </c>
      <c r="B1075" s="12" t="s">
        <v>660</v>
      </c>
      <c r="C1075" s="10"/>
      <c r="D1075" s="13" t="s">
        <v>1485</v>
      </c>
      <c r="E1075" s="205">
        <v>0</v>
      </c>
      <c r="F1075" s="205">
        <v>877</v>
      </c>
      <c r="G1075" s="205">
        <f t="shared" si="502"/>
        <v>877</v>
      </c>
      <c r="H1075" s="192">
        <v>2.14</v>
      </c>
      <c r="I1075" s="205">
        <f t="shared" si="503"/>
        <v>0</v>
      </c>
      <c r="J1075" s="205">
        <f t="shared" si="505"/>
        <v>1876.7800000000002</v>
      </c>
      <c r="K1075" s="205">
        <f t="shared" si="504"/>
        <v>1876.7800000000002</v>
      </c>
    </row>
    <row r="1076" spans="1:11" ht="29" customHeight="1">
      <c r="A1076" s="11" t="s">
        <v>1688</v>
      </c>
      <c r="B1076" s="12" t="s">
        <v>668</v>
      </c>
      <c r="C1076" s="10"/>
      <c r="D1076" s="13" t="s">
        <v>1485</v>
      </c>
      <c r="E1076" s="205">
        <v>0</v>
      </c>
      <c r="F1076" s="205">
        <v>2367.89</v>
      </c>
      <c r="G1076" s="205">
        <f t="shared" si="502"/>
        <v>2367.89</v>
      </c>
      <c r="H1076" s="192">
        <v>0.87</v>
      </c>
      <c r="I1076" s="205">
        <f t="shared" si="503"/>
        <v>0</v>
      </c>
      <c r="J1076" s="205">
        <f t="shared" si="505"/>
        <v>2060.0643</v>
      </c>
      <c r="K1076" s="205">
        <f t="shared" si="504"/>
        <v>2060.0643</v>
      </c>
    </row>
    <row r="1077" spans="1:11" ht="28" customHeight="1">
      <c r="A1077" s="11" t="s">
        <v>1689</v>
      </c>
      <c r="B1077" s="12" t="s">
        <v>661</v>
      </c>
      <c r="C1077" s="10"/>
      <c r="D1077" s="13" t="s">
        <v>87</v>
      </c>
      <c r="E1077" s="205">
        <v>0</v>
      </c>
      <c r="F1077" s="205">
        <v>29.23</v>
      </c>
      <c r="G1077" s="205">
        <f t="shared" si="502"/>
        <v>29.23</v>
      </c>
      <c r="H1077" s="192">
        <v>1248.29</v>
      </c>
      <c r="I1077" s="205">
        <f t="shared" si="503"/>
        <v>0</v>
      </c>
      <c r="J1077" s="205">
        <f t="shared" si="505"/>
        <v>36487.5167</v>
      </c>
      <c r="K1077" s="205">
        <f t="shared" si="504"/>
        <v>36487.5167</v>
      </c>
    </row>
    <row r="1078" spans="1:11" ht="17.5" customHeight="1">
      <c r="A1078" s="11" t="s">
        <v>1690</v>
      </c>
      <c r="B1078" s="12" t="s">
        <v>662</v>
      </c>
      <c r="C1078" s="10"/>
      <c r="D1078" s="13" t="s">
        <v>124</v>
      </c>
      <c r="E1078" s="205">
        <v>0</v>
      </c>
      <c r="F1078" s="205">
        <v>974.44</v>
      </c>
      <c r="G1078" s="205">
        <f t="shared" si="502"/>
        <v>974.44</v>
      </c>
      <c r="H1078" s="192">
        <v>2.83</v>
      </c>
      <c r="I1078" s="205">
        <f t="shared" si="503"/>
        <v>0</v>
      </c>
      <c r="J1078" s="205">
        <f t="shared" si="505"/>
        <v>2757.6652000000004</v>
      </c>
      <c r="K1078" s="205">
        <f t="shared" si="504"/>
        <v>2757.6652000000004</v>
      </c>
    </row>
    <row r="1079" spans="1:11">
      <c r="A1079" s="8" t="s">
        <v>1691</v>
      </c>
      <c r="B1079" s="9" t="s">
        <v>669</v>
      </c>
      <c r="C1079" s="8"/>
      <c r="D1079" s="8"/>
      <c r="E1079" s="211"/>
      <c r="F1079" s="211"/>
      <c r="G1079" s="211"/>
      <c r="H1079" s="191"/>
      <c r="I1079" s="204">
        <f>SUM(I1080:I1085)</f>
        <v>0</v>
      </c>
      <c r="J1079" s="204">
        <f>SUM(J1080:J1085)</f>
        <v>45188.949800000002</v>
      </c>
      <c r="K1079" s="204">
        <f>SUM(K1080:K1085)</f>
        <v>45188.949800000002</v>
      </c>
    </row>
    <row r="1080" spans="1:11">
      <c r="A1080" s="11" t="s">
        <v>1692</v>
      </c>
      <c r="B1080" s="12" t="s">
        <v>658</v>
      </c>
      <c r="C1080" s="10"/>
      <c r="D1080" s="14" t="s">
        <v>124</v>
      </c>
      <c r="E1080" s="205">
        <v>0</v>
      </c>
      <c r="F1080" s="205">
        <v>974.44</v>
      </c>
      <c r="G1080" s="205">
        <f t="shared" ref="G1080:G1085" si="506">F1080-E1080</f>
        <v>974.44</v>
      </c>
      <c r="H1080" s="192">
        <v>1.75</v>
      </c>
      <c r="I1080" s="205">
        <f t="shared" ref="I1080:I1085" si="507">H1080*E1080</f>
        <v>0</v>
      </c>
      <c r="J1080" s="205">
        <f>H1080*F1080</f>
        <v>1705.27</v>
      </c>
      <c r="K1080" s="205">
        <f t="shared" ref="K1080:K1085" si="508">G1080*H1080</f>
        <v>1705.27</v>
      </c>
    </row>
    <row r="1081" spans="1:11" ht="26">
      <c r="A1081" s="11" t="s">
        <v>1693</v>
      </c>
      <c r="B1081" s="12" t="s">
        <v>659</v>
      </c>
      <c r="C1081" s="10"/>
      <c r="D1081" s="14" t="s">
        <v>87</v>
      </c>
      <c r="E1081" s="205">
        <v>0</v>
      </c>
      <c r="F1081" s="205">
        <v>29.23</v>
      </c>
      <c r="G1081" s="205">
        <f t="shared" si="506"/>
        <v>29.23</v>
      </c>
      <c r="H1081" s="192">
        <v>10.32</v>
      </c>
      <c r="I1081" s="205">
        <f t="shared" si="507"/>
        <v>0</v>
      </c>
      <c r="J1081" s="205">
        <f t="shared" ref="J1081:J1085" si="509">H1081*F1081</f>
        <v>301.65360000000004</v>
      </c>
      <c r="K1081" s="205">
        <f t="shared" si="508"/>
        <v>301.65360000000004</v>
      </c>
    </row>
    <row r="1082" spans="1:11" ht="28.5" customHeight="1">
      <c r="A1082" s="11" t="s">
        <v>1694</v>
      </c>
      <c r="B1082" s="12" t="s">
        <v>660</v>
      </c>
      <c r="C1082" s="10"/>
      <c r="D1082" s="14" t="s">
        <v>1485</v>
      </c>
      <c r="E1082" s="205">
        <v>0</v>
      </c>
      <c r="F1082" s="205">
        <v>877</v>
      </c>
      <c r="G1082" s="205">
        <f t="shared" si="506"/>
        <v>877</v>
      </c>
      <c r="H1082" s="192">
        <v>2.14</v>
      </c>
      <c r="I1082" s="205">
        <f t="shared" si="507"/>
        <v>0</v>
      </c>
      <c r="J1082" s="205">
        <f t="shared" si="509"/>
        <v>1876.7800000000002</v>
      </c>
      <c r="K1082" s="205">
        <f t="shared" si="508"/>
        <v>1876.7800000000002</v>
      </c>
    </row>
    <row r="1083" spans="1:11" ht="32.5" customHeight="1">
      <c r="A1083" s="11" t="s">
        <v>1695</v>
      </c>
      <c r="B1083" s="18" t="s">
        <v>668</v>
      </c>
      <c r="C1083" s="10"/>
      <c r="D1083" s="189" t="s">
        <v>1485</v>
      </c>
      <c r="E1083" s="205">
        <v>0</v>
      </c>
      <c r="F1083" s="205">
        <v>2367.89</v>
      </c>
      <c r="G1083" s="205">
        <f t="shared" si="506"/>
        <v>2367.89</v>
      </c>
      <c r="H1083" s="193">
        <v>0.87</v>
      </c>
      <c r="I1083" s="205">
        <f t="shared" si="507"/>
        <v>0</v>
      </c>
      <c r="J1083" s="205">
        <f t="shared" si="509"/>
        <v>2060.0643</v>
      </c>
      <c r="K1083" s="205">
        <f t="shared" si="508"/>
        <v>2060.0643</v>
      </c>
    </row>
    <row r="1084" spans="1:11" ht="26.5">
      <c r="A1084" s="11" t="s">
        <v>1696</v>
      </c>
      <c r="B1084" s="18" t="s">
        <v>670</v>
      </c>
      <c r="C1084" s="10"/>
      <c r="D1084" s="14" t="s">
        <v>87</v>
      </c>
      <c r="E1084" s="205">
        <v>0</v>
      </c>
      <c r="F1084" s="205">
        <v>29.23</v>
      </c>
      <c r="G1084" s="205">
        <f t="shared" si="506"/>
        <v>29.23</v>
      </c>
      <c r="H1084" s="192">
        <v>1248.29</v>
      </c>
      <c r="I1084" s="205">
        <f t="shared" si="507"/>
        <v>0</v>
      </c>
      <c r="J1084" s="205">
        <f t="shared" si="509"/>
        <v>36487.5167</v>
      </c>
      <c r="K1084" s="205">
        <f t="shared" si="508"/>
        <v>36487.5167</v>
      </c>
    </row>
    <row r="1085" spans="1:11" ht="16.5" customHeight="1">
      <c r="A1085" s="11" t="s">
        <v>1697</v>
      </c>
      <c r="B1085" s="16" t="s">
        <v>671</v>
      </c>
      <c r="C1085" s="10" t="s">
        <v>87</v>
      </c>
      <c r="D1085" s="14" t="s">
        <v>124</v>
      </c>
      <c r="E1085" s="205">
        <v>0</v>
      </c>
      <c r="F1085" s="205">
        <v>974.44</v>
      </c>
      <c r="G1085" s="205">
        <f t="shared" si="506"/>
        <v>974.44</v>
      </c>
      <c r="H1085" s="192">
        <v>2.83</v>
      </c>
      <c r="I1085" s="205">
        <f t="shared" si="507"/>
        <v>0</v>
      </c>
      <c r="J1085" s="205">
        <f t="shared" si="509"/>
        <v>2757.6652000000004</v>
      </c>
      <c r="K1085" s="205">
        <f t="shared" si="508"/>
        <v>2757.6652000000004</v>
      </c>
    </row>
    <row r="1086" spans="1:11">
      <c r="A1086" s="8" t="s">
        <v>1698</v>
      </c>
      <c r="B1086" s="9" t="s">
        <v>107</v>
      </c>
      <c r="C1086" s="8"/>
      <c r="D1086" s="8"/>
      <c r="E1086" s="211"/>
      <c r="F1086" s="211"/>
      <c r="G1086" s="211"/>
      <c r="H1086" s="191"/>
      <c r="I1086" s="204">
        <f>SUM(I1087:I1089)</f>
        <v>0</v>
      </c>
      <c r="J1086" s="204">
        <f>SUM(J1087:J1089)</f>
        <v>0</v>
      </c>
      <c r="K1086" s="204">
        <f>SUM(K1087:K1089)</f>
        <v>0</v>
      </c>
    </row>
    <row r="1087" spans="1:11" ht="39">
      <c r="A1087" s="11" t="s">
        <v>1699</v>
      </c>
      <c r="B1087" s="12" t="s">
        <v>673</v>
      </c>
      <c r="C1087" s="10" t="s">
        <v>33</v>
      </c>
      <c r="D1087" s="13" t="s">
        <v>1486</v>
      </c>
      <c r="E1087" s="205">
        <v>0</v>
      </c>
      <c r="F1087" s="205">
        <v>0</v>
      </c>
      <c r="G1087" s="205">
        <f>F1087-E1087</f>
        <v>0</v>
      </c>
      <c r="H1087" s="192">
        <v>625.09</v>
      </c>
      <c r="I1087" s="205">
        <f t="shared" ref="I1087:I1089" si="510">H1087*E1087</f>
        <v>0</v>
      </c>
      <c r="J1087" s="205">
        <f>H1087*F1087</f>
        <v>0</v>
      </c>
      <c r="K1087" s="205">
        <f t="shared" ref="K1087:K1089" si="511">G1087*H1087</f>
        <v>0</v>
      </c>
    </row>
    <row r="1088" spans="1:11" ht="17" customHeight="1">
      <c r="A1088" s="11" t="s">
        <v>1700</v>
      </c>
      <c r="B1088" s="190" t="s">
        <v>679</v>
      </c>
      <c r="C1088" s="10" t="s">
        <v>33</v>
      </c>
      <c r="D1088" s="13" t="s">
        <v>124</v>
      </c>
      <c r="E1088" s="205">
        <v>0</v>
      </c>
      <c r="F1088" s="205">
        <v>0</v>
      </c>
      <c r="G1088" s="205">
        <f>F1088-E1088</f>
        <v>0</v>
      </c>
      <c r="H1088" s="192">
        <v>16.260000000000002</v>
      </c>
      <c r="I1088" s="205">
        <f t="shared" si="510"/>
        <v>0</v>
      </c>
      <c r="J1088" s="205">
        <f t="shared" ref="J1088:J1089" si="512">H1088*F1088</f>
        <v>0</v>
      </c>
      <c r="K1088" s="205">
        <f t="shared" si="511"/>
        <v>0</v>
      </c>
    </row>
    <row r="1089" spans="1:11" ht="16.5" customHeight="1">
      <c r="A1089" s="11" t="s">
        <v>1701</v>
      </c>
      <c r="B1089" s="12" t="s">
        <v>674</v>
      </c>
      <c r="C1089" s="10" t="s">
        <v>33</v>
      </c>
      <c r="D1089" s="13" t="s">
        <v>124</v>
      </c>
      <c r="E1089" s="205">
        <v>0</v>
      </c>
      <c r="F1089" s="205">
        <v>0</v>
      </c>
      <c r="G1089" s="205">
        <f>F1089-E1089</f>
        <v>0</v>
      </c>
      <c r="H1089" s="192">
        <v>4.5599999999999996</v>
      </c>
      <c r="I1089" s="205">
        <f t="shared" si="510"/>
        <v>0</v>
      </c>
      <c r="J1089" s="205">
        <f t="shared" si="512"/>
        <v>0</v>
      </c>
      <c r="K1089" s="205">
        <f t="shared" si="511"/>
        <v>0</v>
      </c>
    </row>
    <row r="1090" spans="1:11">
      <c r="A1090" s="8" t="s">
        <v>1702</v>
      </c>
      <c r="B1090" s="9" t="s">
        <v>677</v>
      </c>
      <c r="C1090" s="8"/>
      <c r="D1090" s="8"/>
      <c r="E1090" s="211"/>
      <c r="F1090" s="211"/>
      <c r="G1090" s="211"/>
      <c r="H1090" s="191"/>
      <c r="I1090" s="204">
        <f>SUM(I1091:I1092)</f>
        <v>0</v>
      </c>
      <c r="J1090" s="204">
        <f>SUM(J1091:J1092)</f>
        <v>1705.27</v>
      </c>
      <c r="K1090" s="204">
        <f>SUM(K1091:K1092)</f>
        <v>1705.27</v>
      </c>
    </row>
    <row r="1091" spans="1:11">
      <c r="A1091" s="11" t="s">
        <v>1703</v>
      </c>
      <c r="B1091" s="12" t="s">
        <v>658</v>
      </c>
      <c r="C1091" s="10" t="s">
        <v>11</v>
      </c>
      <c r="D1091" s="13" t="s">
        <v>124</v>
      </c>
      <c r="E1091" s="205">
        <v>0</v>
      </c>
      <c r="F1091" s="205">
        <v>974.44</v>
      </c>
      <c r="G1091" s="205">
        <f>F1091-E1091</f>
        <v>974.44</v>
      </c>
      <c r="H1091" s="192">
        <v>1.75</v>
      </c>
      <c r="I1091" s="205">
        <f t="shared" ref="I1091:I1092" si="513">H1091*E1091</f>
        <v>0</v>
      </c>
      <c r="J1091" s="205">
        <f>H1091*F1091</f>
        <v>1705.27</v>
      </c>
      <c r="K1091" s="205">
        <f t="shared" ref="K1091:K1092" si="514">G1091*H1091</f>
        <v>1705.27</v>
      </c>
    </row>
    <row r="1092" spans="1:11">
      <c r="A1092" s="11" t="s">
        <v>1704</v>
      </c>
      <c r="B1092" s="12" t="s">
        <v>678</v>
      </c>
      <c r="C1092" s="10" t="s">
        <v>11</v>
      </c>
      <c r="D1092" s="13" t="s">
        <v>1486</v>
      </c>
      <c r="E1092" s="205">
        <v>0</v>
      </c>
      <c r="F1092" s="205">
        <v>0</v>
      </c>
      <c r="G1092" s="205">
        <f>F1092-E1092</f>
        <v>0</v>
      </c>
      <c r="H1092" s="192">
        <v>92.34</v>
      </c>
      <c r="I1092" s="205">
        <f t="shared" si="513"/>
        <v>0</v>
      </c>
      <c r="J1092" s="205">
        <f>H1092*F1092</f>
        <v>0</v>
      </c>
      <c r="K1092" s="205">
        <f t="shared" si="514"/>
        <v>0</v>
      </c>
    </row>
    <row r="1093" spans="1:11">
      <c r="A1093" s="183">
        <v>41</v>
      </c>
      <c r="B1093" s="188" t="s">
        <v>2024</v>
      </c>
      <c r="C1093" s="183"/>
      <c r="D1093" s="183"/>
      <c r="E1093" s="210"/>
      <c r="F1093" s="210"/>
      <c r="G1093" s="210"/>
      <c r="H1093" s="194"/>
      <c r="I1093" s="203">
        <f>SUM(I1094,I1097,I1099,I1106,I1113,I1117)</f>
        <v>0</v>
      </c>
      <c r="J1093" s="203">
        <f>SUM(J1094,J1097,J1099,J1106,J1113,J1117)</f>
        <v>32797.722300000001</v>
      </c>
      <c r="K1093" s="203">
        <f>SUM(K1094,K1097,K1099,K1106,K1113,K1117)</f>
        <v>32797.722300000001</v>
      </c>
    </row>
    <row r="1094" spans="1:11">
      <c r="A1094" s="8" t="s">
        <v>1705</v>
      </c>
      <c r="B1094" s="9" t="s">
        <v>8</v>
      </c>
      <c r="C1094" s="8"/>
      <c r="D1094" s="8"/>
      <c r="E1094" s="211"/>
      <c r="F1094" s="211"/>
      <c r="G1094" s="211"/>
      <c r="H1094" s="191"/>
      <c r="I1094" s="204">
        <f>SUM(I1095:I1096)</f>
        <v>0</v>
      </c>
      <c r="J1094" s="204">
        <f>SUM(J1095:J1096)</f>
        <v>5155.6230000000005</v>
      </c>
      <c r="K1094" s="204">
        <f>SUM(K1095:K1096)</f>
        <v>5155.6230000000005</v>
      </c>
    </row>
    <row r="1095" spans="1:11" ht="26">
      <c r="A1095" s="11" t="s">
        <v>1706</v>
      </c>
      <c r="B1095" s="12" t="s">
        <v>652</v>
      </c>
      <c r="C1095" s="10" t="s">
        <v>13</v>
      </c>
      <c r="D1095" s="13" t="s">
        <v>124</v>
      </c>
      <c r="E1095" s="205">
        <v>0</v>
      </c>
      <c r="F1095" s="205">
        <v>291.25</v>
      </c>
      <c r="G1095" s="205">
        <f>F1095-E1095</f>
        <v>291.25</v>
      </c>
      <c r="H1095" s="192">
        <v>0.36</v>
      </c>
      <c r="I1095" s="205">
        <f>H1095*E1095</f>
        <v>0</v>
      </c>
      <c r="J1095" s="205">
        <f>H1095*F1095</f>
        <v>104.85</v>
      </c>
      <c r="K1095" s="205">
        <f t="shared" ref="K1095:K1096" si="515">G1095*H1095</f>
        <v>104.85</v>
      </c>
    </row>
    <row r="1096" spans="1:11" ht="52">
      <c r="A1096" s="11" t="s">
        <v>1707</v>
      </c>
      <c r="B1096" s="12" t="s">
        <v>649</v>
      </c>
      <c r="C1096" s="10" t="s">
        <v>11</v>
      </c>
      <c r="D1096" s="13" t="s">
        <v>124</v>
      </c>
      <c r="E1096" s="205">
        <v>0</v>
      </c>
      <c r="F1096" s="205">
        <v>81.900000000000006</v>
      </c>
      <c r="G1096" s="205">
        <f>F1096-E1096</f>
        <v>81.900000000000006</v>
      </c>
      <c r="H1096" s="192">
        <v>61.67</v>
      </c>
      <c r="I1096" s="205">
        <f>H1096*E1096</f>
        <v>0</v>
      </c>
      <c r="J1096" s="205">
        <f>H1096*F1096</f>
        <v>5050.7730000000001</v>
      </c>
      <c r="K1096" s="205">
        <f t="shared" si="515"/>
        <v>5050.7730000000001</v>
      </c>
    </row>
    <row r="1097" spans="1:11">
      <c r="A1097" s="8" t="s">
        <v>1708</v>
      </c>
      <c r="B1097" s="9" t="s">
        <v>654</v>
      </c>
      <c r="C1097" s="8"/>
      <c r="D1097" s="8"/>
      <c r="E1097" s="211"/>
      <c r="F1097" s="211"/>
      <c r="G1097" s="211"/>
      <c r="H1097" s="191"/>
      <c r="I1097" s="204">
        <f>SUM(I1098:I1098)</f>
        <v>0</v>
      </c>
      <c r="J1097" s="204">
        <f>SUM(J1098:J1098)</f>
        <v>110.675</v>
      </c>
      <c r="K1097" s="204">
        <f>SUM(K1098:K1098)</f>
        <v>110.675</v>
      </c>
    </row>
    <row r="1098" spans="1:11" ht="26">
      <c r="A1098" s="11" t="s">
        <v>1709</v>
      </c>
      <c r="B1098" s="12" t="s">
        <v>655</v>
      </c>
      <c r="C1098" s="10"/>
      <c r="D1098" s="13" t="s">
        <v>124</v>
      </c>
      <c r="E1098" s="205">
        <v>0</v>
      </c>
      <c r="F1098" s="205">
        <v>291.25</v>
      </c>
      <c r="G1098" s="205">
        <f>F1098-E1098</f>
        <v>291.25</v>
      </c>
      <c r="H1098" s="192">
        <v>0.38</v>
      </c>
      <c r="I1098" s="205">
        <f t="shared" ref="I1098" si="516">H1098*E1098</f>
        <v>0</v>
      </c>
      <c r="J1098" s="205">
        <f>H1098*F1098</f>
        <v>110.675</v>
      </c>
      <c r="K1098" s="205">
        <f t="shared" ref="K1098" si="517">G1098*H1098</f>
        <v>110.675</v>
      </c>
    </row>
    <row r="1099" spans="1:11">
      <c r="A1099" s="8" t="s">
        <v>1710</v>
      </c>
      <c r="B1099" s="9" t="s">
        <v>657</v>
      </c>
      <c r="C1099" s="8"/>
      <c r="D1099" s="8"/>
      <c r="E1099" s="211"/>
      <c r="F1099" s="211"/>
      <c r="G1099" s="211"/>
      <c r="H1099" s="191"/>
      <c r="I1099" s="204">
        <f>SUM(I1100:I1105)</f>
        <v>0</v>
      </c>
      <c r="J1099" s="204">
        <f>SUM(J1100:J1105)</f>
        <v>13510.868399999999</v>
      </c>
      <c r="K1099" s="204">
        <f>SUM(K1100:K1105)</f>
        <v>13510.868399999999</v>
      </c>
    </row>
    <row r="1100" spans="1:11">
      <c r="A1100" s="11" t="s">
        <v>1711</v>
      </c>
      <c r="B1100" s="12" t="s">
        <v>658</v>
      </c>
      <c r="C1100" s="10"/>
      <c r="D1100" s="13" t="s">
        <v>124</v>
      </c>
      <c r="E1100" s="205">
        <v>0</v>
      </c>
      <c r="F1100" s="205">
        <v>291.25</v>
      </c>
      <c r="G1100" s="205">
        <f t="shared" ref="G1100:G1105" si="518">F1100-E1100</f>
        <v>291.25</v>
      </c>
      <c r="H1100" s="192">
        <v>1.75</v>
      </c>
      <c r="I1100" s="205">
        <f t="shared" ref="I1100:I1105" si="519">H1100*E1100</f>
        <v>0</v>
      </c>
      <c r="J1100" s="205">
        <f>H1100*F1100</f>
        <v>509.6875</v>
      </c>
      <c r="K1100" s="205">
        <f t="shared" ref="K1100:K1105" si="520">G1100*H1100</f>
        <v>509.6875</v>
      </c>
    </row>
    <row r="1101" spans="1:11" ht="26">
      <c r="A1101" s="11" t="s">
        <v>1712</v>
      </c>
      <c r="B1101" s="12" t="s">
        <v>659</v>
      </c>
      <c r="C1101" s="10"/>
      <c r="D1101" s="13" t="s">
        <v>87</v>
      </c>
      <c r="E1101" s="205">
        <v>0</v>
      </c>
      <c r="F1101" s="205">
        <v>8.74</v>
      </c>
      <c r="G1101" s="205">
        <f t="shared" si="518"/>
        <v>8.74</v>
      </c>
      <c r="H1101" s="192">
        <v>10.32</v>
      </c>
      <c r="I1101" s="205">
        <f t="shared" si="519"/>
        <v>0</v>
      </c>
      <c r="J1101" s="205">
        <f t="shared" ref="J1101:J1105" si="521">H1101*F1101</f>
        <v>90.19680000000001</v>
      </c>
      <c r="K1101" s="205">
        <f t="shared" si="520"/>
        <v>90.19680000000001</v>
      </c>
    </row>
    <row r="1102" spans="1:11" ht="28.5" customHeight="1">
      <c r="A1102" s="11" t="s">
        <v>1713</v>
      </c>
      <c r="B1102" s="12" t="s">
        <v>660</v>
      </c>
      <c r="C1102" s="10"/>
      <c r="D1102" s="13" t="s">
        <v>1485</v>
      </c>
      <c r="E1102" s="205">
        <v>0</v>
      </c>
      <c r="F1102" s="205">
        <v>262.13</v>
      </c>
      <c r="G1102" s="205">
        <f t="shared" si="518"/>
        <v>262.13</v>
      </c>
      <c r="H1102" s="192">
        <v>2.14</v>
      </c>
      <c r="I1102" s="205">
        <f t="shared" si="519"/>
        <v>0</v>
      </c>
      <c r="J1102" s="205">
        <f t="shared" si="521"/>
        <v>560.95820000000003</v>
      </c>
      <c r="K1102" s="205">
        <f t="shared" si="520"/>
        <v>560.95820000000003</v>
      </c>
    </row>
    <row r="1103" spans="1:11" ht="29" customHeight="1">
      <c r="A1103" s="11" t="s">
        <v>1714</v>
      </c>
      <c r="B1103" s="12" t="s">
        <v>668</v>
      </c>
      <c r="C1103" s="10"/>
      <c r="D1103" s="13" t="s">
        <v>1485</v>
      </c>
      <c r="E1103" s="205">
        <v>0</v>
      </c>
      <c r="F1103" s="205">
        <v>707.74</v>
      </c>
      <c r="G1103" s="205">
        <f t="shared" si="518"/>
        <v>707.74</v>
      </c>
      <c r="H1103" s="192">
        <v>0.87</v>
      </c>
      <c r="I1103" s="205">
        <f t="shared" si="519"/>
        <v>0</v>
      </c>
      <c r="J1103" s="205">
        <f t="shared" si="521"/>
        <v>615.73379999999997</v>
      </c>
      <c r="K1103" s="205">
        <f t="shared" si="520"/>
        <v>615.73379999999997</v>
      </c>
    </row>
    <row r="1104" spans="1:11" ht="28" customHeight="1">
      <c r="A1104" s="11" t="s">
        <v>1715</v>
      </c>
      <c r="B1104" s="12" t="s">
        <v>661</v>
      </c>
      <c r="C1104" s="10"/>
      <c r="D1104" s="13" t="s">
        <v>87</v>
      </c>
      <c r="E1104" s="205">
        <v>0</v>
      </c>
      <c r="F1104" s="205">
        <v>8.74</v>
      </c>
      <c r="G1104" s="205">
        <f t="shared" si="518"/>
        <v>8.74</v>
      </c>
      <c r="H1104" s="192">
        <v>1248.29</v>
      </c>
      <c r="I1104" s="205">
        <f t="shared" si="519"/>
        <v>0</v>
      </c>
      <c r="J1104" s="205">
        <f t="shared" si="521"/>
        <v>10910.054599999999</v>
      </c>
      <c r="K1104" s="205">
        <f t="shared" si="520"/>
        <v>10910.054599999999</v>
      </c>
    </row>
    <row r="1105" spans="1:11" ht="17.5" customHeight="1">
      <c r="A1105" s="11" t="s">
        <v>1716</v>
      </c>
      <c r="B1105" s="12" t="s">
        <v>662</v>
      </c>
      <c r="C1105" s="10"/>
      <c r="D1105" s="13" t="s">
        <v>124</v>
      </c>
      <c r="E1105" s="205">
        <v>0</v>
      </c>
      <c r="F1105" s="205">
        <v>291.25</v>
      </c>
      <c r="G1105" s="205">
        <f t="shared" si="518"/>
        <v>291.25</v>
      </c>
      <c r="H1105" s="192">
        <v>2.83</v>
      </c>
      <c r="I1105" s="205">
        <f t="shared" si="519"/>
        <v>0</v>
      </c>
      <c r="J1105" s="205">
        <f t="shared" si="521"/>
        <v>824.23750000000007</v>
      </c>
      <c r="K1105" s="205">
        <f t="shared" si="520"/>
        <v>824.23750000000007</v>
      </c>
    </row>
    <row r="1106" spans="1:11">
      <c r="A1106" s="8" t="s">
        <v>1717</v>
      </c>
      <c r="B1106" s="9" t="s">
        <v>669</v>
      </c>
      <c r="C1106" s="8"/>
      <c r="D1106" s="8"/>
      <c r="E1106" s="211"/>
      <c r="F1106" s="211"/>
      <c r="G1106" s="211"/>
      <c r="H1106" s="191"/>
      <c r="I1106" s="204">
        <f>SUM(I1107:I1112)</f>
        <v>0</v>
      </c>
      <c r="J1106" s="204">
        <f>SUM(J1107:J1112)</f>
        <v>13510.868399999999</v>
      </c>
      <c r="K1106" s="204">
        <f>SUM(K1107:K1112)</f>
        <v>13510.868399999999</v>
      </c>
    </row>
    <row r="1107" spans="1:11">
      <c r="A1107" s="11" t="s">
        <v>1718</v>
      </c>
      <c r="B1107" s="12" t="s">
        <v>658</v>
      </c>
      <c r="C1107" s="10"/>
      <c r="D1107" s="14" t="s">
        <v>124</v>
      </c>
      <c r="E1107" s="205">
        <v>0</v>
      </c>
      <c r="F1107" s="205">
        <v>291.25</v>
      </c>
      <c r="G1107" s="205">
        <f t="shared" ref="G1107:G1112" si="522">F1107-E1107</f>
        <v>291.25</v>
      </c>
      <c r="H1107" s="192">
        <v>1.75</v>
      </c>
      <c r="I1107" s="205">
        <f t="shared" ref="I1107:I1112" si="523">H1107*E1107</f>
        <v>0</v>
      </c>
      <c r="J1107" s="205">
        <f>H1107*F1107</f>
        <v>509.6875</v>
      </c>
      <c r="K1107" s="205">
        <f t="shared" ref="K1107:K1112" si="524">G1107*H1107</f>
        <v>509.6875</v>
      </c>
    </row>
    <row r="1108" spans="1:11" ht="26">
      <c r="A1108" s="11" t="s">
        <v>1719</v>
      </c>
      <c r="B1108" s="12" t="s">
        <v>659</v>
      </c>
      <c r="C1108" s="10"/>
      <c r="D1108" s="14" t="s">
        <v>87</v>
      </c>
      <c r="E1108" s="205">
        <v>0</v>
      </c>
      <c r="F1108" s="205">
        <v>8.74</v>
      </c>
      <c r="G1108" s="205">
        <f t="shared" si="522"/>
        <v>8.74</v>
      </c>
      <c r="H1108" s="192">
        <v>10.32</v>
      </c>
      <c r="I1108" s="205">
        <f t="shared" si="523"/>
        <v>0</v>
      </c>
      <c r="J1108" s="205">
        <f t="shared" ref="J1108:J1112" si="525">H1108*F1108</f>
        <v>90.19680000000001</v>
      </c>
      <c r="K1108" s="205">
        <f t="shared" si="524"/>
        <v>90.19680000000001</v>
      </c>
    </row>
    <row r="1109" spans="1:11" ht="28.5" customHeight="1">
      <c r="A1109" s="11" t="s">
        <v>1720</v>
      </c>
      <c r="B1109" s="12" t="s">
        <v>660</v>
      </c>
      <c r="C1109" s="10"/>
      <c r="D1109" s="14" t="s">
        <v>1485</v>
      </c>
      <c r="E1109" s="205">
        <v>0</v>
      </c>
      <c r="F1109" s="205">
        <v>262.13</v>
      </c>
      <c r="G1109" s="205">
        <f t="shared" si="522"/>
        <v>262.13</v>
      </c>
      <c r="H1109" s="192">
        <v>2.14</v>
      </c>
      <c r="I1109" s="205">
        <f t="shared" si="523"/>
        <v>0</v>
      </c>
      <c r="J1109" s="205">
        <f t="shared" si="525"/>
        <v>560.95820000000003</v>
      </c>
      <c r="K1109" s="205">
        <f t="shared" si="524"/>
        <v>560.95820000000003</v>
      </c>
    </row>
    <row r="1110" spans="1:11" ht="32.5" customHeight="1">
      <c r="A1110" s="11" t="s">
        <v>1721</v>
      </c>
      <c r="B1110" s="18" t="s">
        <v>668</v>
      </c>
      <c r="C1110" s="10"/>
      <c r="D1110" s="189" t="s">
        <v>1485</v>
      </c>
      <c r="E1110" s="205">
        <v>0</v>
      </c>
      <c r="F1110" s="205">
        <v>707.74</v>
      </c>
      <c r="G1110" s="205">
        <f t="shared" si="522"/>
        <v>707.74</v>
      </c>
      <c r="H1110" s="193">
        <v>0.87</v>
      </c>
      <c r="I1110" s="205">
        <f t="shared" si="523"/>
        <v>0</v>
      </c>
      <c r="J1110" s="205">
        <f t="shared" si="525"/>
        <v>615.73379999999997</v>
      </c>
      <c r="K1110" s="205">
        <f t="shared" si="524"/>
        <v>615.73379999999997</v>
      </c>
    </row>
    <row r="1111" spans="1:11" ht="26.5">
      <c r="A1111" s="11" t="s">
        <v>1722</v>
      </c>
      <c r="B1111" s="18" t="s">
        <v>670</v>
      </c>
      <c r="C1111" s="10"/>
      <c r="D1111" s="14" t="s">
        <v>87</v>
      </c>
      <c r="E1111" s="205">
        <v>0</v>
      </c>
      <c r="F1111" s="205">
        <v>8.74</v>
      </c>
      <c r="G1111" s="205">
        <f t="shared" si="522"/>
        <v>8.74</v>
      </c>
      <c r="H1111" s="192">
        <v>1248.29</v>
      </c>
      <c r="I1111" s="205">
        <f t="shared" si="523"/>
        <v>0</v>
      </c>
      <c r="J1111" s="205">
        <f t="shared" si="525"/>
        <v>10910.054599999999</v>
      </c>
      <c r="K1111" s="205">
        <f t="shared" si="524"/>
        <v>10910.054599999999</v>
      </c>
    </row>
    <row r="1112" spans="1:11" ht="16.5" customHeight="1">
      <c r="A1112" s="11" t="s">
        <v>1723</v>
      </c>
      <c r="B1112" s="16" t="s">
        <v>671</v>
      </c>
      <c r="C1112" s="10" t="s">
        <v>87</v>
      </c>
      <c r="D1112" s="14" t="s">
        <v>124</v>
      </c>
      <c r="E1112" s="205">
        <v>0</v>
      </c>
      <c r="F1112" s="205">
        <v>291.25</v>
      </c>
      <c r="G1112" s="205">
        <f t="shared" si="522"/>
        <v>291.25</v>
      </c>
      <c r="H1112" s="192">
        <v>2.83</v>
      </c>
      <c r="I1112" s="205">
        <f t="shared" si="523"/>
        <v>0</v>
      </c>
      <c r="J1112" s="205">
        <f t="shared" si="525"/>
        <v>824.23750000000007</v>
      </c>
      <c r="K1112" s="205">
        <f t="shared" si="524"/>
        <v>824.23750000000007</v>
      </c>
    </row>
    <row r="1113" spans="1:11">
      <c r="A1113" s="8" t="s">
        <v>1724</v>
      </c>
      <c r="B1113" s="9" t="s">
        <v>107</v>
      </c>
      <c r="C1113" s="8"/>
      <c r="D1113" s="8"/>
      <c r="E1113" s="211"/>
      <c r="F1113" s="211"/>
      <c r="G1113" s="211"/>
      <c r="H1113" s="191"/>
      <c r="I1113" s="204">
        <f>SUM(I1114:I1116)</f>
        <v>0</v>
      </c>
      <c r="J1113" s="204">
        <f>SUM(J1114:J1116)</f>
        <v>0</v>
      </c>
      <c r="K1113" s="204">
        <f>SUM(K1114:K1116)</f>
        <v>0</v>
      </c>
    </row>
    <row r="1114" spans="1:11" ht="39">
      <c r="A1114" s="11" t="s">
        <v>1725</v>
      </c>
      <c r="B1114" s="12" t="s">
        <v>673</v>
      </c>
      <c r="C1114" s="10" t="s">
        <v>33</v>
      </c>
      <c r="D1114" s="13" t="s">
        <v>1486</v>
      </c>
      <c r="E1114" s="205">
        <v>0</v>
      </c>
      <c r="F1114" s="205">
        <v>0</v>
      </c>
      <c r="G1114" s="205">
        <f>F1114-E1114</f>
        <v>0</v>
      </c>
      <c r="H1114" s="192">
        <v>625.09</v>
      </c>
      <c r="I1114" s="205">
        <f t="shared" ref="I1114:I1116" si="526">H1114*E1114</f>
        <v>0</v>
      </c>
      <c r="J1114" s="205">
        <f>H1114*F1114</f>
        <v>0</v>
      </c>
      <c r="K1114" s="205">
        <f t="shared" ref="K1114:K1116" si="527">G1114*H1114</f>
        <v>0</v>
      </c>
    </row>
    <row r="1115" spans="1:11" ht="17" customHeight="1">
      <c r="A1115" s="11" t="s">
        <v>1726</v>
      </c>
      <c r="B1115" s="190" t="s">
        <v>679</v>
      </c>
      <c r="C1115" s="10" t="s">
        <v>33</v>
      </c>
      <c r="D1115" s="13" t="s">
        <v>124</v>
      </c>
      <c r="E1115" s="205">
        <v>0</v>
      </c>
      <c r="F1115" s="205">
        <v>0</v>
      </c>
      <c r="G1115" s="205">
        <f>F1115-E1115</f>
        <v>0</v>
      </c>
      <c r="H1115" s="192">
        <v>16.260000000000002</v>
      </c>
      <c r="I1115" s="205">
        <f t="shared" si="526"/>
        <v>0</v>
      </c>
      <c r="J1115" s="205">
        <f t="shared" ref="J1115:J1116" si="528">H1115*F1115</f>
        <v>0</v>
      </c>
      <c r="K1115" s="205">
        <f t="shared" si="527"/>
        <v>0</v>
      </c>
    </row>
    <row r="1116" spans="1:11" ht="16.5" customHeight="1">
      <c r="A1116" s="11" t="s">
        <v>1727</v>
      </c>
      <c r="B1116" s="12" t="s">
        <v>674</v>
      </c>
      <c r="C1116" s="10" t="s">
        <v>33</v>
      </c>
      <c r="D1116" s="13" t="s">
        <v>124</v>
      </c>
      <c r="E1116" s="205">
        <v>0</v>
      </c>
      <c r="F1116" s="205">
        <v>0</v>
      </c>
      <c r="G1116" s="205">
        <f>F1116-E1116</f>
        <v>0</v>
      </c>
      <c r="H1116" s="192">
        <v>4.5599999999999996</v>
      </c>
      <c r="I1116" s="205">
        <f t="shared" si="526"/>
        <v>0</v>
      </c>
      <c r="J1116" s="205">
        <f t="shared" si="528"/>
        <v>0</v>
      </c>
      <c r="K1116" s="205">
        <f t="shared" si="527"/>
        <v>0</v>
      </c>
    </row>
    <row r="1117" spans="1:11">
      <c r="A1117" s="8" t="s">
        <v>1728</v>
      </c>
      <c r="B1117" s="9" t="s">
        <v>677</v>
      </c>
      <c r="C1117" s="8"/>
      <c r="D1117" s="8"/>
      <c r="E1117" s="211"/>
      <c r="F1117" s="211"/>
      <c r="G1117" s="211"/>
      <c r="H1117" s="191"/>
      <c r="I1117" s="204">
        <f>SUM(I1118:I1119)</f>
        <v>0</v>
      </c>
      <c r="J1117" s="204">
        <f>SUM(J1118:J1119)</f>
        <v>509.6875</v>
      </c>
      <c r="K1117" s="204">
        <f>SUM(K1118:K1119)</f>
        <v>509.6875</v>
      </c>
    </row>
    <row r="1118" spans="1:11">
      <c r="A1118" s="11" t="s">
        <v>1729</v>
      </c>
      <c r="B1118" s="12" t="s">
        <v>658</v>
      </c>
      <c r="C1118" s="10" t="s">
        <v>11</v>
      </c>
      <c r="D1118" s="13" t="s">
        <v>124</v>
      </c>
      <c r="E1118" s="205">
        <v>0</v>
      </c>
      <c r="F1118" s="205">
        <v>291.25</v>
      </c>
      <c r="G1118" s="205">
        <f>F1118-E1118</f>
        <v>291.25</v>
      </c>
      <c r="H1118" s="192">
        <v>1.75</v>
      </c>
      <c r="I1118" s="205">
        <f t="shared" ref="I1118:I1119" si="529">H1118*E1118</f>
        <v>0</v>
      </c>
      <c r="J1118" s="205">
        <f>H1118*F1118</f>
        <v>509.6875</v>
      </c>
      <c r="K1118" s="205">
        <f t="shared" ref="K1118:K1119" si="530">G1118*H1118</f>
        <v>509.6875</v>
      </c>
    </row>
    <row r="1119" spans="1:11">
      <c r="A1119" s="11" t="s">
        <v>1730</v>
      </c>
      <c r="B1119" s="12" t="s">
        <v>678</v>
      </c>
      <c r="C1119" s="10" t="s">
        <v>11</v>
      </c>
      <c r="D1119" s="13" t="s">
        <v>1486</v>
      </c>
      <c r="E1119" s="205">
        <v>0</v>
      </c>
      <c r="F1119" s="205">
        <v>0</v>
      </c>
      <c r="G1119" s="205">
        <f>F1119-E1119</f>
        <v>0</v>
      </c>
      <c r="H1119" s="192">
        <v>92.34</v>
      </c>
      <c r="I1119" s="205">
        <f t="shared" si="529"/>
        <v>0</v>
      </c>
      <c r="J1119" s="205">
        <f>H1119*F1119</f>
        <v>0</v>
      </c>
      <c r="K1119" s="205">
        <f t="shared" si="530"/>
        <v>0</v>
      </c>
    </row>
    <row r="1120" spans="1:11">
      <c r="A1120" s="183">
        <v>42</v>
      </c>
      <c r="B1120" s="188" t="s">
        <v>2025</v>
      </c>
      <c r="C1120" s="183"/>
      <c r="D1120" s="183"/>
      <c r="E1120" s="210"/>
      <c r="F1120" s="210"/>
      <c r="G1120" s="210"/>
      <c r="H1120" s="194"/>
      <c r="I1120" s="203">
        <f>SUM(I1121,I1124,I1126,I1133,I1140,I1144)</f>
        <v>0</v>
      </c>
      <c r="J1120" s="203">
        <f>SUM(J1121,J1124,J1126,J1133,J1140,J1144)</f>
        <v>5683.3094000000001</v>
      </c>
      <c r="K1120" s="203">
        <f>SUM(K1121,K1124,K1126,K1133,K1140,K1144)</f>
        <v>5683.3094000000001</v>
      </c>
    </row>
    <row r="1121" spans="1:11">
      <c r="A1121" s="8" t="s">
        <v>1731</v>
      </c>
      <c r="B1121" s="9" t="s">
        <v>8</v>
      </c>
      <c r="C1121" s="8"/>
      <c r="D1121" s="8"/>
      <c r="E1121" s="211"/>
      <c r="F1121" s="211"/>
      <c r="G1121" s="211"/>
      <c r="H1121" s="191"/>
      <c r="I1121" s="204">
        <f>SUM(I1122:I1123)</f>
        <v>0</v>
      </c>
      <c r="J1121" s="204">
        <f>SUM(J1122:J1123)</f>
        <v>21.4848</v>
      </c>
      <c r="K1121" s="204">
        <f>SUM(K1122:K1123)</f>
        <v>21.4848</v>
      </c>
    </row>
    <row r="1122" spans="1:11" ht="26">
      <c r="A1122" s="11" t="s">
        <v>1732</v>
      </c>
      <c r="B1122" s="12" t="s">
        <v>652</v>
      </c>
      <c r="C1122" s="10" t="s">
        <v>13</v>
      </c>
      <c r="D1122" s="13" t="s">
        <v>124</v>
      </c>
      <c r="E1122" s="205">
        <v>0</v>
      </c>
      <c r="F1122" s="205">
        <v>59.68</v>
      </c>
      <c r="G1122" s="205">
        <f>F1122-E1122</f>
        <v>59.68</v>
      </c>
      <c r="H1122" s="192">
        <v>0.36</v>
      </c>
      <c r="I1122" s="205">
        <f>H1122*E1122</f>
        <v>0</v>
      </c>
      <c r="J1122" s="205">
        <f>H1122*F1122</f>
        <v>21.4848</v>
      </c>
      <c r="K1122" s="205">
        <f t="shared" ref="K1122:K1123" si="531">G1122*H1122</f>
        <v>21.4848</v>
      </c>
    </row>
    <row r="1123" spans="1:11" ht="52">
      <c r="A1123" s="11" t="s">
        <v>1733</v>
      </c>
      <c r="B1123" s="12" t="s">
        <v>649</v>
      </c>
      <c r="C1123" s="10" t="s">
        <v>11</v>
      </c>
      <c r="D1123" s="13" t="s">
        <v>124</v>
      </c>
      <c r="E1123" s="205">
        <v>0</v>
      </c>
      <c r="F1123" s="205">
        <v>0</v>
      </c>
      <c r="G1123" s="205">
        <f>F1123-E1123</f>
        <v>0</v>
      </c>
      <c r="H1123" s="192">
        <v>61.67</v>
      </c>
      <c r="I1123" s="205">
        <f>H1123*E1123</f>
        <v>0</v>
      </c>
      <c r="J1123" s="205">
        <f>H1123*F1123</f>
        <v>0</v>
      </c>
      <c r="K1123" s="205">
        <f t="shared" si="531"/>
        <v>0</v>
      </c>
    </row>
    <row r="1124" spans="1:11">
      <c r="A1124" s="8" t="s">
        <v>1734</v>
      </c>
      <c r="B1124" s="9" t="s">
        <v>654</v>
      </c>
      <c r="C1124" s="8"/>
      <c r="D1124" s="8"/>
      <c r="E1124" s="211"/>
      <c r="F1124" s="211"/>
      <c r="G1124" s="211"/>
      <c r="H1124" s="191"/>
      <c r="I1124" s="204">
        <f>SUM(I1125:I1125)</f>
        <v>0</v>
      </c>
      <c r="J1124" s="204">
        <f>SUM(J1125:J1125)</f>
        <v>22.6784</v>
      </c>
      <c r="K1124" s="204">
        <f>SUM(K1125:K1125)</f>
        <v>22.6784</v>
      </c>
    </row>
    <row r="1125" spans="1:11" ht="26">
      <c r="A1125" s="11" t="s">
        <v>1735</v>
      </c>
      <c r="B1125" s="12" t="s">
        <v>655</v>
      </c>
      <c r="C1125" s="10"/>
      <c r="D1125" s="13" t="s">
        <v>124</v>
      </c>
      <c r="E1125" s="205">
        <v>0</v>
      </c>
      <c r="F1125" s="205">
        <v>59.68</v>
      </c>
      <c r="G1125" s="205">
        <f>F1125-E1125</f>
        <v>59.68</v>
      </c>
      <c r="H1125" s="192">
        <v>0.38</v>
      </c>
      <c r="I1125" s="205">
        <f t="shared" ref="I1125" si="532">H1125*E1125</f>
        <v>0</v>
      </c>
      <c r="J1125" s="205">
        <f>H1125*F1125</f>
        <v>22.6784</v>
      </c>
      <c r="K1125" s="205">
        <f t="shared" ref="K1125" si="533">G1125*H1125</f>
        <v>22.6784</v>
      </c>
    </row>
    <row r="1126" spans="1:11">
      <c r="A1126" s="8" t="s">
        <v>1736</v>
      </c>
      <c r="B1126" s="9" t="s">
        <v>657</v>
      </c>
      <c r="C1126" s="8"/>
      <c r="D1126" s="8"/>
      <c r="E1126" s="211"/>
      <c r="F1126" s="211"/>
      <c r="G1126" s="211"/>
      <c r="H1126" s="191"/>
      <c r="I1126" s="204">
        <f>SUM(I1127:I1132)</f>
        <v>0</v>
      </c>
      <c r="J1126" s="204">
        <f>SUM(J1127:J1132)</f>
        <v>2767.3531000000003</v>
      </c>
      <c r="K1126" s="204">
        <f>SUM(K1127:K1132)</f>
        <v>2767.3531000000003</v>
      </c>
    </row>
    <row r="1127" spans="1:11">
      <c r="A1127" s="11" t="s">
        <v>1737</v>
      </c>
      <c r="B1127" s="12" t="s">
        <v>658</v>
      </c>
      <c r="C1127" s="10"/>
      <c r="D1127" s="13" t="s">
        <v>124</v>
      </c>
      <c r="E1127" s="205">
        <v>0</v>
      </c>
      <c r="F1127" s="205">
        <v>59.68</v>
      </c>
      <c r="G1127" s="205">
        <f t="shared" ref="G1127:G1132" si="534">F1127-E1127</f>
        <v>59.68</v>
      </c>
      <c r="H1127" s="192">
        <v>1.75</v>
      </c>
      <c r="I1127" s="205">
        <f t="shared" ref="I1127:I1132" si="535">H1127*E1127</f>
        <v>0</v>
      </c>
      <c r="J1127" s="205">
        <f>H1127*F1127</f>
        <v>104.44</v>
      </c>
      <c r="K1127" s="205">
        <f t="shared" ref="K1127:K1132" si="536">G1127*H1127</f>
        <v>104.44</v>
      </c>
    </row>
    <row r="1128" spans="1:11" ht="26">
      <c r="A1128" s="11" t="s">
        <v>1738</v>
      </c>
      <c r="B1128" s="12" t="s">
        <v>659</v>
      </c>
      <c r="C1128" s="10"/>
      <c r="D1128" s="13" t="s">
        <v>87</v>
      </c>
      <c r="E1128" s="205">
        <v>0</v>
      </c>
      <c r="F1128" s="205">
        <v>1.79</v>
      </c>
      <c r="G1128" s="205">
        <f t="shared" si="534"/>
        <v>1.79</v>
      </c>
      <c r="H1128" s="192">
        <v>10.32</v>
      </c>
      <c r="I1128" s="205">
        <f t="shared" si="535"/>
        <v>0</v>
      </c>
      <c r="J1128" s="205">
        <f t="shared" ref="J1128:J1132" si="537">H1128*F1128</f>
        <v>18.472799999999999</v>
      </c>
      <c r="K1128" s="205">
        <f t="shared" si="536"/>
        <v>18.472799999999999</v>
      </c>
    </row>
    <row r="1129" spans="1:11" ht="28.5" customHeight="1">
      <c r="A1129" s="11" t="s">
        <v>1739</v>
      </c>
      <c r="B1129" s="12" t="s">
        <v>660</v>
      </c>
      <c r="C1129" s="10"/>
      <c r="D1129" s="13" t="s">
        <v>1485</v>
      </c>
      <c r="E1129" s="205">
        <v>0</v>
      </c>
      <c r="F1129" s="205">
        <v>53.71</v>
      </c>
      <c r="G1129" s="205">
        <f t="shared" si="534"/>
        <v>53.71</v>
      </c>
      <c r="H1129" s="192">
        <v>2.14</v>
      </c>
      <c r="I1129" s="205">
        <f t="shared" si="535"/>
        <v>0</v>
      </c>
      <c r="J1129" s="205">
        <f t="shared" si="537"/>
        <v>114.93940000000001</v>
      </c>
      <c r="K1129" s="205">
        <f t="shared" si="536"/>
        <v>114.93940000000001</v>
      </c>
    </row>
    <row r="1130" spans="1:11" ht="29" customHeight="1">
      <c r="A1130" s="11" t="s">
        <v>1740</v>
      </c>
      <c r="B1130" s="12" t="s">
        <v>668</v>
      </c>
      <c r="C1130" s="10"/>
      <c r="D1130" s="13" t="s">
        <v>1485</v>
      </c>
      <c r="E1130" s="205">
        <v>0</v>
      </c>
      <c r="F1130" s="205">
        <v>145.02000000000001</v>
      </c>
      <c r="G1130" s="205">
        <f t="shared" si="534"/>
        <v>145.02000000000001</v>
      </c>
      <c r="H1130" s="192">
        <v>0.87</v>
      </c>
      <c r="I1130" s="205">
        <f t="shared" si="535"/>
        <v>0</v>
      </c>
      <c r="J1130" s="205">
        <f t="shared" si="537"/>
        <v>126.16740000000001</v>
      </c>
      <c r="K1130" s="205">
        <f t="shared" si="536"/>
        <v>126.16740000000001</v>
      </c>
    </row>
    <row r="1131" spans="1:11" ht="28" customHeight="1">
      <c r="A1131" s="11" t="s">
        <v>1741</v>
      </c>
      <c r="B1131" s="12" t="s">
        <v>661</v>
      </c>
      <c r="C1131" s="10"/>
      <c r="D1131" s="13" t="s">
        <v>87</v>
      </c>
      <c r="E1131" s="205">
        <v>0</v>
      </c>
      <c r="F1131" s="205">
        <v>1.79</v>
      </c>
      <c r="G1131" s="205">
        <f t="shared" si="534"/>
        <v>1.79</v>
      </c>
      <c r="H1131" s="192">
        <v>1248.29</v>
      </c>
      <c r="I1131" s="205">
        <f t="shared" si="535"/>
        <v>0</v>
      </c>
      <c r="J1131" s="205">
        <f t="shared" si="537"/>
        <v>2234.4391000000001</v>
      </c>
      <c r="K1131" s="205">
        <f t="shared" si="536"/>
        <v>2234.4391000000001</v>
      </c>
    </row>
    <row r="1132" spans="1:11" ht="17.5" customHeight="1">
      <c r="A1132" s="11" t="s">
        <v>1742</v>
      </c>
      <c r="B1132" s="12" t="s">
        <v>662</v>
      </c>
      <c r="C1132" s="10"/>
      <c r="D1132" s="13" t="s">
        <v>124</v>
      </c>
      <c r="E1132" s="205">
        <v>0</v>
      </c>
      <c r="F1132" s="205">
        <v>59.68</v>
      </c>
      <c r="G1132" s="205">
        <f t="shared" si="534"/>
        <v>59.68</v>
      </c>
      <c r="H1132" s="192">
        <v>2.83</v>
      </c>
      <c r="I1132" s="205">
        <f t="shared" si="535"/>
        <v>0</v>
      </c>
      <c r="J1132" s="205">
        <f t="shared" si="537"/>
        <v>168.89439999999999</v>
      </c>
      <c r="K1132" s="205">
        <f t="shared" si="536"/>
        <v>168.89439999999999</v>
      </c>
    </row>
    <row r="1133" spans="1:11">
      <c r="A1133" s="8" t="s">
        <v>1743</v>
      </c>
      <c r="B1133" s="9" t="s">
        <v>669</v>
      </c>
      <c r="C1133" s="8"/>
      <c r="D1133" s="8"/>
      <c r="E1133" s="211"/>
      <c r="F1133" s="211"/>
      <c r="G1133" s="211"/>
      <c r="H1133" s="191"/>
      <c r="I1133" s="204">
        <f>SUM(I1134:I1139)</f>
        <v>0</v>
      </c>
      <c r="J1133" s="204">
        <f>SUM(J1134:J1139)</f>
        <v>2767.3531000000003</v>
      </c>
      <c r="K1133" s="204">
        <f>SUM(K1134:K1139)</f>
        <v>2767.3531000000003</v>
      </c>
    </row>
    <row r="1134" spans="1:11">
      <c r="A1134" s="11" t="s">
        <v>1744</v>
      </c>
      <c r="B1134" s="12" t="s">
        <v>658</v>
      </c>
      <c r="C1134" s="10"/>
      <c r="D1134" s="14" t="s">
        <v>124</v>
      </c>
      <c r="E1134" s="205">
        <v>0</v>
      </c>
      <c r="F1134" s="205">
        <v>59.68</v>
      </c>
      <c r="G1134" s="205">
        <f t="shared" ref="G1134:G1139" si="538">F1134-E1134</f>
        <v>59.68</v>
      </c>
      <c r="H1134" s="192">
        <v>1.75</v>
      </c>
      <c r="I1134" s="205">
        <f t="shared" ref="I1134:I1139" si="539">H1134*E1134</f>
        <v>0</v>
      </c>
      <c r="J1134" s="205">
        <f>H1134*F1134</f>
        <v>104.44</v>
      </c>
      <c r="K1134" s="205">
        <f t="shared" ref="K1134:K1139" si="540">G1134*H1134</f>
        <v>104.44</v>
      </c>
    </row>
    <row r="1135" spans="1:11" ht="26">
      <c r="A1135" s="11" t="s">
        <v>1745</v>
      </c>
      <c r="B1135" s="12" t="s">
        <v>659</v>
      </c>
      <c r="C1135" s="10"/>
      <c r="D1135" s="14" t="s">
        <v>87</v>
      </c>
      <c r="E1135" s="205">
        <v>0</v>
      </c>
      <c r="F1135" s="205">
        <v>1.79</v>
      </c>
      <c r="G1135" s="205">
        <f t="shared" si="538"/>
        <v>1.79</v>
      </c>
      <c r="H1135" s="192">
        <v>10.32</v>
      </c>
      <c r="I1135" s="205">
        <f t="shared" si="539"/>
        <v>0</v>
      </c>
      <c r="J1135" s="205">
        <f t="shared" ref="J1135:J1139" si="541">H1135*F1135</f>
        <v>18.472799999999999</v>
      </c>
      <c r="K1135" s="205">
        <f t="shared" si="540"/>
        <v>18.472799999999999</v>
      </c>
    </row>
    <row r="1136" spans="1:11" ht="28.5" customHeight="1">
      <c r="A1136" s="11" t="s">
        <v>1746</v>
      </c>
      <c r="B1136" s="12" t="s">
        <v>660</v>
      </c>
      <c r="C1136" s="10"/>
      <c r="D1136" s="14" t="s">
        <v>1485</v>
      </c>
      <c r="E1136" s="205">
        <v>0</v>
      </c>
      <c r="F1136" s="205">
        <v>53.71</v>
      </c>
      <c r="G1136" s="205">
        <f t="shared" si="538"/>
        <v>53.71</v>
      </c>
      <c r="H1136" s="192">
        <v>2.14</v>
      </c>
      <c r="I1136" s="205">
        <f t="shared" si="539"/>
        <v>0</v>
      </c>
      <c r="J1136" s="205">
        <f t="shared" si="541"/>
        <v>114.93940000000001</v>
      </c>
      <c r="K1136" s="205">
        <f t="shared" si="540"/>
        <v>114.93940000000001</v>
      </c>
    </row>
    <row r="1137" spans="1:11" ht="32.5" customHeight="1">
      <c r="A1137" s="11" t="s">
        <v>1747</v>
      </c>
      <c r="B1137" s="18" t="s">
        <v>668</v>
      </c>
      <c r="C1137" s="10"/>
      <c r="D1137" s="189" t="s">
        <v>1485</v>
      </c>
      <c r="E1137" s="205">
        <v>0</v>
      </c>
      <c r="F1137" s="205">
        <v>145.02000000000001</v>
      </c>
      <c r="G1137" s="205">
        <f t="shared" si="538"/>
        <v>145.02000000000001</v>
      </c>
      <c r="H1137" s="193">
        <v>0.87</v>
      </c>
      <c r="I1137" s="205">
        <f t="shared" si="539"/>
        <v>0</v>
      </c>
      <c r="J1137" s="205">
        <f t="shared" si="541"/>
        <v>126.16740000000001</v>
      </c>
      <c r="K1137" s="205">
        <f t="shared" si="540"/>
        <v>126.16740000000001</v>
      </c>
    </row>
    <row r="1138" spans="1:11" ht="26.5">
      <c r="A1138" s="11" t="s">
        <v>1748</v>
      </c>
      <c r="B1138" s="18" t="s">
        <v>670</v>
      </c>
      <c r="C1138" s="10"/>
      <c r="D1138" s="14" t="s">
        <v>87</v>
      </c>
      <c r="E1138" s="205">
        <v>0</v>
      </c>
      <c r="F1138" s="205">
        <v>1.79</v>
      </c>
      <c r="G1138" s="205">
        <f t="shared" si="538"/>
        <v>1.79</v>
      </c>
      <c r="H1138" s="192">
        <v>1248.29</v>
      </c>
      <c r="I1138" s="205">
        <f t="shared" si="539"/>
        <v>0</v>
      </c>
      <c r="J1138" s="205">
        <f t="shared" si="541"/>
        <v>2234.4391000000001</v>
      </c>
      <c r="K1138" s="205">
        <f t="shared" si="540"/>
        <v>2234.4391000000001</v>
      </c>
    </row>
    <row r="1139" spans="1:11" ht="16.5" customHeight="1">
      <c r="A1139" s="11" t="s">
        <v>1749</v>
      </c>
      <c r="B1139" s="16" t="s">
        <v>671</v>
      </c>
      <c r="C1139" s="10" t="s">
        <v>87</v>
      </c>
      <c r="D1139" s="14" t="s">
        <v>124</v>
      </c>
      <c r="E1139" s="205">
        <v>0</v>
      </c>
      <c r="F1139" s="205">
        <v>59.68</v>
      </c>
      <c r="G1139" s="205">
        <f t="shared" si="538"/>
        <v>59.68</v>
      </c>
      <c r="H1139" s="192">
        <v>2.83</v>
      </c>
      <c r="I1139" s="205">
        <f t="shared" si="539"/>
        <v>0</v>
      </c>
      <c r="J1139" s="205">
        <f t="shared" si="541"/>
        <v>168.89439999999999</v>
      </c>
      <c r="K1139" s="205">
        <f t="shared" si="540"/>
        <v>168.89439999999999</v>
      </c>
    </row>
    <row r="1140" spans="1:11">
      <c r="A1140" s="8" t="s">
        <v>1750</v>
      </c>
      <c r="B1140" s="9" t="s">
        <v>107</v>
      </c>
      <c r="C1140" s="8"/>
      <c r="D1140" s="8"/>
      <c r="E1140" s="211"/>
      <c r="F1140" s="211"/>
      <c r="G1140" s="211"/>
      <c r="H1140" s="191"/>
      <c r="I1140" s="204">
        <f>SUM(I1141:I1143)</f>
        <v>0</v>
      </c>
      <c r="J1140" s="204">
        <f>SUM(J1141:J1143)</f>
        <v>0</v>
      </c>
      <c r="K1140" s="204">
        <f>SUM(K1141:K1143)</f>
        <v>0</v>
      </c>
    </row>
    <row r="1141" spans="1:11" ht="39">
      <c r="A1141" s="11" t="s">
        <v>1751</v>
      </c>
      <c r="B1141" s="12" t="s">
        <v>673</v>
      </c>
      <c r="C1141" s="10" t="s">
        <v>33</v>
      </c>
      <c r="D1141" s="13" t="s">
        <v>1486</v>
      </c>
      <c r="E1141" s="205">
        <v>0</v>
      </c>
      <c r="F1141" s="205">
        <v>0</v>
      </c>
      <c r="G1141" s="205">
        <f>F1141-E1141</f>
        <v>0</v>
      </c>
      <c r="H1141" s="192">
        <v>625.09</v>
      </c>
      <c r="I1141" s="205">
        <f t="shared" ref="I1141:I1143" si="542">H1141*E1141</f>
        <v>0</v>
      </c>
      <c r="J1141" s="205">
        <f>H1141*F1141</f>
        <v>0</v>
      </c>
      <c r="K1141" s="205">
        <f t="shared" ref="K1141:K1143" si="543">G1141*H1141</f>
        <v>0</v>
      </c>
    </row>
    <row r="1142" spans="1:11" ht="17" customHeight="1">
      <c r="A1142" s="11" t="s">
        <v>1752</v>
      </c>
      <c r="B1142" s="190" t="s">
        <v>679</v>
      </c>
      <c r="C1142" s="10" t="s">
        <v>33</v>
      </c>
      <c r="D1142" s="13" t="s">
        <v>124</v>
      </c>
      <c r="E1142" s="205">
        <v>0</v>
      </c>
      <c r="F1142" s="205">
        <v>0</v>
      </c>
      <c r="G1142" s="205">
        <f>F1142-E1142</f>
        <v>0</v>
      </c>
      <c r="H1142" s="192">
        <v>16.260000000000002</v>
      </c>
      <c r="I1142" s="205">
        <f t="shared" si="542"/>
        <v>0</v>
      </c>
      <c r="J1142" s="205">
        <f t="shared" ref="J1142:J1143" si="544">H1142*F1142</f>
        <v>0</v>
      </c>
      <c r="K1142" s="205">
        <f t="shared" si="543"/>
        <v>0</v>
      </c>
    </row>
    <row r="1143" spans="1:11" ht="16.5" customHeight="1">
      <c r="A1143" s="11" t="s">
        <v>1753</v>
      </c>
      <c r="B1143" s="12" t="s">
        <v>674</v>
      </c>
      <c r="C1143" s="10" t="s">
        <v>33</v>
      </c>
      <c r="D1143" s="13" t="s">
        <v>124</v>
      </c>
      <c r="E1143" s="205">
        <v>0</v>
      </c>
      <c r="F1143" s="205">
        <v>0</v>
      </c>
      <c r="G1143" s="205">
        <f>F1143-E1143</f>
        <v>0</v>
      </c>
      <c r="H1143" s="192">
        <v>4.5599999999999996</v>
      </c>
      <c r="I1143" s="205">
        <f t="shared" si="542"/>
        <v>0</v>
      </c>
      <c r="J1143" s="205">
        <f t="shared" si="544"/>
        <v>0</v>
      </c>
      <c r="K1143" s="205">
        <f t="shared" si="543"/>
        <v>0</v>
      </c>
    </row>
    <row r="1144" spans="1:11">
      <c r="A1144" s="8" t="s">
        <v>1754</v>
      </c>
      <c r="B1144" s="9" t="s">
        <v>677</v>
      </c>
      <c r="C1144" s="8"/>
      <c r="D1144" s="8"/>
      <c r="E1144" s="211"/>
      <c r="F1144" s="211"/>
      <c r="G1144" s="211"/>
      <c r="H1144" s="191"/>
      <c r="I1144" s="204">
        <f>SUM(I1145:I1146)</f>
        <v>0</v>
      </c>
      <c r="J1144" s="204">
        <f>SUM(J1145:J1146)</f>
        <v>104.44</v>
      </c>
      <c r="K1144" s="204">
        <f>SUM(K1145:K1146)</f>
        <v>104.44</v>
      </c>
    </row>
    <row r="1145" spans="1:11">
      <c r="A1145" s="11" t="s">
        <v>1755</v>
      </c>
      <c r="B1145" s="12" t="s">
        <v>658</v>
      </c>
      <c r="C1145" s="10" t="s">
        <v>11</v>
      </c>
      <c r="D1145" s="13" t="s">
        <v>124</v>
      </c>
      <c r="E1145" s="205">
        <v>0</v>
      </c>
      <c r="F1145" s="205">
        <v>59.68</v>
      </c>
      <c r="G1145" s="205">
        <f>F1145-E1145</f>
        <v>59.68</v>
      </c>
      <c r="H1145" s="192">
        <v>1.75</v>
      </c>
      <c r="I1145" s="205">
        <f t="shared" ref="I1145:I1146" si="545">H1145*E1145</f>
        <v>0</v>
      </c>
      <c r="J1145" s="205">
        <f>H1145*F1145</f>
        <v>104.44</v>
      </c>
      <c r="K1145" s="205">
        <f t="shared" ref="K1145:K1146" si="546">G1145*H1145</f>
        <v>104.44</v>
      </c>
    </row>
    <row r="1146" spans="1:11">
      <c r="A1146" s="11" t="s">
        <v>1756</v>
      </c>
      <c r="B1146" s="12" t="s">
        <v>678</v>
      </c>
      <c r="C1146" s="10" t="s">
        <v>11</v>
      </c>
      <c r="D1146" s="13" t="s">
        <v>1486</v>
      </c>
      <c r="E1146" s="205">
        <v>0</v>
      </c>
      <c r="F1146" s="205">
        <v>0</v>
      </c>
      <c r="G1146" s="205">
        <f>F1146-E1146</f>
        <v>0</v>
      </c>
      <c r="H1146" s="192">
        <v>92.34</v>
      </c>
      <c r="I1146" s="205">
        <f t="shared" si="545"/>
        <v>0</v>
      </c>
      <c r="J1146" s="205">
        <f>H1146*F1146</f>
        <v>0</v>
      </c>
      <c r="K1146" s="205">
        <f t="shared" si="546"/>
        <v>0</v>
      </c>
    </row>
    <row r="1147" spans="1:11">
      <c r="A1147" s="183">
        <v>43</v>
      </c>
      <c r="B1147" s="188" t="s">
        <v>2026</v>
      </c>
      <c r="C1147" s="183"/>
      <c r="D1147" s="183"/>
      <c r="E1147" s="210"/>
      <c r="F1147" s="210"/>
      <c r="G1147" s="210"/>
      <c r="H1147" s="194"/>
      <c r="I1147" s="203">
        <f>SUM(I1148,I1151,I1153,I1160,I1167,I1171)</f>
        <v>0</v>
      </c>
      <c r="J1147" s="203">
        <f>SUM(J1148,J1151,J1153,J1160,J1167,J1171)</f>
        <v>34983.493500000004</v>
      </c>
      <c r="K1147" s="203">
        <f>SUM(K1148,K1151,K1153,K1160,K1167,K1171)</f>
        <v>34983.493500000004</v>
      </c>
    </row>
    <row r="1148" spans="1:11">
      <c r="A1148" s="8" t="s">
        <v>1757</v>
      </c>
      <c r="B1148" s="9" t="s">
        <v>8</v>
      </c>
      <c r="C1148" s="8"/>
      <c r="D1148" s="8"/>
      <c r="E1148" s="211"/>
      <c r="F1148" s="211"/>
      <c r="G1148" s="211"/>
      <c r="H1148" s="191"/>
      <c r="I1148" s="204">
        <f>SUM(I1149:I1150)</f>
        <v>0</v>
      </c>
      <c r="J1148" s="204">
        <f>SUM(J1149:J1150)</f>
        <v>5187.8859000000002</v>
      </c>
      <c r="K1148" s="204">
        <f>SUM(K1149:K1150)</f>
        <v>5187.8859000000002</v>
      </c>
    </row>
    <row r="1149" spans="1:11" ht="26">
      <c r="A1149" s="11" t="s">
        <v>1758</v>
      </c>
      <c r="B1149" s="12" t="s">
        <v>652</v>
      </c>
      <c r="C1149" s="10" t="s">
        <v>13</v>
      </c>
      <c r="D1149" s="13" t="s">
        <v>124</v>
      </c>
      <c r="E1149" s="205">
        <v>0</v>
      </c>
      <c r="F1149" s="205">
        <v>314.06</v>
      </c>
      <c r="G1149" s="205">
        <f>F1149-E1149</f>
        <v>314.06</v>
      </c>
      <c r="H1149" s="192">
        <v>0.36</v>
      </c>
      <c r="I1149" s="205">
        <f>H1149*E1149</f>
        <v>0</v>
      </c>
      <c r="J1149" s="205">
        <f>H1149*F1149</f>
        <v>113.0616</v>
      </c>
      <c r="K1149" s="205">
        <f t="shared" ref="K1149:K1150" si="547">G1149*H1149</f>
        <v>113.0616</v>
      </c>
    </row>
    <row r="1150" spans="1:11" ht="52">
      <c r="A1150" s="11" t="s">
        <v>1759</v>
      </c>
      <c r="B1150" s="12" t="s">
        <v>649</v>
      </c>
      <c r="C1150" s="10" t="s">
        <v>11</v>
      </c>
      <c r="D1150" s="13" t="s">
        <v>124</v>
      </c>
      <c r="E1150" s="205">
        <v>0</v>
      </c>
      <c r="F1150" s="205">
        <v>82.29</v>
      </c>
      <c r="G1150" s="205">
        <f>F1150-E1150</f>
        <v>82.29</v>
      </c>
      <c r="H1150" s="192">
        <v>61.67</v>
      </c>
      <c r="I1150" s="205">
        <f>H1150*E1150</f>
        <v>0</v>
      </c>
      <c r="J1150" s="205">
        <f>H1150*F1150</f>
        <v>5074.8243000000002</v>
      </c>
      <c r="K1150" s="205">
        <f t="shared" si="547"/>
        <v>5074.8243000000002</v>
      </c>
    </row>
    <row r="1151" spans="1:11">
      <c r="A1151" s="8" t="s">
        <v>1760</v>
      </c>
      <c r="B1151" s="9" t="s">
        <v>654</v>
      </c>
      <c r="C1151" s="8"/>
      <c r="D1151" s="8"/>
      <c r="E1151" s="211"/>
      <c r="F1151" s="211"/>
      <c r="G1151" s="211"/>
      <c r="H1151" s="191"/>
      <c r="I1151" s="204">
        <f>SUM(I1152:I1152)</f>
        <v>0</v>
      </c>
      <c r="J1151" s="204">
        <f>SUM(J1152:J1152)</f>
        <v>119.3428</v>
      </c>
      <c r="K1151" s="204">
        <f>SUM(K1152:K1152)</f>
        <v>119.3428</v>
      </c>
    </row>
    <row r="1152" spans="1:11" ht="26">
      <c r="A1152" s="11" t="s">
        <v>1761</v>
      </c>
      <c r="B1152" s="12" t="s">
        <v>655</v>
      </c>
      <c r="C1152" s="10"/>
      <c r="D1152" s="13" t="s">
        <v>124</v>
      </c>
      <c r="E1152" s="205">
        <v>0</v>
      </c>
      <c r="F1152" s="205">
        <v>314.06</v>
      </c>
      <c r="G1152" s="205">
        <f>F1152-E1152</f>
        <v>314.06</v>
      </c>
      <c r="H1152" s="192">
        <v>0.38</v>
      </c>
      <c r="I1152" s="205">
        <f t="shared" ref="I1152" si="548">H1152*E1152</f>
        <v>0</v>
      </c>
      <c r="J1152" s="205">
        <f>H1152*F1152</f>
        <v>119.3428</v>
      </c>
      <c r="K1152" s="205">
        <f t="shared" ref="K1152" si="549">G1152*H1152</f>
        <v>119.3428</v>
      </c>
    </row>
    <row r="1153" spans="1:11">
      <c r="A1153" s="8" t="s">
        <v>1762</v>
      </c>
      <c r="B1153" s="9" t="s">
        <v>657</v>
      </c>
      <c r="C1153" s="8"/>
      <c r="D1153" s="8"/>
      <c r="E1153" s="211"/>
      <c r="F1153" s="211"/>
      <c r="G1153" s="211"/>
      <c r="H1153" s="191"/>
      <c r="I1153" s="204">
        <f>SUM(I1154:I1159)</f>
        <v>0</v>
      </c>
      <c r="J1153" s="204">
        <f>SUM(J1154:J1159)</f>
        <v>14563.329899999999</v>
      </c>
      <c r="K1153" s="204">
        <f>SUM(K1154:K1159)</f>
        <v>14563.329899999999</v>
      </c>
    </row>
    <row r="1154" spans="1:11">
      <c r="A1154" s="11" t="s">
        <v>1763</v>
      </c>
      <c r="B1154" s="12" t="s">
        <v>658</v>
      </c>
      <c r="C1154" s="10"/>
      <c r="D1154" s="13" t="s">
        <v>124</v>
      </c>
      <c r="E1154" s="205">
        <v>0</v>
      </c>
      <c r="F1154" s="205">
        <v>314.06</v>
      </c>
      <c r="G1154" s="205">
        <f t="shared" ref="G1154:G1159" si="550">F1154-E1154</f>
        <v>314.06</v>
      </c>
      <c r="H1154" s="192">
        <v>1.75</v>
      </c>
      <c r="I1154" s="205">
        <f t="shared" ref="I1154:I1159" si="551">H1154*E1154</f>
        <v>0</v>
      </c>
      <c r="J1154" s="205">
        <f>H1154*F1154</f>
        <v>549.60500000000002</v>
      </c>
      <c r="K1154" s="205">
        <f t="shared" ref="K1154:K1159" si="552">G1154*H1154</f>
        <v>549.60500000000002</v>
      </c>
    </row>
    <row r="1155" spans="1:11" ht="26">
      <c r="A1155" s="11" t="s">
        <v>1764</v>
      </c>
      <c r="B1155" s="12" t="s">
        <v>659</v>
      </c>
      <c r="C1155" s="10"/>
      <c r="D1155" s="13" t="s">
        <v>87</v>
      </c>
      <c r="E1155" s="205">
        <v>0</v>
      </c>
      <c r="F1155" s="205">
        <v>9.42</v>
      </c>
      <c r="G1155" s="205">
        <f t="shared" si="550"/>
        <v>9.42</v>
      </c>
      <c r="H1155" s="192">
        <v>10.32</v>
      </c>
      <c r="I1155" s="205">
        <f t="shared" si="551"/>
        <v>0</v>
      </c>
      <c r="J1155" s="205">
        <f t="shared" ref="J1155:J1159" si="553">H1155*F1155</f>
        <v>97.214399999999998</v>
      </c>
      <c r="K1155" s="205">
        <f t="shared" si="552"/>
        <v>97.214399999999998</v>
      </c>
    </row>
    <row r="1156" spans="1:11" ht="28.5" customHeight="1">
      <c r="A1156" s="11" t="s">
        <v>1765</v>
      </c>
      <c r="B1156" s="12" t="s">
        <v>660</v>
      </c>
      <c r="C1156" s="10"/>
      <c r="D1156" s="13" t="s">
        <v>1485</v>
      </c>
      <c r="E1156" s="205">
        <v>0</v>
      </c>
      <c r="F1156" s="205">
        <v>282.64999999999998</v>
      </c>
      <c r="G1156" s="205">
        <f t="shared" si="550"/>
        <v>282.64999999999998</v>
      </c>
      <c r="H1156" s="192">
        <v>2.14</v>
      </c>
      <c r="I1156" s="205">
        <f t="shared" si="551"/>
        <v>0</v>
      </c>
      <c r="J1156" s="205">
        <f t="shared" si="553"/>
        <v>604.87099999999998</v>
      </c>
      <c r="K1156" s="205">
        <f t="shared" si="552"/>
        <v>604.87099999999998</v>
      </c>
    </row>
    <row r="1157" spans="1:11" ht="29" customHeight="1">
      <c r="A1157" s="11" t="s">
        <v>1766</v>
      </c>
      <c r="B1157" s="12" t="s">
        <v>668</v>
      </c>
      <c r="C1157" s="10"/>
      <c r="D1157" s="13" t="s">
        <v>1485</v>
      </c>
      <c r="E1157" s="205">
        <v>0</v>
      </c>
      <c r="F1157" s="205">
        <v>763.17</v>
      </c>
      <c r="G1157" s="205">
        <f t="shared" si="550"/>
        <v>763.17</v>
      </c>
      <c r="H1157" s="192">
        <v>0.87</v>
      </c>
      <c r="I1157" s="205">
        <f t="shared" si="551"/>
        <v>0</v>
      </c>
      <c r="J1157" s="205">
        <f t="shared" si="553"/>
        <v>663.9579</v>
      </c>
      <c r="K1157" s="205">
        <f t="shared" si="552"/>
        <v>663.9579</v>
      </c>
    </row>
    <row r="1158" spans="1:11" ht="28" customHeight="1">
      <c r="A1158" s="11" t="s">
        <v>1767</v>
      </c>
      <c r="B1158" s="12" t="s">
        <v>661</v>
      </c>
      <c r="C1158" s="10"/>
      <c r="D1158" s="13" t="s">
        <v>87</v>
      </c>
      <c r="E1158" s="205">
        <v>0</v>
      </c>
      <c r="F1158" s="205">
        <v>9.42</v>
      </c>
      <c r="G1158" s="205">
        <f t="shared" si="550"/>
        <v>9.42</v>
      </c>
      <c r="H1158" s="192">
        <v>1248.29</v>
      </c>
      <c r="I1158" s="205">
        <f t="shared" si="551"/>
        <v>0</v>
      </c>
      <c r="J1158" s="205">
        <f t="shared" si="553"/>
        <v>11758.891799999999</v>
      </c>
      <c r="K1158" s="205">
        <f t="shared" si="552"/>
        <v>11758.891799999999</v>
      </c>
    </row>
    <row r="1159" spans="1:11" ht="17.5" customHeight="1">
      <c r="A1159" s="11" t="s">
        <v>1768</v>
      </c>
      <c r="B1159" s="12" t="s">
        <v>662</v>
      </c>
      <c r="C1159" s="10"/>
      <c r="D1159" s="13" t="s">
        <v>124</v>
      </c>
      <c r="E1159" s="205">
        <v>0</v>
      </c>
      <c r="F1159" s="205">
        <v>314.06</v>
      </c>
      <c r="G1159" s="205">
        <f t="shared" si="550"/>
        <v>314.06</v>
      </c>
      <c r="H1159" s="192">
        <v>2.83</v>
      </c>
      <c r="I1159" s="205">
        <f t="shared" si="551"/>
        <v>0</v>
      </c>
      <c r="J1159" s="205">
        <f t="shared" si="553"/>
        <v>888.78980000000001</v>
      </c>
      <c r="K1159" s="205">
        <f t="shared" si="552"/>
        <v>888.78980000000001</v>
      </c>
    </row>
    <row r="1160" spans="1:11">
      <c r="A1160" s="8" t="s">
        <v>1769</v>
      </c>
      <c r="B1160" s="9" t="s">
        <v>669</v>
      </c>
      <c r="C1160" s="8"/>
      <c r="D1160" s="8"/>
      <c r="E1160" s="211"/>
      <c r="F1160" s="211"/>
      <c r="G1160" s="211"/>
      <c r="H1160" s="191"/>
      <c r="I1160" s="204">
        <f>SUM(I1161:I1166)</f>
        <v>0</v>
      </c>
      <c r="J1160" s="204">
        <f>SUM(J1161:J1166)</f>
        <v>14563.329899999999</v>
      </c>
      <c r="K1160" s="204">
        <f>SUM(K1161:K1166)</f>
        <v>14563.329899999999</v>
      </c>
    </row>
    <row r="1161" spans="1:11">
      <c r="A1161" s="11" t="s">
        <v>1770</v>
      </c>
      <c r="B1161" s="12" t="s">
        <v>658</v>
      </c>
      <c r="C1161" s="10"/>
      <c r="D1161" s="14" t="s">
        <v>124</v>
      </c>
      <c r="E1161" s="205">
        <v>0</v>
      </c>
      <c r="F1161" s="205">
        <v>314.06</v>
      </c>
      <c r="G1161" s="205">
        <f t="shared" ref="G1161:G1166" si="554">F1161-E1161</f>
        <v>314.06</v>
      </c>
      <c r="H1161" s="192">
        <v>1.75</v>
      </c>
      <c r="I1161" s="205">
        <f t="shared" ref="I1161:I1166" si="555">H1161*E1161</f>
        <v>0</v>
      </c>
      <c r="J1161" s="205">
        <f>H1161*F1161</f>
        <v>549.60500000000002</v>
      </c>
      <c r="K1161" s="205">
        <f t="shared" ref="K1161:K1166" si="556">G1161*H1161</f>
        <v>549.60500000000002</v>
      </c>
    </row>
    <row r="1162" spans="1:11" ht="26">
      <c r="A1162" s="11" t="s">
        <v>1771</v>
      </c>
      <c r="B1162" s="12" t="s">
        <v>659</v>
      </c>
      <c r="C1162" s="10"/>
      <c r="D1162" s="14" t="s">
        <v>87</v>
      </c>
      <c r="E1162" s="205">
        <v>0</v>
      </c>
      <c r="F1162" s="205">
        <v>9.42</v>
      </c>
      <c r="G1162" s="205">
        <f t="shared" si="554"/>
        <v>9.42</v>
      </c>
      <c r="H1162" s="192">
        <v>10.32</v>
      </c>
      <c r="I1162" s="205">
        <f t="shared" si="555"/>
        <v>0</v>
      </c>
      <c r="J1162" s="205">
        <f t="shared" ref="J1162:J1166" si="557">H1162*F1162</f>
        <v>97.214399999999998</v>
      </c>
      <c r="K1162" s="205">
        <f t="shared" si="556"/>
        <v>97.214399999999998</v>
      </c>
    </row>
    <row r="1163" spans="1:11" ht="28.5" customHeight="1">
      <c r="A1163" s="11" t="s">
        <v>1772</v>
      </c>
      <c r="B1163" s="12" t="s">
        <v>660</v>
      </c>
      <c r="C1163" s="10"/>
      <c r="D1163" s="14" t="s">
        <v>1485</v>
      </c>
      <c r="E1163" s="205">
        <v>0</v>
      </c>
      <c r="F1163" s="205">
        <v>282.64999999999998</v>
      </c>
      <c r="G1163" s="205">
        <f t="shared" si="554"/>
        <v>282.64999999999998</v>
      </c>
      <c r="H1163" s="192">
        <v>2.14</v>
      </c>
      <c r="I1163" s="205">
        <f t="shared" si="555"/>
        <v>0</v>
      </c>
      <c r="J1163" s="205">
        <f t="shared" si="557"/>
        <v>604.87099999999998</v>
      </c>
      <c r="K1163" s="205">
        <f t="shared" si="556"/>
        <v>604.87099999999998</v>
      </c>
    </row>
    <row r="1164" spans="1:11" ht="32.5" customHeight="1">
      <c r="A1164" s="11" t="s">
        <v>1773</v>
      </c>
      <c r="B1164" s="18" t="s">
        <v>668</v>
      </c>
      <c r="C1164" s="10"/>
      <c r="D1164" s="189" t="s">
        <v>1485</v>
      </c>
      <c r="E1164" s="205">
        <v>0</v>
      </c>
      <c r="F1164" s="205">
        <v>763.17</v>
      </c>
      <c r="G1164" s="205">
        <f t="shared" si="554"/>
        <v>763.17</v>
      </c>
      <c r="H1164" s="193">
        <v>0.87</v>
      </c>
      <c r="I1164" s="205">
        <f t="shared" si="555"/>
        <v>0</v>
      </c>
      <c r="J1164" s="205">
        <f t="shared" si="557"/>
        <v>663.9579</v>
      </c>
      <c r="K1164" s="205">
        <f t="shared" si="556"/>
        <v>663.9579</v>
      </c>
    </row>
    <row r="1165" spans="1:11" ht="26.5">
      <c r="A1165" s="11" t="s">
        <v>1774</v>
      </c>
      <c r="B1165" s="18" t="s">
        <v>670</v>
      </c>
      <c r="C1165" s="10"/>
      <c r="D1165" s="14" t="s">
        <v>87</v>
      </c>
      <c r="E1165" s="205">
        <v>0</v>
      </c>
      <c r="F1165" s="205">
        <v>9.42</v>
      </c>
      <c r="G1165" s="205">
        <f t="shared" si="554"/>
        <v>9.42</v>
      </c>
      <c r="H1165" s="192">
        <v>1248.29</v>
      </c>
      <c r="I1165" s="205">
        <f t="shared" si="555"/>
        <v>0</v>
      </c>
      <c r="J1165" s="205">
        <f t="shared" si="557"/>
        <v>11758.891799999999</v>
      </c>
      <c r="K1165" s="205">
        <f t="shared" si="556"/>
        <v>11758.891799999999</v>
      </c>
    </row>
    <row r="1166" spans="1:11" ht="16.5" customHeight="1">
      <c r="A1166" s="11" t="s">
        <v>1775</v>
      </c>
      <c r="B1166" s="16" t="s">
        <v>671</v>
      </c>
      <c r="C1166" s="10" t="s">
        <v>87</v>
      </c>
      <c r="D1166" s="14" t="s">
        <v>124</v>
      </c>
      <c r="E1166" s="205">
        <v>0</v>
      </c>
      <c r="F1166" s="205">
        <v>314.06</v>
      </c>
      <c r="G1166" s="205">
        <f t="shared" si="554"/>
        <v>314.06</v>
      </c>
      <c r="H1166" s="192">
        <v>2.83</v>
      </c>
      <c r="I1166" s="205">
        <f t="shared" si="555"/>
        <v>0</v>
      </c>
      <c r="J1166" s="205">
        <f t="shared" si="557"/>
        <v>888.78980000000001</v>
      </c>
      <c r="K1166" s="205">
        <f t="shared" si="556"/>
        <v>888.78980000000001</v>
      </c>
    </row>
    <row r="1167" spans="1:11">
      <c r="A1167" s="8" t="s">
        <v>1776</v>
      </c>
      <c r="B1167" s="9" t="s">
        <v>107</v>
      </c>
      <c r="C1167" s="8"/>
      <c r="D1167" s="8"/>
      <c r="E1167" s="211"/>
      <c r="F1167" s="211"/>
      <c r="G1167" s="211"/>
      <c r="H1167" s="191"/>
      <c r="I1167" s="204">
        <f>SUM(I1168:I1170)</f>
        <v>0</v>
      </c>
      <c r="J1167" s="204">
        <f>SUM(J1168:J1170)</f>
        <v>0</v>
      </c>
      <c r="K1167" s="204">
        <f>SUM(K1168:K1170)</f>
        <v>0</v>
      </c>
    </row>
    <row r="1168" spans="1:11" ht="39">
      <c r="A1168" s="11" t="s">
        <v>1777</v>
      </c>
      <c r="B1168" s="12" t="s">
        <v>673</v>
      </c>
      <c r="C1168" s="10" t="s">
        <v>33</v>
      </c>
      <c r="D1168" s="13" t="s">
        <v>1486</v>
      </c>
      <c r="E1168" s="205">
        <v>0</v>
      </c>
      <c r="F1168" s="205">
        <v>0</v>
      </c>
      <c r="G1168" s="205">
        <f>F1168-E1168</f>
        <v>0</v>
      </c>
      <c r="H1168" s="192">
        <v>625.09</v>
      </c>
      <c r="I1168" s="205">
        <f t="shared" ref="I1168:I1170" si="558">H1168*E1168</f>
        <v>0</v>
      </c>
      <c r="J1168" s="205">
        <f>H1168*F1168</f>
        <v>0</v>
      </c>
      <c r="K1168" s="205">
        <f t="shared" ref="K1168:K1170" si="559">G1168*H1168</f>
        <v>0</v>
      </c>
    </row>
    <row r="1169" spans="1:11" ht="17" customHeight="1">
      <c r="A1169" s="11" t="s">
        <v>1778</v>
      </c>
      <c r="B1169" s="190" t="s">
        <v>679</v>
      </c>
      <c r="C1169" s="10" t="s">
        <v>33</v>
      </c>
      <c r="D1169" s="13" t="s">
        <v>124</v>
      </c>
      <c r="E1169" s="205">
        <v>0</v>
      </c>
      <c r="F1169" s="205">
        <v>0</v>
      </c>
      <c r="G1169" s="205">
        <f>F1169-E1169</f>
        <v>0</v>
      </c>
      <c r="H1169" s="192">
        <v>16.260000000000002</v>
      </c>
      <c r="I1169" s="205">
        <f t="shared" si="558"/>
        <v>0</v>
      </c>
      <c r="J1169" s="205">
        <f t="shared" ref="J1169:J1170" si="560">H1169*F1169</f>
        <v>0</v>
      </c>
      <c r="K1169" s="205">
        <f t="shared" si="559"/>
        <v>0</v>
      </c>
    </row>
    <row r="1170" spans="1:11" ht="16.5" customHeight="1">
      <c r="A1170" s="11" t="s">
        <v>1779</v>
      </c>
      <c r="B1170" s="12" t="s">
        <v>674</v>
      </c>
      <c r="C1170" s="10" t="s">
        <v>33</v>
      </c>
      <c r="D1170" s="13" t="s">
        <v>124</v>
      </c>
      <c r="E1170" s="205">
        <v>0</v>
      </c>
      <c r="F1170" s="205">
        <v>0</v>
      </c>
      <c r="G1170" s="205">
        <f>F1170-E1170</f>
        <v>0</v>
      </c>
      <c r="H1170" s="192">
        <v>4.5599999999999996</v>
      </c>
      <c r="I1170" s="205">
        <f t="shared" si="558"/>
        <v>0</v>
      </c>
      <c r="J1170" s="205">
        <f t="shared" si="560"/>
        <v>0</v>
      </c>
      <c r="K1170" s="205">
        <f t="shared" si="559"/>
        <v>0</v>
      </c>
    </row>
    <row r="1171" spans="1:11">
      <c r="A1171" s="8" t="s">
        <v>1780</v>
      </c>
      <c r="B1171" s="9" t="s">
        <v>677</v>
      </c>
      <c r="C1171" s="8"/>
      <c r="D1171" s="8"/>
      <c r="E1171" s="211"/>
      <c r="F1171" s="211"/>
      <c r="G1171" s="211"/>
      <c r="H1171" s="191"/>
      <c r="I1171" s="204">
        <f>SUM(I1172:I1173)</f>
        <v>0</v>
      </c>
      <c r="J1171" s="204">
        <f>SUM(J1172:J1173)</f>
        <v>549.60500000000002</v>
      </c>
      <c r="K1171" s="204">
        <f>SUM(K1172:K1173)</f>
        <v>549.60500000000002</v>
      </c>
    </row>
    <row r="1172" spans="1:11">
      <c r="A1172" s="11" t="s">
        <v>1781</v>
      </c>
      <c r="B1172" s="12" t="s">
        <v>658</v>
      </c>
      <c r="C1172" s="10" t="s">
        <v>11</v>
      </c>
      <c r="D1172" s="13" t="s">
        <v>124</v>
      </c>
      <c r="E1172" s="205">
        <v>0</v>
      </c>
      <c r="F1172" s="205">
        <v>314.06</v>
      </c>
      <c r="G1172" s="205">
        <f>F1172-E1172</f>
        <v>314.06</v>
      </c>
      <c r="H1172" s="192">
        <v>1.75</v>
      </c>
      <c r="I1172" s="205">
        <f t="shared" ref="I1172:I1173" si="561">H1172*E1172</f>
        <v>0</v>
      </c>
      <c r="J1172" s="205">
        <f>H1172*F1172</f>
        <v>549.60500000000002</v>
      </c>
      <c r="K1172" s="205">
        <f t="shared" ref="K1172:K1173" si="562">G1172*H1172</f>
        <v>549.60500000000002</v>
      </c>
    </row>
    <row r="1173" spans="1:11">
      <c r="A1173" s="11" t="s">
        <v>1782</v>
      </c>
      <c r="B1173" s="12" t="s">
        <v>678</v>
      </c>
      <c r="C1173" s="10" t="s">
        <v>11</v>
      </c>
      <c r="D1173" s="13" t="s">
        <v>1486</v>
      </c>
      <c r="E1173" s="205">
        <v>0</v>
      </c>
      <c r="F1173" s="205">
        <v>0</v>
      </c>
      <c r="G1173" s="205">
        <f>F1173-E1173</f>
        <v>0</v>
      </c>
      <c r="H1173" s="192">
        <v>92.34</v>
      </c>
      <c r="I1173" s="205">
        <f t="shared" si="561"/>
        <v>0</v>
      </c>
      <c r="J1173" s="205">
        <f>H1173*F1173</f>
        <v>0</v>
      </c>
      <c r="K1173" s="205">
        <f t="shared" si="562"/>
        <v>0</v>
      </c>
    </row>
    <row r="1174" spans="1:11">
      <c r="A1174" s="183">
        <v>44</v>
      </c>
      <c r="B1174" s="188" t="s">
        <v>2027</v>
      </c>
      <c r="C1174" s="183"/>
      <c r="D1174" s="183"/>
      <c r="E1174" s="210"/>
      <c r="F1174" s="210"/>
      <c r="G1174" s="210"/>
      <c r="H1174" s="194"/>
      <c r="I1174" s="203">
        <f>SUM(I1175,I1178,I1180,I1187,I1194,I1198)</f>
        <v>0</v>
      </c>
      <c r="J1174" s="203">
        <f>SUM(J1175,J1178,J1180,J1187,J1194,J1198)</f>
        <v>0</v>
      </c>
      <c r="K1174" s="203">
        <f>SUM(K1175,K1178,K1180,K1187,K1194,K1198)</f>
        <v>0</v>
      </c>
    </row>
    <row r="1175" spans="1:11">
      <c r="A1175" s="8" t="s">
        <v>1783</v>
      </c>
      <c r="B1175" s="9" t="s">
        <v>8</v>
      </c>
      <c r="C1175" s="8"/>
      <c r="D1175" s="8"/>
      <c r="E1175" s="211"/>
      <c r="F1175" s="211"/>
      <c r="G1175" s="211"/>
      <c r="H1175" s="191"/>
      <c r="I1175" s="204">
        <f>SUM(I1176:I1177)</f>
        <v>0</v>
      </c>
      <c r="J1175" s="204">
        <f>SUM(J1176:J1177)</f>
        <v>0</v>
      </c>
      <c r="K1175" s="204">
        <f>SUM(K1176:K1177)</f>
        <v>0</v>
      </c>
    </row>
    <row r="1176" spans="1:11" ht="26">
      <c r="A1176" s="11" t="s">
        <v>1784</v>
      </c>
      <c r="B1176" s="12" t="s">
        <v>652</v>
      </c>
      <c r="C1176" s="10" t="s">
        <v>13</v>
      </c>
      <c r="D1176" s="13" t="s">
        <v>124</v>
      </c>
      <c r="E1176" s="205">
        <v>0</v>
      </c>
      <c r="F1176" s="205">
        <v>0</v>
      </c>
      <c r="G1176" s="205">
        <f>F1176-E1176</f>
        <v>0</v>
      </c>
      <c r="H1176" s="192">
        <v>0.36</v>
      </c>
      <c r="I1176" s="205">
        <f>H1176*E1176</f>
        <v>0</v>
      </c>
      <c r="J1176" s="205">
        <f>H1176*F1176</f>
        <v>0</v>
      </c>
      <c r="K1176" s="205">
        <f t="shared" ref="K1176:K1177" si="563">G1176*H1176</f>
        <v>0</v>
      </c>
    </row>
    <row r="1177" spans="1:11" ht="52">
      <c r="A1177" s="11" t="s">
        <v>1785</v>
      </c>
      <c r="B1177" s="12" t="s">
        <v>649</v>
      </c>
      <c r="C1177" s="10" t="s">
        <v>11</v>
      </c>
      <c r="D1177" s="13" t="s">
        <v>124</v>
      </c>
      <c r="E1177" s="205">
        <v>0</v>
      </c>
      <c r="F1177" s="205">
        <v>0</v>
      </c>
      <c r="G1177" s="205">
        <f>F1177-E1177</f>
        <v>0</v>
      </c>
      <c r="H1177" s="192">
        <v>61.67</v>
      </c>
      <c r="I1177" s="205">
        <f>H1177*E1177</f>
        <v>0</v>
      </c>
      <c r="J1177" s="205">
        <f>H1177*F1177</f>
        <v>0</v>
      </c>
      <c r="K1177" s="205">
        <f t="shared" si="563"/>
        <v>0</v>
      </c>
    </row>
    <row r="1178" spans="1:11">
      <c r="A1178" s="8" t="s">
        <v>1786</v>
      </c>
      <c r="B1178" s="9" t="s">
        <v>654</v>
      </c>
      <c r="C1178" s="8"/>
      <c r="D1178" s="8"/>
      <c r="E1178" s="211"/>
      <c r="F1178" s="211"/>
      <c r="G1178" s="211"/>
      <c r="H1178" s="191"/>
      <c r="I1178" s="204">
        <f>SUM(I1179:I1179)</f>
        <v>0</v>
      </c>
      <c r="J1178" s="204">
        <f>SUM(J1179:J1179)</f>
        <v>0</v>
      </c>
      <c r="K1178" s="204">
        <f>SUM(K1179:K1179)</f>
        <v>0</v>
      </c>
    </row>
    <row r="1179" spans="1:11" ht="26">
      <c r="A1179" s="11" t="s">
        <v>1787</v>
      </c>
      <c r="B1179" s="12" t="s">
        <v>655</v>
      </c>
      <c r="C1179" s="10"/>
      <c r="D1179" s="13" t="s">
        <v>124</v>
      </c>
      <c r="E1179" s="205">
        <v>0</v>
      </c>
      <c r="F1179" s="205">
        <v>0</v>
      </c>
      <c r="G1179" s="205">
        <f>F1179-E1179</f>
        <v>0</v>
      </c>
      <c r="H1179" s="192">
        <v>0.38</v>
      </c>
      <c r="I1179" s="205">
        <f t="shared" ref="I1179" si="564">H1179*E1179</f>
        <v>0</v>
      </c>
      <c r="J1179" s="205">
        <f>H1179*F1179</f>
        <v>0</v>
      </c>
      <c r="K1179" s="205">
        <f t="shared" ref="K1179" si="565">G1179*H1179</f>
        <v>0</v>
      </c>
    </row>
    <row r="1180" spans="1:11">
      <c r="A1180" s="8" t="s">
        <v>1788</v>
      </c>
      <c r="B1180" s="9" t="s">
        <v>657</v>
      </c>
      <c r="C1180" s="8"/>
      <c r="D1180" s="8"/>
      <c r="E1180" s="211"/>
      <c r="F1180" s="211"/>
      <c r="G1180" s="211"/>
      <c r="H1180" s="191"/>
      <c r="I1180" s="204">
        <f>SUM(I1181:I1186)</f>
        <v>0</v>
      </c>
      <c r="J1180" s="204">
        <f>SUM(J1181:J1186)</f>
        <v>0</v>
      </c>
      <c r="K1180" s="204">
        <f>SUM(K1181:K1186)</f>
        <v>0</v>
      </c>
    </row>
    <row r="1181" spans="1:11">
      <c r="A1181" s="11" t="s">
        <v>1789</v>
      </c>
      <c r="B1181" s="12" t="s">
        <v>658</v>
      </c>
      <c r="C1181" s="10"/>
      <c r="D1181" s="13" t="s">
        <v>124</v>
      </c>
      <c r="E1181" s="205">
        <v>0</v>
      </c>
      <c r="F1181" s="205">
        <v>0</v>
      </c>
      <c r="G1181" s="205">
        <f t="shared" ref="G1181:G1186" si="566">F1181-E1181</f>
        <v>0</v>
      </c>
      <c r="H1181" s="192">
        <v>1.75</v>
      </c>
      <c r="I1181" s="205">
        <f t="shared" ref="I1181:I1186" si="567">H1181*E1181</f>
        <v>0</v>
      </c>
      <c r="J1181" s="205">
        <f>H1181*F1181</f>
        <v>0</v>
      </c>
      <c r="K1181" s="205">
        <f t="shared" ref="K1181:K1186" si="568">G1181*H1181</f>
        <v>0</v>
      </c>
    </row>
    <row r="1182" spans="1:11" ht="26">
      <c r="A1182" s="11" t="s">
        <v>1790</v>
      </c>
      <c r="B1182" s="12" t="s">
        <v>659</v>
      </c>
      <c r="C1182" s="10"/>
      <c r="D1182" s="13" t="s">
        <v>87</v>
      </c>
      <c r="E1182" s="205">
        <v>0</v>
      </c>
      <c r="F1182" s="205">
        <v>0</v>
      </c>
      <c r="G1182" s="205">
        <f t="shared" si="566"/>
        <v>0</v>
      </c>
      <c r="H1182" s="192">
        <v>10.32</v>
      </c>
      <c r="I1182" s="205">
        <f t="shared" si="567"/>
        <v>0</v>
      </c>
      <c r="J1182" s="205">
        <f t="shared" ref="J1182:J1186" si="569">H1182*F1182</f>
        <v>0</v>
      </c>
      <c r="K1182" s="205">
        <f t="shared" si="568"/>
        <v>0</v>
      </c>
    </row>
    <row r="1183" spans="1:11" ht="28.5" customHeight="1">
      <c r="A1183" s="11" t="s">
        <v>1791</v>
      </c>
      <c r="B1183" s="12" t="s">
        <v>660</v>
      </c>
      <c r="C1183" s="10"/>
      <c r="D1183" s="13" t="s">
        <v>1485</v>
      </c>
      <c r="E1183" s="205">
        <v>0</v>
      </c>
      <c r="F1183" s="205">
        <v>0</v>
      </c>
      <c r="G1183" s="205">
        <f t="shared" si="566"/>
        <v>0</v>
      </c>
      <c r="H1183" s="192">
        <v>2.14</v>
      </c>
      <c r="I1183" s="205">
        <f t="shared" si="567"/>
        <v>0</v>
      </c>
      <c r="J1183" s="205">
        <f t="shared" si="569"/>
        <v>0</v>
      </c>
      <c r="K1183" s="205">
        <f t="shared" si="568"/>
        <v>0</v>
      </c>
    </row>
    <row r="1184" spans="1:11" ht="29" customHeight="1">
      <c r="A1184" s="11" t="s">
        <v>1792</v>
      </c>
      <c r="B1184" s="12" t="s">
        <v>668</v>
      </c>
      <c r="C1184" s="10"/>
      <c r="D1184" s="13" t="s">
        <v>1485</v>
      </c>
      <c r="E1184" s="205">
        <v>0</v>
      </c>
      <c r="F1184" s="205">
        <v>0</v>
      </c>
      <c r="G1184" s="205">
        <f t="shared" si="566"/>
        <v>0</v>
      </c>
      <c r="H1184" s="192">
        <v>0.87</v>
      </c>
      <c r="I1184" s="205">
        <f t="shared" si="567"/>
        <v>0</v>
      </c>
      <c r="J1184" s="205">
        <f t="shared" si="569"/>
        <v>0</v>
      </c>
      <c r="K1184" s="205">
        <f t="shared" si="568"/>
        <v>0</v>
      </c>
    </row>
    <row r="1185" spans="1:11" ht="28" customHeight="1">
      <c r="A1185" s="11" t="s">
        <v>1793</v>
      </c>
      <c r="B1185" s="12" t="s">
        <v>661</v>
      </c>
      <c r="C1185" s="10"/>
      <c r="D1185" s="13" t="s">
        <v>87</v>
      </c>
      <c r="E1185" s="205">
        <v>0</v>
      </c>
      <c r="F1185" s="205">
        <v>0</v>
      </c>
      <c r="G1185" s="205">
        <f t="shared" si="566"/>
        <v>0</v>
      </c>
      <c r="H1185" s="192">
        <v>1248.29</v>
      </c>
      <c r="I1185" s="205">
        <f t="shared" si="567"/>
        <v>0</v>
      </c>
      <c r="J1185" s="205">
        <f t="shared" si="569"/>
        <v>0</v>
      </c>
      <c r="K1185" s="205">
        <f t="shared" si="568"/>
        <v>0</v>
      </c>
    </row>
    <row r="1186" spans="1:11" ht="17.5" customHeight="1">
      <c r="A1186" s="11" t="s">
        <v>1794</v>
      </c>
      <c r="B1186" s="12" t="s">
        <v>662</v>
      </c>
      <c r="C1186" s="10"/>
      <c r="D1186" s="13" t="s">
        <v>124</v>
      </c>
      <c r="E1186" s="205">
        <v>0</v>
      </c>
      <c r="F1186" s="205">
        <v>0</v>
      </c>
      <c r="G1186" s="205">
        <f t="shared" si="566"/>
        <v>0</v>
      </c>
      <c r="H1186" s="192">
        <v>2.83</v>
      </c>
      <c r="I1186" s="205">
        <f t="shared" si="567"/>
        <v>0</v>
      </c>
      <c r="J1186" s="205">
        <f t="shared" si="569"/>
        <v>0</v>
      </c>
      <c r="K1186" s="205">
        <f t="shared" si="568"/>
        <v>0</v>
      </c>
    </row>
    <row r="1187" spans="1:11">
      <c r="A1187" s="8" t="s">
        <v>1795</v>
      </c>
      <c r="B1187" s="9" t="s">
        <v>669</v>
      </c>
      <c r="C1187" s="8"/>
      <c r="D1187" s="8"/>
      <c r="E1187" s="211"/>
      <c r="F1187" s="211"/>
      <c r="G1187" s="211"/>
      <c r="H1187" s="191"/>
      <c r="I1187" s="204">
        <f>SUM(I1188:I1193)</f>
        <v>0</v>
      </c>
      <c r="J1187" s="204">
        <f>SUM(J1188:J1193)</f>
        <v>0</v>
      </c>
      <c r="K1187" s="204">
        <f>SUM(K1188:K1193)</f>
        <v>0</v>
      </c>
    </row>
    <row r="1188" spans="1:11">
      <c r="A1188" s="11" t="s">
        <v>1796</v>
      </c>
      <c r="B1188" s="12" t="s">
        <v>658</v>
      </c>
      <c r="C1188" s="10"/>
      <c r="D1188" s="14" t="s">
        <v>124</v>
      </c>
      <c r="E1188" s="205">
        <v>0</v>
      </c>
      <c r="F1188" s="205">
        <v>0</v>
      </c>
      <c r="G1188" s="205">
        <f t="shared" ref="G1188:G1193" si="570">F1188-E1188</f>
        <v>0</v>
      </c>
      <c r="H1188" s="192">
        <v>1.75</v>
      </c>
      <c r="I1188" s="205">
        <f t="shared" ref="I1188:I1193" si="571">H1188*E1188</f>
        <v>0</v>
      </c>
      <c r="J1188" s="205">
        <f>H1188*F1188</f>
        <v>0</v>
      </c>
      <c r="K1188" s="205">
        <f t="shared" ref="K1188:K1193" si="572">G1188*H1188</f>
        <v>0</v>
      </c>
    </row>
    <row r="1189" spans="1:11" ht="26">
      <c r="A1189" s="11" t="s">
        <v>1797</v>
      </c>
      <c r="B1189" s="12" t="s">
        <v>659</v>
      </c>
      <c r="C1189" s="10"/>
      <c r="D1189" s="14" t="s">
        <v>87</v>
      </c>
      <c r="E1189" s="205">
        <v>0</v>
      </c>
      <c r="F1189" s="205">
        <v>0</v>
      </c>
      <c r="G1189" s="205">
        <f t="shared" si="570"/>
        <v>0</v>
      </c>
      <c r="H1189" s="192">
        <v>10.32</v>
      </c>
      <c r="I1189" s="205">
        <f t="shared" si="571"/>
        <v>0</v>
      </c>
      <c r="J1189" s="205">
        <f t="shared" ref="J1189:J1193" si="573">H1189*F1189</f>
        <v>0</v>
      </c>
      <c r="K1189" s="205">
        <f t="shared" si="572"/>
        <v>0</v>
      </c>
    </row>
    <row r="1190" spans="1:11" ht="28.5" customHeight="1">
      <c r="A1190" s="11" t="s">
        <v>1798</v>
      </c>
      <c r="B1190" s="12" t="s">
        <v>660</v>
      </c>
      <c r="C1190" s="10"/>
      <c r="D1190" s="14" t="s">
        <v>1485</v>
      </c>
      <c r="E1190" s="205">
        <v>0</v>
      </c>
      <c r="F1190" s="205">
        <v>0</v>
      </c>
      <c r="G1190" s="205">
        <f t="shared" si="570"/>
        <v>0</v>
      </c>
      <c r="H1190" s="192">
        <v>2.14</v>
      </c>
      <c r="I1190" s="205">
        <f t="shared" si="571"/>
        <v>0</v>
      </c>
      <c r="J1190" s="205">
        <f t="shared" si="573"/>
        <v>0</v>
      </c>
      <c r="K1190" s="205">
        <f t="shared" si="572"/>
        <v>0</v>
      </c>
    </row>
    <row r="1191" spans="1:11" ht="32.5" customHeight="1">
      <c r="A1191" s="11" t="s">
        <v>1799</v>
      </c>
      <c r="B1191" s="18" t="s">
        <v>668</v>
      </c>
      <c r="C1191" s="10"/>
      <c r="D1191" s="189" t="s">
        <v>1485</v>
      </c>
      <c r="E1191" s="205">
        <v>0</v>
      </c>
      <c r="F1191" s="205">
        <v>0</v>
      </c>
      <c r="G1191" s="205">
        <f t="shared" si="570"/>
        <v>0</v>
      </c>
      <c r="H1191" s="193">
        <v>0.87</v>
      </c>
      <c r="I1191" s="205">
        <f t="shared" si="571"/>
        <v>0</v>
      </c>
      <c r="J1191" s="205">
        <f t="shared" si="573"/>
        <v>0</v>
      </c>
      <c r="K1191" s="205">
        <f t="shared" si="572"/>
        <v>0</v>
      </c>
    </row>
    <row r="1192" spans="1:11" ht="26.5">
      <c r="A1192" s="11" t="s">
        <v>1800</v>
      </c>
      <c r="B1192" s="18" t="s">
        <v>670</v>
      </c>
      <c r="C1192" s="10"/>
      <c r="D1192" s="14" t="s">
        <v>87</v>
      </c>
      <c r="E1192" s="205">
        <v>0</v>
      </c>
      <c r="F1192" s="205">
        <v>0</v>
      </c>
      <c r="G1192" s="205">
        <f t="shared" si="570"/>
        <v>0</v>
      </c>
      <c r="H1192" s="192">
        <v>1248.29</v>
      </c>
      <c r="I1192" s="205">
        <f t="shared" si="571"/>
        <v>0</v>
      </c>
      <c r="J1192" s="205">
        <f t="shared" si="573"/>
        <v>0</v>
      </c>
      <c r="K1192" s="205">
        <f t="shared" si="572"/>
        <v>0</v>
      </c>
    </row>
    <row r="1193" spans="1:11" ht="16.5" customHeight="1">
      <c r="A1193" s="11" t="s">
        <v>1801</v>
      </c>
      <c r="B1193" s="16" t="s">
        <v>671</v>
      </c>
      <c r="C1193" s="10" t="s">
        <v>87</v>
      </c>
      <c r="D1193" s="14" t="s">
        <v>124</v>
      </c>
      <c r="E1193" s="205">
        <v>0</v>
      </c>
      <c r="F1193" s="205">
        <v>0</v>
      </c>
      <c r="G1193" s="205">
        <f t="shared" si="570"/>
        <v>0</v>
      </c>
      <c r="H1193" s="192">
        <v>2.83</v>
      </c>
      <c r="I1193" s="205">
        <f t="shared" si="571"/>
        <v>0</v>
      </c>
      <c r="J1193" s="205">
        <f t="shared" si="573"/>
        <v>0</v>
      </c>
      <c r="K1193" s="205">
        <f t="shared" si="572"/>
        <v>0</v>
      </c>
    </row>
    <row r="1194" spans="1:11">
      <c r="A1194" s="8" t="s">
        <v>1802</v>
      </c>
      <c r="B1194" s="9" t="s">
        <v>107</v>
      </c>
      <c r="C1194" s="8"/>
      <c r="D1194" s="8"/>
      <c r="E1194" s="211"/>
      <c r="F1194" s="211"/>
      <c r="G1194" s="211"/>
      <c r="H1194" s="191"/>
      <c r="I1194" s="204">
        <f>SUM(I1195:I1197)</f>
        <v>0</v>
      </c>
      <c r="J1194" s="204">
        <f>SUM(J1195:J1197)</f>
        <v>0</v>
      </c>
      <c r="K1194" s="204">
        <f>SUM(K1195:K1197)</f>
        <v>0</v>
      </c>
    </row>
    <row r="1195" spans="1:11" ht="39">
      <c r="A1195" s="11" t="s">
        <v>1803</v>
      </c>
      <c r="B1195" s="12" t="s">
        <v>673</v>
      </c>
      <c r="C1195" s="10" t="s">
        <v>33</v>
      </c>
      <c r="D1195" s="13" t="s">
        <v>1486</v>
      </c>
      <c r="E1195" s="205">
        <v>0</v>
      </c>
      <c r="F1195" s="205">
        <v>0</v>
      </c>
      <c r="G1195" s="205">
        <f>F1195-E1195</f>
        <v>0</v>
      </c>
      <c r="H1195" s="192">
        <v>625.09</v>
      </c>
      <c r="I1195" s="205">
        <f t="shared" ref="I1195:I1197" si="574">H1195*E1195</f>
        <v>0</v>
      </c>
      <c r="J1195" s="205">
        <f>H1195*F1195</f>
        <v>0</v>
      </c>
      <c r="K1195" s="205">
        <f t="shared" ref="K1195:K1197" si="575">G1195*H1195</f>
        <v>0</v>
      </c>
    </row>
    <row r="1196" spans="1:11" ht="17" customHeight="1">
      <c r="A1196" s="11" t="s">
        <v>1804</v>
      </c>
      <c r="B1196" s="190" t="s">
        <v>679</v>
      </c>
      <c r="C1196" s="10" t="s">
        <v>33</v>
      </c>
      <c r="D1196" s="13" t="s">
        <v>124</v>
      </c>
      <c r="E1196" s="205">
        <v>0</v>
      </c>
      <c r="F1196" s="205">
        <v>0</v>
      </c>
      <c r="G1196" s="205">
        <f>F1196-E1196</f>
        <v>0</v>
      </c>
      <c r="H1196" s="192">
        <v>16.260000000000002</v>
      </c>
      <c r="I1196" s="205">
        <f t="shared" si="574"/>
        <v>0</v>
      </c>
      <c r="J1196" s="205">
        <f t="shared" ref="J1196:J1197" si="576">H1196*F1196</f>
        <v>0</v>
      </c>
      <c r="K1196" s="205">
        <f t="shared" si="575"/>
        <v>0</v>
      </c>
    </row>
    <row r="1197" spans="1:11" ht="16.5" customHeight="1">
      <c r="A1197" s="11" t="s">
        <v>1805</v>
      </c>
      <c r="B1197" s="12" t="s">
        <v>674</v>
      </c>
      <c r="C1197" s="10" t="s">
        <v>33</v>
      </c>
      <c r="D1197" s="13" t="s">
        <v>124</v>
      </c>
      <c r="E1197" s="205">
        <v>0</v>
      </c>
      <c r="F1197" s="205">
        <v>0</v>
      </c>
      <c r="G1197" s="205">
        <f>F1197-E1197</f>
        <v>0</v>
      </c>
      <c r="H1197" s="192">
        <v>4.5599999999999996</v>
      </c>
      <c r="I1197" s="205">
        <f t="shared" si="574"/>
        <v>0</v>
      </c>
      <c r="J1197" s="205">
        <f t="shared" si="576"/>
        <v>0</v>
      </c>
      <c r="K1197" s="205">
        <f t="shared" si="575"/>
        <v>0</v>
      </c>
    </row>
    <row r="1198" spans="1:11">
      <c r="A1198" s="8" t="s">
        <v>1806</v>
      </c>
      <c r="B1198" s="9" t="s">
        <v>677</v>
      </c>
      <c r="C1198" s="8"/>
      <c r="D1198" s="8"/>
      <c r="E1198" s="211"/>
      <c r="F1198" s="211"/>
      <c r="G1198" s="211"/>
      <c r="H1198" s="191"/>
      <c r="I1198" s="204">
        <f>SUM(I1199:I1200)</f>
        <v>0</v>
      </c>
      <c r="J1198" s="204">
        <f>SUM(J1199:J1200)</f>
        <v>0</v>
      </c>
      <c r="K1198" s="204">
        <f>SUM(K1199:K1200)</f>
        <v>0</v>
      </c>
    </row>
    <row r="1199" spans="1:11">
      <c r="A1199" s="11" t="s">
        <v>1807</v>
      </c>
      <c r="B1199" s="12" t="s">
        <v>658</v>
      </c>
      <c r="C1199" s="10" t="s">
        <v>11</v>
      </c>
      <c r="D1199" s="13" t="s">
        <v>124</v>
      </c>
      <c r="E1199" s="205">
        <v>0</v>
      </c>
      <c r="F1199" s="205">
        <v>0</v>
      </c>
      <c r="G1199" s="205">
        <f>F1199-E1199</f>
        <v>0</v>
      </c>
      <c r="H1199" s="192">
        <v>1.75</v>
      </c>
      <c r="I1199" s="205">
        <f t="shared" ref="I1199:I1200" si="577">H1199*E1199</f>
        <v>0</v>
      </c>
      <c r="J1199" s="205">
        <f>H1199*F1199</f>
        <v>0</v>
      </c>
      <c r="K1199" s="205">
        <f t="shared" ref="K1199:K1200" si="578">G1199*H1199</f>
        <v>0</v>
      </c>
    </row>
    <row r="1200" spans="1:11">
      <c r="A1200" s="11" t="s">
        <v>1808</v>
      </c>
      <c r="B1200" s="12" t="s">
        <v>678</v>
      </c>
      <c r="C1200" s="10" t="s">
        <v>11</v>
      </c>
      <c r="D1200" s="13" t="s">
        <v>1486</v>
      </c>
      <c r="E1200" s="205">
        <v>0</v>
      </c>
      <c r="F1200" s="205">
        <v>0</v>
      </c>
      <c r="G1200" s="205">
        <f>F1200-E1200</f>
        <v>0</v>
      </c>
      <c r="H1200" s="192">
        <v>92.34</v>
      </c>
      <c r="I1200" s="205">
        <f t="shared" si="577"/>
        <v>0</v>
      </c>
      <c r="J1200" s="205">
        <f>H1200*F1200</f>
        <v>0</v>
      </c>
      <c r="K1200" s="205">
        <f t="shared" si="578"/>
        <v>0</v>
      </c>
    </row>
    <row r="1201" spans="1:11">
      <c r="A1201" s="183">
        <v>45</v>
      </c>
      <c r="B1201" s="188" t="s">
        <v>2028</v>
      </c>
      <c r="C1201" s="183"/>
      <c r="D1201" s="183"/>
      <c r="E1201" s="210"/>
      <c r="F1201" s="210"/>
      <c r="G1201" s="210"/>
      <c r="H1201" s="194"/>
      <c r="I1201" s="203">
        <f>SUM(I1202,I1205,I1207,I1214,I1221,I1225)</f>
        <v>0</v>
      </c>
      <c r="J1201" s="203">
        <f>SUM(J1202,J1205,J1207,J1214,J1221,J1225)</f>
        <v>0</v>
      </c>
      <c r="K1201" s="203">
        <f>SUM(K1202,K1205,K1207,K1214,K1221,K1225)</f>
        <v>0</v>
      </c>
    </row>
    <row r="1202" spans="1:11">
      <c r="A1202" s="8" t="s">
        <v>1809</v>
      </c>
      <c r="B1202" s="9" t="s">
        <v>8</v>
      </c>
      <c r="C1202" s="8"/>
      <c r="D1202" s="8"/>
      <c r="E1202" s="211"/>
      <c r="F1202" s="211"/>
      <c r="G1202" s="211"/>
      <c r="H1202" s="191"/>
      <c r="I1202" s="204">
        <f>SUM(I1203:I1204)</f>
        <v>0</v>
      </c>
      <c r="J1202" s="204">
        <f>SUM(J1203:J1204)</f>
        <v>0</v>
      </c>
      <c r="K1202" s="204">
        <f>SUM(K1203:K1204)</f>
        <v>0</v>
      </c>
    </row>
    <row r="1203" spans="1:11" ht="26">
      <c r="A1203" s="11" t="s">
        <v>1810</v>
      </c>
      <c r="B1203" s="12" t="s">
        <v>652</v>
      </c>
      <c r="C1203" s="10" t="s">
        <v>13</v>
      </c>
      <c r="D1203" s="13" t="s">
        <v>124</v>
      </c>
      <c r="E1203" s="205">
        <v>0</v>
      </c>
      <c r="F1203" s="205">
        <v>0</v>
      </c>
      <c r="G1203" s="205">
        <f>F1203-E1203</f>
        <v>0</v>
      </c>
      <c r="H1203" s="192">
        <v>0.36</v>
      </c>
      <c r="I1203" s="205">
        <f>H1203*E1203</f>
        <v>0</v>
      </c>
      <c r="J1203" s="205">
        <f>H1203*F1203</f>
        <v>0</v>
      </c>
      <c r="K1203" s="205">
        <f t="shared" ref="K1203:K1204" si="579">G1203*H1203</f>
        <v>0</v>
      </c>
    </row>
    <row r="1204" spans="1:11" ht="52">
      <c r="A1204" s="11" t="s">
        <v>1811</v>
      </c>
      <c r="B1204" s="12" t="s">
        <v>649</v>
      </c>
      <c r="C1204" s="10" t="s">
        <v>11</v>
      </c>
      <c r="D1204" s="13" t="s">
        <v>124</v>
      </c>
      <c r="E1204" s="205">
        <v>0</v>
      </c>
      <c r="F1204" s="205">
        <v>0</v>
      </c>
      <c r="G1204" s="205">
        <f>F1204-E1204</f>
        <v>0</v>
      </c>
      <c r="H1204" s="192">
        <v>61.67</v>
      </c>
      <c r="I1204" s="205">
        <f>H1204*E1204</f>
        <v>0</v>
      </c>
      <c r="J1204" s="205">
        <f>H1204*F1204</f>
        <v>0</v>
      </c>
      <c r="K1204" s="205">
        <f t="shared" si="579"/>
        <v>0</v>
      </c>
    </row>
    <row r="1205" spans="1:11">
      <c r="A1205" s="8" t="s">
        <v>1812</v>
      </c>
      <c r="B1205" s="9" t="s">
        <v>654</v>
      </c>
      <c r="C1205" s="8"/>
      <c r="D1205" s="8"/>
      <c r="E1205" s="211"/>
      <c r="F1205" s="211"/>
      <c r="G1205" s="211"/>
      <c r="H1205" s="191"/>
      <c r="I1205" s="204">
        <f>SUM(I1206:I1206)</f>
        <v>0</v>
      </c>
      <c r="J1205" s="204">
        <f>SUM(J1206:J1206)</f>
        <v>0</v>
      </c>
      <c r="K1205" s="204">
        <f>SUM(K1206:K1206)</f>
        <v>0</v>
      </c>
    </row>
    <row r="1206" spans="1:11" ht="26">
      <c r="A1206" s="11" t="s">
        <v>1813</v>
      </c>
      <c r="B1206" s="12" t="s">
        <v>655</v>
      </c>
      <c r="C1206" s="10"/>
      <c r="D1206" s="13" t="s">
        <v>124</v>
      </c>
      <c r="E1206" s="205">
        <v>0</v>
      </c>
      <c r="F1206" s="205">
        <v>0</v>
      </c>
      <c r="G1206" s="205">
        <f>F1206-E1206</f>
        <v>0</v>
      </c>
      <c r="H1206" s="192">
        <v>0.38</v>
      </c>
      <c r="I1206" s="205">
        <f t="shared" ref="I1206" si="580">H1206*E1206</f>
        <v>0</v>
      </c>
      <c r="J1206" s="205">
        <f>H1206*F1206</f>
        <v>0</v>
      </c>
      <c r="K1206" s="205">
        <f t="shared" ref="K1206" si="581">G1206*H1206</f>
        <v>0</v>
      </c>
    </row>
    <row r="1207" spans="1:11">
      <c r="A1207" s="8" t="s">
        <v>1814</v>
      </c>
      <c r="B1207" s="9" t="s">
        <v>657</v>
      </c>
      <c r="C1207" s="8"/>
      <c r="D1207" s="8"/>
      <c r="E1207" s="211"/>
      <c r="F1207" s="211"/>
      <c r="G1207" s="211"/>
      <c r="H1207" s="191"/>
      <c r="I1207" s="204">
        <f>SUM(I1208:I1213)</f>
        <v>0</v>
      </c>
      <c r="J1207" s="204">
        <f>SUM(J1208:J1213)</f>
        <v>0</v>
      </c>
      <c r="K1207" s="204">
        <f>SUM(K1208:K1213)</f>
        <v>0</v>
      </c>
    </row>
    <row r="1208" spans="1:11">
      <c r="A1208" s="11" t="s">
        <v>1815</v>
      </c>
      <c r="B1208" s="12" t="s">
        <v>658</v>
      </c>
      <c r="C1208" s="10"/>
      <c r="D1208" s="13" t="s">
        <v>124</v>
      </c>
      <c r="E1208" s="205">
        <v>0</v>
      </c>
      <c r="F1208" s="205">
        <v>0</v>
      </c>
      <c r="G1208" s="205">
        <f t="shared" ref="G1208:G1213" si="582">F1208-E1208</f>
        <v>0</v>
      </c>
      <c r="H1208" s="192">
        <v>1.75</v>
      </c>
      <c r="I1208" s="205">
        <f t="shared" ref="I1208:I1213" si="583">H1208*E1208</f>
        <v>0</v>
      </c>
      <c r="J1208" s="205">
        <f>H1208*F1208</f>
        <v>0</v>
      </c>
      <c r="K1208" s="205">
        <f t="shared" ref="K1208:K1213" si="584">G1208*H1208</f>
        <v>0</v>
      </c>
    </row>
    <row r="1209" spans="1:11" ht="26">
      <c r="A1209" s="11" t="s">
        <v>1816</v>
      </c>
      <c r="B1209" s="12" t="s">
        <v>659</v>
      </c>
      <c r="C1209" s="10"/>
      <c r="D1209" s="13" t="s">
        <v>87</v>
      </c>
      <c r="E1209" s="205">
        <v>0</v>
      </c>
      <c r="F1209" s="205">
        <v>0</v>
      </c>
      <c r="G1209" s="205">
        <f t="shared" si="582"/>
        <v>0</v>
      </c>
      <c r="H1209" s="192">
        <v>10.32</v>
      </c>
      <c r="I1209" s="205">
        <f t="shared" si="583"/>
        <v>0</v>
      </c>
      <c r="J1209" s="205">
        <f t="shared" ref="J1209:J1213" si="585">H1209*F1209</f>
        <v>0</v>
      </c>
      <c r="K1209" s="205">
        <f t="shared" si="584"/>
        <v>0</v>
      </c>
    </row>
    <row r="1210" spans="1:11" ht="28.5" customHeight="1">
      <c r="A1210" s="11" t="s">
        <v>1817</v>
      </c>
      <c r="B1210" s="12" t="s">
        <v>660</v>
      </c>
      <c r="C1210" s="10"/>
      <c r="D1210" s="13" t="s">
        <v>1485</v>
      </c>
      <c r="E1210" s="205">
        <v>0</v>
      </c>
      <c r="F1210" s="205">
        <v>0</v>
      </c>
      <c r="G1210" s="205">
        <f t="shared" si="582"/>
        <v>0</v>
      </c>
      <c r="H1210" s="192">
        <v>2.14</v>
      </c>
      <c r="I1210" s="205">
        <f t="shared" si="583"/>
        <v>0</v>
      </c>
      <c r="J1210" s="205">
        <f t="shared" si="585"/>
        <v>0</v>
      </c>
      <c r="K1210" s="205">
        <f t="shared" si="584"/>
        <v>0</v>
      </c>
    </row>
    <row r="1211" spans="1:11" ht="29" customHeight="1">
      <c r="A1211" s="11" t="s">
        <v>1818</v>
      </c>
      <c r="B1211" s="12" t="s">
        <v>668</v>
      </c>
      <c r="C1211" s="10"/>
      <c r="D1211" s="13" t="s">
        <v>1485</v>
      </c>
      <c r="E1211" s="205">
        <v>0</v>
      </c>
      <c r="F1211" s="205">
        <v>0</v>
      </c>
      <c r="G1211" s="205">
        <f t="shared" si="582"/>
        <v>0</v>
      </c>
      <c r="H1211" s="192">
        <v>0.87</v>
      </c>
      <c r="I1211" s="205">
        <f t="shared" si="583"/>
        <v>0</v>
      </c>
      <c r="J1211" s="205">
        <f t="shared" si="585"/>
        <v>0</v>
      </c>
      <c r="K1211" s="205">
        <f t="shared" si="584"/>
        <v>0</v>
      </c>
    </row>
    <row r="1212" spans="1:11" ht="28" customHeight="1">
      <c r="A1212" s="11" t="s">
        <v>1819</v>
      </c>
      <c r="B1212" s="12" t="s">
        <v>661</v>
      </c>
      <c r="C1212" s="10"/>
      <c r="D1212" s="13" t="s">
        <v>87</v>
      </c>
      <c r="E1212" s="205">
        <v>0</v>
      </c>
      <c r="F1212" s="205">
        <v>0</v>
      </c>
      <c r="G1212" s="205">
        <f t="shared" si="582"/>
        <v>0</v>
      </c>
      <c r="H1212" s="192">
        <v>1248.29</v>
      </c>
      <c r="I1212" s="205">
        <f t="shared" si="583"/>
        <v>0</v>
      </c>
      <c r="J1212" s="205">
        <f t="shared" si="585"/>
        <v>0</v>
      </c>
      <c r="K1212" s="205">
        <f t="shared" si="584"/>
        <v>0</v>
      </c>
    </row>
    <row r="1213" spans="1:11" ht="17.5" customHeight="1">
      <c r="A1213" s="11" t="s">
        <v>1820</v>
      </c>
      <c r="B1213" s="12" t="s">
        <v>662</v>
      </c>
      <c r="C1213" s="10"/>
      <c r="D1213" s="13" t="s">
        <v>124</v>
      </c>
      <c r="E1213" s="205">
        <v>0</v>
      </c>
      <c r="F1213" s="205">
        <v>0</v>
      </c>
      <c r="G1213" s="205">
        <f t="shared" si="582"/>
        <v>0</v>
      </c>
      <c r="H1213" s="192">
        <v>2.83</v>
      </c>
      <c r="I1213" s="205">
        <f t="shared" si="583"/>
        <v>0</v>
      </c>
      <c r="J1213" s="205">
        <f t="shared" si="585"/>
        <v>0</v>
      </c>
      <c r="K1213" s="205">
        <f t="shared" si="584"/>
        <v>0</v>
      </c>
    </row>
    <row r="1214" spans="1:11">
      <c r="A1214" s="8" t="s">
        <v>1821</v>
      </c>
      <c r="B1214" s="9" t="s">
        <v>669</v>
      </c>
      <c r="C1214" s="8"/>
      <c r="D1214" s="8"/>
      <c r="E1214" s="211"/>
      <c r="F1214" s="211"/>
      <c r="G1214" s="211"/>
      <c r="H1214" s="191"/>
      <c r="I1214" s="204">
        <f>SUM(I1215:I1220)</f>
        <v>0</v>
      </c>
      <c r="J1214" s="204">
        <f>SUM(J1215:J1220)</f>
        <v>0</v>
      </c>
      <c r="K1214" s="204">
        <f>SUM(K1215:K1220)</f>
        <v>0</v>
      </c>
    </row>
    <row r="1215" spans="1:11">
      <c r="A1215" s="11" t="s">
        <v>1822</v>
      </c>
      <c r="B1215" s="12" t="s">
        <v>658</v>
      </c>
      <c r="C1215" s="10"/>
      <c r="D1215" s="14" t="s">
        <v>124</v>
      </c>
      <c r="E1215" s="205">
        <v>0</v>
      </c>
      <c r="F1215" s="205">
        <v>0</v>
      </c>
      <c r="G1215" s="205">
        <f t="shared" ref="G1215:G1220" si="586">F1215-E1215</f>
        <v>0</v>
      </c>
      <c r="H1215" s="192">
        <v>1.75</v>
      </c>
      <c r="I1215" s="205">
        <f t="shared" ref="I1215:I1220" si="587">H1215*E1215</f>
        <v>0</v>
      </c>
      <c r="J1215" s="205">
        <f>H1215*F1215</f>
        <v>0</v>
      </c>
      <c r="K1215" s="205">
        <f t="shared" ref="K1215:K1220" si="588">G1215*H1215</f>
        <v>0</v>
      </c>
    </row>
    <row r="1216" spans="1:11" ht="26">
      <c r="A1216" s="11" t="s">
        <v>1823</v>
      </c>
      <c r="B1216" s="12" t="s">
        <v>659</v>
      </c>
      <c r="C1216" s="10"/>
      <c r="D1216" s="14" t="s">
        <v>87</v>
      </c>
      <c r="E1216" s="205">
        <v>0</v>
      </c>
      <c r="F1216" s="205">
        <v>0</v>
      </c>
      <c r="G1216" s="205">
        <f t="shared" si="586"/>
        <v>0</v>
      </c>
      <c r="H1216" s="192">
        <v>10.32</v>
      </c>
      <c r="I1216" s="205">
        <f t="shared" si="587"/>
        <v>0</v>
      </c>
      <c r="J1216" s="205">
        <f>H1216*F1216</f>
        <v>0</v>
      </c>
      <c r="K1216" s="205">
        <f t="shared" si="588"/>
        <v>0</v>
      </c>
    </row>
    <row r="1217" spans="1:11" ht="28.5" customHeight="1">
      <c r="A1217" s="11" t="s">
        <v>1824</v>
      </c>
      <c r="B1217" s="12" t="s">
        <v>660</v>
      </c>
      <c r="C1217" s="10"/>
      <c r="D1217" s="14" t="s">
        <v>1485</v>
      </c>
      <c r="E1217" s="205">
        <v>0</v>
      </c>
      <c r="F1217" s="205">
        <v>0</v>
      </c>
      <c r="G1217" s="205">
        <f t="shared" si="586"/>
        <v>0</v>
      </c>
      <c r="H1217" s="192">
        <v>2.14</v>
      </c>
      <c r="I1217" s="205">
        <f t="shared" si="587"/>
        <v>0</v>
      </c>
      <c r="J1217" s="205">
        <f t="shared" ref="J1217:J1220" si="589">H1217*F1217</f>
        <v>0</v>
      </c>
      <c r="K1217" s="205">
        <f t="shared" si="588"/>
        <v>0</v>
      </c>
    </row>
    <row r="1218" spans="1:11" ht="32.5" customHeight="1">
      <c r="A1218" s="11" t="s">
        <v>1825</v>
      </c>
      <c r="B1218" s="18" t="s">
        <v>668</v>
      </c>
      <c r="C1218" s="10"/>
      <c r="D1218" s="189" t="s">
        <v>1485</v>
      </c>
      <c r="E1218" s="205">
        <v>0</v>
      </c>
      <c r="F1218" s="205">
        <v>0</v>
      </c>
      <c r="G1218" s="205">
        <f t="shared" si="586"/>
        <v>0</v>
      </c>
      <c r="H1218" s="193">
        <v>0.87</v>
      </c>
      <c r="I1218" s="205">
        <f t="shared" si="587"/>
        <v>0</v>
      </c>
      <c r="J1218" s="205">
        <f t="shared" si="589"/>
        <v>0</v>
      </c>
      <c r="K1218" s="205">
        <f t="shared" si="588"/>
        <v>0</v>
      </c>
    </row>
    <row r="1219" spans="1:11" ht="26.5">
      <c r="A1219" s="11" t="s">
        <v>1826</v>
      </c>
      <c r="B1219" s="18" t="s">
        <v>670</v>
      </c>
      <c r="C1219" s="10"/>
      <c r="D1219" s="14" t="s">
        <v>87</v>
      </c>
      <c r="E1219" s="205">
        <v>0</v>
      </c>
      <c r="F1219" s="205">
        <v>0</v>
      </c>
      <c r="G1219" s="205">
        <f t="shared" si="586"/>
        <v>0</v>
      </c>
      <c r="H1219" s="192">
        <v>1248.29</v>
      </c>
      <c r="I1219" s="205">
        <f t="shared" si="587"/>
        <v>0</v>
      </c>
      <c r="J1219" s="205">
        <f t="shared" si="589"/>
        <v>0</v>
      </c>
      <c r="K1219" s="205">
        <f t="shared" si="588"/>
        <v>0</v>
      </c>
    </row>
    <row r="1220" spans="1:11" ht="16.5" customHeight="1">
      <c r="A1220" s="11" t="s">
        <v>1827</v>
      </c>
      <c r="B1220" s="16" t="s">
        <v>671</v>
      </c>
      <c r="C1220" s="10" t="s">
        <v>87</v>
      </c>
      <c r="D1220" s="14" t="s">
        <v>124</v>
      </c>
      <c r="E1220" s="205">
        <v>0</v>
      </c>
      <c r="F1220" s="205">
        <v>0</v>
      </c>
      <c r="G1220" s="205">
        <f t="shared" si="586"/>
        <v>0</v>
      </c>
      <c r="H1220" s="192">
        <v>2.83</v>
      </c>
      <c r="I1220" s="205">
        <f t="shared" si="587"/>
        <v>0</v>
      </c>
      <c r="J1220" s="205">
        <f t="shared" si="589"/>
        <v>0</v>
      </c>
      <c r="K1220" s="205">
        <f t="shared" si="588"/>
        <v>0</v>
      </c>
    </row>
    <row r="1221" spans="1:11">
      <c r="A1221" s="8" t="s">
        <v>1828</v>
      </c>
      <c r="B1221" s="9" t="s">
        <v>107</v>
      </c>
      <c r="C1221" s="8"/>
      <c r="D1221" s="8"/>
      <c r="E1221" s="211"/>
      <c r="F1221" s="211"/>
      <c r="G1221" s="211"/>
      <c r="H1221" s="191"/>
      <c r="I1221" s="204">
        <f>SUM(I1222:I1224)</f>
        <v>0</v>
      </c>
      <c r="J1221" s="204">
        <f>SUM(J1222:J1224)</f>
        <v>0</v>
      </c>
      <c r="K1221" s="204">
        <f>SUM(K1222:K1224)</f>
        <v>0</v>
      </c>
    </row>
    <row r="1222" spans="1:11" ht="39">
      <c r="A1222" s="11" t="s">
        <v>1829</v>
      </c>
      <c r="B1222" s="12" t="s">
        <v>673</v>
      </c>
      <c r="C1222" s="10" t="s">
        <v>33</v>
      </c>
      <c r="D1222" s="13" t="s">
        <v>1486</v>
      </c>
      <c r="E1222" s="205">
        <v>0</v>
      </c>
      <c r="F1222" s="205">
        <v>0</v>
      </c>
      <c r="G1222" s="205">
        <f>F1222-E1222</f>
        <v>0</v>
      </c>
      <c r="H1222" s="192">
        <v>625.09</v>
      </c>
      <c r="I1222" s="205">
        <f t="shared" ref="I1222:I1224" si="590">H1222*E1222</f>
        <v>0</v>
      </c>
      <c r="J1222" s="205">
        <f>H1222*F1222</f>
        <v>0</v>
      </c>
      <c r="K1222" s="205">
        <f t="shared" ref="K1222:K1224" si="591">G1222*H1222</f>
        <v>0</v>
      </c>
    </row>
    <row r="1223" spans="1:11" ht="17" customHeight="1">
      <c r="A1223" s="11" t="s">
        <v>1830</v>
      </c>
      <c r="B1223" s="190" t="s">
        <v>679</v>
      </c>
      <c r="C1223" s="10" t="s">
        <v>33</v>
      </c>
      <c r="D1223" s="13" t="s">
        <v>124</v>
      </c>
      <c r="E1223" s="205">
        <v>0</v>
      </c>
      <c r="F1223" s="205">
        <v>0</v>
      </c>
      <c r="G1223" s="205">
        <f>F1223-E1223</f>
        <v>0</v>
      </c>
      <c r="H1223" s="192">
        <v>16.260000000000002</v>
      </c>
      <c r="I1223" s="205">
        <f t="shared" si="590"/>
        <v>0</v>
      </c>
      <c r="J1223" s="205">
        <f t="shared" ref="J1223:J1224" si="592">H1223*F1223</f>
        <v>0</v>
      </c>
      <c r="K1223" s="205">
        <f t="shared" si="591"/>
        <v>0</v>
      </c>
    </row>
    <row r="1224" spans="1:11" ht="16.5" customHeight="1">
      <c r="A1224" s="11" t="s">
        <v>1831</v>
      </c>
      <c r="B1224" s="12" t="s">
        <v>674</v>
      </c>
      <c r="C1224" s="10" t="s">
        <v>33</v>
      </c>
      <c r="D1224" s="13" t="s">
        <v>124</v>
      </c>
      <c r="E1224" s="205">
        <v>0</v>
      </c>
      <c r="F1224" s="205">
        <v>0</v>
      </c>
      <c r="G1224" s="205">
        <f>F1224-E1224</f>
        <v>0</v>
      </c>
      <c r="H1224" s="192">
        <v>4.5599999999999996</v>
      </c>
      <c r="I1224" s="205">
        <f t="shared" si="590"/>
        <v>0</v>
      </c>
      <c r="J1224" s="205">
        <f t="shared" si="592"/>
        <v>0</v>
      </c>
      <c r="K1224" s="205">
        <f t="shared" si="591"/>
        <v>0</v>
      </c>
    </row>
    <row r="1225" spans="1:11">
      <c r="A1225" s="8" t="s">
        <v>1832</v>
      </c>
      <c r="B1225" s="9" t="s">
        <v>677</v>
      </c>
      <c r="C1225" s="8"/>
      <c r="D1225" s="8"/>
      <c r="E1225" s="211"/>
      <c r="F1225" s="211"/>
      <c r="G1225" s="211"/>
      <c r="H1225" s="191"/>
      <c r="I1225" s="204">
        <f>SUM(I1226:I1227)</f>
        <v>0</v>
      </c>
      <c r="J1225" s="204">
        <f>SUM(J1226:J1227)</f>
        <v>0</v>
      </c>
      <c r="K1225" s="204">
        <f>SUM(K1226:K1227)</f>
        <v>0</v>
      </c>
    </row>
    <row r="1226" spans="1:11">
      <c r="A1226" s="11" t="s">
        <v>1833</v>
      </c>
      <c r="B1226" s="12" t="s">
        <v>658</v>
      </c>
      <c r="C1226" s="10" t="s">
        <v>11</v>
      </c>
      <c r="D1226" s="13" t="s">
        <v>124</v>
      </c>
      <c r="E1226" s="205">
        <v>0</v>
      </c>
      <c r="F1226" s="205">
        <v>0</v>
      </c>
      <c r="G1226" s="205">
        <f>F1226-E1226</f>
        <v>0</v>
      </c>
      <c r="H1226" s="192">
        <v>1.75</v>
      </c>
      <c r="I1226" s="205">
        <f t="shared" ref="I1226:I1227" si="593">H1226*E1226</f>
        <v>0</v>
      </c>
      <c r="J1226" s="205">
        <f>H1226*F1226</f>
        <v>0</v>
      </c>
      <c r="K1226" s="205">
        <f t="shared" ref="K1226:K1227" si="594">G1226*H1226</f>
        <v>0</v>
      </c>
    </row>
    <row r="1227" spans="1:11">
      <c r="A1227" s="11" t="s">
        <v>1834</v>
      </c>
      <c r="B1227" s="12" t="s">
        <v>678</v>
      </c>
      <c r="C1227" s="10" t="s">
        <v>11</v>
      </c>
      <c r="D1227" s="13" t="s">
        <v>1486</v>
      </c>
      <c r="E1227" s="205">
        <v>0</v>
      </c>
      <c r="F1227" s="205">
        <v>0</v>
      </c>
      <c r="G1227" s="205">
        <f>F1227-E1227</f>
        <v>0</v>
      </c>
      <c r="H1227" s="192">
        <v>92.34</v>
      </c>
      <c r="I1227" s="205">
        <f t="shared" si="593"/>
        <v>0</v>
      </c>
      <c r="J1227" s="205">
        <f>H1227*F1227</f>
        <v>0</v>
      </c>
      <c r="K1227" s="205">
        <f t="shared" si="594"/>
        <v>0</v>
      </c>
    </row>
    <row r="1228" spans="1:11">
      <c r="A1228" s="183">
        <v>46</v>
      </c>
      <c r="B1228" s="188" t="s">
        <v>2029</v>
      </c>
      <c r="C1228" s="183"/>
      <c r="D1228" s="183"/>
      <c r="E1228" s="210"/>
      <c r="F1228" s="210"/>
      <c r="G1228" s="210"/>
      <c r="H1228" s="194"/>
      <c r="I1228" s="203">
        <f>SUM(I1229,I1232,I1234,I1241,I1248,I1252)</f>
        <v>0</v>
      </c>
      <c r="J1228" s="203">
        <f>SUM(J1229,J1232,J1234,J1241,J1248,J1252)</f>
        <v>0</v>
      </c>
      <c r="K1228" s="203">
        <f>SUM(K1229,K1232,K1234,K1241,K1248,K1252)</f>
        <v>0</v>
      </c>
    </row>
    <row r="1229" spans="1:11">
      <c r="A1229" s="8" t="s">
        <v>1835</v>
      </c>
      <c r="B1229" s="9" t="s">
        <v>8</v>
      </c>
      <c r="C1229" s="8"/>
      <c r="D1229" s="8"/>
      <c r="E1229" s="211"/>
      <c r="F1229" s="211"/>
      <c r="G1229" s="211"/>
      <c r="H1229" s="191"/>
      <c r="I1229" s="204">
        <f>SUM(I1230:I1231)</f>
        <v>0</v>
      </c>
      <c r="J1229" s="204">
        <f>SUM(J1230:J1231)</f>
        <v>0</v>
      </c>
      <c r="K1229" s="204">
        <f>SUM(K1230:K1231)</f>
        <v>0</v>
      </c>
    </row>
    <row r="1230" spans="1:11" ht="26">
      <c r="A1230" s="11" t="s">
        <v>1836</v>
      </c>
      <c r="B1230" s="12" t="s">
        <v>652</v>
      </c>
      <c r="C1230" s="10" t="s">
        <v>13</v>
      </c>
      <c r="D1230" s="13" t="s">
        <v>124</v>
      </c>
      <c r="E1230" s="205">
        <v>0</v>
      </c>
      <c r="F1230" s="205">
        <v>0</v>
      </c>
      <c r="G1230" s="205">
        <f>F1230-E1230</f>
        <v>0</v>
      </c>
      <c r="H1230" s="192">
        <v>0.36</v>
      </c>
      <c r="I1230" s="205">
        <f>H1230*E1230</f>
        <v>0</v>
      </c>
      <c r="J1230" s="205">
        <f>H1230*F1230</f>
        <v>0</v>
      </c>
      <c r="K1230" s="205">
        <f t="shared" ref="K1230:K1231" si="595">G1230*H1230</f>
        <v>0</v>
      </c>
    </row>
    <row r="1231" spans="1:11" ht="52">
      <c r="A1231" s="11" t="s">
        <v>1837</v>
      </c>
      <c r="B1231" s="12" t="s">
        <v>649</v>
      </c>
      <c r="C1231" s="10" t="s">
        <v>11</v>
      </c>
      <c r="D1231" s="13" t="s">
        <v>124</v>
      </c>
      <c r="E1231" s="205">
        <v>0</v>
      </c>
      <c r="F1231" s="205">
        <v>0</v>
      </c>
      <c r="G1231" s="205">
        <f>F1231-E1231</f>
        <v>0</v>
      </c>
      <c r="H1231" s="192">
        <v>61.67</v>
      </c>
      <c r="I1231" s="205">
        <f>H1231*E1231</f>
        <v>0</v>
      </c>
      <c r="J1231" s="205">
        <f>H1231*F1231</f>
        <v>0</v>
      </c>
      <c r="K1231" s="205">
        <f t="shared" si="595"/>
        <v>0</v>
      </c>
    </row>
    <row r="1232" spans="1:11">
      <c r="A1232" s="8" t="s">
        <v>1838</v>
      </c>
      <c r="B1232" s="9" t="s">
        <v>654</v>
      </c>
      <c r="C1232" s="8"/>
      <c r="D1232" s="8"/>
      <c r="E1232" s="211"/>
      <c r="F1232" s="211"/>
      <c r="G1232" s="211"/>
      <c r="H1232" s="191"/>
      <c r="I1232" s="204">
        <f>SUM(I1233:I1233)</f>
        <v>0</v>
      </c>
      <c r="J1232" s="204">
        <f>SUM(J1233:J1233)</f>
        <v>0</v>
      </c>
      <c r="K1232" s="204">
        <f>SUM(K1233:K1233)</f>
        <v>0</v>
      </c>
    </row>
    <row r="1233" spans="1:11" ht="26">
      <c r="A1233" s="11" t="s">
        <v>1839</v>
      </c>
      <c r="B1233" s="12" t="s">
        <v>655</v>
      </c>
      <c r="C1233" s="10"/>
      <c r="D1233" s="13" t="s">
        <v>124</v>
      </c>
      <c r="E1233" s="205">
        <v>0</v>
      </c>
      <c r="F1233" s="205">
        <v>0</v>
      </c>
      <c r="G1233" s="205">
        <f>F1233-E1233</f>
        <v>0</v>
      </c>
      <c r="H1233" s="192">
        <v>0.38</v>
      </c>
      <c r="I1233" s="205">
        <f t="shared" ref="I1233" si="596">H1233*E1233</f>
        <v>0</v>
      </c>
      <c r="J1233" s="205">
        <f>H1233*F1233</f>
        <v>0</v>
      </c>
      <c r="K1233" s="205">
        <f t="shared" ref="K1233" si="597">G1233*H1233</f>
        <v>0</v>
      </c>
    </row>
    <row r="1234" spans="1:11">
      <c r="A1234" s="8" t="s">
        <v>1840</v>
      </c>
      <c r="B1234" s="9" t="s">
        <v>657</v>
      </c>
      <c r="C1234" s="8"/>
      <c r="D1234" s="8"/>
      <c r="E1234" s="211"/>
      <c r="F1234" s="211"/>
      <c r="G1234" s="211"/>
      <c r="H1234" s="191"/>
      <c r="I1234" s="204">
        <f>SUM(I1235:I1240)</f>
        <v>0</v>
      </c>
      <c r="J1234" s="204">
        <f>SUM(J1235:J1240)</f>
        <v>0</v>
      </c>
      <c r="K1234" s="204">
        <f>SUM(K1235:K1240)</f>
        <v>0</v>
      </c>
    </row>
    <row r="1235" spans="1:11">
      <c r="A1235" s="11" t="s">
        <v>1841</v>
      </c>
      <c r="B1235" s="12" t="s">
        <v>658</v>
      </c>
      <c r="C1235" s="10"/>
      <c r="D1235" s="13" t="s">
        <v>124</v>
      </c>
      <c r="E1235" s="205">
        <v>0</v>
      </c>
      <c r="F1235" s="205">
        <v>0</v>
      </c>
      <c r="G1235" s="205">
        <f t="shared" ref="G1235:G1240" si="598">F1235-E1235</f>
        <v>0</v>
      </c>
      <c r="H1235" s="192">
        <v>1.75</v>
      </c>
      <c r="I1235" s="205">
        <f t="shared" ref="I1235:I1240" si="599">H1235*E1235</f>
        <v>0</v>
      </c>
      <c r="J1235" s="205">
        <f>H1235*F1235</f>
        <v>0</v>
      </c>
      <c r="K1235" s="205">
        <f t="shared" ref="K1235:K1240" si="600">G1235*H1235</f>
        <v>0</v>
      </c>
    </row>
    <row r="1236" spans="1:11" ht="26">
      <c r="A1236" s="11" t="s">
        <v>1842</v>
      </c>
      <c r="B1236" s="12" t="s">
        <v>659</v>
      </c>
      <c r="C1236" s="10"/>
      <c r="D1236" s="13" t="s">
        <v>87</v>
      </c>
      <c r="E1236" s="205">
        <v>0</v>
      </c>
      <c r="F1236" s="205">
        <v>0</v>
      </c>
      <c r="G1236" s="205">
        <f t="shared" si="598"/>
        <v>0</v>
      </c>
      <c r="H1236" s="192">
        <v>10.32</v>
      </c>
      <c r="I1236" s="205">
        <f t="shared" si="599"/>
        <v>0</v>
      </c>
      <c r="J1236" s="205">
        <f t="shared" ref="J1236:J1240" si="601">H1236*F1236</f>
        <v>0</v>
      </c>
      <c r="K1236" s="205">
        <f t="shared" si="600"/>
        <v>0</v>
      </c>
    </row>
    <row r="1237" spans="1:11" ht="28.5" customHeight="1">
      <c r="A1237" s="11" t="s">
        <v>1843</v>
      </c>
      <c r="B1237" s="12" t="s">
        <v>660</v>
      </c>
      <c r="C1237" s="10"/>
      <c r="D1237" s="13" t="s">
        <v>1485</v>
      </c>
      <c r="E1237" s="205">
        <v>0</v>
      </c>
      <c r="F1237" s="205">
        <v>0</v>
      </c>
      <c r="G1237" s="205">
        <f t="shared" si="598"/>
        <v>0</v>
      </c>
      <c r="H1237" s="192">
        <v>2.14</v>
      </c>
      <c r="I1237" s="205">
        <f t="shared" si="599"/>
        <v>0</v>
      </c>
      <c r="J1237" s="205">
        <f t="shared" si="601"/>
        <v>0</v>
      </c>
      <c r="K1237" s="205">
        <f t="shared" si="600"/>
        <v>0</v>
      </c>
    </row>
    <row r="1238" spans="1:11" ht="29" customHeight="1">
      <c r="A1238" s="11" t="s">
        <v>1844</v>
      </c>
      <c r="B1238" s="12" t="s">
        <v>668</v>
      </c>
      <c r="C1238" s="10"/>
      <c r="D1238" s="13" t="s">
        <v>1485</v>
      </c>
      <c r="E1238" s="205">
        <v>0</v>
      </c>
      <c r="F1238" s="205">
        <v>0</v>
      </c>
      <c r="G1238" s="205">
        <f t="shared" si="598"/>
        <v>0</v>
      </c>
      <c r="H1238" s="192">
        <v>0.87</v>
      </c>
      <c r="I1238" s="205">
        <f t="shared" si="599"/>
        <v>0</v>
      </c>
      <c r="J1238" s="205">
        <f t="shared" si="601"/>
        <v>0</v>
      </c>
      <c r="K1238" s="205">
        <f t="shared" si="600"/>
        <v>0</v>
      </c>
    </row>
    <row r="1239" spans="1:11" ht="28" customHeight="1">
      <c r="A1239" s="11" t="s">
        <v>1845</v>
      </c>
      <c r="B1239" s="12" t="s">
        <v>661</v>
      </c>
      <c r="C1239" s="10"/>
      <c r="D1239" s="13" t="s">
        <v>87</v>
      </c>
      <c r="E1239" s="205">
        <v>0</v>
      </c>
      <c r="F1239" s="205">
        <v>0</v>
      </c>
      <c r="G1239" s="205">
        <f t="shared" si="598"/>
        <v>0</v>
      </c>
      <c r="H1239" s="192">
        <v>1248.29</v>
      </c>
      <c r="I1239" s="205">
        <f t="shared" si="599"/>
        <v>0</v>
      </c>
      <c r="J1239" s="205">
        <f t="shared" si="601"/>
        <v>0</v>
      </c>
      <c r="K1239" s="205">
        <f t="shared" si="600"/>
        <v>0</v>
      </c>
    </row>
    <row r="1240" spans="1:11" ht="17.5" customHeight="1">
      <c r="A1240" s="11" t="s">
        <v>1846</v>
      </c>
      <c r="B1240" s="12" t="s">
        <v>662</v>
      </c>
      <c r="C1240" s="10"/>
      <c r="D1240" s="13" t="s">
        <v>124</v>
      </c>
      <c r="E1240" s="205">
        <v>0</v>
      </c>
      <c r="F1240" s="205">
        <v>0</v>
      </c>
      <c r="G1240" s="205">
        <f t="shared" si="598"/>
        <v>0</v>
      </c>
      <c r="H1240" s="192">
        <v>2.83</v>
      </c>
      <c r="I1240" s="205">
        <f t="shared" si="599"/>
        <v>0</v>
      </c>
      <c r="J1240" s="205">
        <f t="shared" si="601"/>
        <v>0</v>
      </c>
      <c r="K1240" s="205">
        <f t="shared" si="600"/>
        <v>0</v>
      </c>
    </row>
    <row r="1241" spans="1:11">
      <c r="A1241" s="8" t="s">
        <v>1847</v>
      </c>
      <c r="B1241" s="9" t="s">
        <v>669</v>
      </c>
      <c r="C1241" s="8"/>
      <c r="D1241" s="8"/>
      <c r="E1241" s="211"/>
      <c r="F1241" s="211"/>
      <c r="G1241" s="211"/>
      <c r="H1241" s="191"/>
      <c r="I1241" s="204">
        <f>SUM(I1242:I1247)</f>
        <v>0</v>
      </c>
      <c r="J1241" s="204">
        <f>SUM(J1242:J1247)</f>
        <v>0</v>
      </c>
      <c r="K1241" s="204">
        <f>SUM(K1242:K1247)</f>
        <v>0</v>
      </c>
    </row>
    <row r="1242" spans="1:11">
      <c r="A1242" s="11" t="s">
        <v>1848</v>
      </c>
      <c r="B1242" s="12" t="s">
        <v>658</v>
      </c>
      <c r="C1242" s="10"/>
      <c r="D1242" s="14" t="s">
        <v>124</v>
      </c>
      <c r="E1242" s="205">
        <v>0</v>
      </c>
      <c r="F1242" s="205">
        <v>0</v>
      </c>
      <c r="G1242" s="205">
        <f t="shared" ref="G1242:G1247" si="602">F1242-E1242</f>
        <v>0</v>
      </c>
      <c r="H1242" s="192">
        <v>1.75</v>
      </c>
      <c r="I1242" s="205">
        <f t="shared" ref="I1242:I1247" si="603">H1242*E1242</f>
        <v>0</v>
      </c>
      <c r="J1242" s="205">
        <f>H1242*F1242</f>
        <v>0</v>
      </c>
      <c r="K1242" s="205">
        <f t="shared" ref="K1242:K1247" si="604">G1242*H1242</f>
        <v>0</v>
      </c>
    </row>
    <row r="1243" spans="1:11" ht="26">
      <c r="A1243" s="11" t="s">
        <v>1849</v>
      </c>
      <c r="B1243" s="12" t="s">
        <v>659</v>
      </c>
      <c r="C1243" s="10"/>
      <c r="D1243" s="14" t="s">
        <v>87</v>
      </c>
      <c r="E1243" s="205">
        <v>0</v>
      </c>
      <c r="F1243" s="212">
        <v>0</v>
      </c>
      <c r="G1243" s="205">
        <f t="shared" si="602"/>
        <v>0</v>
      </c>
      <c r="H1243" s="192">
        <v>10.32</v>
      </c>
      <c r="I1243" s="205">
        <f t="shared" si="603"/>
        <v>0</v>
      </c>
      <c r="J1243" s="205">
        <f t="shared" ref="J1243:J1247" si="605">H1243*F1243</f>
        <v>0</v>
      </c>
      <c r="K1243" s="205">
        <f t="shared" si="604"/>
        <v>0</v>
      </c>
    </row>
    <row r="1244" spans="1:11" ht="28.5" customHeight="1">
      <c r="A1244" s="11" t="s">
        <v>1850</v>
      </c>
      <c r="B1244" s="12" t="s">
        <v>660</v>
      </c>
      <c r="C1244" s="10"/>
      <c r="D1244" s="14" t="s">
        <v>1485</v>
      </c>
      <c r="E1244" s="205">
        <v>0</v>
      </c>
      <c r="F1244" s="212">
        <v>0</v>
      </c>
      <c r="G1244" s="205">
        <f t="shared" si="602"/>
        <v>0</v>
      </c>
      <c r="H1244" s="192">
        <v>2.14</v>
      </c>
      <c r="I1244" s="205">
        <f t="shared" si="603"/>
        <v>0</v>
      </c>
      <c r="J1244" s="205">
        <f t="shared" si="605"/>
        <v>0</v>
      </c>
      <c r="K1244" s="205">
        <f t="shared" si="604"/>
        <v>0</v>
      </c>
    </row>
    <row r="1245" spans="1:11" ht="32.5" customHeight="1">
      <c r="A1245" s="11" t="s">
        <v>1851</v>
      </c>
      <c r="B1245" s="18" t="s">
        <v>668</v>
      </c>
      <c r="C1245" s="10"/>
      <c r="D1245" s="189" t="s">
        <v>1485</v>
      </c>
      <c r="E1245" s="205">
        <v>0</v>
      </c>
      <c r="F1245" s="205">
        <v>0</v>
      </c>
      <c r="G1245" s="205">
        <f t="shared" si="602"/>
        <v>0</v>
      </c>
      <c r="H1245" s="193">
        <v>0.87</v>
      </c>
      <c r="I1245" s="205">
        <f t="shared" si="603"/>
        <v>0</v>
      </c>
      <c r="J1245" s="205">
        <f t="shared" si="605"/>
        <v>0</v>
      </c>
      <c r="K1245" s="205">
        <f t="shared" si="604"/>
        <v>0</v>
      </c>
    </row>
    <row r="1246" spans="1:11" ht="26.5">
      <c r="A1246" s="11" t="s">
        <v>1852</v>
      </c>
      <c r="B1246" s="18" t="s">
        <v>670</v>
      </c>
      <c r="C1246" s="10"/>
      <c r="D1246" s="14" t="s">
        <v>87</v>
      </c>
      <c r="E1246" s="205">
        <v>0</v>
      </c>
      <c r="F1246" s="212">
        <v>0</v>
      </c>
      <c r="G1246" s="205">
        <f t="shared" si="602"/>
        <v>0</v>
      </c>
      <c r="H1246" s="192">
        <v>1248.29</v>
      </c>
      <c r="I1246" s="205">
        <f t="shared" si="603"/>
        <v>0</v>
      </c>
      <c r="J1246" s="205">
        <f t="shared" si="605"/>
        <v>0</v>
      </c>
      <c r="K1246" s="205">
        <f t="shared" si="604"/>
        <v>0</v>
      </c>
    </row>
    <row r="1247" spans="1:11" ht="16.5" customHeight="1">
      <c r="A1247" s="11" t="s">
        <v>1853</v>
      </c>
      <c r="B1247" s="16" t="s">
        <v>671</v>
      </c>
      <c r="C1247" s="10" t="s">
        <v>87</v>
      </c>
      <c r="D1247" s="14" t="s">
        <v>124</v>
      </c>
      <c r="E1247" s="205">
        <v>0</v>
      </c>
      <c r="F1247" s="212">
        <v>0</v>
      </c>
      <c r="G1247" s="205">
        <f t="shared" si="602"/>
        <v>0</v>
      </c>
      <c r="H1247" s="192">
        <v>2.83</v>
      </c>
      <c r="I1247" s="205">
        <f t="shared" si="603"/>
        <v>0</v>
      </c>
      <c r="J1247" s="205">
        <f t="shared" si="605"/>
        <v>0</v>
      </c>
      <c r="K1247" s="205">
        <f t="shared" si="604"/>
        <v>0</v>
      </c>
    </row>
    <row r="1248" spans="1:11">
      <c r="A1248" s="8" t="s">
        <v>1854</v>
      </c>
      <c r="B1248" s="9" t="s">
        <v>107</v>
      </c>
      <c r="C1248" s="8"/>
      <c r="D1248" s="8"/>
      <c r="E1248" s="211"/>
      <c r="F1248" s="211"/>
      <c r="G1248" s="211"/>
      <c r="H1248" s="191"/>
      <c r="I1248" s="204">
        <f>SUM(I1249:I1251)</f>
        <v>0</v>
      </c>
      <c r="J1248" s="204">
        <f>SUM(J1249:J1251)</f>
        <v>0</v>
      </c>
      <c r="K1248" s="204">
        <f>SUM(K1249:K1251)</f>
        <v>0</v>
      </c>
    </row>
    <row r="1249" spans="1:11" ht="39">
      <c r="A1249" s="11" t="s">
        <v>1855</v>
      </c>
      <c r="B1249" s="12" t="s">
        <v>673</v>
      </c>
      <c r="C1249" s="10" t="s">
        <v>33</v>
      </c>
      <c r="D1249" s="13" t="s">
        <v>1486</v>
      </c>
      <c r="E1249" s="205">
        <v>0</v>
      </c>
      <c r="F1249" s="205">
        <v>0</v>
      </c>
      <c r="G1249" s="205">
        <f>F1249-E1249</f>
        <v>0</v>
      </c>
      <c r="H1249" s="192">
        <v>625.09</v>
      </c>
      <c r="I1249" s="205">
        <f t="shared" ref="I1249:I1251" si="606">H1249*E1249</f>
        <v>0</v>
      </c>
      <c r="J1249" s="205">
        <f>H1249*F1249</f>
        <v>0</v>
      </c>
      <c r="K1249" s="205">
        <f t="shared" ref="K1249:K1251" si="607">G1249*H1249</f>
        <v>0</v>
      </c>
    </row>
    <row r="1250" spans="1:11" ht="17" customHeight="1">
      <c r="A1250" s="11" t="s">
        <v>1856</v>
      </c>
      <c r="B1250" s="190" t="s">
        <v>679</v>
      </c>
      <c r="C1250" s="10" t="s">
        <v>33</v>
      </c>
      <c r="D1250" s="13" t="s">
        <v>124</v>
      </c>
      <c r="E1250" s="205">
        <v>0</v>
      </c>
      <c r="F1250" s="205">
        <v>0</v>
      </c>
      <c r="G1250" s="205">
        <f>F1250-E1250</f>
        <v>0</v>
      </c>
      <c r="H1250" s="192">
        <v>16.260000000000002</v>
      </c>
      <c r="I1250" s="205">
        <f t="shared" si="606"/>
        <v>0</v>
      </c>
      <c r="J1250" s="205">
        <f t="shared" ref="J1250:J1251" si="608">H1250*F1250</f>
        <v>0</v>
      </c>
      <c r="K1250" s="205">
        <f t="shared" si="607"/>
        <v>0</v>
      </c>
    </row>
    <row r="1251" spans="1:11" ht="16.5" customHeight="1">
      <c r="A1251" s="11" t="s">
        <v>1857</v>
      </c>
      <c r="B1251" s="12" t="s">
        <v>674</v>
      </c>
      <c r="C1251" s="10" t="s">
        <v>33</v>
      </c>
      <c r="D1251" s="13" t="s">
        <v>124</v>
      </c>
      <c r="E1251" s="205">
        <v>0</v>
      </c>
      <c r="F1251" s="205">
        <v>0</v>
      </c>
      <c r="G1251" s="205">
        <f>F1251-E1251</f>
        <v>0</v>
      </c>
      <c r="H1251" s="192">
        <v>4.5599999999999996</v>
      </c>
      <c r="I1251" s="205">
        <f t="shared" si="606"/>
        <v>0</v>
      </c>
      <c r="J1251" s="205">
        <f t="shared" si="608"/>
        <v>0</v>
      </c>
      <c r="K1251" s="205">
        <f t="shared" si="607"/>
        <v>0</v>
      </c>
    </row>
    <row r="1252" spans="1:11">
      <c r="A1252" s="8" t="s">
        <v>1858</v>
      </c>
      <c r="B1252" s="9" t="s">
        <v>677</v>
      </c>
      <c r="C1252" s="8"/>
      <c r="D1252" s="8"/>
      <c r="E1252" s="211"/>
      <c r="F1252" s="211"/>
      <c r="G1252" s="211"/>
      <c r="H1252" s="191"/>
      <c r="I1252" s="204">
        <f>SUM(I1253:I1254)</f>
        <v>0</v>
      </c>
      <c r="J1252" s="204">
        <f>SUM(J1253:J1254)</f>
        <v>0</v>
      </c>
      <c r="K1252" s="204">
        <f>SUM(K1253:K1254)</f>
        <v>0</v>
      </c>
    </row>
    <row r="1253" spans="1:11">
      <c r="A1253" s="11" t="s">
        <v>1859</v>
      </c>
      <c r="B1253" s="12" t="s">
        <v>658</v>
      </c>
      <c r="C1253" s="10" t="s">
        <v>11</v>
      </c>
      <c r="D1253" s="13" t="s">
        <v>124</v>
      </c>
      <c r="E1253" s="205">
        <v>0</v>
      </c>
      <c r="F1253" s="205">
        <v>0</v>
      </c>
      <c r="G1253" s="205">
        <f>F1253-E1253</f>
        <v>0</v>
      </c>
      <c r="H1253" s="192">
        <v>1.75</v>
      </c>
      <c r="I1253" s="205">
        <f t="shared" ref="I1253:I1254" si="609">H1253*E1253</f>
        <v>0</v>
      </c>
      <c r="J1253" s="205">
        <f>H1253*F1253</f>
        <v>0</v>
      </c>
      <c r="K1253" s="205">
        <f t="shared" ref="K1253:K1254" si="610">G1253*H1253</f>
        <v>0</v>
      </c>
    </row>
    <row r="1254" spans="1:11">
      <c r="A1254" s="11" t="s">
        <v>1860</v>
      </c>
      <c r="B1254" s="12" t="s">
        <v>678</v>
      </c>
      <c r="C1254" s="10" t="s">
        <v>11</v>
      </c>
      <c r="D1254" s="13" t="s">
        <v>1486</v>
      </c>
      <c r="E1254" s="205">
        <v>0</v>
      </c>
      <c r="F1254" s="205">
        <v>0</v>
      </c>
      <c r="G1254" s="205">
        <f>F1254-E1254</f>
        <v>0</v>
      </c>
      <c r="H1254" s="192">
        <v>92.34</v>
      </c>
      <c r="I1254" s="205">
        <f t="shared" si="609"/>
        <v>0</v>
      </c>
      <c r="J1254" s="205">
        <f>H1254*F1254</f>
        <v>0</v>
      </c>
      <c r="K1254" s="205">
        <f t="shared" si="610"/>
        <v>0</v>
      </c>
    </row>
    <row r="1255" spans="1:11">
      <c r="A1255" s="183">
        <v>47</v>
      </c>
      <c r="B1255" s="188" t="s">
        <v>2030</v>
      </c>
      <c r="C1255" s="183"/>
      <c r="D1255" s="183"/>
      <c r="E1255" s="210"/>
      <c r="F1255" s="210"/>
      <c r="G1255" s="210"/>
      <c r="H1255" s="194"/>
      <c r="I1255" s="203">
        <f>SUM(I1256,I1259,I1261,I1268,I1275,I1279)</f>
        <v>0</v>
      </c>
      <c r="J1255" s="203">
        <f>SUM(J1256,J1259,J1261,J1268,J1275,J1279)</f>
        <v>0</v>
      </c>
      <c r="K1255" s="203">
        <f>SUM(K1256,K1259,K1261,K1268,K1275,K1279)</f>
        <v>0</v>
      </c>
    </row>
    <row r="1256" spans="1:11">
      <c r="A1256" s="8" t="s">
        <v>1861</v>
      </c>
      <c r="B1256" s="9" t="s">
        <v>8</v>
      </c>
      <c r="C1256" s="8"/>
      <c r="D1256" s="8"/>
      <c r="E1256" s="211"/>
      <c r="F1256" s="211"/>
      <c r="G1256" s="211"/>
      <c r="H1256" s="191"/>
      <c r="I1256" s="204">
        <f>SUM(I1257:I1258)</f>
        <v>0</v>
      </c>
      <c r="J1256" s="204">
        <f>SUM(J1257:J1258)</f>
        <v>0</v>
      </c>
      <c r="K1256" s="204">
        <f>SUM(K1257:K1258)</f>
        <v>0</v>
      </c>
    </row>
    <row r="1257" spans="1:11" ht="26">
      <c r="A1257" s="11" t="s">
        <v>1862</v>
      </c>
      <c r="B1257" s="12" t="s">
        <v>652</v>
      </c>
      <c r="C1257" s="10" t="s">
        <v>13</v>
      </c>
      <c r="D1257" s="13" t="s">
        <v>124</v>
      </c>
      <c r="E1257" s="205">
        <v>0</v>
      </c>
      <c r="F1257" s="205">
        <v>0</v>
      </c>
      <c r="G1257" s="205">
        <f>F1257-E1257</f>
        <v>0</v>
      </c>
      <c r="H1257" s="192">
        <v>0.36</v>
      </c>
      <c r="I1257" s="205">
        <f>H1257*E1257</f>
        <v>0</v>
      </c>
      <c r="J1257" s="205">
        <f>H1257*F1257</f>
        <v>0</v>
      </c>
      <c r="K1257" s="205">
        <f t="shared" ref="K1257:K1258" si="611">G1257*H1257</f>
        <v>0</v>
      </c>
    </row>
    <row r="1258" spans="1:11" ht="52">
      <c r="A1258" s="11" t="s">
        <v>1863</v>
      </c>
      <c r="B1258" s="12" t="s">
        <v>649</v>
      </c>
      <c r="C1258" s="10" t="s">
        <v>11</v>
      </c>
      <c r="D1258" s="13" t="s">
        <v>124</v>
      </c>
      <c r="E1258" s="205">
        <v>0</v>
      </c>
      <c r="F1258" s="205">
        <v>0</v>
      </c>
      <c r="G1258" s="205">
        <f>F1258-E1258</f>
        <v>0</v>
      </c>
      <c r="H1258" s="192">
        <v>61.67</v>
      </c>
      <c r="I1258" s="205">
        <f>H1258*E1258</f>
        <v>0</v>
      </c>
      <c r="J1258" s="205">
        <f>H1258*F1258</f>
        <v>0</v>
      </c>
      <c r="K1258" s="205">
        <f t="shared" si="611"/>
        <v>0</v>
      </c>
    </row>
    <row r="1259" spans="1:11">
      <c r="A1259" s="8" t="s">
        <v>1864</v>
      </c>
      <c r="B1259" s="9" t="s">
        <v>654</v>
      </c>
      <c r="C1259" s="8"/>
      <c r="D1259" s="8"/>
      <c r="E1259" s="211"/>
      <c r="F1259" s="211"/>
      <c r="G1259" s="211"/>
      <c r="H1259" s="191"/>
      <c r="I1259" s="204">
        <f>SUM(I1260:I1260)</f>
        <v>0</v>
      </c>
      <c r="J1259" s="204">
        <f>SUM(J1260:J1260)</f>
        <v>0</v>
      </c>
      <c r="K1259" s="204">
        <f>SUM(K1260:K1260)</f>
        <v>0</v>
      </c>
    </row>
    <row r="1260" spans="1:11" ht="26">
      <c r="A1260" s="11" t="s">
        <v>1865</v>
      </c>
      <c r="B1260" s="12" t="s">
        <v>655</v>
      </c>
      <c r="C1260" s="10"/>
      <c r="D1260" s="13" t="s">
        <v>124</v>
      </c>
      <c r="E1260" s="205">
        <v>0</v>
      </c>
      <c r="F1260" s="205">
        <v>0</v>
      </c>
      <c r="G1260" s="205">
        <f>F1260-E1260</f>
        <v>0</v>
      </c>
      <c r="H1260" s="192">
        <v>0.38</v>
      </c>
      <c r="I1260" s="205">
        <f t="shared" ref="I1260" si="612">H1260*E1260</f>
        <v>0</v>
      </c>
      <c r="J1260" s="205">
        <f>H1260*F1260</f>
        <v>0</v>
      </c>
      <c r="K1260" s="205">
        <f t="shared" ref="K1260" si="613">G1260*H1260</f>
        <v>0</v>
      </c>
    </row>
    <row r="1261" spans="1:11">
      <c r="A1261" s="8" t="s">
        <v>1866</v>
      </c>
      <c r="B1261" s="9" t="s">
        <v>657</v>
      </c>
      <c r="C1261" s="8"/>
      <c r="D1261" s="8"/>
      <c r="E1261" s="211"/>
      <c r="F1261" s="211"/>
      <c r="G1261" s="211"/>
      <c r="H1261" s="191"/>
      <c r="I1261" s="204">
        <f>SUM(I1262:I1267)</f>
        <v>0</v>
      </c>
      <c r="J1261" s="204">
        <f>SUM(J1262:J1267)</f>
        <v>0</v>
      </c>
      <c r="K1261" s="204">
        <f>SUM(K1262:K1267)</f>
        <v>0</v>
      </c>
    </row>
    <row r="1262" spans="1:11">
      <c r="A1262" s="11" t="s">
        <v>1867</v>
      </c>
      <c r="B1262" s="12" t="s">
        <v>658</v>
      </c>
      <c r="C1262" s="10"/>
      <c r="D1262" s="13" t="s">
        <v>124</v>
      </c>
      <c r="E1262" s="205">
        <v>0</v>
      </c>
      <c r="F1262" s="205">
        <v>0</v>
      </c>
      <c r="G1262" s="205">
        <f t="shared" ref="G1262:G1267" si="614">F1262-E1262</f>
        <v>0</v>
      </c>
      <c r="H1262" s="192">
        <v>1.75</v>
      </c>
      <c r="I1262" s="205">
        <f t="shared" ref="I1262:I1267" si="615">H1262*E1262</f>
        <v>0</v>
      </c>
      <c r="J1262" s="205">
        <f>H1262*F1262</f>
        <v>0</v>
      </c>
      <c r="K1262" s="205">
        <f t="shared" ref="K1262:K1267" si="616">G1262*H1262</f>
        <v>0</v>
      </c>
    </row>
    <row r="1263" spans="1:11" ht="26">
      <c r="A1263" s="11" t="s">
        <v>1868</v>
      </c>
      <c r="B1263" s="12" t="s">
        <v>659</v>
      </c>
      <c r="C1263" s="10"/>
      <c r="D1263" s="13" t="s">
        <v>87</v>
      </c>
      <c r="E1263" s="205">
        <v>0</v>
      </c>
      <c r="F1263" s="205">
        <v>0</v>
      </c>
      <c r="G1263" s="205">
        <f t="shared" si="614"/>
        <v>0</v>
      </c>
      <c r="H1263" s="192">
        <v>10.32</v>
      </c>
      <c r="I1263" s="205">
        <f t="shared" si="615"/>
        <v>0</v>
      </c>
      <c r="J1263" s="205">
        <f t="shared" ref="J1263:J1267" si="617">H1263*F1263</f>
        <v>0</v>
      </c>
      <c r="K1263" s="205">
        <f t="shared" si="616"/>
        <v>0</v>
      </c>
    </row>
    <row r="1264" spans="1:11" ht="28.5" customHeight="1">
      <c r="A1264" s="11" t="s">
        <v>1869</v>
      </c>
      <c r="B1264" s="12" t="s">
        <v>660</v>
      </c>
      <c r="C1264" s="10"/>
      <c r="D1264" s="13" t="s">
        <v>1485</v>
      </c>
      <c r="E1264" s="205">
        <v>0</v>
      </c>
      <c r="F1264" s="205">
        <v>0</v>
      </c>
      <c r="G1264" s="205">
        <f t="shared" si="614"/>
        <v>0</v>
      </c>
      <c r="H1264" s="192">
        <v>2.14</v>
      </c>
      <c r="I1264" s="205">
        <f t="shared" si="615"/>
        <v>0</v>
      </c>
      <c r="J1264" s="205">
        <f t="shared" si="617"/>
        <v>0</v>
      </c>
      <c r="K1264" s="205">
        <f t="shared" si="616"/>
        <v>0</v>
      </c>
    </row>
    <row r="1265" spans="1:11" ht="29" customHeight="1">
      <c r="A1265" s="11" t="s">
        <v>1870</v>
      </c>
      <c r="B1265" s="12" t="s">
        <v>668</v>
      </c>
      <c r="C1265" s="10"/>
      <c r="D1265" s="13" t="s">
        <v>1485</v>
      </c>
      <c r="E1265" s="205">
        <v>0</v>
      </c>
      <c r="F1265" s="205">
        <v>0</v>
      </c>
      <c r="G1265" s="205">
        <f t="shared" si="614"/>
        <v>0</v>
      </c>
      <c r="H1265" s="192">
        <v>0.87</v>
      </c>
      <c r="I1265" s="205">
        <f t="shared" si="615"/>
        <v>0</v>
      </c>
      <c r="J1265" s="205">
        <f t="shared" si="617"/>
        <v>0</v>
      </c>
      <c r="K1265" s="205">
        <f t="shared" si="616"/>
        <v>0</v>
      </c>
    </row>
    <row r="1266" spans="1:11" ht="28" customHeight="1">
      <c r="A1266" s="11" t="s">
        <v>1871</v>
      </c>
      <c r="B1266" s="12" t="s">
        <v>661</v>
      </c>
      <c r="C1266" s="10"/>
      <c r="D1266" s="13" t="s">
        <v>87</v>
      </c>
      <c r="E1266" s="205">
        <v>0</v>
      </c>
      <c r="F1266" s="205">
        <v>0</v>
      </c>
      <c r="G1266" s="205">
        <f t="shared" si="614"/>
        <v>0</v>
      </c>
      <c r="H1266" s="192">
        <v>1248.29</v>
      </c>
      <c r="I1266" s="205">
        <f t="shared" si="615"/>
        <v>0</v>
      </c>
      <c r="J1266" s="205">
        <f t="shared" si="617"/>
        <v>0</v>
      </c>
      <c r="K1266" s="205">
        <f t="shared" si="616"/>
        <v>0</v>
      </c>
    </row>
    <row r="1267" spans="1:11" ht="17.5" customHeight="1">
      <c r="A1267" s="11" t="s">
        <v>1872</v>
      </c>
      <c r="B1267" s="12" t="s">
        <v>662</v>
      </c>
      <c r="C1267" s="10"/>
      <c r="D1267" s="13" t="s">
        <v>124</v>
      </c>
      <c r="E1267" s="205">
        <v>0</v>
      </c>
      <c r="F1267" s="205">
        <v>0</v>
      </c>
      <c r="G1267" s="205">
        <f t="shared" si="614"/>
        <v>0</v>
      </c>
      <c r="H1267" s="192">
        <v>2.83</v>
      </c>
      <c r="I1267" s="205">
        <f t="shared" si="615"/>
        <v>0</v>
      </c>
      <c r="J1267" s="205">
        <f t="shared" si="617"/>
        <v>0</v>
      </c>
      <c r="K1267" s="205">
        <f t="shared" si="616"/>
        <v>0</v>
      </c>
    </row>
    <row r="1268" spans="1:11">
      <c r="A1268" s="8" t="s">
        <v>1873</v>
      </c>
      <c r="B1268" s="9" t="s">
        <v>669</v>
      </c>
      <c r="C1268" s="8"/>
      <c r="D1268" s="8"/>
      <c r="E1268" s="211"/>
      <c r="F1268" s="211"/>
      <c r="G1268" s="211"/>
      <c r="H1268" s="191"/>
      <c r="I1268" s="204">
        <f>SUM(I1269:I1274)</f>
        <v>0</v>
      </c>
      <c r="J1268" s="204">
        <f>SUM(J1269:J1274)</f>
        <v>0</v>
      </c>
      <c r="K1268" s="204">
        <f>SUM(K1269:K1274)</f>
        <v>0</v>
      </c>
    </row>
    <row r="1269" spans="1:11">
      <c r="A1269" s="11" t="s">
        <v>1874</v>
      </c>
      <c r="B1269" s="12" t="s">
        <v>658</v>
      </c>
      <c r="C1269" s="10"/>
      <c r="D1269" s="14" t="s">
        <v>124</v>
      </c>
      <c r="E1269" s="205">
        <v>0</v>
      </c>
      <c r="F1269" s="205">
        <v>0</v>
      </c>
      <c r="G1269" s="205">
        <f t="shared" ref="G1269:G1274" si="618">F1269-E1269</f>
        <v>0</v>
      </c>
      <c r="H1269" s="192">
        <v>1.75</v>
      </c>
      <c r="I1269" s="205">
        <f t="shared" ref="I1269:I1274" si="619">H1269*E1269</f>
        <v>0</v>
      </c>
      <c r="J1269" s="205">
        <f>H1269*F1269</f>
        <v>0</v>
      </c>
      <c r="K1269" s="205">
        <f t="shared" ref="K1269:K1274" si="620">G1269*H1269</f>
        <v>0</v>
      </c>
    </row>
    <row r="1270" spans="1:11" ht="26">
      <c r="A1270" s="11" t="s">
        <v>1875</v>
      </c>
      <c r="B1270" s="12" t="s">
        <v>659</v>
      </c>
      <c r="C1270" s="10"/>
      <c r="D1270" s="14" t="s">
        <v>87</v>
      </c>
      <c r="E1270" s="205">
        <v>0</v>
      </c>
      <c r="F1270" s="205">
        <v>0</v>
      </c>
      <c r="G1270" s="205">
        <f t="shared" si="618"/>
        <v>0</v>
      </c>
      <c r="H1270" s="192">
        <v>10.32</v>
      </c>
      <c r="I1270" s="205">
        <f t="shared" si="619"/>
        <v>0</v>
      </c>
      <c r="J1270" s="205">
        <f t="shared" ref="J1270:J1274" si="621">H1270*F1270</f>
        <v>0</v>
      </c>
      <c r="K1270" s="205">
        <f t="shared" si="620"/>
        <v>0</v>
      </c>
    </row>
    <row r="1271" spans="1:11" ht="28.5" customHeight="1">
      <c r="A1271" s="11" t="s">
        <v>1876</v>
      </c>
      <c r="B1271" s="12" t="s">
        <v>660</v>
      </c>
      <c r="C1271" s="10"/>
      <c r="D1271" s="14" t="s">
        <v>1485</v>
      </c>
      <c r="E1271" s="205">
        <v>0</v>
      </c>
      <c r="F1271" s="205">
        <v>0</v>
      </c>
      <c r="G1271" s="205">
        <f t="shared" si="618"/>
        <v>0</v>
      </c>
      <c r="H1271" s="192">
        <v>2.14</v>
      </c>
      <c r="I1271" s="205">
        <f t="shared" si="619"/>
        <v>0</v>
      </c>
      <c r="J1271" s="205">
        <f t="shared" si="621"/>
        <v>0</v>
      </c>
      <c r="K1271" s="205">
        <f t="shared" si="620"/>
        <v>0</v>
      </c>
    </row>
    <row r="1272" spans="1:11" ht="32.5" customHeight="1">
      <c r="A1272" s="11" t="s">
        <v>1877</v>
      </c>
      <c r="B1272" s="18" t="s">
        <v>668</v>
      </c>
      <c r="C1272" s="10"/>
      <c r="D1272" s="189" t="s">
        <v>1485</v>
      </c>
      <c r="E1272" s="205">
        <v>0</v>
      </c>
      <c r="F1272" s="205">
        <v>0</v>
      </c>
      <c r="G1272" s="205">
        <f t="shared" si="618"/>
        <v>0</v>
      </c>
      <c r="H1272" s="193">
        <v>0.87</v>
      </c>
      <c r="I1272" s="205">
        <f t="shared" si="619"/>
        <v>0</v>
      </c>
      <c r="J1272" s="205">
        <f t="shared" si="621"/>
        <v>0</v>
      </c>
      <c r="K1272" s="205">
        <f t="shared" si="620"/>
        <v>0</v>
      </c>
    </row>
    <row r="1273" spans="1:11" ht="26.5">
      <c r="A1273" s="11" t="s">
        <v>1878</v>
      </c>
      <c r="B1273" s="18" t="s">
        <v>670</v>
      </c>
      <c r="C1273" s="10"/>
      <c r="D1273" s="14" t="s">
        <v>87</v>
      </c>
      <c r="E1273" s="205">
        <v>0</v>
      </c>
      <c r="F1273" s="205">
        <v>0</v>
      </c>
      <c r="G1273" s="205">
        <f t="shared" si="618"/>
        <v>0</v>
      </c>
      <c r="H1273" s="192">
        <v>1248.29</v>
      </c>
      <c r="I1273" s="205">
        <f t="shared" si="619"/>
        <v>0</v>
      </c>
      <c r="J1273" s="205">
        <f t="shared" si="621"/>
        <v>0</v>
      </c>
      <c r="K1273" s="205">
        <f t="shared" si="620"/>
        <v>0</v>
      </c>
    </row>
    <row r="1274" spans="1:11" ht="16.5" customHeight="1">
      <c r="A1274" s="11" t="s">
        <v>1879</v>
      </c>
      <c r="B1274" s="16" t="s">
        <v>671</v>
      </c>
      <c r="C1274" s="10" t="s">
        <v>87</v>
      </c>
      <c r="D1274" s="14" t="s">
        <v>124</v>
      </c>
      <c r="E1274" s="205">
        <v>0</v>
      </c>
      <c r="F1274" s="205">
        <v>0</v>
      </c>
      <c r="G1274" s="205">
        <f t="shared" si="618"/>
        <v>0</v>
      </c>
      <c r="H1274" s="192">
        <v>2.83</v>
      </c>
      <c r="I1274" s="205">
        <f t="shared" si="619"/>
        <v>0</v>
      </c>
      <c r="J1274" s="205">
        <f t="shared" si="621"/>
        <v>0</v>
      </c>
      <c r="K1274" s="205">
        <f t="shared" si="620"/>
        <v>0</v>
      </c>
    </row>
    <row r="1275" spans="1:11">
      <c r="A1275" s="8" t="s">
        <v>1880</v>
      </c>
      <c r="B1275" s="9" t="s">
        <v>107</v>
      </c>
      <c r="C1275" s="8"/>
      <c r="D1275" s="8"/>
      <c r="E1275" s="211"/>
      <c r="F1275" s="211"/>
      <c r="G1275" s="211"/>
      <c r="H1275" s="191"/>
      <c r="I1275" s="204">
        <f>SUM(I1276:I1278)</f>
        <v>0</v>
      </c>
      <c r="J1275" s="204">
        <f>SUM(J1276:J1278)</f>
        <v>0</v>
      </c>
      <c r="K1275" s="204">
        <f>SUM(K1276:K1278)</f>
        <v>0</v>
      </c>
    </row>
    <row r="1276" spans="1:11" ht="39">
      <c r="A1276" s="11" t="s">
        <v>1881</v>
      </c>
      <c r="B1276" s="12" t="s">
        <v>673</v>
      </c>
      <c r="C1276" s="10" t="s">
        <v>33</v>
      </c>
      <c r="D1276" s="13" t="s">
        <v>1486</v>
      </c>
      <c r="E1276" s="205">
        <v>0</v>
      </c>
      <c r="F1276" s="205">
        <v>0</v>
      </c>
      <c r="G1276" s="205">
        <f>F1276-E1276</f>
        <v>0</v>
      </c>
      <c r="H1276" s="192">
        <v>625.09</v>
      </c>
      <c r="I1276" s="205">
        <f t="shared" ref="I1276:I1278" si="622">H1276*E1276</f>
        <v>0</v>
      </c>
      <c r="J1276" s="205">
        <f>H1276*F1276</f>
        <v>0</v>
      </c>
      <c r="K1276" s="205">
        <f t="shared" ref="K1276:K1278" si="623">G1276*H1276</f>
        <v>0</v>
      </c>
    </row>
    <row r="1277" spans="1:11" ht="17" customHeight="1">
      <c r="A1277" s="11" t="s">
        <v>1882</v>
      </c>
      <c r="B1277" s="190" t="s">
        <v>679</v>
      </c>
      <c r="C1277" s="10" t="s">
        <v>33</v>
      </c>
      <c r="D1277" s="13" t="s">
        <v>124</v>
      </c>
      <c r="E1277" s="205">
        <v>0</v>
      </c>
      <c r="F1277" s="205">
        <v>0</v>
      </c>
      <c r="G1277" s="205">
        <f>F1277-E1277</f>
        <v>0</v>
      </c>
      <c r="H1277" s="192">
        <v>16.260000000000002</v>
      </c>
      <c r="I1277" s="205">
        <f t="shared" si="622"/>
        <v>0</v>
      </c>
      <c r="J1277" s="205">
        <f t="shared" ref="J1277:J1278" si="624">H1277*F1277</f>
        <v>0</v>
      </c>
      <c r="K1277" s="205">
        <f t="shared" si="623"/>
        <v>0</v>
      </c>
    </row>
    <row r="1278" spans="1:11" ht="16.5" customHeight="1">
      <c r="A1278" s="11" t="s">
        <v>1883</v>
      </c>
      <c r="B1278" s="12" t="s">
        <v>674</v>
      </c>
      <c r="C1278" s="10" t="s">
        <v>33</v>
      </c>
      <c r="D1278" s="13" t="s">
        <v>124</v>
      </c>
      <c r="E1278" s="205">
        <v>0</v>
      </c>
      <c r="F1278" s="205">
        <v>0</v>
      </c>
      <c r="G1278" s="205">
        <f>F1278-E1278</f>
        <v>0</v>
      </c>
      <c r="H1278" s="192">
        <v>4.5599999999999996</v>
      </c>
      <c r="I1278" s="205">
        <f t="shared" si="622"/>
        <v>0</v>
      </c>
      <c r="J1278" s="205">
        <f t="shared" si="624"/>
        <v>0</v>
      </c>
      <c r="K1278" s="205">
        <f t="shared" si="623"/>
        <v>0</v>
      </c>
    </row>
    <row r="1279" spans="1:11">
      <c r="A1279" s="8" t="s">
        <v>1884</v>
      </c>
      <c r="B1279" s="9" t="s">
        <v>677</v>
      </c>
      <c r="C1279" s="8"/>
      <c r="D1279" s="8"/>
      <c r="E1279" s="211"/>
      <c r="F1279" s="211"/>
      <c r="G1279" s="211"/>
      <c r="H1279" s="191"/>
      <c r="I1279" s="204">
        <f>SUM(I1280:I1281)</f>
        <v>0</v>
      </c>
      <c r="J1279" s="204">
        <f>SUM(J1280:J1281)</f>
        <v>0</v>
      </c>
      <c r="K1279" s="204">
        <f>SUM(K1280:K1281)</f>
        <v>0</v>
      </c>
    </row>
    <row r="1280" spans="1:11">
      <c r="A1280" s="11" t="s">
        <v>1885</v>
      </c>
      <c r="B1280" s="12" t="s">
        <v>658</v>
      </c>
      <c r="C1280" s="10" t="s">
        <v>11</v>
      </c>
      <c r="D1280" s="13" t="s">
        <v>124</v>
      </c>
      <c r="E1280" s="205">
        <v>0</v>
      </c>
      <c r="F1280" s="205">
        <v>0</v>
      </c>
      <c r="G1280" s="205">
        <f>F1280-E1280</f>
        <v>0</v>
      </c>
      <c r="H1280" s="192">
        <v>1.75</v>
      </c>
      <c r="I1280" s="205">
        <f t="shared" ref="I1280:I1281" si="625">H1280*E1280</f>
        <v>0</v>
      </c>
      <c r="J1280" s="205">
        <f>H1280*F1280</f>
        <v>0</v>
      </c>
      <c r="K1280" s="205">
        <f t="shared" ref="K1280:K1281" si="626">G1280*H1280</f>
        <v>0</v>
      </c>
    </row>
    <row r="1281" spans="1:11">
      <c r="A1281" s="11" t="s">
        <v>1886</v>
      </c>
      <c r="B1281" s="12" t="s">
        <v>678</v>
      </c>
      <c r="C1281" s="10" t="s">
        <v>11</v>
      </c>
      <c r="D1281" s="13" t="s">
        <v>1486</v>
      </c>
      <c r="E1281" s="205">
        <v>0</v>
      </c>
      <c r="F1281" s="205">
        <v>0</v>
      </c>
      <c r="G1281" s="205">
        <f>F1281-E1281</f>
        <v>0</v>
      </c>
      <c r="H1281" s="192">
        <v>92.34</v>
      </c>
      <c r="I1281" s="205">
        <f t="shared" si="625"/>
        <v>0</v>
      </c>
      <c r="J1281" s="205">
        <f>H1281*F1281</f>
        <v>0</v>
      </c>
      <c r="K1281" s="205">
        <f t="shared" si="626"/>
        <v>0</v>
      </c>
    </row>
    <row r="1282" spans="1:11">
      <c r="A1282" s="183">
        <v>48</v>
      </c>
      <c r="B1282" s="188" t="s">
        <v>2031</v>
      </c>
      <c r="C1282" s="183"/>
      <c r="D1282" s="183"/>
      <c r="E1282" s="210"/>
      <c r="F1282" s="210"/>
      <c r="G1282" s="210"/>
      <c r="H1282" s="194"/>
      <c r="I1282" s="203">
        <f>SUM(I1283,I1286,I1288,I1295,I1302,I1306)</f>
        <v>0</v>
      </c>
      <c r="J1282" s="203">
        <f>SUM(J1283,J1286,J1288,J1295,J1302,J1306)</f>
        <v>0</v>
      </c>
      <c r="K1282" s="203">
        <f>SUM(K1283,K1286,K1288,K1295,K1302,K1306)</f>
        <v>0</v>
      </c>
    </row>
    <row r="1283" spans="1:11">
      <c r="A1283" s="8" t="s">
        <v>1887</v>
      </c>
      <c r="B1283" s="9" t="s">
        <v>8</v>
      </c>
      <c r="C1283" s="8"/>
      <c r="D1283" s="8"/>
      <c r="E1283" s="211"/>
      <c r="F1283" s="211"/>
      <c r="G1283" s="211"/>
      <c r="H1283" s="191"/>
      <c r="I1283" s="204">
        <f>SUM(I1284:I1285)</f>
        <v>0</v>
      </c>
      <c r="J1283" s="204">
        <f>SUM(J1284:J1285)</f>
        <v>0</v>
      </c>
      <c r="K1283" s="204">
        <f>SUM(K1284:K1285)</f>
        <v>0</v>
      </c>
    </row>
    <row r="1284" spans="1:11" ht="26">
      <c r="A1284" s="11" t="s">
        <v>1888</v>
      </c>
      <c r="B1284" s="12" t="s">
        <v>652</v>
      </c>
      <c r="C1284" s="10" t="s">
        <v>13</v>
      </c>
      <c r="D1284" s="13" t="s">
        <v>124</v>
      </c>
      <c r="E1284" s="205">
        <v>0</v>
      </c>
      <c r="F1284" s="205">
        <v>0</v>
      </c>
      <c r="G1284" s="205">
        <f>F1284-E1284</f>
        <v>0</v>
      </c>
      <c r="H1284" s="192">
        <v>0.36</v>
      </c>
      <c r="I1284" s="205">
        <f>H1284*E1284</f>
        <v>0</v>
      </c>
      <c r="J1284" s="205">
        <f>H1284*F1284</f>
        <v>0</v>
      </c>
      <c r="K1284" s="205">
        <f t="shared" ref="K1284:K1285" si="627">G1284*H1284</f>
        <v>0</v>
      </c>
    </row>
    <row r="1285" spans="1:11" ht="52">
      <c r="A1285" s="11" t="s">
        <v>1889</v>
      </c>
      <c r="B1285" s="12" t="s">
        <v>649</v>
      </c>
      <c r="C1285" s="10" t="s">
        <v>11</v>
      </c>
      <c r="D1285" s="13" t="s">
        <v>124</v>
      </c>
      <c r="E1285" s="205">
        <v>0</v>
      </c>
      <c r="F1285" s="205">
        <v>0</v>
      </c>
      <c r="G1285" s="205">
        <f>F1285-E1285</f>
        <v>0</v>
      </c>
      <c r="H1285" s="192">
        <v>61.67</v>
      </c>
      <c r="I1285" s="205">
        <f>H1285*E1285</f>
        <v>0</v>
      </c>
      <c r="J1285" s="205">
        <f>H1285*F1285</f>
        <v>0</v>
      </c>
      <c r="K1285" s="205">
        <f t="shared" si="627"/>
        <v>0</v>
      </c>
    </row>
    <row r="1286" spans="1:11">
      <c r="A1286" s="8" t="s">
        <v>1890</v>
      </c>
      <c r="B1286" s="9" t="s">
        <v>654</v>
      </c>
      <c r="C1286" s="8"/>
      <c r="D1286" s="8"/>
      <c r="E1286" s="211"/>
      <c r="F1286" s="211"/>
      <c r="G1286" s="211"/>
      <c r="H1286" s="191"/>
      <c r="I1286" s="204">
        <f>SUM(I1287:I1287)</f>
        <v>0</v>
      </c>
      <c r="J1286" s="204">
        <f>SUM(J1287:J1287)</f>
        <v>0</v>
      </c>
      <c r="K1286" s="204">
        <f>SUM(K1287:K1287)</f>
        <v>0</v>
      </c>
    </row>
    <row r="1287" spans="1:11" ht="26">
      <c r="A1287" s="11" t="s">
        <v>1891</v>
      </c>
      <c r="B1287" s="12" t="s">
        <v>655</v>
      </c>
      <c r="C1287" s="10"/>
      <c r="D1287" s="13" t="s">
        <v>124</v>
      </c>
      <c r="E1287" s="205">
        <v>0</v>
      </c>
      <c r="F1287" s="205">
        <v>0</v>
      </c>
      <c r="G1287" s="205">
        <f>F1287-E1287</f>
        <v>0</v>
      </c>
      <c r="H1287" s="192">
        <v>0.38</v>
      </c>
      <c r="I1287" s="205">
        <f t="shared" ref="I1287" si="628">H1287*E1287</f>
        <v>0</v>
      </c>
      <c r="J1287" s="205">
        <f>H1287*F1287</f>
        <v>0</v>
      </c>
      <c r="K1287" s="205">
        <f t="shared" ref="K1287" si="629">G1287*H1287</f>
        <v>0</v>
      </c>
    </row>
    <row r="1288" spans="1:11">
      <c r="A1288" s="8" t="s">
        <v>1892</v>
      </c>
      <c r="B1288" s="9" t="s">
        <v>657</v>
      </c>
      <c r="C1288" s="8"/>
      <c r="D1288" s="8"/>
      <c r="E1288" s="211"/>
      <c r="F1288" s="211"/>
      <c r="G1288" s="211"/>
      <c r="H1288" s="191"/>
      <c r="I1288" s="204">
        <f>SUM(I1289:I1294)</f>
        <v>0</v>
      </c>
      <c r="J1288" s="204">
        <f>SUM(J1289:J1294)</f>
        <v>0</v>
      </c>
      <c r="K1288" s="204">
        <f>SUM(K1289:K1294)</f>
        <v>0</v>
      </c>
    </row>
    <row r="1289" spans="1:11">
      <c r="A1289" s="11" t="s">
        <v>1893</v>
      </c>
      <c r="B1289" s="12" t="s">
        <v>658</v>
      </c>
      <c r="C1289" s="10"/>
      <c r="D1289" s="13" t="s">
        <v>124</v>
      </c>
      <c r="E1289" s="205">
        <v>0</v>
      </c>
      <c r="F1289" s="205">
        <v>0</v>
      </c>
      <c r="G1289" s="205">
        <f t="shared" ref="G1289:G1294" si="630">F1289-E1289</f>
        <v>0</v>
      </c>
      <c r="H1289" s="192">
        <v>1.75</v>
      </c>
      <c r="I1289" s="205">
        <f t="shared" ref="I1289:I1294" si="631">H1289*E1289</f>
        <v>0</v>
      </c>
      <c r="J1289" s="205">
        <f>H1289*F1289</f>
        <v>0</v>
      </c>
      <c r="K1289" s="205">
        <f t="shared" ref="K1289:K1294" si="632">G1289*H1289</f>
        <v>0</v>
      </c>
    </row>
    <row r="1290" spans="1:11" ht="26">
      <c r="A1290" s="11" t="s">
        <v>1894</v>
      </c>
      <c r="B1290" s="12" t="s">
        <v>659</v>
      </c>
      <c r="C1290" s="10"/>
      <c r="D1290" s="13" t="s">
        <v>87</v>
      </c>
      <c r="E1290" s="205">
        <v>0</v>
      </c>
      <c r="F1290" s="205">
        <v>0</v>
      </c>
      <c r="G1290" s="205">
        <f t="shared" si="630"/>
        <v>0</v>
      </c>
      <c r="H1290" s="192">
        <v>10.32</v>
      </c>
      <c r="I1290" s="205">
        <f t="shared" si="631"/>
        <v>0</v>
      </c>
      <c r="J1290" s="205">
        <f t="shared" ref="J1290:J1294" si="633">H1290*F1290</f>
        <v>0</v>
      </c>
      <c r="K1290" s="205">
        <f t="shared" si="632"/>
        <v>0</v>
      </c>
    </row>
    <row r="1291" spans="1:11" ht="28.5" customHeight="1">
      <c r="A1291" s="11" t="s">
        <v>1895</v>
      </c>
      <c r="B1291" s="12" t="s">
        <v>660</v>
      </c>
      <c r="C1291" s="10"/>
      <c r="D1291" s="13" t="s">
        <v>1485</v>
      </c>
      <c r="E1291" s="205">
        <v>0</v>
      </c>
      <c r="F1291" s="205">
        <v>0</v>
      </c>
      <c r="G1291" s="205">
        <f t="shared" si="630"/>
        <v>0</v>
      </c>
      <c r="H1291" s="192">
        <v>2.14</v>
      </c>
      <c r="I1291" s="205">
        <f t="shared" si="631"/>
        <v>0</v>
      </c>
      <c r="J1291" s="205">
        <f t="shared" si="633"/>
        <v>0</v>
      </c>
      <c r="K1291" s="205">
        <f t="shared" si="632"/>
        <v>0</v>
      </c>
    </row>
    <row r="1292" spans="1:11" ht="29" customHeight="1">
      <c r="A1292" s="11" t="s">
        <v>1896</v>
      </c>
      <c r="B1292" s="12" t="s">
        <v>668</v>
      </c>
      <c r="C1292" s="10"/>
      <c r="D1292" s="13" t="s">
        <v>1485</v>
      </c>
      <c r="E1292" s="205">
        <v>0</v>
      </c>
      <c r="F1292" s="205">
        <v>0</v>
      </c>
      <c r="G1292" s="205">
        <f t="shared" si="630"/>
        <v>0</v>
      </c>
      <c r="H1292" s="192">
        <v>0.87</v>
      </c>
      <c r="I1292" s="205">
        <f t="shared" si="631"/>
        <v>0</v>
      </c>
      <c r="J1292" s="205">
        <f t="shared" si="633"/>
        <v>0</v>
      </c>
      <c r="K1292" s="205">
        <f t="shared" si="632"/>
        <v>0</v>
      </c>
    </row>
    <row r="1293" spans="1:11" ht="28" customHeight="1">
      <c r="A1293" s="11" t="s">
        <v>1897</v>
      </c>
      <c r="B1293" s="12" t="s">
        <v>661</v>
      </c>
      <c r="C1293" s="10"/>
      <c r="D1293" s="13" t="s">
        <v>87</v>
      </c>
      <c r="E1293" s="205">
        <v>0</v>
      </c>
      <c r="F1293" s="205">
        <v>0</v>
      </c>
      <c r="G1293" s="205">
        <f t="shared" si="630"/>
        <v>0</v>
      </c>
      <c r="H1293" s="192">
        <v>1248.29</v>
      </c>
      <c r="I1293" s="205">
        <f t="shared" si="631"/>
        <v>0</v>
      </c>
      <c r="J1293" s="205">
        <f t="shared" si="633"/>
        <v>0</v>
      </c>
      <c r="K1293" s="205">
        <f t="shared" si="632"/>
        <v>0</v>
      </c>
    </row>
    <row r="1294" spans="1:11" ht="17.5" customHeight="1">
      <c r="A1294" s="11" t="s">
        <v>1898</v>
      </c>
      <c r="B1294" s="12" t="s">
        <v>662</v>
      </c>
      <c r="C1294" s="10"/>
      <c r="D1294" s="13" t="s">
        <v>124</v>
      </c>
      <c r="E1294" s="205">
        <v>0</v>
      </c>
      <c r="F1294" s="205">
        <v>0</v>
      </c>
      <c r="G1294" s="205">
        <f t="shared" si="630"/>
        <v>0</v>
      </c>
      <c r="H1294" s="192">
        <v>2.83</v>
      </c>
      <c r="I1294" s="205">
        <f t="shared" si="631"/>
        <v>0</v>
      </c>
      <c r="J1294" s="205">
        <f t="shared" si="633"/>
        <v>0</v>
      </c>
      <c r="K1294" s="205">
        <f t="shared" si="632"/>
        <v>0</v>
      </c>
    </row>
    <row r="1295" spans="1:11">
      <c r="A1295" s="8" t="s">
        <v>1899</v>
      </c>
      <c r="B1295" s="9" t="s">
        <v>669</v>
      </c>
      <c r="C1295" s="8"/>
      <c r="D1295" s="8"/>
      <c r="E1295" s="211"/>
      <c r="F1295" s="211"/>
      <c r="G1295" s="211"/>
      <c r="H1295" s="191"/>
      <c r="I1295" s="204">
        <f>SUM(I1296:I1301)</f>
        <v>0</v>
      </c>
      <c r="J1295" s="204">
        <f>SUM(J1296:J1301)</f>
        <v>0</v>
      </c>
      <c r="K1295" s="204">
        <f>SUM(K1296:K1301)</f>
        <v>0</v>
      </c>
    </row>
    <row r="1296" spans="1:11">
      <c r="A1296" s="11" t="s">
        <v>1900</v>
      </c>
      <c r="B1296" s="12" t="s">
        <v>658</v>
      </c>
      <c r="C1296" s="10"/>
      <c r="D1296" s="14" t="s">
        <v>124</v>
      </c>
      <c r="E1296" s="205">
        <v>0</v>
      </c>
      <c r="F1296" s="205">
        <v>0</v>
      </c>
      <c r="G1296" s="205">
        <f t="shared" ref="G1296:G1301" si="634">F1296-E1296</f>
        <v>0</v>
      </c>
      <c r="H1296" s="192">
        <v>1.75</v>
      </c>
      <c r="I1296" s="205">
        <f t="shared" ref="I1296:I1301" si="635">H1296*E1296</f>
        <v>0</v>
      </c>
      <c r="J1296" s="205">
        <f>H1296*F1296</f>
        <v>0</v>
      </c>
      <c r="K1296" s="205">
        <f t="shared" ref="K1296:K1301" si="636">G1296*H1296</f>
        <v>0</v>
      </c>
    </row>
    <row r="1297" spans="1:11" ht="26">
      <c r="A1297" s="11" t="s">
        <v>1901</v>
      </c>
      <c r="B1297" s="12" t="s">
        <v>659</v>
      </c>
      <c r="C1297" s="10"/>
      <c r="D1297" s="14" t="s">
        <v>87</v>
      </c>
      <c r="E1297" s="205">
        <v>0</v>
      </c>
      <c r="F1297" s="212">
        <v>0</v>
      </c>
      <c r="G1297" s="205">
        <f t="shared" si="634"/>
        <v>0</v>
      </c>
      <c r="H1297" s="192">
        <v>10.32</v>
      </c>
      <c r="I1297" s="205">
        <f t="shared" si="635"/>
        <v>0</v>
      </c>
      <c r="J1297" s="205">
        <f t="shared" ref="J1297:J1301" si="637">H1297*F1297</f>
        <v>0</v>
      </c>
      <c r="K1297" s="205">
        <f t="shared" si="636"/>
        <v>0</v>
      </c>
    </row>
    <row r="1298" spans="1:11" ht="28.5" customHeight="1">
      <c r="A1298" s="11" t="s">
        <v>1902</v>
      </c>
      <c r="B1298" s="12" t="s">
        <v>660</v>
      </c>
      <c r="C1298" s="10"/>
      <c r="D1298" s="14" t="s">
        <v>1485</v>
      </c>
      <c r="E1298" s="205">
        <v>0</v>
      </c>
      <c r="F1298" s="212">
        <v>0</v>
      </c>
      <c r="G1298" s="205">
        <f t="shared" si="634"/>
        <v>0</v>
      </c>
      <c r="H1298" s="192">
        <v>2.14</v>
      </c>
      <c r="I1298" s="205">
        <f t="shared" si="635"/>
        <v>0</v>
      </c>
      <c r="J1298" s="205">
        <f t="shared" si="637"/>
        <v>0</v>
      </c>
      <c r="K1298" s="205">
        <f t="shared" si="636"/>
        <v>0</v>
      </c>
    </row>
    <row r="1299" spans="1:11" ht="32.5" customHeight="1">
      <c r="A1299" s="11" t="s">
        <v>1903</v>
      </c>
      <c r="B1299" s="18" t="s">
        <v>668</v>
      </c>
      <c r="C1299" s="10"/>
      <c r="D1299" s="189" t="s">
        <v>1485</v>
      </c>
      <c r="E1299" s="205">
        <v>0</v>
      </c>
      <c r="F1299" s="205">
        <v>0</v>
      </c>
      <c r="G1299" s="205">
        <f t="shared" si="634"/>
        <v>0</v>
      </c>
      <c r="H1299" s="193">
        <v>0.87</v>
      </c>
      <c r="I1299" s="205">
        <f t="shared" si="635"/>
        <v>0</v>
      </c>
      <c r="J1299" s="205">
        <f t="shared" si="637"/>
        <v>0</v>
      </c>
      <c r="K1299" s="205">
        <f t="shared" si="636"/>
        <v>0</v>
      </c>
    </row>
    <row r="1300" spans="1:11" ht="26.5">
      <c r="A1300" s="11" t="s">
        <v>1904</v>
      </c>
      <c r="B1300" s="18" t="s">
        <v>670</v>
      </c>
      <c r="C1300" s="10"/>
      <c r="D1300" s="14" t="s">
        <v>87</v>
      </c>
      <c r="E1300" s="205">
        <v>0</v>
      </c>
      <c r="F1300" s="212">
        <v>0</v>
      </c>
      <c r="G1300" s="205">
        <f t="shared" si="634"/>
        <v>0</v>
      </c>
      <c r="H1300" s="192">
        <v>1248.29</v>
      </c>
      <c r="I1300" s="205">
        <f t="shared" si="635"/>
        <v>0</v>
      </c>
      <c r="J1300" s="205">
        <f t="shared" si="637"/>
        <v>0</v>
      </c>
      <c r="K1300" s="205">
        <f t="shared" si="636"/>
        <v>0</v>
      </c>
    </row>
    <row r="1301" spans="1:11" ht="16.5" customHeight="1">
      <c r="A1301" s="11" t="s">
        <v>1905</v>
      </c>
      <c r="B1301" s="16" t="s">
        <v>671</v>
      </c>
      <c r="C1301" s="10" t="s">
        <v>87</v>
      </c>
      <c r="D1301" s="14" t="s">
        <v>124</v>
      </c>
      <c r="E1301" s="205">
        <v>0</v>
      </c>
      <c r="F1301" s="212">
        <v>0</v>
      </c>
      <c r="G1301" s="205">
        <f t="shared" si="634"/>
        <v>0</v>
      </c>
      <c r="H1301" s="192">
        <v>2.83</v>
      </c>
      <c r="I1301" s="205">
        <f t="shared" si="635"/>
        <v>0</v>
      </c>
      <c r="J1301" s="205">
        <f t="shared" si="637"/>
        <v>0</v>
      </c>
      <c r="K1301" s="205">
        <f t="shared" si="636"/>
        <v>0</v>
      </c>
    </row>
    <row r="1302" spans="1:11">
      <c r="A1302" s="8" t="s">
        <v>1906</v>
      </c>
      <c r="B1302" s="9" t="s">
        <v>107</v>
      </c>
      <c r="C1302" s="8"/>
      <c r="D1302" s="8"/>
      <c r="E1302" s="211"/>
      <c r="F1302" s="211"/>
      <c r="G1302" s="211"/>
      <c r="H1302" s="191"/>
      <c r="I1302" s="204">
        <f>SUM(I1303:I1305)</f>
        <v>0</v>
      </c>
      <c r="J1302" s="204">
        <f>SUM(J1303:J1305)</f>
        <v>0</v>
      </c>
      <c r="K1302" s="204">
        <f>SUM(K1303:K1305)</f>
        <v>0</v>
      </c>
    </row>
    <row r="1303" spans="1:11" ht="39">
      <c r="A1303" s="11" t="s">
        <v>1907</v>
      </c>
      <c r="B1303" s="12" t="s">
        <v>673</v>
      </c>
      <c r="C1303" s="10" t="s">
        <v>33</v>
      </c>
      <c r="D1303" s="13" t="s">
        <v>1486</v>
      </c>
      <c r="E1303" s="205">
        <v>0</v>
      </c>
      <c r="F1303" s="205">
        <v>0</v>
      </c>
      <c r="G1303" s="205">
        <f>F1303-E1303</f>
        <v>0</v>
      </c>
      <c r="H1303" s="192">
        <v>625.09</v>
      </c>
      <c r="I1303" s="205">
        <f t="shared" ref="I1303:I1305" si="638">H1303*E1303</f>
        <v>0</v>
      </c>
      <c r="J1303" s="205">
        <f>H1303*F1303</f>
        <v>0</v>
      </c>
      <c r="K1303" s="205">
        <f t="shared" ref="K1303:K1305" si="639">G1303*H1303</f>
        <v>0</v>
      </c>
    </row>
    <row r="1304" spans="1:11" ht="17" customHeight="1">
      <c r="A1304" s="11" t="s">
        <v>1908</v>
      </c>
      <c r="B1304" s="190" t="s">
        <v>679</v>
      </c>
      <c r="C1304" s="10" t="s">
        <v>33</v>
      </c>
      <c r="D1304" s="13" t="s">
        <v>124</v>
      </c>
      <c r="E1304" s="205">
        <v>0</v>
      </c>
      <c r="F1304" s="205">
        <v>0</v>
      </c>
      <c r="G1304" s="205">
        <f>F1304-E1304</f>
        <v>0</v>
      </c>
      <c r="H1304" s="192">
        <v>16.260000000000002</v>
      </c>
      <c r="I1304" s="205">
        <f t="shared" si="638"/>
        <v>0</v>
      </c>
      <c r="J1304" s="205">
        <f t="shared" ref="J1304:J1305" si="640">H1304*F1304</f>
        <v>0</v>
      </c>
      <c r="K1304" s="205">
        <f t="shared" si="639"/>
        <v>0</v>
      </c>
    </row>
    <row r="1305" spans="1:11" ht="16.5" customHeight="1">
      <c r="A1305" s="11" t="s">
        <v>1909</v>
      </c>
      <c r="B1305" s="12" t="s">
        <v>674</v>
      </c>
      <c r="C1305" s="10" t="s">
        <v>33</v>
      </c>
      <c r="D1305" s="13" t="s">
        <v>124</v>
      </c>
      <c r="E1305" s="205">
        <v>0</v>
      </c>
      <c r="F1305" s="205">
        <v>0</v>
      </c>
      <c r="G1305" s="205">
        <f>F1305-E1305</f>
        <v>0</v>
      </c>
      <c r="H1305" s="192">
        <v>4.5599999999999996</v>
      </c>
      <c r="I1305" s="205">
        <f t="shared" si="638"/>
        <v>0</v>
      </c>
      <c r="J1305" s="205">
        <f t="shared" si="640"/>
        <v>0</v>
      </c>
      <c r="K1305" s="205">
        <f t="shared" si="639"/>
        <v>0</v>
      </c>
    </row>
    <row r="1306" spans="1:11">
      <c r="A1306" s="8" t="s">
        <v>1910</v>
      </c>
      <c r="B1306" s="9" t="s">
        <v>677</v>
      </c>
      <c r="C1306" s="8"/>
      <c r="D1306" s="8"/>
      <c r="E1306" s="211"/>
      <c r="F1306" s="211"/>
      <c r="G1306" s="211"/>
      <c r="H1306" s="191"/>
      <c r="I1306" s="204">
        <f>SUM(I1307:I1308)</f>
        <v>0</v>
      </c>
      <c r="J1306" s="204">
        <f>SUM(J1307:J1308)</f>
        <v>0</v>
      </c>
      <c r="K1306" s="204">
        <f>SUM(K1307:K1308)</f>
        <v>0</v>
      </c>
    </row>
    <row r="1307" spans="1:11">
      <c r="A1307" s="11" t="s">
        <v>1911</v>
      </c>
      <c r="B1307" s="12" t="s">
        <v>658</v>
      </c>
      <c r="C1307" s="10" t="s">
        <v>11</v>
      </c>
      <c r="D1307" s="13" t="s">
        <v>124</v>
      </c>
      <c r="E1307" s="205">
        <v>0</v>
      </c>
      <c r="F1307" s="205">
        <v>0</v>
      </c>
      <c r="G1307" s="205">
        <f>F1307-E1307</f>
        <v>0</v>
      </c>
      <c r="H1307" s="192">
        <v>1.75</v>
      </c>
      <c r="I1307" s="205">
        <f t="shared" ref="I1307:I1308" si="641">H1307*E1307</f>
        <v>0</v>
      </c>
      <c r="J1307" s="205">
        <f>H1307*F1307</f>
        <v>0</v>
      </c>
      <c r="K1307" s="205">
        <f t="shared" ref="K1307:K1308" si="642">G1307*H1307</f>
        <v>0</v>
      </c>
    </row>
    <row r="1308" spans="1:11">
      <c r="A1308" s="11" t="s">
        <v>1912</v>
      </c>
      <c r="B1308" s="12" t="s">
        <v>678</v>
      </c>
      <c r="C1308" s="10" t="s">
        <v>11</v>
      </c>
      <c r="D1308" s="13" t="s">
        <v>1486</v>
      </c>
      <c r="E1308" s="205">
        <v>0</v>
      </c>
      <c r="F1308" s="205">
        <v>0</v>
      </c>
      <c r="G1308" s="205">
        <f>F1308-E1308</f>
        <v>0</v>
      </c>
      <c r="H1308" s="192">
        <v>92.34</v>
      </c>
      <c r="I1308" s="205">
        <f t="shared" si="641"/>
        <v>0</v>
      </c>
      <c r="J1308" s="205">
        <f>H1308*F1308</f>
        <v>0</v>
      </c>
      <c r="K1308" s="205">
        <f t="shared" si="642"/>
        <v>0</v>
      </c>
    </row>
    <row r="1309" spans="1:11">
      <c r="A1309" s="183">
        <v>49</v>
      </c>
      <c r="B1309" s="188" t="s">
        <v>2032</v>
      </c>
      <c r="C1309" s="183"/>
      <c r="D1309" s="183"/>
      <c r="E1309" s="210"/>
      <c r="F1309" s="210"/>
      <c r="G1309" s="210"/>
      <c r="H1309" s="194"/>
      <c r="I1309" s="203">
        <f>SUM(I1310,I1313,I1315,I1322,I1329,I1333)</f>
        <v>0</v>
      </c>
      <c r="J1309" s="203">
        <f>SUM(J1310,J1313,J1315,J1322,J1329,J1333)</f>
        <v>0</v>
      </c>
      <c r="K1309" s="203">
        <f>SUM(K1310,K1313,K1315,K1322,K1329,K1333)</f>
        <v>0</v>
      </c>
    </row>
    <row r="1310" spans="1:11">
      <c r="A1310" s="8" t="s">
        <v>1913</v>
      </c>
      <c r="B1310" s="9" t="s">
        <v>8</v>
      </c>
      <c r="C1310" s="8"/>
      <c r="D1310" s="8"/>
      <c r="E1310" s="211"/>
      <c r="F1310" s="211"/>
      <c r="G1310" s="211"/>
      <c r="H1310" s="191"/>
      <c r="I1310" s="204">
        <f>SUM(I1311:I1312)</f>
        <v>0</v>
      </c>
      <c r="J1310" s="204">
        <f>SUM(J1311:J1312)</f>
        <v>0</v>
      </c>
      <c r="K1310" s="204">
        <f>SUM(K1311:K1312)</f>
        <v>0</v>
      </c>
    </row>
    <row r="1311" spans="1:11" ht="26">
      <c r="A1311" s="11" t="s">
        <v>1914</v>
      </c>
      <c r="B1311" s="12" t="s">
        <v>652</v>
      </c>
      <c r="C1311" s="10" t="s">
        <v>13</v>
      </c>
      <c r="D1311" s="13" t="s">
        <v>124</v>
      </c>
      <c r="E1311" s="205">
        <v>0</v>
      </c>
      <c r="F1311" s="205">
        <v>0</v>
      </c>
      <c r="G1311" s="205">
        <f>F1311-E1311</f>
        <v>0</v>
      </c>
      <c r="H1311" s="192">
        <v>0.36</v>
      </c>
      <c r="I1311" s="205">
        <f>H1311*E1311</f>
        <v>0</v>
      </c>
      <c r="J1311" s="205">
        <f>H1311*F1311</f>
        <v>0</v>
      </c>
      <c r="K1311" s="205">
        <f t="shared" ref="K1311:K1312" si="643">G1311*H1311</f>
        <v>0</v>
      </c>
    </row>
    <row r="1312" spans="1:11" ht="52">
      <c r="A1312" s="11" t="s">
        <v>1915</v>
      </c>
      <c r="B1312" s="12" t="s">
        <v>649</v>
      </c>
      <c r="C1312" s="10" t="s">
        <v>11</v>
      </c>
      <c r="D1312" s="13" t="s">
        <v>124</v>
      </c>
      <c r="E1312" s="205">
        <v>0</v>
      </c>
      <c r="F1312" s="205">
        <v>0</v>
      </c>
      <c r="G1312" s="205">
        <f>F1312-E1312</f>
        <v>0</v>
      </c>
      <c r="H1312" s="192">
        <v>61.67</v>
      </c>
      <c r="I1312" s="205">
        <f>H1312*E1312</f>
        <v>0</v>
      </c>
      <c r="J1312" s="205">
        <f>H1312*F1312</f>
        <v>0</v>
      </c>
      <c r="K1312" s="205">
        <f t="shared" si="643"/>
        <v>0</v>
      </c>
    </row>
    <row r="1313" spans="1:11">
      <c r="A1313" s="8" t="s">
        <v>1916</v>
      </c>
      <c r="B1313" s="9" t="s">
        <v>654</v>
      </c>
      <c r="C1313" s="8"/>
      <c r="D1313" s="8"/>
      <c r="E1313" s="211"/>
      <c r="F1313" s="211"/>
      <c r="G1313" s="211"/>
      <c r="H1313" s="191"/>
      <c r="I1313" s="204">
        <f>SUM(I1314:I1314)</f>
        <v>0</v>
      </c>
      <c r="J1313" s="204">
        <f>SUM(J1314:J1314)</f>
        <v>0</v>
      </c>
      <c r="K1313" s="204">
        <f>SUM(K1314:K1314)</f>
        <v>0</v>
      </c>
    </row>
    <row r="1314" spans="1:11" ht="26">
      <c r="A1314" s="11" t="s">
        <v>1917</v>
      </c>
      <c r="B1314" s="12" t="s">
        <v>655</v>
      </c>
      <c r="C1314" s="10"/>
      <c r="D1314" s="13" t="s">
        <v>124</v>
      </c>
      <c r="E1314" s="205">
        <v>0</v>
      </c>
      <c r="F1314" s="205">
        <v>0</v>
      </c>
      <c r="G1314" s="205">
        <f>F1314-E1314</f>
        <v>0</v>
      </c>
      <c r="H1314" s="192">
        <v>0.38</v>
      </c>
      <c r="I1314" s="205">
        <f t="shared" ref="I1314" si="644">H1314*E1314</f>
        <v>0</v>
      </c>
      <c r="J1314" s="205">
        <f>H1314*F1314</f>
        <v>0</v>
      </c>
      <c r="K1314" s="205">
        <f t="shared" ref="K1314" si="645">G1314*H1314</f>
        <v>0</v>
      </c>
    </row>
    <row r="1315" spans="1:11">
      <c r="A1315" s="8" t="s">
        <v>1918</v>
      </c>
      <c r="B1315" s="9" t="s">
        <v>657</v>
      </c>
      <c r="C1315" s="8"/>
      <c r="D1315" s="8"/>
      <c r="E1315" s="211"/>
      <c r="F1315" s="211"/>
      <c r="G1315" s="211"/>
      <c r="H1315" s="191"/>
      <c r="I1315" s="204">
        <f>SUM(I1316:I1321)</f>
        <v>0</v>
      </c>
      <c r="J1315" s="204">
        <f>SUM(J1316:J1321)</f>
        <v>0</v>
      </c>
      <c r="K1315" s="204">
        <f>SUM(K1316:K1321)</f>
        <v>0</v>
      </c>
    </row>
    <row r="1316" spans="1:11">
      <c r="A1316" s="11" t="s">
        <v>1919</v>
      </c>
      <c r="B1316" s="12" t="s">
        <v>658</v>
      </c>
      <c r="C1316" s="10"/>
      <c r="D1316" s="13" t="s">
        <v>124</v>
      </c>
      <c r="E1316" s="205">
        <v>0</v>
      </c>
      <c r="F1316" s="205">
        <v>0</v>
      </c>
      <c r="G1316" s="205">
        <f t="shared" ref="G1316:G1321" si="646">F1316-E1316</f>
        <v>0</v>
      </c>
      <c r="H1316" s="192">
        <v>1.75</v>
      </c>
      <c r="I1316" s="205">
        <f t="shared" ref="I1316:I1321" si="647">H1316*E1316</f>
        <v>0</v>
      </c>
      <c r="J1316" s="205">
        <f>H1316*F1316</f>
        <v>0</v>
      </c>
      <c r="K1316" s="205">
        <f t="shared" ref="K1316:K1321" si="648">G1316*H1316</f>
        <v>0</v>
      </c>
    </row>
    <row r="1317" spans="1:11" ht="26">
      <c r="A1317" s="11" t="s">
        <v>1920</v>
      </c>
      <c r="B1317" s="12" t="s">
        <v>659</v>
      </c>
      <c r="C1317" s="10"/>
      <c r="D1317" s="13" t="s">
        <v>87</v>
      </c>
      <c r="E1317" s="205">
        <v>0</v>
      </c>
      <c r="F1317" s="205">
        <v>0</v>
      </c>
      <c r="G1317" s="205">
        <f t="shared" si="646"/>
        <v>0</v>
      </c>
      <c r="H1317" s="192">
        <v>10.32</v>
      </c>
      <c r="I1317" s="205">
        <f t="shared" si="647"/>
        <v>0</v>
      </c>
      <c r="J1317" s="205">
        <f t="shared" ref="J1317:J1321" si="649">H1317*F1317</f>
        <v>0</v>
      </c>
      <c r="K1317" s="205">
        <f t="shared" si="648"/>
        <v>0</v>
      </c>
    </row>
    <row r="1318" spans="1:11" ht="28.5" customHeight="1">
      <c r="A1318" s="11" t="s">
        <v>1921</v>
      </c>
      <c r="B1318" s="12" t="s">
        <v>660</v>
      </c>
      <c r="C1318" s="10"/>
      <c r="D1318" s="13" t="s">
        <v>1485</v>
      </c>
      <c r="E1318" s="205">
        <v>0</v>
      </c>
      <c r="F1318" s="205">
        <v>0</v>
      </c>
      <c r="G1318" s="205">
        <f t="shared" si="646"/>
        <v>0</v>
      </c>
      <c r="H1318" s="192">
        <v>2.14</v>
      </c>
      <c r="I1318" s="205">
        <f t="shared" si="647"/>
        <v>0</v>
      </c>
      <c r="J1318" s="205">
        <f t="shared" si="649"/>
        <v>0</v>
      </c>
      <c r="K1318" s="205">
        <f t="shared" si="648"/>
        <v>0</v>
      </c>
    </row>
    <row r="1319" spans="1:11" ht="29" customHeight="1">
      <c r="A1319" s="11" t="s">
        <v>1922</v>
      </c>
      <c r="B1319" s="12" t="s">
        <v>668</v>
      </c>
      <c r="C1319" s="10"/>
      <c r="D1319" s="13" t="s">
        <v>1485</v>
      </c>
      <c r="E1319" s="205">
        <v>0</v>
      </c>
      <c r="F1319" s="205">
        <v>0</v>
      </c>
      <c r="G1319" s="205">
        <f t="shared" si="646"/>
        <v>0</v>
      </c>
      <c r="H1319" s="192">
        <v>0.87</v>
      </c>
      <c r="I1319" s="205">
        <f t="shared" si="647"/>
        <v>0</v>
      </c>
      <c r="J1319" s="205">
        <f t="shared" si="649"/>
        <v>0</v>
      </c>
      <c r="K1319" s="205">
        <f t="shared" si="648"/>
        <v>0</v>
      </c>
    </row>
    <row r="1320" spans="1:11" ht="28" customHeight="1">
      <c r="A1320" s="11" t="s">
        <v>1923</v>
      </c>
      <c r="B1320" s="12" t="s">
        <v>661</v>
      </c>
      <c r="C1320" s="10"/>
      <c r="D1320" s="13" t="s">
        <v>87</v>
      </c>
      <c r="E1320" s="205">
        <v>0</v>
      </c>
      <c r="F1320" s="205">
        <v>0</v>
      </c>
      <c r="G1320" s="205">
        <f t="shared" si="646"/>
        <v>0</v>
      </c>
      <c r="H1320" s="192">
        <v>1248.29</v>
      </c>
      <c r="I1320" s="205">
        <f t="shared" si="647"/>
        <v>0</v>
      </c>
      <c r="J1320" s="205">
        <f t="shared" si="649"/>
        <v>0</v>
      </c>
      <c r="K1320" s="205">
        <f t="shared" si="648"/>
        <v>0</v>
      </c>
    </row>
    <row r="1321" spans="1:11" ht="17.5" customHeight="1">
      <c r="A1321" s="11" t="s">
        <v>1924</v>
      </c>
      <c r="B1321" s="12" t="s">
        <v>662</v>
      </c>
      <c r="C1321" s="10"/>
      <c r="D1321" s="13" t="s">
        <v>124</v>
      </c>
      <c r="E1321" s="205">
        <v>0</v>
      </c>
      <c r="F1321" s="205">
        <v>0</v>
      </c>
      <c r="G1321" s="205">
        <f t="shared" si="646"/>
        <v>0</v>
      </c>
      <c r="H1321" s="192">
        <v>2.83</v>
      </c>
      <c r="I1321" s="205">
        <f t="shared" si="647"/>
        <v>0</v>
      </c>
      <c r="J1321" s="205">
        <f t="shared" si="649"/>
        <v>0</v>
      </c>
      <c r="K1321" s="205">
        <f t="shared" si="648"/>
        <v>0</v>
      </c>
    </row>
    <row r="1322" spans="1:11">
      <c r="A1322" s="8" t="s">
        <v>1925</v>
      </c>
      <c r="B1322" s="9" t="s">
        <v>669</v>
      </c>
      <c r="C1322" s="8"/>
      <c r="D1322" s="8"/>
      <c r="E1322" s="211"/>
      <c r="F1322" s="211"/>
      <c r="G1322" s="211"/>
      <c r="H1322" s="191"/>
      <c r="I1322" s="204">
        <f>SUM(I1323:I1328)</f>
        <v>0</v>
      </c>
      <c r="J1322" s="204">
        <f>SUM(J1323:J1328)</f>
        <v>0</v>
      </c>
      <c r="K1322" s="204">
        <f>SUM(K1323:K1328)</f>
        <v>0</v>
      </c>
    </row>
    <row r="1323" spans="1:11">
      <c r="A1323" s="11" t="s">
        <v>1926</v>
      </c>
      <c r="B1323" s="12" t="s">
        <v>658</v>
      </c>
      <c r="C1323" s="10"/>
      <c r="D1323" s="14" t="s">
        <v>124</v>
      </c>
      <c r="E1323" s="205">
        <v>0</v>
      </c>
      <c r="F1323" s="205">
        <v>0</v>
      </c>
      <c r="G1323" s="205">
        <f t="shared" ref="G1323:G1328" si="650">F1323-E1323</f>
        <v>0</v>
      </c>
      <c r="H1323" s="192">
        <v>1.75</v>
      </c>
      <c r="I1323" s="205">
        <f t="shared" ref="I1323:I1328" si="651">H1323*E1323</f>
        <v>0</v>
      </c>
      <c r="J1323" s="205">
        <f>H1323*F1323</f>
        <v>0</v>
      </c>
      <c r="K1323" s="205">
        <f t="shared" ref="K1323:K1328" si="652">G1323*H1323</f>
        <v>0</v>
      </c>
    </row>
    <row r="1324" spans="1:11" ht="26">
      <c r="A1324" s="11" t="s">
        <v>1927</v>
      </c>
      <c r="B1324" s="12" t="s">
        <v>659</v>
      </c>
      <c r="C1324" s="10"/>
      <c r="D1324" s="14" t="s">
        <v>87</v>
      </c>
      <c r="E1324" s="205">
        <v>0</v>
      </c>
      <c r="F1324" s="205">
        <v>0</v>
      </c>
      <c r="G1324" s="205">
        <f t="shared" si="650"/>
        <v>0</v>
      </c>
      <c r="H1324" s="192">
        <v>10.32</v>
      </c>
      <c r="I1324" s="205">
        <f t="shared" si="651"/>
        <v>0</v>
      </c>
      <c r="J1324" s="205">
        <f t="shared" ref="J1324:J1328" si="653">H1324*F1324</f>
        <v>0</v>
      </c>
      <c r="K1324" s="205">
        <f t="shared" si="652"/>
        <v>0</v>
      </c>
    </row>
    <row r="1325" spans="1:11" ht="28.5" customHeight="1">
      <c r="A1325" s="11" t="s">
        <v>1928</v>
      </c>
      <c r="B1325" s="12" t="s">
        <v>660</v>
      </c>
      <c r="C1325" s="10"/>
      <c r="D1325" s="14" t="s">
        <v>1485</v>
      </c>
      <c r="E1325" s="205">
        <v>0</v>
      </c>
      <c r="F1325" s="205">
        <v>0</v>
      </c>
      <c r="G1325" s="205">
        <f t="shared" si="650"/>
        <v>0</v>
      </c>
      <c r="H1325" s="192">
        <v>2.14</v>
      </c>
      <c r="I1325" s="205">
        <f t="shared" si="651"/>
        <v>0</v>
      </c>
      <c r="J1325" s="205">
        <f t="shared" si="653"/>
        <v>0</v>
      </c>
      <c r="K1325" s="205">
        <f t="shared" si="652"/>
        <v>0</v>
      </c>
    </row>
    <row r="1326" spans="1:11" ht="32.5" customHeight="1">
      <c r="A1326" s="11" t="s">
        <v>1929</v>
      </c>
      <c r="B1326" s="18" t="s">
        <v>668</v>
      </c>
      <c r="C1326" s="10"/>
      <c r="D1326" s="189" t="s">
        <v>1485</v>
      </c>
      <c r="E1326" s="205">
        <v>0</v>
      </c>
      <c r="F1326" s="205">
        <v>0</v>
      </c>
      <c r="G1326" s="205">
        <f t="shared" si="650"/>
        <v>0</v>
      </c>
      <c r="H1326" s="193">
        <v>0.87</v>
      </c>
      <c r="I1326" s="205">
        <f t="shared" si="651"/>
        <v>0</v>
      </c>
      <c r="J1326" s="205">
        <f t="shared" si="653"/>
        <v>0</v>
      </c>
      <c r="K1326" s="205">
        <f t="shared" si="652"/>
        <v>0</v>
      </c>
    </row>
    <row r="1327" spans="1:11" ht="26.5">
      <c r="A1327" s="11" t="s">
        <v>1930</v>
      </c>
      <c r="B1327" s="18" t="s">
        <v>670</v>
      </c>
      <c r="C1327" s="10"/>
      <c r="D1327" s="14" t="s">
        <v>87</v>
      </c>
      <c r="E1327" s="205">
        <v>0</v>
      </c>
      <c r="F1327" s="205">
        <v>0</v>
      </c>
      <c r="G1327" s="205">
        <f t="shared" si="650"/>
        <v>0</v>
      </c>
      <c r="H1327" s="192">
        <v>1248.29</v>
      </c>
      <c r="I1327" s="205">
        <f t="shared" si="651"/>
        <v>0</v>
      </c>
      <c r="J1327" s="205">
        <f t="shared" si="653"/>
        <v>0</v>
      </c>
      <c r="K1327" s="205">
        <f t="shared" si="652"/>
        <v>0</v>
      </c>
    </row>
    <row r="1328" spans="1:11" ht="16.5" customHeight="1">
      <c r="A1328" s="11" t="s">
        <v>1931</v>
      </c>
      <c r="B1328" s="16" t="s">
        <v>671</v>
      </c>
      <c r="C1328" s="10" t="s">
        <v>87</v>
      </c>
      <c r="D1328" s="14" t="s">
        <v>124</v>
      </c>
      <c r="E1328" s="205">
        <v>0</v>
      </c>
      <c r="F1328" s="205">
        <v>0</v>
      </c>
      <c r="G1328" s="205">
        <f t="shared" si="650"/>
        <v>0</v>
      </c>
      <c r="H1328" s="192">
        <v>2.83</v>
      </c>
      <c r="I1328" s="205">
        <f t="shared" si="651"/>
        <v>0</v>
      </c>
      <c r="J1328" s="205">
        <f t="shared" si="653"/>
        <v>0</v>
      </c>
      <c r="K1328" s="205">
        <f t="shared" si="652"/>
        <v>0</v>
      </c>
    </row>
    <row r="1329" spans="1:11">
      <c r="A1329" s="8" t="s">
        <v>1932</v>
      </c>
      <c r="B1329" s="9" t="s">
        <v>107</v>
      </c>
      <c r="C1329" s="8"/>
      <c r="D1329" s="8"/>
      <c r="E1329" s="211"/>
      <c r="F1329" s="211"/>
      <c r="G1329" s="211"/>
      <c r="H1329" s="191"/>
      <c r="I1329" s="204">
        <f>SUM(I1330:I1332)</f>
        <v>0</v>
      </c>
      <c r="J1329" s="204">
        <f>SUM(J1330:J1332)</f>
        <v>0</v>
      </c>
      <c r="K1329" s="204">
        <f>SUM(K1330:K1332)</f>
        <v>0</v>
      </c>
    </row>
    <row r="1330" spans="1:11" ht="39">
      <c r="A1330" s="11" t="s">
        <v>1933</v>
      </c>
      <c r="B1330" s="12" t="s">
        <v>673</v>
      </c>
      <c r="C1330" s="10" t="s">
        <v>33</v>
      </c>
      <c r="D1330" s="13" t="s">
        <v>1486</v>
      </c>
      <c r="E1330" s="205">
        <v>0</v>
      </c>
      <c r="F1330" s="205">
        <v>0</v>
      </c>
      <c r="G1330" s="205">
        <f>F1330-E1330</f>
        <v>0</v>
      </c>
      <c r="H1330" s="192">
        <v>625.09</v>
      </c>
      <c r="I1330" s="205">
        <f t="shared" ref="I1330:I1332" si="654">H1330*E1330</f>
        <v>0</v>
      </c>
      <c r="J1330" s="205">
        <f>H1330*F1330</f>
        <v>0</v>
      </c>
      <c r="K1330" s="205">
        <f t="shared" ref="K1330:K1332" si="655">G1330*H1330</f>
        <v>0</v>
      </c>
    </row>
    <row r="1331" spans="1:11" ht="17" customHeight="1">
      <c r="A1331" s="11" t="s">
        <v>1934</v>
      </c>
      <c r="B1331" s="190" t="s">
        <v>679</v>
      </c>
      <c r="C1331" s="10" t="s">
        <v>33</v>
      </c>
      <c r="D1331" s="13" t="s">
        <v>124</v>
      </c>
      <c r="E1331" s="205">
        <v>0</v>
      </c>
      <c r="F1331" s="205">
        <v>0</v>
      </c>
      <c r="G1331" s="205">
        <f>F1331-E1331</f>
        <v>0</v>
      </c>
      <c r="H1331" s="192">
        <v>16.260000000000002</v>
      </c>
      <c r="I1331" s="205">
        <f t="shared" si="654"/>
        <v>0</v>
      </c>
      <c r="J1331" s="205">
        <f t="shared" ref="J1331:J1332" si="656">H1331*F1331</f>
        <v>0</v>
      </c>
      <c r="K1331" s="205">
        <f t="shared" si="655"/>
        <v>0</v>
      </c>
    </row>
    <row r="1332" spans="1:11" ht="16.5" customHeight="1">
      <c r="A1332" s="11" t="s">
        <v>1935</v>
      </c>
      <c r="B1332" s="12" t="s">
        <v>674</v>
      </c>
      <c r="C1332" s="10" t="s">
        <v>33</v>
      </c>
      <c r="D1332" s="13" t="s">
        <v>124</v>
      </c>
      <c r="E1332" s="205">
        <v>0</v>
      </c>
      <c r="F1332" s="205">
        <v>0</v>
      </c>
      <c r="G1332" s="205">
        <f>F1332-E1332</f>
        <v>0</v>
      </c>
      <c r="H1332" s="192">
        <v>4.5599999999999996</v>
      </c>
      <c r="I1332" s="205">
        <f t="shared" si="654"/>
        <v>0</v>
      </c>
      <c r="J1332" s="205">
        <f t="shared" si="656"/>
        <v>0</v>
      </c>
      <c r="K1332" s="205">
        <f t="shared" si="655"/>
        <v>0</v>
      </c>
    </row>
    <row r="1333" spans="1:11">
      <c r="A1333" s="8" t="s">
        <v>1936</v>
      </c>
      <c r="B1333" s="9" t="s">
        <v>677</v>
      </c>
      <c r="C1333" s="8"/>
      <c r="D1333" s="8"/>
      <c r="E1333" s="211"/>
      <c r="F1333" s="211"/>
      <c r="G1333" s="211"/>
      <c r="H1333" s="191"/>
      <c r="I1333" s="204">
        <f>SUM(I1334:I1335)</f>
        <v>0</v>
      </c>
      <c r="J1333" s="204">
        <f>SUM(J1334:J1335)</f>
        <v>0</v>
      </c>
      <c r="K1333" s="204">
        <f>SUM(K1334:K1335)</f>
        <v>0</v>
      </c>
    </row>
    <row r="1334" spans="1:11">
      <c r="A1334" s="11" t="s">
        <v>1937</v>
      </c>
      <c r="B1334" s="12" t="s">
        <v>658</v>
      </c>
      <c r="C1334" s="10" t="s">
        <v>11</v>
      </c>
      <c r="D1334" s="13" t="s">
        <v>124</v>
      </c>
      <c r="E1334" s="205">
        <v>0</v>
      </c>
      <c r="F1334" s="205">
        <v>0</v>
      </c>
      <c r="G1334" s="205">
        <f>F1334-E1334</f>
        <v>0</v>
      </c>
      <c r="H1334" s="192">
        <v>1.75</v>
      </c>
      <c r="I1334" s="205">
        <f t="shared" ref="I1334:I1335" si="657">H1334*E1334</f>
        <v>0</v>
      </c>
      <c r="J1334" s="205">
        <f>H1334*F1334</f>
        <v>0</v>
      </c>
      <c r="K1334" s="205">
        <f t="shared" ref="K1334:K1335" si="658">G1334*H1334</f>
        <v>0</v>
      </c>
    </row>
    <row r="1335" spans="1:11">
      <c r="A1335" s="11" t="s">
        <v>1938</v>
      </c>
      <c r="B1335" s="12" t="s">
        <v>678</v>
      </c>
      <c r="C1335" s="10" t="s">
        <v>11</v>
      </c>
      <c r="D1335" s="13" t="s">
        <v>1486</v>
      </c>
      <c r="E1335" s="205">
        <v>0</v>
      </c>
      <c r="F1335" s="205">
        <v>0</v>
      </c>
      <c r="G1335" s="205">
        <f>F1335-E1335</f>
        <v>0</v>
      </c>
      <c r="H1335" s="192">
        <v>92.34</v>
      </c>
      <c r="I1335" s="205">
        <f t="shared" si="657"/>
        <v>0</v>
      </c>
      <c r="J1335" s="205">
        <f>H1335*F1335</f>
        <v>0</v>
      </c>
      <c r="K1335" s="205">
        <f t="shared" si="658"/>
        <v>0</v>
      </c>
    </row>
    <row r="1336" spans="1:11">
      <c r="A1336" s="183">
        <v>50</v>
      </c>
      <c r="B1336" s="188" t="s">
        <v>2033</v>
      </c>
      <c r="C1336" s="183"/>
      <c r="D1336" s="183"/>
      <c r="E1336" s="210"/>
      <c r="F1336" s="210"/>
      <c r="G1336" s="210"/>
      <c r="H1336" s="194"/>
      <c r="I1336" s="203">
        <f>SUM(I1337,I1340,I1342,I1349,I1356,I1360)</f>
        <v>0</v>
      </c>
      <c r="J1336" s="203">
        <f>SUM(J1337,J1340,J1342,J1349,J1356,J1360)</f>
        <v>0</v>
      </c>
      <c r="K1336" s="203">
        <f>SUM(K1337,K1340,K1342,K1349,K1356,K1360)</f>
        <v>0</v>
      </c>
    </row>
    <row r="1337" spans="1:11">
      <c r="A1337" s="8" t="s">
        <v>1939</v>
      </c>
      <c r="B1337" s="9" t="s">
        <v>8</v>
      </c>
      <c r="C1337" s="8"/>
      <c r="D1337" s="8"/>
      <c r="E1337" s="211"/>
      <c r="F1337" s="211"/>
      <c r="G1337" s="211"/>
      <c r="H1337" s="191"/>
      <c r="I1337" s="204">
        <f>SUM(I1338:I1339)</f>
        <v>0</v>
      </c>
      <c r="J1337" s="204">
        <f>SUM(J1338:J1339)</f>
        <v>0</v>
      </c>
      <c r="K1337" s="204">
        <f>SUM(K1338:K1339)</f>
        <v>0</v>
      </c>
    </row>
    <row r="1338" spans="1:11" ht="26">
      <c r="A1338" s="11" t="s">
        <v>1940</v>
      </c>
      <c r="B1338" s="12" t="s">
        <v>652</v>
      </c>
      <c r="C1338" s="10" t="s">
        <v>13</v>
      </c>
      <c r="D1338" s="13" t="s">
        <v>124</v>
      </c>
      <c r="E1338" s="205">
        <v>0</v>
      </c>
      <c r="F1338" s="205">
        <v>0</v>
      </c>
      <c r="G1338" s="205">
        <f>F1338-E1338</f>
        <v>0</v>
      </c>
      <c r="H1338" s="192">
        <v>0.36</v>
      </c>
      <c r="I1338" s="205">
        <f>H1338*E1338</f>
        <v>0</v>
      </c>
      <c r="J1338" s="205">
        <f>H1338*F1338</f>
        <v>0</v>
      </c>
      <c r="K1338" s="205">
        <f t="shared" ref="K1338:K1339" si="659">G1338*H1338</f>
        <v>0</v>
      </c>
    </row>
    <row r="1339" spans="1:11" ht="52">
      <c r="A1339" s="11" t="s">
        <v>1941</v>
      </c>
      <c r="B1339" s="12" t="s">
        <v>649</v>
      </c>
      <c r="C1339" s="10" t="s">
        <v>11</v>
      </c>
      <c r="D1339" s="13" t="s">
        <v>124</v>
      </c>
      <c r="E1339" s="205">
        <v>0</v>
      </c>
      <c r="F1339" s="205">
        <v>0</v>
      </c>
      <c r="G1339" s="205">
        <f>F1339-E1339</f>
        <v>0</v>
      </c>
      <c r="H1339" s="192">
        <v>61.67</v>
      </c>
      <c r="I1339" s="205">
        <f>H1339*E1339</f>
        <v>0</v>
      </c>
      <c r="J1339" s="205">
        <f>H1339*F1339</f>
        <v>0</v>
      </c>
      <c r="K1339" s="205">
        <f t="shared" si="659"/>
        <v>0</v>
      </c>
    </row>
    <row r="1340" spans="1:11">
      <c r="A1340" s="8" t="s">
        <v>1942</v>
      </c>
      <c r="B1340" s="9" t="s">
        <v>654</v>
      </c>
      <c r="C1340" s="8"/>
      <c r="D1340" s="8"/>
      <c r="E1340" s="211"/>
      <c r="F1340" s="211"/>
      <c r="G1340" s="211"/>
      <c r="H1340" s="191"/>
      <c r="I1340" s="204">
        <f>SUM(I1341:I1341)</f>
        <v>0</v>
      </c>
      <c r="J1340" s="204">
        <f>SUM(J1341:J1341)</f>
        <v>0</v>
      </c>
      <c r="K1340" s="204">
        <f>SUM(K1341:K1341)</f>
        <v>0</v>
      </c>
    </row>
    <row r="1341" spans="1:11" ht="26">
      <c r="A1341" s="11" t="s">
        <v>1943</v>
      </c>
      <c r="B1341" s="12" t="s">
        <v>655</v>
      </c>
      <c r="C1341" s="10"/>
      <c r="D1341" s="13" t="s">
        <v>124</v>
      </c>
      <c r="E1341" s="205">
        <v>0</v>
      </c>
      <c r="F1341" s="205">
        <v>0</v>
      </c>
      <c r="G1341" s="205">
        <f>F1341-E1341</f>
        <v>0</v>
      </c>
      <c r="H1341" s="192">
        <v>0.38</v>
      </c>
      <c r="I1341" s="205">
        <f t="shared" ref="I1341" si="660">H1341*E1341</f>
        <v>0</v>
      </c>
      <c r="J1341" s="205">
        <f>H1341*F1341</f>
        <v>0</v>
      </c>
      <c r="K1341" s="205">
        <f t="shared" ref="K1341" si="661">G1341*H1341</f>
        <v>0</v>
      </c>
    </row>
    <row r="1342" spans="1:11">
      <c r="A1342" s="8" t="s">
        <v>1944</v>
      </c>
      <c r="B1342" s="9" t="s">
        <v>657</v>
      </c>
      <c r="C1342" s="8"/>
      <c r="D1342" s="8"/>
      <c r="E1342" s="211"/>
      <c r="F1342" s="211"/>
      <c r="G1342" s="211"/>
      <c r="H1342" s="191"/>
      <c r="I1342" s="204">
        <f>SUM(I1343:I1348)</f>
        <v>0</v>
      </c>
      <c r="J1342" s="204">
        <f>SUM(J1343:J1348)</f>
        <v>0</v>
      </c>
      <c r="K1342" s="204">
        <f>SUM(K1343:K1348)</f>
        <v>0</v>
      </c>
    </row>
    <row r="1343" spans="1:11">
      <c r="A1343" s="11" t="s">
        <v>1945</v>
      </c>
      <c r="B1343" s="12" t="s">
        <v>658</v>
      </c>
      <c r="C1343" s="10"/>
      <c r="D1343" s="13" t="s">
        <v>124</v>
      </c>
      <c r="E1343" s="205">
        <v>0</v>
      </c>
      <c r="F1343" s="205">
        <v>0</v>
      </c>
      <c r="G1343" s="205">
        <f t="shared" ref="G1343:G1348" si="662">F1343-E1343</f>
        <v>0</v>
      </c>
      <c r="H1343" s="192">
        <v>1.75</v>
      </c>
      <c r="I1343" s="205">
        <f t="shared" ref="I1343:I1348" si="663">H1343*E1343</f>
        <v>0</v>
      </c>
      <c r="J1343" s="205">
        <f>H1343*F1343</f>
        <v>0</v>
      </c>
      <c r="K1343" s="205">
        <f t="shared" ref="K1343:K1348" si="664">G1343*H1343</f>
        <v>0</v>
      </c>
    </row>
    <row r="1344" spans="1:11" ht="26">
      <c r="A1344" s="11" t="s">
        <v>1946</v>
      </c>
      <c r="B1344" s="12" t="s">
        <v>659</v>
      </c>
      <c r="C1344" s="10"/>
      <c r="D1344" s="13" t="s">
        <v>87</v>
      </c>
      <c r="E1344" s="205">
        <v>0</v>
      </c>
      <c r="F1344" s="205">
        <v>0</v>
      </c>
      <c r="G1344" s="205">
        <f t="shared" si="662"/>
        <v>0</v>
      </c>
      <c r="H1344" s="192">
        <v>10.32</v>
      </c>
      <c r="I1344" s="205">
        <f t="shared" si="663"/>
        <v>0</v>
      </c>
      <c r="J1344" s="205">
        <f t="shared" ref="J1344:J1348" si="665">H1344*F1344</f>
        <v>0</v>
      </c>
      <c r="K1344" s="205">
        <f t="shared" si="664"/>
        <v>0</v>
      </c>
    </row>
    <row r="1345" spans="1:11" ht="28.5" customHeight="1">
      <c r="A1345" s="11" t="s">
        <v>1947</v>
      </c>
      <c r="B1345" s="12" t="s">
        <v>660</v>
      </c>
      <c r="C1345" s="10"/>
      <c r="D1345" s="13" t="s">
        <v>1485</v>
      </c>
      <c r="E1345" s="205">
        <v>0</v>
      </c>
      <c r="F1345" s="205">
        <v>0</v>
      </c>
      <c r="G1345" s="205">
        <f t="shared" si="662"/>
        <v>0</v>
      </c>
      <c r="H1345" s="192">
        <v>2.14</v>
      </c>
      <c r="I1345" s="205">
        <f t="shared" si="663"/>
        <v>0</v>
      </c>
      <c r="J1345" s="205">
        <f t="shared" si="665"/>
        <v>0</v>
      </c>
      <c r="K1345" s="205">
        <f t="shared" si="664"/>
        <v>0</v>
      </c>
    </row>
    <row r="1346" spans="1:11" ht="29" customHeight="1">
      <c r="A1346" s="11" t="s">
        <v>1948</v>
      </c>
      <c r="B1346" s="12" t="s">
        <v>668</v>
      </c>
      <c r="C1346" s="10"/>
      <c r="D1346" s="13" t="s">
        <v>1485</v>
      </c>
      <c r="E1346" s="205">
        <v>0</v>
      </c>
      <c r="F1346" s="205">
        <v>0</v>
      </c>
      <c r="G1346" s="205">
        <f t="shared" si="662"/>
        <v>0</v>
      </c>
      <c r="H1346" s="192">
        <v>0.87</v>
      </c>
      <c r="I1346" s="205">
        <f t="shared" si="663"/>
        <v>0</v>
      </c>
      <c r="J1346" s="205">
        <f t="shared" si="665"/>
        <v>0</v>
      </c>
      <c r="K1346" s="205">
        <f t="shared" si="664"/>
        <v>0</v>
      </c>
    </row>
    <row r="1347" spans="1:11" ht="28" customHeight="1">
      <c r="A1347" s="11" t="s">
        <v>1949</v>
      </c>
      <c r="B1347" s="12" t="s">
        <v>661</v>
      </c>
      <c r="C1347" s="10"/>
      <c r="D1347" s="13" t="s">
        <v>87</v>
      </c>
      <c r="E1347" s="205">
        <v>0</v>
      </c>
      <c r="F1347" s="205">
        <v>0</v>
      </c>
      <c r="G1347" s="205">
        <f t="shared" si="662"/>
        <v>0</v>
      </c>
      <c r="H1347" s="192">
        <v>1248.29</v>
      </c>
      <c r="I1347" s="205">
        <f t="shared" si="663"/>
        <v>0</v>
      </c>
      <c r="J1347" s="205">
        <f t="shared" si="665"/>
        <v>0</v>
      </c>
      <c r="K1347" s="205">
        <f t="shared" si="664"/>
        <v>0</v>
      </c>
    </row>
    <row r="1348" spans="1:11" ht="17.5" customHeight="1">
      <c r="A1348" s="11" t="s">
        <v>1950</v>
      </c>
      <c r="B1348" s="12" t="s">
        <v>662</v>
      </c>
      <c r="C1348" s="10"/>
      <c r="D1348" s="13" t="s">
        <v>124</v>
      </c>
      <c r="E1348" s="205">
        <v>0</v>
      </c>
      <c r="F1348" s="205">
        <v>0</v>
      </c>
      <c r="G1348" s="205">
        <f t="shared" si="662"/>
        <v>0</v>
      </c>
      <c r="H1348" s="192">
        <v>2.83</v>
      </c>
      <c r="I1348" s="205">
        <f t="shared" si="663"/>
        <v>0</v>
      </c>
      <c r="J1348" s="205">
        <f t="shared" si="665"/>
        <v>0</v>
      </c>
      <c r="K1348" s="205">
        <f t="shared" si="664"/>
        <v>0</v>
      </c>
    </row>
    <row r="1349" spans="1:11">
      <c r="A1349" s="8" t="s">
        <v>1951</v>
      </c>
      <c r="B1349" s="9" t="s">
        <v>669</v>
      </c>
      <c r="C1349" s="8"/>
      <c r="D1349" s="8"/>
      <c r="E1349" s="211"/>
      <c r="F1349" s="211"/>
      <c r="G1349" s="211"/>
      <c r="H1349" s="191"/>
      <c r="I1349" s="204">
        <f>SUM(I1350:I1355)</f>
        <v>0</v>
      </c>
      <c r="J1349" s="204">
        <f>SUM(J1350:J1355)</f>
        <v>0</v>
      </c>
      <c r="K1349" s="204">
        <f>SUM(K1350:K1355)</f>
        <v>0</v>
      </c>
    </row>
    <row r="1350" spans="1:11">
      <c r="A1350" s="11" t="s">
        <v>1952</v>
      </c>
      <c r="B1350" s="12" t="s">
        <v>658</v>
      </c>
      <c r="C1350" s="10"/>
      <c r="D1350" s="14" t="s">
        <v>124</v>
      </c>
      <c r="E1350" s="205">
        <v>0</v>
      </c>
      <c r="F1350" s="205">
        <v>0</v>
      </c>
      <c r="G1350" s="205">
        <f t="shared" ref="G1350:G1355" si="666">F1350-E1350</f>
        <v>0</v>
      </c>
      <c r="H1350" s="192">
        <v>1.75</v>
      </c>
      <c r="I1350" s="205">
        <f t="shared" ref="I1350:I1355" si="667">H1350*E1350</f>
        <v>0</v>
      </c>
      <c r="J1350" s="205">
        <f>H1350*F1350</f>
        <v>0</v>
      </c>
      <c r="K1350" s="205">
        <f t="shared" ref="K1350:K1355" si="668">G1350*H1350</f>
        <v>0</v>
      </c>
    </row>
    <row r="1351" spans="1:11" ht="26">
      <c r="A1351" s="11" t="s">
        <v>1953</v>
      </c>
      <c r="B1351" s="12" t="s">
        <v>659</v>
      </c>
      <c r="C1351" s="10"/>
      <c r="D1351" s="14" t="s">
        <v>87</v>
      </c>
      <c r="E1351" s="205">
        <v>0</v>
      </c>
      <c r="F1351" s="212">
        <v>0</v>
      </c>
      <c r="G1351" s="205">
        <f t="shared" si="666"/>
        <v>0</v>
      </c>
      <c r="H1351" s="192">
        <v>10.32</v>
      </c>
      <c r="I1351" s="205">
        <f t="shared" si="667"/>
        <v>0</v>
      </c>
      <c r="J1351" s="205">
        <f t="shared" ref="J1351:J1355" si="669">H1351*F1351</f>
        <v>0</v>
      </c>
      <c r="K1351" s="205">
        <f t="shared" si="668"/>
        <v>0</v>
      </c>
    </row>
    <row r="1352" spans="1:11" ht="28.5" customHeight="1">
      <c r="A1352" s="11" t="s">
        <v>1954</v>
      </c>
      <c r="B1352" s="12" t="s">
        <v>660</v>
      </c>
      <c r="C1352" s="10"/>
      <c r="D1352" s="14" t="s">
        <v>1485</v>
      </c>
      <c r="E1352" s="205">
        <v>0</v>
      </c>
      <c r="F1352" s="212">
        <v>0</v>
      </c>
      <c r="G1352" s="205">
        <f t="shared" si="666"/>
        <v>0</v>
      </c>
      <c r="H1352" s="192">
        <v>2.14</v>
      </c>
      <c r="I1352" s="205">
        <f t="shared" si="667"/>
        <v>0</v>
      </c>
      <c r="J1352" s="205">
        <f t="shared" si="669"/>
        <v>0</v>
      </c>
      <c r="K1352" s="205">
        <f t="shared" si="668"/>
        <v>0</v>
      </c>
    </row>
    <row r="1353" spans="1:11" ht="32.5" customHeight="1">
      <c r="A1353" s="11" t="s">
        <v>1955</v>
      </c>
      <c r="B1353" s="18" t="s">
        <v>668</v>
      </c>
      <c r="C1353" s="10"/>
      <c r="D1353" s="189" t="s">
        <v>1485</v>
      </c>
      <c r="E1353" s="205">
        <v>0</v>
      </c>
      <c r="F1353" s="205">
        <v>0</v>
      </c>
      <c r="G1353" s="205">
        <f t="shared" si="666"/>
        <v>0</v>
      </c>
      <c r="H1353" s="193">
        <v>0.87</v>
      </c>
      <c r="I1353" s="205">
        <f t="shared" si="667"/>
        <v>0</v>
      </c>
      <c r="J1353" s="205">
        <f t="shared" si="669"/>
        <v>0</v>
      </c>
      <c r="K1353" s="205">
        <f t="shared" si="668"/>
        <v>0</v>
      </c>
    </row>
    <row r="1354" spans="1:11" ht="26.5">
      <c r="A1354" s="11" t="s">
        <v>1956</v>
      </c>
      <c r="B1354" s="18" t="s">
        <v>670</v>
      </c>
      <c r="C1354" s="10"/>
      <c r="D1354" s="14" t="s">
        <v>87</v>
      </c>
      <c r="E1354" s="205">
        <v>0</v>
      </c>
      <c r="F1354" s="212">
        <v>0</v>
      </c>
      <c r="G1354" s="205">
        <f t="shared" si="666"/>
        <v>0</v>
      </c>
      <c r="H1354" s="192">
        <v>1248.29</v>
      </c>
      <c r="I1354" s="205">
        <f t="shared" si="667"/>
        <v>0</v>
      </c>
      <c r="J1354" s="205">
        <f t="shared" si="669"/>
        <v>0</v>
      </c>
      <c r="K1354" s="205">
        <f t="shared" si="668"/>
        <v>0</v>
      </c>
    </row>
    <row r="1355" spans="1:11" ht="16.5" customHeight="1">
      <c r="A1355" s="11" t="s">
        <v>1957</v>
      </c>
      <c r="B1355" s="16" t="s">
        <v>671</v>
      </c>
      <c r="C1355" s="10" t="s">
        <v>87</v>
      </c>
      <c r="D1355" s="14" t="s">
        <v>124</v>
      </c>
      <c r="E1355" s="205">
        <v>0</v>
      </c>
      <c r="F1355" s="212">
        <v>0</v>
      </c>
      <c r="G1355" s="205">
        <f t="shared" si="666"/>
        <v>0</v>
      </c>
      <c r="H1355" s="192">
        <v>2.83</v>
      </c>
      <c r="I1355" s="205">
        <f t="shared" si="667"/>
        <v>0</v>
      </c>
      <c r="J1355" s="205">
        <f t="shared" si="669"/>
        <v>0</v>
      </c>
      <c r="K1355" s="205">
        <f t="shared" si="668"/>
        <v>0</v>
      </c>
    </row>
    <row r="1356" spans="1:11">
      <c r="A1356" s="8" t="s">
        <v>1958</v>
      </c>
      <c r="B1356" s="9" t="s">
        <v>107</v>
      </c>
      <c r="C1356" s="8"/>
      <c r="D1356" s="8"/>
      <c r="E1356" s="211">
        <v>0</v>
      </c>
      <c r="F1356" s="211">
        <v>0</v>
      </c>
      <c r="G1356" s="211">
        <v>0</v>
      </c>
      <c r="H1356" s="191"/>
      <c r="I1356" s="204">
        <f>SUM(I1357:I1359)</f>
        <v>0</v>
      </c>
      <c r="J1356" s="204">
        <f>SUM(J1357:J1359)</f>
        <v>0</v>
      </c>
      <c r="K1356" s="204">
        <f>SUM(K1357:K1359)</f>
        <v>0</v>
      </c>
    </row>
    <row r="1357" spans="1:11" ht="39">
      <c r="A1357" s="11" t="s">
        <v>1959</v>
      </c>
      <c r="B1357" s="12" t="s">
        <v>673</v>
      </c>
      <c r="C1357" s="10" t="s">
        <v>33</v>
      </c>
      <c r="D1357" s="13" t="s">
        <v>1486</v>
      </c>
      <c r="E1357" s="205">
        <v>0</v>
      </c>
      <c r="F1357" s="205">
        <v>0</v>
      </c>
      <c r="G1357" s="205">
        <f>F1357-E1357</f>
        <v>0</v>
      </c>
      <c r="H1357" s="192">
        <v>625.09</v>
      </c>
      <c r="I1357" s="205">
        <f t="shared" ref="I1357:I1359" si="670">H1357*E1357</f>
        <v>0</v>
      </c>
      <c r="J1357" s="205">
        <f>H1357*F1357</f>
        <v>0</v>
      </c>
      <c r="K1357" s="205">
        <f t="shared" ref="K1357:K1359" si="671">G1357*H1357</f>
        <v>0</v>
      </c>
    </row>
    <row r="1358" spans="1:11" ht="17" customHeight="1">
      <c r="A1358" s="11" t="s">
        <v>1960</v>
      </c>
      <c r="B1358" s="190" t="s">
        <v>679</v>
      </c>
      <c r="C1358" s="10" t="s">
        <v>33</v>
      </c>
      <c r="D1358" s="13" t="s">
        <v>124</v>
      </c>
      <c r="E1358" s="205">
        <v>0</v>
      </c>
      <c r="F1358" s="205">
        <v>0</v>
      </c>
      <c r="G1358" s="205">
        <f>F1358-E1358</f>
        <v>0</v>
      </c>
      <c r="H1358" s="192">
        <v>16.260000000000002</v>
      </c>
      <c r="I1358" s="205">
        <f t="shared" si="670"/>
        <v>0</v>
      </c>
      <c r="J1358" s="205">
        <f t="shared" ref="J1358:J1359" si="672">H1358*F1358</f>
        <v>0</v>
      </c>
      <c r="K1358" s="205">
        <f t="shared" si="671"/>
        <v>0</v>
      </c>
    </row>
    <row r="1359" spans="1:11" ht="16.5" customHeight="1">
      <c r="A1359" s="11" t="s">
        <v>1961</v>
      </c>
      <c r="B1359" s="12" t="s">
        <v>674</v>
      </c>
      <c r="C1359" s="10" t="s">
        <v>33</v>
      </c>
      <c r="D1359" s="13" t="s">
        <v>124</v>
      </c>
      <c r="E1359" s="205">
        <v>0</v>
      </c>
      <c r="F1359" s="205">
        <v>0</v>
      </c>
      <c r="G1359" s="205">
        <f>F1359-E1359</f>
        <v>0</v>
      </c>
      <c r="H1359" s="192">
        <v>4.5599999999999996</v>
      </c>
      <c r="I1359" s="205">
        <f t="shared" si="670"/>
        <v>0</v>
      </c>
      <c r="J1359" s="205">
        <f t="shared" si="672"/>
        <v>0</v>
      </c>
      <c r="K1359" s="205">
        <f t="shared" si="671"/>
        <v>0</v>
      </c>
    </row>
    <row r="1360" spans="1:11">
      <c r="A1360" s="8" t="s">
        <v>1962</v>
      </c>
      <c r="B1360" s="9" t="s">
        <v>677</v>
      </c>
      <c r="C1360" s="8"/>
      <c r="D1360" s="8"/>
      <c r="E1360" s="211">
        <v>0</v>
      </c>
      <c r="F1360" s="211">
        <v>0</v>
      </c>
      <c r="G1360" s="211">
        <v>0</v>
      </c>
      <c r="H1360" s="191"/>
      <c r="I1360" s="204">
        <f>SUM(I1361:I1362)</f>
        <v>0</v>
      </c>
      <c r="J1360" s="204">
        <f>SUM(J1361:J1362)</f>
        <v>0</v>
      </c>
      <c r="K1360" s="204">
        <f>SUM(K1361:K1362)</f>
        <v>0</v>
      </c>
    </row>
    <row r="1361" spans="1:11">
      <c r="A1361" s="11" t="s">
        <v>1963</v>
      </c>
      <c r="B1361" s="12" t="s">
        <v>658</v>
      </c>
      <c r="C1361" s="10" t="s">
        <v>11</v>
      </c>
      <c r="D1361" s="13" t="s">
        <v>124</v>
      </c>
      <c r="E1361" s="205">
        <v>0</v>
      </c>
      <c r="F1361" s="205">
        <v>0</v>
      </c>
      <c r="G1361" s="205">
        <f>F1361-E1361</f>
        <v>0</v>
      </c>
      <c r="H1361" s="192">
        <v>1.75</v>
      </c>
      <c r="I1361" s="205">
        <f t="shared" ref="I1361:I1362" si="673">H1361*E1361</f>
        <v>0</v>
      </c>
      <c r="J1361" s="205">
        <f>H1361*F1361</f>
        <v>0</v>
      </c>
      <c r="K1361" s="205">
        <f t="shared" ref="K1361:K1362" si="674">G1361*H1361</f>
        <v>0</v>
      </c>
    </row>
    <row r="1362" spans="1:11">
      <c r="A1362" s="11" t="s">
        <v>1964</v>
      </c>
      <c r="B1362" s="12" t="s">
        <v>678</v>
      </c>
      <c r="C1362" s="10" t="s">
        <v>11</v>
      </c>
      <c r="D1362" s="13" t="s">
        <v>1486</v>
      </c>
      <c r="E1362" s="205">
        <v>0</v>
      </c>
      <c r="F1362" s="205">
        <v>0</v>
      </c>
      <c r="G1362" s="205">
        <f>F1362-E1362</f>
        <v>0</v>
      </c>
      <c r="H1362" s="192">
        <v>92.34</v>
      </c>
      <c r="I1362" s="205">
        <f t="shared" si="673"/>
        <v>0</v>
      </c>
      <c r="J1362" s="205">
        <f>H1362*F1362</f>
        <v>0</v>
      </c>
      <c r="K1362" s="205">
        <f t="shared" si="674"/>
        <v>0</v>
      </c>
    </row>
    <row r="1363" spans="1:11">
      <c r="A1363" s="183">
        <v>51</v>
      </c>
      <c r="B1363" s="188" t="s">
        <v>2034</v>
      </c>
      <c r="C1363" s="183"/>
      <c r="D1363" s="183"/>
      <c r="E1363" s="210"/>
      <c r="F1363" s="210"/>
      <c r="G1363" s="210"/>
      <c r="H1363" s="194"/>
      <c r="I1363" s="203">
        <f>SUM(I1364,I1367,I1369,I1376,I1383,I1387)</f>
        <v>0</v>
      </c>
      <c r="J1363" s="203">
        <f>SUM(J1364,J1367,J1369,J1376,J1383,J1387)</f>
        <v>71850.228300000002</v>
      </c>
      <c r="K1363" s="203">
        <f>SUM(K1364,K1367,K1369,K1376,K1383,K1387)</f>
        <v>71850.228300000002</v>
      </c>
    </row>
    <row r="1364" spans="1:11">
      <c r="A1364" s="8" t="s">
        <v>1965</v>
      </c>
      <c r="B1364" s="9" t="s">
        <v>8</v>
      </c>
      <c r="C1364" s="8"/>
      <c r="D1364" s="8"/>
      <c r="E1364" s="211"/>
      <c r="F1364" s="211"/>
      <c r="G1364" s="211"/>
      <c r="H1364" s="191"/>
      <c r="I1364" s="204">
        <f>SUM(I1365:I1366)</f>
        <v>0</v>
      </c>
      <c r="J1364" s="204">
        <f>SUM(J1365:J1366)</f>
        <v>11405.197</v>
      </c>
      <c r="K1364" s="204">
        <f>SUM(K1365:K1366)</f>
        <v>11405.197</v>
      </c>
    </row>
    <row r="1365" spans="1:11" ht="26">
      <c r="A1365" s="11" t="s">
        <v>1966</v>
      </c>
      <c r="B1365" s="12" t="s">
        <v>652</v>
      </c>
      <c r="C1365" s="10" t="s">
        <v>13</v>
      </c>
      <c r="D1365" s="13" t="s">
        <v>124</v>
      </c>
      <c r="E1365" s="205">
        <v>0</v>
      </c>
      <c r="F1365" s="205">
        <v>637.11</v>
      </c>
      <c r="G1365" s="205">
        <f>F1365-E1365</f>
        <v>637.11</v>
      </c>
      <c r="H1365" s="192">
        <v>0.36</v>
      </c>
      <c r="I1365" s="205">
        <f>H1365*E1365</f>
        <v>0</v>
      </c>
      <c r="J1365" s="205">
        <f>H1365*F1365</f>
        <v>229.3596</v>
      </c>
      <c r="K1365" s="205">
        <f t="shared" ref="K1365:K1366" si="675">G1365*H1365</f>
        <v>229.3596</v>
      </c>
    </row>
    <row r="1366" spans="1:11" ht="52">
      <c r="A1366" s="11" t="s">
        <v>1967</v>
      </c>
      <c r="B1366" s="12" t="s">
        <v>649</v>
      </c>
      <c r="C1366" s="10" t="s">
        <v>11</v>
      </c>
      <c r="D1366" s="13" t="s">
        <v>124</v>
      </c>
      <c r="E1366" s="205">
        <v>0</v>
      </c>
      <c r="F1366" s="205">
        <v>181.22</v>
      </c>
      <c r="G1366" s="205">
        <f>F1366-E1366</f>
        <v>181.22</v>
      </c>
      <c r="H1366" s="192">
        <v>61.67</v>
      </c>
      <c r="I1366" s="205">
        <f>H1366*E1366</f>
        <v>0</v>
      </c>
      <c r="J1366" s="205">
        <f>H1366*F1366</f>
        <v>11175.8374</v>
      </c>
      <c r="K1366" s="205">
        <f t="shared" si="675"/>
        <v>11175.8374</v>
      </c>
    </row>
    <row r="1367" spans="1:11">
      <c r="A1367" s="8" t="s">
        <v>1968</v>
      </c>
      <c r="B1367" s="9" t="s">
        <v>654</v>
      </c>
      <c r="C1367" s="8"/>
      <c r="D1367" s="8"/>
      <c r="E1367" s="211"/>
      <c r="F1367" s="211"/>
      <c r="G1367" s="211"/>
      <c r="H1367" s="191"/>
      <c r="I1367" s="204">
        <f>SUM(I1368:I1368)</f>
        <v>0</v>
      </c>
      <c r="J1367" s="204">
        <f>SUM(J1368:J1368)</f>
        <v>242.1018</v>
      </c>
      <c r="K1367" s="204">
        <f>SUM(K1368:K1368)</f>
        <v>242.1018</v>
      </c>
    </row>
    <row r="1368" spans="1:11" ht="26">
      <c r="A1368" s="11" t="s">
        <v>1969</v>
      </c>
      <c r="B1368" s="12" t="s">
        <v>655</v>
      </c>
      <c r="C1368" s="10"/>
      <c r="D1368" s="13" t="s">
        <v>124</v>
      </c>
      <c r="E1368" s="205">
        <v>0</v>
      </c>
      <c r="F1368" s="205">
        <v>637.11</v>
      </c>
      <c r="G1368" s="205">
        <f>F1368-E1368</f>
        <v>637.11</v>
      </c>
      <c r="H1368" s="192">
        <v>0.38</v>
      </c>
      <c r="I1368" s="205">
        <f t="shared" ref="I1368" si="676">H1368*E1368</f>
        <v>0</v>
      </c>
      <c r="J1368" s="205">
        <f>H1368*F1368</f>
        <v>242.1018</v>
      </c>
      <c r="K1368" s="205">
        <f t="shared" ref="K1368" si="677">G1368*H1368</f>
        <v>242.1018</v>
      </c>
    </row>
    <row r="1369" spans="1:11">
      <c r="A1369" s="8" t="s">
        <v>1970</v>
      </c>
      <c r="B1369" s="9" t="s">
        <v>657</v>
      </c>
      <c r="C1369" s="8"/>
      <c r="D1369" s="8"/>
      <c r="E1369" s="211"/>
      <c r="F1369" s="211"/>
      <c r="G1369" s="211"/>
      <c r="H1369" s="191"/>
      <c r="I1369" s="204">
        <f>SUM(I1370:I1375)</f>
        <v>0</v>
      </c>
      <c r="J1369" s="204">
        <f>SUM(J1370:J1375)</f>
        <v>29543.9935</v>
      </c>
      <c r="K1369" s="204">
        <f>SUM(K1370:K1375)</f>
        <v>29543.9935</v>
      </c>
    </row>
    <row r="1370" spans="1:11">
      <c r="A1370" s="11" t="s">
        <v>1971</v>
      </c>
      <c r="B1370" s="12" t="s">
        <v>658</v>
      </c>
      <c r="C1370" s="10"/>
      <c r="D1370" s="13" t="s">
        <v>124</v>
      </c>
      <c r="E1370" s="205">
        <v>0</v>
      </c>
      <c r="F1370" s="205">
        <v>637.11</v>
      </c>
      <c r="G1370" s="205">
        <f t="shared" ref="G1370:G1375" si="678">F1370-E1370</f>
        <v>637.11</v>
      </c>
      <c r="H1370" s="192">
        <v>1.75</v>
      </c>
      <c r="I1370" s="205">
        <f t="shared" ref="I1370:I1375" si="679">H1370*E1370</f>
        <v>0</v>
      </c>
      <c r="J1370" s="205">
        <f>H1370*F1370</f>
        <v>1114.9425000000001</v>
      </c>
      <c r="K1370" s="205">
        <f t="shared" ref="K1370:K1375" si="680">G1370*H1370</f>
        <v>1114.9425000000001</v>
      </c>
    </row>
    <row r="1371" spans="1:11" ht="26">
      <c r="A1371" s="11" t="s">
        <v>1972</v>
      </c>
      <c r="B1371" s="12" t="s">
        <v>659</v>
      </c>
      <c r="C1371" s="10"/>
      <c r="D1371" s="13" t="s">
        <v>87</v>
      </c>
      <c r="E1371" s="205">
        <v>0</v>
      </c>
      <c r="F1371" s="205">
        <v>19.11</v>
      </c>
      <c r="G1371" s="205">
        <f t="shared" si="678"/>
        <v>19.11</v>
      </c>
      <c r="H1371" s="192">
        <v>10.32</v>
      </c>
      <c r="I1371" s="205">
        <f t="shared" si="679"/>
        <v>0</v>
      </c>
      <c r="J1371" s="205">
        <f t="shared" ref="J1371:J1375" si="681">H1371*F1371</f>
        <v>197.21520000000001</v>
      </c>
      <c r="K1371" s="205">
        <f t="shared" si="680"/>
        <v>197.21520000000001</v>
      </c>
    </row>
    <row r="1372" spans="1:11" ht="28.5" customHeight="1">
      <c r="A1372" s="11" t="s">
        <v>1973</v>
      </c>
      <c r="B1372" s="12" t="s">
        <v>660</v>
      </c>
      <c r="C1372" s="10"/>
      <c r="D1372" s="13" t="s">
        <v>1485</v>
      </c>
      <c r="E1372" s="205">
        <v>0</v>
      </c>
      <c r="F1372" s="205">
        <v>573.4</v>
      </c>
      <c r="G1372" s="205">
        <f t="shared" si="678"/>
        <v>573.4</v>
      </c>
      <c r="H1372" s="192">
        <v>2.14</v>
      </c>
      <c r="I1372" s="205">
        <f t="shared" si="679"/>
        <v>0</v>
      </c>
      <c r="J1372" s="205">
        <f t="shared" si="681"/>
        <v>1227.076</v>
      </c>
      <c r="K1372" s="205">
        <f t="shared" si="680"/>
        <v>1227.076</v>
      </c>
    </row>
    <row r="1373" spans="1:11" ht="29" customHeight="1">
      <c r="A1373" s="11" t="s">
        <v>1974</v>
      </c>
      <c r="B1373" s="12" t="s">
        <v>668</v>
      </c>
      <c r="C1373" s="10"/>
      <c r="D1373" s="13" t="s">
        <v>1485</v>
      </c>
      <c r="E1373" s="205">
        <v>0</v>
      </c>
      <c r="F1373" s="205">
        <v>1548.18</v>
      </c>
      <c r="G1373" s="205">
        <f t="shared" si="678"/>
        <v>1548.18</v>
      </c>
      <c r="H1373" s="192">
        <v>0.87</v>
      </c>
      <c r="I1373" s="205">
        <f t="shared" si="679"/>
        <v>0</v>
      </c>
      <c r="J1373" s="205">
        <f t="shared" si="681"/>
        <v>1346.9166</v>
      </c>
      <c r="K1373" s="205">
        <f t="shared" si="680"/>
        <v>1346.9166</v>
      </c>
    </row>
    <row r="1374" spans="1:11" ht="28" customHeight="1">
      <c r="A1374" s="11" t="s">
        <v>1975</v>
      </c>
      <c r="B1374" s="12" t="s">
        <v>661</v>
      </c>
      <c r="C1374" s="10"/>
      <c r="D1374" s="13" t="s">
        <v>87</v>
      </c>
      <c r="E1374" s="205">
        <v>0</v>
      </c>
      <c r="F1374" s="205">
        <v>19.11</v>
      </c>
      <c r="G1374" s="205">
        <f t="shared" si="678"/>
        <v>19.11</v>
      </c>
      <c r="H1374" s="192">
        <v>1248.29</v>
      </c>
      <c r="I1374" s="205">
        <f t="shared" si="679"/>
        <v>0</v>
      </c>
      <c r="J1374" s="205">
        <f t="shared" si="681"/>
        <v>23854.821899999999</v>
      </c>
      <c r="K1374" s="205">
        <f t="shared" si="680"/>
        <v>23854.821899999999</v>
      </c>
    </row>
    <row r="1375" spans="1:11" ht="17.5" customHeight="1">
      <c r="A1375" s="11" t="s">
        <v>1976</v>
      </c>
      <c r="B1375" s="12" t="s">
        <v>662</v>
      </c>
      <c r="C1375" s="10"/>
      <c r="D1375" s="13" t="s">
        <v>124</v>
      </c>
      <c r="E1375" s="205">
        <v>0</v>
      </c>
      <c r="F1375" s="205">
        <v>637.11</v>
      </c>
      <c r="G1375" s="205">
        <f t="shared" si="678"/>
        <v>637.11</v>
      </c>
      <c r="H1375" s="192">
        <v>2.83</v>
      </c>
      <c r="I1375" s="205">
        <f t="shared" si="679"/>
        <v>0</v>
      </c>
      <c r="J1375" s="205">
        <f t="shared" si="681"/>
        <v>1803.0213000000001</v>
      </c>
      <c r="K1375" s="205">
        <f t="shared" si="680"/>
        <v>1803.0213000000001</v>
      </c>
    </row>
    <row r="1376" spans="1:11">
      <c r="A1376" s="8" t="s">
        <v>1977</v>
      </c>
      <c r="B1376" s="9" t="s">
        <v>669</v>
      </c>
      <c r="C1376" s="8"/>
      <c r="D1376" s="8"/>
      <c r="E1376" s="211"/>
      <c r="F1376" s="211"/>
      <c r="G1376" s="211"/>
      <c r="H1376" s="191"/>
      <c r="I1376" s="204">
        <f>SUM(I1377:I1382)</f>
        <v>0</v>
      </c>
      <c r="J1376" s="204">
        <f>SUM(J1377:J1382)</f>
        <v>29543.9935</v>
      </c>
      <c r="K1376" s="204">
        <f>SUM(K1377:K1382)</f>
        <v>29543.9935</v>
      </c>
    </row>
    <row r="1377" spans="1:11">
      <c r="A1377" s="11" t="s">
        <v>1978</v>
      </c>
      <c r="B1377" s="12" t="s">
        <v>658</v>
      </c>
      <c r="C1377" s="10"/>
      <c r="D1377" s="14" t="s">
        <v>124</v>
      </c>
      <c r="E1377" s="205">
        <v>0</v>
      </c>
      <c r="F1377" s="205">
        <v>637.11</v>
      </c>
      <c r="G1377" s="205">
        <f t="shared" ref="G1377:G1382" si="682">F1377-E1377</f>
        <v>637.11</v>
      </c>
      <c r="H1377" s="192">
        <v>1.75</v>
      </c>
      <c r="I1377" s="205">
        <f t="shared" ref="I1377:I1382" si="683">H1377*E1377</f>
        <v>0</v>
      </c>
      <c r="J1377" s="205">
        <f>H1377*F1377</f>
        <v>1114.9425000000001</v>
      </c>
      <c r="K1377" s="205">
        <f t="shared" ref="K1377:K1382" si="684">G1377*H1377</f>
        <v>1114.9425000000001</v>
      </c>
    </row>
    <row r="1378" spans="1:11" ht="26">
      <c r="A1378" s="11" t="s">
        <v>1979</v>
      </c>
      <c r="B1378" s="12" t="s">
        <v>659</v>
      </c>
      <c r="C1378" s="10"/>
      <c r="D1378" s="14" t="s">
        <v>87</v>
      </c>
      <c r="E1378" s="205">
        <v>0</v>
      </c>
      <c r="F1378" s="205">
        <v>19.11</v>
      </c>
      <c r="G1378" s="205">
        <f t="shared" si="682"/>
        <v>19.11</v>
      </c>
      <c r="H1378" s="192">
        <v>10.32</v>
      </c>
      <c r="I1378" s="205">
        <f t="shared" si="683"/>
        <v>0</v>
      </c>
      <c r="J1378" s="205">
        <f t="shared" ref="J1378:J1382" si="685">H1378*F1378</f>
        <v>197.21520000000001</v>
      </c>
      <c r="K1378" s="205">
        <f t="shared" si="684"/>
        <v>197.21520000000001</v>
      </c>
    </row>
    <row r="1379" spans="1:11" ht="28.5" customHeight="1">
      <c r="A1379" s="11" t="s">
        <v>1980</v>
      </c>
      <c r="B1379" s="12" t="s">
        <v>660</v>
      </c>
      <c r="C1379" s="10"/>
      <c r="D1379" s="14" t="s">
        <v>1485</v>
      </c>
      <c r="E1379" s="205">
        <v>0</v>
      </c>
      <c r="F1379" s="205">
        <v>573.4</v>
      </c>
      <c r="G1379" s="205">
        <f t="shared" si="682"/>
        <v>573.4</v>
      </c>
      <c r="H1379" s="192">
        <v>2.14</v>
      </c>
      <c r="I1379" s="205">
        <f t="shared" si="683"/>
        <v>0</v>
      </c>
      <c r="J1379" s="205">
        <f t="shared" si="685"/>
        <v>1227.076</v>
      </c>
      <c r="K1379" s="205">
        <f t="shared" si="684"/>
        <v>1227.076</v>
      </c>
    </row>
    <row r="1380" spans="1:11" ht="32.5" customHeight="1">
      <c r="A1380" s="11" t="s">
        <v>1981</v>
      </c>
      <c r="B1380" s="18" t="s">
        <v>668</v>
      </c>
      <c r="C1380" s="10"/>
      <c r="D1380" s="189" t="s">
        <v>1485</v>
      </c>
      <c r="E1380" s="205">
        <v>0</v>
      </c>
      <c r="F1380" s="205">
        <v>1548.18</v>
      </c>
      <c r="G1380" s="205">
        <f t="shared" si="682"/>
        <v>1548.18</v>
      </c>
      <c r="H1380" s="193">
        <v>0.87</v>
      </c>
      <c r="I1380" s="205">
        <f t="shared" si="683"/>
        <v>0</v>
      </c>
      <c r="J1380" s="205">
        <f t="shared" si="685"/>
        <v>1346.9166</v>
      </c>
      <c r="K1380" s="205">
        <f t="shared" si="684"/>
        <v>1346.9166</v>
      </c>
    </row>
    <row r="1381" spans="1:11" ht="26.5">
      <c r="A1381" s="11" t="s">
        <v>1982</v>
      </c>
      <c r="B1381" s="18" t="s">
        <v>670</v>
      </c>
      <c r="C1381" s="10"/>
      <c r="D1381" s="14" t="s">
        <v>87</v>
      </c>
      <c r="E1381" s="205">
        <v>0</v>
      </c>
      <c r="F1381" s="205">
        <v>19.11</v>
      </c>
      <c r="G1381" s="205">
        <f t="shared" si="682"/>
        <v>19.11</v>
      </c>
      <c r="H1381" s="192">
        <v>1248.29</v>
      </c>
      <c r="I1381" s="205">
        <f t="shared" si="683"/>
        <v>0</v>
      </c>
      <c r="J1381" s="205">
        <f t="shared" si="685"/>
        <v>23854.821899999999</v>
      </c>
      <c r="K1381" s="205">
        <f t="shared" si="684"/>
        <v>23854.821899999999</v>
      </c>
    </row>
    <row r="1382" spans="1:11" ht="16.5" customHeight="1">
      <c r="A1382" s="11" t="s">
        <v>1983</v>
      </c>
      <c r="B1382" s="16" t="s">
        <v>671</v>
      </c>
      <c r="C1382" s="10" t="s">
        <v>87</v>
      </c>
      <c r="D1382" s="14" t="s">
        <v>124</v>
      </c>
      <c r="E1382" s="205">
        <v>0</v>
      </c>
      <c r="F1382" s="205">
        <v>637.11</v>
      </c>
      <c r="G1382" s="205">
        <f t="shared" si="682"/>
        <v>637.11</v>
      </c>
      <c r="H1382" s="192">
        <v>2.83</v>
      </c>
      <c r="I1382" s="205">
        <f t="shared" si="683"/>
        <v>0</v>
      </c>
      <c r="J1382" s="205">
        <f t="shared" si="685"/>
        <v>1803.0213000000001</v>
      </c>
      <c r="K1382" s="205">
        <f t="shared" si="684"/>
        <v>1803.0213000000001</v>
      </c>
    </row>
    <row r="1383" spans="1:11">
      <c r="A1383" s="8" t="s">
        <v>1984</v>
      </c>
      <c r="B1383" s="9" t="s">
        <v>107</v>
      </c>
      <c r="C1383" s="8"/>
      <c r="D1383" s="8"/>
      <c r="E1383" s="211"/>
      <c r="F1383" s="211"/>
      <c r="G1383" s="211"/>
      <c r="H1383" s="191"/>
      <c r="I1383" s="204">
        <f>SUM(I1384:I1386)</f>
        <v>0</v>
      </c>
      <c r="J1383" s="204">
        <f>SUM(J1384:J1386)</f>
        <v>0</v>
      </c>
      <c r="K1383" s="204">
        <f>SUM(K1384:K1386)</f>
        <v>0</v>
      </c>
    </row>
    <row r="1384" spans="1:11" ht="39">
      <c r="A1384" s="11" t="s">
        <v>1985</v>
      </c>
      <c r="B1384" s="12" t="s">
        <v>673</v>
      </c>
      <c r="C1384" s="10" t="s">
        <v>33</v>
      </c>
      <c r="D1384" s="13" t="s">
        <v>1486</v>
      </c>
      <c r="E1384" s="205">
        <v>0</v>
      </c>
      <c r="F1384" s="205">
        <v>0</v>
      </c>
      <c r="G1384" s="205">
        <f>F1384-E1384</f>
        <v>0</v>
      </c>
      <c r="H1384" s="192">
        <v>625.09</v>
      </c>
      <c r="I1384" s="205">
        <f t="shared" ref="I1384:I1386" si="686">H1384*E1384</f>
        <v>0</v>
      </c>
      <c r="J1384" s="205">
        <f>H1384*F1384</f>
        <v>0</v>
      </c>
      <c r="K1384" s="205">
        <f t="shared" ref="K1384:K1386" si="687">G1384*H1384</f>
        <v>0</v>
      </c>
    </row>
    <row r="1385" spans="1:11" ht="17" customHeight="1">
      <c r="A1385" s="11" t="s">
        <v>1986</v>
      </c>
      <c r="B1385" s="190" t="s">
        <v>679</v>
      </c>
      <c r="C1385" s="10" t="s">
        <v>33</v>
      </c>
      <c r="D1385" s="13" t="s">
        <v>124</v>
      </c>
      <c r="E1385" s="205">
        <v>0</v>
      </c>
      <c r="F1385" s="205">
        <v>0</v>
      </c>
      <c r="G1385" s="205">
        <f>F1385-E1385</f>
        <v>0</v>
      </c>
      <c r="H1385" s="192">
        <v>16.260000000000002</v>
      </c>
      <c r="I1385" s="205">
        <f t="shared" si="686"/>
        <v>0</v>
      </c>
      <c r="J1385" s="205">
        <f t="shared" ref="J1385:J1386" si="688">H1385*F1385</f>
        <v>0</v>
      </c>
      <c r="K1385" s="205">
        <f t="shared" si="687"/>
        <v>0</v>
      </c>
    </row>
    <row r="1386" spans="1:11" ht="16.5" customHeight="1">
      <c r="A1386" s="11" t="s">
        <v>1987</v>
      </c>
      <c r="B1386" s="12" t="s">
        <v>674</v>
      </c>
      <c r="C1386" s="10" t="s">
        <v>33</v>
      </c>
      <c r="D1386" s="13" t="s">
        <v>124</v>
      </c>
      <c r="E1386" s="205">
        <v>0</v>
      </c>
      <c r="F1386" s="205">
        <v>0</v>
      </c>
      <c r="G1386" s="205">
        <f>F1386-E1386</f>
        <v>0</v>
      </c>
      <c r="H1386" s="192">
        <v>4.5599999999999996</v>
      </c>
      <c r="I1386" s="205">
        <f t="shared" si="686"/>
        <v>0</v>
      </c>
      <c r="J1386" s="205">
        <f t="shared" si="688"/>
        <v>0</v>
      </c>
      <c r="K1386" s="205">
        <f t="shared" si="687"/>
        <v>0</v>
      </c>
    </row>
    <row r="1387" spans="1:11">
      <c r="A1387" s="8" t="s">
        <v>1988</v>
      </c>
      <c r="B1387" s="9" t="s">
        <v>677</v>
      </c>
      <c r="C1387" s="8"/>
      <c r="D1387" s="8"/>
      <c r="E1387" s="211"/>
      <c r="F1387" s="211"/>
      <c r="G1387" s="211"/>
      <c r="H1387" s="191"/>
      <c r="I1387" s="204">
        <f>SUM(I1388:I1389)</f>
        <v>0</v>
      </c>
      <c r="J1387" s="204">
        <f>SUM(J1388:J1389)</f>
        <v>1114.9425000000001</v>
      </c>
      <c r="K1387" s="204">
        <f>SUM(K1388:K1389)</f>
        <v>1114.9425000000001</v>
      </c>
    </row>
    <row r="1388" spans="1:11">
      <c r="A1388" s="11" t="s">
        <v>1989</v>
      </c>
      <c r="B1388" s="12" t="s">
        <v>658</v>
      </c>
      <c r="C1388" s="10" t="s">
        <v>11</v>
      </c>
      <c r="D1388" s="13" t="s">
        <v>124</v>
      </c>
      <c r="E1388" s="205">
        <v>0</v>
      </c>
      <c r="F1388" s="205">
        <v>637.11</v>
      </c>
      <c r="G1388" s="205">
        <f>F1388-E1388</f>
        <v>637.11</v>
      </c>
      <c r="H1388" s="192">
        <v>1.75</v>
      </c>
      <c r="I1388" s="205">
        <f t="shared" ref="I1388:I1389" si="689">H1388*E1388</f>
        <v>0</v>
      </c>
      <c r="J1388" s="205">
        <f>H1388*F1388</f>
        <v>1114.9425000000001</v>
      </c>
      <c r="K1388" s="205">
        <f t="shared" ref="K1388:K1389" si="690">G1388*H1388</f>
        <v>1114.9425000000001</v>
      </c>
    </row>
    <row r="1389" spans="1:11">
      <c r="A1389" s="11" t="s">
        <v>1990</v>
      </c>
      <c r="B1389" s="12" t="s">
        <v>678</v>
      </c>
      <c r="C1389" s="10" t="s">
        <v>11</v>
      </c>
      <c r="D1389" s="13" t="s">
        <v>1486</v>
      </c>
      <c r="E1389" s="205">
        <v>0</v>
      </c>
      <c r="F1389" s="205">
        <v>0</v>
      </c>
      <c r="G1389" s="205">
        <f>F1389-E1389</f>
        <v>0</v>
      </c>
      <c r="H1389" s="192">
        <v>92.34</v>
      </c>
      <c r="I1389" s="205">
        <f t="shared" si="689"/>
        <v>0</v>
      </c>
      <c r="J1389" s="205">
        <f>H1389*F1389</f>
        <v>0</v>
      </c>
      <c r="K1389" s="205">
        <f t="shared" si="690"/>
        <v>0</v>
      </c>
    </row>
    <row r="1390" spans="1:11">
      <c r="A1390" s="183">
        <v>52</v>
      </c>
      <c r="B1390" s="188" t="s">
        <v>2035</v>
      </c>
      <c r="C1390" s="183"/>
      <c r="D1390" s="183"/>
      <c r="E1390" s="210"/>
      <c r="F1390" s="210"/>
      <c r="G1390" s="210"/>
      <c r="H1390" s="194"/>
      <c r="I1390" s="203">
        <f>SUM(I1391,I1394,I1396,I1403,I1410,I1414)</f>
        <v>0</v>
      </c>
      <c r="J1390" s="203">
        <f>SUM(J1391,J1394,J1396,J1403,J1410,J1414)</f>
        <v>0</v>
      </c>
      <c r="K1390" s="203">
        <f>SUM(K1391,K1394,K1396,K1403,K1410,K1414)</f>
        <v>0</v>
      </c>
    </row>
    <row r="1391" spans="1:11">
      <c r="A1391" s="8" t="s">
        <v>1991</v>
      </c>
      <c r="B1391" s="9" t="s">
        <v>8</v>
      </c>
      <c r="C1391" s="8"/>
      <c r="D1391" s="8"/>
      <c r="E1391" s="211"/>
      <c r="F1391" s="211"/>
      <c r="G1391" s="211"/>
      <c r="H1391" s="191"/>
      <c r="I1391" s="204">
        <f>SUM(I1392:I1393)</f>
        <v>0</v>
      </c>
      <c r="J1391" s="204">
        <f>SUM(J1392:J1393)</f>
        <v>0</v>
      </c>
      <c r="K1391" s="204">
        <f>SUM(K1392:K1393)</f>
        <v>0</v>
      </c>
    </row>
    <row r="1392" spans="1:11" ht="26">
      <c r="A1392" s="11" t="s">
        <v>1992</v>
      </c>
      <c r="B1392" s="12" t="s">
        <v>652</v>
      </c>
      <c r="C1392" s="10" t="s">
        <v>13</v>
      </c>
      <c r="D1392" s="13" t="s">
        <v>124</v>
      </c>
      <c r="E1392" s="205">
        <v>0</v>
      </c>
      <c r="F1392" s="205">
        <v>0</v>
      </c>
      <c r="G1392" s="205">
        <f>F1392-E1392</f>
        <v>0</v>
      </c>
      <c r="H1392" s="192">
        <v>0.36</v>
      </c>
      <c r="I1392" s="205">
        <f>H1392*E1392</f>
        <v>0</v>
      </c>
      <c r="J1392" s="205">
        <f>H1392*F1392</f>
        <v>0</v>
      </c>
      <c r="K1392" s="205">
        <f t="shared" ref="K1392:K1393" si="691">G1392*H1392</f>
        <v>0</v>
      </c>
    </row>
    <row r="1393" spans="1:11" ht="52">
      <c r="A1393" s="11" t="s">
        <v>1993</v>
      </c>
      <c r="B1393" s="12" t="s">
        <v>649</v>
      </c>
      <c r="C1393" s="10" t="s">
        <v>11</v>
      </c>
      <c r="D1393" s="13" t="s">
        <v>124</v>
      </c>
      <c r="E1393" s="205">
        <v>0</v>
      </c>
      <c r="F1393" s="205">
        <v>0</v>
      </c>
      <c r="G1393" s="205">
        <f>F1393-E1393</f>
        <v>0</v>
      </c>
      <c r="H1393" s="192">
        <v>61.67</v>
      </c>
      <c r="I1393" s="205">
        <f>H1393*E1393</f>
        <v>0</v>
      </c>
      <c r="J1393" s="205">
        <f>H1393*F1393</f>
        <v>0</v>
      </c>
      <c r="K1393" s="205">
        <f t="shared" si="691"/>
        <v>0</v>
      </c>
    </row>
    <row r="1394" spans="1:11">
      <c r="A1394" s="8" t="s">
        <v>1994</v>
      </c>
      <c r="B1394" s="9" t="s">
        <v>654</v>
      </c>
      <c r="C1394" s="8"/>
      <c r="D1394" s="8"/>
      <c r="E1394" s="211"/>
      <c r="F1394" s="211"/>
      <c r="G1394" s="211"/>
      <c r="H1394" s="191"/>
      <c r="I1394" s="204">
        <f>SUM(I1395:I1395)</f>
        <v>0</v>
      </c>
      <c r="J1394" s="204">
        <f>SUM(J1395:J1395)</f>
        <v>0</v>
      </c>
      <c r="K1394" s="204">
        <f>SUM(K1395:K1395)</f>
        <v>0</v>
      </c>
    </row>
    <row r="1395" spans="1:11" ht="26">
      <c r="A1395" s="11" t="s">
        <v>1995</v>
      </c>
      <c r="B1395" s="12" t="s">
        <v>655</v>
      </c>
      <c r="C1395" s="10"/>
      <c r="D1395" s="13" t="s">
        <v>124</v>
      </c>
      <c r="E1395" s="205">
        <v>0</v>
      </c>
      <c r="F1395" s="205">
        <v>0</v>
      </c>
      <c r="G1395" s="205">
        <f>F1395-E1395</f>
        <v>0</v>
      </c>
      <c r="H1395" s="192">
        <v>0.38</v>
      </c>
      <c r="I1395" s="205">
        <f t="shared" ref="I1395" si="692">H1395*E1395</f>
        <v>0</v>
      </c>
      <c r="J1395" s="205">
        <f>H1395*F1395</f>
        <v>0</v>
      </c>
      <c r="K1395" s="205">
        <f t="shared" ref="K1395" si="693">G1395*H1395</f>
        <v>0</v>
      </c>
    </row>
    <row r="1396" spans="1:11">
      <c r="A1396" s="8" t="s">
        <v>1996</v>
      </c>
      <c r="B1396" s="9" t="s">
        <v>657</v>
      </c>
      <c r="C1396" s="8"/>
      <c r="D1396" s="8"/>
      <c r="E1396" s="211"/>
      <c r="F1396" s="211"/>
      <c r="G1396" s="211"/>
      <c r="H1396" s="191"/>
      <c r="I1396" s="204">
        <f>SUM(I1397:I1402)</f>
        <v>0</v>
      </c>
      <c r="J1396" s="204">
        <f>SUM(J1397:J1402)</f>
        <v>0</v>
      </c>
      <c r="K1396" s="204">
        <f>SUM(K1397:K1402)</f>
        <v>0</v>
      </c>
    </row>
    <row r="1397" spans="1:11">
      <c r="A1397" s="11" t="s">
        <v>1997</v>
      </c>
      <c r="B1397" s="12" t="s">
        <v>658</v>
      </c>
      <c r="C1397" s="10"/>
      <c r="D1397" s="13" t="s">
        <v>124</v>
      </c>
      <c r="E1397" s="205">
        <v>0</v>
      </c>
      <c r="F1397" s="205">
        <v>0</v>
      </c>
      <c r="G1397" s="205">
        <f t="shared" ref="G1397:G1402" si="694">F1397-E1397</f>
        <v>0</v>
      </c>
      <c r="H1397" s="192">
        <v>1.75</v>
      </c>
      <c r="I1397" s="205">
        <f t="shared" ref="I1397:I1402" si="695">H1397*E1397</f>
        <v>0</v>
      </c>
      <c r="J1397" s="205">
        <f>H1397*F1397</f>
        <v>0</v>
      </c>
      <c r="K1397" s="205">
        <f t="shared" ref="K1397:K1402" si="696">G1397*H1397</f>
        <v>0</v>
      </c>
    </row>
    <row r="1398" spans="1:11" ht="26">
      <c r="A1398" s="11" t="s">
        <v>1998</v>
      </c>
      <c r="B1398" s="12" t="s">
        <v>659</v>
      </c>
      <c r="C1398" s="10"/>
      <c r="D1398" s="13" t="s">
        <v>87</v>
      </c>
      <c r="E1398" s="205">
        <v>0</v>
      </c>
      <c r="F1398" s="205">
        <v>0</v>
      </c>
      <c r="G1398" s="205">
        <f t="shared" si="694"/>
        <v>0</v>
      </c>
      <c r="H1398" s="192">
        <v>10.32</v>
      </c>
      <c r="I1398" s="205">
        <f t="shared" si="695"/>
        <v>0</v>
      </c>
      <c r="J1398" s="205">
        <f t="shared" ref="J1398:J1402" si="697">H1398*F1398</f>
        <v>0</v>
      </c>
      <c r="K1398" s="205">
        <f t="shared" si="696"/>
        <v>0</v>
      </c>
    </row>
    <row r="1399" spans="1:11" ht="28.5" customHeight="1">
      <c r="A1399" s="11" t="s">
        <v>1999</v>
      </c>
      <c r="B1399" s="12" t="s">
        <v>660</v>
      </c>
      <c r="C1399" s="10"/>
      <c r="D1399" s="13" t="s">
        <v>1485</v>
      </c>
      <c r="E1399" s="205">
        <v>0</v>
      </c>
      <c r="F1399" s="205">
        <v>0</v>
      </c>
      <c r="G1399" s="205">
        <f t="shared" si="694"/>
        <v>0</v>
      </c>
      <c r="H1399" s="192">
        <v>2.14</v>
      </c>
      <c r="I1399" s="205">
        <f t="shared" si="695"/>
        <v>0</v>
      </c>
      <c r="J1399" s="205">
        <f t="shared" si="697"/>
        <v>0</v>
      </c>
      <c r="K1399" s="205">
        <f t="shared" si="696"/>
        <v>0</v>
      </c>
    </row>
    <row r="1400" spans="1:11" ht="29" customHeight="1">
      <c r="A1400" s="11" t="s">
        <v>2000</v>
      </c>
      <c r="B1400" s="12" t="s">
        <v>668</v>
      </c>
      <c r="C1400" s="10"/>
      <c r="D1400" s="13" t="s">
        <v>1485</v>
      </c>
      <c r="E1400" s="205">
        <v>0</v>
      </c>
      <c r="F1400" s="205">
        <v>0</v>
      </c>
      <c r="G1400" s="205">
        <f t="shared" si="694"/>
        <v>0</v>
      </c>
      <c r="H1400" s="192">
        <v>0.87</v>
      </c>
      <c r="I1400" s="205">
        <f t="shared" si="695"/>
        <v>0</v>
      </c>
      <c r="J1400" s="205">
        <f t="shared" si="697"/>
        <v>0</v>
      </c>
      <c r="K1400" s="205">
        <f t="shared" si="696"/>
        <v>0</v>
      </c>
    </row>
    <row r="1401" spans="1:11" ht="28" customHeight="1">
      <c r="A1401" s="11" t="s">
        <v>2001</v>
      </c>
      <c r="B1401" s="12" t="s">
        <v>661</v>
      </c>
      <c r="C1401" s="10"/>
      <c r="D1401" s="13" t="s">
        <v>87</v>
      </c>
      <c r="E1401" s="205">
        <v>0</v>
      </c>
      <c r="F1401" s="205">
        <v>0</v>
      </c>
      <c r="G1401" s="205">
        <f t="shared" si="694"/>
        <v>0</v>
      </c>
      <c r="H1401" s="192">
        <v>1248.29</v>
      </c>
      <c r="I1401" s="205">
        <f t="shared" si="695"/>
        <v>0</v>
      </c>
      <c r="J1401" s="205">
        <f t="shared" si="697"/>
        <v>0</v>
      </c>
      <c r="K1401" s="205">
        <f t="shared" si="696"/>
        <v>0</v>
      </c>
    </row>
    <row r="1402" spans="1:11" ht="17.5" customHeight="1">
      <c r="A1402" s="11" t="s">
        <v>2002</v>
      </c>
      <c r="B1402" s="12" t="s">
        <v>662</v>
      </c>
      <c r="C1402" s="10"/>
      <c r="D1402" s="13" t="s">
        <v>124</v>
      </c>
      <c r="E1402" s="205">
        <v>0</v>
      </c>
      <c r="F1402" s="205">
        <v>0</v>
      </c>
      <c r="G1402" s="205">
        <f t="shared" si="694"/>
        <v>0</v>
      </c>
      <c r="H1402" s="192">
        <v>2.83</v>
      </c>
      <c r="I1402" s="205">
        <f t="shared" si="695"/>
        <v>0</v>
      </c>
      <c r="J1402" s="205">
        <f t="shared" si="697"/>
        <v>0</v>
      </c>
      <c r="K1402" s="205">
        <f t="shared" si="696"/>
        <v>0</v>
      </c>
    </row>
    <row r="1403" spans="1:11">
      <c r="A1403" s="8" t="s">
        <v>2003</v>
      </c>
      <c r="B1403" s="9" t="s">
        <v>669</v>
      </c>
      <c r="C1403" s="8"/>
      <c r="D1403" s="8"/>
      <c r="E1403" s="211"/>
      <c r="F1403" s="211"/>
      <c r="G1403" s="211"/>
      <c r="H1403" s="191"/>
      <c r="I1403" s="204">
        <f>SUM(I1404:I1409)</f>
        <v>0</v>
      </c>
      <c r="J1403" s="204">
        <f>SUM(J1404:J1409)</f>
        <v>0</v>
      </c>
      <c r="K1403" s="204">
        <f>SUM(K1404:K1409)</f>
        <v>0</v>
      </c>
    </row>
    <row r="1404" spans="1:11">
      <c r="A1404" s="11" t="s">
        <v>2004</v>
      </c>
      <c r="B1404" s="12" t="s">
        <v>658</v>
      </c>
      <c r="C1404" s="10"/>
      <c r="D1404" s="14" t="s">
        <v>124</v>
      </c>
      <c r="E1404" s="205">
        <v>0</v>
      </c>
      <c r="F1404" s="205">
        <v>0</v>
      </c>
      <c r="G1404" s="205">
        <f t="shared" ref="G1404:G1409" si="698">F1404-E1404</f>
        <v>0</v>
      </c>
      <c r="H1404" s="192">
        <v>1.75</v>
      </c>
      <c r="I1404" s="205">
        <f t="shared" ref="I1404:I1409" si="699">H1404*E1404</f>
        <v>0</v>
      </c>
      <c r="J1404" s="205">
        <f>H1404*F1404</f>
        <v>0</v>
      </c>
      <c r="K1404" s="205">
        <f t="shared" ref="K1404:K1409" si="700">G1404*H1404</f>
        <v>0</v>
      </c>
    </row>
    <row r="1405" spans="1:11" ht="26">
      <c r="A1405" s="11" t="s">
        <v>2005</v>
      </c>
      <c r="B1405" s="12" t="s">
        <v>659</v>
      </c>
      <c r="C1405" s="10"/>
      <c r="D1405" s="14" t="s">
        <v>87</v>
      </c>
      <c r="E1405" s="205">
        <v>0</v>
      </c>
      <c r="F1405" s="212">
        <v>0</v>
      </c>
      <c r="G1405" s="205">
        <f t="shared" si="698"/>
        <v>0</v>
      </c>
      <c r="H1405" s="192">
        <v>10.32</v>
      </c>
      <c r="I1405" s="205">
        <f t="shared" si="699"/>
        <v>0</v>
      </c>
      <c r="J1405" s="205">
        <f t="shared" ref="J1405:J1409" si="701">H1405*F1405</f>
        <v>0</v>
      </c>
      <c r="K1405" s="205">
        <f t="shared" si="700"/>
        <v>0</v>
      </c>
    </row>
    <row r="1406" spans="1:11" ht="28.5" customHeight="1">
      <c r="A1406" s="11" t="s">
        <v>2006</v>
      </c>
      <c r="B1406" s="12" t="s">
        <v>660</v>
      </c>
      <c r="C1406" s="10"/>
      <c r="D1406" s="14" t="s">
        <v>1485</v>
      </c>
      <c r="E1406" s="205">
        <v>0</v>
      </c>
      <c r="F1406" s="212">
        <v>0</v>
      </c>
      <c r="G1406" s="205">
        <f t="shared" si="698"/>
        <v>0</v>
      </c>
      <c r="H1406" s="192">
        <v>2.14</v>
      </c>
      <c r="I1406" s="205">
        <f t="shared" si="699"/>
        <v>0</v>
      </c>
      <c r="J1406" s="205">
        <f t="shared" si="701"/>
        <v>0</v>
      </c>
      <c r="K1406" s="205">
        <f t="shared" si="700"/>
        <v>0</v>
      </c>
    </row>
    <row r="1407" spans="1:11" ht="32.5" customHeight="1">
      <c r="A1407" s="11" t="s">
        <v>2007</v>
      </c>
      <c r="B1407" s="18" t="s">
        <v>668</v>
      </c>
      <c r="C1407" s="10"/>
      <c r="D1407" s="189" t="s">
        <v>1485</v>
      </c>
      <c r="E1407" s="205">
        <v>0</v>
      </c>
      <c r="F1407" s="205">
        <v>0</v>
      </c>
      <c r="G1407" s="205">
        <f t="shared" si="698"/>
        <v>0</v>
      </c>
      <c r="H1407" s="193">
        <v>0.87</v>
      </c>
      <c r="I1407" s="205">
        <f t="shared" si="699"/>
        <v>0</v>
      </c>
      <c r="J1407" s="205">
        <f t="shared" si="701"/>
        <v>0</v>
      </c>
      <c r="K1407" s="205">
        <f t="shared" si="700"/>
        <v>0</v>
      </c>
    </row>
    <row r="1408" spans="1:11" ht="26.5">
      <c r="A1408" s="11" t="s">
        <v>2008</v>
      </c>
      <c r="B1408" s="18" t="s">
        <v>670</v>
      </c>
      <c r="C1408" s="10"/>
      <c r="D1408" s="14" t="s">
        <v>87</v>
      </c>
      <c r="E1408" s="205">
        <v>0</v>
      </c>
      <c r="F1408" s="212">
        <v>0</v>
      </c>
      <c r="G1408" s="205">
        <f t="shared" si="698"/>
        <v>0</v>
      </c>
      <c r="H1408" s="192">
        <v>1248.29</v>
      </c>
      <c r="I1408" s="205">
        <f t="shared" si="699"/>
        <v>0</v>
      </c>
      <c r="J1408" s="205">
        <f t="shared" si="701"/>
        <v>0</v>
      </c>
      <c r="K1408" s="205">
        <f t="shared" si="700"/>
        <v>0</v>
      </c>
    </row>
    <row r="1409" spans="1:11" ht="16.5" customHeight="1">
      <c r="A1409" s="11" t="s">
        <v>2009</v>
      </c>
      <c r="B1409" s="16" t="s">
        <v>671</v>
      </c>
      <c r="C1409" s="10" t="s">
        <v>87</v>
      </c>
      <c r="D1409" s="14" t="s">
        <v>124</v>
      </c>
      <c r="E1409" s="205">
        <v>0</v>
      </c>
      <c r="F1409" s="212">
        <v>0</v>
      </c>
      <c r="G1409" s="205">
        <f t="shared" si="698"/>
        <v>0</v>
      </c>
      <c r="H1409" s="192">
        <v>2.83</v>
      </c>
      <c r="I1409" s="205">
        <f t="shared" si="699"/>
        <v>0</v>
      </c>
      <c r="J1409" s="205">
        <f t="shared" si="701"/>
        <v>0</v>
      </c>
      <c r="K1409" s="205">
        <f t="shared" si="700"/>
        <v>0</v>
      </c>
    </row>
    <row r="1410" spans="1:11">
      <c r="A1410" s="8" t="s">
        <v>2010</v>
      </c>
      <c r="B1410" s="9" t="s">
        <v>107</v>
      </c>
      <c r="C1410" s="8"/>
      <c r="D1410" s="8"/>
      <c r="E1410" s="211"/>
      <c r="F1410" s="211"/>
      <c r="G1410" s="211"/>
      <c r="H1410" s="191"/>
      <c r="I1410" s="204">
        <f>SUM(I1411:I1413)</f>
        <v>0</v>
      </c>
      <c r="J1410" s="204">
        <f>SUM(J1411:J1413)</f>
        <v>0</v>
      </c>
      <c r="K1410" s="204">
        <f>SUM(K1411:K1413)</f>
        <v>0</v>
      </c>
    </row>
    <row r="1411" spans="1:11" ht="39">
      <c r="A1411" s="11" t="s">
        <v>2011</v>
      </c>
      <c r="B1411" s="12" t="s">
        <v>673</v>
      </c>
      <c r="C1411" s="10" t="s">
        <v>33</v>
      </c>
      <c r="D1411" s="13" t="s">
        <v>1486</v>
      </c>
      <c r="E1411" s="205">
        <v>0</v>
      </c>
      <c r="F1411" s="205">
        <v>0</v>
      </c>
      <c r="G1411" s="205">
        <f>F1411-E1411</f>
        <v>0</v>
      </c>
      <c r="H1411" s="192">
        <v>625.09</v>
      </c>
      <c r="I1411" s="205">
        <f t="shared" ref="I1411:I1413" si="702">H1411*E1411</f>
        <v>0</v>
      </c>
      <c r="J1411" s="205">
        <f>H1411*F1411</f>
        <v>0</v>
      </c>
      <c r="K1411" s="205">
        <f t="shared" ref="K1411:K1413" si="703">G1411*H1411</f>
        <v>0</v>
      </c>
    </row>
    <row r="1412" spans="1:11" ht="17" customHeight="1">
      <c r="A1412" s="11" t="s">
        <v>2012</v>
      </c>
      <c r="B1412" s="190" t="s">
        <v>679</v>
      </c>
      <c r="C1412" s="10" t="s">
        <v>33</v>
      </c>
      <c r="D1412" s="13" t="s">
        <v>124</v>
      </c>
      <c r="E1412" s="205">
        <v>0</v>
      </c>
      <c r="F1412" s="205">
        <v>0</v>
      </c>
      <c r="G1412" s="205">
        <f>F1412-E1412</f>
        <v>0</v>
      </c>
      <c r="H1412" s="192">
        <v>16.260000000000002</v>
      </c>
      <c r="I1412" s="205">
        <f t="shared" si="702"/>
        <v>0</v>
      </c>
      <c r="J1412" s="205">
        <f t="shared" ref="J1412:J1413" si="704">H1412*F1412</f>
        <v>0</v>
      </c>
      <c r="K1412" s="205">
        <f t="shared" si="703"/>
        <v>0</v>
      </c>
    </row>
    <row r="1413" spans="1:11" ht="16.5" customHeight="1">
      <c r="A1413" s="11" t="s">
        <v>2013</v>
      </c>
      <c r="B1413" s="12" t="s">
        <v>674</v>
      </c>
      <c r="C1413" s="10" t="s">
        <v>33</v>
      </c>
      <c r="D1413" s="13" t="s">
        <v>124</v>
      </c>
      <c r="E1413" s="205">
        <v>0</v>
      </c>
      <c r="F1413" s="205">
        <v>0</v>
      </c>
      <c r="G1413" s="205">
        <f>F1413-E1413</f>
        <v>0</v>
      </c>
      <c r="H1413" s="192">
        <v>4.5599999999999996</v>
      </c>
      <c r="I1413" s="205">
        <f t="shared" si="702"/>
        <v>0</v>
      </c>
      <c r="J1413" s="205">
        <f t="shared" si="704"/>
        <v>0</v>
      </c>
      <c r="K1413" s="205">
        <f t="shared" si="703"/>
        <v>0</v>
      </c>
    </row>
    <row r="1414" spans="1:11">
      <c r="A1414" s="8" t="s">
        <v>2014</v>
      </c>
      <c r="B1414" s="9" t="s">
        <v>677</v>
      </c>
      <c r="C1414" s="8"/>
      <c r="D1414" s="8"/>
      <c r="E1414" s="211"/>
      <c r="F1414" s="211"/>
      <c r="G1414" s="211"/>
      <c r="H1414" s="191"/>
      <c r="I1414" s="204">
        <f>SUM(I1415:I1416)</f>
        <v>0</v>
      </c>
      <c r="J1414" s="204">
        <f>SUM(J1415:J1416)</f>
        <v>0</v>
      </c>
      <c r="K1414" s="204">
        <f>SUM(K1415:K1416)</f>
        <v>0</v>
      </c>
    </row>
    <row r="1415" spans="1:11">
      <c r="A1415" s="11" t="s">
        <v>2015</v>
      </c>
      <c r="B1415" s="12" t="s">
        <v>658</v>
      </c>
      <c r="C1415" s="10" t="s">
        <v>11</v>
      </c>
      <c r="D1415" s="13" t="s">
        <v>124</v>
      </c>
      <c r="E1415" s="205">
        <v>0</v>
      </c>
      <c r="F1415" s="205">
        <v>0</v>
      </c>
      <c r="G1415" s="205">
        <f>F1415-E1415</f>
        <v>0</v>
      </c>
      <c r="H1415" s="192">
        <v>1.75</v>
      </c>
      <c r="I1415" s="205">
        <f t="shared" ref="I1415:I1416" si="705">H1415*E1415</f>
        <v>0</v>
      </c>
      <c r="J1415" s="205">
        <f>H1415*F1415</f>
        <v>0</v>
      </c>
      <c r="K1415" s="205">
        <f t="shared" ref="K1415:K1416" si="706">G1415*H1415</f>
        <v>0</v>
      </c>
    </row>
    <row r="1416" spans="1:11">
      <c r="A1416" s="11" t="s">
        <v>2016</v>
      </c>
      <c r="B1416" s="12" t="s">
        <v>678</v>
      </c>
      <c r="C1416" s="10" t="s">
        <v>11</v>
      </c>
      <c r="D1416" s="13" t="s">
        <v>1486</v>
      </c>
      <c r="E1416" s="205">
        <v>0</v>
      </c>
      <c r="F1416" s="205">
        <v>0</v>
      </c>
      <c r="G1416" s="205">
        <f>F1416-E1416</f>
        <v>0</v>
      </c>
      <c r="H1416" s="192">
        <v>92.34</v>
      </c>
      <c r="I1416" s="205">
        <f t="shared" si="705"/>
        <v>0</v>
      </c>
      <c r="J1416" s="205">
        <f>H1416*F1416</f>
        <v>0</v>
      </c>
      <c r="K1416" s="205">
        <f t="shared" si="706"/>
        <v>0</v>
      </c>
    </row>
    <row r="1417" spans="1:11">
      <c r="F1417" s="135"/>
      <c r="G1417" s="135"/>
    </row>
    <row r="1418" spans="1:11">
      <c r="A1418" s="199"/>
      <c r="B1418" s="200" t="s">
        <v>1494</v>
      </c>
      <c r="C1418" s="199"/>
      <c r="D1418" s="199" t="s">
        <v>1495</v>
      </c>
      <c r="E1418" s="199"/>
      <c r="F1418" s="201"/>
      <c r="G1418" s="201"/>
      <c r="H1418" s="202"/>
      <c r="I1418" s="202">
        <f>SUM(I12,I40,I67,I94,I121,I148,I175,I202,I229,I256,I283,I310,I337,I364,I391,I418,I445,I472,I499,I526,I553,I580,I607,I634,I661,I688,I715,I742,I769,I796,I823,I850,I877,I904,I931,I958,I985,I1012,I1039,I1066,I1093,I1120,I1147,I1174,I1201,I1228,I1255,I1282,I1309,I1336,I1363,I1390,) - 0.41</f>
        <v>4126937.6290000002</v>
      </c>
      <c r="J1418" s="202">
        <f>SUM(J12,J40,J67,J94,J121,J148,J175,J202,J229,J256,J283,J310,J337,J364,J391,J418,J445,J472,J499,J526,J553,J580,J607,J634,J661,J688,J715,J742,J769,J796,J823,J850,J877,J904,J931,J958,J985,J1012,J1039,J1066,J1093,J1120,J1147,J1174,J1201,J1228,J1255,J1282,J1309,J1336,J1363,J1390,) + 0.13</f>
        <v>5258638.0242999988</v>
      </c>
      <c r="K1418" s="202">
        <f>SUM(K12,K40,K67,K94,K121,K148,K175,K202,K229,K256,K283,K310,K337,K364,K391,K418,K445,K472,K499,K526,K553,K580,K607,K634,K661,K688,K715,K742,K769,K796,K823,K850,K877,K904,K931,K958,K985,K1012,K1039,K1066,K1093,K1120,K1147,K1174,K1201,K1228,K1255,K1282,K1309,K1336,K1363,K1390,) - 0.13</f>
        <v>1131700.3890000002</v>
      </c>
    </row>
    <row r="1419" spans="1:11">
      <c r="A1419" s="199"/>
      <c r="B1419" s="200" t="s">
        <v>1496</v>
      </c>
      <c r="C1419" s="199"/>
      <c r="D1419" s="199" t="s">
        <v>1495</v>
      </c>
      <c r="E1419" s="199"/>
      <c r="F1419" s="201"/>
      <c r="G1419" s="201"/>
      <c r="H1419" s="202"/>
      <c r="I1419" s="202"/>
      <c r="J1419" s="202"/>
      <c r="K1419" s="202">
        <f>K1418</f>
        <v>1131700.3890000002</v>
      </c>
    </row>
  </sheetData>
  <mergeCells count="21">
    <mergeCell ref="I4:J4"/>
    <mergeCell ref="I7:J7"/>
    <mergeCell ref="I8:J8"/>
    <mergeCell ref="I9:J9"/>
    <mergeCell ref="I6:J6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</mergeCells>
  <phoneticPr fontId="31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23"/>
  <sheetViews>
    <sheetView zoomScale="49" zoomScaleNormal="49" workbookViewId="0">
      <pane ySplit="3" topLeftCell="A4" activePane="bottomLeft" state="frozen"/>
      <selection pane="bottomLeft" activeCell="B181" sqref="B181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4.5">
      <c r="A1" s="6" t="s">
        <v>1</v>
      </c>
      <c r="B1" s="7" t="s">
        <v>63</v>
      </c>
      <c r="C1" s="255" t="s">
        <v>118</v>
      </c>
      <c r="D1" s="256"/>
      <c r="E1" s="256"/>
      <c r="F1" s="256"/>
      <c r="G1" s="257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</row>
    <row r="2" spans="1:20" ht="14.5">
      <c r="A2" s="6" t="s">
        <v>71</v>
      </c>
      <c r="B2" s="7" t="s">
        <v>72</v>
      </c>
      <c r="C2" s="258"/>
      <c r="D2" s="259"/>
      <c r="E2" s="259"/>
      <c r="F2" s="259"/>
      <c r="G2" s="26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5">
      <c r="A3" s="8" t="s">
        <v>12</v>
      </c>
      <c r="B3" s="9" t="s">
        <v>73</v>
      </c>
      <c r="C3" s="8" t="s">
        <v>119</v>
      </c>
      <c r="D3" s="8" t="s">
        <v>120</v>
      </c>
      <c r="E3" s="8" t="s">
        <v>121</v>
      </c>
      <c r="F3" s="8" t="s">
        <v>122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5">
      <c r="A4" s="8" t="s">
        <v>74</v>
      </c>
      <c r="B4" s="22" t="e">
        <f>#REF!</f>
        <v>#REF!</v>
      </c>
      <c r="C4" s="243" t="s">
        <v>123</v>
      </c>
      <c r="D4" s="244"/>
      <c r="E4" s="245"/>
      <c r="F4" s="23">
        <f>SUM(F5:F8)</f>
        <v>100.15600000000002</v>
      </c>
      <c r="G4" s="24" t="s">
        <v>124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14.5">
      <c r="A5" s="10"/>
      <c r="B5" s="12" t="s">
        <v>125</v>
      </c>
      <c r="C5" s="13">
        <v>2</v>
      </c>
      <c r="D5" s="13">
        <v>4.9000000000000004</v>
      </c>
      <c r="E5" s="13">
        <v>3.95</v>
      </c>
      <c r="F5" s="13">
        <f t="shared" ref="F5:F8" si="0">C5*D5*E5</f>
        <v>38.710000000000008</v>
      </c>
      <c r="G5" s="2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5">
      <c r="A6" s="10"/>
      <c r="B6" s="12" t="s">
        <v>126</v>
      </c>
      <c r="C6" s="13">
        <v>2</v>
      </c>
      <c r="D6" s="13">
        <v>2.4</v>
      </c>
      <c r="E6" s="13">
        <v>3.33</v>
      </c>
      <c r="F6" s="13">
        <f t="shared" si="0"/>
        <v>15.984</v>
      </c>
      <c r="G6" s="2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5">
      <c r="A7" s="10"/>
      <c r="B7" s="12" t="s">
        <v>127</v>
      </c>
      <c r="C7" s="13">
        <v>2</v>
      </c>
      <c r="D7" s="13">
        <v>6.18</v>
      </c>
      <c r="E7" s="13">
        <v>3.95</v>
      </c>
      <c r="F7" s="13">
        <f t="shared" si="0"/>
        <v>48.822000000000003</v>
      </c>
      <c r="G7" s="2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5">
      <c r="A8" s="10"/>
      <c r="B8" s="12" t="s">
        <v>128</v>
      </c>
      <c r="C8" s="13">
        <v>-2</v>
      </c>
      <c r="D8" s="13">
        <v>0.8</v>
      </c>
      <c r="E8" s="13">
        <v>2.1</v>
      </c>
      <c r="F8" s="13">
        <f t="shared" si="0"/>
        <v>-3.3600000000000003</v>
      </c>
      <c r="G8" s="2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5">
      <c r="A9" s="8" t="s">
        <v>75</v>
      </c>
      <c r="B9" s="22" t="e">
        <f>#REF!</f>
        <v>#REF!</v>
      </c>
      <c r="C9" s="243" t="s">
        <v>123</v>
      </c>
      <c r="D9" s="244"/>
      <c r="E9" s="245"/>
      <c r="F9" s="23">
        <f>3*1.4</f>
        <v>4.1999999999999993</v>
      </c>
      <c r="G9" s="24" t="s">
        <v>129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14.5">
      <c r="A10" s="10"/>
      <c r="B10" s="12" t="s">
        <v>130</v>
      </c>
      <c r="C10" s="13">
        <v>3</v>
      </c>
      <c r="D10" s="13">
        <v>1.4</v>
      </c>
      <c r="E10" s="13"/>
      <c r="F10" s="13">
        <f>C10*D10</f>
        <v>4.1999999999999993</v>
      </c>
      <c r="G10" s="2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5">
      <c r="A11" s="8" t="s">
        <v>14</v>
      </c>
      <c r="B11" s="9" t="s">
        <v>24</v>
      </c>
      <c r="C11" s="8" t="s">
        <v>119</v>
      </c>
      <c r="D11" s="8" t="s">
        <v>120</v>
      </c>
      <c r="E11" s="8" t="s">
        <v>121</v>
      </c>
      <c r="F11" s="8" t="s">
        <v>122</v>
      </c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>
      <c r="A12" s="8" t="s">
        <v>76</v>
      </c>
      <c r="B12" s="22" t="s">
        <v>77</v>
      </c>
      <c r="C12" s="243" t="s">
        <v>131</v>
      </c>
      <c r="D12" s="244"/>
      <c r="E12" s="245"/>
      <c r="F12" s="23">
        <v>5</v>
      </c>
      <c r="G12" s="24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75" customHeight="1">
      <c r="A13" s="10"/>
      <c r="B13" s="12" t="s">
        <v>130</v>
      </c>
      <c r="C13" s="13"/>
      <c r="D13" s="13">
        <v>5</v>
      </c>
      <c r="E13" s="13"/>
      <c r="F13" s="13"/>
      <c r="G13" s="2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>
      <c r="A14" s="8" t="s">
        <v>16</v>
      </c>
      <c r="B14" s="9" t="s">
        <v>31</v>
      </c>
      <c r="C14" s="8" t="s">
        <v>119</v>
      </c>
      <c r="D14" s="8" t="s">
        <v>120</v>
      </c>
      <c r="E14" s="8" t="s">
        <v>121</v>
      </c>
      <c r="F14" s="8" t="s">
        <v>122</v>
      </c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3.25" customHeight="1">
      <c r="A15" s="8" t="s">
        <v>78</v>
      </c>
      <c r="B15" s="22" t="e">
        <f>#REF!</f>
        <v>#REF!</v>
      </c>
      <c r="C15" s="243" t="s">
        <v>123</v>
      </c>
      <c r="D15" s="244"/>
      <c r="E15" s="245"/>
      <c r="F15" s="23">
        <v>3</v>
      </c>
      <c r="G15" s="24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customHeight="1">
      <c r="A16" s="10"/>
      <c r="B16" s="12"/>
      <c r="C16" s="13">
        <v>3</v>
      </c>
      <c r="D16" s="13"/>
      <c r="E16" s="13"/>
      <c r="F16" s="13"/>
      <c r="G16" s="2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.75" customHeight="1">
      <c r="A17" s="8" t="s">
        <v>79</v>
      </c>
      <c r="B17" s="22" t="s">
        <v>81</v>
      </c>
      <c r="C17" s="243" t="s">
        <v>131</v>
      </c>
      <c r="D17" s="244"/>
      <c r="E17" s="245"/>
      <c r="F17" s="23">
        <v>5</v>
      </c>
      <c r="G17" s="27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>
      <c r="A18" s="10"/>
      <c r="B18" s="12"/>
      <c r="C18" s="13">
        <v>5</v>
      </c>
      <c r="D18" s="13"/>
      <c r="E18" s="13"/>
      <c r="F18" s="13"/>
      <c r="G18" s="2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.75" customHeight="1">
      <c r="A19" s="8" t="s">
        <v>80</v>
      </c>
      <c r="B19" s="22" t="s">
        <v>83</v>
      </c>
      <c r="C19" s="243" t="s">
        <v>131</v>
      </c>
      <c r="D19" s="244"/>
      <c r="E19" s="245"/>
      <c r="F19" s="23">
        <f>F20</f>
        <v>3.7800000000000002</v>
      </c>
      <c r="G19" s="27" t="s">
        <v>124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customHeight="1">
      <c r="A20" s="10"/>
      <c r="B20" s="15" t="s">
        <v>133</v>
      </c>
      <c r="C20" s="13">
        <v>2</v>
      </c>
      <c r="D20" s="13">
        <v>0.9</v>
      </c>
      <c r="E20" s="13">
        <v>2.1</v>
      </c>
      <c r="F20" s="13">
        <f>C20*D20*E20</f>
        <v>3.7800000000000002</v>
      </c>
      <c r="G20" s="2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75" customHeight="1">
      <c r="A21" s="8" t="s">
        <v>82</v>
      </c>
      <c r="B21" s="29" t="s">
        <v>85</v>
      </c>
      <c r="C21" s="243" t="s">
        <v>131</v>
      </c>
      <c r="D21" s="244"/>
      <c r="E21" s="245"/>
      <c r="F21" s="23">
        <f>SUM(F22:F23)</f>
        <v>23.050000000000004</v>
      </c>
      <c r="G21" s="27" t="s">
        <v>124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>
      <c r="A22" s="10"/>
      <c r="B22" s="15" t="str">
        <f>B25</f>
        <v>Medidas retiradas in loco (Janelas da Fachada)</v>
      </c>
      <c r="C22" s="13">
        <v>13</v>
      </c>
      <c r="D22" s="13">
        <f t="shared" ref="D22:E22" si="1">D25</f>
        <v>1.1000000000000001</v>
      </c>
      <c r="E22" s="13">
        <f t="shared" si="1"/>
        <v>1.5</v>
      </c>
      <c r="F22" s="13">
        <f t="shared" ref="F22:F23" si="2">C22*D22*E22</f>
        <v>21.450000000000003</v>
      </c>
      <c r="G22" s="2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>
      <c r="A23" s="10"/>
      <c r="B23" s="15" t="s">
        <v>134</v>
      </c>
      <c r="C23" s="13">
        <f t="shared" ref="C23:E23" si="3">C26</f>
        <v>2</v>
      </c>
      <c r="D23" s="13">
        <f t="shared" si="3"/>
        <v>2</v>
      </c>
      <c r="E23" s="13">
        <f t="shared" si="3"/>
        <v>0.4</v>
      </c>
      <c r="F23" s="13">
        <f t="shared" si="2"/>
        <v>1.6</v>
      </c>
      <c r="G23" s="2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>
      <c r="A24" s="8" t="s">
        <v>84</v>
      </c>
      <c r="B24" s="30" t="s">
        <v>86</v>
      </c>
      <c r="C24" s="243" t="s">
        <v>131</v>
      </c>
      <c r="D24" s="244"/>
      <c r="E24" s="245"/>
      <c r="F24" s="23">
        <f>SUM(F25:F26)</f>
        <v>23.050000000000004</v>
      </c>
      <c r="G24" s="27" t="s">
        <v>124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>
      <c r="A25" s="10"/>
      <c r="B25" s="15" t="s">
        <v>135</v>
      </c>
      <c r="C25" s="13">
        <v>13</v>
      </c>
      <c r="D25" s="13">
        <v>1.1000000000000001</v>
      </c>
      <c r="E25" s="13">
        <v>1.5</v>
      </c>
      <c r="F25" s="13">
        <f t="shared" ref="F25:F26" si="4">C25*D25*E25</f>
        <v>21.450000000000003</v>
      </c>
      <c r="G25" s="2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>
      <c r="A26" s="10"/>
      <c r="B26" s="15" t="s">
        <v>136</v>
      </c>
      <c r="C26" s="13">
        <v>2</v>
      </c>
      <c r="D26" s="13">
        <v>2</v>
      </c>
      <c r="E26" s="13">
        <v>0.4</v>
      </c>
      <c r="F26" s="13">
        <f t="shared" si="4"/>
        <v>1.6</v>
      </c>
      <c r="G26" s="2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>
      <c r="A27" s="8" t="s">
        <v>17</v>
      </c>
      <c r="B27" s="9" t="s">
        <v>35</v>
      </c>
      <c r="C27" s="8" t="s">
        <v>119</v>
      </c>
      <c r="D27" s="8" t="s">
        <v>120</v>
      </c>
      <c r="E27" s="8" t="s">
        <v>121</v>
      </c>
      <c r="F27" s="8" t="s">
        <v>122</v>
      </c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>
      <c r="A28" s="116" t="s">
        <v>88</v>
      </c>
      <c r="B28" s="117" t="s">
        <v>39</v>
      </c>
      <c r="C28" s="251" t="s">
        <v>592</v>
      </c>
      <c r="D28" s="244"/>
      <c r="E28" s="245"/>
      <c r="F28" s="23">
        <f>SUM(F29)</f>
        <v>2</v>
      </c>
      <c r="G28" s="118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>
      <c r="A29" s="10"/>
      <c r="B29" s="15"/>
      <c r="C29" s="13">
        <v>2</v>
      </c>
      <c r="D29" s="13"/>
      <c r="E29" s="13"/>
      <c r="F29" s="13">
        <f>C29</f>
        <v>2</v>
      </c>
      <c r="G29" s="2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>
      <c r="A30" s="116" t="s">
        <v>89</v>
      </c>
      <c r="B30" s="117" t="s">
        <v>90</v>
      </c>
      <c r="C30" s="243" t="s">
        <v>131</v>
      </c>
      <c r="D30" s="244"/>
      <c r="E30" s="245"/>
      <c r="F30" s="23">
        <f>SUM(F31:F31)</f>
        <v>47</v>
      </c>
      <c r="G30" s="118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>
      <c r="A31" s="10"/>
      <c r="B31" s="15"/>
      <c r="C31" s="13">
        <v>47</v>
      </c>
      <c r="D31" s="13"/>
      <c r="E31" s="13"/>
      <c r="F31" s="13">
        <f>C31</f>
        <v>47</v>
      </c>
      <c r="G31" s="2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>
      <c r="A32" s="8" t="s">
        <v>91</v>
      </c>
      <c r="B32" s="9" t="s">
        <v>41</v>
      </c>
      <c r="C32" s="8" t="s">
        <v>119</v>
      </c>
      <c r="D32" s="8" t="s">
        <v>120</v>
      </c>
      <c r="E32" s="123" t="s">
        <v>138</v>
      </c>
      <c r="F32" s="8" t="s">
        <v>122</v>
      </c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135" customFormat="1" ht="36" customHeight="1">
      <c r="A33" s="123" t="s">
        <v>92</v>
      </c>
      <c r="B33" s="136" t="s">
        <v>595</v>
      </c>
      <c r="C33" s="252" t="s">
        <v>131</v>
      </c>
      <c r="D33" s="253"/>
      <c r="E33" s="254"/>
      <c r="F33" s="121" t="e">
        <f>F53</f>
        <v>#REF!</v>
      </c>
      <c r="G33" s="138" t="s">
        <v>124</v>
      </c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</row>
    <row r="34" spans="1:20" s="135" customFormat="1" ht="15.75" customHeight="1">
      <c r="A34" s="132"/>
      <c r="B34" s="143" t="s">
        <v>596</v>
      </c>
      <c r="C34" s="141">
        <v>1</v>
      </c>
      <c r="D34" s="141">
        <v>2.85</v>
      </c>
      <c r="E34" s="141">
        <v>3.4</v>
      </c>
      <c r="F34" s="141">
        <f>(D34*E34)*C34</f>
        <v>9.69</v>
      </c>
      <c r="G34" s="142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</row>
    <row r="35" spans="1:20" s="135" customFormat="1" ht="15.75" customHeight="1">
      <c r="A35" s="132"/>
      <c r="B35" s="143" t="s">
        <v>597</v>
      </c>
      <c r="C35" s="141"/>
      <c r="D35" s="141"/>
      <c r="E35" s="141"/>
      <c r="F35" s="141"/>
      <c r="G35" s="142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</row>
    <row r="36" spans="1:20" s="135" customFormat="1" ht="15.75" customHeight="1">
      <c r="A36" s="132"/>
      <c r="B36" s="143"/>
      <c r="C36" s="141">
        <v>1</v>
      </c>
      <c r="D36" s="141">
        <v>1.2</v>
      </c>
      <c r="E36" s="141">
        <v>1.7</v>
      </c>
      <c r="F36" s="141">
        <f t="shared" ref="F36:F50" si="5">(D36*E36)*C36</f>
        <v>2.04</v>
      </c>
      <c r="G36" s="142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</row>
    <row r="37" spans="1:20" s="135" customFormat="1" ht="15.75" customHeight="1">
      <c r="A37" s="132"/>
      <c r="B37" s="143"/>
      <c r="C37" s="141">
        <v>1</v>
      </c>
      <c r="D37" s="141">
        <v>1.8</v>
      </c>
      <c r="E37" s="141">
        <v>1.7</v>
      </c>
      <c r="F37" s="141">
        <f t="shared" si="5"/>
        <v>3.06</v>
      </c>
      <c r="G37" s="142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</row>
    <row r="38" spans="1:20" s="135" customFormat="1" ht="15.75" customHeight="1">
      <c r="A38" s="132"/>
      <c r="B38" s="143"/>
      <c r="C38" s="141">
        <v>1</v>
      </c>
      <c r="D38" s="141">
        <v>3.1</v>
      </c>
      <c r="E38" s="141">
        <v>1.55</v>
      </c>
      <c r="F38" s="141">
        <f t="shared" si="5"/>
        <v>4.8050000000000006</v>
      </c>
      <c r="G38" s="142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</row>
    <row r="39" spans="1:20" s="135" customFormat="1" ht="15.75" customHeight="1">
      <c r="A39" s="132"/>
      <c r="B39" s="143" t="s">
        <v>593</v>
      </c>
      <c r="C39" s="141"/>
      <c r="D39" s="141"/>
      <c r="E39" s="141"/>
      <c r="F39" s="141"/>
      <c r="G39" s="142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</row>
    <row r="40" spans="1:20" s="135" customFormat="1" ht="15.75" customHeight="1">
      <c r="A40" s="132"/>
      <c r="B40" s="143"/>
      <c r="C40" s="141">
        <v>1</v>
      </c>
      <c r="D40" s="141">
        <v>1.2</v>
      </c>
      <c r="E40" s="141">
        <v>1.7</v>
      </c>
      <c r="F40" s="141">
        <f t="shared" si="5"/>
        <v>2.04</v>
      </c>
      <c r="G40" s="142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</row>
    <row r="41" spans="1:20" s="135" customFormat="1" ht="15.75" customHeight="1">
      <c r="A41" s="132"/>
      <c r="B41" s="143"/>
      <c r="C41" s="141">
        <v>1</v>
      </c>
      <c r="D41" s="141">
        <v>1.8</v>
      </c>
      <c r="E41" s="141">
        <v>1.7</v>
      </c>
      <c r="F41" s="141">
        <f t="shared" si="5"/>
        <v>3.06</v>
      </c>
      <c r="G41" s="142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</row>
    <row r="42" spans="1:20" s="135" customFormat="1" ht="15.75" customHeight="1">
      <c r="A42" s="132"/>
      <c r="B42" s="143"/>
      <c r="C42" s="141">
        <v>1</v>
      </c>
      <c r="D42" s="141">
        <v>3.1</v>
      </c>
      <c r="E42" s="141">
        <v>1.55</v>
      </c>
      <c r="F42" s="141">
        <f t="shared" si="5"/>
        <v>4.8050000000000006</v>
      </c>
      <c r="G42" s="142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</row>
    <row r="43" spans="1:20" s="135" customFormat="1" ht="15.75" customHeight="1">
      <c r="A43" s="132"/>
      <c r="B43" s="152" t="s">
        <v>606</v>
      </c>
      <c r="C43" s="141">
        <v>1</v>
      </c>
      <c r="D43" s="153">
        <v>4.9000000000000004</v>
      </c>
      <c r="E43" s="153">
        <v>9.9</v>
      </c>
      <c r="F43" s="141">
        <f t="shared" si="5"/>
        <v>48.510000000000005</v>
      </c>
      <c r="G43" s="142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</row>
    <row r="44" spans="1:20" s="135" customFormat="1" ht="15.75" customHeight="1">
      <c r="A44" s="132"/>
      <c r="B44" s="144" t="s">
        <v>607</v>
      </c>
      <c r="C44" s="141">
        <v>1</v>
      </c>
      <c r="D44" s="145">
        <v>9.4499999999999993</v>
      </c>
      <c r="E44" s="145">
        <v>1.2</v>
      </c>
      <c r="F44" s="141">
        <f t="shared" si="5"/>
        <v>11.339999999999998</v>
      </c>
      <c r="G44" s="142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</row>
    <row r="45" spans="1:20" s="135" customFormat="1" ht="15.75" customHeight="1">
      <c r="A45" s="132"/>
      <c r="B45" s="144" t="s">
        <v>608</v>
      </c>
      <c r="C45" s="141">
        <v>1</v>
      </c>
      <c r="D45" s="145">
        <v>4</v>
      </c>
      <c r="E45" s="145">
        <v>5</v>
      </c>
      <c r="F45" s="141">
        <f t="shared" si="5"/>
        <v>20</v>
      </c>
      <c r="G45" s="142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</row>
    <row r="46" spans="1:20" s="135" customFormat="1" ht="15.75" customHeight="1">
      <c r="A46" s="132"/>
      <c r="B46" s="144" t="s">
        <v>609</v>
      </c>
      <c r="C46" s="141">
        <v>1</v>
      </c>
      <c r="D46" s="145">
        <v>1.25</v>
      </c>
      <c r="E46" s="145">
        <v>5.3</v>
      </c>
      <c r="F46" s="141">
        <f t="shared" si="5"/>
        <v>6.625</v>
      </c>
      <c r="G46" s="142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</row>
    <row r="47" spans="1:20" s="135" customFormat="1" ht="15.75" customHeight="1">
      <c r="A47" s="132"/>
      <c r="B47" s="144" t="s">
        <v>599</v>
      </c>
      <c r="C47" s="141">
        <v>1</v>
      </c>
      <c r="D47" s="145">
        <v>7.15</v>
      </c>
      <c r="E47" s="145">
        <v>5</v>
      </c>
      <c r="F47" s="141">
        <f t="shared" si="5"/>
        <v>35.75</v>
      </c>
      <c r="G47" s="142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</row>
    <row r="48" spans="1:20" s="135" customFormat="1" ht="15.75" customHeight="1">
      <c r="A48" s="132"/>
      <c r="B48" s="144" t="s">
        <v>600</v>
      </c>
      <c r="C48" s="141">
        <v>1</v>
      </c>
      <c r="D48" s="145">
        <v>5.05</v>
      </c>
      <c r="E48" s="145">
        <v>4.75</v>
      </c>
      <c r="F48" s="141">
        <f t="shared" si="5"/>
        <v>23.987500000000001</v>
      </c>
      <c r="G48" s="142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</row>
    <row r="49" spans="1:20" s="135" customFormat="1" ht="15.75" customHeight="1">
      <c r="A49" s="132"/>
      <c r="B49" s="144" t="s">
        <v>598</v>
      </c>
      <c r="C49" s="141">
        <v>1</v>
      </c>
      <c r="D49" s="145">
        <v>3.05</v>
      </c>
      <c r="E49" s="145">
        <v>1.8</v>
      </c>
      <c r="F49" s="141">
        <f t="shared" si="5"/>
        <v>5.49</v>
      </c>
      <c r="G49" s="142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</row>
    <row r="50" spans="1:20" s="135" customFormat="1" ht="15.75" customHeight="1">
      <c r="A50" s="132"/>
      <c r="B50" s="144" t="s">
        <v>601</v>
      </c>
      <c r="C50" s="140">
        <v>1</v>
      </c>
      <c r="D50" s="145">
        <v>20</v>
      </c>
      <c r="E50" s="145">
        <v>5</v>
      </c>
      <c r="F50" s="140">
        <f t="shared" si="5"/>
        <v>100</v>
      </c>
      <c r="G50" s="142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</row>
    <row r="51" spans="1:20" s="135" customFormat="1" ht="15.75" customHeight="1">
      <c r="A51" s="132"/>
      <c r="B51" s="148"/>
      <c r="C51" s="246" t="s">
        <v>602</v>
      </c>
      <c r="D51" s="247"/>
      <c r="E51" s="248"/>
      <c r="F51" s="140">
        <f>SUM(F34:F50)</f>
        <v>281.20250000000004</v>
      </c>
      <c r="G51" s="142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</row>
    <row r="52" spans="1:20" s="135" customFormat="1" ht="15.75" customHeight="1">
      <c r="A52" s="132"/>
      <c r="B52" s="146"/>
      <c r="C52" s="246" t="s">
        <v>603</v>
      </c>
      <c r="D52" s="247"/>
      <c r="E52" s="248"/>
      <c r="F52" s="147" t="e">
        <f>#REF!</f>
        <v>#REF!</v>
      </c>
      <c r="G52" s="142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</row>
    <row r="53" spans="1:20" s="135" customFormat="1" ht="15.75" customHeight="1">
      <c r="A53" s="132"/>
      <c r="B53" s="137"/>
      <c r="C53" s="246" t="s">
        <v>604</v>
      </c>
      <c r="D53" s="247"/>
      <c r="E53" s="248"/>
      <c r="F53" s="147" t="e">
        <f>F51-F52</f>
        <v>#REF!</v>
      </c>
      <c r="G53" s="142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</row>
    <row r="54" spans="1:20" ht="14.5">
      <c r="A54" s="8" t="s">
        <v>93</v>
      </c>
      <c r="B54" s="22" t="e">
        <f>#REF!</f>
        <v>#REF!</v>
      </c>
      <c r="C54" s="240" t="s">
        <v>131</v>
      </c>
      <c r="D54" s="241"/>
      <c r="E54" s="242"/>
      <c r="F54" s="139">
        <f>SUM(F55:F62)</f>
        <v>19.810000000000002</v>
      </c>
      <c r="G54" s="128" t="s">
        <v>124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>
      <c r="A55" s="10"/>
      <c r="B55" s="119" t="s">
        <v>593</v>
      </c>
      <c r="C55" s="122"/>
      <c r="D55" s="122"/>
      <c r="E55" s="122"/>
      <c r="F55" s="122"/>
      <c r="G55" s="12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>
      <c r="A56" s="10"/>
      <c r="B56" s="119"/>
      <c r="C56" s="122">
        <v>1</v>
      </c>
      <c r="D56" s="122">
        <v>1.2</v>
      </c>
      <c r="E56" s="122">
        <v>1.7</v>
      </c>
      <c r="F56" s="122">
        <f>D56*E56</f>
        <v>2.04</v>
      </c>
      <c r="G56" s="12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>
      <c r="A57" s="10"/>
      <c r="B57" s="119"/>
      <c r="C57" s="122">
        <v>1</v>
      </c>
      <c r="D57" s="122">
        <v>1.8</v>
      </c>
      <c r="E57" s="122">
        <v>1.7</v>
      </c>
      <c r="F57" s="122">
        <f t="shared" ref="F57:F58" si="6">D57*E57</f>
        <v>3.06</v>
      </c>
      <c r="G57" s="12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>
      <c r="A58" s="10"/>
      <c r="B58" s="119"/>
      <c r="C58" s="122">
        <v>1</v>
      </c>
      <c r="D58" s="122">
        <v>3.1</v>
      </c>
      <c r="E58" s="122">
        <v>1.55</v>
      </c>
      <c r="F58" s="122">
        <f t="shared" si="6"/>
        <v>4.8050000000000006</v>
      </c>
      <c r="G58" s="12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>
      <c r="A59" s="10"/>
      <c r="B59" s="125" t="s">
        <v>594</v>
      </c>
      <c r="C59" s="126"/>
      <c r="D59" s="126"/>
      <c r="E59" s="126"/>
      <c r="F59" s="126"/>
      <c r="G59" s="12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>
      <c r="A60" s="124"/>
      <c r="B60" s="129"/>
      <c r="C60" s="122">
        <v>1</v>
      </c>
      <c r="D60" s="122">
        <v>1.2</v>
      </c>
      <c r="E60" s="122">
        <v>1.7</v>
      </c>
      <c r="F60" s="122">
        <f>D60*E60</f>
        <v>2.04</v>
      </c>
      <c r="G60" s="13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>
      <c r="A61" s="124"/>
      <c r="B61" s="129"/>
      <c r="C61" s="122">
        <v>1</v>
      </c>
      <c r="D61" s="122">
        <v>1.8</v>
      </c>
      <c r="E61" s="122">
        <v>1.7</v>
      </c>
      <c r="F61" s="122">
        <f t="shared" ref="F61:F62" si="7">D61*E61</f>
        <v>3.06</v>
      </c>
      <c r="G61" s="13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>
      <c r="A62" s="124"/>
      <c r="B62" s="129"/>
      <c r="C62" s="122">
        <v>1</v>
      </c>
      <c r="D62" s="122">
        <v>3.1</v>
      </c>
      <c r="E62" s="122">
        <v>1.55</v>
      </c>
      <c r="F62" s="122">
        <f t="shared" si="7"/>
        <v>4.8050000000000006</v>
      </c>
      <c r="G62" s="13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41.25" customHeight="1">
      <c r="A63" s="149" t="s">
        <v>94</v>
      </c>
      <c r="B63" s="150" t="s">
        <v>605</v>
      </c>
      <c r="C63" s="249" t="s">
        <v>123</v>
      </c>
      <c r="D63" s="250"/>
      <c r="E63" s="250"/>
      <c r="F63" s="151" t="e">
        <f>F74</f>
        <v>#REF!</v>
      </c>
      <c r="G63" s="156" t="s">
        <v>124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>
      <c r="A64" s="124"/>
      <c r="B64" s="154" t="s">
        <v>606</v>
      </c>
      <c r="C64" s="141">
        <v>1</v>
      </c>
      <c r="D64" s="153">
        <v>4.9000000000000004</v>
      </c>
      <c r="E64" s="153">
        <v>9.9</v>
      </c>
      <c r="F64" s="141">
        <f t="shared" ref="F64:F71" si="8">(D64*E64)*C64</f>
        <v>48.510000000000005</v>
      </c>
      <c r="G64" s="14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>
      <c r="A65" s="124"/>
      <c r="B65" s="155" t="s">
        <v>607</v>
      </c>
      <c r="C65" s="141">
        <v>1</v>
      </c>
      <c r="D65" s="145">
        <v>9.4499999999999993</v>
      </c>
      <c r="E65" s="145">
        <v>1.2</v>
      </c>
      <c r="F65" s="141">
        <f t="shared" si="8"/>
        <v>11.339999999999998</v>
      </c>
      <c r="G65" s="14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>
      <c r="A66" s="124"/>
      <c r="B66" s="155" t="s">
        <v>608</v>
      </c>
      <c r="C66" s="141">
        <v>1</v>
      </c>
      <c r="D66" s="145">
        <v>4</v>
      </c>
      <c r="E66" s="145">
        <v>5</v>
      </c>
      <c r="F66" s="141">
        <f t="shared" si="8"/>
        <v>20</v>
      </c>
      <c r="G66" s="14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>
      <c r="A67" s="124"/>
      <c r="B67" s="155" t="s">
        <v>609</v>
      </c>
      <c r="C67" s="141">
        <v>1</v>
      </c>
      <c r="D67" s="145">
        <v>1.25</v>
      </c>
      <c r="E67" s="145">
        <v>5.3</v>
      </c>
      <c r="F67" s="141">
        <f t="shared" si="8"/>
        <v>6.625</v>
      </c>
      <c r="G67" s="14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>
      <c r="A68" s="124"/>
      <c r="B68" s="155" t="s">
        <v>599</v>
      </c>
      <c r="C68" s="141">
        <v>1</v>
      </c>
      <c r="D68" s="145">
        <v>7.15</v>
      </c>
      <c r="E68" s="145">
        <v>5</v>
      </c>
      <c r="F68" s="141">
        <f t="shared" si="8"/>
        <v>35.75</v>
      </c>
      <c r="G68" s="14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>
      <c r="A69" s="124"/>
      <c r="B69" s="155" t="s">
        <v>600</v>
      </c>
      <c r="C69" s="141">
        <v>1</v>
      </c>
      <c r="D69" s="145">
        <v>5.05</v>
      </c>
      <c r="E69" s="145">
        <v>4.75</v>
      </c>
      <c r="F69" s="141">
        <f>(D69*E69)*C69</f>
        <v>23.987500000000001</v>
      </c>
      <c r="G69" s="14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>
      <c r="A70" s="124"/>
      <c r="B70" s="155" t="s">
        <v>598</v>
      </c>
      <c r="C70" s="141">
        <v>1</v>
      </c>
      <c r="D70" s="145">
        <v>3.05</v>
      </c>
      <c r="E70" s="145">
        <v>1.8</v>
      </c>
      <c r="F70" s="141">
        <f t="shared" si="8"/>
        <v>5.49</v>
      </c>
      <c r="G70" s="14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>
      <c r="A71" s="124"/>
      <c r="B71" s="155" t="s">
        <v>601</v>
      </c>
      <c r="C71" s="140">
        <v>1</v>
      </c>
      <c r="D71" s="145">
        <v>20</v>
      </c>
      <c r="E71" s="145">
        <v>5</v>
      </c>
      <c r="F71" s="140">
        <f t="shared" si="8"/>
        <v>100</v>
      </c>
      <c r="G71" s="14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>
      <c r="A72" s="124"/>
      <c r="B72" s="148"/>
      <c r="C72" s="246" t="s">
        <v>602</v>
      </c>
      <c r="D72" s="247"/>
      <c r="E72" s="248"/>
      <c r="F72" s="140">
        <f>SUM(F64:F71)</f>
        <v>251.70250000000001</v>
      </c>
      <c r="G72" s="14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>
      <c r="A73" s="124"/>
      <c r="B73" s="146"/>
      <c r="C73" s="246" t="s">
        <v>603</v>
      </c>
      <c r="D73" s="247"/>
      <c r="E73" s="248"/>
      <c r="F73" s="147" t="e">
        <f>#REF!</f>
        <v>#REF!</v>
      </c>
      <c r="G73" s="14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>
      <c r="A74" s="124"/>
      <c r="B74" s="137"/>
      <c r="C74" s="246" t="s">
        <v>610</v>
      </c>
      <c r="D74" s="247"/>
      <c r="E74" s="248"/>
      <c r="F74" s="147" t="e">
        <f>F73-F72</f>
        <v>#REF!</v>
      </c>
      <c r="G74" s="14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>
      <c r="A75" s="8" t="s">
        <v>95</v>
      </c>
      <c r="B75" s="9" t="s">
        <v>46</v>
      </c>
      <c r="C75" s="8" t="s">
        <v>119</v>
      </c>
      <c r="D75" s="8" t="s">
        <v>120</v>
      </c>
      <c r="E75" s="8" t="s">
        <v>121</v>
      </c>
      <c r="F75" s="8" t="s">
        <v>122</v>
      </c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2.5" customHeight="1">
      <c r="A76" s="8" t="s">
        <v>96</v>
      </c>
      <c r="B76" s="22" t="e">
        <f>#REF!</f>
        <v>#REF!</v>
      </c>
      <c r="C76" s="243" t="s">
        <v>123</v>
      </c>
      <c r="D76" s="244"/>
      <c r="E76" s="245"/>
      <c r="F76" s="23" t="e">
        <f>F80</f>
        <v>#REF!</v>
      </c>
      <c r="G76" s="24" t="s">
        <v>124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>
      <c r="A77" s="10"/>
      <c r="B77" s="12" t="s">
        <v>137</v>
      </c>
      <c r="C77" s="13">
        <v>1</v>
      </c>
      <c r="D77" s="13">
        <v>0.56999999999999995</v>
      </c>
      <c r="E77" s="13">
        <v>2.1</v>
      </c>
      <c r="F77" s="13">
        <f>D77*E77</f>
        <v>1.1969999999999998</v>
      </c>
      <c r="G77" s="2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>
      <c r="A78" s="10"/>
      <c r="B78" s="12"/>
      <c r="C78" s="246" t="s">
        <v>602</v>
      </c>
      <c r="D78" s="247"/>
      <c r="E78" s="248"/>
      <c r="F78" s="157">
        <f>F77</f>
        <v>1.1969999999999998</v>
      </c>
      <c r="G78" s="2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>
      <c r="A79" s="10"/>
      <c r="B79" s="12"/>
      <c r="C79" s="246" t="s">
        <v>603</v>
      </c>
      <c r="D79" s="247"/>
      <c r="E79" s="248"/>
      <c r="F79" s="147" t="e">
        <f>#REF!</f>
        <v>#REF!</v>
      </c>
      <c r="G79" s="2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>
      <c r="A80" s="10"/>
      <c r="B80" s="12"/>
      <c r="C80" s="246" t="s">
        <v>610</v>
      </c>
      <c r="D80" s="247"/>
      <c r="E80" s="248"/>
      <c r="F80" s="147" t="e">
        <f>F79-F78</f>
        <v>#REF!</v>
      </c>
      <c r="G80" s="2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24" customHeight="1">
      <c r="A81" s="8" t="s">
        <v>97</v>
      </c>
      <c r="B81" s="22" t="e">
        <f>#REF!</f>
        <v>#REF!</v>
      </c>
      <c r="C81" s="243" t="s">
        <v>131</v>
      </c>
      <c r="D81" s="244"/>
      <c r="E81" s="245"/>
      <c r="F81" s="23">
        <f>SUM(F82:F83)</f>
        <v>61.37</v>
      </c>
      <c r="G81" s="24" t="s">
        <v>124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5">
      <c r="A82" s="10"/>
      <c r="B82" s="158" t="s">
        <v>597</v>
      </c>
      <c r="C82" s="141">
        <v>1</v>
      </c>
      <c r="D82" s="141">
        <v>18.05</v>
      </c>
      <c r="E82" s="141">
        <v>1.7</v>
      </c>
      <c r="F82" s="141">
        <f>(D82*E82)*C82</f>
        <v>30.684999999999999</v>
      </c>
      <c r="G82" s="2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4.5">
      <c r="A83" s="10"/>
      <c r="B83" s="158" t="s">
        <v>593</v>
      </c>
      <c r="C83" s="141">
        <v>1</v>
      </c>
      <c r="D83" s="141">
        <v>18.05</v>
      </c>
      <c r="E83" s="141">
        <v>1.7</v>
      </c>
      <c r="F83" s="141">
        <f>(D83*E83)*C83</f>
        <v>30.684999999999999</v>
      </c>
      <c r="G83" s="2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>
      <c r="A84" s="8" t="s">
        <v>98</v>
      </c>
      <c r="B84" s="9" t="s">
        <v>51</v>
      </c>
      <c r="C84" s="8" t="s">
        <v>119</v>
      </c>
      <c r="D84" s="8" t="s">
        <v>120</v>
      </c>
      <c r="E84" s="8" t="s">
        <v>121</v>
      </c>
      <c r="F84" s="8" t="s">
        <v>122</v>
      </c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>
      <c r="A85" s="131" t="s">
        <v>99</v>
      </c>
      <c r="B85" s="160" t="e">
        <f>#REF!</f>
        <v>#REF!</v>
      </c>
      <c r="C85" s="252" t="s">
        <v>131</v>
      </c>
      <c r="D85" s="253"/>
      <c r="E85" s="254"/>
      <c r="F85" s="121" t="e">
        <f>F105</f>
        <v>#REF!</v>
      </c>
      <c r="G85" s="138" t="s">
        <v>124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>
      <c r="A86" s="140"/>
      <c r="B86" s="165" t="s">
        <v>606</v>
      </c>
      <c r="C86" s="162">
        <v>1</v>
      </c>
      <c r="D86" s="167">
        <v>29.6</v>
      </c>
      <c r="E86" s="167">
        <v>2.6</v>
      </c>
      <c r="F86" s="162">
        <f>(D86*E86)*C86</f>
        <v>76.960000000000008</v>
      </c>
      <c r="G86" s="16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>
      <c r="A87" s="140"/>
      <c r="B87" s="166" t="s">
        <v>607</v>
      </c>
      <c r="C87" s="162">
        <v>1</v>
      </c>
      <c r="D87" s="167">
        <v>21.3</v>
      </c>
      <c r="E87" s="167">
        <v>2.6</v>
      </c>
      <c r="F87" s="162">
        <f t="shared" ref="F87:F94" si="9">(D87*E87)*C87</f>
        <v>55.38</v>
      </c>
      <c r="G87" s="16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>
      <c r="A88" s="140"/>
      <c r="B88" s="166" t="s">
        <v>608</v>
      </c>
      <c r="C88" s="162">
        <v>1</v>
      </c>
      <c r="D88" s="167">
        <v>18</v>
      </c>
      <c r="E88" s="167">
        <v>2.6</v>
      </c>
      <c r="F88" s="162">
        <f t="shared" si="9"/>
        <v>46.800000000000004</v>
      </c>
      <c r="G88" s="16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>
      <c r="A89" s="140"/>
      <c r="B89" s="166" t="s">
        <v>609</v>
      </c>
      <c r="C89" s="162">
        <v>1</v>
      </c>
      <c r="D89" s="167">
        <v>7.25</v>
      </c>
      <c r="E89" s="167">
        <v>2.6</v>
      </c>
      <c r="F89" s="162">
        <f t="shared" si="9"/>
        <v>18.850000000000001</v>
      </c>
      <c r="G89" s="16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>
      <c r="A90" s="140"/>
      <c r="B90" s="166" t="s">
        <v>599</v>
      </c>
      <c r="C90" s="162">
        <v>1</v>
      </c>
      <c r="D90" s="167">
        <v>24.3</v>
      </c>
      <c r="E90" s="167">
        <v>2.6</v>
      </c>
      <c r="F90" s="162">
        <f t="shared" si="9"/>
        <v>63.180000000000007</v>
      </c>
      <c r="G90" s="16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>
      <c r="A91" s="140"/>
      <c r="B91" s="166" t="s">
        <v>600</v>
      </c>
      <c r="C91" s="162">
        <v>1</v>
      </c>
      <c r="D91" s="167">
        <v>19.600000000000001</v>
      </c>
      <c r="E91" s="167">
        <v>2.6</v>
      </c>
      <c r="F91" s="162">
        <f t="shared" si="9"/>
        <v>50.960000000000008</v>
      </c>
      <c r="G91" s="16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>
      <c r="A92" s="140"/>
      <c r="B92" s="166" t="s">
        <v>598</v>
      </c>
      <c r="C92" s="162">
        <v>1</v>
      </c>
      <c r="D92" s="167">
        <v>6.65</v>
      </c>
      <c r="E92" s="167">
        <v>2.6</v>
      </c>
      <c r="F92" s="162">
        <f t="shared" si="9"/>
        <v>17.290000000000003</v>
      </c>
      <c r="G92" s="16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>
      <c r="A93" s="140"/>
      <c r="B93" s="166" t="s">
        <v>611</v>
      </c>
      <c r="C93" s="162">
        <v>1</v>
      </c>
      <c r="D93" s="167">
        <v>12.5</v>
      </c>
      <c r="E93" s="167">
        <v>0.9</v>
      </c>
      <c r="F93" s="162">
        <f t="shared" si="9"/>
        <v>11.25</v>
      </c>
      <c r="G93" s="16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>
      <c r="A94" s="140"/>
      <c r="B94" s="166" t="s">
        <v>612</v>
      </c>
      <c r="C94" s="162">
        <v>1</v>
      </c>
      <c r="D94" s="167">
        <v>12.5</v>
      </c>
      <c r="E94" s="167">
        <v>0.9</v>
      </c>
      <c r="F94" s="162">
        <f t="shared" si="9"/>
        <v>11.25</v>
      </c>
      <c r="G94" s="16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>
      <c r="A95" s="140"/>
      <c r="B95" s="161"/>
      <c r="C95" s="232" t="s">
        <v>614</v>
      </c>
      <c r="D95" s="235"/>
      <c r="E95" s="236"/>
      <c r="F95" s="162">
        <f>SUM(F86:F94)</f>
        <v>351.92</v>
      </c>
      <c r="G95" s="16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>
      <c r="A96" s="140"/>
      <c r="B96" s="161"/>
      <c r="C96" s="169">
        <v>8</v>
      </c>
      <c r="D96" s="162">
        <v>0.8</v>
      </c>
      <c r="E96" s="162">
        <v>2.1</v>
      </c>
      <c r="F96" s="162">
        <f>(D96*E96)*C96</f>
        <v>13.440000000000001</v>
      </c>
      <c r="G96" s="16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>
      <c r="A97" s="140"/>
      <c r="B97" s="161"/>
      <c r="C97" s="169">
        <v>2</v>
      </c>
      <c r="D97" s="162">
        <v>0.7</v>
      </c>
      <c r="E97" s="162">
        <v>2.1</v>
      </c>
      <c r="F97" s="162">
        <f t="shared" ref="F97:F101" si="10">(D97*E97)*C97</f>
        <v>2.94</v>
      </c>
      <c r="G97" s="16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>
      <c r="A98" s="140"/>
      <c r="B98" s="161"/>
      <c r="C98" s="169">
        <v>2</v>
      </c>
      <c r="D98" s="162">
        <v>0.9</v>
      </c>
      <c r="E98" s="162">
        <v>2.1</v>
      </c>
      <c r="F98" s="162">
        <f t="shared" si="10"/>
        <v>3.7800000000000002</v>
      </c>
      <c r="G98" s="16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>
      <c r="A99" s="140"/>
      <c r="B99" s="161"/>
      <c r="C99" s="169">
        <v>1</v>
      </c>
      <c r="D99" s="162">
        <v>1.1499999999999999</v>
      </c>
      <c r="E99" s="162">
        <v>2.1</v>
      </c>
      <c r="F99" s="162">
        <f t="shared" si="10"/>
        <v>2.415</v>
      </c>
      <c r="G99" s="16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>
      <c r="A100" s="140"/>
      <c r="B100" s="161"/>
      <c r="C100" s="169">
        <v>13</v>
      </c>
      <c r="D100" s="162">
        <v>1.5</v>
      </c>
      <c r="E100" s="162">
        <v>1.1000000000000001</v>
      </c>
      <c r="F100" s="162">
        <f t="shared" si="10"/>
        <v>21.450000000000003</v>
      </c>
      <c r="G100" s="16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>
      <c r="A101" s="140"/>
      <c r="B101" s="161"/>
      <c r="C101" s="169">
        <v>2</v>
      </c>
      <c r="D101" s="162">
        <v>2</v>
      </c>
      <c r="E101" s="162">
        <v>0.4</v>
      </c>
      <c r="F101" s="162">
        <f t="shared" si="10"/>
        <v>1.6</v>
      </c>
      <c r="G101" s="16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>
      <c r="A102" s="140"/>
      <c r="B102" s="161"/>
      <c r="C102" s="232" t="s">
        <v>615</v>
      </c>
      <c r="D102" s="233"/>
      <c r="E102" s="234"/>
      <c r="F102" s="162">
        <f>F96+F97+F98+F99+F100+F101</f>
        <v>45.625000000000007</v>
      </c>
      <c r="G102" s="16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>
      <c r="A103" s="140"/>
      <c r="B103" s="161"/>
      <c r="C103" s="232" t="s">
        <v>602</v>
      </c>
      <c r="D103" s="233"/>
      <c r="E103" s="234"/>
      <c r="F103" s="162">
        <f>F95-F102</f>
        <v>306.29500000000002</v>
      </c>
      <c r="G103" s="16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>
      <c r="A104" s="140"/>
      <c r="B104" s="161"/>
      <c r="C104" s="232" t="s">
        <v>603</v>
      </c>
      <c r="D104" s="235"/>
      <c r="E104" s="236"/>
      <c r="F104" s="162" t="e">
        <f>#REF!</f>
        <v>#REF!</v>
      </c>
      <c r="G104" s="16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>
      <c r="A105" s="140"/>
      <c r="B105" s="161"/>
      <c r="C105" s="232" t="s">
        <v>613</v>
      </c>
      <c r="D105" s="233"/>
      <c r="E105" s="234"/>
      <c r="F105" s="162" t="e">
        <f>F103-F104</f>
        <v>#REF!</v>
      </c>
      <c r="G105" s="16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24.75" customHeight="1">
      <c r="A106" s="8" t="s">
        <v>100</v>
      </c>
      <c r="B106" s="22" t="e">
        <f>#REF!</f>
        <v>#REF!</v>
      </c>
      <c r="C106" s="243" t="s">
        <v>123</v>
      </c>
      <c r="D106" s="244"/>
      <c r="E106" s="245"/>
      <c r="F106" s="23" t="e">
        <f>F126</f>
        <v>#REF!</v>
      </c>
      <c r="G106" s="24" t="s">
        <v>124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4.5">
      <c r="A107" s="132"/>
      <c r="B107" s="165" t="s">
        <v>606</v>
      </c>
      <c r="C107" s="162">
        <v>1</v>
      </c>
      <c r="D107" s="167">
        <v>29.6</v>
      </c>
      <c r="E107" s="167">
        <v>2.6</v>
      </c>
      <c r="F107" s="162">
        <f>(D107*E107)*C107</f>
        <v>76.960000000000008</v>
      </c>
      <c r="G107" s="15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5">
      <c r="A108" s="132"/>
      <c r="B108" s="166" t="s">
        <v>607</v>
      </c>
      <c r="C108" s="162">
        <v>1</v>
      </c>
      <c r="D108" s="167">
        <v>21.3</v>
      </c>
      <c r="E108" s="167">
        <v>2.6</v>
      </c>
      <c r="F108" s="162">
        <f t="shared" ref="F108:F115" si="11">(D108*E108)*C108</f>
        <v>55.38</v>
      </c>
      <c r="G108" s="15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5">
      <c r="A109" s="132"/>
      <c r="B109" s="166" t="s">
        <v>608</v>
      </c>
      <c r="C109" s="162">
        <v>1</v>
      </c>
      <c r="D109" s="167">
        <v>18</v>
      </c>
      <c r="E109" s="167">
        <v>2.6</v>
      </c>
      <c r="F109" s="162">
        <f t="shared" si="11"/>
        <v>46.800000000000004</v>
      </c>
      <c r="G109" s="15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5">
      <c r="A110" s="132"/>
      <c r="B110" s="166" t="s">
        <v>609</v>
      </c>
      <c r="C110" s="162">
        <v>1</v>
      </c>
      <c r="D110" s="167">
        <v>7.25</v>
      </c>
      <c r="E110" s="167">
        <v>2.6</v>
      </c>
      <c r="F110" s="162">
        <f t="shared" si="11"/>
        <v>18.850000000000001</v>
      </c>
      <c r="G110" s="15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5">
      <c r="A111" s="132"/>
      <c r="B111" s="166" t="s">
        <v>599</v>
      </c>
      <c r="C111" s="162">
        <v>1</v>
      </c>
      <c r="D111" s="167">
        <v>24.3</v>
      </c>
      <c r="E111" s="167">
        <v>2.6</v>
      </c>
      <c r="F111" s="162">
        <f t="shared" si="11"/>
        <v>63.180000000000007</v>
      </c>
      <c r="G111" s="15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5">
      <c r="A112" s="132"/>
      <c r="B112" s="166" t="s">
        <v>600</v>
      </c>
      <c r="C112" s="162">
        <v>1</v>
      </c>
      <c r="D112" s="167">
        <v>19.600000000000001</v>
      </c>
      <c r="E112" s="167">
        <v>2.6</v>
      </c>
      <c r="F112" s="162">
        <f t="shared" si="11"/>
        <v>50.960000000000008</v>
      </c>
      <c r="G112" s="15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5">
      <c r="A113" s="132"/>
      <c r="B113" s="166" t="s">
        <v>598</v>
      </c>
      <c r="C113" s="162">
        <v>1</v>
      </c>
      <c r="D113" s="167">
        <v>6.65</v>
      </c>
      <c r="E113" s="167">
        <v>2.6</v>
      </c>
      <c r="F113" s="162">
        <f t="shared" si="11"/>
        <v>17.290000000000003</v>
      </c>
      <c r="G113" s="15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5">
      <c r="A114" s="132"/>
      <c r="B114" s="166" t="s">
        <v>611</v>
      </c>
      <c r="C114" s="162">
        <v>1</v>
      </c>
      <c r="D114" s="167">
        <v>12.5</v>
      </c>
      <c r="E114" s="167">
        <v>0.9</v>
      </c>
      <c r="F114" s="162">
        <f t="shared" si="11"/>
        <v>11.25</v>
      </c>
      <c r="G114" s="15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5">
      <c r="A115" s="132"/>
      <c r="B115" s="166" t="s">
        <v>612</v>
      </c>
      <c r="C115" s="162">
        <v>1</v>
      </c>
      <c r="D115" s="167">
        <v>12.5</v>
      </c>
      <c r="E115" s="167">
        <v>0.9</v>
      </c>
      <c r="F115" s="162">
        <f t="shared" si="11"/>
        <v>11.25</v>
      </c>
      <c r="G115" s="15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5">
      <c r="A116" s="132"/>
      <c r="B116" s="166"/>
      <c r="C116" s="232" t="s">
        <v>616</v>
      </c>
      <c r="D116" s="235"/>
      <c r="E116" s="236"/>
      <c r="F116" s="162">
        <f>SUM(F107:F115)</f>
        <v>351.92</v>
      </c>
      <c r="G116" s="15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5">
      <c r="A117" s="132"/>
      <c r="B117" s="166"/>
      <c r="C117" s="169">
        <v>8</v>
      </c>
      <c r="D117" s="162">
        <v>0.8</v>
      </c>
      <c r="E117" s="162">
        <v>2.1</v>
      </c>
      <c r="F117" s="162">
        <f>(D117*E117)*C117</f>
        <v>13.440000000000001</v>
      </c>
      <c r="G117" s="15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5">
      <c r="A118" s="132"/>
      <c r="B118" s="166"/>
      <c r="C118" s="169">
        <v>2</v>
      </c>
      <c r="D118" s="162">
        <v>0.7</v>
      </c>
      <c r="E118" s="162">
        <v>2.1</v>
      </c>
      <c r="F118" s="162">
        <f t="shared" ref="F118:F122" si="12">(D118*E118)*C118</f>
        <v>2.94</v>
      </c>
      <c r="G118" s="1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5">
      <c r="A119" s="132"/>
      <c r="B119" s="166"/>
      <c r="C119" s="169">
        <v>2</v>
      </c>
      <c r="D119" s="162">
        <v>0.9</v>
      </c>
      <c r="E119" s="162">
        <v>2.1</v>
      </c>
      <c r="F119" s="162">
        <f t="shared" si="12"/>
        <v>3.7800000000000002</v>
      </c>
      <c r="G119" s="15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5">
      <c r="A120" s="132"/>
      <c r="B120" s="166"/>
      <c r="C120" s="169">
        <v>1</v>
      </c>
      <c r="D120" s="162">
        <v>1.1499999999999999</v>
      </c>
      <c r="E120" s="162">
        <v>2.1</v>
      </c>
      <c r="F120" s="162">
        <f t="shared" si="12"/>
        <v>2.415</v>
      </c>
      <c r="G120" s="15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5">
      <c r="A121" s="132"/>
      <c r="B121" s="166"/>
      <c r="C121" s="169">
        <v>13</v>
      </c>
      <c r="D121" s="162">
        <v>1.5</v>
      </c>
      <c r="E121" s="162">
        <v>1.1000000000000001</v>
      </c>
      <c r="F121" s="162">
        <f t="shared" si="12"/>
        <v>21.450000000000003</v>
      </c>
      <c r="G121" s="1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5">
      <c r="A122" s="132"/>
      <c r="B122" s="166"/>
      <c r="C122" s="169">
        <v>2</v>
      </c>
      <c r="D122" s="162">
        <v>2</v>
      </c>
      <c r="E122" s="162">
        <v>0.4</v>
      </c>
      <c r="F122" s="162">
        <f t="shared" si="12"/>
        <v>1.6</v>
      </c>
      <c r="G122" s="15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5">
      <c r="A123" s="132"/>
      <c r="B123" s="166"/>
      <c r="C123" s="232" t="s">
        <v>615</v>
      </c>
      <c r="D123" s="233"/>
      <c r="E123" s="234"/>
      <c r="F123" s="162">
        <f>F117+F118+F119+F120+F121+F122</f>
        <v>45.625000000000007</v>
      </c>
      <c r="G123" s="15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5">
      <c r="A124" s="132"/>
      <c r="B124" s="161"/>
      <c r="C124" s="232" t="s">
        <v>602</v>
      </c>
      <c r="D124" s="235"/>
      <c r="E124" s="236"/>
      <c r="F124" s="162">
        <f>F116-F123</f>
        <v>306.29500000000002</v>
      </c>
      <c r="G124" s="15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5">
      <c r="A125" s="132"/>
      <c r="B125" s="161"/>
      <c r="C125" s="232" t="s">
        <v>603</v>
      </c>
      <c r="D125" s="235"/>
      <c r="E125" s="236"/>
      <c r="F125" s="162" t="e">
        <f>#REF!</f>
        <v>#REF!</v>
      </c>
      <c r="G125" s="15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5">
      <c r="A126" s="132"/>
      <c r="B126" s="161"/>
      <c r="C126" s="232" t="s">
        <v>610</v>
      </c>
      <c r="D126" s="233"/>
      <c r="E126" s="234"/>
      <c r="F126" s="162" t="e">
        <f>F125-F124</f>
        <v>#REF!</v>
      </c>
      <c r="G126" s="15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27" customHeight="1">
      <c r="A127" s="8" t="s">
        <v>101</v>
      </c>
      <c r="B127" s="22" t="e">
        <f>#REF!</f>
        <v>#REF!</v>
      </c>
      <c r="C127" s="243" t="s">
        <v>123</v>
      </c>
      <c r="D127" s="244"/>
      <c r="E127" s="245"/>
      <c r="F127" s="23" t="e">
        <f>F147</f>
        <v>#REF!</v>
      </c>
      <c r="G127" s="24" t="s">
        <v>124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5">
      <c r="A128" s="132"/>
      <c r="B128" s="165" t="s">
        <v>606</v>
      </c>
      <c r="C128" s="162">
        <v>1</v>
      </c>
      <c r="D128" s="167">
        <v>29.6</v>
      </c>
      <c r="E128" s="167">
        <v>2.6</v>
      </c>
      <c r="F128" s="162">
        <f>(D128*E128)*C128</f>
        <v>76.960000000000008</v>
      </c>
      <c r="G128" s="15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5">
      <c r="A129" s="132"/>
      <c r="B129" s="166" t="s">
        <v>607</v>
      </c>
      <c r="C129" s="162">
        <v>1</v>
      </c>
      <c r="D129" s="167">
        <v>21.3</v>
      </c>
      <c r="E129" s="167">
        <v>2.6</v>
      </c>
      <c r="F129" s="162">
        <f t="shared" ref="F129:F136" si="13">(D129*E129)*C129</f>
        <v>55.38</v>
      </c>
      <c r="G129" s="15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5">
      <c r="A130" s="132"/>
      <c r="B130" s="166" t="s">
        <v>608</v>
      </c>
      <c r="C130" s="162">
        <v>1</v>
      </c>
      <c r="D130" s="167">
        <v>18</v>
      </c>
      <c r="E130" s="167">
        <v>2.6</v>
      </c>
      <c r="F130" s="162">
        <f t="shared" si="13"/>
        <v>46.800000000000004</v>
      </c>
      <c r="G130" s="15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5">
      <c r="A131" s="132"/>
      <c r="B131" s="166" t="s">
        <v>609</v>
      </c>
      <c r="C131" s="162">
        <v>1</v>
      </c>
      <c r="D131" s="167">
        <v>7.25</v>
      </c>
      <c r="E131" s="167">
        <v>2.6</v>
      </c>
      <c r="F131" s="162">
        <f t="shared" si="13"/>
        <v>18.850000000000001</v>
      </c>
      <c r="G131" s="15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5">
      <c r="A132" s="132"/>
      <c r="B132" s="166" t="s">
        <v>599</v>
      </c>
      <c r="C132" s="162">
        <v>1</v>
      </c>
      <c r="D132" s="167">
        <v>24.3</v>
      </c>
      <c r="E132" s="167">
        <v>2.6</v>
      </c>
      <c r="F132" s="162">
        <f t="shared" si="13"/>
        <v>63.180000000000007</v>
      </c>
      <c r="G132" s="15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5">
      <c r="A133" s="132"/>
      <c r="B133" s="166" t="s">
        <v>600</v>
      </c>
      <c r="C133" s="162">
        <v>1</v>
      </c>
      <c r="D133" s="167">
        <v>19.600000000000001</v>
      </c>
      <c r="E133" s="167">
        <v>2.6</v>
      </c>
      <c r="F133" s="162">
        <f t="shared" si="13"/>
        <v>50.960000000000008</v>
      </c>
      <c r="G133" s="15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5">
      <c r="A134" s="132"/>
      <c r="B134" s="166" t="s">
        <v>598</v>
      </c>
      <c r="C134" s="162">
        <v>1</v>
      </c>
      <c r="D134" s="167">
        <v>6.65</v>
      </c>
      <c r="E134" s="167">
        <v>2.6</v>
      </c>
      <c r="F134" s="162">
        <f>(D134*E134)*C134</f>
        <v>17.290000000000003</v>
      </c>
      <c r="G134" s="15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5">
      <c r="A135" s="132"/>
      <c r="B135" s="166" t="s">
        <v>611</v>
      </c>
      <c r="C135" s="162">
        <v>1</v>
      </c>
      <c r="D135" s="167">
        <v>12.5</v>
      </c>
      <c r="E135" s="167">
        <v>0.9</v>
      </c>
      <c r="F135" s="162">
        <f t="shared" si="13"/>
        <v>11.25</v>
      </c>
      <c r="G135" s="15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5">
      <c r="A136" s="132"/>
      <c r="B136" s="166" t="s">
        <v>612</v>
      </c>
      <c r="C136" s="162">
        <v>1</v>
      </c>
      <c r="D136" s="167">
        <v>12.5</v>
      </c>
      <c r="E136" s="167">
        <v>0.9</v>
      </c>
      <c r="F136" s="162">
        <f t="shared" si="13"/>
        <v>11.25</v>
      </c>
      <c r="G136" s="15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5">
      <c r="A137" s="132"/>
      <c r="B137" s="166"/>
      <c r="C137" s="232" t="s">
        <v>617</v>
      </c>
      <c r="D137" s="235"/>
      <c r="E137" s="236"/>
      <c r="F137" s="162">
        <f>SUM(F128:F136)</f>
        <v>351.92</v>
      </c>
      <c r="G137" s="15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5">
      <c r="A138" s="132"/>
      <c r="B138" s="166"/>
      <c r="C138" s="169">
        <v>8</v>
      </c>
      <c r="D138" s="162">
        <v>0.8</v>
      </c>
      <c r="E138" s="162">
        <v>2.1</v>
      </c>
      <c r="F138" s="162">
        <f>(D138*E138)*C138</f>
        <v>13.440000000000001</v>
      </c>
      <c r="G138" s="15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5">
      <c r="A139" s="132"/>
      <c r="B139" s="166"/>
      <c r="C139" s="169">
        <v>2</v>
      </c>
      <c r="D139" s="162">
        <v>0.7</v>
      </c>
      <c r="E139" s="162">
        <v>2.1</v>
      </c>
      <c r="F139" s="162">
        <f t="shared" ref="F139:F143" si="14">(D139*E139)*C139</f>
        <v>2.94</v>
      </c>
      <c r="G139" s="15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5">
      <c r="A140" s="132"/>
      <c r="B140" s="166"/>
      <c r="C140" s="169">
        <v>2</v>
      </c>
      <c r="D140" s="162">
        <v>0.9</v>
      </c>
      <c r="E140" s="162">
        <v>2.1</v>
      </c>
      <c r="F140" s="162">
        <f t="shared" si="14"/>
        <v>3.7800000000000002</v>
      </c>
      <c r="G140" s="15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5">
      <c r="A141" s="132"/>
      <c r="B141" s="166"/>
      <c r="C141" s="169">
        <v>1</v>
      </c>
      <c r="D141" s="162">
        <v>1.1499999999999999</v>
      </c>
      <c r="E141" s="162">
        <v>2.1</v>
      </c>
      <c r="F141" s="162">
        <f t="shared" si="14"/>
        <v>2.415</v>
      </c>
      <c r="G141" s="15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5">
      <c r="A142" s="132"/>
      <c r="B142" s="166"/>
      <c r="C142" s="169">
        <v>13</v>
      </c>
      <c r="D142" s="162">
        <v>1.5</v>
      </c>
      <c r="E142" s="162">
        <v>1.1000000000000001</v>
      </c>
      <c r="F142" s="162">
        <f t="shared" si="14"/>
        <v>21.450000000000003</v>
      </c>
      <c r="G142" s="15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5">
      <c r="A143" s="132"/>
      <c r="B143" s="166"/>
      <c r="C143" s="169">
        <v>2</v>
      </c>
      <c r="D143" s="162">
        <v>2</v>
      </c>
      <c r="E143" s="162">
        <v>0.4</v>
      </c>
      <c r="F143" s="162">
        <f t="shared" si="14"/>
        <v>1.6</v>
      </c>
      <c r="G143" s="15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5">
      <c r="A144" s="132"/>
      <c r="B144" s="166"/>
      <c r="C144" s="232" t="s">
        <v>615</v>
      </c>
      <c r="D144" s="233"/>
      <c r="E144" s="234"/>
      <c r="F144" s="162">
        <f>F138+F139+F140+F141+F142+F143</f>
        <v>45.625000000000007</v>
      </c>
      <c r="G144" s="15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5">
      <c r="A145" s="132"/>
      <c r="B145" s="161"/>
      <c r="C145" s="232" t="s">
        <v>602</v>
      </c>
      <c r="D145" s="235"/>
      <c r="E145" s="236"/>
      <c r="F145" s="162">
        <f>F137-F144</f>
        <v>306.29500000000002</v>
      </c>
      <c r="G145" s="15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5">
      <c r="A146" s="132"/>
      <c r="B146" s="161"/>
      <c r="C146" s="232" t="s">
        <v>603</v>
      </c>
      <c r="D146" s="235"/>
      <c r="E146" s="236"/>
      <c r="F146" s="162" t="e">
        <f>#REF!</f>
        <v>#REF!</v>
      </c>
      <c r="G146" s="15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5">
      <c r="A147" s="133"/>
      <c r="B147" s="176"/>
      <c r="C147" s="237" t="s">
        <v>610</v>
      </c>
      <c r="D147" s="238"/>
      <c r="E147" s="239"/>
      <c r="F147" s="177" t="e">
        <f>F146-F145</f>
        <v>#REF!</v>
      </c>
      <c r="G147" s="17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26">
      <c r="A148" s="123" t="s">
        <v>102</v>
      </c>
      <c r="B148" s="136" t="s">
        <v>56</v>
      </c>
      <c r="C148" s="243" t="s">
        <v>123</v>
      </c>
      <c r="D148" s="244"/>
      <c r="E148" s="245"/>
      <c r="F148" s="23">
        <f>SUM(F149:F150)</f>
        <v>67.4238</v>
      </c>
      <c r="G148" s="24" t="s">
        <v>124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5">
      <c r="A149" s="140"/>
      <c r="B149" s="182" t="s">
        <v>626</v>
      </c>
      <c r="C149" s="169">
        <v>1</v>
      </c>
      <c r="D149" s="169">
        <v>6.18</v>
      </c>
      <c r="E149" s="169">
        <v>6.23</v>
      </c>
      <c r="F149" s="162">
        <f>(D149*E149)*C149</f>
        <v>38.501400000000004</v>
      </c>
      <c r="G149" s="16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5">
      <c r="A150" s="140"/>
      <c r="B150" s="182" t="s">
        <v>627</v>
      </c>
      <c r="C150" s="169">
        <v>1</v>
      </c>
      <c r="D150" s="169">
        <v>6.18</v>
      </c>
      <c r="E150" s="169">
        <v>4.68</v>
      </c>
      <c r="F150" s="162">
        <f>(D150*E150)*C150</f>
        <v>28.922399999999996</v>
      </c>
      <c r="G150" s="16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>
      <c r="A151" s="174" t="s">
        <v>103</v>
      </c>
      <c r="B151" s="179" t="s">
        <v>58</v>
      </c>
      <c r="C151" s="180"/>
      <c r="D151" s="180"/>
      <c r="E151" s="180"/>
      <c r="F151" s="180"/>
      <c r="G151" s="18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>
      <c r="A152" s="8" t="s">
        <v>104</v>
      </c>
      <c r="B152" s="9" t="s">
        <v>60</v>
      </c>
      <c r="C152" s="8" t="s">
        <v>119</v>
      </c>
      <c r="D152" s="8" t="s">
        <v>120</v>
      </c>
      <c r="E152" s="8" t="s">
        <v>121</v>
      </c>
      <c r="F152" s="8" t="s">
        <v>122</v>
      </c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5">
      <c r="A153" s="131" t="s">
        <v>105</v>
      </c>
      <c r="B153" s="160" t="e">
        <f>#REF!</f>
        <v>#REF!</v>
      </c>
      <c r="C153" s="240" t="s">
        <v>131</v>
      </c>
      <c r="D153" s="241"/>
      <c r="E153" s="242"/>
      <c r="F153" s="139" t="e">
        <f>F173</f>
        <v>#REF!</v>
      </c>
      <c r="G153" s="173" t="s">
        <v>124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5">
      <c r="A154" s="140"/>
      <c r="B154" s="171" t="s">
        <v>618</v>
      </c>
      <c r="C154" s="162"/>
      <c r="D154" s="163"/>
      <c r="E154" s="163"/>
      <c r="F154" s="162"/>
      <c r="G154" s="16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5">
      <c r="A155" s="140"/>
      <c r="B155" s="166" t="s">
        <v>623</v>
      </c>
      <c r="C155" s="162">
        <v>1</v>
      </c>
      <c r="D155" s="168">
        <v>20</v>
      </c>
      <c r="E155" s="168">
        <v>15.2</v>
      </c>
      <c r="F155" s="172">
        <f>(D155*E155)*C155</f>
        <v>304</v>
      </c>
      <c r="G155" s="162">
        <f>F155+F156</f>
        <v>313.92939999999999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5">
      <c r="A156" s="140"/>
      <c r="B156" s="166" t="s">
        <v>624</v>
      </c>
      <c r="C156" s="162">
        <v>2</v>
      </c>
      <c r="D156" s="168">
        <v>7.41</v>
      </c>
      <c r="E156" s="168">
        <v>1.34</v>
      </c>
      <c r="F156" s="172">
        <f>(D156*E156)*C156/2</f>
        <v>9.9294000000000011</v>
      </c>
      <c r="G156" s="16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5">
      <c r="A157" s="140"/>
      <c r="B157" s="171" t="s">
        <v>619</v>
      </c>
      <c r="C157" s="162"/>
      <c r="D157" s="168"/>
      <c r="E157" s="168"/>
      <c r="F157" s="172"/>
      <c r="G157" s="16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5">
      <c r="A158" s="140"/>
      <c r="B158" s="171"/>
      <c r="C158" s="162">
        <v>2</v>
      </c>
      <c r="D158" s="168">
        <v>5</v>
      </c>
      <c r="E158" s="168">
        <v>0.77</v>
      </c>
      <c r="F158" s="172">
        <f>(D158*E158)*C158</f>
        <v>7.7</v>
      </c>
      <c r="G158" s="16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5">
      <c r="A159" s="140"/>
      <c r="B159" s="171" t="s">
        <v>620</v>
      </c>
      <c r="C159" s="162"/>
      <c r="D159" s="168"/>
      <c r="E159" s="168"/>
      <c r="F159" s="172"/>
      <c r="G159" s="16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5">
      <c r="A160" s="140"/>
      <c r="B160" s="171"/>
      <c r="C160" s="162">
        <v>1</v>
      </c>
      <c r="D160" s="168">
        <v>10.199999999999999</v>
      </c>
      <c r="E160" s="168">
        <v>3.04</v>
      </c>
      <c r="F160" s="172">
        <f t="shared" ref="F160" si="15">(D160*E160)*C160</f>
        <v>31.007999999999999</v>
      </c>
      <c r="G160" s="16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5">
      <c r="A161" s="140"/>
      <c r="B161" s="171" t="s">
        <v>621</v>
      </c>
      <c r="C161" s="162"/>
      <c r="D161" s="168"/>
      <c r="E161" s="168"/>
      <c r="F161" s="172"/>
      <c r="G161" s="16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5">
      <c r="A162" s="140"/>
      <c r="B162" s="166" t="s">
        <v>623</v>
      </c>
      <c r="C162" s="162">
        <v>1</v>
      </c>
      <c r="D162" s="168">
        <v>20</v>
      </c>
      <c r="E162" s="168">
        <v>15.2</v>
      </c>
      <c r="F162" s="172">
        <f t="shared" ref="F162" si="16">(D162*E162)*C162</f>
        <v>304</v>
      </c>
      <c r="G162" s="16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5">
      <c r="A163" s="140"/>
      <c r="B163" s="166" t="s">
        <v>624</v>
      </c>
      <c r="C163" s="162">
        <v>2</v>
      </c>
      <c r="D163" s="168">
        <v>7.41</v>
      </c>
      <c r="E163" s="168">
        <v>1.34</v>
      </c>
      <c r="F163" s="172">
        <f>(D163*E163)*C163/2</f>
        <v>9.9294000000000011</v>
      </c>
      <c r="G163" s="16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5">
      <c r="A164" s="140"/>
      <c r="B164" s="171" t="s">
        <v>622</v>
      </c>
      <c r="C164" s="162"/>
      <c r="D164" s="168"/>
      <c r="E164" s="168"/>
      <c r="F164" s="172"/>
      <c r="G164" s="16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5">
      <c r="A165" s="140"/>
      <c r="B165" s="170"/>
      <c r="C165" s="162">
        <v>1</v>
      </c>
      <c r="D165" s="168">
        <v>10.199999999999999</v>
      </c>
      <c r="E165" s="168">
        <v>3.04</v>
      </c>
      <c r="F165" s="172">
        <f t="shared" ref="F165" si="17">(D165*E165)*C165</f>
        <v>31.007999999999999</v>
      </c>
      <c r="G165" s="16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5">
      <c r="A166" s="140"/>
      <c r="B166" s="170"/>
      <c r="C166" s="232" t="s">
        <v>625</v>
      </c>
      <c r="D166" s="235"/>
      <c r="E166" s="236"/>
      <c r="F166" s="162">
        <f>SUM(F155:F165)</f>
        <v>697.57479999999998</v>
      </c>
      <c r="G166" s="16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5">
      <c r="A167" s="140"/>
      <c r="B167" s="170"/>
      <c r="C167" s="169">
        <v>1</v>
      </c>
      <c r="D167" s="162">
        <v>1.1499999999999999</v>
      </c>
      <c r="E167" s="162">
        <v>2.1</v>
      </c>
      <c r="F167" s="162">
        <f>(D167*E167)*C167</f>
        <v>2.415</v>
      </c>
      <c r="G167" s="16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5">
      <c r="A168" s="140"/>
      <c r="B168" s="170"/>
      <c r="C168" s="169">
        <v>13</v>
      </c>
      <c r="D168" s="162">
        <v>1.5</v>
      </c>
      <c r="E168" s="162">
        <v>1.1000000000000001</v>
      </c>
      <c r="F168" s="162">
        <f t="shared" ref="F168:F169" si="18">(D168*E168)*C168</f>
        <v>21.450000000000003</v>
      </c>
      <c r="G168" s="16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5">
      <c r="A169" s="140"/>
      <c r="B169" s="170"/>
      <c r="C169" s="169">
        <v>2</v>
      </c>
      <c r="D169" s="162">
        <v>2</v>
      </c>
      <c r="E169" s="162">
        <v>0.4</v>
      </c>
      <c r="F169" s="162">
        <f t="shared" si="18"/>
        <v>1.6</v>
      </c>
      <c r="G169" s="16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5">
      <c r="A170" s="140"/>
      <c r="B170" s="170"/>
      <c r="C170" s="232" t="s">
        <v>615</v>
      </c>
      <c r="D170" s="233"/>
      <c r="E170" s="234"/>
      <c r="F170" s="162">
        <f>F167+F168+F169</f>
        <v>25.465000000000003</v>
      </c>
      <c r="G170" s="16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5">
      <c r="A171" s="140"/>
      <c r="B171" s="170"/>
      <c r="C171" s="232" t="s">
        <v>602</v>
      </c>
      <c r="D171" s="235"/>
      <c r="E171" s="236"/>
      <c r="F171" s="162">
        <f>F166-F170</f>
        <v>672.10979999999995</v>
      </c>
      <c r="G171" s="16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5">
      <c r="A172" s="140"/>
      <c r="B172" s="170"/>
      <c r="C172" s="232" t="s">
        <v>603</v>
      </c>
      <c r="D172" s="235"/>
      <c r="E172" s="236"/>
      <c r="F172" s="162" t="e">
        <f>#REF!</f>
        <v>#REF!</v>
      </c>
      <c r="G172" s="16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5">
      <c r="A173" s="140"/>
      <c r="B173" s="170"/>
      <c r="C173" s="232" t="s">
        <v>613</v>
      </c>
      <c r="D173" s="233"/>
      <c r="E173" s="234"/>
      <c r="F173" s="162" t="e">
        <f>F171-F172</f>
        <v>#REF!</v>
      </c>
      <c r="G173" s="16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>
      <c r="A174" s="174" t="s">
        <v>106</v>
      </c>
      <c r="B174" s="175" t="s">
        <v>107</v>
      </c>
      <c r="C174" s="174" t="s">
        <v>119</v>
      </c>
      <c r="D174" s="174" t="s">
        <v>120</v>
      </c>
      <c r="E174" s="174" t="s">
        <v>138</v>
      </c>
      <c r="F174" s="174" t="s">
        <v>122</v>
      </c>
      <c r="G174" s="17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>
      <c r="A175" s="8" t="s">
        <v>108</v>
      </c>
      <c r="B175" s="29" t="s">
        <v>109</v>
      </c>
      <c r="C175" s="243" t="s">
        <v>131</v>
      </c>
      <c r="D175" s="244"/>
      <c r="E175" s="245"/>
      <c r="F175" s="23">
        <f>1.2*0.5</f>
        <v>0.6</v>
      </c>
      <c r="G175" s="24" t="s">
        <v>124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5">
      <c r="A176" s="10"/>
      <c r="B176" s="15" t="s">
        <v>139</v>
      </c>
      <c r="C176" s="13"/>
      <c r="D176" s="13">
        <v>1.2</v>
      </c>
      <c r="E176" s="13">
        <v>0.5</v>
      </c>
      <c r="F176" s="13">
        <f>D176*E176</f>
        <v>0.6</v>
      </c>
      <c r="G176" s="2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>
      <c r="A177" s="8" t="s">
        <v>110</v>
      </c>
      <c r="B177" s="29" t="s">
        <v>111</v>
      </c>
      <c r="C177" s="243" t="s">
        <v>131</v>
      </c>
      <c r="D177" s="244"/>
      <c r="E177" s="245"/>
      <c r="F177" s="23">
        <v>1</v>
      </c>
      <c r="G177" s="24" t="s">
        <v>132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>
      <c r="A178" s="10"/>
      <c r="B178" s="15"/>
      <c r="C178" s="13">
        <v>1</v>
      </c>
      <c r="D178" s="13"/>
      <c r="E178" s="13"/>
      <c r="F178" s="13"/>
      <c r="G178" s="2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>
      <c r="A179" s="8" t="s">
        <v>112</v>
      </c>
      <c r="B179" s="29" t="s">
        <v>113</v>
      </c>
      <c r="C179" s="243" t="s">
        <v>131</v>
      </c>
      <c r="D179" s="244"/>
      <c r="E179" s="245"/>
      <c r="F179" s="23">
        <v>1</v>
      </c>
      <c r="G179" s="24" t="s">
        <v>132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>
      <c r="A180" s="10"/>
      <c r="B180" s="15"/>
      <c r="C180" s="13">
        <v>1</v>
      </c>
      <c r="D180" s="13"/>
      <c r="E180" s="13"/>
      <c r="F180" s="13"/>
      <c r="G180" s="2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>
      <c r="A181" s="8" t="s">
        <v>114</v>
      </c>
      <c r="B181" s="22" t="s">
        <v>115</v>
      </c>
      <c r="C181" s="243" t="s">
        <v>131</v>
      </c>
      <c r="D181" s="244"/>
      <c r="E181" s="245"/>
      <c r="F181" s="31">
        <v>1</v>
      </c>
      <c r="G181" s="32" t="s">
        <v>132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>
      <c r="A182" s="10"/>
      <c r="B182" s="12"/>
      <c r="C182" s="13">
        <v>1</v>
      </c>
      <c r="D182" s="13"/>
      <c r="E182" s="17"/>
      <c r="F182" s="17"/>
      <c r="G182" s="3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>
      <c r="A183" s="8" t="s">
        <v>116</v>
      </c>
      <c r="B183" s="22" t="s">
        <v>117</v>
      </c>
      <c r="C183" s="243" t="s">
        <v>131</v>
      </c>
      <c r="D183" s="244"/>
      <c r="E183" s="245"/>
      <c r="F183" s="23">
        <f>C184</f>
        <v>2</v>
      </c>
      <c r="G183" s="24" t="s">
        <v>132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>
      <c r="A184" s="10"/>
      <c r="B184" s="12"/>
      <c r="C184" s="13">
        <v>2</v>
      </c>
      <c r="D184" s="13"/>
      <c r="E184" s="13"/>
      <c r="F184" s="13"/>
      <c r="G184" s="2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>
      <c r="A185" s="8" t="e">
        <f>'MD03'!#REF!</f>
        <v>#REF!</v>
      </c>
      <c r="B185" s="22" t="e">
        <f>'MD03'!#REF!</f>
        <v>#REF!</v>
      </c>
      <c r="C185" s="243" t="s">
        <v>131</v>
      </c>
      <c r="D185" s="244"/>
      <c r="E185" s="245"/>
      <c r="F185" s="23">
        <f>C186</f>
        <v>2</v>
      </c>
      <c r="G185" s="24" t="s">
        <v>132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>
      <c r="A186" s="10"/>
      <c r="B186" s="12"/>
      <c r="C186" s="13">
        <v>2</v>
      </c>
      <c r="D186" s="13"/>
      <c r="E186" s="13"/>
      <c r="F186" s="13"/>
      <c r="G186" s="2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>
      <c r="A187" s="20"/>
      <c r="B187" s="21"/>
      <c r="C187" s="19"/>
      <c r="D187" s="19"/>
      <c r="E187" s="19"/>
      <c r="F187" s="19"/>
      <c r="G187" s="3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>
      <c r="A188" s="20"/>
      <c r="B188" s="21"/>
      <c r="C188" s="19"/>
      <c r="D188" s="19"/>
      <c r="E188" s="19"/>
      <c r="F188" s="19"/>
      <c r="G188" s="3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>
      <c r="A189" s="20"/>
      <c r="B189" s="21"/>
      <c r="C189" s="19"/>
      <c r="D189" s="19"/>
      <c r="E189" s="19"/>
      <c r="F189" s="19"/>
      <c r="G189" s="3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>
      <c r="A190" s="20"/>
      <c r="B190" s="21"/>
      <c r="C190" s="19"/>
      <c r="D190" s="19"/>
      <c r="E190" s="19"/>
      <c r="F190" s="19"/>
      <c r="G190" s="3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>
      <c r="A191" s="20"/>
      <c r="B191" s="21"/>
      <c r="C191" s="19"/>
      <c r="D191" s="19"/>
      <c r="E191" s="19"/>
      <c r="F191" s="19"/>
      <c r="G191" s="3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>
      <c r="A192" s="20"/>
      <c r="B192" s="21"/>
      <c r="C192" s="19"/>
      <c r="D192" s="19"/>
      <c r="E192" s="19"/>
      <c r="F192" s="19"/>
      <c r="G192" s="3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>
      <c r="A193" s="20"/>
      <c r="B193" s="21"/>
      <c r="C193" s="19"/>
      <c r="D193" s="19"/>
      <c r="E193" s="19"/>
      <c r="F193" s="19"/>
      <c r="G193" s="3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>
      <c r="A194" s="20"/>
      <c r="B194" s="21"/>
      <c r="C194" s="19"/>
      <c r="D194" s="19"/>
      <c r="E194" s="19"/>
      <c r="F194" s="19"/>
      <c r="G194" s="3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>
      <c r="A195" s="20"/>
      <c r="B195" s="21"/>
      <c r="C195" s="19"/>
      <c r="D195" s="19"/>
      <c r="E195" s="19"/>
      <c r="F195" s="19"/>
      <c r="G195" s="3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>
      <c r="A196" s="20"/>
      <c r="B196" s="21"/>
      <c r="C196" s="19"/>
      <c r="D196" s="19"/>
      <c r="E196" s="19"/>
      <c r="F196" s="19"/>
      <c r="G196" s="3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>
      <c r="A197" s="20"/>
      <c r="B197" s="21"/>
      <c r="C197" s="19"/>
      <c r="D197" s="19"/>
      <c r="E197" s="19"/>
      <c r="F197" s="19"/>
      <c r="G197" s="3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>
      <c r="A198" s="20"/>
      <c r="B198" s="21"/>
      <c r="C198" s="19"/>
      <c r="D198" s="19"/>
      <c r="E198" s="19"/>
      <c r="F198" s="19"/>
      <c r="G198" s="3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>
      <c r="A199" s="20"/>
      <c r="B199" s="21"/>
      <c r="C199" s="19"/>
      <c r="D199" s="19"/>
      <c r="E199" s="19"/>
      <c r="F199" s="19"/>
      <c r="G199" s="3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>
      <c r="A200" s="20"/>
      <c r="B200" s="21"/>
      <c r="C200" s="19"/>
      <c r="D200" s="19"/>
      <c r="E200" s="19"/>
      <c r="F200" s="19"/>
      <c r="G200" s="3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>
      <c r="A201" s="20"/>
      <c r="B201" s="21"/>
      <c r="C201" s="19"/>
      <c r="D201" s="19"/>
      <c r="E201" s="19"/>
      <c r="F201" s="19"/>
      <c r="G201" s="3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>
      <c r="A202" s="20"/>
      <c r="B202" s="21"/>
      <c r="C202" s="19"/>
      <c r="D202" s="19"/>
      <c r="E202" s="19"/>
      <c r="F202" s="19"/>
      <c r="G202" s="3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>
      <c r="A203" s="20"/>
      <c r="B203" s="21"/>
      <c r="C203" s="19"/>
      <c r="D203" s="19"/>
      <c r="E203" s="19"/>
      <c r="F203" s="19"/>
      <c r="G203" s="3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>
      <c r="A204" s="20"/>
      <c r="B204" s="21"/>
      <c r="C204" s="19"/>
      <c r="D204" s="19"/>
      <c r="E204" s="19"/>
      <c r="F204" s="19"/>
      <c r="G204" s="3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>
      <c r="A205" s="20"/>
      <c r="B205" s="21"/>
      <c r="C205" s="19"/>
      <c r="D205" s="19"/>
      <c r="E205" s="19"/>
      <c r="F205" s="19"/>
      <c r="G205" s="3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>
      <c r="A206" s="20"/>
      <c r="B206" s="21"/>
      <c r="C206" s="19"/>
      <c r="D206" s="19"/>
      <c r="E206" s="19"/>
      <c r="F206" s="19"/>
      <c r="G206" s="3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>
      <c r="A207" s="20"/>
      <c r="B207" s="21"/>
      <c r="C207" s="19"/>
      <c r="D207" s="19"/>
      <c r="E207" s="19"/>
      <c r="F207" s="19"/>
      <c r="G207" s="3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>
      <c r="A208" s="20"/>
      <c r="B208" s="21"/>
      <c r="C208" s="19"/>
      <c r="D208" s="19"/>
      <c r="E208" s="19"/>
      <c r="F208" s="19"/>
      <c r="G208" s="3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>
      <c r="A209" s="20"/>
      <c r="B209" s="21"/>
      <c r="C209" s="19"/>
      <c r="D209" s="19"/>
      <c r="E209" s="19"/>
      <c r="F209" s="19"/>
      <c r="G209" s="3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>
      <c r="A210" s="20"/>
      <c r="B210" s="21"/>
      <c r="C210" s="19"/>
      <c r="D210" s="19"/>
      <c r="E210" s="19"/>
      <c r="F210" s="19"/>
      <c r="G210" s="3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>
      <c r="A211" s="20"/>
      <c r="B211" s="21"/>
      <c r="C211" s="19"/>
      <c r="D211" s="19"/>
      <c r="E211" s="19"/>
      <c r="F211" s="19"/>
      <c r="G211" s="3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>
      <c r="A212" s="20"/>
      <c r="B212" s="21"/>
      <c r="C212" s="19"/>
      <c r="D212" s="19"/>
      <c r="E212" s="19"/>
      <c r="F212" s="19"/>
      <c r="G212" s="3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>
      <c r="A213" s="20"/>
      <c r="B213" s="21"/>
      <c r="C213" s="19"/>
      <c r="D213" s="19"/>
      <c r="E213" s="19"/>
      <c r="F213" s="19"/>
      <c r="G213" s="3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>
      <c r="A214" s="20"/>
      <c r="B214" s="21"/>
      <c r="C214" s="19"/>
      <c r="D214" s="19"/>
      <c r="E214" s="19"/>
      <c r="F214" s="19"/>
      <c r="G214" s="3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>
      <c r="A215" s="20"/>
      <c r="B215" s="21"/>
      <c r="C215" s="19"/>
      <c r="D215" s="19"/>
      <c r="E215" s="19"/>
      <c r="F215" s="19"/>
      <c r="G215" s="3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>
      <c r="A216" s="20"/>
      <c r="B216" s="21"/>
      <c r="C216" s="19"/>
      <c r="D216" s="19"/>
      <c r="E216" s="19"/>
      <c r="F216" s="19"/>
      <c r="G216" s="3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>
      <c r="A217" s="20"/>
      <c r="B217" s="21"/>
      <c r="C217" s="19"/>
      <c r="D217" s="19"/>
      <c r="E217" s="19"/>
      <c r="F217" s="19"/>
      <c r="G217" s="3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>
      <c r="A218" s="20"/>
      <c r="B218" s="21"/>
      <c r="C218" s="19"/>
      <c r="D218" s="19"/>
      <c r="E218" s="19"/>
      <c r="F218" s="19"/>
      <c r="G218" s="3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>
      <c r="A219" s="20"/>
      <c r="B219" s="21"/>
      <c r="C219" s="19"/>
      <c r="D219" s="19"/>
      <c r="E219" s="19"/>
      <c r="F219" s="19"/>
      <c r="G219" s="3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>
      <c r="A220" s="20"/>
      <c r="B220" s="21"/>
      <c r="C220" s="19"/>
      <c r="D220" s="19"/>
      <c r="E220" s="19"/>
      <c r="F220" s="19"/>
      <c r="G220" s="3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>
      <c r="A221" s="20"/>
      <c r="B221" s="21"/>
      <c r="C221" s="19"/>
      <c r="D221" s="19"/>
      <c r="E221" s="19"/>
      <c r="F221" s="19"/>
      <c r="G221" s="3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>
      <c r="A222" s="20"/>
      <c r="B222" s="21"/>
      <c r="C222" s="19"/>
      <c r="D222" s="19"/>
      <c r="E222" s="19"/>
      <c r="F222" s="19"/>
      <c r="G222" s="3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>
      <c r="A223" s="20"/>
      <c r="B223" s="21"/>
      <c r="C223" s="19"/>
      <c r="D223" s="19"/>
      <c r="E223" s="19"/>
      <c r="F223" s="19"/>
      <c r="G223" s="3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>
      <c r="A224" s="20"/>
      <c r="B224" s="21"/>
      <c r="C224" s="19"/>
      <c r="D224" s="19"/>
      <c r="E224" s="19"/>
      <c r="F224" s="19"/>
      <c r="G224" s="3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>
      <c r="A225" s="20"/>
      <c r="B225" s="21"/>
      <c r="C225" s="19"/>
      <c r="D225" s="19"/>
      <c r="E225" s="19"/>
      <c r="F225" s="19"/>
      <c r="G225" s="3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>
      <c r="A226" s="20"/>
      <c r="B226" s="21"/>
      <c r="C226" s="19"/>
      <c r="D226" s="19"/>
      <c r="E226" s="19"/>
      <c r="F226" s="19"/>
      <c r="G226" s="3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>
      <c r="A227" s="20"/>
      <c r="B227" s="21"/>
      <c r="C227" s="19"/>
      <c r="D227" s="19"/>
      <c r="E227" s="19"/>
      <c r="F227" s="19"/>
      <c r="G227" s="3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>
      <c r="A228" s="20"/>
      <c r="B228" s="21"/>
      <c r="C228" s="19"/>
      <c r="D228" s="19"/>
      <c r="E228" s="19"/>
      <c r="F228" s="19"/>
      <c r="G228" s="3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>
      <c r="A229" s="20"/>
      <c r="B229" s="21"/>
      <c r="C229" s="19"/>
      <c r="D229" s="19"/>
      <c r="E229" s="19"/>
      <c r="F229" s="19"/>
      <c r="G229" s="3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>
      <c r="A230" s="20"/>
      <c r="B230" s="21"/>
      <c r="C230" s="19"/>
      <c r="D230" s="19"/>
      <c r="E230" s="19"/>
      <c r="F230" s="19"/>
      <c r="G230" s="3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>
      <c r="A231" s="20"/>
      <c r="B231" s="21"/>
      <c r="C231" s="19"/>
      <c r="D231" s="19"/>
      <c r="E231" s="19"/>
      <c r="F231" s="19"/>
      <c r="G231" s="3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>
      <c r="A232" s="20"/>
      <c r="B232" s="21"/>
      <c r="C232" s="19"/>
      <c r="D232" s="19"/>
      <c r="E232" s="19"/>
      <c r="F232" s="19"/>
      <c r="G232" s="3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>
      <c r="A233" s="20"/>
      <c r="B233" s="21"/>
      <c r="C233" s="19"/>
      <c r="D233" s="19"/>
      <c r="E233" s="19"/>
      <c r="F233" s="19"/>
      <c r="G233" s="3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>
      <c r="A234" s="20"/>
      <c r="B234" s="21"/>
      <c r="C234" s="19"/>
      <c r="D234" s="19"/>
      <c r="E234" s="19"/>
      <c r="F234" s="19"/>
      <c r="G234" s="3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>
      <c r="A235" s="20"/>
      <c r="B235" s="21"/>
      <c r="C235" s="19"/>
      <c r="D235" s="19"/>
      <c r="E235" s="19"/>
      <c r="F235" s="19"/>
      <c r="G235" s="3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>
      <c r="A236" s="20"/>
      <c r="B236" s="21"/>
      <c r="C236" s="19"/>
      <c r="D236" s="19"/>
      <c r="E236" s="19"/>
      <c r="F236" s="19"/>
      <c r="G236" s="3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>
      <c r="A237" s="20"/>
      <c r="B237" s="21"/>
      <c r="C237" s="19"/>
      <c r="D237" s="19"/>
      <c r="E237" s="19"/>
      <c r="F237" s="19"/>
      <c r="G237" s="3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>
      <c r="A238" s="20"/>
      <c r="B238" s="21"/>
      <c r="C238" s="19"/>
      <c r="D238" s="19"/>
      <c r="E238" s="19"/>
      <c r="F238" s="19"/>
      <c r="G238" s="3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>
      <c r="A239" s="20"/>
      <c r="B239" s="21"/>
      <c r="C239" s="19"/>
      <c r="D239" s="19"/>
      <c r="E239" s="19"/>
      <c r="F239" s="19"/>
      <c r="G239" s="3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>
      <c r="A240" s="20"/>
      <c r="B240" s="21"/>
      <c r="C240" s="19"/>
      <c r="D240" s="19"/>
      <c r="E240" s="19"/>
      <c r="F240" s="19"/>
      <c r="G240" s="3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>
      <c r="A241" s="20"/>
      <c r="B241" s="21"/>
      <c r="C241" s="19"/>
      <c r="D241" s="19"/>
      <c r="E241" s="19"/>
      <c r="F241" s="19"/>
      <c r="G241" s="3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>
      <c r="A242" s="20"/>
      <c r="B242" s="21"/>
      <c r="C242" s="19"/>
      <c r="D242" s="19"/>
      <c r="E242" s="19"/>
      <c r="F242" s="19"/>
      <c r="G242" s="3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>
      <c r="A243" s="20"/>
      <c r="B243" s="21"/>
      <c r="C243" s="19"/>
      <c r="D243" s="19"/>
      <c r="E243" s="19"/>
      <c r="F243" s="19"/>
      <c r="G243" s="3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>
      <c r="A244" s="20"/>
      <c r="B244" s="21"/>
      <c r="C244" s="19"/>
      <c r="D244" s="19"/>
      <c r="E244" s="19"/>
      <c r="F244" s="19"/>
      <c r="G244" s="3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>
      <c r="A245" s="20"/>
      <c r="B245" s="21"/>
      <c r="C245" s="19"/>
      <c r="D245" s="19"/>
      <c r="E245" s="19"/>
      <c r="F245" s="19"/>
      <c r="G245" s="3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>
      <c r="A246" s="20"/>
      <c r="B246" s="21"/>
      <c r="C246" s="19"/>
      <c r="D246" s="19"/>
      <c r="E246" s="19"/>
      <c r="F246" s="19"/>
      <c r="G246" s="3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>
      <c r="A247" s="20"/>
      <c r="B247" s="21"/>
      <c r="C247" s="19"/>
      <c r="D247" s="19"/>
      <c r="E247" s="19"/>
      <c r="F247" s="19"/>
      <c r="G247" s="3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>
      <c r="A248" s="20"/>
      <c r="B248" s="21"/>
      <c r="C248" s="19"/>
      <c r="D248" s="19"/>
      <c r="E248" s="19"/>
      <c r="F248" s="19"/>
      <c r="G248" s="3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>
      <c r="A249" s="20"/>
      <c r="B249" s="21"/>
      <c r="C249" s="19"/>
      <c r="D249" s="19"/>
      <c r="E249" s="19"/>
      <c r="F249" s="19"/>
      <c r="G249" s="3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>
      <c r="A250" s="20"/>
      <c r="B250" s="21"/>
      <c r="C250" s="19"/>
      <c r="D250" s="19"/>
      <c r="E250" s="19"/>
      <c r="F250" s="19"/>
      <c r="G250" s="3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>
      <c r="A251" s="20"/>
      <c r="B251" s="21"/>
      <c r="C251" s="19"/>
      <c r="D251" s="19"/>
      <c r="E251" s="19"/>
      <c r="F251" s="19"/>
      <c r="G251" s="3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>
      <c r="A252" s="20"/>
      <c r="B252" s="21"/>
      <c r="C252" s="19"/>
      <c r="D252" s="19"/>
      <c r="E252" s="19"/>
      <c r="F252" s="19"/>
      <c r="G252" s="3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>
      <c r="A253" s="20"/>
      <c r="B253" s="21"/>
      <c r="C253" s="19"/>
      <c r="D253" s="19"/>
      <c r="E253" s="19"/>
      <c r="F253" s="19"/>
      <c r="G253" s="3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>
      <c r="A254" s="20"/>
      <c r="B254" s="21"/>
      <c r="C254" s="19"/>
      <c r="D254" s="19"/>
      <c r="E254" s="19"/>
      <c r="F254" s="19"/>
      <c r="G254" s="3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>
      <c r="A255" s="20"/>
      <c r="B255" s="21"/>
      <c r="C255" s="19"/>
      <c r="D255" s="19"/>
      <c r="E255" s="19"/>
      <c r="F255" s="19"/>
      <c r="G255" s="3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>
      <c r="A256" s="20"/>
      <c r="B256" s="21"/>
      <c r="C256" s="19"/>
      <c r="D256" s="19"/>
      <c r="E256" s="19"/>
      <c r="F256" s="19"/>
      <c r="G256" s="3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>
      <c r="A257" s="20"/>
      <c r="B257" s="21"/>
      <c r="C257" s="19"/>
      <c r="D257" s="19"/>
      <c r="E257" s="19"/>
      <c r="F257" s="19"/>
      <c r="G257" s="3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>
      <c r="A258" s="20"/>
      <c r="B258" s="21"/>
      <c r="C258" s="19"/>
      <c r="D258" s="19"/>
      <c r="E258" s="19"/>
      <c r="F258" s="19"/>
      <c r="G258" s="3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>
      <c r="A259" s="20"/>
      <c r="B259" s="21"/>
      <c r="C259" s="19"/>
      <c r="D259" s="19"/>
      <c r="E259" s="19"/>
      <c r="F259" s="19"/>
      <c r="G259" s="3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>
      <c r="A260" s="20"/>
      <c r="B260" s="21"/>
      <c r="C260" s="19"/>
      <c r="D260" s="19"/>
      <c r="E260" s="19"/>
      <c r="F260" s="19"/>
      <c r="G260" s="3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>
      <c r="A261" s="20"/>
      <c r="B261" s="21"/>
      <c r="C261" s="19"/>
      <c r="D261" s="19"/>
      <c r="E261" s="19"/>
      <c r="F261" s="19"/>
      <c r="G261" s="3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>
      <c r="A262" s="20"/>
      <c r="B262" s="21"/>
      <c r="C262" s="19"/>
      <c r="D262" s="19"/>
      <c r="E262" s="19"/>
      <c r="F262" s="19"/>
      <c r="G262" s="3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>
      <c r="A263" s="20"/>
      <c r="B263" s="21"/>
      <c r="C263" s="19"/>
      <c r="D263" s="19"/>
      <c r="E263" s="19"/>
      <c r="F263" s="19"/>
      <c r="G263" s="3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>
      <c r="A264" s="20"/>
      <c r="B264" s="21"/>
      <c r="C264" s="19"/>
      <c r="D264" s="19"/>
      <c r="E264" s="19"/>
      <c r="F264" s="19"/>
      <c r="G264" s="3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>
      <c r="A265" s="20"/>
      <c r="B265" s="21"/>
      <c r="C265" s="19"/>
      <c r="D265" s="19"/>
      <c r="E265" s="19"/>
      <c r="F265" s="19"/>
      <c r="G265" s="3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>
      <c r="A266" s="20"/>
      <c r="B266" s="21"/>
      <c r="C266" s="19"/>
      <c r="D266" s="19"/>
      <c r="E266" s="19"/>
      <c r="F266" s="19"/>
      <c r="G266" s="3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>
      <c r="A267" s="20"/>
      <c r="B267" s="21"/>
      <c r="C267" s="19"/>
      <c r="D267" s="19"/>
      <c r="E267" s="19"/>
      <c r="F267" s="19"/>
      <c r="G267" s="3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>
      <c r="A268" s="20"/>
      <c r="B268" s="21"/>
      <c r="C268" s="19"/>
      <c r="D268" s="19"/>
      <c r="E268" s="19"/>
      <c r="F268" s="19"/>
      <c r="G268" s="3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>
      <c r="A269" s="20"/>
      <c r="B269" s="21"/>
      <c r="C269" s="19"/>
      <c r="D269" s="19"/>
      <c r="E269" s="19"/>
      <c r="F269" s="19"/>
      <c r="G269" s="3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>
      <c r="A270" s="20"/>
      <c r="B270" s="21"/>
      <c r="C270" s="19"/>
      <c r="D270" s="19"/>
      <c r="E270" s="19"/>
      <c r="F270" s="19"/>
      <c r="G270" s="3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>
      <c r="A271" s="20"/>
      <c r="B271" s="21"/>
      <c r="C271" s="19"/>
      <c r="D271" s="19"/>
      <c r="E271" s="19"/>
      <c r="F271" s="19"/>
      <c r="G271" s="3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>
      <c r="A272" s="20"/>
      <c r="B272" s="21"/>
      <c r="C272" s="19"/>
      <c r="D272" s="19"/>
      <c r="E272" s="19"/>
      <c r="F272" s="19"/>
      <c r="G272" s="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>
      <c r="A273" s="20"/>
      <c r="B273" s="21"/>
      <c r="C273" s="19"/>
      <c r="D273" s="19"/>
      <c r="E273" s="19"/>
      <c r="F273" s="19"/>
      <c r="G273" s="3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>
      <c r="A274" s="20"/>
      <c r="B274" s="21"/>
      <c r="C274" s="19"/>
      <c r="D274" s="19"/>
      <c r="E274" s="19"/>
      <c r="F274" s="19"/>
      <c r="G274" s="3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>
      <c r="A275" s="20"/>
      <c r="B275" s="21"/>
      <c r="C275" s="19"/>
      <c r="D275" s="19"/>
      <c r="E275" s="19"/>
      <c r="F275" s="19"/>
      <c r="G275" s="3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>
      <c r="A276" s="20"/>
      <c r="B276" s="21"/>
      <c r="C276" s="19"/>
      <c r="D276" s="19"/>
      <c r="E276" s="19"/>
      <c r="F276" s="19"/>
      <c r="G276" s="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>
      <c r="A277" s="20"/>
      <c r="B277" s="21"/>
      <c r="C277" s="19"/>
      <c r="D277" s="19"/>
      <c r="E277" s="19"/>
      <c r="F277" s="19"/>
      <c r="G277" s="3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>
      <c r="A278" s="20"/>
      <c r="B278" s="21"/>
      <c r="C278" s="19"/>
      <c r="D278" s="19"/>
      <c r="E278" s="19"/>
      <c r="F278" s="19"/>
      <c r="G278" s="3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>
      <c r="A279" s="20"/>
      <c r="B279" s="21"/>
      <c r="C279" s="19"/>
      <c r="D279" s="19"/>
      <c r="E279" s="19"/>
      <c r="F279" s="19"/>
      <c r="G279" s="3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>
      <c r="A280" s="20"/>
      <c r="B280" s="21"/>
      <c r="C280" s="19"/>
      <c r="D280" s="19"/>
      <c r="E280" s="19"/>
      <c r="F280" s="19"/>
      <c r="G280" s="3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>
      <c r="A281" s="20"/>
      <c r="B281" s="21"/>
      <c r="C281" s="19"/>
      <c r="D281" s="19"/>
      <c r="E281" s="19"/>
      <c r="F281" s="19"/>
      <c r="G281" s="3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>
      <c r="A282" s="20"/>
      <c r="B282" s="21"/>
      <c r="C282" s="19"/>
      <c r="D282" s="19"/>
      <c r="E282" s="19"/>
      <c r="F282" s="19"/>
      <c r="G282" s="3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>
      <c r="A283" s="20"/>
      <c r="B283" s="21"/>
      <c r="C283" s="19"/>
      <c r="D283" s="19"/>
      <c r="E283" s="19"/>
      <c r="F283" s="19"/>
      <c r="G283" s="3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>
      <c r="A284" s="20"/>
      <c r="B284" s="21"/>
      <c r="C284" s="19"/>
      <c r="D284" s="19"/>
      <c r="E284" s="19"/>
      <c r="F284" s="19"/>
      <c r="G284" s="3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>
      <c r="A285" s="20"/>
      <c r="B285" s="21"/>
      <c r="C285" s="19"/>
      <c r="D285" s="19"/>
      <c r="E285" s="19"/>
      <c r="F285" s="19"/>
      <c r="G285" s="3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>
      <c r="A286" s="20"/>
      <c r="B286" s="21"/>
      <c r="C286" s="19"/>
      <c r="D286" s="19"/>
      <c r="E286" s="19"/>
      <c r="F286" s="19"/>
      <c r="G286" s="3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>
      <c r="A287" s="20"/>
      <c r="B287" s="21"/>
      <c r="C287" s="19"/>
      <c r="D287" s="19"/>
      <c r="E287" s="19"/>
      <c r="F287" s="19"/>
      <c r="G287" s="3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>
      <c r="A288" s="20"/>
      <c r="B288" s="21"/>
      <c r="C288" s="19"/>
      <c r="D288" s="19"/>
      <c r="E288" s="19"/>
      <c r="F288" s="19"/>
      <c r="G288" s="3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>
      <c r="A289" s="20"/>
      <c r="B289" s="21"/>
      <c r="C289" s="19"/>
      <c r="D289" s="19"/>
      <c r="E289" s="19"/>
      <c r="F289" s="19"/>
      <c r="G289" s="3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>
      <c r="A290" s="20"/>
      <c r="B290" s="21"/>
      <c r="C290" s="19"/>
      <c r="D290" s="19"/>
      <c r="E290" s="19"/>
      <c r="F290" s="19"/>
      <c r="G290" s="3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>
      <c r="A291" s="20"/>
      <c r="B291" s="21"/>
      <c r="C291" s="19"/>
      <c r="D291" s="19"/>
      <c r="E291" s="19"/>
      <c r="F291" s="19"/>
      <c r="G291" s="3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>
      <c r="A292" s="20"/>
      <c r="B292" s="21"/>
      <c r="C292" s="19"/>
      <c r="D292" s="19"/>
      <c r="E292" s="19"/>
      <c r="F292" s="19"/>
      <c r="G292" s="3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>
      <c r="A293" s="20"/>
      <c r="B293" s="21"/>
      <c r="C293" s="19"/>
      <c r="D293" s="19"/>
      <c r="E293" s="19"/>
      <c r="F293" s="19"/>
      <c r="G293" s="3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>
      <c r="A294" s="20"/>
      <c r="B294" s="21"/>
      <c r="C294" s="19"/>
      <c r="D294" s="19"/>
      <c r="E294" s="19"/>
      <c r="F294" s="19"/>
      <c r="G294" s="3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>
      <c r="A295" s="20"/>
      <c r="B295" s="21"/>
      <c r="C295" s="19"/>
      <c r="D295" s="19"/>
      <c r="E295" s="19"/>
      <c r="F295" s="19"/>
      <c r="G295" s="3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>
      <c r="A296" s="20"/>
      <c r="B296" s="21"/>
      <c r="C296" s="19"/>
      <c r="D296" s="19"/>
      <c r="E296" s="19"/>
      <c r="F296" s="19"/>
      <c r="G296" s="3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>
      <c r="A297" s="20"/>
      <c r="B297" s="21"/>
      <c r="C297" s="19"/>
      <c r="D297" s="19"/>
      <c r="E297" s="19"/>
      <c r="F297" s="19"/>
      <c r="G297" s="3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>
      <c r="A298" s="20"/>
      <c r="B298" s="21"/>
      <c r="C298" s="19"/>
      <c r="D298" s="19"/>
      <c r="E298" s="19"/>
      <c r="F298" s="19"/>
      <c r="G298" s="3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>
      <c r="A299" s="20"/>
      <c r="B299" s="21"/>
      <c r="C299" s="19"/>
      <c r="D299" s="19"/>
      <c r="E299" s="19"/>
      <c r="F299" s="19"/>
      <c r="G299" s="3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>
      <c r="A300" s="20"/>
      <c r="B300" s="21"/>
      <c r="C300" s="19"/>
      <c r="D300" s="19"/>
      <c r="E300" s="19"/>
      <c r="F300" s="19"/>
      <c r="G300" s="3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>
      <c r="A301" s="20"/>
      <c r="B301" s="21"/>
      <c r="C301" s="19"/>
      <c r="D301" s="19"/>
      <c r="E301" s="19"/>
      <c r="F301" s="19"/>
      <c r="G301" s="3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>
      <c r="A302" s="20"/>
      <c r="B302" s="21"/>
      <c r="C302" s="19"/>
      <c r="D302" s="19"/>
      <c r="E302" s="19"/>
      <c r="F302" s="19"/>
      <c r="G302" s="3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>
      <c r="A303" s="20"/>
      <c r="B303" s="21"/>
      <c r="C303" s="19"/>
      <c r="D303" s="19"/>
      <c r="E303" s="19"/>
      <c r="F303" s="19"/>
      <c r="G303" s="3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>
      <c r="A304" s="20"/>
      <c r="B304" s="21"/>
      <c r="C304" s="19"/>
      <c r="D304" s="19"/>
      <c r="E304" s="19"/>
      <c r="F304" s="19"/>
      <c r="G304" s="3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>
      <c r="A305" s="20"/>
      <c r="B305" s="21"/>
      <c r="C305" s="19"/>
      <c r="D305" s="19"/>
      <c r="E305" s="19"/>
      <c r="F305" s="19"/>
      <c r="G305" s="3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>
      <c r="A306" s="20"/>
      <c r="B306" s="21"/>
      <c r="C306" s="19"/>
      <c r="D306" s="19"/>
      <c r="E306" s="19"/>
      <c r="F306" s="19"/>
      <c r="G306" s="3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>
      <c r="A307" s="20"/>
      <c r="B307" s="21"/>
      <c r="C307" s="19"/>
      <c r="D307" s="19"/>
      <c r="E307" s="19"/>
      <c r="F307" s="19"/>
      <c r="G307" s="3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>
      <c r="A308" s="20"/>
      <c r="B308" s="21"/>
      <c r="C308" s="19"/>
      <c r="D308" s="19"/>
      <c r="E308" s="19"/>
      <c r="F308" s="19"/>
      <c r="G308" s="3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>
      <c r="A309" s="20"/>
      <c r="B309" s="21"/>
      <c r="C309" s="19"/>
      <c r="D309" s="19"/>
      <c r="E309" s="19"/>
      <c r="F309" s="19"/>
      <c r="G309" s="3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>
      <c r="A310" s="20"/>
      <c r="B310" s="21"/>
      <c r="C310" s="19"/>
      <c r="D310" s="19"/>
      <c r="E310" s="19"/>
      <c r="F310" s="19"/>
      <c r="G310" s="3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>
      <c r="A311" s="20"/>
      <c r="B311" s="21"/>
      <c r="C311" s="19"/>
      <c r="D311" s="19"/>
      <c r="E311" s="19"/>
      <c r="F311" s="19"/>
      <c r="G311" s="3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>
      <c r="A312" s="20"/>
      <c r="B312" s="21"/>
      <c r="C312" s="19"/>
      <c r="D312" s="19"/>
      <c r="E312" s="19"/>
      <c r="F312" s="19"/>
      <c r="G312" s="3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>
      <c r="A313" s="20"/>
      <c r="B313" s="21"/>
      <c r="C313" s="19"/>
      <c r="D313" s="19"/>
      <c r="E313" s="19"/>
      <c r="F313" s="19"/>
      <c r="G313" s="3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>
      <c r="A314" s="20"/>
      <c r="B314" s="21"/>
      <c r="C314" s="19"/>
      <c r="D314" s="19"/>
      <c r="E314" s="19"/>
      <c r="F314" s="19"/>
      <c r="G314" s="3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>
      <c r="A315" s="20"/>
      <c r="B315" s="21"/>
      <c r="C315" s="19"/>
      <c r="D315" s="19"/>
      <c r="E315" s="19"/>
      <c r="F315" s="19"/>
      <c r="G315" s="3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>
      <c r="A316" s="20"/>
      <c r="B316" s="21"/>
      <c r="C316" s="19"/>
      <c r="D316" s="19"/>
      <c r="E316" s="19"/>
      <c r="F316" s="19"/>
      <c r="G316" s="3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>
      <c r="A317" s="20"/>
      <c r="B317" s="21"/>
      <c r="C317" s="19"/>
      <c r="D317" s="19"/>
      <c r="E317" s="19"/>
      <c r="F317" s="19"/>
      <c r="G317" s="3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>
      <c r="A318" s="20"/>
      <c r="B318" s="21"/>
      <c r="C318" s="19"/>
      <c r="D318" s="19"/>
      <c r="E318" s="19"/>
      <c r="F318" s="19"/>
      <c r="G318" s="3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>
      <c r="A319" s="20"/>
      <c r="B319" s="21"/>
      <c r="C319" s="19"/>
      <c r="D319" s="19"/>
      <c r="E319" s="19"/>
      <c r="F319" s="19"/>
      <c r="G319" s="3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>
      <c r="A320" s="20"/>
      <c r="B320" s="21"/>
      <c r="C320" s="19"/>
      <c r="D320" s="19"/>
      <c r="E320" s="19"/>
      <c r="F320" s="19"/>
      <c r="G320" s="3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>
      <c r="A321" s="20"/>
      <c r="B321" s="21"/>
      <c r="C321" s="19"/>
      <c r="D321" s="19"/>
      <c r="E321" s="19"/>
      <c r="F321" s="19"/>
      <c r="G321" s="3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>
      <c r="A322" s="20"/>
      <c r="B322" s="21"/>
      <c r="C322" s="19"/>
      <c r="D322" s="19"/>
      <c r="E322" s="19"/>
      <c r="F322" s="19"/>
      <c r="G322" s="3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>
      <c r="A323" s="20"/>
      <c r="B323" s="21"/>
      <c r="C323" s="19"/>
      <c r="D323" s="19"/>
      <c r="E323" s="19"/>
      <c r="F323" s="19"/>
      <c r="G323" s="3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>
      <c r="A324" s="20"/>
      <c r="B324" s="21"/>
      <c r="C324" s="19"/>
      <c r="D324" s="19"/>
      <c r="E324" s="19"/>
      <c r="F324" s="19"/>
      <c r="G324" s="3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>
      <c r="A325" s="20"/>
      <c r="B325" s="21"/>
      <c r="C325" s="19"/>
      <c r="D325" s="19"/>
      <c r="E325" s="19"/>
      <c r="F325" s="19"/>
      <c r="G325" s="3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>
      <c r="A326" s="20"/>
      <c r="B326" s="21"/>
      <c r="C326" s="19"/>
      <c r="D326" s="19"/>
      <c r="E326" s="19"/>
      <c r="F326" s="19"/>
      <c r="G326" s="3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>
      <c r="A327" s="20"/>
      <c r="B327" s="21"/>
      <c r="C327" s="19"/>
      <c r="D327" s="19"/>
      <c r="E327" s="19"/>
      <c r="F327" s="19"/>
      <c r="G327" s="3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>
      <c r="A328" s="20"/>
      <c r="B328" s="21"/>
      <c r="C328" s="19"/>
      <c r="D328" s="19"/>
      <c r="E328" s="19"/>
      <c r="F328" s="19"/>
      <c r="G328" s="3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>
      <c r="A329" s="20"/>
      <c r="B329" s="21"/>
      <c r="C329" s="19"/>
      <c r="D329" s="19"/>
      <c r="E329" s="19"/>
      <c r="F329" s="19"/>
      <c r="G329" s="3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>
      <c r="A330" s="20"/>
      <c r="B330" s="21"/>
      <c r="C330" s="19"/>
      <c r="D330" s="19"/>
      <c r="E330" s="19"/>
      <c r="F330" s="19"/>
      <c r="G330" s="3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>
      <c r="A331" s="20"/>
      <c r="B331" s="21"/>
      <c r="C331" s="19"/>
      <c r="D331" s="19"/>
      <c r="E331" s="19"/>
      <c r="F331" s="19"/>
      <c r="G331" s="3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>
      <c r="A332" s="20"/>
      <c r="B332" s="21"/>
      <c r="C332" s="19"/>
      <c r="D332" s="19"/>
      <c r="E332" s="19"/>
      <c r="F332" s="19"/>
      <c r="G332" s="3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>
      <c r="A333" s="20"/>
      <c r="B333" s="21"/>
      <c r="C333" s="19"/>
      <c r="D333" s="19"/>
      <c r="E333" s="19"/>
      <c r="F333" s="19"/>
      <c r="G333" s="3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>
      <c r="A334" s="20"/>
      <c r="B334" s="21"/>
      <c r="C334" s="19"/>
      <c r="D334" s="19"/>
      <c r="E334" s="19"/>
      <c r="F334" s="19"/>
      <c r="G334" s="3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>
      <c r="A335" s="20"/>
      <c r="B335" s="21"/>
      <c r="C335" s="19"/>
      <c r="D335" s="19"/>
      <c r="E335" s="19"/>
      <c r="F335" s="19"/>
      <c r="G335" s="3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>
      <c r="A336" s="20"/>
      <c r="B336" s="21"/>
      <c r="C336" s="19"/>
      <c r="D336" s="19"/>
      <c r="E336" s="19"/>
      <c r="F336" s="19"/>
      <c r="G336" s="3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>
      <c r="A337" s="20"/>
      <c r="B337" s="21"/>
      <c r="C337" s="19"/>
      <c r="D337" s="19"/>
      <c r="E337" s="19"/>
      <c r="F337" s="19"/>
      <c r="G337" s="3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>
      <c r="A338" s="20"/>
      <c r="B338" s="21"/>
      <c r="C338" s="19"/>
      <c r="D338" s="19"/>
      <c r="E338" s="19"/>
      <c r="F338" s="19"/>
      <c r="G338" s="3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>
      <c r="A339" s="20"/>
      <c r="B339" s="21"/>
      <c r="C339" s="19"/>
      <c r="D339" s="19"/>
      <c r="E339" s="19"/>
      <c r="F339" s="19"/>
      <c r="G339" s="3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>
      <c r="A340" s="20"/>
      <c r="B340" s="21"/>
      <c r="C340" s="19"/>
      <c r="D340" s="19"/>
      <c r="E340" s="19"/>
      <c r="F340" s="19"/>
      <c r="G340" s="3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>
      <c r="A341" s="20"/>
      <c r="B341" s="21"/>
      <c r="C341" s="19"/>
      <c r="D341" s="19"/>
      <c r="E341" s="19"/>
      <c r="F341" s="19"/>
      <c r="G341" s="3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>
      <c r="A342" s="20"/>
      <c r="B342" s="21"/>
      <c r="C342" s="19"/>
      <c r="D342" s="19"/>
      <c r="E342" s="19"/>
      <c r="F342" s="19"/>
      <c r="G342" s="3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>
      <c r="A343" s="20"/>
      <c r="B343" s="21"/>
      <c r="C343" s="19"/>
      <c r="D343" s="19"/>
      <c r="E343" s="19"/>
      <c r="F343" s="19"/>
      <c r="G343" s="3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>
      <c r="A344" s="20"/>
      <c r="B344" s="21"/>
      <c r="C344" s="19"/>
      <c r="D344" s="19"/>
      <c r="E344" s="19"/>
      <c r="F344" s="19"/>
      <c r="G344" s="3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>
      <c r="A345" s="20"/>
      <c r="B345" s="21"/>
      <c r="C345" s="19"/>
      <c r="D345" s="19"/>
      <c r="E345" s="19"/>
      <c r="F345" s="19"/>
      <c r="G345" s="3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>
      <c r="A346" s="20"/>
      <c r="B346" s="21"/>
      <c r="C346" s="19"/>
      <c r="D346" s="19"/>
      <c r="E346" s="19"/>
      <c r="F346" s="19"/>
      <c r="G346" s="3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>
      <c r="A347" s="20"/>
      <c r="B347" s="21"/>
      <c r="C347" s="19"/>
      <c r="D347" s="19"/>
      <c r="E347" s="19"/>
      <c r="F347" s="19"/>
      <c r="G347" s="3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>
      <c r="A348" s="20"/>
      <c r="B348" s="21"/>
      <c r="C348" s="19"/>
      <c r="D348" s="19"/>
      <c r="E348" s="19"/>
      <c r="F348" s="19"/>
      <c r="G348" s="3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>
      <c r="A349" s="20"/>
      <c r="B349" s="21"/>
      <c r="C349" s="19"/>
      <c r="D349" s="19"/>
      <c r="E349" s="19"/>
      <c r="F349" s="19"/>
      <c r="G349" s="3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>
      <c r="A350" s="20"/>
      <c r="B350" s="21"/>
      <c r="C350" s="19"/>
      <c r="D350" s="19"/>
      <c r="E350" s="19"/>
      <c r="F350" s="19"/>
      <c r="G350" s="3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>
      <c r="A351" s="20"/>
      <c r="B351" s="21"/>
      <c r="C351" s="19"/>
      <c r="D351" s="19"/>
      <c r="E351" s="19"/>
      <c r="F351" s="19"/>
      <c r="G351" s="3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>
      <c r="A352" s="20"/>
      <c r="B352" s="21"/>
      <c r="C352" s="19"/>
      <c r="D352" s="19"/>
      <c r="E352" s="19"/>
      <c r="F352" s="19"/>
      <c r="G352" s="3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>
      <c r="A353" s="20"/>
      <c r="B353" s="21"/>
      <c r="C353" s="19"/>
      <c r="D353" s="19"/>
      <c r="E353" s="19"/>
      <c r="F353" s="19"/>
      <c r="G353" s="3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>
      <c r="A354" s="20"/>
      <c r="B354" s="21"/>
      <c r="C354" s="19"/>
      <c r="D354" s="19"/>
      <c r="E354" s="19"/>
      <c r="F354" s="19"/>
      <c r="G354" s="3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>
      <c r="A355" s="20"/>
      <c r="B355" s="21"/>
      <c r="C355" s="19"/>
      <c r="D355" s="19"/>
      <c r="E355" s="19"/>
      <c r="F355" s="19"/>
      <c r="G355" s="3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>
      <c r="A356" s="20"/>
      <c r="B356" s="21"/>
      <c r="C356" s="19"/>
      <c r="D356" s="19"/>
      <c r="E356" s="19"/>
      <c r="F356" s="19"/>
      <c r="G356" s="3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>
      <c r="A357" s="20"/>
      <c r="B357" s="21"/>
      <c r="C357" s="19"/>
      <c r="D357" s="19"/>
      <c r="E357" s="19"/>
      <c r="F357" s="19"/>
      <c r="G357" s="3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>
      <c r="A358" s="20"/>
      <c r="B358" s="21"/>
      <c r="C358" s="19"/>
      <c r="D358" s="19"/>
      <c r="E358" s="19"/>
      <c r="F358" s="19"/>
      <c r="G358" s="3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>
      <c r="A359" s="20"/>
      <c r="B359" s="21"/>
      <c r="C359" s="19"/>
      <c r="D359" s="19"/>
      <c r="E359" s="19"/>
      <c r="F359" s="19"/>
      <c r="G359" s="3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>
      <c r="A360" s="20"/>
      <c r="B360" s="21"/>
      <c r="C360" s="19"/>
      <c r="D360" s="19"/>
      <c r="E360" s="19"/>
      <c r="F360" s="19"/>
      <c r="G360" s="3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>
      <c r="A361" s="20"/>
      <c r="B361" s="21"/>
      <c r="C361" s="19"/>
      <c r="D361" s="19"/>
      <c r="E361" s="19"/>
      <c r="F361" s="19"/>
      <c r="G361" s="3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>
      <c r="A362" s="20"/>
      <c r="B362" s="21"/>
      <c r="C362" s="19"/>
      <c r="D362" s="19"/>
      <c r="E362" s="19"/>
      <c r="F362" s="19"/>
      <c r="G362" s="3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>
      <c r="A363" s="20"/>
      <c r="B363" s="21"/>
      <c r="C363" s="19"/>
      <c r="D363" s="19"/>
      <c r="E363" s="19"/>
      <c r="F363" s="19"/>
      <c r="G363" s="3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>
      <c r="A364" s="20"/>
      <c r="B364" s="21"/>
      <c r="C364" s="19"/>
      <c r="D364" s="19"/>
      <c r="E364" s="19"/>
      <c r="F364" s="19"/>
      <c r="G364" s="3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>
      <c r="A365" s="20"/>
      <c r="B365" s="21"/>
      <c r="C365" s="19"/>
      <c r="D365" s="19"/>
      <c r="E365" s="19"/>
      <c r="F365" s="19"/>
      <c r="G365" s="3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>
      <c r="A366" s="20"/>
      <c r="B366" s="21"/>
      <c r="C366" s="19"/>
      <c r="D366" s="19"/>
      <c r="E366" s="19"/>
      <c r="F366" s="19"/>
      <c r="G366" s="3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>
      <c r="A367" s="20"/>
      <c r="B367" s="21"/>
      <c r="C367" s="19"/>
      <c r="D367" s="19"/>
      <c r="E367" s="19"/>
      <c r="F367" s="19"/>
      <c r="G367" s="3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>
      <c r="A368" s="20"/>
      <c r="B368" s="21"/>
      <c r="C368" s="19"/>
      <c r="D368" s="19"/>
      <c r="E368" s="19"/>
      <c r="F368" s="19"/>
      <c r="G368" s="3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>
      <c r="A369" s="20"/>
      <c r="B369" s="21"/>
      <c r="C369" s="19"/>
      <c r="D369" s="19"/>
      <c r="E369" s="19"/>
      <c r="F369" s="19"/>
      <c r="G369" s="3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>
      <c r="A370" s="20"/>
      <c r="B370" s="21"/>
      <c r="C370" s="19"/>
      <c r="D370" s="19"/>
      <c r="E370" s="19"/>
      <c r="F370" s="19"/>
      <c r="G370" s="3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>
      <c r="A371" s="20"/>
      <c r="B371" s="21"/>
      <c r="C371" s="19"/>
      <c r="D371" s="19"/>
      <c r="E371" s="19"/>
      <c r="F371" s="19"/>
      <c r="G371" s="3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>
      <c r="A372" s="20"/>
      <c r="B372" s="21"/>
      <c r="C372" s="19"/>
      <c r="D372" s="19"/>
      <c r="E372" s="19"/>
      <c r="F372" s="19"/>
      <c r="G372" s="3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>
      <c r="A373" s="20"/>
      <c r="B373" s="21"/>
      <c r="C373" s="19"/>
      <c r="D373" s="19"/>
      <c r="E373" s="19"/>
      <c r="F373" s="19"/>
      <c r="G373" s="3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>
      <c r="A374" s="20"/>
      <c r="B374" s="21"/>
      <c r="C374" s="19"/>
      <c r="D374" s="19"/>
      <c r="E374" s="19"/>
      <c r="F374" s="19"/>
      <c r="G374" s="3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>
      <c r="A375" s="20"/>
      <c r="B375" s="21"/>
      <c r="C375" s="19"/>
      <c r="D375" s="19"/>
      <c r="E375" s="19"/>
      <c r="F375" s="19"/>
      <c r="G375" s="3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>
      <c r="A376" s="20"/>
      <c r="B376" s="21"/>
      <c r="C376" s="19"/>
      <c r="D376" s="19"/>
      <c r="E376" s="19"/>
      <c r="F376" s="19"/>
      <c r="G376" s="3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>
      <c r="A377" s="20"/>
      <c r="B377" s="21"/>
      <c r="C377" s="19"/>
      <c r="D377" s="19"/>
      <c r="E377" s="19"/>
      <c r="F377" s="19"/>
      <c r="G377" s="3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>
      <c r="A378" s="20"/>
      <c r="B378" s="21"/>
      <c r="C378" s="19"/>
      <c r="D378" s="19"/>
      <c r="E378" s="19"/>
      <c r="F378" s="19"/>
      <c r="G378" s="3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>
      <c r="A379" s="20"/>
      <c r="B379" s="21"/>
      <c r="C379" s="19"/>
      <c r="D379" s="19"/>
      <c r="E379" s="19"/>
      <c r="F379" s="19"/>
      <c r="G379" s="3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>
      <c r="A380" s="20"/>
      <c r="B380" s="21"/>
      <c r="C380" s="19"/>
      <c r="D380" s="19"/>
      <c r="E380" s="19"/>
      <c r="F380" s="19"/>
      <c r="G380" s="3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>
      <c r="A381" s="20"/>
      <c r="B381" s="21"/>
      <c r="C381" s="19"/>
      <c r="D381" s="19"/>
      <c r="E381" s="19"/>
      <c r="F381" s="19"/>
      <c r="G381" s="3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>
      <c r="A382" s="20"/>
      <c r="B382" s="21"/>
      <c r="C382" s="19"/>
      <c r="D382" s="19"/>
      <c r="E382" s="19"/>
      <c r="F382" s="19"/>
      <c r="G382" s="3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>
      <c r="A383" s="20"/>
      <c r="B383" s="21"/>
      <c r="C383" s="19"/>
      <c r="D383" s="19"/>
      <c r="E383" s="19"/>
      <c r="F383" s="19"/>
      <c r="G383" s="3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>
      <c r="A384" s="20"/>
      <c r="B384" s="21"/>
      <c r="C384" s="19"/>
      <c r="D384" s="19"/>
      <c r="E384" s="19"/>
      <c r="F384" s="19"/>
      <c r="G384" s="3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>
      <c r="A385" s="20"/>
      <c r="B385" s="21"/>
      <c r="C385" s="19"/>
      <c r="D385" s="19"/>
      <c r="E385" s="19"/>
      <c r="F385" s="19"/>
      <c r="G385" s="3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>
      <c r="A386" s="20"/>
      <c r="B386" s="21"/>
      <c r="C386" s="19"/>
      <c r="D386" s="19"/>
      <c r="E386" s="19"/>
      <c r="F386" s="19"/>
      <c r="G386" s="3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>
      <c r="A387" s="20"/>
      <c r="B387" s="21"/>
      <c r="C387" s="19"/>
      <c r="D387" s="19"/>
      <c r="E387" s="19"/>
      <c r="F387" s="19"/>
      <c r="G387" s="3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>
      <c r="A388" s="20"/>
      <c r="B388" s="21"/>
      <c r="C388" s="19"/>
      <c r="D388" s="19"/>
      <c r="E388" s="19"/>
      <c r="F388" s="19"/>
      <c r="G388" s="3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>
      <c r="A389" s="20"/>
      <c r="B389" s="21"/>
      <c r="C389" s="19"/>
      <c r="D389" s="19"/>
      <c r="E389" s="19"/>
      <c r="F389" s="19"/>
      <c r="G389" s="3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>
      <c r="A390" s="20"/>
      <c r="B390" s="21"/>
      <c r="C390" s="19"/>
      <c r="D390" s="19"/>
      <c r="E390" s="19"/>
      <c r="F390" s="19"/>
      <c r="G390" s="3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>
      <c r="A391" s="20"/>
      <c r="B391" s="21"/>
      <c r="C391" s="19"/>
      <c r="D391" s="19"/>
      <c r="E391" s="19"/>
      <c r="F391" s="19"/>
      <c r="G391" s="3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>
      <c r="A392" s="20"/>
      <c r="B392" s="21"/>
      <c r="C392" s="19"/>
      <c r="D392" s="19"/>
      <c r="E392" s="19"/>
      <c r="F392" s="19"/>
      <c r="G392" s="3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>
      <c r="A393" s="20"/>
      <c r="B393" s="21"/>
      <c r="C393" s="19"/>
      <c r="D393" s="19"/>
      <c r="E393" s="19"/>
      <c r="F393" s="19"/>
      <c r="G393" s="3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>
      <c r="A394" s="20"/>
      <c r="B394" s="21"/>
      <c r="C394" s="19"/>
      <c r="D394" s="19"/>
      <c r="E394" s="19"/>
      <c r="F394" s="19"/>
      <c r="G394" s="3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>
      <c r="A395" s="20"/>
      <c r="B395" s="21"/>
      <c r="C395" s="19"/>
      <c r="D395" s="19"/>
      <c r="E395" s="19"/>
      <c r="F395" s="19"/>
      <c r="G395" s="3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>
      <c r="A396" s="20"/>
      <c r="B396" s="21"/>
      <c r="C396" s="19"/>
      <c r="D396" s="19"/>
      <c r="E396" s="19"/>
      <c r="F396" s="19"/>
      <c r="G396" s="3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>
      <c r="A397" s="20"/>
      <c r="B397" s="21"/>
      <c r="C397" s="19"/>
      <c r="D397" s="19"/>
      <c r="E397" s="19"/>
      <c r="F397" s="19"/>
      <c r="G397" s="3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>
      <c r="A398" s="20"/>
      <c r="B398" s="21"/>
      <c r="C398" s="19"/>
      <c r="D398" s="19"/>
      <c r="E398" s="19"/>
      <c r="F398" s="19"/>
      <c r="G398" s="3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>
      <c r="A399" s="20"/>
      <c r="B399" s="21"/>
      <c r="C399" s="19"/>
      <c r="D399" s="19"/>
      <c r="E399" s="19"/>
      <c r="F399" s="19"/>
      <c r="G399" s="3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>
      <c r="A400" s="20"/>
      <c r="B400" s="21"/>
      <c r="C400" s="19"/>
      <c r="D400" s="19"/>
      <c r="E400" s="19"/>
      <c r="F400" s="19"/>
      <c r="G400" s="3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>
      <c r="A401" s="20"/>
      <c r="B401" s="21"/>
      <c r="C401" s="19"/>
      <c r="D401" s="19"/>
      <c r="E401" s="19"/>
      <c r="F401" s="19"/>
      <c r="G401" s="3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>
      <c r="A402" s="20"/>
      <c r="B402" s="21"/>
      <c r="C402" s="19"/>
      <c r="D402" s="19"/>
      <c r="E402" s="19"/>
      <c r="F402" s="19"/>
      <c r="G402" s="3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>
      <c r="A403" s="20"/>
      <c r="B403" s="21"/>
      <c r="C403" s="19"/>
      <c r="D403" s="19"/>
      <c r="E403" s="19"/>
      <c r="F403" s="19"/>
      <c r="G403" s="3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>
      <c r="A404" s="20"/>
      <c r="B404" s="21"/>
      <c r="C404" s="19"/>
      <c r="D404" s="19"/>
      <c r="E404" s="19"/>
      <c r="F404" s="19"/>
      <c r="G404" s="3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>
      <c r="A405" s="20"/>
      <c r="B405" s="21"/>
      <c r="C405" s="19"/>
      <c r="D405" s="19"/>
      <c r="E405" s="19"/>
      <c r="F405" s="19"/>
      <c r="G405" s="3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>
      <c r="A406" s="20"/>
      <c r="B406" s="21"/>
      <c r="C406" s="19"/>
      <c r="D406" s="19"/>
      <c r="E406" s="19"/>
      <c r="F406" s="19"/>
      <c r="G406" s="3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>
      <c r="A407" s="20"/>
      <c r="B407" s="21"/>
      <c r="C407" s="19"/>
      <c r="D407" s="19"/>
      <c r="E407" s="19"/>
      <c r="F407" s="19"/>
      <c r="G407" s="3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>
      <c r="A408" s="20"/>
      <c r="B408" s="21"/>
      <c r="C408" s="19"/>
      <c r="D408" s="19"/>
      <c r="E408" s="19"/>
      <c r="F408" s="19"/>
      <c r="G408" s="3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>
      <c r="A409" s="20"/>
      <c r="B409" s="21"/>
      <c r="C409" s="19"/>
      <c r="D409" s="19"/>
      <c r="E409" s="19"/>
      <c r="F409" s="19"/>
      <c r="G409" s="3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>
      <c r="A410" s="20"/>
      <c r="B410" s="21"/>
      <c r="C410" s="19"/>
      <c r="D410" s="19"/>
      <c r="E410" s="19"/>
      <c r="F410" s="19"/>
      <c r="G410" s="3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>
      <c r="A411" s="20"/>
      <c r="B411" s="21"/>
      <c r="C411" s="19"/>
      <c r="D411" s="19"/>
      <c r="E411" s="19"/>
      <c r="F411" s="19"/>
      <c r="G411" s="3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>
      <c r="A412" s="20"/>
      <c r="B412" s="21"/>
      <c r="C412" s="19"/>
      <c r="D412" s="19"/>
      <c r="E412" s="19"/>
      <c r="F412" s="19"/>
      <c r="G412" s="3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>
      <c r="A413" s="20"/>
      <c r="B413" s="21"/>
      <c r="C413" s="19"/>
      <c r="D413" s="19"/>
      <c r="E413" s="19"/>
      <c r="F413" s="19"/>
      <c r="G413" s="3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>
      <c r="A414" s="20"/>
      <c r="B414" s="21"/>
      <c r="C414" s="19"/>
      <c r="D414" s="19"/>
      <c r="E414" s="19"/>
      <c r="F414" s="19"/>
      <c r="G414" s="3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>
      <c r="A415" s="20"/>
      <c r="B415" s="21"/>
      <c r="C415" s="19"/>
      <c r="D415" s="19"/>
      <c r="E415" s="19"/>
      <c r="F415" s="19"/>
      <c r="G415" s="3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>
      <c r="A416" s="20"/>
      <c r="B416" s="21"/>
      <c r="C416" s="19"/>
      <c r="D416" s="19"/>
      <c r="E416" s="19"/>
      <c r="F416" s="19"/>
      <c r="G416" s="3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>
      <c r="A417" s="20"/>
      <c r="B417" s="21"/>
      <c r="C417" s="19"/>
      <c r="D417" s="19"/>
      <c r="E417" s="19"/>
      <c r="F417" s="19"/>
      <c r="G417" s="3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>
      <c r="A418" s="20"/>
      <c r="B418" s="21"/>
      <c r="C418" s="19"/>
      <c r="D418" s="19"/>
      <c r="E418" s="19"/>
      <c r="F418" s="19"/>
      <c r="G418" s="3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>
      <c r="A419" s="20"/>
      <c r="B419" s="21"/>
      <c r="C419" s="19"/>
      <c r="D419" s="19"/>
      <c r="E419" s="19"/>
      <c r="F419" s="19"/>
      <c r="G419" s="3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>
      <c r="A420" s="20"/>
      <c r="B420" s="21"/>
      <c r="C420" s="19"/>
      <c r="D420" s="19"/>
      <c r="E420" s="19"/>
      <c r="F420" s="19"/>
      <c r="G420" s="3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>
      <c r="A421" s="20"/>
      <c r="B421" s="21"/>
      <c r="C421" s="19"/>
      <c r="D421" s="19"/>
      <c r="E421" s="19"/>
      <c r="F421" s="19"/>
      <c r="G421" s="3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>
      <c r="A422" s="20"/>
      <c r="B422" s="21"/>
      <c r="C422" s="19"/>
      <c r="D422" s="19"/>
      <c r="E422" s="19"/>
      <c r="F422" s="19"/>
      <c r="G422" s="3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>
      <c r="A423" s="20"/>
      <c r="B423" s="21"/>
      <c r="C423" s="19"/>
      <c r="D423" s="19"/>
      <c r="E423" s="19"/>
      <c r="F423" s="19"/>
      <c r="G423" s="3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>
      <c r="A424" s="20"/>
      <c r="B424" s="21"/>
      <c r="C424" s="19"/>
      <c r="D424" s="19"/>
      <c r="E424" s="19"/>
      <c r="F424" s="19"/>
      <c r="G424" s="3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>
      <c r="A425" s="20"/>
      <c r="B425" s="21"/>
      <c r="C425" s="19"/>
      <c r="D425" s="19"/>
      <c r="E425" s="19"/>
      <c r="F425" s="19"/>
      <c r="G425" s="3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>
      <c r="A426" s="20"/>
      <c r="B426" s="21"/>
      <c r="C426" s="19"/>
      <c r="D426" s="19"/>
      <c r="E426" s="19"/>
      <c r="F426" s="19"/>
      <c r="G426" s="3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>
      <c r="A427" s="20"/>
      <c r="B427" s="21"/>
      <c r="C427" s="19"/>
      <c r="D427" s="19"/>
      <c r="E427" s="19"/>
      <c r="F427" s="19"/>
      <c r="G427" s="3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>
      <c r="A428" s="20"/>
      <c r="B428" s="21"/>
      <c r="C428" s="19"/>
      <c r="D428" s="19"/>
      <c r="E428" s="19"/>
      <c r="F428" s="19"/>
      <c r="G428" s="3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>
      <c r="A429" s="20"/>
      <c r="B429" s="21"/>
      <c r="C429" s="19"/>
      <c r="D429" s="19"/>
      <c r="E429" s="19"/>
      <c r="F429" s="19"/>
      <c r="G429" s="3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>
      <c r="A430" s="20"/>
      <c r="B430" s="21"/>
      <c r="C430" s="19"/>
      <c r="D430" s="19"/>
      <c r="E430" s="19"/>
      <c r="F430" s="19"/>
      <c r="G430" s="3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>
      <c r="A431" s="20"/>
      <c r="B431" s="21"/>
      <c r="C431" s="19"/>
      <c r="D431" s="19"/>
      <c r="E431" s="19"/>
      <c r="F431" s="19"/>
      <c r="G431" s="3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>
      <c r="A432" s="20"/>
      <c r="B432" s="21"/>
      <c r="C432" s="19"/>
      <c r="D432" s="19"/>
      <c r="E432" s="19"/>
      <c r="F432" s="19"/>
      <c r="G432" s="3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>
      <c r="A433" s="20"/>
      <c r="B433" s="21"/>
      <c r="C433" s="19"/>
      <c r="D433" s="19"/>
      <c r="E433" s="19"/>
      <c r="F433" s="19"/>
      <c r="G433" s="3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>
      <c r="A434" s="20"/>
      <c r="B434" s="21"/>
      <c r="C434" s="19"/>
      <c r="D434" s="19"/>
      <c r="E434" s="19"/>
      <c r="F434" s="19"/>
      <c r="G434" s="3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>
      <c r="A435" s="20"/>
      <c r="B435" s="21"/>
      <c r="C435" s="19"/>
      <c r="D435" s="19"/>
      <c r="E435" s="19"/>
      <c r="F435" s="19"/>
      <c r="G435" s="3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>
      <c r="A436" s="20"/>
      <c r="B436" s="21"/>
      <c r="C436" s="19"/>
      <c r="D436" s="19"/>
      <c r="E436" s="19"/>
      <c r="F436" s="19"/>
      <c r="G436" s="3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>
      <c r="A437" s="20"/>
      <c r="B437" s="21"/>
      <c r="C437" s="19"/>
      <c r="D437" s="19"/>
      <c r="E437" s="19"/>
      <c r="F437" s="19"/>
      <c r="G437" s="3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>
      <c r="A438" s="20"/>
      <c r="B438" s="21"/>
      <c r="C438" s="19"/>
      <c r="D438" s="19"/>
      <c r="E438" s="19"/>
      <c r="F438" s="19"/>
      <c r="G438" s="3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>
      <c r="A439" s="20"/>
      <c r="B439" s="21"/>
      <c r="C439" s="19"/>
      <c r="D439" s="19"/>
      <c r="E439" s="19"/>
      <c r="F439" s="19"/>
      <c r="G439" s="3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>
      <c r="A440" s="20"/>
      <c r="B440" s="21"/>
      <c r="C440" s="19"/>
      <c r="D440" s="19"/>
      <c r="E440" s="19"/>
      <c r="F440" s="19"/>
      <c r="G440" s="3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>
      <c r="A441" s="20"/>
      <c r="B441" s="21"/>
      <c r="C441" s="19"/>
      <c r="D441" s="19"/>
      <c r="E441" s="19"/>
      <c r="F441" s="19"/>
      <c r="G441" s="3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>
      <c r="A442" s="20"/>
      <c r="B442" s="21"/>
      <c r="C442" s="19"/>
      <c r="D442" s="19"/>
      <c r="E442" s="19"/>
      <c r="F442" s="19"/>
      <c r="G442" s="3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>
      <c r="A443" s="20"/>
      <c r="B443" s="21"/>
      <c r="C443" s="19"/>
      <c r="D443" s="19"/>
      <c r="E443" s="19"/>
      <c r="F443" s="19"/>
      <c r="G443" s="3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>
      <c r="A444" s="20"/>
      <c r="B444" s="21"/>
      <c r="C444" s="19"/>
      <c r="D444" s="19"/>
      <c r="E444" s="19"/>
      <c r="F444" s="19"/>
      <c r="G444" s="3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>
      <c r="A445" s="20"/>
      <c r="B445" s="21"/>
      <c r="C445" s="19"/>
      <c r="D445" s="19"/>
      <c r="E445" s="19"/>
      <c r="F445" s="19"/>
      <c r="G445" s="3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>
      <c r="A446" s="20"/>
      <c r="B446" s="21"/>
      <c r="C446" s="19"/>
      <c r="D446" s="19"/>
      <c r="E446" s="19"/>
      <c r="F446" s="19"/>
      <c r="G446" s="3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>
      <c r="A447" s="20"/>
      <c r="B447" s="21"/>
      <c r="C447" s="19"/>
      <c r="D447" s="19"/>
      <c r="E447" s="19"/>
      <c r="F447" s="19"/>
      <c r="G447" s="3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>
      <c r="A448" s="20"/>
      <c r="B448" s="21"/>
      <c r="C448" s="19"/>
      <c r="D448" s="19"/>
      <c r="E448" s="19"/>
      <c r="F448" s="19"/>
      <c r="G448" s="3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>
      <c r="A449" s="20"/>
      <c r="B449" s="21"/>
      <c r="C449" s="19"/>
      <c r="D449" s="19"/>
      <c r="E449" s="19"/>
      <c r="F449" s="19"/>
      <c r="G449" s="3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>
      <c r="A450" s="20"/>
      <c r="B450" s="21"/>
      <c r="C450" s="19"/>
      <c r="D450" s="19"/>
      <c r="E450" s="19"/>
      <c r="F450" s="19"/>
      <c r="G450" s="3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>
      <c r="A451" s="20"/>
      <c r="B451" s="21"/>
      <c r="C451" s="19"/>
      <c r="D451" s="19"/>
      <c r="E451" s="19"/>
      <c r="F451" s="19"/>
      <c r="G451" s="3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>
      <c r="A452" s="20"/>
      <c r="B452" s="21"/>
      <c r="C452" s="19"/>
      <c r="D452" s="19"/>
      <c r="E452" s="19"/>
      <c r="F452" s="19"/>
      <c r="G452" s="3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>
      <c r="A453" s="20"/>
      <c r="B453" s="21"/>
      <c r="C453" s="19"/>
      <c r="D453" s="19"/>
      <c r="E453" s="19"/>
      <c r="F453" s="19"/>
      <c r="G453" s="3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>
      <c r="A454" s="20"/>
      <c r="B454" s="21"/>
      <c r="C454" s="19"/>
      <c r="D454" s="19"/>
      <c r="E454" s="19"/>
      <c r="F454" s="19"/>
      <c r="G454" s="3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>
      <c r="A455" s="20"/>
      <c r="B455" s="21"/>
      <c r="C455" s="19"/>
      <c r="D455" s="19"/>
      <c r="E455" s="19"/>
      <c r="F455" s="19"/>
      <c r="G455" s="3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>
      <c r="A456" s="20"/>
      <c r="B456" s="21"/>
      <c r="C456" s="19"/>
      <c r="D456" s="19"/>
      <c r="E456" s="19"/>
      <c r="F456" s="19"/>
      <c r="G456" s="3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>
      <c r="A457" s="20"/>
      <c r="B457" s="21"/>
      <c r="C457" s="19"/>
      <c r="D457" s="19"/>
      <c r="E457" s="19"/>
      <c r="F457" s="19"/>
      <c r="G457" s="3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>
      <c r="A458" s="20"/>
      <c r="B458" s="21"/>
      <c r="C458" s="19"/>
      <c r="D458" s="19"/>
      <c r="E458" s="19"/>
      <c r="F458" s="19"/>
      <c r="G458" s="3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>
      <c r="A459" s="20"/>
      <c r="B459" s="21"/>
      <c r="C459" s="19"/>
      <c r="D459" s="19"/>
      <c r="E459" s="19"/>
      <c r="F459" s="19"/>
      <c r="G459" s="3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>
      <c r="A460" s="20"/>
      <c r="B460" s="21"/>
      <c r="C460" s="19"/>
      <c r="D460" s="19"/>
      <c r="E460" s="19"/>
      <c r="F460" s="19"/>
      <c r="G460" s="3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>
      <c r="A461" s="20"/>
      <c r="B461" s="21"/>
      <c r="C461" s="19"/>
      <c r="D461" s="19"/>
      <c r="E461" s="19"/>
      <c r="F461" s="19"/>
      <c r="G461" s="3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>
      <c r="A462" s="20"/>
      <c r="B462" s="21"/>
      <c r="C462" s="19"/>
      <c r="D462" s="19"/>
      <c r="E462" s="19"/>
      <c r="F462" s="19"/>
      <c r="G462" s="3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>
      <c r="A463" s="20"/>
      <c r="B463" s="21"/>
      <c r="C463" s="19"/>
      <c r="D463" s="19"/>
      <c r="E463" s="19"/>
      <c r="F463" s="19"/>
      <c r="G463" s="3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>
      <c r="A464" s="20"/>
      <c r="B464" s="21"/>
      <c r="C464" s="19"/>
      <c r="D464" s="19"/>
      <c r="E464" s="19"/>
      <c r="F464" s="19"/>
      <c r="G464" s="3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>
      <c r="A465" s="20"/>
      <c r="B465" s="21"/>
      <c r="C465" s="19"/>
      <c r="D465" s="19"/>
      <c r="E465" s="19"/>
      <c r="F465" s="19"/>
      <c r="G465" s="3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>
      <c r="A466" s="20"/>
      <c r="B466" s="21"/>
      <c r="C466" s="19"/>
      <c r="D466" s="19"/>
      <c r="E466" s="19"/>
      <c r="F466" s="19"/>
      <c r="G466" s="3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>
      <c r="A467" s="20"/>
      <c r="B467" s="21"/>
      <c r="C467" s="19"/>
      <c r="D467" s="19"/>
      <c r="E467" s="19"/>
      <c r="F467" s="19"/>
      <c r="G467" s="3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>
      <c r="A468" s="20"/>
      <c r="B468" s="21"/>
      <c r="C468" s="19"/>
      <c r="D468" s="19"/>
      <c r="E468" s="19"/>
      <c r="F468" s="19"/>
      <c r="G468" s="3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>
      <c r="A469" s="20"/>
      <c r="B469" s="21"/>
      <c r="C469" s="19"/>
      <c r="D469" s="19"/>
      <c r="E469" s="19"/>
      <c r="F469" s="19"/>
      <c r="G469" s="3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>
      <c r="A470" s="20"/>
      <c r="B470" s="21"/>
      <c r="C470" s="19"/>
      <c r="D470" s="19"/>
      <c r="E470" s="19"/>
      <c r="F470" s="19"/>
      <c r="G470" s="3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>
      <c r="A471" s="20"/>
      <c r="B471" s="21"/>
      <c r="C471" s="19"/>
      <c r="D471" s="19"/>
      <c r="E471" s="19"/>
      <c r="F471" s="19"/>
      <c r="G471" s="3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>
      <c r="A472" s="20"/>
      <c r="B472" s="21"/>
      <c r="C472" s="19"/>
      <c r="D472" s="19"/>
      <c r="E472" s="19"/>
      <c r="F472" s="19"/>
      <c r="G472" s="3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>
      <c r="A473" s="20"/>
      <c r="B473" s="21"/>
      <c r="C473" s="19"/>
      <c r="D473" s="19"/>
      <c r="E473" s="19"/>
      <c r="F473" s="19"/>
      <c r="G473" s="3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>
      <c r="A474" s="20"/>
      <c r="B474" s="21"/>
      <c r="C474" s="19"/>
      <c r="D474" s="19"/>
      <c r="E474" s="19"/>
      <c r="F474" s="19"/>
      <c r="G474" s="3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>
      <c r="A475" s="20"/>
      <c r="B475" s="21"/>
      <c r="C475" s="19"/>
      <c r="D475" s="19"/>
      <c r="E475" s="19"/>
      <c r="F475" s="19"/>
      <c r="G475" s="3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>
      <c r="A476" s="20"/>
      <c r="B476" s="21"/>
      <c r="C476" s="19"/>
      <c r="D476" s="19"/>
      <c r="E476" s="19"/>
      <c r="F476" s="19"/>
      <c r="G476" s="3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>
      <c r="A477" s="20"/>
      <c r="B477" s="21"/>
      <c r="C477" s="19"/>
      <c r="D477" s="19"/>
      <c r="E477" s="19"/>
      <c r="F477" s="19"/>
      <c r="G477" s="3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>
      <c r="A478" s="20"/>
      <c r="B478" s="21"/>
      <c r="C478" s="19"/>
      <c r="D478" s="19"/>
      <c r="E478" s="19"/>
      <c r="F478" s="19"/>
      <c r="G478" s="3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>
      <c r="A479" s="20"/>
      <c r="B479" s="21"/>
      <c r="C479" s="19"/>
      <c r="D479" s="19"/>
      <c r="E479" s="19"/>
      <c r="F479" s="19"/>
      <c r="G479" s="3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>
      <c r="A480" s="20"/>
      <c r="B480" s="21"/>
      <c r="C480" s="19"/>
      <c r="D480" s="19"/>
      <c r="E480" s="19"/>
      <c r="F480" s="19"/>
      <c r="G480" s="3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>
      <c r="A481" s="20"/>
      <c r="B481" s="21"/>
      <c r="C481" s="19"/>
      <c r="D481" s="19"/>
      <c r="E481" s="19"/>
      <c r="F481" s="19"/>
      <c r="G481" s="3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>
      <c r="A482" s="20"/>
      <c r="B482" s="21"/>
      <c r="C482" s="19"/>
      <c r="D482" s="19"/>
      <c r="E482" s="19"/>
      <c r="F482" s="19"/>
      <c r="G482" s="3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>
      <c r="A483" s="20"/>
      <c r="B483" s="21"/>
      <c r="C483" s="19"/>
      <c r="D483" s="19"/>
      <c r="E483" s="19"/>
      <c r="F483" s="19"/>
      <c r="G483" s="3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>
      <c r="A484" s="20"/>
      <c r="B484" s="21"/>
      <c r="C484" s="19"/>
      <c r="D484" s="19"/>
      <c r="E484" s="19"/>
      <c r="F484" s="19"/>
      <c r="G484" s="3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>
      <c r="A485" s="20"/>
      <c r="B485" s="21"/>
      <c r="C485" s="19"/>
      <c r="D485" s="19"/>
      <c r="E485" s="19"/>
      <c r="F485" s="19"/>
      <c r="G485" s="3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>
      <c r="A486" s="20"/>
      <c r="B486" s="21"/>
      <c r="C486" s="19"/>
      <c r="D486" s="19"/>
      <c r="E486" s="19"/>
      <c r="F486" s="19"/>
      <c r="G486" s="3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>
      <c r="A487" s="20"/>
      <c r="B487" s="21"/>
      <c r="C487" s="19"/>
      <c r="D487" s="19"/>
      <c r="E487" s="19"/>
      <c r="F487" s="19"/>
      <c r="G487" s="3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>
      <c r="A488" s="20"/>
      <c r="B488" s="21"/>
      <c r="C488" s="19"/>
      <c r="D488" s="19"/>
      <c r="E488" s="19"/>
      <c r="F488" s="19"/>
      <c r="G488" s="3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>
      <c r="A489" s="20"/>
      <c r="B489" s="21"/>
      <c r="C489" s="19"/>
      <c r="D489" s="19"/>
      <c r="E489" s="19"/>
      <c r="F489" s="19"/>
      <c r="G489" s="3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>
      <c r="A490" s="20"/>
      <c r="B490" s="21"/>
      <c r="C490" s="19"/>
      <c r="D490" s="19"/>
      <c r="E490" s="19"/>
      <c r="F490" s="19"/>
      <c r="G490" s="3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>
      <c r="A491" s="20"/>
      <c r="B491" s="21"/>
      <c r="C491" s="19"/>
      <c r="D491" s="19"/>
      <c r="E491" s="19"/>
      <c r="F491" s="19"/>
      <c r="G491" s="3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>
      <c r="A492" s="20"/>
      <c r="B492" s="21"/>
      <c r="C492" s="19"/>
      <c r="D492" s="19"/>
      <c r="E492" s="19"/>
      <c r="F492" s="19"/>
      <c r="G492" s="3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>
      <c r="A493" s="20"/>
      <c r="B493" s="21"/>
      <c r="C493" s="19"/>
      <c r="D493" s="19"/>
      <c r="E493" s="19"/>
      <c r="F493" s="19"/>
      <c r="G493" s="3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>
      <c r="A494" s="20"/>
      <c r="B494" s="21"/>
      <c r="C494" s="19"/>
      <c r="D494" s="19"/>
      <c r="E494" s="19"/>
      <c r="F494" s="19"/>
      <c r="G494" s="3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>
      <c r="A495" s="20"/>
      <c r="B495" s="21"/>
      <c r="C495" s="19"/>
      <c r="D495" s="19"/>
      <c r="E495" s="19"/>
      <c r="F495" s="19"/>
      <c r="G495" s="3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>
      <c r="A496" s="20"/>
      <c r="B496" s="21"/>
      <c r="C496" s="19"/>
      <c r="D496" s="19"/>
      <c r="E496" s="19"/>
      <c r="F496" s="19"/>
      <c r="G496" s="3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>
      <c r="A497" s="20"/>
      <c r="B497" s="21"/>
      <c r="C497" s="19"/>
      <c r="D497" s="19"/>
      <c r="E497" s="19"/>
      <c r="F497" s="19"/>
      <c r="G497" s="3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>
      <c r="A498" s="20"/>
      <c r="B498" s="21"/>
      <c r="C498" s="19"/>
      <c r="D498" s="19"/>
      <c r="E498" s="19"/>
      <c r="F498" s="19"/>
      <c r="G498" s="3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>
      <c r="A499" s="20"/>
      <c r="B499" s="21"/>
      <c r="C499" s="19"/>
      <c r="D499" s="19"/>
      <c r="E499" s="19"/>
      <c r="F499" s="19"/>
      <c r="G499" s="3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>
      <c r="A500" s="20"/>
      <c r="B500" s="21"/>
      <c r="C500" s="19"/>
      <c r="D500" s="19"/>
      <c r="E500" s="19"/>
      <c r="F500" s="19"/>
      <c r="G500" s="3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>
      <c r="A501" s="20"/>
      <c r="B501" s="21"/>
      <c r="C501" s="19"/>
      <c r="D501" s="19"/>
      <c r="E501" s="19"/>
      <c r="F501" s="19"/>
      <c r="G501" s="3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>
      <c r="A502" s="20"/>
      <c r="B502" s="21"/>
      <c r="C502" s="19"/>
      <c r="D502" s="19"/>
      <c r="E502" s="19"/>
      <c r="F502" s="19"/>
      <c r="G502" s="3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>
      <c r="A503" s="20"/>
      <c r="B503" s="21"/>
      <c r="C503" s="19"/>
      <c r="D503" s="19"/>
      <c r="E503" s="19"/>
      <c r="F503" s="19"/>
      <c r="G503" s="3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>
      <c r="A504" s="20"/>
      <c r="B504" s="21"/>
      <c r="C504" s="19"/>
      <c r="D504" s="19"/>
      <c r="E504" s="19"/>
      <c r="F504" s="19"/>
      <c r="G504" s="3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>
      <c r="A505" s="20"/>
      <c r="B505" s="21"/>
      <c r="C505" s="19"/>
      <c r="D505" s="19"/>
      <c r="E505" s="19"/>
      <c r="F505" s="19"/>
      <c r="G505" s="3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>
      <c r="A506" s="20"/>
      <c r="B506" s="21"/>
      <c r="C506" s="19"/>
      <c r="D506" s="19"/>
      <c r="E506" s="19"/>
      <c r="F506" s="19"/>
      <c r="G506" s="3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>
      <c r="A507" s="20"/>
      <c r="B507" s="21"/>
      <c r="C507" s="19"/>
      <c r="D507" s="19"/>
      <c r="E507" s="19"/>
      <c r="F507" s="19"/>
      <c r="G507" s="3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>
      <c r="A508" s="20"/>
      <c r="B508" s="21"/>
      <c r="C508" s="19"/>
      <c r="D508" s="19"/>
      <c r="E508" s="19"/>
      <c r="F508" s="19"/>
      <c r="G508" s="3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>
      <c r="A509" s="20"/>
      <c r="B509" s="21"/>
      <c r="C509" s="19"/>
      <c r="D509" s="19"/>
      <c r="E509" s="19"/>
      <c r="F509" s="19"/>
      <c r="G509" s="3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>
      <c r="A510" s="20"/>
      <c r="B510" s="21"/>
      <c r="C510" s="19"/>
      <c r="D510" s="19"/>
      <c r="E510" s="19"/>
      <c r="F510" s="19"/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>
      <c r="A511" s="20"/>
      <c r="B511" s="21"/>
      <c r="C511" s="19"/>
      <c r="D511" s="19"/>
      <c r="E511" s="19"/>
      <c r="F511" s="19"/>
      <c r="G511" s="3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>
      <c r="A512" s="20"/>
      <c r="B512" s="21"/>
      <c r="C512" s="19"/>
      <c r="D512" s="19"/>
      <c r="E512" s="19"/>
      <c r="F512" s="19"/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>
      <c r="A513" s="20"/>
      <c r="B513" s="21"/>
      <c r="C513" s="19"/>
      <c r="D513" s="19"/>
      <c r="E513" s="19"/>
      <c r="F513" s="19"/>
      <c r="G513" s="3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>
      <c r="A514" s="20"/>
      <c r="B514" s="21"/>
      <c r="C514" s="19"/>
      <c r="D514" s="19"/>
      <c r="E514" s="19"/>
      <c r="F514" s="19"/>
      <c r="G514" s="3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>
      <c r="A515" s="20"/>
      <c r="B515" s="21"/>
      <c r="C515" s="19"/>
      <c r="D515" s="19"/>
      <c r="E515" s="19"/>
      <c r="F515" s="19"/>
      <c r="G515" s="3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>
      <c r="A516" s="20"/>
      <c r="B516" s="21"/>
      <c r="C516" s="19"/>
      <c r="D516" s="19"/>
      <c r="E516" s="19"/>
      <c r="F516" s="19"/>
      <c r="G516" s="3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>
      <c r="A517" s="20"/>
      <c r="B517" s="21"/>
      <c r="C517" s="19"/>
      <c r="D517" s="19"/>
      <c r="E517" s="19"/>
      <c r="F517" s="19"/>
      <c r="G517" s="3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>
      <c r="A518" s="20"/>
      <c r="B518" s="21"/>
      <c r="C518" s="19"/>
      <c r="D518" s="19"/>
      <c r="E518" s="19"/>
      <c r="F518" s="19"/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>
      <c r="A519" s="20"/>
      <c r="B519" s="21"/>
      <c r="C519" s="19"/>
      <c r="D519" s="19"/>
      <c r="E519" s="19"/>
      <c r="F519" s="19"/>
      <c r="G519" s="3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>
      <c r="A520" s="20"/>
      <c r="B520" s="21"/>
      <c r="C520" s="19"/>
      <c r="D520" s="19"/>
      <c r="E520" s="19"/>
      <c r="F520" s="19"/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>
      <c r="A521" s="20"/>
      <c r="B521" s="21"/>
      <c r="C521" s="19"/>
      <c r="D521" s="19"/>
      <c r="E521" s="19"/>
      <c r="F521" s="19"/>
      <c r="G521" s="3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>
      <c r="A522" s="20"/>
      <c r="B522" s="21"/>
      <c r="C522" s="19"/>
      <c r="D522" s="19"/>
      <c r="E522" s="19"/>
      <c r="F522" s="19"/>
      <c r="G522" s="3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>
      <c r="A523" s="20"/>
      <c r="B523" s="21"/>
      <c r="C523" s="19"/>
      <c r="D523" s="19"/>
      <c r="E523" s="19"/>
      <c r="F523" s="19"/>
      <c r="G523" s="3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>
      <c r="A524" s="20"/>
      <c r="B524" s="21"/>
      <c r="C524" s="19"/>
      <c r="D524" s="19"/>
      <c r="E524" s="19"/>
      <c r="F524" s="19"/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>
      <c r="A525" s="20"/>
      <c r="B525" s="21"/>
      <c r="C525" s="19"/>
      <c r="D525" s="19"/>
      <c r="E525" s="19"/>
      <c r="F525" s="19"/>
      <c r="G525" s="3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>
      <c r="A526" s="20"/>
      <c r="B526" s="21"/>
      <c r="C526" s="19"/>
      <c r="D526" s="19"/>
      <c r="E526" s="19"/>
      <c r="F526" s="19"/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>
      <c r="A527" s="20"/>
      <c r="B527" s="21"/>
      <c r="C527" s="19"/>
      <c r="D527" s="19"/>
      <c r="E527" s="19"/>
      <c r="F527" s="19"/>
      <c r="G527" s="3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>
      <c r="A528" s="20"/>
      <c r="B528" s="21"/>
      <c r="C528" s="19"/>
      <c r="D528" s="19"/>
      <c r="E528" s="19"/>
      <c r="F528" s="19"/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>
      <c r="A529" s="20"/>
      <c r="B529" s="21"/>
      <c r="C529" s="19"/>
      <c r="D529" s="19"/>
      <c r="E529" s="19"/>
      <c r="F529" s="19"/>
      <c r="G529" s="3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>
      <c r="A530" s="20"/>
      <c r="B530" s="21"/>
      <c r="C530" s="19"/>
      <c r="D530" s="19"/>
      <c r="E530" s="19"/>
      <c r="F530" s="19"/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>
      <c r="A531" s="20"/>
      <c r="B531" s="21"/>
      <c r="C531" s="19"/>
      <c r="D531" s="19"/>
      <c r="E531" s="19"/>
      <c r="F531" s="19"/>
      <c r="G531" s="3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>
      <c r="A532" s="20"/>
      <c r="B532" s="21"/>
      <c r="C532" s="19"/>
      <c r="D532" s="19"/>
      <c r="E532" s="19"/>
      <c r="F532" s="19"/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>
      <c r="A533" s="20"/>
      <c r="B533" s="21"/>
      <c r="C533" s="19"/>
      <c r="D533" s="19"/>
      <c r="E533" s="19"/>
      <c r="F533" s="19"/>
      <c r="G533" s="3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>
      <c r="A534" s="20"/>
      <c r="B534" s="21"/>
      <c r="C534" s="19"/>
      <c r="D534" s="19"/>
      <c r="E534" s="19"/>
      <c r="F534" s="19"/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>
      <c r="A535" s="20"/>
      <c r="B535" s="21"/>
      <c r="C535" s="19"/>
      <c r="D535" s="19"/>
      <c r="E535" s="19"/>
      <c r="F535" s="19"/>
      <c r="G535" s="3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>
      <c r="A536" s="20"/>
      <c r="B536" s="21"/>
      <c r="C536" s="19"/>
      <c r="D536" s="19"/>
      <c r="E536" s="19"/>
      <c r="F536" s="19"/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>
      <c r="A537" s="20"/>
      <c r="B537" s="21"/>
      <c r="C537" s="19"/>
      <c r="D537" s="19"/>
      <c r="E537" s="19"/>
      <c r="F537" s="19"/>
      <c r="G537" s="3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>
      <c r="A538" s="20"/>
      <c r="B538" s="21"/>
      <c r="C538" s="19"/>
      <c r="D538" s="19"/>
      <c r="E538" s="19"/>
      <c r="F538" s="19"/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>
      <c r="A539" s="20"/>
      <c r="B539" s="21"/>
      <c r="C539" s="19"/>
      <c r="D539" s="19"/>
      <c r="E539" s="19"/>
      <c r="F539" s="19"/>
      <c r="G539" s="3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>
      <c r="A540" s="20"/>
      <c r="B540" s="21"/>
      <c r="C540" s="19"/>
      <c r="D540" s="19"/>
      <c r="E540" s="19"/>
      <c r="F540" s="19"/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>
      <c r="A541" s="20"/>
      <c r="B541" s="21"/>
      <c r="C541" s="19"/>
      <c r="D541" s="19"/>
      <c r="E541" s="19"/>
      <c r="F541" s="19"/>
      <c r="G541" s="3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>
      <c r="A542" s="20"/>
      <c r="B542" s="21"/>
      <c r="C542" s="19"/>
      <c r="D542" s="19"/>
      <c r="E542" s="19"/>
      <c r="F542" s="19"/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>
      <c r="A543" s="20"/>
      <c r="B543" s="21"/>
      <c r="C543" s="19"/>
      <c r="D543" s="19"/>
      <c r="E543" s="19"/>
      <c r="F543" s="19"/>
      <c r="G543" s="3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>
      <c r="A544" s="20"/>
      <c r="B544" s="21"/>
      <c r="C544" s="19"/>
      <c r="D544" s="19"/>
      <c r="E544" s="19"/>
      <c r="F544" s="19"/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>
      <c r="A545" s="20"/>
      <c r="B545" s="21"/>
      <c r="C545" s="19"/>
      <c r="D545" s="19"/>
      <c r="E545" s="19"/>
      <c r="F545" s="19"/>
      <c r="G545" s="3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>
      <c r="A546" s="20"/>
      <c r="B546" s="21"/>
      <c r="C546" s="19"/>
      <c r="D546" s="19"/>
      <c r="E546" s="19"/>
      <c r="F546" s="19"/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>
      <c r="A547" s="20"/>
      <c r="B547" s="21"/>
      <c r="C547" s="19"/>
      <c r="D547" s="19"/>
      <c r="E547" s="19"/>
      <c r="F547" s="19"/>
      <c r="G547" s="3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>
      <c r="A548" s="20"/>
      <c r="B548" s="21"/>
      <c r="C548" s="19"/>
      <c r="D548" s="19"/>
      <c r="E548" s="19"/>
      <c r="F548" s="19"/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>
      <c r="A549" s="20"/>
      <c r="B549" s="21"/>
      <c r="C549" s="19"/>
      <c r="D549" s="19"/>
      <c r="E549" s="19"/>
      <c r="F549" s="19"/>
      <c r="G549" s="3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>
      <c r="A550" s="20"/>
      <c r="B550" s="21"/>
      <c r="C550" s="19"/>
      <c r="D550" s="19"/>
      <c r="E550" s="19"/>
      <c r="F550" s="19"/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>
      <c r="A551" s="20"/>
      <c r="B551" s="21"/>
      <c r="C551" s="19"/>
      <c r="D551" s="19"/>
      <c r="E551" s="19"/>
      <c r="F551" s="19"/>
      <c r="G551" s="3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>
      <c r="A552" s="20"/>
      <c r="B552" s="21"/>
      <c r="C552" s="19"/>
      <c r="D552" s="19"/>
      <c r="E552" s="19"/>
      <c r="F552" s="19"/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>
      <c r="A553" s="20"/>
      <c r="B553" s="21"/>
      <c r="C553" s="19"/>
      <c r="D553" s="19"/>
      <c r="E553" s="19"/>
      <c r="F553" s="19"/>
      <c r="G553" s="3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>
      <c r="A554" s="20"/>
      <c r="B554" s="21"/>
      <c r="C554" s="19"/>
      <c r="D554" s="19"/>
      <c r="E554" s="19"/>
      <c r="F554" s="19"/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>
      <c r="A555" s="20"/>
      <c r="B555" s="21"/>
      <c r="C555" s="19"/>
      <c r="D555" s="19"/>
      <c r="E555" s="19"/>
      <c r="F555" s="19"/>
      <c r="G555" s="3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>
      <c r="A556" s="20"/>
      <c r="B556" s="21"/>
      <c r="C556" s="19"/>
      <c r="D556" s="19"/>
      <c r="E556" s="19"/>
      <c r="F556" s="19"/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>
      <c r="A557" s="20"/>
      <c r="B557" s="21"/>
      <c r="C557" s="19"/>
      <c r="D557" s="19"/>
      <c r="E557" s="19"/>
      <c r="F557" s="19"/>
      <c r="G557" s="3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>
      <c r="A558" s="20"/>
      <c r="B558" s="21"/>
      <c r="C558" s="19"/>
      <c r="D558" s="19"/>
      <c r="E558" s="19"/>
      <c r="F558" s="19"/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>
      <c r="A559" s="20"/>
      <c r="B559" s="21"/>
      <c r="C559" s="19"/>
      <c r="D559" s="19"/>
      <c r="E559" s="19"/>
      <c r="F559" s="19"/>
      <c r="G559" s="3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>
      <c r="A560" s="20"/>
      <c r="B560" s="21"/>
      <c r="C560" s="19"/>
      <c r="D560" s="19"/>
      <c r="E560" s="19"/>
      <c r="F560" s="19"/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>
      <c r="A561" s="20"/>
      <c r="B561" s="21"/>
      <c r="C561" s="19"/>
      <c r="D561" s="19"/>
      <c r="E561" s="19"/>
      <c r="F561" s="19"/>
      <c r="G561" s="3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>
      <c r="A562" s="20"/>
      <c r="B562" s="21"/>
      <c r="C562" s="19"/>
      <c r="D562" s="19"/>
      <c r="E562" s="19"/>
      <c r="F562" s="19"/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>
      <c r="A563" s="20"/>
      <c r="B563" s="21"/>
      <c r="C563" s="19"/>
      <c r="D563" s="19"/>
      <c r="E563" s="19"/>
      <c r="F563" s="19"/>
      <c r="G563" s="3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>
      <c r="A564" s="20"/>
      <c r="B564" s="21"/>
      <c r="C564" s="19"/>
      <c r="D564" s="19"/>
      <c r="E564" s="19"/>
      <c r="F564" s="19"/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>
      <c r="A565" s="20"/>
      <c r="B565" s="21"/>
      <c r="C565" s="19"/>
      <c r="D565" s="19"/>
      <c r="E565" s="19"/>
      <c r="F565" s="19"/>
      <c r="G565" s="3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>
      <c r="A566" s="20"/>
      <c r="B566" s="21"/>
      <c r="C566" s="19"/>
      <c r="D566" s="19"/>
      <c r="E566" s="19"/>
      <c r="F566" s="19"/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>
      <c r="A567" s="20"/>
      <c r="B567" s="21"/>
      <c r="C567" s="19"/>
      <c r="D567" s="19"/>
      <c r="E567" s="19"/>
      <c r="F567" s="19"/>
      <c r="G567" s="3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>
      <c r="A568" s="20"/>
      <c r="B568" s="21"/>
      <c r="C568" s="19"/>
      <c r="D568" s="19"/>
      <c r="E568" s="19"/>
      <c r="F568" s="19"/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>
      <c r="A569" s="20"/>
      <c r="B569" s="21"/>
      <c r="C569" s="19"/>
      <c r="D569" s="19"/>
      <c r="E569" s="19"/>
      <c r="F569" s="19"/>
      <c r="G569" s="3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>
      <c r="A570" s="20"/>
      <c r="B570" s="21"/>
      <c r="C570" s="19"/>
      <c r="D570" s="19"/>
      <c r="E570" s="19"/>
      <c r="F570" s="19"/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>
      <c r="A571" s="20"/>
      <c r="B571" s="21"/>
      <c r="C571" s="19"/>
      <c r="D571" s="19"/>
      <c r="E571" s="19"/>
      <c r="F571" s="19"/>
      <c r="G571" s="3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>
      <c r="A572" s="20"/>
      <c r="B572" s="21"/>
      <c r="C572" s="19"/>
      <c r="D572" s="19"/>
      <c r="E572" s="19"/>
      <c r="F572" s="19"/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>
      <c r="A573" s="20"/>
      <c r="B573" s="21"/>
      <c r="C573" s="19"/>
      <c r="D573" s="19"/>
      <c r="E573" s="19"/>
      <c r="F573" s="19"/>
      <c r="G573" s="3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>
      <c r="A574" s="20"/>
      <c r="B574" s="21"/>
      <c r="C574" s="19"/>
      <c r="D574" s="19"/>
      <c r="E574" s="19"/>
      <c r="F574" s="19"/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>
      <c r="A575" s="20"/>
      <c r="B575" s="21"/>
      <c r="C575" s="19"/>
      <c r="D575" s="19"/>
      <c r="E575" s="19"/>
      <c r="F575" s="19"/>
      <c r="G575" s="3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>
      <c r="A576" s="20"/>
      <c r="B576" s="21"/>
      <c r="C576" s="19"/>
      <c r="D576" s="19"/>
      <c r="E576" s="19"/>
      <c r="F576" s="19"/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>
      <c r="A577" s="20"/>
      <c r="B577" s="21"/>
      <c r="C577" s="19"/>
      <c r="D577" s="19"/>
      <c r="E577" s="19"/>
      <c r="F577" s="19"/>
      <c r="G577" s="3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>
      <c r="A578" s="20"/>
      <c r="B578" s="21"/>
      <c r="C578" s="19"/>
      <c r="D578" s="19"/>
      <c r="E578" s="19"/>
      <c r="F578" s="19"/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>
      <c r="A579" s="20"/>
      <c r="B579" s="21"/>
      <c r="C579" s="19"/>
      <c r="D579" s="19"/>
      <c r="E579" s="19"/>
      <c r="F579" s="19"/>
      <c r="G579" s="3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>
      <c r="A580" s="20"/>
      <c r="B580" s="21"/>
      <c r="C580" s="19"/>
      <c r="D580" s="19"/>
      <c r="E580" s="19"/>
      <c r="F580" s="19"/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>
      <c r="A581" s="20"/>
      <c r="B581" s="21"/>
      <c r="C581" s="19"/>
      <c r="D581" s="19"/>
      <c r="E581" s="19"/>
      <c r="F581" s="19"/>
      <c r="G581" s="3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>
      <c r="A582" s="20"/>
      <c r="B582" s="21"/>
      <c r="C582" s="19"/>
      <c r="D582" s="19"/>
      <c r="E582" s="19"/>
      <c r="F582" s="19"/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>
      <c r="A583" s="20"/>
      <c r="B583" s="21"/>
      <c r="C583" s="19"/>
      <c r="D583" s="19"/>
      <c r="E583" s="19"/>
      <c r="F583" s="19"/>
      <c r="G583" s="3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>
      <c r="A584" s="20"/>
      <c r="B584" s="21"/>
      <c r="C584" s="19"/>
      <c r="D584" s="19"/>
      <c r="E584" s="19"/>
      <c r="F584" s="19"/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>
      <c r="A585" s="20"/>
      <c r="B585" s="21"/>
      <c r="C585" s="19"/>
      <c r="D585" s="19"/>
      <c r="E585" s="19"/>
      <c r="F585" s="19"/>
      <c r="G585" s="3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>
      <c r="A586" s="20"/>
      <c r="B586" s="21"/>
      <c r="C586" s="19"/>
      <c r="D586" s="19"/>
      <c r="E586" s="19"/>
      <c r="F586" s="19"/>
      <c r="G586" s="3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>
      <c r="A587" s="20"/>
      <c r="B587" s="21"/>
      <c r="C587" s="19"/>
      <c r="D587" s="19"/>
      <c r="E587" s="19"/>
      <c r="F587" s="19"/>
      <c r="G587" s="3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>
      <c r="A588" s="20"/>
      <c r="B588" s="21"/>
      <c r="C588" s="19"/>
      <c r="D588" s="19"/>
      <c r="E588" s="19"/>
      <c r="F588" s="19"/>
      <c r="G588" s="3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>
      <c r="A589" s="20"/>
      <c r="B589" s="21"/>
      <c r="C589" s="19"/>
      <c r="D589" s="19"/>
      <c r="E589" s="19"/>
      <c r="F589" s="19"/>
      <c r="G589" s="3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>
      <c r="A590" s="20"/>
      <c r="B590" s="21"/>
      <c r="C590" s="19"/>
      <c r="D590" s="19"/>
      <c r="E590" s="19"/>
      <c r="F590" s="19"/>
      <c r="G590" s="3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>
      <c r="A591" s="20"/>
      <c r="B591" s="21"/>
      <c r="C591" s="19"/>
      <c r="D591" s="19"/>
      <c r="E591" s="19"/>
      <c r="F591" s="19"/>
      <c r="G591" s="3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>
      <c r="A592" s="20"/>
      <c r="B592" s="21"/>
      <c r="C592" s="19"/>
      <c r="D592" s="19"/>
      <c r="E592" s="19"/>
      <c r="F592" s="19"/>
      <c r="G592" s="3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>
      <c r="A593" s="20"/>
      <c r="B593" s="21"/>
      <c r="C593" s="19"/>
      <c r="D593" s="19"/>
      <c r="E593" s="19"/>
      <c r="F593" s="19"/>
      <c r="G593" s="3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>
      <c r="A594" s="20"/>
      <c r="B594" s="21"/>
      <c r="C594" s="19"/>
      <c r="D594" s="19"/>
      <c r="E594" s="19"/>
      <c r="F594" s="19"/>
      <c r="G594" s="3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>
      <c r="A595" s="20"/>
      <c r="B595" s="21"/>
      <c r="C595" s="19"/>
      <c r="D595" s="19"/>
      <c r="E595" s="19"/>
      <c r="F595" s="19"/>
      <c r="G595" s="3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>
      <c r="A596" s="20"/>
      <c r="B596" s="21"/>
      <c r="C596" s="19"/>
      <c r="D596" s="19"/>
      <c r="E596" s="19"/>
      <c r="F596" s="19"/>
      <c r="G596" s="3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>
      <c r="A597" s="20"/>
      <c r="B597" s="21"/>
      <c r="C597" s="19"/>
      <c r="D597" s="19"/>
      <c r="E597" s="19"/>
      <c r="F597" s="19"/>
      <c r="G597" s="3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>
      <c r="A598" s="20"/>
      <c r="B598" s="21"/>
      <c r="C598" s="19"/>
      <c r="D598" s="19"/>
      <c r="E598" s="19"/>
      <c r="F598" s="19"/>
      <c r="G598" s="3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>
      <c r="A599" s="20"/>
      <c r="B599" s="21"/>
      <c r="C599" s="19"/>
      <c r="D599" s="19"/>
      <c r="E599" s="19"/>
      <c r="F599" s="19"/>
      <c r="G599" s="3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>
      <c r="A600" s="20"/>
      <c r="B600" s="21"/>
      <c r="C600" s="19"/>
      <c r="D600" s="19"/>
      <c r="E600" s="19"/>
      <c r="F600" s="19"/>
      <c r="G600" s="3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>
      <c r="A601" s="20"/>
      <c r="B601" s="21"/>
      <c r="C601" s="19"/>
      <c r="D601" s="19"/>
      <c r="E601" s="19"/>
      <c r="F601" s="19"/>
      <c r="G601" s="3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>
      <c r="A602" s="20"/>
      <c r="B602" s="21"/>
      <c r="C602" s="19"/>
      <c r="D602" s="19"/>
      <c r="E602" s="19"/>
      <c r="F602" s="19"/>
      <c r="G602" s="3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>
      <c r="A603" s="20"/>
      <c r="B603" s="21"/>
      <c r="C603" s="19"/>
      <c r="D603" s="19"/>
      <c r="E603" s="19"/>
      <c r="F603" s="19"/>
      <c r="G603" s="3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>
      <c r="A604" s="20"/>
      <c r="B604" s="21"/>
      <c r="C604" s="19"/>
      <c r="D604" s="19"/>
      <c r="E604" s="19"/>
      <c r="F604" s="19"/>
      <c r="G604" s="3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>
      <c r="A605" s="20"/>
      <c r="B605" s="21"/>
      <c r="C605" s="19"/>
      <c r="D605" s="19"/>
      <c r="E605" s="19"/>
      <c r="F605" s="19"/>
      <c r="G605" s="3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>
      <c r="A606" s="20"/>
      <c r="B606" s="21"/>
      <c r="C606" s="19"/>
      <c r="D606" s="19"/>
      <c r="E606" s="19"/>
      <c r="F606" s="19"/>
      <c r="G606" s="3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>
      <c r="A607" s="20"/>
      <c r="B607" s="21"/>
      <c r="C607" s="19"/>
      <c r="D607" s="19"/>
      <c r="E607" s="19"/>
      <c r="F607" s="19"/>
      <c r="G607" s="3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>
      <c r="A608" s="20"/>
      <c r="B608" s="21"/>
      <c r="C608" s="19"/>
      <c r="D608" s="19"/>
      <c r="E608" s="19"/>
      <c r="F608" s="19"/>
      <c r="G608" s="3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>
      <c r="A609" s="20"/>
      <c r="B609" s="21"/>
      <c r="C609" s="19"/>
      <c r="D609" s="19"/>
      <c r="E609" s="19"/>
      <c r="F609" s="19"/>
      <c r="G609" s="3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>
      <c r="A610" s="20"/>
      <c r="B610" s="21"/>
      <c r="C610" s="19"/>
      <c r="D610" s="19"/>
      <c r="E610" s="19"/>
      <c r="F610" s="19"/>
      <c r="G610" s="3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>
      <c r="A611" s="20"/>
      <c r="B611" s="21"/>
      <c r="C611" s="19"/>
      <c r="D611" s="19"/>
      <c r="E611" s="19"/>
      <c r="F611" s="19"/>
      <c r="G611" s="3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>
      <c r="A612" s="20"/>
      <c r="B612" s="21"/>
      <c r="C612" s="19"/>
      <c r="D612" s="19"/>
      <c r="E612" s="19"/>
      <c r="F612" s="19"/>
      <c r="G612" s="3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>
      <c r="A613" s="20"/>
      <c r="B613" s="21"/>
      <c r="C613" s="19"/>
      <c r="D613" s="19"/>
      <c r="E613" s="19"/>
      <c r="F613" s="19"/>
      <c r="G613" s="3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>
      <c r="A614" s="20"/>
      <c r="B614" s="21"/>
      <c r="C614" s="19"/>
      <c r="D614" s="19"/>
      <c r="E614" s="19"/>
      <c r="F614" s="19"/>
      <c r="G614" s="3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>
      <c r="A615" s="20"/>
      <c r="B615" s="21"/>
      <c r="C615" s="19"/>
      <c r="D615" s="19"/>
      <c r="E615" s="19"/>
      <c r="F615" s="19"/>
      <c r="G615" s="3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>
      <c r="A616" s="20"/>
      <c r="B616" s="21"/>
      <c r="C616" s="19"/>
      <c r="D616" s="19"/>
      <c r="E616" s="19"/>
      <c r="F616" s="19"/>
      <c r="G616" s="3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>
      <c r="A617" s="20"/>
      <c r="B617" s="21"/>
      <c r="C617" s="19"/>
      <c r="D617" s="19"/>
      <c r="E617" s="19"/>
      <c r="F617" s="19"/>
      <c r="G617" s="3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>
      <c r="A618" s="20"/>
      <c r="B618" s="21"/>
      <c r="C618" s="19"/>
      <c r="D618" s="19"/>
      <c r="E618" s="19"/>
      <c r="F618" s="19"/>
      <c r="G618" s="3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>
      <c r="A619" s="20"/>
      <c r="B619" s="21"/>
      <c r="C619" s="19"/>
      <c r="D619" s="19"/>
      <c r="E619" s="19"/>
      <c r="F619" s="19"/>
      <c r="G619" s="3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>
      <c r="A620" s="20"/>
      <c r="B620" s="21"/>
      <c r="C620" s="19"/>
      <c r="D620" s="19"/>
      <c r="E620" s="19"/>
      <c r="F620" s="19"/>
      <c r="G620" s="3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>
      <c r="A621" s="20"/>
      <c r="B621" s="21"/>
      <c r="C621" s="19"/>
      <c r="D621" s="19"/>
      <c r="E621" s="19"/>
      <c r="F621" s="19"/>
      <c r="G621" s="3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>
      <c r="A622" s="20"/>
      <c r="B622" s="21"/>
      <c r="C622" s="19"/>
      <c r="D622" s="19"/>
      <c r="E622" s="19"/>
      <c r="F622" s="19"/>
      <c r="G622" s="3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>
      <c r="A623" s="20"/>
      <c r="B623" s="21"/>
      <c r="C623" s="19"/>
      <c r="D623" s="19"/>
      <c r="E623" s="19"/>
      <c r="F623" s="19"/>
      <c r="G623" s="3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>
      <c r="A624" s="20"/>
      <c r="B624" s="21"/>
      <c r="C624" s="19"/>
      <c r="D624" s="19"/>
      <c r="E624" s="19"/>
      <c r="F624" s="19"/>
      <c r="G624" s="3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>
      <c r="A625" s="20"/>
      <c r="B625" s="21"/>
      <c r="C625" s="19"/>
      <c r="D625" s="19"/>
      <c r="E625" s="19"/>
      <c r="F625" s="19"/>
      <c r="G625" s="3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>
      <c r="A626" s="20"/>
      <c r="B626" s="21"/>
      <c r="C626" s="19"/>
      <c r="D626" s="19"/>
      <c r="E626" s="19"/>
      <c r="F626" s="19"/>
      <c r="G626" s="3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>
      <c r="A627" s="20"/>
      <c r="B627" s="21"/>
      <c r="C627" s="19"/>
      <c r="D627" s="19"/>
      <c r="E627" s="19"/>
      <c r="F627" s="19"/>
      <c r="G627" s="3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>
      <c r="A628" s="20"/>
      <c r="B628" s="21"/>
      <c r="C628" s="19"/>
      <c r="D628" s="19"/>
      <c r="E628" s="19"/>
      <c r="F628" s="19"/>
      <c r="G628" s="3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>
      <c r="A629" s="20"/>
      <c r="B629" s="21"/>
      <c r="C629" s="19"/>
      <c r="D629" s="19"/>
      <c r="E629" s="19"/>
      <c r="F629" s="19"/>
      <c r="G629" s="3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>
      <c r="A630" s="20"/>
      <c r="B630" s="21"/>
      <c r="C630" s="19"/>
      <c r="D630" s="19"/>
      <c r="E630" s="19"/>
      <c r="F630" s="19"/>
      <c r="G630" s="3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>
      <c r="A631" s="20"/>
      <c r="B631" s="21"/>
      <c r="C631" s="19"/>
      <c r="D631" s="19"/>
      <c r="E631" s="19"/>
      <c r="F631" s="19"/>
      <c r="G631" s="3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>
      <c r="A632" s="20"/>
      <c r="B632" s="21"/>
      <c r="C632" s="19"/>
      <c r="D632" s="19"/>
      <c r="E632" s="19"/>
      <c r="F632" s="19"/>
      <c r="G632" s="3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>
      <c r="A633" s="20"/>
      <c r="B633" s="21"/>
      <c r="C633" s="19"/>
      <c r="D633" s="19"/>
      <c r="E633" s="19"/>
      <c r="F633" s="19"/>
      <c r="G633" s="3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>
      <c r="A634" s="20"/>
      <c r="B634" s="21"/>
      <c r="C634" s="19"/>
      <c r="D634" s="19"/>
      <c r="E634" s="19"/>
      <c r="F634" s="19"/>
      <c r="G634" s="3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>
      <c r="A635" s="20"/>
      <c r="B635" s="21"/>
      <c r="C635" s="19"/>
      <c r="D635" s="19"/>
      <c r="E635" s="19"/>
      <c r="F635" s="19"/>
      <c r="G635" s="3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>
      <c r="A636" s="20"/>
      <c r="B636" s="21"/>
      <c r="C636" s="19"/>
      <c r="D636" s="19"/>
      <c r="E636" s="19"/>
      <c r="F636" s="19"/>
      <c r="G636" s="3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>
      <c r="A637" s="20"/>
      <c r="B637" s="21"/>
      <c r="C637" s="19"/>
      <c r="D637" s="19"/>
      <c r="E637" s="19"/>
      <c r="F637" s="19"/>
      <c r="G637" s="3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>
      <c r="A638" s="20"/>
      <c r="B638" s="21"/>
      <c r="C638" s="19"/>
      <c r="D638" s="19"/>
      <c r="E638" s="19"/>
      <c r="F638" s="19"/>
      <c r="G638" s="3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>
      <c r="A639" s="20"/>
      <c r="B639" s="21"/>
      <c r="C639" s="19"/>
      <c r="D639" s="19"/>
      <c r="E639" s="19"/>
      <c r="F639" s="19"/>
      <c r="G639" s="3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>
      <c r="A640" s="20"/>
      <c r="B640" s="21"/>
      <c r="C640" s="19"/>
      <c r="D640" s="19"/>
      <c r="E640" s="19"/>
      <c r="F640" s="19"/>
      <c r="G640" s="3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>
      <c r="A641" s="20"/>
      <c r="B641" s="21"/>
      <c r="C641" s="19"/>
      <c r="D641" s="19"/>
      <c r="E641" s="19"/>
      <c r="F641" s="19"/>
      <c r="G641" s="3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>
      <c r="A642" s="20"/>
      <c r="B642" s="21"/>
      <c r="C642" s="19"/>
      <c r="D642" s="19"/>
      <c r="E642" s="19"/>
      <c r="F642" s="19"/>
      <c r="G642" s="3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>
      <c r="A643" s="20"/>
      <c r="B643" s="21"/>
      <c r="C643" s="19"/>
      <c r="D643" s="19"/>
      <c r="E643" s="19"/>
      <c r="F643" s="19"/>
      <c r="G643" s="3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>
      <c r="A644" s="20"/>
      <c r="B644" s="21"/>
      <c r="C644" s="19"/>
      <c r="D644" s="19"/>
      <c r="E644" s="19"/>
      <c r="F644" s="19"/>
      <c r="G644" s="3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>
      <c r="A645" s="20"/>
      <c r="B645" s="21"/>
      <c r="C645" s="19"/>
      <c r="D645" s="19"/>
      <c r="E645" s="19"/>
      <c r="F645" s="19"/>
      <c r="G645" s="3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>
      <c r="A646" s="20"/>
      <c r="B646" s="21"/>
      <c r="C646" s="19"/>
      <c r="D646" s="19"/>
      <c r="E646" s="19"/>
      <c r="F646" s="19"/>
      <c r="G646" s="3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>
      <c r="A647" s="20"/>
      <c r="B647" s="21"/>
      <c r="C647" s="19"/>
      <c r="D647" s="19"/>
      <c r="E647" s="19"/>
      <c r="F647" s="19"/>
      <c r="G647" s="3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>
      <c r="A648" s="20"/>
      <c r="B648" s="21"/>
      <c r="C648" s="19"/>
      <c r="D648" s="19"/>
      <c r="E648" s="19"/>
      <c r="F648" s="19"/>
      <c r="G648" s="3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>
      <c r="A649" s="20"/>
      <c r="B649" s="21"/>
      <c r="C649" s="19"/>
      <c r="D649" s="19"/>
      <c r="E649" s="19"/>
      <c r="F649" s="19"/>
      <c r="G649" s="3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>
      <c r="A650" s="20"/>
      <c r="B650" s="21"/>
      <c r="C650" s="19"/>
      <c r="D650" s="19"/>
      <c r="E650" s="19"/>
      <c r="F650" s="19"/>
      <c r="G650" s="3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>
      <c r="A651" s="20"/>
      <c r="B651" s="21"/>
      <c r="C651" s="19"/>
      <c r="D651" s="19"/>
      <c r="E651" s="19"/>
      <c r="F651" s="19"/>
      <c r="G651" s="3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>
      <c r="A652" s="20"/>
      <c r="B652" s="21"/>
      <c r="C652" s="19"/>
      <c r="D652" s="19"/>
      <c r="E652" s="19"/>
      <c r="F652" s="19"/>
      <c r="G652" s="3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>
      <c r="A653" s="20"/>
      <c r="B653" s="21"/>
      <c r="C653" s="19"/>
      <c r="D653" s="19"/>
      <c r="E653" s="19"/>
      <c r="F653" s="19"/>
      <c r="G653" s="3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>
      <c r="A654" s="20"/>
      <c r="B654" s="21"/>
      <c r="C654" s="19"/>
      <c r="D654" s="19"/>
      <c r="E654" s="19"/>
      <c r="F654" s="19"/>
      <c r="G654" s="3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>
      <c r="A655" s="20"/>
      <c r="B655" s="21"/>
      <c r="C655" s="19"/>
      <c r="D655" s="19"/>
      <c r="E655" s="19"/>
      <c r="F655" s="19"/>
      <c r="G655" s="3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>
      <c r="A656" s="20"/>
      <c r="B656" s="21"/>
      <c r="C656" s="19"/>
      <c r="D656" s="19"/>
      <c r="E656" s="19"/>
      <c r="F656" s="19"/>
      <c r="G656" s="3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>
      <c r="A657" s="20"/>
      <c r="B657" s="21"/>
      <c r="C657" s="19"/>
      <c r="D657" s="19"/>
      <c r="E657" s="19"/>
      <c r="F657" s="19"/>
      <c r="G657" s="3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>
      <c r="A658" s="20"/>
      <c r="B658" s="21"/>
      <c r="C658" s="19"/>
      <c r="D658" s="19"/>
      <c r="E658" s="19"/>
      <c r="F658" s="19"/>
      <c r="G658" s="3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>
      <c r="A659" s="20"/>
      <c r="B659" s="21"/>
      <c r="C659" s="19"/>
      <c r="D659" s="19"/>
      <c r="E659" s="19"/>
      <c r="F659" s="19"/>
      <c r="G659" s="3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>
      <c r="A660" s="20"/>
      <c r="B660" s="21"/>
      <c r="C660" s="19"/>
      <c r="D660" s="19"/>
      <c r="E660" s="19"/>
      <c r="F660" s="19"/>
      <c r="G660" s="3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>
      <c r="A661" s="20"/>
      <c r="B661" s="21"/>
      <c r="C661" s="19"/>
      <c r="D661" s="19"/>
      <c r="E661" s="19"/>
      <c r="F661" s="19"/>
      <c r="G661" s="3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>
      <c r="A662" s="20"/>
      <c r="B662" s="21"/>
      <c r="C662" s="19"/>
      <c r="D662" s="19"/>
      <c r="E662" s="19"/>
      <c r="F662" s="19"/>
      <c r="G662" s="3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>
      <c r="A663" s="20"/>
      <c r="B663" s="21"/>
      <c r="C663" s="19"/>
      <c r="D663" s="19"/>
      <c r="E663" s="19"/>
      <c r="F663" s="19"/>
      <c r="G663" s="3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>
      <c r="A664" s="20"/>
      <c r="B664" s="21"/>
      <c r="C664" s="19"/>
      <c r="D664" s="19"/>
      <c r="E664" s="19"/>
      <c r="F664" s="19"/>
      <c r="G664" s="3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>
      <c r="A665" s="20"/>
      <c r="B665" s="21"/>
      <c r="C665" s="19"/>
      <c r="D665" s="19"/>
      <c r="E665" s="19"/>
      <c r="F665" s="19"/>
      <c r="G665" s="3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>
      <c r="A666" s="20"/>
      <c r="B666" s="21"/>
      <c r="C666" s="19"/>
      <c r="D666" s="19"/>
      <c r="E666" s="19"/>
      <c r="F666" s="19"/>
      <c r="G666" s="3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>
      <c r="A667" s="20"/>
      <c r="B667" s="21"/>
      <c r="C667" s="19"/>
      <c r="D667" s="19"/>
      <c r="E667" s="19"/>
      <c r="F667" s="19"/>
      <c r="G667" s="3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>
      <c r="A668" s="20"/>
      <c r="B668" s="21"/>
      <c r="C668" s="19"/>
      <c r="D668" s="19"/>
      <c r="E668" s="19"/>
      <c r="F668" s="19"/>
      <c r="G668" s="3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>
      <c r="A669" s="20"/>
      <c r="B669" s="21"/>
      <c r="C669" s="19"/>
      <c r="D669" s="19"/>
      <c r="E669" s="19"/>
      <c r="F669" s="19"/>
      <c r="G669" s="3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>
      <c r="A670" s="20"/>
      <c r="B670" s="21"/>
      <c r="C670" s="19"/>
      <c r="D670" s="19"/>
      <c r="E670" s="19"/>
      <c r="F670" s="19"/>
      <c r="G670" s="3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>
      <c r="A671" s="20"/>
      <c r="B671" s="21"/>
      <c r="C671" s="19"/>
      <c r="D671" s="19"/>
      <c r="E671" s="19"/>
      <c r="F671" s="19"/>
      <c r="G671" s="3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>
      <c r="A672" s="20"/>
      <c r="B672" s="21"/>
      <c r="C672" s="19"/>
      <c r="D672" s="19"/>
      <c r="E672" s="19"/>
      <c r="F672" s="19"/>
      <c r="G672" s="3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>
      <c r="A673" s="20"/>
      <c r="B673" s="21"/>
      <c r="C673" s="19"/>
      <c r="D673" s="19"/>
      <c r="E673" s="19"/>
      <c r="F673" s="19"/>
      <c r="G673" s="3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>
      <c r="A674" s="20"/>
      <c r="B674" s="21"/>
      <c r="C674" s="19"/>
      <c r="D674" s="19"/>
      <c r="E674" s="19"/>
      <c r="F674" s="19"/>
      <c r="G674" s="3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>
      <c r="A675" s="20"/>
      <c r="B675" s="21"/>
      <c r="C675" s="19"/>
      <c r="D675" s="19"/>
      <c r="E675" s="19"/>
      <c r="F675" s="19"/>
      <c r="G675" s="3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>
      <c r="A676" s="20"/>
      <c r="B676" s="21"/>
      <c r="C676" s="19"/>
      <c r="D676" s="19"/>
      <c r="E676" s="19"/>
      <c r="F676" s="19"/>
      <c r="G676" s="3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>
      <c r="A677" s="20"/>
      <c r="B677" s="21"/>
      <c r="C677" s="19"/>
      <c r="D677" s="19"/>
      <c r="E677" s="19"/>
      <c r="F677" s="19"/>
      <c r="G677" s="3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>
      <c r="A678" s="20"/>
      <c r="B678" s="21"/>
      <c r="C678" s="19"/>
      <c r="D678" s="19"/>
      <c r="E678" s="19"/>
      <c r="F678" s="19"/>
      <c r="G678" s="3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>
      <c r="A679" s="20"/>
      <c r="B679" s="21"/>
      <c r="C679" s="19"/>
      <c r="D679" s="19"/>
      <c r="E679" s="19"/>
      <c r="F679" s="19"/>
      <c r="G679" s="3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>
      <c r="A680" s="20"/>
      <c r="B680" s="21"/>
      <c r="C680" s="19"/>
      <c r="D680" s="19"/>
      <c r="E680" s="19"/>
      <c r="F680" s="19"/>
      <c r="G680" s="3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>
      <c r="A681" s="20"/>
      <c r="B681" s="21"/>
      <c r="C681" s="19"/>
      <c r="D681" s="19"/>
      <c r="E681" s="19"/>
      <c r="F681" s="19"/>
      <c r="G681" s="3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>
      <c r="A682" s="20"/>
      <c r="B682" s="21"/>
      <c r="C682" s="19"/>
      <c r="D682" s="19"/>
      <c r="E682" s="19"/>
      <c r="F682" s="19"/>
      <c r="G682" s="3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>
      <c r="A683" s="20"/>
      <c r="B683" s="21"/>
      <c r="C683" s="19"/>
      <c r="D683" s="19"/>
      <c r="E683" s="19"/>
      <c r="F683" s="19"/>
      <c r="G683" s="3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>
      <c r="A684" s="20"/>
      <c r="B684" s="21"/>
      <c r="C684" s="19"/>
      <c r="D684" s="19"/>
      <c r="E684" s="19"/>
      <c r="F684" s="19"/>
      <c r="G684" s="3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>
      <c r="A685" s="20"/>
      <c r="B685" s="21"/>
      <c r="C685" s="19"/>
      <c r="D685" s="19"/>
      <c r="E685" s="19"/>
      <c r="F685" s="19"/>
      <c r="G685" s="3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>
      <c r="A686" s="20"/>
      <c r="B686" s="21"/>
      <c r="C686" s="19"/>
      <c r="D686" s="19"/>
      <c r="E686" s="19"/>
      <c r="F686" s="19"/>
      <c r="G686" s="3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>
      <c r="A687" s="20"/>
      <c r="B687" s="21"/>
      <c r="C687" s="19"/>
      <c r="D687" s="19"/>
      <c r="E687" s="19"/>
      <c r="F687" s="19"/>
      <c r="G687" s="3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>
      <c r="A688" s="20"/>
      <c r="B688" s="21"/>
      <c r="C688" s="19"/>
      <c r="D688" s="19"/>
      <c r="E688" s="19"/>
      <c r="F688" s="19"/>
      <c r="G688" s="3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>
      <c r="A689" s="20"/>
      <c r="B689" s="21"/>
      <c r="C689" s="19"/>
      <c r="D689" s="19"/>
      <c r="E689" s="19"/>
      <c r="F689" s="19"/>
      <c r="G689" s="3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>
      <c r="A690" s="20"/>
      <c r="B690" s="21"/>
      <c r="C690" s="19"/>
      <c r="D690" s="19"/>
      <c r="E690" s="19"/>
      <c r="F690" s="19"/>
      <c r="G690" s="3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>
      <c r="A691" s="20"/>
      <c r="B691" s="21"/>
      <c r="C691" s="19"/>
      <c r="D691" s="19"/>
      <c r="E691" s="19"/>
      <c r="F691" s="19"/>
      <c r="G691" s="3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>
      <c r="A692" s="20"/>
      <c r="B692" s="21"/>
      <c r="C692" s="19"/>
      <c r="D692" s="19"/>
      <c r="E692" s="19"/>
      <c r="F692" s="19"/>
      <c r="G692" s="3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>
      <c r="A693" s="20"/>
      <c r="B693" s="21"/>
      <c r="C693" s="19"/>
      <c r="D693" s="19"/>
      <c r="E693" s="19"/>
      <c r="F693" s="19"/>
      <c r="G693" s="3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>
      <c r="A694" s="20"/>
      <c r="B694" s="21"/>
      <c r="C694" s="19"/>
      <c r="D694" s="19"/>
      <c r="E694" s="19"/>
      <c r="F694" s="19"/>
      <c r="G694" s="3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>
      <c r="A695" s="20"/>
      <c r="B695" s="21"/>
      <c r="C695" s="19"/>
      <c r="D695" s="19"/>
      <c r="E695" s="19"/>
      <c r="F695" s="19"/>
      <c r="G695" s="3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>
      <c r="A696" s="20"/>
      <c r="B696" s="21"/>
      <c r="C696" s="19"/>
      <c r="D696" s="19"/>
      <c r="E696" s="19"/>
      <c r="F696" s="19"/>
      <c r="G696" s="3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>
      <c r="A697" s="20"/>
      <c r="B697" s="21"/>
      <c r="C697" s="19"/>
      <c r="D697" s="19"/>
      <c r="E697" s="19"/>
      <c r="F697" s="19"/>
      <c r="G697" s="3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>
      <c r="A698" s="20"/>
      <c r="B698" s="21"/>
      <c r="C698" s="19"/>
      <c r="D698" s="19"/>
      <c r="E698" s="19"/>
      <c r="F698" s="19"/>
      <c r="G698" s="3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>
      <c r="A699" s="20"/>
      <c r="B699" s="21"/>
      <c r="C699" s="19"/>
      <c r="D699" s="19"/>
      <c r="E699" s="19"/>
      <c r="F699" s="19"/>
      <c r="G699" s="3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>
      <c r="A700" s="20"/>
      <c r="B700" s="21"/>
      <c r="C700" s="19"/>
      <c r="D700" s="19"/>
      <c r="E700" s="19"/>
      <c r="F700" s="19"/>
      <c r="G700" s="3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>
      <c r="A701" s="20"/>
      <c r="B701" s="21"/>
      <c r="C701" s="19"/>
      <c r="D701" s="19"/>
      <c r="E701" s="19"/>
      <c r="F701" s="19"/>
      <c r="G701" s="3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>
      <c r="A702" s="20"/>
      <c r="B702" s="21"/>
      <c r="C702" s="19"/>
      <c r="D702" s="19"/>
      <c r="E702" s="19"/>
      <c r="F702" s="19"/>
      <c r="G702" s="3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>
      <c r="A703" s="20"/>
      <c r="B703" s="21"/>
      <c r="C703" s="19"/>
      <c r="D703" s="19"/>
      <c r="E703" s="19"/>
      <c r="F703" s="19"/>
      <c r="G703" s="3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>
      <c r="A704" s="20"/>
      <c r="B704" s="21"/>
      <c r="C704" s="19"/>
      <c r="D704" s="19"/>
      <c r="E704" s="19"/>
      <c r="F704" s="19"/>
      <c r="G704" s="3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>
      <c r="A705" s="20"/>
      <c r="B705" s="21"/>
      <c r="C705" s="19"/>
      <c r="D705" s="19"/>
      <c r="E705" s="19"/>
      <c r="F705" s="19"/>
      <c r="G705" s="3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>
      <c r="A706" s="20"/>
      <c r="B706" s="21"/>
      <c r="C706" s="19"/>
      <c r="D706" s="19"/>
      <c r="E706" s="19"/>
      <c r="F706" s="19"/>
      <c r="G706" s="3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>
      <c r="A707" s="20"/>
      <c r="B707" s="21"/>
      <c r="C707" s="19"/>
      <c r="D707" s="19"/>
      <c r="E707" s="19"/>
      <c r="F707" s="19"/>
      <c r="G707" s="3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>
      <c r="A708" s="20"/>
      <c r="B708" s="21"/>
      <c r="C708" s="19"/>
      <c r="D708" s="19"/>
      <c r="E708" s="19"/>
      <c r="F708" s="19"/>
      <c r="G708" s="3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>
      <c r="A709" s="20"/>
      <c r="B709" s="21"/>
      <c r="C709" s="19"/>
      <c r="D709" s="19"/>
      <c r="E709" s="19"/>
      <c r="F709" s="19"/>
      <c r="G709" s="3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>
      <c r="A710" s="20"/>
      <c r="B710" s="21"/>
      <c r="C710" s="19"/>
      <c r="D710" s="19"/>
      <c r="E710" s="19"/>
      <c r="F710" s="19"/>
      <c r="G710" s="3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>
      <c r="A711" s="20"/>
      <c r="B711" s="21"/>
      <c r="C711" s="19"/>
      <c r="D711" s="19"/>
      <c r="E711" s="19"/>
      <c r="F711" s="19"/>
      <c r="G711" s="3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>
      <c r="A712" s="20"/>
      <c r="B712" s="21"/>
      <c r="C712" s="19"/>
      <c r="D712" s="19"/>
      <c r="E712" s="19"/>
      <c r="F712" s="19"/>
      <c r="G712" s="3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>
      <c r="A713" s="20"/>
      <c r="B713" s="21"/>
      <c r="C713" s="19"/>
      <c r="D713" s="19"/>
      <c r="E713" s="19"/>
      <c r="F713" s="19"/>
      <c r="G713" s="3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>
      <c r="A714" s="20"/>
      <c r="B714" s="21"/>
      <c r="C714" s="19"/>
      <c r="D714" s="19"/>
      <c r="E714" s="19"/>
      <c r="F714" s="19"/>
      <c r="G714" s="3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>
      <c r="A715" s="20"/>
      <c r="B715" s="21"/>
      <c r="C715" s="19"/>
      <c r="D715" s="19"/>
      <c r="E715" s="19"/>
      <c r="F715" s="19"/>
      <c r="G715" s="3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>
      <c r="A716" s="20"/>
      <c r="B716" s="21"/>
      <c r="C716" s="19"/>
      <c r="D716" s="19"/>
      <c r="E716" s="19"/>
      <c r="F716" s="19"/>
      <c r="G716" s="3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>
      <c r="A717" s="20"/>
      <c r="B717" s="21"/>
      <c r="C717" s="19"/>
      <c r="D717" s="19"/>
      <c r="E717" s="19"/>
      <c r="F717" s="19"/>
      <c r="G717" s="3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>
      <c r="A718" s="20"/>
      <c r="B718" s="21"/>
      <c r="C718" s="19"/>
      <c r="D718" s="19"/>
      <c r="E718" s="19"/>
      <c r="F718" s="19"/>
      <c r="G718" s="3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>
      <c r="A719" s="20"/>
      <c r="B719" s="21"/>
      <c r="C719" s="19"/>
      <c r="D719" s="19"/>
      <c r="E719" s="19"/>
      <c r="F719" s="19"/>
      <c r="G719" s="3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>
      <c r="A720" s="20"/>
      <c r="B720" s="21"/>
      <c r="C720" s="19"/>
      <c r="D720" s="19"/>
      <c r="E720" s="19"/>
      <c r="F720" s="19"/>
      <c r="G720" s="3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>
      <c r="A721" s="20"/>
      <c r="B721" s="21"/>
      <c r="C721" s="19"/>
      <c r="D721" s="19"/>
      <c r="E721" s="19"/>
      <c r="F721" s="19"/>
      <c r="G721" s="3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>
      <c r="A722" s="20"/>
      <c r="B722" s="21"/>
      <c r="C722" s="19"/>
      <c r="D722" s="19"/>
      <c r="E722" s="19"/>
      <c r="F722" s="19"/>
      <c r="G722" s="3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>
      <c r="A723" s="20"/>
      <c r="B723" s="21"/>
      <c r="C723" s="19"/>
      <c r="D723" s="19"/>
      <c r="E723" s="19"/>
      <c r="F723" s="19"/>
      <c r="G723" s="3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>
      <c r="A724" s="20"/>
      <c r="B724" s="21"/>
      <c r="C724" s="19"/>
      <c r="D724" s="19"/>
      <c r="E724" s="19"/>
      <c r="F724" s="19"/>
      <c r="G724" s="3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>
      <c r="A725" s="20"/>
      <c r="B725" s="21"/>
      <c r="C725" s="19"/>
      <c r="D725" s="19"/>
      <c r="E725" s="19"/>
      <c r="F725" s="19"/>
      <c r="G725" s="3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>
      <c r="A726" s="20"/>
      <c r="B726" s="21"/>
      <c r="C726" s="19"/>
      <c r="D726" s="19"/>
      <c r="E726" s="19"/>
      <c r="F726" s="19"/>
      <c r="G726" s="3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>
      <c r="A727" s="20"/>
      <c r="B727" s="21"/>
      <c r="C727" s="19"/>
      <c r="D727" s="19"/>
      <c r="E727" s="19"/>
      <c r="F727" s="19"/>
      <c r="G727" s="3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>
      <c r="A728" s="20"/>
      <c r="B728" s="21"/>
      <c r="C728" s="19"/>
      <c r="D728" s="19"/>
      <c r="E728" s="19"/>
      <c r="F728" s="19"/>
      <c r="G728" s="3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>
      <c r="A729" s="20"/>
      <c r="B729" s="21"/>
      <c r="C729" s="19"/>
      <c r="D729" s="19"/>
      <c r="E729" s="19"/>
      <c r="F729" s="19"/>
      <c r="G729" s="3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>
      <c r="A730" s="20"/>
      <c r="B730" s="21"/>
      <c r="C730" s="19"/>
      <c r="D730" s="19"/>
      <c r="E730" s="19"/>
      <c r="F730" s="19"/>
      <c r="G730" s="3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>
      <c r="A731" s="20"/>
      <c r="B731" s="21"/>
      <c r="C731" s="19"/>
      <c r="D731" s="19"/>
      <c r="E731" s="19"/>
      <c r="F731" s="19"/>
      <c r="G731" s="3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>
      <c r="A732" s="20"/>
      <c r="B732" s="21"/>
      <c r="C732" s="19"/>
      <c r="D732" s="19"/>
      <c r="E732" s="19"/>
      <c r="F732" s="19"/>
      <c r="G732" s="3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>
      <c r="A733" s="20"/>
      <c r="B733" s="21"/>
      <c r="C733" s="19"/>
      <c r="D733" s="19"/>
      <c r="E733" s="19"/>
      <c r="F733" s="19"/>
      <c r="G733" s="3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>
      <c r="A734" s="20"/>
      <c r="B734" s="21"/>
      <c r="C734" s="19"/>
      <c r="D734" s="19"/>
      <c r="E734" s="19"/>
      <c r="F734" s="19"/>
      <c r="G734" s="3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>
      <c r="A735" s="20"/>
      <c r="B735" s="21"/>
      <c r="C735" s="19"/>
      <c r="D735" s="19"/>
      <c r="E735" s="19"/>
      <c r="F735" s="19"/>
      <c r="G735" s="3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>
      <c r="A736" s="20"/>
      <c r="B736" s="21"/>
      <c r="C736" s="19"/>
      <c r="D736" s="19"/>
      <c r="E736" s="19"/>
      <c r="F736" s="19"/>
      <c r="G736" s="3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>
      <c r="A737" s="20"/>
      <c r="B737" s="21"/>
      <c r="C737" s="19"/>
      <c r="D737" s="19"/>
      <c r="E737" s="19"/>
      <c r="F737" s="19"/>
      <c r="G737" s="3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>
      <c r="A738" s="20"/>
      <c r="B738" s="21"/>
      <c r="C738" s="19"/>
      <c r="D738" s="19"/>
      <c r="E738" s="19"/>
      <c r="F738" s="19"/>
      <c r="G738" s="3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>
      <c r="A739" s="20"/>
      <c r="B739" s="21"/>
      <c r="C739" s="19"/>
      <c r="D739" s="19"/>
      <c r="E739" s="19"/>
      <c r="F739" s="19"/>
      <c r="G739" s="3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>
      <c r="A740" s="20"/>
      <c r="B740" s="21"/>
      <c r="C740" s="19"/>
      <c r="D740" s="19"/>
      <c r="E740" s="19"/>
      <c r="F740" s="19"/>
      <c r="G740" s="3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>
      <c r="A741" s="20"/>
      <c r="B741" s="21"/>
      <c r="C741" s="19"/>
      <c r="D741" s="19"/>
      <c r="E741" s="19"/>
      <c r="F741" s="19"/>
      <c r="G741" s="3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>
      <c r="A742" s="20"/>
      <c r="B742" s="21"/>
      <c r="C742" s="19"/>
      <c r="D742" s="19"/>
      <c r="E742" s="19"/>
      <c r="F742" s="19"/>
      <c r="G742" s="3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>
      <c r="A743" s="20"/>
      <c r="B743" s="21"/>
      <c r="C743" s="19"/>
      <c r="D743" s="19"/>
      <c r="E743" s="19"/>
      <c r="F743" s="19"/>
      <c r="G743" s="3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>
      <c r="A744" s="20"/>
      <c r="B744" s="21"/>
      <c r="C744" s="19"/>
      <c r="D744" s="19"/>
      <c r="E744" s="19"/>
      <c r="F744" s="19"/>
      <c r="G744" s="3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>
      <c r="A745" s="20"/>
      <c r="B745" s="21"/>
      <c r="C745" s="19"/>
      <c r="D745" s="19"/>
      <c r="E745" s="19"/>
      <c r="F745" s="19"/>
      <c r="G745" s="3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>
      <c r="A746" s="20"/>
      <c r="B746" s="21"/>
      <c r="C746" s="19"/>
      <c r="D746" s="19"/>
      <c r="E746" s="19"/>
      <c r="F746" s="19"/>
      <c r="G746" s="3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>
      <c r="A747" s="20"/>
      <c r="B747" s="21"/>
      <c r="C747" s="19"/>
      <c r="D747" s="19"/>
      <c r="E747" s="19"/>
      <c r="F747" s="19"/>
      <c r="G747" s="3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>
      <c r="A748" s="20"/>
      <c r="B748" s="21"/>
      <c r="C748" s="19"/>
      <c r="D748" s="19"/>
      <c r="E748" s="19"/>
      <c r="F748" s="19"/>
      <c r="G748" s="3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>
      <c r="A749" s="20"/>
      <c r="B749" s="21"/>
      <c r="C749" s="19"/>
      <c r="D749" s="19"/>
      <c r="E749" s="19"/>
      <c r="F749" s="19"/>
      <c r="G749" s="3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>
      <c r="A750" s="20"/>
      <c r="B750" s="21"/>
      <c r="C750" s="19"/>
      <c r="D750" s="19"/>
      <c r="E750" s="19"/>
      <c r="F750" s="19"/>
      <c r="G750" s="3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>
      <c r="A751" s="20"/>
      <c r="B751" s="21"/>
      <c r="C751" s="19"/>
      <c r="D751" s="19"/>
      <c r="E751" s="19"/>
      <c r="F751" s="19"/>
      <c r="G751" s="3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>
      <c r="A752" s="20"/>
      <c r="B752" s="21"/>
      <c r="C752" s="19"/>
      <c r="D752" s="19"/>
      <c r="E752" s="19"/>
      <c r="F752" s="19"/>
      <c r="G752" s="3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>
      <c r="A753" s="20"/>
      <c r="B753" s="21"/>
      <c r="C753" s="19"/>
      <c r="D753" s="19"/>
      <c r="E753" s="19"/>
      <c r="F753" s="19"/>
      <c r="G753" s="3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>
      <c r="A754" s="20"/>
      <c r="B754" s="21"/>
      <c r="C754" s="19"/>
      <c r="D754" s="19"/>
      <c r="E754" s="19"/>
      <c r="F754" s="19"/>
      <c r="G754" s="3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>
      <c r="A755" s="20"/>
      <c r="B755" s="21"/>
      <c r="C755" s="19"/>
      <c r="D755" s="19"/>
      <c r="E755" s="19"/>
      <c r="F755" s="19"/>
      <c r="G755" s="3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>
      <c r="A756" s="20"/>
      <c r="B756" s="21"/>
      <c r="C756" s="19"/>
      <c r="D756" s="19"/>
      <c r="E756" s="19"/>
      <c r="F756" s="19"/>
      <c r="G756" s="3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>
      <c r="A757" s="20"/>
      <c r="B757" s="21"/>
      <c r="C757" s="19"/>
      <c r="D757" s="19"/>
      <c r="E757" s="19"/>
      <c r="F757" s="19"/>
      <c r="G757" s="3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>
      <c r="A758" s="20"/>
      <c r="B758" s="21"/>
      <c r="C758" s="19"/>
      <c r="D758" s="19"/>
      <c r="E758" s="19"/>
      <c r="F758" s="19"/>
      <c r="G758" s="3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>
      <c r="A759" s="20"/>
      <c r="B759" s="21"/>
      <c r="C759" s="19"/>
      <c r="D759" s="19"/>
      <c r="E759" s="19"/>
      <c r="F759" s="19"/>
      <c r="G759" s="3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>
      <c r="A760" s="20"/>
      <c r="B760" s="21"/>
      <c r="C760" s="19"/>
      <c r="D760" s="19"/>
      <c r="E760" s="19"/>
      <c r="F760" s="19"/>
      <c r="G760" s="3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>
      <c r="A761" s="20"/>
      <c r="B761" s="21"/>
      <c r="C761" s="19"/>
      <c r="D761" s="19"/>
      <c r="E761" s="19"/>
      <c r="F761" s="19"/>
      <c r="G761" s="3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>
      <c r="A762" s="20"/>
      <c r="B762" s="21"/>
      <c r="C762" s="19"/>
      <c r="D762" s="19"/>
      <c r="E762" s="19"/>
      <c r="F762" s="19"/>
      <c r="G762" s="3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>
      <c r="A763" s="20"/>
      <c r="B763" s="21"/>
      <c r="C763" s="19"/>
      <c r="D763" s="19"/>
      <c r="E763" s="19"/>
      <c r="F763" s="19"/>
      <c r="G763" s="3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>
      <c r="A764" s="20"/>
      <c r="B764" s="21"/>
      <c r="C764" s="19"/>
      <c r="D764" s="19"/>
      <c r="E764" s="19"/>
      <c r="F764" s="19"/>
      <c r="G764" s="3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>
      <c r="A765" s="20"/>
      <c r="B765" s="21"/>
      <c r="C765" s="19"/>
      <c r="D765" s="19"/>
      <c r="E765" s="19"/>
      <c r="F765" s="19"/>
      <c r="G765" s="3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>
      <c r="A766" s="20"/>
      <c r="B766" s="21"/>
      <c r="C766" s="19"/>
      <c r="D766" s="19"/>
      <c r="E766" s="19"/>
      <c r="F766" s="19"/>
      <c r="G766" s="3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>
      <c r="A767" s="20"/>
      <c r="B767" s="21"/>
      <c r="C767" s="19"/>
      <c r="D767" s="19"/>
      <c r="E767" s="19"/>
      <c r="F767" s="19"/>
      <c r="G767" s="3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>
      <c r="A768" s="20"/>
      <c r="B768" s="21"/>
      <c r="C768" s="19"/>
      <c r="D768" s="19"/>
      <c r="E768" s="19"/>
      <c r="F768" s="19"/>
      <c r="G768" s="3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>
      <c r="A769" s="20"/>
      <c r="B769" s="21"/>
      <c r="C769" s="19"/>
      <c r="D769" s="19"/>
      <c r="E769" s="19"/>
      <c r="F769" s="19"/>
      <c r="G769" s="3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>
      <c r="A770" s="20"/>
      <c r="B770" s="21"/>
      <c r="C770" s="19"/>
      <c r="D770" s="19"/>
      <c r="E770" s="19"/>
      <c r="F770" s="19"/>
      <c r="G770" s="3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>
      <c r="A771" s="20"/>
      <c r="B771" s="21"/>
      <c r="C771" s="19"/>
      <c r="D771" s="19"/>
      <c r="E771" s="19"/>
      <c r="F771" s="19"/>
      <c r="G771" s="3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>
      <c r="A772" s="20"/>
      <c r="B772" s="21"/>
      <c r="C772" s="19"/>
      <c r="D772" s="19"/>
      <c r="E772" s="19"/>
      <c r="F772" s="19"/>
      <c r="G772" s="3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>
      <c r="A773" s="20"/>
      <c r="B773" s="21"/>
      <c r="C773" s="19"/>
      <c r="D773" s="19"/>
      <c r="E773" s="19"/>
      <c r="F773" s="19"/>
      <c r="G773" s="3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>
      <c r="A774" s="20"/>
      <c r="B774" s="21"/>
      <c r="C774" s="19"/>
      <c r="D774" s="19"/>
      <c r="E774" s="19"/>
      <c r="F774" s="19"/>
      <c r="G774" s="3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>
      <c r="A775" s="20"/>
      <c r="B775" s="21"/>
      <c r="C775" s="19"/>
      <c r="D775" s="19"/>
      <c r="E775" s="19"/>
      <c r="F775" s="19"/>
      <c r="G775" s="3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>
      <c r="A776" s="20"/>
      <c r="B776" s="21"/>
      <c r="C776" s="19"/>
      <c r="D776" s="19"/>
      <c r="E776" s="19"/>
      <c r="F776" s="19"/>
      <c r="G776" s="3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>
      <c r="A777" s="20"/>
      <c r="B777" s="21"/>
      <c r="C777" s="19"/>
      <c r="D777" s="19"/>
      <c r="E777" s="19"/>
      <c r="F777" s="19"/>
      <c r="G777" s="3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>
      <c r="A778" s="20"/>
      <c r="B778" s="21"/>
      <c r="C778" s="19"/>
      <c r="D778" s="19"/>
      <c r="E778" s="19"/>
      <c r="F778" s="19"/>
      <c r="G778" s="3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>
      <c r="A779" s="20"/>
      <c r="B779" s="21"/>
      <c r="C779" s="19"/>
      <c r="D779" s="19"/>
      <c r="E779" s="19"/>
      <c r="F779" s="19"/>
      <c r="G779" s="3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>
      <c r="A780" s="20"/>
      <c r="B780" s="21"/>
      <c r="C780" s="19"/>
      <c r="D780" s="19"/>
      <c r="E780" s="19"/>
      <c r="F780" s="19"/>
      <c r="G780" s="3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>
      <c r="A781" s="20"/>
      <c r="B781" s="21"/>
      <c r="C781" s="19"/>
      <c r="D781" s="19"/>
      <c r="E781" s="19"/>
      <c r="F781" s="19"/>
      <c r="G781" s="3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>
      <c r="A782" s="20"/>
      <c r="B782" s="21"/>
      <c r="C782" s="19"/>
      <c r="D782" s="19"/>
      <c r="E782" s="19"/>
      <c r="F782" s="19"/>
      <c r="G782" s="3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>
      <c r="A783" s="20"/>
      <c r="B783" s="21"/>
      <c r="C783" s="19"/>
      <c r="D783" s="19"/>
      <c r="E783" s="19"/>
      <c r="F783" s="19"/>
      <c r="G783" s="3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>
      <c r="A784" s="20"/>
      <c r="B784" s="21"/>
      <c r="C784" s="19"/>
      <c r="D784" s="19"/>
      <c r="E784" s="19"/>
      <c r="F784" s="19"/>
      <c r="G784" s="3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>
      <c r="A785" s="20"/>
      <c r="B785" s="21"/>
      <c r="C785" s="19"/>
      <c r="D785" s="19"/>
      <c r="E785" s="19"/>
      <c r="F785" s="19"/>
      <c r="G785" s="3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>
      <c r="A786" s="20"/>
      <c r="B786" s="21"/>
      <c r="C786" s="19"/>
      <c r="D786" s="19"/>
      <c r="E786" s="19"/>
      <c r="F786" s="19"/>
      <c r="G786" s="3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>
      <c r="A787" s="20"/>
      <c r="B787" s="21"/>
      <c r="C787" s="19"/>
      <c r="D787" s="19"/>
      <c r="E787" s="19"/>
      <c r="F787" s="19"/>
      <c r="G787" s="3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>
      <c r="A788" s="20"/>
      <c r="B788" s="21"/>
      <c r="C788" s="19"/>
      <c r="D788" s="19"/>
      <c r="E788" s="19"/>
      <c r="F788" s="19"/>
      <c r="G788" s="3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>
      <c r="A789" s="20"/>
      <c r="B789" s="21"/>
      <c r="C789" s="19"/>
      <c r="D789" s="19"/>
      <c r="E789" s="19"/>
      <c r="F789" s="19"/>
      <c r="G789" s="3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>
      <c r="A790" s="20"/>
      <c r="B790" s="21"/>
      <c r="C790" s="19"/>
      <c r="D790" s="19"/>
      <c r="E790" s="19"/>
      <c r="F790" s="19"/>
      <c r="G790" s="3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>
      <c r="A791" s="20"/>
      <c r="B791" s="21"/>
      <c r="C791" s="19"/>
      <c r="D791" s="19"/>
      <c r="E791" s="19"/>
      <c r="F791" s="19"/>
      <c r="G791" s="3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>
      <c r="A792" s="20"/>
      <c r="B792" s="21"/>
      <c r="C792" s="19"/>
      <c r="D792" s="19"/>
      <c r="E792" s="19"/>
      <c r="F792" s="19"/>
      <c r="G792" s="3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>
      <c r="A793" s="20"/>
      <c r="B793" s="21"/>
      <c r="C793" s="19"/>
      <c r="D793" s="19"/>
      <c r="E793" s="19"/>
      <c r="F793" s="19"/>
      <c r="G793" s="3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>
      <c r="A794" s="20"/>
      <c r="B794" s="21"/>
      <c r="C794" s="19"/>
      <c r="D794" s="19"/>
      <c r="E794" s="19"/>
      <c r="F794" s="19"/>
      <c r="G794" s="3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>
      <c r="A795" s="20"/>
      <c r="B795" s="21"/>
      <c r="C795" s="19"/>
      <c r="D795" s="19"/>
      <c r="E795" s="19"/>
      <c r="F795" s="19"/>
      <c r="G795" s="3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>
      <c r="A796" s="20"/>
      <c r="B796" s="21"/>
      <c r="C796" s="19"/>
      <c r="D796" s="19"/>
      <c r="E796" s="19"/>
      <c r="F796" s="19"/>
      <c r="G796" s="3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>
      <c r="A797" s="20"/>
      <c r="B797" s="21"/>
      <c r="C797" s="19"/>
      <c r="D797" s="19"/>
      <c r="E797" s="19"/>
      <c r="F797" s="19"/>
      <c r="G797" s="3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>
      <c r="A798" s="20"/>
      <c r="B798" s="21"/>
      <c r="C798" s="19"/>
      <c r="D798" s="19"/>
      <c r="E798" s="19"/>
      <c r="F798" s="19"/>
      <c r="G798" s="3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>
      <c r="A799" s="20"/>
      <c r="B799" s="21"/>
      <c r="C799" s="19"/>
      <c r="D799" s="19"/>
      <c r="E799" s="19"/>
      <c r="F799" s="19"/>
      <c r="G799" s="3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>
      <c r="A800" s="20"/>
      <c r="B800" s="21"/>
      <c r="C800" s="19"/>
      <c r="D800" s="19"/>
      <c r="E800" s="19"/>
      <c r="F800" s="19"/>
      <c r="G800" s="3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>
      <c r="A801" s="20"/>
      <c r="B801" s="21"/>
      <c r="C801" s="19"/>
      <c r="D801" s="19"/>
      <c r="E801" s="19"/>
      <c r="F801" s="19"/>
      <c r="G801" s="3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>
      <c r="A802" s="20"/>
      <c r="B802" s="21"/>
      <c r="C802" s="19"/>
      <c r="D802" s="19"/>
      <c r="E802" s="19"/>
      <c r="F802" s="19"/>
      <c r="G802" s="3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>
      <c r="A803" s="20"/>
      <c r="B803" s="21"/>
      <c r="C803" s="19"/>
      <c r="D803" s="19"/>
      <c r="E803" s="19"/>
      <c r="F803" s="19"/>
      <c r="G803" s="3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>
      <c r="A804" s="20"/>
      <c r="B804" s="21"/>
      <c r="C804" s="19"/>
      <c r="D804" s="19"/>
      <c r="E804" s="19"/>
      <c r="F804" s="19"/>
      <c r="G804" s="3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>
      <c r="A805" s="20"/>
      <c r="B805" s="21"/>
      <c r="C805" s="19"/>
      <c r="D805" s="19"/>
      <c r="E805" s="19"/>
      <c r="F805" s="19"/>
      <c r="G805" s="3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>
      <c r="A806" s="20"/>
      <c r="B806" s="21"/>
      <c r="C806" s="19"/>
      <c r="D806" s="19"/>
      <c r="E806" s="19"/>
      <c r="F806" s="19"/>
      <c r="G806" s="3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>
      <c r="A807" s="20"/>
      <c r="B807" s="21"/>
      <c r="C807" s="19"/>
      <c r="D807" s="19"/>
      <c r="E807" s="19"/>
      <c r="F807" s="19"/>
      <c r="G807" s="3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>
      <c r="A808" s="20"/>
      <c r="B808" s="21"/>
      <c r="C808" s="19"/>
      <c r="D808" s="19"/>
      <c r="E808" s="19"/>
      <c r="F808" s="19"/>
      <c r="G808" s="3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>
      <c r="A809" s="20"/>
      <c r="B809" s="21"/>
      <c r="C809" s="19"/>
      <c r="D809" s="19"/>
      <c r="E809" s="19"/>
      <c r="F809" s="19"/>
      <c r="G809" s="3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>
      <c r="A810" s="20"/>
      <c r="B810" s="21"/>
      <c r="C810" s="19"/>
      <c r="D810" s="19"/>
      <c r="E810" s="19"/>
      <c r="F810" s="19"/>
      <c r="G810" s="3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>
      <c r="A811" s="20"/>
      <c r="B811" s="21"/>
      <c r="C811" s="19"/>
      <c r="D811" s="19"/>
      <c r="E811" s="19"/>
      <c r="F811" s="19"/>
      <c r="G811" s="3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>
      <c r="A812" s="20"/>
      <c r="B812" s="21"/>
      <c r="C812" s="19"/>
      <c r="D812" s="19"/>
      <c r="E812" s="19"/>
      <c r="F812" s="19"/>
      <c r="G812" s="3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>
      <c r="A813" s="20"/>
      <c r="B813" s="21"/>
      <c r="C813" s="19"/>
      <c r="D813" s="19"/>
      <c r="E813" s="19"/>
      <c r="F813" s="19"/>
      <c r="G813" s="3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>
      <c r="A814" s="20"/>
      <c r="B814" s="21"/>
      <c r="C814" s="19"/>
      <c r="D814" s="19"/>
      <c r="E814" s="19"/>
      <c r="F814" s="19"/>
      <c r="G814" s="3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>
      <c r="A815" s="20"/>
      <c r="B815" s="21"/>
      <c r="C815" s="19"/>
      <c r="D815" s="19"/>
      <c r="E815" s="19"/>
      <c r="F815" s="19"/>
      <c r="G815" s="3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>
      <c r="A816" s="20"/>
      <c r="B816" s="21"/>
      <c r="C816" s="19"/>
      <c r="D816" s="19"/>
      <c r="E816" s="19"/>
      <c r="F816" s="19"/>
      <c r="G816" s="3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>
      <c r="A817" s="20"/>
      <c r="B817" s="21"/>
      <c r="C817" s="19"/>
      <c r="D817" s="19"/>
      <c r="E817" s="19"/>
      <c r="F817" s="19"/>
      <c r="G817" s="3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>
      <c r="A818" s="20"/>
      <c r="B818" s="21"/>
      <c r="C818" s="19"/>
      <c r="D818" s="19"/>
      <c r="E818" s="19"/>
      <c r="F818" s="19"/>
      <c r="G818" s="3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>
      <c r="A819" s="20"/>
      <c r="B819" s="21"/>
      <c r="C819" s="19"/>
      <c r="D819" s="19"/>
      <c r="E819" s="19"/>
      <c r="F819" s="19"/>
      <c r="G819" s="3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>
      <c r="A820" s="20"/>
      <c r="B820" s="21"/>
      <c r="C820" s="19"/>
      <c r="D820" s="19"/>
      <c r="E820" s="19"/>
      <c r="F820" s="19"/>
      <c r="G820" s="3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>
      <c r="A821" s="20"/>
      <c r="B821" s="21"/>
      <c r="C821" s="19"/>
      <c r="D821" s="19"/>
      <c r="E821" s="19"/>
      <c r="F821" s="19"/>
      <c r="G821" s="3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>
      <c r="A822" s="20"/>
      <c r="B822" s="21"/>
      <c r="C822" s="19"/>
      <c r="D822" s="19"/>
      <c r="E822" s="19"/>
      <c r="F822" s="19"/>
      <c r="G822" s="3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>
      <c r="A823" s="20"/>
      <c r="B823" s="21"/>
      <c r="C823" s="19"/>
      <c r="D823" s="19"/>
      <c r="E823" s="19"/>
      <c r="F823" s="19"/>
      <c r="G823" s="3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>
      <c r="A824" s="20"/>
      <c r="B824" s="21"/>
      <c r="C824" s="19"/>
      <c r="D824" s="19"/>
      <c r="E824" s="19"/>
      <c r="F824" s="19"/>
      <c r="G824" s="3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>
      <c r="A825" s="20"/>
      <c r="B825" s="21"/>
      <c r="C825" s="19"/>
      <c r="D825" s="19"/>
      <c r="E825" s="19"/>
      <c r="F825" s="19"/>
      <c r="G825" s="3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>
      <c r="A826" s="20"/>
      <c r="B826" s="21"/>
      <c r="C826" s="19"/>
      <c r="D826" s="19"/>
      <c r="E826" s="19"/>
      <c r="F826" s="19"/>
      <c r="G826" s="3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>
      <c r="A827" s="20"/>
      <c r="B827" s="21"/>
      <c r="C827" s="19"/>
      <c r="D827" s="19"/>
      <c r="E827" s="19"/>
      <c r="F827" s="19"/>
      <c r="G827" s="3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>
      <c r="A828" s="20"/>
      <c r="B828" s="21"/>
      <c r="C828" s="19"/>
      <c r="D828" s="19"/>
      <c r="E828" s="19"/>
      <c r="F828" s="19"/>
      <c r="G828" s="3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>
      <c r="A829" s="20"/>
      <c r="B829" s="21"/>
      <c r="C829" s="19"/>
      <c r="D829" s="19"/>
      <c r="E829" s="19"/>
      <c r="F829" s="19"/>
      <c r="G829" s="3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>
      <c r="A830" s="20"/>
      <c r="B830" s="21"/>
      <c r="C830" s="19"/>
      <c r="D830" s="19"/>
      <c r="E830" s="19"/>
      <c r="F830" s="19"/>
      <c r="G830" s="3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>
      <c r="A831" s="20"/>
      <c r="B831" s="21"/>
      <c r="C831" s="19"/>
      <c r="D831" s="19"/>
      <c r="E831" s="19"/>
      <c r="F831" s="19"/>
      <c r="G831" s="3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>
      <c r="A832" s="20"/>
      <c r="B832" s="21"/>
      <c r="C832" s="19"/>
      <c r="D832" s="19"/>
      <c r="E832" s="19"/>
      <c r="F832" s="19"/>
      <c r="G832" s="3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>
      <c r="A833" s="20"/>
      <c r="B833" s="21"/>
      <c r="C833" s="19"/>
      <c r="D833" s="19"/>
      <c r="E833" s="19"/>
      <c r="F833" s="19"/>
      <c r="G833" s="3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>
      <c r="A834" s="20"/>
      <c r="B834" s="21"/>
      <c r="C834" s="19"/>
      <c r="D834" s="19"/>
      <c r="E834" s="19"/>
      <c r="F834" s="19"/>
      <c r="G834" s="3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>
      <c r="A835" s="20"/>
      <c r="B835" s="21"/>
      <c r="C835" s="19"/>
      <c r="D835" s="19"/>
      <c r="E835" s="19"/>
      <c r="F835" s="19"/>
      <c r="G835" s="3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>
      <c r="A836" s="20"/>
      <c r="B836" s="21"/>
      <c r="C836" s="19"/>
      <c r="D836" s="19"/>
      <c r="E836" s="19"/>
      <c r="F836" s="19"/>
      <c r="G836" s="3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>
      <c r="A837" s="20"/>
      <c r="B837" s="21"/>
      <c r="C837" s="19"/>
      <c r="D837" s="19"/>
      <c r="E837" s="19"/>
      <c r="F837" s="19"/>
      <c r="G837" s="3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>
      <c r="A838" s="20"/>
      <c r="B838" s="21"/>
      <c r="C838" s="19"/>
      <c r="D838" s="19"/>
      <c r="E838" s="19"/>
      <c r="F838" s="19"/>
      <c r="G838" s="3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>
      <c r="A839" s="20"/>
      <c r="B839" s="21"/>
      <c r="C839" s="19"/>
      <c r="D839" s="19"/>
      <c r="E839" s="19"/>
      <c r="F839" s="19"/>
      <c r="G839" s="3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>
      <c r="A840" s="20"/>
      <c r="B840" s="21"/>
      <c r="C840" s="19"/>
      <c r="D840" s="19"/>
      <c r="E840" s="19"/>
      <c r="F840" s="19"/>
      <c r="G840" s="3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>
      <c r="A841" s="20"/>
      <c r="B841" s="21"/>
      <c r="C841" s="19"/>
      <c r="D841" s="19"/>
      <c r="E841" s="19"/>
      <c r="F841" s="19"/>
      <c r="G841" s="3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>
      <c r="A842" s="20"/>
      <c r="B842" s="21"/>
      <c r="C842" s="19"/>
      <c r="D842" s="19"/>
      <c r="E842" s="19"/>
      <c r="F842" s="19"/>
      <c r="G842" s="3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>
      <c r="A843" s="20"/>
      <c r="B843" s="21"/>
      <c r="C843" s="19"/>
      <c r="D843" s="19"/>
      <c r="E843" s="19"/>
      <c r="F843" s="19"/>
      <c r="G843" s="3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>
      <c r="A844" s="20"/>
      <c r="B844" s="21"/>
      <c r="C844" s="19"/>
      <c r="D844" s="19"/>
      <c r="E844" s="19"/>
      <c r="F844" s="19"/>
      <c r="G844" s="3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>
      <c r="A845" s="20"/>
      <c r="B845" s="21"/>
      <c r="C845" s="19"/>
      <c r="D845" s="19"/>
      <c r="E845" s="19"/>
      <c r="F845" s="19"/>
      <c r="G845" s="3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>
      <c r="A846" s="20"/>
      <c r="B846" s="21"/>
      <c r="C846" s="19"/>
      <c r="D846" s="19"/>
      <c r="E846" s="19"/>
      <c r="F846" s="19"/>
      <c r="G846" s="3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>
      <c r="A847" s="20"/>
      <c r="B847" s="21"/>
      <c r="C847" s="19"/>
      <c r="D847" s="19"/>
      <c r="E847" s="19"/>
      <c r="F847" s="19"/>
      <c r="G847" s="3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>
      <c r="A848" s="20"/>
      <c r="B848" s="21"/>
      <c r="C848" s="19"/>
      <c r="D848" s="19"/>
      <c r="E848" s="19"/>
      <c r="F848" s="19"/>
      <c r="G848" s="3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>
      <c r="A849" s="20"/>
      <c r="B849" s="21"/>
      <c r="C849" s="19"/>
      <c r="D849" s="19"/>
      <c r="E849" s="19"/>
      <c r="F849" s="19"/>
      <c r="G849" s="3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>
      <c r="A850" s="20"/>
      <c r="B850" s="21"/>
      <c r="C850" s="19"/>
      <c r="D850" s="19"/>
      <c r="E850" s="19"/>
      <c r="F850" s="19"/>
      <c r="G850" s="3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>
      <c r="A851" s="20"/>
      <c r="B851" s="21"/>
      <c r="C851" s="19"/>
      <c r="D851" s="19"/>
      <c r="E851" s="19"/>
      <c r="F851" s="19"/>
      <c r="G851" s="3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>
      <c r="A852" s="20"/>
      <c r="B852" s="21"/>
      <c r="C852" s="19"/>
      <c r="D852" s="19"/>
      <c r="E852" s="19"/>
      <c r="F852" s="19"/>
      <c r="G852" s="3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>
      <c r="A853" s="20"/>
      <c r="B853" s="21"/>
      <c r="C853" s="19"/>
      <c r="D853" s="19"/>
      <c r="E853" s="19"/>
      <c r="F853" s="19"/>
      <c r="G853" s="3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>
      <c r="A854" s="20"/>
      <c r="B854" s="21"/>
      <c r="C854" s="19"/>
      <c r="D854" s="19"/>
      <c r="E854" s="19"/>
      <c r="F854" s="19"/>
      <c r="G854" s="3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>
      <c r="A855" s="20"/>
      <c r="B855" s="21"/>
      <c r="C855" s="19"/>
      <c r="D855" s="19"/>
      <c r="E855" s="19"/>
      <c r="F855" s="19"/>
      <c r="G855" s="3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>
      <c r="A856" s="20"/>
      <c r="B856" s="21"/>
      <c r="C856" s="19"/>
      <c r="D856" s="19"/>
      <c r="E856" s="19"/>
      <c r="F856" s="19"/>
      <c r="G856" s="3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>
      <c r="A857" s="20"/>
      <c r="B857" s="21"/>
      <c r="C857" s="19"/>
      <c r="D857" s="19"/>
      <c r="E857" s="19"/>
      <c r="F857" s="19"/>
      <c r="G857" s="3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>
      <c r="A858" s="20"/>
      <c r="B858" s="21"/>
      <c r="C858" s="19"/>
      <c r="D858" s="19"/>
      <c r="E858" s="19"/>
      <c r="F858" s="19"/>
      <c r="G858" s="3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>
      <c r="A859" s="20"/>
      <c r="B859" s="21"/>
      <c r="C859" s="19"/>
      <c r="D859" s="19"/>
      <c r="E859" s="19"/>
      <c r="F859" s="19"/>
      <c r="G859" s="3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>
      <c r="A860" s="20"/>
      <c r="B860" s="21"/>
      <c r="C860" s="19"/>
      <c r="D860" s="19"/>
      <c r="E860" s="19"/>
      <c r="F860" s="19"/>
      <c r="G860" s="3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>
      <c r="A861" s="20"/>
      <c r="B861" s="21"/>
      <c r="C861" s="19"/>
      <c r="D861" s="19"/>
      <c r="E861" s="19"/>
      <c r="F861" s="19"/>
      <c r="G861" s="3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>
      <c r="A862" s="20"/>
      <c r="B862" s="21"/>
      <c r="C862" s="19"/>
      <c r="D862" s="19"/>
      <c r="E862" s="19"/>
      <c r="F862" s="19"/>
      <c r="G862" s="3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>
      <c r="A863" s="20"/>
      <c r="B863" s="21"/>
      <c r="C863" s="19"/>
      <c r="D863" s="19"/>
      <c r="E863" s="19"/>
      <c r="F863" s="19"/>
      <c r="G863" s="3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>
      <c r="A864" s="20"/>
      <c r="B864" s="21"/>
      <c r="C864" s="19"/>
      <c r="D864" s="19"/>
      <c r="E864" s="19"/>
      <c r="F864" s="19"/>
      <c r="G864" s="3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>
      <c r="A865" s="20"/>
      <c r="B865" s="21"/>
      <c r="C865" s="19"/>
      <c r="D865" s="19"/>
      <c r="E865" s="19"/>
      <c r="F865" s="19"/>
      <c r="G865" s="3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>
      <c r="A866" s="20"/>
      <c r="B866" s="21"/>
      <c r="C866" s="19"/>
      <c r="D866" s="19"/>
      <c r="E866" s="19"/>
      <c r="F866" s="19"/>
      <c r="G866" s="3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>
      <c r="A867" s="20"/>
      <c r="B867" s="21"/>
      <c r="C867" s="19"/>
      <c r="D867" s="19"/>
      <c r="E867" s="19"/>
      <c r="F867" s="19"/>
      <c r="G867" s="3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>
      <c r="A868" s="20"/>
      <c r="B868" s="21"/>
      <c r="C868" s="19"/>
      <c r="D868" s="19"/>
      <c r="E868" s="19"/>
      <c r="F868" s="19"/>
      <c r="G868" s="3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>
      <c r="A869" s="20"/>
      <c r="B869" s="21"/>
      <c r="C869" s="19"/>
      <c r="D869" s="19"/>
      <c r="E869" s="19"/>
      <c r="F869" s="19"/>
      <c r="G869" s="3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>
      <c r="A870" s="20"/>
      <c r="B870" s="21"/>
      <c r="C870" s="19"/>
      <c r="D870" s="19"/>
      <c r="E870" s="19"/>
      <c r="F870" s="19"/>
      <c r="G870" s="3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>
      <c r="A871" s="20"/>
      <c r="B871" s="21"/>
      <c r="C871" s="19"/>
      <c r="D871" s="19"/>
      <c r="E871" s="19"/>
      <c r="F871" s="19"/>
      <c r="G871" s="3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>
      <c r="A872" s="20"/>
      <c r="B872" s="21"/>
      <c r="C872" s="19"/>
      <c r="D872" s="19"/>
      <c r="E872" s="19"/>
      <c r="F872" s="19"/>
      <c r="G872" s="3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>
      <c r="A873" s="20"/>
      <c r="B873" s="21"/>
      <c r="C873" s="19"/>
      <c r="D873" s="19"/>
      <c r="E873" s="19"/>
      <c r="F873" s="19"/>
      <c r="G873" s="3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>
      <c r="A874" s="20"/>
      <c r="B874" s="21"/>
      <c r="C874" s="19"/>
      <c r="D874" s="19"/>
      <c r="E874" s="19"/>
      <c r="F874" s="19"/>
      <c r="G874" s="3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>
      <c r="A875" s="20"/>
      <c r="B875" s="21"/>
      <c r="C875" s="19"/>
      <c r="D875" s="19"/>
      <c r="E875" s="19"/>
      <c r="F875" s="19"/>
      <c r="G875" s="3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>
      <c r="A876" s="20"/>
      <c r="B876" s="21"/>
      <c r="C876" s="19"/>
      <c r="D876" s="19"/>
      <c r="E876" s="19"/>
      <c r="F876" s="19"/>
      <c r="G876" s="3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>
      <c r="A877" s="20"/>
      <c r="B877" s="21"/>
      <c r="C877" s="19"/>
      <c r="D877" s="19"/>
      <c r="E877" s="19"/>
      <c r="F877" s="19"/>
      <c r="G877" s="3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>
      <c r="A878" s="20"/>
      <c r="B878" s="21"/>
      <c r="C878" s="19"/>
      <c r="D878" s="19"/>
      <c r="E878" s="19"/>
      <c r="F878" s="19"/>
      <c r="G878" s="3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>
      <c r="A879" s="20"/>
      <c r="B879" s="21"/>
      <c r="C879" s="19"/>
      <c r="D879" s="19"/>
      <c r="E879" s="19"/>
      <c r="F879" s="19"/>
      <c r="G879" s="3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>
      <c r="A880" s="20"/>
      <c r="B880" s="21"/>
      <c r="C880" s="19"/>
      <c r="D880" s="19"/>
      <c r="E880" s="19"/>
      <c r="F880" s="19"/>
      <c r="G880" s="3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>
      <c r="A881" s="20"/>
      <c r="B881" s="21"/>
      <c r="C881" s="19"/>
      <c r="D881" s="19"/>
      <c r="E881" s="19"/>
      <c r="F881" s="19"/>
      <c r="G881" s="3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>
      <c r="A882" s="20"/>
      <c r="B882" s="21"/>
      <c r="C882" s="19"/>
      <c r="D882" s="19"/>
      <c r="E882" s="19"/>
      <c r="F882" s="19"/>
      <c r="G882" s="3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>
      <c r="A883" s="20"/>
      <c r="B883" s="21"/>
      <c r="C883" s="19"/>
      <c r="D883" s="19"/>
      <c r="E883" s="19"/>
      <c r="F883" s="19"/>
      <c r="G883" s="3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>
      <c r="A884" s="20"/>
      <c r="B884" s="21"/>
      <c r="C884" s="19"/>
      <c r="D884" s="19"/>
      <c r="E884" s="19"/>
      <c r="F884" s="19"/>
      <c r="G884" s="3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>
      <c r="A885" s="20"/>
      <c r="B885" s="21"/>
      <c r="C885" s="19"/>
      <c r="D885" s="19"/>
      <c r="E885" s="19"/>
      <c r="F885" s="19"/>
      <c r="G885" s="3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>
      <c r="A886" s="20"/>
      <c r="B886" s="21"/>
      <c r="C886" s="19"/>
      <c r="D886" s="19"/>
      <c r="E886" s="19"/>
      <c r="F886" s="19"/>
      <c r="G886" s="3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>
      <c r="A887" s="20"/>
      <c r="B887" s="21"/>
      <c r="C887" s="19"/>
      <c r="D887" s="19"/>
      <c r="E887" s="19"/>
      <c r="F887" s="19"/>
      <c r="G887" s="3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>
      <c r="A888" s="20"/>
      <c r="B888" s="21"/>
      <c r="C888" s="19"/>
      <c r="D888" s="19"/>
      <c r="E888" s="19"/>
      <c r="F888" s="19"/>
      <c r="G888" s="3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>
      <c r="A889" s="20"/>
      <c r="B889" s="21"/>
      <c r="C889" s="19"/>
      <c r="D889" s="19"/>
      <c r="E889" s="19"/>
      <c r="F889" s="19"/>
      <c r="G889" s="3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>
      <c r="A890" s="20"/>
      <c r="B890" s="21"/>
      <c r="C890" s="19"/>
      <c r="D890" s="19"/>
      <c r="E890" s="19"/>
      <c r="F890" s="19"/>
      <c r="G890" s="3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>
      <c r="A891" s="20"/>
      <c r="B891" s="21"/>
      <c r="C891" s="19"/>
      <c r="D891" s="19"/>
      <c r="E891" s="19"/>
      <c r="F891" s="19"/>
      <c r="G891" s="3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>
      <c r="A892" s="20"/>
      <c r="B892" s="21"/>
      <c r="C892" s="19"/>
      <c r="D892" s="19"/>
      <c r="E892" s="19"/>
      <c r="F892" s="19"/>
      <c r="G892" s="3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>
      <c r="A893" s="20"/>
      <c r="B893" s="21"/>
      <c r="C893" s="19"/>
      <c r="D893" s="19"/>
      <c r="E893" s="19"/>
      <c r="F893" s="19"/>
      <c r="G893" s="3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>
      <c r="A894" s="20"/>
      <c r="B894" s="21"/>
      <c r="C894" s="19"/>
      <c r="D894" s="19"/>
      <c r="E894" s="19"/>
      <c r="F894" s="19"/>
      <c r="G894" s="3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>
      <c r="A895" s="20"/>
      <c r="B895" s="21"/>
      <c r="C895" s="19"/>
      <c r="D895" s="19"/>
      <c r="E895" s="19"/>
      <c r="F895" s="19"/>
      <c r="G895" s="3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>
      <c r="A896" s="20"/>
      <c r="B896" s="21"/>
      <c r="C896" s="19"/>
      <c r="D896" s="19"/>
      <c r="E896" s="19"/>
      <c r="F896" s="19"/>
      <c r="G896" s="3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>
      <c r="A897" s="20"/>
      <c r="B897" s="21"/>
      <c r="C897" s="19"/>
      <c r="D897" s="19"/>
      <c r="E897" s="19"/>
      <c r="F897" s="19"/>
      <c r="G897" s="3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>
      <c r="A898" s="20"/>
      <c r="B898" s="21"/>
      <c r="C898" s="19"/>
      <c r="D898" s="19"/>
      <c r="E898" s="19"/>
      <c r="F898" s="19"/>
      <c r="G898" s="3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>
      <c r="A899" s="20"/>
      <c r="B899" s="21"/>
      <c r="C899" s="19"/>
      <c r="D899" s="19"/>
      <c r="E899" s="19"/>
      <c r="F899" s="19"/>
      <c r="G899" s="3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>
      <c r="A900" s="20"/>
      <c r="B900" s="21"/>
      <c r="C900" s="19"/>
      <c r="D900" s="19"/>
      <c r="E900" s="19"/>
      <c r="F900" s="19"/>
      <c r="G900" s="3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>
      <c r="A901" s="20"/>
      <c r="B901" s="21"/>
      <c r="C901" s="19"/>
      <c r="D901" s="19"/>
      <c r="E901" s="19"/>
      <c r="F901" s="19"/>
      <c r="G901" s="3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>
      <c r="A902" s="20"/>
      <c r="B902" s="21"/>
      <c r="C902" s="19"/>
      <c r="D902" s="19"/>
      <c r="E902" s="19"/>
      <c r="F902" s="19"/>
      <c r="G902" s="3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>
      <c r="A903" s="20"/>
      <c r="B903" s="21"/>
      <c r="C903" s="19"/>
      <c r="D903" s="19"/>
      <c r="E903" s="19"/>
      <c r="F903" s="19"/>
      <c r="G903" s="3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>
      <c r="A904" s="20"/>
      <c r="B904" s="21"/>
      <c r="C904" s="19"/>
      <c r="D904" s="19"/>
      <c r="E904" s="19"/>
      <c r="F904" s="19"/>
      <c r="G904" s="3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>
      <c r="A905" s="20"/>
      <c r="B905" s="21"/>
      <c r="C905" s="19"/>
      <c r="D905" s="19"/>
      <c r="E905" s="19"/>
      <c r="F905" s="19"/>
      <c r="G905" s="3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>
      <c r="A906" s="20"/>
      <c r="B906" s="21"/>
      <c r="C906" s="19"/>
      <c r="D906" s="19"/>
      <c r="E906" s="19"/>
      <c r="F906" s="19"/>
      <c r="G906" s="3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>
      <c r="A907" s="20"/>
      <c r="B907" s="21"/>
      <c r="C907" s="19"/>
      <c r="D907" s="19"/>
      <c r="E907" s="19"/>
      <c r="F907" s="19"/>
      <c r="G907" s="3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>
      <c r="A908" s="20"/>
      <c r="B908" s="21"/>
      <c r="C908" s="19"/>
      <c r="D908" s="19"/>
      <c r="E908" s="19"/>
      <c r="F908" s="19"/>
      <c r="G908" s="3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>
      <c r="A909" s="20"/>
      <c r="B909" s="21"/>
      <c r="C909" s="19"/>
      <c r="D909" s="19"/>
      <c r="E909" s="19"/>
      <c r="F909" s="19"/>
      <c r="G909" s="3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>
      <c r="A910" s="20"/>
      <c r="B910" s="21"/>
      <c r="C910" s="19"/>
      <c r="D910" s="19"/>
      <c r="E910" s="19"/>
      <c r="F910" s="19"/>
      <c r="G910" s="3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>
      <c r="A911" s="20"/>
      <c r="B911" s="21"/>
      <c r="C911" s="19"/>
      <c r="D911" s="19"/>
      <c r="E911" s="19"/>
      <c r="F911" s="19"/>
      <c r="G911" s="3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>
      <c r="A912" s="20"/>
      <c r="B912" s="21"/>
      <c r="C912" s="19"/>
      <c r="D912" s="19"/>
      <c r="E912" s="19"/>
      <c r="F912" s="19"/>
      <c r="G912" s="3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>
      <c r="A913" s="20"/>
      <c r="B913" s="21"/>
      <c r="C913" s="19"/>
      <c r="D913" s="19"/>
      <c r="E913" s="19"/>
      <c r="F913" s="19"/>
      <c r="G913" s="3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>
      <c r="A914" s="20"/>
      <c r="B914" s="21"/>
      <c r="C914" s="19"/>
      <c r="D914" s="19"/>
      <c r="E914" s="19"/>
      <c r="F914" s="19"/>
      <c r="G914" s="3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>
      <c r="A915" s="20"/>
      <c r="B915" s="21"/>
      <c r="C915" s="19"/>
      <c r="D915" s="19"/>
      <c r="E915" s="19"/>
      <c r="F915" s="19"/>
      <c r="G915" s="3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>
      <c r="A916" s="20"/>
      <c r="B916" s="21"/>
      <c r="C916" s="19"/>
      <c r="D916" s="19"/>
      <c r="E916" s="19"/>
      <c r="F916" s="19"/>
      <c r="G916" s="3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>
      <c r="A917" s="20"/>
      <c r="B917" s="21"/>
      <c r="C917" s="19"/>
      <c r="D917" s="19"/>
      <c r="E917" s="19"/>
      <c r="F917" s="19"/>
      <c r="G917" s="3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>
      <c r="A918" s="20"/>
      <c r="B918" s="21"/>
      <c r="C918" s="19"/>
      <c r="D918" s="19"/>
      <c r="E918" s="19"/>
      <c r="F918" s="19"/>
      <c r="G918" s="3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>
      <c r="A919" s="20"/>
      <c r="B919" s="21"/>
      <c r="C919" s="19"/>
      <c r="D919" s="19"/>
      <c r="E919" s="19"/>
      <c r="F919" s="19"/>
      <c r="G919" s="3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>
      <c r="A920" s="20"/>
      <c r="B920" s="21"/>
      <c r="C920" s="19"/>
      <c r="D920" s="19"/>
      <c r="E920" s="19"/>
      <c r="F920" s="19"/>
      <c r="G920" s="3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>
      <c r="A921" s="20"/>
      <c r="B921" s="21"/>
      <c r="C921" s="19"/>
      <c r="D921" s="19"/>
      <c r="E921" s="19"/>
      <c r="F921" s="19"/>
      <c r="G921" s="3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>
      <c r="A922" s="20"/>
      <c r="B922" s="21"/>
      <c r="C922" s="19"/>
      <c r="D922" s="19"/>
      <c r="E922" s="19"/>
      <c r="F922" s="19"/>
      <c r="G922" s="3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>
      <c r="A923" s="20"/>
      <c r="B923" s="21"/>
      <c r="C923" s="19"/>
      <c r="D923" s="19"/>
      <c r="E923" s="19"/>
      <c r="F923" s="19"/>
      <c r="G923" s="3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>
      <c r="A924" s="20"/>
      <c r="B924" s="21"/>
      <c r="C924" s="19"/>
      <c r="D924" s="19"/>
      <c r="E924" s="19"/>
      <c r="F924" s="19"/>
      <c r="G924" s="3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>
      <c r="A925" s="20"/>
      <c r="B925" s="21"/>
      <c r="C925" s="19"/>
      <c r="D925" s="19"/>
      <c r="E925" s="19"/>
      <c r="F925" s="19"/>
      <c r="G925" s="3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>
      <c r="A926" s="20"/>
      <c r="B926" s="21"/>
      <c r="C926" s="19"/>
      <c r="D926" s="19"/>
      <c r="E926" s="19"/>
      <c r="F926" s="19"/>
      <c r="G926" s="3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>
      <c r="A927" s="20"/>
      <c r="B927" s="21"/>
      <c r="C927" s="19"/>
      <c r="D927" s="19"/>
      <c r="E927" s="19"/>
      <c r="F927" s="19"/>
      <c r="G927" s="3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>
      <c r="A928" s="20"/>
      <c r="B928" s="21"/>
      <c r="C928" s="19"/>
      <c r="D928" s="19"/>
      <c r="E928" s="19"/>
      <c r="F928" s="19"/>
      <c r="G928" s="3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>
      <c r="A929" s="20"/>
      <c r="B929" s="21"/>
      <c r="C929" s="19"/>
      <c r="D929" s="19"/>
      <c r="E929" s="19"/>
      <c r="F929" s="19"/>
      <c r="G929" s="3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>
      <c r="A930" s="20"/>
      <c r="B930" s="21"/>
      <c r="C930" s="19"/>
      <c r="D930" s="19"/>
      <c r="E930" s="19"/>
      <c r="F930" s="19"/>
      <c r="G930" s="3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>
      <c r="A931" s="20"/>
      <c r="B931" s="21"/>
      <c r="C931" s="19"/>
      <c r="D931" s="19"/>
      <c r="E931" s="19"/>
      <c r="F931" s="19"/>
      <c r="G931" s="3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>
      <c r="A932" s="20"/>
      <c r="B932" s="21"/>
      <c r="C932" s="19"/>
      <c r="D932" s="19"/>
      <c r="E932" s="19"/>
      <c r="F932" s="19"/>
      <c r="G932" s="3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>
      <c r="A933" s="20"/>
      <c r="B933" s="21"/>
      <c r="C933" s="19"/>
      <c r="D933" s="19"/>
      <c r="E933" s="19"/>
      <c r="F933" s="19"/>
      <c r="G933" s="3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>
      <c r="A934" s="20"/>
      <c r="B934" s="21"/>
      <c r="C934" s="19"/>
      <c r="D934" s="19"/>
      <c r="E934" s="19"/>
      <c r="F934" s="19"/>
      <c r="G934" s="3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>
      <c r="A935" s="20"/>
      <c r="B935" s="21"/>
      <c r="C935" s="19"/>
      <c r="D935" s="19"/>
      <c r="E935" s="19"/>
      <c r="F935" s="19"/>
      <c r="G935" s="3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>
      <c r="A936" s="20"/>
      <c r="B936" s="21"/>
      <c r="C936" s="19"/>
      <c r="D936" s="19"/>
      <c r="E936" s="19"/>
      <c r="F936" s="19"/>
      <c r="G936" s="3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>
      <c r="A937" s="20"/>
      <c r="B937" s="21"/>
      <c r="C937" s="19"/>
      <c r="D937" s="19"/>
      <c r="E937" s="19"/>
      <c r="F937" s="19"/>
      <c r="G937" s="3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>
      <c r="A938" s="20"/>
      <c r="B938" s="21"/>
      <c r="C938" s="19"/>
      <c r="D938" s="19"/>
      <c r="E938" s="19"/>
      <c r="F938" s="19"/>
      <c r="G938" s="3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>
      <c r="A939" s="20"/>
      <c r="B939" s="21"/>
      <c r="C939" s="19"/>
      <c r="D939" s="19"/>
      <c r="E939" s="19"/>
      <c r="F939" s="19"/>
      <c r="G939" s="3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>
      <c r="A940" s="20"/>
      <c r="B940" s="21"/>
      <c r="C940" s="19"/>
      <c r="D940" s="19"/>
      <c r="E940" s="19"/>
      <c r="F940" s="19"/>
      <c r="G940" s="3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>
      <c r="A941" s="20"/>
      <c r="B941" s="21"/>
      <c r="C941" s="19"/>
      <c r="D941" s="19"/>
      <c r="E941" s="19"/>
      <c r="F941" s="19"/>
      <c r="G941" s="3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>
      <c r="A942" s="20"/>
      <c r="B942" s="21"/>
      <c r="C942" s="19"/>
      <c r="D942" s="19"/>
      <c r="E942" s="19"/>
      <c r="F942" s="19"/>
      <c r="G942" s="3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>
      <c r="A943" s="20"/>
      <c r="B943" s="21"/>
      <c r="C943" s="19"/>
      <c r="D943" s="19"/>
      <c r="E943" s="19"/>
      <c r="F943" s="19"/>
      <c r="G943" s="3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>
      <c r="A944" s="20"/>
      <c r="B944" s="21"/>
      <c r="C944" s="19"/>
      <c r="D944" s="19"/>
      <c r="E944" s="19"/>
      <c r="F944" s="19"/>
      <c r="G944" s="3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>
      <c r="A945" s="20"/>
      <c r="B945" s="21"/>
      <c r="C945" s="19"/>
      <c r="D945" s="19"/>
      <c r="E945" s="19"/>
      <c r="F945" s="19"/>
      <c r="G945" s="3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>
      <c r="A946" s="20"/>
      <c r="B946" s="21"/>
      <c r="C946" s="19"/>
      <c r="D946" s="19"/>
      <c r="E946" s="19"/>
      <c r="F946" s="19"/>
      <c r="G946" s="3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>
      <c r="A947" s="20"/>
      <c r="B947" s="21"/>
      <c r="C947" s="19"/>
      <c r="D947" s="19"/>
      <c r="E947" s="19"/>
      <c r="F947" s="19"/>
      <c r="G947" s="3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>
      <c r="A948" s="20"/>
      <c r="B948" s="21"/>
      <c r="C948" s="19"/>
      <c r="D948" s="19"/>
      <c r="E948" s="19"/>
      <c r="F948" s="19"/>
      <c r="G948" s="3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>
      <c r="A949" s="20"/>
      <c r="B949" s="21"/>
      <c r="C949" s="19"/>
      <c r="D949" s="19"/>
      <c r="E949" s="19"/>
      <c r="F949" s="19"/>
      <c r="G949" s="3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>
      <c r="A950" s="20"/>
      <c r="B950" s="21"/>
      <c r="C950" s="19"/>
      <c r="D950" s="19"/>
      <c r="E950" s="19"/>
      <c r="F950" s="19"/>
      <c r="G950" s="3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>
      <c r="A951" s="20"/>
      <c r="B951" s="21"/>
      <c r="C951" s="19"/>
      <c r="D951" s="19"/>
      <c r="E951" s="19"/>
      <c r="F951" s="19"/>
      <c r="G951" s="3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>
      <c r="A952" s="20"/>
      <c r="B952" s="21"/>
      <c r="C952" s="19"/>
      <c r="D952" s="19"/>
      <c r="E952" s="19"/>
      <c r="F952" s="19"/>
      <c r="G952" s="3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>
      <c r="A953" s="20"/>
      <c r="B953" s="21"/>
      <c r="C953" s="19"/>
      <c r="D953" s="19"/>
      <c r="E953" s="19"/>
      <c r="F953" s="19"/>
      <c r="G953" s="3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>
      <c r="A954" s="20"/>
      <c r="B954" s="21"/>
      <c r="C954" s="19"/>
      <c r="D954" s="19"/>
      <c r="E954" s="19"/>
      <c r="F954" s="19"/>
      <c r="G954" s="3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>
      <c r="A955" s="20"/>
      <c r="B955" s="21"/>
      <c r="C955" s="19"/>
      <c r="D955" s="19"/>
      <c r="E955" s="19"/>
      <c r="F955" s="19"/>
      <c r="G955" s="3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>
      <c r="A956" s="20"/>
      <c r="B956" s="21"/>
      <c r="C956" s="19"/>
      <c r="D956" s="19"/>
      <c r="E956" s="19"/>
      <c r="F956" s="19"/>
      <c r="G956" s="3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>
      <c r="A957" s="20"/>
      <c r="B957" s="21"/>
      <c r="C957" s="19"/>
      <c r="D957" s="19"/>
      <c r="E957" s="19"/>
      <c r="F957" s="19"/>
      <c r="G957" s="3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>
      <c r="A958" s="20"/>
      <c r="B958" s="21"/>
      <c r="C958" s="19"/>
      <c r="D958" s="19"/>
      <c r="E958" s="19"/>
      <c r="F958" s="19"/>
      <c r="G958" s="3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>
      <c r="A959" s="20"/>
      <c r="B959" s="21"/>
      <c r="C959" s="19"/>
      <c r="D959" s="19"/>
      <c r="E959" s="19"/>
      <c r="F959" s="19"/>
      <c r="G959" s="3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>
      <c r="A960" s="20"/>
      <c r="B960" s="21"/>
      <c r="C960" s="19"/>
      <c r="D960" s="19"/>
      <c r="E960" s="19"/>
      <c r="F960" s="19"/>
      <c r="G960" s="3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>
      <c r="A961" s="20"/>
      <c r="B961" s="21"/>
      <c r="C961" s="19"/>
      <c r="D961" s="19"/>
      <c r="E961" s="19"/>
      <c r="F961" s="19"/>
      <c r="G961" s="3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>
      <c r="A962" s="20"/>
      <c r="B962" s="21"/>
      <c r="C962" s="19"/>
      <c r="D962" s="19"/>
      <c r="E962" s="19"/>
      <c r="F962" s="19"/>
      <c r="G962" s="3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>
      <c r="A963" s="20"/>
      <c r="B963" s="21"/>
      <c r="C963" s="19"/>
      <c r="D963" s="19"/>
      <c r="E963" s="19"/>
      <c r="F963" s="19"/>
      <c r="G963" s="3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>
      <c r="A964" s="20"/>
      <c r="B964" s="21"/>
      <c r="C964" s="19"/>
      <c r="D964" s="19"/>
      <c r="E964" s="19"/>
      <c r="F964" s="19"/>
      <c r="G964" s="3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>
      <c r="A965" s="20"/>
      <c r="B965" s="21"/>
      <c r="C965" s="19"/>
      <c r="D965" s="19"/>
      <c r="E965" s="19"/>
      <c r="F965" s="19"/>
      <c r="G965" s="3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>
      <c r="A966" s="20"/>
      <c r="B966" s="21"/>
      <c r="C966" s="19"/>
      <c r="D966" s="19"/>
      <c r="E966" s="19"/>
      <c r="F966" s="19"/>
      <c r="G966" s="3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>
      <c r="A967" s="20"/>
      <c r="B967" s="21"/>
      <c r="C967" s="19"/>
      <c r="D967" s="19"/>
      <c r="E967" s="19"/>
      <c r="F967" s="19"/>
      <c r="G967" s="3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>
      <c r="A968" s="20"/>
      <c r="B968" s="21"/>
      <c r="C968" s="19"/>
      <c r="D968" s="19"/>
      <c r="E968" s="19"/>
      <c r="F968" s="19"/>
      <c r="G968" s="3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>
      <c r="A969" s="20"/>
      <c r="B969" s="21"/>
      <c r="C969" s="19"/>
      <c r="D969" s="19"/>
      <c r="E969" s="19"/>
      <c r="F969" s="19"/>
      <c r="G969" s="3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>
      <c r="A970" s="20"/>
      <c r="B970" s="21"/>
      <c r="C970" s="19"/>
      <c r="D970" s="19"/>
      <c r="E970" s="19"/>
      <c r="F970" s="19"/>
      <c r="G970" s="3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>
      <c r="A971" s="20"/>
      <c r="B971" s="21"/>
      <c r="C971" s="19"/>
      <c r="D971" s="19"/>
      <c r="E971" s="19"/>
      <c r="F971" s="19"/>
      <c r="G971" s="3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>
      <c r="A972" s="20"/>
      <c r="B972" s="21"/>
      <c r="C972" s="19"/>
      <c r="D972" s="19"/>
      <c r="E972" s="19"/>
      <c r="F972" s="19"/>
      <c r="G972" s="3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>
      <c r="A973" s="20"/>
      <c r="B973" s="21"/>
      <c r="C973" s="19"/>
      <c r="D973" s="19"/>
      <c r="E973" s="19"/>
      <c r="F973" s="19"/>
      <c r="G973" s="3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>
      <c r="A974" s="20"/>
      <c r="B974" s="21"/>
      <c r="C974" s="19"/>
      <c r="D974" s="19"/>
      <c r="E974" s="19"/>
      <c r="F974" s="19"/>
      <c r="G974" s="3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>
      <c r="A975" s="20"/>
      <c r="B975" s="21"/>
      <c r="C975" s="19"/>
      <c r="D975" s="19"/>
      <c r="E975" s="19"/>
      <c r="F975" s="19"/>
      <c r="G975" s="3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>
      <c r="A976" s="20"/>
      <c r="B976" s="21"/>
      <c r="C976" s="19"/>
      <c r="D976" s="19"/>
      <c r="E976" s="19"/>
      <c r="F976" s="19"/>
      <c r="G976" s="3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>
      <c r="A977" s="20"/>
      <c r="B977" s="21"/>
      <c r="C977" s="19"/>
      <c r="D977" s="19"/>
      <c r="E977" s="19"/>
      <c r="F977" s="19"/>
      <c r="G977" s="3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>
      <c r="A978" s="20"/>
      <c r="B978" s="21"/>
      <c r="C978" s="19"/>
      <c r="D978" s="19"/>
      <c r="E978" s="19"/>
      <c r="F978" s="19"/>
      <c r="G978" s="3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>
      <c r="A979" s="20"/>
      <c r="B979" s="21"/>
      <c r="C979" s="19"/>
      <c r="D979" s="19"/>
      <c r="E979" s="19"/>
      <c r="F979" s="19"/>
      <c r="G979" s="3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>
      <c r="A980" s="20"/>
      <c r="B980" s="21"/>
      <c r="C980" s="19"/>
      <c r="D980" s="19"/>
      <c r="E980" s="19"/>
      <c r="F980" s="19"/>
      <c r="G980" s="3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>
      <c r="A981" s="20"/>
      <c r="B981" s="21"/>
      <c r="C981" s="19"/>
      <c r="D981" s="19"/>
      <c r="E981" s="19"/>
      <c r="F981" s="19"/>
      <c r="G981" s="3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>
      <c r="A982" s="20"/>
      <c r="B982" s="21"/>
      <c r="C982" s="19"/>
      <c r="D982" s="19"/>
      <c r="E982" s="19"/>
      <c r="F982" s="19"/>
      <c r="G982" s="3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>
      <c r="A983" s="20"/>
      <c r="B983" s="21"/>
      <c r="C983" s="19"/>
      <c r="D983" s="19"/>
      <c r="E983" s="19"/>
      <c r="F983" s="19"/>
      <c r="G983" s="3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>
      <c r="A984" s="20"/>
      <c r="B984" s="21"/>
      <c r="C984" s="19"/>
      <c r="D984" s="19"/>
      <c r="E984" s="19"/>
      <c r="F984" s="19"/>
      <c r="G984" s="3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>
      <c r="A985" s="20"/>
      <c r="B985" s="21"/>
      <c r="C985" s="19"/>
      <c r="D985" s="19"/>
      <c r="E985" s="19"/>
      <c r="F985" s="19"/>
      <c r="G985" s="3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>
      <c r="A986" s="20"/>
      <c r="B986" s="21"/>
      <c r="C986" s="19"/>
      <c r="D986" s="19"/>
      <c r="E986" s="19"/>
      <c r="F986" s="19"/>
      <c r="G986" s="3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>
      <c r="A987" s="20"/>
      <c r="B987" s="21"/>
      <c r="C987" s="19"/>
      <c r="D987" s="19"/>
      <c r="E987" s="19"/>
      <c r="F987" s="19"/>
      <c r="G987" s="3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>
      <c r="A988" s="20"/>
      <c r="B988" s="21"/>
      <c r="C988" s="19"/>
      <c r="D988" s="19"/>
      <c r="E988" s="19"/>
      <c r="F988" s="19"/>
      <c r="G988" s="3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>
      <c r="A989" s="20"/>
      <c r="B989" s="21"/>
      <c r="C989" s="19"/>
      <c r="D989" s="19"/>
      <c r="E989" s="19"/>
      <c r="F989" s="19"/>
      <c r="G989" s="3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>
      <c r="A990" s="20"/>
      <c r="B990" s="21"/>
      <c r="C990" s="19"/>
      <c r="D990" s="19"/>
      <c r="E990" s="19"/>
      <c r="F990" s="19"/>
      <c r="G990" s="3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>
      <c r="A991" s="20"/>
      <c r="B991" s="21"/>
      <c r="C991" s="19"/>
      <c r="D991" s="19"/>
      <c r="E991" s="19"/>
      <c r="F991" s="19"/>
      <c r="G991" s="3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>
      <c r="A992" s="20"/>
      <c r="B992" s="21"/>
      <c r="C992" s="19"/>
      <c r="D992" s="19"/>
      <c r="E992" s="19"/>
      <c r="F992" s="19"/>
      <c r="G992" s="3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>
      <c r="A993" s="20"/>
      <c r="B993" s="21"/>
      <c r="C993" s="19"/>
      <c r="D993" s="19"/>
      <c r="E993" s="19"/>
      <c r="F993" s="19"/>
      <c r="G993" s="3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>
      <c r="A994" s="20"/>
      <c r="B994" s="21"/>
      <c r="C994" s="19"/>
      <c r="D994" s="19"/>
      <c r="E994" s="19"/>
      <c r="F994" s="19"/>
      <c r="G994" s="3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>
      <c r="A995" s="20"/>
      <c r="B995" s="21"/>
      <c r="C995" s="19"/>
      <c r="D995" s="19"/>
      <c r="E995" s="19"/>
      <c r="F995" s="19"/>
      <c r="G995" s="3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>
      <c r="A996" s="20"/>
      <c r="B996" s="21"/>
      <c r="C996" s="19"/>
      <c r="D996" s="19"/>
      <c r="E996" s="19"/>
      <c r="F996" s="19"/>
      <c r="G996" s="3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>
      <c r="A997" s="20"/>
      <c r="B997" s="21"/>
      <c r="C997" s="19"/>
      <c r="D997" s="19"/>
      <c r="E997" s="19"/>
      <c r="F997" s="19"/>
      <c r="G997" s="3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>
      <c r="A998" s="20"/>
      <c r="B998" s="21"/>
      <c r="C998" s="19"/>
      <c r="D998" s="19"/>
      <c r="E998" s="19"/>
      <c r="F998" s="19"/>
      <c r="G998" s="3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>
      <c r="A999" s="20"/>
      <c r="B999" s="21"/>
      <c r="C999" s="19"/>
      <c r="D999" s="19"/>
      <c r="E999" s="19"/>
      <c r="F999" s="19"/>
      <c r="G999" s="3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>
      <c r="A1000" s="20"/>
      <c r="B1000" s="21"/>
      <c r="C1000" s="19"/>
      <c r="D1000" s="19"/>
      <c r="E1000" s="19"/>
      <c r="F1000" s="19"/>
      <c r="G1000" s="3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75" customHeight="1">
      <c r="A1001" s="20"/>
      <c r="B1001" s="21"/>
      <c r="C1001" s="19"/>
      <c r="D1001" s="19"/>
      <c r="E1001" s="19"/>
      <c r="F1001" s="19"/>
      <c r="G1001" s="3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75" customHeight="1">
      <c r="A1002" s="20"/>
      <c r="B1002" s="21"/>
      <c r="C1002" s="19"/>
      <c r="D1002" s="19"/>
      <c r="E1002" s="19"/>
      <c r="F1002" s="19"/>
      <c r="G1002" s="3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75" customHeight="1">
      <c r="A1003" s="20"/>
      <c r="B1003" s="21"/>
      <c r="C1003" s="19"/>
      <c r="D1003" s="19"/>
      <c r="E1003" s="19"/>
      <c r="F1003" s="19"/>
      <c r="G1003" s="34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75" customHeight="1">
      <c r="A1004" s="20"/>
      <c r="B1004" s="21"/>
      <c r="C1004" s="19"/>
      <c r="D1004" s="19"/>
      <c r="E1004" s="19"/>
      <c r="F1004" s="19"/>
      <c r="G1004" s="3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75" customHeight="1">
      <c r="A1005" s="20"/>
      <c r="B1005" s="21"/>
      <c r="C1005" s="19"/>
      <c r="D1005" s="19"/>
      <c r="E1005" s="19"/>
      <c r="F1005" s="19"/>
      <c r="G1005" s="34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5.75" customHeight="1">
      <c r="A1006" s="20"/>
      <c r="B1006" s="21"/>
      <c r="C1006" s="19"/>
      <c r="D1006" s="19"/>
      <c r="E1006" s="19"/>
      <c r="F1006" s="19"/>
      <c r="G1006" s="3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5.75" customHeight="1">
      <c r="A1007" s="20"/>
      <c r="B1007" s="21"/>
      <c r="C1007" s="19"/>
      <c r="D1007" s="19"/>
      <c r="E1007" s="19"/>
      <c r="F1007" s="19"/>
      <c r="G1007" s="34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5.75" customHeight="1">
      <c r="A1008" s="20"/>
      <c r="B1008" s="21"/>
      <c r="C1008" s="19"/>
      <c r="D1008" s="19"/>
      <c r="E1008" s="19"/>
      <c r="F1008" s="19"/>
      <c r="G1008" s="34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5.75" customHeight="1">
      <c r="A1009" s="20"/>
      <c r="B1009" s="21"/>
      <c r="C1009" s="19"/>
      <c r="D1009" s="19"/>
      <c r="E1009" s="19"/>
      <c r="F1009" s="19"/>
      <c r="G1009" s="34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5.75" customHeight="1">
      <c r="A1010" s="20"/>
      <c r="B1010" s="21"/>
      <c r="C1010" s="19"/>
      <c r="D1010" s="19"/>
      <c r="E1010" s="19"/>
      <c r="F1010" s="19"/>
      <c r="G1010" s="34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5.75" customHeight="1">
      <c r="A1011" s="20"/>
      <c r="B1011" s="21"/>
      <c r="C1011" s="19"/>
      <c r="D1011" s="19"/>
      <c r="E1011" s="19"/>
      <c r="F1011" s="19"/>
      <c r="G1011" s="34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5.75" customHeight="1">
      <c r="A1012" s="20"/>
      <c r="B1012" s="21"/>
      <c r="C1012" s="19"/>
      <c r="D1012" s="19"/>
      <c r="E1012" s="19"/>
      <c r="F1012" s="19"/>
      <c r="G1012" s="34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5.75" customHeight="1">
      <c r="A1013" s="20"/>
      <c r="B1013" s="21"/>
      <c r="C1013" s="19"/>
      <c r="D1013" s="19"/>
      <c r="E1013" s="19"/>
      <c r="F1013" s="19"/>
      <c r="G1013" s="34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5.75" customHeight="1">
      <c r="A1014" s="20"/>
      <c r="B1014" s="21"/>
      <c r="C1014" s="19"/>
      <c r="D1014" s="19"/>
      <c r="E1014" s="19"/>
      <c r="F1014" s="19"/>
      <c r="G1014" s="34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5.75" customHeight="1">
      <c r="A1015" s="20"/>
      <c r="B1015" s="21"/>
      <c r="C1015" s="19"/>
      <c r="D1015" s="19"/>
      <c r="E1015" s="19"/>
      <c r="F1015" s="19"/>
      <c r="G1015" s="34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5.75" customHeight="1">
      <c r="A1016" s="20"/>
      <c r="B1016" s="21"/>
      <c r="C1016" s="19"/>
      <c r="D1016" s="19"/>
      <c r="E1016" s="19"/>
      <c r="F1016" s="19"/>
      <c r="G1016" s="34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5.75" customHeight="1">
      <c r="A1017" s="20"/>
      <c r="B1017" s="21"/>
      <c r="C1017" s="19"/>
      <c r="D1017" s="19"/>
      <c r="E1017" s="19"/>
      <c r="F1017" s="19"/>
      <c r="G1017" s="34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5.75" customHeight="1">
      <c r="A1018" s="20"/>
      <c r="B1018" s="21"/>
      <c r="C1018" s="19"/>
      <c r="D1018" s="19"/>
      <c r="E1018" s="19"/>
      <c r="F1018" s="19"/>
      <c r="G1018" s="34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5.75" customHeight="1">
      <c r="A1019" s="20"/>
      <c r="B1019" s="21"/>
      <c r="C1019" s="19"/>
      <c r="D1019" s="19"/>
      <c r="E1019" s="19"/>
      <c r="F1019" s="19"/>
      <c r="G1019" s="34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5.75" customHeight="1">
      <c r="A1020" s="20"/>
      <c r="B1020" s="21"/>
      <c r="C1020" s="19"/>
      <c r="D1020" s="19"/>
      <c r="E1020" s="19"/>
      <c r="F1020" s="19"/>
      <c r="G1020" s="34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5.75" customHeight="1">
      <c r="A1021" s="20"/>
      <c r="B1021" s="21"/>
      <c r="C1021" s="19"/>
      <c r="D1021" s="19"/>
      <c r="E1021" s="19"/>
      <c r="F1021" s="19"/>
      <c r="G1021" s="34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5.75" customHeight="1">
      <c r="A1022" s="20"/>
      <c r="B1022" s="21"/>
      <c r="C1022" s="19"/>
      <c r="D1022" s="19"/>
      <c r="E1022" s="19"/>
      <c r="F1022" s="19"/>
      <c r="G1022" s="34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5.75" customHeight="1">
      <c r="A1023" s="20"/>
      <c r="B1023" s="21"/>
      <c r="C1023" s="19"/>
      <c r="D1023" s="19"/>
      <c r="E1023" s="19"/>
      <c r="F1023" s="19"/>
      <c r="G1023" s="34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5.75" customHeight="1">
      <c r="A1024" s="20"/>
      <c r="B1024" s="21"/>
      <c r="C1024" s="19"/>
      <c r="D1024" s="19"/>
      <c r="E1024" s="19"/>
      <c r="F1024" s="19"/>
      <c r="G1024" s="34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5.75" customHeight="1">
      <c r="A1025" s="20"/>
      <c r="B1025" s="21"/>
      <c r="C1025" s="19"/>
      <c r="D1025" s="19"/>
      <c r="E1025" s="19"/>
      <c r="F1025" s="19"/>
      <c r="G1025" s="34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5.75" customHeight="1">
      <c r="A1026" s="20"/>
      <c r="B1026" s="21"/>
      <c r="C1026" s="19"/>
      <c r="D1026" s="19"/>
      <c r="E1026" s="19"/>
      <c r="F1026" s="19"/>
      <c r="G1026" s="34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5.75" customHeight="1">
      <c r="A1027" s="20"/>
      <c r="B1027" s="21"/>
      <c r="C1027" s="19"/>
      <c r="D1027" s="19"/>
      <c r="E1027" s="19"/>
      <c r="F1027" s="19"/>
      <c r="G1027" s="34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5.75" customHeight="1">
      <c r="A1028" s="20"/>
      <c r="B1028" s="21"/>
      <c r="C1028" s="19"/>
      <c r="D1028" s="19"/>
      <c r="E1028" s="19"/>
      <c r="F1028" s="19"/>
      <c r="G1028" s="34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5.75" customHeight="1">
      <c r="A1029" s="20"/>
      <c r="B1029" s="21"/>
      <c r="C1029" s="19"/>
      <c r="D1029" s="19"/>
      <c r="E1029" s="19"/>
      <c r="F1029" s="19"/>
      <c r="G1029" s="34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5.75" customHeight="1">
      <c r="A1030" s="20"/>
      <c r="B1030" s="21"/>
      <c r="C1030" s="19"/>
      <c r="D1030" s="19"/>
      <c r="E1030" s="19"/>
      <c r="F1030" s="19"/>
      <c r="G1030" s="34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5.75" customHeight="1">
      <c r="A1031" s="20"/>
      <c r="B1031" s="21"/>
      <c r="C1031" s="19"/>
      <c r="D1031" s="19"/>
      <c r="E1031" s="19"/>
      <c r="F1031" s="19"/>
      <c r="G1031" s="34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5.75" customHeight="1">
      <c r="A1032" s="20"/>
      <c r="B1032" s="21"/>
      <c r="C1032" s="19"/>
      <c r="D1032" s="19"/>
      <c r="E1032" s="19"/>
      <c r="F1032" s="19"/>
      <c r="G1032" s="34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5.75" customHeight="1">
      <c r="A1033" s="20"/>
      <c r="B1033" s="21"/>
      <c r="C1033" s="19"/>
      <c r="D1033" s="19"/>
      <c r="E1033" s="19"/>
      <c r="F1033" s="19"/>
      <c r="G1033" s="34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5.75" customHeight="1">
      <c r="A1034" s="20"/>
      <c r="B1034" s="21"/>
      <c r="C1034" s="19"/>
      <c r="D1034" s="19"/>
      <c r="E1034" s="19"/>
      <c r="F1034" s="19"/>
      <c r="G1034" s="34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5.75" customHeight="1">
      <c r="A1035" s="20"/>
      <c r="B1035" s="21"/>
      <c r="C1035" s="19"/>
      <c r="D1035" s="19"/>
      <c r="E1035" s="19"/>
      <c r="F1035" s="19"/>
      <c r="G1035" s="34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5.75" customHeight="1">
      <c r="A1036" s="20"/>
      <c r="B1036" s="21"/>
      <c r="C1036" s="19"/>
      <c r="D1036" s="19"/>
      <c r="E1036" s="19"/>
      <c r="F1036" s="19"/>
      <c r="G1036" s="34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5.75" customHeight="1">
      <c r="A1037" s="20"/>
      <c r="B1037" s="21"/>
      <c r="C1037" s="19"/>
      <c r="D1037" s="19"/>
      <c r="E1037" s="19"/>
      <c r="F1037" s="19"/>
      <c r="G1037" s="34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5.75" customHeight="1">
      <c r="A1038" s="20"/>
      <c r="B1038" s="21"/>
      <c r="C1038" s="19"/>
      <c r="D1038" s="19"/>
      <c r="E1038" s="19"/>
      <c r="F1038" s="19"/>
      <c r="G1038" s="34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5.75" customHeight="1">
      <c r="A1039" s="20"/>
      <c r="B1039" s="21"/>
      <c r="C1039" s="19"/>
      <c r="D1039" s="19"/>
      <c r="E1039" s="19"/>
      <c r="F1039" s="19"/>
      <c r="G1039" s="34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5.75" customHeight="1">
      <c r="A1040" s="20"/>
      <c r="B1040" s="21"/>
      <c r="C1040" s="19"/>
      <c r="D1040" s="19"/>
      <c r="E1040" s="19"/>
      <c r="F1040" s="19"/>
      <c r="G1040" s="34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5.75" customHeight="1">
      <c r="A1041" s="20"/>
      <c r="B1041" s="21"/>
      <c r="C1041" s="19"/>
      <c r="D1041" s="19"/>
      <c r="E1041" s="19"/>
      <c r="F1041" s="19"/>
      <c r="G1041" s="34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5.75" customHeight="1">
      <c r="A1042" s="20"/>
      <c r="B1042" s="21"/>
      <c r="C1042" s="19"/>
      <c r="D1042" s="19"/>
      <c r="E1042" s="19"/>
      <c r="F1042" s="19"/>
      <c r="G1042" s="34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5.75" customHeight="1">
      <c r="A1043" s="20"/>
      <c r="B1043" s="21"/>
      <c r="C1043" s="19"/>
      <c r="D1043" s="19"/>
      <c r="E1043" s="19"/>
      <c r="F1043" s="19"/>
      <c r="G1043" s="34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5.75" customHeight="1">
      <c r="A1044" s="20"/>
      <c r="B1044" s="21"/>
      <c r="C1044" s="19"/>
      <c r="D1044" s="19"/>
      <c r="E1044" s="19"/>
      <c r="F1044" s="19"/>
      <c r="G1044" s="34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5.75" customHeight="1">
      <c r="A1045" s="20"/>
      <c r="B1045" s="21"/>
      <c r="C1045" s="19"/>
      <c r="D1045" s="19"/>
      <c r="E1045" s="19"/>
      <c r="F1045" s="19"/>
      <c r="G1045" s="34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5.75" customHeight="1">
      <c r="A1046" s="20"/>
      <c r="B1046" s="21"/>
      <c r="C1046" s="19"/>
      <c r="D1046" s="19"/>
      <c r="E1046" s="19"/>
      <c r="F1046" s="19"/>
      <c r="G1046" s="34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5.75" customHeight="1">
      <c r="A1047" s="20"/>
      <c r="B1047" s="21"/>
      <c r="C1047" s="19"/>
      <c r="D1047" s="19"/>
      <c r="E1047" s="19"/>
      <c r="F1047" s="19"/>
      <c r="G1047" s="34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5.75" customHeight="1">
      <c r="A1048" s="20"/>
      <c r="B1048" s="21"/>
      <c r="C1048" s="19"/>
      <c r="D1048" s="19"/>
      <c r="E1048" s="19"/>
      <c r="F1048" s="19"/>
      <c r="G1048" s="34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5.75" customHeight="1">
      <c r="A1049" s="20"/>
      <c r="B1049" s="21"/>
      <c r="C1049" s="19"/>
      <c r="D1049" s="19"/>
      <c r="E1049" s="19"/>
      <c r="F1049" s="19"/>
      <c r="G1049" s="34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5.75" customHeight="1">
      <c r="A1050" s="20"/>
      <c r="B1050" s="21"/>
      <c r="C1050" s="19"/>
      <c r="D1050" s="19"/>
      <c r="E1050" s="19"/>
      <c r="F1050" s="19"/>
      <c r="G1050" s="34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5.75" customHeight="1">
      <c r="A1051" s="20"/>
      <c r="B1051" s="21"/>
      <c r="C1051" s="19"/>
      <c r="D1051" s="19"/>
      <c r="E1051" s="19"/>
      <c r="F1051" s="19"/>
      <c r="G1051" s="34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5.75" customHeight="1">
      <c r="A1052" s="20"/>
      <c r="B1052" s="21"/>
      <c r="C1052" s="19"/>
      <c r="D1052" s="19"/>
      <c r="E1052" s="19"/>
      <c r="F1052" s="19"/>
      <c r="G1052" s="34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5.75" customHeight="1">
      <c r="A1053" s="20"/>
      <c r="B1053" s="21"/>
      <c r="C1053" s="19"/>
      <c r="D1053" s="19"/>
      <c r="E1053" s="19"/>
      <c r="F1053" s="19"/>
      <c r="G1053" s="34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5.75" customHeight="1">
      <c r="A1054" s="20"/>
      <c r="B1054" s="21"/>
      <c r="C1054" s="19"/>
      <c r="D1054" s="19"/>
      <c r="E1054" s="19"/>
      <c r="F1054" s="19"/>
      <c r="G1054" s="34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5.75" customHeight="1">
      <c r="A1055" s="20"/>
      <c r="B1055" s="21"/>
      <c r="C1055" s="19"/>
      <c r="D1055" s="19"/>
      <c r="E1055" s="19"/>
      <c r="F1055" s="19"/>
      <c r="G1055" s="34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5.75" customHeight="1">
      <c r="A1056" s="20"/>
      <c r="B1056" s="21"/>
      <c r="C1056" s="19"/>
      <c r="D1056" s="19"/>
      <c r="E1056" s="19"/>
      <c r="F1056" s="19"/>
      <c r="G1056" s="34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5.75" customHeight="1">
      <c r="A1057" s="20"/>
      <c r="B1057" s="21"/>
      <c r="C1057" s="19"/>
      <c r="D1057" s="19"/>
      <c r="E1057" s="19"/>
      <c r="F1057" s="19"/>
      <c r="G1057" s="34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5.75" customHeight="1">
      <c r="A1058" s="20"/>
      <c r="B1058" s="21"/>
      <c r="C1058" s="19"/>
      <c r="D1058" s="19"/>
      <c r="E1058" s="19"/>
      <c r="F1058" s="19"/>
      <c r="G1058" s="34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5.75" customHeight="1">
      <c r="A1059" s="20"/>
      <c r="B1059" s="21"/>
      <c r="C1059" s="19"/>
      <c r="D1059" s="19"/>
      <c r="E1059" s="19"/>
      <c r="F1059" s="19"/>
      <c r="G1059" s="34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5.75" customHeight="1">
      <c r="A1060" s="20"/>
      <c r="B1060" s="21"/>
      <c r="C1060" s="19"/>
      <c r="D1060" s="19"/>
      <c r="E1060" s="19"/>
      <c r="F1060" s="19"/>
      <c r="G1060" s="34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5.75" customHeight="1">
      <c r="A1061" s="20"/>
      <c r="B1061" s="21"/>
      <c r="C1061" s="19"/>
      <c r="D1061" s="19"/>
      <c r="E1061" s="19"/>
      <c r="F1061" s="19"/>
      <c r="G1061" s="34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5.75" customHeight="1">
      <c r="A1062" s="20"/>
      <c r="B1062" s="21"/>
      <c r="C1062" s="19"/>
      <c r="D1062" s="19"/>
      <c r="E1062" s="19"/>
      <c r="F1062" s="19"/>
      <c r="G1062" s="34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5.75" customHeight="1">
      <c r="A1063" s="20"/>
      <c r="B1063" s="21"/>
      <c r="C1063" s="19"/>
      <c r="D1063" s="19"/>
      <c r="E1063" s="19"/>
      <c r="F1063" s="19"/>
      <c r="G1063" s="34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5.75" customHeight="1">
      <c r="A1064" s="20"/>
      <c r="B1064" s="21"/>
      <c r="C1064" s="19"/>
      <c r="D1064" s="19"/>
      <c r="E1064" s="19"/>
      <c r="F1064" s="19"/>
      <c r="G1064" s="34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5.75" customHeight="1">
      <c r="A1065" s="20"/>
      <c r="B1065" s="21"/>
      <c r="C1065" s="19"/>
      <c r="D1065" s="19"/>
      <c r="E1065" s="19"/>
      <c r="F1065" s="19"/>
      <c r="G1065" s="34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5.75" customHeight="1">
      <c r="A1066" s="20"/>
      <c r="B1066" s="21"/>
      <c r="C1066" s="19"/>
      <c r="D1066" s="19"/>
      <c r="E1066" s="19"/>
      <c r="F1066" s="19"/>
      <c r="G1066" s="34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5.75" customHeight="1">
      <c r="A1067" s="20"/>
      <c r="B1067" s="21"/>
      <c r="C1067" s="19"/>
      <c r="D1067" s="19"/>
      <c r="E1067" s="19"/>
      <c r="F1067" s="19"/>
      <c r="G1067" s="34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5.75" customHeight="1">
      <c r="A1068" s="20"/>
      <c r="B1068" s="21"/>
      <c r="C1068" s="19"/>
      <c r="D1068" s="19"/>
      <c r="E1068" s="19"/>
      <c r="F1068" s="19"/>
      <c r="G1068" s="34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5.75" customHeight="1">
      <c r="A1069" s="20"/>
      <c r="B1069" s="21"/>
      <c r="C1069" s="19"/>
      <c r="D1069" s="19"/>
      <c r="E1069" s="19"/>
      <c r="F1069" s="19"/>
      <c r="G1069" s="34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5.75" customHeight="1">
      <c r="A1070" s="20"/>
      <c r="B1070" s="21"/>
      <c r="C1070" s="19"/>
      <c r="D1070" s="19"/>
      <c r="E1070" s="19"/>
      <c r="F1070" s="19"/>
      <c r="G1070" s="34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5.75" customHeight="1">
      <c r="A1071" s="20"/>
      <c r="B1071" s="21"/>
      <c r="C1071" s="19"/>
      <c r="D1071" s="19"/>
      <c r="E1071" s="19"/>
      <c r="F1071" s="19"/>
      <c r="G1071" s="34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5.75" customHeight="1">
      <c r="A1072" s="20"/>
      <c r="B1072" s="21"/>
      <c r="C1072" s="19"/>
      <c r="D1072" s="19"/>
      <c r="E1072" s="19"/>
      <c r="F1072" s="19"/>
      <c r="G1072" s="34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5.75" customHeight="1">
      <c r="A1073" s="20"/>
      <c r="B1073" s="21"/>
      <c r="C1073" s="19"/>
      <c r="D1073" s="19"/>
      <c r="E1073" s="19"/>
      <c r="F1073" s="19"/>
      <c r="G1073" s="34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5.75" customHeight="1">
      <c r="A1074" s="20"/>
      <c r="B1074" s="21"/>
      <c r="C1074" s="19"/>
      <c r="D1074" s="19"/>
      <c r="E1074" s="19"/>
      <c r="F1074" s="19"/>
      <c r="G1074" s="34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5.75" customHeight="1">
      <c r="A1075" s="20"/>
      <c r="B1075" s="21"/>
      <c r="C1075" s="19"/>
      <c r="D1075" s="19"/>
      <c r="E1075" s="19"/>
      <c r="F1075" s="19"/>
      <c r="G1075" s="34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5.75" customHeight="1">
      <c r="A1076" s="20"/>
      <c r="B1076" s="21"/>
      <c r="C1076" s="19"/>
      <c r="D1076" s="19"/>
      <c r="E1076" s="19"/>
      <c r="F1076" s="19"/>
      <c r="G1076" s="34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5.75" customHeight="1">
      <c r="A1077" s="20"/>
      <c r="B1077" s="21"/>
      <c r="C1077" s="19"/>
      <c r="D1077" s="19"/>
      <c r="E1077" s="19"/>
      <c r="F1077" s="19"/>
      <c r="G1077" s="34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5.75" customHeight="1">
      <c r="A1078" s="20"/>
      <c r="B1078" s="21"/>
      <c r="C1078" s="19"/>
      <c r="D1078" s="19"/>
      <c r="E1078" s="19"/>
      <c r="F1078" s="19"/>
      <c r="G1078" s="34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5.75" customHeight="1">
      <c r="A1079" s="20"/>
      <c r="B1079" s="21"/>
      <c r="C1079" s="19"/>
      <c r="D1079" s="19"/>
      <c r="E1079" s="19"/>
      <c r="F1079" s="19"/>
      <c r="G1079" s="34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5.75" customHeight="1">
      <c r="A1080" s="20"/>
      <c r="B1080" s="21"/>
      <c r="C1080" s="19"/>
      <c r="D1080" s="19"/>
      <c r="E1080" s="19"/>
      <c r="F1080" s="19"/>
      <c r="G1080" s="34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5.75" customHeight="1">
      <c r="A1081" s="20"/>
      <c r="B1081" s="21"/>
      <c r="C1081" s="19"/>
      <c r="D1081" s="19"/>
      <c r="E1081" s="19"/>
      <c r="F1081" s="19"/>
      <c r="G1081" s="34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5.75" customHeight="1">
      <c r="A1082" s="20"/>
      <c r="B1082" s="21"/>
      <c r="C1082" s="19"/>
      <c r="D1082" s="19"/>
      <c r="E1082" s="19"/>
      <c r="F1082" s="19"/>
      <c r="G1082" s="34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5.75" customHeight="1">
      <c r="A1083" s="20"/>
      <c r="B1083" s="21"/>
      <c r="C1083" s="19"/>
      <c r="D1083" s="19"/>
      <c r="E1083" s="19"/>
      <c r="F1083" s="19"/>
      <c r="G1083" s="34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5.75" customHeight="1">
      <c r="A1084" s="20"/>
      <c r="B1084" s="21"/>
      <c r="C1084" s="19"/>
      <c r="D1084" s="19"/>
      <c r="E1084" s="19"/>
      <c r="F1084" s="19"/>
      <c r="G1084" s="34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5.75" customHeight="1">
      <c r="A1085" s="20"/>
      <c r="B1085" s="21"/>
      <c r="C1085" s="19"/>
      <c r="D1085" s="19"/>
      <c r="E1085" s="19"/>
      <c r="F1085" s="19"/>
      <c r="G1085" s="34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5.75" customHeight="1">
      <c r="A1086" s="20"/>
      <c r="B1086" s="21"/>
      <c r="C1086" s="19"/>
      <c r="D1086" s="19"/>
      <c r="E1086" s="19"/>
      <c r="F1086" s="19"/>
      <c r="G1086" s="34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5.75" customHeight="1">
      <c r="A1087" s="20"/>
      <c r="B1087" s="21"/>
      <c r="C1087" s="19"/>
      <c r="D1087" s="19"/>
      <c r="E1087" s="19"/>
      <c r="F1087" s="19"/>
      <c r="G1087" s="34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5.75" customHeight="1">
      <c r="A1088" s="20"/>
      <c r="B1088" s="21"/>
      <c r="C1088" s="19"/>
      <c r="D1088" s="19"/>
      <c r="E1088" s="19"/>
      <c r="F1088" s="19"/>
      <c r="G1088" s="34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5.75" customHeight="1">
      <c r="A1089" s="20"/>
      <c r="B1089" s="21"/>
      <c r="C1089" s="19"/>
      <c r="D1089" s="19"/>
      <c r="E1089" s="19"/>
      <c r="F1089" s="19"/>
      <c r="G1089" s="34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5.75" customHeight="1">
      <c r="A1090" s="20"/>
      <c r="B1090" s="21"/>
      <c r="C1090" s="19"/>
      <c r="D1090" s="19"/>
      <c r="E1090" s="19"/>
      <c r="F1090" s="19"/>
      <c r="G1090" s="34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5.75" customHeight="1">
      <c r="A1091" s="20"/>
      <c r="B1091" s="21"/>
      <c r="C1091" s="19"/>
      <c r="D1091" s="19"/>
      <c r="E1091" s="19"/>
      <c r="F1091" s="19"/>
      <c r="G1091" s="34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5.75" customHeight="1">
      <c r="A1092" s="20"/>
      <c r="B1092" s="21"/>
      <c r="C1092" s="19"/>
      <c r="D1092" s="19"/>
      <c r="E1092" s="19"/>
      <c r="F1092" s="19"/>
      <c r="G1092" s="34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5.75" customHeight="1">
      <c r="A1093" s="20"/>
      <c r="B1093" s="21"/>
      <c r="C1093" s="19"/>
      <c r="D1093" s="19"/>
      <c r="E1093" s="19"/>
      <c r="F1093" s="19"/>
      <c r="G1093" s="34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5.75" customHeight="1">
      <c r="A1094" s="20"/>
      <c r="B1094" s="21"/>
      <c r="C1094" s="19"/>
      <c r="D1094" s="19"/>
      <c r="E1094" s="19"/>
      <c r="F1094" s="19"/>
      <c r="G1094" s="34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5.75" customHeight="1">
      <c r="A1095" s="20"/>
      <c r="B1095" s="21"/>
      <c r="C1095" s="19"/>
      <c r="D1095" s="19"/>
      <c r="E1095" s="19"/>
      <c r="F1095" s="19"/>
      <c r="G1095" s="34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5.75" customHeight="1">
      <c r="A1096" s="20"/>
      <c r="B1096" s="21"/>
      <c r="C1096" s="19"/>
      <c r="D1096" s="19"/>
      <c r="E1096" s="19"/>
      <c r="F1096" s="19"/>
      <c r="G1096" s="34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5.75" customHeight="1">
      <c r="A1097" s="20"/>
      <c r="B1097" s="21"/>
      <c r="C1097" s="19"/>
      <c r="D1097" s="19"/>
      <c r="E1097" s="19"/>
      <c r="F1097" s="19"/>
      <c r="G1097" s="34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5.75" customHeight="1">
      <c r="A1098" s="20"/>
      <c r="B1098" s="21"/>
      <c r="C1098" s="19"/>
      <c r="D1098" s="19"/>
      <c r="E1098" s="19"/>
      <c r="F1098" s="19"/>
      <c r="G1098" s="34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5.75" customHeight="1">
      <c r="A1099" s="20"/>
      <c r="B1099" s="21"/>
      <c r="C1099" s="19"/>
      <c r="D1099" s="19"/>
      <c r="E1099" s="19"/>
      <c r="F1099" s="19"/>
      <c r="G1099" s="34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5.75" customHeight="1">
      <c r="A1100" s="20"/>
      <c r="B1100" s="21"/>
      <c r="C1100" s="19"/>
      <c r="D1100" s="19"/>
      <c r="E1100" s="19"/>
      <c r="F1100" s="19"/>
      <c r="G1100" s="34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5.75" customHeight="1">
      <c r="A1101" s="20"/>
      <c r="B1101" s="21"/>
      <c r="C1101" s="19"/>
      <c r="D1101" s="19"/>
      <c r="E1101" s="19"/>
      <c r="F1101" s="19"/>
      <c r="G1101" s="34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5.75" customHeight="1">
      <c r="A1102" s="20"/>
      <c r="B1102" s="21"/>
      <c r="C1102" s="19"/>
      <c r="D1102" s="19"/>
      <c r="E1102" s="19"/>
      <c r="F1102" s="19"/>
      <c r="G1102" s="34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5.75" customHeight="1">
      <c r="A1103" s="20"/>
      <c r="B1103" s="21"/>
      <c r="C1103" s="19"/>
      <c r="D1103" s="19"/>
      <c r="E1103" s="19"/>
      <c r="F1103" s="19"/>
      <c r="G1103" s="34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5.75" customHeight="1">
      <c r="A1104" s="20"/>
      <c r="B1104" s="21"/>
      <c r="C1104" s="19"/>
      <c r="D1104" s="19"/>
      <c r="E1104" s="19"/>
      <c r="F1104" s="19"/>
      <c r="G1104" s="34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5.75" customHeight="1">
      <c r="A1105" s="20"/>
      <c r="B1105" s="21"/>
      <c r="C1105" s="19"/>
      <c r="D1105" s="19"/>
      <c r="E1105" s="19"/>
      <c r="F1105" s="19"/>
      <c r="G1105" s="34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5.75" customHeight="1">
      <c r="A1106" s="20"/>
      <c r="B1106" s="21"/>
      <c r="C1106" s="19"/>
      <c r="D1106" s="19"/>
      <c r="E1106" s="19"/>
      <c r="F1106" s="19"/>
      <c r="G1106" s="34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5.75" customHeight="1">
      <c r="A1107" s="20"/>
      <c r="B1107" s="21"/>
      <c r="C1107" s="19"/>
      <c r="D1107" s="19"/>
      <c r="E1107" s="19"/>
      <c r="F1107" s="19"/>
      <c r="G1107" s="34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5.75" customHeight="1">
      <c r="A1108" s="20"/>
      <c r="B1108" s="21"/>
      <c r="C1108" s="19"/>
      <c r="D1108" s="19"/>
      <c r="E1108" s="19"/>
      <c r="F1108" s="19"/>
      <c r="G1108" s="34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5.75" customHeight="1">
      <c r="A1109" s="20"/>
      <c r="B1109" s="21"/>
      <c r="C1109" s="19"/>
      <c r="D1109" s="19"/>
      <c r="E1109" s="19"/>
      <c r="F1109" s="19"/>
      <c r="G1109" s="34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5.75" customHeight="1">
      <c r="A1110" s="20"/>
      <c r="B1110" s="21"/>
      <c r="C1110" s="19"/>
      <c r="D1110" s="19"/>
      <c r="E1110" s="19"/>
      <c r="F1110" s="19"/>
      <c r="G1110" s="34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5.75" customHeight="1">
      <c r="A1111" s="20"/>
      <c r="B1111" s="21"/>
      <c r="C1111" s="19"/>
      <c r="D1111" s="19"/>
      <c r="E1111" s="19"/>
      <c r="F1111" s="19"/>
      <c r="G1111" s="34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5.75" customHeight="1">
      <c r="A1112" s="20"/>
      <c r="B1112" s="21"/>
      <c r="C1112" s="19"/>
      <c r="D1112" s="19"/>
      <c r="E1112" s="19"/>
      <c r="F1112" s="19"/>
      <c r="G1112" s="34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5.75" customHeight="1">
      <c r="A1113" s="20"/>
      <c r="B1113" s="21"/>
      <c r="C1113" s="19"/>
      <c r="D1113" s="19"/>
      <c r="E1113" s="19"/>
      <c r="F1113" s="19"/>
      <c r="G1113" s="34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5.75" customHeight="1">
      <c r="A1114" s="20"/>
      <c r="B1114" s="21"/>
      <c r="C1114" s="19"/>
      <c r="D1114" s="19"/>
      <c r="E1114" s="19"/>
      <c r="F1114" s="19"/>
      <c r="G1114" s="34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5.75" customHeight="1">
      <c r="A1115" s="20"/>
      <c r="B1115" s="21"/>
      <c r="C1115" s="19"/>
      <c r="D1115" s="19"/>
      <c r="E1115" s="19"/>
      <c r="F1115" s="19"/>
      <c r="G1115" s="34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5.75" customHeight="1">
      <c r="A1116" s="20"/>
      <c r="B1116" s="21"/>
      <c r="C1116" s="19"/>
      <c r="D1116" s="19"/>
      <c r="E1116" s="19"/>
      <c r="F1116" s="19"/>
      <c r="G1116" s="34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5.75" customHeight="1">
      <c r="A1117" s="20"/>
      <c r="B1117" s="21"/>
      <c r="C1117" s="19"/>
      <c r="D1117" s="19"/>
      <c r="E1117" s="19"/>
      <c r="F1117" s="19"/>
      <c r="G1117" s="34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5.75" customHeight="1">
      <c r="A1118" s="20"/>
      <c r="B1118" s="21"/>
      <c r="C1118" s="19"/>
      <c r="D1118" s="19"/>
      <c r="E1118" s="19"/>
      <c r="F1118" s="19"/>
      <c r="G1118" s="34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5.75" customHeight="1">
      <c r="A1119" s="20"/>
      <c r="B1119" s="21"/>
      <c r="C1119" s="19"/>
      <c r="D1119" s="19"/>
      <c r="E1119" s="19"/>
      <c r="F1119" s="19"/>
      <c r="G1119" s="34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5.75" customHeight="1">
      <c r="A1120" s="20"/>
      <c r="B1120" s="21"/>
      <c r="C1120" s="19"/>
      <c r="D1120" s="19"/>
      <c r="E1120" s="19"/>
      <c r="F1120" s="19"/>
      <c r="G1120" s="34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5.75" customHeight="1">
      <c r="A1121" s="20"/>
      <c r="B1121" s="21"/>
      <c r="C1121" s="19"/>
      <c r="D1121" s="19"/>
      <c r="E1121" s="19"/>
      <c r="F1121" s="19"/>
      <c r="G1121" s="34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5.75" customHeight="1">
      <c r="A1122" s="20"/>
      <c r="B1122" s="21"/>
      <c r="C1122" s="19"/>
      <c r="D1122" s="19"/>
      <c r="E1122" s="19"/>
      <c r="F1122" s="19"/>
      <c r="G1122" s="34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5.75" customHeight="1">
      <c r="A1123" s="20"/>
      <c r="B1123" s="21"/>
      <c r="C1123" s="19"/>
      <c r="D1123" s="19"/>
      <c r="E1123" s="19"/>
      <c r="F1123" s="19"/>
      <c r="G1123" s="34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</sheetData>
  <mergeCells count="56">
    <mergeCell ref="C185:E185"/>
    <mergeCell ref="C76:E76"/>
    <mergeCell ref="C81:E81"/>
    <mergeCell ref="C85:E85"/>
    <mergeCell ref="C106:E106"/>
    <mergeCell ref="C127:E127"/>
    <mergeCell ref="C175:E175"/>
    <mergeCell ref="C177:E177"/>
    <mergeCell ref="C179:E179"/>
    <mergeCell ref="C181:E181"/>
    <mergeCell ref="C183:E183"/>
    <mergeCell ref="C78:E78"/>
    <mergeCell ref="C104:E104"/>
    <mergeCell ref="C105:E105"/>
    <mergeCell ref="C124:E124"/>
    <mergeCell ref="C102:E102"/>
    <mergeCell ref="C1:G2"/>
    <mergeCell ref="C4:E4"/>
    <mergeCell ref="C9:E9"/>
    <mergeCell ref="C12:E12"/>
    <mergeCell ref="C15:E15"/>
    <mergeCell ref="C17:E17"/>
    <mergeCell ref="C19:E19"/>
    <mergeCell ref="C21:E21"/>
    <mergeCell ref="C24:E24"/>
    <mergeCell ref="C54:E54"/>
    <mergeCell ref="C30:E30"/>
    <mergeCell ref="C28:E28"/>
    <mergeCell ref="C33:E33"/>
    <mergeCell ref="C52:E52"/>
    <mergeCell ref="C51:E51"/>
    <mergeCell ref="C53:E53"/>
    <mergeCell ref="C80:E80"/>
    <mergeCell ref="C95:E95"/>
    <mergeCell ref="C63:E63"/>
    <mergeCell ref="C172:E172"/>
    <mergeCell ref="C103:E103"/>
    <mergeCell ref="C116:E116"/>
    <mergeCell ref="C123:E123"/>
    <mergeCell ref="C72:E72"/>
    <mergeCell ref="C73:E73"/>
    <mergeCell ref="C74:E74"/>
    <mergeCell ref="C171:E171"/>
    <mergeCell ref="C79:E79"/>
    <mergeCell ref="C173:E173"/>
    <mergeCell ref="C125:E125"/>
    <mergeCell ref="C126:E126"/>
    <mergeCell ref="C145:E145"/>
    <mergeCell ref="C146:E146"/>
    <mergeCell ref="C147:E147"/>
    <mergeCell ref="C137:E137"/>
    <mergeCell ref="C144:E144"/>
    <mergeCell ref="C153:E153"/>
    <mergeCell ref="C148:E148"/>
    <mergeCell ref="C166:E166"/>
    <mergeCell ref="C170:E170"/>
  </mergeCells>
  <phoneticPr fontId="42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266" t="s">
        <v>140</v>
      </c>
      <c r="B1" s="241"/>
      <c r="C1" s="241"/>
      <c r="D1" s="241"/>
      <c r="E1" s="241"/>
      <c r="F1" s="241"/>
      <c r="G1" s="241"/>
      <c r="H1" s="241"/>
      <c r="I1" s="241"/>
      <c r="J1" s="241"/>
      <c r="K1" s="267"/>
      <c r="L1" s="35"/>
      <c r="M1" s="36"/>
      <c r="N1" s="37"/>
      <c r="O1" s="38"/>
      <c r="P1" s="38"/>
      <c r="Q1" s="38"/>
      <c r="R1" s="39"/>
      <c r="S1" s="39"/>
      <c r="T1" s="39"/>
      <c r="U1" s="39"/>
      <c r="V1" s="39"/>
      <c r="W1" s="39"/>
      <c r="X1" s="39"/>
      <c r="Y1" s="39"/>
      <c r="Z1" s="39"/>
    </row>
    <row r="2" spans="1:26" ht="8.25" customHeight="1">
      <c r="A2" s="268"/>
      <c r="B2" s="259"/>
      <c r="C2" s="259"/>
      <c r="D2" s="259"/>
      <c r="E2" s="259"/>
      <c r="F2" s="259"/>
      <c r="G2" s="259"/>
      <c r="H2" s="259"/>
      <c r="I2" s="259"/>
      <c r="J2" s="259"/>
      <c r="K2" s="260"/>
      <c r="L2" s="40"/>
      <c r="M2" s="41"/>
      <c r="N2" s="37"/>
      <c r="O2" s="38"/>
      <c r="P2" s="38"/>
      <c r="Q2" s="38"/>
      <c r="R2" s="39"/>
      <c r="S2" s="39"/>
      <c r="T2" s="39"/>
      <c r="U2" s="39"/>
      <c r="V2" s="39"/>
      <c r="W2" s="39"/>
      <c r="X2" s="39"/>
      <c r="Y2" s="39"/>
      <c r="Z2" s="39"/>
    </row>
    <row r="3" spans="1:26" ht="9" customHeight="1">
      <c r="A3" s="269" t="s">
        <v>141</v>
      </c>
      <c r="B3" s="271" t="s">
        <v>142</v>
      </c>
      <c r="C3" s="271" t="s">
        <v>143</v>
      </c>
      <c r="D3" s="273" t="s">
        <v>144</v>
      </c>
      <c r="E3" s="271" t="s">
        <v>145</v>
      </c>
      <c r="F3" s="261" t="s">
        <v>6</v>
      </c>
      <c r="G3" s="244"/>
      <c r="H3" s="244"/>
      <c r="I3" s="262"/>
      <c r="J3" s="263" t="s">
        <v>146</v>
      </c>
      <c r="K3" s="264"/>
      <c r="L3" s="264"/>
      <c r="M3" s="265"/>
      <c r="N3" s="42"/>
      <c r="O3" s="43"/>
      <c r="P3" s="43"/>
      <c r="Q3" s="43"/>
      <c r="R3" s="42"/>
      <c r="S3" s="42"/>
      <c r="T3" s="42"/>
      <c r="U3" s="42"/>
      <c r="V3" s="42"/>
      <c r="W3" s="42"/>
      <c r="X3" s="42"/>
      <c r="Y3" s="42"/>
      <c r="Z3" s="42"/>
    </row>
    <row r="4" spans="1:26" ht="16.5" customHeight="1">
      <c r="A4" s="270"/>
      <c r="B4" s="272"/>
      <c r="C4" s="272"/>
      <c r="D4" s="272"/>
      <c r="E4" s="272"/>
      <c r="F4" s="44" t="s">
        <v>65</v>
      </c>
      <c r="G4" s="44" t="s">
        <v>66</v>
      </c>
      <c r="H4" s="44" t="s">
        <v>67</v>
      </c>
      <c r="I4" s="44" t="s">
        <v>68</v>
      </c>
      <c r="J4" s="45" t="s">
        <v>147</v>
      </c>
      <c r="K4" s="46" t="s">
        <v>69</v>
      </c>
      <c r="L4" s="46" t="s">
        <v>148</v>
      </c>
      <c r="M4" s="47" t="s">
        <v>70</v>
      </c>
      <c r="N4" s="42"/>
      <c r="O4" s="43"/>
      <c r="P4" s="43"/>
      <c r="Q4" s="43"/>
      <c r="R4" s="42"/>
      <c r="S4" s="42"/>
      <c r="T4" s="42"/>
      <c r="U4" s="42"/>
      <c r="V4" s="42"/>
      <c r="W4" s="42"/>
      <c r="X4" s="42"/>
      <c r="Y4" s="42"/>
      <c r="Z4" s="42"/>
    </row>
    <row r="5" spans="1:26" ht="9" customHeight="1">
      <c r="A5" s="48"/>
      <c r="B5" s="49"/>
      <c r="C5" s="50" t="s">
        <v>149</v>
      </c>
      <c r="D5" s="51" t="s">
        <v>150</v>
      </c>
      <c r="E5" s="52"/>
      <c r="F5" s="52"/>
      <c r="G5" s="52"/>
      <c r="H5" s="52"/>
      <c r="I5" s="52"/>
      <c r="J5" s="52"/>
      <c r="K5" s="53">
        <f>SUM(K6,K12,K16,K22,K25,K29,K33,K37,K42)</f>
        <v>113775.66190000001</v>
      </c>
      <c r="L5" s="54"/>
      <c r="M5" s="55">
        <f>SUM(M6,M12,M16,M22,M25,M29,M33,M37,M42)</f>
        <v>98759.602899999998</v>
      </c>
      <c r="N5" s="56"/>
      <c r="O5" s="56"/>
      <c r="P5" s="57"/>
      <c r="Q5" s="38"/>
      <c r="R5" s="39"/>
      <c r="S5" s="39"/>
      <c r="T5" s="39"/>
      <c r="U5" s="39"/>
      <c r="V5" s="39"/>
      <c r="W5" s="39"/>
      <c r="X5" s="39"/>
      <c r="Y5" s="39"/>
      <c r="Z5" s="39"/>
    </row>
    <row r="6" spans="1:26" ht="9" customHeight="1">
      <c r="A6" s="58"/>
      <c r="B6" s="59"/>
      <c r="C6" s="60" t="s">
        <v>151</v>
      </c>
      <c r="D6" s="61" t="s">
        <v>152</v>
      </c>
      <c r="E6" s="62"/>
      <c r="F6" s="62"/>
      <c r="G6" s="62"/>
      <c r="H6" s="62"/>
      <c r="I6" s="62"/>
      <c r="J6" s="62"/>
      <c r="K6" s="63">
        <f>SUM(K7:K11)</f>
        <v>7775.1988999999994</v>
      </c>
      <c r="L6" s="64"/>
      <c r="M6" s="65">
        <f>SUM(M7:M11)</f>
        <v>7775.1988999999994</v>
      </c>
      <c r="N6" s="37"/>
      <c r="O6" s="66"/>
      <c r="P6" s="56"/>
      <c r="Q6" s="38"/>
      <c r="R6" s="39"/>
      <c r="S6" s="39"/>
      <c r="T6" s="39"/>
      <c r="U6" s="39"/>
      <c r="V6" s="39"/>
      <c r="W6" s="39"/>
      <c r="X6" s="39"/>
      <c r="Y6" s="39"/>
      <c r="Z6" s="39"/>
    </row>
    <row r="7" spans="1:26" ht="25.5" customHeight="1">
      <c r="A7" s="67" t="s">
        <v>153</v>
      </c>
      <c r="B7" s="68">
        <v>103689</v>
      </c>
      <c r="C7" s="69" t="s">
        <v>154</v>
      </c>
      <c r="D7" s="70" t="s">
        <v>155</v>
      </c>
      <c r="E7" s="69" t="s">
        <v>156</v>
      </c>
      <c r="F7" s="71">
        <v>6</v>
      </c>
      <c r="G7" s="71"/>
      <c r="H7" s="71"/>
      <c r="I7" s="71">
        <f t="shared" ref="I7:I11" si="0">F7+G7-H7</f>
        <v>6</v>
      </c>
      <c r="J7" s="71">
        <v>555.26</v>
      </c>
      <c r="K7" s="72">
        <f t="shared" ref="K7:K11" si="1">F7*J7</f>
        <v>3331.56</v>
      </c>
      <c r="L7" s="72">
        <f t="shared" ref="L7:L11" si="2">M7-K7</f>
        <v>0</v>
      </c>
      <c r="M7" s="73">
        <f t="shared" ref="M7:M11" si="3">I7*J7</f>
        <v>3331.56</v>
      </c>
      <c r="N7" s="37"/>
      <c r="O7" s="38"/>
      <c r="P7" s="56"/>
      <c r="Q7" s="38"/>
      <c r="R7" s="39"/>
      <c r="S7" s="39"/>
      <c r="T7" s="39"/>
      <c r="U7" s="39"/>
      <c r="V7" s="39"/>
      <c r="W7" s="39"/>
      <c r="X7" s="39"/>
      <c r="Y7" s="39"/>
      <c r="Z7" s="39"/>
    </row>
    <row r="8" spans="1:26" ht="25.5" customHeight="1">
      <c r="A8" s="67" t="s">
        <v>157</v>
      </c>
      <c r="B8" s="68">
        <v>99059</v>
      </c>
      <c r="C8" s="69" t="s">
        <v>158</v>
      </c>
      <c r="D8" s="70" t="s">
        <v>159</v>
      </c>
      <c r="E8" s="69" t="s">
        <v>160</v>
      </c>
      <c r="F8" s="71">
        <v>1</v>
      </c>
      <c r="G8" s="71"/>
      <c r="H8" s="71"/>
      <c r="I8" s="71">
        <f t="shared" si="0"/>
        <v>1</v>
      </c>
      <c r="J8" s="71">
        <v>71.75</v>
      </c>
      <c r="K8" s="72">
        <f t="shared" si="1"/>
        <v>71.75</v>
      </c>
      <c r="L8" s="72">
        <f t="shared" si="2"/>
        <v>0</v>
      </c>
      <c r="M8" s="73">
        <f t="shared" si="3"/>
        <v>71.75</v>
      </c>
      <c r="N8" s="37"/>
      <c r="O8" s="38"/>
      <c r="P8" s="38"/>
      <c r="Q8" s="38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67" t="s">
        <v>161</v>
      </c>
      <c r="B9" s="68">
        <v>104790</v>
      </c>
      <c r="C9" s="69" t="s">
        <v>162</v>
      </c>
      <c r="D9" s="70" t="s">
        <v>163</v>
      </c>
      <c r="E9" s="69" t="s">
        <v>164</v>
      </c>
      <c r="F9" s="71">
        <v>15.9</v>
      </c>
      <c r="G9" s="71"/>
      <c r="H9" s="71"/>
      <c r="I9" s="71">
        <f t="shared" si="0"/>
        <v>15.9</v>
      </c>
      <c r="J9" s="71">
        <v>113.12</v>
      </c>
      <c r="K9" s="72">
        <f t="shared" si="1"/>
        <v>1798.6080000000002</v>
      </c>
      <c r="L9" s="72">
        <f t="shared" si="2"/>
        <v>0</v>
      </c>
      <c r="M9" s="73">
        <f t="shared" si="3"/>
        <v>1798.6080000000002</v>
      </c>
      <c r="N9" s="37"/>
      <c r="O9" s="38"/>
      <c r="P9" s="38"/>
      <c r="Q9" s="38"/>
      <c r="R9" s="39"/>
      <c r="S9" s="39"/>
      <c r="T9" s="39"/>
      <c r="U9" s="39"/>
      <c r="V9" s="39"/>
      <c r="W9" s="39"/>
      <c r="X9" s="39"/>
      <c r="Y9" s="39"/>
      <c r="Z9" s="39"/>
    </row>
    <row r="10" spans="1:26" ht="14.5">
      <c r="A10" s="74" t="s">
        <v>165</v>
      </c>
      <c r="B10" s="75">
        <v>1</v>
      </c>
      <c r="C10" s="76" t="s">
        <v>166</v>
      </c>
      <c r="D10" s="77" t="s">
        <v>167</v>
      </c>
      <c r="E10" s="69" t="s">
        <v>168</v>
      </c>
      <c r="F10" s="71">
        <v>23.85</v>
      </c>
      <c r="G10" s="71"/>
      <c r="H10" s="71"/>
      <c r="I10" s="71">
        <f t="shared" si="0"/>
        <v>23.85</v>
      </c>
      <c r="J10" s="71">
        <v>86.61</v>
      </c>
      <c r="K10" s="72">
        <f t="shared" si="1"/>
        <v>2065.6485000000002</v>
      </c>
      <c r="L10" s="72">
        <f t="shared" si="2"/>
        <v>0</v>
      </c>
      <c r="M10" s="73">
        <f t="shared" si="3"/>
        <v>2065.6485000000002</v>
      </c>
      <c r="N10" s="37"/>
      <c r="O10" s="38"/>
      <c r="P10" s="38"/>
      <c r="Q10" s="38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74" t="s">
        <v>169</v>
      </c>
      <c r="B11" s="75">
        <v>97647</v>
      </c>
      <c r="C11" s="76" t="s">
        <v>170</v>
      </c>
      <c r="D11" s="77" t="s">
        <v>171</v>
      </c>
      <c r="E11" s="69" t="s">
        <v>172</v>
      </c>
      <c r="F11" s="71">
        <v>128.19</v>
      </c>
      <c r="G11" s="71"/>
      <c r="H11" s="71"/>
      <c r="I11" s="71">
        <f t="shared" si="0"/>
        <v>128.19</v>
      </c>
      <c r="J11" s="71">
        <v>3.96</v>
      </c>
      <c r="K11" s="72">
        <f t="shared" si="1"/>
        <v>507.63239999999996</v>
      </c>
      <c r="L11" s="72">
        <f t="shared" si="2"/>
        <v>0</v>
      </c>
      <c r="M11" s="73">
        <f t="shared" si="3"/>
        <v>507.63239999999996</v>
      </c>
      <c r="N11" s="37"/>
      <c r="O11" s="38"/>
      <c r="P11" s="38"/>
      <c r="Q11" s="38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9" customHeight="1">
      <c r="A12" s="58"/>
      <c r="B12" s="59"/>
      <c r="C12" s="60" t="s">
        <v>173</v>
      </c>
      <c r="D12" s="61" t="s">
        <v>174</v>
      </c>
      <c r="E12" s="62"/>
      <c r="F12" s="62"/>
      <c r="G12" s="62"/>
      <c r="H12" s="62"/>
      <c r="I12" s="62"/>
      <c r="J12" s="62"/>
      <c r="K12" s="63">
        <f>SUM(K13:K15)</f>
        <v>10792.129200000001</v>
      </c>
      <c r="L12" s="64"/>
      <c r="M12" s="65">
        <f>SUM(M13:M15)</f>
        <v>106.65599999999999</v>
      </c>
      <c r="N12" s="37"/>
      <c r="O12" s="38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4">
      <c r="A13" s="74" t="s">
        <v>175</v>
      </c>
      <c r="B13" s="75">
        <v>103317</v>
      </c>
      <c r="C13" s="76" t="s">
        <v>176</v>
      </c>
      <c r="D13" s="77" t="s">
        <v>177</v>
      </c>
      <c r="E13" s="69" t="s">
        <v>178</v>
      </c>
      <c r="F13" s="71">
        <v>1.2</v>
      </c>
      <c r="G13" s="71"/>
      <c r="H13" s="71"/>
      <c r="I13" s="71">
        <f t="shared" ref="I13:I15" si="4">F13+G13-H13</f>
        <v>1.2</v>
      </c>
      <c r="J13" s="71">
        <v>88.88</v>
      </c>
      <c r="K13" s="72">
        <f t="shared" ref="K13:K15" si="5">F13*J13</f>
        <v>106.65599999999999</v>
      </c>
      <c r="L13" s="72">
        <f t="shared" ref="L13:L15" si="6">M13-K13</f>
        <v>0</v>
      </c>
      <c r="M13" s="73">
        <f t="shared" ref="M13:M15" si="7">I13*J13</f>
        <v>106.65599999999999</v>
      </c>
      <c r="N13" s="37"/>
      <c r="O13" s="38"/>
      <c r="P13" s="38"/>
      <c r="Q13" s="38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8" customHeight="1">
      <c r="A14" s="74" t="s">
        <v>179</v>
      </c>
      <c r="B14" s="75">
        <v>101158</v>
      </c>
      <c r="C14" s="76" t="s">
        <v>180</v>
      </c>
      <c r="D14" s="70" t="s">
        <v>181</v>
      </c>
      <c r="E14" s="69" t="s">
        <v>182</v>
      </c>
      <c r="F14" s="71">
        <v>100.16</v>
      </c>
      <c r="G14" s="71"/>
      <c r="H14" s="71">
        <f>(38.72+15.98-3.36)+(48.82)</f>
        <v>100.16</v>
      </c>
      <c r="I14" s="71">
        <f t="shared" si="4"/>
        <v>0</v>
      </c>
      <c r="J14" s="71">
        <v>103.62</v>
      </c>
      <c r="K14" s="72">
        <f t="shared" si="5"/>
        <v>10378.5792</v>
      </c>
      <c r="L14" s="72">
        <f t="shared" si="6"/>
        <v>-10378.5792</v>
      </c>
      <c r="M14" s="73">
        <f t="shared" si="7"/>
        <v>0</v>
      </c>
      <c r="N14" s="37"/>
      <c r="O14" s="38"/>
      <c r="P14" s="38"/>
      <c r="Q14" s="38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8" customHeight="1">
      <c r="A15" s="74" t="s">
        <v>183</v>
      </c>
      <c r="B15" s="75">
        <v>105023</v>
      </c>
      <c r="C15" s="76" t="s">
        <v>184</v>
      </c>
      <c r="D15" s="70" t="s">
        <v>185</v>
      </c>
      <c r="E15" s="69" t="s">
        <v>186</v>
      </c>
      <c r="F15" s="71">
        <v>4.2</v>
      </c>
      <c r="G15" s="71"/>
      <c r="H15" s="71">
        <f>3*1.4</f>
        <v>4.1999999999999993</v>
      </c>
      <c r="I15" s="71">
        <f t="shared" si="4"/>
        <v>0</v>
      </c>
      <c r="J15" s="71">
        <v>73.069999999999993</v>
      </c>
      <c r="K15" s="72">
        <f t="shared" si="5"/>
        <v>306.89400000000001</v>
      </c>
      <c r="L15" s="72">
        <f t="shared" si="6"/>
        <v>-306.89400000000001</v>
      </c>
      <c r="M15" s="73">
        <f t="shared" si="7"/>
        <v>0</v>
      </c>
      <c r="N15" s="37"/>
      <c r="O15" s="38"/>
      <c r="P15" s="38"/>
      <c r="Q15" s="38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9" customHeight="1">
      <c r="A16" s="58"/>
      <c r="B16" s="59"/>
      <c r="C16" s="60" t="s">
        <v>187</v>
      </c>
      <c r="D16" s="61" t="s">
        <v>188</v>
      </c>
      <c r="E16" s="62"/>
      <c r="F16" s="62"/>
      <c r="G16" s="62"/>
      <c r="H16" s="62"/>
      <c r="I16" s="62"/>
      <c r="J16" s="62"/>
      <c r="K16" s="63">
        <f>SUM(K17:K21)</f>
        <v>11783.964400000001</v>
      </c>
      <c r="L16" s="64"/>
      <c r="M16" s="65">
        <f>SUM(M17:M21)</f>
        <v>11783.964400000001</v>
      </c>
      <c r="N16" s="37"/>
      <c r="O16" s="38"/>
      <c r="P16" s="38"/>
      <c r="Q16" s="38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5.5" customHeight="1">
      <c r="A17" s="67" t="s">
        <v>189</v>
      </c>
      <c r="B17" s="68">
        <v>94201</v>
      </c>
      <c r="C17" s="69" t="s">
        <v>190</v>
      </c>
      <c r="D17" s="70" t="s">
        <v>191</v>
      </c>
      <c r="E17" s="69" t="s">
        <v>192</v>
      </c>
      <c r="F17" s="71">
        <v>128.19</v>
      </c>
      <c r="G17" s="71"/>
      <c r="H17" s="71"/>
      <c r="I17" s="71">
        <f t="shared" ref="I17:I21" si="8">F17+G17-H17</f>
        <v>128.19</v>
      </c>
      <c r="J17" s="71">
        <v>47.54</v>
      </c>
      <c r="K17" s="72">
        <f t="shared" ref="K17:K21" si="9">F17*J17</f>
        <v>6094.1525999999994</v>
      </c>
      <c r="L17" s="72">
        <f t="shared" ref="L17:L21" si="10">M17-K17</f>
        <v>0</v>
      </c>
      <c r="M17" s="73">
        <f t="shared" ref="M17:M21" si="11">I17*J17</f>
        <v>6094.1525999999994</v>
      </c>
      <c r="N17" s="37"/>
      <c r="O17" s="38"/>
      <c r="P17" s="38"/>
      <c r="Q17" s="38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8" customHeight="1">
      <c r="A18" s="74" t="s">
        <v>193</v>
      </c>
      <c r="B18" s="75">
        <v>2</v>
      </c>
      <c r="C18" s="76" t="s">
        <v>194</v>
      </c>
      <c r="D18" s="70" t="s">
        <v>195</v>
      </c>
      <c r="E18" s="69" t="s">
        <v>196</v>
      </c>
      <c r="F18" s="71">
        <v>156.4</v>
      </c>
      <c r="G18" s="71"/>
      <c r="H18" s="71"/>
      <c r="I18" s="71">
        <f t="shared" si="8"/>
        <v>156.4</v>
      </c>
      <c r="J18" s="71">
        <v>7.64</v>
      </c>
      <c r="K18" s="72">
        <f t="shared" si="9"/>
        <v>1194.896</v>
      </c>
      <c r="L18" s="72">
        <f t="shared" si="10"/>
        <v>0</v>
      </c>
      <c r="M18" s="73">
        <f t="shared" si="11"/>
        <v>1194.896</v>
      </c>
      <c r="N18" s="37"/>
      <c r="O18" s="38"/>
      <c r="P18" s="38"/>
      <c r="Q18" s="38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25.5" customHeight="1">
      <c r="A19" s="67" t="s">
        <v>197</v>
      </c>
      <c r="B19" s="68">
        <v>100328</v>
      </c>
      <c r="C19" s="69" t="s">
        <v>198</v>
      </c>
      <c r="D19" s="77" t="s">
        <v>199</v>
      </c>
      <c r="E19" s="69" t="s">
        <v>200</v>
      </c>
      <c r="F19" s="71">
        <v>299.10000000000002</v>
      </c>
      <c r="G19" s="71"/>
      <c r="H19" s="71"/>
      <c r="I19" s="71">
        <f t="shared" si="8"/>
        <v>299.10000000000002</v>
      </c>
      <c r="J19" s="71">
        <v>14.05</v>
      </c>
      <c r="K19" s="72">
        <f t="shared" si="9"/>
        <v>4202.3550000000005</v>
      </c>
      <c r="L19" s="72">
        <f t="shared" si="10"/>
        <v>0</v>
      </c>
      <c r="M19" s="73">
        <f t="shared" si="11"/>
        <v>4202.3550000000005</v>
      </c>
      <c r="N19" s="37"/>
      <c r="O19" s="38"/>
      <c r="P19" s="38"/>
      <c r="Q19" s="38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25.5" customHeight="1">
      <c r="A20" s="67" t="s">
        <v>201</v>
      </c>
      <c r="B20" s="68">
        <v>98555</v>
      </c>
      <c r="C20" s="69" t="s">
        <v>202</v>
      </c>
      <c r="D20" s="77" t="s">
        <v>203</v>
      </c>
      <c r="E20" s="69" t="s">
        <v>204</v>
      </c>
      <c r="F20" s="71">
        <v>3.56</v>
      </c>
      <c r="G20" s="71"/>
      <c r="H20" s="71"/>
      <c r="I20" s="71">
        <f t="shared" si="8"/>
        <v>3.56</v>
      </c>
      <c r="J20" s="71">
        <v>39.04</v>
      </c>
      <c r="K20" s="72">
        <f t="shared" si="9"/>
        <v>138.98240000000001</v>
      </c>
      <c r="L20" s="72">
        <f t="shared" si="10"/>
        <v>0</v>
      </c>
      <c r="M20" s="73">
        <f t="shared" si="11"/>
        <v>138.98240000000001</v>
      </c>
      <c r="N20" s="37"/>
      <c r="O20" s="38"/>
      <c r="P20" s="38"/>
      <c r="Q20" s="38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5.5" customHeight="1">
      <c r="A21" s="67" t="s">
        <v>205</v>
      </c>
      <c r="B21" s="68">
        <v>98563</v>
      </c>
      <c r="C21" s="69" t="s">
        <v>206</v>
      </c>
      <c r="D21" s="70" t="s">
        <v>207</v>
      </c>
      <c r="E21" s="69" t="s">
        <v>208</v>
      </c>
      <c r="F21" s="71">
        <v>3.56</v>
      </c>
      <c r="G21" s="71"/>
      <c r="H21" s="71"/>
      <c r="I21" s="71">
        <f t="shared" si="8"/>
        <v>3.56</v>
      </c>
      <c r="J21" s="71">
        <v>43.14</v>
      </c>
      <c r="K21" s="72">
        <f t="shared" si="9"/>
        <v>153.57840000000002</v>
      </c>
      <c r="L21" s="72">
        <f t="shared" si="10"/>
        <v>0</v>
      </c>
      <c r="M21" s="73">
        <f t="shared" si="11"/>
        <v>153.57840000000002</v>
      </c>
      <c r="N21" s="37"/>
      <c r="O21" s="38"/>
      <c r="P21" s="38"/>
      <c r="Q21" s="38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9" customHeight="1">
      <c r="A22" s="58"/>
      <c r="B22" s="59"/>
      <c r="C22" s="60" t="s">
        <v>209</v>
      </c>
      <c r="D22" s="61" t="s">
        <v>210</v>
      </c>
      <c r="E22" s="62"/>
      <c r="F22" s="62"/>
      <c r="G22" s="62"/>
      <c r="H22" s="62"/>
      <c r="I22" s="62"/>
      <c r="J22" s="62"/>
      <c r="K22" s="63">
        <f>K23</f>
        <v>3056.52</v>
      </c>
      <c r="L22" s="64"/>
      <c r="M22" s="65">
        <f>M23</f>
        <v>0</v>
      </c>
      <c r="N22" s="37"/>
      <c r="O22" s="38"/>
      <c r="P22" s="38"/>
      <c r="Q22" s="38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33" customHeight="1">
      <c r="A23" s="74" t="s">
        <v>211</v>
      </c>
      <c r="B23" s="75">
        <v>91314</v>
      </c>
      <c r="C23" s="76" t="s">
        <v>212</v>
      </c>
      <c r="D23" s="70" t="s">
        <v>213</v>
      </c>
      <c r="E23" s="69" t="s">
        <v>214</v>
      </c>
      <c r="F23" s="71">
        <v>3</v>
      </c>
      <c r="G23" s="71"/>
      <c r="H23" s="71">
        <v>3</v>
      </c>
      <c r="I23" s="71">
        <f>F23+G23-H23</f>
        <v>0</v>
      </c>
      <c r="J23" s="72">
        <v>1018.84</v>
      </c>
      <c r="K23" s="72">
        <f>F23*J23</f>
        <v>3056.52</v>
      </c>
      <c r="L23" s="72">
        <f>M23-K23</f>
        <v>-3056.52</v>
      </c>
      <c r="M23" s="73">
        <f>I23*J23</f>
        <v>0</v>
      </c>
      <c r="N23" s="37"/>
      <c r="O23" s="38"/>
      <c r="P23" s="38"/>
      <c r="Q23" s="38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26.25" customHeight="1">
      <c r="A24" s="74"/>
      <c r="B24" s="75"/>
      <c r="C24" s="76"/>
      <c r="D24" s="70"/>
      <c r="E24" s="69"/>
      <c r="F24" s="71"/>
      <c r="G24" s="71"/>
      <c r="H24" s="71"/>
      <c r="I24" s="71"/>
      <c r="J24" s="72"/>
      <c r="K24" s="72"/>
      <c r="L24" s="72"/>
      <c r="M24" s="73"/>
      <c r="N24" s="37"/>
      <c r="O24" s="38"/>
      <c r="P24" s="38"/>
      <c r="Q24" s="38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9" customHeight="1">
      <c r="A25" s="58"/>
      <c r="B25" s="59"/>
      <c r="C25" s="60" t="s">
        <v>215</v>
      </c>
      <c r="D25" s="61" t="s">
        <v>216</v>
      </c>
      <c r="E25" s="62"/>
      <c r="F25" s="62"/>
      <c r="G25" s="62"/>
      <c r="H25" s="62"/>
      <c r="I25" s="62"/>
      <c r="J25" s="62"/>
      <c r="K25" s="63">
        <f>SUM(K26:K28)</f>
        <v>3227.88</v>
      </c>
      <c r="L25" s="64"/>
      <c r="M25" s="65">
        <f>SUM(M26:M28)</f>
        <v>3227.88</v>
      </c>
      <c r="N25" s="37"/>
      <c r="O25" s="38"/>
      <c r="P25" s="38"/>
      <c r="Q25" s="38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5.5" customHeight="1">
      <c r="A26" s="74" t="s">
        <v>217</v>
      </c>
      <c r="B26" s="68">
        <v>3</v>
      </c>
      <c r="C26" s="69" t="s">
        <v>218</v>
      </c>
      <c r="D26" s="70" t="s">
        <v>219</v>
      </c>
      <c r="E26" s="69" t="s">
        <v>220</v>
      </c>
      <c r="F26" s="71">
        <v>4</v>
      </c>
      <c r="G26" s="71"/>
      <c r="H26" s="71"/>
      <c r="I26" s="71">
        <f t="shared" ref="I26:I28" si="12">F26+G26-H26</f>
        <v>4</v>
      </c>
      <c r="J26" s="71">
        <v>119.41</v>
      </c>
      <c r="K26" s="72">
        <f t="shared" ref="K26:K28" si="13">F26*J26</f>
        <v>477.64</v>
      </c>
      <c r="L26" s="72">
        <f t="shared" ref="L26:L28" si="14">M26-K26</f>
        <v>0</v>
      </c>
      <c r="M26" s="73">
        <f t="shared" ref="M26:M28" si="15">I26*J26</f>
        <v>477.64</v>
      </c>
      <c r="N26" s="37"/>
      <c r="O26" s="38"/>
      <c r="P26" s="38"/>
      <c r="Q26" s="38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5.5" customHeight="1">
      <c r="A27" s="67" t="s">
        <v>221</v>
      </c>
      <c r="B27" s="68">
        <v>91953</v>
      </c>
      <c r="C27" s="69" t="s">
        <v>222</v>
      </c>
      <c r="D27" s="70" t="s">
        <v>223</v>
      </c>
      <c r="E27" s="69" t="s">
        <v>224</v>
      </c>
      <c r="F27" s="71">
        <v>3</v>
      </c>
      <c r="G27" s="71"/>
      <c r="H27" s="71"/>
      <c r="I27" s="71">
        <f t="shared" si="12"/>
        <v>3</v>
      </c>
      <c r="J27" s="71">
        <v>32.11</v>
      </c>
      <c r="K27" s="72">
        <f t="shared" si="13"/>
        <v>96.33</v>
      </c>
      <c r="L27" s="72">
        <f t="shared" si="14"/>
        <v>0</v>
      </c>
      <c r="M27" s="73">
        <f t="shared" si="15"/>
        <v>96.33</v>
      </c>
      <c r="N27" s="37"/>
      <c r="O27" s="38"/>
      <c r="P27" s="38"/>
      <c r="Q27" s="38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8" customHeight="1">
      <c r="A28" s="74" t="s">
        <v>225</v>
      </c>
      <c r="B28" s="75">
        <v>5</v>
      </c>
      <c r="C28" s="76" t="s">
        <v>226</v>
      </c>
      <c r="D28" s="70" t="s">
        <v>227</v>
      </c>
      <c r="E28" s="69" t="s">
        <v>228</v>
      </c>
      <c r="F28" s="71">
        <v>7</v>
      </c>
      <c r="G28" s="71"/>
      <c r="H28" s="71"/>
      <c r="I28" s="71">
        <f t="shared" si="12"/>
        <v>7</v>
      </c>
      <c r="J28" s="71">
        <v>379.13</v>
      </c>
      <c r="K28" s="72">
        <f t="shared" si="13"/>
        <v>2653.91</v>
      </c>
      <c r="L28" s="72">
        <f t="shared" si="14"/>
        <v>0</v>
      </c>
      <c r="M28" s="73">
        <f t="shared" si="15"/>
        <v>2653.91</v>
      </c>
      <c r="N28" s="37"/>
      <c r="O28" s="38"/>
      <c r="P28" s="38"/>
      <c r="Q28" s="38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9" customHeight="1">
      <c r="A29" s="58"/>
      <c r="B29" s="59"/>
      <c r="C29" s="60" t="s">
        <v>229</v>
      </c>
      <c r="D29" s="61" t="s">
        <v>230</v>
      </c>
      <c r="E29" s="62"/>
      <c r="F29" s="62"/>
      <c r="G29" s="62"/>
      <c r="H29" s="62"/>
      <c r="I29" s="62"/>
      <c r="J29" s="62"/>
      <c r="K29" s="63">
        <f>SUM(K30:K32)</f>
        <v>47156.540999999997</v>
      </c>
      <c r="L29" s="64"/>
      <c r="M29" s="65">
        <f>SUM(M30:M32)</f>
        <v>47156.540999999997</v>
      </c>
      <c r="N29" s="37"/>
      <c r="O29" s="38"/>
      <c r="P29" s="38"/>
      <c r="Q29" s="38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34.5" customHeight="1">
      <c r="A30" s="74" t="s">
        <v>231</v>
      </c>
      <c r="B30" s="75">
        <v>87622</v>
      </c>
      <c r="C30" s="76" t="s">
        <v>232</v>
      </c>
      <c r="D30" s="70" t="s">
        <v>233</v>
      </c>
      <c r="E30" s="69" t="s">
        <v>234</v>
      </c>
      <c r="F30" s="71">
        <v>260.39999999999998</v>
      </c>
      <c r="G30" s="71"/>
      <c r="H30" s="71"/>
      <c r="I30" s="71">
        <f t="shared" ref="I30:I32" si="16">F30+G30-H30</f>
        <v>260.39999999999998</v>
      </c>
      <c r="J30" s="71">
        <v>40.619999999999997</v>
      </c>
      <c r="K30" s="72">
        <f t="shared" ref="K30:K32" si="17">F30*J30</f>
        <v>10577.447999999999</v>
      </c>
      <c r="L30" s="72">
        <f t="shared" ref="L30:L32" si="18">M30-K30</f>
        <v>0</v>
      </c>
      <c r="M30" s="73">
        <f t="shared" ref="M30:M32" si="19">I30*J30</f>
        <v>10577.447999999999</v>
      </c>
      <c r="N30" s="37"/>
      <c r="O30" s="38"/>
      <c r="P30" s="38"/>
      <c r="Q30" s="38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5.5" customHeight="1">
      <c r="A31" s="67" t="s">
        <v>235</v>
      </c>
      <c r="B31" s="68">
        <v>104596</v>
      </c>
      <c r="C31" s="69" t="s">
        <v>236</v>
      </c>
      <c r="D31" s="70" t="s">
        <v>237</v>
      </c>
      <c r="E31" s="69" t="s">
        <v>238</v>
      </c>
      <c r="F31" s="71">
        <v>9.69</v>
      </c>
      <c r="G31" s="71"/>
      <c r="H31" s="71"/>
      <c r="I31" s="71">
        <f t="shared" si="16"/>
        <v>9.69</v>
      </c>
      <c r="J31" s="71">
        <v>185.7</v>
      </c>
      <c r="K31" s="72">
        <f t="shared" si="17"/>
        <v>1799.4329999999998</v>
      </c>
      <c r="L31" s="72">
        <f t="shared" si="18"/>
        <v>0</v>
      </c>
      <c r="M31" s="73">
        <f t="shared" si="19"/>
        <v>1799.4329999999998</v>
      </c>
      <c r="N31" s="37"/>
      <c r="O31" s="38"/>
      <c r="P31" s="38"/>
      <c r="Q31" s="38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42.75" customHeight="1">
      <c r="A32" s="67" t="s">
        <v>239</v>
      </c>
      <c r="B32" s="68">
        <v>104162</v>
      </c>
      <c r="C32" s="69" t="s">
        <v>240</v>
      </c>
      <c r="D32" s="70" t="s">
        <v>241</v>
      </c>
      <c r="E32" s="69" t="s">
        <v>242</v>
      </c>
      <c r="F32" s="71">
        <v>318</v>
      </c>
      <c r="G32" s="71"/>
      <c r="H32" s="71"/>
      <c r="I32" s="71">
        <f t="shared" si="16"/>
        <v>318</v>
      </c>
      <c r="J32" s="71">
        <v>109.37</v>
      </c>
      <c r="K32" s="72">
        <f t="shared" si="17"/>
        <v>34779.660000000003</v>
      </c>
      <c r="L32" s="72">
        <f t="shared" si="18"/>
        <v>0</v>
      </c>
      <c r="M32" s="73">
        <f t="shared" si="19"/>
        <v>34779.660000000003</v>
      </c>
      <c r="N32" s="37"/>
      <c r="O32" s="38"/>
      <c r="P32" s="38"/>
      <c r="Q32" s="38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9" customHeight="1">
      <c r="A33" s="58"/>
      <c r="B33" s="59"/>
      <c r="C33" s="60" t="s">
        <v>243</v>
      </c>
      <c r="D33" s="61" t="s">
        <v>244</v>
      </c>
      <c r="E33" s="62"/>
      <c r="F33" s="62"/>
      <c r="G33" s="62"/>
      <c r="H33" s="62"/>
      <c r="I33" s="62"/>
      <c r="J33" s="62"/>
      <c r="K33" s="63">
        <f>SUM(K34:K36)</f>
        <v>2820.6435000000001</v>
      </c>
      <c r="L33" s="64"/>
      <c r="M33" s="65">
        <f>SUM(M34:M36)</f>
        <v>4236.7848000000004</v>
      </c>
      <c r="N33" s="37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74" t="s">
        <v>245</v>
      </c>
      <c r="B34" s="75">
        <v>104410</v>
      </c>
      <c r="C34" s="76" t="s">
        <v>246</v>
      </c>
      <c r="D34" s="77" t="s">
        <v>247</v>
      </c>
      <c r="E34" s="69" t="s">
        <v>248</v>
      </c>
      <c r="F34" s="71">
        <v>1.2</v>
      </c>
      <c r="G34" s="71"/>
      <c r="H34" s="71"/>
      <c r="I34" s="71">
        <f t="shared" ref="I34:I36" si="20">F34+G34-H34</f>
        <v>1.2</v>
      </c>
      <c r="J34" s="71">
        <v>5.84</v>
      </c>
      <c r="K34" s="72">
        <f t="shared" ref="K34:K36" si="21">F34*J34</f>
        <v>7.008</v>
      </c>
      <c r="L34" s="72">
        <f t="shared" ref="L34:L36" si="22">M34-K34</f>
        <v>0</v>
      </c>
      <c r="M34" s="73">
        <f t="shared" ref="M34:M36" si="23">I34*J34</f>
        <v>7.008</v>
      </c>
      <c r="N34" s="37"/>
      <c r="O34" s="38"/>
      <c r="P34" s="38"/>
      <c r="Q34" s="38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67" t="s">
        <v>249</v>
      </c>
      <c r="B35" s="68">
        <v>87528</v>
      </c>
      <c r="C35" s="69" t="s">
        <v>250</v>
      </c>
      <c r="D35" s="77" t="s">
        <v>251</v>
      </c>
      <c r="E35" s="69" t="s">
        <v>252</v>
      </c>
      <c r="F35" s="71">
        <v>19.89</v>
      </c>
      <c r="G35" s="71"/>
      <c r="H35" s="71">
        <f>G36</f>
        <v>18.690000000000001</v>
      </c>
      <c r="I35" s="71">
        <f t="shared" si="20"/>
        <v>1.1999999999999993</v>
      </c>
      <c r="J35" s="71">
        <v>48.71</v>
      </c>
      <c r="K35" s="72">
        <f t="shared" si="21"/>
        <v>968.84190000000001</v>
      </c>
      <c r="L35" s="72">
        <f t="shared" si="22"/>
        <v>-910.38990000000001</v>
      </c>
      <c r="M35" s="73">
        <f t="shared" si="23"/>
        <v>58.45199999999997</v>
      </c>
      <c r="N35" s="37"/>
      <c r="O35" s="38"/>
      <c r="P35" s="38"/>
      <c r="Q35" s="38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74" t="s">
        <v>253</v>
      </c>
      <c r="B36" s="75">
        <v>104612</v>
      </c>
      <c r="C36" s="76" t="s">
        <v>254</v>
      </c>
      <c r="D36" s="70" t="s">
        <v>255</v>
      </c>
      <c r="E36" s="69" t="s">
        <v>256</v>
      </c>
      <c r="F36" s="71">
        <v>14.82</v>
      </c>
      <c r="G36" s="71">
        <f>12.46*1.5</f>
        <v>18.690000000000001</v>
      </c>
      <c r="H36" s="71"/>
      <c r="I36" s="71">
        <f t="shared" si="20"/>
        <v>33.510000000000005</v>
      </c>
      <c r="J36" s="71">
        <v>124.48</v>
      </c>
      <c r="K36" s="72">
        <f t="shared" si="21"/>
        <v>1844.7936000000002</v>
      </c>
      <c r="L36" s="72">
        <f t="shared" si="22"/>
        <v>2326.5312000000004</v>
      </c>
      <c r="M36" s="73">
        <f t="shared" si="23"/>
        <v>4171.3248000000003</v>
      </c>
      <c r="N36" s="37"/>
      <c r="O36" s="38"/>
      <c r="P36" s="38"/>
      <c r="Q36" s="38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58"/>
      <c r="B37" s="59"/>
      <c r="C37" s="60" t="s">
        <v>257</v>
      </c>
      <c r="D37" s="61" t="s">
        <v>258</v>
      </c>
      <c r="E37" s="62"/>
      <c r="F37" s="62"/>
      <c r="G37" s="62"/>
      <c r="H37" s="62"/>
      <c r="I37" s="62"/>
      <c r="J37" s="62"/>
      <c r="K37" s="63">
        <f>SUM(K38:K41)</f>
        <v>15275.639199999998</v>
      </c>
      <c r="L37" s="64"/>
      <c r="M37" s="65">
        <f>SUM(M38:M41)</f>
        <v>12585.432099999998</v>
      </c>
      <c r="N37" s="37"/>
      <c r="O37" s="38"/>
      <c r="P37" s="38"/>
      <c r="Q37" s="38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74" t="s">
        <v>259</v>
      </c>
      <c r="B38" s="75">
        <v>88485</v>
      </c>
      <c r="C38" s="76" t="s">
        <v>260</v>
      </c>
      <c r="D38" s="70" t="s">
        <v>261</v>
      </c>
      <c r="E38" s="69" t="s">
        <v>262</v>
      </c>
      <c r="F38" s="71">
        <v>118.85</v>
      </c>
      <c r="G38" s="71"/>
      <c r="H38" s="71">
        <f>38.72+48.82+18.69</f>
        <v>106.22999999999999</v>
      </c>
      <c r="I38" s="71">
        <f t="shared" ref="I38:I41" si="24">F38+G38-H38</f>
        <v>12.620000000000005</v>
      </c>
      <c r="J38" s="71">
        <v>4.53</v>
      </c>
      <c r="K38" s="72">
        <f t="shared" ref="K38:K41" si="25">F38*J38</f>
        <v>538.39049999999997</v>
      </c>
      <c r="L38" s="72">
        <f t="shared" ref="L38:L41" si="26">M38-K38</f>
        <v>-481.22189999999995</v>
      </c>
      <c r="M38" s="73">
        <f t="shared" ref="M38:M41" si="27">I38*J38</f>
        <v>57.168600000000026</v>
      </c>
      <c r="N38" s="37"/>
      <c r="O38" s="38"/>
      <c r="P38" s="38"/>
      <c r="Q38" s="38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74" t="s">
        <v>263</v>
      </c>
      <c r="B39" s="75">
        <v>88497</v>
      </c>
      <c r="C39" s="76" t="s">
        <v>264</v>
      </c>
      <c r="D39" s="70" t="s">
        <v>265</v>
      </c>
      <c r="E39" s="69" t="s">
        <v>266</v>
      </c>
      <c r="F39" s="71">
        <v>414.62</v>
      </c>
      <c r="G39" s="71"/>
      <c r="H39" s="71">
        <f>H38</f>
        <v>106.22999999999999</v>
      </c>
      <c r="I39" s="71">
        <f t="shared" si="24"/>
        <v>308.39</v>
      </c>
      <c r="J39" s="71">
        <v>18.149999999999999</v>
      </c>
      <c r="K39" s="72">
        <f t="shared" si="25"/>
        <v>7525.3529999999992</v>
      </c>
      <c r="L39" s="72">
        <f t="shared" si="26"/>
        <v>-1928.0744999999997</v>
      </c>
      <c r="M39" s="73">
        <f t="shared" si="27"/>
        <v>5597.2784999999994</v>
      </c>
      <c r="N39" s="37"/>
      <c r="O39" s="38"/>
      <c r="P39" s="38"/>
      <c r="Q39" s="38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74" t="s">
        <v>267</v>
      </c>
      <c r="B40" s="75">
        <v>88489</v>
      </c>
      <c r="C40" s="76" t="s">
        <v>268</v>
      </c>
      <c r="D40" s="70" t="s">
        <v>269</v>
      </c>
      <c r="E40" s="69" t="s">
        <v>270</v>
      </c>
      <c r="F40" s="71">
        <v>400.93</v>
      </c>
      <c r="G40" s="71"/>
      <c r="H40" s="71">
        <f>G36</f>
        <v>18.690000000000001</v>
      </c>
      <c r="I40" s="71">
        <f t="shared" si="24"/>
        <v>382.24</v>
      </c>
      <c r="J40" s="71">
        <v>15.03</v>
      </c>
      <c r="K40" s="72">
        <f t="shared" si="25"/>
        <v>6025.9778999999999</v>
      </c>
      <c r="L40" s="72">
        <f t="shared" si="26"/>
        <v>-280.91070000000036</v>
      </c>
      <c r="M40" s="73">
        <f t="shared" si="27"/>
        <v>5745.0671999999995</v>
      </c>
      <c r="N40" s="37"/>
      <c r="O40" s="38"/>
      <c r="P40" s="38"/>
      <c r="Q40" s="38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74" t="s">
        <v>271</v>
      </c>
      <c r="B41" s="75">
        <v>88488</v>
      </c>
      <c r="C41" s="76" t="s">
        <v>272</v>
      </c>
      <c r="D41" s="70" t="s">
        <v>273</v>
      </c>
      <c r="E41" s="69" t="s">
        <v>274</v>
      </c>
      <c r="F41" s="71">
        <v>67.42</v>
      </c>
      <c r="G41" s="71"/>
      <c r="H41" s="71"/>
      <c r="I41" s="71">
        <f t="shared" si="24"/>
        <v>67.42</v>
      </c>
      <c r="J41" s="71">
        <v>17.59</v>
      </c>
      <c r="K41" s="72">
        <f t="shared" si="25"/>
        <v>1185.9177999999999</v>
      </c>
      <c r="L41" s="72">
        <f t="shared" si="26"/>
        <v>0</v>
      </c>
      <c r="M41" s="73">
        <f t="shared" si="27"/>
        <v>1185.9177999999999</v>
      </c>
      <c r="N41" s="37"/>
      <c r="O41" s="38"/>
      <c r="P41" s="38"/>
      <c r="Q41" s="38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58"/>
      <c r="B42" s="59"/>
      <c r="C42" s="60" t="s">
        <v>275</v>
      </c>
      <c r="D42" s="61" t="s">
        <v>276</v>
      </c>
      <c r="E42" s="62"/>
      <c r="F42" s="62"/>
      <c r="G42" s="62"/>
      <c r="H42" s="62"/>
      <c r="I42" s="62"/>
      <c r="J42" s="62"/>
      <c r="K42" s="63">
        <f>K43</f>
        <v>11887.145699999999</v>
      </c>
      <c r="L42" s="64"/>
      <c r="M42" s="65">
        <f>M43</f>
        <v>11887.145699999999</v>
      </c>
      <c r="N42" s="37"/>
      <c r="O42" s="38"/>
      <c r="P42" s="38"/>
      <c r="Q42" s="38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58"/>
      <c r="B43" s="59"/>
      <c r="C43" s="60" t="s">
        <v>277</v>
      </c>
      <c r="D43" s="61" t="s">
        <v>278</v>
      </c>
      <c r="E43" s="62"/>
      <c r="F43" s="62"/>
      <c r="G43" s="62"/>
      <c r="H43" s="62"/>
      <c r="I43" s="62"/>
      <c r="J43" s="62"/>
      <c r="K43" s="63">
        <f>SUM(K44:K45)</f>
        <v>11887.145699999999</v>
      </c>
      <c r="L43" s="64"/>
      <c r="M43" s="65">
        <f>SUM(M44:M45)</f>
        <v>11887.145699999999</v>
      </c>
      <c r="N43" s="37"/>
      <c r="O43" s="38"/>
      <c r="P43" s="38"/>
      <c r="Q43" s="38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74" t="s">
        <v>279</v>
      </c>
      <c r="B44" s="75">
        <v>88497</v>
      </c>
      <c r="C44" s="76" t="s">
        <v>280</v>
      </c>
      <c r="D44" s="70" t="s">
        <v>281</v>
      </c>
      <c r="E44" s="69" t="s">
        <v>282</v>
      </c>
      <c r="F44" s="71">
        <v>362.38</v>
      </c>
      <c r="G44" s="71"/>
      <c r="H44" s="71"/>
      <c r="I44" s="71">
        <f t="shared" ref="I44:I45" si="28">F44+G44-H44</f>
        <v>362.38</v>
      </c>
      <c r="J44" s="71">
        <v>18.149999999999999</v>
      </c>
      <c r="K44" s="72">
        <f t="shared" ref="K44:K45" si="29">F44*J44</f>
        <v>6577.1969999999992</v>
      </c>
      <c r="L44" s="72">
        <f t="shared" ref="L44:L45" si="30">M44-K44</f>
        <v>0</v>
      </c>
      <c r="M44" s="73">
        <f t="shared" ref="M44:M45" si="31">I44*J44</f>
        <v>6577.1969999999992</v>
      </c>
      <c r="N44" s="37"/>
      <c r="O44" s="38"/>
      <c r="P44" s="38"/>
      <c r="Q44" s="38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74" t="s">
        <v>283</v>
      </c>
      <c r="B45" s="75">
        <v>88489</v>
      </c>
      <c r="C45" s="76" t="s">
        <v>284</v>
      </c>
      <c r="D45" s="70" t="s">
        <v>285</v>
      </c>
      <c r="E45" s="69" t="s">
        <v>286</v>
      </c>
      <c r="F45" s="71">
        <v>353.29</v>
      </c>
      <c r="G45" s="71"/>
      <c r="H45" s="71"/>
      <c r="I45" s="71">
        <f t="shared" si="28"/>
        <v>353.29</v>
      </c>
      <c r="J45" s="71">
        <v>15.03</v>
      </c>
      <c r="K45" s="72">
        <f t="shared" si="29"/>
        <v>5309.9486999999999</v>
      </c>
      <c r="L45" s="72">
        <f t="shared" si="30"/>
        <v>0</v>
      </c>
      <c r="M45" s="73">
        <f t="shared" si="31"/>
        <v>5309.9486999999999</v>
      </c>
      <c r="N45" s="37"/>
      <c r="O45" s="38"/>
      <c r="P45" s="38"/>
      <c r="Q45" s="38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78"/>
      <c r="B46" s="79"/>
      <c r="C46" s="79"/>
      <c r="D46" s="80"/>
      <c r="E46" s="81"/>
      <c r="F46" s="81"/>
      <c r="G46" s="81"/>
      <c r="H46" s="81"/>
      <c r="I46" s="81"/>
      <c r="J46" s="81"/>
      <c r="K46" s="82"/>
      <c r="L46" s="83"/>
      <c r="M46" s="84"/>
      <c r="N46" s="37"/>
      <c r="O46" s="38"/>
      <c r="P46" s="38"/>
      <c r="Q46" s="38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78"/>
      <c r="B47" s="79"/>
      <c r="C47" s="79"/>
      <c r="D47" s="80"/>
      <c r="E47" s="81"/>
      <c r="F47" s="81"/>
      <c r="G47" s="81"/>
      <c r="H47" s="81"/>
      <c r="I47" s="81"/>
      <c r="J47" s="81"/>
      <c r="K47" s="82"/>
      <c r="L47" s="83"/>
      <c r="M47" s="84"/>
      <c r="N47" s="37"/>
      <c r="O47" s="38"/>
      <c r="P47" s="38"/>
      <c r="Q47" s="38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78"/>
      <c r="B48" s="79"/>
      <c r="C48" s="79"/>
      <c r="D48" s="80"/>
      <c r="E48" s="81"/>
      <c r="F48" s="81"/>
      <c r="G48" s="81"/>
      <c r="H48" s="81"/>
      <c r="I48" s="81"/>
      <c r="J48" s="81"/>
      <c r="K48" s="82"/>
      <c r="L48" s="83"/>
      <c r="M48" s="84"/>
      <c r="N48" s="37"/>
      <c r="O48" s="38"/>
      <c r="P48" s="38"/>
      <c r="Q48" s="38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78"/>
      <c r="B49" s="79"/>
      <c r="C49" s="79"/>
      <c r="D49" s="80"/>
      <c r="E49" s="81"/>
      <c r="F49" s="81"/>
      <c r="G49" s="81"/>
      <c r="H49" s="81"/>
      <c r="I49" s="81"/>
      <c r="J49" s="81"/>
      <c r="K49" s="82"/>
      <c r="L49" s="83"/>
      <c r="M49" s="84"/>
      <c r="N49" s="37"/>
      <c r="O49" s="38"/>
      <c r="P49" s="38"/>
      <c r="Q49" s="38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78"/>
      <c r="B50" s="79"/>
      <c r="C50" s="79"/>
      <c r="D50" s="80"/>
      <c r="E50" s="81"/>
      <c r="F50" s="81"/>
      <c r="G50" s="81"/>
      <c r="H50" s="81"/>
      <c r="I50" s="81"/>
      <c r="J50" s="81"/>
      <c r="K50" s="82"/>
      <c r="L50" s="83"/>
      <c r="M50" s="84"/>
      <c r="N50" s="37"/>
      <c r="O50" s="38"/>
      <c r="P50" s="38"/>
      <c r="Q50" s="38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78"/>
      <c r="B51" s="79"/>
      <c r="C51" s="79"/>
      <c r="D51" s="80"/>
      <c r="E51" s="81"/>
      <c r="F51" s="81"/>
      <c r="G51" s="81"/>
      <c r="H51" s="81"/>
      <c r="I51" s="81"/>
      <c r="J51" s="81"/>
      <c r="K51" s="82"/>
      <c r="L51" s="83"/>
      <c r="M51" s="84"/>
      <c r="N51" s="37"/>
      <c r="O51" s="38"/>
      <c r="P51" s="38"/>
      <c r="Q51" s="38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78"/>
      <c r="B52" s="79"/>
      <c r="C52" s="79"/>
      <c r="D52" s="80"/>
      <c r="E52" s="81"/>
      <c r="F52" s="81"/>
      <c r="G52" s="81"/>
      <c r="H52" s="81"/>
      <c r="I52" s="81"/>
      <c r="J52" s="81"/>
      <c r="K52" s="82"/>
      <c r="L52" s="83"/>
      <c r="M52" s="84"/>
      <c r="N52" s="37"/>
      <c r="O52" s="38"/>
      <c r="P52" s="38"/>
      <c r="Q52" s="38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78"/>
      <c r="B53" s="79"/>
      <c r="C53" s="79"/>
      <c r="D53" s="80"/>
      <c r="E53" s="81"/>
      <c r="F53" s="81"/>
      <c r="G53" s="81"/>
      <c r="H53" s="81"/>
      <c r="I53" s="81"/>
      <c r="J53" s="81"/>
      <c r="K53" s="82"/>
      <c r="L53" s="83"/>
      <c r="M53" s="84"/>
      <c r="N53" s="37"/>
      <c r="O53" s="38"/>
      <c r="P53" s="38"/>
      <c r="Q53" s="38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78"/>
      <c r="B54" s="79"/>
      <c r="C54" s="79"/>
      <c r="D54" s="80"/>
      <c r="E54" s="81"/>
      <c r="F54" s="81"/>
      <c r="G54" s="81"/>
      <c r="H54" s="81"/>
      <c r="I54" s="81"/>
      <c r="J54" s="81"/>
      <c r="K54" s="82"/>
      <c r="L54" s="83"/>
      <c r="M54" s="84"/>
      <c r="N54" s="37"/>
      <c r="O54" s="38"/>
      <c r="P54" s="38"/>
      <c r="Q54" s="38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78"/>
      <c r="B55" s="79"/>
      <c r="C55" s="79"/>
      <c r="D55" s="80"/>
      <c r="E55" s="81"/>
      <c r="F55" s="81"/>
      <c r="G55" s="81"/>
      <c r="H55" s="81"/>
      <c r="I55" s="81"/>
      <c r="J55" s="81"/>
      <c r="K55" s="82"/>
      <c r="L55" s="83"/>
      <c r="M55" s="84"/>
      <c r="N55" s="37"/>
      <c r="O55" s="38"/>
      <c r="P55" s="38"/>
      <c r="Q55" s="38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78"/>
      <c r="B56" s="79"/>
      <c r="C56" s="79"/>
      <c r="D56" s="80"/>
      <c r="E56" s="81"/>
      <c r="F56" s="81"/>
      <c r="G56" s="81"/>
      <c r="H56" s="81"/>
      <c r="I56" s="81"/>
      <c r="J56" s="81"/>
      <c r="K56" s="82"/>
      <c r="L56" s="83"/>
      <c r="M56" s="84"/>
      <c r="N56" s="37"/>
      <c r="O56" s="38"/>
      <c r="P56" s="38"/>
      <c r="Q56" s="38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78"/>
      <c r="B57" s="79"/>
      <c r="C57" s="79"/>
      <c r="D57" s="80"/>
      <c r="E57" s="81"/>
      <c r="F57" s="81"/>
      <c r="G57" s="81"/>
      <c r="H57" s="81"/>
      <c r="I57" s="81"/>
      <c r="J57" s="81"/>
      <c r="K57" s="82"/>
      <c r="L57" s="83"/>
      <c r="M57" s="84"/>
      <c r="N57" s="37"/>
      <c r="O57" s="38"/>
      <c r="P57" s="38"/>
      <c r="Q57" s="38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78"/>
      <c r="B58" s="79"/>
      <c r="C58" s="79"/>
      <c r="D58" s="80"/>
      <c r="E58" s="81"/>
      <c r="F58" s="81"/>
      <c r="G58" s="81"/>
      <c r="H58" s="81"/>
      <c r="I58" s="81"/>
      <c r="J58" s="81"/>
      <c r="K58" s="82"/>
      <c r="L58" s="83"/>
      <c r="M58" s="84"/>
      <c r="N58" s="37"/>
      <c r="O58" s="38"/>
      <c r="P58" s="38"/>
      <c r="Q58" s="38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78"/>
      <c r="B59" s="79"/>
      <c r="C59" s="79"/>
      <c r="D59" s="80"/>
      <c r="E59" s="81"/>
      <c r="F59" s="81"/>
      <c r="G59" s="81"/>
      <c r="H59" s="81"/>
      <c r="I59" s="81"/>
      <c r="J59" s="81"/>
      <c r="K59" s="82"/>
      <c r="L59" s="83"/>
      <c r="M59" s="84"/>
      <c r="N59" s="37"/>
      <c r="O59" s="38"/>
      <c r="P59" s="38"/>
      <c r="Q59" s="38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78"/>
      <c r="B60" s="79"/>
      <c r="C60" s="79"/>
      <c r="D60" s="80"/>
      <c r="E60" s="81"/>
      <c r="F60" s="81"/>
      <c r="G60" s="81"/>
      <c r="H60" s="81"/>
      <c r="I60" s="81"/>
      <c r="J60" s="81"/>
      <c r="K60" s="82"/>
      <c r="L60" s="83"/>
      <c r="M60" s="84"/>
      <c r="N60" s="37"/>
      <c r="O60" s="38"/>
      <c r="P60" s="38"/>
      <c r="Q60" s="38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78"/>
      <c r="B61" s="79"/>
      <c r="C61" s="79"/>
      <c r="D61" s="80"/>
      <c r="E61" s="81"/>
      <c r="F61" s="81"/>
      <c r="G61" s="81"/>
      <c r="H61" s="81"/>
      <c r="I61" s="81"/>
      <c r="J61" s="81"/>
      <c r="K61" s="82"/>
      <c r="L61" s="83"/>
      <c r="M61" s="84"/>
      <c r="N61" s="37"/>
      <c r="O61" s="38"/>
      <c r="P61" s="38"/>
      <c r="Q61" s="38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78"/>
      <c r="B62" s="79"/>
      <c r="C62" s="79"/>
      <c r="D62" s="80"/>
      <c r="E62" s="81"/>
      <c r="F62" s="81"/>
      <c r="G62" s="81"/>
      <c r="H62" s="81"/>
      <c r="I62" s="81"/>
      <c r="J62" s="81"/>
      <c r="K62" s="82"/>
      <c r="L62" s="83"/>
      <c r="M62" s="84"/>
      <c r="N62" s="37"/>
      <c r="O62" s="38"/>
      <c r="P62" s="38"/>
      <c r="Q62" s="38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78"/>
      <c r="B63" s="79"/>
      <c r="C63" s="79"/>
      <c r="D63" s="80"/>
      <c r="E63" s="81"/>
      <c r="F63" s="81"/>
      <c r="G63" s="81"/>
      <c r="H63" s="81"/>
      <c r="I63" s="81"/>
      <c r="J63" s="81"/>
      <c r="K63" s="82"/>
      <c r="L63" s="83"/>
      <c r="M63" s="84"/>
      <c r="N63" s="37"/>
      <c r="O63" s="38"/>
      <c r="P63" s="38"/>
      <c r="Q63" s="38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78"/>
      <c r="B64" s="79"/>
      <c r="C64" s="79"/>
      <c r="D64" s="80"/>
      <c r="E64" s="81"/>
      <c r="F64" s="81"/>
      <c r="G64" s="81"/>
      <c r="H64" s="81"/>
      <c r="I64" s="81"/>
      <c r="J64" s="81"/>
      <c r="K64" s="82"/>
      <c r="L64" s="83"/>
      <c r="M64" s="84"/>
      <c r="N64" s="37"/>
      <c r="O64" s="38"/>
      <c r="P64" s="38"/>
      <c r="Q64" s="38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78"/>
      <c r="B65" s="79"/>
      <c r="C65" s="79"/>
      <c r="D65" s="80"/>
      <c r="E65" s="81"/>
      <c r="F65" s="81"/>
      <c r="G65" s="81"/>
      <c r="H65" s="81"/>
      <c r="I65" s="81"/>
      <c r="J65" s="81"/>
      <c r="K65" s="82"/>
      <c r="L65" s="83"/>
      <c r="M65" s="84"/>
      <c r="N65" s="37"/>
      <c r="O65" s="38"/>
      <c r="P65" s="38"/>
      <c r="Q65" s="38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78"/>
      <c r="B66" s="79"/>
      <c r="C66" s="79"/>
      <c r="D66" s="80"/>
      <c r="E66" s="81"/>
      <c r="F66" s="81"/>
      <c r="G66" s="81"/>
      <c r="H66" s="81"/>
      <c r="I66" s="81"/>
      <c r="J66" s="81"/>
      <c r="K66" s="82"/>
      <c r="L66" s="83"/>
      <c r="M66" s="84"/>
      <c r="N66" s="37"/>
      <c r="O66" s="38"/>
      <c r="P66" s="38"/>
      <c r="Q66" s="38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78"/>
      <c r="B67" s="79"/>
      <c r="C67" s="79"/>
      <c r="D67" s="80"/>
      <c r="E67" s="81"/>
      <c r="F67" s="81"/>
      <c r="G67" s="81"/>
      <c r="H67" s="81"/>
      <c r="I67" s="81"/>
      <c r="J67" s="81"/>
      <c r="K67" s="82"/>
      <c r="L67" s="83"/>
      <c r="M67" s="84"/>
      <c r="N67" s="37"/>
      <c r="O67" s="38"/>
      <c r="P67" s="38"/>
      <c r="Q67" s="38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78"/>
      <c r="B68" s="79"/>
      <c r="C68" s="79"/>
      <c r="D68" s="80"/>
      <c r="E68" s="81"/>
      <c r="F68" s="81"/>
      <c r="G68" s="81"/>
      <c r="H68" s="81"/>
      <c r="I68" s="81"/>
      <c r="J68" s="81"/>
      <c r="K68" s="82"/>
      <c r="L68" s="83"/>
      <c r="M68" s="84"/>
      <c r="N68" s="37"/>
      <c r="O68" s="38"/>
      <c r="P68" s="38"/>
      <c r="Q68" s="38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78"/>
      <c r="B69" s="79"/>
      <c r="C69" s="79"/>
      <c r="D69" s="80"/>
      <c r="E69" s="81"/>
      <c r="F69" s="81"/>
      <c r="G69" s="81"/>
      <c r="H69" s="81"/>
      <c r="I69" s="81"/>
      <c r="J69" s="81"/>
      <c r="K69" s="82"/>
      <c r="L69" s="83"/>
      <c r="M69" s="84"/>
      <c r="N69" s="37"/>
      <c r="O69" s="38"/>
      <c r="P69" s="38"/>
      <c r="Q69" s="38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78"/>
      <c r="B70" s="79"/>
      <c r="C70" s="79"/>
      <c r="D70" s="80"/>
      <c r="E70" s="81"/>
      <c r="F70" s="81"/>
      <c r="G70" s="81"/>
      <c r="H70" s="81"/>
      <c r="I70" s="81"/>
      <c r="J70" s="81"/>
      <c r="K70" s="82"/>
      <c r="L70" s="83"/>
      <c r="M70" s="84"/>
      <c r="N70" s="37"/>
      <c r="O70" s="38"/>
      <c r="P70" s="38"/>
      <c r="Q70" s="38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78"/>
      <c r="B71" s="79"/>
      <c r="C71" s="79"/>
      <c r="D71" s="80"/>
      <c r="E71" s="81"/>
      <c r="F71" s="81"/>
      <c r="G71" s="81"/>
      <c r="H71" s="81"/>
      <c r="I71" s="81"/>
      <c r="J71" s="81"/>
      <c r="K71" s="82"/>
      <c r="L71" s="83"/>
      <c r="M71" s="84"/>
      <c r="N71" s="37"/>
      <c r="O71" s="38"/>
      <c r="P71" s="38"/>
      <c r="Q71" s="38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78"/>
      <c r="B72" s="79"/>
      <c r="C72" s="79"/>
      <c r="D72" s="80"/>
      <c r="E72" s="81"/>
      <c r="F72" s="81"/>
      <c r="G72" s="81"/>
      <c r="H72" s="81"/>
      <c r="I72" s="81"/>
      <c r="J72" s="81"/>
      <c r="K72" s="82"/>
      <c r="L72" s="83"/>
      <c r="M72" s="84"/>
      <c r="N72" s="37"/>
      <c r="O72" s="38"/>
      <c r="P72" s="38"/>
      <c r="Q72" s="38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78"/>
      <c r="B73" s="79"/>
      <c r="C73" s="79"/>
      <c r="D73" s="80"/>
      <c r="E73" s="81"/>
      <c r="F73" s="81"/>
      <c r="G73" s="81"/>
      <c r="H73" s="81"/>
      <c r="I73" s="81"/>
      <c r="J73" s="81"/>
      <c r="K73" s="82"/>
      <c r="L73" s="83"/>
      <c r="M73" s="84"/>
      <c r="N73" s="37"/>
      <c r="O73" s="38"/>
      <c r="P73" s="38"/>
      <c r="Q73" s="38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78"/>
      <c r="B74" s="79"/>
      <c r="C74" s="79"/>
      <c r="D74" s="80"/>
      <c r="E74" s="81"/>
      <c r="F74" s="81"/>
      <c r="G74" s="81"/>
      <c r="H74" s="81"/>
      <c r="I74" s="81"/>
      <c r="J74" s="81"/>
      <c r="K74" s="82"/>
      <c r="L74" s="83"/>
      <c r="M74" s="84"/>
      <c r="N74" s="37"/>
      <c r="O74" s="38"/>
      <c r="P74" s="38"/>
      <c r="Q74" s="38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78"/>
      <c r="B75" s="79"/>
      <c r="C75" s="79"/>
      <c r="D75" s="80"/>
      <c r="E75" s="81"/>
      <c r="F75" s="81"/>
      <c r="G75" s="81"/>
      <c r="H75" s="81"/>
      <c r="I75" s="81"/>
      <c r="J75" s="81"/>
      <c r="K75" s="82"/>
      <c r="L75" s="83"/>
      <c r="M75" s="84"/>
      <c r="N75" s="37"/>
      <c r="O75" s="38"/>
      <c r="P75" s="38"/>
      <c r="Q75" s="38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78"/>
      <c r="B76" s="79"/>
      <c r="C76" s="79"/>
      <c r="D76" s="80"/>
      <c r="E76" s="81"/>
      <c r="F76" s="81"/>
      <c r="G76" s="81"/>
      <c r="H76" s="81"/>
      <c r="I76" s="81"/>
      <c r="J76" s="81"/>
      <c r="K76" s="82"/>
      <c r="L76" s="83"/>
      <c r="M76" s="84"/>
      <c r="N76" s="37"/>
      <c r="O76" s="38"/>
      <c r="P76" s="38"/>
      <c r="Q76" s="38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78"/>
      <c r="B77" s="79"/>
      <c r="C77" s="79"/>
      <c r="D77" s="80"/>
      <c r="E77" s="81"/>
      <c r="F77" s="81"/>
      <c r="G77" s="81"/>
      <c r="H77" s="81"/>
      <c r="I77" s="81"/>
      <c r="J77" s="81"/>
      <c r="K77" s="82"/>
      <c r="L77" s="83"/>
      <c r="M77" s="84"/>
      <c r="N77" s="37"/>
      <c r="O77" s="38"/>
      <c r="P77" s="38"/>
      <c r="Q77" s="38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78"/>
      <c r="B78" s="79"/>
      <c r="C78" s="79"/>
      <c r="D78" s="80"/>
      <c r="E78" s="81"/>
      <c r="F78" s="81"/>
      <c r="G78" s="81"/>
      <c r="H78" s="81"/>
      <c r="I78" s="81"/>
      <c r="J78" s="81"/>
      <c r="K78" s="82"/>
      <c r="L78" s="83"/>
      <c r="M78" s="84"/>
      <c r="N78" s="37"/>
      <c r="O78" s="38"/>
      <c r="P78" s="38"/>
      <c r="Q78" s="38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78"/>
      <c r="B79" s="79"/>
      <c r="C79" s="79"/>
      <c r="D79" s="80"/>
      <c r="E79" s="81"/>
      <c r="F79" s="81"/>
      <c r="G79" s="81"/>
      <c r="H79" s="81"/>
      <c r="I79" s="81"/>
      <c r="J79" s="81"/>
      <c r="K79" s="82"/>
      <c r="L79" s="83"/>
      <c r="M79" s="84"/>
      <c r="N79" s="37"/>
      <c r="O79" s="38"/>
      <c r="P79" s="38"/>
      <c r="Q79" s="38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78"/>
      <c r="B80" s="79"/>
      <c r="C80" s="79"/>
      <c r="D80" s="80"/>
      <c r="E80" s="81"/>
      <c r="F80" s="81"/>
      <c r="G80" s="81"/>
      <c r="H80" s="81"/>
      <c r="I80" s="81"/>
      <c r="J80" s="81"/>
      <c r="K80" s="82"/>
      <c r="L80" s="83"/>
      <c r="M80" s="84"/>
      <c r="N80" s="37"/>
      <c r="O80" s="38"/>
      <c r="P80" s="38"/>
      <c r="Q80" s="38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78"/>
      <c r="B81" s="79"/>
      <c r="C81" s="79"/>
      <c r="D81" s="80"/>
      <c r="E81" s="81"/>
      <c r="F81" s="81"/>
      <c r="G81" s="81"/>
      <c r="H81" s="81"/>
      <c r="I81" s="81"/>
      <c r="J81" s="81"/>
      <c r="K81" s="82"/>
      <c r="L81" s="83"/>
      <c r="M81" s="84"/>
      <c r="N81" s="37"/>
      <c r="O81" s="38"/>
      <c r="P81" s="38"/>
      <c r="Q81" s="38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78"/>
      <c r="B82" s="79"/>
      <c r="C82" s="79"/>
      <c r="D82" s="80"/>
      <c r="E82" s="81"/>
      <c r="F82" s="81"/>
      <c r="G82" s="81"/>
      <c r="H82" s="81"/>
      <c r="I82" s="81"/>
      <c r="J82" s="81"/>
      <c r="K82" s="82"/>
      <c r="L82" s="83"/>
      <c r="M82" s="84"/>
      <c r="N82" s="37"/>
      <c r="O82" s="38"/>
      <c r="P82" s="38"/>
      <c r="Q82" s="38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78"/>
      <c r="B83" s="79"/>
      <c r="C83" s="79"/>
      <c r="D83" s="80"/>
      <c r="E83" s="81"/>
      <c r="F83" s="81"/>
      <c r="G83" s="81"/>
      <c r="H83" s="81"/>
      <c r="I83" s="81"/>
      <c r="J83" s="81"/>
      <c r="K83" s="82"/>
      <c r="L83" s="83"/>
      <c r="M83" s="84"/>
      <c r="N83" s="37"/>
      <c r="O83" s="38"/>
      <c r="P83" s="38"/>
      <c r="Q83" s="38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78"/>
      <c r="B84" s="79"/>
      <c r="C84" s="79"/>
      <c r="D84" s="80"/>
      <c r="E84" s="81"/>
      <c r="F84" s="81"/>
      <c r="G84" s="81"/>
      <c r="H84" s="81"/>
      <c r="I84" s="81"/>
      <c r="J84" s="81"/>
      <c r="K84" s="82"/>
      <c r="L84" s="83"/>
      <c r="M84" s="84"/>
      <c r="N84" s="37"/>
      <c r="O84" s="38"/>
      <c r="P84" s="38"/>
      <c r="Q84" s="38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78"/>
      <c r="B85" s="79"/>
      <c r="C85" s="79"/>
      <c r="D85" s="80"/>
      <c r="E85" s="81"/>
      <c r="F85" s="81"/>
      <c r="G85" s="81"/>
      <c r="H85" s="81"/>
      <c r="I85" s="81"/>
      <c r="J85" s="81"/>
      <c r="K85" s="82"/>
      <c r="L85" s="83"/>
      <c r="M85" s="84"/>
      <c r="N85" s="37"/>
      <c r="O85" s="38"/>
      <c r="P85" s="38"/>
      <c r="Q85" s="38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78"/>
      <c r="B86" s="79"/>
      <c r="C86" s="79"/>
      <c r="D86" s="80"/>
      <c r="E86" s="81"/>
      <c r="F86" s="81"/>
      <c r="G86" s="81"/>
      <c r="H86" s="81"/>
      <c r="I86" s="81"/>
      <c r="J86" s="81"/>
      <c r="K86" s="82"/>
      <c r="L86" s="83"/>
      <c r="M86" s="84"/>
      <c r="N86" s="37"/>
      <c r="O86" s="38"/>
      <c r="P86" s="38"/>
      <c r="Q86" s="38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78"/>
      <c r="B87" s="79"/>
      <c r="C87" s="79"/>
      <c r="D87" s="80"/>
      <c r="E87" s="81"/>
      <c r="F87" s="81"/>
      <c r="G87" s="81"/>
      <c r="H87" s="81"/>
      <c r="I87" s="81"/>
      <c r="J87" s="81"/>
      <c r="K87" s="82"/>
      <c r="L87" s="83"/>
      <c r="M87" s="84"/>
      <c r="N87" s="37"/>
      <c r="O87" s="38"/>
      <c r="P87" s="38"/>
      <c r="Q87" s="38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78"/>
      <c r="B88" s="79"/>
      <c r="C88" s="79"/>
      <c r="D88" s="80"/>
      <c r="E88" s="81"/>
      <c r="F88" s="81"/>
      <c r="G88" s="81"/>
      <c r="H88" s="81"/>
      <c r="I88" s="81"/>
      <c r="J88" s="81"/>
      <c r="K88" s="82"/>
      <c r="L88" s="83"/>
      <c r="M88" s="84"/>
      <c r="N88" s="37"/>
      <c r="O88" s="38"/>
      <c r="P88" s="38"/>
      <c r="Q88" s="38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78"/>
      <c r="B89" s="79"/>
      <c r="C89" s="79"/>
      <c r="D89" s="80"/>
      <c r="E89" s="81"/>
      <c r="F89" s="81"/>
      <c r="G89" s="81"/>
      <c r="H89" s="81"/>
      <c r="I89" s="81"/>
      <c r="J89" s="81"/>
      <c r="K89" s="82"/>
      <c r="L89" s="83"/>
      <c r="M89" s="84"/>
      <c r="N89" s="37"/>
      <c r="O89" s="38"/>
      <c r="P89" s="38"/>
      <c r="Q89" s="38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78"/>
      <c r="B90" s="79"/>
      <c r="C90" s="79"/>
      <c r="D90" s="80"/>
      <c r="E90" s="81"/>
      <c r="F90" s="81"/>
      <c r="G90" s="81"/>
      <c r="H90" s="81"/>
      <c r="I90" s="81"/>
      <c r="J90" s="81"/>
      <c r="K90" s="82"/>
      <c r="L90" s="83"/>
      <c r="M90" s="84"/>
      <c r="N90" s="37"/>
      <c r="O90" s="38"/>
      <c r="P90" s="38"/>
      <c r="Q90" s="38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78"/>
      <c r="B91" s="79"/>
      <c r="C91" s="79"/>
      <c r="D91" s="80"/>
      <c r="E91" s="81"/>
      <c r="F91" s="81"/>
      <c r="G91" s="81"/>
      <c r="H91" s="81"/>
      <c r="I91" s="81"/>
      <c r="J91" s="81"/>
      <c r="K91" s="82"/>
      <c r="L91" s="83"/>
      <c r="M91" s="84"/>
      <c r="N91" s="37"/>
      <c r="O91" s="38"/>
      <c r="P91" s="38"/>
      <c r="Q91" s="38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78"/>
      <c r="B92" s="79"/>
      <c r="C92" s="79"/>
      <c r="D92" s="80"/>
      <c r="E92" s="81"/>
      <c r="F92" s="81"/>
      <c r="G92" s="81"/>
      <c r="H92" s="81"/>
      <c r="I92" s="81"/>
      <c r="J92" s="81"/>
      <c r="K92" s="82"/>
      <c r="L92" s="83"/>
      <c r="M92" s="84"/>
      <c r="N92" s="37"/>
      <c r="O92" s="38"/>
      <c r="P92" s="38"/>
      <c r="Q92" s="38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78"/>
      <c r="B93" s="79"/>
      <c r="C93" s="79"/>
      <c r="D93" s="80"/>
      <c r="E93" s="81"/>
      <c r="F93" s="81"/>
      <c r="G93" s="81"/>
      <c r="H93" s="81"/>
      <c r="I93" s="81"/>
      <c r="J93" s="81"/>
      <c r="K93" s="82"/>
      <c r="L93" s="83"/>
      <c r="M93" s="84"/>
      <c r="N93" s="37"/>
      <c r="O93" s="38"/>
      <c r="P93" s="38"/>
      <c r="Q93" s="38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78"/>
      <c r="B94" s="79"/>
      <c r="C94" s="79"/>
      <c r="D94" s="80"/>
      <c r="E94" s="81"/>
      <c r="F94" s="81"/>
      <c r="G94" s="81"/>
      <c r="H94" s="81"/>
      <c r="I94" s="81"/>
      <c r="J94" s="81"/>
      <c r="K94" s="82"/>
      <c r="L94" s="83"/>
      <c r="M94" s="84"/>
      <c r="N94" s="37"/>
      <c r="O94" s="38"/>
      <c r="P94" s="38"/>
      <c r="Q94" s="38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78"/>
      <c r="B95" s="79"/>
      <c r="C95" s="79"/>
      <c r="D95" s="80"/>
      <c r="E95" s="81"/>
      <c r="F95" s="81"/>
      <c r="G95" s="81"/>
      <c r="H95" s="81"/>
      <c r="I95" s="81"/>
      <c r="J95" s="81"/>
      <c r="K95" s="82"/>
      <c r="L95" s="83"/>
      <c r="M95" s="84"/>
      <c r="N95" s="37"/>
      <c r="O95" s="38"/>
      <c r="P95" s="38"/>
      <c r="Q95" s="38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78"/>
      <c r="B96" s="79"/>
      <c r="C96" s="79"/>
      <c r="D96" s="80"/>
      <c r="E96" s="81"/>
      <c r="F96" s="81"/>
      <c r="G96" s="81"/>
      <c r="H96" s="81"/>
      <c r="I96" s="81"/>
      <c r="J96" s="81"/>
      <c r="K96" s="82"/>
      <c r="L96" s="83"/>
      <c r="M96" s="84"/>
      <c r="N96" s="37"/>
      <c r="O96" s="38"/>
      <c r="P96" s="38"/>
      <c r="Q96" s="38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78"/>
      <c r="B97" s="79"/>
      <c r="C97" s="79"/>
      <c r="D97" s="80"/>
      <c r="E97" s="81"/>
      <c r="F97" s="81"/>
      <c r="G97" s="81"/>
      <c r="H97" s="81"/>
      <c r="I97" s="81"/>
      <c r="J97" s="81"/>
      <c r="K97" s="82"/>
      <c r="L97" s="83"/>
      <c r="M97" s="84"/>
      <c r="N97" s="37"/>
      <c r="O97" s="38"/>
      <c r="P97" s="38"/>
      <c r="Q97" s="38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78"/>
      <c r="B98" s="79"/>
      <c r="C98" s="79"/>
      <c r="D98" s="80"/>
      <c r="E98" s="81"/>
      <c r="F98" s="81"/>
      <c r="G98" s="81"/>
      <c r="H98" s="81"/>
      <c r="I98" s="81"/>
      <c r="J98" s="81"/>
      <c r="K98" s="82"/>
      <c r="L98" s="83"/>
      <c r="M98" s="84"/>
      <c r="N98" s="37"/>
      <c r="O98" s="38"/>
      <c r="P98" s="38"/>
      <c r="Q98" s="38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78"/>
      <c r="B99" s="79"/>
      <c r="C99" s="79"/>
      <c r="D99" s="80"/>
      <c r="E99" s="81"/>
      <c r="F99" s="81"/>
      <c r="G99" s="81"/>
      <c r="H99" s="81"/>
      <c r="I99" s="81"/>
      <c r="J99" s="81"/>
      <c r="K99" s="82"/>
      <c r="L99" s="83"/>
      <c r="M99" s="84"/>
      <c r="N99" s="37"/>
      <c r="O99" s="38"/>
      <c r="P99" s="38"/>
      <c r="Q99" s="38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78"/>
      <c r="B100" s="79"/>
      <c r="C100" s="79"/>
      <c r="D100" s="80"/>
      <c r="E100" s="81"/>
      <c r="F100" s="81"/>
      <c r="G100" s="81"/>
      <c r="H100" s="81"/>
      <c r="I100" s="81"/>
      <c r="J100" s="81"/>
      <c r="K100" s="82"/>
      <c r="L100" s="83"/>
      <c r="M100" s="84"/>
      <c r="N100" s="37"/>
      <c r="O100" s="38"/>
      <c r="P100" s="38"/>
      <c r="Q100" s="38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78"/>
      <c r="B101" s="79"/>
      <c r="C101" s="79"/>
      <c r="D101" s="80"/>
      <c r="E101" s="81"/>
      <c r="F101" s="81"/>
      <c r="G101" s="81"/>
      <c r="H101" s="81"/>
      <c r="I101" s="81"/>
      <c r="J101" s="81"/>
      <c r="K101" s="82"/>
      <c r="L101" s="83"/>
      <c r="M101" s="84"/>
      <c r="N101" s="37"/>
      <c r="O101" s="38"/>
      <c r="P101" s="38"/>
      <c r="Q101" s="38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78"/>
      <c r="B102" s="79"/>
      <c r="C102" s="79"/>
      <c r="D102" s="80"/>
      <c r="E102" s="81"/>
      <c r="F102" s="81"/>
      <c r="G102" s="81"/>
      <c r="H102" s="81"/>
      <c r="I102" s="81"/>
      <c r="J102" s="81"/>
      <c r="K102" s="82"/>
      <c r="L102" s="83"/>
      <c r="M102" s="84"/>
      <c r="N102" s="37"/>
      <c r="O102" s="38"/>
      <c r="P102" s="38"/>
      <c r="Q102" s="38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78"/>
      <c r="B103" s="79"/>
      <c r="C103" s="79"/>
      <c r="D103" s="80"/>
      <c r="E103" s="81"/>
      <c r="F103" s="81"/>
      <c r="G103" s="81"/>
      <c r="H103" s="81"/>
      <c r="I103" s="81"/>
      <c r="J103" s="81"/>
      <c r="K103" s="82"/>
      <c r="L103" s="83"/>
      <c r="M103" s="84"/>
      <c r="N103" s="37"/>
      <c r="O103" s="38"/>
      <c r="P103" s="38"/>
      <c r="Q103" s="38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78"/>
      <c r="B104" s="79"/>
      <c r="C104" s="79"/>
      <c r="D104" s="80"/>
      <c r="E104" s="81"/>
      <c r="F104" s="81"/>
      <c r="G104" s="81"/>
      <c r="H104" s="81"/>
      <c r="I104" s="81"/>
      <c r="J104" s="81"/>
      <c r="K104" s="82"/>
      <c r="L104" s="83"/>
      <c r="M104" s="84"/>
      <c r="N104" s="37"/>
      <c r="O104" s="38"/>
      <c r="P104" s="38"/>
      <c r="Q104" s="38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78"/>
      <c r="B105" s="79"/>
      <c r="C105" s="79"/>
      <c r="D105" s="80"/>
      <c r="E105" s="81"/>
      <c r="F105" s="81"/>
      <c r="G105" s="81"/>
      <c r="H105" s="81"/>
      <c r="I105" s="81"/>
      <c r="J105" s="81"/>
      <c r="K105" s="82"/>
      <c r="L105" s="83"/>
      <c r="M105" s="84"/>
      <c r="N105" s="37"/>
      <c r="O105" s="38"/>
      <c r="P105" s="38"/>
      <c r="Q105" s="38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78"/>
      <c r="B106" s="79"/>
      <c r="C106" s="79"/>
      <c r="D106" s="80"/>
      <c r="E106" s="81"/>
      <c r="F106" s="81"/>
      <c r="G106" s="81"/>
      <c r="H106" s="81"/>
      <c r="I106" s="81"/>
      <c r="J106" s="81"/>
      <c r="K106" s="82"/>
      <c r="L106" s="83"/>
      <c r="M106" s="84"/>
      <c r="N106" s="37"/>
      <c r="O106" s="38"/>
      <c r="P106" s="38"/>
      <c r="Q106" s="38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78"/>
      <c r="B107" s="79"/>
      <c r="C107" s="79"/>
      <c r="D107" s="80"/>
      <c r="E107" s="81"/>
      <c r="F107" s="81"/>
      <c r="G107" s="81"/>
      <c r="H107" s="81"/>
      <c r="I107" s="81"/>
      <c r="J107" s="81"/>
      <c r="K107" s="82"/>
      <c r="L107" s="83"/>
      <c r="M107" s="84"/>
      <c r="N107" s="37"/>
      <c r="O107" s="38"/>
      <c r="P107" s="38"/>
      <c r="Q107" s="38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78"/>
      <c r="B108" s="79"/>
      <c r="C108" s="79"/>
      <c r="D108" s="80"/>
      <c r="E108" s="81"/>
      <c r="F108" s="81"/>
      <c r="G108" s="81"/>
      <c r="H108" s="81"/>
      <c r="I108" s="81"/>
      <c r="J108" s="81"/>
      <c r="K108" s="82"/>
      <c r="L108" s="83"/>
      <c r="M108" s="84"/>
      <c r="N108" s="37"/>
      <c r="O108" s="38"/>
      <c r="P108" s="38"/>
      <c r="Q108" s="38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78"/>
      <c r="B109" s="79"/>
      <c r="C109" s="79"/>
      <c r="D109" s="80"/>
      <c r="E109" s="81"/>
      <c r="F109" s="81"/>
      <c r="G109" s="81"/>
      <c r="H109" s="81"/>
      <c r="I109" s="81"/>
      <c r="J109" s="81"/>
      <c r="K109" s="82"/>
      <c r="L109" s="83"/>
      <c r="M109" s="84"/>
      <c r="N109" s="37"/>
      <c r="O109" s="38"/>
      <c r="P109" s="38"/>
      <c r="Q109" s="38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78"/>
      <c r="B110" s="79"/>
      <c r="C110" s="79"/>
      <c r="D110" s="80"/>
      <c r="E110" s="81"/>
      <c r="F110" s="81"/>
      <c r="G110" s="81"/>
      <c r="H110" s="81"/>
      <c r="I110" s="81"/>
      <c r="J110" s="81"/>
      <c r="K110" s="82"/>
      <c r="L110" s="83"/>
      <c r="M110" s="84"/>
      <c r="N110" s="37"/>
      <c r="O110" s="38"/>
      <c r="P110" s="38"/>
      <c r="Q110" s="38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78"/>
      <c r="B111" s="79"/>
      <c r="C111" s="79"/>
      <c r="D111" s="80"/>
      <c r="E111" s="81"/>
      <c r="F111" s="81"/>
      <c r="G111" s="81"/>
      <c r="H111" s="81"/>
      <c r="I111" s="81"/>
      <c r="J111" s="81"/>
      <c r="K111" s="82"/>
      <c r="L111" s="83"/>
      <c r="M111" s="84"/>
      <c r="N111" s="37"/>
      <c r="O111" s="38"/>
      <c r="P111" s="38"/>
      <c r="Q111" s="38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78"/>
      <c r="B112" s="79"/>
      <c r="C112" s="79"/>
      <c r="D112" s="80"/>
      <c r="E112" s="81"/>
      <c r="F112" s="81"/>
      <c r="G112" s="81"/>
      <c r="H112" s="81"/>
      <c r="I112" s="81"/>
      <c r="J112" s="81"/>
      <c r="K112" s="82"/>
      <c r="L112" s="83"/>
      <c r="M112" s="84"/>
      <c r="N112" s="37"/>
      <c r="O112" s="38"/>
      <c r="P112" s="38"/>
      <c r="Q112" s="38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78"/>
      <c r="B113" s="79"/>
      <c r="C113" s="79"/>
      <c r="D113" s="80"/>
      <c r="E113" s="81"/>
      <c r="F113" s="81"/>
      <c r="G113" s="81"/>
      <c r="H113" s="81"/>
      <c r="I113" s="81"/>
      <c r="J113" s="81"/>
      <c r="K113" s="82"/>
      <c r="L113" s="83"/>
      <c r="M113" s="84"/>
      <c r="N113" s="37"/>
      <c r="O113" s="38"/>
      <c r="P113" s="38"/>
      <c r="Q113" s="38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78"/>
      <c r="B114" s="79"/>
      <c r="C114" s="79"/>
      <c r="D114" s="80"/>
      <c r="E114" s="81"/>
      <c r="F114" s="81"/>
      <c r="G114" s="81"/>
      <c r="H114" s="81"/>
      <c r="I114" s="81"/>
      <c r="J114" s="81"/>
      <c r="K114" s="82"/>
      <c r="L114" s="83"/>
      <c r="M114" s="84"/>
      <c r="N114" s="37"/>
      <c r="O114" s="38"/>
      <c r="P114" s="38"/>
      <c r="Q114" s="38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78"/>
      <c r="B115" s="79"/>
      <c r="C115" s="79"/>
      <c r="D115" s="80"/>
      <c r="E115" s="81"/>
      <c r="F115" s="81"/>
      <c r="G115" s="81"/>
      <c r="H115" s="81"/>
      <c r="I115" s="81"/>
      <c r="J115" s="81"/>
      <c r="K115" s="82"/>
      <c r="L115" s="83"/>
      <c r="M115" s="84"/>
      <c r="N115" s="37"/>
      <c r="O115" s="38"/>
      <c r="P115" s="38"/>
      <c r="Q115" s="38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78"/>
      <c r="B116" s="79"/>
      <c r="C116" s="79"/>
      <c r="D116" s="80"/>
      <c r="E116" s="81"/>
      <c r="F116" s="81"/>
      <c r="G116" s="81"/>
      <c r="H116" s="81"/>
      <c r="I116" s="81"/>
      <c r="J116" s="81"/>
      <c r="K116" s="82"/>
      <c r="L116" s="83"/>
      <c r="M116" s="84"/>
      <c r="N116" s="37"/>
      <c r="O116" s="38"/>
      <c r="P116" s="38"/>
      <c r="Q116" s="38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78"/>
      <c r="B117" s="79"/>
      <c r="C117" s="79"/>
      <c r="D117" s="80"/>
      <c r="E117" s="81"/>
      <c r="F117" s="81"/>
      <c r="G117" s="81"/>
      <c r="H117" s="81"/>
      <c r="I117" s="81"/>
      <c r="J117" s="81"/>
      <c r="K117" s="82"/>
      <c r="L117" s="83"/>
      <c r="M117" s="84"/>
      <c r="N117" s="37"/>
      <c r="O117" s="38"/>
      <c r="P117" s="38"/>
      <c r="Q117" s="38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78"/>
      <c r="B118" s="79"/>
      <c r="C118" s="79"/>
      <c r="D118" s="80"/>
      <c r="E118" s="81"/>
      <c r="F118" s="81"/>
      <c r="G118" s="81"/>
      <c r="H118" s="81"/>
      <c r="I118" s="81"/>
      <c r="J118" s="81"/>
      <c r="K118" s="82"/>
      <c r="L118" s="83"/>
      <c r="M118" s="84"/>
      <c r="N118" s="37"/>
      <c r="O118" s="38"/>
      <c r="P118" s="38"/>
      <c r="Q118" s="38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78"/>
      <c r="B119" s="79"/>
      <c r="C119" s="79"/>
      <c r="D119" s="80"/>
      <c r="E119" s="81"/>
      <c r="F119" s="81"/>
      <c r="G119" s="81"/>
      <c r="H119" s="81"/>
      <c r="I119" s="81"/>
      <c r="J119" s="81"/>
      <c r="K119" s="82"/>
      <c r="L119" s="83"/>
      <c r="M119" s="84"/>
      <c r="N119" s="37"/>
      <c r="O119" s="38"/>
      <c r="P119" s="38"/>
      <c r="Q119" s="38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78"/>
      <c r="B120" s="79"/>
      <c r="C120" s="79"/>
      <c r="D120" s="80"/>
      <c r="E120" s="81"/>
      <c r="F120" s="81"/>
      <c r="G120" s="81"/>
      <c r="H120" s="81"/>
      <c r="I120" s="81"/>
      <c r="J120" s="81"/>
      <c r="K120" s="82"/>
      <c r="L120" s="83"/>
      <c r="M120" s="84"/>
      <c r="N120" s="37"/>
      <c r="O120" s="38"/>
      <c r="P120" s="38"/>
      <c r="Q120" s="38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78"/>
      <c r="B121" s="79"/>
      <c r="C121" s="79"/>
      <c r="D121" s="80"/>
      <c r="E121" s="81"/>
      <c r="F121" s="81"/>
      <c r="G121" s="81"/>
      <c r="H121" s="81"/>
      <c r="I121" s="81"/>
      <c r="J121" s="81"/>
      <c r="K121" s="82"/>
      <c r="L121" s="83"/>
      <c r="M121" s="84"/>
      <c r="N121" s="37"/>
      <c r="O121" s="38"/>
      <c r="P121" s="38"/>
      <c r="Q121" s="38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78"/>
      <c r="B122" s="79"/>
      <c r="C122" s="79"/>
      <c r="D122" s="80"/>
      <c r="E122" s="81"/>
      <c r="F122" s="81"/>
      <c r="G122" s="81"/>
      <c r="H122" s="81"/>
      <c r="I122" s="81"/>
      <c r="J122" s="81"/>
      <c r="K122" s="82"/>
      <c r="L122" s="83"/>
      <c r="M122" s="84"/>
      <c r="N122" s="37"/>
      <c r="O122" s="38"/>
      <c r="P122" s="38"/>
      <c r="Q122" s="38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78"/>
      <c r="B123" s="79"/>
      <c r="C123" s="79"/>
      <c r="D123" s="80"/>
      <c r="E123" s="81"/>
      <c r="F123" s="81"/>
      <c r="G123" s="81"/>
      <c r="H123" s="81"/>
      <c r="I123" s="81"/>
      <c r="J123" s="81"/>
      <c r="K123" s="82"/>
      <c r="L123" s="83"/>
      <c r="M123" s="84"/>
      <c r="N123" s="37"/>
      <c r="O123" s="38"/>
      <c r="P123" s="38"/>
      <c r="Q123" s="38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78"/>
      <c r="B124" s="79"/>
      <c r="C124" s="79"/>
      <c r="D124" s="80"/>
      <c r="E124" s="81"/>
      <c r="F124" s="81"/>
      <c r="G124" s="81"/>
      <c r="H124" s="81"/>
      <c r="I124" s="81"/>
      <c r="J124" s="81"/>
      <c r="K124" s="82"/>
      <c r="L124" s="83"/>
      <c r="M124" s="84"/>
      <c r="N124" s="37"/>
      <c r="O124" s="38"/>
      <c r="P124" s="38"/>
      <c r="Q124" s="38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78"/>
      <c r="B125" s="79"/>
      <c r="C125" s="79"/>
      <c r="D125" s="80"/>
      <c r="E125" s="81"/>
      <c r="F125" s="81"/>
      <c r="G125" s="81"/>
      <c r="H125" s="81"/>
      <c r="I125" s="81"/>
      <c r="J125" s="81"/>
      <c r="K125" s="82"/>
      <c r="L125" s="83"/>
      <c r="M125" s="84"/>
      <c r="N125" s="37"/>
      <c r="O125" s="38"/>
      <c r="P125" s="38"/>
      <c r="Q125" s="38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78"/>
      <c r="B126" s="79"/>
      <c r="C126" s="79"/>
      <c r="D126" s="80"/>
      <c r="E126" s="81"/>
      <c r="F126" s="81"/>
      <c r="G126" s="81"/>
      <c r="H126" s="81"/>
      <c r="I126" s="81"/>
      <c r="J126" s="81"/>
      <c r="K126" s="82"/>
      <c r="L126" s="83"/>
      <c r="M126" s="84"/>
      <c r="N126" s="37"/>
      <c r="O126" s="38"/>
      <c r="P126" s="38"/>
      <c r="Q126" s="38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78"/>
      <c r="B127" s="79"/>
      <c r="C127" s="79"/>
      <c r="D127" s="80"/>
      <c r="E127" s="81"/>
      <c r="F127" s="81"/>
      <c r="G127" s="81"/>
      <c r="H127" s="81"/>
      <c r="I127" s="81"/>
      <c r="J127" s="81"/>
      <c r="K127" s="82"/>
      <c r="L127" s="83"/>
      <c r="M127" s="84"/>
      <c r="N127" s="37"/>
      <c r="O127" s="38"/>
      <c r="P127" s="38"/>
      <c r="Q127" s="38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78"/>
      <c r="B128" s="79"/>
      <c r="C128" s="79"/>
      <c r="D128" s="80"/>
      <c r="E128" s="81"/>
      <c r="F128" s="81"/>
      <c r="G128" s="81"/>
      <c r="H128" s="81"/>
      <c r="I128" s="81"/>
      <c r="J128" s="81"/>
      <c r="K128" s="82"/>
      <c r="L128" s="83"/>
      <c r="M128" s="84"/>
      <c r="N128" s="37"/>
      <c r="O128" s="38"/>
      <c r="P128" s="38"/>
      <c r="Q128" s="38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78"/>
      <c r="B129" s="79"/>
      <c r="C129" s="79"/>
      <c r="D129" s="80"/>
      <c r="E129" s="81"/>
      <c r="F129" s="81"/>
      <c r="G129" s="81"/>
      <c r="H129" s="81"/>
      <c r="I129" s="81"/>
      <c r="J129" s="81"/>
      <c r="K129" s="82"/>
      <c r="L129" s="83"/>
      <c r="M129" s="84"/>
      <c r="N129" s="37"/>
      <c r="O129" s="38"/>
      <c r="P129" s="38"/>
      <c r="Q129" s="38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78"/>
      <c r="B130" s="79"/>
      <c r="C130" s="79"/>
      <c r="D130" s="80"/>
      <c r="E130" s="81"/>
      <c r="F130" s="81"/>
      <c r="G130" s="81"/>
      <c r="H130" s="81"/>
      <c r="I130" s="81"/>
      <c r="J130" s="81"/>
      <c r="K130" s="82"/>
      <c r="L130" s="83"/>
      <c r="M130" s="84"/>
      <c r="N130" s="37"/>
      <c r="O130" s="38"/>
      <c r="P130" s="38"/>
      <c r="Q130" s="38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78"/>
      <c r="B131" s="79"/>
      <c r="C131" s="79"/>
      <c r="D131" s="80"/>
      <c r="E131" s="81"/>
      <c r="F131" s="81"/>
      <c r="G131" s="81"/>
      <c r="H131" s="81"/>
      <c r="I131" s="81"/>
      <c r="J131" s="81"/>
      <c r="K131" s="82"/>
      <c r="L131" s="83"/>
      <c r="M131" s="84"/>
      <c r="N131" s="37"/>
      <c r="O131" s="38"/>
      <c r="P131" s="38"/>
      <c r="Q131" s="38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78"/>
      <c r="B132" s="79"/>
      <c r="C132" s="79"/>
      <c r="D132" s="80"/>
      <c r="E132" s="81"/>
      <c r="F132" s="81"/>
      <c r="G132" s="81"/>
      <c r="H132" s="81"/>
      <c r="I132" s="81"/>
      <c r="J132" s="81"/>
      <c r="K132" s="82"/>
      <c r="L132" s="83"/>
      <c r="M132" s="84"/>
      <c r="N132" s="37"/>
      <c r="O132" s="38"/>
      <c r="P132" s="38"/>
      <c r="Q132" s="38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78"/>
      <c r="B133" s="79"/>
      <c r="C133" s="79"/>
      <c r="D133" s="80"/>
      <c r="E133" s="81"/>
      <c r="F133" s="81"/>
      <c r="G133" s="81"/>
      <c r="H133" s="81"/>
      <c r="I133" s="81"/>
      <c r="J133" s="81"/>
      <c r="K133" s="82"/>
      <c r="L133" s="83"/>
      <c r="M133" s="84"/>
      <c r="N133" s="37"/>
      <c r="O133" s="38"/>
      <c r="P133" s="38"/>
      <c r="Q133" s="38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78"/>
      <c r="B134" s="79"/>
      <c r="C134" s="79"/>
      <c r="D134" s="80"/>
      <c r="E134" s="81"/>
      <c r="F134" s="81"/>
      <c r="G134" s="81"/>
      <c r="H134" s="81"/>
      <c r="I134" s="81"/>
      <c r="J134" s="81"/>
      <c r="K134" s="82"/>
      <c r="L134" s="83"/>
      <c r="M134" s="84"/>
      <c r="N134" s="37"/>
      <c r="O134" s="38"/>
      <c r="P134" s="38"/>
      <c r="Q134" s="38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78"/>
      <c r="B135" s="79"/>
      <c r="C135" s="79"/>
      <c r="D135" s="80"/>
      <c r="E135" s="81"/>
      <c r="F135" s="81"/>
      <c r="G135" s="81"/>
      <c r="H135" s="81"/>
      <c r="I135" s="81"/>
      <c r="J135" s="81"/>
      <c r="K135" s="82"/>
      <c r="L135" s="83"/>
      <c r="M135" s="84"/>
      <c r="N135" s="37"/>
      <c r="O135" s="38"/>
      <c r="P135" s="38"/>
      <c r="Q135" s="38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78"/>
      <c r="B136" s="79"/>
      <c r="C136" s="79"/>
      <c r="D136" s="80"/>
      <c r="E136" s="81"/>
      <c r="F136" s="81"/>
      <c r="G136" s="81"/>
      <c r="H136" s="81"/>
      <c r="I136" s="81"/>
      <c r="J136" s="81"/>
      <c r="K136" s="82"/>
      <c r="L136" s="83"/>
      <c r="M136" s="84"/>
      <c r="N136" s="37"/>
      <c r="O136" s="38"/>
      <c r="P136" s="38"/>
      <c r="Q136" s="38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78"/>
      <c r="B137" s="79"/>
      <c r="C137" s="79"/>
      <c r="D137" s="80"/>
      <c r="E137" s="81"/>
      <c r="F137" s="81"/>
      <c r="G137" s="81"/>
      <c r="H137" s="81"/>
      <c r="I137" s="81"/>
      <c r="J137" s="81"/>
      <c r="K137" s="82"/>
      <c r="L137" s="83"/>
      <c r="M137" s="84"/>
      <c r="N137" s="37"/>
      <c r="O137" s="38"/>
      <c r="P137" s="38"/>
      <c r="Q137" s="38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78"/>
      <c r="B138" s="79"/>
      <c r="C138" s="79"/>
      <c r="D138" s="80"/>
      <c r="E138" s="81"/>
      <c r="F138" s="81"/>
      <c r="G138" s="81"/>
      <c r="H138" s="81"/>
      <c r="I138" s="81"/>
      <c r="J138" s="81"/>
      <c r="K138" s="82"/>
      <c r="L138" s="83"/>
      <c r="M138" s="84"/>
      <c r="N138" s="37"/>
      <c r="O138" s="38"/>
      <c r="P138" s="38"/>
      <c r="Q138" s="38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78"/>
      <c r="B139" s="79"/>
      <c r="C139" s="79"/>
      <c r="D139" s="80"/>
      <c r="E139" s="81"/>
      <c r="F139" s="81"/>
      <c r="G139" s="81"/>
      <c r="H139" s="81"/>
      <c r="I139" s="81"/>
      <c r="J139" s="81"/>
      <c r="K139" s="82"/>
      <c r="L139" s="83"/>
      <c r="M139" s="84"/>
      <c r="N139" s="37"/>
      <c r="O139" s="38"/>
      <c r="P139" s="38"/>
      <c r="Q139" s="38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78"/>
      <c r="B140" s="79"/>
      <c r="C140" s="79"/>
      <c r="D140" s="80"/>
      <c r="E140" s="81"/>
      <c r="F140" s="81"/>
      <c r="G140" s="81"/>
      <c r="H140" s="81"/>
      <c r="I140" s="81"/>
      <c r="J140" s="81"/>
      <c r="K140" s="82"/>
      <c r="L140" s="83"/>
      <c r="M140" s="84"/>
      <c r="N140" s="37"/>
      <c r="O140" s="38"/>
      <c r="P140" s="38"/>
      <c r="Q140" s="38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78"/>
      <c r="B141" s="79"/>
      <c r="C141" s="79"/>
      <c r="D141" s="80"/>
      <c r="E141" s="81"/>
      <c r="F141" s="81"/>
      <c r="G141" s="81"/>
      <c r="H141" s="81"/>
      <c r="I141" s="81"/>
      <c r="J141" s="81"/>
      <c r="K141" s="82"/>
      <c r="L141" s="83"/>
      <c r="M141" s="84"/>
      <c r="N141" s="37"/>
      <c r="O141" s="38"/>
      <c r="P141" s="38"/>
      <c r="Q141" s="38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78"/>
      <c r="B142" s="79"/>
      <c r="C142" s="79"/>
      <c r="D142" s="80"/>
      <c r="E142" s="81"/>
      <c r="F142" s="81"/>
      <c r="G142" s="81"/>
      <c r="H142" s="81"/>
      <c r="I142" s="81"/>
      <c r="J142" s="81"/>
      <c r="K142" s="82"/>
      <c r="L142" s="83"/>
      <c r="M142" s="84"/>
      <c r="N142" s="37"/>
      <c r="O142" s="38"/>
      <c r="P142" s="38"/>
      <c r="Q142" s="38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78"/>
      <c r="B143" s="79"/>
      <c r="C143" s="79"/>
      <c r="D143" s="80"/>
      <c r="E143" s="81"/>
      <c r="F143" s="81"/>
      <c r="G143" s="81"/>
      <c r="H143" s="81"/>
      <c r="I143" s="81"/>
      <c r="J143" s="81"/>
      <c r="K143" s="82"/>
      <c r="L143" s="83"/>
      <c r="M143" s="84"/>
      <c r="N143" s="37"/>
      <c r="O143" s="38"/>
      <c r="P143" s="38"/>
      <c r="Q143" s="38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78"/>
      <c r="B144" s="79"/>
      <c r="C144" s="79"/>
      <c r="D144" s="80"/>
      <c r="E144" s="81"/>
      <c r="F144" s="81"/>
      <c r="G144" s="81"/>
      <c r="H144" s="81"/>
      <c r="I144" s="81"/>
      <c r="J144" s="81"/>
      <c r="K144" s="82"/>
      <c r="L144" s="83"/>
      <c r="M144" s="84"/>
      <c r="N144" s="37"/>
      <c r="O144" s="38"/>
      <c r="P144" s="38"/>
      <c r="Q144" s="38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78"/>
      <c r="B145" s="79"/>
      <c r="C145" s="79"/>
      <c r="D145" s="80"/>
      <c r="E145" s="81"/>
      <c r="F145" s="81"/>
      <c r="G145" s="81"/>
      <c r="H145" s="81"/>
      <c r="I145" s="81"/>
      <c r="J145" s="81"/>
      <c r="K145" s="82"/>
      <c r="L145" s="83"/>
      <c r="M145" s="84"/>
      <c r="N145" s="37"/>
      <c r="O145" s="38"/>
      <c r="P145" s="38"/>
      <c r="Q145" s="38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78"/>
      <c r="B146" s="79"/>
      <c r="C146" s="79"/>
      <c r="D146" s="80"/>
      <c r="E146" s="81"/>
      <c r="F146" s="81"/>
      <c r="G146" s="81"/>
      <c r="H146" s="81"/>
      <c r="I146" s="81"/>
      <c r="J146" s="81"/>
      <c r="K146" s="82"/>
      <c r="L146" s="83"/>
      <c r="M146" s="84"/>
      <c r="N146" s="37"/>
      <c r="O146" s="38"/>
      <c r="P146" s="38"/>
      <c r="Q146" s="38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78"/>
      <c r="B147" s="79"/>
      <c r="C147" s="79"/>
      <c r="D147" s="80"/>
      <c r="E147" s="81"/>
      <c r="F147" s="81"/>
      <c r="G147" s="81"/>
      <c r="H147" s="81"/>
      <c r="I147" s="81"/>
      <c r="J147" s="81"/>
      <c r="K147" s="82"/>
      <c r="L147" s="83"/>
      <c r="M147" s="84"/>
      <c r="N147" s="37"/>
      <c r="O147" s="38"/>
      <c r="P147" s="38"/>
      <c r="Q147" s="38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78"/>
      <c r="B148" s="79"/>
      <c r="C148" s="79"/>
      <c r="D148" s="80"/>
      <c r="E148" s="81"/>
      <c r="F148" s="81"/>
      <c r="G148" s="81"/>
      <c r="H148" s="81"/>
      <c r="I148" s="81"/>
      <c r="J148" s="81"/>
      <c r="K148" s="82"/>
      <c r="L148" s="83"/>
      <c r="M148" s="84"/>
      <c r="N148" s="37"/>
      <c r="O148" s="38"/>
      <c r="P148" s="38"/>
      <c r="Q148" s="38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78"/>
      <c r="B149" s="79"/>
      <c r="C149" s="79"/>
      <c r="D149" s="80"/>
      <c r="E149" s="81"/>
      <c r="F149" s="81"/>
      <c r="G149" s="81"/>
      <c r="H149" s="81"/>
      <c r="I149" s="81"/>
      <c r="J149" s="81"/>
      <c r="K149" s="82"/>
      <c r="L149" s="83"/>
      <c r="M149" s="84"/>
      <c r="N149" s="37"/>
      <c r="O149" s="38"/>
      <c r="P149" s="38"/>
      <c r="Q149" s="38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78"/>
      <c r="B150" s="79"/>
      <c r="C150" s="79"/>
      <c r="D150" s="80"/>
      <c r="E150" s="81"/>
      <c r="F150" s="81"/>
      <c r="G150" s="81"/>
      <c r="H150" s="81"/>
      <c r="I150" s="81"/>
      <c r="J150" s="81"/>
      <c r="K150" s="82"/>
      <c r="L150" s="83"/>
      <c r="M150" s="84"/>
      <c r="N150" s="37"/>
      <c r="O150" s="38"/>
      <c r="P150" s="38"/>
      <c r="Q150" s="38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78"/>
      <c r="B151" s="79"/>
      <c r="C151" s="79"/>
      <c r="D151" s="80"/>
      <c r="E151" s="81"/>
      <c r="F151" s="81"/>
      <c r="G151" s="81"/>
      <c r="H151" s="81"/>
      <c r="I151" s="81"/>
      <c r="J151" s="81"/>
      <c r="K151" s="82"/>
      <c r="L151" s="83"/>
      <c r="M151" s="84"/>
      <c r="N151" s="37"/>
      <c r="O151" s="38"/>
      <c r="P151" s="38"/>
      <c r="Q151" s="38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78"/>
      <c r="B152" s="79"/>
      <c r="C152" s="79"/>
      <c r="D152" s="80"/>
      <c r="E152" s="81"/>
      <c r="F152" s="81"/>
      <c r="G152" s="81"/>
      <c r="H152" s="81"/>
      <c r="I152" s="81"/>
      <c r="J152" s="81"/>
      <c r="K152" s="82"/>
      <c r="L152" s="83"/>
      <c r="M152" s="84"/>
      <c r="N152" s="37"/>
      <c r="O152" s="38"/>
      <c r="P152" s="38"/>
      <c r="Q152" s="38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78"/>
      <c r="B153" s="79"/>
      <c r="C153" s="79"/>
      <c r="D153" s="80"/>
      <c r="E153" s="81"/>
      <c r="F153" s="81"/>
      <c r="G153" s="81"/>
      <c r="H153" s="81"/>
      <c r="I153" s="81"/>
      <c r="J153" s="81"/>
      <c r="K153" s="82"/>
      <c r="L153" s="83"/>
      <c r="M153" s="84"/>
      <c r="N153" s="37"/>
      <c r="O153" s="38"/>
      <c r="P153" s="38"/>
      <c r="Q153" s="38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78"/>
      <c r="B154" s="79"/>
      <c r="C154" s="79"/>
      <c r="D154" s="80"/>
      <c r="E154" s="81"/>
      <c r="F154" s="81"/>
      <c r="G154" s="81"/>
      <c r="H154" s="81"/>
      <c r="I154" s="81"/>
      <c r="J154" s="81"/>
      <c r="K154" s="82"/>
      <c r="L154" s="83"/>
      <c r="M154" s="84"/>
      <c r="N154" s="37"/>
      <c r="O154" s="38"/>
      <c r="P154" s="38"/>
      <c r="Q154" s="38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78"/>
      <c r="B155" s="79"/>
      <c r="C155" s="79"/>
      <c r="D155" s="80"/>
      <c r="E155" s="81"/>
      <c r="F155" s="81"/>
      <c r="G155" s="81"/>
      <c r="H155" s="81"/>
      <c r="I155" s="81"/>
      <c r="J155" s="81"/>
      <c r="K155" s="82"/>
      <c r="L155" s="83"/>
      <c r="M155" s="84"/>
      <c r="N155" s="37"/>
      <c r="O155" s="38"/>
      <c r="P155" s="38"/>
      <c r="Q155" s="38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78"/>
      <c r="B156" s="79"/>
      <c r="C156" s="79"/>
      <c r="D156" s="80"/>
      <c r="E156" s="81"/>
      <c r="F156" s="81"/>
      <c r="G156" s="81"/>
      <c r="H156" s="81"/>
      <c r="I156" s="81"/>
      <c r="J156" s="81"/>
      <c r="K156" s="82"/>
      <c r="L156" s="83"/>
      <c r="M156" s="84"/>
      <c r="N156" s="37"/>
      <c r="O156" s="38"/>
      <c r="P156" s="38"/>
      <c r="Q156" s="38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78"/>
      <c r="B157" s="79"/>
      <c r="C157" s="79"/>
      <c r="D157" s="80"/>
      <c r="E157" s="81"/>
      <c r="F157" s="81"/>
      <c r="G157" s="81"/>
      <c r="H157" s="81"/>
      <c r="I157" s="81"/>
      <c r="J157" s="81"/>
      <c r="K157" s="82"/>
      <c r="L157" s="83"/>
      <c r="M157" s="84"/>
      <c r="N157" s="37"/>
      <c r="O157" s="38"/>
      <c r="P157" s="38"/>
      <c r="Q157" s="38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78"/>
      <c r="B158" s="79"/>
      <c r="C158" s="79"/>
      <c r="D158" s="80"/>
      <c r="E158" s="81"/>
      <c r="F158" s="81"/>
      <c r="G158" s="81"/>
      <c r="H158" s="81"/>
      <c r="I158" s="81"/>
      <c r="J158" s="81"/>
      <c r="K158" s="82"/>
      <c r="L158" s="83"/>
      <c r="M158" s="84"/>
      <c r="N158" s="37"/>
      <c r="O158" s="38"/>
      <c r="P158" s="38"/>
      <c r="Q158" s="38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78"/>
      <c r="B159" s="79"/>
      <c r="C159" s="79"/>
      <c r="D159" s="80"/>
      <c r="E159" s="81"/>
      <c r="F159" s="81"/>
      <c r="G159" s="81"/>
      <c r="H159" s="81"/>
      <c r="I159" s="81"/>
      <c r="J159" s="81"/>
      <c r="K159" s="82"/>
      <c r="L159" s="83"/>
      <c r="M159" s="84"/>
      <c r="N159" s="37"/>
      <c r="O159" s="38"/>
      <c r="P159" s="38"/>
      <c r="Q159" s="38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78"/>
      <c r="B160" s="79"/>
      <c r="C160" s="79"/>
      <c r="D160" s="80"/>
      <c r="E160" s="81"/>
      <c r="F160" s="81"/>
      <c r="G160" s="81"/>
      <c r="H160" s="81"/>
      <c r="I160" s="81"/>
      <c r="J160" s="81"/>
      <c r="K160" s="82"/>
      <c r="L160" s="83"/>
      <c r="M160" s="84"/>
      <c r="N160" s="37"/>
      <c r="O160" s="38"/>
      <c r="P160" s="38"/>
      <c r="Q160" s="38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78"/>
      <c r="B161" s="79"/>
      <c r="C161" s="79"/>
      <c r="D161" s="80"/>
      <c r="E161" s="81"/>
      <c r="F161" s="81"/>
      <c r="G161" s="81"/>
      <c r="H161" s="81"/>
      <c r="I161" s="81"/>
      <c r="J161" s="81"/>
      <c r="K161" s="82"/>
      <c r="L161" s="83"/>
      <c r="M161" s="84"/>
      <c r="N161" s="37"/>
      <c r="O161" s="38"/>
      <c r="P161" s="38"/>
      <c r="Q161" s="38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78"/>
      <c r="B162" s="79"/>
      <c r="C162" s="79"/>
      <c r="D162" s="80"/>
      <c r="E162" s="81"/>
      <c r="F162" s="81"/>
      <c r="G162" s="81"/>
      <c r="H162" s="81"/>
      <c r="I162" s="81"/>
      <c r="J162" s="81"/>
      <c r="K162" s="82"/>
      <c r="L162" s="83"/>
      <c r="M162" s="84"/>
      <c r="N162" s="37"/>
      <c r="O162" s="38"/>
      <c r="P162" s="38"/>
      <c r="Q162" s="38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78"/>
      <c r="B163" s="79"/>
      <c r="C163" s="79"/>
      <c r="D163" s="80"/>
      <c r="E163" s="81"/>
      <c r="F163" s="81"/>
      <c r="G163" s="81"/>
      <c r="H163" s="81"/>
      <c r="I163" s="81"/>
      <c r="J163" s="81"/>
      <c r="K163" s="82"/>
      <c r="L163" s="83"/>
      <c r="M163" s="84"/>
      <c r="N163" s="37"/>
      <c r="O163" s="38"/>
      <c r="P163" s="38"/>
      <c r="Q163" s="38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78"/>
      <c r="B164" s="79"/>
      <c r="C164" s="79"/>
      <c r="D164" s="80"/>
      <c r="E164" s="81"/>
      <c r="F164" s="81"/>
      <c r="G164" s="81"/>
      <c r="H164" s="81"/>
      <c r="I164" s="81"/>
      <c r="J164" s="81"/>
      <c r="K164" s="82"/>
      <c r="L164" s="83"/>
      <c r="M164" s="84"/>
      <c r="N164" s="37"/>
      <c r="O164" s="38"/>
      <c r="P164" s="38"/>
      <c r="Q164" s="38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78"/>
      <c r="B165" s="79"/>
      <c r="C165" s="79"/>
      <c r="D165" s="80"/>
      <c r="E165" s="81"/>
      <c r="F165" s="81"/>
      <c r="G165" s="81"/>
      <c r="H165" s="81"/>
      <c r="I165" s="81"/>
      <c r="J165" s="81"/>
      <c r="K165" s="82"/>
      <c r="L165" s="83"/>
      <c r="M165" s="84"/>
      <c r="N165" s="37"/>
      <c r="O165" s="38"/>
      <c r="P165" s="38"/>
      <c r="Q165" s="38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78"/>
      <c r="B166" s="79"/>
      <c r="C166" s="79"/>
      <c r="D166" s="80"/>
      <c r="E166" s="81"/>
      <c r="F166" s="81"/>
      <c r="G166" s="81"/>
      <c r="H166" s="81"/>
      <c r="I166" s="81"/>
      <c r="J166" s="81"/>
      <c r="K166" s="82"/>
      <c r="L166" s="83"/>
      <c r="M166" s="84"/>
      <c r="N166" s="37"/>
      <c r="O166" s="38"/>
      <c r="P166" s="38"/>
      <c r="Q166" s="38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78"/>
      <c r="B167" s="79"/>
      <c r="C167" s="79"/>
      <c r="D167" s="80"/>
      <c r="E167" s="81"/>
      <c r="F167" s="81"/>
      <c r="G167" s="81"/>
      <c r="H167" s="81"/>
      <c r="I167" s="81"/>
      <c r="J167" s="81"/>
      <c r="K167" s="82"/>
      <c r="L167" s="83"/>
      <c r="M167" s="84"/>
      <c r="N167" s="37"/>
      <c r="O167" s="38"/>
      <c r="P167" s="38"/>
      <c r="Q167" s="38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78"/>
      <c r="B168" s="79"/>
      <c r="C168" s="79"/>
      <c r="D168" s="80"/>
      <c r="E168" s="81"/>
      <c r="F168" s="81"/>
      <c r="G168" s="81"/>
      <c r="H168" s="81"/>
      <c r="I168" s="81"/>
      <c r="J168" s="81"/>
      <c r="K168" s="82"/>
      <c r="L168" s="83"/>
      <c r="M168" s="84"/>
      <c r="N168" s="37"/>
      <c r="O168" s="38"/>
      <c r="P168" s="38"/>
      <c r="Q168" s="38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78"/>
      <c r="B169" s="79"/>
      <c r="C169" s="79"/>
      <c r="D169" s="80"/>
      <c r="E169" s="81"/>
      <c r="F169" s="81"/>
      <c r="G169" s="81"/>
      <c r="H169" s="81"/>
      <c r="I169" s="81"/>
      <c r="J169" s="81"/>
      <c r="K169" s="82"/>
      <c r="L169" s="83"/>
      <c r="M169" s="84"/>
      <c r="N169" s="37"/>
      <c r="O169" s="38"/>
      <c r="P169" s="38"/>
      <c r="Q169" s="38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78"/>
      <c r="B170" s="79"/>
      <c r="C170" s="79"/>
      <c r="D170" s="80"/>
      <c r="E170" s="81"/>
      <c r="F170" s="81"/>
      <c r="G170" s="81"/>
      <c r="H170" s="81"/>
      <c r="I170" s="81"/>
      <c r="J170" s="81"/>
      <c r="K170" s="82"/>
      <c r="L170" s="83"/>
      <c r="M170" s="84"/>
      <c r="N170" s="37"/>
      <c r="O170" s="38"/>
      <c r="P170" s="38"/>
      <c r="Q170" s="38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78"/>
      <c r="B171" s="79"/>
      <c r="C171" s="79"/>
      <c r="D171" s="80"/>
      <c r="E171" s="81"/>
      <c r="F171" s="81"/>
      <c r="G171" s="81"/>
      <c r="H171" s="81"/>
      <c r="I171" s="81"/>
      <c r="J171" s="81"/>
      <c r="K171" s="82"/>
      <c r="L171" s="83"/>
      <c r="M171" s="84"/>
      <c r="N171" s="37"/>
      <c r="O171" s="38"/>
      <c r="P171" s="38"/>
      <c r="Q171" s="38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78"/>
      <c r="B172" s="79"/>
      <c r="C172" s="79"/>
      <c r="D172" s="80"/>
      <c r="E172" s="81"/>
      <c r="F172" s="81"/>
      <c r="G172" s="81"/>
      <c r="H172" s="81"/>
      <c r="I172" s="81"/>
      <c r="J172" s="81"/>
      <c r="K172" s="82"/>
      <c r="L172" s="83"/>
      <c r="M172" s="84"/>
      <c r="N172" s="37"/>
      <c r="O172" s="38"/>
      <c r="P172" s="38"/>
      <c r="Q172" s="38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78"/>
      <c r="B173" s="79"/>
      <c r="C173" s="79"/>
      <c r="D173" s="80"/>
      <c r="E173" s="81"/>
      <c r="F173" s="81"/>
      <c r="G173" s="81"/>
      <c r="H173" s="81"/>
      <c r="I173" s="81"/>
      <c r="J173" s="81"/>
      <c r="K173" s="82"/>
      <c r="L173" s="83"/>
      <c r="M173" s="84"/>
      <c r="N173" s="37"/>
      <c r="O173" s="38"/>
      <c r="P173" s="38"/>
      <c r="Q173" s="38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78"/>
      <c r="B174" s="79"/>
      <c r="C174" s="79"/>
      <c r="D174" s="80"/>
      <c r="E174" s="81"/>
      <c r="F174" s="81"/>
      <c r="G174" s="81"/>
      <c r="H174" s="81"/>
      <c r="I174" s="81"/>
      <c r="J174" s="81"/>
      <c r="K174" s="82"/>
      <c r="L174" s="83"/>
      <c r="M174" s="84"/>
      <c r="N174" s="37"/>
      <c r="O174" s="38"/>
      <c r="P174" s="38"/>
      <c r="Q174" s="38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78"/>
      <c r="B175" s="79"/>
      <c r="C175" s="79"/>
      <c r="D175" s="80"/>
      <c r="E175" s="81"/>
      <c r="F175" s="81"/>
      <c r="G175" s="81"/>
      <c r="H175" s="81"/>
      <c r="I175" s="81"/>
      <c r="J175" s="81"/>
      <c r="K175" s="82"/>
      <c r="L175" s="83"/>
      <c r="M175" s="84"/>
      <c r="N175" s="37"/>
      <c r="O175" s="38"/>
      <c r="P175" s="38"/>
      <c r="Q175" s="38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78"/>
      <c r="B176" s="79"/>
      <c r="C176" s="79"/>
      <c r="D176" s="80"/>
      <c r="E176" s="81"/>
      <c r="F176" s="81"/>
      <c r="G176" s="81"/>
      <c r="H176" s="81"/>
      <c r="I176" s="81"/>
      <c r="J176" s="81"/>
      <c r="K176" s="82"/>
      <c r="L176" s="83"/>
      <c r="M176" s="84"/>
      <c r="N176" s="37"/>
      <c r="O176" s="38"/>
      <c r="P176" s="38"/>
      <c r="Q176" s="38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78"/>
      <c r="B177" s="79"/>
      <c r="C177" s="79"/>
      <c r="D177" s="80"/>
      <c r="E177" s="81"/>
      <c r="F177" s="81"/>
      <c r="G177" s="81"/>
      <c r="H177" s="81"/>
      <c r="I177" s="81"/>
      <c r="J177" s="81"/>
      <c r="K177" s="82"/>
      <c r="L177" s="83"/>
      <c r="M177" s="84"/>
      <c r="N177" s="37"/>
      <c r="O177" s="38"/>
      <c r="P177" s="38"/>
      <c r="Q177" s="38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78"/>
      <c r="B178" s="79"/>
      <c r="C178" s="79"/>
      <c r="D178" s="80"/>
      <c r="E178" s="81"/>
      <c r="F178" s="81"/>
      <c r="G178" s="81"/>
      <c r="H178" s="81"/>
      <c r="I178" s="81"/>
      <c r="J178" s="81"/>
      <c r="K178" s="82"/>
      <c r="L178" s="83"/>
      <c r="M178" s="84"/>
      <c r="N178" s="37"/>
      <c r="O178" s="38"/>
      <c r="P178" s="38"/>
      <c r="Q178" s="38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78"/>
      <c r="B179" s="79"/>
      <c r="C179" s="79"/>
      <c r="D179" s="80"/>
      <c r="E179" s="81"/>
      <c r="F179" s="81"/>
      <c r="G179" s="81"/>
      <c r="H179" s="81"/>
      <c r="I179" s="81"/>
      <c r="J179" s="81"/>
      <c r="K179" s="82"/>
      <c r="L179" s="83"/>
      <c r="M179" s="84"/>
      <c r="N179" s="37"/>
      <c r="O179" s="38"/>
      <c r="P179" s="38"/>
      <c r="Q179" s="38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78"/>
      <c r="B180" s="79"/>
      <c r="C180" s="79"/>
      <c r="D180" s="80"/>
      <c r="E180" s="81"/>
      <c r="F180" s="81"/>
      <c r="G180" s="81"/>
      <c r="H180" s="81"/>
      <c r="I180" s="81"/>
      <c r="J180" s="81"/>
      <c r="K180" s="82"/>
      <c r="L180" s="83"/>
      <c r="M180" s="84"/>
      <c r="N180" s="37"/>
      <c r="O180" s="38"/>
      <c r="P180" s="38"/>
      <c r="Q180" s="38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78"/>
      <c r="B181" s="79"/>
      <c r="C181" s="79"/>
      <c r="D181" s="80"/>
      <c r="E181" s="81"/>
      <c r="F181" s="81"/>
      <c r="G181" s="81"/>
      <c r="H181" s="81"/>
      <c r="I181" s="81"/>
      <c r="J181" s="81"/>
      <c r="K181" s="82"/>
      <c r="L181" s="83"/>
      <c r="M181" s="84"/>
      <c r="N181" s="37"/>
      <c r="O181" s="38"/>
      <c r="P181" s="38"/>
      <c r="Q181" s="38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78"/>
      <c r="B182" s="79"/>
      <c r="C182" s="79"/>
      <c r="D182" s="80"/>
      <c r="E182" s="81"/>
      <c r="F182" s="81"/>
      <c r="G182" s="81"/>
      <c r="H182" s="81"/>
      <c r="I182" s="81"/>
      <c r="J182" s="81"/>
      <c r="K182" s="82"/>
      <c r="L182" s="83"/>
      <c r="M182" s="84"/>
      <c r="N182" s="37"/>
      <c r="O182" s="38"/>
      <c r="P182" s="38"/>
      <c r="Q182" s="38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78"/>
      <c r="B183" s="79"/>
      <c r="C183" s="79"/>
      <c r="D183" s="80"/>
      <c r="E183" s="81"/>
      <c r="F183" s="81"/>
      <c r="G183" s="81"/>
      <c r="H183" s="81"/>
      <c r="I183" s="81"/>
      <c r="J183" s="81"/>
      <c r="K183" s="82"/>
      <c r="L183" s="83"/>
      <c r="M183" s="84"/>
      <c r="N183" s="37"/>
      <c r="O183" s="38"/>
      <c r="P183" s="38"/>
      <c r="Q183" s="38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78"/>
      <c r="B184" s="79"/>
      <c r="C184" s="79"/>
      <c r="D184" s="80"/>
      <c r="E184" s="81"/>
      <c r="F184" s="81"/>
      <c r="G184" s="81"/>
      <c r="H184" s="81"/>
      <c r="I184" s="81"/>
      <c r="J184" s="81"/>
      <c r="K184" s="82"/>
      <c r="L184" s="83"/>
      <c r="M184" s="84"/>
      <c r="N184" s="37"/>
      <c r="O184" s="38"/>
      <c r="P184" s="38"/>
      <c r="Q184" s="38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78"/>
      <c r="B185" s="79"/>
      <c r="C185" s="79"/>
      <c r="D185" s="80"/>
      <c r="E185" s="81"/>
      <c r="F185" s="81"/>
      <c r="G185" s="81"/>
      <c r="H185" s="81"/>
      <c r="I185" s="81"/>
      <c r="J185" s="81"/>
      <c r="K185" s="82"/>
      <c r="L185" s="83"/>
      <c r="M185" s="84"/>
      <c r="N185" s="37"/>
      <c r="O185" s="38"/>
      <c r="P185" s="38"/>
      <c r="Q185" s="38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78"/>
      <c r="B186" s="79"/>
      <c r="C186" s="79"/>
      <c r="D186" s="80"/>
      <c r="E186" s="81"/>
      <c r="F186" s="81"/>
      <c r="G186" s="81"/>
      <c r="H186" s="81"/>
      <c r="I186" s="81"/>
      <c r="J186" s="81"/>
      <c r="K186" s="82"/>
      <c r="L186" s="83"/>
      <c r="M186" s="84"/>
      <c r="N186" s="37"/>
      <c r="O186" s="38"/>
      <c r="P186" s="38"/>
      <c r="Q186" s="38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78"/>
      <c r="B187" s="79"/>
      <c r="C187" s="79"/>
      <c r="D187" s="80"/>
      <c r="E187" s="81"/>
      <c r="F187" s="81"/>
      <c r="G187" s="81"/>
      <c r="H187" s="81"/>
      <c r="I187" s="81"/>
      <c r="J187" s="81"/>
      <c r="K187" s="82"/>
      <c r="L187" s="83"/>
      <c r="M187" s="84"/>
      <c r="N187" s="37"/>
      <c r="O187" s="38"/>
      <c r="P187" s="38"/>
      <c r="Q187" s="38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78"/>
      <c r="B188" s="79"/>
      <c r="C188" s="79"/>
      <c r="D188" s="80"/>
      <c r="E188" s="81"/>
      <c r="F188" s="81"/>
      <c r="G188" s="81"/>
      <c r="H188" s="81"/>
      <c r="I188" s="81"/>
      <c r="J188" s="81"/>
      <c r="K188" s="82"/>
      <c r="L188" s="83"/>
      <c r="M188" s="84"/>
      <c r="N188" s="37"/>
      <c r="O188" s="38"/>
      <c r="P188" s="38"/>
      <c r="Q188" s="38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78"/>
      <c r="B189" s="79"/>
      <c r="C189" s="79"/>
      <c r="D189" s="80"/>
      <c r="E189" s="81"/>
      <c r="F189" s="81"/>
      <c r="G189" s="81"/>
      <c r="H189" s="81"/>
      <c r="I189" s="81"/>
      <c r="J189" s="81"/>
      <c r="K189" s="82"/>
      <c r="L189" s="83"/>
      <c r="M189" s="84"/>
      <c r="N189" s="37"/>
      <c r="O189" s="38"/>
      <c r="P189" s="38"/>
      <c r="Q189" s="38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78"/>
      <c r="B190" s="79"/>
      <c r="C190" s="79"/>
      <c r="D190" s="80"/>
      <c r="E190" s="81"/>
      <c r="F190" s="81"/>
      <c r="G190" s="81"/>
      <c r="H190" s="81"/>
      <c r="I190" s="81"/>
      <c r="J190" s="81"/>
      <c r="K190" s="82"/>
      <c r="L190" s="83"/>
      <c r="M190" s="84"/>
      <c r="N190" s="37"/>
      <c r="O190" s="38"/>
      <c r="P190" s="38"/>
      <c r="Q190" s="38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78"/>
      <c r="B191" s="79"/>
      <c r="C191" s="79"/>
      <c r="D191" s="80"/>
      <c r="E191" s="81"/>
      <c r="F191" s="81"/>
      <c r="G191" s="81"/>
      <c r="H191" s="81"/>
      <c r="I191" s="81"/>
      <c r="J191" s="81"/>
      <c r="K191" s="82"/>
      <c r="L191" s="83"/>
      <c r="M191" s="84"/>
      <c r="N191" s="37"/>
      <c r="O191" s="38"/>
      <c r="P191" s="38"/>
      <c r="Q191" s="38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78"/>
      <c r="B192" s="79"/>
      <c r="C192" s="79"/>
      <c r="D192" s="80"/>
      <c r="E192" s="81"/>
      <c r="F192" s="81"/>
      <c r="G192" s="81"/>
      <c r="H192" s="81"/>
      <c r="I192" s="81"/>
      <c r="J192" s="81"/>
      <c r="K192" s="82"/>
      <c r="L192" s="83"/>
      <c r="M192" s="84"/>
      <c r="N192" s="37"/>
      <c r="O192" s="38"/>
      <c r="P192" s="38"/>
      <c r="Q192" s="38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78"/>
      <c r="B193" s="79"/>
      <c r="C193" s="79"/>
      <c r="D193" s="80"/>
      <c r="E193" s="81"/>
      <c r="F193" s="81"/>
      <c r="G193" s="81"/>
      <c r="H193" s="81"/>
      <c r="I193" s="81"/>
      <c r="J193" s="81"/>
      <c r="K193" s="82"/>
      <c r="L193" s="83"/>
      <c r="M193" s="84"/>
      <c r="N193" s="37"/>
      <c r="O193" s="38"/>
      <c r="P193" s="38"/>
      <c r="Q193" s="38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78"/>
      <c r="B194" s="79"/>
      <c r="C194" s="79"/>
      <c r="D194" s="80"/>
      <c r="E194" s="81"/>
      <c r="F194" s="81"/>
      <c r="G194" s="81"/>
      <c r="H194" s="81"/>
      <c r="I194" s="81"/>
      <c r="J194" s="81"/>
      <c r="K194" s="82"/>
      <c r="L194" s="83"/>
      <c r="M194" s="84"/>
      <c r="N194" s="37"/>
      <c r="O194" s="38"/>
      <c r="P194" s="38"/>
      <c r="Q194" s="38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78"/>
      <c r="B195" s="79"/>
      <c r="C195" s="79"/>
      <c r="D195" s="80"/>
      <c r="E195" s="81"/>
      <c r="F195" s="81"/>
      <c r="G195" s="81"/>
      <c r="H195" s="81"/>
      <c r="I195" s="81"/>
      <c r="J195" s="81"/>
      <c r="K195" s="82"/>
      <c r="L195" s="83"/>
      <c r="M195" s="84"/>
      <c r="N195" s="37"/>
      <c r="O195" s="38"/>
      <c r="P195" s="38"/>
      <c r="Q195" s="38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78"/>
      <c r="B196" s="79"/>
      <c r="C196" s="79"/>
      <c r="D196" s="80"/>
      <c r="E196" s="81"/>
      <c r="F196" s="81"/>
      <c r="G196" s="81"/>
      <c r="H196" s="81"/>
      <c r="I196" s="81"/>
      <c r="J196" s="81"/>
      <c r="K196" s="82"/>
      <c r="L196" s="83"/>
      <c r="M196" s="84"/>
      <c r="N196" s="37"/>
      <c r="O196" s="38"/>
      <c r="P196" s="38"/>
      <c r="Q196" s="38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78"/>
      <c r="B197" s="79"/>
      <c r="C197" s="79"/>
      <c r="D197" s="80"/>
      <c r="E197" s="81"/>
      <c r="F197" s="81"/>
      <c r="G197" s="81"/>
      <c r="H197" s="81"/>
      <c r="I197" s="81"/>
      <c r="J197" s="81"/>
      <c r="K197" s="82"/>
      <c r="L197" s="83"/>
      <c r="M197" s="84"/>
      <c r="N197" s="37"/>
      <c r="O197" s="38"/>
      <c r="P197" s="38"/>
      <c r="Q197" s="38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78"/>
      <c r="B198" s="79"/>
      <c r="C198" s="79"/>
      <c r="D198" s="80"/>
      <c r="E198" s="81"/>
      <c r="F198" s="81"/>
      <c r="G198" s="81"/>
      <c r="H198" s="81"/>
      <c r="I198" s="81"/>
      <c r="J198" s="81"/>
      <c r="K198" s="82"/>
      <c r="L198" s="83"/>
      <c r="M198" s="84"/>
      <c r="N198" s="37"/>
      <c r="O198" s="38"/>
      <c r="P198" s="38"/>
      <c r="Q198" s="38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78"/>
      <c r="B199" s="79"/>
      <c r="C199" s="79"/>
      <c r="D199" s="80"/>
      <c r="E199" s="81"/>
      <c r="F199" s="81"/>
      <c r="G199" s="81"/>
      <c r="H199" s="81"/>
      <c r="I199" s="81"/>
      <c r="J199" s="81"/>
      <c r="K199" s="82"/>
      <c r="L199" s="83"/>
      <c r="M199" s="84"/>
      <c r="N199" s="37"/>
      <c r="O199" s="38"/>
      <c r="P199" s="38"/>
      <c r="Q199" s="38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78"/>
      <c r="B200" s="79"/>
      <c r="C200" s="79"/>
      <c r="D200" s="80"/>
      <c r="E200" s="81"/>
      <c r="F200" s="81"/>
      <c r="G200" s="81"/>
      <c r="H200" s="81"/>
      <c r="I200" s="81"/>
      <c r="J200" s="81"/>
      <c r="K200" s="82"/>
      <c r="L200" s="83"/>
      <c r="M200" s="84"/>
      <c r="N200" s="37"/>
      <c r="O200" s="38"/>
      <c r="P200" s="38"/>
      <c r="Q200" s="38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78"/>
      <c r="B201" s="79"/>
      <c r="C201" s="79"/>
      <c r="D201" s="80"/>
      <c r="E201" s="81"/>
      <c r="F201" s="81"/>
      <c r="G201" s="81"/>
      <c r="H201" s="81"/>
      <c r="I201" s="81"/>
      <c r="J201" s="81"/>
      <c r="K201" s="82"/>
      <c r="L201" s="83"/>
      <c r="M201" s="84"/>
      <c r="N201" s="37"/>
      <c r="O201" s="38"/>
      <c r="P201" s="38"/>
      <c r="Q201" s="38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78"/>
      <c r="B202" s="79"/>
      <c r="C202" s="79"/>
      <c r="D202" s="80"/>
      <c r="E202" s="81"/>
      <c r="F202" s="81"/>
      <c r="G202" s="81"/>
      <c r="H202" s="81"/>
      <c r="I202" s="81"/>
      <c r="J202" s="81"/>
      <c r="K202" s="82"/>
      <c r="L202" s="83"/>
      <c r="M202" s="84"/>
      <c r="N202" s="37"/>
      <c r="O202" s="38"/>
      <c r="P202" s="38"/>
      <c r="Q202" s="38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78"/>
      <c r="B203" s="79"/>
      <c r="C203" s="79"/>
      <c r="D203" s="80"/>
      <c r="E203" s="81"/>
      <c r="F203" s="81"/>
      <c r="G203" s="81"/>
      <c r="H203" s="81"/>
      <c r="I203" s="81"/>
      <c r="J203" s="81"/>
      <c r="K203" s="82"/>
      <c r="L203" s="83"/>
      <c r="M203" s="84"/>
      <c r="N203" s="37"/>
      <c r="O203" s="38"/>
      <c r="P203" s="38"/>
      <c r="Q203" s="38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78"/>
      <c r="B204" s="79"/>
      <c r="C204" s="79"/>
      <c r="D204" s="80"/>
      <c r="E204" s="81"/>
      <c r="F204" s="81"/>
      <c r="G204" s="81"/>
      <c r="H204" s="81"/>
      <c r="I204" s="81"/>
      <c r="J204" s="81"/>
      <c r="K204" s="82"/>
      <c r="L204" s="83"/>
      <c r="M204" s="84"/>
      <c r="N204" s="37"/>
      <c r="O204" s="38"/>
      <c r="P204" s="38"/>
      <c r="Q204" s="38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78"/>
      <c r="B205" s="79"/>
      <c r="C205" s="79"/>
      <c r="D205" s="80"/>
      <c r="E205" s="81"/>
      <c r="F205" s="81"/>
      <c r="G205" s="81"/>
      <c r="H205" s="81"/>
      <c r="I205" s="81"/>
      <c r="J205" s="81"/>
      <c r="K205" s="82"/>
      <c r="L205" s="83"/>
      <c r="M205" s="84"/>
      <c r="N205" s="37"/>
      <c r="O205" s="38"/>
      <c r="P205" s="38"/>
      <c r="Q205" s="38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78"/>
      <c r="B206" s="79"/>
      <c r="C206" s="79"/>
      <c r="D206" s="80"/>
      <c r="E206" s="81"/>
      <c r="F206" s="81"/>
      <c r="G206" s="81"/>
      <c r="H206" s="81"/>
      <c r="I206" s="81"/>
      <c r="J206" s="81"/>
      <c r="K206" s="82"/>
      <c r="L206" s="83"/>
      <c r="M206" s="84"/>
      <c r="N206" s="37"/>
      <c r="O206" s="38"/>
      <c r="P206" s="38"/>
      <c r="Q206" s="38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78"/>
      <c r="B207" s="79"/>
      <c r="C207" s="79"/>
      <c r="D207" s="80"/>
      <c r="E207" s="81"/>
      <c r="F207" s="81"/>
      <c r="G207" s="81"/>
      <c r="H207" s="81"/>
      <c r="I207" s="81"/>
      <c r="J207" s="81"/>
      <c r="K207" s="82"/>
      <c r="L207" s="83"/>
      <c r="M207" s="84"/>
      <c r="N207" s="37"/>
      <c r="O207" s="38"/>
      <c r="P207" s="38"/>
      <c r="Q207" s="38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78"/>
      <c r="B208" s="79"/>
      <c r="C208" s="79"/>
      <c r="D208" s="80"/>
      <c r="E208" s="81"/>
      <c r="F208" s="81"/>
      <c r="G208" s="81"/>
      <c r="H208" s="81"/>
      <c r="I208" s="81"/>
      <c r="J208" s="81"/>
      <c r="K208" s="82"/>
      <c r="L208" s="83"/>
      <c r="M208" s="84"/>
      <c r="N208" s="37"/>
      <c r="O208" s="38"/>
      <c r="P208" s="38"/>
      <c r="Q208" s="38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78"/>
      <c r="B209" s="79"/>
      <c r="C209" s="79"/>
      <c r="D209" s="80"/>
      <c r="E209" s="81"/>
      <c r="F209" s="81"/>
      <c r="G209" s="81"/>
      <c r="H209" s="81"/>
      <c r="I209" s="81"/>
      <c r="J209" s="81"/>
      <c r="K209" s="82"/>
      <c r="L209" s="83"/>
      <c r="M209" s="84"/>
      <c r="N209" s="37"/>
      <c r="O209" s="38"/>
      <c r="P209" s="38"/>
      <c r="Q209" s="38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78"/>
      <c r="B210" s="79"/>
      <c r="C210" s="79"/>
      <c r="D210" s="80"/>
      <c r="E210" s="81"/>
      <c r="F210" s="81"/>
      <c r="G210" s="81"/>
      <c r="H210" s="81"/>
      <c r="I210" s="81"/>
      <c r="J210" s="81"/>
      <c r="K210" s="82"/>
      <c r="L210" s="83"/>
      <c r="M210" s="84"/>
      <c r="N210" s="37"/>
      <c r="O210" s="38"/>
      <c r="P210" s="38"/>
      <c r="Q210" s="38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78"/>
      <c r="B211" s="79"/>
      <c r="C211" s="79"/>
      <c r="D211" s="80"/>
      <c r="E211" s="81"/>
      <c r="F211" s="81"/>
      <c r="G211" s="81"/>
      <c r="H211" s="81"/>
      <c r="I211" s="81"/>
      <c r="J211" s="81"/>
      <c r="K211" s="82"/>
      <c r="L211" s="83"/>
      <c r="M211" s="84"/>
      <c r="N211" s="37"/>
      <c r="O211" s="38"/>
      <c r="P211" s="38"/>
      <c r="Q211" s="38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78"/>
      <c r="B212" s="79"/>
      <c r="C212" s="79"/>
      <c r="D212" s="80"/>
      <c r="E212" s="81"/>
      <c r="F212" s="81"/>
      <c r="G212" s="81"/>
      <c r="H212" s="81"/>
      <c r="I212" s="81"/>
      <c r="J212" s="81"/>
      <c r="K212" s="82"/>
      <c r="L212" s="83"/>
      <c r="M212" s="84"/>
      <c r="N212" s="37"/>
      <c r="O212" s="38"/>
      <c r="P212" s="38"/>
      <c r="Q212" s="38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78"/>
      <c r="B213" s="79"/>
      <c r="C213" s="79"/>
      <c r="D213" s="80"/>
      <c r="E213" s="81"/>
      <c r="F213" s="81"/>
      <c r="G213" s="81"/>
      <c r="H213" s="81"/>
      <c r="I213" s="81"/>
      <c r="J213" s="81"/>
      <c r="K213" s="82"/>
      <c r="L213" s="83"/>
      <c r="M213" s="84"/>
      <c r="N213" s="37"/>
      <c r="O213" s="38"/>
      <c r="P213" s="38"/>
      <c r="Q213" s="38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78"/>
      <c r="B214" s="79"/>
      <c r="C214" s="79"/>
      <c r="D214" s="80"/>
      <c r="E214" s="81"/>
      <c r="F214" s="81"/>
      <c r="G214" s="81"/>
      <c r="H214" s="81"/>
      <c r="I214" s="81"/>
      <c r="J214" s="81"/>
      <c r="K214" s="82"/>
      <c r="L214" s="83"/>
      <c r="M214" s="84"/>
      <c r="N214" s="37"/>
      <c r="O214" s="38"/>
      <c r="P214" s="38"/>
      <c r="Q214" s="38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78"/>
      <c r="B215" s="79"/>
      <c r="C215" s="79"/>
      <c r="D215" s="80"/>
      <c r="E215" s="81"/>
      <c r="F215" s="81"/>
      <c r="G215" s="81"/>
      <c r="H215" s="81"/>
      <c r="I215" s="81"/>
      <c r="J215" s="81"/>
      <c r="K215" s="82"/>
      <c r="L215" s="83"/>
      <c r="M215" s="84"/>
      <c r="N215" s="37"/>
      <c r="O215" s="38"/>
      <c r="P215" s="38"/>
      <c r="Q215" s="38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78"/>
      <c r="B216" s="79"/>
      <c r="C216" s="79"/>
      <c r="D216" s="80"/>
      <c r="E216" s="81"/>
      <c r="F216" s="81"/>
      <c r="G216" s="81"/>
      <c r="H216" s="81"/>
      <c r="I216" s="81"/>
      <c r="J216" s="81"/>
      <c r="K216" s="82"/>
      <c r="L216" s="83"/>
      <c r="M216" s="84"/>
      <c r="N216" s="37"/>
      <c r="O216" s="38"/>
      <c r="P216" s="38"/>
      <c r="Q216" s="38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78"/>
      <c r="B217" s="79"/>
      <c r="C217" s="79"/>
      <c r="D217" s="80"/>
      <c r="E217" s="81"/>
      <c r="F217" s="81"/>
      <c r="G217" s="81"/>
      <c r="H217" s="81"/>
      <c r="I217" s="81"/>
      <c r="J217" s="81"/>
      <c r="K217" s="82"/>
      <c r="L217" s="83"/>
      <c r="M217" s="84"/>
      <c r="N217" s="37"/>
      <c r="O217" s="38"/>
      <c r="P217" s="38"/>
      <c r="Q217" s="38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78"/>
      <c r="B218" s="79"/>
      <c r="C218" s="79"/>
      <c r="D218" s="80"/>
      <c r="E218" s="81"/>
      <c r="F218" s="81"/>
      <c r="G218" s="81"/>
      <c r="H218" s="81"/>
      <c r="I218" s="81"/>
      <c r="J218" s="81"/>
      <c r="K218" s="82"/>
      <c r="L218" s="83"/>
      <c r="M218" s="84"/>
      <c r="N218" s="37"/>
      <c r="O218" s="38"/>
      <c r="P218" s="38"/>
      <c r="Q218" s="38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78"/>
      <c r="B219" s="79"/>
      <c r="C219" s="79"/>
      <c r="D219" s="80"/>
      <c r="E219" s="81"/>
      <c r="F219" s="81"/>
      <c r="G219" s="81"/>
      <c r="H219" s="81"/>
      <c r="I219" s="81"/>
      <c r="J219" s="81"/>
      <c r="K219" s="82"/>
      <c r="L219" s="83"/>
      <c r="M219" s="84"/>
      <c r="N219" s="37"/>
      <c r="O219" s="38"/>
      <c r="P219" s="38"/>
      <c r="Q219" s="38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78"/>
      <c r="B220" s="79"/>
      <c r="C220" s="79"/>
      <c r="D220" s="80"/>
      <c r="E220" s="81"/>
      <c r="F220" s="81"/>
      <c r="G220" s="81"/>
      <c r="H220" s="81"/>
      <c r="I220" s="81"/>
      <c r="J220" s="81"/>
      <c r="K220" s="82"/>
      <c r="L220" s="83"/>
      <c r="M220" s="84"/>
      <c r="N220" s="37"/>
      <c r="O220" s="38"/>
      <c r="P220" s="38"/>
      <c r="Q220" s="38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78"/>
      <c r="B221" s="79"/>
      <c r="C221" s="79"/>
      <c r="D221" s="80"/>
      <c r="E221" s="81"/>
      <c r="F221" s="81"/>
      <c r="G221" s="81"/>
      <c r="H221" s="81"/>
      <c r="I221" s="81"/>
      <c r="J221" s="81"/>
      <c r="K221" s="82"/>
      <c r="L221" s="83"/>
      <c r="M221" s="84"/>
      <c r="N221" s="37"/>
      <c r="O221" s="38"/>
      <c r="P221" s="38"/>
      <c r="Q221" s="38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78"/>
      <c r="B222" s="79"/>
      <c r="C222" s="79"/>
      <c r="D222" s="80"/>
      <c r="E222" s="81"/>
      <c r="F222" s="81"/>
      <c r="G222" s="81"/>
      <c r="H222" s="81"/>
      <c r="I222" s="81"/>
      <c r="J222" s="81"/>
      <c r="K222" s="82"/>
      <c r="L222" s="83"/>
      <c r="M222" s="84"/>
      <c r="N222" s="37"/>
      <c r="O222" s="38"/>
      <c r="P222" s="38"/>
      <c r="Q222" s="38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78"/>
      <c r="B223" s="79"/>
      <c r="C223" s="79"/>
      <c r="D223" s="80"/>
      <c r="E223" s="81"/>
      <c r="F223" s="81"/>
      <c r="G223" s="81"/>
      <c r="H223" s="81"/>
      <c r="I223" s="81"/>
      <c r="J223" s="81"/>
      <c r="K223" s="82"/>
      <c r="L223" s="83"/>
      <c r="M223" s="84"/>
      <c r="N223" s="37"/>
      <c r="O223" s="38"/>
      <c r="P223" s="38"/>
      <c r="Q223" s="38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78"/>
      <c r="B224" s="79"/>
      <c r="C224" s="79"/>
      <c r="D224" s="80"/>
      <c r="E224" s="81"/>
      <c r="F224" s="81"/>
      <c r="G224" s="81"/>
      <c r="H224" s="81"/>
      <c r="I224" s="81"/>
      <c r="J224" s="81"/>
      <c r="K224" s="82"/>
      <c r="L224" s="83"/>
      <c r="M224" s="84"/>
      <c r="N224" s="37"/>
      <c r="O224" s="38"/>
      <c r="P224" s="38"/>
      <c r="Q224" s="38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78"/>
      <c r="B225" s="79"/>
      <c r="C225" s="79"/>
      <c r="D225" s="80"/>
      <c r="E225" s="81"/>
      <c r="F225" s="81"/>
      <c r="G225" s="81"/>
      <c r="H225" s="81"/>
      <c r="I225" s="81"/>
      <c r="J225" s="81"/>
      <c r="K225" s="82"/>
      <c r="L225" s="83"/>
      <c r="M225" s="84"/>
      <c r="N225" s="37"/>
      <c r="O225" s="38"/>
      <c r="P225" s="38"/>
      <c r="Q225" s="38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78"/>
      <c r="B226" s="79"/>
      <c r="C226" s="79"/>
      <c r="D226" s="80"/>
      <c r="E226" s="81"/>
      <c r="F226" s="81"/>
      <c r="G226" s="81"/>
      <c r="H226" s="81"/>
      <c r="I226" s="81"/>
      <c r="J226" s="81"/>
      <c r="K226" s="82"/>
      <c r="L226" s="83"/>
      <c r="M226" s="84"/>
      <c r="N226" s="37"/>
      <c r="O226" s="38"/>
      <c r="P226" s="38"/>
      <c r="Q226" s="38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78"/>
      <c r="B227" s="79"/>
      <c r="C227" s="79"/>
      <c r="D227" s="80"/>
      <c r="E227" s="81"/>
      <c r="F227" s="81"/>
      <c r="G227" s="81"/>
      <c r="H227" s="81"/>
      <c r="I227" s="81"/>
      <c r="J227" s="81"/>
      <c r="K227" s="82"/>
      <c r="L227" s="83"/>
      <c r="M227" s="84"/>
      <c r="N227" s="37"/>
      <c r="O227" s="38"/>
      <c r="P227" s="38"/>
      <c r="Q227" s="38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78"/>
      <c r="B228" s="79"/>
      <c r="C228" s="79"/>
      <c r="D228" s="80"/>
      <c r="E228" s="81"/>
      <c r="F228" s="81"/>
      <c r="G228" s="81"/>
      <c r="H228" s="81"/>
      <c r="I228" s="81"/>
      <c r="J228" s="81"/>
      <c r="K228" s="82"/>
      <c r="L228" s="83"/>
      <c r="M228" s="84"/>
      <c r="N228" s="37"/>
      <c r="O228" s="38"/>
      <c r="P228" s="38"/>
      <c r="Q228" s="38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78"/>
      <c r="B229" s="79"/>
      <c r="C229" s="79"/>
      <c r="D229" s="80"/>
      <c r="E229" s="81"/>
      <c r="F229" s="81"/>
      <c r="G229" s="81"/>
      <c r="H229" s="81"/>
      <c r="I229" s="81"/>
      <c r="J229" s="81"/>
      <c r="K229" s="82"/>
      <c r="L229" s="83"/>
      <c r="M229" s="84"/>
      <c r="N229" s="37"/>
      <c r="O229" s="38"/>
      <c r="P229" s="38"/>
      <c r="Q229" s="38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78"/>
      <c r="B230" s="79"/>
      <c r="C230" s="79"/>
      <c r="D230" s="80"/>
      <c r="E230" s="81"/>
      <c r="F230" s="81"/>
      <c r="G230" s="81"/>
      <c r="H230" s="81"/>
      <c r="I230" s="81"/>
      <c r="J230" s="81"/>
      <c r="K230" s="82"/>
      <c r="L230" s="83"/>
      <c r="M230" s="84"/>
      <c r="N230" s="37"/>
      <c r="O230" s="38"/>
      <c r="P230" s="38"/>
      <c r="Q230" s="38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78"/>
      <c r="B231" s="79"/>
      <c r="C231" s="79"/>
      <c r="D231" s="80"/>
      <c r="E231" s="81"/>
      <c r="F231" s="81"/>
      <c r="G231" s="81"/>
      <c r="H231" s="81"/>
      <c r="I231" s="81"/>
      <c r="J231" s="81"/>
      <c r="K231" s="82"/>
      <c r="L231" s="83"/>
      <c r="M231" s="84"/>
      <c r="N231" s="37"/>
      <c r="O231" s="38"/>
      <c r="P231" s="38"/>
      <c r="Q231" s="38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78"/>
      <c r="B232" s="79"/>
      <c r="C232" s="79"/>
      <c r="D232" s="80"/>
      <c r="E232" s="81"/>
      <c r="F232" s="81"/>
      <c r="G232" s="81"/>
      <c r="H232" s="81"/>
      <c r="I232" s="81"/>
      <c r="J232" s="81"/>
      <c r="K232" s="82"/>
      <c r="L232" s="83"/>
      <c r="M232" s="84"/>
      <c r="N232" s="37"/>
      <c r="O232" s="38"/>
      <c r="P232" s="38"/>
      <c r="Q232" s="38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78"/>
      <c r="B233" s="79"/>
      <c r="C233" s="79"/>
      <c r="D233" s="80"/>
      <c r="E233" s="81"/>
      <c r="F233" s="81"/>
      <c r="G233" s="81"/>
      <c r="H233" s="81"/>
      <c r="I233" s="81"/>
      <c r="J233" s="81"/>
      <c r="K233" s="82"/>
      <c r="L233" s="83"/>
      <c r="M233" s="84"/>
      <c r="N233" s="37"/>
      <c r="O233" s="38"/>
      <c r="P233" s="38"/>
      <c r="Q233" s="38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78"/>
      <c r="B234" s="79"/>
      <c r="C234" s="79"/>
      <c r="D234" s="80"/>
      <c r="E234" s="81"/>
      <c r="F234" s="81"/>
      <c r="G234" s="81"/>
      <c r="H234" s="81"/>
      <c r="I234" s="81"/>
      <c r="J234" s="81"/>
      <c r="K234" s="82"/>
      <c r="L234" s="83"/>
      <c r="M234" s="84"/>
      <c r="N234" s="37"/>
      <c r="O234" s="38"/>
      <c r="P234" s="38"/>
      <c r="Q234" s="38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78"/>
      <c r="B235" s="79"/>
      <c r="C235" s="79"/>
      <c r="D235" s="80"/>
      <c r="E235" s="81"/>
      <c r="F235" s="81"/>
      <c r="G235" s="81"/>
      <c r="H235" s="81"/>
      <c r="I235" s="81"/>
      <c r="J235" s="81"/>
      <c r="K235" s="82"/>
      <c r="L235" s="83"/>
      <c r="M235" s="84"/>
      <c r="N235" s="37"/>
      <c r="O235" s="38"/>
      <c r="P235" s="38"/>
      <c r="Q235" s="38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78"/>
      <c r="B236" s="79"/>
      <c r="C236" s="79"/>
      <c r="D236" s="80"/>
      <c r="E236" s="81"/>
      <c r="F236" s="81"/>
      <c r="G236" s="81"/>
      <c r="H236" s="81"/>
      <c r="I236" s="81"/>
      <c r="J236" s="81"/>
      <c r="K236" s="82"/>
      <c r="L236" s="83"/>
      <c r="M236" s="84"/>
      <c r="N236" s="37"/>
      <c r="O236" s="38"/>
      <c r="P236" s="38"/>
      <c r="Q236" s="38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78"/>
      <c r="B237" s="79"/>
      <c r="C237" s="79"/>
      <c r="D237" s="80"/>
      <c r="E237" s="81"/>
      <c r="F237" s="81"/>
      <c r="G237" s="81"/>
      <c r="H237" s="81"/>
      <c r="I237" s="81"/>
      <c r="J237" s="81"/>
      <c r="K237" s="82"/>
      <c r="L237" s="83"/>
      <c r="M237" s="84"/>
      <c r="N237" s="37"/>
      <c r="O237" s="38"/>
      <c r="P237" s="38"/>
      <c r="Q237" s="38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78"/>
      <c r="B238" s="79"/>
      <c r="C238" s="79"/>
      <c r="D238" s="80"/>
      <c r="E238" s="81"/>
      <c r="F238" s="81"/>
      <c r="G238" s="81"/>
      <c r="H238" s="81"/>
      <c r="I238" s="81"/>
      <c r="J238" s="81"/>
      <c r="K238" s="82"/>
      <c r="L238" s="83"/>
      <c r="M238" s="84"/>
      <c r="N238" s="37"/>
      <c r="O238" s="38"/>
      <c r="P238" s="38"/>
      <c r="Q238" s="38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78"/>
      <c r="B239" s="79"/>
      <c r="C239" s="79"/>
      <c r="D239" s="80"/>
      <c r="E239" s="81"/>
      <c r="F239" s="81"/>
      <c r="G239" s="81"/>
      <c r="H239" s="81"/>
      <c r="I239" s="81"/>
      <c r="J239" s="81"/>
      <c r="K239" s="82"/>
      <c r="L239" s="83"/>
      <c r="M239" s="84"/>
      <c r="N239" s="37"/>
      <c r="O239" s="38"/>
      <c r="P239" s="38"/>
      <c r="Q239" s="38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78"/>
      <c r="B240" s="79"/>
      <c r="C240" s="79"/>
      <c r="D240" s="80"/>
      <c r="E240" s="81"/>
      <c r="F240" s="81"/>
      <c r="G240" s="81"/>
      <c r="H240" s="81"/>
      <c r="I240" s="81"/>
      <c r="J240" s="81"/>
      <c r="K240" s="82"/>
      <c r="L240" s="83"/>
      <c r="M240" s="84"/>
      <c r="N240" s="37"/>
      <c r="O240" s="38"/>
      <c r="P240" s="38"/>
      <c r="Q240" s="38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78"/>
      <c r="B241" s="79"/>
      <c r="C241" s="79"/>
      <c r="D241" s="80"/>
      <c r="E241" s="81"/>
      <c r="F241" s="81"/>
      <c r="G241" s="81"/>
      <c r="H241" s="81"/>
      <c r="I241" s="81"/>
      <c r="J241" s="81"/>
      <c r="K241" s="82"/>
      <c r="L241" s="83"/>
      <c r="M241" s="84"/>
      <c r="N241" s="37"/>
      <c r="O241" s="38"/>
      <c r="P241" s="38"/>
      <c r="Q241" s="38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78"/>
      <c r="B242" s="79"/>
      <c r="C242" s="79"/>
      <c r="D242" s="80"/>
      <c r="E242" s="81"/>
      <c r="F242" s="81"/>
      <c r="G242" s="81"/>
      <c r="H242" s="81"/>
      <c r="I242" s="81"/>
      <c r="J242" s="81"/>
      <c r="K242" s="82"/>
      <c r="L242" s="83"/>
      <c r="M242" s="84"/>
      <c r="N242" s="37"/>
      <c r="O242" s="38"/>
      <c r="P242" s="38"/>
      <c r="Q242" s="38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78"/>
      <c r="B243" s="79"/>
      <c r="C243" s="79"/>
      <c r="D243" s="80"/>
      <c r="E243" s="81"/>
      <c r="F243" s="81"/>
      <c r="G243" s="81"/>
      <c r="H243" s="81"/>
      <c r="I243" s="81"/>
      <c r="J243" s="81"/>
      <c r="K243" s="82"/>
      <c r="L243" s="83"/>
      <c r="M243" s="84"/>
      <c r="N243" s="37"/>
      <c r="O243" s="38"/>
      <c r="P243" s="38"/>
      <c r="Q243" s="38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78"/>
      <c r="B244" s="79"/>
      <c r="C244" s="79"/>
      <c r="D244" s="80"/>
      <c r="E244" s="81"/>
      <c r="F244" s="81"/>
      <c r="G244" s="81"/>
      <c r="H244" s="81"/>
      <c r="I244" s="81"/>
      <c r="J244" s="81"/>
      <c r="K244" s="82"/>
      <c r="L244" s="83"/>
      <c r="M244" s="84"/>
      <c r="N244" s="37"/>
      <c r="O244" s="38"/>
      <c r="P244" s="38"/>
      <c r="Q244" s="38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78"/>
      <c r="B245" s="79"/>
      <c r="C245" s="79"/>
      <c r="D245" s="80"/>
      <c r="E245" s="81"/>
      <c r="F245" s="81"/>
      <c r="G245" s="81"/>
      <c r="H245" s="81"/>
      <c r="I245" s="81"/>
      <c r="J245" s="81"/>
      <c r="K245" s="82"/>
      <c r="L245" s="83"/>
      <c r="M245" s="84"/>
      <c r="N245" s="37"/>
      <c r="O245" s="38"/>
      <c r="P245" s="38"/>
      <c r="Q245" s="38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78"/>
      <c r="B246" s="79"/>
      <c r="C246" s="79"/>
      <c r="D246" s="80"/>
      <c r="E246" s="81"/>
      <c r="F246" s="81"/>
      <c r="G246" s="81"/>
      <c r="H246" s="81"/>
      <c r="I246" s="81"/>
      <c r="J246" s="81"/>
      <c r="K246" s="82"/>
      <c r="L246" s="83"/>
      <c r="M246" s="84"/>
      <c r="N246" s="37"/>
      <c r="O246" s="38"/>
      <c r="P246" s="38"/>
      <c r="Q246" s="38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78"/>
      <c r="B247" s="79"/>
      <c r="C247" s="79"/>
      <c r="D247" s="80"/>
      <c r="E247" s="81"/>
      <c r="F247" s="81"/>
      <c r="G247" s="81"/>
      <c r="H247" s="81"/>
      <c r="I247" s="81"/>
      <c r="J247" s="81"/>
      <c r="K247" s="82"/>
      <c r="L247" s="83"/>
      <c r="M247" s="84"/>
      <c r="N247" s="37"/>
      <c r="O247" s="38"/>
      <c r="P247" s="38"/>
      <c r="Q247" s="38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78"/>
      <c r="B248" s="79"/>
      <c r="C248" s="79"/>
      <c r="D248" s="80"/>
      <c r="E248" s="81"/>
      <c r="F248" s="81"/>
      <c r="G248" s="81"/>
      <c r="H248" s="81"/>
      <c r="I248" s="81"/>
      <c r="J248" s="81"/>
      <c r="K248" s="82"/>
      <c r="L248" s="83"/>
      <c r="M248" s="84"/>
      <c r="N248" s="37"/>
      <c r="O248" s="38"/>
      <c r="P248" s="38"/>
      <c r="Q248" s="38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78"/>
      <c r="B249" s="79"/>
      <c r="C249" s="79"/>
      <c r="D249" s="80"/>
      <c r="E249" s="81"/>
      <c r="F249" s="81"/>
      <c r="G249" s="81"/>
      <c r="H249" s="81"/>
      <c r="I249" s="81"/>
      <c r="J249" s="81"/>
      <c r="K249" s="82"/>
      <c r="L249" s="83"/>
      <c r="M249" s="84"/>
      <c r="N249" s="37"/>
      <c r="O249" s="38"/>
      <c r="P249" s="38"/>
      <c r="Q249" s="38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78"/>
      <c r="B250" s="79"/>
      <c r="C250" s="79"/>
      <c r="D250" s="80"/>
      <c r="E250" s="81"/>
      <c r="F250" s="81"/>
      <c r="G250" s="81"/>
      <c r="H250" s="81"/>
      <c r="I250" s="81"/>
      <c r="J250" s="81"/>
      <c r="K250" s="82"/>
      <c r="L250" s="83"/>
      <c r="M250" s="84"/>
      <c r="N250" s="37"/>
      <c r="O250" s="38"/>
      <c r="P250" s="38"/>
      <c r="Q250" s="38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78"/>
      <c r="B251" s="79"/>
      <c r="C251" s="79"/>
      <c r="D251" s="80"/>
      <c r="E251" s="81"/>
      <c r="F251" s="81"/>
      <c r="G251" s="81"/>
      <c r="H251" s="81"/>
      <c r="I251" s="81"/>
      <c r="J251" s="81"/>
      <c r="K251" s="82"/>
      <c r="L251" s="83"/>
      <c r="M251" s="84"/>
      <c r="N251" s="37"/>
      <c r="O251" s="38"/>
      <c r="P251" s="38"/>
      <c r="Q251" s="38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78"/>
      <c r="B252" s="79"/>
      <c r="C252" s="79"/>
      <c r="D252" s="80"/>
      <c r="E252" s="81"/>
      <c r="F252" s="81"/>
      <c r="G252" s="81"/>
      <c r="H252" s="81"/>
      <c r="I252" s="81"/>
      <c r="J252" s="81"/>
      <c r="K252" s="82"/>
      <c r="L252" s="83"/>
      <c r="M252" s="84"/>
      <c r="N252" s="37"/>
      <c r="O252" s="38"/>
      <c r="P252" s="38"/>
      <c r="Q252" s="38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78"/>
      <c r="B253" s="79"/>
      <c r="C253" s="79"/>
      <c r="D253" s="80"/>
      <c r="E253" s="81"/>
      <c r="F253" s="81"/>
      <c r="G253" s="81"/>
      <c r="H253" s="81"/>
      <c r="I253" s="81"/>
      <c r="J253" s="81"/>
      <c r="K253" s="82"/>
      <c r="L253" s="83"/>
      <c r="M253" s="84"/>
      <c r="N253" s="37"/>
      <c r="O253" s="38"/>
      <c r="P253" s="38"/>
      <c r="Q253" s="38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78"/>
      <c r="B254" s="79"/>
      <c r="C254" s="79"/>
      <c r="D254" s="80"/>
      <c r="E254" s="81"/>
      <c r="F254" s="81"/>
      <c r="G254" s="81"/>
      <c r="H254" s="81"/>
      <c r="I254" s="81"/>
      <c r="J254" s="81"/>
      <c r="K254" s="82"/>
      <c r="L254" s="83"/>
      <c r="M254" s="84"/>
      <c r="N254" s="37"/>
      <c r="O254" s="38"/>
      <c r="P254" s="38"/>
      <c r="Q254" s="38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78"/>
      <c r="B255" s="79"/>
      <c r="C255" s="79"/>
      <c r="D255" s="80"/>
      <c r="E255" s="81"/>
      <c r="F255" s="81"/>
      <c r="G255" s="81"/>
      <c r="H255" s="81"/>
      <c r="I255" s="81"/>
      <c r="J255" s="81"/>
      <c r="K255" s="82"/>
      <c r="L255" s="83"/>
      <c r="M255" s="84"/>
      <c r="N255" s="37"/>
      <c r="O255" s="38"/>
      <c r="P255" s="38"/>
      <c r="Q255" s="38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78"/>
      <c r="B256" s="79"/>
      <c r="C256" s="79"/>
      <c r="D256" s="80"/>
      <c r="E256" s="81"/>
      <c r="F256" s="81"/>
      <c r="G256" s="81"/>
      <c r="H256" s="81"/>
      <c r="I256" s="81"/>
      <c r="J256" s="81"/>
      <c r="K256" s="82"/>
      <c r="L256" s="83"/>
      <c r="M256" s="84"/>
      <c r="N256" s="37"/>
      <c r="O256" s="38"/>
      <c r="P256" s="38"/>
      <c r="Q256" s="38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78"/>
      <c r="B257" s="79"/>
      <c r="C257" s="79"/>
      <c r="D257" s="80"/>
      <c r="E257" s="81"/>
      <c r="F257" s="81"/>
      <c r="G257" s="81"/>
      <c r="H257" s="81"/>
      <c r="I257" s="81"/>
      <c r="J257" s="81"/>
      <c r="K257" s="82"/>
      <c r="L257" s="83"/>
      <c r="M257" s="84"/>
      <c r="N257" s="37"/>
      <c r="O257" s="38"/>
      <c r="P257" s="38"/>
      <c r="Q257" s="38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78"/>
      <c r="B258" s="79"/>
      <c r="C258" s="79"/>
      <c r="D258" s="80"/>
      <c r="E258" s="81"/>
      <c r="F258" s="81"/>
      <c r="G258" s="81"/>
      <c r="H258" s="81"/>
      <c r="I258" s="81"/>
      <c r="J258" s="81"/>
      <c r="K258" s="82"/>
      <c r="L258" s="83"/>
      <c r="M258" s="84"/>
      <c r="N258" s="37"/>
      <c r="O258" s="38"/>
      <c r="P258" s="38"/>
      <c r="Q258" s="38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78"/>
      <c r="B259" s="79"/>
      <c r="C259" s="79"/>
      <c r="D259" s="80"/>
      <c r="E259" s="81"/>
      <c r="F259" s="81"/>
      <c r="G259" s="81"/>
      <c r="H259" s="81"/>
      <c r="I259" s="81"/>
      <c r="J259" s="81"/>
      <c r="K259" s="82"/>
      <c r="L259" s="83"/>
      <c r="M259" s="84"/>
      <c r="N259" s="37"/>
      <c r="O259" s="38"/>
      <c r="P259" s="38"/>
      <c r="Q259" s="38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78"/>
      <c r="B260" s="79"/>
      <c r="C260" s="79"/>
      <c r="D260" s="80"/>
      <c r="E260" s="81"/>
      <c r="F260" s="81"/>
      <c r="G260" s="81"/>
      <c r="H260" s="81"/>
      <c r="I260" s="81"/>
      <c r="J260" s="81"/>
      <c r="K260" s="82"/>
      <c r="L260" s="83"/>
      <c r="M260" s="84"/>
      <c r="N260" s="37"/>
      <c r="O260" s="38"/>
      <c r="P260" s="38"/>
      <c r="Q260" s="38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78"/>
      <c r="B261" s="79"/>
      <c r="C261" s="79"/>
      <c r="D261" s="80"/>
      <c r="E261" s="81"/>
      <c r="F261" s="81"/>
      <c r="G261" s="81"/>
      <c r="H261" s="81"/>
      <c r="I261" s="81"/>
      <c r="J261" s="81"/>
      <c r="K261" s="82"/>
      <c r="L261" s="83"/>
      <c r="M261" s="84"/>
      <c r="N261" s="37"/>
      <c r="O261" s="38"/>
      <c r="P261" s="38"/>
      <c r="Q261" s="38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78"/>
      <c r="B262" s="79"/>
      <c r="C262" s="79"/>
      <c r="D262" s="80"/>
      <c r="E262" s="81"/>
      <c r="F262" s="81"/>
      <c r="G262" s="81"/>
      <c r="H262" s="81"/>
      <c r="I262" s="81"/>
      <c r="J262" s="81"/>
      <c r="K262" s="82"/>
      <c r="L262" s="83"/>
      <c r="M262" s="84"/>
      <c r="N262" s="37"/>
      <c r="O262" s="38"/>
      <c r="P262" s="38"/>
      <c r="Q262" s="38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78"/>
      <c r="B263" s="79"/>
      <c r="C263" s="79"/>
      <c r="D263" s="80"/>
      <c r="E263" s="81"/>
      <c r="F263" s="81"/>
      <c r="G263" s="81"/>
      <c r="H263" s="81"/>
      <c r="I263" s="81"/>
      <c r="J263" s="81"/>
      <c r="K263" s="82"/>
      <c r="L263" s="83"/>
      <c r="M263" s="84"/>
      <c r="N263" s="37"/>
      <c r="O263" s="38"/>
      <c r="P263" s="38"/>
      <c r="Q263" s="38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78"/>
      <c r="B264" s="79"/>
      <c r="C264" s="79"/>
      <c r="D264" s="80"/>
      <c r="E264" s="81"/>
      <c r="F264" s="81"/>
      <c r="G264" s="81"/>
      <c r="H264" s="81"/>
      <c r="I264" s="81"/>
      <c r="J264" s="81"/>
      <c r="K264" s="82"/>
      <c r="L264" s="83"/>
      <c r="M264" s="84"/>
      <c r="N264" s="37"/>
      <c r="O264" s="38"/>
      <c r="P264" s="38"/>
      <c r="Q264" s="38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78"/>
      <c r="B265" s="79"/>
      <c r="C265" s="79"/>
      <c r="D265" s="80"/>
      <c r="E265" s="81"/>
      <c r="F265" s="81"/>
      <c r="G265" s="81"/>
      <c r="H265" s="81"/>
      <c r="I265" s="81"/>
      <c r="J265" s="81"/>
      <c r="K265" s="82"/>
      <c r="L265" s="83"/>
      <c r="M265" s="84"/>
      <c r="N265" s="37"/>
      <c r="O265" s="38"/>
      <c r="P265" s="38"/>
      <c r="Q265" s="38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78"/>
      <c r="B266" s="79"/>
      <c r="C266" s="79"/>
      <c r="D266" s="80"/>
      <c r="E266" s="81"/>
      <c r="F266" s="81"/>
      <c r="G266" s="81"/>
      <c r="H266" s="81"/>
      <c r="I266" s="81"/>
      <c r="J266" s="81"/>
      <c r="K266" s="82"/>
      <c r="L266" s="83"/>
      <c r="M266" s="84"/>
      <c r="N266" s="37"/>
      <c r="O266" s="38"/>
      <c r="P266" s="38"/>
      <c r="Q266" s="38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78"/>
      <c r="B267" s="79"/>
      <c r="C267" s="79"/>
      <c r="D267" s="80"/>
      <c r="E267" s="81"/>
      <c r="F267" s="81"/>
      <c r="G267" s="81"/>
      <c r="H267" s="81"/>
      <c r="I267" s="81"/>
      <c r="J267" s="81"/>
      <c r="K267" s="82"/>
      <c r="L267" s="83"/>
      <c r="M267" s="84"/>
      <c r="N267" s="37"/>
      <c r="O267" s="38"/>
      <c r="P267" s="38"/>
      <c r="Q267" s="38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78"/>
      <c r="B268" s="79"/>
      <c r="C268" s="79"/>
      <c r="D268" s="80"/>
      <c r="E268" s="81"/>
      <c r="F268" s="81"/>
      <c r="G268" s="81"/>
      <c r="H268" s="81"/>
      <c r="I268" s="81"/>
      <c r="J268" s="81"/>
      <c r="K268" s="82"/>
      <c r="L268" s="83"/>
      <c r="M268" s="84"/>
      <c r="N268" s="37"/>
      <c r="O268" s="38"/>
      <c r="P268" s="38"/>
      <c r="Q268" s="38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78"/>
      <c r="B269" s="79"/>
      <c r="C269" s="79"/>
      <c r="D269" s="80"/>
      <c r="E269" s="81"/>
      <c r="F269" s="81"/>
      <c r="G269" s="81"/>
      <c r="H269" s="81"/>
      <c r="I269" s="81"/>
      <c r="J269" s="81"/>
      <c r="K269" s="82"/>
      <c r="L269" s="83"/>
      <c r="M269" s="84"/>
      <c r="N269" s="37"/>
      <c r="O269" s="38"/>
      <c r="P269" s="38"/>
      <c r="Q269" s="38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78"/>
      <c r="B270" s="79"/>
      <c r="C270" s="79"/>
      <c r="D270" s="80"/>
      <c r="E270" s="81"/>
      <c r="F270" s="81"/>
      <c r="G270" s="81"/>
      <c r="H270" s="81"/>
      <c r="I270" s="81"/>
      <c r="J270" s="81"/>
      <c r="K270" s="82"/>
      <c r="L270" s="83"/>
      <c r="M270" s="84"/>
      <c r="N270" s="37"/>
      <c r="O270" s="38"/>
      <c r="P270" s="38"/>
      <c r="Q270" s="38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78"/>
      <c r="B271" s="79"/>
      <c r="C271" s="79"/>
      <c r="D271" s="80"/>
      <c r="E271" s="81"/>
      <c r="F271" s="81"/>
      <c r="G271" s="81"/>
      <c r="H271" s="81"/>
      <c r="I271" s="81"/>
      <c r="J271" s="81"/>
      <c r="K271" s="82"/>
      <c r="L271" s="83"/>
      <c r="M271" s="84"/>
      <c r="N271" s="37"/>
      <c r="O271" s="38"/>
      <c r="P271" s="38"/>
      <c r="Q271" s="38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78"/>
      <c r="B272" s="79"/>
      <c r="C272" s="79"/>
      <c r="D272" s="80"/>
      <c r="E272" s="81"/>
      <c r="F272" s="81"/>
      <c r="G272" s="81"/>
      <c r="H272" s="81"/>
      <c r="I272" s="81"/>
      <c r="J272" s="81"/>
      <c r="K272" s="82"/>
      <c r="L272" s="83"/>
      <c r="M272" s="84"/>
      <c r="N272" s="37"/>
      <c r="O272" s="38"/>
      <c r="P272" s="38"/>
      <c r="Q272" s="38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78"/>
      <c r="B273" s="79"/>
      <c r="C273" s="79"/>
      <c r="D273" s="80"/>
      <c r="E273" s="81"/>
      <c r="F273" s="81"/>
      <c r="G273" s="81"/>
      <c r="H273" s="81"/>
      <c r="I273" s="81"/>
      <c r="J273" s="81"/>
      <c r="K273" s="82"/>
      <c r="L273" s="83"/>
      <c r="M273" s="84"/>
      <c r="N273" s="37"/>
      <c r="O273" s="38"/>
      <c r="P273" s="38"/>
      <c r="Q273" s="38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78"/>
      <c r="B274" s="79"/>
      <c r="C274" s="79"/>
      <c r="D274" s="80"/>
      <c r="E274" s="81"/>
      <c r="F274" s="81"/>
      <c r="G274" s="81"/>
      <c r="H274" s="81"/>
      <c r="I274" s="81"/>
      <c r="J274" s="81"/>
      <c r="K274" s="82"/>
      <c r="L274" s="83"/>
      <c r="M274" s="84"/>
      <c r="N274" s="37"/>
      <c r="O274" s="38"/>
      <c r="P274" s="38"/>
      <c r="Q274" s="38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78"/>
      <c r="B275" s="79"/>
      <c r="C275" s="79"/>
      <c r="D275" s="80"/>
      <c r="E275" s="81"/>
      <c r="F275" s="81"/>
      <c r="G275" s="81"/>
      <c r="H275" s="81"/>
      <c r="I275" s="81"/>
      <c r="J275" s="81"/>
      <c r="K275" s="82"/>
      <c r="L275" s="83"/>
      <c r="M275" s="84"/>
      <c r="N275" s="37"/>
      <c r="O275" s="38"/>
      <c r="P275" s="38"/>
      <c r="Q275" s="38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78"/>
      <c r="B276" s="79"/>
      <c r="C276" s="79"/>
      <c r="D276" s="80"/>
      <c r="E276" s="81"/>
      <c r="F276" s="81"/>
      <c r="G276" s="81"/>
      <c r="H276" s="81"/>
      <c r="I276" s="81"/>
      <c r="J276" s="81"/>
      <c r="K276" s="82"/>
      <c r="L276" s="83"/>
      <c r="M276" s="84"/>
      <c r="N276" s="37"/>
      <c r="O276" s="38"/>
      <c r="P276" s="38"/>
      <c r="Q276" s="38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78"/>
      <c r="B277" s="79"/>
      <c r="C277" s="79"/>
      <c r="D277" s="80"/>
      <c r="E277" s="81"/>
      <c r="F277" s="81"/>
      <c r="G277" s="81"/>
      <c r="H277" s="81"/>
      <c r="I277" s="81"/>
      <c r="J277" s="81"/>
      <c r="K277" s="82"/>
      <c r="L277" s="83"/>
      <c r="M277" s="84"/>
      <c r="N277" s="37"/>
      <c r="O277" s="38"/>
      <c r="P277" s="38"/>
      <c r="Q277" s="38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78"/>
      <c r="B278" s="79"/>
      <c r="C278" s="79"/>
      <c r="D278" s="80"/>
      <c r="E278" s="81"/>
      <c r="F278" s="81"/>
      <c r="G278" s="81"/>
      <c r="H278" s="81"/>
      <c r="I278" s="81"/>
      <c r="J278" s="81"/>
      <c r="K278" s="82"/>
      <c r="L278" s="83"/>
      <c r="M278" s="84"/>
      <c r="N278" s="37"/>
      <c r="O278" s="38"/>
      <c r="P278" s="38"/>
      <c r="Q278" s="38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78"/>
      <c r="B279" s="79"/>
      <c r="C279" s="79"/>
      <c r="D279" s="80"/>
      <c r="E279" s="81"/>
      <c r="F279" s="81"/>
      <c r="G279" s="81"/>
      <c r="H279" s="81"/>
      <c r="I279" s="81"/>
      <c r="J279" s="81"/>
      <c r="K279" s="82"/>
      <c r="L279" s="83"/>
      <c r="M279" s="84"/>
      <c r="N279" s="37"/>
      <c r="O279" s="38"/>
      <c r="P279" s="38"/>
      <c r="Q279" s="38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78"/>
      <c r="B280" s="79"/>
      <c r="C280" s="79"/>
      <c r="D280" s="80"/>
      <c r="E280" s="81"/>
      <c r="F280" s="81"/>
      <c r="G280" s="81"/>
      <c r="H280" s="81"/>
      <c r="I280" s="81"/>
      <c r="J280" s="81"/>
      <c r="K280" s="82"/>
      <c r="L280" s="83"/>
      <c r="M280" s="84"/>
      <c r="N280" s="37"/>
      <c r="O280" s="38"/>
      <c r="P280" s="38"/>
      <c r="Q280" s="38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78"/>
      <c r="B281" s="79"/>
      <c r="C281" s="79"/>
      <c r="D281" s="80"/>
      <c r="E281" s="81"/>
      <c r="F281" s="81"/>
      <c r="G281" s="81"/>
      <c r="H281" s="81"/>
      <c r="I281" s="81"/>
      <c r="J281" s="81"/>
      <c r="K281" s="82"/>
      <c r="L281" s="83"/>
      <c r="M281" s="84"/>
      <c r="N281" s="37"/>
      <c r="O281" s="38"/>
      <c r="P281" s="38"/>
      <c r="Q281" s="38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78"/>
      <c r="B282" s="79"/>
      <c r="C282" s="79"/>
      <c r="D282" s="80"/>
      <c r="E282" s="81"/>
      <c r="F282" s="81"/>
      <c r="G282" s="81"/>
      <c r="H282" s="81"/>
      <c r="I282" s="81"/>
      <c r="J282" s="81"/>
      <c r="K282" s="82"/>
      <c r="L282" s="83"/>
      <c r="M282" s="84"/>
      <c r="N282" s="37"/>
      <c r="O282" s="38"/>
      <c r="P282" s="38"/>
      <c r="Q282" s="38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78"/>
      <c r="B283" s="79"/>
      <c r="C283" s="79"/>
      <c r="D283" s="80"/>
      <c r="E283" s="81"/>
      <c r="F283" s="81"/>
      <c r="G283" s="81"/>
      <c r="H283" s="81"/>
      <c r="I283" s="81"/>
      <c r="J283" s="81"/>
      <c r="K283" s="82"/>
      <c r="L283" s="83"/>
      <c r="M283" s="84"/>
      <c r="N283" s="37"/>
      <c r="O283" s="38"/>
      <c r="P283" s="38"/>
      <c r="Q283" s="38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78"/>
      <c r="B284" s="79"/>
      <c r="C284" s="79"/>
      <c r="D284" s="80"/>
      <c r="E284" s="81"/>
      <c r="F284" s="81"/>
      <c r="G284" s="81"/>
      <c r="H284" s="81"/>
      <c r="I284" s="81"/>
      <c r="J284" s="81"/>
      <c r="K284" s="82"/>
      <c r="L284" s="83"/>
      <c r="M284" s="84"/>
      <c r="N284" s="37"/>
      <c r="O284" s="38"/>
      <c r="P284" s="38"/>
      <c r="Q284" s="38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78"/>
      <c r="B285" s="79"/>
      <c r="C285" s="79"/>
      <c r="D285" s="80"/>
      <c r="E285" s="81"/>
      <c r="F285" s="81"/>
      <c r="G285" s="81"/>
      <c r="H285" s="81"/>
      <c r="I285" s="81"/>
      <c r="J285" s="81"/>
      <c r="K285" s="82"/>
      <c r="L285" s="83"/>
      <c r="M285" s="84"/>
      <c r="N285" s="37"/>
      <c r="O285" s="38"/>
      <c r="P285" s="38"/>
      <c r="Q285" s="38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78"/>
      <c r="B286" s="79"/>
      <c r="C286" s="79"/>
      <c r="D286" s="80"/>
      <c r="E286" s="81"/>
      <c r="F286" s="81"/>
      <c r="G286" s="81"/>
      <c r="H286" s="81"/>
      <c r="I286" s="81"/>
      <c r="J286" s="81"/>
      <c r="K286" s="82"/>
      <c r="L286" s="83"/>
      <c r="M286" s="84"/>
      <c r="N286" s="37"/>
      <c r="O286" s="38"/>
      <c r="P286" s="38"/>
      <c r="Q286" s="38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78"/>
      <c r="B287" s="79"/>
      <c r="C287" s="79"/>
      <c r="D287" s="80"/>
      <c r="E287" s="81"/>
      <c r="F287" s="81"/>
      <c r="G287" s="81"/>
      <c r="H287" s="81"/>
      <c r="I287" s="81"/>
      <c r="J287" s="81"/>
      <c r="K287" s="82"/>
      <c r="L287" s="83"/>
      <c r="M287" s="84"/>
      <c r="N287" s="37"/>
      <c r="O287" s="38"/>
      <c r="P287" s="38"/>
      <c r="Q287" s="38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78"/>
      <c r="B288" s="79"/>
      <c r="C288" s="79"/>
      <c r="D288" s="80"/>
      <c r="E288" s="81"/>
      <c r="F288" s="81"/>
      <c r="G288" s="81"/>
      <c r="H288" s="81"/>
      <c r="I288" s="81"/>
      <c r="J288" s="81"/>
      <c r="K288" s="82"/>
      <c r="L288" s="83"/>
      <c r="M288" s="84"/>
      <c r="N288" s="37"/>
      <c r="O288" s="38"/>
      <c r="P288" s="38"/>
      <c r="Q288" s="38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78"/>
      <c r="B289" s="79"/>
      <c r="C289" s="79"/>
      <c r="D289" s="80"/>
      <c r="E289" s="81"/>
      <c r="F289" s="81"/>
      <c r="G289" s="81"/>
      <c r="H289" s="81"/>
      <c r="I289" s="81"/>
      <c r="J289" s="81"/>
      <c r="K289" s="82"/>
      <c r="L289" s="83"/>
      <c r="M289" s="84"/>
      <c r="N289" s="37"/>
      <c r="O289" s="38"/>
      <c r="P289" s="38"/>
      <c r="Q289" s="38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78"/>
      <c r="B290" s="79"/>
      <c r="C290" s="79"/>
      <c r="D290" s="80"/>
      <c r="E290" s="81"/>
      <c r="F290" s="81"/>
      <c r="G290" s="81"/>
      <c r="H290" s="81"/>
      <c r="I290" s="81"/>
      <c r="J290" s="81"/>
      <c r="K290" s="82"/>
      <c r="L290" s="83"/>
      <c r="M290" s="84"/>
      <c r="N290" s="37"/>
      <c r="O290" s="38"/>
      <c r="P290" s="38"/>
      <c r="Q290" s="38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78"/>
      <c r="B291" s="79"/>
      <c r="C291" s="79"/>
      <c r="D291" s="80"/>
      <c r="E291" s="81"/>
      <c r="F291" s="81"/>
      <c r="G291" s="81"/>
      <c r="H291" s="81"/>
      <c r="I291" s="81"/>
      <c r="J291" s="81"/>
      <c r="K291" s="82"/>
      <c r="L291" s="83"/>
      <c r="M291" s="84"/>
      <c r="N291" s="37"/>
      <c r="O291" s="38"/>
      <c r="P291" s="38"/>
      <c r="Q291" s="38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78"/>
      <c r="B292" s="79"/>
      <c r="C292" s="79"/>
      <c r="D292" s="80"/>
      <c r="E292" s="81"/>
      <c r="F292" s="81"/>
      <c r="G292" s="81"/>
      <c r="H292" s="81"/>
      <c r="I292" s="81"/>
      <c r="J292" s="81"/>
      <c r="K292" s="82"/>
      <c r="L292" s="83"/>
      <c r="M292" s="84"/>
      <c r="N292" s="37"/>
      <c r="O292" s="38"/>
      <c r="P292" s="38"/>
      <c r="Q292" s="38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78"/>
      <c r="B293" s="79"/>
      <c r="C293" s="79"/>
      <c r="D293" s="80"/>
      <c r="E293" s="81"/>
      <c r="F293" s="81"/>
      <c r="G293" s="81"/>
      <c r="H293" s="81"/>
      <c r="I293" s="81"/>
      <c r="J293" s="81"/>
      <c r="K293" s="82"/>
      <c r="L293" s="83"/>
      <c r="M293" s="84"/>
      <c r="N293" s="37"/>
      <c r="O293" s="38"/>
      <c r="P293" s="38"/>
      <c r="Q293" s="38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78"/>
      <c r="B294" s="79"/>
      <c r="C294" s="79"/>
      <c r="D294" s="80"/>
      <c r="E294" s="81"/>
      <c r="F294" s="81"/>
      <c r="G294" s="81"/>
      <c r="H294" s="81"/>
      <c r="I294" s="81"/>
      <c r="J294" s="81"/>
      <c r="K294" s="82"/>
      <c r="L294" s="83"/>
      <c r="M294" s="84"/>
      <c r="N294" s="37"/>
      <c r="O294" s="38"/>
      <c r="P294" s="38"/>
      <c r="Q294" s="38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78"/>
      <c r="B295" s="79"/>
      <c r="C295" s="79"/>
      <c r="D295" s="80"/>
      <c r="E295" s="81"/>
      <c r="F295" s="81"/>
      <c r="G295" s="81"/>
      <c r="H295" s="81"/>
      <c r="I295" s="81"/>
      <c r="J295" s="81"/>
      <c r="K295" s="82"/>
      <c r="L295" s="83"/>
      <c r="M295" s="84"/>
      <c r="N295" s="37"/>
      <c r="O295" s="38"/>
      <c r="P295" s="38"/>
      <c r="Q295" s="38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78"/>
      <c r="B296" s="79"/>
      <c r="C296" s="79"/>
      <c r="D296" s="80"/>
      <c r="E296" s="81"/>
      <c r="F296" s="81"/>
      <c r="G296" s="81"/>
      <c r="H296" s="81"/>
      <c r="I296" s="81"/>
      <c r="J296" s="81"/>
      <c r="K296" s="82"/>
      <c r="L296" s="83"/>
      <c r="M296" s="84"/>
      <c r="N296" s="37"/>
      <c r="O296" s="38"/>
      <c r="P296" s="38"/>
      <c r="Q296" s="38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78"/>
      <c r="B297" s="79"/>
      <c r="C297" s="79"/>
      <c r="D297" s="80"/>
      <c r="E297" s="81"/>
      <c r="F297" s="81"/>
      <c r="G297" s="81"/>
      <c r="H297" s="81"/>
      <c r="I297" s="81"/>
      <c r="J297" s="81"/>
      <c r="K297" s="82"/>
      <c r="L297" s="83"/>
      <c r="M297" s="84"/>
      <c r="N297" s="37"/>
      <c r="O297" s="38"/>
      <c r="P297" s="38"/>
      <c r="Q297" s="38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78"/>
      <c r="B298" s="79"/>
      <c r="C298" s="79"/>
      <c r="D298" s="80"/>
      <c r="E298" s="81"/>
      <c r="F298" s="81"/>
      <c r="G298" s="81"/>
      <c r="H298" s="81"/>
      <c r="I298" s="81"/>
      <c r="J298" s="81"/>
      <c r="K298" s="82"/>
      <c r="L298" s="83"/>
      <c r="M298" s="84"/>
      <c r="N298" s="37"/>
      <c r="O298" s="38"/>
      <c r="P298" s="38"/>
      <c r="Q298" s="38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78"/>
      <c r="B299" s="79"/>
      <c r="C299" s="79"/>
      <c r="D299" s="80"/>
      <c r="E299" s="81"/>
      <c r="F299" s="81"/>
      <c r="G299" s="81"/>
      <c r="H299" s="81"/>
      <c r="I299" s="81"/>
      <c r="J299" s="81"/>
      <c r="K299" s="82"/>
      <c r="L299" s="83"/>
      <c r="M299" s="84"/>
      <c r="N299" s="37"/>
      <c r="O299" s="38"/>
      <c r="P299" s="38"/>
      <c r="Q299" s="38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78"/>
      <c r="B300" s="79"/>
      <c r="C300" s="79"/>
      <c r="D300" s="80"/>
      <c r="E300" s="81"/>
      <c r="F300" s="81"/>
      <c r="G300" s="81"/>
      <c r="H300" s="81"/>
      <c r="I300" s="81"/>
      <c r="J300" s="81"/>
      <c r="K300" s="82"/>
      <c r="L300" s="83"/>
      <c r="M300" s="84"/>
      <c r="N300" s="37"/>
      <c r="O300" s="38"/>
      <c r="P300" s="38"/>
      <c r="Q300" s="38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78"/>
      <c r="B301" s="79"/>
      <c r="C301" s="79"/>
      <c r="D301" s="80"/>
      <c r="E301" s="81"/>
      <c r="F301" s="81"/>
      <c r="G301" s="81"/>
      <c r="H301" s="81"/>
      <c r="I301" s="81"/>
      <c r="J301" s="81"/>
      <c r="K301" s="82"/>
      <c r="L301" s="83"/>
      <c r="M301" s="84"/>
      <c r="N301" s="37"/>
      <c r="O301" s="38"/>
      <c r="P301" s="38"/>
      <c r="Q301" s="38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78"/>
      <c r="B302" s="79"/>
      <c r="C302" s="79"/>
      <c r="D302" s="80"/>
      <c r="E302" s="81"/>
      <c r="F302" s="81"/>
      <c r="G302" s="81"/>
      <c r="H302" s="81"/>
      <c r="I302" s="81"/>
      <c r="J302" s="81"/>
      <c r="K302" s="82"/>
      <c r="L302" s="83"/>
      <c r="M302" s="84"/>
      <c r="N302" s="37"/>
      <c r="O302" s="38"/>
      <c r="P302" s="38"/>
      <c r="Q302" s="38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78"/>
      <c r="B303" s="79"/>
      <c r="C303" s="79"/>
      <c r="D303" s="80"/>
      <c r="E303" s="81"/>
      <c r="F303" s="81"/>
      <c r="G303" s="81"/>
      <c r="H303" s="81"/>
      <c r="I303" s="81"/>
      <c r="J303" s="81"/>
      <c r="K303" s="82"/>
      <c r="L303" s="83"/>
      <c r="M303" s="84"/>
      <c r="N303" s="37"/>
      <c r="O303" s="38"/>
      <c r="P303" s="38"/>
      <c r="Q303" s="38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78"/>
      <c r="B304" s="79"/>
      <c r="C304" s="79"/>
      <c r="D304" s="80"/>
      <c r="E304" s="81"/>
      <c r="F304" s="81"/>
      <c r="G304" s="81"/>
      <c r="H304" s="81"/>
      <c r="I304" s="81"/>
      <c r="J304" s="81"/>
      <c r="K304" s="82"/>
      <c r="L304" s="83"/>
      <c r="M304" s="84"/>
      <c r="N304" s="37"/>
      <c r="O304" s="38"/>
      <c r="P304" s="38"/>
      <c r="Q304" s="38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78"/>
      <c r="B305" s="79"/>
      <c r="C305" s="79"/>
      <c r="D305" s="80"/>
      <c r="E305" s="81"/>
      <c r="F305" s="81"/>
      <c r="G305" s="81"/>
      <c r="H305" s="81"/>
      <c r="I305" s="81"/>
      <c r="J305" s="81"/>
      <c r="K305" s="82"/>
      <c r="L305" s="83"/>
      <c r="M305" s="84"/>
      <c r="N305" s="37"/>
      <c r="O305" s="38"/>
      <c r="P305" s="38"/>
      <c r="Q305" s="38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78"/>
      <c r="B306" s="79"/>
      <c r="C306" s="79"/>
      <c r="D306" s="80"/>
      <c r="E306" s="81"/>
      <c r="F306" s="81"/>
      <c r="G306" s="81"/>
      <c r="H306" s="81"/>
      <c r="I306" s="81"/>
      <c r="J306" s="81"/>
      <c r="K306" s="82"/>
      <c r="L306" s="83"/>
      <c r="M306" s="84"/>
      <c r="N306" s="37"/>
      <c r="O306" s="38"/>
      <c r="P306" s="38"/>
      <c r="Q306" s="38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78"/>
      <c r="B307" s="79"/>
      <c r="C307" s="79"/>
      <c r="D307" s="80"/>
      <c r="E307" s="81"/>
      <c r="F307" s="81"/>
      <c r="G307" s="81"/>
      <c r="H307" s="81"/>
      <c r="I307" s="81"/>
      <c r="J307" s="81"/>
      <c r="K307" s="82"/>
      <c r="L307" s="83"/>
      <c r="M307" s="84"/>
      <c r="N307" s="37"/>
      <c r="O307" s="38"/>
      <c r="P307" s="38"/>
      <c r="Q307" s="38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78"/>
      <c r="B308" s="79"/>
      <c r="C308" s="79"/>
      <c r="D308" s="80"/>
      <c r="E308" s="81"/>
      <c r="F308" s="81"/>
      <c r="G308" s="81"/>
      <c r="H308" s="81"/>
      <c r="I308" s="81"/>
      <c r="J308" s="81"/>
      <c r="K308" s="82"/>
      <c r="L308" s="83"/>
      <c r="M308" s="84"/>
      <c r="N308" s="37"/>
      <c r="O308" s="38"/>
      <c r="P308" s="38"/>
      <c r="Q308" s="38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78"/>
      <c r="B309" s="79"/>
      <c r="C309" s="79"/>
      <c r="D309" s="80"/>
      <c r="E309" s="81"/>
      <c r="F309" s="81"/>
      <c r="G309" s="81"/>
      <c r="H309" s="81"/>
      <c r="I309" s="81"/>
      <c r="J309" s="81"/>
      <c r="K309" s="82"/>
      <c r="L309" s="83"/>
      <c r="M309" s="84"/>
      <c r="N309" s="37"/>
      <c r="O309" s="38"/>
      <c r="P309" s="38"/>
      <c r="Q309" s="38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78"/>
      <c r="B310" s="79"/>
      <c r="C310" s="79"/>
      <c r="D310" s="80"/>
      <c r="E310" s="81"/>
      <c r="F310" s="81"/>
      <c r="G310" s="81"/>
      <c r="H310" s="81"/>
      <c r="I310" s="81"/>
      <c r="J310" s="81"/>
      <c r="K310" s="82"/>
      <c r="L310" s="83"/>
      <c r="M310" s="84"/>
      <c r="N310" s="37"/>
      <c r="O310" s="38"/>
      <c r="P310" s="38"/>
      <c r="Q310" s="38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78"/>
      <c r="B311" s="79"/>
      <c r="C311" s="79"/>
      <c r="D311" s="80"/>
      <c r="E311" s="81"/>
      <c r="F311" s="81"/>
      <c r="G311" s="81"/>
      <c r="H311" s="81"/>
      <c r="I311" s="81"/>
      <c r="J311" s="81"/>
      <c r="K311" s="82"/>
      <c r="L311" s="83"/>
      <c r="M311" s="84"/>
      <c r="N311" s="37"/>
      <c r="O311" s="38"/>
      <c r="P311" s="38"/>
      <c r="Q311" s="38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78"/>
      <c r="B312" s="79"/>
      <c r="C312" s="79"/>
      <c r="D312" s="80"/>
      <c r="E312" s="81"/>
      <c r="F312" s="81"/>
      <c r="G312" s="81"/>
      <c r="H312" s="81"/>
      <c r="I312" s="81"/>
      <c r="J312" s="81"/>
      <c r="K312" s="82"/>
      <c r="L312" s="83"/>
      <c r="M312" s="84"/>
      <c r="N312" s="37"/>
      <c r="O312" s="38"/>
      <c r="P312" s="38"/>
      <c r="Q312" s="38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78"/>
      <c r="B313" s="79"/>
      <c r="C313" s="79"/>
      <c r="D313" s="80"/>
      <c r="E313" s="81"/>
      <c r="F313" s="81"/>
      <c r="G313" s="81"/>
      <c r="H313" s="81"/>
      <c r="I313" s="81"/>
      <c r="J313" s="81"/>
      <c r="K313" s="82"/>
      <c r="L313" s="83"/>
      <c r="M313" s="84"/>
      <c r="N313" s="37"/>
      <c r="O313" s="38"/>
      <c r="P313" s="38"/>
      <c r="Q313" s="38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78"/>
      <c r="B314" s="79"/>
      <c r="C314" s="79"/>
      <c r="D314" s="80"/>
      <c r="E314" s="81"/>
      <c r="F314" s="81"/>
      <c r="G314" s="81"/>
      <c r="H314" s="81"/>
      <c r="I314" s="81"/>
      <c r="J314" s="81"/>
      <c r="K314" s="82"/>
      <c r="L314" s="83"/>
      <c r="M314" s="84"/>
      <c r="N314" s="37"/>
      <c r="O314" s="38"/>
      <c r="P314" s="38"/>
      <c r="Q314" s="38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78"/>
      <c r="B315" s="79"/>
      <c r="C315" s="79"/>
      <c r="D315" s="80"/>
      <c r="E315" s="81"/>
      <c r="F315" s="81"/>
      <c r="G315" s="81"/>
      <c r="H315" s="81"/>
      <c r="I315" s="81"/>
      <c r="J315" s="81"/>
      <c r="K315" s="82"/>
      <c r="L315" s="83"/>
      <c r="M315" s="84"/>
      <c r="N315" s="37"/>
      <c r="O315" s="38"/>
      <c r="P315" s="38"/>
      <c r="Q315" s="38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78"/>
      <c r="B316" s="79"/>
      <c r="C316" s="79"/>
      <c r="D316" s="80"/>
      <c r="E316" s="81"/>
      <c r="F316" s="81"/>
      <c r="G316" s="81"/>
      <c r="H316" s="81"/>
      <c r="I316" s="81"/>
      <c r="J316" s="81"/>
      <c r="K316" s="82"/>
      <c r="L316" s="83"/>
      <c r="M316" s="84"/>
      <c r="N316" s="37"/>
      <c r="O316" s="38"/>
      <c r="P316" s="38"/>
      <c r="Q316" s="38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78"/>
      <c r="B317" s="79"/>
      <c r="C317" s="79"/>
      <c r="D317" s="80"/>
      <c r="E317" s="81"/>
      <c r="F317" s="81"/>
      <c r="G317" s="81"/>
      <c r="H317" s="81"/>
      <c r="I317" s="81"/>
      <c r="J317" s="81"/>
      <c r="K317" s="82"/>
      <c r="L317" s="83"/>
      <c r="M317" s="84"/>
      <c r="N317" s="37"/>
      <c r="O317" s="38"/>
      <c r="P317" s="38"/>
      <c r="Q317" s="38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78"/>
      <c r="B318" s="79"/>
      <c r="C318" s="79"/>
      <c r="D318" s="80"/>
      <c r="E318" s="81"/>
      <c r="F318" s="81"/>
      <c r="G318" s="81"/>
      <c r="H318" s="81"/>
      <c r="I318" s="81"/>
      <c r="J318" s="81"/>
      <c r="K318" s="82"/>
      <c r="L318" s="83"/>
      <c r="M318" s="84"/>
      <c r="N318" s="37"/>
      <c r="O318" s="38"/>
      <c r="P318" s="38"/>
      <c r="Q318" s="38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78"/>
      <c r="B319" s="79"/>
      <c r="C319" s="79"/>
      <c r="D319" s="80"/>
      <c r="E319" s="81"/>
      <c r="F319" s="81"/>
      <c r="G319" s="81"/>
      <c r="H319" s="81"/>
      <c r="I319" s="81"/>
      <c r="J319" s="81"/>
      <c r="K319" s="82"/>
      <c r="L319" s="83"/>
      <c r="M319" s="84"/>
      <c r="N319" s="37"/>
      <c r="O319" s="38"/>
      <c r="P319" s="38"/>
      <c r="Q319" s="38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78"/>
      <c r="B320" s="79"/>
      <c r="C320" s="79"/>
      <c r="D320" s="80"/>
      <c r="E320" s="81"/>
      <c r="F320" s="81"/>
      <c r="G320" s="81"/>
      <c r="H320" s="81"/>
      <c r="I320" s="81"/>
      <c r="J320" s="81"/>
      <c r="K320" s="82"/>
      <c r="L320" s="83"/>
      <c r="M320" s="84"/>
      <c r="N320" s="37"/>
      <c r="O320" s="38"/>
      <c r="P320" s="38"/>
      <c r="Q320" s="38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78"/>
      <c r="B321" s="79"/>
      <c r="C321" s="79"/>
      <c r="D321" s="80"/>
      <c r="E321" s="81"/>
      <c r="F321" s="81"/>
      <c r="G321" s="81"/>
      <c r="H321" s="81"/>
      <c r="I321" s="81"/>
      <c r="J321" s="81"/>
      <c r="K321" s="82"/>
      <c r="L321" s="83"/>
      <c r="M321" s="84"/>
      <c r="N321" s="37"/>
      <c r="O321" s="38"/>
      <c r="P321" s="38"/>
      <c r="Q321" s="38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78"/>
      <c r="B322" s="79"/>
      <c r="C322" s="79"/>
      <c r="D322" s="80"/>
      <c r="E322" s="81"/>
      <c r="F322" s="81"/>
      <c r="G322" s="81"/>
      <c r="H322" s="81"/>
      <c r="I322" s="81"/>
      <c r="J322" s="81"/>
      <c r="K322" s="82"/>
      <c r="L322" s="83"/>
      <c r="M322" s="84"/>
      <c r="N322" s="37"/>
      <c r="O322" s="38"/>
      <c r="P322" s="38"/>
      <c r="Q322" s="38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78"/>
      <c r="B323" s="79"/>
      <c r="C323" s="79"/>
      <c r="D323" s="80"/>
      <c r="E323" s="81"/>
      <c r="F323" s="81"/>
      <c r="G323" s="81"/>
      <c r="H323" s="81"/>
      <c r="I323" s="81"/>
      <c r="J323" s="81"/>
      <c r="K323" s="82"/>
      <c r="L323" s="83"/>
      <c r="M323" s="84"/>
      <c r="N323" s="37"/>
      <c r="O323" s="38"/>
      <c r="P323" s="38"/>
      <c r="Q323" s="38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78"/>
      <c r="B324" s="79"/>
      <c r="C324" s="79"/>
      <c r="D324" s="80"/>
      <c r="E324" s="81"/>
      <c r="F324" s="81"/>
      <c r="G324" s="81"/>
      <c r="H324" s="81"/>
      <c r="I324" s="81"/>
      <c r="J324" s="81"/>
      <c r="K324" s="82"/>
      <c r="L324" s="83"/>
      <c r="M324" s="84"/>
      <c r="N324" s="37"/>
      <c r="O324" s="38"/>
      <c r="P324" s="38"/>
      <c r="Q324" s="38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78"/>
      <c r="B325" s="79"/>
      <c r="C325" s="79"/>
      <c r="D325" s="80"/>
      <c r="E325" s="81"/>
      <c r="F325" s="81"/>
      <c r="G325" s="81"/>
      <c r="H325" s="81"/>
      <c r="I325" s="81"/>
      <c r="J325" s="81"/>
      <c r="K325" s="82"/>
      <c r="L325" s="83"/>
      <c r="M325" s="84"/>
      <c r="N325" s="37"/>
      <c r="O325" s="38"/>
      <c r="P325" s="38"/>
      <c r="Q325" s="38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78"/>
      <c r="B326" s="79"/>
      <c r="C326" s="79"/>
      <c r="D326" s="80"/>
      <c r="E326" s="81"/>
      <c r="F326" s="81"/>
      <c r="G326" s="81"/>
      <c r="H326" s="81"/>
      <c r="I326" s="81"/>
      <c r="J326" s="81"/>
      <c r="K326" s="82"/>
      <c r="L326" s="83"/>
      <c r="M326" s="84"/>
      <c r="N326" s="37"/>
      <c r="O326" s="38"/>
      <c r="P326" s="38"/>
      <c r="Q326" s="38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78"/>
      <c r="B327" s="79"/>
      <c r="C327" s="79"/>
      <c r="D327" s="80"/>
      <c r="E327" s="81"/>
      <c r="F327" s="81"/>
      <c r="G327" s="81"/>
      <c r="H327" s="81"/>
      <c r="I327" s="81"/>
      <c r="J327" s="81"/>
      <c r="K327" s="82"/>
      <c r="L327" s="83"/>
      <c r="M327" s="84"/>
      <c r="N327" s="37"/>
      <c r="O327" s="38"/>
      <c r="P327" s="38"/>
      <c r="Q327" s="38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78"/>
      <c r="B328" s="79"/>
      <c r="C328" s="79"/>
      <c r="D328" s="80"/>
      <c r="E328" s="81"/>
      <c r="F328" s="81"/>
      <c r="G328" s="81"/>
      <c r="H328" s="81"/>
      <c r="I328" s="81"/>
      <c r="J328" s="81"/>
      <c r="K328" s="82"/>
      <c r="L328" s="83"/>
      <c r="M328" s="84"/>
      <c r="N328" s="37"/>
      <c r="O328" s="38"/>
      <c r="P328" s="38"/>
      <c r="Q328" s="38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78"/>
      <c r="B329" s="79"/>
      <c r="C329" s="79"/>
      <c r="D329" s="80"/>
      <c r="E329" s="81"/>
      <c r="F329" s="81"/>
      <c r="G329" s="81"/>
      <c r="H329" s="81"/>
      <c r="I329" s="81"/>
      <c r="J329" s="81"/>
      <c r="K329" s="82"/>
      <c r="L329" s="83"/>
      <c r="M329" s="84"/>
      <c r="N329" s="37"/>
      <c r="O329" s="38"/>
      <c r="P329" s="38"/>
      <c r="Q329" s="38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78"/>
      <c r="B330" s="79"/>
      <c r="C330" s="79"/>
      <c r="D330" s="80"/>
      <c r="E330" s="81"/>
      <c r="F330" s="81"/>
      <c r="G330" s="81"/>
      <c r="H330" s="81"/>
      <c r="I330" s="81"/>
      <c r="J330" s="81"/>
      <c r="K330" s="82"/>
      <c r="L330" s="83"/>
      <c r="M330" s="84"/>
      <c r="N330" s="37"/>
      <c r="O330" s="38"/>
      <c r="P330" s="38"/>
      <c r="Q330" s="38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78"/>
      <c r="B331" s="79"/>
      <c r="C331" s="79"/>
      <c r="D331" s="80"/>
      <c r="E331" s="81"/>
      <c r="F331" s="81"/>
      <c r="G331" s="81"/>
      <c r="H331" s="81"/>
      <c r="I331" s="81"/>
      <c r="J331" s="81"/>
      <c r="K331" s="82"/>
      <c r="L331" s="83"/>
      <c r="M331" s="84"/>
      <c r="N331" s="37"/>
      <c r="O331" s="38"/>
      <c r="P331" s="38"/>
      <c r="Q331" s="38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78"/>
      <c r="B332" s="79"/>
      <c r="C332" s="79"/>
      <c r="D332" s="80"/>
      <c r="E332" s="81"/>
      <c r="F332" s="81"/>
      <c r="G332" s="81"/>
      <c r="H332" s="81"/>
      <c r="I332" s="81"/>
      <c r="J332" s="81"/>
      <c r="K332" s="82"/>
      <c r="L332" s="83"/>
      <c r="M332" s="84"/>
      <c r="N332" s="37"/>
      <c r="O332" s="38"/>
      <c r="P332" s="38"/>
      <c r="Q332" s="38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78"/>
      <c r="B333" s="79"/>
      <c r="C333" s="79"/>
      <c r="D333" s="80"/>
      <c r="E333" s="81"/>
      <c r="F333" s="81"/>
      <c r="G333" s="81"/>
      <c r="H333" s="81"/>
      <c r="I333" s="81"/>
      <c r="J333" s="81"/>
      <c r="K333" s="82"/>
      <c r="L333" s="83"/>
      <c r="M333" s="84"/>
      <c r="N333" s="37"/>
      <c r="O333" s="38"/>
      <c r="P333" s="38"/>
      <c r="Q333" s="38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78"/>
      <c r="B334" s="79"/>
      <c r="C334" s="79"/>
      <c r="D334" s="80"/>
      <c r="E334" s="81"/>
      <c r="F334" s="81"/>
      <c r="G334" s="81"/>
      <c r="H334" s="81"/>
      <c r="I334" s="81"/>
      <c r="J334" s="81"/>
      <c r="K334" s="82"/>
      <c r="L334" s="83"/>
      <c r="M334" s="84"/>
      <c r="N334" s="37"/>
      <c r="O334" s="38"/>
      <c r="P334" s="38"/>
      <c r="Q334" s="38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78"/>
      <c r="B335" s="79"/>
      <c r="C335" s="79"/>
      <c r="D335" s="80"/>
      <c r="E335" s="81"/>
      <c r="F335" s="81"/>
      <c r="G335" s="81"/>
      <c r="H335" s="81"/>
      <c r="I335" s="81"/>
      <c r="J335" s="81"/>
      <c r="K335" s="82"/>
      <c r="L335" s="83"/>
      <c r="M335" s="84"/>
      <c r="N335" s="37"/>
      <c r="O335" s="38"/>
      <c r="P335" s="38"/>
      <c r="Q335" s="38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78"/>
      <c r="B336" s="79"/>
      <c r="C336" s="79"/>
      <c r="D336" s="80"/>
      <c r="E336" s="81"/>
      <c r="F336" s="81"/>
      <c r="G336" s="81"/>
      <c r="H336" s="81"/>
      <c r="I336" s="81"/>
      <c r="J336" s="81"/>
      <c r="K336" s="82"/>
      <c r="L336" s="83"/>
      <c r="M336" s="84"/>
      <c r="N336" s="37"/>
      <c r="O336" s="38"/>
      <c r="P336" s="38"/>
      <c r="Q336" s="38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78"/>
      <c r="B337" s="79"/>
      <c r="C337" s="79"/>
      <c r="D337" s="80"/>
      <c r="E337" s="81"/>
      <c r="F337" s="81"/>
      <c r="G337" s="81"/>
      <c r="H337" s="81"/>
      <c r="I337" s="81"/>
      <c r="J337" s="81"/>
      <c r="K337" s="82"/>
      <c r="L337" s="83"/>
      <c r="M337" s="84"/>
      <c r="N337" s="37"/>
      <c r="O337" s="38"/>
      <c r="P337" s="38"/>
      <c r="Q337" s="38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78"/>
      <c r="B338" s="79"/>
      <c r="C338" s="79"/>
      <c r="D338" s="80"/>
      <c r="E338" s="81"/>
      <c r="F338" s="81"/>
      <c r="G338" s="81"/>
      <c r="H338" s="81"/>
      <c r="I338" s="81"/>
      <c r="J338" s="81"/>
      <c r="K338" s="82"/>
      <c r="L338" s="83"/>
      <c r="M338" s="84"/>
      <c r="N338" s="37"/>
      <c r="O338" s="38"/>
      <c r="P338" s="38"/>
      <c r="Q338" s="38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78"/>
      <c r="B339" s="79"/>
      <c r="C339" s="79"/>
      <c r="D339" s="80"/>
      <c r="E339" s="81"/>
      <c r="F339" s="81"/>
      <c r="G339" s="81"/>
      <c r="H339" s="81"/>
      <c r="I339" s="81"/>
      <c r="J339" s="81"/>
      <c r="K339" s="82"/>
      <c r="L339" s="83"/>
      <c r="M339" s="84"/>
      <c r="N339" s="37"/>
      <c r="O339" s="38"/>
      <c r="P339" s="38"/>
      <c r="Q339" s="38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78"/>
      <c r="B340" s="79"/>
      <c r="C340" s="79"/>
      <c r="D340" s="80"/>
      <c r="E340" s="81"/>
      <c r="F340" s="81"/>
      <c r="G340" s="81"/>
      <c r="H340" s="81"/>
      <c r="I340" s="81"/>
      <c r="J340" s="81"/>
      <c r="K340" s="82"/>
      <c r="L340" s="83"/>
      <c r="M340" s="84"/>
      <c r="N340" s="37"/>
      <c r="O340" s="38"/>
      <c r="P340" s="38"/>
      <c r="Q340" s="38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78"/>
      <c r="B341" s="79"/>
      <c r="C341" s="79"/>
      <c r="D341" s="80"/>
      <c r="E341" s="81"/>
      <c r="F341" s="81"/>
      <c r="G341" s="81"/>
      <c r="H341" s="81"/>
      <c r="I341" s="81"/>
      <c r="J341" s="81"/>
      <c r="K341" s="82"/>
      <c r="L341" s="83"/>
      <c r="M341" s="84"/>
      <c r="N341" s="37"/>
      <c r="O341" s="38"/>
      <c r="P341" s="38"/>
      <c r="Q341" s="38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78"/>
      <c r="B342" s="79"/>
      <c r="C342" s="79"/>
      <c r="D342" s="80"/>
      <c r="E342" s="81"/>
      <c r="F342" s="81"/>
      <c r="G342" s="81"/>
      <c r="H342" s="81"/>
      <c r="I342" s="81"/>
      <c r="J342" s="81"/>
      <c r="K342" s="82"/>
      <c r="L342" s="83"/>
      <c r="M342" s="84"/>
      <c r="N342" s="37"/>
      <c r="O342" s="38"/>
      <c r="P342" s="38"/>
      <c r="Q342" s="38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78"/>
      <c r="B343" s="79"/>
      <c r="C343" s="79"/>
      <c r="D343" s="80"/>
      <c r="E343" s="81"/>
      <c r="F343" s="81"/>
      <c r="G343" s="81"/>
      <c r="H343" s="81"/>
      <c r="I343" s="81"/>
      <c r="J343" s="81"/>
      <c r="K343" s="82"/>
      <c r="L343" s="83"/>
      <c r="M343" s="84"/>
      <c r="N343" s="37"/>
      <c r="O343" s="38"/>
      <c r="P343" s="38"/>
      <c r="Q343" s="38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78"/>
      <c r="B344" s="79"/>
      <c r="C344" s="79"/>
      <c r="D344" s="80"/>
      <c r="E344" s="81"/>
      <c r="F344" s="81"/>
      <c r="G344" s="81"/>
      <c r="H344" s="81"/>
      <c r="I344" s="81"/>
      <c r="J344" s="81"/>
      <c r="K344" s="82"/>
      <c r="L344" s="83"/>
      <c r="M344" s="84"/>
      <c r="N344" s="37"/>
      <c r="O344" s="38"/>
      <c r="P344" s="38"/>
      <c r="Q344" s="38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78"/>
      <c r="B345" s="79"/>
      <c r="C345" s="79"/>
      <c r="D345" s="80"/>
      <c r="E345" s="81"/>
      <c r="F345" s="81"/>
      <c r="G345" s="81"/>
      <c r="H345" s="81"/>
      <c r="I345" s="81"/>
      <c r="J345" s="81"/>
      <c r="K345" s="82"/>
      <c r="L345" s="83"/>
      <c r="M345" s="84"/>
      <c r="N345" s="37"/>
      <c r="O345" s="38"/>
      <c r="P345" s="38"/>
      <c r="Q345" s="38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78"/>
      <c r="B346" s="79"/>
      <c r="C346" s="79"/>
      <c r="D346" s="80"/>
      <c r="E346" s="81"/>
      <c r="F346" s="81"/>
      <c r="G346" s="81"/>
      <c r="H346" s="81"/>
      <c r="I346" s="81"/>
      <c r="J346" s="81"/>
      <c r="K346" s="82"/>
      <c r="L346" s="83"/>
      <c r="M346" s="84"/>
      <c r="N346" s="37"/>
      <c r="O346" s="38"/>
      <c r="P346" s="38"/>
      <c r="Q346" s="38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78"/>
      <c r="B347" s="79"/>
      <c r="C347" s="79"/>
      <c r="D347" s="80"/>
      <c r="E347" s="81"/>
      <c r="F347" s="81"/>
      <c r="G347" s="81"/>
      <c r="H347" s="81"/>
      <c r="I347" s="81"/>
      <c r="J347" s="81"/>
      <c r="K347" s="82"/>
      <c r="L347" s="83"/>
      <c r="M347" s="84"/>
      <c r="N347" s="37"/>
      <c r="O347" s="38"/>
      <c r="P347" s="38"/>
      <c r="Q347" s="38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78"/>
      <c r="B348" s="79"/>
      <c r="C348" s="79"/>
      <c r="D348" s="80"/>
      <c r="E348" s="81"/>
      <c r="F348" s="81"/>
      <c r="G348" s="81"/>
      <c r="H348" s="81"/>
      <c r="I348" s="81"/>
      <c r="J348" s="81"/>
      <c r="K348" s="82"/>
      <c r="L348" s="83"/>
      <c r="M348" s="84"/>
      <c r="N348" s="37"/>
      <c r="O348" s="38"/>
      <c r="P348" s="38"/>
      <c r="Q348" s="38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78"/>
      <c r="B349" s="79"/>
      <c r="C349" s="79"/>
      <c r="D349" s="80"/>
      <c r="E349" s="81"/>
      <c r="F349" s="81"/>
      <c r="G349" s="81"/>
      <c r="H349" s="81"/>
      <c r="I349" s="81"/>
      <c r="J349" s="81"/>
      <c r="K349" s="82"/>
      <c r="L349" s="83"/>
      <c r="M349" s="84"/>
      <c r="N349" s="37"/>
      <c r="O349" s="38"/>
      <c r="P349" s="38"/>
      <c r="Q349" s="38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78"/>
      <c r="B350" s="79"/>
      <c r="C350" s="79"/>
      <c r="D350" s="80"/>
      <c r="E350" s="81"/>
      <c r="F350" s="81"/>
      <c r="G350" s="81"/>
      <c r="H350" s="81"/>
      <c r="I350" s="81"/>
      <c r="J350" s="81"/>
      <c r="K350" s="82"/>
      <c r="L350" s="83"/>
      <c r="M350" s="84"/>
      <c r="N350" s="37"/>
      <c r="O350" s="38"/>
      <c r="P350" s="38"/>
      <c r="Q350" s="38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78"/>
      <c r="B351" s="79"/>
      <c r="C351" s="79"/>
      <c r="D351" s="80"/>
      <c r="E351" s="81"/>
      <c r="F351" s="81"/>
      <c r="G351" s="81"/>
      <c r="H351" s="81"/>
      <c r="I351" s="81"/>
      <c r="J351" s="81"/>
      <c r="K351" s="82"/>
      <c r="L351" s="83"/>
      <c r="M351" s="84"/>
      <c r="N351" s="37"/>
      <c r="O351" s="38"/>
      <c r="P351" s="38"/>
      <c r="Q351" s="38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78"/>
      <c r="B352" s="79"/>
      <c r="C352" s="79"/>
      <c r="D352" s="80"/>
      <c r="E352" s="81"/>
      <c r="F352" s="81"/>
      <c r="G352" s="81"/>
      <c r="H352" s="81"/>
      <c r="I352" s="81"/>
      <c r="J352" s="81"/>
      <c r="K352" s="82"/>
      <c r="L352" s="83"/>
      <c r="M352" s="84"/>
      <c r="N352" s="37"/>
      <c r="O352" s="38"/>
      <c r="P352" s="38"/>
      <c r="Q352" s="38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78"/>
      <c r="B353" s="79"/>
      <c r="C353" s="79"/>
      <c r="D353" s="80"/>
      <c r="E353" s="81"/>
      <c r="F353" s="81"/>
      <c r="G353" s="81"/>
      <c r="H353" s="81"/>
      <c r="I353" s="81"/>
      <c r="J353" s="81"/>
      <c r="K353" s="82"/>
      <c r="L353" s="83"/>
      <c r="M353" s="84"/>
      <c r="N353" s="37"/>
      <c r="O353" s="38"/>
      <c r="P353" s="38"/>
      <c r="Q353" s="38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78"/>
      <c r="B354" s="79"/>
      <c r="C354" s="79"/>
      <c r="D354" s="80"/>
      <c r="E354" s="81"/>
      <c r="F354" s="81"/>
      <c r="G354" s="81"/>
      <c r="H354" s="81"/>
      <c r="I354" s="81"/>
      <c r="J354" s="81"/>
      <c r="K354" s="82"/>
      <c r="L354" s="83"/>
      <c r="M354" s="84"/>
      <c r="N354" s="37"/>
      <c r="O354" s="38"/>
      <c r="P354" s="38"/>
      <c r="Q354" s="38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78"/>
      <c r="B355" s="79"/>
      <c r="C355" s="79"/>
      <c r="D355" s="80"/>
      <c r="E355" s="81"/>
      <c r="F355" s="81"/>
      <c r="G355" s="81"/>
      <c r="H355" s="81"/>
      <c r="I355" s="81"/>
      <c r="J355" s="81"/>
      <c r="K355" s="82"/>
      <c r="L355" s="83"/>
      <c r="M355" s="84"/>
      <c r="N355" s="37"/>
      <c r="O355" s="38"/>
      <c r="P355" s="38"/>
      <c r="Q355" s="38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78"/>
      <c r="B356" s="79"/>
      <c r="C356" s="79"/>
      <c r="D356" s="80"/>
      <c r="E356" s="81"/>
      <c r="F356" s="81"/>
      <c r="G356" s="81"/>
      <c r="H356" s="81"/>
      <c r="I356" s="81"/>
      <c r="J356" s="81"/>
      <c r="K356" s="82"/>
      <c r="L356" s="83"/>
      <c r="M356" s="84"/>
      <c r="N356" s="37"/>
      <c r="O356" s="38"/>
      <c r="P356" s="38"/>
      <c r="Q356" s="38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78"/>
      <c r="B357" s="79"/>
      <c r="C357" s="79"/>
      <c r="D357" s="80"/>
      <c r="E357" s="81"/>
      <c r="F357" s="81"/>
      <c r="G357" s="81"/>
      <c r="H357" s="81"/>
      <c r="I357" s="81"/>
      <c r="J357" s="81"/>
      <c r="K357" s="82"/>
      <c r="L357" s="83"/>
      <c r="M357" s="84"/>
      <c r="N357" s="37"/>
      <c r="O357" s="38"/>
      <c r="P357" s="38"/>
      <c r="Q357" s="38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78"/>
      <c r="B358" s="79"/>
      <c r="C358" s="79"/>
      <c r="D358" s="80"/>
      <c r="E358" s="81"/>
      <c r="F358" s="81"/>
      <c r="G358" s="81"/>
      <c r="H358" s="81"/>
      <c r="I358" s="81"/>
      <c r="J358" s="81"/>
      <c r="K358" s="82"/>
      <c r="L358" s="83"/>
      <c r="M358" s="84"/>
      <c r="N358" s="37"/>
      <c r="O358" s="38"/>
      <c r="P358" s="38"/>
      <c r="Q358" s="38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78"/>
      <c r="B359" s="79"/>
      <c r="C359" s="79"/>
      <c r="D359" s="80"/>
      <c r="E359" s="81"/>
      <c r="F359" s="81"/>
      <c r="G359" s="81"/>
      <c r="H359" s="81"/>
      <c r="I359" s="81"/>
      <c r="J359" s="81"/>
      <c r="K359" s="82"/>
      <c r="L359" s="83"/>
      <c r="M359" s="84"/>
      <c r="N359" s="37"/>
      <c r="O359" s="38"/>
      <c r="P359" s="38"/>
      <c r="Q359" s="38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78"/>
      <c r="B360" s="79"/>
      <c r="C360" s="79"/>
      <c r="D360" s="80"/>
      <c r="E360" s="81"/>
      <c r="F360" s="81"/>
      <c r="G360" s="81"/>
      <c r="H360" s="81"/>
      <c r="I360" s="81"/>
      <c r="J360" s="81"/>
      <c r="K360" s="82"/>
      <c r="L360" s="83"/>
      <c r="M360" s="84"/>
      <c r="N360" s="37"/>
      <c r="O360" s="38"/>
      <c r="P360" s="38"/>
      <c r="Q360" s="38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78"/>
      <c r="B361" s="79"/>
      <c r="C361" s="79"/>
      <c r="D361" s="80"/>
      <c r="E361" s="81"/>
      <c r="F361" s="81"/>
      <c r="G361" s="81"/>
      <c r="H361" s="81"/>
      <c r="I361" s="81"/>
      <c r="J361" s="81"/>
      <c r="K361" s="82"/>
      <c r="L361" s="83"/>
      <c r="M361" s="84"/>
      <c r="N361" s="37"/>
      <c r="O361" s="38"/>
      <c r="P361" s="38"/>
      <c r="Q361" s="38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78"/>
      <c r="B362" s="79"/>
      <c r="C362" s="79"/>
      <c r="D362" s="80"/>
      <c r="E362" s="81"/>
      <c r="F362" s="81"/>
      <c r="G362" s="81"/>
      <c r="H362" s="81"/>
      <c r="I362" s="81"/>
      <c r="J362" s="81"/>
      <c r="K362" s="82"/>
      <c r="L362" s="83"/>
      <c r="M362" s="84"/>
      <c r="N362" s="37"/>
      <c r="O362" s="38"/>
      <c r="P362" s="38"/>
      <c r="Q362" s="38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78"/>
      <c r="B363" s="79"/>
      <c r="C363" s="79"/>
      <c r="D363" s="80"/>
      <c r="E363" s="81"/>
      <c r="F363" s="81"/>
      <c r="G363" s="81"/>
      <c r="H363" s="81"/>
      <c r="I363" s="81"/>
      <c r="J363" s="81"/>
      <c r="K363" s="82"/>
      <c r="L363" s="83"/>
      <c r="M363" s="84"/>
      <c r="N363" s="37"/>
      <c r="O363" s="38"/>
      <c r="P363" s="38"/>
      <c r="Q363" s="38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78"/>
      <c r="B364" s="79"/>
      <c r="C364" s="79"/>
      <c r="D364" s="80"/>
      <c r="E364" s="81"/>
      <c r="F364" s="81"/>
      <c r="G364" s="81"/>
      <c r="H364" s="81"/>
      <c r="I364" s="81"/>
      <c r="J364" s="81"/>
      <c r="K364" s="82"/>
      <c r="L364" s="83"/>
      <c r="M364" s="84"/>
      <c r="N364" s="37"/>
      <c r="O364" s="38"/>
      <c r="P364" s="38"/>
      <c r="Q364" s="38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78"/>
      <c r="B365" s="79"/>
      <c r="C365" s="79"/>
      <c r="D365" s="80"/>
      <c r="E365" s="81"/>
      <c r="F365" s="81"/>
      <c r="G365" s="81"/>
      <c r="H365" s="81"/>
      <c r="I365" s="81"/>
      <c r="J365" s="81"/>
      <c r="K365" s="82"/>
      <c r="L365" s="83"/>
      <c r="M365" s="84"/>
      <c r="N365" s="37"/>
      <c r="O365" s="38"/>
      <c r="P365" s="38"/>
      <c r="Q365" s="38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78"/>
      <c r="B366" s="79"/>
      <c r="C366" s="79"/>
      <c r="D366" s="80"/>
      <c r="E366" s="81"/>
      <c r="F366" s="81"/>
      <c r="G366" s="81"/>
      <c r="H366" s="81"/>
      <c r="I366" s="81"/>
      <c r="J366" s="81"/>
      <c r="K366" s="82"/>
      <c r="L366" s="83"/>
      <c r="M366" s="84"/>
      <c r="N366" s="37"/>
      <c r="O366" s="38"/>
      <c r="P366" s="38"/>
      <c r="Q366" s="38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78"/>
      <c r="B367" s="79"/>
      <c r="C367" s="79"/>
      <c r="D367" s="80"/>
      <c r="E367" s="81"/>
      <c r="F367" s="81"/>
      <c r="G367" s="81"/>
      <c r="H367" s="81"/>
      <c r="I367" s="81"/>
      <c r="J367" s="81"/>
      <c r="K367" s="82"/>
      <c r="L367" s="83"/>
      <c r="M367" s="84"/>
      <c r="N367" s="37"/>
      <c r="O367" s="38"/>
      <c r="P367" s="38"/>
      <c r="Q367" s="38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78"/>
      <c r="B368" s="79"/>
      <c r="C368" s="79"/>
      <c r="D368" s="80"/>
      <c r="E368" s="81"/>
      <c r="F368" s="81"/>
      <c r="G368" s="81"/>
      <c r="H368" s="81"/>
      <c r="I368" s="81"/>
      <c r="J368" s="81"/>
      <c r="K368" s="82"/>
      <c r="L368" s="83"/>
      <c r="M368" s="84"/>
      <c r="N368" s="37"/>
      <c r="O368" s="38"/>
      <c r="P368" s="38"/>
      <c r="Q368" s="38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78"/>
      <c r="B369" s="79"/>
      <c r="C369" s="79"/>
      <c r="D369" s="80"/>
      <c r="E369" s="81"/>
      <c r="F369" s="81"/>
      <c r="G369" s="81"/>
      <c r="H369" s="81"/>
      <c r="I369" s="81"/>
      <c r="J369" s="81"/>
      <c r="K369" s="82"/>
      <c r="L369" s="83"/>
      <c r="M369" s="84"/>
      <c r="N369" s="37"/>
      <c r="O369" s="38"/>
      <c r="P369" s="38"/>
      <c r="Q369" s="38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78"/>
      <c r="B370" s="79"/>
      <c r="C370" s="79"/>
      <c r="D370" s="80"/>
      <c r="E370" s="81"/>
      <c r="F370" s="81"/>
      <c r="G370" s="81"/>
      <c r="H370" s="81"/>
      <c r="I370" s="81"/>
      <c r="J370" s="81"/>
      <c r="K370" s="82"/>
      <c r="L370" s="83"/>
      <c r="M370" s="84"/>
      <c r="N370" s="37"/>
      <c r="O370" s="38"/>
      <c r="P370" s="38"/>
      <c r="Q370" s="38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78"/>
      <c r="B371" s="79"/>
      <c r="C371" s="79"/>
      <c r="D371" s="80"/>
      <c r="E371" s="81"/>
      <c r="F371" s="81"/>
      <c r="G371" s="81"/>
      <c r="H371" s="81"/>
      <c r="I371" s="81"/>
      <c r="J371" s="81"/>
      <c r="K371" s="82"/>
      <c r="L371" s="83"/>
      <c r="M371" s="84"/>
      <c r="N371" s="37"/>
      <c r="O371" s="38"/>
      <c r="P371" s="38"/>
      <c r="Q371" s="38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78"/>
      <c r="B372" s="79"/>
      <c r="C372" s="79"/>
      <c r="D372" s="80"/>
      <c r="E372" s="81"/>
      <c r="F372" s="81"/>
      <c r="G372" s="81"/>
      <c r="H372" s="81"/>
      <c r="I372" s="81"/>
      <c r="J372" s="81"/>
      <c r="K372" s="82"/>
      <c r="L372" s="83"/>
      <c r="M372" s="84"/>
      <c r="N372" s="37"/>
      <c r="O372" s="38"/>
      <c r="P372" s="38"/>
      <c r="Q372" s="38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78"/>
      <c r="B373" s="79"/>
      <c r="C373" s="79"/>
      <c r="D373" s="80"/>
      <c r="E373" s="81"/>
      <c r="F373" s="81"/>
      <c r="G373" s="81"/>
      <c r="H373" s="81"/>
      <c r="I373" s="81"/>
      <c r="J373" s="81"/>
      <c r="K373" s="82"/>
      <c r="L373" s="83"/>
      <c r="M373" s="84"/>
      <c r="N373" s="37"/>
      <c r="O373" s="38"/>
      <c r="P373" s="38"/>
      <c r="Q373" s="38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78"/>
      <c r="B374" s="79"/>
      <c r="C374" s="79"/>
      <c r="D374" s="80"/>
      <c r="E374" s="81"/>
      <c r="F374" s="81"/>
      <c r="G374" s="81"/>
      <c r="H374" s="81"/>
      <c r="I374" s="81"/>
      <c r="J374" s="81"/>
      <c r="K374" s="82"/>
      <c r="L374" s="83"/>
      <c r="M374" s="84"/>
      <c r="N374" s="37"/>
      <c r="O374" s="38"/>
      <c r="P374" s="38"/>
      <c r="Q374" s="38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78"/>
      <c r="B375" s="79"/>
      <c r="C375" s="79"/>
      <c r="D375" s="80"/>
      <c r="E375" s="81"/>
      <c r="F375" s="81"/>
      <c r="G375" s="81"/>
      <c r="H375" s="81"/>
      <c r="I375" s="81"/>
      <c r="J375" s="81"/>
      <c r="K375" s="82"/>
      <c r="L375" s="83"/>
      <c r="M375" s="84"/>
      <c r="N375" s="37"/>
      <c r="O375" s="38"/>
      <c r="P375" s="38"/>
      <c r="Q375" s="38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78"/>
      <c r="B376" s="79"/>
      <c r="C376" s="79"/>
      <c r="D376" s="80"/>
      <c r="E376" s="81"/>
      <c r="F376" s="81"/>
      <c r="G376" s="81"/>
      <c r="H376" s="81"/>
      <c r="I376" s="81"/>
      <c r="J376" s="81"/>
      <c r="K376" s="82"/>
      <c r="L376" s="83"/>
      <c r="M376" s="84"/>
      <c r="N376" s="37"/>
      <c r="O376" s="38"/>
      <c r="P376" s="38"/>
      <c r="Q376" s="38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78"/>
      <c r="B377" s="79"/>
      <c r="C377" s="79"/>
      <c r="D377" s="80"/>
      <c r="E377" s="81"/>
      <c r="F377" s="81"/>
      <c r="G377" s="81"/>
      <c r="H377" s="81"/>
      <c r="I377" s="81"/>
      <c r="J377" s="81"/>
      <c r="K377" s="82"/>
      <c r="L377" s="83"/>
      <c r="M377" s="84"/>
      <c r="N377" s="37"/>
      <c r="O377" s="38"/>
      <c r="P377" s="38"/>
      <c r="Q377" s="38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78"/>
      <c r="B378" s="79"/>
      <c r="C378" s="79"/>
      <c r="D378" s="80"/>
      <c r="E378" s="81"/>
      <c r="F378" s="81"/>
      <c r="G378" s="81"/>
      <c r="H378" s="81"/>
      <c r="I378" s="81"/>
      <c r="J378" s="81"/>
      <c r="K378" s="82"/>
      <c r="L378" s="83"/>
      <c r="M378" s="84"/>
      <c r="N378" s="37"/>
      <c r="O378" s="38"/>
      <c r="P378" s="38"/>
      <c r="Q378" s="38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78"/>
      <c r="B379" s="79"/>
      <c r="C379" s="79"/>
      <c r="D379" s="80"/>
      <c r="E379" s="81"/>
      <c r="F379" s="81"/>
      <c r="G379" s="81"/>
      <c r="H379" s="81"/>
      <c r="I379" s="81"/>
      <c r="J379" s="81"/>
      <c r="K379" s="82"/>
      <c r="L379" s="83"/>
      <c r="M379" s="84"/>
      <c r="N379" s="37"/>
      <c r="O379" s="38"/>
      <c r="P379" s="38"/>
      <c r="Q379" s="38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78"/>
      <c r="B380" s="79"/>
      <c r="C380" s="79"/>
      <c r="D380" s="80"/>
      <c r="E380" s="81"/>
      <c r="F380" s="81"/>
      <c r="G380" s="81"/>
      <c r="H380" s="81"/>
      <c r="I380" s="81"/>
      <c r="J380" s="81"/>
      <c r="K380" s="82"/>
      <c r="L380" s="83"/>
      <c r="M380" s="84"/>
      <c r="N380" s="37"/>
      <c r="O380" s="38"/>
      <c r="P380" s="38"/>
      <c r="Q380" s="38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78"/>
      <c r="B381" s="79"/>
      <c r="C381" s="79"/>
      <c r="D381" s="80"/>
      <c r="E381" s="81"/>
      <c r="F381" s="81"/>
      <c r="G381" s="81"/>
      <c r="H381" s="81"/>
      <c r="I381" s="81"/>
      <c r="J381" s="81"/>
      <c r="K381" s="82"/>
      <c r="L381" s="83"/>
      <c r="M381" s="84"/>
      <c r="N381" s="37"/>
      <c r="O381" s="38"/>
      <c r="P381" s="38"/>
      <c r="Q381" s="38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78"/>
      <c r="B382" s="79"/>
      <c r="C382" s="79"/>
      <c r="D382" s="80"/>
      <c r="E382" s="81"/>
      <c r="F382" s="81"/>
      <c r="G382" s="81"/>
      <c r="H382" s="81"/>
      <c r="I382" s="81"/>
      <c r="J382" s="81"/>
      <c r="K382" s="82"/>
      <c r="L382" s="83"/>
      <c r="M382" s="84"/>
      <c r="N382" s="37"/>
      <c r="O382" s="38"/>
      <c r="P382" s="38"/>
      <c r="Q382" s="38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78"/>
      <c r="B383" s="79"/>
      <c r="C383" s="79"/>
      <c r="D383" s="80"/>
      <c r="E383" s="81"/>
      <c r="F383" s="81"/>
      <c r="G383" s="81"/>
      <c r="H383" s="81"/>
      <c r="I383" s="81"/>
      <c r="J383" s="81"/>
      <c r="K383" s="82"/>
      <c r="L383" s="83"/>
      <c r="M383" s="84"/>
      <c r="N383" s="37"/>
      <c r="O383" s="38"/>
      <c r="P383" s="38"/>
      <c r="Q383" s="38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78"/>
      <c r="B384" s="79"/>
      <c r="C384" s="79"/>
      <c r="D384" s="80"/>
      <c r="E384" s="81"/>
      <c r="F384" s="81"/>
      <c r="G384" s="81"/>
      <c r="H384" s="81"/>
      <c r="I384" s="81"/>
      <c r="J384" s="81"/>
      <c r="K384" s="82"/>
      <c r="L384" s="83"/>
      <c r="M384" s="84"/>
      <c r="N384" s="37"/>
      <c r="O384" s="38"/>
      <c r="P384" s="38"/>
      <c r="Q384" s="38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78"/>
      <c r="B385" s="79"/>
      <c r="C385" s="79"/>
      <c r="D385" s="80"/>
      <c r="E385" s="81"/>
      <c r="F385" s="81"/>
      <c r="G385" s="81"/>
      <c r="H385" s="81"/>
      <c r="I385" s="81"/>
      <c r="J385" s="81"/>
      <c r="K385" s="82"/>
      <c r="L385" s="83"/>
      <c r="M385" s="84"/>
      <c r="N385" s="37"/>
      <c r="O385" s="38"/>
      <c r="P385" s="38"/>
      <c r="Q385" s="38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78"/>
      <c r="B386" s="79"/>
      <c r="C386" s="79"/>
      <c r="D386" s="80"/>
      <c r="E386" s="81"/>
      <c r="F386" s="81"/>
      <c r="G386" s="81"/>
      <c r="H386" s="81"/>
      <c r="I386" s="81"/>
      <c r="J386" s="81"/>
      <c r="K386" s="82"/>
      <c r="L386" s="83"/>
      <c r="M386" s="84"/>
      <c r="N386" s="37"/>
      <c r="O386" s="38"/>
      <c r="P386" s="38"/>
      <c r="Q386" s="38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78"/>
      <c r="B387" s="79"/>
      <c r="C387" s="79"/>
      <c r="D387" s="80"/>
      <c r="E387" s="81"/>
      <c r="F387" s="81"/>
      <c r="G387" s="81"/>
      <c r="H387" s="81"/>
      <c r="I387" s="81"/>
      <c r="J387" s="81"/>
      <c r="K387" s="82"/>
      <c r="L387" s="83"/>
      <c r="M387" s="84"/>
      <c r="N387" s="37"/>
      <c r="O387" s="38"/>
      <c r="P387" s="38"/>
      <c r="Q387" s="38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78"/>
      <c r="B388" s="79"/>
      <c r="C388" s="79"/>
      <c r="D388" s="80"/>
      <c r="E388" s="81"/>
      <c r="F388" s="81"/>
      <c r="G388" s="81"/>
      <c r="H388" s="81"/>
      <c r="I388" s="81"/>
      <c r="J388" s="81"/>
      <c r="K388" s="82"/>
      <c r="L388" s="83"/>
      <c r="M388" s="84"/>
      <c r="N388" s="37"/>
      <c r="O388" s="38"/>
      <c r="P388" s="38"/>
      <c r="Q388" s="38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78"/>
      <c r="B389" s="79"/>
      <c r="C389" s="79"/>
      <c r="D389" s="80"/>
      <c r="E389" s="81"/>
      <c r="F389" s="81"/>
      <c r="G389" s="81"/>
      <c r="H389" s="81"/>
      <c r="I389" s="81"/>
      <c r="J389" s="81"/>
      <c r="K389" s="82"/>
      <c r="L389" s="83"/>
      <c r="M389" s="84"/>
      <c r="N389" s="37"/>
      <c r="O389" s="38"/>
      <c r="P389" s="38"/>
      <c r="Q389" s="38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78"/>
      <c r="B390" s="79"/>
      <c r="C390" s="79"/>
      <c r="D390" s="80"/>
      <c r="E390" s="81"/>
      <c r="F390" s="81"/>
      <c r="G390" s="81"/>
      <c r="H390" s="81"/>
      <c r="I390" s="81"/>
      <c r="J390" s="81"/>
      <c r="K390" s="82"/>
      <c r="L390" s="83"/>
      <c r="M390" s="84"/>
      <c r="N390" s="37"/>
      <c r="O390" s="38"/>
      <c r="P390" s="38"/>
      <c r="Q390" s="38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78"/>
      <c r="B391" s="79"/>
      <c r="C391" s="79"/>
      <c r="D391" s="80"/>
      <c r="E391" s="81"/>
      <c r="F391" s="81"/>
      <c r="G391" s="81"/>
      <c r="H391" s="81"/>
      <c r="I391" s="81"/>
      <c r="J391" s="81"/>
      <c r="K391" s="82"/>
      <c r="L391" s="83"/>
      <c r="M391" s="84"/>
      <c r="N391" s="37"/>
      <c r="O391" s="38"/>
      <c r="P391" s="38"/>
      <c r="Q391" s="38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78"/>
      <c r="B392" s="79"/>
      <c r="C392" s="79"/>
      <c r="D392" s="80"/>
      <c r="E392" s="81"/>
      <c r="F392" s="81"/>
      <c r="G392" s="81"/>
      <c r="H392" s="81"/>
      <c r="I392" s="81"/>
      <c r="J392" s="81"/>
      <c r="K392" s="82"/>
      <c r="L392" s="83"/>
      <c r="M392" s="84"/>
      <c r="N392" s="37"/>
      <c r="O392" s="38"/>
      <c r="P392" s="38"/>
      <c r="Q392" s="38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78"/>
      <c r="B393" s="79"/>
      <c r="C393" s="79"/>
      <c r="D393" s="80"/>
      <c r="E393" s="81"/>
      <c r="F393" s="81"/>
      <c r="G393" s="81"/>
      <c r="H393" s="81"/>
      <c r="I393" s="81"/>
      <c r="J393" s="81"/>
      <c r="K393" s="82"/>
      <c r="L393" s="83"/>
      <c r="M393" s="84"/>
      <c r="N393" s="37"/>
      <c r="O393" s="38"/>
      <c r="P393" s="38"/>
      <c r="Q393" s="38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78"/>
      <c r="B394" s="79"/>
      <c r="C394" s="79"/>
      <c r="D394" s="80"/>
      <c r="E394" s="81"/>
      <c r="F394" s="81"/>
      <c r="G394" s="81"/>
      <c r="H394" s="81"/>
      <c r="I394" s="81"/>
      <c r="J394" s="81"/>
      <c r="K394" s="82"/>
      <c r="L394" s="83"/>
      <c r="M394" s="84"/>
      <c r="N394" s="37"/>
      <c r="O394" s="38"/>
      <c r="P394" s="38"/>
      <c r="Q394" s="38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78"/>
      <c r="B395" s="79"/>
      <c r="C395" s="79"/>
      <c r="D395" s="80"/>
      <c r="E395" s="81"/>
      <c r="F395" s="81"/>
      <c r="G395" s="81"/>
      <c r="H395" s="81"/>
      <c r="I395" s="81"/>
      <c r="J395" s="81"/>
      <c r="K395" s="82"/>
      <c r="L395" s="83"/>
      <c r="M395" s="84"/>
      <c r="N395" s="37"/>
      <c r="O395" s="38"/>
      <c r="P395" s="38"/>
      <c r="Q395" s="38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78"/>
      <c r="B396" s="79"/>
      <c r="C396" s="79"/>
      <c r="D396" s="80"/>
      <c r="E396" s="81"/>
      <c r="F396" s="81"/>
      <c r="G396" s="81"/>
      <c r="H396" s="81"/>
      <c r="I396" s="81"/>
      <c r="J396" s="81"/>
      <c r="K396" s="82"/>
      <c r="L396" s="83"/>
      <c r="M396" s="84"/>
      <c r="N396" s="37"/>
      <c r="O396" s="38"/>
      <c r="P396" s="38"/>
      <c r="Q396" s="38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78"/>
      <c r="B397" s="79"/>
      <c r="C397" s="79"/>
      <c r="D397" s="80"/>
      <c r="E397" s="81"/>
      <c r="F397" s="81"/>
      <c r="G397" s="81"/>
      <c r="H397" s="81"/>
      <c r="I397" s="81"/>
      <c r="J397" s="81"/>
      <c r="K397" s="82"/>
      <c r="L397" s="83"/>
      <c r="M397" s="84"/>
      <c r="N397" s="37"/>
      <c r="O397" s="38"/>
      <c r="P397" s="38"/>
      <c r="Q397" s="38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78"/>
      <c r="B398" s="79"/>
      <c r="C398" s="79"/>
      <c r="D398" s="80"/>
      <c r="E398" s="81"/>
      <c r="F398" s="81"/>
      <c r="G398" s="81"/>
      <c r="H398" s="81"/>
      <c r="I398" s="81"/>
      <c r="J398" s="81"/>
      <c r="K398" s="82"/>
      <c r="L398" s="83"/>
      <c r="M398" s="84"/>
      <c r="N398" s="37"/>
      <c r="O398" s="38"/>
      <c r="P398" s="38"/>
      <c r="Q398" s="38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78"/>
      <c r="B399" s="79"/>
      <c r="C399" s="79"/>
      <c r="D399" s="80"/>
      <c r="E399" s="81"/>
      <c r="F399" s="81"/>
      <c r="G399" s="81"/>
      <c r="H399" s="81"/>
      <c r="I399" s="81"/>
      <c r="J399" s="81"/>
      <c r="K399" s="82"/>
      <c r="L399" s="83"/>
      <c r="M399" s="84"/>
      <c r="N399" s="37"/>
      <c r="O399" s="38"/>
      <c r="P399" s="38"/>
      <c r="Q399" s="38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78"/>
      <c r="B400" s="79"/>
      <c r="C400" s="79"/>
      <c r="D400" s="80"/>
      <c r="E400" s="81"/>
      <c r="F400" s="81"/>
      <c r="G400" s="81"/>
      <c r="H400" s="81"/>
      <c r="I400" s="81"/>
      <c r="J400" s="81"/>
      <c r="K400" s="82"/>
      <c r="L400" s="83"/>
      <c r="M400" s="84"/>
      <c r="N400" s="37"/>
      <c r="O400" s="38"/>
      <c r="P400" s="38"/>
      <c r="Q400" s="38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78"/>
      <c r="B401" s="79"/>
      <c r="C401" s="79"/>
      <c r="D401" s="80"/>
      <c r="E401" s="81"/>
      <c r="F401" s="81"/>
      <c r="G401" s="81"/>
      <c r="H401" s="81"/>
      <c r="I401" s="81"/>
      <c r="J401" s="81"/>
      <c r="K401" s="82"/>
      <c r="L401" s="83"/>
      <c r="M401" s="84"/>
      <c r="N401" s="37"/>
      <c r="O401" s="38"/>
      <c r="P401" s="38"/>
      <c r="Q401" s="38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78"/>
      <c r="B402" s="79"/>
      <c r="C402" s="79"/>
      <c r="D402" s="80"/>
      <c r="E402" s="81"/>
      <c r="F402" s="81"/>
      <c r="G402" s="81"/>
      <c r="H402" s="81"/>
      <c r="I402" s="81"/>
      <c r="J402" s="81"/>
      <c r="K402" s="82"/>
      <c r="L402" s="83"/>
      <c r="M402" s="84"/>
      <c r="N402" s="37"/>
      <c r="O402" s="38"/>
      <c r="P402" s="38"/>
      <c r="Q402" s="38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78"/>
      <c r="B403" s="79"/>
      <c r="C403" s="79"/>
      <c r="D403" s="80"/>
      <c r="E403" s="81"/>
      <c r="F403" s="81"/>
      <c r="G403" s="81"/>
      <c r="H403" s="81"/>
      <c r="I403" s="81"/>
      <c r="J403" s="81"/>
      <c r="K403" s="82"/>
      <c r="L403" s="83"/>
      <c r="M403" s="84"/>
      <c r="N403" s="37"/>
      <c r="O403" s="38"/>
      <c r="P403" s="38"/>
      <c r="Q403" s="38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78"/>
      <c r="B404" s="79"/>
      <c r="C404" s="79"/>
      <c r="D404" s="80"/>
      <c r="E404" s="81"/>
      <c r="F404" s="81"/>
      <c r="G404" s="81"/>
      <c r="H404" s="81"/>
      <c r="I404" s="81"/>
      <c r="J404" s="81"/>
      <c r="K404" s="82"/>
      <c r="L404" s="83"/>
      <c r="M404" s="84"/>
      <c r="N404" s="37"/>
      <c r="O404" s="38"/>
      <c r="P404" s="38"/>
      <c r="Q404" s="38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78"/>
      <c r="B405" s="79"/>
      <c r="C405" s="79"/>
      <c r="D405" s="80"/>
      <c r="E405" s="81"/>
      <c r="F405" s="81"/>
      <c r="G405" s="81"/>
      <c r="H405" s="81"/>
      <c r="I405" s="81"/>
      <c r="J405" s="81"/>
      <c r="K405" s="82"/>
      <c r="L405" s="83"/>
      <c r="M405" s="84"/>
      <c r="N405" s="37"/>
      <c r="O405" s="38"/>
      <c r="P405" s="38"/>
      <c r="Q405" s="38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78"/>
      <c r="B406" s="79"/>
      <c r="C406" s="79"/>
      <c r="D406" s="80"/>
      <c r="E406" s="81"/>
      <c r="F406" s="81"/>
      <c r="G406" s="81"/>
      <c r="H406" s="81"/>
      <c r="I406" s="81"/>
      <c r="J406" s="81"/>
      <c r="K406" s="82"/>
      <c r="L406" s="83"/>
      <c r="M406" s="84"/>
      <c r="N406" s="37"/>
      <c r="O406" s="38"/>
      <c r="P406" s="38"/>
      <c r="Q406" s="38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78"/>
      <c r="B407" s="79"/>
      <c r="C407" s="79"/>
      <c r="D407" s="80"/>
      <c r="E407" s="81"/>
      <c r="F407" s="81"/>
      <c r="G407" s="81"/>
      <c r="H407" s="81"/>
      <c r="I407" s="81"/>
      <c r="J407" s="81"/>
      <c r="K407" s="82"/>
      <c r="L407" s="83"/>
      <c r="M407" s="84"/>
      <c r="N407" s="37"/>
      <c r="O407" s="38"/>
      <c r="P407" s="38"/>
      <c r="Q407" s="38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78"/>
      <c r="B408" s="79"/>
      <c r="C408" s="79"/>
      <c r="D408" s="80"/>
      <c r="E408" s="81"/>
      <c r="F408" s="81"/>
      <c r="G408" s="81"/>
      <c r="H408" s="81"/>
      <c r="I408" s="81"/>
      <c r="J408" s="81"/>
      <c r="K408" s="82"/>
      <c r="L408" s="83"/>
      <c r="M408" s="84"/>
      <c r="N408" s="37"/>
      <c r="O408" s="38"/>
      <c r="P408" s="38"/>
      <c r="Q408" s="38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78"/>
      <c r="B409" s="79"/>
      <c r="C409" s="79"/>
      <c r="D409" s="80"/>
      <c r="E409" s="81"/>
      <c r="F409" s="81"/>
      <c r="G409" s="81"/>
      <c r="H409" s="81"/>
      <c r="I409" s="81"/>
      <c r="J409" s="81"/>
      <c r="K409" s="82"/>
      <c r="L409" s="83"/>
      <c r="M409" s="84"/>
      <c r="N409" s="37"/>
      <c r="O409" s="38"/>
      <c r="P409" s="38"/>
      <c r="Q409" s="38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78"/>
      <c r="B410" s="79"/>
      <c r="C410" s="79"/>
      <c r="D410" s="80"/>
      <c r="E410" s="81"/>
      <c r="F410" s="81"/>
      <c r="G410" s="81"/>
      <c r="H410" s="81"/>
      <c r="I410" s="81"/>
      <c r="J410" s="81"/>
      <c r="K410" s="82"/>
      <c r="L410" s="83"/>
      <c r="M410" s="84"/>
      <c r="N410" s="37"/>
      <c r="O410" s="38"/>
      <c r="P410" s="38"/>
      <c r="Q410" s="38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78"/>
      <c r="B411" s="79"/>
      <c r="C411" s="79"/>
      <c r="D411" s="80"/>
      <c r="E411" s="81"/>
      <c r="F411" s="81"/>
      <c r="G411" s="81"/>
      <c r="H411" s="81"/>
      <c r="I411" s="81"/>
      <c r="J411" s="81"/>
      <c r="K411" s="82"/>
      <c r="L411" s="83"/>
      <c r="M411" s="84"/>
      <c r="N411" s="37"/>
      <c r="O411" s="38"/>
      <c r="P411" s="38"/>
      <c r="Q411" s="38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78"/>
      <c r="B412" s="79"/>
      <c r="C412" s="79"/>
      <c r="D412" s="80"/>
      <c r="E412" s="81"/>
      <c r="F412" s="81"/>
      <c r="G412" s="81"/>
      <c r="H412" s="81"/>
      <c r="I412" s="81"/>
      <c r="J412" s="81"/>
      <c r="K412" s="82"/>
      <c r="L412" s="83"/>
      <c r="M412" s="84"/>
      <c r="N412" s="37"/>
      <c r="O412" s="38"/>
      <c r="P412" s="38"/>
      <c r="Q412" s="38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78"/>
      <c r="B413" s="79"/>
      <c r="C413" s="79"/>
      <c r="D413" s="80"/>
      <c r="E413" s="81"/>
      <c r="F413" s="81"/>
      <c r="G413" s="81"/>
      <c r="H413" s="81"/>
      <c r="I413" s="81"/>
      <c r="J413" s="81"/>
      <c r="K413" s="82"/>
      <c r="L413" s="83"/>
      <c r="M413" s="84"/>
      <c r="N413" s="37"/>
      <c r="O413" s="38"/>
      <c r="P413" s="38"/>
      <c r="Q413" s="38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78"/>
      <c r="B414" s="79"/>
      <c r="C414" s="79"/>
      <c r="D414" s="80"/>
      <c r="E414" s="81"/>
      <c r="F414" s="81"/>
      <c r="G414" s="81"/>
      <c r="H414" s="81"/>
      <c r="I414" s="81"/>
      <c r="J414" s="81"/>
      <c r="K414" s="82"/>
      <c r="L414" s="83"/>
      <c r="M414" s="84"/>
      <c r="N414" s="37"/>
      <c r="O414" s="38"/>
      <c r="P414" s="38"/>
      <c r="Q414" s="38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78"/>
      <c r="B415" s="79"/>
      <c r="C415" s="79"/>
      <c r="D415" s="80"/>
      <c r="E415" s="81"/>
      <c r="F415" s="81"/>
      <c r="G415" s="81"/>
      <c r="H415" s="81"/>
      <c r="I415" s="81"/>
      <c r="J415" s="81"/>
      <c r="K415" s="82"/>
      <c r="L415" s="83"/>
      <c r="M415" s="84"/>
      <c r="N415" s="37"/>
      <c r="O415" s="38"/>
      <c r="P415" s="38"/>
      <c r="Q415" s="38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78"/>
      <c r="B416" s="79"/>
      <c r="C416" s="79"/>
      <c r="D416" s="80"/>
      <c r="E416" s="81"/>
      <c r="F416" s="81"/>
      <c r="G416" s="81"/>
      <c r="H416" s="81"/>
      <c r="I416" s="81"/>
      <c r="J416" s="81"/>
      <c r="K416" s="82"/>
      <c r="L416" s="83"/>
      <c r="M416" s="84"/>
      <c r="N416" s="37"/>
      <c r="O416" s="38"/>
      <c r="P416" s="38"/>
      <c r="Q416" s="38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78"/>
      <c r="B417" s="79"/>
      <c r="C417" s="79"/>
      <c r="D417" s="80"/>
      <c r="E417" s="81"/>
      <c r="F417" s="81"/>
      <c r="G417" s="81"/>
      <c r="H417" s="81"/>
      <c r="I417" s="81"/>
      <c r="J417" s="81"/>
      <c r="K417" s="82"/>
      <c r="L417" s="83"/>
      <c r="M417" s="84"/>
      <c r="N417" s="37"/>
      <c r="O417" s="38"/>
      <c r="P417" s="38"/>
      <c r="Q417" s="38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78"/>
      <c r="B418" s="79"/>
      <c r="C418" s="79"/>
      <c r="D418" s="80"/>
      <c r="E418" s="81"/>
      <c r="F418" s="81"/>
      <c r="G418" s="81"/>
      <c r="H418" s="81"/>
      <c r="I418" s="81"/>
      <c r="J418" s="81"/>
      <c r="K418" s="82"/>
      <c r="L418" s="83"/>
      <c r="M418" s="84"/>
      <c r="N418" s="37"/>
      <c r="O418" s="38"/>
      <c r="P418" s="38"/>
      <c r="Q418" s="38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78"/>
      <c r="B419" s="79"/>
      <c r="C419" s="79"/>
      <c r="D419" s="80"/>
      <c r="E419" s="81"/>
      <c r="F419" s="81"/>
      <c r="G419" s="81"/>
      <c r="H419" s="81"/>
      <c r="I419" s="81"/>
      <c r="J419" s="81"/>
      <c r="K419" s="82"/>
      <c r="L419" s="83"/>
      <c r="M419" s="84"/>
      <c r="N419" s="37"/>
      <c r="O419" s="38"/>
      <c r="P419" s="38"/>
      <c r="Q419" s="38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78"/>
      <c r="B420" s="79"/>
      <c r="C420" s="79"/>
      <c r="D420" s="80"/>
      <c r="E420" s="81"/>
      <c r="F420" s="81"/>
      <c r="G420" s="81"/>
      <c r="H420" s="81"/>
      <c r="I420" s="81"/>
      <c r="J420" s="81"/>
      <c r="K420" s="82"/>
      <c r="L420" s="83"/>
      <c r="M420" s="84"/>
      <c r="N420" s="37"/>
      <c r="O420" s="38"/>
      <c r="P420" s="38"/>
      <c r="Q420" s="38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78"/>
      <c r="B421" s="79"/>
      <c r="C421" s="79"/>
      <c r="D421" s="80"/>
      <c r="E421" s="81"/>
      <c r="F421" s="81"/>
      <c r="G421" s="81"/>
      <c r="H421" s="81"/>
      <c r="I421" s="81"/>
      <c r="J421" s="81"/>
      <c r="K421" s="82"/>
      <c r="L421" s="83"/>
      <c r="M421" s="84"/>
      <c r="N421" s="37"/>
      <c r="O421" s="38"/>
      <c r="P421" s="38"/>
      <c r="Q421" s="38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78"/>
      <c r="B422" s="79"/>
      <c r="C422" s="79"/>
      <c r="D422" s="80"/>
      <c r="E422" s="81"/>
      <c r="F422" s="81"/>
      <c r="G422" s="81"/>
      <c r="H422" s="81"/>
      <c r="I422" s="81"/>
      <c r="J422" s="81"/>
      <c r="K422" s="82"/>
      <c r="L422" s="83"/>
      <c r="M422" s="84"/>
      <c r="N422" s="37"/>
      <c r="O422" s="38"/>
      <c r="P422" s="38"/>
      <c r="Q422" s="38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78"/>
      <c r="B423" s="79"/>
      <c r="C423" s="79"/>
      <c r="D423" s="80"/>
      <c r="E423" s="81"/>
      <c r="F423" s="81"/>
      <c r="G423" s="81"/>
      <c r="H423" s="81"/>
      <c r="I423" s="81"/>
      <c r="J423" s="81"/>
      <c r="K423" s="82"/>
      <c r="L423" s="83"/>
      <c r="M423" s="84"/>
      <c r="N423" s="37"/>
      <c r="O423" s="38"/>
      <c r="P423" s="38"/>
      <c r="Q423" s="38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78"/>
      <c r="B424" s="79"/>
      <c r="C424" s="79"/>
      <c r="D424" s="80"/>
      <c r="E424" s="81"/>
      <c r="F424" s="81"/>
      <c r="G424" s="81"/>
      <c r="H424" s="81"/>
      <c r="I424" s="81"/>
      <c r="J424" s="81"/>
      <c r="K424" s="82"/>
      <c r="L424" s="83"/>
      <c r="M424" s="84"/>
      <c r="N424" s="37"/>
      <c r="O424" s="38"/>
      <c r="P424" s="38"/>
      <c r="Q424" s="38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78"/>
      <c r="B425" s="79"/>
      <c r="C425" s="79"/>
      <c r="D425" s="80"/>
      <c r="E425" s="81"/>
      <c r="F425" s="81"/>
      <c r="G425" s="81"/>
      <c r="H425" s="81"/>
      <c r="I425" s="81"/>
      <c r="J425" s="81"/>
      <c r="K425" s="82"/>
      <c r="L425" s="83"/>
      <c r="M425" s="84"/>
      <c r="N425" s="37"/>
      <c r="O425" s="38"/>
      <c r="P425" s="38"/>
      <c r="Q425" s="38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78"/>
      <c r="B426" s="79"/>
      <c r="C426" s="79"/>
      <c r="D426" s="80"/>
      <c r="E426" s="81"/>
      <c r="F426" s="81"/>
      <c r="G426" s="81"/>
      <c r="H426" s="81"/>
      <c r="I426" s="81"/>
      <c r="J426" s="81"/>
      <c r="K426" s="82"/>
      <c r="L426" s="83"/>
      <c r="M426" s="84"/>
      <c r="N426" s="37"/>
      <c r="O426" s="38"/>
      <c r="P426" s="38"/>
      <c r="Q426" s="38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78"/>
      <c r="B427" s="79"/>
      <c r="C427" s="79"/>
      <c r="D427" s="80"/>
      <c r="E427" s="81"/>
      <c r="F427" s="81"/>
      <c r="G427" s="81"/>
      <c r="H427" s="81"/>
      <c r="I427" s="81"/>
      <c r="J427" s="81"/>
      <c r="K427" s="82"/>
      <c r="L427" s="83"/>
      <c r="M427" s="84"/>
      <c r="N427" s="37"/>
      <c r="O427" s="38"/>
      <c r="P427" s="38"/>
      <c r="Q427" s="38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78"/>
      <c r="B428" s="79"/>
      <c r="C428" s="79"/>
      <c r="D428" s="80"/>
      <c r="E428" s="81"/>
      <c r="F428" s="81"/>
      <c r="G428" s="81"/>
      <c r="H428" s="81"/>
      <c r="I428" s="81"/>
      <c r="J428" s="81"/>
      <c r="K428" s="82"/>
      <c r="L428" s="83"/>
      <c r="M428" s="84"/>
      <c r="N428" s="37"/>
      <c r="O428" s="38"/>
      <c r="P428" s="38"/>
      <c r="Q428" s="38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78"/>
      <c r="B429" s="79"/>
      <c r="C429" s="79"/>
      <c r="D429" s="80"/>
      <c r="E429" s="81"/>
      <c r="F429" s="81"/>
      <c r="G429" s="81"/>
      <c r="H429" s="81"/>
      <c r="I429" s="81"/>
      <c r="J429" s="81"/>
      <c r="K429" s="82"/>
      <c r="L429" s="83"/>
      <c r="M429" s="84"/>
      <c r="N429" s="37"/>
      <c r="O429" s="38"/>
      <c r="P429" s="38"/>
      <c r="Q429" s="38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78"/>
      <c r="B430" s="79"/>
      <c r="C430" s="79"/>
      <c r="D430" s="80"/>
      <c r="E430" s="81"/>
      <c r="F430" s="81"/>
      <c r="G430" s="81"/>
      <c r="H430" s="81"/>
      <c r="I430" s="81"/>
      <c r="J430" s="81"/>
      <c r="K430" s="82"/>
      <c r="L430" s="83"/>
      <c r="M430" s="84"/>
      <c r="N430" s="37"/>
      <c r="O430" s="38"/>
      <c r="P430" s="38"/>
      <c r="Q430" s="38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78"/>
      <c r="B431" s="79"/>
      <c r="C431" s="79"/>
      <c r="D431" s="80"/>
      <c r="E431" s="81"/>
      <c r="F431" s="81"/>
      <c r="G431" s="81"/>
      <c r="H431" s="81"/>
      <c r="I431" s="81"/>
      <c r="J431" s="81"/>
      <c r="K431" s="82"/>
      <c r="L431" s="83"/>
      <c r="M431" s="84"/>
      <c r="N431" s="37"/>
      <c r="O431" s="38"/>
      <c r="P431" s="38"/>
      <c r="Q431" s="38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78"/>
      <c r="B432" s="79"/>
      <c r="C432" s="79"/>
      <c r="D432" s="80"/>
      <c r="E432" s="81"/>
      <c r="F432" s="81"/>
      <c r="G432" s="81"/>
      <c r="H432" s="81"/>
      <c r="I432" s="81"/>
      <c r="J432" s="81"/>
      <c r="K432" s="82"/>
      <c r="L432" s="83"/>
      <c r="M432" s="84"/>
      <c r="N432" s="37"/>
      <c r="O432" s="38"/>
      <c r="P432" s="38"/>
      <c r="Q432" s="38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78"/>
      <c r="B433" s="79"/>
      <c r="C433" s="79"/>
      <c r="D433" s="80"/>
      <c r="E433" s="81"/>
      <c r="F433" s="81"/>
      <c r="G433" s="81"/>
      <c r="H433" s="81"/>
      <c r="I433" s="81"/>
      <c r="J433" s="81"/>
      <c r="K433" s="82"/>
      <c r="L433" s="83"/>
      <c r="M433" s="84"/>
      <c r="N433" s="37"/>
      <c r="O433" s="38"/>
      <c r="P433" s="38"/>
      <c r="Q433" s="38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78"/>
      <c r="B434" s="79"/>
      <c r="C434" s="79"/>
      <c r="D434" s="80"/>
      <c r="E434" s="81"/>
      <c r="F434" s="81"/>
      <c r="G434" s="81"/>
      <c r="H434" s="81"/>
      <c r="I434" s="81"/>
      <c r="J434" s="81"/>
      <c r="K434" s="82"/>
      <c r="L434" s="83"/>
      <c r="M434" s="84"/>
      <c r="N434" s="37"/>
      <c r="O434" s="38"/>
      <c r="P434" s="38"/>
      <c r="Q434" s="38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78"/>
      <c r="B435" s="79"/>
      <c r="C435" s="79"/>
      <c r="D435" s="80"/>
      <c r="E435" s="81"/>
      <c r="F435" s="81"/>
      <c r="G435" s="81"/>
      <c r="H435" s="81"/>
      <c r="I435" s="81"/>
      <c r="J435" s="81"/>
      <c r="K435" s="82"/>
      <c r="L435" s="83"/>
      <c r="M435" s="84"/>
      <c r="N435" s="37"/>
      <c r="O435" s="38"/>
      <c r="P435" s="38"/>
      <c r="Q435" s="38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78"/>
      <c r="B436" s="79"/>
      <c r="C436" s="79"/>
      <c r="D436" s="80"/>
      <c r="E436" s="81"/>
      <c r="F436" s="81"/>
      <c r="G436" s="81"/>
      <c r="H436" s="81"/>
      <c r="I436" s="81"/>
      <c r="J436" s="81"/>
      <c r="K436" s="82"/>
      <c r="L436" s="83"/>
      <c r="M436" s="84"/>
      <c r="N436" s="37"/>
      <c r="O436" s="38"/>
      <c r="P436" s="38"/>
      <c r="Q436" s="38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78"/>
      <c r="B437" s="79"/>
      <c r="C437" s="79"/>
      <c r="D437" s="80"/>
      <c r="E437" s="81"/>
      <c r="F437" s="81"/>
      <c r="G437" s="81"/>
      <c r="H437" s="81"/>
      <c r="I437" s="81"/>
      <c r="J437" s="81"/>
      <c r="K437" s="82"/>
      <c r="L437" s="83"/>
      <c r="M437" s="84"/>
      <c r="N437" s="37"/>
      <c r="O437" s="38"/>
      <c r="P437" s="38"/>
      <c r="Q437" s="38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78"/>
      <c r="B438" s="79"/>
      <c r="C438" s="79"/>
      <c r="D438" s="80"/>
      <c r="E438" s="81"/>
      <c r="F438" s="81"/>
      <c r="G438" s="81"/>
      <c r="H438" s="81"/>
      <c r="I438" s="81"/>
      <c r="J438" s="81"/>
      <c r="K438" s="82"/>
      <c r="L438" s="83"/>
      <c r="M438" s="84"/>
      <c r="N438" s="37"/>
      <c r="O438" s="38"/>
      <c r="P438" s="38"/>
      <c r="Q438" s="38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78"/>
      <c r="B439" s="79"/>
      <c r="C439" s="79"/>
      <c r="D439" s="80"/>
      <c r="E439" s="81"/>
      <c r="F439" s="81"/>
      <c r="G439" s="81"/>
      <c r="H439" s="81"/>
      <c r="I439" s="81"/>
      <c r="J439" s="81"/>
      <c r="K439" s="82"/>
      <c r="L439" s="83"/>
      <c r="M439" s="84"/>
      <c r="N439" s="37"/>
      <c r="O439" s="38"/>
      <c r="P439" s="38"/>
      <c r="Q439" s="38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78"/>
      <c r="B440" s="79"/>
      <c r="C440" s="79"/>
      <c r="D440" s="80"/>
      <c r="E440" s="81"/>
      <c r="F440" s="81"/>
      <c r="G440" s="81"/>
      <c r="H440" s="81"/>
      <c r="I440" s="81"/>
      <c r="J440" s="81"/>
      <c r="K440" s="82"/>
      <c r="L440" s="83"/>
      <c r="M440" s="84"/>
      <c r="N440" s="37"/>
      <c r="O440" s="38"/>
      <c r="P440" s="38"/>
      <c r="Q440" s="38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78"/>
      <c r="B441" s="79"/>
      <c r="C441" s="79"/>
      <c r="D441" s="80"/>
      <c r="E441" s="81"/>
      <c r="F441" s="81"/>
      <c r="G441" s="81"/>
      <c r="H441" s="81"/>
      <c r="I441" s="81"/>
      <c r="J441" s="81"/>
      <c r="K441" s="82"/>
      <c r="L441" s="83"/>
      <c r="M441" s="84"/>
      <c r="N441" s="37"/>
      <c r="O441" s="38"/>
      <c r="P441" s="38"/>
      <c r="Q441" s="38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78"/>
      <c r="B442" s="79"/>
      <c r="C442" s="79"/>
      <c r="D442" s="80"/>
      <c r="E442" s="81"/>
      <c r="F442" s="81"/>
      <c r="G442" s="81"/>
      <c r="H442" s="81"/>
      <c r="I442" s="81"/>
      <c r="J442" s="81"/>
      <c r="K442" s="82"/>
      <c r="L442" s="83"/>
      <c r="M442" s="84"/>
      <c r="N442" s="37"/>
      <c r="O442" s="38"/>
      <c r="P442" s="38"/>
      <c r="Q442" s="38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78"/>
      <c r="B443" s="79"/>
      <c r="C443" s="79"/>
      <c r="D443" s="80"/>
      <c r="E443" s="81"/>
      <c r="F443" s="81"/>
      <c r="G443" s="81"/>
      <c r="H443" s="81"/>
      <c r="I443" s="81"/>
      <c r="J443" s="81"/>
      <c r="K443" s="82"/>
      <c r="L443" s="83"/>
      <c r="M443" s="84"/>
      <c r="N443" s="37"/>
      <c r="O443" s="38"/>
      <c r="P443" s="38"/>
      <c r="Q443" s="38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78"/>
      <c r="B444" s="79"/>
      <c r="C444" s="79"/>
      <c r="D444" s="80"/>
      <c r="E444" s="81"/>
      <c r="F444" s="81"/>
      <c r="G444" s="81"/>
      <c r="H444" s="81"/>
      <c r="I444" s="81"/>
      <c r="J444" s="81"/>
      <c r="K444" s="82"/>
      <c r="L444" s="83"/>
      <c r="M444" s="84"/>
      <c r="N444" s="37"/>
      <c r="O444" s="38"/>
      <c r="P444" s="38"/>
      <c r="Q444" s="38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78"/>
      <c r="B445" s="79"/>
      <c r="C445" s="79"/>
      <c r="D445" s="80"/>
      <c r="E445" s="81"/>
      <c r="F445" s="81"/>
      <c r="G445" s="81"/>
      <c r="H445" s="81"/>
      <c r="I445" s="81"/>
      <c r="J445" s="81"/>
      <c r="K445" s="82"/>
      <c r="L445" s="83"/>
      <c r="M445" s="84"/>
      <c r="N445" s="37"/>
      <c r="O445" s="38"/>
      <c r="P445" s="38"/>
      <c r="Q445" s="38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78"/>
      <c r="B446" s="79"/>
      <c r="C446" s="79"/>
      <c r="D446" s="80"/>
      <c r="E446" s="81"/>
      <c r="F446" s="81"/>
      <c r="G446" s="81"/>
      <c r="H446" s="81"/>
      <c r="I446" s="81"/>
      <c r="J446" s="81"/>
      <c r="K446" s="82"/>
      <c r="L446" s="83"/>
      <c r="M446" s="84"/>
      <c r="N446" s="37"/>
      <c r="O446" s="38"/>
      <c r="P446" s="38"/>
      <c r="Q446" s="38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78"/>
      <c r="B447" s="79"/>
      <c r="C447" s="79"/>
      <c r="D447" s="80"/>
      <c r="E447" s="81"/>
      <c r="F447" s="81"/>
      <c r="G447" s="81"/>
      <c r="H447" s="81"/>
      <c r="I447" s="81"/>
      <c r="J447" s="81"/>
      <c r="K447" s="82"/>
      <c r="L447" s="83"/>
      <c r="M447" s="84"/>
      <c r="N447" s="37"/>
      <c r="O447" s="38"/>
      <c r="P447" s="38"/>
      <c r="Q447" s="38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78"/>
      <c r="B448" s="79"/>
      <c r="C448" s="79"/>
      <c r="D448" s="80"/>
      <c r="E448" s="81"/>
      <c r="F448" s="81"/>
      <c r="G448" s="81"/>
      <c r="H448" s="81"/>
      <c r="I448" s="81"/>
      <c r="J448" s="81"/>
      <c r="K448" s="82"/>
      <c r="L448" s="83"/>
      <c r="M448" s="84"/>
      <c r="N448" s="37"/>
      <c r="O448" s="38"/>
      <c r="P448" s="38"/>
      <c r="Q448" s="38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78"/>
      <c r="B449" s="79"/>
      <c r="C449" s="79"/>
      <c r="D449" s="80"/>
      <c r="E449" s="81"/>
      <c r="F449" s="81"/>
      <c r="G449" s="81"/>
      <c r="H449" s="81"/>
      <c r="I449" s="81"/>
      <c r="J449" s="81"/>
      <c r="K449" s="82"/>
      <c r="L449" s="83"/>
      <c r="M449" s="84"/>
      <c r="N449" s="37"/>
      <c r="O449" s="38"/>
      <c r="P449" s="38"/>
      <c r="Q449" s="38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78"/>
      <c r="B450" s="79"/>
      <c r="C450" s="79"/>
      <c r="D450" s="80"/>
      <c r="E450" s="81"/>
      <c r="F450" s="81"/>
      <c r="G450" s="81"/>
      <c r="H450" s="81"/>
      <c r="I450" s="81"/>
      <c r="J450" s="81"/>
      <c r="K450" s="82"/>
      <c r="L450" s="83"/>
      <c r="M450" s="84"/>
      <c r="N450" s="37"/>
      <c r="O450" s="38"/>
      <c r="P450" s="38"/>
      <c r="Q450" s="38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78"/>
      <c r="B451" s="79"/>
      <c r="C451" s="79"/>
      <c r="D451" s="80"/>
      <c r="E451" s="81"/>
      <c r="F451" s="81"/>
      <c r="G451" s="81"/>
      <c r="H451" s="81"/>
      <c r="I451" s="81"/>
      <c r="J451" s="81"/>
      <c r="K451" s="82"/>
      <c r="L451" s="83"/>
      <c r="M451" s="84"/>
      <c r="N451" s="37"/>
      <c r="O451" s="38"/>
      <c r="P451" s="38"/>
      <c r="Q451" s="38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78"/>
      <c r="B452" s="79"/>
      <c r="C452" s="79"/>
      <c r="D452" s="80"/>
      <c r="E452" s="81"/>
      <c r="F452" s="81"/>
      <c r="G452" s="81"/>
      <c r="H452" s="81"/>
      <c r="I452" s="81"/>
      <c r="J452" s="81"/>
      <c r="K452" s="82"/>
      <c r="L452" s="83"/>
      <c r="M452" s="84"/>
      <c r="N452" s="37"/>
      <c r="O452" s="38"/>
      <c r="P452" s="38"/>
      <c r="Q452" s="38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78"/>
      <c r="B453" s="79"/>
      <c r="C453" s="79"/>
      <c r="D453" s="80"/>
      <c r="E453" s="81"/>
      <c r="F453" s="81"/>
      <c r="G453" s="81"/>
      <c r="H453" s="81"/>
      <c r="I453" s="81"/>
      <c r="J453" s="81"/>
      <c r="K453" s="82"/>
      <c r="L453" s="83"/>
      <c r="M453" s="84"/>
      <c r="N453" s="37"/>
      <c r="O453" s="38"/>
      <c r="P453" s="38"/>
      <c r="Q453" s="38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78"/>
      <c r="B454" s="79"/>
      <c r="C454" s="79"/>
      <c r="D454" s="80"/>
      <c r="E454" s="81"/>
      <c r="F454" s="81"/>
      <c r="G454" s="81"/>
      <c r="H454" s="81"/>
      <c r="I454" s="81"/>
      <c r="J454" s="81"/>
      <c r="K454" s="82"/>
      <c r="L454" s="83"/>
      <c r="M454" s="84"/>
      <c r="N454" s="37"/>
      <c r="O454" s="38"/>
      <c r="P454" s="38"/>
      <c r="Q454" s="38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78"/>
      <c r="B455" s="79"/>
      <c r="C455" s="79"/>
      <c r="D455" s="80"/>
      <c r="E455" s="81"/>
      <c r="F455" s="81"/>
      <c r="G455" s="81"/>
      <c r="H455" s="81"/>
      <c r="I455" s="81"/>
      <c r="J455" s="81"/>
      <c r="K455" s="82"/>
      <c r="L455" s="83"/>
      <c r="M455" s="84"/>
      <c r="N455" s="37"/>
      <c r="O455" s="38"/>
      <c r="P455" s="38"/>
      <c r="Q455" s="38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78"/>
      <c r="B456" s="79"/>
      <c r="C456" s="79"/>
      <c r="D456" s="80"/>
      <c r="E456" s="81"/>
      <c r="F456" s="81"/>
      <c r="G456" s="81"/>
      <c r="H456" s="81"/>
      <c r="I456" s="81"/>
      <c r="J456" s="81"/>
      <c r="K456" s="82"/>
      <c r="L456" s="83"/>
      <c r="M456" s="84"/>
      <c r="N456" s="37"/>
      <c r="O456" s="38"/>
      <c r="P456" s="38"/>
      <c r="Q456" s="38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78"/>
      <c r="B457" s="79"/>
      <c r="C457" s="79"/>
      <c r="D457" s="80"/>
      <c r="E457" s="81"/>
      <c r="F457" s="81"/>
      <c r="G457" s="81"/>
      <c r="H457" s="81"/>
      <c r="I457" s="81"/>
      <c r="J457" s="81"/>
      <c r="K457" s="82"/>
      <c r="L457" s="83"/>
      <c r="M457" s="84"/>
      <c r="N457" s="37"/>
      <c r="O457" s="38"/>
      <c r="P457" s="38"/>
      <c r="Q457" s="38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78"/>
      <c r="B458" s="79"/>
      <c r="C458" s="79"/>
      <c r="D458" s="80"/>
      <c r="E458" s="81"/>
      <c r="F458" s="81"/>
      <c r="G458" s="81"/>
      <c r="H458" s="81"/>
      <c r="I458" s="81"/>
      <c r="J458" s="81"/>
      <c r="K458" s="82"/>
      <c r="L458" s="83"/>
      <c r="M458" s="84"/>
      <c r="N458" s="37"/>
      <c r="O458" s="38"/>
      <c r="P458" s="38"/>
      <c r="Q458" s="38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78"/>
      <c r="B459" s="79"/>
      <c r="C459" s="79"/>
      <c r="D459" s="80"/>
      <c r="E459" s="81"/>
      <c r="F459" s="81"/>
      <c r="G459" s="81"/>
      <c r="H459" s="81"/>
      <c r="I459" s="81"/>
      <c r="J459" s="81"/>
      <c r="K459" s="82"/>
      <c r="L459" s="83"/>
      <c r="M459" s="84"/>
      <c r="N459" s="37"/>
      <c r="O459" s="38"/>
      <c r="P459" s="38"/>
      <c r="Q459" s="38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78"/>
      <c r="B460" s="79"/>
      <c r="C460" s="79"/>
      <c r="D460" s="80"/>
      <c r="E460" s="81"/>
      <c r="F460" s="81"/>
      <c r="G460" s="81"/>
      <c r="H460" s="81"/>
      <c r="I460" s="81"/>
      <c r="J460" s="81"/>
      <c r="K460" s="82"/>
      <c r="L460" s="83"/>
      <c r="M460" s="84"/>
      <c r="N460" s="37"/>
      <c r="O460" s="38"/>
      <c r="P460" s="38"/>
      <c r="Q460" s="38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78"/>
      <c r="B461" s="79"/>
      <c r="C461" s="79"/>
      <c r="D461" s="80"/>
      <c r="E461" s="81"/>
      <c r="F461" s="81"/>
      <c r="G461" s="81"/>
      <c r="H461" s="81"/>
      <c r="I461" s="81"/>
      <c r="J461" s="81"/>
      <c r="K461" s="82"/>
      <c r="L461" s="83"/>
      <c r="M461" s="84"/>
      <c r="N461" s="37"/>
      <c r="O461" s="38"/>
      <c r="P461" s="38"/>
      <c r="Q461" s="38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78"/>
      <c r="B462" s="79"/>
      <c r="C462" s="79"/>
      <c r="D462" s="80"/>
      <c r="E462" s="81"/>
      <c r="F462" s="81"/>
      <c r="G462" s="81"/>
      <c r="H462" s="81"/>
      <c r="I462" s="81"/>
      <c r="J462" s="81"/>
      <c r="K462" s="82"/>
      <c r="L462" s="83"/>
      <c r="M462" s="84"/>
      <c r="N462" s="37"/>
      <c r="O462" s="38"/>
      <c r="P462" s="38"/>
      <c r="Q462" s="38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78"/>
      <c r="B463" s="79"/>
      <c r="C463" s="79"/>
      <c r="D463" s="80"/>
      <c r="E463" s="81"/>
      <c r="F463" s="81"/>
      <c r="G463" s="81"/>
      <c r="H463" s="81"/>
      <c r="I463" s="81"/>
      <c r="J463" s="81"/>
      <c r="K463" s="82"/>
      <c r="L463" s="83"/>
      <c r="M463" s="84"/>
      <c r="N463" s="37"/>
      <c r="O463" s="38"/>
      <c r="P463" s="38"/>
      <c r="Q463" s="38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78"/>
      <c r="B464" s="79"/>
      <c r="C464" s="79"/>
      <c r="D464" s="80"/>
      <c r="E464" s="81"/>
      <c r="F464" s="81"/>
      <c r="G464" s="81"/>
      <c r="H464" s="81"/>
      <c r="I464" s="81"/>
      <c r="J464" s="81"/>
      <c r="K464" s="82"/>
      <c r="L464" s="83"/>
      <c r="M464" s="84"/>
      <c r="N464" s="37"/>
      <c r="O464" s="38"/>
      <c r="P464" s="38"/>
      <c r="Q464" s="38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78"/>
      <c r="B465" s="79"/>
      <c r="C465" s="79"/>
      <c r="D465" s="80"/>
      <c r="E465" s="81"/>
      <c r="F465" s="81"/>
      <c r="G465" s="81"/>
      <c r="H465" s="81"/>
      <c r="I465" s="81"/>
      <c r="J465" s="81"/>
      <c r="K465" s="82"/>
      <c r="L465" s="83"/>
      <c r="M465" s="84"/>
      <c r="N465" s="37"/>
      <c r="O465" s="38"/>
      <c r="P465" s="38"/>
      <c r="Q465" s="38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78"/>
      <c r="B466" s="79"/>
      <c r="C466" s="79"/>
      <c r="D466" s="80"/>
      <c r="E466" s="81"/>
      <c r="F466" s="81"/>
      <c r="G466" s="81"/>
      <c r="H466" s="81"/>
      <c r="I466" s="81"/>
      <c r="J466" s="81"/>
      <c r="K466" s="82"/>
      <c r="L466" s="83"/>
      <c r="M466" s="84"/>
      <c r="N466" s="37"/>
      <c r="O466" s="38"/>
      <c r="P466" s="38"/>
      <c r="Q466" s="38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78"/>
      <c r="B467" s="79"/>
      <c r="C467" s="79"/>
      <c r="D467" s="80"/>
      <c r="E467" s="81"/>
      <c r="F467" s="81"/>
      <c r="G467" s="81"/>
      <c r="H467" s="81"/>
      <c r="I467" s="81"/>
      <c r="J467" s="81"/>
      <c r="K467" s="82"/>
      <c r="L467" s="83"/>
      <c r="M467" s="84"/>
      <c r="N467" s="37"/>
      <c r="O467" s="38"/>
      <c r="P467" s="38"/>
      <c r="Q467" s="38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78"/>
      <c r="B468" s="79"/>
      <c r="C468" s="79"/>
      <c r="D468" s="80"/>
      <c r="E468" s="81"/>
      <c r="F468" s="81"/>
      <c r="G468" s="81"/>
      <c r="H468" s="81"/>
      <c r="I468" s="81"/>
      <c r="J468" s="81"/>
      <c r="K468" s="82"/>
      <c r="L468" s="83"/>
      <c r="M468" s="84"/>
      <c r="N468" s="37"/>
      <c r="O468" s="38"/>
      <c r="P468" s="38"/>
      <c r="Q468" s="38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78"/>
      <c r="B469" s="79"/>
      <c r="C469" s="79"/>
      <c r="D469" s="80"/>
      <c r="E469" s="81"/>
      <c r="F469" s="81"/>
      <c r="G469" s="81"/>
      <c r="H469" s="81"/>
      <c r="I469" s="81"/>
      <c r="J469" s="81"/>
      <c r="K469" s="82"/>
      <c r="L469" s="83"/>
      <c r="M469" s="84"/>
      <c r="N469" s="37"/>
      <c r="O469" s="38"/>
      <c r="P469" s="38"/>
      <c r="Q469" s="38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78"/>
      <c r="B470" s="79"/>
      <c r="C470" s="79"/>
      <c r="D470" s="80"/>
      <c r="E470" s="81"/>
      <c r="F470" s="81"/>
      <c r="G470" s="81"/>
      <c r="H470" s="81"/>
      <c r="I470" s="81"/>
      <c r="J470" s="81"/>
      <c r="K470" s="82"/>
      <c r="L470" s="83"/>
      <c r="M470" s="84"/>
      <c r="N470" s="37"/>
      <c r="O470" s="38"/>
      <c r="P470" s="38"/>
      <c r="Q470" s="38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78"/>
      <c r="B471" s="79"/>
      <c r="C471" s="79"/>
      <c r="D471" s="80"/>
      <c r="E471" s="81"/>
      <c r="F471" s="81"/>
      <c r="G471" s="81"/>
      <c r="H471" s="81"/>
      <c r="I471" s="81"/>
      <c r="J471" s="81"/>
      <c r="K471" s="82"/>
      <c r="L471" s="83"/>
      <c r="M471" s="84"/>
      <c r="N471" s="37"/>
      <c r="O471" s="38"/>
      <c r="P471" s="38"/>
      <c r="Q471" s="38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78"/>
      <c r="B472" s="79"/>
      <c r="C472" s="79"/>
      <c r="D472" s="80"/>
      <c r="E472" s="81"/>
      <c r="F472" s="81"/>
      <c r="G472" s="81"/>
      <c r="H472" s="81"/>
      <c r="I472" s="81"/>
      <c r="J472" s="81"/>
      <c r="K472" s="82"/>
      <c r="L472" s="83"/>
      <c r="M472" s="84"/>
      <c r="N472" s="37"/>
      <c r="O472" s="38"/>
      <c r="P472" s="38"/>
      <c r="Q472" s="38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78"/>
      <c r="B473" s="79"/>
      <c r="C473" s="79"/>
      <c r="D473" s="80"/>
      <c r="E473" s="81"/>
      <c r="F473" s="81"/>
      <c r="G473" s="81"/>
      <c r="H473" s="81"/>
      <c r="I473" s="81"/>
      <c r="J473" s="81"/>
      <c r="K473" s="82"/>
      <c r="L473" s="83"/>
      <c r="M473" s="84"/>
      <c r="N473" s="37"/>
      <c r="O473" s="38"/>
      <c r="P473" s="38"/>
      <c r="Q473" s="38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78"/>
      <c r="B474" s="79"/>
      <c r="C474" s="79"/>
      <c r="D474" s="80"/>
      <c r="E474" s="81"/>
      <c r="F474" s="81"/>
      <c r="G474" s="81"/>
      <c r="H474" s="81"/>
      <c r="I474" s="81"/>
      <c r="J474" s="81"/>
      <c r="K474" s="82"/>
      <c r="L474" s="83"/>
      <c r="M474" s="84"/>
      <c r="N474" s="37"/>
      <c r="O474" s="38"/>
      <c r="P474" s="38"/>
      <c r="Q474" s="38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78"/>
      <c r="B475" s="79"/>
      <c r="C475" s="79"/>
      <c r="D475" s="80"/>
      <c r="E475" s="81"/>
      <c r="F475" s="81"/>
      <c r="G475" s="81"/>
      <c r="H475" s="81"/>
      <c r="I475" s="81"/>
      <c r="J475" s="81"/>
      <c r="K475" s="82"/>
      <c r="L475" s="83"/>
      <c r="M475" s="84"/>
      <c r="N475" s="37"/>
      <c r="O475" s="38"/>
      <c r="P475" s="38"/>
      <c r="Q475" s="38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78"/>
      <c r="B476" s="79"/>
      <c r="C476" s="79"/>
      <c r="D476" s="80"/>
      <c r="E476" s="81"/>
      <c r="F476" s="81"/>
      <c r="G476" s="81"/>
      <c r="H476" s="81"/>
      <c r="I476" s="81"/>
      <c r="J476" s="81"/>
      <c r="K476" s="82"/>
      <c r="L476" s="83"/>
      <c r="M476" s="84"/>
      <c r="N476" s="37"/>
      <c r="O476" s="38"/>
      <c r="P476" s="38"/>
      <c r="Q476" s="38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78"/>
      <c r="B477" s="79"/>
      <c r="C477" s="79"/>
      <c r="D477" s="80"/>
      <c r="E477" s="81"/>
      <c r="F477" s="81"/>
      <c r="G477" s="81"/>
      <c r="H477" s="81"/>
      <c r="I477" s="81"/>
      <c r="J477" s="81"/>
      <c r="K477" s="82"/>
      <c r="L477" s="83"/>
      <c r="M477" s="84"/>
      <c r="N477" s="37"/>
      <c r="O477" s="38"/>
      <c r="P477" s="38"/>
      <c r="Q477" s="38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78"/>
      <c r="B478" s="79"/>
      <c r="C478" s="79"/>
      <c r="D478" s="80"/>
      <c r="E478" s="81"/>
      <c r="F478" s="81"/>
      <c r="G478" s="81"/>
      <c r="H478" s="81"/>
      <c r="I478" s="81"/>
      <c r="J478" s="81"/>
      <c r="K478" s="82"/>
      <c r="L478" s="83"/>
      <c r="M478" s="84"/>
      <c r="N478" s="37"/>
      <c r="O478" s="38"/>
      <c r="P478" s="38"/>
      <c r="Q478" s="38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78"/>
      <c r="B479" s="79"/>
      <c r="C479" s="79"/>
      <c r="D479" s="80"/>
      <c r="E479" s="81"/>
      <c r="F479" s="81"/>
      <c r="G479" s="81"/>
      <c r="H479" s="81"/>
      <c r="I479" s="81"/>
      <c r="J479" s="81"/>
      <c r="K479" s="82"/>
      <c r="L479" s="83"/>
      <c r="M479" s="84"/>
      <c r="N479" s="37"/>
      <c r="O479" s="38"/>
      <c r="P479" s="38"/>
      <c r="Q479" s="38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78"/>
      <c r="B480" s="79"/>
      <c r="C480" s="79"/>
      <c r="D480" s="80"/>
      <c r="E480" s="81"/>
      <c r="F480" s="81"/>
      <c r="G480" s="81"/>
      <c r="H480" s="81"/>
      <c r="I480" s="81"/>
      <c r="J480" s="81"/>
      <c r="K480" s="82"/>
      <c r="L480" s="83"/>
      <c r="M480" s="84"/>
      <c r="N480" s="37"/>
      <c r="O480" s="38"/>
      <c r="P480" s="38"/>
      <c r="Q480" s="38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78"/>
      <c r="B481" s="79"/>
      <c r="C481" s="79"/>
      <c r="D481" s="80"/>
      <c r="E481" s="81"/>
      <c r="F481" s="81"/>
      <c r="G481" s="81"/>
      <c r="H481" s="81"/>
      <c r="I481" s="81"/>
      <c r="J481" s="81"/>
      <c r="K481" s="82"/>
      <c r="L481" s="83"/>
      <c r="M481" s="84"/>
      <c r="N481" s="37"/>
      <c r="O481" s="38"/>
      <c r="P481" s="38"/>
      <c r="Q481" s="38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78"/>
      <c r="B482" s="79"/>
      <c r="C482" s="79"/>
      <c r="D482" s="80"/>
      <c r="E482" s="81"/>
      <c r="F482" s="81"/>
      <c r="G482" s="81"/>
      <c r="H482" s="81"/>
      <c r="I482" s="81"/>
      <c r="J482" s="81"/>
      <c r="K482" s="82"/>
      <c r="L482" s="83"/>
      <c r="M482" s="84"/>
      <c r="N482" s="37"/>
      <c r="O482" s="38"/>
      <c r="P482" s="38"/>
      <c r="Q482" s="38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78"/>
      <c r="B483" s="79"/>
      <c r="C483" s="79"/>
      <c r="D483" s="80"/>
      <c r="E483" s="81"/>
      <c r="F483" s="81"/>
      <c r="G483" s="81"/>
      <c r="H483" s="81"/>
      <c r="I483" s="81"/>
      <c r="J483" s="81"/>
      <c r="K483" s="82"/>
      <c r="L483" s="83"/>
      <c r="M483" s="84"/>
      <c r="N483" s="37"/>
      <c r="O483" s="38"/>
      <c r="P483" s="38"/>
      <c r="Q483" s="38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78"/>
      <c r="B484" s="79"/>
      <c r="C484" s="79"/>
      <c r="D484" s="80"/>
      <c r="E484" s="81"/>
      <c r="F484" s="81"/>
      <c r="G484" s="81"/>
      <c r="H484" s="81"/>
      <c r="I484" s="81"/>
      <c r="J484" s="81"/>
      <c r="K484" s="82"/>
      <c r="L484" s="83"/>
      <c r="M484" s="84"/>
      <c r="N484" s="37"/>
      <c r="O484" s="38"/>
      <c r="P484" s="38"/>
      <c r="Q484" s="38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78"/>
      <c r="B485" s="79"/>
      <c r="C485" s="79"/>
      <c r="D485" s="80"/>
      <c r="E485" s="81"/>
      <c r="F485" s="81"/>
      <c r="G485" s="81"/>
      <c r="H485" s="81"/>
      <c r="I485" s="81"/>
      <c r="J485" s="81"/>
      <c r="K485" s="82"/>
      <c r="L485" s="83"/>
      <c r="M485" s="84"/>
      <c r="N485" s="37"/>
      <c r="O485" s="38"/>
      <c r="P485" s="38"/>
      <c r="Q485" s="38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78"/>
      <c r="B486" s="79"/>
      <c r="C486" s="79"/>
      <c r="D486" s="80"/>
      <c r="E486" s="81"/>
      <c r="F486" s="81"/>
      <c r="G486" s="81"/>
      <c r="H486" s="81"/>
      <c r="I486" s="81"/>
      <c r="J486" s="81"/>
      <c r="K486" s="82"/>
      <c r="L486" s="83"/>
      <c r="M486" s="84"/>
      <c r="N486" s="37"/>
      <c r="O486" s="38"/>
      <c r="P486" s="38"/>
      <c r="Q486" s="38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78"/>
      <c r="B487" s="79"/>
      <c r="C487" s="79"/>
      <c r="D487" s="80"/>
      <c r="E487" s="81"/>
      <c r="F487" s="81"/>
      <c r="G487" s="81"/>
      <c r="H487" s="81"/>
      <c r="I487" s="81"/>
      <c r="J487" s="81"/>
      <c r="K487" s="82"/>
      <c r="L487" s="83"/>
      <c r="M487" s="84"/>
      <c r="N487" s="37"/>
      <c r="O487" s="38"/>
      <c r="P487" s="38"/>
      <c r="Q487" s="38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78"/>
      <c r="B488" s="79"/>
      <c r="C488" s="79"/>
      <c r="D488" s="80"/>
      <c r="E488" s="81"/>
      <c r="F488" s="81"/>
      <c r="G488" s="81"/>
      <c r="H488" s="81"/>
      <c r="I488" s="81"/>
      <c r="J488" s="81"/>
      <c r="K488" s="82"/>
      <c r="L488" s="83"/>
      <c r="M488" s="84"/>
      <c r="N488" s="37"/>
      <c r="O488" s="38"/>
      <c r="P488" s="38"/>
      <c r="Q488" s="38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78"/>
      <c r="B489" s="79"/>
      <c r="C489" s="79"/>
      <c r="D489" s="80"/>
      <c r="E489" s="81"/>
      <c r="F489" s="81"/>
      <c r="G489" s="81"/>
      <c r="H489" s="81"/>
      <c r="I489" s="81"/>
      <c r="J489" s="81"/>
      <c r="K489" s="82"/>
      <c r="L489" s="83"/>
      <c r="M489" s="84"/>
      <c r="N489" s="37"/>
      <c r="O489" s="38"/>
      <c r="P489" s="38"/>
      <c r="Q489" s="38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78"/>
      <c r="B490" s="79"/>
      <c r="C490" s="79"/>
      <c r="D490" s="80"/>
      <c r="E490" s="81"/>
      <c r="F490" s="81"/>
      <c r="G490" s="81"/>
      <c r="H490" s="81"/>
      <c r="I490" s="81"/>
      <c r="J490" s="81"/>
      <c r="K490" s="82"/>
      <c r="L490" s="83"/>
      <c r="M490" s="84"/>
      <c r="N490" s="37"/>
      <c r="O490" s="38"/>
      <c r="P490" s="38"/>
      <c r="Q490" s="38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78"/>
      <c r="B491" s="79"/>
      <c r="C491" s="79"/>
      <c r="D491" s="80"/>
      <c r="E491" s="81"/>
      <c r="F491" s="81"/>
      <c r="G491" s="81"/>
      <c r="H491" s="81"/>
      <c r="I491" s="81"/>
      <c r="J491" s="81"/>
      <c r="K491" s="82"/>
      <c r="L491" s="83"/>
      <c r="M491" s="84"/>
      <c r="N491" s="37"/>
      <c r="O491" s="38"/>
      <c r="P491" s="38"/>
      <c r="Q491" s="38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78"/>
      <c r="B492" s="79"/>
      <c r="C492" s="79"/>
      <c r="D492" s="80"/>
      <c r="E492" s="81"/>
      <c r="F492" s="81"/>
      <c r="G492" s="81"/>
      <c r="H492" s="81"/>
      <c r="I492" s="81"/>
      <c r="J492" s="81"/>
      <c r="K492" s="82"/>
      <c r="L492" s="83"/>
      <c r="M492" s="84"/>
      <c r="N492" s="37"/>
      <c r="O492" s="38"/>
      <c r="P492" s="38"/>
      <c r="Q492" s="38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78"/>
      <c r="B493" s="79"/>
      <c r="C493" s="79"/>
      <c r="D493" s="80"/>
      <c r="E493" s="81"/>
      <c r="F493" s="81"/>
      <c r="G493" s="81"/>
      <c r="H493" s="81"/>
      <c r="I493" s="81"/>
      <c r="J493" s="81"/>
      <c r="K493" s="82"/>
      <c r="L493" s="83"/>
      <c r="M493" s="84"/>
      <c r="N493" s="37"/>
      <c r="O493" s="38"/>
      <c r="P493" s="38"/>
      <c r="Q493" s="38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78"/>
      <c r="B494" s="79"/>
      <c r="C494" s="79"/>
      <c r="D494" s="80"/>
      <c r="E494" s="81"/>
      <c r="F494" s="81"/>
      <c r="G494" s="81"/>
      <c r="H494" s="81"/>
      <c r="I494" s="81"/>
      <c r="J494" s="81"/>
      <c r="K494" s="82"/>
      <c r="L494" s="83"/>
      <c r="M494" s="84"/>
      <c r="N494" s="37"/>
      <c r="O494" s="38"/>
      <c r="P494" s="38"/>
      <c r="Q494" s="38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78"/>
      <c r="B495" s="79"/>
      <c r="C495" s="79"/>
      <c r="D495" s="80"/>
      <c r="E495" s="81"/>
      <c r="F495" s="81"/>
      <c r="G495" s="81"/>
      <c r="H495" s="81"/>
      <c r="I495" s="81"/>
      <c r="J495" s="81"/>
      <c r="K495" s="82"/>
      <c r="L495" s="83"/>
      <c r="M495" s="84"/>
      <c r="N495" s="37"/>
      <c r="O495" s="38"/>
      <c r="P495" s="38"/>
      <c r="Q495" s="38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78"/>
      <c r="B496" s="79"/>
      <c r="C496" s="79"/>
      <c r="D496" s="80"/>
      <c r="E496" s="81"/>
      <c r="F496" s="81"/>
      <c r="G496" s="81"/>
      <c r="H496" s="81"/>
      <c r="I496" s="81"/>
      <c r="J496" s="81"/>
      <c r="K496" s="82"/>
      <c r="L496" s="83"/>
      <c r="M496" s="84"/>
      <c r="N496" s="37"/>
      <c r="O496" s="38"/>
      <c r="P496" s="38"/>
      <c r="Q496" s="38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78"/>
      <c r="B497" s="79"/>
      <c r="C497" s="79"/>
      <c r="D497" s="80"/>
      <c r="E497" s="81"/>
      <c r="F497" s="81"/>
      <c r="G497" s="81"/>
      <c r="H497" s="81"/>
      <c r="I497" s="81"/>
      <c r="J497" s="81"/>
      <c r="K497" s="82"/>
      <c r="L497" s="83"/>
      <c r="M497" s="84"/>
      <c r="N497" s="37"/>
      <c r="O497" s="38"/>
      <c r="P497" s="38"/>
      <c r="Q497" s="38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78"/>
      <c r="B498" s="79"/>
      <c r="C498" s="79"/>
      <c r="D498" s="80"/>
      <c r="E498" s="81"/>
      <c r="F498" s="81"/>
      <c r="G498" s="81"/>
      <c r="H498" s="81"/>
      <c r="I498" s="81"/>
      <c r="J498" s="81"/>
      <c r="K498" s="82"/>
      <c r="L498" s="83"/>
      <c r="M498" s="84"/>
      <c r="N498" s="37"/>
      <c r="O498" s="38"/>
      <c r="P498" s="38"/>
      <c r="Q498" s="38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78"/>
      <c r="B499" s="79"/>
      <c r="C499" s="79"/>
      <c r="D499" s="80"/>
      <c r="E499" s="81"/>
      <c r="F499" s="81"/>
      <c r="G499" s="81"/>
      <c r="H499" s="81"/>
      <c r="I499" s="81"/>
      <c r="J499" s="81"/>
      <c r="K499" s="82"/>
      <c r="L499" s="83"/>
      <c r="M499" s="84"/>
      <c r="N499" s="37"/>
      <c r="O499" s="38"/>
      <c r="P499" s="38"/>
      <c r="Q499" s="38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78"/>
      <c r="B500" s="79"/>
      <c r="C500" s="79"/>
      <c r="D500" s="80"/>
      <c r="E500" s="81"/>
      <c r="F500" s="81"/>
      <c r="G500" s="81"/>
      <c r="H500" s="81"/>
      <c r="I500" s="81"/>
      <c r="J500" s="81"/>
      <c r="K500" s="82"/>
      <c r="L500" s="83"/>
      <c r="M500" s="84"/>
      <c r="N500" s="37"/>
      <c r="O500" s="38"/>
      <c r="P500" s="38"/>
      <c r="Q500" s="38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78"/>
      <c r="B501" s="79"/>
      <c r="C501" s="79"/>
      <c r="D501" s="80"/>
      <c r="E501" s="81"/>
      <c r="F501" s="81"/>
      <c r="G501" s="81"/>
      <c r="H501" s="81"/>
      <c r="I501" s="81"/>
      <c r="J501" s="81"/>
      <c r="K501" s="82"/>
      <c r="L501" s="83"/>
      <c r="M501" s="84"/>
      <c r="N501" s="37"/>
      <c r="O501" s="38"/>
      <c r="P501" s="38"/>
      <c r="Q501" s="38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78"/>
      <c r="B502" s="79"/>
      <c r="C502" s="79"/>
      <c r="D502" s="80"/>
      <c r="E502" s="81"/>
      <c r="F502" s="81"/>
      <c r="G502" s="81"/>
      <c r="H502" s="81"/>
      <c r="I502" s="81"/>
      <c r="J502" s="81"/>
      <c r="K502" s="82"/>
      <c r="L502" s="83"/>
      <c r="M502" s="84"/>
      <c r="N502" s="37"/>
      <c r="O502" s="38"/>
      <c r="P502" s="38"/>
      <c r="Q502" s="38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78"/>
      <c r="B503" s="79"/>
      <c r="C503" s="79"/>
      <c r="D503" s="80"/>
      <c r="E503" s="81"/>
      <c r="F503" s="81"/>
      <c r="G503" s="81"/>
      <c r="H503" s="81"/>
      <c r="I503" s="81"/>
      <c r="J503" s="81"/>
      <c r="K503" s="82"/>
      <c r="L503" s="83"/>
      <c r="M503" s="84"/>
      <c r="N503" s="37"/>
      <c r="O503" s="38"/>
      <c r="P503" s="38"/>
      <c r="Q503" s="38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78"/>
      <c r="B504" s="79"/>
      <c r="C504" s="79"/>
      <c r="D504" s="80"/>
      <c r="E504" s="81"/>
      <c r="F504" s="81"/>
      <c r="G504" s="81"/>
      <c r="H504" s="81"/>
      <c r="I504" s="81"/>
      <c r="J504" s="81"/>
      <c r="K504" s="82"/>
      <c r="L504" s="83"/>
      <c r="M504" s="84"/>
      <c r="N504" s="37"/>
      <c r="O504" s="38"/>
      <c r="P504" s="38"/>
      <c r="Q504" s="38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78"/>
      <c r="B505" s="79"/>
      <c r="C505" s="79"/>
      <c r="D505" s="80"/>
      <c r="E505" s="81"/>
      <c r="F505" s="81"/>
      <c r="G505" s="81"/>
      <c r="H505" s="81"/>
      <c r="I505" s="81"/>
      <c r="J505" s="81"/>
      <c r="K505" s="82"/>
      <c r="L505" s="83"/>
      <c r="M505" s="84"/>
      <c r="N505" s="37"/>
      <c r="O505" s="38"/>
      <c r="P505" s="38"/>
      <c r="Q505" s="38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78"/>
      <c r="B506" s="79"/>
      <c r="C506" s="79"/>
      <c r="D506" s="80"/>
      <c r="E506" s="81"/>
      <c r="F506" s="81"/>
      <c r="G506" s="81"/>
      <c r="H506" s="81"/>
      <c r="I506" s="81"/>
      <c r="J506" s="81"/>
      <c r="K506" s="82"/>
      <c r="L506" s="83"/>
      <c r="M506" s="84"/>
      <c r="N506" s="37"/>
      <c r="O506" s="38"/>
      <c r="P506" s="38"/>
      <c r="Q506" s="38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78"/>
      <c r="B507" s="79"/>
      <c r="C507" s="79"/>
      <c r="D507" s="80"/>
      <c r="E507" s="81"/>
      <c r="F507" s="81"/>
      <c r="G507" s="81"/>
      <c r="H507" s="81"/>
      <c r="I507" s="81"/>
      <c r="J507" s="81"/>
      <c r="K507" s="82"/>
      <c r="L507" s="83"/>
      <c r="M507" s="84"/>
      <c r="N507" s="37"/>
      <c r="O507" s="38"/>
      <c r="P507" s="38"/>
      <c r="Q507" s="38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78"/>
      <c r="B508" s="79"/>
      <c r="C508" s="79"/>
      <c r="D508" s="80"/>
      <c r="E508" s="81"/>
      <c r="F508" s="81"/>
      <c r="G508" s="81"/>
      <c r="H508" s="81"/>
      <c r="I508" s="81"/>
      <c r="J508" s="81"/>
      <c r="K508" s="82"/>
      <c r="L508" s="83"/>
      <c r="M508" s="84"/>
      <c r="N508" s="37"/>
      <c r="O508" s="38"/>
      <c r="P508" s="38"/>
      <c r="Q508" s="38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78"/>
      <c r="B509" s="79"/>
      <c r="C509" s="79"/>
      <c r="D509" s="80"/>
      <c r="E509" s="81"/>
      <c r="F509" s="81"/>
      <c r="G509" s="81"/>
      <c r="H509" s="81"/>
      <c r="I509" s="81"/>
      <c r="J509" s="81"/>
      <c r="K509" s="82"/>
      <c r="L509" s="83"/>
      <c r="M509" s="84"/>
      <c r="N509" s="37"/>
      <c r="O509" s="38"/>
      <c r="P509" s="38"/>
      <c r="Q509" s="38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78"/>
      <c r="B510" s="79"/>
      <c r="C510" s="79"/>
      <c r="D510" s="80"/>
      <c r="E510" s="81"/>
      <c r="F510" s="81"/>
      <c r="G510" s="81"/>
      <c r="H510" s="81"/>
      <c r="I510" s="81"/>
      <c r="J510" s="81"/>
      <c r="K510" s="82"/>
      <c r="L510" s="83"/>
      <c r="M510" s="84"/>
      <c r="N510" s="37"/>
      <c r="O510" s="38"/>
      <c r="P510" s="38"/>
      <c r="Q510" s="38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78"/>
      <c r="B511" s="79"/>
      <c r="C511" s="79"/>
      <c r="D511" s="80"/>
      <c r="E511" s="81"/>
      <c r="F511" s="81"/>
      <c r="G511" s="81"/>
      <c r="H511" s="81"/>
      <c r="I511" s="81"/>
      <c r="J511" s="81"/>
      <c r="K511" s="82"/>
      <c r="L511" s="83"/>
      <c r="M511" s="84"/>
      <c r="N511" s="37"/>
      <c r="O511" s="38"/>
      <c r="P511" s="38"/>
      <c r="Q511" s="38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78"/>
      <c r="B512" s="79"/>
      <c r="C512" s="79"/>
      <c r="D512" s="80"/>
      <c r="E512" s="81"/>
      <c r="F512" s="81"/>
      <c r="G512" s="81"/>
      <c r="H512" s="81"/>
      <c r="I512" s="81"/>
      <c r="J512" s="81"/>
      <c r="K512" s="82"/>
      <c r="L512" s="83"/>
      <c r="M512" s="84"/>
      <c r="N512" s="37"/>
      <c r="O512" s="38"/>
      <c r="P512" s="38"/>
      <c r="Q512" s="38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78"/>
      <c r="B513" s="79"/>
      <c r="C513" s="79"/>
      <c r="D513" s="80"/>
      <c r="E513" s="81"/>
      <c r="F513" s="81"/>
      <c r="G513" s="81"/>
      <c r="H513" s="81"/>
      <c r="I513" s="81"/>
      <c r="J513" s="81"/>
      <c r="K513" s="82"/>
      <c r="L513" s="83"/>
      <c r="M513" s="84"/>
      <c r="N513" s="37"/>
      <c r="O513" s="38"/>
      <c r="P513" s="38"/>
      <c r="Q513" s="38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78"/>
      <c r="B514" s="79"/>
      <c r="C514" s="79"/>
      <c r="D514" s="80"/>
      <c r="E514" s="81"/>
      <c r="F514" s="81"/>
      <c r="G514" s="81"/>
      <c r="H514" s="81"/>
      <c r="I514" s="81"/>
      <c r="J514" s="81"/>
      <c r="K514" s="82"/>
      <c r="L514" s="83"/>
      <c r="M514" s="84"/>
      <c r="N514" s="37"/>
      <c r="O514" s="38"/>
      <c r="P514" s="38"/>
      <c r="Q514" s="38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78"/>
      <c r="B515" s="79"/>
      <c r="C515" s="79"/>
      <c r="D515" s="80"/>
      <c r="E515" s="81"/>
      <c r="F515" s="81"/>
      <c r="G515" s="81"/>
      <c r="H515" s="81"/>
      <c r="I515" s="81"/>
      <c r="J515" s="81"/>
      <c r="K515" s="82"/>
      <c r="L515" s="83"/>
      <c r="M515" s="84"/>
      <c r="N515" s="37"/>
      <c r="O515" s="38"/>
      <c r="P515" s="38"/>
      <c r="Q515" s="38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78"/>
      <c r="B516" s="79"/>
      <c r="C516" s="79"/>
      <c r="D516" s="80"/>
      <c r="E516" s="81"/>
      <c r="F516" s="81"/>
      <c r="G516" s="81"/>
      <c r="H516" s="81"/>
      <c r="I516" s="81"/>
      <c r="J516" s="81"/>
      <c r="K516" s="82"/>
      <c r="L516" s="83"/>
      <c r="M516" s="84"/>
      <c r="N516" s="37"/>
      <c r="O516" s="38"/>
      <c r="P516" s="38"/>
      <c r="Q516" s="38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78"/>
      <c r="B517" s="79"/>
      <c r="C517" s="79"/>
      <c r="D517" s="80"/>
      <c r="E517" s="81"/>
      <c r="F517" s="81"/>
      <c r="G517" s="81"/>
      <c r="H517" s="81"/>
      <c r="I517" s="81"/>
      <c r="J517" s="81"/>
      <c r="K517" s="82"/>
      <c r="L517" s="83"/>
      <c r="M517" s="84"/>
      <c r="N517" s="37"/>
      <c r="O517" s="38"/>
      <c r="P517" s="38"/>
      <c r="Q517" s="38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78"/>
      <c r="B518" s="79"/>
      <c r="C518" s="79"/>
      <c r="D518" s="80"/>
      <c r="E518" s="81"/>
      <c r="F518" s="81"/>
      <c r="G518" s="81"/>
      <c r="H518" s="81"/>
      <c r="I518" s="81"/>
      <c r="J518" s="81"/>
      <c r="K518" s="82"/>
      <c r="L518" s="83"/>
      <c r="M518" s="84"/>
      <c r="N518" s="37"/>
      <c r="O518" s="38"/>
      <c r="P518" s="38"/>
      <c r="Q518" s="38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78"/>
      <c r="B519" s="79"/>
      <c r="C519" s="79"/>
      <c r="D519" s="80"/>
      <c r="E519" s="81"/>
      <c r="F519" s="81"/>
      <c r="G519" s="81"/>
      <c r="H519" s="81"/>
      <c r="I519" s="81"/>
      <c r="J519" s="81"/>
      <c r="K519" s="82"/>
      <c r="L519" s="83"/>
      <c r="M519" s="84"/>
      <c r="N519" s="37"/>
      <c r="O519" s="38"/>
      <c r="P519" s="38"/>
      <c r="Q519" s="38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78"/>
      <c r="B520" s="79"/>
      <c r="C520" s="79"/>
      <c r="D520" s="80"/>
      <c r="E520" s="81"/>
      <c r="F520" s="81"/>
      <c r="G520" s="81"/>
      <c r="H520" s="81"/>
      <c r="I520" s="81"/>
      <c r="J520" s="81"/>
      <c r="K520" s="82"/>
      <c r="L520" s="83"/>
      <c r="M520" s="84"/>
      <c r="N520" s="37"/>
      <c r="O520" s="38"/>
      <c r="P520" s="38"/>
      <c r="Q520" s="38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78"/>
      <c r="B521" s="79"/>
      <c r="C521" s="79"/>
      <c r="D521" s="80"/>
      <c r="E521" s="81"/>
      <c r="F521" s="81"/>
      <c r="G521" s="81"/>
      <c r="H521" s="81"/>
      <c r="I521" s="81"/>
      <c r="J521" s="81"/>
      <c r="K521" s="82"/>
      <c r="L521" s="83"/>
      <c r="M521" s="84"/>
      <c r="N521" s="37"/>
      <c r="O521" s="38"/>
      <c r="P521" s="38"/>
      <c r="Q521" s="38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78"/>
      <c r="B522" s="79"/>
      <c r="C522" s="79"/>
      <c r="D522" s="80"/>
      <c r="E522" s="81"/>
      <c r="F522" s="81"/>
      <c r="G522" s="81"/>
      <c r="H522" s="81"/>
      <c r="I522" s="81"/>
      <c r="J522" s="81"/>
      <c r="K522" s="82"/>
      <c r="L522" s="83"/>
      <c r="M522" s="84"/>
      <c r="N522" s="37"/>
      <c r="O522" s="38"/>
      <c r="P522" s="38"/>
      <c r="Q522" s="38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78"/>
      <c r="B523" s="79"/>
      <c r="C523" s="79"/>
      <c r="D523" s="80"/>
      <c r="E523" s="81"/>
      <c r="F523" s="81"/>
      <c r="G523" s="81"/>
      <c r="H523" s="81"/>
      <c r="I523" s="81"/>
      <c r="J523" s="81"/>
      <c r="K523" s="82"/>
      <c r="L523" s="83"/>
      <c r="M523" s="84"/>
      <c r="N523" s="37"/>
      <c r="O523" s="38"/>
      <c r="P523" s="38"/>
      <c r="Q523" s="38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78"/>
      <c r="B524" s="79"/>
      <c r="C524" s="79"/>
      <c r="D524" s="80"/>
      <c r="E524" s="81"/>
      <c r="F524" s="81"/>
      <c r="G524" s="81"/>
      <c r="H524" s="81"/>
      <c r="I524" s="81"/>
      <c r="J524" s="81"/>
      <c r="K524" s="82"/>
      <c r="L524" s="83"/>
      <c r="M524" s="84"/>
      <c r="N524" s="37"/>
      <c r="O524" s="38"/>
      <c r="P524" s="38"/>
      <c r="Q524" s="38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78"/>
      <c r="B525" s="79"/>
      <c r="C525" s="79"/>
      <c r="D525" s="80"/>
      <c r="E525" s="81"/>
      <c r="F525" s="81"/>
      <c r="G525" s="81"/>
      <c r="H525" s="81"/>
      <c r="I525" s="81"/>
      <c r="J525" s="81"/>
      <c r="K525" s="82"/>
      <c r="L525" s="83"/>
      <c r="M525" s="84"/>
      <c r="N525" s="37"/>
      <c r="O525" s="38"/>
      <c r="P525" s="38"/>
      <c r="Q525" s="38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78"/>
      <c r="B526" s="79"/>
      <c r="C526" s="79"/>
      <c r="D526" s="80"/>
      <c r="E526" s="81"/>
      <c r="F526" s="81"/>
      <c r="G526" s="81"/>
      <c r="H526" s="81"/>
      <c r="I526" s="81"/>
      <c r="J526" s="81"/>
      <c r="K526" s="82"/>
      <c r="L526" s="83"/>
      <c r="M526" s="84"/>
      <c r="N526" s="37"/>
      <c r="O526" s="38"/>
      <c r="P526" s="38"/>
      <c r="Q526" s="38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78"/>
      <c r="B527" s="79"/>
      <c r="C527" s="79"/>
      <c r="D527" s="80"/>
      <c r="E527" s="81"/>
      <c r="F527" s="81"/>
      <c r="G527" s="81"/>
      <c r="H527" s="81"/>
      <c r="I527" s="81"/>
      <c r="J527" s="81"/>
      <c r="K527" s="82"/>
      <c r="L527" s="83"/>
      <c r="M527" s="84"/>
      <c r="N527" s="37"/>
      <c r="O527" s="38"/>
      <c r="P527" s="38"/>
      <c r="Q527" s="38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78"/>
      <c r="B528" s="79"/>
      <c r="C528" s="79"/>
      <c r="D528" s="80"/>
      <c r="E528" s="81"/>
      <c r="F528" s="81"/>
      <c r="G528" s="81"/>
      <c r="H528" s="81"/>
      <c r="I528" s="81"/>
      <c r="J528" s="81"/>
      <c r="K528" s="82"/>
      <c r="L528" s="83"/>
      <c r="M528" s="84"/>
      <c r="N528" s="37"/>
      <c r="O528" s="38"/>
      <c r="P528" s="38"/>
      <c r="Q528" s="38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78"/>
      <c r="B529" s="79"/>
      <c r="C529" s="79"/>
      <c r="D529" s="80"/>
      <c r="E529" s="81"/>
      <c r="F529" s="81"/>
      <c r="G529" s="81"/>
      <c r="H529" s="81"/>
      <c r="I529" s="81"/>
      <c r="J529" s="81"/>
      <c r="K529" s="82"/>
      <c r="L529" s="83"/>
      <c r="M529" s="84"/>
      <c r="N529" s="37"/>
      <c r="O529" s="38"/>
      <c r="P529" s="38"/>
      <c r="Q529" s="38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78"/>
      <c r="B530" s="79"/>
      <c r="C530" s="79"/>
      <c r="D530" s="80"/>
      <c r="E530" s="81"/>
      <c r="F530" s="81"/>
      <c r="G530" s="81"/>
      <c r="H530" s="81"/>
      <c r="I530" s="81"/>
      <c r="J530" s="81"/>
      <c r="K530" s="82"/>
      <c r="L530" s="83"/>
      <c r="M530" s="84"/>
      <c r="N530" s="37"/>
      <c r="O530" s="38"/>
      <c r="P530" s="38"/>
      <c r="Q530" s="38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78"/>
      <c r="B531" s="79"/>
      <c r="C531" s="79"/>
      <c r="D531" s="80"/>
      <c r="E531" s="81"/>
      <c r="F531" s="81"/>
      <c r="G531" s="81"/>
      <c r="H531" s="81"/>
      <c r="I531" s="81"/>
      <c r="J531" s="81"/>
      <c r="K531" s="82"/>
      <c r="L531" s="83"/>
      <c r="M531" s="84"/>
      <c r="N531" s="37"/>
      <c r="O531" s="38"/>
      <c r="P531" s="38"/>
      <c r="Q531" s="38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78"/>
      <c r="B532" s="79"/>
      <c r="C532" s="79"/>
      <c r="D532" s="80"/>
      <c r="E532" s="81"/>
      <c r="F532" s="81"/>
      <c r="G532" s="81"/>
      <c r="H532" s="81"/>
      <c r="I532" s="81"/>
      <c r="J532" s="81"/>
      <c r="K532" s="82"/>
      <c r="L532" s="83"/>
      <c r="M532" s="84"/>
      <c r="N532" s="37"/>
      <c r="O532" s="38"/>
      <c r="P532" s="38"/>
      <c r="Q532" s="38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78"/>
      <c r="B533" s="79"/>
      <c r="C533" s="79"/>
      <c r="D533" s="80"/>
      <c r="E533" s="81"/>
      <c r="F533" s="81"/>
      <c r="G533" s="81"/>
      <c r="H533" s="81"/>
      <c r="I533" s="81"/>
      <c r="J533" s="81"/>
      <c r="K533" s="82"/>
      <c r="L533" s="83"/>
      <c r="M533" s="84"/>
      <c r="N533" s="37"/>
      <c r="O533" s="38"/>
      <c r="P533" s="38"/>
      <c r="Q533" s="38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78"/>
      <c r="B534" s="79"/>
      <c r="C534" s="79"/>
      <c r="D534" s="80"/>
      <c r="E534" s="81"/>
      <c r="F534" s="81"/>
      <c r="G534" s="81"/>
      <c r="H534" s="81"/>
      <c r="I534" s="81"/>
      <c r="J534" s="81"/>
      <c r="K534" s="82"/>
      <c r="L534" s="83"/>
      <c r="M534" s="84"/>
      <c r="N534" s="37"/>
      <c r="O534" s="38"/>
      <c r="P534" s="38"/>
      <c r="Q534" s="38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78"/>
      <c r="B535" s="79"/>
      <c r="C535" s="79"/>
      <c r="D535" s="80"/>
      <c r="E535" s="81"/>
      <c r="F535" s="81"/>
      <c r="G535" s="81"/>
      <c r="H535" s="81"/>
      <c r="I535" s="81"/>
      <c r="J535" s="81"/>
      <c r="K535" s="82"/>
      <c r="L535" s="83"/>
      <c r="M535" s="84"/>
      <c r="N535" s="37"/>
      <c r="O535" s="38"/>
      <c r="P535" s="38"/>
      <c r="Q535" s="38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78"/>
      <c r="B536" s="79"/>
      <c r="C536" s="79"/>
      <c r="D536" s="80"/>
      <c r="E536" s="81"/>
      <c r="F536" s="81"/>
      <c r="G536" s="81"/>
      <c r="H536" s="81"/>
      <c r="I536" s="81"/>
      <c r="J536" s="81"/>
      <c r="K536" s="82"/>
      <c r="L536" s="83"/>
      <c r="M536" s="84"/>
      <c r="N536" s="37"/>
      <c r="O536" s="38"/>
      <c r="P536" s="38"/>
      <c r="Q536" s="38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78"/>
      <c r="B537" s="79"/>
      <c r="C537" s="79"/>
      <c r="D537" s="80"/>
      <c r="E537" s="81"/>
      <c r="F537" s="81"/>
      <c r="G537" s="81"/>
      <c r="H537" s="81"/>
      <c r="I537" s="81"/>
      <c r="J537" s="81"/>
      <c r="K537" s="82"/>
      <c r="L537" s="83"/>
      <c r="M537" s="84"/>
      <c r="N537" s="37"/>
      <c r="O537" s="38"/>
      <c r="P537" s="38"/>
      <c r="Q537" s="38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78"/>
      <c r="B538" s="79"/>
      <c r="C538" s="79"/>
      <c r="D538" s="80"/>
      <c r="E538" s="81"/>
      <c r="F538" s="81"/>
      <c r="G538" s="81"/>
      <c r="H538" s="81"/>
      <c r="I538" s="81"/>
      <c r="J538" s="81"/>
      <c r="K538" s="82"/>
      <c r="L538" s="83"/>
      <c r="M538" s="84"/>
      <c r="N538" s="37"/>
      <c r="O538" s="38"/>
      <c r="P538" s="38"/>
      <c r="Q538" s="38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78"/>
      <c r="B539" s="79"/>
      <c r="C539" s="79"/>
      <c r="D539" s="80"/>
      <c r="E539" s="81"/>
      <c r="F539" s="81"/>
      <c r="G539" s="81"/>
      <c r="H539" s="81"/>
      <c r="I539" s="81"/>
      <c r="J539" s="81"/>
      <c r="K539" s="82"/>
      <c r="L539" s="83"/>
      <c r="M539" s="84"/>
      <c r="N539" s="37"/>
      <c r="O539" s="38"/>
      <c r="P539" s="38"/>
      <c r="Q539" s="38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78"/>
      <c r="B540" s="79"/>
      <c r="C540" s="79"/>
      <c r="D540" s="80"/>
      <c r="E540" s="81"/>
      <c r="F540" s="81"/>
      <c r="G540" s="81"/>
      <c r="H540" s="81"/>
      <c r="I540" s="81"/>
      <c r="J540" s="81"/>
      <c r="K540" s="82"/>
      <c r="L540" s="83"/>
      <c r="M540" s="84"/>
      <c r="N540" s="37"/>
      <c r="O540" s="38"/>
      <c r="P540" s="38"/>
      <c r="Q540" s="38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78"/>
      <c r="B541" s="79"/>
      <c r="C541" s="79"/>
      <c r="D541" s="80"/>
      <c r="E541" s="81"/>
      <c r="F541" s="81"/>
      <c r="G541" s="81"/>
      <c r="H541" s="81"/>
      <c r="I541" s="81"/>
      <c r="J541" s="81"/>
      <c r="K541" s="82"/>
      <c r="L541" s="83"/>
      <c r="M541" s="84"/>
      <c r="N541" s="37"/>
      <c r="O541" s="38"/>
      <c r="P541" s="38"/>
      <c r="Q541" s="38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78"/>
      <c r="B542" s="79"/>
      <c r="C542" s="79"/>
      <c r="D542" s="80"/>
      <c r="E542" s="81"/>
      <c r="F542" s="81"/>
      <c r="G542" s="81"/>
      <c r="H542" s="81"/>
      <c r="I542" s="81"/>
      <c r="J542" s="81"/>
      <c r="K542" s="82"/>
      <c r="L542" s="83"/>
      <c r="M542" s="84"/>
      <c r="N542" s="37"/>
      <c r="O542" s="38"/>
      <c r="P542" s="38"/>
      <c r="Q542" s="38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78"/>
      <c r="B543" s="79"/>
      <c r="C543" s="79"/>
      <c r="D543" s="80"/>
      <c r="E543" s="81"/>
      <c r="F543" s="81"/>
      <c r="G543" s="81"/>
      <c r="H543" s="81"/>
      <c r="I543" s="81"/>
      <c r="J543" s="81"/>
      <c r="K543" s="82"/>
      <c r="L543" s="83"/>
      <c r="M543" s="84"/>
      <c r="N543" s="37"/>
      <c r="O543" s="38"/>
      <c r="P543" s="38"/>
      <c r="Q543" s="38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78"/>
      <c r="B544" s="79"/>
      <c r="C544" s="79"/>
      <c r="D544" s="80"/>
      <c r="E544" s="81"/>
      <c r="F544" s="81"/>
      <c r="G544" s="81"/>
      <c r="H544" s="81"/>
      <c r="I544" s="81"/>
      <c r="J544" s="81"/>
      <c r="K544" s="82"/>
      <c r="L544" s="83"/>
      <c r="M544" s="84"/>
      <c r="N544" s="37"/>
      <c r="O544" s="38"/>
      <c r="P544" s="38"/>
      <c r="Q544" s="38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78"/>
      <c r="B545" s="79"/>
      <c r="C545" s="79"/>
      <c r="D545" s="80"/>
      <c r="E545" s="81"/>
      <c r="F545" s="81"/>
      <c r="G545" s="81"/>
      <c r="H545" s="81"/>
      <c r="I545" s="81"/>
      <c r="J545" s="81"/>
      <c r="K545" s="82"/>
      <c r="L545" s="83"/>
      <c r="M545" s="84"/>
      <c r="N545" s="37"/>
      <c r="O545" s="38"/>
      <c r="P545" s="38"/>
      <c r="Q545" s="38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78"/>
      <c r="B546" s="79"/>
      <c r="C546" s="79"/>
      <c r="D546" s="80"/>
      <c r="E546" s="81"/>
      <c r="F546" s="81"/>
      <c r="G546" s="81"/>
      <c r="H546" s="81"/>
      <c r="I546" s="81"/>
      <c r="J546" s="81"/>
      <c r="K546" s="82"/>
      <c r="L546" s="83"/>
      <c r="M546" s="84"/>
      <c r="N546" s="37"/>
      <c r="O546" s="38"/>
      <c r="P546" s="38"/>
      <c r="Q546" s="38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78"/>
      <c r="B547" s="79"/>
      <c r="C547" s="79"/>
      <c r="D547" s="80"/>
      <c r="E547" s="81"/>
      <c r="F547" s="81"/>
      <c r="G547" s="81"/>
      <c r="H547" s="81"/>
      <c r="I547" s="81"/>
      <c r="J547" s="81"/>
      <c r="K547" s="82"/>
      <c r="L547" s="83"/>
      <c r="M547" s="84"/>
      <c r="N547" s="37"/>
      <c r="O547" s="38"/>
      <c r="P547" s="38"/>
      <c r="Q547" s="38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78"/>
      <c r="B548" s="79"/>
      <c r="C548" s="79"/>
      <c r="D548" s="80"/>
      <c r="E548" s="81"/>
      <c r="F548" s="81"/>
      <c r="G548" s="81"/>
      <c r="H548" s="81"/>
      <c r="I548" s="81"/>
      <c r="J548" s="81"/>
      <c r="K548" s="82"/>
      <c r="L548" s="83"/>
      <c r="M548" s="84"/>
      <c r="N548" s="37"/>
      <c r="O548" s="38"/>
      <c r="P548" s="38"/>
      <c r="Q548" s="38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78"/>
      <c r="B549" s="79"/>
      <c r="C549" s="79"/>
      <c r="D549" s="80"/>
      <c r="E549" s="81"/>
      <c r="F549" s="81"/>
      <c r="G549" s="81"/>
      <c r="H549" s="81"/>
      <c r="I549" s="81"/>
      <c r="J549" s="81"/>
      <c r="K549" s="82"/>
      <c r="L549" s="83"/>
      <c r="M549" s="84"/>
      <c r="N549" s="37"/>
      <c r="O549" s="38"/>
      <c r="P549" s="38"/>
      <c r="Q549" s="38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78"/>
      <c r="B550" s="79"/>
      <c r="C550" s="79"/>
      <c r="D550" s="80"/>
      <c r="E550" s="81"/>
      <c r="F550" s="81"/>
      <c r="G550" s="81"/>
      <c r="H550" s="81"/>
      <c r="I550" s="81"/>
      <c r="J550" s="81"/>
      <c r="K550" s="82"/>
      <c r="L550" s="83"/>
      <c r="M550" s="84"/>
      <c r="N550" s="37"/>
      <c r="O550" s="38"/>
      <c r="P550" s="38"/>
      <c r="Q550" s="38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78"/>
      <c r="B551" s="79"/>
      <c r="C551" s="79"/>
      <c r="D551" s="80"/>
      <c r="E551" s="81"/>
      <c r="F551" s="81"/>
      <c r="G551" s="81"/>
      <c r="H551" s="81"/>
      <c r="I551" s="81"/>
      <c r="J551" s="81"/>
      <c r="K551" s="82"/>
      <c r="L551" s="83"/>
      <c r="M551" s="84"/>
      <c r="N551" s="37"/>
      <c r="O551" s="38"/>
      <c r="P551" s="38"/>
      <c r="Q551" s="38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78"/>
      <c r="B552" s="79"/>
      <c r="C552" s="79"/>
      <c r="D552" s="80"/>
      <c r="E552" s="81"/>
      <c r="F552" s="81"/>
      <c r="G552" s="81"/>
      <c r="H552" s="81"/>
      <c r="I552" s="81"/>
      <c r="J552" s="81"/>
      <c r="K552" s="82"/>
      <c r="L552" s="83"/>
      <c r="M552" s="84"/>
      <c r="N552" s="37"/>
      <c r="O552" s="38"/>
      <c r="P552" s="38"/>
      <c r="Q552" s="38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78"/>
      <c r="B553" s="79"/>
      <c r="C553" s="79"/>
      <c r="D553" s="80"/>
      <c r="E553" s="81"/>
      <c r="F553" s="81"/>
      <c r="G553" s="81"/>
      <c r="H553" s="81"/>
      <c r="I553" s="81"/>
      <c r="J553" s="81"/>
      <c r="K553" s="82"/>
      <c r="L553" s="83"/>
      <c r="M553" s="84"/>
      <c r="N553" s="37"/>
      <c r="O553" s="38"/>
      <c r="P553" s="38"/>
      <c r="Q553" s="38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78"/>
      <c r="B554" s="79"/>
      <c r="C554" s="79"/>
      <c r="D554" s="80"/>
      <c r="E554" s="81"/>
      <c r="F554" s="81"/>
      <c r="G554" s="81"/>
      <c r="H554" s="81"/>
      <c r="I554" s="81"/>
      <c r="J554" s="81"/>
      <c r="K554" s="82"/>
      <c r="L554" s="83"/>
      <c r="M554" s="84"/>
      <c r="N554" s="37"/>
      <c r="O554" s="38"/>
      <c r="P554" s="38"/>
      <c r="Q554" s="38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78"/>
      <c r="B555" s="79"/>
      <c r="C555" s="79"/>
      <c r="D555" s="80"/>
      <c r="E555" s="81"/>
      <c r="F555" s="81"/>
      <c r="G555" s="81"/>
      <c r="H555" s="81"/>
      <c r="I555" s="81"/>
      <c r="J555" s="81"/>
      <c r="K555" s="82"/>
      <c r="L555" s="83"/>
      <c r="M555" s="84"/>
      <c r="N555" s="37"/>
      <c r="O555" s="38"/>
      <c r="P555" s="38"/>
      <c r="Q555" s="38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78"/>
      <c r="B556" s="79"/>
      <c r="C556" s="79"/>
      <c r="D556" s="80"/>
      <c r="E556" s="81"/>
      <c r="F556" s="81"/>
      <c r="G556" s="81"/>
      <c r="H556" s="81"/>
      <c r="I556" s="81"/>
      <c r="J556" s="81"/>
      <c r="K556" s="82"/>
      <c r="L556" s="83"/>
      <c r="M556" s="84"/>
      <c r="N556" s="37"/>
      <c r="O556" s="38"/>
      <c r="P556" s="38"/>
      <c r="Q556" s="38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78"/>
      <c r="B557" s="79"/>
      <c r="C557" s="79"/>
      <c r="D557" s="80"/>
      <c r="E557" s="81"/>
      <c r="F557" s="81"/>
      <c r="G557" s="81"/>
      <c r="H557" s="81"/>
      <c r="I557" s="81"/>
      <c r="J557" s="81"/>
      <c r="K557" s="82"/>
      <c r="L557" s="83"/>
      <c r="M557" s="84"/>
      <c r="N557" s="37"/>
      <c r="O557" s="38"/>
      <c r="P557" s="38"/>
      <c r="Q557" s="38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78"/>
      <c r="B558" s="79"/>
      <c r="C558" s="79"/>
      <c r="D558" s="80"/>
      <c r="E558" s="81"/>
      <c r="F558" s="81"/>
      <c r="G558" s="81"/>
      <c r="H558" s="81"/>
      <c r="I558" s="81"/>
      <c r="J558" s="81"/>
      <c r="K558" s="82"/>
      <c r="L558" s="83"/>
      <c r="M558" s="84"/>
      <c r="N558" s="37"/>
      <c r="O558" s="38"/>
      <c r="P558" s="38"/>
      <c r="Q558" s="38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78"/>
      <c r="B559" s="79"/>
      <c r="C559" s="79"/>
      <c r="D559" s="80"/>
      <c r="E559" s="81"/>
      <c r="F559" s="81"/>
      <c r="G559" s="81"/>
      <c r="H559" s="81"/>
      <c r="I559" s="81"/>
      <c r="J559" s="81"/>
      <c r="K559" s="82"/>
      <c r="L559" s="83"/>
      <c r="M559" s="84"/>
      <c r="N559" s="37"/>
      <c r="O559" s="38"/>
      <c r="P559" s="38"/>
      <c r="Q559" s="38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78"/>
      <c r="B560" s="79"/>
      <c r="C560" s="79"/>
      <c r="D560" s="80"/>
      <c r="E560" s="81"/>
      <c r="F560" s="81"/>
      <c r="G560" s="81"/>
      <c r="H560" s="81"/>
      <c r="I560" s="81"/>
      <c r="J560" s="81"/>
      <c r="K560" s="82"/>
      <c r="L560" s="83"/>
      <c r="M560" s="84"/>
      <c r="N560" s="37"/>
      <c r="O560" s="38"/>
      <c r="P560" s="38"/>
      <c r="Q560" s="38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78"/>
      <c r="B561" s="79"/>
      <c r="C561" s="79"/>
      <c r="D561" s="80"/>
      <c r="E561" s="81"/>
      <c r="F561" s="81"/>
      <c r="G561" s="81"/>
      <c r="H561" s="81"/>
      <c r="I561" s="81"/>
      <c r="J561" s="81"/>
      <c r="K561" s="82"/>
      <c r="L561" s="83"/>
      <c r="M561" s="84"/>
      <c r="N561" s="37"/>
      <c r="O561" s="38"/>
      <c r="P561" s="38"/>
      <c r="Q561" s="38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78"/>
      <c r="B562" s="79"/>
      <c r="C562" s="79"/>
      <c r="D562" s="80"/>
      <c r="E562" s="81"/>
      <c r="F562" s="81"/>
      <c r="G562" s="81"/>
      <c r="H562" s="81"/>
      <c r="I562" s="81"/>
      <c r="J562" s="81"/>
      <c r="K562" s="82"/>
      <c r="L562" s="83"/>
      <c r="M562" s="84"/>
      <c r="N562" s="37"/>
      <c r="O562" s="38"/>
      <c r="P562" s="38"/>
      <c r="Q562" s="38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78"/>
      <c r="B563" s="79"/>
      <c r="C563" s="79"/>
      <c r="D563" s="80"/>
      <c r="E563" s="81"/>
      <c r="F563" s="81"/>
      <c r="G563" s="81"/>
      <c r="H563" s="81"/>
      <c r="I563" s="81"/>
      <c r="J563" s="81"/>
      <c r="K563" s="82"/>
      <c r="L563" s="83"/>
      <c r="M563" s="84"/>
      <c r="N563" s="37"/>
      <c r="O563" s="38"/>
      <c r="P563" s="38"/>
      <c r="Q563" s="38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78"/>
      <c r="B564" s="79"/>
      <c r="C564" s="79"/>
      <c r="D564" s="80"/>
      <c r="E564" s="81"/>
      <c r="F564" s="81"/>
      <c r="G564" s="81"/>
      <c r="H564" s="81"/>
      <c r="I564" s="81"/>
      <c r="J564" s="81"/>
      <c r="K564" s="82"/>
      <c r="L564" s="83"/>
      <c r="M564" s="84"/>
      <c r="N564" s="37"/>
      <c r="O564" s="38"/>
      <c r="P564" s="38"/>
      <c r="Q564" s="38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78"/>
      <c r="B565" s="79"/>
      <c r="C565" s="79"/>
      <c r="D565" s="80"/>
      <c r="E565" s="81"/>
      <c r="F565" s="81"/>
      <c r="G565" s="81"/>
      <c r="H565" s="81"/>
      <c r="I565" s="81"/>
      <c r="J565" s="81"/>
      <c r="K565" s="82"/>
      <c r="L565" s="83"/>
      <c r="M565" s="84"/>
      <c r="N565" s="37"/>
      <c r="O565" s="38"/>
      <c r="P565" s="38"/>
      <c r="Q565" s="38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78"/>
      <c r="B566" s="79"/>
      <c r="C566" s="79"/>
      <c r="D566" s="80"/>
      <c r="E566" s="81"/>
      <c r="F566" s="81"/>
      <c r="G566" s="81"/>
      <c r="H566" s="81"/>
      <c r="I566" s="81"/>
      <c r="J566" s="81"/>
      <c r="K566" s="82"/>
      <c r="L566" s="83"/>
      <c r="M566" s="84"/>
      <c r="N566" s="37"/>
      <c r="O566" s="38"/>
      <c r="P566" s="38"/>
      <c r="Q566" s="38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78"/>
      <c r="B567" s="79"/>
      <c r="C567" s="79"/>
      <c r="D567" s="80"/>
      <c r="E567" s="81"/>
      <c r="F567" s="81"/>
      <c r="G567" s="81"/>
      <c r="H567" s="81"/>
      <c r="I567" s="81"/>
      <c r="J567" s="81"/>
      <c r="K567" s="82"/>
      <c r="L567" s="83"/>
      <c r="M567" s="84"/>
      <c r="N567" s="37"/>
      <c r="O567" s="38"/>
      <c r="P567" s="38"/>
      <c r="Q567" s="38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78"/>
      <c r="B568" s="79"/>
      <c r="C568" s="79"/>
      <c r="D568" s="80"/>
      <c r="E568" s="81"/>
      <c r="F568" s="81"/>
      <c r="G568" s="81"/>
      <c r="H568" s="81"/>
      <c r="I568" s="81"/>
      <c r="J568" s="81"/>
      <c r="K568" s="82"/>
      <c r="L568" s="83"/>
      <c r="M568" s="84"/>
      <c r="N568" s="37"/>
      <c r="O568" s="38"/>
      <c r="P568" s="38"/>
      <c r="Q568" s="38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78"/>
      <c r="B569" s="79"/>
      <c r="C569" s="79"/>
      <c r="D569" s="80"/>
      <c r="E569" s="81"/>
      <c r="F569" s="81"/>
      <c r="G569" s="81"/>
      <c r="H569" s="81"/>
      <c r="I569" s="81"/>
      <c r="J569" s="81"/>
      <c r="K569" s="82"/>
      <c r="L569" s="83"/>
      <c r="M569" s="84"/>
      <c r="N569" s="37"/>
      <c r="O569" s="38"/>
      <c r="P569" s="38"/>
      <c r="Q569" s="38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78"/>
      <c r="B570" s="79"/>
      <c r="C570" s="79"/>
      <c r="D570" s="80"/>
      <c r="E570" s="81"/>
      <c r="F570" s="81"/>
      <c r="G570" s="81"/>
      <c r="H570" s="81"/>
      <c r="I570" s="81"/>
      <c r="J570" s="81"/>
      <c r="K570" s="82"/>
      <c r="L570" s="83"/>
      <c r="M570" s="84"/>
      <c r="N570" s="37"/>
      <c r="O570" s="38"/>
      <c r="P570" s="38"/>
      <c r="Q570" s="38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78"/>
      <c r="B571" s="79"/>
      <c r="C571" s="79"/>
      <c r="D571" s="80"/>
      <c r="E571" s="81"/>
      <c r="F571" s="81"/>
      <c r="G571" s="81"/>
      <c r="H571" s="81"/>
      <c r="I571" s="81"/>
      <c r="J571" s="81"/>
      <c r="K571" s="82"/>
      <c r="L571" s="83"/>
      <c r="M571" s="84"/>
      <c r="N571" s="37"/>
      <c r="O571" s="38"/>
      <c r="P571" s="38"/>
      <c r="Q571" s="38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78"/>
      <c r="B572" s="79"/>
      <c r="C572" s="79"/>
      <c r="D572" s="80"/>
      <c r="E572" s="81"/>
      <c r="F572" s="81"/>
      <c r="G572" s="81"/>
      <c r="H572" s="81"/>
      <c r="I572" s="81"/>
      <c r="J572" s="81"/>
      <c r="K572" s="82"/>
      <c r="L572" s="83"/>
      <c r="M572" s="84"/>
      <c r="N572" s="37"/>
      <c r="O572" s="38"/>
      <c r="P572" s="38"/>
      <c r="Q572" s="38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78"/>
      <c r="B573" s="79"/>
      <c r="C573" s="79"/>
      <c r="D573" s="80"/>
      <c r="E573" s="81"/>
      <c r="F573" s="81"/>
      <c r="G573" s="81"/>
      <c r="H573" s="81"/>
      <c r="I573" s="81"/>
      <c r="J573" s="81"/>
      <c r="K573" s="82"/>
      <c r="L573" s="83"/>
      <c r="M573" s="84"/>
      <c r="N573" s="37"/>
      <c r="O573" s="38"/>
      <c r="P573" s="38"/>
      <c r="Q573" s="38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78"/>
      <c r="B574" s="79"/>
      <c r="C574" s="79"/>
      <c r="D574" s="80"/>
      <c r="E574" s="81"/>
      <c r="F574" s="81"/>
      <c r="G574" s="81"/>
      <c r="H574" s="81"/>
      <c r="I574" s="81"/>
      <c r="J574" s="81"/>
      <c r="K574" s="82"/>
      <c r="L574" s="83"/>
      <c r="M574" s="84"/>
      <c r="N574" s="37"/>
      <c r="O574" s="38"/>
      <c r="P574" s="38"/>
      <c r="Q574" s="38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78"/>
      <c r="B575" s="79"/>
      <c r="C575" s="79"/>
      <c r="D575" s="80"/>
      <c r="E575" s="81"/>
      <c r="F575" s="81"/>
      <c r="G575" s="81"/>
      <c r="H575" s="81"/>
      <c r="I575" s="81"/>
      <c r="J575" s="81"/>
      <c r="K575" s="82"/>
      <c r="L575" s="83"/>
      <c r="M575" s="84"/>
      <c r="N575" s="37"/>
      <c r="O575" s="38"/>
      <c r="P575" s="38"/>
      <c r="Q575" s="38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78"/>
      <c r="B576" s="79"/>
      <c r="C576" s="79"/>
      <c r="D576" s="80"/>
      <c r="E576" s="81"/>
      <c r="F576" s="81"/>
      <c r="G576" s="81"/>
      <c r="H576" s="81"/>
      <c r="I576" s="81"/>
      <c r="J576" s="81"/>
      <c r="K576" s="82"/>
      <c r="L576" s="83"/>
      <c r="M576" s="84"/>
      <c r="N576" s="37"/>
      <c r="O576" s="38"/>
      <c r="P576" s="38"/>
      <c r="Q576" s="38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78"/>
      <c r="B577" s="79"/>
      <c r="C577" s="79"/>
      <c r="D577" s="80"/>
      <c r="E577" s="81"/>
      <c r="F577" s="81"/>
      <c r="G577" s="81"/>
      <c r="H577" s="81"/>
      <c r="I577" s="81"/>
      <c r="J577" s="81"/>
      <c r="K577" s="82"/>
      <c r="L577" s="83"/>
      <c r="M577" s="84"/>
      <c r="N577" s="37"/>
      <c r="O577" s="38"/>
      <c r="P577" s="38"/>
      <c r="Q577" s="38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78"/>
      <c r="B578" s="79"/>
      <c r="C578" s="79"/>
      <c r="D578" s="80"/>
      <c r="E578" s="81"/>
      <c r="F578" s="81"/>
      <c r="G578" s="81"/>
      <c r="H578" s="81"/>
      <c r="I578" s="81"/>
      <c r="J578" s="81"/>
      <c r="K578" s="82"/>
      <c r="L578" s="83"/>
      <c r="M578" s="84"/>
      <c r="N578" s="37"/>
      <c r="O578" s="38"/>
      <c r="P578" s="38"/>
      <c r="Q578" s="38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78"/>
      <c r="B579" s="79"/>
      <c r="C579" s="79"/>
      <c r="D579" s="80"/>
      <c r="E579" s="81"/>
      <c r="F579" s="81"/>
      <c r="G579" s="81"/>
      <c r="H579" s="81"/>
      <c r="I579" s="81"/>
      <c r="J579" s="81"/>
      <c r="K579" s="82"/>
      <c r="L579" s="83"/>
      <c r="M579" s="84"/>
      <c r="N579" s="37"/>
      <c r="O579" s="38"/>
      <c r="P579" s="38"/>
      <c r="Q579" s="38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78"/>
      <c r="B580" s="79"/>
      <c r="C580" s="79"/>
      <c r="D580" s="80"/>
      <c r="E580" s="81"/>
      <c r="F580" s="81"/>
      <c r="G580" s="81"/>
      <c r="H580" s="81"/>
      <c r="I580" s="81"/>
      <c r="J580" s="81"/>
      <c r="K580" s="82"/>
      <c r="L580" s="83"/>
      <c r="M580" s="84"/>
      <c r="N580" s="37"/>
      <c r="O580" s="38"/>
      <c r="P580" s="38"/>
      <c r="Q580" s="38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78"/>
      <c r="B581" s="79"/>
      <c r="C581" s="79"/>
      <c r="D581" s="80"/>
      <c r="E581" s="81"/>
      <c r="F581" s="81"/>
      <c r="G581" s="81"/>
      <c r="H581" s="81"/>
      <c r="I581" s="81"/>
      <c r="J581" s="81"/>
      <c r="K581" s="82"/>
      <c r="L581" s="83"/>
      <c r="M581" s="84"/>
      <c r="N581" s="37"/>
      <c r="O581" s="38"/>
      <c r="P581" s="38"/>
      <c r="Q581" s="38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78"/>
      <c r="B582" s="79"/>
      <c r="C582" s="79"/>
      <c r="D582" s="80"/>
      <c r="E582" s="81"/>
      <c r="F582" s="81"/>
      <c r="G582" s="81"/>
      <c r="H582" s="81"/>
      <c r="I582" s="81"/>
      <c r="J582" s="81"/>
      <c r="K582" s="82"/>
      <c r="L582" s="83"/>
      <c r="M582" s="84"/>
      <c r="N582" s="37"/>
      <c r="O582" s="38"/>
      <c r="P582" s="38"/>
      <c r="Q582" s="38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78"/>
      <c r="B583" s="79"/>
      <c r="C583" s="79"/>
      <c r="D583" s="80"/>
      <c r="E583" s="81"/>
      <c r="F583" s="81"/>
      <c r="G583" s="81"/>
      <c r="H583" s="81"/>
      <c r="I583" s="81"/>
      <c r="J583" s="81"/>
      <c r="K583" s="82"/>
      <c r="L583" s="83"/>
      <c r="M583" s="84"/>
      <c r="N583" s="37"/>
      <c r="O583" s="38"/>
      <c r="P583" s="38"/>
      <c r="Q583" s="38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78"/>
      <c r="B584" s="79"/>
      <c r="C584" s="79"/>
      <c r="D584" s="80"/>
      <c r="E584" s="81"/>
      <c r="F584" s="81"/>
      <c r="G584" s="81"/>
      <c r="H584" s="81"/>
      <c r="I584" s="81"/>
      <c r="J584" s="81"/>
      <c r="K584" s="82"/>
      <c r="L584" s="83"/>
      <c r="M584" s="84"/>
      <c r="N584" s="37"/>
      <c r="O584" s="38"/>
      <c r="P584" s="38"/>
      <c r="Q584" s="38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78"/>
      <c r="B585" s="79"/>
      <c r="C585" s="79"/>
      <c r="D585" s="80"/>
      <c r="E585" s="81"/>
      <c r="F585" s="81"/>
      <c r="G585" s="81"/>
      <c r="H585" s="81"/>
      <c r="I585" s="81"/>
      <c r="J585" s="81"/>
      <c r="K585" s="82"/>
      <c r="L585" s="83"/>
      <c r="M585" s="84"/>
      <c r="N585" s="37"/>
      <c r="O585" s="38"/>
      <c r="P585" s="38"/>
      <c r="Q585" s="38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78"/>
      <c r="B586" s="79"/>
      <c r="C586" s="79"/>
      <c r="D586" s="80"/>
      <c r="E586" s="81"/>
      <c r="F586" s="81"/>
      <c r="G586" s="81"/>
      <c r="H586" s="81"/>
      <c r="I586" s="81"/>
      <c r="J586" s="81"/>
      <c r="K586" s="82"/>
      <c r="L586" s="83"/>
      <c r="M586" s="84"/>
      <c r="N586" s="37"/>
      <c r="O586" s="38"/>
      <c r="P586" s="38"/>
      <c r="Q586" s="38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78"/>
      <c r="B587" s="79"/>
      <c r="C587" s="79"/>
      <c r="D587" s="80"/>
      <c r="E587" s="81"/>
      <c r="F587" s="81"/>
      <c r="G587" s="81"/>
      <c r="H587" s="81"/>
      <c r="I587" s="81"/>
      <c r="J587" s="81"/>
      <c r="K587" s="82"/>
      <c r="L587" s="83"/>
      <c r="M587" s="84"/>
      <c r="N587" s="37"/>
      <c r="O587" s="38"/>
      <c r="P587" s="38"/>
      <c r="Q587" s="38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78"/>
      <c r="B588" s="79"/>
      <c r="C588" s="79"/>
      <c r="D588" s="80"/>
      <c r="E588" s="81"/>
      <c r="F588" s="81"/>
      <c r="G588" s="81"/>
      <c r="H588" s="81"/>
      <c r="I588" s="81"/>
      <c r="J588" s="81"/>
      <c r="K588" s="82"/>
      <c r="L588" s="83"/>
      <c r="M588" s="84"/>
      <c r="N588" s="37"/>
      <c r="O588" s="38"/>
      <c r="P588" s="38"/>
      <c r="Q588" s="38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78"/>
      <c r="B589" s="79"/>
      <c r="C589" s="79"/>
      <c r="D589" s="80"/>
      <c r="E589" s="81"/>
      <c r="F589" s="81"/>
      <c r="G589" s="81"/>
      <c r="H589" s="81"/>
      <c r="I589" s="81"/>
      <c r="J589" s="81"/>
      <c r="K589" s="82"/>
      <c r="L589" s="83"/>
      <c r="M589" s="84"/>
      <c r="N589" s="37"/>
      <c r="O589" s="38"/>
      <c r="P589" s="38"/>
      <c r="Q589" s="38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78"/>
      <c r="B590" s="79"/>
      <c r="C590" s="79"/>
      <c r="D590" s="80"/>
      <c r="E590" s="81"/>
      <c r="F590" s="81"/>
      <c r="G590" s="81"/>
      <c r="H590" s="81"/>
      <c r="I590" s="81"/>
      <c r="J590" s="81"/>
      <c r="K590" s="82"/>
      <c r="L590" s="83"/>
      <c r="M590" s="84"/>
      <c r="N590" s="37"/>
      <c r="O590" s="38"/>
      <c r="P590" s="38"/>
      <c r="Q590" s="38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78"/>
      <c r="B591" s="79"/>
      <c r="C591" s="79"/>
      <c r="D591" s="80"/>
      <c r="E591" s="81"/>
      <c r="F591" s="81"/>
      <c r="G591" s="81"/>
      <c r="H591" s="81"/>
      <c r="I591" s="81"/>
      <c r="J591" s="81"/>
      <c r="K591" s="82"/>
      <c r="L591" s="83"/>
      <c r="M591" s="84"/>
      <c r="N591" s="37"/>
      <c r="O591" s="38"/>
      <c r="P591" s="38"/>
      <c r="Q591" s="38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78"/>
      <c r="B592" s="79"/>
      <c r="C592" s="79"/>
      <c r="D592" s="80"/>
      <c r="E592" s="81"/>
      <c r="F592" s="81"/>
      <c r="G592" s="81"/>
      <c r="H592" s="81"/>
      <c r="I592" s="81"/>
      <c r="J592" s="81"/>
      <c r="K592" s="82"/>
      <c r="L592" s="83"/>
      <c r="M592" s="84"/>
      <c r="N592" s="37"/>
      <c r="O592" s="38"/>
      <c r="P592" s="38"/>
      <c r="Q592" s="38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78"/>
      <c r="B593" s="79"/>
      <c r="C593" s="79"/>
      <c r="D593" s="80"/>
      <c r="E593" s="81"/>
      <c r="F593" s="81"/>
      <c r="G593" s="81"/>
      <c r="H593" s="81"/>
      <c r="I593" s="81"/>
      <c r="J593" s="81"/>
      <c r="K593" s="82"/>
      <c r="L593" s="83"/>
      <c r="M593" s="84"/>
      <c r="N593" s="37"/>
      <c r="O593" s="38"/>
      <c r="P593" s="38"/>
      <c r="Q593" s="38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78"/>
      <c r="B594" s="79"/>
      <c r="C594" s="79"/>
      <c r="D594" s="80"/>
      <c r="E594" s="81"/>
      <c r="F594" s="81"/>
      <c r="G594" s="81"/>
      <c r="H594" s="81"/>
      <c r="I594" s="81"/>
      <c r="J594" s="81"/>
      <c r="K594" s="82"/>
      <c r="L594" s="83"/>
      <c r="M594" s="84"/>
      <c r="N594" s="37"/>
      <c r="O594" s="38"/>
      <c r="P594" s="38"/>
      <c r="Q594" s="38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78"/>
      <c r="B595" s="79"/>
      <c r="C595" s="79"/>
      <c r="D595" s="80"/>
      <c r="E595" s="81"/>
      <c r="F595" s="81"/>
      <c r="G595" s="81"/>
      <c r="H595" s="81"/>
      <c r="I595" s="81"/>
      <c r="J595" s="81"/>
      <c r="K595" s="82"/>
      <c r="L595" s="83"/>
      <c r="M595" s="84"/>
      <c r="N595" s="37"/>
      <c r="O595" s="38"/>
      <c r="P595" s="38"/>
      <c r="Q595" s="38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78"/>
      <c r="B596" s="79"/>
      <c r="C596" s="79"/>
      <c r="D596" s="80"/>
      <c r="E596" s="81"/>
      <c r="F596" s="81"/>
      <c r="G596" s="81"/>
      <c r="H596" s="81"/>
      <c r="I596" s="81"/>
      <c r="J596" s="81"/>
      <c r="K596" s="82"/>
      <c r="L596" s="83"/>
      <c r="M596" s="84"/>
      <c r="N596" s="37"/>
      <c r="O596" s="38"/>
      <c r="P596" s="38"/>
      <c r="Q596" s="38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78"/>
      <c r="B597" s="79"/>
      <c r="C597" s="79"/>
      <c r="D597" s="80"/>
      <c r="E597" s="81"/>
      <c r="F597" s="81"/>
      <c r="G597" s="81"/>
      <c r="H597" s="81"/>
      <c r="I597" s="81"/>
      <c r="J597" s="81"/>
      <c r="K597" s="82"/>
      <c r="L597" s="83"/>
      <c r="M597" s="84"/>
      <c r="N597" s="37"/>
      <c r="O597" s="38"/>
      <c r="P597" s="38"/>
      <c r="Q597" s="38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78"/>
      <c r="B598" s="79"/>
      <c r="C598" s="79"/>
      <c r="D598" s="80"/>
      <c r="E598" s="81"/>
      <c r="F598" s="81"/>
      <c r="G598" s="81"/>
      <c r="H598" s="81"/>
      <c r="I598" s="81"/>
      <c r="J598" s="81"/>
      <c r="K598" s="82"/>
      <c r="L598" s="83"/>
      <c r="M598" s="84"/>
      <c r="N598" s="37"/>
      <c r="O598" s="38"/>
      <c r="P598" s="38"/>
      <c r="Q598" s="38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78"/>
      <c r="B599" s="79"/>
      <c r="C599" s="79"/>
      <c r="D599" s="80"/>
      <c r="E599" s="81"/>
      <c r="F599" s="81"/>
      <c r="G599" s="81"/>
      <c r="H599" s="81"/>
      <c r="I599" s="81"/>
      <c r="J599" s="81"/>
      <c r="K599" s="82"/>
      <c r="L599" s="83"/>
      <c r="M599" s="84"/>
      <c r="N599" s="37"/>
      <c r="O599" s="38"/>
      <c r="P599" s="38"/>
      <c r="Q599" s="38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78"/>
      <c r="B600" s="79"/>
      <c r="C600" s="79"/>
      <c r="D600" s="80"/>
      <c r="E600" s="81"/>
      <c r="F600" s="81"/>
      <c r="G600" s="81"/>
      <c r="H600" s="81"/>
      <c r="I600" s="81"/>
      <c r="J600" s="81"/>
      <c r="K600" s="82"/>
      <c r="L600" s="83"/>
      <c r="M600" s="84"/>
      <c r="N600" s="37"/>
      <c r="O600" s="38"/>
      <c r="P600" s="38"/>
      <c r="Q600" s="38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78"/>
      <c r="B601" s="79"/>
      <c r="C601" s="79"/>
      <c r="D601" s="80"/>
      <c r="E601" s="81"/>
      <c r="F601" s="81"/>
      <c r="G601" s="81"/>
      <c r="H601" s="81"/>
      <c r="I601" s="81"/>
      <c r="J601" s="81"/>
      <c r="K601" s="82"/>
      <c r="L601" s="83"/>
      <c r="M601" s="84"/>
      <c r="N601" s="37"/>
      <c r="O601" s="38"/>
      <c r="P601" s="38"/>
      <c r="Q601" s="38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78"/>
      <c r="B602" s="79"/>
      <c r="C602" s="79"/>
      <c r="D602" s="80"/>
      <c r="E602" s="81"/>
      <c r="F602" s="81"/>
      <c r="G602" s="81"/>
      <c r="H602" s="81"/>
      <c r="I602" s="81"/>
      <c r="J602" s="81"/>
      <c r="K602" s="82"/>
      <c r="L602" s="83"/>
      <c r="M602" s="84"/>
      <c r="N602" s="37"/>
      <c r="O602" s="38"/>
      <c r="P602" s="38"/>
      <c r="Q602" s="38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78"/>
      <c r="B603" s="79"/>
      <c r="C603" s="79"/>
      <c r="D603" s="80"/>
      <c r="E603" s="81"/>
      <c r="F603" s="81"/>
      <c r="G603" s="81"/>
      <c r="H603" s="81"/>
      <c r="I603" s="81"/>
      <c r="J603" s="81"/>
      <c r="K603" s="82"/>
      <c r="L603" s="83"/>
      <c r="M603" s="84"/>
      <c r="N603" s="37"/>
      <c r="O603" s="38"/>
      <c r="P603" s="38"/>
      <c r="Q603" s="38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78"/>
      <c r="B604" s="79"/>
      <c r="C604" s="79"/>
      <c r="D604" s="80"/>
      <c r="E604" s="81"/>
      <c r="F604" s="81"/>
      <c r="G604" s="81"/>
      <c r="H604" s="81"/>
      <c r="I604" s="81"/>
      <c r="J604" s="81"/>
      <c r="K604" s="82"/>
      <c r="L604" s="83"/>
      <c r="M604" s="84"/>
      <c r="N604" s="37"/>
      <c r="O604" s="38"/>
      <c r="P604" s="38"/>
      <c r="Q604" s="38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78"/>
      <c r="B605" s="79"/>
      <c r="C605" s="79"/>
      <c r="D605" s="80"/>
      <c r="E605" s="81"/>
      <c r="F605" s="81"/>
      <c r="G605" s="81"/>
      <c r="H605" s="81"/>
      <c r="I605" s="81"/>
      <c r="J605" s="81"/>
      <c r="K605" s="82"/>
      <c r="L605" s="83"/>
      <c r="M605" s="84"/>
      <c r="N605" s="37"/>
      <c r="O605" s="38"/>
      <c r="P605" s="38"/>
      <c r="Q605" s="38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78"/>
      <c r="B606" s="79"/>
      <c r="C606" s="79"/>
      <c r="D606" s="80"/>
      <c r="E606" s="81"/>
      <c r="F606" s="81"/>
      <c r="G606" s="81"/>
      <c r="H606" s="81"/>
      <c r="I606" s="81"/>
      <c r="J606" s="81"/>
      <c r="K606" s="82"/>
      <c r="L606" s="83"/>
      <c r="M606" s="84"/>
      <c r="N606" s="37"/>
      <c r="O606" s="38"/>
      <c r="P606" s="38"/>
      <c r="Q606" s="38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78"/>
      <c r="B607" s="79"/>
      <c r="C607" s="79"/>
      <c r="D607" s="80"/>
      <c r="E607" s="81"/>
      <c r="F607" s="81"/>
      <c r="G607" s="81"/>
      <c r="H607" s="81"/>
      <c r="I607" s="81"/>
      <c r="J607" s="81"/>
      <c r="K607" s="82"/>
      <c r="L607" s="83"/>
      <c r="M607" s="84"/>
      <c r="N607" s="37"/>
      <c r="O607" s="38"/>
      <c r="P607" s="38"/>
      <c r="Q607" s="38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78"/>
      <c r="B608" s="79"/>
      <c r="C608" s="79"/>
      <c r="D608" s="80"/>
      <c r="E608" s="81"/>
      <c r="F608" s="81"/>
      <c r="G608" s="81"/>
      <c r="H608" s="81"/>
      <c r="I608" s="81"/>
      <c r="J608" s="81"/>
      <c r="K608" s="82"/>
      <c r="L608" s="83"/>
      <c r="M608" s="84"/>
      <c r="N608" s="37"/>
      <c r="O608" s="38"/>
      <c r="P608" s="38"/>
      <c r="Q608" s="38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78"/>
      <c r="B609" s="79"/>
      <c r="C609" s="79"/>
      <c r="D609" s="80"/>
      <c r="E609" s="81"/>
      <c r="F609" s="81"/>
      <c r="G609" s="81"/>
      <c r="H609" s="81"/>
      <c r="I609" s="81"/>
      <c r="J609" s="81"/>
      <c r="K609" s="82"/>
      <c r="L609" s="83"/>
      <c r="M609" s="84"/>
      <c r="N609" s="37"/>
      <c r="O609" s="38"/>
      <c r="P609" s="38"/>
      <c r="Q609" s="38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78"/>
      <c r="B610" s="79"/>
      <c r="C610" s="79"/>
      <c r="D610" s="80"/>
      <c r="E610" s="81"/>
      <c r="F610" s="81"/>
      <c r="G610" s="81"/>
      <c r="H610" s="81"/>
      <c r="I610" s="81"/>
      <c r="J610" s="81"/>
      <c r="K610" s="82"/>
      <c r="L610" s="83"/>
      <c r="M610" s="84"/>
      <c r="N610" s="37"/>
      <c r="O610" s="38"/>
      <c r="P610" s="38"/>
      <c r="Q610" s="38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78"/>
      <c r="B611" s="79"/>
      <c r="C611" s="79"/>
      <c r="D611" s="80"/>
      <c r="E611" s="81"/>
      <c r="F611" s="81"/>
      <c r="G611" s="81"/>
      <c r="H611" s="81"/>
      <c r="I611" s="81"/>
      <c r="J611" s="81"/>
      <c r="K611" s="82"/>
      <c r="L611" s="83"/>
      <c r="M611" s="84"/>
      <c r="N611" s="37"/>
      <c r="O611" s="38"/>
      <c r="P611" s="38"/>
      <c r="Q611" s="38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78"/>
      <c r="B612" s="79"/>
      <c r="C612" s="79"/>
      <c r="D612" s="80"/>
      <c r="E612" s="81"/>
      <c r="F612" s="81"/>
      <c r="G612" s="81"/>
      <c r="H612" s="81"/>
      <c r="I612" s="81"/>
      <c r="J612" s="81"/>
      <c r="K612" s="82"/>
      <c r="L612" s="83"/>
      <c r="M612" s="84"/>
      <c r="N612" s="37"/>
      <c r="O612" s="38"/>
      <c r="P612" s="38"/>
      <c r="Q612" s="38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78"/>
      <c r="B613" s="79"/>
      <c r="C613" s="79"/>
      <c r="D613" s="80"/>
      <c r="E613" s="81"/>
      <c r="F613" s="81"/>
      <c r="G613" s="81"/>
      <c r="H613" s="81"/>
      <c r="I613" s="81"/>
      <c r="J613" s="81"/>
      <c r="K613" s="82"/>
      <c r="L613" s="83"/>
      <c r="M613" s="84"/>
      <c r="N613" s="37"/>
      <c r="O613" s="38"/>
      <c r="P613" s="38"/>
      <c r="Q613" s="38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78"/>
      <c r="B614" s="79"/>
      <c r="C614" s="79"/>
      <c r="D614" s="80"/>
      <c r="E614" s="81"/>
      <c r="F614" s="81"/>
      <c r="G614" s="81"/>
      <c r="H614" s="81"/>
      <c r="I614" s="81"/>
      <c r="J614" s="81"/>
      <c r="K614" s="82"/>
      <c r="L614" s="83"/>
      <c r="M614" s="84"/>
      <c r="N614" s="37"/>
      <c r="O614" s="38"/>
      <c r="P614" s="38"/>
      <c r="Q614" s="38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78"/>
      <c r="B615" s="79"/>
      <c r="C615" s="79"/>
      <c r="D615" s="80"/>
      <c r="E615" s="81"/>
      <c r="F615" s="81"/>
      <c r="G615" s="81"/>
      <c r="H615" s="81"/>
      <c r="I615" s="81"/>
      <c r="J615" s="81"/>
      <c r="K615" s="82"/>
      <c r="L615" s="83"/>
      <c r="M615" s="84"/>
      <c r="N615" s="37"/>
      <c r="O615" s="38"/>
      <c r="P615" s="38"/>
      <c r="Q615" s="38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78"/>
      <c r="B616" s="79"/>
      <c r="C616" s="79"/>
      <c r="D616" s="80"/>
      <c r="E616" s="81"/>
      <c r="F616" s="81"/>
      <c r="G616" s="81"/>
      <c r="H616" s="81"/>
      <c r="I616" s="81"/>
      <c r="J616" s="81"/>
      <c r="K616" s="82"/>
      <c r="L616" s="83"/>
      <c r="M616" s="84"/>
      <c r="N616" s="37"/>
      <c r="O616" s="38"/>
      <c r="P616" s="38"/>
      <c r="Q616" s="38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78"/>
      <c r="B617" s="79"/>
      <c r="C617" s="79"/>
      <c r="D617" s="80"/>
      <c r="E617" s="81"/>
      <c r="F617" s="81"/>
      <c r="G617" s="81"/>
      <c r="H617" s="81"/>
      <c r="I617" s="81"/>
      <c r="J617" s="81"/>
      <c r="K617" s="82"/>
      <c r="L617" s="83"/>
      <c r="M617" s="84"/>
      <c r="N617" s="37"/>
      <c r="O617" s="38"/>
      <c r="P617" s="38"/>
      <c r="Q617" s="38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78"/>
      <c r="B618" s="79"/>
      <c r="C618" s="79"/>
      <c r="D618" s="80"/>
      <c r="E618" s="81"/>
      <c r="F618" s="81"/>
      <c r="G618" s="81"/>
      <c r="H618" s="81"/>
      <c r="I618" s="81"/>
      <c r="J618" s="81"/>
      <c r="K618" s="82"/>
      <c r="L618" s="83"/>
      <c r="M618" s="84"/>
      <c r="N618" s="37"/>
      <c r="O618" s="38"/>
      <c r="P618" s="38"/>
      <c r="Q618" s="38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78"/>
      <c r="B619" s="79"/>
      <c r="C619" s="79"/>
      <c r="D619" s="80"/>
      <c r="E619" s="81"/>
      <c r="F619" s="81"/>
      <c r="G619" s="81"/>
      <c r="H619" s="81"/>
      <c r="I619" s="81"/>
      <c r="J619" s="81"/>
      <c r="K619" s="82"/>
      <c r="L619" s="83"/>
      <c r="M619" s="84"/>
      <c r="N619" s="37"/>
      <c r="O619" s="38"/>
      <c r="P619" s="38"/>
      <c r="Q619" s="38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78"/>
      <c r="B620" s="79"/>
      <c r="C620" s="79"/>
      <c r="D620" s="80"/>
      <c r="E620" s="81"/>
      <c r="F620" s="81"/>
      <c r="G620" s="81"/>
      <c r="H620" s="81"/>
      <c r="I620" s="81"/>
      <c r="J620" s="81"/>
      <c r="K620" s="82"/>
      <c r="L620" s="83"/>
      <c r="M620" s="84"/>
      <c r="N620" s="37"/>
      <c r="O620" s="38"/>
      <c r="P620" s="38"/>
      <c r="Q620" s="38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78"/>
      <c r="B621" s="79"/>
      <c r="C621" s="79"/>
      <c r="D621" s="80"/>
      <c r="E621" s="81"/>
      <c r="F621" s="81"/>
      <c r="G621" s="81"/>
      <c r="H621" s="81"/>
      <c r="I621" s="81"/>
      <c r="J621" s="81"/>
      <c r="K621" s="82"/>
      <c r="L621" s="83"/>
      <c r="M621" s="84"/>
      <c r="N621" s="37"/>
      <c r="O621" s="38"/>
      <c r="P621" s="38"/>
      <c r="Q621" s="38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78"/>
      <c r="B622" s="79"/>
      <c r="C622" s="79"/>
      <c r="D622" s="80"/>
      <c r="E622" s="81"/>
      <c r="F622" s="81"/>
      <c r="G622" s="81"/>
      <c r="H622" s="81"/>
      <c r="I622" s="81"/>
      <c r="J622" s="81"/>
      <c r="K622" s="82"/>
      <c r="L622" s="83"/>
      <c r="M622" s="84"/>
      <c r="N622" s="37"/>
      <c r="O622" s="38"/>
      <c r="P622" s="38"/>
      <c r="Q622" s="38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78"/>
      <c r="B623" s="79"/>
      <c r="C623" s="79"/>
      <c r="D623" s="80"/>
      <c r="E623" s="81"/>
      <c r="F623" s="81"/>
      <c r="G623" s="81"/>
      <c r="H623" s="81"/>
      <c r="I623" s="81"/>
      <c r="J623" s="81"/>
      <c r="K623" s="82"/>
      <c r="L623" s="83"/>
      <c r="M623" s="84"/>
      <c r="N623" s="37"/>
      <c r="O623" s="38"/>
      <c r="P623" s="38"/>
      <c r="Q623" s="38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78"/>
      <c r="B624" s="79"/>
      <c r="C624" s="79"/>
      <c r="D624" s="80"/>
      <c r="E624" s="81"/>
      <c r="F624" s="81"/>
      <c r="G624" s="81"/>
      <c r="H624" s="81"/>
      <c r="I624" s="81"/>
      <c r="J624" s="81"/>
      <c r="K624" s="82"/>
      <c r="L624" s="83"/>
      <c r="M624" s="84"/>
      <c r="N624" s="37"/>
      <c r="O624" s="38"/>
      <c r="P624" s="38"/>
      <c r="Q624" s="38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78"/>
      <c r="B625" s="79"/>
      <c r="C625" s="79"/>
      <c r="D625" s="80"/>
      <c r="E625" s="81"/>
      <c r="F625" s="81"/>
      <c r="G625" s="81"/>
      <c r="H625" s="81"/>
      <c r="I625" s="81"/>
      <c r="J625" s="81"/>
      <c r="K625" s="82"/>
      <c r="L625" s="83"/>
      <c r="M625" s="84"/>
      <c r="N625" s="37"/>
      <c r="O625" s="38"/>
      <c r="P625" s="38"/>
      <c r="Q625" s="38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78"/>
      <c r="B626" s="79"/>
      <c r="C626" s="79"/>
      <c r="D626" s="80"/>
      <c r="E626" s="81"/>
      <c r="F626" s="81"/>
      <c r="G626" s="81"/>
      <c r="H626" s="81"/>
      <c r="I626" s="81"/>
      <c r="J626" s="81"/>
      <c r="K626" s="82"/>
      <c r="L626" s="83"/>
      <c r="M626" s="84"/>
      <c r="N626" s="37"/>
      <c r="O626" s="38"/>
      <c r="P626" s="38"/>
      <c r="Q626" s="38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78"/>
      <c r="B627" s="79"/>
      <c r="C627" s="79"/>
      <c r="D627" s="80"/>
      <c r="E627" s="81"/>
      <c r="F627" s="81"/>
      <c r="G627" s="81"/>
      <c r="H627" s="81"/>
      <c r="I627" s="81"/>
      <c r="J627" s="81"/>
      <c r="K627" s="82"/>
      <c r="L627" s="83"/>
      <c r="M627" s="84"/>
      <c r="N627" s="37"/>
      <c r="O627" s="38"/>
      <c r="P627" s="38"/>
      <c r="Q627" s="38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78"/>
      <c r="B628" s="79"/>
      <c r="C628" s="79"/>
      <c r="D628" s="80"/>
      <c r="E628" s="81"/>
      <c r="F628" s="81"/>
      <c r="G628" s="81"/>
      <c r="H628" s="81"/>
      <c r="I628" s="81"/>
      <c r="J628" s="81"/>
      <c r="K628" s="82"/>
      <c r="L628" s="83"/>
      <c r="M628" s="84"/>
      <c r="N628" s="37"/>
      <c r="O628" s="38"/>
      <c r="P628" s="38"/>
      <c r="Q628" s="38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78"/>
      <c r="B629" s="79"/>
      <c r="C629" s="79"/>
      <c r="D629" s="80"/>
      <c r="E629" s="81"/>
      <c r="F629" s="81"/>
      <c r="G629" s="81"/>
      <c r="H629" s="81"/>
      <c r="I629" s="81"/>
      <c r="J629" s="81"/>
      <c r="K629" s="82"/>
      <c r="L629" s="83"/>
      <c r="M629" s="84"/>
      <c r="N629" s="37"/>
      <c r="O629" s="38"/>
      <c r="P629" s="38"/>
      <c r="Q629" s="38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78"/>
      <c r="B630" s="79"/>
      <c r="C630" s="79"/>
      <c r="D630" s="80"/>
      <c r="E630" s="81"/>
      <c r="F630" s="81"/>
      <c r="G630" s="81"/>
      <c r="H630" s="81"/>
      <c r="I630" s="81"/>
      <c r="J630" s="81"/>
      <c r="K630" s="82"/>
      <c r="L630" s="83"/>
      <c r="M630" s="84"/>
      <c r="N630" s="37"/>
      <c r="O630" s="38"/>
      <c r="P630" s="38"/>
      <c r="Q630" s="38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78"/>
      <c r="B631" s="79"/>
      <c r="C631" s="79"/>
      <c r="D631" s="80"/>
      <c r="E631" s="81"/>
      <c r="F631" s="81"/>
      <c r="G631" s="81"/>
      <c r="H631" s="81"/>
      <c r="I631" s="81"/>
      <c r="J631" s="81"/>
      <c r="K631" s="82"/>
      <c r="L631" s="83"/>
      <c r="M631" s="84"/>
      <c r="N631" s="37"/>
      <c r="O631" s="38"/>
      <c r="P631" s="38"/>
      <c r="Q631" s="38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78"/>
      <c r="B632" s="79"/>
      <c r="C632" s="79"/>
      <c r="D632" s="80"/>
      <c r="E632" s="81"/>
      <c r="F632" s="81"/>
      <c r="G632" s="81"/>
      <c r="H632" s="81"/>
      <c r="I632" s="81"/>
      <c r="J632" s="81"/>
      <c r="K632" s="82"/>
      <c r="L632" s="83"/>
      <c r="M632" s="84"/>
      <c r="N632" s="37"/>
      <c r="O632" s="38"/>
      <c r="P632" s="38"/>
      <c r="Q632" s="38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78"/>
      <c r="B633" s="79"/>
      <c r="C633" s="79"/>
      <c r="D633" s="80"/>
      <c r="E633" s="81"/>
      <c r="F633" s="81"/>
      <c r="G633" s="81"/>
      <c r="H633" s="81"/>
      <c r="I633" s="81"/>
      <c r="J633" s="81"/>
      <c r="K633" s="82"/>
      <c r="L633" s="83"/>
      <c r="M633" s="84"/>
      <c r="N633" s="37"/>
      <c r="O633" s="38"/>
      <c r="P633" s="38"/>
      <c r="Q633" s="38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78"/>
      <c r="B634" s="79"/>
      <c r="C634" s="79"/>
      <c r="D634" s="80"/>
      <c r="E634" s="81"/>
      <c r="F634" s="81"/>
      <c r="G634" s="81"/>
      <c r="H634" s="81"/>
      <c r="I634" s="81"/>
      <c r="J634" s="81"/>
      <c r="K634" s="82"/>
      <c r="L634" s="83"/>
      <c r="M634" s="84"/>
      <c r="N634" s="37"/>
      <c r="O634" s="38"/>
      <c r="P634" s="38"/>
      <c r="Q634" s="38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78"/>
      <c r="B635" s="79"/>
      <c r="C635" s="79"/>
      <c r="D635" s="80"/>
      <c r="E635" s="81"/>
      <c r="F635" s="81"/>
      <c r="G635" s="81"/>
      <c r="H635" s="81"/>
      <c r="I635" s="81"/>
      <c r="J635" s="81"/>
      <c r="K635" s="82"/>
      <c r="L635" s="83"/>
      <c r="M635" s="84"/>
      <c r="N635" s="37"/>
      <c r="O635" s="38"/>
      <c r="P635" s="38"/>
      <c r="Q635" s="38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78"/>
      <c r="B636" s="79"/>
      <c r="C636" s="79"/>
      <c r="D636" s="80"/>
      <c r="E636" s="81"/>
      <c r="F636" s="81"/>
      <c r="G636" s="81"/>
      <c r="H636" s="81"/>
      <c r="I636" s="81"/>
      <c r="J636" s="81"/>
      <c r="K636" s="82"/>
      <c r="L636" s="83"/>
      <c r="M636" s="84"/>
      <c r="N636" s="37"/>
      <c r="O636" s="38"/>
      <c r="P636" s="38"/>
      <c r="Q636" s="38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78"/>
      <c r="B637" s="79"/>
      <c r="C637" s="79"/>
      <c r="D637" s="80"/>
      <c r="E637" s="81"/>
      <c r="F637" s="81"/>
      <c r="G637" s="81"/>
      <c r="H637" s="81"/>
      <c r="I637" s="81"/>
      <c r="J637" s="81"/>
      <c r="K637" s="82"/>
      <c r="L637" s="83"/>
      <c r="M637" s="84"/>
      <c r="N637" s="37"/>
      <c r="O637" s="38"/>
      <c r="P637" s="38"/>
      <c r="Q637" s="38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78"/>
      <c r="B638" s="79"/>
      <c r="C638" s="79"/>
      <c r="D638" s="80"/>
      <c r="E638" s="81"/>
      <c r="F638" s="81"/>
      <c r="G638" s="81"/>
      <c r="H638" s="81"/>
      <c r="I638" s="81"/>
      <c r="J638" s="81"/>
      <c r="K638" s="82"/>
      <c r="L638" s="83"/>
      <c r="M638" s="84"/>
      <c r="N638" s="37"/>
      <c r="O638" s="38"/>
      <c r="P638" s="38"/>
      <c r="Q638" s="38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78"/>
      <c r="B639" s="79"/>
      <c r="C639" s="79"/>
      <c r="D639" s="80"/>
      <c r="E639" s="81"/>
      <c r="F639" s="81"/>
      <c r="G639" s="81"/>
      <c r="H639" s="81"/>
      <c r="I639" s="81"/>
      <c r="J639" s="81"/>
      <c r="K639" s="82"/>
      <c r="L639" s="83"/>
      <c r="M639" s="84"/>
      <c r="N639" s="37"/>
      <c r="O639" s="38"/>
      <c r="P639" s="38"/>
      <c r="Q639" s="38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78"/>
      <c r="B640" s="79"/>
      <c r="C640" s="79"/>
      <c r="D640" s="80"/>
      <c r="E640" s="81"/>
      <c r="F640" s="81"/>
      <c r="G640" s="81"/>
      <c r="H640" s="81"/>
      <c r="I640" s="81"/>
      <c r="J640" s="81"/>
      <c r="K640" s="82"/>
      <c r="L640" s="83"/>
      <c r="M640" s="84"/>
      <c r="N640" s="37"/>
      <c r="O640" s="38"/>
      <c r="P640" s="38"/>
      <c r="Q640" s="38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78"/>
      <c r="B641" s="79"/>
      <c r="C641" s="79"/>
      <c r="D641" s="80"/>
      <c r="E641" s="81"/>
      <c r="F641" s="81"/>
      <c r="G641" s="81"/>
      <c r="H641" s="81"/>
      <c r="I641" s="81"/>
      <c r="J641" s="81"/>
      <c r="K641" s="82"/>
      <c r="L641" s="83"/>
      <c r="M641" s="84"/>
      <c r="N641" s="37"/>
      <c r="O641" s="38"/>
      <c r="P641" s="38"/>
      <c r="Q641" s="38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78"/>
      <c r="B642" s="79"/>
      <c r="C642" s="79"/>
      <c r="D642" s="80"/>
      <c r="E642" s="81"/>
      <c r="F642" s="81"/>
      <c r="G642" s="81"/>
      <c r="H642" s="81"/>
      <c r="I642" s="81"/>
      <c r="J642" s="81"/>
      <c r="K642" s="82"/>
      <c r="L642" s="83"/>
      <c r="M642" s="84"/>
      <c r="N642" s="37"/>
      <c r="O642" s="38"/>
      <c r="P642" s="38"/>
      <c r="Q642" s="38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78"/>
      <c r="B643" s="79"/>
      <c r="C643" s="79"/>
      <c r="D643" s="80"/>
      <c r="E643" s="81"/>
      <c r="F643" s="81"/>
      <c r="G643" s="81"/>
      <c r="H643" s="81"/>
      <c r="I643" s="81"/>
      <c r="J643" s="81"/>
      <c r="K643" s="82"/>
      <c r="L643" s="83"/>
      <c r="M643" s="84"/>
      <c r="N643" s="37"/>
      <c r="O643" s="38"/>
      <c r="P643" s="38"/>
      <c r="Q643" s="38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78"/>
      <c r="B644" s="79"/>
      <c r="C644" s="79"/>
      <c r="D644" s="80"/>
      <c r="E644" s="81"/>
      <c r="F644" s="81"/>
      <c r="G644" s="81"/>
      <c r="H644" s="81"/>
      <c r="I644" s="81"/>
      <c r="J644" s="81"/>
      <c r="K644" s="82"/>
      <c r="L644" s="83"/>
      <c r="M644" s="84"/>
      <c r="N644" s="37"/>
      <c r="O644" s="38"/>
      <c r="P644" s="38"/>
      <c r="Q644" s="38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78"/>
      <c r="B645" s="79"/>
      <c r="C645" s="79"/>
      <c r="D645" s="80"/>
      <c r="E645" s="81"/>
      <c r="F645" s="81"/>
      <c r="G645" s="81"/>
      <c r="H645" s="81"/>
      <c r="I645" s="81"/>
      <c r="J645" s="81"/>
      <c r="K645" s="82"/>
      <c r="L645" s="83"/>
      <c r="M645" s="84"/>
      <c r="N645" s="37"/>
      <c r="O645" s="38"/>
      <c r="P645" s="38"/>
      <c r="Q645" s="38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78"/>
      <c r="B646" s="79"/>
      <c r="C646" s="79"/>
      <c r="D646" s="80"/>
      <c r="E646" s="81"/>
      <c r="F646" s="81"/>
      <c r="G646" s="81"/>
      <c r="H646" s="81"/>
      <c r="I646" s="81"/>
      <c r="J646" s="81"/>
      <c r="K646" s="82"/>
      <c r="L646" s="83"/>
      <c r="M646" s="84"/>
      <c r="N646" s="37"/>
      <c r="O646" s="38"/>
      <c r="P646" s="38"/>
      <c r="Q646" s="38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78"/>
      <c r="B647" s="79"/>
      <c r="C647" s="79"/>
      <c r="D647" s="80"/>
      <c r="E647" s="81"/>
      <c r="F647" s="81"/>
      <c r="G647" s="81"/>
      <c r="H647" s="81"/>
      <c r="I647" s="81"/>
      <c r="J647" s="81"/>
      <c r="K647" s="82"/>
      <c r="L647" s="83"/>
      <c r="M647" s="84"/>
      <c r="N647" s="37"/>
      <c r="O647" s="38"/>
      <c r="P647" s="38"/>
      <c r="Q647" s="38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78"/>
      <c r="B648" s="79"/>
      <c r="C648" s="79"/>
      <c r="D648" s="80"/>
      <c r="E648" s="81"/>
      <c r="F648" s="81"/>
      <c r="G648" s="81"/>
      <c r="H648" s="81"/>
      <c r="I648" s="81"/>
      <c r="J648" s="81"/>
      <c r="K648" s="82"/>
      <c r="L648" s="83"/>
      <c r="M648" s="84"/>
      <c r="N648" s="37"/>
      <c r="O648" s="38"/>
      <c r="P648" s="38"/>
      <c r="Q648" s="38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78"/>
      <c r="B649" s="79"/>
      <c r="C649" s="79"/>
      <c r="D649" s="80"/>
      <c r="E649" s="81"/>
      <c r="F649" s="81"/>
      <c r="G649" s="81"/>
      <c r="H649" s="81"/>
      <c r="I649" s="81"/>
      <c r="J649" s="81"/>
      <c r="K649" s="82"/>
      <c r="L649" s="83"/>
      <c r="M649" s="84"/>
      <c r="N649" s="37"/>
      <c r="O649" s="38"/>
      <c r="P649" s="38"/>
      <c r="Q649" s="38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78"/>
      <c r="B650" s="79"/>
      <c r="C650" s="79"/>
      <c r="D650" s="80"/>
      <c r="E650" s="81"/>
      <c r="F650" s="81"/>
      <c r="G650" s="81"/>
      <c r="H650" s="81"/>
      <c r="I650" s="81"/>
      <c r="J650" s="81"/>
      <c r="K650" s="82"/>
      <c r="L650" s="83"/>
      <c r="M650" s="84"/>
      <c r="N650" s="37"/>
      <c r="O650" s="38"/>
      <c r="P650" s="38"/>
      <c r="Q650" s="38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78"/>
      <c r="B651" s="79"/>
      <c r="C651" s="79"/>
      <c r="D651" s="80"/>
      <c r="E651" s="81"/>
      <c r="F651" s="81"/>
      <c r="G651" s="81"/>
      <c r="H651" s="81"/>
      <c r="I651" s="81"/>
      <c r="J651" s="81"/>
      <c r="K651" s="82"/>
      <c r="L651" s="83"/>
      <c r="M651" s="84"/>
      <c r="N651" s="37"/>
      <c r="O651" s="38"/>
      <c r="P651" s="38"/>
      <c r="Q651" s="38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78"/>
      <c r="B652" s="79"/>
      <c r="C652" s="79"/>
      <c r="D652" s="80"/>
      <c r="E652" s="81"/>
      <c r="F652" s="81"/>
      <c r="G652" s="81"/>
      <c r="H652" s="81"/>
      <c r="I652" s="81"/>
      <c r="J652" s="81"/>
      <c r="K652" s="82"/>
      <c r="L652" s="83"/>
      <c r="M652" s="84"/>
      <c r="N652" s="37"/>
      <c r="O652" s="38"/>
      <c r="P652" s="38"/>
      <c r="Q652" s="38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78"/>
      <c r="B653" s="79"/>
      <c r="C653" s="79"/>
      <c r="D653" s="80"/>
      <c r="E653" s="81"/>
      <c r="F653" s="81"/>
      <c r="G653" s="81"/>
      <c r="H653" s="81"/>
      <c r="I653" s="81"/>
      <c r="J653" s="81"/>
      <c r="K653" s="82"/>
      <c r="L653" s="83"/>
      <c r="M653" s="84"/>
      <c r="N653" s="37"/>
      <c r="O653" s="38"/>
      <c r="P653" s="38"/>
      <c r="Q653" s="38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78"/>
      <c r="B654" s="79"/>
      <c r="C654" s="79"/>
      <c r="D654" s="80"/>
      <c r="E654" s="81"/>
      <c r="F654" s="81"/>
      <c r="G654" s="81"/>
      <c r="H654" s="81"/>
      <c r="I654" s="81"/>
      <c r="J654" s="81"/>
      <c r="K654" s="82"/>
      <c r="L654" s="83"/>
      <c r="M654" s="84"/>
      <c r="N654" s="37"/>
      <c r="O654" s="38"/>
      <c r="P654" s="38"/>
      <c r="Q654" s="38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78"/>
      <c r="B655" s="79"/>
      <c r="C655" s="79"/>
      <c r="D655" s="80"/>
      <c r="E655" s="81"/>
      <c r="F655" s="81"/>
      <c r="G655" s="81"/>
      <c r="H655" s="81"/>
      <c r="I655" s="81"/>
      <c r="J655" s="81"/>
      <c r="K655" s="82"/>
      <c r="L655" s="83"/>
      <c r="M655" s="84"/>
      <c r="N655" s="37"/>
      <c r="O655" s="38"/>
      <c r="P655" s="38"/>
      <c r="Q655" s="38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78"/>
      <c r="B656" s="79"/>
      <c r="C656" s="79"/>
      <c r="D656" s="80"/>
      <c r="E656" s="81"/>
      <c r="F656" s="81"/>
      <c r="G656" s="81"/>
      <c r="H656" s="81"/>
      <c r="I656" s="81"/>
      <c r="J656" s="81"/>
      <c r="K656" s="82"/>
      <c r="L656" s="83"/>
      <c r="M656" s="84"/>
      <c r="N656" s="37"/>
      <c r="O656" s="38"/>
      <c r="P656" s="38"/>
      <c r="Q656" s="38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78"/>
      <c r="B657" s="79"/>
      <c r="C657" s="79"/>
      <c r="D657" s="80"/>
      <c r="E657" s="81"/>
      <c r="F657" s="81"/>
      <c r="G657" s="81"/>
      <c r="H657" s="81"/>
      <c r="I657" s="81"/>
      <c r="J657" s="81"/>
      <c r="K657" s="82"/>
      <c r="L657" s="83"/>
      <c r="M657" s="84"/>
      <c r="N657" s="37"/>
      <c r="O657" s="38"/>
      <c r="P657" s="38"/>
      <c r="Q657" s="38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78"/>
      <c r="B658" s="79"/>
      <c r="C658" s="79"/>
      <c r="D658" s="80"/>
      <c r="E658" s="81"/>
      <c r="F658" s="81"/>
      <c r="G658" s="81"/>
      <c r="H658" s="81"/>
      <c r="I658" s="81"/>
      <c r="J658" s="81"/>
      <c r="K658" s="82"/>
      <c r="L658" s="83"/>
      <c r="M658" s="84"/>
      <c r="N658" s="37"/>
      <c r="O658" s="38"/>
      <c r="P658" s="38"/>
      <c r="Q658" s="38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78"/>
      <c r="B659" s="79"/>
      <c r="C659" s="79"/>
      <c r="D659" s="80"/>
      <c r="E659" s="81"/>
      <c r="F659" s="81"/>
      <c r="G659" s="81"/>
      <c r="H659" s="81"/>
      <c r="I659" s="81"/>
      <c r="J659" s="81"/>
      <c r="K659" s="82"/>
      <c r="L659" s="83"/>
      <c r="M659" s="84"/>
      <c r="N659" s="37"/>
      <c r="O659" s="38"/>
      <c r="P659" s="38"/>
      <c r="Q659" s="38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78"/>
      <c r="B660" s="79"/>
      <c r="C660" s="79"/>
      <c r="D660" s="80"/>
      <c r="E660" s="81"/>
      <c r="F660" s="81"/>
      <c r="G660" s="81"/>
      <c r="H660" s="81"/>
      <c r="I660" s="81"/>
      <c r="J660" s="81"/>
      <c r="K660" s="82"/>
      <c r="L660" s="83"/>
      <c r="M660" s="84"/>
      <c r="N660" s="37"/>
      <c r="O660" s="38"/>
      <c r="P660" s="38"/>
      <c r="Q660" s="38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78"/>
      <c r="B661" s="79"/>
      <c r="C661" s="79"/>
      <c r="D661" s="80"/>
      <c r="E661" s="81"/>
      <c r="F661" s="81"/>
      <c r="G661" s="81"/>
      <c r="H661" s="81"/>
      <c r="I661" s="81"/>
      <c r="J661" s="81"/>
      <c r="K661" s="82"/>
      <c r="L661" s="83"/>
      <c r="M661" s="84"/>
      <c r="N661" s="37"/>
      <c r="O661" s="38"/>
      <c r="P661" s="38"/>
      <c r="Q661" s="38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78"/>
      <c r="B662" s="79"/>
      <c r="C662" s="79"/>
      <c r="D662" s="80"/>
      <c r="E662" s="81"/>
      <c r="F662" s="81"/>
      <c r="G662" s="81"/>
      <c r="H662" s="81"/>
      <c r="I662" s="81"/>
      <c r="J662" s="81"/>
      <c r="K662" s="82"/>
      <c r="L662" s="83"/>
      <c r="M662" s="84"/>
      <c r="N662" s="37"/>
      <c r="O662" s="38"/>
      <c r="P662" s="38"/>
      <c r="Q662" s="38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78"/>
      <c r="B663" s="79"/>
      <c r="C663" s="79"/>
      <c r="D663" s="80"/>
      <c r="E663" s="81"/>
      <c r="F663" s="81"/>
      <c r="G663" s="81"/>
      <c r="H663" s="81"/>
      <c r="I663" s="81"/>
      <c r="J663" s="81"/>
      <c r="K663" s="82"/>
      <c r="L663" s="83"/>
      <c r="M663" s="84"/>
      <c r="N663" s="37"/>
      <c r="O663" s="38"/>
      <c r="P663" s="38"/>
      <c r="Q663" s="38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78"/>
      <c r="B664" s="79"/>
      <c r="C664" s="79"/>
      <c r="D664" s="80"/>
      <c r="E664" s="81"/>
      <c r="F664" s="81"/>
      <c r="G664" s="81"/>
      <c r="H664" s="81"/>
      <c r="I664" s="81"/>
      <c r="J664" s="81"/>
      <c r="K664" s="82"/>
      <c r="L664" s="83"/>
      <c r="M664" s="84"/>
      <c r="N664" s="37"/>
      <c r="O664" s="38"/>
      <c r="P664" s="38"/>
      <c r="Q664" s="38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78"/>
      <c r="B665" s="79"/>
      <c r="C665" s="79"/>
      <c r="D665" s="80"/>
      <c r="E665" s="81"/>
      <c r="F665" s="81"/>
      <c r="G665" s="81"/>
      <c r="H665" s="81"/>
      <c r="I665" s="81"/>
      <c r="J665" s="81"/>
      <c r="K665" s="82"/>
      <c r="L665" s="83"/>
      <c r="M665" s="84"/>
      <c r="N665" s="37"/>
      <c r="O665" s="38"/>
      <c r="P665" s="38"/>
      <c r="Q665" s="38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78"/>
      <c r="B666" s="79"/>
      <c r="C666" s="79"/>
      <c r="D666" s="80"/>
      <c r="E666" s="81"/>
      <c r="F666" s="81"/>
      <c r="G666" s="81"/>
      <c r="H666" s="81"/>
      <c r="I666" s="81"/>
      <c r="J666" s="81"/>
      <c r="K666" s="82"/>
      <c r="L666" s="83"/>
      <c r="M666" s="84"/>
      <c r="N666" s="37"/>
      <c r="O666" s="38"/>
      <c r="P666" s="38"/>
      <c r="Q666" s="38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78"/>
      <c r="B667" s="79"/>
      <c r="C667" s="79"/>
      <c r="D667" s="80"/>
      <c r="E667" s="81"/>
      <c r="F667" s="81"/>
      <c r="G667" s="81"/>
      <c r="H667" s="81"/>
      <c r="I667" s="81"/>
      <c r="J667" s="81"/>
      <c r="K667" s="82"/>
      <c r="L667" s="83"/>
      <c r="M667" s="84"/>
      <c r="N667" s="37"/>
      <c r="O667" s="38"/>
      <c r="P667" s="38"/>
      <c r="Q667" s="38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78"/>
      <c r="B668" s="79"/>
      <c r="C668" s="79"/>
      <c r="D668" s="80"/>
      <c r="E668" s="81"/>
      <c r="F668" s="81"/>
      <c r="G668" s="81"/>
      <c r="H668" s="81"/>
      <c r="I668" s="81"/>
      <c r="J668" s="81"/>
      <c r="K668" s="82"/>
      <c r="L668" s="83"/>
      <c r="M668" s="84"/>
      <c r="N668" s="37"/>
      <c r="O668" s="38"/>
      <c r="P668" s="38"/>
      <c r="Q668" s="38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78"/>
      <c r="B669" s="79"/>
      <c r="C669" s="79"/>
      <c r="D669" s="80"/>
      <c r="E669" s="81"/>
      <c r="F669" s="81"/>
      <c r="G669" s="81"/>
      <c r="H669" s="81"/>
      <c r="I669" s="81"/>
      <c r="J669" s="81"/>
      <c r="K669" s="82"/>
      <c r="L669" s="83"/>
      <c r="M669" s="84"/>
      <c r="N669" s="37"/>
      <c r="O669" s="38"/>
      <c r="P669" s="38"/>
      <c r="Q669" s="38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78"/>
      <c r="B670" s="79"/>
      <c r="C670" s="79"/>
      <c r="D670" s="80"/>
      <c r="E670" s="81"/>
      <c r="F670" s="81"/>
      <c r="G670" s="81"/>
      <c r="H670" s="81"/>
      <c r="I670" s="81"/>
      <c r="J670" s="81"/>
      <c r="K670" s="82"/>
      <c r="L670" s="83"/>
      <c r="M670" s="84"/>
      <c r="N670" s="37"/>
      <c r="O670" s="38"/>
      <c r="P670" s="38"/>
      <c r="Q670" s="38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78"/>
      <c r="B671" s="79"/>
      <c r="C671" s="79"/>
      <c r="D671" s="80"/>
      <c r="E671" s="81"/>
      <c r="F671" s="81"/>
      <c r="G671" s="81"/>
      <c r="H671" s="81"/>
      <c r="I671" s="81"/>
      <c r="J671" s="81"/>
      <c r="K671" s="82"/>
      <c r="L671" s="83"/>
      <c r="M671" s="84"/>
      <c r="N671" s="37"/>
      <c r="O671" s="38"/>
      <c r="P671" s="38"/>
      <c r="Q671" s="38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78"/>
      <c r="B672" s="79"/>
      <c r="C672" s="79"/>
      <c r="D672" s="80"/>
      <c r="E672" s="81"/>
      <c r="F672" s="81"/>
      <c r="G672" s="81"/>
      <c r="H672" s="81"/>
      <c r="I672" s="81"/>
      <c r="J672" s="81"/>
      <c r="K672" s="82"/>
      <c r="L672" s="83"/>
      <c r="M672" s="84"/>
      <c r="N672" s="37"/>
      <c r="O672" s="38"/>
      <c r="P672" s="38"/>
      <c r="Q672" s="38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78"/>
      <c r="B673" s="79"/>
      <c r="C673" s="79"/>
      <c r="D673" s="80"/>
      <c r="E673" s="81"/>
      <c r="F673" s="81"/>
      <c r="G673" s="81"/>
      <c r="H673" s="81"/>
      <c r="I673" s="81"/>
      <c r="J673" s="81"/>
      <c r="K673" s="82"/>
      <c r="L673" s="83"/>
      <c r="M673" s="84"/>
      <c r="N673" s="37"/>
      <c r="O673" s="38"/>
      <c r="P673" s="38"/>
      <c r="Q673" s="38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78"/>
      <c r="B674" s="79"/>
      <c r="C674" s="79"/>
      <c r="D674" s="80"/>
      <c r="E674" s="81"/>
      <c r="F674" s="81"/>
      <c r="G674" s="81"/>
      <c r="H674" s="81"/>
      <c r="I674" s="81"/>
      <c r="J674" s="81"/>
      <c r="K674" s="82"/>
      <c r="L674" s="83"/>
      <c r="M674" s="84"/>
      <c r="N674" s="37"/>
      <c r="O674" s="38"/>
      <c r="P674" s="38"/>
      <c r="Q674" s="38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78"/>
      <c r="B675" s="79"/>
      <c r="C675" s="79"/>
      <c r="D675" s="80"/>
      <c r="E675" s="81"/>
      <c r="F675" s="81"/>
      <c r="G675" s="81"/>
      <c r="H675" s="81"/>
      <c r="I675" s="81"/>
      <c r="J675" s="81"/>
      <c r="K675" s="82"/>
      <c r="L675" s="83"/>
      <c r="M675" s="84"/>
      <c r="N675" s="37"/>
      <c r="O675" s="38"/>
      <c r="P675" s="38"/>
      <c r="Q675" s="38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78"/>
      <c r="B676" s="79"/>
      <c r="C676" s="79"/>
      <c r="D676" s="80"/>
      <c r="E676" s="81"/>
      <c r="F676" s="81"/>
      <c r="G676" s="81"/>
      <c r="H676" s="81"/>
      <c r="I676" s="81"/>
      <c r="J676" s="81"/>
      <c r="K676" s="82"/>
      <c r="L676" s="83"/>
      <c r="M676" s="84"/>
      <c r="N676" s="37"/>
      <c r="O676" s="38"/>
      <c r="P676" s="38"/>
      <c r="Q676" s="38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78"/>
      <c r="B677" s="79"/>
      <c r="C677" s="79"/>
      <c r="D677" s="80"/>
      <c r="E677" s="81"/>
      <c r="F677" s="81"/>
      <c r="G677" s="81"/>
      <c r="H677" s="81"/>
      <c r="I677" s="81"/>
      <c r="J677" s="81"/>
      <c r="K677" s="82"/>
      <c r="L677" s="83"/>
      <c r="M677" s="84"/>
      <c r="N677" s="37"/>
      <c r="O677" s="38"/>
      <c r="P677" s="38"/>
      <c r="Q677" s="38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78"/>
      <c r="B678" s="79"/>
      <c r="C678" s="79"/>
      <c r="D678" s="80"/>
      <c r="E678" s="81"/>
      <c r="F678" s="81"/>
      <c r="G678" s="81"/>
      <c r="H678" s="81"/>
      <c r="I678" s="81"/>
      <c r="J678" s="81"/>
      <c r="K678" s="82"/>
      <c r="L678" s="83"/>
      <c r="M678" s="84"/>
      <c r="N678" s="37"/>
      <c r="O678" s="38"/>
      <c r="P678" s="38"/>
      <c r="Q678" s="38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78"/>
      <c r="B679" s="79"/>
      <c r="C679" s="79"/>
      <c r="D679" s="80"/>
      <c r="E679" s="81"/>
      <c r="F679" s="81"/>
      <c r="G679" s="81"/>
      <c r="H679" s="81"/>
      <c r="I679" s="81"/>
      <c r="J679" s="81"/>
      <c r="K679" s="82"/>
      <c r="L679" s="83"/>
      <c r="M679" s="84"/>
      <c r="N679" s="37"/>
      <c r="O679" s="38"/>
      <c r="P679" s="38"/>
      <c r="Q679" s="38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78"/>
      <c r="B680" s="79"/>
      <c r="C680" s="79"/>
      <c r="D680" s="80"/>
      <c r="E680" s="81"/>
      <c r="F680" s="81"/>
      <c r="G680" s="81"/>
      <c r="H680" s="81"/>
      <c r="I680" s="81"/>
      <c r="J680" s="81"/>
      <c r="K680" s="82"/>
      <c r="L680" s="83"/>
      <c r="M680" s="84"/>
      <c r="N680" s="37"/>
      <c r="O680" s="38"/>
      <c r="P680" s="38"/>
      <c r="Q680" s="38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78"/>
      <c r="B681" s="79"/>
      <c r="C681" s="79"/>
      <c r="D681" s="80"/>
      <c r="E681" s="81"/>
      <c r="F681" s="81"/>
      <c r="G681" s="81"/>
      <c r="H681" s="81"/>
      <c r="I681" s="81"/>
      <c r="J681" s="81"/>
      <c r="K681" s="82"/>
      <c r="L681" s="83"/>
      <c r="M681" s="84"/>
      <c r="N681" s="37"/>
      <c r="O681" s="38"/>
      <c r="P681" s="38"/>
      <c r="Q681" s="38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78"/>
      <c r="B682" s="79"/>
      <c r="C682" s="79"/>
      <c r="D682" s="80"/>
      <c r="E682" s="81"/>
      <c r="F682" s="81"/>
      <c r="G682" s="81"/>
      <c r="H682" s="81"/>
      <c r="I682" s="81"/>
      <c r="J682" s="81"/>
      <c r="K682" s="82"/>
      <c r="L682" s="83"/>
      <c r="M682" s="84"/>
      <c r="N682" s="37"/>
      <c r="O682" s="38"/>
      <c r="P682" s="38"/>
      <c r="Q682" s="38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78"/>
      <c r="B683" s="79"/>
      <c r="C683" s="79"/>
      <c r="D683" s="80"/>
      <c r="E683" s="81"/>
      <c r="F683" s="81"/>
      <c r="G683" s="81"/>
      <c r="H683" s="81"/>
      <c r="I683" s="81"/>
      <c r="J683" s="81"/>
      <c r="K683" s="82"/>
      <c r="L683" s="83"/>
      <c r="M683" s="84"/>
      <c r="N683" s="37"/>
      <c r="O683" s="38"/>
      <c r="P683" s="38"/>
      <c r="Q683" s="38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78"/>
      <c r="B684" s="79"/>
      <c r="C684" s="79"/>
      <c r="D684" s="80"/>
      <c r="E684" s="81"/>
      <c r="F684" s="81"/>
      <c r="G684" s="81"/>
      <c r="H684" s="81"/>
      <c r="I684" s="81"/>
      <c r="J684" s="81"/>
      <c r="K684" s="82"/>
      <c r="L684" s="83"/>
      <c r="M684" s="84"/>
      <c r="N684" s="37"/>
      <c r="O684" s="38"/>
      <c r="P684" s="38"/>
      <c r="Q684" s="38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78"/>
      <c r="B685" s="79"/>
      <c r="C685" s="79"/>
      <c r="D685" s="80"/>
      <c r="E685" s="81"/>
      <c r="F685" s="81"/>
      <c r="G685" s="81"/>
      <c r="H685" s="81"/>
      <c r="I685" s="81"/>
      <c r="J685" s="81"/>
      <c r="K685" s="82"/>
      <c r="L685" s="83"/>
      <c r="M685" s="84"/>
      <c r="N685" s="37"/>
      <c r="O685" s="38"/>
      <c r="P685" s="38"/>
      <c r="Q685" s="38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78"/>
      <c r="B686" s="79"/>
      <c r="C686" s="79"/>
      <c r="D686" s="80"/>
      <c r="E686" s="81"/>
      <c r="F686" s="81"/>
      <c r="G686" s="81"/>
      <c r="H686" s="81"/>
      <c r="I686" s="81"/>
      <c r="J686" s="81"/>
      <c r="K686" s="82"/>
      <c r="L686" s="83"/>
      <c r="M686" s="84"/>
      <c r="N686" s="37"/>
      <c r="O686" s="38"/>
      <c r="P686" s="38"/>
      <c r="Q686" s="38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78"/>
      <c r="B687" s="79"/>
      <c r="C687" s="79"/>
      <c r="D687" s="80"/>
      <c r="E687" s="81"/>
      <c r="F687" s="81"/>
      <c r="G687" s="81"/>
      <c r="H687" s="81"/>
      <c r="I687" s="81"/>
      <c r="J687" s="81"/>
      <c r="K687" s="82"/>
      <c r="L687" s="83"/>
      <c r="M687" s="84"/>
      <c r="N687" s="37"/>
      <c r="O687" s="38"/>
      <c r="P687" s="38"/>
      <c r="Q687" s="38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78"/>
      <c r="B688" s="79"/>
      <c r="C688" s="79"/>
      <c r="D688" s="80"/>
      <c r="E688" s="81"/>
      <c r="F688" s="81"/>
      <c r="G688" s="81"/>
      <c r="H688" s="81"/>
      <c r="I688" s="81"/>
      <c r="J688" s="81"/>
      <c r="K688" s="82"/>
      <c r="L688" s="83"/>
      <c r="M688" s="84"/>
      <c r="N688" s="37"/>
      <c r="O688" s="38"/>
      <c r="P688" s="38"/>
      <c r="Q688" s="38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78"/>
      <c r="B689" s="79"/>
      <c r="C689" s="79"/>
      <c r="D689" s="80"/>
      <c r="E689" s="81"/>
      <c r="F689" s="81"/>
      <c r="G689" s="81"/>
      <c r="H689" s="81"/>
      <c r="I689" s="81"/>
      <c r="J689" s="81"/>
      <c r="K689" s="82"/>
      <c r="L689" s="83"/>
      <c r="M689" s="84"/>
      <c r="N689" s="37"/>
      <c r="O689" s="38"/>
      <c r="P689" s="38"/>
      <c r="Q689" s="38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78"/>
      <c r="B690" s="79"/>
      <c r="C690" s="79"/>
      <c r="D690" s="80"/>
      <c r="E690" s="81"/>
      <c r="F690" s="81"/>
      <c r="G690" s="81"/>
      <c r="H690" s="81"/>
      <c r="I690" s="81"/>
      <c r="J690" s="81"/>
      <c r="K690" s="82"/>
      <c r="L690" s="83"/>
      <c r="M690" s="84"/>
      <c r="N690" s="37"/>
      <c r="O690" s="38"/>
      <c r="P690" s="38"/>
      <c r="Q690" s="38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78"/>
      <c r="B691" s="79"/>
      <c r="C691" s="79"/>
      <c r="D691" s="80"/>
      <c r="E691" s="81"/>
      <c r="F691" s="81"/>
      <c r="G691" s="81"/>
      <c r="H691" s="81"/>
      <c r="I691" s="81"/>
      <c r="J691" s="81"/>
      <c r="K691" s="82"/>
      <c r="L691" s="83"/>
      <c r="M691" s="84"/>
      <c r="N691" s="37"/>
      <c r="O691" s="38"/>
      <c r="P691" s="38"/>
      <c r="Q691" s="38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78"/>
      <c r="B692" s="79"/>
      <c r="C692" s="79"/>
      <c r="D692" s="80"/>
      <c r="E692" s="81"/>
      <c r="F692" s="81"/>
      <c r="G692" s="81"/>
      <c r="H692" s="81"/>
      <c r="I692" s="81"/>
      <c r="J692" s="81"/>
      <c r="K692" s="82"/>
      <c r="L692" s="83"/>
      <c r="M692" s="84"/>
      <c r="N692" s="37"/>
      <c r="O692" s="38"/>
      <c r="P692" s="38"/>
      <c r="Q692" s="38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78"/>
      <c r="B693" s="79"/>
      <c r="C693" s="79"/>
      <c r="D693" s="80"/>
      <c r="E693" s="81"/>
      <c r="F693" s="81"/>
      <c r="G693" s="81"/>
      <c r="H693" s="81"/>
      <c r="I693" s="81"/>
      <c r="J693" s="81"/>
      <c r="K693" s="82"/>
      <c r="L693" s="83"/>
      <c r="M693" s="84"/>
      <c r="N693" s="37"/>
      <c r="O693" s="38"/>
      <c r="P693" s="38"/>
      <c r="Q693" s="38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78"/>
      <c r="B694" s="79"/>
      <c r="C694" s="79"/>
      <c r="D694" s="80"/>
      <c r="E694" s="81"/>
      <c r="F694" s="81"/>
      <c r="G694" s="81"/>
      <c r="H694" s="81"/>
      <c r="I694" s="81"/>
      <c r="J694" s="81"/>
      <c r="K694" s="82"/>
      <c r="L694" s="83"/>
      <c r="M694" s="84"/>
      <c r="N694" s="37"/>
      <c r="O694" s="38"/>
      <c r="P694" s="38"/>
      <c r="Q694" s="38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78"/>
      <c r="B695" s="79"/>
      <c r="C695" s="79"/>
      <c r="D695" s="80"/>
      <c r="E695" s="81"/>
      <c r="F695" s="81"/>
      <c r="G695" s="81"/>
      <c r="H695" s="81"/>
      <c r="I695" s="81"/>
      <c r="J695" s="81"/>
      <c r="K695" s="82"/>
      <c r="L695" s="83"/>
      <c r="M695" s="84"/>
      <c r="N695" s="37"/>
      <c r="O695" s="38"/>
      <c r="P695" s="38"/>
      <c r="Q695" s="38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78"/>
      <c r="B696" s="79"/>
      <c r="C696" s="79"/>
      <c r="D696" s="80"/>
      <c r="E696" s="81"/>
      <c r="F696" s="81"/>
      <c r="G696" s="81"/>
      <c r="H696" s="81"/>
      <c r="I696" s="81"/>
      <c r="J696" s="81"/>
      <c r="K696" s="82"/>
      <c r="L696" s="83"/>
      <c r="M696" s="84"/>
      <c r="N696" s="37"/>
      <c r="O696" s="38"/>
      <c r="P696" s="38"/>
      <c r="Q696" s="38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78"/>
      <c r="B697" s="79"/>
      <c r="C697" s="79"/>
      <c r="D697" s="80"/>
      <c r="E697" s="81"/>
      <c r="F697" s="81"/>
      <c r="G697" s="81"/>
      <c r="H697" s="81"/>
      <c r="I697" s="81"/>
      <c r="J697" s="81"/>
      <c r="K697" s="82"/>
      <c r="L697" s="83"/>
      <c r="M697" s="84"/>
      <c r="N697" s="37"/>
      <c r="O697" s="38"/>
      <c r="P697" s="38"/>
      <c r="Q697" s="38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78"/>
      <c r="B698" s="79"/>
      <c r="C698" s="79"/>
      <c r="D698" s="80"/>
      <c r="E698" s="81"/>
      <c r="F698" s="81"/>
      <c r="G698" s="81"/>
      <c r="H698" s="81"/>
      <c r="I698" s="81"/>
      <c r="J698" s="81"/>
      <c r="K698" s="82"/>
      <c r="L698" s="83"/>
      <c r="M698" s="84"/>
      <c r="N698" s="37"/>
      <c r="O698" s="38"/>
      <c r="P698" s="38"/>
      <c r="Q698" s="38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78"/>
      <c r="B699" s="79"/>
      <c r="C699" s="79"/>
      <c r="D699" s="80"/>
      <c r="E699" s="81"/>
      <c r="F699" s="81"/>
      <c r="G699" s="81"/>
      <c r="H699" s="81"/>
      <c r="I699" s="81"/>
      <c r="J699" s="81"/>
      <c r="K699" s="82"/>
      <c r="L699" s="83"/>
      <c r="M699" s="84"/>
      <c r="N699" s="37"/>
      <c r="O699" s="38"/>
      <c r="P699" s="38"/>
      <c r="Q699" s="38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78"/>
      <c r="B700" s="79"/>
      <c r="C700" s="79"/>
      <c r="D700" s="80"/>
      <c r="E700" s="81"/>
      <c r="F700" s="81"/>
      <c r="G700" s="81"/>
      <c r="H700" s="81"/>
      <c r="I700" s="81"/>
      <c r="J700" s="81"/>
      <c r="K700" s="82"/>
      <c r="L700" s="83"/>
      <c r="M700" s="84"/>
      <c r="N700" s="37"/>
      <c r="O700" s="38"/>
      <c r="P700" s="38"/>
      <c r="Q700" s="38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78"/>
      <c r="B701" s="79"/>
      <c r="C701" s="79"/>
      <c r="D701" s="80"/>
      <c r="E701" s="81"/>
      <c r="F701" s="81"/>
      <c r="G701" s="81"/>
      <c r="H701" s="81"/>
      <c r="I701" s="81"/>
      <c r="J701" s="81"/>
      <c r="K701" s="82"/>
      <c r="L701" s="83"/>
      <c r="M701" s="84"/>
      <c r="N701" s="37"/>
      <c r="O701" s="38"/>
      <c r="P701" s="38"/>
      <c r="Q701" s="38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78"/>
      <c r="B702" s="79"/>
      <c r="C702" s="79"/>
      <c r="D702" s="80"/>
      <c r="E702" s="81"/>
      <c r="F702" s="81"/>
      <c r="G702" s="81"/>
      <c r="H702" s="81"/>
      <c r="I702" s="81"/>
      <c r="J702" s="81"/>
      <c r="K702" s="82"/>
      <c r="L702" s="83"/>
      <c r="M702" s="84"/>
      <c r="N702" s="37"/>
      <c r="O702" s="38"/>
      <c r="P702" s="38"/>
      <c r="Q702" s="38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78"/>
      <c r="B703" s="79"/>
      <c r="C703" s="79"/>
      <c r="D703" s="80"/>
      <c r="E703" s="81"/>
      <c r="F703" s="81"/>
      <c r="G703" s="81"/>
      <c r="H703" s="81"/>
      <c r="I703" s="81"/>
      <c r="J703" s="81"/>
      <c r="K703" s="82"/>
      <c r="L703" s="83"/>
      <c r="M703" s="84"/>
      <c r="N703" s="37"/>
      <c r="O703" s="38"/>
      <c r="P703" s="38"/>
      <c r="Q703" s="38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78"/>
      <c r="B704" s="79"/>
      <c r="C704" s="79"/>
      <c r="D704" s="80"/>
      <c r="E704" s="81"/>
      <c r="F704" s="81"/>
      <c r="G704" s="81"/>
      <c r="H704" s="81"/>
      <c r="I704" s="81"/>
      <c r="J704" s="81"/>
      <c r="K704" s="82"/>
      <c r="L704" s="83"/>
      <c r="M704" s="84"/>
      <c r="N704" s="37"/>
      <c r="O704" s="38"/>
      <c r="P704" s="38"/>
      <c r="Q704" s="38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78"/>
      <c r="B705" s="79"/>
      <c r="C705" s="79"/>
      <c r="D705" s="80"/>
      <c r="E705" s="81"/>
      <c r="F705" s="81"/>
      <c r="G705" s="81"/>
      <c r="H705" s="81"/>
      <c r="I705" s="81"/>
      <c r="J705" s="81"/>
      <c r="K705" s="82"/>
      <c r="L705" s="83"/>
      <c r="M705" s="84"/>
      <c r="N705" s="37"/>
      <c r="O705" s="38"/>
      <c r="P705" s="38"/>
      <c r="Q705" s="38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78"/>
      <c r="B706" s="79"/>
      <c r="C706" s="79"/>
      <c r="D706" s="80"/>
      <c r="E706" s="81"/>
      <c r="F706" s="81"/>
      <c r="G706" s="81"/>
      <c r="H706" s="81"/>
      <c r="I706" s="81"/>
      <c r="J706" s="81"/>
      <c r="K706" s="82"/>
      <c r="L706" s="83"/>
      <c r="M706" s="84"/>
      <c r="N706" s="37"/>
      <c r="O706" s="38"/>
      <c r="P706" s="38"/>
      <c r="Q706" s="38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78"/>
      <c r="B707" s="79"/>
      <c r="C707" s="79"/>
      <c r="D707" s="80"/>
      <c r="E707" s="81"/>
      <c r="F707" s="81"/>
      <c r="G707" s="81"/>
      <c r="H707" s="81"/>
      <c r="I707" s="81"/>
      <c r="J707" s="81"/>
      <c r="K707" s="82"/>
      <c r="L707" s="83"/>
      <c r="M707" s="84"/>
      <c r="N707" s="37"/>
      <c r="O707" s="38"/>
      <c r="P707" s="38"/>
      <c r="Q707" s="38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78"/>
      <c r="B708" s="79"/>
      <c r="C708" s="79"/>
      <c r="D708" s="80"/>
      <c r="E708" s="81"/>
      <c r="F708" s="81"/>
      <c r="G708" s="81"/>
      <c r="H708" s="81"/>
      <c r="I708" s="81"/>
      <c r="J708" s="81"/>
      <c r="K708" s="82"/>
      <c r="L708" s="83"/>
      <c r="M708" s="84"/>
      <c r="N708" s="37"/>
      <c r="O708" s="38"/>
      <c r="P708" s="38"/>
      <c r="Q708" s="38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78"/>
      <c r="B709" s="79"/>
      <c r="C709" s="79"/>
      <c r="D709" s="80"/>
      <c r="E709" s="81"/>
      <c r="F709" s="81"/>
      <c r="G709" s="81"/>
      <c r="H709" s="81"/>
      <c r="I709" s="81"/>
      <c r="J709" s="81"/>
      <c r="K709" s="82"/>
      <c r="L709" s="83"/>
      <c r="M709" s="84"/>
      <c r="N709" s="37"/>
      <c r="O709" s="38"/>
      <c r="P709" s="38"/>
      <c r="Q709" s="38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78"/>
      <c r="B710" s="79"/>
      <c r="C710" s="79"/>
      <c r="D710" s="80"/>
      <c r="E710" s="81"/>
      <c r="F710" s="81"/>
      <c r="G710" s="81"/>
      <c r="H710" s="81"/>
      <c r="I710" s="81"/>
      <c r="J710" s="81"/>
      <c r="K710" s="82"/>
      <c r="L710" s="83"/>
      <c r="M710" s="84"/>
      <c r="N710" s="37"/>
      <c r="O710" s="38"/>
      <c r="P710" s="38"/>
      <c r="Q710" s="38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78"/>
      <c r="B711" s="79"/>
      <c r="C711" s="79"/>
      <c r="D711" s="80"/>
      <c r="E711" s="81"/>
      <c r="F711" s="81"/>
      <c r="G711" s="81"/>
      <c r="H711" s="81"/>
      <c r="I711" s="81"/>
      <c r="J711" s="81"/>
      <c r="K711" s="82"/>
      <c r="L711" s="83"/>
      <c r="M711" s="84"/>
      <c r="N711" s="37"/>
      <c r="O711" s="38"/>
      <c r="P711" s="38"/>
      <c r="Q711" s="38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78"/>
      <c r="B712" s="79"/>
      <c r="C712" s="79"/>
      <c r="D712" s="80"/>
      <c r="E712" s="81"/>
      <c r="F712" s="81"/>
      <c r="G712" s="81"/>
      <c r="H712" s="81"/>
      <c r="I712" s="81"/>
      <c r="J712" s="81"/>
      <c r="K712" s="82"/>
      <c r="L712" s="83"/>
      <c r="M712" s="84"/>
      <c r="N712" s="37"/>
      <c r="O712" s="38"/>
      <c r="P712" s="38"/>
      <c r="Q712" s="38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78"/>
      <c r="B713" s="79"/>
      <c r="C713" s="79"/>
      <c r="D713" s="80"/>
      <c r="E713" s="81"/>
      <c r="F713" s="81"/>
      <c r="G713" s="81"/>
      <c r="H713" s="81"/>
      <c r="I713" s="81"/>
      <c r="J713" s="81"/>
      <c r="K713" s="82"/>
      <c r="L713" s="83"/>
      <c r="M713" s="84"/>
      <c r="N713" s="37"/>
      <c r="O713" s="38"/>
      <c r="P713" s="38"/>
      <c r="Q713" s="38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78"/>
      <c r="B714" s="79"/>
      <c r="C714" s="79"/>
      <c r="D714" s="80"/>
      <c r="E714" s="81"/>
      <c r="F714" s="81"/>
      <c r="G714" s="81"/>
      <c r="H714" s="81"/>
      <c r="I714" s="81"/>
      <c r="J714" s="81"/>
      <c r="K714" s="82"/>
      <c r="L714" s="83"/>
      <c r="M714" s="84"/>
      <c r="N714" s="37"/>
      <c r="O714" s="38"/>
      <c r="P714" s="38"/>
      <c r="Q714" s="38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78"/>
      <c r="B715" s="79"/>
      <c r="C715" s="79"/>
      <c r="D715" s="80"/>
      <c r="E715" s="81"/>
      <c r="F715" s="81"/>
      <c r="G715" s="81"/>
      <c r="H715" s="81"/>
      <c r="I715" s="81"/>
      <c r="J715" s="81"/>
      <c r="K715" s="82"/>
      <c r="L715" s="83"/>
      <c r="M715" s="84"/>
      <c r="N715" s="37"/>
      <c r="O715" s="38"/>
      <c r="P715" s="38"/>
      <c r="Q715" s="38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78"/>
      <c r="B716" s="79"/>
      <c r="C716" s="79"/>
      <c r="D716" s="80"/>
      <c r="E716" s="81"/>
      <c r="F716" s="81"/>
      <c r="G716" s="81"/>
      <c r="H716" s="81"/>
      <c r="I716" s="81"/>
      <c r="J716" s="81"/>
      <c r="K716" s="82"/>
      <c r="L716" s="83"/>
      <c r="M716" s="84"/>
      <c r="N716" s="37"/>
      <c r="O716" s="38"/>
      <c r="P716" s="38"/>
      <c r="Q716" s="38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78"/>
      <c r="B717" s="79"/>
      <c r="C717" s="79"/>
      <c r="D717" s="80"/>
      <c r="E717" s="81"/>
      <c r="F717" s="81"/>
      <c r="G717" s="81"/>
      <c r="H717" s="81"/>
      <c r="I717" s="81"/>
      <c r="J717" s="81"/>
      <c r="K717" s="82"/>
      <c r="L717" s="83"/>
      <c r="M717" s="84"/>
      <c r="N717" s="37"/>
      <c r="O717" s="38"/>
      <c r="P717" s="38"/>
      <c r="Q717" s="38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78"/>
      <c r="B718" s="79"/>
      <c r="C718" s="79"/>
      <c r="D718" s="80"/>
      <c r="E718" s="81"/>
      <c r="F718" s="81"/>
      <c r="G718" s="81"/>
      <c r="H718" s="81"/>
      <c r="I718" s="81"/>
      <c r="J718" s="81"/>
      <c r="K718" s="82"/>
      <c r="L718" s="83"/>
      <c r="M718" s="84"/>
      <c r="N718" s="37"/>
      <c r="O718" s="38"/>
      <c r="P718" s="38"/>
      <c r="Q718" s="38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78"/>
      <c r="B719" s="79"/>
      <c r="C719" s="79"/>
      <c r="D719" s="80"/>
      <c r="E719" s="81"/>
      <c r="F719" s="81"/>
      <c r="G719" s="81"/>
      <c r="H719" s="81"/>
      <c r="I719" s="81"/>
      <c r="J719" s="81"/>
      <c r="K719" s="82"/>
      <c r="L719" s="83"/>
      <c r="M719" s="84"/>
      <c r="N719" s="37"/>
      <c r="O719" s="38"/>
      <c r="P719" s="38"/>
      <c r="Q719" s="38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78"/>
      <c r="B720" s="79"/>
      <c r="C720" s="79"/>
      <c r="D720" s="80"/>
      <c r="E720" s="81"/>
      <c r="F720" s="81"/>
      <c r="G720" s="81"/>
      <c r="H720" s="81"/>
      <c r="I720" s="81"/>
      <c r="J720" s="81"/>
      <c r="K720" s="82"/>
      <c r="L720" s="83"/>
      <c r="M720" s="84"/>
      <c r="N720" s="37"/>
      <c r="O720" s="38"/>
      <c r="P720" s="38"/>
      <c r="Q720" s="38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78"/>
      <c r="B721" s="79"/>
      <c r="C721" s="79"/>
      <c r="D721" s="80"/>
      <c r="E721" s="81"/>
      <c r="F721" s="81"/>
      <c r="G721" s="81"/>
      <c r="H721" s="81"/>
      <c r="I721" s="81"/>
      <c r="J721" s="81"/>
      <c r="K721" s="82"/>
      <c r="L721" s="83"/>
      <c r="M721" s="84"/>
      <c r="N721" s="37"/>
      <c r="O721" s="38"/>
      <c r="P721" s="38"/>
      <c r="Q721" s="38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78"/>
      <c r="B722" s="79"/>
      <c r="C722" s="79"/>
      <c r="D722" s="80"/>
      <c r="E722" s="81"/>
      <c r="F722" s="81"/>
      <c r="G722" s="81"/>
      <c r="H722" s="81"/>
      <c r="I722" s="81"/>
      <c r="J722" s="81"/>
      <c r="K722" s="82"/>
      <c r="L722" s="83"/>
      <c r="M722" s="84"/>
      <c r="N722" s="37"/>
      <c r="O722" s="38"/>
      <c r="P722" s="38"/>
      <c r="Q722" s="38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78"/>
      <c r="B723" s="79"/>
      <c r="C723" s="79"/>
      <c r="D723" s="80"/>
      <c r="E723" s="81"/>
      <c r="F723" s="81"/>
      <c r="G723" s="81"/>
      <c r="H723" s="81"/>
      <c r="I723" s="81"/>
      <c r="J723" s="81"/>
      <c r="K723" s="82"/>
      <c r="L723" s="83"/>
      <c r="M723" s="84"/>
      <c r="N723" s="37"/>
      <c r="O723" s="38"/>
      <c r="P723" s="38"/>
      <c r="Q723" s="38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78"/>
      <c r="B724" s="79"/>
      <c r="C724" s="79"/>
      <c r="D724" s="80"/>
      <c r="E724" s="81"/>
      <c r="F724" s="81"/>
      <c r="G724" s="81"/>
      <c r="H724" s="81"/>
      <c r="I724" s="81"/>
      <c r="J724" s="81"/>
      <c r="K724" s="82"/>
      <c r="L724" s="83"/>
      <c r="M724" s="84"/>
      <c r="N724" s="37"/>
      <c r="O724" s="38"/>
      <c r="P724" s="38"/>
      <c r="Q724" s="38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78"/>
      <c r="B725" s="79"/>
      <c r="C725" s="79"/>
      <c r="D725" s="80"/>
      <c r="E725" s="81"/>
      <c r="F725" s="81"/>
      <c r="G725" s="81"/>
      <c r="H725" s="81"/>
      <c r="I725" s="81"/>
      <c r="J725" s="81"/>
      <c r="K725" s="82"/>
      <c r="L725" s="83"/>
      <c r="M725" s="84"/>
      <c r="N725" s="37"/>
      <c r="O725" s="38"/>
      <c r="P725" s="38"/>
      <c r="Q725" s="38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78"/>
      <c r="B726" s="79"/>
      <c r="C726" s="79"/>
      <c r="D726" s="80"/>
      <c r="E726" s="81"/>
      <c r="F726" s="81"/>
      <c r="G726" s="81"/>
      <c r="H726" s="81"/>
      <c r="I726" s="81"/>
      <c r="J726" s="81"/>
      <c r="K726" s="82"/>
      <c r="L726" s="83"/>
      <c r="M726" s="84"/>
      <c r="N726" s="37"/>
      <c r="O726" s="38"/>
      <c r="P726" s="38"/>
      <c r="Q726" s="38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78"/>
      <c r="B727" s="79"/>
      <c r="C727" s="79"/>
      <c r="D727" s="80"/>
      <c r="E727" s="81"/>
      <c r="F727" s="81"/>
      <c r="G727" s="81"/>
      <c r="H727" s="81"/>
      <c r="I727" s="81"/>
      <c r="J727" s="81"/>
      <c r="K727" s="82"/>
      <c r="L727" s="83"/>
      <c r="M727" s="84"/>
      <c r="N727" s="37"/>
      <c r="O727" s="38"/>
      <c r="P727" s="38"/>
      <c r="Q727" s="38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78"/>
      <c r="B728" s="79"/>
      <c r="C728" s="79"/>
      <c r="D728" s="80"/>
      <c r="E728" s="81"/>
      <c r="F728" s="81"/>
      <c r="G728" s="81"/>
      <c r="H728" s="81"/>
      <c r="I728" s="81"/>
      <c r="J728" s="81"/>
      <c r="K728" s="82"/>
      <c r="L728" s="83"/>
      <c r="M728" s="84"/>
      <c r="N728" s="37"/>
      <c r="O728" s="38"/>
      <c r="P728" s="38"/>
      <c r="Q728" s="38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78"/>
      <c r="B729" s="79"/>
      <c r="C729" s="79"/>
      <c r="D729" s="80"/>
      <c r="E729" s="81"/>
      <c r="F729" s="81"/>
      <c r="G729" s="81"/>
      <c r="H729" s="81"/>
      <c r="I729" s="81"/>
      <c r="J729" s="81"/>
      <c r="K729" s="82"/>
      <c r="L729" s="83"/>
      <c r="M729" s="84"/>
      <c r="N729" s="37"/>
      <c r="O729" s="38"/>
      <c r="P729" s="38"/>
      <c r="Q729" s="38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78"/>
      <c r="B730" s="79"/>
      <c r="C730" s="79"/>
      <c r="D730" s="80"/>
      <c r="E730" s="81"/>
      <c r="F730" s="81"/>
      <c r="G730" s="81"/>
      <c r="H730" s="81"/>
      <c r="I730" s="81"/>
      <c r="J730" s="81"/>
      <c r="K730" s="82"/>
      <c r="L730" s="83"/>
      <c r="M730" s="84"/>
      <c r="N730" s="37"/>
      <c r="O730" s="38"/>
      <c r="P730" s="38"/>
      <c r="Q730" s="38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78"/>
      <c r="B731" s="79"/>
      <c r="C731" s="79"/>
      <c r="D731" s="80"/>
      <c r="E731" s="81"/>
      <c r="F731" s="81"/>
      <c r="G731" s="81"/>
      <c r="H731" s="81"/>
      <c r="I731" s="81"/>
      <c r="J731" s="81"/>
      <c r="K731" s="82"/>
      <c r="L731" s="83"/>
      <c r="M731" s="84"/>
      <c r="N731" s="37"/>
      <c r="O731" s="38"/>
      <c r="P731" s="38"/>
      <c r="Q731" s="38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78"/>
      <c r="B732" s="79"/>
      <c r="C732" s="79"/>
      <c r="D732" s="80"/>
      <c r="E732" s="81"/>
      <c r="F732" s="81"/>
      <c r="G732" s="81"/>
      <c r="H732" s="81"/>
      <c r="I732" s="81"/>
      <c r="J732" s="81"/>
      <c r="K732" s="82"/>
      <c r="L732" s="83"/>
      <c r="M732" s="84"/>
      <c r="N732" s="37"/>
      <c r="O732" s="38"/>
      <c r="P732" s="38"/>
      <c r="Q732" s="38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78"/>
      <c r="B733" s="79"/>
      <c r="C733" s="79"/>
      <c r="D733" s="80"/>
      <c r="E733" s="81"/>
      <c r="F733" s="81"/>
      <c r="G733" s="81"/>
      <c r="H733" s="81"/>
      <c r="I733" s="81"/>
      <c r="J733" s="81"/>
      <c r="K733" s="82"/>
      <c r="L733" s="83"/>
      <c r="M733" s="84"/>
      <c r="N733" s="37"/>
      <c r="O733" s="38"/>
      <c r="P733" s="38"/>
      <c r="Q733" s="38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78"/>
      <c r="B734" s="79"/>
      <c r="C734" s="79"/>
      <c r="D734" s="80"/>
      <c r="E734" s="81"/>
      <c r="F734" s="81"/>
      <c r="G734" s="81"/>
      <c r="H734" s="81"/>
      <c r="I734" s="81"/>
      <c r="J734" s="81"/>
      <c r="K734" s="82"/>
      <c r="L734" s="83"/>
      <c r="M734" s="84"/>
      <c r="N734" s="37"/>
      <c r="O734" s="38"/>
      <c r="P734" s="38"/>
      <c r="Q734" s="38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78"/>
      <c r="B735" s="79"/>
      <c r="C735" s="79"/>
      <c r="D735" s="80"/>
      <c r="E735" s="81"/>
      <c r="F735" s="81"/>
      <c r="G735" s="81"/>
      <c r="H735" s="81"/>
      <c r="I735" s="81"/>
      <c r="J735" s="81"/>
      <c r="K735" s="82"/>
      <c r="L735" s="83"/>
      <c r="M735" s="84"/>
      <c r="N735" s="37"/>
      <c r="O735" s="38"/>
      <c r="P735" s="38"/>
      <c r="Q735" s="38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78"/>
      <c r="B736" s="79"/>
      <c r="C736" s="79"/>
      <c r="D736" s="80"/>
      <c r="E736" s="81"/>
      <c r="F736" s="81"/>
      <c r="G736" s="81"/>
      <c r="H736" s="81"/>
      <c r="I736" s="81"/>
      <c r="J736" s="81"/>
      <c r="K736" s="82"/>
      <c r="L736" s="83"/>
      <c r="M736" s="84"/>
      <c r="N736" s="37"/>
      <c r="O736" s="38"/>
      <c r="P736" s="38"/>
      <c r="Q736" s="38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78"/>
      <c r="B737" s="79"/>
      <c r="C737" s="79"/>
      <c r="D737" s="80"/>
      <c r="E737" s="81"/>
      <c r="F737" s="81"/>
      <c r="G737" s="81"/>
      <c r="H737" s="81"/>
      <c r="I737" s="81"/>
      <c r="J737" s="81"/>
      <c r="K737" s="82"/>
      <c r="L737" s="83"/>
      <c r="M737" s="84"/>
      <c r="N737" s="37"/>
      <c r="O737" s="38"/>
      <c r="P737" s="38"/>
      <c r="Q737" s="38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78"/>
      <c r="B738" s="79"/>
      <c r="C738" s="79"/>
      <c r="D738" s="80"/>
      <c r="E738" s="81"/>
      <c r="F738" s="81"/>
      <c r="G738" s="81"/>
      <c r="H738" s="81"/>
      <c r="I738" s="81"/>
      <c r="J738" s="81"/>
      <c r="K738" s="82"/>
      <c r="L738" s="83"/>
      <c r="M738" s="84"/>
      <c r="N738" s="37"/>
      <c r="O738" s="38"/>
      <c r="P738" s="38"/>
      <c r="Q738" s="38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78"/>
      <c r="B739" s="79"/>
      <c r="C739" s="79"/>
      <c r="D739" s="80"/>
      <c r="E739" s="81"/>
      <c r="F739" s="81"/>
      <c r="G739" s="81"/>
      <c r="H739" s="81"/>
      <c r="I739" s="81"/>
      <c r="J739" s="81"/>
      <c r="K739" s="82"/>
      <c r="L739" s="83"/>
      <c r="M739" s="84"/>
      <c r="N739" s="37"/>
      <c r="O739" s="38"/>
      <c r="P739" s="38"/>
      <c r="Q739" s="38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78"/>
      <c r="B740" s="79"/>
      <c r="C740" s="79"/>
      <c r="D740" s="80"/>
      <c r="E740" s="81"/>
      <c r="F740" s="81"/>
      <c r="G740" s="81"/>
      <c r="H740" s="81"/>
      <c r="I740" s="81"/>
      <c r="J740" s="81"/>
      <c r="K740" s="82"/>
      <c r="L740" s="83"/>
      <c r="M740" s="84"/>
      <c r="N740" s="37"/>
      <c r="O740" s="38"/>
      <c r="P740" s="38"/>
      <c r="Q740" s="38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78"/>
      <c r="B741" s="79"/>
      <c r="C741" s="79"/>
      <c r="D741" s="80"/>
      <c r="E741" s="81"/>
      <c r="F741" s="81"/>
      <c r="G741" s="81"/>
      <c r="H741" s="81"/>
      <c r="I741" s="81"/>
      <c r="J741" s="81"/>
      <c r="K741" s="82"/>
      <c r="L741" s="83"/>
      <c r="M741" s="84"/>
      <c r="N741" s="37"/>
      <c r="O741" s="38"/>
      <c r="P741" s="38"/>
      <c r="Q741" s="38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78"/>
      <c r="B742" s="79"/>
      <c r="C742" s="79"/>
      <c r="D742" s="80"/>
      <c r="E742" s="81"/>
      <c r="F742" s="81"/>
      <c r="G742" s="81"/>
      <c r="H742" s="81"/>
      <c r="I742" s="81"/>
      <c r="J742" s="81"/>
      <c r="K742" s="82"/>
      <c r="L742" s="83"/>
      <c r="M742" s="84"/>
      <c r="N742" s="37"/>
      <c r="O742" s="38"/>
      <c r="P742" s="38"/>
      <c r="Q742" s="38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78"/>
      <c r="B743" s="79"/>
      <c r="C743" s="79"/>
      <c r="D743" s="80"/>
      <c r="E743" s="81"/>
      <c r="F743" s="81"/>
      <c r="G743" s="81"/>
      <c r="H743" s="81"/>
      <c r="I743" s="81"/>
      <c r="J743" s="81"/>
      <c r="K743" s="82"/>
      <c r="L743" s="83"/>
      <c r="M743" s="84"/>
      <c r="N743" s="37"/>
      <c r="O743" s="38"/>
      <c r="P743" s="38"/>
      <c r="Q743" s="38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78"/>
      <c r="B744" s="79"/>
      <c r="C744" s="79"/>
      <c r="D744" s="80"/>
      <c r="E744" s="81"/>
      <c r="F744" s="81"/>
      <c r="G744" s="81"/>
      <c r="H744" s="81"/>
      <c r="I744" s="81"/>
      <c r="J744" s="81"/>
      <c r="K744" s="82"/>
      <c r="L744" s="83"/>
      <c r="M744" s="84"/>
      <c r="N744" s="37"/>
      <c r="O744" s="38"/>
      <c r="P744" s="38"/>
      <c r="Q744" s="38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78"/>
      <c r="B745" s="79"/>
      <c r="C745" s="79"/>
      <c r="D745" s="80"/>
      <c r="E745" s="81"/>
      <c r="F745" s="81"/>
      <c r="G745" s="81"/>
      <c r="H745" s="81"/>
      <c r="I745" s="81"/>
      <c r="J745" s="81"/>
      <c r="K745" s="82"/>
      <c r="L745" s="83"/>
      <c r="M745" s="84"/>
      <c r="N745" s="37"/>
      <c r="O745" s="38"/>
      <c r="P745" s="38"/>
      <c r="Q745" s="38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78"/>
      <c r="B746" s="79"/>
      <c r="C746" s="79"/>
      <c r="D746" s="80"/>
      <c r="E746" s="81"/>
      <c r="F746" s="81"/>
      <c r="G746" s="81"/>
      <c r="H746" s="81"/>
      <c r="I746" s="81"/>
      <c r="J746" s="81"/>
      <c r="K746" s="82"/>
      <c r="L746" s="83"/>
      <c r="M746" s="84"/>
      <c r="N746" s="37"/>
      <c r="O746" s="38"/>
      <c r="P746" s="38"/>
      <c r="Q746" s="38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78"/>
      <c r="B747" s="79"/>
      <c r="C747" s="79"/>
      <c r="D747" s="80"/>
      <c r="E747" s="81"/>
      <c r="F747" s="81"/>
      <c r="G747" s="81"/>
      <c r="H747" s="81"/>
      <c r="I747" s="81"/>
      <c r="J747" s="81"/>
      <c r="K747" s="82"/>
      <c r="L747" s="83"/>
      <c r="M747" s="84"/>
      <c r="N747" s="37"/>
      <c r="O747" s="38"/>
      <c r="P747" s="38"/>
      <c r="Q747" s="38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78"/>
      <c r="B748" s="79"/>
      <c r="C748" s="79"/>
      <c r="D748" s="80"/>
      <c r="E748" s="81"/>
      <c r="F748" s="81"/>
      <c r="G748" s="81"/>
      <c r="H748" s="81"/>
      <c r="I748" s="81"/>
      <c r="J748" s="81"/>
      <c r="K748" s="82"/>
      <c r="L748" s="83"/>
      <c r="M748" s="84"/>
      <c r="N748" s="37"/>
      <c r="O748" s="38"/>
      <c r="P748" s="38"/>
      <c r="Q748" s="38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78"/>
      <c r="B749" s="79"/>
      <c r="C749" s="79"/>
      <c r="D749" s="80"/>
      <c r="E749" s="81"/>
      <c r="F749" s="81"/>
      <c r="G749" s="81"/>
      <c r="H749" s="81"/>
      <c r="I749" s="81"/>
      <c r="J749" s="81"/>
      <c r="K749" s="82"/>
      <c r="L749" s="83"/>
      <c r="M749" s="84"/>
      <c r="N749" s="37"/>
      <c r="O749" s="38"/>
      <c r="P749" s="38"/>
      <c r="Q749" s="38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78"/>
      <c r="B750" s="79"/>
      <c r="C750" s="79"/>
      <c r="D750" s="80"/>
      <c r="E750" s="81"/>
      <c r="F750" s="81"/>
      <c r="G750" s="81"/>
      <c r="H750" s="81"/>
      <c r="I750" s="81"/>
      <c r="J750" s="81"/>
      <c r="K750" s="82"/>
      <c r="L750" s="83"/>
      <c r="M750" s="84"/>
      <c r="N750" s="37"/>
      <c r="O750" s="38"/>
      <c r="P750" s="38"/>
      <c r="Q750" s="38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78"/>
      <c r="B751" s="79"/>
      <c r="C751" s="79"/>
      <c r="D751" s="80"/>
      <c r="E751" s="81"/>
      <c r="F751" s="81"/>
      <c r="G751" s="81"/>
      <c r="H751" s="81"/>
      <c r="I751" s="81"/>
      <c r="J751" s="81"/>
      <c r="K751" s="82"/>
      <c r="L751" s="83"/>
      <c r="M751" s="84"/>
      <c r="N751" s="37"/>
      <c r="O751" s="38"/>
      <c r="P751" s="38"/>
      <c r="Q751" s="38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78"/>
      <c r="B752" s="79"/>
      <c r="C752" s="79"/>
      <c r="D752" s="80"/>
      <c r="E752" s="81"/>
      <c r="F752" s="81"/>
      <c r="G752" s="81"/>
      <c r="H752" s="81"/>
      <c r="I752" s="81"/>
      <c r="J752" s="81"/>
      <c r="K752" s="82"/>
      <c r="L752" s="83"/>
      <c r="M752" s="84"/>
      <c r="N752" s="37"/>
      <c r="O752" s="38"/>
      <c r="P752" s="38"/>
      <c r="Q752" s="38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78"/>
      <c r="B753" s="79"/>
      <c r="C753" s="79"/>
      <c r="D753" s="80"/>
      <c r="E753" s="81"/>
      <c r="F753" s="81"/>
      <c r="G753" s="81"/>
      <c r="H753" s="81"/>
      <c r="I753" s="81"/>
      <c r="J753" s="81"/>
      <c r="K753" s="82"/>
      <c r="L753" s="83"/>
      <c r="M753" s="84"/>
      <c r="N753" s="37"/>
      <c r="O753" s="38"/>
      <c r="P753" s="38"/>
      <c r="Q753" s="38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78"/>
      <c r="B754" s="79"/>
      <c r="C754" s="79"/>
      <c r="D754" s="80"/>
      <c r="E754" s="81"/>
      <c r="F754" s="81"/>
      <c r="G754" s="81"/>
      <c r="H754" s="81"/>
      <c r="I754" s="81"/>
      <c r="J754" s="81"/>
      <c r="K754" s="82"/>
      <c r="L754" s="83"/>
      <c r="M754" s="84"/>
      <c r="N754" s="37"/>
      <c r="O754" s="38"/>
      <c r="P754" s="38"/>
      <c r="Q754" s="38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78"/>
      <c r="B755" s="79"/>
      <c r="C755" s="79"/>
      <c r="D755" s="80"/>
      <c r="E755" s="81"/>
      <c r="F755" s="81"/>
      <c r="G755" s="81"/>
      <c r="H755" s="81"/>
      <c r="I755" s="81"/>
      <c r="J755" s="81"/>
      <c r="K755" s="82"/>
      <c r="L755" s="83"/>
      <c r="M755" s="84"/>
      <c r="N755" s="37"/>
      <c r="O755" s="38"/>
      <c r="P755" s="38"/>
      <c r="Q755" s="38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78"/>
      <c r="B756" s="79"/>
      <c r="C756" s="79"/>
      <c r="D756" s="80"/>
      <c r="E756" s="81"/>
      <c r="F756" s="81"/>
      <c r="G756" s="81"/>
      <c r="H756" s="81"/>
      <c r="I756" s="81"/>
      <c r="J756" s="81"/>
      <c r="K756" s="82"/>
      <c r="L756" s="83"/>
      <c r="M756" s="84"/>
      <c r="N756" s="37"/>
      <c r="O756" s="38"/>
      <c r="P756" s="38"/>
      <c r="Q756" s="38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78"/>
      <c r="B757" s="79"/>
      <c r="C757" s="79"/>
      <c r="D757" s="80"/>
      <c r="E757" s="81"/>
      <c r="F757" s="81"/>
      <c r="G757" s="81"/>
      <c r="H757" s="81"/>
      <c r="I757" s="81"/>
      <c r="J757" s="81"/>
      <c r="K757" s="82"/>
      <c r="L757" s="83"/>
      <c r="M757" s="84"/>
      <c r="N757" s="37"/>
      <c r="O757" s="38"/>
      <c r="P757" s="38"/>
      <c r="Q757" s="38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78"/>
      <c r="B758" s="79"/>
      <c r="C758" s="79"/>
      <c r="D758" s="80"/>
      <c r="E758" s="81"/>
      <c r="F758" s="81"/>
      <c r="G758" s="81"/>
      <c r="H758" s="81"/>
      <c r="I758" s="81"/>
      <c r="J758" s="81"/>
      <c r="K758" s="82"/>
      <c r="L758" s="83"/>
      <c r="M758" s="84"/>
      <c r="N758" s="37"/>
      <c r="O758" s="38"/>
      <c r="P758" s="38"/>
      <c r="Q758" s="38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78"/>
      <c r="B759" s="79"/>
      <c r="C759" s="79"/>
      <c r="D759" s="80"/>
      <c r="E759" s="81"/>
      <c r="F759" s="81"/>
      <c r="G759" s="81"/>
      <c r="H759" s="81"/>
      <c r="I759" s="81"/>
      <c r="J759" s="81"/>
      <c r="K759" s="82"/>
      <c r="L759" s="83"/>
      <c r="M759" s="84"/>
      <c r="N759" s="37"/>
      <c r="O759" s="38"/>
      <c r="P759" s="38"/>
      <c r="Q759" s="38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78"/>
      <c r="B760" s="79"/>
      <c r="C760" s="79"/>
      <c r="D760" s="80"/>
      <c r="E760" s="81"/>
      <c r="F760" s="81"/>
      <c r="G760" s="81"/>
      <c r="H760" s="81"/>
      <c r="I760" s="81"/>
      <c r="J760" s="81"/>
      <c r="K760" s="82"/>
      <c r="L760" s="83"/>
      <c r="M760" s="84"/>
      <c r="N760" s="37"/>
      <c r="O760" s="38"/>
      <c r="P760" s="38"/>
      <c r="Q760" s="38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78"/>
      <c r="B761" s="79"/>
      <c r="C761" s="79"/>
      <c r="D761" s="80"/>
      <c r="E761" s="81"/>
      <c r="F761" s="81"/>
      <c r="G761" s="81"/>
      <c r="H761" s="81"/>
      <c r="I761" s="81"/>
      <c r="J761" s="81"/>
      <c r="K761" s="82"/>
      <c r="L761" s="83"/>
      <c r="M761" s="84"/>
      <c r="N761" s="37"/>
      <c r="O761" s="38"/>
      <c r="P761" s="38"/>
      <c r="Q761" s="38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78"/>
      <c r="B762" s="79"/>
      <c r="C762" s="79"/>
      <c r="D762" s="80"/>
      <c r="E762" s="81"/>
      <c r="F762" s="81"/>
      <c r="G762" s="81"/>
      <c r="H762" s="81"/>
      <c r="I762" s="81"/>
      <c r="J762" s="81"/>
      <c r="K762" s="82"/>
      <c r="L762" s="83"/>
      <c r="M762" s="84"/>
      <c r="N762" s="37"/>
      <c r="O762" s="38"/>
      <c r="P762" s="38"/>
      <c r="Q762" s="38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78"/>
      <c r="B763" s="79"/>
      <c r="C763" s="79"/>
      <c r="D763" s="80"/>
      <c r="E763" s="81"/>
      <c r="F763" s="81"/>
      <c r="G763" s="81"/>
      <c r="H763" s="81"/>
      <c r="I763" s="81"/>
      <c r="J763" s="81"/>
      <c r="K763" s="82"/>
      <c r="L763" s="83"/>
      <c r="M763" s="84"/>
      <c r="N763" s="37"/>
      <c r="O763" s="38"/>
      <c r="P763" s="38"/>
      <c r="Q763" s="38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78"/>
      <c r="B764" s="79"/>
      <c r="C764" s="79"/>
      <c r="D764" s="80"/>
      <c r="E764" s="81"/>
      <c r="F764" s="81"/>
      <c r="G764" s="81"/>
      <c r="H764" s="81"/>
      <c r="I764" s="81"/>
      <c r="J764" s="81"/>
      <c r="K764" s="82"/>
      <c r="L764" s="83"/>
      <c r="M764" s="84"/>
      <c r="N764" s="37"/>
      <c r="O764" s="38"/>
      <c r="P764" s="38"/>
      <c r="Q764" s="38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78"/>
      <c r="B765" s="79"/>
      <c r="C765" s="79"/>
      <c r="D765" s="80"/>
      <c r="E765" s="81"/>
      <c r="F765" s="81"/>
      <c r="G765" s="81"/>
      <c r="H765" s="81"/>
      <c r="I765" s="81"/>
      <c r="J765" s="81"/>
      <c r="K765" s="82"/>
      <c r="L765" s="83"/>
      <c r="M765" s="84"/>
      <c r="N765" s="37"/>
      <c r="O765" s="38"/>
      <c r="P765" s="38"/>
      <c r="Q765" s="38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78"/>
      <c r="B766" s="79"/>
      <c r="C766" s="79"/>
      <c r="D766" s="80"/>
      <c r="E766" s="81"/>
      <c r="F766" s="81"/>
      <c r="G766" s="81"/>
      <c r="H766" s="81"/>
      <c r="I766" s="81"/>
      <c r="J766" s="81"/>
      <c r="K766" s="82"/>
      <c r="L766" s="83"/>
      <c r="M766" s="84"/>
      <c r="N766" s="37"/>
      <c r="O766" s="38"/>
      <c r="P766" s="38"/>
      <c r="Q766" s="38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78"/>
      <c r="B767" s="79"/>
      <c r="C767" s="79"/>
      <c r="D767" s="80"/>
      <c r="E767" s="81"/>
      <c r="F767" s="81"/>
      <c r="G767" s="81"/>
      <c r="H767" s="81"/>
      <c r="I767" s="81"/>
      <c r="J767" s="81"/>
      <c r="K767" s="82"/>
      <c r="L767" s="83"/>
      <c r="M767" s="84"/>
      <c r="N767" s="37"/>
      <c r="O767" s="38"/>
      <c r="P767" s="38"/>
      <c r="Q767" s="38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78"/>
      <c r="B768" s="79"/>
      <c r="C768" s="79"/>
      <c r="D768" s="80"/>
      <c r="E768" s="81"/>
      <c r="F768" s="81"/>
      <c r="G768" s="81"/>
      <c r="H768" s="81"/>
      <c r="I768" s="81"/>
      <c r="J768" s="81"/>
      <c r="K768" s="82"/>
      <c r="L768" s="83"/>
      <c r="M768" s="84"/>
      <c r="N768" s="37"/>
      <c r="O768" s="38"/>
      <c r="P768" s="38"/>
      <c r="Q768" s="38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78"/>
      <c r="B769" s="79"/>
      <c r="C769" s="79"/>
      <c r="D769" s="80"/>
      <c r="E769" s="81"/>
      <c r="F769" s="81"/>
      <c r="G769" s="81"/>
      <c r="H769" s="81"/>
      <c r="I769" s="81"/>
      <c r="J769" s="81"/>
      <c r="K769" s="82"/>
      <c r="L769" s="83"/>
      <c r="M769" s="84"/>
      <c r="N769" s="37"/>
      <c r="O769" s="38"/>
      <c r="P769" s="38"/>
      <c r="Q769" s="38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78"/>
      <c r="B770" s="79"/>
      <c r="C770" s="79"/>
      <c r="D770" s="80"/>
      <c r="E770" s="81"/>
      <c r="F770" s="81"/>
      <c r="G770" s="81"/>
      <c r="H770" s="81"/>
      <c r="I770" s="81"/>
      <c r="J770" s="81"/>
      <c r="K770" s="82"/>
      <c r="L770" s="83"/>
      <c r="M770" s="84"/>
      <c r="N770" s="37"/>
      <c r="O770" s="38"/>
      <c r="P770" s="38"/>
      <c r="Q770" s="38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78"/>
      <c r="B771" s="79"/>
      <c r="C771" s="79"/>
      <c r="D771" s="80"/>
      <c r="E771" s="81"/>
      <c r="F771" s="81"/>
      <c r="G771" s="81"/>
      <c r="H771" s="81"/>
      <c r="I771" s="81"/>
      <c r="J771" s="81"/>
      <c r="K771" s="82"/>
      <c r="L771" s="83"/>
      <c r="M771" s="84"/>
      <c r="N771" s="37"/>
      <c r="O771" s="38"/>
      <c r="P771" s="38"/>
      <c r="Q771" s="38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78"/>
      <c r="B772" s="79"/>
      <c r="C772" s="79"/>
      <c r="D772" s="80"/>
      <c r="E772" s="81"/>
      <c r="F772" s="81"/>
      <c r="G772" s="81"/>
      <c r="H772" s="81"/>
      <c r="I772" s="81"/>
      <c r="J772" s="81"/>
      <c r="K772" s="82"/>
      <c r="L772" s="83"/>
      <c r="M772" s="84"/>
      <c r="N772" s="37"/>
      <c r="O772" s="38"/>
      <c r="P772" s="38"/>
      <c r="Q772" s="38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78"/>
      <c r="B773" s="79"/>
      <c r="C773" s="79"/>
      <c r="D773" s="80"/>
      <c r="E773" s="81"/>
      <c r="F773" s="81"/>
      <c r="G773" s="81"/>
      <c r="H773" s="81"/>
      <c r="I773" s="81"/>
      <c r="J773" s="81"/>
      <c r="K773" s="82"/>
      <c r="L773" s="83"/>
      <c r="M773" s="84"/>
      <c r="N773" s="37"/>
      <c r="O773" s="38"/>
      <c r="P773" s="38"/>
      <c r="Q773" s="38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78"/>
      <c r="B774" s="79"/>
      <c r="C774" s="79"/>
      <c r="D774" s="80"/>
      <c r="E774" s="81"/>
      <c r="F774" s="81"/>
      <c r="G774" s="81"/>
      <c r="H774" s="81"/>
      <c r="I774" s="81"/>
      <c r="J774" s="81"/>
      <c r="K774" s="82"/>
      <c r="L774" s="83"/>
      <c r="M774" s="84"/>
      <c r="N774" s="37"/>
      <c r="O774" s="38"/>
      <c r="P774" s="38"/>
      <c r="Q774" s="38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78"/>
      <c r="B775" s="79"/>
      <c r="C775" s="79"/>
      <c r="D775" s="80"/>
      <c r="E775" s="81"/>
      <c r="F775" s="81"/>
      <c r="G775" s="81"/>
      <c r="H775" s="81"/>
      <c r="I775" s="81"/>
      <c r="J775" s="81"/>
      <c r="K775" s="82"/>
      <c r="L775" s="83"/>
      <c r="M775" s="84"/>
      <c r="N775" s="37"/>
      <c r="O775" s="38"/>
      <c r="P775" s="38"/>
      <c r="Q775" s="38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78"/>
      <c r="B776" s="79"/>
      <c r="C776" s="79"/>
      <c r="D776" s="80"/>
      <c r="E776" s="81"/>
      <c r="F776" s="81"/>
      <c r="G776" s="81"/>
      <c r="H776" s="81"/>
      <c r="I776" s="81"/>
      <c r="J776" s="81"/>
      <c r="K776" s="82"/>
      <c r="L776" s="83"/>
      <c r="M776" s="84"/>
      <c r="N776" s="37"/>
      <c r="O776" s="38"/>
      <c r="P776" s="38"/>
      <c r="Q776" s="38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78"/>
      <c r="B777" s="79"/>
      <c r="C777" s="79"/>
      <c r="D777" s="80"/>
      <c r="E777" s="81"/>
      <c r="F777" s="81"/>
      <c r="G777" s="81"/>
      <c r="H777" s="81"/>
      <c r="I777" s="81"/>
      <c r="J777" s="81"/>
      <c r="K777" s="82"/>
      <c r="L777" s="83"/>
      <c r="M777" s="84"/>
      <c r="N777" s="37"/>
      <c r="O777" s="38"/>
      <c r="P777" s="38"/>
      <c r="Q777" s="38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78"/>
      <c r="B778" s="79"/>
      <c r="C778" s="79"/>
      <c r="D778" s="80"/>
      <c r="E778" s="81"/>
      <c r="F778" s="81"/>
      <c r="G778" s="81"/>
      <c r="H778" s="81"/>
      <c r="I778" s="81"/>
      <c r="J778" s="81"/>
      <c r="K778" s="82"/>
      <c r="L778" s="83"/>
      <c r="M778" s="84"/>
      <c r="N778" s="37"/>
      <c r="O778" s="38"/>
      <c r="P778" s="38"/>
      <c r="Q778" s="38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78"/>
      <c r="B779" s="79"/>
      <c r="C779" s="79"/>
      <c r="D779" s="80"/>
      <c r="E779" s="81"/>
      <c r="F779" s="81"/>
      <c r="G779" s="81"/>
      <c r="H779" s="81"/>
      <c r="I779" s="81"/>
      <c r="J779" s="81"/>
      <c r="K779" s="82"/>
      <c r="L779" s="83"/>
      <c r="M779" s="84"/>
      <c r="N779" s="37"/>
      <c r="O779" s="38"/>
      <c r="P779" s="38"/>
      <c r="Q779" s="38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78"/>
      <c r="B780" s="79"/>
      <c r="C780" s="79"/>
      <c r="D780" s="80"/>
      <c r="E780" s="81"/>
      <c r="F780" s="81"/>
      <c r="G780" s="81"/>
      <c r="H780" s="81"/>
      <c r="I780" s="81"/>
      <c r="J780" s="81"/>
      <c r="K780" s="82"/>
      <c r="L780" s="83"/>
      <c r="M780" s="84"/>
      <c r="N780" s="37"/>
      <c r="O780" s="38"/>
      <c r="P780" s="38"/>
      <c r="Q780" s="38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78"/>
      <c r="B781" s="79"/>
      <c r="C781" s="79"/>
      <c r="D781" s="80"/>
      <c r="E781" s="81"/>
      <c r="F781" s="81"/>
      <c r="G781" s="81"/>
      <c r="H781" s="81"/>
      <c r="I781" s="81"/>
      <c r="J781" s="81"/>
      <c r="K781" s="82"/>
      <c r="L781" s="83"/>
      <c r="M781" s="84"/>
      <c r="N781" s="37"/>
      <c r="O781" s="38"/>
      <c r="P781" s="38"/>
      <c r="Q781" s="38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78"/>
      <c r="B782" s="79"/>
      <c r="C782" s="79"/>
      <c r="D782" s="80"/>
      <c r="E782" s="81"/>
      <c r="F782" s="81"/>
      <c r="G782" s="81"/>
      <c r="H782" s="81"/>
      <c r="I782" s="81"/>
      <c r="J782" s="81"/>
      <c r="K782" s="82"/>
      <c r="L782" s="83"/>
      <c r="M782" s="84"/>
      <c r="N782" s="37"/>
      <c r="O782" s="38"/>
      <c r="P782" s="38"/>
      <c r="Q782" s="38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78"/>
      <c r="B783" s="79"/>
      <c r="C783" s="79"/>
      <c r="D783" s="80"/>
      <c r="E783" s="81"/>
      <c r="F783" s="81"/>
      <c r="G783" s="81"/>
      <c r="H783" s="81"/>
      <c r="I783" s="81"/>
      <c r="J783" s="81"/>
      <c r="K783" s="82"/>
      <c r="L783" s="83"/>
      <c r="M783" s="84"/>
      <c r="N783" s="37"/>
      <c r="O783" s="38"/>
      <c r="P783" s="38"/>
      <c r="Q783" s="38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78"/>
      <c r="B784" s="79"/>
      <c r="C784" s="79"/>
      <c r="D784" s="80"/>
      <c r="E784" s="81"/>
      <c r="F784" s="81"/>
      <c r="G784" s="81"/>
      <c r="H784" s="81"/>
      <c r="I784" s="81"/>
      <c r="J784" s="81"/>
      <c r="K784" s="82"/>
      <c r="L784" s="83"/>
      <c r="M784" s="84"/>
      <c r="N784" s="37"/>
      <c r="O784" s="38"/>
      <c r="P784" s="38"/>
      <c r="Q784" s="38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78"/>
      <c r="B785" s="79"/>
      <c r="C785" s="79"/>
      <c r="D785" s="80"/>
      <c r="E785" s="81"/>
      <c r="F785" s="81"/>
      <c r="G785" s="81"/>
      <c r="H785" s="81"/>
      <c r="I785" s="81"/>
      <c r="J785" s="81"/>
      <c r="K785" s="82"/>
      <c r="L785" s="83"/>
      <c r="M785" s="84"/>
      <c r="N785" s="37"/>
      <c r="O785" s="38"/>
      <c r="P785" s="38"/>
      <c r="Q785" s="38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78"/>
      <c r="B786" s="79"/>
      <c r="C786" s="79"/>
      <c r="D786" s="80"/>
      <c r="E786" s="81"/>
      <c r="F786" s="81"/>
      <c r="G786" s="81"/>
      <c r="H786" s="81"/>
      <c r="I786" s="81"/>
      <c r="J786" s="81"/>
      <c r="K786" s="82"/>
      <c r="L786" s="83"/>
      <c r="M786" s="84"/>
      <c r="N786" s="37"/>
      <c r="O786" s="38"/>
      <c r="P786" s="38"/>
      <c r="Q786" s="38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78"/>
      <c r="B787" s="79"/>
      <c r="C787" s="79"/>
      <c r="D787" s="80"/>
      <c r="E787" s="81"/>
      <c r="F787" s="81"/>
      <c r="G787" s="81"/>
      <c r="H787" s="81"/>
      <c r="I787" s="81"/>
      <c r="J787" s="81"/>
      <c r="K787" s="82"/>
      <c r="L787" s="83"/>
      <c r="M787" s="84"/>
      <c r="N787" s="37"/>
      <c r="O787" s="38"/>
      <c r="P787" s="38"/>
      <c r="Q787" s="38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78"/>
      <c r="B788" s="79"/>
      <c r="C788" s="79"/>
      <c r="D788" s="80"/>
      <c r="E788" s="81"/>
      <c r="F788" s="81"/>
      <c r="G788" s="81"/>
      <c r="H788" s="81"/>
      <c r="I788" s="81"/>
      <c r="J788" s="81"/>
      <c r="K788" s="82"/>
      <c r="L788" s="83"/>
      <c r="M788" s="84"/>
      <c r="N788" s="37"/>
      <c r="O788" s="38"/>
      <c r="P788" s="38"/>
      <c r="Q788" s="38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78"/>
      <c r="B789" s="79"/>
      <c r="C789" s="79"/>
      <c r="D789" s="80"/>
      <c r="E789" s="81"/>
      <c r="F789" s="81"/>
      <c r="G789" s="81"/>
      <c r="H789" s="81"/>
      <c r="I789" s="81"/>
      <c r="J789" s="81"/>
      <c r="K789" s="82"/>
      <c r="L789" s="83"/>
      <c r="M789" s="84"/>
      <c r="N789" s="37"/>
      <c r="O789" s="38"/>
      <c r="P789" s="38"/>
      <c r="Q789" s="38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78"/>
      <c r="B790" s="79"/>
      <c r="C790" s="79"/>
      <c r="D790" s="80"/>
      <c r="E790" s="81"/>
      <c r="F790" s="81"/>
      <c r="G790" s="81"/>
      <c r="H790" s="81"/>
      <c r="I790" s="81"/>
      <c r="J790" s="81"/>
      <c r="K790" s="82"/>
      <c r="L790" s="83"/>
      <c r="M790" s="84"/>
      <c r="N790" s="37"/>
      <c r="O790" s="38"/>
      <c r="P790" s="38"/>
      <c r="Q790" s="38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78"/>
      <c r="B791" s="79"/>
      <c r="C791" s="79"/>
      <c r="D791" s="80"/>
      <c r="E791" s="81"/>
      <c r="F791" s="81"/>
      <c r="G791" s="81"/>
      <c r="H791" s="81"/>
      <c r="I791" s="81"/>
      <c r="J791" s="81"/>
      <c r="K791" s="82"/>
      <c r="L791" s="83"/>
      <c r="M791" s="84"/>
      <c r="N791" s="37"/>
      <c r="O791" s="38"/>
      <c r="P791" s="38"/>
      <c r="Q791" s="38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78"/>
      <c r="B792" s="79"/>
      <c r="C792" s="79"/>
      <c r="D792" s="80"/>
      <c r="E792" s="81"/>
      <c r="F792" s="81"/>
      <c r="G792" s="81"/>
      <c r="H792" s="81"/>
      <c r="I792" s="81"/>
      <c r="J792" s="81"/>
      <c r="K792" s="82"/>
      <c r="L792" s="83"/>
      <c r="M792" s="84"/>
      <c r="N792" s="37"/>
      <c r="O792" s="38"/>
      <c r="P792" s="38"/>
      <c r="Q792" s="38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78"/>
      <c r="B793" s="79"/>
      <c r="C793" s="79"/>
      <c r="D793" s="80"/>
      <c r="E793" s="81"/>
      <c r="F793" s="81"/>
      <c r="G793" s="81"/>
      <c r="H793" s="81"/>
      <c r="I793" s="81"/>
      <c r="J793" s="81"/>
      <c r="K793" s="82"/>
      <c r="L793" s="83"/>
      <c r="M793" s="84"/>
      <c r="N793" s="37"/>
      <c r="O793" s="38"/>
      <c r="P793" s="38"/>
      <c r="Q793" s="38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78"/>
      <c r="B794" s="79"/>
      <c r="C794" s="79"/>
      <c r="D794" s="80"/>
      <c r="E794" s="81"/>
      <c r="F794" s="81"/>
      <c r="G794" s="81"/>
      <c r="H794" s="81"/>
      <c r="I794" s="81"/>
      <c r="J794" s="81"/>
      <c r="K794" s="82"/>
      <c r="L794" s="83"/>
      <c r="M794" s="84"/>
      <c r="N794" s="37"/>
      <c r="O794" s="38"/>
      <c r="P794" s="38"/>
      <c r="Q794" s="38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78"/>
      <c r="B795" s="79"/>
      <c r="C795" s="79"/>
      <c r="D795" s="80"/>
      <c r="E795" s="81"/>
      <c r="F795" s="81"/>
      <c r="G795" s="81"/>
      <c r="H795" s="81"/>
      <c r="I795" s="81"/>
      <c r="J795" s="81"/>
      <c r="K795" s="82"/>
      <c r="L795" s="83"/>
      <c r="M795" s="84"/>
      <c r="N795" s="37"/>
      <c r="O795" s="38"/>
      <c r="P795" s="38"/>
      <c r="Q795" s="38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78"/>
      <c r="B796" s="79"/>
      <c r="C796" s="79"/>
      <c r="D796" s="80"/>
      <c r="E796" s="81"/>
      <c r="F796" s="81"/>
      <c r="G796" s="81"/>
      <c r="H796" s="81"/>
      <c r="I796" s="81"/>
      <c r="J796" s="81"/>
      <c r="K796" s="82"/>
      <c r="L796" s="83"/>
      <c r="M796" s="84"/>
      <c r="N796" s="37"/>
      <c r="O796" s="38"/>
      <c r="P796" s="38"/>
      <c r="Q796" s="38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78"/>
      <c r="B797" s="79"/>
      <c r="C797" s="79"/>
      <c r="D797" s="80"/>
      <c r="E797" s="81"/>
      <c r="F797" s="81"/>
      <c r="G797" s="81"/>
      <c r="H797" s="81"/>
      <c r="I797" s="81"/>
      <c r="J797" s="81"/>
      <c r="K797" s="82"/>
      <c r="L797" s="83"/>
      <c r="M797" s="84"/>
      <c r="N797" s="37"/>
      <c r="O797" s="38"/>
      <c r="P797" s="38"/>
      <c r="Q797" s="38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78"/>
      <c r="B798" s="79"/>
      <c r="C798" s="79"/>
      <c r="D798" s="80"/>
      <c r="E798" s="81"/>
      <c r="F798" s="81"/>
      <c r="G798" s="81"/>
      <c r="H798" s="81"/>
      <c r="I798" s="81"/>
      <c r="J798" s="81"/>
      <c r="K798" s="82"/>
      <c r="L798" s="83"/>
      <c r="M798" s="84"/>
      <c r="N798" s="37"/>
      <c r="O798" s="38"/>
      <c r="P798" s="38"/>
      <c r="Q798" s="38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78"/>
      <c r="B799" s="79"/>
      <c r="C799" s="79"/>
      <c r="D799" s="80"/>
      <c r="E799" s="81"/>
      <c r="F799" s="81"/>
      <c r="G799" s="81"/>
      <c r="H799" s="81"/>
      <c r="I799" s="81"/>
      <c r="J799" s="81"/>
      <c r="K799" s="82"/>
      <c r="L799" s="83"/>
      <c r="M799" s="84"/>
      <c r="N799" s="37"/>
      <c r="O799" s="38"/>
      <c r="P799" s="38"/>
      <c r="Q799" s="38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78"/>
      <c r="B800" s="79"/>
      <c r="C800" s="79"/>
      <c r="D800" s="80"/>
      <c r="E800" s="81"/>
      <c r="F800" s="81"/>
      <c r="G800" s="81"/>
      <c r="H800" s="81"/>
      <c r="I800" s="81"/>
      <c r="J800" s="81"/>
      <c r="K800" s="82"/>
      <c r="L800" s="83"/>
      <c r="M800" s="84"/>
      <c r="N800" s="37"/>
      <c r="O800" s="38"/>
      <c r="P800" s="38"/>
      <c r="Q800" s="38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78"/>
      <c r="B801" s="79"/>
      <c r="C801" s="79"/>
      <c r="D801" s="80"/>
      <c r="E801" s="81"/>
      <c r="F801" s="81"/>
      <c r="G801" s="81"/>
      <c r="H801" s="81"/>
      <c r="I801" s="81"/>
      <c r="J801" s="81"/>
      <c r="K801" s="82"/>
      <c r="L801" s="83"/>
      <c r="M801" s="84"/>
      <c r="N801" s="37"/>
      <c r="O801" s="38"/>
      <c r="P801" s="38"/>
      <c r="Q801" s="38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78"/>
      <c r="B802" s="79"/>
      <c r="C802" s="79"/>
      <c r="D802" s="80"/>
      <c r="E802" s="81"/>
      <c r="F802" s="81"/>
      <c r="G802" s="81"/>
      <c r="H802" s="81"/>
      <c r="I802" s="81"/>
      <c r="J802" s="81"/>
      <c r="K802" s="82"/>
      <c r="L802" s="83"/>
      <c r="M802" s="84"/>
      <c r="N802" s="37"/>
      <c r="O802" s="38"/>
      <c r="P802" s="38"/>
      <c r="Q802" s="38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78"/>
      <c r="B803" s="79"/>
      <c r="C803" s="79"/>
      <c r="D803" s="80"/>
      <c r="E803" s="81"/>
      <c r="F803" s="81"/>
      <c r="G803" s="81"/>
      <c r="H803" s="81"/>
      <c r="I803" s="81"/>
      <c r="J803" s="81"/>
      <c r="K803" s="82"/>
      <c r="L803" s="83"/>
      <c r="M803" s="84"/>
      <c r="N803" s="37"/>
      <c r="O803" s="38"/>
      <c r="P803" s="38"/>
      <c r="Q803" s="38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78"/>
      <c r="B804" s="79"/>
      <c r="C804" s="79"/>
      <c r="D804" s="80"/>
      <c r="E804" s="81"/>
      <c r="F804" s="81"/>
      <c r="G804" s="81"/>
      <c r="H804" s="81"/>
      <c r="I804" s="81"/>
      <c r="J804" s="81"/>
      <c r="K804" s="82"/>
      <c r="L804" s="83"/>
      <c r="M804" s="84"/>
      <c r="N804" s="37"/>
      <c r="O804" s="38"/>
      <c r="P804" s="38"/>
      <c r="Q804" s="38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78"/>
      <c r="B805" s="79"/>
      <c r="C805" s="79"/>
      <c r="D805" s="80"/>
      <c r="E805" s="81"/>
      <c r="F805" s="81"/>
      <c r="G805" s="81"/>
      <c r="H805" s="81"/>
      <c r="I805" s="81"/>
      <c r="J805" s="81"/>
      <c r="K805" s="82"/>
      <c r="L805" s="83"/>
      <c r="M805" s="84"/>
      <c r="N805" s="37"/>
      <c r="O805" s="38"/>
      <c r="P805" s="38"/>
      <c r="Q805" s="38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78"/>
      <c r="B806" s="79"/>
      <c r="C806" s="79"/>
      <c r="D806" s="80"/>
      <c r="E806" s="81"/>
      <c r="F806" s="81"/>
      <c r="G806" s="81"/>
      <c r="H806" s="81"/>
      <c r="I806" s="81"/>
      <c r="J806" s="81"/>
      <c r="K806" s="82"/>
      <c r="L806" s="83"/>
      <c r="M806" s="84"/>
      <c r="N806" s="37"/>
      <c r="O806" s="38"/>
      <c r="P806" s="38"/>
      <c r="Q806" s="38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78"/>
      <c r="B807" s="79"/>
      <c r="C807" s="79"/>
      <c r="D807" s="80"/>
      <c r="E807" s="81"/>
      <c r="F807" s="81"/>
      <c r="G807" s="81"/>
      <c r="H807" s="81"/>
      <c r="I807" s="81"/>
      <c r="J807" s="81"/>
      <c r="K807" s="82"/>
      <c r="L807" s="83"/>
      <c r="M807" s="84"/>
      <c r="N807" s="37"/>
      <c r="O807" s="38"/>
      <c r="P807" s="38"/>
      <c r="Q807" s="38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78"/>
      <c r="B808" s="79"/>
      <c r="C808" s="79"/>
      <c r="D808" s="80"/>
      <c r="E808" s="81"/>
      <c r="F808" s="81"/>
      <c r="G808" s="81"/>
      <c r="H808" s="81"/>
      <c r="I808" s="81"/>
      <c r="J808" s="81"/>
      <c r="K808" s="82"/>
      <c r="L808" s="83"/>
      <c r="M808" s="84"/>
      <c r="N808" s="37"/>
      <c r="O808" s="38"/>
      <c r="P808" s="38"/>
      <c r="Q808" s="38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78"/>
      <c r="B809" s="79"/>
      <c r="C809" s="79"/>
      <c r="D809" s="80"/>
      <c r="E809" s="81"/>
      <c r="F809" s="81"/>
      <c r="G809" s="81"/>
      <c r="H809" s="81"/>
      <c r="I809" s="81"/>
      <c r="J809" s="81"/>
      <c r="K809" s="82"/>
      <c r="L809" s="83"/>
      <c r="M809" s="84"/>
      <c r="N809" s="37"/>
      <c r="O809" s="38"/>
      <c r="P809" s="38"/>
      <c r="Q809" s="38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78"/>
      <c r="B810" s="79"/>
      <c r="C810" s="79"/>
      <c r="D810" s="80"/>
      <c r="E810" s="81"/>
      <c r="F810" s="81"/>
      <c r="G810" s="81"/>
      <c r="H810" s="81"/>
      <c r="I810" s="81"/>
      <c r="J810" s="81"/>
      <c r="K810" s="82"/>
      <c r="L810" s="83"/>
      <c r="M810" s="84"/>
      <c r="N810" s="37"/>
      <c r="O810" s="38"/>
      <c r="P810" s="38"/>
      <c r="Q810" s="38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78"/>
      <c r="B811" s="79"/>
      <c r="C811" s="79"/>
      <c r="D811" s="80"/>
      <c r="E811" s="81"/>
      <c r="F811" s="81"/>
      <c r="G811" s="81"/>
      <c r="H811" s="81"/>
      <c r="I811" s="81"/>
      <c r="J811" s="81"/>
      <c r="K811" s="82"/>
      <c r="L811" s="83"/>
      <c r="M811" s="84"/>
      <c r="N811" s="37"/>
      <c r="O811" s="38"/>
      <c r="P811" s="38"/>
      <c r="Q811" s="38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78"/>
      <c r="B812" s="79"/>
      <c r="C812" s="79"/>
      <c r="D812" s="80"/>
      <c r="E812" s="81"/>
      <c r="F812" s="81"/>
      <c r="G812" s="81"/>
      <c r="H812" s="81"/>
      <c r="I812" s="81"/>
      <c r="J812" s="81"/>
      <c r="K812" s="82"/>
      <c r="L812" s="83"/>
      <c r="M812" s="84"/>
      <c r="N812" s="37"/>
      <c r="O812" s="38"/>
      <c r="P812" s="38"/>
      <c r="Q812" s="38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78"/>
      <c r="B813" s="79"/>
      <c r="C813" s="79"/>
      <c r="D813" s="80"/>
      <c r="E813" s="81"/>
      <c r="F813" s="81"/>
      <c r="G813" s="81"/>
      <c r="H813" s="81"/>
      <c r="I813" s="81"/>
      <c r="J813" s="81"/>
      <c r="K813" s="82"/>
      <c r="L813" s="83"/>
      <c r="M813" s="84"/>
      <c r="N813" s="37"/>
      <c r="O813" s="38"/>
      <c r="P813" s="38"/>
      <c r="Q813" s="38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78"/>
      <c r="B814" s="79"/>
      <c r="C814" s="79"/>
      <c r="D814" s="80"/>
      <c r="E814" s="81"/>
      <c r="F814" s="81"/>
      <c r="G814" s="81"/>
      <c r="H814" s="81"/>
      <c r="I814" s="81"/>
      <c r="J814" s="81"/>
      <c r="K814" s="82"/>
      <c r="L814" s="83"/>
      <c r="M814" s="84"/>
      <c r="N814" s="37"/>
      <c r="O814" s="38"/>
      <c r="P814" s="38"/>
      <c r="Q814" s="38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78"/>
      <c r="B815" s="79"/>
      <c r="C815" s="79"/>
      <c r="D815" s="80"/>
      <c r="E815" s="81"/>
      <c r="F815" s="81"/>
      <c r="G815" s="81"/>
      <c r="H815" s="81"/>
      <c r="I815" s="81"/>
      <c r="J815" s="81"/>
      <c r="K815" s="82"/>
      <c r="L815" s="83"/>
      <c r="M815" s="84"/>
      <c r="N815" s="37"/>
      <c r="O815" s="38"/>
      <c r="P815" s="38"/>
      <c r="Q815" s="38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78"/>
      <c r="B816" s="79"/>
      <c r="C816" s="79"/>
      <c r="D816" s="80"/>
      <c r="E816" s="81"/>
      <c r="F816" s="81"/>
      <c r="G816" s="81"/>
      <c r="H816" s="81"/>
      <c r="I816" s="81"/>
      <c r="J816" s="81"/>
      <c r="K816" s="82"/>
      <c r="L816" s="83"/>
      <c r="M816" s="84"/>
      <c r="N816" s="37"/>
      <c r="O816" s="38"/>
      <c r="P816" s="38"/>
      <c r="Q816" s="38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78"/>
      <c r="B817" s="79"/>
      <c r="C817" s="79"/>
      <c r="D817" s="80"/>
      <c r="E817" s="81"/>
      <c r="F817" s="81"/>
      <c r="G817" s="81"/>
      <c r="H817" s="81"/>
      <c r="I817" s="81"/>
      <c r="J817" s="81"/>
      <c r="K817" s="82"/>
      <c r="L817" s="83"/>
      <c r="M817" s="84"/>
      <c r="N817" s="37"/>
      <c r="O817" s="38"/>
      <c r="P817" s="38"/>
      <c r="Q817" s="38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78"/>
      <c r="B818" s="79"/>
      <c r="C818" s="79"/>
      <c r="D818" s="80"/>
      <c r="E818" s="81"/>
      <c r="F818" s="81"/>
      <c r="G818" s="81"/>
      <c r="H818" s="81"/>
      <c r="I818" s="81"/>
      <c r="J818" s="81"/>
      <c r="K818" s="82"/>
      <c r="L818" s="83"/>
      <c r="M818" s="84"/>
      <c r="N818" s="37"/>
      <c r="O818" s="38"/>
      <c r="P818" s="38"/>
      <c r="Q818" s="38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78"/>
      <c r="B819" s="79"/>
      <c r="C819" s="79"/>
      <c r="D819" s="80"/>
      <c r="E819" s="81"/>
      <c r="F819" s="81"/>
      <c r="G819" s="81"/>
      <c r="H819" s="81"/>
      <c r="I819" s="81"/>
      <c r="J819" s="81"/>
      <c r="K819" s="82"/>
      <c r="L819" s="83"/>
      <c r="M819" s="84"/>
      <c r="N819" s="37"/>
      <c r="O819" s="38"/>
      <c r="P819" s="38"/>
      <c r="Q819" s="38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78"/>
      <c r="B820" s="79"/>
      <c r="C820" s="79"/>
      <c r="D820" s="80"/>
      <c r="E820" s="81"/>
      <c r="F820" s="81"/>
      <c r="G820" s="81"/>
      <c r="H820" s="81"/>
      <c r="I820" s="81"/>
      <c r="J820" s="81"/>
      <c r="K820" s="82"/>
      <c r="L820" s="83"/>
      <c r="M820" s="84"/>
      <c r="N820" s="37"/>
      <c r="O820" s="38"/>
      <c r="P820" s="38"/>
      <c r="Q820" s="38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78"/>
      <c r="B821" s="79"/>
      <c r="C821" s="79"/>
      <c r="D821" s="80"/>
      <c r="E821" s="81"/>
      <c r="F821" s="81"/>
      <c r="G821" s="81"/>
      <c r="H821" s="81"/>
      <c r="I821" s="81"/>
      <c r="J821" s="81"/>
      <c r="K821" s="82"/>
      <c r="L821" s="83"/>
      <c r="M821" s="84"/>
      <c r="N821" s="37"/>
      <c r="O821" s="38"/>
      <c r="P821" s="38"/>
      <c r="Q821" s="38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78"/>
      <c r="B822" s="79"/>
      <c r="C822" s="79"/>
      <c r="D822" s="80"/>
      <c r="E822" s="81"/>
      <c r="F822" s="81"/>
      <c r="G822" s="81"/>
      <c r="H822" s="81"/>
      <c r="I822" s="81"/>
      <c r="J822" s="81"/>
      <c r="K822" s="82"/>
      <c r="L822" s="83"/>
      <c r="M822" s="84"/>
      <c r="N822" s="37"/>
      <c r="O822" s="38"/>
      <c r="P822" s="38"/>
      <c r="Q822" s="38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78"/>
      <c r="B823" s="79"/>
      <c r="C823" s="79"/>
      <c r="D823" s="80"/>
      <c r="E823" s="81"/>
      <c r="F823" s="81"/>
      <c r="G823" s="81"/>
      <c r="H823" s="81"/>
      <c r="I823" s="81"/>
      <c r="J823" s="81"/>
      <c r="K823" s="82"/>
      <c r="L823" s="83"/>
      <c r="M823" s="84"/>
      <c r="N823" s="37"/>
      <c r="O823" s="38"/>
      <c r="P823" s="38"/>
      <c r="Q823" s="38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78"/>
      <c r="B824" s="79"/>
      <c r="C824" s="79"/>
      <c r="D824" s="80"/>
      <c r="E824" s="81"/>
      <c r="F824" s="81"/>
      <c r="G824" s="81"/>
      <c r="H824" s="81"/>
      <c r="I824" s="81"/>
      <c r="J824" s="81"/>
      <c r="K824" s="82"/>
      <c r="L824" s="83"/>
      <c r="M824" s="84"/>
      <c r="N824" s="37"/>
      <c r="O824" s="38"/>
      <c r="P824" s="38"/>
      <c r="Q824" s="38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78"/>
      <c r="B825" s="79"/>
      <c r="C825" s="79"/>
      <c r="D825" s="80"/>
      <c r="E825" s="81"/>
      <c r="F825" s="81"/>
      <c r="G825" s="81"/>
      <c r="H825" s="81"/>
      <c r="I825" s="81"/>
      <c r="J825" s="81"/>
      <c r="K825" s="82"/>
      <c r="L825" s="83"/>
      <c r="M825" s="84"/>
      <c r="N825" s="37"/>
      <c r="O825" s="38"/>
      <c r="P825" s="38"/>
      <c r="Q825" s="38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78"/>
      <c r="B826" s="79"/>
      <c r="C826" s="79"/>
      <c r="D826" s="80"/>
      <c r="E826" s="81"/>
      <c r="F826" s="81"/>
      <c r="G826" s="81"/>
      <c r="H826" s="81"/>
      <c r="I826" s="81"/>
      <c r="J826" s="81"/>
      <c r="K826" s="82"/>
      <c r="L826" s="83"/>
      <c r="M826" s="84"/>
      <c r="N826" s="37"/>
      <c r="O826" s="38"/>
      <c r="P826" s="38"/>
      <c r="Q826" s="38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78"/>
      <c r="B827" s="79"/>
      <c r="C827" s="79"/>
      <c r="D827" s="80"/>
      <c r="E827" s="81"/>
      <c r="F827" s="81"/>
      <c r="G827" s="81"/>
      <c r="H827" s="81"/>
      <c r="I827" s="81"/>
      <c r="J827" s="81"/>
      <c r="K827" s="82"/>
      <c r="L827" s="83"/>
      <c r="M827" s="84"/>
      <c r="N827" s="37"/>
      <c r="O827" s="38"/>
      <c r="P827" s="38"/>
      <c r="Q827" s="38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78"/>
      <c r="B828" s="79"/>
      <c r="C828" s="79"/>
      <c r="D828" s="80"/>
      <c r="E828" s="81"/>
      <c r="F828" s="81"/>
      <c r="G828" s="81"/>
      <c r="H828" s="81"/>
      <c r="I828" s="81"/>
      <c r="J828" s="81"/>
      <c r="K828" s="82"/>
      <c r="L828" s="83"/>
      <c r="M828" s="84"/>
      <c r="N828" s="37"/>
      <c r="O828" s="38"/>
      <c r="P828" s="38"/>
      <c r="Q828" s="38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78"/>
      <c r="B829" s="79"/>
      <c r="C829" s="79"/>
      <c r="D829" s="80"/>
      <c r="E829" s="81"/>
      <c r="F829" s="81"/>
      <c r="G829" s="81"/>
      <c r="H829" s="81"/>
      <c r="I829" s="81"/>
      <c r="J829" s="81"/>
      <c r="K829" s="82"/>
      <c r="L829" s="83"/>
      <c r="M829" s="84"/>
      <c r="N829" s="37"/>
      <c r="O829" s="38"/>
      <c r="P829" s="38"/>
      <c r="Q829" s="38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78"/>
      <c r="B830" s="79"/>
      <c r="C830" s="79"/>
      <c r="D830" s="80"/>
      <c r="E830" s="81"/>
      <c r="F830" s="81"/>
      <c r="G830" s="81"/>
      <c r="H830" s="81"/>
      <c r="I830" s="81"/>
      <c r="J830" s="81"/>
      <c r="K830" s="82"/>
      <c r="L830" s="83"/>
      <c r="M830" s="84"/>
      <c r="N830" s="37"/>
      <c r="O830" s="38"/>
      <c r="P830" s="38"/>
      <c r="Q830" s="38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78"/>
      <c r="B831" s="79"/>
      <c r="C831" s="79"/>
      <c r="D831" s="80"/>
      <c r="E831" s="81"/>
      <c r="F831" s="81"/>
      <c r="G831" s="81"/>
      <c r="H831" s="81"/>
      <c r="I831" s="81"/>
      <c r="J831" s="81"/>
      <c r="K831" s="82"/>
      <c r="L831" s="83"/>
      <c r="M831" s="84"/>
      <c r="N831" s="37"/>
      <c r="O831" s="38"/>
      <c r="P831" s="38"/>
      <c r="Q831" s="38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78"/>
      <c r="B832" s="79"/>
      <c r="C832" s="79"/>
      <c r="D832" s="80"/>
      <c r="E832" s="81"/>
      <c r="F832" s="81"/>
      <c r="G832" s="81"/>
      <c r="H832" s="81"/>
      <c r="I832" s="81"/>
      <c r="J832" s="81"/>
      <c r="K832" s="82"/>
      <c r="L832" s="83"/>
      <c r="M832" s="84"/>
      <c r="N832" s="37"/>
      <c r="O832" s="38"/>
      <c r="P832" s="38"/>
      <c r="Q832" s="38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78"/>
      <c r="B833" s="79"/>
      <c r="C833" s="79"/>
      <c r="D833" s="80"/>
      <c r="E833" s="81"/>
      <c r="F833" s="81"/>
      <c r="G833" s="81"/>
      <c r="H833" s="81"/>
      <c r="I833" s="81"/>
      <c r="J833" s="81"/>
      <c r="K833" s="82"/>
      <c r="L833" s="83"/>
      <c r="M833" s="84"/>
      <c r="N833" s="37"/>
      <c r="O833" s="38"/>
      <c r="P833" s="38"/>
      <c r="Q833" s="38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78"/>
      <c r="B834" s="79"/>
      <c r="C834" s="79"/>
      <c r="D834" s="80"/>
      <c r="E834" s="81"/>
      <c r="F834" s="81"/>
      <c r="G834" s="81"/>
      <c r="H834" s="81"/>
      <c r="I834" s="81"/>
      <c r="J834" s="81"/>
      <c r="K834" s="82"/>
      <c r="L834" s="83"/>
      <c r="M834" s="84"/>
      <c r="N834" s="37"/>
      <c r="O834" s="38"/>
      <c r="P834" s="38"/>
      <c r="Q834" s="38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78"/>
      <c r="B835" s="79"/>
      <c r="C835" s="79"/>
      <c r="D835" s="80"/>
      <c r="E835" s="81"/>
      <c r="F835" s="81"/>
      <c r="G835" s="81"/>
      <c r="H835" s="81"/>
      <c r="I835" s="81"/>
      <c r="J835" s="81"/>
      <c r="K835" s="82"/>
      <c r="L835" s="83"/>
      <c r="M835" s="84"/>
      <c r="N835" s="37"/>
      <c r="O835" s="38"/>
      <c r="P835" s="38"/>
      <c r="Q835" s="38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78"/>
      <c r="B836" s="79"/>
      <c r="C836" s="79"/>
      <c r="D836" s="80"/>
      <c r="E836" s="81"/>
      <c r="F836" s="81"/>
      <c r="G836" s="81"/>
      <c r="H836" s="81"/>
      <c r="I836" s="81"/>
      <c r="J836" s="81"/>
      <c r="K836" s="82"/>
      <c r="L836" s="83"/>
      <c r="M836" s="84"/>
      <c r="N836" s="37"/>
      <c r="O836" s="38"/>
      <c r="P836" s="38"/>
      <c r="Q836" s="38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78"/>
      <c r="B837" s="79"/>
      <c r="C837" s="79"/>
      <c r="D837" s="80"/>
      <c r="E837" s="81"/>
      <c r="F837" s="81"/>
      <c r="G837" s="81"/>
      <c r="H837" s="81"/>
      <c r="I837" s="81"/>
      <c r="J837" s="81"/>
      <c r="K837" s="82"/>
      <c r="L837" s="83"/>
      <c r="M837" s="84"/>
      <c r="N837" s="37"/>
      <c r="O837" s="38"/>
      <c r="P837" s="38"/>
      <c r="Q837" s="38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78"/>
      <c r="B838" s="79"/>
      <c r="C838" s="79"/>
      <c r="D838" s="80"/>
      <c r="E838" s="81"/>
      <c r="F838" s="81"/>
      <c r="G838" s="81"/>
      <c r="H838" s="81"/>
      <c r="I838" s="81"/>
      <c r="J838" s="81"/>
      <c r="K838" s="82"/>
      <c r="L838" s="83"/>
      <c r="M838" s="84"/>
      <c r="N838" s="37"/>
      <c r="O838" s="38"/>
      <c r="P838" s="38"/>
      <c r="Q838" s="38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78"/>
      <c r="B839" s="79"/>
      <c r="C839" s="79"/>
      <c r="D839" s="80"/>
      <c r="E839" s="81"/>
      <c r="F839" s="81"/>
      <c r="G839" s="81"/>
      <c r="H839" s="81"/>
      <c r="I839" s="81"/>
      <c r="J839" s="81"/>
      <c r="K839" s="82"/>
      <c r="L839" s="83"/>
      <c r="M839" s="84"/>
      <c r="N839" s="37"/>
      <c r="O839" s="38"/>
      <c r="P839" s="38"/>
      <c r="Q839" s="38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78"/>
      <c r="B840" s="79"/>
      <c r="C840" s="79"/>
      <c r="D840" s="80"/>
      <c r="E840" s="81"/>
      <c r="F840" s="81"/>
      <c r="G840" s="81"/>
      <c r="H840" s="81"/>
      <c r="I840" s="81"/>
      <c r="J840" s="81"/>
      <c r="K840" s="82"/>
      <c r="L840" s="83"/>
      <c r="M840" s="84"/>
      <c r="N840" s="37"/>
      <c r="O840" s="38"/>
      <c r="P840" s="38"/>
      <c r="Q840" s="38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78"/>
      <c r="B841" s="79"/>
      <c r="C841" s="79"/>
      <c r="D841" s="80"/>
      <c r="E841" s="81"/>
      <c r="F841" s="81"/>
      <c r="G841" s="81"/>
      <c r="H841" s="81"/>
      <c r="I841" s="81"/>
      <c r="J841" s="81"/>
      <c r="K841" s="82"/>
      <c r="L841" s="83"/>
      <c r="M841" s="84"/>
      <c r="N841" s="37"/>
      <c r="O841" s="38"/>
      <c r="P841" s="38"/>
      <c r="Q841" s="38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78"/>
      <c r="B842" s="79"/>
      <c r="C842" s="79"/>
      <c r="D842" s="80"/>
      <c r="E842" s="81"/>
      <c r="F842" s="81"/>
      <c r="G842" s="81"/>
      <c r="H842" s="81"/>
      <c r="I842" s="81"/>
      <c r="J842" s="81"/>
      <c r="K842" s="82"/>
      <c r="L842" s="83"/>
      <c r="M842" s="84"/>
      <c r="N842" s="37"/>
      <c r="O842" s="38"/>
      <c r="P842" s="38"/>
      <c r="Q842" s="38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78"/>
      <c r="B843" s="79"/>
      <c r="C843" s="79"/>
      <c r="D843" s="80"/>
      <c r="E843" s="81"/>
      <c r="F843" s="81"/>
      <c r="G843" s="81"/>
      <c r="H843" s="81"/>
      <c r="I843" s="81"/>
      <c r="J843" s="81"/>
      <c r="K843" s="82"/>
      <c r="L843" s="83"/>
      <c r="M843" s="84"/>
      <c r="N843" s="37"/>
      <c r="O843" s="38"/>
      <c r="P843" s="38"/>
      <c r="Q843" s="38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78"/>
      <c r="B844" s="79"/>
      <c r="C844" s="79"/>
      <c r="D844" s="80"/>
      <c r="E844" s="81"/>
      <c r="F844" s="81"/>
      <c r="G844" s="81"/>
      <c r="H844" s="81"/>
      <c r="I844" s="81"/>
      <c r="J844" s="81"/>
      <c r="K844" s="82"/>
      <c r="L844" s="83"/>
      <c r="M844" s="84"/>
      <c r="N844" s="37"/>
      <c r="O844" s="38"/>
      <c r="P844" s="38"/>
      <c r="Q844" s="38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78"/>
      <c r="B845" s="79"/>
      <c r="C845" s="79"/>
      <c r="D845" s="80"/>
      <c r="E845" s="81"/>
      <c r="F845" s="81"/>
      <c r="G845" s="81"/>
      <c r="H845" s="81"/>
      <c r="I845" s="81"/>
      <c r="J845" s="81"/>
      <c r="K845" s="82"/>
      <c r="L845" s="83"/>
      <c r="M845" s="84"/>
      <c r="N845" s="37"/>
      <c r="O845" s="38"/>
      <c r="P845" s="38"/>
      <c r="Q845" s="38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78"/>
      <c r="B846" s="79"/>
      <c r="C846" s="79"/>
      <c r="D846" s="80"/>
      <c r="E846" s="81"/>
      <c r="F846" s="81"/>
      <c r="G846" s="81"/>
      <c r="H846" s="81"/>
      <c r="I846" s="81"/>
      <c r="J846" s="81"/>
      <c r="K846" s="82"/>
      <c r="L846" s="83"/>
      <c r="M846" s="84"/>
      <c r="N846" s="37"/>
      <c r="O846" s="38"/>
      <c r="P846" s="38"/>
      <c r="Q846" s="38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78"/>
      <c r="B847" s="79"/>
      <c r="C847" s="79"/>
      <c r="D847" s="80"/>
      <c r="E847" s="81"/>
      <c r="F847" s="81"/>
      <c r="G847" s="81"/>
      <c r="H847" s="81"/>
      <c r="I847" s="81"/>
      <c r="J847" s="81"/>
      <c r="K847" s="82"/>
      <c r="L847" s="83"/>
      <c r="M847" s="84"/>
      <c r="N847" s="37"/>
      <c r="O847" s="38"/>
      <c r="P847" s="38"/>
      <c r="Q847" s="38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78"/>
      <c r="B848" s="79"/>
      <c r="C848" s="79"/>
      <c r="D848" s="80"/>
      <c r="E848" s="81"/>
      <c r="F848" s="81"/>
      <c r="G848" s="81"/>
      <c r="H848" s="81"/>
      <c r="I848" s="81"/>
      <c r="J848" s="81"/>
      <c r="K848" s="82"/>
      <c r="L848" s="83"/>
      <c r="M848" s="84"/>
      <c r="N848" s="37"/>
      <c r="O848" s="38"/>
      <c r="P848" s="38"/>
      <c r="Q848" s="38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78"/>
      <c r="B849" s="79"/>
      <c r="C849" s="79"/>
      <c r="D849" s="80"/>
      <c r="E849" s="81"/>
      <c r="F849" s="81"/>
      <c r="G849" s="81"/>
      <c r="H849" s="81"/>
      <c r="I849" s="81"/>
      <c r="J849" s="81"/>
      <c r="K849" s="82"/>
      <c r="L849" s="83"/>
      <c r="M849" s="84"/>
      <c r="N849" s="37"/>
      <c r="O849" s="38"/>
      <c r="P849" s="38"/>
      <c r="Q849" s="38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78"/>
      <c r="B850" s="79"/>
      <c r="C850" s="79"/>
      <c r="D850" s="80"/>
      <c r="E850" s="81"/>
      <c r="F850" s="81"/>
      <c r="G850" s="81"/>
      <c r="H850" s="81"/>
      <c r="I850" s="81"/>
      <c r="J850" s="81"/>
      <c r="K850" s="82"/>
      <c r="L850" s="83"/>
      <c r="M850" s="84"/>
      <c r="N850" s="37"/>
      <c r="O850" s="38"/>
      <c r="P850" s="38"/>
      <c r="Q850" s="38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78"/>
      <c r="B851" s="79"/>
      <c r="C851" s="79"/>
      <c r="D851" s="80"/>
      <c r="E851" s="81"/>
      <c r="F851" s="81"/>
      <c r="G851" s="81"/>
      <c r="H851" s="81"/>
      <c r="I851" s="81"/>
      <c r="J851" s="81"/>
      <c r="K851" s="82"/>
      <c r="L851" s="83"/>
      <c r="M851" s="84"/>
      <c r="N851" s="37"/>
      <c r="O851" s="38"/>
      <c r="P851" s="38"/>
      <c r="Q851" s="38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78"/>
      <c r="B852" s="79"/>
      <c r="C852" s="79"/>
      <c r="D852" s="80"/>
      <c r="E852" s="81"/>
      <c r="F852" s="81"/>
      <c r="G852" s="81"/>
      <c r="H852" s="81"/>
      <c r="I852" s="81"/>
      <c r="J852" s="81"/>
      <c r="K852" s="82"/>
      <c r="L852" s="83"/>
      <c r="M852" s="84"/>
      <c r="N852" s="37"/>
      <c r="O852" s="38"/>
      <c r="P852" s="38"/>
      <c r="Q852" s="38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78"/>
      <c r="B853" s="79"/>
      <c r="C853" s="79"/>
      <c r="D853" s="80"/>
      <c r="E853" s="81"/>
      <c r="F853" s="81"/>
      <c r="G853" s="81"/>
      <c r="H853" s="81"/>
      <c r="I853" s="81"/>
      <c r="J853" s="81"/>
      <c r="K853" s="82"/>
      <c r="L853" s="83"/>
      <c r="M853" s="84"/>
      <c r="N853" s="37"/>
      <c r="O853" s="38"/>
      <c r="P853" s="38"/>
      <c r="Q853" s="38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78"/>
      <c r="B854" s="79"/>
      <c r="C854" s="79"/>
      <c r="D854" s="80"/>
      <c r="E854" s="81"/>
      <c r="F854" s="81"/>
      <c r="G854" s="81"/>
      <c r="H854" s="81"/>
      <c r="I854" s="81"/>
      <c r="J854" s="81"/>
      <c r="K854" s="82"/>
      <c r="L854" s="83"/>
      <c r="M854" s="84"/>
      <c r="N854" s="37"/>
      <c r="O854" s="38"/>
      <c r="P854" s="38"/>
      <c r="Q854" s="38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78"/>
      <c r="B855" s="79"/>
      <c r="C855" s="79"/>
      <c r="D855" s="80"/>
      <c r="E855" s="81"/>
      <c r="F855" s="81"/>
      <c r="G855" s="81"/>
      <c r="H855" s="81"/>
      <c r="I855" s="81"/>
      <c r="J855" s="81"/>
      <c r="K855" s="82"/>
      <c r="L855" s="83"/>
      <c r="M855" s="84"/>
      <c r="N855" s="37"/>
      <c r="O855" s="38"/>
      <c r="P855" s="38"/>
      <c r="Q855" s="38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78"/>
      <c r="B856" s="79"/>
      <c r="C856" s="79"/>
      <c r="D856" s="80"/>
      <c r="E856" s="81"/>
      <c r="F856" s="81"/>
      <c r="G856" s="81"/>
      <c r="H856" s="81"/>
      <c r="I856" s="81"/>
      <c r="J856" s="81"/>
      <c r="K856" s="82"/>
      <c r="L856" s="83"/>
      <c r="M856" s="84"/>
      <c r="N856" s="37"/>
      <c r="O856" s="38"/>
      <c r="P856" s="38"/>
      <c r="Q856" s="38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78"/>
      <c r="B857" s="79"/>
      <c r="C857" s="79"/>
      <c r="D857" s="80"/>
      <c r="E857" s="81"/>
      <c r="F857" s="81"/>
      <c r="G857" s="81"/>
      <c r="H857" s="81"/>
      <c r="I857" s="81"/>
      <c r="J857" s="81"/>
      <c r="K857" s="82"/>
      <c r="L857" s="83"/>
      <c r="M857" s="84"/>
      <c r="N857" s="37"/>
      <c r="O857" s="38"/>
      <c r="P857" s="38"/>
      <c r="Q857" s="38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78"/>
      <c r="B858" s="79"/>
      <c r="C858" s="79"/>
      <c r="D858" s="80"/>
      <c r="E858" s="81"/>
      <c r="F858" s="81"/>
      <c r="G858" s="81"/>
      <c r="H858" s="81"/>
      <c r="I858" s="81"/>
      <c r="J858" s="81"/>
      <c r="K858" s="82"/>
      <c r="L858" s="83"/>
      <c r="M858" s="84"/>
      <c r="N858" s="37"/>
      <c r="O858" s="38"/>
      <c r="P858" s="38"/>
      <c r="Q858" s="38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78"/>
      <c r="B859" s="79"/>
      <c r="C859" s="79"/>
      <c r="D859" s="80"/>
      <c r="E859" s="81"/>
      <c r="F859" s="81"/>
      <c r="G859" s="81"/>
      <c r="H859" s="81"/>
      <c r="I859" s="81"/>
      <c r="J859" s="81"/>
      <c r="K859" s="82"/>
      <c r="L859" s="83"/>
      <c r="M859" s="84"/>
      <c r="N859" s="37"/>
      <c r="O859" s="38"/>
      <c r="P859" s="38"/>
      <c r="Q859" s="38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78"/>
      <c r="B860" s="79"/>
      <c r="C860" s="79"/>
      <c r="D860" s="80"/>
      <c r="E860" s="81"/>
      <c r="F860" s="81"/>
      <c r="G860" s="81"/>
      <c r="H860" s="81"/>
      <c r="I860" s="81"/>
      <c r="J860" s="81"/>
      <c r="K860" s="82"/>
      <c r="L860" s="83"/>
      <c r="M860" s="84"/>
      <c r="N860" s="37"/>
      <c r="O860" s="38"/>
      <c r="P860" s="38"/>
      <c r="Q860" s="38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78"/>
      <c r="B861" s="79"/>
      <c r="C861" s="79"/>
      <c r="D861" s="80"/>
      <c r="E861" s="81"/>
      <c r="F861" s="81"/>
      <c r="G861" s="81"/>
      <c r="H861" s="81"/>
      <c r="I861" s="81"/>
      <c r="J861" s="81"/>
      <c r="K861" s="82"/>
      <c r="L861" s="83"/>
      <c r="M861" s="84"/>
      <c r="N861" s="37"/>
      <c r="O861" s="38"/>
      <c r="P861" s="38"/>
      <c r="Q861" s="38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78"/>
      <c r="B862" s="79"/>
      <c r="C862" s="79"/>
      <c r="D862" s="80"/>
      <c r="E862" s="81"/>
      <c r="F862" s="81"/>
      <c r="G862" s="81"/>
      <c r="H862" s="81"/>
      <c r="I862" s="81"/>
      <c r="J862" s="81"/>
      <c r="K862" s="82"/>
      <c r="L862" s="83"/>
      <c r="M862" s="84"/>
      <c r="N862" s="37"/>
      <c r="O862" s="38"/>
      <c r="P862" s="38"/>
      <c r="Q862" s="38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78"/>
      <c r="B863" s="79"/>
      <c r="C863" s="79"/>
      <c r="D863" s="80"/>
      <c r="E863" s="81"/>
      <c r="F863" s="81"/>
      <c r="G863" s="81"/>
      <c r="H863" s="81"/>
      <c r="I863" s="81"/>
      <c r="J863" s="81"/>
      <c r="K863" s="82"/>
      <c r="L863" s="83"/>
      <c r="M863" s="84"/>
      <c r="N863" s="37"/>
      <c r="O863" s="38"/>
      <c r="P863" s="38"/>
      <c r="Q863" s="38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78"/>
      <c r="B864" s="79"/>
      <c r="C864" s="79"/>
      <c r="D864" s="80"/>
      <c r="E864" s="81"/>
      <c r="F864" s="81"/>
      <c r="G864" s="81"/>
      <c r="H864" s="81"/>
      <c r="I864" s="81"/>
      <c r="J864" s="81"/>
      <c r="K864" s="82"/>
      <c r="L864" s="83"/>
      <c r="M864" s="84"/>
      <c r="N864" s="37"/>
      <c r="O864" s="38"/>
      <c r="P864" s="38"/>
      <c r="Q864" s="38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78"/>
      <c r="B865" s="79"/>
      <c r="C865" s="79"/>
      <c r="D865" s="80"/>
      <c r="E865" s="81"/>
      <c r="F865" s="81"/>
      <c r="G865" s="81"/>
      <c r="H865" s="81"/>
      <c r="I865" s="81"/>
      <c r="J865" s="81"/>
      <c r="K865" s="82"/>
      <c r="L865" s="83"/>
      <c r="M865" s="84"/>
      <c r="N865" s="37"/>
      <c r="O865" s="38"/>
      <c r="P865" s="38"/>
      <c r="Q865" s="38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78"/>
      <c r="B866" s="79"/>
      <c r="C866" s="79"/>
      <c r="D866" s="80"/>
      <c r="E866" s="81"/>
      <c r="F866" s="81"/>
      <c r="G866" s="81"/>
      <c r="H866" s="81"/>
      <c r="I866" s="81"/>
      <c r="J866" s="81"/>
      <c r="K866" s="82"/>
      <c r="L866" s="83"/>
      <c r="M866" s="84"/>
      <c r="N866" s="37"/>
      <c r="O866" s="38"/>
      <c r="P866" s="38"/>
      <c r="Q866" s="38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78"/>
      <c r="B867" s="79"/>
      <c r="C867" s="79"/>
      <c r="D867" s="80"/>
      <c r="E867" s="81"/>
      <c r="F867" s="81"/>
      <c r="G867" s="81"/>
      <c r="H867" s="81"/>
      <c r="I867" s="81"/>
      <c r="J867" s="81"/>
      <c r="K867" s="82"/>
      <c r="L867" s="83"/>
      <c r="M867" s="84"/>
      <c r="N867" s="37"/>
      <c r="O867" s="38"/>
      <c r="P867" s="38"/>
      <c r="Q867" s="38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78"/>
      <c r="B868" s="79"/>
      <c r="C868" s="79"/>
      <c r="D868" s="80"/>
      <c r="E868" s="81"/>
      <c r="F868" s="81"/>
      <c r="G868" s="81"/>
      <c r="H868" s="81"/>
      <c r="I868" s="81"/>
      <c r="J868" s="81"/>
      <c r="K868" s="82"/>
      <c r="L868" s="83"/>
      <c r="M868" s="84"/>
      <c r="N868" s="37"/>
      <c r="O868" s="38"/>
      <c r="P868" s="38"/>
      <c r="Q868" s="38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78"/>
      <c r="B869" s="79"/>
      <c r="C869" s="79"/>
      <c r="D869" s="80"/>
      <c r="E869" s="81"/>
      <c r="F869" s="81"/>
      <c r="G869" s="81"/>
      <c r="H869" s="81"/>
      <c r="I869" s="81"/>
      <c r="J869" s="81"/>
      <c r="K869" s="82"/>
      <c r="L869" s="83"/>
      <c r="M869" s="84"/>
      <c r="N869" s="37"/>
      <c r="O869" s="38"/>
      <c r="P869" s="38"/>
      <c r="Q869" s="38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78"/>
      <c r="B870" s="79"/>
      <c r="C870" s="79"/>
      <c r="D870" s="80"/>
      <c r="E870" s="81"/>
      <c r="F870" s="81"/>
      <c r="G870" s="81"/>
      <c r="H870" s="81"/>
      <c r="I870" s="81"/>
      <c r="J870" s="81"/>
      <c r="K870" s="82"/>
      <c r="L870" s="83"/>
      <c r="M870" s="84"/>
      <c r="N870" s="37"/>
      <c r="O870" s="38"/>
      <c r="P870" s="38"/>
      <c r="Q870" s="38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78"/>
      <c r="B871" s="79"/>
      <c r="C871" s="79"/>
      <c r="D871" s="80"/>
      <c r="E871" s="81"/>
      <c r="F871" s="81"/>
      <c r="G871" s="81"/>
      <c r="H871" s="81"/>
      <c r="I871" s="81"/>
      <c r="J871" s="81"/>
      <c r="K871" s="82"/>
      <c r="L871" s="83"/>
      <c r="M871" s="84"/>
      <c r="N871" s="37"/>
      <c r="O871" s="38"/>
      <c r="P871" s="38"/>
      <c r="Q871" s="38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78"/>
      <c r="B872" s="79"/>
      <c r="C872" s="79"/>
      <c r="D872" s="80"/>
      <c r="E872" s="81"/>
      <c r="F872" s="81"/>
      <c r="G872" s="81"/>
      <c r="H872" s="81"/>
      <c r="I872" s="81"/>
      <c r="J872" s="81"/>
      <c r="K872" s="82"/>
      <c r="L872" s="83"/>
      <c r="M872" s="84"/>
      <c r="N872" s="37"/>
      <c r="O872" s="38"/>
      <c r="P872" s="38"/>
      <c r="Q872" s="38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78"/>
      <c r="B873" s="79"/>
      <c r="C873" s="79"/>
      <c r="D873" s="80"/>
      <c r="E873" s="81"/>
      <c r="F873" s="81"/>
      <c r="G873" s="81"/>
      <c r="H873" s="81"/>
      <c r="I873" s="81"/>
      <c r="J873" s="81"/>
      <c r="K873" s="82"/>
      <c r="L873" s="83"/>
      <c r="M873" s="84"/>
      <c r="N873" s="37"/>
      <c r="O873" s="38"/>
      <c r="P873" s="38"/>
      <c r="Q873" s="38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78"/>
      <c r="B874" s="79"/>
      <c r="C874" s="79"/>
      <c r="D874" s="80"/>
      <c r="E874" s="81"/>
      <c r="F874" s="81"/>
      <c r="G874" s="81"/>
      <c r="H874" s="81"/>
      <c r="I874" s="81"/>
      <c r="J874" s="81"/>
      <c r="K874" s="82"/>
      <c r="L874" s="83"/>
      <c r="M874" s="84"/>
      <c r="N874" s="37"/>
      <c r="O874" s="38"/>
      <c r="P874" s="38"/>
      <c r="Q874" s="38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78"/>
      <c r="B875" s="79"/>
      <c r="C875" s="79"/>
      <c r="D875" s="80"/>
      <c r="E875" s="81"/>
      <c r="F875" s="81"/>
      <c r="G875" s="81"/>
      <c r="H875" s="81"/>
      <c r="I875" s="81"/>
      <c r="J875" s="81"/>
      <c r="K875" s="82"/>
      <c r="L875" s="83"/>
      <c r="M875" s="84"/>
      <c r="N875" s="37"/>
      <c r="O875" s="38"/>
      <c r="P875" s="38"/>
      <c r="Q875" s="38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78"/>
      <c r="B876" s="79"/>
      <c r="C876" s="79"/>
      <c r="D876" s="80"/>
      <c r="E876" s="81"/>
      <c r="F876" s="81"/>
      <c r="G876" s="81"/>
      <c r="H876" s="81"/>
      <c r="I876" s="81"/>
      <c r="J876" s="81"/>
      <c r="K876" s="82"/>
      <c r="L876" s="83"/>
      <c r="M876" s="84"/>
      <c r="N876" s="37"/>
      <c r="O876" s="38"/>
      <c r="P876" s="38"/>
      <c r="Q876" s="38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78"/>
      <c r="B877" s="79"/>
      <c r="C877" s="79"/>
      <c r="D877" s="80"/>
      <c r="E877" s="81"/>
      <c r="F877" s="81"/>
      <c r="G877" s="81"/>
      <c r="H877" s="81"/>
      <c r="I877" s="81"/>
      <c r="J877" s="81"/>
      <c r="K877" s="82"/>
      <c r="L877" s="83"/>
      <c r="M877" s="84"/>
      <c r="N877" s="37"/>
      <c r="O877" s="38"/>
      <c r="P877" s="38"/>
      <c r="Q877" s="38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78"/>
      <c r="B878" s="79"/>
      <c r="C878" s="79"/>
      <c r="D878" s="80"/>
      <c r="E878" s="81"/>
      <c r="F878" s="81"/>
      <c r="G878" s="81"/>
      <c r="H878" s="81"/>
      <c r="I878" s="81"/>
      <c r="J878" s="81"/>
      <c r="K878" s="82"/>
      <c r="L878" s="83"/>
      <c r="M878" s="84"/>
      <c r="N878" s="37"/>
      <c r="O878" s="38"/>
      <c r="P878" s="38"/>
      <c r="Q878" s="38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78"/>
      <c r="B879" s="79"/>
      <c r="C879" s="79"/>
      <c r="D879" s="80"/>
      <c r="E879" s="81"/>
      <c r="F879" s="81"/>
      <c r="G879" s="81"/>
      <c r="H879" s="81"/>
      <c r="I879" s="81"/>
      <c r="J879" s="81"/>
      <c r="K879" s="82"/>
      <c r="L879" s="83"/>
      <c r="M879" s="84"/>
      <c r="N879" s="37"/>
      <c r="O879" s="38"/>
      <c r="P879" s="38"/>
      <c r="Q879" s="38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78"/>
      <c r="B880" s="79"/>
      <c r="C880" s="79"/>
      <c r="D880" s="80"/>
      <c r="E880" s="81"/>
      <c r="F880" s="81"/>
      <c r="G880" s="81"/>
      <c r="H880" s="81"/>
      <c r="I880" s="81"/>
      <c r="J880" s="81"/>
      <c r="K880" s="82"/>
      <c r="L880" s="83"/>
      <c r="M880" s="84"/>
      <c r="N880" s="37"/>
      <c r="O880" s="38"/>
      <c r="P880" s="38"/>
      <c r="Q880" s="38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78"/>
      <c r="B881" s="79"/>
      <c r="C881" s="79"/>
      <c r="D881" s="80"/>
      <c r="E881" s="81"/>
      <c r="F881" s="81"/>
      <c r="G881" s="81"/>
      <c r="H881" s="81"/>
      <c r="I881" s="81"/>
      <c r="J881" s="81"/>
      <c r="K881" s="82"/>
      <c r="L881" s="83"/>
      <c r="M881" s="84"/>
      <c r="N881" s="37"/>
      <c r="O881" s="38"/>
      <c r="P881" s="38"/>
      <c r="Q881" s="38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78"/>
      <c r="B882" s="79"/>
      <c r="C882" s="79"/>
      <c r="D882" s="80"/>
      <c r="E882" s="81"/>
      <c r="F882" s="81"/>
      <c r="G882" s="81"/>
      <c r="H882" s="81"/>
      <c r="I882" s="81"/>
      <c r="J882" s="81"/>
      <c r="K882" s="82"/>
      <c r="L882" s="83"/>
      <c r="M882" s="84"/>
      <c r="N882" s="37"/>
      <c r="O882" s="38"/>
      <c r="P882" s="38"/>
      <c r="Q882" s="38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78"/>
      <c r="B883" s="79"/>
      <c r="C883" s="79"/>
      <c r="D883" s="80"/>
      <c r="E883" s="81"/>
      <c r="F883" s="81"/>
      <c r="G883" s="81"/>
      <c r="H883" s="81"/>
      <c r="I883" s="81"/>
      <c r="J883" s="81"/>
      <c r="K883" s="82"/>
      <c r="L883" s="83"/>
      <c r="M883" s="84"/>
      <c r="N883" s="37"/>
      <c r="O883" s="38"/>
      <c r="P883" s="38"/>
      <c r="Q883" s="38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78"/>
      <c r="B884" s="79"/>
      <c r="C884" s="79"/>
      <c r="D884" s="80"/>
      <c r="E884" s="81"/>
      <c r="F884" s="81"/>
      <c r="G884" s="81"/>
      <c r="H884" s="81"/>
      <c r="I884" s="81"/>
      <c r="J884" s="81"/>
      <c r="K884" s="82"/>
      <c r="L884" s="83"/>
      <c r="M884" s="84"/>
      <c r="N884" s="37"/>
      <c r="O884" s="38"/>
      <c r="P884" s="38"/>
      <c r="Q884" s="38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78"/>
      <c r="B885" s="79"/>
      <c r="C885" s="79"/>
      <c r="D885" s="80"/>
      <c r="E885" s="81"/>
      <c r="F885" s="81"/>
      <c r="G885" s="81"/>
      <c r="H885" s="81"/>
      <c r="I885" s="81"/>
      <c r="J885" s="81"/>
      <c r="K885" s="82"/>
      <c r="L885" s="83"/>
      <c r="M885" s="84"/>
      <c r="N885" s="37"/>
      <c r="O885" s="38"/>
      <c r="P885" s="38"/>
      <c r="Q885" s="38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78"/>
      <c r="B886" s="79"/>
      <c r="C886" s="79"/>
      <c r="D886" s="80"/>
      <c r="E886" s="81"/>
      <c r="F886" s="81"/>
      <c r="G886" s="81"/>
      <c r="H886" s="81"/>
      <c r="I886" s="81"/>
      <c r="J886" s="81"/>
      <c r="K886" s="82"/>
      <c r="L886" s="83"/>
      <c r="M886" s="84"/>
      <c r="N886" s="37"/>
      <c r="O886" s="38"/>
      <c r="P886" s="38"/>
      <c r="Q886" s="38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78"/>
      <c r="B887" s="79"/>
      <c r="C887" s="79"/>
      <c r="D887" s="80"/>
      <c r="E887" s="81"/>
      <c r="F887" s="81"/>
      <c r="G887" s="81"/>
      <c r="H887" s="81"/>
      <c r="I887" s="81"/>
      <c r="J887" s="81"/>
      <c r="K887" s="82"/>
      <c r="L887" s="83"/>
      <c r="M887" s="84"/>
      <c r="N887" s="37"/>
      <c r="O887" s="38"/>
      <c r="P887" s="38"/>
      <c r="Q887" s="38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78"/>
      <c r="B888" s="79"/>
      <c r="C888" s="79"/>
      <c r="D888" s="80"/>
      <c r="E888" s="81"/>
      <c r="F888" s="81"/>
      <c r="G888" s="81"/>
      <c r="H888" s="81"/>
      <c r="I888" s="81"/>
      <c r="J888" s="81"/>
      <c r="K888" s="82"/>
      <c r="L888" s="83"/>
      <c r="M888" s="84"/>
      <c r="N888" s="37"/>
      <c r="O888" s="38"/>
      <c r="P888" s="38"/>
      <c r="Q888" s="38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78"/>
      <c r="B889" s="79"/>
      <c r="C889" s="79"/>
      <c r="D889" s="80"/>
      <c r="E889" s="81"/>
      <c r="F889" s="81"/>
      <c r="G889" s="81"/>
      <c r="H889" s="81"/>
      <c r="I889" s="81"/>
      <c r="J889" s="81"/>
      <c r="K889" s="82"/>
      <c r="L889" s="83"/>
      <c r="M889" s="84"/>
      <c r="N889" s="37"/>
      <c r="O889" s="38"/>
      <c r="P889" s="38"/>
      <c r="Q889" s="38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78"/>
      <c r="B890" s="79"/>
      <c r="C890" s="79"/>
      <c r="D890" s="80"/>
      <c r="E890" s="81"/>
      <c r="F890" s="81"/>
      <c r="G890" s="81"/>
      <c r="H890" s="81"/>
      <c r="I890" s="81"/>
      <c r="J890" s="81"/>
      <c r="K890" s="82"/>
      <c r="L890" s="83"/>
      <c r="M890" s="84"/>
      <c r="N890" s="37"/>
      <c r="O890" s="38"/>
      <c r="P890" s="38"/>
      <c r="Q890" s="38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78"/>
      <c r="B891" s="79"/>
      <c r="C891" s="79"/>
      <c r="D891" s="80"/>
      <c r="E891" s="81"/>
      <c r="F891" s="81"/>
      <c r="G891" s="81"/>
      <c r="H891" s="81"/>
      <c r="I891" s="81"/>
      <c r="J891" s="81"/>
      <c r="K891" s="82"/>
      <c r="L891" s="83"/>
      <c r="M891" s="84"/>
      <c r="N891" s="37"/>
      <c r="O891" s="38"/>
      <c r="P891" s="38"/>
      <c r="Q891" s="38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78"/>
      <c r="B892" s="79"/>
      <c r="C892" s="79"/>
      <c r="D892" s="80"/>
      <c r="E892" s="81"/>
      <c r="F892" s="81"/>
      <c r="G892" s="81"/>
      <c r="H892" s="81"/>
      <c r="I892" s="81"/>
      <c r="J892" s="81"/>
      <c r="K892" s="82"/>
      <c r="L892" s="83"/>
      <c r="M892" s="84"/>
      <c r="N892" s="37"/>
      <c r="O892" s="38"/>
      <c r="P892" s="38"/>
      <c r="Q892" s="38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78"/>
      <c r="B893" s="79"/>
      <c r="C893" s="79"/>
      <c r="D893" s="80"/>
      <c r="E893" s="81"/>
      <c r="F893" s="81"/>
      <c r="G893" s="81"/>
      <c r="H893" s="81"/>
      <c r="I893" s="81"/>
      <c r="J893" s="81"/>
      <c r="K893" s="82"/>
      <c r="L893" s="83"/>
      <c r="M893" s="84"/>
      <c r="N893" s="37"/>
      <c r="O893" s="38"/>
      <c r="P893" s="38"/>
      <c r="Q893" s="38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78"/>
      <c r="B894" s="79"/>
      <c r="C894" s="79"/>
      <c r="D894" s="80"/>
      <c r="E894" s="81"/>
      <c r="F894" s="81"/>
      <c r="G894" s="81"/>
      <c r="H894" s="81"/>
      <c r="I894" s="81"/>
      <c r="J894" s="81"/>
      <c r="K894" s="82"/>
      <c r="L894" s="83"/>
      <c r="M894" s="84"/>
      <c r="N894" s="37"/>
      <c r="O894" s="38"/>
      <c r="P894" s="38"/>
      <c r="Q894" s="38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78"/>
      <c r="B895" s="79"/>
      <c r="C895" s="79"/>
      <c r="D895" s="80"/>
      <c r="E895" s="81"/>
      <c r="F895" s="81"/>
      <c r="G895" s="81"/>
      <c r="H895" s="81"/>
      <c r="I895" s="81"/>
      <c r="J895" s="81"/>
      <c r="K895" s="82"/>
      <c r="L895" s="83"/>
      <c r="M895" s="84"/>
      <c r="N895" s="37"/>
      <c r="O895" s="38"/>
      <c r="P895" s="38"/>
      <c r="Q895" s="38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78"/>
      <c r="B896" s="79"/>
      <c r="C896" s="79"/>
      <c r="D896" s="80"/>
      <c r="E896" s="81"/>
      <c r="F896" s="81"/>
      <c r="G896" s="81"/>
      <c r="H896" s="81"/>
      <c r="I896" s="81"/>
      <c r="J896" s="81"/>
      <c r="K896" s="82"/>
      <c r="L896" s="83"/>
      <c r="M896" s="84"/>
      <c r="N896" s="37"/>
      <c r="O896" s="38"/>
      <c r="P896" s="38"/>
      <c r="Q896" s="38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78"/>
      <c r="B897" s="79"/>
      <c r="C897" s="79"/>
      <c r="D897" s="80"/>
      <c r="E897" s="81"/>
      <c r="F897" s="81"/>
      <c r="G897" s="81"/>
      <c r="H897" s="81"/>
      <c r="I897" s="81"/>
      <c r="J897" s="81"/>
      <c r="K897" s="82"/>
      <c r="L897" s="83"/>
      <c r="M897" s="84"/>
      <c r="N897" s="37"/>
      <c r="O897" s="38"/>
      <c r="P897" s="38"/>
      <c r="Q897" s="38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78"/>
      <c r="B898" s="79"/>
      <c r="C898" s="79"/>
      <c r="D898" s="80"/>
      <c r="E898" s="81"/>
      <c r="F898" s="81"/>
      <c r="G898" s="81"/>
      <c r="H898" s="81"/>
      <c r="I898" s="81"/>
      <c r="J898" s="81"/>
      <c r="K898" s="82"/>
      <c r="L898" s="83"/>
      <c r="M898" s="84"/>
      <c r="N898" s="37"/>
      <c r="O898" s="38"/>
      <c r="P898" s="38"/>
      <c r="Q898" s="38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78"/>
      <c r="B899" s="79"/>
      <c r="C899" s="79"/>
      <c r="D899" s="80"/>
      <c r="E899" s="81"/>
      <c r="F899" s="81"/>
      <c r="G899" s="81"/>
      <c r="H899" s="81"/>
      <c r="I899" s="81"/>
      <c r="J899" s="81"/>
      <c r="K899" s="82"/>
      <c r="L899" s="83"/>
      <c r="M899" s="84"/>
      <c r="N899" s="37"/>
      <c r="O899" s="38"/>
      <c r="P899" s="38"/>
      <c r="Q899" s="38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78"/>
      <c r="B900" s="79"/>
      <c r="C900" s="79"/>
      <c r="D900" s="80"/>
      <c r="E900" s="81"/>
      <c r="F900" s="81"/>
      <c r="G900" s="81"/>
      <c r="H900" s="81"/>
      <c r="I900" s="81"/>
      <c r="J900" s="81"/>
      <c r="K900" s="82"/>
      <c r="L900" s="83"/>
      <c r="M900" s="84"/>
      <c r="N900" s="37"/>
      <c r="O900" s="38"/>
      <c r="P900" s="38"/>
      <c r="Q900" s="38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78"/>
      <c r="B901" s="79"/>
      <c r="C901" s="79"/>
      <c r="D901" s="80"/>
      <c r="E901" s="81"/>
      <c r="F901" s="81"/>
      <c r="G901" s="81"/>
      <c r="H901" s="81"/>
      <c r="I901" s="81"/>
      <c r="J901" s="81"/>
      <c r="K901" s="82"/>
      <c r="L901" s="83"/>
      <c r="M901" s="84"/>
      <c r="N901" s="37"/>
      <c r="O901" s="38"/>
      <c r="P901" s="38"/>
      <c r="Q901" s="38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78"/>
      <c r="B902" s="79"/>
      <c r="C902" s="79"/>
      <c r="D902" s="80"/>
      <c r="E902" s="81"/>
      <c r="F902" s="81"/>
      <c r="G902" s="81"/>
      <c r="H902" s="81"/>
      <c r="I902" s="81"/>
      <c r="J902" s="81"/>
      <c r="K902" s="82"/>
      <c r="L902" s="83"/>
      <c r="M902" s="84"/>
      <c r="N902" s="37"/>
      <c r="O902" s="38"/>
      <c r="P902" s="38"/>
      <c r="Q902" s="38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78"/>
      <c r="B903" s="79"/>
      <c r="C903" s="79"/>
      <c r="D903" s="80"/>
      <c r="E903" s="81"/>
      <c r="F903" s="81"/>
      <c r="G903" s="81"/>
      <c r="H903" s="81"/>
      <c r="I903" s="81"/>
      <c r="J903" s="81"/>
      <c r="K903" s="82"/>
      <c r="L903" s="83"/>
      <c r="M903" s="84"/>
      <c r="N903" s="37"/>
      <c r="O903" s="38"/>
      <c r="P903" s="38"/>
      <c r="Q903" s="38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78"/>
      <c r="B904" s="79"/>
      <c r="C904" s="79"/>
      <c r="D904" s="80"/>
      <c r="E904" s="81"/>
      <c r="F904" s="81"/>
      <c r="G904" s="81"/>
      <c r="H904" s="81"/>
      <c r="I904" s="81"/>
      <c r="J904" s="81"/>
      <c r="K904" s="82"/>
      <c r="L904" s="83"/>
      <c r="M904" s="84"/>
      <c r="N904" s="37"/>
      <c r="O904" s="38"/>
      <c r="P904" s="38"/>
      <c r="Q904" s="38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78"/>
      <c r="B905" s="79"/>
      <c r="C905" s="79"/>
      <c r="D905" s="80"/>
      <c r="E905" s="81"/>
      <c r="F905" s="81"/>
      <c r="G905" s="81"/>
      <c r="H905" s="81"/>
      <c r="I905" s="81"/>
      <c r="J905" s="81"/>
      <c r="K905" s="82"/>
      <c r="L905" s="83"/>
      <c r="M905" s="84"/>
      <c r="N905" s="37"/>
      <c r="O905" s="38"/>
      <c r="P905" s="38"/>
      <c r="Q905" s="38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78"/>
      <c r="B906" s="79"/>
      <c r="C906" s="79"/>
      <c r="D906" s="80"/>
      <c r="E906" s="81"/>
      <c r="F906" s="81"/>
      <c r="G906" s="81"/>
      <c r="H906" s="81"/>
      <c r="I906" s="81"/>
      <c r="J906" s="81"/>
      <c r="K906" s="82"/>
      <c r="L906" s="83"/>
      <c r="M906" s="84"/>
      <c r="N906" s="37"/>
      <c r="O906" s="38"/>
      <c r="P906" s="38"/>
      <c r="Q906" s="38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78"/>
      <c r="B907" s="79"/>
      <c r="C907" s="79"/>
      <c r="D907" s="80"/>
      <c r="E907" s="81"/>
      <c r="F907" s="81"/>
      <c r="G907" s="81"/>
      <c r="H907" s="81"/>
      <c r="I907" s="81"/>
      <c r="J907" s="81"/>
      <c r="K907" s="82"/>
      <c r="L907" s="83"/>
      <c r="M907" s="84"/>
      <c r="N907" s="37"/>
      <c r="O907" s="38"/>
      <c r="P907" s="38"/>
      <c r="Q907" s="38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78"/>
      <c r="B908" s="79"/>
      <c r="C908" s="79"/>
      <c r="D908" s="80"/>
      <c r="E908" s="81"/>
      <c r="F908" s="81"/>
      <c r="G908" s="81"/>
      <c r="H908" s="81"/>
      <c r="I908" s="81"/>
      <c r="J908" s="81"/>
      <c r="K908" s="82"/>
      <c r="L908" s="83"/>
      <c r="M908" s="84"/>
      <c r="N908" s="37"/>
      <c r="O908" s="38"/>
      <c r="P908" s="38"/>
      <c r="Q908" s="38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78"/>
      <c r="B909" s="79"/>
      <c r="C909" s="79"/>
      <c r="D909" s="80"/>
      <c r="E909" s="81"/>
      <c r="F909" s="81"/>
      <c r="G909" s="81"/>
      <c r="H909" s="81"/>
      <c r="I909" s="81"/>
      <c r="J909" s="81"/>
      <c r="K909" s="82"/>
      <c r="L909" s="83"/>
      <c r="M909" s="84"/>
      <c r="N909" s="37"/>
      <c r="O909" s="38"/>
      <c r="P909" s="38"/>
      <c r="Q909" s="38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78"/>
      <c r="B910" s="79"/>
      <c r="C910" s="79"/>
      <c r="D910" s="80"/>
      <c r="E910" s="81"/>
      <c r="F910" s="81"/>
      <c r="G910" s="81"/>
      <c r="H910" s="81"/>
      <c r="I910" s="81"/>
      <c r="J910" s="81"/>
      <c r="K910" s="82"/>
      <c r="L910" s="83"/>
      <c r="M910" s="84"/>
      <c r="N910" s="37"/>
      <c r="O910" s="38"/>
      <c r="P910" s="38"/>
      <c r="Q910" s="38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78"/>
      <c r="B911" s="79"/>
      <c r="C911" s="79"/>
      <c r="D911" s="80"/>
      <c r="E911" s="81"/>
      <c r="F911" s="81"/>
      <c r="G911" s="81"/>
      <c r="H911" s="81"/>
      <c r="I911" s="81"/>
      <c r="J911" s="81"/>
      <c r="K911" s="82"/>
      <c r="L911" s="83"/>
      <c r="M911" s="84"/>
      <c r="N911" s="37"/>
      <c r="O911" s="38"/>
      <c r="P911" s="38"/>
      <c r="Q911" s="38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78"/>
      <c r="B912" s="79"/>
      <c r="C912" s="79"/>
      <c r="D912" s="80"/>
      <c r="E912" s="81"/>
      <c r="F912" s="81"/>
      <c r="G912" s="81"/>
      <c r="H912" s="81"/>
      <c r="I912" s="81"/>
      <c r="J912" s="81"/>
      <c r="K912" s="82"/>
      <c r="L912" s="83"/>
      <c r="M912" s="84"/>
      <c r="N912" s="37"/>
      <c r="O912" s="38"/>
      <c r="P912" s="38"/>
      <c r="Q912" s="38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78"/>
      <c r="B913" s="79"/>
      <c r="C913" s="79"/>
      <c r="D913" s="80"/>
      <c r="E913" s="81"/>
      <c r="F913" s="81"/>
      <c r="G913" s="81"/>
      <c r="H913" s="81"/>
      <c r="I913" s="81"/>
      <c r="J913" s="81"/>
      <c r="K913" s="82"/>
      <c r="L913" s="83"/>
      <c r="M913" s="84"/>
      <c r="N913" s="37"/>
      <c r="O913" s="38"/>
      <c r="P913" s="38"/>
      <c r="Q913" s="38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78"/>
      <c r="B914" s="79"/>
      <c r="C914" s="79"/>
      <c r="D914" s="80"/>
      <c r="E914" s="81"/>
      <c r="F914" s="81"/>
      <c r="G914" s="81"/>
      <c r="H914" s="81"/>
      <c r="I914" s="81"/>
      <c r="J914" s="81"/>
      <c r="K914" s="82"/>
      <c r="L914" s="83"/>
      <c r="M914" s="84"/>
      <c r="N914" s="37"/>
      <c r="O914" s="38"/>
      <c r="P914" s="38"/>
      <c r="Q914" s="38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78"/>
      <c r="B915" s="79"/>
      <c r="C915" s="79"/>
      <c r="D915" s="80"/>
      <c r="E915" s="81"/>
      <c r="F915" s="81"/>
      <c r="G915" s="81"/>
      <c r="H915" s="81"/>
      <c r="I915" s="81"/>
      <c r="J915" s="81"/>
      <c r="K915" s="82"/>
      <c r="L915" s="83"/>
      <c r="M915" s="84"/>
      <c r="N915" s="37"/>
      <c r="O915" s="38"/>
      <c r="P915" s="38"/>
      <c r="Q915" s="38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78"/>
      <c r="B916" s="79"/>
      <c r="C916" s="79"/>
      <c r="D916" s="80"/>
      <c r="E916" s="81"/>
      <c r="F916" s="81"/>
      <c r="G916" s="81"/>
      <c r="H916" s="81"/>
      <c r="I916" s="81"/>
      <c r="J916" s="81"/>
      <c r="K916" s="82"/>
      <c r="L916" s="83"/>
      <c r="M916" s="84"/>
      <c r="N916" s="37"/>
      <c r="O916" s="38"/>
      <c r="P916" s="38"/>
      <c r="Q916" s="38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78"/>
      <c r="B917" s="79"/>
      <c r="C917" s="79"/>
      <c r="D917" s="80"/>
      <c r="E917" s="81"/>
      <c r="F917" s="81"/>
      <c r="G917" s="81"/>
      <c r="H917" s="81"/>
      <c r="I917" s="81"/>
      <c r="J917" s="81"/>
      <c r="K917" s="82"/>
      <c r="L917" s="83"/>
      <c r="M917" s="84"/>
      <c r="N917" s="37"/>
      <c r="O917" s="38"/>
      <c r="P917" s="38"/>
      <c r="Q917" s="38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78"/>
      <c r="B918" s="79"/>
      <c r="C918" s="79"/>
      <c r="D918" s="80"/>
      <c r="E918" s="81"/>
      <c r="F918" s="81"/>
      <c r="G918" s="81"/>
      <c r="H918" s="81"/>
      <c r="I918" s="81"/>
      <c r="J918" s="81"/>
      <c r="K918" s="82"/>
      <c r="L918" s="83"/>
      <c r="M918" s="84"/>
      <c r="N918" s="37"/>
      <c r="O918" s="38"/>
      <c r="P918" s="38"/>
      <c r="Q918" s="38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78"/>
      <c r="B919" s="79"/>
      <c r="C919" s="79"/>
      <c r="D919" s="80"/>
      <c r="E919" s="81"/>
      <c r="F919" s="81"/>
      <c r="G919" s="81"/>
      <c r="H919" s="81"/>
      <c r="I919" s="81"/>
      <c r="J919" s="81"/>
      <c r="K919" s="82"/>
      <c r="L919" s="83"/>
      <c r="M919" s="84"/>
      <c r="N919" s="37"/>
      <c r="O919" s="38"/>
      <c r="P919" s="38"/>
      <c r="Q919" s="38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78"/>
      <c r="B920" s="79"/>
      <c r="C920" s="79"/>
      <c r="D920" s="80"/>
      <c r="E920" s="81"/>
      <c r="F920" s="81"/>
      <c r="G920" s="81"/>
      <c r="H920" s="81"/>
      <c r="I920" s="81"/>
      <c r="J920" s="81"/>
      <c r="K920" s="82"/>
      <c r="L920" s="83"/>
      <c r="M920" s="84"/>
      <c r="N920" s="37"/>
      <c r="O920" s="38"/>
      <c r="P920" s="38"/>
      <c r="Q920" s="38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78"/>
      <c r="B921" s="79"/>
      <c r="C921" s="79"/>
      <c r="D921" s="80"/>
      <c r="E921" s="81"/>
      <c r="F921" s="81"/>
      <c r="G921" s="81"/>
      <c r="H921" s="81"/>
      <c r="I921" s="81"/>
      <c r="J921" s="81"/>
      <c r="K921" s="82"/>
      <c r="L921" s="83"/>
      <c r="M921" s="84"/>
      <c r="N921" s="37"/>
      <c r="O921" s="38"/>
      <c r="P921" s="38"/>
      <c r="Q921" s="38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78"/>
      <c r="B922" s="79"/>
      <c r="C922" s="79"/>
      <c r="D922" s="80"/>
      <c r="E922" s="81"/>
      <c r="F922" s="81"/>
      <c r="G922" s="81"/>
      <c r="H922" s="81"/>
      <c r="I922" s="81"/>
      <c r="J922" s="81"/>
      <c r="K922" s="82"/>
      <c r="L922" s="83"/>
      <c r="M922" s="84"/>
      <c r="N922" s="37"/>
      <c r="O922" s="38"/>
      <c r="P922" s="38"/>
      <c r="Q922" s="38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78"/>
      <c r="B923" s="79"/>
      <c r="C923" s="79"/>
      <c r="D923" s="80"/>
      <c r="E923" s="81"/>
      <c r="F923" s="81"/>
      <c r="G923" s="81"/>
      <c r="H923" s="81"/>
      <c r="I923" s="81"/>
      <c r="J923" s="81"/>
      <c r="K923" s="82"/>
      <c r="L923" s="83"/>
      <c r="M923" s="84"/>
      <c r="N923" s="37"/>
      <c r="O923" s="38"/>
      <c r="P923" s="38"/>
      <c r="Q923" s="38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78"/>
      <c r="B924" s="79"/>
      <c r="C924" s="79"/>
      <c r="D924" s="80"/>
      <c r="E924" s="81"/>
      <c r="F924" s="81"/>
      <c r="G924" s="81"/>
      <c r="H924" s="81"/>
      <c r="I924" s="81"/>
      <c r="J924" s="81"/>
      <c r="K924" s="82"/>
      <c r="L924" s="83"/>
      <c r="M924" s="84"/>
      <c r="N924" s="37"/>
      <c r="O924" s="38"/>
      <c r="P924" s="38"/>
      <c r="Q924" s="38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78"/>
      <c r="B925" s="79"/>
      <c r="C925" s="79"/>
      <c r="D925" s="80"/>
      <c r="E925" s="81"/>
      <c r="F925" s="81"/>
      <c r="G925" s="81"/>
      <c r="H925" s="81"/>
      <c r="I925" s="81"/>
      <c r="J925" s="81"/>
      <c r="K925" s="82"/>
      <c r="L925" s="83"/>
      <c r="M925" s="84"/>
      <c r="N925" s="37"/>
      <c r="O925" s="38"/>
      <c r="P925" s="38"/>
      <c r="Q925" s="38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78"/>
      <c r="B926" s="79"/>
      <c r="C926" s="79"/>
      <c r="D926" s="80"/>
      <c r="E926" s="81"/>
      <c r="F926" s="81"/>
      <c r="G926" s="81"/>
      <c r="H926" s="81"/>
      <c r="I926" s="81"/>
      <c r="J926" s="81"/>
      <c r="K926" s="82"/>
      <c r="L926" s="83"/>
      <c r="M926" s="84"/>
      <c r="N926" s="37"/>
      <c r="O926" s="38"/>
      <c r="P926" s="38"/>
      <c r="Q926" s="38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78"/>
      <c r="B927" s="79"/>
      <c r="C927" s="79"/>
      <c r="D927" s="80"/>
      <c r="E927" s="81"/>
      <c r="F927" s="81"/>
      <c r="G927" s="81"/>
      <c r="H927" s="81"/>
      <c r="I927" s="81"/>
      <c r="J927" s="81"/>
      <c r="K927" s="82"/>
      <c r="L927" s="83"/>
      <c r="M927" s="84"/>
      <c r="N927" s="37"/>
      <c r="O927" s="38"/>
      <c r="P927" s="38"/>
      <c r="Q927" s="38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78"/>
      <c r="B928" s="79"/>
      <c r="C928" s="79"/>
      <c r="D928" s="80"/>
      <c r="E928" s="81"/>
      <c r="F928" s="81"/>
      <c r="G928" s="81"/>
      <c r="H928" s="81"/>
      <c r="I928" s="81"/>
      <c r="J928" s="81"/>
      <c r="K928" s="82"/>
      <c r="L928" s="83"/>
      <c r="M928" s="84"/>
      <c r="N928" s="37"/>
      <c r="O928" s="38"/>
      <c r="P928" s="38"/>
      <c r="Q928" s="38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78"/>
      <c r="B929" s="79"/>
      <c r="C929" s="79"/>
      <c r="D929" s="80"/>
      <c r="E929" s="81"/>
      <c r="F929" s="81"/>
      <c r="G929" s="81"/>
      <c r="H929" s="81"/>
      <c r="I929" s="81"/>
      <c r="J929" s="81"/>
      <c r="K929" s="82"/>
      <c r="L929" s="83"/>
      <c r="M929" s="84"/>
      <c r="N929" s="37"/>
      <c r="O929" s="38"/>
      <c r="P929" s="38"/>
      <c r="Q929" s="38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78"/>
      <c r="B930" s="79"/>
      <c r="C930" s="79"/>
      <c r="D930" s="80"/>
      <c r="E930" s="81"/>
      <c r="F930" s="81"/>
      <c r="G930" s="81"/>
      <c r="H930" s="81"/>
      <c r="I930" s="81"/>
      <c r="J930" s="81"/>
      <c r="K930" s="82"/>
      <c r="L930" s="83"/>
      <c r="M930" s="84"/>
      <c r="N930" s="37"/>
      <c r="O930" s="38"/>
      <c r="P930" s="38"/>
      <c r="Q930" s="38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78"/>
      <c r="B931" s="79"/>
      <c r="C931" s="79"/>
      <c r="D931" s="80"/>
      <c r="E931" s="81"/>
      <c r="F931" s="81"/>
      <c r="G931" s="81"/>
      <c r="H931" s="81"/>
      <c r="I931" s="81"/>
      <c r="J931" s="81"/>
      <c r="K931" s="82"/>
      <c r="L931" s="83"/>
      <c r="M931" s="84"/>
      <c r="N931" s="37"/>
      <c r="O931" s="38"/>
      <c r="P931" s="38"/>
      <c r="Q931" s="38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78"/>
      <c r="B932" s="79"/>
      <c r="C932" s="79"/>
      <c r="D932" s="80"/>
      <c r="E932" s="81"/>
      <c r="F932" s="81"/>
      <c r="G932" s="81"/>
      <c r="H932" s="81"/>
      <c r="I932" s="81"/>
      <c r="J932" s="81"/>
      <c r="K932" s="82"/>
      <c r="L932" s="83"/>
      <c r="M932" s="84"/>
      <c r="N932" s="37"/>
      <c r="O932" s="38"/>
      <c r="P932" s="38"/>
      <c r="Q932" s="38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78"/>
      <c r="B933" s="79"/>
      <c r="C933" s="79"/>
      <c r="D933" s="80"/>
      <c r="E933" s="81"/>
      <c r="F933" s="81"/>
      <c r="G933" s="81"/>
      <c r="H933" s="81"/>
      <c r="I933" s="81"/>
      <c r="J933" s="81"/>
      <c r="K933" s="82"/>
      <c r="L933" s="83"/>
      <c r="M933" s="84"/>
      <c r="N933" s="37"/>
      <c r="O933" s="38"/>
      <c r="P933" s="38"/>
      <c r="Q933" s="38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78"/>
      <c r="B934" s="79"/>
      <c r="C934" s="79"/>
      <c r="D934" s="80"/>
      <c r="E934" s="81"/>
      <c r="F934" s="81"/>
      <c r="G934" s="81"/>
      <c r="H934" s="81"/>
      <c r="I934" s="81"/>
      <c r="J934" s="81"/>
      <c r="K934" s="82"/>
      <c r="L934" s="83"/>
      <c r="M934" s="84"/>
      <c r="N934" s="37"/>
      <c r="O934" s="38"/>
      <c r="P934" s="38"/>
      <c r="Q934" s="38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78"/>
      <c r="B935" s="79"/>
      <c r="C935" s="79"/>
      <c r="D935" s="80"/>
      <c r="E935" s="81"/>
      <c r="F935" s="81"/>
      <c r="G935" s="81"/>
      <c r="H935" s="81"/>
      <c r="I935" s="81"/>
      <c r="J935" s="81"/>
      <c r="K935" s="82"/>
      <c r="L935" s="83"/>
      <c r="M935" s="84"/>
      <c r="N935" s="37"/>
      <c r="O935" s="38"/>
      <c r="P935" s="38"/>
      <c r="Q935" s="38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78"/>
      <c r="B936" s="79"/>
      <c r="C936" s="79"/>
      <c r="D936" s="80"/>
      <c r="E936" s="81"/>
      <c r="F936" s="81"/>
      <c r="G936" s="81"/>
      <c r="H936" s="81"/>
      <c r="I936" s="81"/>
      <c r="J936" s="81"/>
      <c r="K936" s="82"/>
      <c r="L936" s="83"/>
      <c r="M936" s="84"/>
      <c r="N936" s="37"/>
      <c r="O936" s="38"/>
      <c r="P936" s="38"/>
      <c r="Q936" s="38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78"/>
      <c r="B937" s="79"/>
      <c r="C937" s="79"/>
      <c r="D937" s="80"/>
      <c r="E937" s="81"/>
      <c r="F937" s="81"/>
      <c r="G937" s="81"/>
      <c r="H937" s="81"/>
      <c r="I937" s="81"/>
      <c r="J937" s="81"/>
      <c r="K937" s="82"/>
      <c r="L937" s="83"/>
      <c r="M937" s="84"/>
      <c r="N937" s="37"/>
      <c r="O937" s="38"/>
      <c r="P937" s="38"/>
      <c r="Q937" s="38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78"/>
      <c r="B938" s="79"/>
      <c r="C938" s="79"/>
      <c r="D938" s="80"/>
      <c r="E938" s="81"/>
      <c r="F938" s="81"/>
      <c r="G938" s="81"/>
      <c r="H938" s="81"/>
      <c r="I938" s="81"/>
      <c r="J938" s="81"/>
      <c r="K938" s="82"/>
      <c r="L938" s="83"/>
      <c r="M938" s="84"/>
      <c r="N938" s="37"/>
      <c r="O938" s="38"/>
      <c r="P938" s="38"/>
      <c r="Q938" s="38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78"/>
      <c r="B939" s="79"/>
      <c r="C939" s="79"/>
      <c r="D939" s="80"/>
      <c r="E939" s="81"/>
      <c r="F939" s="81"/>
      <c r="G939" s="81"/>
      <c r="H939" s="81"/>
      <c r="I939" s="81"/>
      <c r="J939" s="81"/>
      <c r="K939" s="82"/>
      <c r="L939" s="83"/>
      <c r="M939" s="84"/>
      <c r="N939" s="37"/>
      <c r="O939" s="38"/>
      <c r="P939" s="38"/>
      <c r="Q939" s="38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78"/>
      <c r="B940" s="79"/>
      <c r="C940" s="79"/>
      <c r="D940" s="80"/>
      <c r="E940" s="81"/>
      <c r="F940" s="81"/>
      <c r="G940" s="81"/>
      <c r="H940" s="81"/>
      <c r="I940" s="81"/>
      <c r="J940" s="81"/>
      <c r="K940" s="82"/>
      <c r="L940" s="83"/>
      <c r="M940" s="84"/>
      <c r="N940" s="37"/>
      <c r="O940" s="38"/>
      <c r="P940" s="38"/>
      <c r="Q940" s="38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78"/>
      <c r="B941" s="79"/>
      <c r="C941" s="79"/>
      <c r="D941" s="80"/>
      <c r="E941" s="81"/>
      <c r="F941" s="81"/>
      <c r="G941" s="81"/>
      <c r="H941" s="81"/>
      <c r="I941" s="81"/>
      <c r="J941" s="81"/>
      <c r="K941" s="82"/>
      <c r="L941" s="83"/>
      <c r="M941" s="84"/>
      <c r="N941" s="37"/>
      <c r="O941" s="38"/>
      <c r="P941" s="38"/>
      <c r="Q941" s="38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78"/>
      <c r="B942" s="79"/>
      <c r="C942" s="79"/>
      <c r="D942" s="80"/>
      <c r="E942" s="81"/>
      <c r="F942" s="81"/>
      <c r="G942" s="81"/>
      <c r="H942" s="81"/>
      <c r="I942" s="81"/>
      <c r="J942" s="81"/>
      <c r="K942" s="82"/>
      <c r="L942" s="83"/>
      <c r="M942" s="84"/>
      <c r="N942" s="37"/>
      <c r="O942" s="38"/>
      <c r="P942" s="38"/>
      <c r="Q942" s="38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78"/>
      <c r="B943" s="79"/>
      <c r="C943" s="79"/>
      <c r="D943" s="80"/>
      <c r="E943" s="81"/>
      <c r="F943" s="81"/>
      <c r="G943" s="81"/>
      <c r="H943" s="81"/>
      <c r="I943" s="81"/>
      <c r="J943" s="81"/>
      <c r="K943" s="82"/>
      <c r="L943" s="83"/>
      <c r="M943" s="84"/>
      <c r="N943" s="37"/>
      <c r="O943" s="38"/>
      <c r="P943" s="38"/>
      <c r="Q943" s="38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78"/>
      <c r="B944" s="79"/>
      <c r="C944" s="79"/>
      <c r="D944" s="80"/>
      <c r="E944" s="81"/>
      <c r="F944" s="81"/>
      <c r="G944" s="81"/>
      <c r="H944" s="81"/>
      <c r="I944" s="81"/>
      <c r="J944" s="81"/>
      <c r="K944" s="82"/>
      <c r="L944" s="83"/>
      <c r="M944" s="84"/>
      <c r="N944" s="37"/>
      <c r="O944" s="38"/>
      <c r="P944" s="38"/>
      <c r="Q944" s="38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78"/>
      <c r="B945" s="79"/>
      <c r="C945" s="79"/>
      <c r="D945" s="80"/>
      <c r="E945" s="81"/>
      <c r="F945" s="81"/>
      <c r="G945" s="81"/>
      <c r="H945" s="81"/>
      <c r="I945" s="81"/>
      <c r="J945" s="81"/>
      <c r="K945" s="82"/>
      <c r="L945" s="83"/>
      <c r="M945" s="84"/>
      <c r="N945" s="37"/>
      <c r="O945" s="38"/>
      <c r="P945" s="38"/>
      <c r="Q945" s="38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78"/>
      <c r="B946" s="79"/>
      <c r="C946" s="79"/>
      <c r="D946" s="80"/>
      <c r="E946" s="81"/>
      <c r="F946" s="81"/>
      <c r="G946" s="81"/>
      <c r="H946" s="81"/>
      <c r="I946" s="81"/>
      <c r="J946" s="81"/>
      <c r="K946" s="82"/>
      <c r="L946" s="83"/>
      <c r="M946" s="84"/>
      <c r="N946" s="37"/>
      <c r="O946" s="38"/>
      <c r="P946" s="38"/>
      <c r="Q946" s="38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78"/>
      <c r="B947" s="79"/>
      <c r="C947" s="79"/>
      <c r="D947" s="80"/>
      <c r="E947" s="81"/>
      <c r="F947" s="81"/>
      <c r="G947" s="81"/>
      <c r="H947" s="81"/>
      <c r="I947" s="81"/>
      <c r="J947" s="81"/>
      <c r="K947" s="82"/>
      <c r="L947" s="83"/>
      <c r="M947" s="84"/>
      <c r="N947" s="37"/>
      <c r="O947" s="38"/>
      <c r="P947" s="38"/>
      <c r="Q947" s="38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78"/>
      <c r="B948" s="79"/>
      <c r="C948" s="79"/>
      <c r="D948" s="80"/>
      <c r="E948" s="81"/>
      <c r="F948" s="81"/>
      <c r="G948" s="81"/>
      <c r="H948" s="81"/>
      <c r="I948" s="81"/>
      <c r="J948" s="81"/>
      <c r="K948" s="82"/>
      <c r="L948" s="83"/>
      <c r="M948" s="84"/>
      <c r="N948" s="37"/>
      <c r="O948" s="38"/>
      <c r="P948" s="38"/>
      <c r="Q948" s="38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78"/>
      <c r="B949" s="79"/>
      <c r="C949" s="79"/>
      <c r="D949" s="80"/>
      <c r="E949" s="81"/>
      <c r="F949" s="81"/>
      <c r="G949" s="81"/>
      <c r="H949" s="81"/>
      <c r="I949" s="81"/>
      <c r="J949" s="81"/>
      <c r="K949" s="82"/>
      <c r="L949" s="83"/>
      <c r="M949" s="84"/>
      <c r="N949" s="37"/>
      <c r="O949" s="38"/>
      <c r="P949" s="38"/>
      <c r="Q949" s="38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78"/>
      <c r="B950" s="79"/>
      <c r="C950" s="79"/>
      <c r="D950" s="80"/>
      <c r="E950" s="81"/>
      <c r="F950" s="81"/>
      <c r="G950" s="81"/>
      <c r="H950" s="81"/>
      <c r="I950" s="81"/>
      <c r="J950" s="81"/>
      <c r="K950" s="82"/>
      <c r="L950" s="83"/>
      <c r="M950" s="84"/>
      <c r="N950" s="37"/>
      <c r="O950" s="38"/>
      <c r="P950" s="38"/>
      <c r="Q950" s="38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78"/>
      <c r="B951" s="79"/>
      <c r="C951" s="79"/>
      <c r="D951" s="80"/>
      <c r="E951" s="81"/>
      <c r="F951" s="81"/>
      <c r="G951" s="81"/>
      <c r="H951" s="81"/>
      <c r="I951" s="81"/>
      <c r="J951" s="81"/>
      <c r="K951" s="82"/>
      <c r="L951" s="83"/>
      <c r="M951" s="84"/>
      <c r="N951" s="37"/>
      <c r="O951" s="38"/>
      <c r="P951" s="38"/>
      <c r="Q951" s="38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78"/>
      <c r="B952" s="79"/>
      <c r="C952" s="79"/>
      <c r="D952" s="80"/>
      <c r="E952" s="81"/>
      <c r="F952" s="81"/>
      <c r="G952" s="81"/>
      <c r="H952" s="81"/>
      <c r="I952" s="81"/>
      <c r="J952" s="81"/>
      <c r="K952" s="82"/>
      <c r="L952" s="83"/>
      <c r="M952" s="84"/>
      <c r="N952" s="37"/>
      <c r="O952" s="38"/>
      <c r="P952" s="38"/>
      <c r="Q952" s="38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78"/>
      <c r="B953" s="79"/>
      <c r="C953" s="79"/>
      <c r="D953" s="80"/>
      <c r="E953" s="81"/>
      <c r="F953" s="81"/>
      <c r="G953" s="81"/>
      <c r="H953" s="81"/>
      <c r="I953" s="81"/>
      <c r="J953" s="81"/>
      <c r="K953" s="82"/>
      <c r="L953" s="83"/>
      <c r="M953" s="84"/>
      <c r="N953" s="37"/>
      <c r="O953" s="38"/>
      <c r="P953" s="38"/>
      <c r="Q953" s="38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78"/>
      <c r="B954" s="79"/>
      <c r="C954" s="79"/>
      <c r="D954" s="80"/>
      <c r="E954" s="81"/>
      <c r="F954" s="81"/>
      <c r="G954" s="81"/>
      <c r="H954" s="81"/>
      <c r="I954" s="81"/>
      <c r="J954" s="81"/>
      <c r="K954" s="82"/>
      <c r="L954" s="83"/>
      <c r="M954" s="84"/>
      <c r="N954" s="37"/>
      <c r="O954" s="38"/>
      <c r="P954" s="38"/>
      <c r="Q954" s="38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78"/>
      <c r="B955" s="79"/>
      <c r="C955" s="79"/>
      <c r="D955" s="80"/>
      <c r="E955" s="81"/>
      <c r="F955" s="81"/>
      <c r="G955" s="81"/>
      <c r="H955" s="81"/>
      <c r="I955" s="81"/>
      <c r="J955" s="81"/>
      <c r="K955" s="82"/>
      <c r="L955" s="83"/>
      <c r="M955" s="84"/>
      <c r="N955" s="37"/>
      <c r="O955" s="38"/>
      <c r="P955" s="38"/>
      <c r="Q955" s="38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78"/>
      <c r="B956" s="79"/>
      <c r="C956" s="79"/>
      <c r="D956" s="80"/>
      <c r="E956" s="81"/>
      <c r="F956" s="81"/>
      <c r="G956" s="81"/>
      <c r="H956" s="81"/>
      <c r="I956" s="81"/>
      <c r="J956" s="81"/>
      <c r="K956" s="82"/>
      <c r="L956" s="83"/>
      <c r="M956" s="84"/>
      <c r="N956" s="37"/>
      <c r="O956" s="38"/>
      <c r="P956" s="38"/>
      <c r="Q956" s="38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78"/>
      <c r="B957" s="79"/>
      <c r="C957" s="79"/>
      <c r="D957" s="80"/>
      <c r="E957" s="81"/>
      <c r="F957" s="81"/>
      <c r="G957" s="81"/>
      <c r="H957" s="81"/>
      <c r="I957" s="81"/>
      <c r="J957" s="81"/>
      <c r="K957" s="82"/>
      <c r="L957" s="83"/>
      <c r="M957" s="84"/>
      <c r="N957" s="37"/>
      <c r="O957" s="38"/>
      <c r="P957" s="38"/>
      <c r="Q957" s="38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78"/>
      <c r="B958" s="79"/>
      <c r="C958" s="79"/>
      <c r="D958" s="80"/>
      <c r="E958" s="81"/>
      <c r="F958" s="81"/>
      <c r="G958" s="81"/>
      <c r="H958" s="81"/>
      <c r="I958" s="81"/>
      <c r="J958" s="81"/>
      <c r="K958" s="82"/>
      <c r="L958" s="83"/>
      <c r="M958" s="84"/>
      <c r="N958" s="37"/>
      <c r="O958" s="38"/>
      <c r="P958" s="38"/>
      <c r="Q958" s="38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78"/>
      <c r="B959" s="79"/>
      <c r="C959" s="79"/>
      <c r="D959" s="80"/>
      <c r="E959" s="81"/>
      <c r="F959" s="81"/>
      <c r="G959" s="81"/>
      <c r="H959" s="81"/>
      <c r="I959" s="81"/>
      <c r="J959" s="81"/>
      <c r="K959" s="82"/>
      <c r="L959" s="83"/>
      <c r="M959" s="84"/>
      <c r="N959" s="37"/>
      <c r="O959" s="38"/>
      <c r="P959" s="38"/>
      <c r="Q959" s="38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78"/>
      <c r="B960" s="79"/>
      <c r="C960" s="79"/>
      <c r="D960" s="80"/>
      <c r="E960" s="81"/>
      <c r="F960" s="81"/>
      <c r="G960" s="81"/>
      <c r="H960" s="81"/>
      <c r="I960" s="81"/>
      <c r="J960" s="81"/>
      <c r="K960" s="82"/>
      <c r="L960" s="83"/>
      <c r="M960" s="84"/>
      <c r="N960" s="37"/>
      <c r="O960" s="38"/>
      <c r="P960" s="38"/>
      <c r="Q960" s="38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78"/>
      <c r="B961" s="79"/>
      <c r="C961" s="79"/>
      <c r="D961" s="80"/>
      <c r="E961" s="81"/>
      <c r="F961" s="81"/>
      <c r="G961" s="81"/>
      <c r="H961" s="81"/>
      <c r="I961" s="81"/>
      <c r="J961" s="81"/>
      <c r="K961" s="82"/>
      <c r="L961" s="83"/>
      <c r="M961" s="84"/>
      <c r="N961" s="37"/>
      <c r="O961" s="38"/>
      <c r="P961" s="38"/>
      <c r="Q961" s="38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78"/>
      <c r="B962" s="79"/>
      <c r="C962" s="79"/>
      <c r="D962" s="80"/>
      <c r="E962" s="81"/>
      <c r="F962" s="81"/>
      <c r="G962" s="81"/>
      <c r="H962" s="81"/>
      <c r="I962" s="81"/>
      <c r="J962" s="81"/>
      <c r="K962" s="82"/>
      <c r="L962" s="83"/>
      <c r="M962" s="84"/>
      <c r="N962" s="37"/>
      <c r="O962" s="38"/>
      <c r="P962" s="38"/>
      <c r="Q962" s="38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78"/>
      <c r="B963" s="79"/>
      <c r="C963" s="79"/>
      <c r="D963" s="80"/>
      <c r="E963" s="81"/>
      <c r="F963" s="81"/>
      <c r="G963" s="81"/>
      <c r="H963" s="81"/>
      <c r="I963" s="81"/>
      <c r="J963" s="81"/>
      <c r="K963" s="82"/>
      <c r="L963" s="83"/>
      <c r="M963" s="84"/>
      <c r="N963" s="37"/>
      <c r="O963" s="38"/>
      <c r="P963" s="38"/>
      <c r="Q963" s="38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78"/>
      <c r="B964" s="79"/>
      <c r="C964" s="79"/>
      <c r="D964" s="80"/>
      <c r="E964" s="81"/>
      <c r="F964" s="81"/>
      <c r="G964" s="81"/>
      <c r="H964" s="81"/>
      <c r="I964" s="81"/>
      <c r="J964" s="81"/>
      <c r="K964" s="82"/>
      <c r="L964" s="83"/>
      <c r="M964" s="84"/>
      <c r="N964" s="37"/>
      <c r="O964" s="38"/>
      <c r="P964" s="38"/>
      <c r="Q964" s="38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78"/>
      <c r="B965" s="79"/>
      <c r="C965" s="79"/>
      <c r="D965" s="80"/>
      <c r="E965" s="81"/>
      <c r="F965" s="81"/>
      <c r="G965" s="81"/>
      <c r="H965" s="81"/>
      <c r="I965" s="81"/>
      <c r="J965" s="81"/>
      <c r="K965" s="82"/>
      <c r="L965" s="83"/>
      <c r="M965" s="84"/>
      <c r="N965" s="37"/>
      <c r="O965" s="38"/>
      <c r="P965" s="38"/>
      <c r="Q965" s="38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78"/>
      <c r="B966" s="79"/>
      <c r="C966" s="79"/>
      <c r="D966" s="80"/>
      <c r="E966" s="81"/>
      <c r="F966" s="81"/>
      <c r="G966" s="81"/>
      <c r="H966" s="81"/>
      <c r="I966" s="81"/>
      <c r="J966" s="81"/>
      <c r="K966" s="82"/>
      <c r="L966" s="83"/>
      <c r="M966" s="84"/>
      <c r="N966" s="37"/>
      <c r="O966" s="38"/>
      <c r="P966" s="38"/>
      <c r="Q966" s="38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78"/>
      <c r="B967" s="79"/>
      <c r="C967" s="79"/>
      <c r="D967" s="80"/>
      <c r="E967" s="81"/>
      <c r="F967" s="81"/>
      <c r="G967" s="81"/>
      <c r="H967" s="81"/>
      <c r="I967" s="81"/>
      <c r="J967" s="81"/>
      <c r="K967" s="82"/>
      <c r="L967" s="83"/>
      <c r="M967" s="84"/>
      <c r="N967" s="37"/>
      <c r="O967" s="38"/>
      <c r="P967" s="38"/>
      <c r="Q967" s="38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78"/>
      <c r="B968" s="79"/>
      <c r="C968" s="79"/>
      <c r="D968" s="80"/>
      <c r="E968" s="81"/>
      <c r="F968" s="81"/>
      <c r="G968" s="81"/>
      <c r="H968" s="81"/>
      <c r="I968" s="81"/>
      <c r="J968" s="81"/>
      <c r="K968" s="82"/>
      <c r="L968" s="83"/>
      <c r="M968" s="84"/>
      <c r="N968" s="37"/>
      <c r="O968" s="38"/>
      <c r="P968" s="38"/>
      <c r="Q968" s="38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78"/>
      <c r="B969" s="79"/>
      <c r="C969" s="79"/>
      <c r="D969" s="80"/>
      <c r="E969" s="81"/>
      <c r="F969" s="81"/>
      <c r="G969" s="81"/>
      <c r="H969" s="81"/>
      <c r="I969" s="81"/>
      <c r="J969" s="81"/>
      <c r="K969" s="82"/>
      <c r="L969" s="83"/>
      <c r="M969" s="84"/>
      <c r="N969" s="37"/>
      <c r="O969" s="38"/>
      <c r="P969" s="38"/>
      <c r="Q969" s="38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78"/>
      <c r="B970" s="79"/>
      <c r="C970" s="79"/>
      <c r="D970" s="80"/>
      <c r="E970" s="81"/>
      <c r="F970" s="81"/>
      <c r="G970" s="81"/>
      <c r="H970" s="81"/>
      <c r="I970" s="81"/>
      <c r="J970" s="81"/>
      <c r="K970" s="82"/>
      <c r="L970" s="83"/>
      <c r="M970" s="84"/>
      <c r="N970" s="37"/>
      <c r="O970" s="38"/>
      <c r="P970" s="38"/>
      <c r="Q970" s="38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78"/>
      <c r="B971" s="79"/>
      <c r="C971" s="79"/>
      <c r="D971" s="80"/>
      <c r="E971" s="81"/>
      <c r="F971" s="81"/>
      <c r="G971" s="81"/>
      <c r="H971" s="81"/>
      <c r="I971" s="81"/>
      <c r="J971" s="81"/>
      <c r="K971" s="82"/>
      <c r="L971" s="83"/>
      <c r="M971" s="84"/>
      <c r="N971" s="37"/>
      <c r="O971" s="38"/>
      <c r="P971" s="38"/>
      <c r="Q971" s="38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78"/>
      <c r="B972" s="79"/>
      <c r="C972" s="79"/>
      <c r="D972" s="80"/>
      <c r="E972" s="81"/>
      <c r="F972" s="81"/>
      <c r="G972" s="81"/>
      <c r="H972" s="81"/>
      <c r="I972" s="81"/>
      <c r="J972" s="81"/>
      <c r="K972" s="82"/>
      <c r="L972" s="83"/>
      <c r="M972" s="84"/>
      <c r="N972" s="37"/>
      <c r="O972" s="38"/>
      <c r="P972" s="38"/>
      <c r="Q972" s="38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78"/>
      <c r="B973" s="79"/>
      <c r="C973" s="79"/>
      <c r="D973" s="80"/>
      <c r="E973" s="81"/>
      <c r="F973" s="81"/>
      <c r="G973" s="81"/>
      <c r="H973" s="81"/>
      <c r="I973" s="81"/>
      <c r="J973" s="81"/>
      <c r="K973" s="82"/>
      <c r="L973" s="83"/>
      <c r="M973" s="84"/>
      <c r="N973" s="37"/>
      <c r="O973" s="38"/>
      <c r="P973" s="38"/>
      <c r="Q973" s="38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78"/>
      <c r="B974" s="79"/>
      <c r="C974" s="79"/>
      <c r="D974" s="80"/>
      <c r="E974" s="81"/>
      <c r="F974" s="81"/>
      <c r="G974" s="81"/>
      <c r="H974" s="81"/>
      <c r="I974" s="81"/>
      <c r="J974" s="81"/>
      <c r="K974" s="82"/>
      <c r="L974" s="83"/>
      <c r="M974" s="84"/>
      <c r="N974" s="37"/>
      <c r="O974" s="38"/>
      <c r="P974" s="38"/>
      <c r="Q974" s="38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78"/>
      <c r="B975" s="79"/>
      <c r="C975" s="79"/>
      <c r="D975" s="80"/>
      <c r="E975" s="81"/>
      <c r="F975" s="81"/>
      <c r="G975" s="81"/>
      <c r="H975" s="81"/>
      <c r="I975" s="81"/>
      <c r="J975" s="81"/>
      <c r="K975" s="82"/>
      <c r="L975" s="83"/>
      <c r="M975" s="84"/>
      <c r="N975" s="37"/>
      <c r="O975" s="38"/>
      <c r="P975" s="38"/>
      <c r="Q975" s="38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78"/>
      <c r="B976" s="79"/>
      <c r="C976" s="79"/>
      <c r="D976" s="80"/>
      <c r="E976" s="81"/>
      <c r="F976" s="81"/>
      <c r="G976" s="81"/>
      <c r="H976" s="81"/>
      <c r="I976" s="81"/>
      <c r="J976" s="81"/>
      <c r="K976" s="82"/>
      <c r="L976" s="83"/>
      <c r="M976" s="84"/>
      <c r="N976" s="37"/>
      <c r="O976" s="38"/>
      <c r="P976" s="38"/>
      <c r="Q976" s="38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78"/>
      <c r="B977" s="79"/>
      <c r="C977" s="79"/>
      <c r="D977" s="80"/>
      <c r="E977" s="81"/>
      <c r="F977" s="81"/>
      <c r="G977" s="81"/>
      <c r="H977" s="81"/>
      <c r="I977" s="81"/>
      <c r="J977" s="81"/>
      <c r="K977" s="82"/>
      <c r="L977" s="83"/>
      <c r="M977" s="84"/>
      <c r="N977" s="37"/>
      <c r="O977" s="38"/>
      <c r="P977" s="38"/>
      <c r="Q977" s="38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78"/>
      <c r="B978" s="79"/>
      <c r="C978" s="79"/>
      <c r="D978" s="80"/>
      <c r="E978" s="81"/>
      <c r="F978" s="81"/>
      <c r="G978" s="81"/>
      <c r="H978" s="81"/>
      <c r="I978" s="81"/>
      <c r="J978" s="81"/>
      <c r="K978" s="82"/>
      <c r="L978" s="83"/>
      <c r="M978" s="84"/>
      <c r="N978" s="37"/>
      <c r="O978" s="38"/>
      <c r="P978" s="38"/>
      <c r="Q978" s="38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78"/>
      <c r="B979" s="79"/>
      <c r="C979" s="79"/>
      <c r="D979" s="80"/>
      <c r="E979" s="81"/>
      <c r="F979" s="81"/>
      <c r="G979" s="81"/>
      <c r="H979" s="81"/>
      <c r="I979" s="81"/>
      <c r="J979" s="81"/>
      <c r="K979" s="82"/>
      <c r="L979" s="83"/>
      <c r="M979" s="84"/>
      <c r="N979" s="37"/>
      <c r="O979" s="38"/>
      <c r="P979" s="38"/>
      <c r="Q979" s="38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78"/>
      <c r="B980" s="79"/>
      <c r="C980" s="79"/>
      <c r="D980" s="80"/>
      <c r="E980" s="81"/>
      <c r="F980" s="81"/>
      <c r="G980" s="81"/>
      <c r="H980" s="81"/>
      <c r="I980" s="81"/>
      <c r="J980" s="81"/>
      <c r="K980" s="82"/>
      <c r="L980" s="83"/>
      <c r="M980" s="84"/>
      <c r="N980" s="37"/>
      <c r="O980" s="38"/>
      <c r="P980" s="38"/>
      <c r="Q980" s="38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78"/>
      <c r="B981" s="79"/>
      <c r="C981" s="79"/>
      <c r="D981" s="80"/>
      <c r="E981" s="81"/>
      <c r="F981" s="81"/>
      <c r="G981" s="81"/>
      <c r="H981" s="81"/>
      <c r="I981" s="81"/>
      <c r="J981" s="81"/>
      <c r="K981" s="82"/>
      <c r="L981" s="83"/>
      <c r="M981" s="84"/>
      <c r="N981" s="37"/>
      <c r="O981" s="38"/>
      <c r="P981" s="38"/>
      <c r="Q981" s="38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78"/>
      <c r="B982" s="79"/>
      <c r="C982" s="79"/>
      <c r="D982" s="80"/>
      <c r="E982" s="81"/>
      <c r="F982" s="81"/>
      <c r="G982" s="81"/>
      <c r="H982" s="81"/>
      <c r="I982" s="81"/>
      <c r="J982" s="81"/>
      <c r="K982" s="82"/>
      <c r="L982" s="83"/>
      <c r="M982" s="84"/>
      <c r="N982" s="37"/>
      <c r="O982" s="38"/>
      <c r="P982" s="38"/>
      <c r="Q982" s="38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78"/>
      <c r="B983" s="79"/>
      <c r="C983" s="79"/>
      <c r="D983" s="80"/>
      <c r="E983" s="81"/>
      <c r="F983" s="81"/>
      <c r="G983" s="81"/>
      <c r="H983" s="81"/>
      <c r="I983" s="81"/>
      <c r="J983" s="81"/>
      <c r="K983" s="82"/>
      <c r="L983" s="83"/>
      <c r="M983" s="84"/>
      <c r="N983" s="37"/>
      <c r="O983" s="38"/>
      <c r="P983" s="38"/>
      <c r="Q983" s="38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78"/>
      <c r="B984" s="79"/>
      <c r="C984" s="79"/>
      <c r="D984" s="80"/>
      <c r="E984" s="81"/>
      <c r="F984" s="81"/>
      <c r="G984" s="81"/>
      <c r="H984" s="81"/>
      <c r="I984" s="81"/>
      <c r="J984" s="81"/>
      <c r="K984" s="82"/>
      <c r="L984" s="83"/>
      <c r="M984" s="84"/>
      <c r="N984" s="37"/>
      <c r="O984" s="38"/>
      <c r="P984" s="38"/>
      <c r="Q984" s="38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78"/>
      <c r="B985" s="79"/>
      <c r="C985" s="79"/>
      <c r="D985" s="80"/>
      <c r="E985" s="81"/>
      <c r="F985" s="81"/>
      <c r="G985" s="81"/>
      <c r="H985" s="81"/>
      <c r="I985" s="81"/>
      <c r="J985" s="81"/>
      <c r="K985" s="82"/>
      <c r="L985" s="83"/>
      <c r="M985" s="84"/>
      <c r="N985" s="37"/>
      <c r="O985" s="38"/>
      <c r="P985" s="38"/>
      <c r="Q985" s="38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78"/>
      <c r="B986" s="79"/>
      <c r="C986" s="79"/>
      <c r="D986" s="80"/>
      <c r="E986" s="81"/>
      <c r="F986" s="81"/>
      <c r="G986" s="81"/>
      <c r="H986" s="81"/>
      <c r="I986" s="81"/>
      <c r="J986" s="81"/>
      <c r="K986" s="82"/>
      <c r="L986" s="83"/>
      <c r="M986" s="84"/>
      <c r="N986" s="37"/>
      <c r="O986" s="38"/>
      <c r="P986" s="38"/>
      <c r="Q986" s="38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78"/>
      <c r="B987" s="79"/>
      <c r="C987" s="79"/>
      <c r="D987" s="80"/>
      <c r="E987" s="81"/>
      <c r="F987" s="81"/>
      <c r="G987" s="81"/>
      <c r="H987" s="81"/>
      <c r="I987" s="81"/>
      <c r="J987" s="81"/>
      <c r="K987" s="82"/>
      <c r="L987" s="83"/>
      <c r="M987" s="84"/>
      <c r="N987" s="37"/>
      <c r="O987" s="38"/>
      <c r="P987" s="38"/>
      <c r="Q987" s="38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78"/>
      <c r="B988" s="79"/>
      <c r="C988" s="79"/>
      <c r="D988" s="80"/>
      <c r="E988" s="81"/>
      <c r="F988" s="81"/>
      <c r="G988" s="81"/>
      <c r="H988" s="81"/>
      <c r="I988" s="81"/>
      <c r="J988" s="81"/>
      <c r="K988" s="82"/>
      <c r="L988" s="83"/>
      <c r="M988" s="84"/>
      <c r="N988" s="37"/>
      <c r="O988" s="38"/>
      <c r="P988" s="38"/>
      <c r="Q988" s="38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78"/>
      <c r="B989" s="79"/>
      <c r="C989" s="79"/>
      <c r="D989" s="80"/>
      <c r="E989" s="81"/>
      <c r="F989" s="81"/>
      <c r="G989" s="81"/>
      <c r="H989" s="81"/>
      <c r="I989" s="81"/>
      <c r="J989" s="81"/>
      <c r="K989" s="82"/>
      <c r="L989" s="83"/>
      <c r="M989" s="84"/>
      <c r="N989" s="37"/>
      <c r="O989" s="38"/>
      <c r="P989" s="38"/>
      <c r="Q989" s="38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78"/>
      <c r="B990" s="79"/>
      <c r="C990" s="79"/>
      <c r="D990" s="80"/>
      <c r="E990" s="81"/>
      <c r="F990" s="81"/>
      <c r="G990" s="81"/>
      <c r="H990" s="81"/>
      <c r="I990" s="81"/>
      <c r="J990" s="81"/>
      <c r="K990" s="82"/>
      <c r="L990" s="83"/>
      <c r="M990" s="84"/>
      <c r="N990" s="37"/>
      <c r="O990" s="38"/>
      <c r="P990" s="38"/>
      <c r="Q990" s="38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78"/>
      <c r="B991" s="79"/>
      <c r="C991" s="79"/>
      <c r="D991" s="80"/>
      <c r="E991" s="81"/>
      <c r="F991" s="81"/>
      <c r="G991" s="81"/>
      <c r="H991" s="81"/>
      <c r="I991" s="81"/>
      <c r="J991" s="81"/>
      <c r="K991" s="82"/>
      <c r="L991" s="83"/>
      <c r="M991" s="84"/>
      <c r="N991" s="37"/>
      <c r="O991" s="38"/>
      <c r="P991" s="38"/>
      <c r="Q991" s="38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78"/>
      <c r="B992" s="79"/>
      <c r="C992" s="79"/>
      <c r="D992" s="80"/>
      <c r="E992" s="81"/>
      <c r="F992" s="81"/>
      <c r="G992" s="81"/>
      <c r="H992" s="81"/>
      <c r="I992" s="81"/>
      <c r="J992" s="81"/>
      <c r="K992" s="82"/>
      <c r="L992" s="83"/>
      <c r="M992" s="84"/>
      <c r="N992" s="37"/>
      <c r="O992" s="38"/>
      <c r="P992" s="38"/>
      <c r="Q992" s="38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78"/>
      <c r="B993" s="79"/>
      <c r="C993" s="79"/>
      <c r="D993" s="80"/>
      <c r="E993" s="81"/>
      <c r="F993" s="81"/>
      <c r="G993" s="81"/>
      <c r="H993" s="81"/>
      <c r="I993" s="81"/>
      <c r="J993" s="81"/>
      <c r="K993" s="82"/>
      <c r="L993" s="83"/>
      <c r="M993" s="84"/>
      <c r="N993" s="37"/>
      <c r="O993" s="38"/>
      <c r="P993" s="38"/>
      <c r="Q993" s="38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78"/>
      <c r="B994" s="79"/>
      <c r="C994" s="79"/>
      <c r="D994" s="80"/>
      <c r="E994" s="81"/>
      <c r="F994" s="81"/>
      <c r="G994" s="81"/>
      <c r="H994" s="81"/>
      <c r="I994" s="81"/>
      <c r="J994" s="81"/>
      <c r="K994" s="82"/>
      <c r="L994" s="83"/>
      <c r="M994" s="84"/>
      <c r="N994" s="37"/>
      <c r="O994" s="38"/>
      <c r="P994" s="38"/>
      <c r="Q994" s="38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78"/>
      <c r="B995" s="79"/>
      <c r="C995" s="79"/>
      <c r="D995" s="80"/>
      <c r="E995" s="81"/>
      <c r="F995" s="81"/>
      <c r="G995" s="81"/>
      <c r="H995" s="81"/>
      <c r="I995" s="81"/>
      <c r="J995" s="81"/>
      <c r="K995" s="82"/>
      <c r="L995" s="83"/>
      <c r="M995" s="84"/>
      <c r="N995" s="37"/>
      <c r="O995" s="38"/>
      <c r="P995" s="38"/>
      <c r="Q995" s="38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78"/>
      <c r="B996" s="79"/>
      <c r="C996" s="79"/>
      <c r="D996" s="80"/>
      <c r="E996" s="81"/>
      <c r="F996" s="81"/>
      <c r="G996" s="81"/>
      <c r="H996" s="81"/>
      <c r="I996" s="81"/>
      <c r="J996" s="81"/>
      <c r="K996" s="82"/>
      <c r="L996" s="83"/>
      <c r="M996" s="84"/>
      <c r="N996" s="37"/>
      <c r="O996" s="38"/>
      <c r="P996" s="38"/>
      <c r="Q996" s="38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78"/>
      <c r="B997" s="79"/>
      <c r="C997" s="79"/>
      <c r="D997" s="80"/>
      <c r="E997" s="81"/>
      <c r="F997" s="81"/>
      <c r="G997" s="81"/>
      <c r="H997" s="81"/>
      <c r="I997" s="81"/>
      <c r="J997" s="81"/>
      <c r="K997" s="82"/>
      <c r="L997" s="83"/>
      <c r="M997" s="84"/>
      <c r="N997" s="37"/>
      <c r="O997" s="38"/>
      <c r="P997" s="38"/>
      <c r="Q997" s="38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78"/>
      <c r="B998" s="79"/>
      <c r="C998" s="79"/>
      <c r="D998" s="80"/>
      <c r="E998" s="81"/>
      <c r="F998" s="81"/>
      <c r="G998" s="81"/>
      <c r="H998" s="81"/>
      <c r="I998" s="81"/>
      <c r="J998" s="81"/>
      <c r="K998" s="82"/>
      <c r="L998" s="83"/>
      <c r="M998" s="84"/>
      <c r="N998" s="37"/>
      <c r="O998" s="38"/>
      <c r="P998" s="38"/>
      <c r="Q998" s="38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78"/>
      <c r="B999" s="79"/>
      <c r="C999" s="79"/>
      <c r="D999" s="80"/>
      <c r="E999" s="81"/>
      <c r="F999" s="81"/>
      <c r="G999" s="81"/>
      <c r="H999" s="81"/>
      <c r="I999" s="81"/>
      <c r="J999" s="81"/>
      <c r="K999" s="82"/>
      <c r="L999" s="83"/>
      <c r="M999" s="84"/>
      <c r="N999" s="37"/>
      <c r="O999" s="38"/>
      <c r="P999" s="38"/>
      <c r="Q999" s="38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>
      <c r="A1000" s="78"/>
      <c r="B1000" s="79"/>
      <c r="C1000" s="79"/>
      <c r="D1000" s="80"/>
      <c r="E1000" s="81"/>
      <c r="F1000" s="81"/>
      <c r="G1000" s="81"/>
      <c r="H1000" s="81"/>
      <c r="I1000" s="81"/>
      <c r="J1000" s="81"/>
      <c r="K1000" s="82"/>
      <c r="L1000" s="83"/>
      <c r="M1000" s="84"/>
      <c r="N1000" s="37"/>
      <c r="O1000" s="38"/>
      <c r="P1000" s="38"/>
      <c r="Q1000" s="38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280"/>
      <c r="B1" s="276"/>
      <c r="C1" s="276"/>
      <c r="D1" s="276"/>
      <c r="E1" s="276"/>
      <c r="F1" s="276"/>
      <c r="G1" s="276"/>
    </row>
    <row r="2" spans="1:7" ht="9.75" customHeight="1">
      <c r="A2" s="1"/>
      <c r="B2" s="1"/>
      <c r="C2" s="1"/>
      <c r="D2" s="1"/>
      <c r="E2" s="275"/>
      <c r="F2" s="276"/>
      <c r="G2" s="276"/>
    </row>
    <row r="3" spans="1:7" ht="19.5" customHeight="1">
      <c r="A3" s="277" t="s">
        <v>287</v>
      </c>
      <c r="B3" s="244"/>
      <c r="C3" s="244"/>
      <c r="D3" s="244"/>
      <c r="E3" s="244"/>
      <c r="F3" s="244"/>
      <c r="G3" s="245"/>
    </row>
    <row r="4" spans="1:7" ht="15" customHeight="1">
      <c r="A4" s="278" t="s">
        <v>288</v>
      </c>
      <c r="B4" s="245"/>
      <c r="C4" s="85" t="s">
        <v>4</v>
      </c>
      <c r="D4" s="85" t="s">
        <v>289</v>
      </c>
      <c r="E4" s="85" t="s">
        <v>290</v>
      </c>
      <c r="F4" s="85" t="s">
        <v>291</v>
      </c>
      <c r="G4" s="85" t="s">
        <v>292</v>
      </c>
    </row>
    <row r="5" spans="1:7" ht="28.5" customHeight="1">
      <c r="A5" s="86" t="s">
        <v>293</v>
      </c>
      <c r="B5" s="87" t="s">
        <v>294</v>
      </c>
      <c r="C5" s="86" t="s">
        <v>10</v>
      </c>
      <c r="D5" s="86" t="s">
        <v>11</v>
      </c>
      <c r="E5" s="88">
        <v>0.99470252000000003</v>
      </c>
      <c r="F5" s="89">
        <v>390</v>
      </c>
      <c r="G5" s="89">
        <v>387.93</v>
      </c>
    </row>
    <row r="6" spans="1:7" ht="15" customHeight="1">
      <c r="A6" s="86" t="s">
        <v>295</v>
      </c>
      <c r="B6" s="87" t="s">
        <v>296</v>
      </c>
      <c r="C6" s="86" t="s">
        <v>10</v>
      </c>
      <c r="D6" s="86" t="s">
        <v>297</v>
      </c>
      <c r="E6" s="88">
        <v>1.1240129999999999E-2</v>
      </c>
      <c r="F6" s="89">
        <v>37.729999999999997</v>
      </c>
      <c r="G6" s="89">
        <v>0.42</v>
      </c>
    </row>
    <row r="7" spans="1:7" ht="15" customHeight="1">
      <c r="A7" s="86" t="s">
        <v>298</v>
      </c>
      <c r="B7" s="87" t="s">
        <v>299</v>
      </c>
      <c r="C7" s="86" t="s">
        <v>10</v>
      </c>
      <c r="D7" s="86" t="s">
        <v>297</v>
      </c>
      <c r="E7" s="88">
        <v>1.3130060000000001E-2</v>
      </c>
      <c r="F7" s="89">
        <v>20.22</v>
      </c>
      <c r="G7" s="89">
        <v>0.26</v>
      </c>
    </row>
    <row r="8" spans="1:7" ht="21" customHeight="1">
      <c r="A8" s="86" t="s">
        <v>300</v>
      </c>
      <c r="B8" s="87" t="s">
        <v>301</v>
      </c>
      <c r="C8" s="86" t="s">
        <v>10</v>
      </c>
      <c r="D8" s="86" t="s">
        <v>13</v>
      </c>
      <c r="E8" s="88">
        <v>3.19130409</v>
      </c>
      <c r="F8" s="89">
        <v>5.27</v>
      </c>
      <c r="G8" s="89">
        <v>16.809999999999999</v>
      </c>
    </row>
    <row r="9" spans="1:7" ht="15" customHeight="1">
      <c r="A9" s="1"/>
      <c r="B9" s="1"/>
      <c r="C9" s="1"/>
      <c r="D9" s="1"/>
      <c r="E9" s="279" t="s">
        <v>302</v>
      </c>
      <c r="F9" s="245"/>
      <c r="G9" s="90">
        <v>405.42</v>
      </c>
    </row>
    <row r="10" spans="1:7" ht="15" customHeight="1">
      <c r="A10" s="278" t="s">
        <v>303</v>
      </c>
      <c r="B10" s="245"/>
      <c r="C10" s="85" t="s">
        <v>4</v>
      </c>
      <c r="D10" s="85" t="s">
        <v>289</v>
      </c>
      <c r="E10" s="85" t="s">
        <v>290</v>
      </c>
      <c r="F10" s="85" t="s">
        <v>291</v>
      </c>
      <c r="G10" s="85" t="s">
        <v>292</v>
      </c>
    </row>
    <row r="11" spans="1:7" ht="21" customHeight="1">
      <c r="A11" s="86" t="s">
        <v>304</v>
      </c>
      <c r="B11" s="87" t="s">
        <v>305</v>
      </c>
      <c r="C11" s="86" t="s">
        <v>10</v>
      </c>
      <c r="D11" s="86" t="s">
        <v>306</v>
      </c>
      <c r="E11" s="88">
        <v>0.37092456000000001</v>
      </c>
      <c r="F11" s="89">
        <v>24.68</v>
      </c>
      <c r="G11" s="89">
        <v>9.15</v>
      </c>
    </row>
    <row r="12" spans="1:7" ht="15" customHeight="1">
      <c r="A12" s="86" t="s">
        <v>307</v>
      </c>
      <c r="B12" s="87" t="s">
        <v>308</v>
      </c>
      <c r="C12" s="86" t="s">
        <v>10</v>
      </c>
      <c r="D12" s="86" t="s">
        <v>306</v>
      </c>
      <c r="E12" s="88">
        <v>1.1126742199999999</v>
      </c>
      <c r="F12" s="89">
        <v>19.97</v>
      </c>
      <c r="G12" s="89">
        <v>22.22</v>
      </c>
    </row>
    <row r="13" spans="1:7" ht="18" customHeight="1">
      <c r="A13" s="1"/>
      <c r="B13" s="1"/>
      <c r="C13" s="1"/>
      <c r="D13" s="1"/>
      <c r="E13" s="279" t="s">
        <v>309</v>
      </c>
      <c r="F13" s="245"/>
      <c r="G13" s="90">
        <v>31.37</v>
      </c>
    </row>
    <row r="14" spans="1:7" ht="15" customHeight="1">
      <c r="A14" s="278" t="s">
        <v>310</v>
      </c>
      <c r="B14" s="245"/>
      <c r="C14" s="85" t="s">
        <v>4</v>
      </c>
      <c r="D14" s="85" t="s">
        <v>289</v>
      </c>
      <c r="E14" s="85" t="s">
        <v>290</v>
      </c>
      <c r="F14" s="85" t="s">
        <v>291</v>
      </c>
      <c r="G14" s="85" t="s">
        <v>292</v>
      </c>
    </row>
    <row r="15" spans="1:7" ht="21" customHeight="1">
      <c r="A15" s="86" t="s">
        <v>311</v>
      </c>
      <c r="B15" s="87" t="s">
        <v>312</v>
      </c>
      <c r="C15" s="86" t="s">
        <v>10</v>
      </c>
      <c r="D15" s="86" t="s">
        <v>11</v>
      </c>
      <c r="E15" s="88">
        <v>0.49735125000000002</v>
      </c>
      <c r="F15" s="89">
        <v>22.41</v>
      </c>
      <c r="G15" s="89">
        <v>11.14</v>
      </c>
    </row>
    <row r="16" spans="1:7" ht="15" customHeight="1">
      <c r="A16" s="1"/>
      <c r="B16" s="1"/>
      <c r="C16" s="1"/>
      <c r="D16" s="1"/>
      <c r="E16" s="279" t="s">
        <v>313</v>
      </c>
      <c r="F16" s="245"/>
      <c r="G16" s="90">
        <v>11.14</v>
      </c>
    </row>
    <row r="17" spans="1:7" ht="15" customHeight="1">
      <c r="A17" s="1"/>
      <c r="B17" s="1"/>
      <c r="C17" s="1"/>
      <c r="D17" s="1"/>
      <c r="E17" s="274" t="s">
        <v>314</v>
      </c>
      <c r="F17" s="245"/>
      <c r="G17" s="2">
        <v>447.93</v>
      </c>
    </row>
    <row r="18" spans="1:7" ht="9.75" customHeight="1">
      <c r="A18" s="1"/>
      <c r="B18" s="1"/>
      <c r="C18" s="1"/>
      <c r="D18" s="1"/>
      <c r="E18" s="275"/>
      <c r="F18" s="276"/>
      <c r="G18" s="276"/>
    </row>
    <row r="19" spans="1:7" ht="19.5" customHeight="1">
      <c r="A19" s="277" t="s">
        <v>315</v>
      </c>
      <c r="B19" s="244"/>
      <c r="C19" s="244"/>
      <c r="D19" s="244"/>
      <c r="E19" s="244"/>
      <c r="F19" s="244"/>
      <c r="G19" s="245"/>
    </row>
    <row r="20" spans="1:7" ht="15" customHeight="1">
      <c r="A20" s="278" t="s">
        <v>316</v>
      </c>
      <c r="B20" s="245"/>
      <c r="C20" s="85" t="s">
        <v>4</v>
      </c>
      <c r="D20" s="85" t="s">
        <v>289</v>
      </c>
      <c r="E20" s="85" t="s">
        <v>290</v>
      </c>
      <c r="F20" s="85" t="s">
        <v>291</v>
      </c>
      <c r="G20" s="85" t="s">
        <v>292</v>
      </c>
    </row>
    <row r="21" spans="1:7" ht="28.5" customHeight="1">
      <c r="A21" s="86" t="s">
        <v>317</v>
      </c>
      <c r="B21" s="87" t="s">
        <v>318</v>
      </c>
      <c r="C21" s="86" t="s">
        <v>10</v>
      </c>
      <c r="D21" s="86" t="s">
        <v>319</v>
      </c>
      <c r="E21" s="88">
        <v>2.7600880000000001E-2</v>
      </c>
      <c r="F21" s="89">
        <v>23.62</v>
      </c>
      <c r="G21" s="89">
        <v>0.65</v>
      </c>
    </row>
    <row r="22" spans="1:7" ht="28.5" customHeight="1">
      <c r="A22" s="86" t="s">
        <v>320</v>
      </c>
      <c r="B22" s="87" t="s">
        <v>321</v>
      </c>
      <c r="C22" s="86" t="s">
        <v>10</v>
      </c>
      <c r="D22" s="86" t="s">
        <v>322</v>
      </c>
      <c r="E22" s="88">
        <v>6.9002200000000003E-3</v>
      </c>
      <c r="F22" s="89">
        <v>24.59</v>
      </c>
      <c r="G22" s="89">
        <v>0.16</v>
      </c>
    </row>
    <row r="23" spans="1:7" ht="18" customHeight="1">
      <c r="A23" s="1"/>
      <c r="B23" s="1"/>
      <c r="C23" s="1"/>
      <c r="D23" s="1"/>
      <c r="E23" s="279" t="s">
        <v>323</v>
      </c>
      <c r="F23" s="245"/>
      <c r="G23" s="90">
        <v>0.81</v>
      </c>
    </row>
    <row r="24" spans="1:7" ht="15" customHeight="1">
      <c r="A24" s="278" t="s">
        <v>288</v>
      </c>
      <c r="B24" s="245"/>
      <c r="C24" s="85" t="s">
        <v>4</v>
      </c>
      <c r="D24" s="85" t="s">
        <v>289</v>
      </c>
      <c r="E24" s="85" t="s">
        <v>290</v>
      </c>
      <c r="F24" s="85" t="s">
        <v>291</v>
      </c>
      <c r="G24" s="85" t="s">
        <v>292</v>
      </c>
    </row>
    <row r="25" spans="1:7" ht="28.5" customHeight="1">
      <c r="A25" s="86" t="s">
        <v>324</v>
      </c>
      <c r="B25" s="87" t="s">
        <v>325</v>
      </c>
      <c r="C25" s="86" t="s">
        <v>10</v>
      </c>
      <c r="D25" s="86" t="s">
        <v>13</v>
      </c>
      <c r="E25" s="88">
        <v>0.40662013000000002</v>
      </c>
      <c r="F25" s="89">
        <v>22.73</v>
      </c>
      <c r="G25" s="89">
        <v>9.24</v>
      </c>
    </row>
    <row r="26" spans="1:7" ht="15" customHeight="1">
      <c r="A26" s="86" t="s">
        <v>326</v>
      </c>
      <c r="B26" s="87" t="s">
        <v>327</v>
      </c>
      <c r="C26" s="86" t="s">
        <v>10</v>
      </c>
      <c r="D26" s="86" t="s">
        <v>297</v>
      </c>
      <c r="E26" s="88">
        <v>0.10941778000000001</v>
      </c>
      <c r="F26" s="89">
        <v>19.829999999999998</v>
      </c>
      <c r="G26" s="89">
        <v>2.16</v>
      </c>
    </row>
    <row r="27" spans="1:7" ht="28.5" customHeight="1">
      <c r="A27" s="86" t="s">
        <v>328</v>
      </c>
      <c r="B27" s="87" t="s">
        <v>329</v>
      </c>
      <c r="C27" s="86" t="s">
        <v>10</v>
      </c>
      <c r="D27" s="86" t="s">
        <v>13</v>
      </c>
      <c r="E27" s="88">
        <v>0.73388774000000001</v>
      </c>
      <c r="F27" s="89">
        <v>6.32</v>
      </c>
      <c r="G27" s="89">
        <v>4.63</v>
      </c>
    </row>
    <row r="28" spans="1:7" ht="21" customHeight="1">
      <c r="A28" s="86" t="s">
        <v>330</v>
      </c>
      <c r="B28" s="87" t="s">
        <v>331</v>
      </c>
      <c r="C28" s="86" t="s">
        <v>10</v>
      </c>
      <c r="D28" s="86" t="s">
        <v>13</v>
      </c>
      <c r="E28" s="88">
        <v>0.54216017999999999</v>
      </c>
      <c r="F28" s="89">
        <v>11.74</v>
      </c>
      <c r="G28" s="89">
        <v>6.36</v>
      </c>
    </row>
    <row r="29" spans="1:7" ht="15" customHeight="1">
      <c r="A29" s="86" t="s">
        <v>332</v>
      </c>
      <c r="B29" s="87" t="s">
        <v>333</v>
      </c>
      <c r="C29" s="86" t="s">
        <v>10</v>
      </c>
      <c r="D29" s="86" t="s">
        <v>334</v>
      </c>
      <c r="E29" s="88">
        <v>2.5235090000000002E-2</v>
      </c>
      <c r="F29" s="89">
        <v>30.26</v>
      </c>
      <c r="G29" s="89">
        <v>0.76</v>
      </c>
    </row>
    <row r="30" spans="1:7" ht="15" customHeight="1">
      <c r="A30" s="1"/>
      <c r="B30" s="1"/>
      <c r="C30" s="1"/>
      <c r="D30" s="1"/>
      <c r="E30" s="279" t="s">
        <v>302</v>
      </c>
      <c r="F30" s="245"/>
      <c r="G30" s="90">
        <v>23.15</v>
      </c>
    </row>
    <row r="31" spans="1:7" ht="15" customHeight="1">
      <c r="A31" s="278" t="s">
        <v>303</v>
      </c>
      <c r="B31" s="245"/>
      <c r="C31" s="85" t="s">
        <v>4</v>
      </c>
      <c r="D31" s="85" t="s">
        <v>289</v>
      </c>
      <c r="E31" s="85" t="s">
        <v>290</v>
      </c>
      <c r="F31" s="85" t="s">
        <v>291</v>
      </c>
      <c r="G31" s="85" t="s">
        <v>292</v>
      </c>
    </row>
    <row r="32" spans="1:7" ht="21" customHeight="1">
      <c r="A32" s="86" t="s">
        <v>335</v>
      </c>
      <c r="B32" s="87" t="s">
        <v>336</v>
      </c>
      <c r="C32" s="86" t="s">
        <v>10</v>
      </c>
      <c r="D32" s="86" t="s">
        <v>306</v>
      </c>
      <c r="E32" s="88">
        <v>0.71436997000000002</v>
      </c>
      <c r="F32" s="89">
        <v>20.68</v>
      </c>
      <c r="G32" s="89">
        <v>14.77</v>
      </c>
    </row>
    <row r="33" spans="1:7" ht="21" customHeight="1">
      <c r="A33" s="86" t="s">
        <v>304</v>
      </c>
      <c r="B33" s="87" t="s">
        <v>305</v>
      </c>
      <c r="C33" s="86" t="s">
        <v>10</v>
      </c>
      <c r="D33" s="86" t="s">
        <v>306</v>
      </c>
      <c r="E33" s="88">
        <v>0.71436997000000002</v>
      </c>
      <c r="F33" s="89">
        <v>24.68</v>
      </c>
      <c r="G33" s="89">
        <v>17.63</v>
      </c>
    </row>
    <row r="34" spans="1:7" ht="18" customHeight="1">
      <c r="A34" s="1"/>
      <c r="B34" s="1"/>
      <c r="C34" s="1"/>
      <c r="D34" s="1"/>
      <c r="E34" s="279" t="s">
        <v>309</v>
      </c>
      <c r="F34" s="245"/>
      <c r="G34" s="90">
        <v>32.4</v>
      </c>
    </row>
    <row r="35" spans="1:7" ht="15" customHeight="1">
      <c r="A35" s="278" t="s">
        <v>310</v>
      </c>
      <c r="B35" s="245"/>
      <c r="C35" s="85" t="s">
        <v>4</v>
      </c>
      <c r="D35" s="85" t="s">
        <v>289</v>
      </c>
      <c r="E35" s="85" t="s">
        <v>290</v>
      </c>
      <c r="F35" s="85" t="s">
        <v>291</v>
      </c>
      <c r="G35" s="85" t="s">
        <v>292</v>
      </c>
    </row>
    <row r="36" spans="1:7" ht="28.5" customHeight="1">
      <c r="A36" s="86" t="s">
        <v>337</v>
      </c>
      <c r="B36" s="87" t="s">
        <v>338</v>
      </c>
      <c r="C36" s="86" t="s">
        <v>10</v>
      </c>
      <c r="D36" s="86" t="s">
        <v>15</v>
      </c>
      <c r="E36" s="88">
        <v>3.9429799999999996E-3</v>
      </c>
      <c r="F36" s="89">
        <v>437.61</v>
      </c>
      <c r="G36" s="89">
        <v>1.72</v>
      </c>
    </row>
    <row r="37" spans="1:7" ht="15" customHeight="1">
      <c r="A37" s="1"/>
      <c r="B37" s="1"/>
      <c r="C37" s="1"/>
      <c r="D37" s="1"/>
      <c r="E37" s="279" t="s">
        <v>313</v>
      </c>
      <c r="F37" s="245"/>
      <c r="G37" s="90">
        <v>1.72</v>
      </c>
    </row>
    <row r="38" spans="1:7" ht="15" customHeight="1">
      <c r="A38" s="1"/>
      <c r="B38" s="1"/>
      <c r="C38" s="1"/>
      <c r="D38" s="1"/>
      <c r="E38" s="274" t="s">
        <v>314</v>
      </c>
      <c r="F38" s="245"/>
      <c r="G38" s="2">
        <v>58.08</v>
      </c>
    </row>
    <row r="39" spans="1:7" ht="9.75" customHeight="1">
      <c r="A39" s="1"/>
      <c r="B39" s="1"/>
      <c r="C39" s="1"/>
      <c r="D39" s="1"/>
      <c r="E39" s="275"/>
      <c r="F39" s="276"/>
      <c r="G39" s="276"/>
    </row>
    <row r="40" spans="1:7" ht="19.5" customHeight="1">
      <c r="A40" s="277" t="s">
        <v>339</v>
      </c>
      <c r="B40" s="244"/>
      <c r="C40" s="244"/>
      <c r="D40" s="244"/>
      <c r="E40" s="244"/>
      <c r="F40" s="244"/>
      <c r="G40" s="245"/>
    </row>
    <row r="41" spans="1:7" ht="15" customHeight="1">
      <c r="A41" s="278" t="s">
        <v>316</v>
      </c>
      <c r="B41" s="245"/>
      <c r="C41" s="85" t="s">
        <v>4</v>
      </c>
      <c r="D41" s="85" t="s">
        <v>289</v>
      </c>
      <c r="E41" s="85" t="s">
        <v>290</v>
      </c>
      <c r="F41" s="85" t="s">
        <v>291</v>
      </c>
      <c r="G41" s="85" t="s">
        <v>292</v>
      </c>
    </row>
    <row r="42" spans="1:7" ht="28.5" customHeight="1">
      <c r="A42" s="86" t="s">
        <v>340</v>
      </c>
      <c r="B42" s="87" t="s">
        <v>341</v>
      </c>
      <c r="C42" s="86" t="s">
        <v>10</v>
      </c>
      <c r="D42" s="86" t="s">
        <v>319</v>
      </c>
      <c r="E42" s="88">
        <v>0.85917673000000006</v>
      </c>
      <c r="F42" s="89">
        <v>8.73</v>
      </c>
      <c r="G42" s="89">
        <v>7.5</v>
      </c>
    </row>
    <row r="43" spans="1:7" ht="28.5" customHeight="1">
      <c r="A43" s="86" t="s">
        <v>342</v>
      </c>
      <c r="B43" s="87" t="s">
        <v>343</v>
      </c>
      <c r="C43" s="86" t="s">
        <v>10</v>
      </c>
      <c r="D43" s="86" t="s">
        <v>322</v>
      </c>
      <c r="E43" s="88">
        <v>1.12381927</v>
      </c>
      <c r="F43" s="89">
        <v>31.4</v>
      </c>
      <c r="G43" s="89">
        <v>35.28</v>
      </c>
    </row>
    <row r="44" spans="1:7" ht="21" customHeight="1">
      <c r="A44" s="86" t="s">
        <v>344</v>
      </c>
      <c r="B44" s="87" t="s">
        <v>345</v>
      </c>
      <c r="C44" s="86" t="s">
        <v>10</v>
      </c>
      <c r="D44" s="86" t="s">
        <v>319</v>
      </c>
      <c r="E44" s="88">
        <v>0.85917673000000006</v>
      </c>
      <c r="F44" s="89">
        <v>18.03</v>
      </c>
      <c r="G44" s="89">
        <v>15.49</v>
      </c>
    </row>
    <row r="45" spans="1:7" ht="21" customHeight="1">
      <c r="A45" s="86" t="s">
        <v>346</v>
      </c>
      <c r="B45" s="87" t="s">
        <v>347</v>
      </c>
      <c r="C45" s="86" t="s">
        <v>10</v>
      </c>
      <c r="D45" s="86" t="s">
        <v>322</v>
      </c>
      <c r="E45" s="88">
        <v>1.1239968300000001</v>
      </c>
      <c r="F45" s="89">
        <v>20.16</v>
      </c>
      <c r="G45" s="89">
        <v>22.65</v>
      </c>
    </row>
    <row r="46" spans="1:7" ht="18" customHeight="1">
      <c r="A46" s="1"/>
      <c r="B46" s="1"/>
      <c r="C46" s="1"/>
      <c r="D46" s="1"/>
      <c r="E46" s="279" t="s">
        <v>323</v>
      </c>
      <c r="F46" s="245"/>
      <c r="G46" s="90">
        <v>80.92</v>
      </c>
    </row>
    <row r="47" spans="1:7" ht="15" customHeight="1">
      <c r="A47" s="278" t="s">
        <v>303</v>
      </c>
      <c r="B47" s="245"/>
      <c r="C47" s="85" t="s">
        <v>4</v>
      </c>
      <c r="D47" s="85" t="s">
        <v>289</v>
      </c>
      <c r="E47" s="85" t="s">
        <v>290</v>
      </c>
      <c r="F47" s="85" t="s">
        <v>291</v>
      </c>
      <c r="G47" s="85" t="s">
        <v>292</v>
      </c>
    </row>
    <row r="48" spans="1:7" ht="15" customHeight="1">
      <c r="A48" s="86" t="s">
        <v>348</v>
      </c>
      <c r="B48" s="87" t="s">
        <v>349</v>
      </c>
      <c r="C48" s="86" t="s">
        <v>10</v>
      </c>
      <c r="D48" s="86" t="s">
        <v>306</v>
      </c>
      <c r="E48" s="88">
        <v>7.1342790000000003E-2</v>
      </c>
      <c r="F48" s="89">
        <v>25.37</v>
      </c>
      <c r="G48" s="89">
        <v>1.8</v>
      </c>
    </row>
    <row r="49" spans="1:7" ht="15" customHeight="1">
      <c r="A49" s="86" t="s">
        <v>307</v>
      </c>
      <c r="B49" s="87" t="s">
        <v>308</v>
      </c>
      <c r="C49" s="86" t="s">
        <v>10</v>
      </c>
      <c r="D49" s="86" t="s">
        <v>306</v>
      </c>
      <c r="E49" s="88">
        <v>0.44258224000000002</v>
      </c>
      <c r="F49" s="89">
        <v>19.97</v>
      </c>
      <c r="G49" s="89">
        <v>8.83</v>
      </c>
    </row>
    <row r="50" spans="1:7" ht="18" customHeight="1">
      <c r="A50" s="1"/>
      <c r="B50" s="1"/>
      <c r="C50" s="1"/>
      <c r="D50" s="1"/>
      <c r="E50" s="279" t="s">
        <v>309</v>
      </c>
      <c r="F50" s="245"/>
      <c r="G50" s="90">
        <v>10.63</v>
      </c>
    </row>
    <row r="51" spans="1:7" ht="15" customHeight="1">
      <c r="A51" s="1"/>
      <c r="B51" s="1"/>
      <c r="C51" s="1"/>
      <c r="D51" s="1"/>
      <c r="E51" s="274" t="s">
        <v>314</v>
      </c>
      <c r="F51" s="245"/>
      <c r="G51" s="2">
        <v>91.55</v>
      </c>
    </row>
    <row r="52" spans="1:7" ht="9.75" customHeight="1">
      <c r="A52" s="1"/>
      <c r="B52" s="1"/>
      <c r="C52" s="1"/>
      <c r="D52" s="1"/>
      <c r="E52" s="275"/>
      <c r="F52" s="276"/>
      <c r="G52" s="276"/>
    </row>
    <row r="53" spans="1:7" ht="19.5" customHeight="1">
      <c r="A53" s="277" t="s">
        <v>350</v>
      </c>
      <c r="B53" s="244"/>
      <c r="C53" s="244"/>
      <c r="D53" s="244"/>
      <c r="E53" s="244"/>
      <c r="F53" s="244"/>
      <c r="G53" s="245"/>
    </row>
    <row r="54" spans="1:7" ht="15" customHeight="1">
      <c r="A54" s="278" t="s">
        <v>303</v>
      </c>
      <c r="B54" s="245"/>
      <c r="C54" s="85" t="s">
        <v>4</v>
      </c>
      <c r="D54" s="85" t="s">
        <v>289</v>
      </c>
      <c r="E54" s="85" t="s">
        <v>290</v>
      </c>
      <c r="F54" s="85" t="s">
        <v>291</v>
      </c>
      <c r="G54" s="85" t="s">
        <v>292</v>
      </c>
    </row>
    <row r="55" spans="1:7" ht="15" customHeight="1">
      <c r="A55" s="86" t="s">
        <v>307</v>
      </c>
      <c r="B55" s="87" t="s">
        <v>308</v>
      </c>
      <c r="C55" s="86" t="s">
        <v>10</v>
      </c>
      <c r="D55" s="86" t="s">
        <v>306</v>
      </c>
      <c r="E55" s="88">
        <v>3.5097646500000002</v>
      </c>
      <c r="F55" s="89">
        <v>19.97</v>
      </c>
      <c r="G55" s="89">
        <v>70.09</v>
      </c>
    </row>
    <row r="56" spans="1:7" ht="18" customHeight="1">
      <c r="A56" s="1"/>
      <c r="B56" s="1"/>
      <c r="C56" s="1"/>
      <c r="D56" s="1"/>
      <c r="E56" s="279" t="s">
        <v>309</v>
      </c>
      <c r="F56" s="245"/>
      <c r="G56" s="90">
        <v>70.09</v>
      </c>
    </row>
    <row r="57" spans="1:7" ht="15" customHeight="1">
      <c r="A57" s="1"/>
      <c r="B57" s="1"/>
      <c r="C57" s="1"/>
      <c r="D57" s="1"/>
      <c r="E57" s="274" t="s">
        <v>314</v>
      </c>
      <c r="F57" s="245"/>
      <c r="G57" s="2">
        <v>70.09</v>
      </c>
    </row>
    <row r="58" spans="1:7" ht="9.75" customHeight="1">
      <c r="A58" s="1"/>
      <c r="B58" s="1"/>
      <c r="C58" s="1"/>
      <c r="D58" s="1"/>
      <c r="E58" s="275"/>
      <c r="F58" s="276"/>
      <c r="G58" s="276"/>
    </row>
    <row r="59" spans="1:7" ht="19.5" customHeight="1">
      <c r="A59" s="277" t="s">
        <v>351</v>
      </c>
      <c r="B59" s="244"/>
      <c r="C59" s="244"/>
      <c r="D59" s="244"/>
      <c r="E59" s="244"/>
      <c r="F59" s="244"/>
      <c r="G59" s="245"/>
    </row>
    <row r="60" spans="1:7" ht="15" customHeight="1">
      <c r="A60" s="278" t="s">
        <v>303</v>
      </c>
      <c r="B60" s="245"/>
      <c r="C60" s="85" t="s">
        <v>4</v>
      </c>
      <c r="D60" s="85" t="s">
        <v>289</v>
      </c>
      <c r="E60" s="85" t="s">
        <v>290</v>
      </c>
      <c r="F60" s="85" t="s">
        <v>291</v>
      </c>
      <c r="G60" s="85" t="s">
        <v>292</v>
      </c>
    </row>
    <row r="61" spans="1:7" ht="15" customHeight="1">
      <c r="A61" s="86" t="s">
        <v>307</v>
      </c>
      <c r="B61" s="87" t="s">
        <v>308</v>
      </c>
      <c r="C61" s="86" t="s">
        <v>10</v>
      </c>
      <c r="D61" s="86" t="s">
        <v>306</v>
      </c>
      <c r="E61" s="88">
        <v>0.11249634999999999</v>
      </c>
      <c r="F61" s="89">
        <v>19.97</v>
      </c>
      <c r="G61" s="89">
        <v>2.2400000000000002</v>
      </c>
    </row>
    <row r="62" spans="1:7" ht="15" customHeight="1">
      <c r="A62" s="86" t="s">
        <v>352</v>
      </c>
      <c r="B62" s="87" t="s">
        <v>353</v>
      </c>
      <c r="C62" s="86" t="s">
        <v>10</v>
      </c>
      <c r="D62" s="86" t="s">
        <v>306</v>
      </c>
      <c r="E62" s="88">
        <v>3.98079E-2</v>
      </c>
      <c r="F62" s="89">
        <v>24.44</v>
      </c>
      <c r="G62" s="89">
        <v>0.97</v>
      </c>
    </row>
    <row r="63" spans="1:7" ht="18" customHeight="1">
      <c r="A63" s="1"/>
      <c r="B63" s="1"/>
      <c r="C63" s="1"/>
      <c r="D63" s="1"/>
      <c r="E63" s="279" t="s">
        <v>309</v>
      </c>
      <c r="F63" s="245"/>
      <c r="G63" s="90">
        <v>3.21</v>
      </c>
    </row>
    <row r="64" spans="1:7" ht="15" customHeight="1">
      <c r="A64" s="1"/>
      <c r="B64" s="1"/>
      <c r="C64" s="1"/>
      <c r="D64" s="1"/>
      <c r="E64" s="274" t="s">
        <v>314</v>
      </c>
      <c r="F64" s="245"/>
      <c r="G64" s="2">
        <v>3.21</v>
      </c>
    </row>
    <row r="65" spans="1:7" ht="9.75" customHeight="1">
      <c r="A65" s="1"/>
      <c r="B65" s="1"/>
      <c r="C65" s="1"/>
      <c r="D65" s="1"/>
      <c r="E65" s="275"/>
      <c r="F65" s="276"/>
      <c r="G65" s="276"/>
    </row>
    <row r="66" spans="1:7" ht="19.5" customHeight="1">
      <c r="A66" s="277" t="s">
        <v>354</v>
      </c>
      <c r="B66" s="244"/>
      <c r="C66" s="244"/>
      <c r="D66" s="244"/>
      <c r="E66" s="244"/>
      <c r="F66" s="244"/>
      <c r="G66" s="245"/>
    </row>
    <row r="67" spans="1:7" ht="15" customHeight="1">
      <c r="A67" s="278" t="s">
        <v>288</v>
      </c>
      <c r="B67" s="245"/>
      <c r="C67" s="85" t="s">
        <v>4</v>
      </c>
      <c r="D67" s="85" t="s">
        <v>289</v>
      </c>
      <c r="E67" s="85" t="s">
        <v>290</v>
      </c>
      <c r="F67" s="85" t="s">
        <v>291</v>
      </c>
      <c r="G67" s="85" t="s">
        <v>292</v>
      </c>
    </row>
    <row r="68" spans="1:7" ht="21" customHeight="1">
      <c r="A68" s="86" t="s">
        <v>355</v>
      </c>
      <c r="B68" s="87" t="s">
        <v>356</v>
      </c>
      <c r="C68" s="86" t="s">
        <v>10</v>
      </c>
      <c r="D68" s="86" t="s">
        <v>33</v>
      </c>
      <c r="E68" s="88">
        <v>13.6</v>
      </c>
      <c r="F68" s="89">
        <v>2.93</v>
      </c>
      <c r="G68" s="89">
        <v>39.840000000000003</v>
      </c>
    </row>
    <row r="69" spans="1:7" ht="15" customHeight="1">
      <c r="A69" s="86" t="s">
        <v>357</v>
      </c>
      <c r="B69" s="87" t="s">
        <v>358</v>
      </c>
      <c r="C69" s="86" t="s">
        <v>10</v>
      </c>
      <c r="D69" s="86" t="s">
        <v>359</v>
      </c>
      <c r="E69" s="88">
        <v>5.0000000000000001E-3</v>
      </c>
      <c r="F69" s="89">
        <v>42.74</v>
      </c>
      <c r="G69" s="89">
        <v>0.21</v>
      </c>
    </row>
    <row r="70" spans="1:7" ht="28.5" customHeight="1">
      <c r="A70" s="86" t="s">
        <v>360</v>
      </c>
      <c r="B70" s="87" t="s">
        <v>361</v>
      </c>
      <c r="C70" s="86" t="s">
        <v>10</v>
      </c>
      <c r="D70" s="86" t="s">
        <v>13</v>
      </c>
      <c r="E70" s="88">
        <v>0.42</v>
      </c>
      <c r="F70" s="89">
        <v>2.2799999999999998</v>
      </c>
      <c r="G70" s="89">
        <v>0.95</v>
      </c>
    </row>
    <row r="71" spans="1:7" ht="15" customHeight="1">
      <c r="A71" s="1"/>
      <c r="B71" s="1"/>
      <c r="C71" s="1"/>
      <c r="D71" s="1"/>
      <c r="E71" s="279" t="s">
        <v>302</v>
      </c>
      <c r="F71" s="245"/>
      <c r="G71" s="90">
        <v>41</v>
      </c>
    </row>
    <row r="72" spans="1:7" ht="15" customHeight="1">
      <c r="A72" s="278" t="s">
        <v>303</v>
      </c>
      <c r="B72" s="245"/>
      <c r="C72" s="85" t="s">
        <v>4</v>
      </c>
      <c r="D72" s="85" t="s">
        <v>289</v>
      </c>
      <c r="E72" s="85" t="s">
        <v>290</v>
      </c>
      <c r="F72" s="85" t="s">
        <v>291</v>
      </c>
      <c r="G72" s="85" t="s">
        <v>292</v>
      </c>
    </row>
    <row r="73" spans="1:7" ht="15" customHeight="1">
      <c r="A73" s="86" t="s">
        <v>348</v>
      </c>
      <c r="B73" s="87" t="s">
        <v>349</v>
      </c>
      <c r="C73" s="86" t="s">
        <v>10</v>
      </c>
      <c r="D73" s="86" t="s">
        <v>306</v>
      </c>
      <c r="E73" s="88">
        <v>0.71343495999999995</v>
      </c>
      <c r="F73" s="89">
        <v>25.37</v>
      </c>
      <c r="G73" s="89">
        <v>18.09</v>
      </c>
    </row>
    <row r="74" spans="1:7" ht="15" customHeight="1">
      <c r="A74" s="86" t="s">
        <v>307</v>
      </c>
      <c r="B74" s="87" t="s">
        <v>308</v>
      </c>
      <c r="C74" s="86" t="s">
        <v>10</v>
      </c>
      <c r="D74" s="86" t="s">
        <v>306</v>
      </c>
      <c r="E74" s="88">
        <v>0.35641381</v>
      </c>
      <c r="F74" s="89">
        <v>19.97</v>
      </c>
      <c r="G74" s="89">
        <v>7.11</v>
      </c>
    </row>
    <row r="75" spans="1:7" ht="18" customHeight="1">
      <c r="A75" s="1"/>
      <c r="B75" s="1"/>
      <c r="C75" s="1"/>
      <c r="D75" s="1"/>
      <c r="E75" s="279" t="s">
        <v>309</v>
      </c>
      <c r="F75" s="245"/>
      <c r="G75" s="90">
        <v>25.2</v>
      </c>
    </row>
    <row r="76" spans="1:7" ht="15" customHeight="1">
      <c r="A76" s="278" t="s">
        <v>310</v>
      </c>
      <c r="B76" s="245"/>
      <c r="C76" s="85" t="s">
        <v>4</v>
      </c>
      <c r="D76" s="85" t="s">
        <v>289</v>
      </c>
      <c r="E76" s="85" t="s">
        <v>290</v>
      </c>
      <c r="F76" s="85" t="s">
        <v>291</v>
      </c>
      <c r="G76" s="85" t="s">
        <v>292</v>
      </c>
    </row>
    <row r="77" spans="1:7" ht="37.5" customHeight="1">
      <c r="A77" s="86" t="s">
        <v>362</v>
      </c>
      <c r="B77" s="87" t="s">
        <v>363</v>
      </c>
      <c r="C77" s="86" t="s">
        <v>10</v>
      </c>
      <c r="D77" s="86" t="s">
        <v>15</v>
      </c>
      <c r="E77" s="88">
        <v>8.4925E-3</v>
      </c>
      <c r="F77" s="89">
        <v>676.74</v>
      </c>
      <c r="G77" s="89">
        <v>5.74</v>
      </c>
    </row>
    <row r="78" spans="1:7" ht="15" customHeight="1">
      <c r="A78" s="1"/>
      <c r="B78" s="1"/>
      <c r="C78" s="1"/>
      <c r="D78" s="1"/>
      <c r="E78" s="279" t="s">
        <v>313</v>
      </c>
      <c r="F78" s="245"/>
      <c r="G78" s="90">
        <v>5.74</v>
      </c>
    </row>
    <row r="79" spans="1:7" ht="15" customHeight="1">
      <c r="A79" s="1"/>
      <c r="B79" s="1"/>
      <c r="C79" s="1"/>
      <c r="D79" s="1"/>
      <c r="E79" s="274" t="s">
        <v>314</v>
      </c>
      <c r="F79" s="245"/>
      <c r="G79" s="2">
        <v>71.94</v>
      </c>
    </row>
    <row r="80" spans="1:7" ht="9.75" customHeight="1">
      <c r="A80" s="1"/>
      <c r="B80" s="1"/>
      <c r="C80" s="1"/>
      <c r="D80" s="1"/>
      <c r="E80" s="275"/>
      <c r="F80" s="276"/>
      <c r="G80" s="276"/>
    </row>
    <row r="81" spans="1:7" ht="19.5" customHeight="1">
      <c r="A81" s="277" t="s">
        <v>364</v>
      </c>
      <c r="B81" s="244"/>
      <c r="C81" s="244"/>
      <c r="D81" s="244"/>
      <c r="E81" s="244"/>
      <c r="F81" s="244"/>
      <c r="G81" s="245"/>
    </row>
    <row r="82" spans="1:7" ht="15" customHeight="1">
      <c r="A82" s="278" t="s">
        <v>288</v>
      </c>
      <c r="B82" s="245"/>
      <c r="C82" s="85" t="s">
        <v>4</v>
      </c>
      <c r="D82" s="85" t="s">
        <v>289</v>
      </c>
      <c r="E82" s="85" t="s">
        <v>290</v>
      </c>
      <c r="F82" s="85" t="s">
        <v>291</v>
      </c>
      <c r="G82" s="85" t="s">
        <v>292</v>
      </c>
    </row>
    <row r="83" spans="1:7" ht="21" customHeight="1">
      <c r="A83" s="86" t="s">
        <v>365</v>
      </c>
      <c r="B83" s="87" t="s">
        <v>366</v>
      </c>
      <c r="C83" s="86" t="s">
        <v>10</v>
      </c>
      <c r="D83" s="86" t="s">
        <v>11</v>
      </c>
      <c r="E83" s="88">
        <v>1.0269999999999999</v>
      </c>
      <c r="F83" s="89">
        <v>62.6</v>
      </c>
      <c r="G83" s="89">
        <v>64.290000000000006</v>
      </c>
    </row>
    <row r="84" spans="1:7" ht="21" customHeight="1">
      <c r="A84" s="86" t="s">
        <v>367</v>
      </c>
      <c r="B84" s="87" t="s">
        <v>368</v>
      </c>
      <c r="C84" s="86" t="s">
        <v>10</v>
      </c>
      <c r="D84" s="86" t="s">
        <v>297</v>
      </c>
      <c r="E84" s="88">
        <v>0.01</v>
      </c>
      <c r="F84" s="89">
        <v>3</v>
      </c>
      <c r="G84" s="89">
        <v>0.03</v>
      </c>
    </row>
    <row r="85" spans="1:7" ht="15" customHeight="1">
      <c r="A85" s="1"/>
      <c r="B85" s="1"/>
      <c r="C85" s="1"/>
      <c r="D85" s="1"/>
      <c r="E85" s="279" t="s">
        <v>302</v>
      </c>
      <c r="F85" s="245"/>
      <c r="G85" s="90">
        <v>64.319999999999993</v>
      </c>
    </row>
    <row r="86" spans="1:7" ht="15" customHeight="1">
      <c r="A86" s="278" t="s">
        <v>303</v>
      </c>
      <c r="B86" s="245"/>
      <c r="C86" s="85" t="s">
        <v>4</v>
      </c>
      <c r="D86" s="85" t="s">
        <v>289</v>
      </c>
      <c r="E86" s="85" t="s">
        <v>290</v>
      </c>
      <c r="F86" s="85" t="s">
        <v>291</v>
      </c>
      <c r="G86" s="85" t="s">
        <v>292</v>
      </c>
    </row>
    <row r="87" spans="1:7" ht="15" customHeight="1">
      <c r="A87" s="86" t="s">
        <v>348</v>
      </c>
      <c r="B87" s="87" t="s">
        <v>349</v>
      </c>
      <c r="C87" s="86" t="s">
        <v>10</v>
      </c>
      <c r="D87" s="86" t="s">
        <v>306</v>
      </c>
      <c r="E87" s="88">
        <v>0.55296345000000002</v>
      </c>
      <c r="F87" s="89">
        <v>25.37</v>
      </c>
      <c r="G87" s="89">
        <v>14.02</v>
      </c>
    </row>
    <row r="88" spans="1:7" ht="15" customHeight="1">
      <c r="A88" s="86" t="s">
        <v>307</v>
      </c>
      <c r="B88" s="87" t="s">
        <v>308</v>
      </c>
      <c r="C88" s="86" t="s">
        <v>10</v>
      </c>
      <c r="D88" s="86" t="s">
        <v>306</v>
      </c>
      <c r="E88" s="88">
        <v>0.27666602000000001</v>
      </c>
      <c r="F88" s="89">
        <v>19.97</v>
      </c>
      <c r="G88" s="89">
        <v>5.52</v>
      </c>
    </row>
    <row r="89" spans="1:7" ht="18" customHeight="1">
      <c r="A89" s="1"/>
      <c r="B89" s="1"/>
      <c r="C89" s="1"/>
      <c r="D89" s="1"/>
      <c r="E89" s="279" t="s">
        <v>309</v>
      </c>
      <c r="F89" s="245"/>
      <c r="G89" s="90">
        <v>19.54</v>
      </c>
    </row>
    <row r="90" spans="1:7" ht="15" customHeight="1">
      <c r="A90" s="1"/>
      <c r="B90" s="1"/>
      <c r="C90" s="1"/>
      <c r="D90" s="1"/>
      <c r="E90" s="274" t="s">
        <v>314</v>
      </c>
      <c r="F90" s="245"/>
      <c r="G90" s="2">
        <v>83.86</v>
      </c>
    </row>
    <row r="91" spans="1:7" ht="9.75" customHeight="1">
      <c r="A91" s="1"/>
      <c r="B91" s="1"/>
      <c r="C91" s="1"/>
      <c r="D91" s="1"/>
      <c r="E91" s="275"/>
      <c r="F91" s="276"/>
      <c r="G91" s="276"/>
    </row>
    <row r="92" spans="1:7" ht="19.5" customHeight="1">
      <c r="A92" s="277" t="s">
        <v>369</v>
      </c>
      <c r="B92" s="244"/>
      <c r="C92" s="244"/>
      <c r="D92" s="244"/>
      <c r="E92" s="244"/>
      <c r="F92" s="244"/>
      <c r="G92" s="245"/>
    </row>
    <row r="93" spans="1:7" ht="15" customHeight="1">
      <c r="A93" s="278" t="s">
        <v>288</v>
      </c>
      <c r="B93" s="245"/>
      <c r="C93" s="85" t="s">
        <v>4</v>
      </c>
      <c r="D93" s="85" t="s">
        <v>289</v>
      </c>
      <c r="E93" s="85" t="s">
        <v>290</v>
      </c>
      <c r="F93" s="85" t="s">
        <v>291</v>
      </c>
      <c r="G93" s="85" t="s">
        <v>292</v>
      </c>
    </row>
    <row r="94" spans="1:7" ht="21" customHeight="1">
      <c r="A94" s="86" t="s">
        <v>370</v>
      </c>
      <c r="B94" s="87" t="s">
        <v>371</v>
      </c>
      <c r="C94" s="86" t="s">
        <v>10</v>
      </c>
      <c r="D94" s="86" t="s">
        <v>334</v>
      </c>
      <c r="E94" s="88">
        <v>8.9999999999999993E-3</v>
      </c>
      <c r="F94" s="89">
        <v>8.41</v>
      </c>
      <c r="G94" s="89">
        <v>7.0000000000000007E-2</v>
      </c>
    </row>
    <row r="95" spans="1:7" ht="28.5" customHeight="1">
      <c r="A95" s="86" t="s">
        <v>372</v>
      </c>
      <c r="B95" s="87" t="s">
        <v>373</v>
      </c>
      <c r="C95" s="86" t="s">
        <v>10</v>
      </c>
      <c r="D95" s="86" t="s">
        <v>33</v>
      </c>
      <c r="E95" s="88">
        <v>6</v>
      </c>
      <c r="F95" s="89">
        <v>0.21</v>
      </c>
      <c r="G95" s="89">
        <v>1.26</v>
      </c>
    </row>
    <row r="96" spans="1:7" ht="21" customHeight="1">
      <c r="A96" s="86" t="s">
        <v>374</v>
      </c>
      <c r="B96" s="87" t="s">
        <v>375</v>
      </c>
      <c r="C96" s="86" t="s">
        <v>10</v>
      </c>
      <c r="D96" s="86" t="s">
        <v>13</v>
      </c>
      <c r="E96" s="88">
        <v>0.20300000000000001</v>
      </c>
      <c r="F96" s="89">
        <v>10.39</v>
      </c>
      <c r="G96" s="89">
        <v>2.1</v>
      </c>
    </row>
    <row r="97" spans="1:7" ht="15" customHeight="1">
      <c r="A97" s="1"/>
      <c r="B97" s="1"/>
      <c r="C97" s="1"/>
      <c r="D97" s="1"/>
      <c r="E97" s="279" t="s">
        <v>302</v>
      </c>
      <c r="F97" s="245"/>
      <c r="G97" s="90">
        <v>3.43</v>
      </c>
    </row>
    <row r="98" spans="1:7" ht="15" customHeight="1">
      <c r="A98" s="278" t="s">
        <v>303</v>
      </c>
      <c r="B98" s="245"/>
      <c r="C98" s="85" t="s">
        <v>4</v>
      </c>
      <c r="D98" s="85" t="s">
        <v>289</v>
      </c>
      <c r="E98" s="85" t="s">
        <v>290</v>
      </c>
      <c r="F98" s="85" t="s">
        <v>291</v>
      </c>
      <c r="G98" s="85" t="s">
        <v>292</v>
      </c>
    </row>
    <row r="99" spans="1:7" ht="15" customHeight="1">
      <c r="A99" s="86" t="s">
        <v>348</v>
      </c>
      <c r="B99" s="87" t="s">
        <v>349</v>
      </c>
      <c r="C99" s="86" t="s">
        <v>10</v>
      </c>
      <c r="D99" s="86" t="s">
        <v>306</v>
      </c>
      <c r="E99" s="88">
        <v>0.49663252000000002</v>
      </c>
      <c r="F99" s="89">
        <v>25.37</v>
      </c>
      <c r="G99" s="89">
        <v>12.59</v>
      </c>
    </row>
    <row r="100" spans="1:7" ht="15" customHeight="1">
      <c r="A100" s="86" t="s">
        <v>307</v>
      </c>
      <c r="B100" s="87" t="s">
        <v>308</v>
      </c>
      <c r="C100" s="86" t="s">
        <v>10</v>
      </c>
      <c r="D100" s="86" t="s">
        <v>306</v>
      </c>
      <c r="E100" s="88">
        <v>0.2488119</v>
      </c>
      <c r="F100" s="89">
        <v>19.97</v>
      </c>
      <c r="G100" s="89">
        <v>4.96</v>
      </c>
    </row>
    <row r="101" spans="1:7" ht="18" customHeight="1">
      <c r="A101" s="1"/>
      <c r="B101" s="1"/>
      <c r="C101" s="1"/>
      <c r="D101" s="1"/>
      <c r="E101" s="279" t="s">
        <v>309</v>
      </c>
      <c r="F101" s="245"/>
      <c r="G101" s="90">
        <v>17.55</v>
      </c>
    </row>
    <row r="102" spans="1:7" ht="15" customHeight="1">
      <c r="A102" s="278" t="s">
        <v>310</v>
      </c>
      <c r="B102" s="245"/>
      <c r="C102" s="85" t="s">
        <v>4</v>
      </c>
      <c r="D102" s="85" t="s">
        <v>289</v>
      </c>
      <c r="E102" s="85" t="s">
        <v>290</v>
      </c>
      <c r="F102" s="85" t="s">
        <v>291</v>
      </c>
      <c r="G102" s="85" t="s">
        <v>292</v>
      </c>
    </row>
    <row r="103" spans="1:7" ht="28.5" customHeight="1">
      <c r="A103" s="86" t="s">
        <v>376</v>
      </c>
      <c r="B103" s="87" t="s">
        <v>377</v>
      </c>
      <c r="C103" s="86" t="s">
        <v>10</v>
      </c>
      <c r="D103" s="86" t="s">
        <v>15</v>
      </c>
      <c r="E103" s="88">
        <v>3.1721029999999997E-2</v>
      </c>
      <c r="F103" s="89">
        <v>447.93</v>
      </c>
      <c r="G103" s="89">
        <v>14.2</v>
      </c>
    </row>
    <row r="104" spans="1:7" ht="21" customHeight="1">
      <c r="A104" s="86" t="s">
        <v>378</v>
      </c>
      <c r="B104" s="87" t="s">
        <v>379</v>
      </c>
      <c r="C104" s="86" t="s">
        <v>10</v>
      </c>
      <c r="D104" s="86" t="s">
        <v>297</v>
      </c>
      <c r="E104" s="88">
        <v>0.78214134000000002</v>
      </c>
      <c r="F104" s="89">
        <v>10.29</v>
      </c>
      <c r="G104" s="89">
        <v>8.0399999999999991</v>
      </c>
    </row>
    <row r="105" spans="1:7" ht="21" customHeight="1">
      <c r="A105" s="86" t="s">
        <v>380</v>
      </c>
      <c r="B105" s="87" t="s">
        <v>381</v>
      </c>
      <c r="C105" s="86" t="s">
        <v>10</v>
      </c>
      <c r="D105" s="86" t="s">
        <v>11</v>
      </c>
      <c r="E105" s="88">
        <v>0.10309337</v>
      </c>
      <c r="F105" s="89">
        <v>154.41999999999999</v>
      </c>
      <c r="G105" s="89">
        <v>15.91</v>
      </c>
    </row>
    <row r="106" spans="1:7" ht="15" customHeight="1">
      <c r="A106" s="1"/>
      <c r="B106" s="1"/>
      <c r="C106" s="1"/>
      <c r="D106" s="1"/>
      <c r="E106" s="279" t="s">
        <v>313</v>
      </c>
      <c r="F106" s="245"/>
      <c r="G106" s="90">
        <v>38.15</v>
      </c>
    </row>
    <row r="107" spans="1:7" ht="15" customHeight="1">
      <c r="A107" s="1"/>
      <c r="B107" s="1"/>
      <c r="C107" s="1"/>
      <c r="D107" s="1"/>
      <c r="E107" s="274" t="s">
        <v>314</v>
      </c>
      <c r="F107" s="245"/>
      <c r="G107" s="2">
        <v>59.13</v>
      </c>
    </row>
    <row r="108" spans="1:7" ht="9.75" customHeight="1">
      <c r="A108" s="1"/>
      <c r="B108" s="1"/>
      <c r="C108" s="1"/>
      <c r="D108" s="1"/>
      <c r="E108" s="275"/>
      <c r="F108" s="276"/>
      <c r="G108" s="276"/>
    </row>
    <row r="109" spans="1:7" ht="19.5" customHeight="1">
      <c r="A109" s="277" t="s">
        <v>382</v>
      </c>
      <c r="B109" s="244"/>
      <c r="C109" s="244"/>
      <c r="D109" s="244"/>
      <c r="E109" s="244"/>
      <c r="F109" s="244"/>
      <c r="G109" s="245"/>
    </row>
    <row r="110" spans="1:7" ht="15" customHeight="1">
      <c r="A110" s="278" t="s">
        <v>316</v>
      </c>
      <c r="B110" s="245"/>
      <c r="C110" s="85" t="s">
        <v>4</v>
      </c>
      <c r="D110" s="85" t="s">
        <v>289</v>
      </c>
      <c r="E110" s="85" t="s">
        <v>290</v>
      </c>
      <c r="F110" s="85" t="s">
        <v>291</v>
      </c>
      <c r="G110" s="85" t="s">
        <v>292</v>
      </c>
    </row>
    <row r="111" spans="1:7" ht="28.5" customHeight="1">
      <c r="A111" s="86" t="s">
        <v>383</v>
      </c>
      <c r="B111" s="87" t="s">
        <v>384</v>
      </c>
      <c r="C111" s="86" t="s">
        <v>10</v>
      </c>
      <c r="D111" s="86" t="s">
        <v>319</v>
      </c>
      <c r="E111" s="88">
        <v>5.0429689999999999E-2</v>
      </c>
      <c r="F111" s="89">
        <v>20.57</v>
      </c>
      <c r="G111" s="89">
        <v>1.03</v>
      </c>
    </row>
    <row r="112" spans="1:7" ht="28.5" customHeight="1">
      <c r="A112" s="86" t="s">
        <v>385</v>
      </c>
      <c r="B112" s="87" t="s">
        <v>386</v>
      </c>
      <c r="C112" s="86" t="s">
        <v>10</v>
      </c>
      <c r="D112" s="86" t="s">
        <v>322</v>
      </c>
      <c r="E112" s="88">
        <v>3.6356279999999998E-2</v>
      </c>
      <c r="F112" s="89">
        <v>21.36</v>
      </c>
      <c r="G112" s="89">
        <v>0.77</v>
      </c>
    </row>
    <row r="113" spans="1:7" ht="18" customHeight="1">
      <c r="A113" s="1"/>
      <c r="B113" s="1"/>
      <c r="C113" s="1"/>
      <c r="D113" s="1"/>
      <c r="E113" s="279" t="s">
        <v>323</v>
      </c>
      <c r="F113" s="245"/>
      <c r="G113" s="90">
        <v>1.8</v>
      </c>
    </row>
    <row r="114" spans="1:7" ht="15" customHeight="1">
      <c r="A114" s="278" t="s">
        <v>288</v>
      </c>
      <c r="B114" s="245"/>
      <c r="C114" s="85" t="s">
        <v>4</v>
      </c>
      <c r="D114" s="85" t="s">
        <v>289</v>
      </c>
      <c r="E114" s="85" t="s">
        <v>290</v>
      </c>
      <c r="F114" s="85" t="s">
        <v>291</v>
      </c>
      <c r="G114" s="85" t="s">
        <v>292</v>
      </c>
    </row>
    <row r="115" spans="1:7" ht="37.5" customHeight="1">
      <c r="A115" s="86" t="s">
        <v>387</v>
      </c>
      <c r="B115" s="87" t="s">
        <v>388</v>
      </c>
      <c r="C115" s="86" t="s">
        <v>10</v>
      </c>
      <c r="D115" s="86" t="s">
        <v>389</v>
      </c>
      <c r="E115" s="88">
        <v>2.75E-2</v>
      </c>
      <c r="F115" s="89">
        <v>936</v>
      </c>
      <c r="G115" s="89">
        <v>25.74</v>
      </c>
    </row>
    <row r="116" spans="1:7" ht="15" customHeight="1">
      <c r="A116" s="1"/>
      <c r="B116" s="1"/>
      <c r="C116" s="1"/>
      <c r="D116" s="1"/>
      <c r="E116" s="279" t="s">
        <v>302</v>
      </c>
      <c r="F116" s="245"/>
      <c r="G116" s="90">
        <v>25.74</v>
      </c>
    </row>
    <row r="117" spans="1:7" ht="15" customHeight="1">
      <c r="A117" s="278" t="s">
        <v>303</v>
      </c>
      <c r="B117" s="245"/>
      <c r="C117" s="85" t="s">
        <v>4</v>
      </c>
      <c r="D117" s="85" t="s">
        <v>289</v>
      </c>
      <c r="E117" s="85" t="s">
        <v>290</v>
      </c>
      <c r="F117" s="85" t="s">
        <v>291</v>
      </c>
      <c r="G117" s="85" t="s">
        <v>292</v>
      </c>
    </row>
    <row r="118" spans="1:7" ht="15" customHeight="1">
      <c r="A118" s="86" t="s">
        <v>307</v>
      </c>
      <c r="B118" s="87" t="s">
        <v>308</v>
      </c>
      <c r="C118" s="86" t="s">
        <v>10</v>
      </c>
      <c r="D118" s="86" t="s">
        <v>306</v>
      </c>
      <c r="E118" s="88">
        <v>0.38944976999999997</v>
      </c>
      <c r="F118" s="89">
        <v>19.97</v>
      </c>
      <c r="G118" s="89">
        <v>7.77</v>
      </c>
    </row>
    <row r="119" spans="1:7" ht="15" customHeight="1">
      <c r="A119" s="86" t="s">
        <v>352</v>
      </c>
      <c r="B119" s="87" t="s">
        <v>353</v>
      </c>
      <c r="C119" s="86" t="s">
        <v>10</v>
      </c>
      <c r="D119" s="86" t="s">
        <v>306</v>
      </c>
      <c r="E119" s="88">
        <v>0.12957434000000001</v>
      </c>
      <c r="F119" s="89">
        <v>24.44</v>
      </c>
      <c r="G119" s="89">
        <v>3.16</v>
      </c>
    </row>
    <row r="120" spans="1:7" ht="18" customHeight="1">
      <c r="A120" s="1"/>
      <c r="B120" s="1"/>
      <c r="C120" s="1"/>
      <c r="D120" s="1"/>
      <c r="E120" s="279" t="s">
        <v>309</v>
      </c>
      <c r="F120" s="245"/>
      <c r="G120" s="90">
        <v>10.93</v>
      </c>
    </row>
    <row r="121" spans="1:7" ht="15" customHeight="1">
      <c r="A121" s="1"/>
      <c r="B121" s="1"/>
      <c r="C121" s="1"/>
      <c r="D121" s="1"/>
      <c r="E121" s="274" t="s">
        <v>314</v>
      </c>
      <c r="F121" s="245"/>
      <c r="G121" s="2">
        <v>38.47</v>
      </c>
    </row>
    <row r="122" spans="1:7" ht="9.75" customHeight="1">
      <c r="A122" s="1"/>
      <c r="B122" s="1"/>
      <c r="C122" s="1"/>
      <c r="D122" s="1"/>
      <c r="E122" s="275"/>
      <c r="F122" s="276"/>
      <c r="G122" s="276"/>
    </row>
    <row r="123" spans="1:7" ht="19.5" customHeight="1">
      <c r="A123" s="277" t="s">
        <v>390</v>
      </c>
      <c r="B123" s="244"/>
      <c r="C123" s="244"/>
      <c r="D123" s="244"/>
      <c r="E123" s="244"/>
      <c r="F123" s="244"/>
      <c r="G123" s="245"/>
    </row>
    <row r="124" spans="1:7" ht="15" customHeight="1">
      <c r="A124" s="278" t="s">
        <v>288</v>
      </c>
      <c r="B124" s="245"/>
      <c r="C124" s="85" t="s">
        <v>4</v>
      </c>
      <c r="D124" s="85" t="s">
        <v>289</v>
      </c>
      <c r="E124" s="85" t="s">
        <v>290</v>
      </c>
      <c r="F124" s="85" t="s">
        <v>291</v>
      </c>
      <c r="G124" s="85" t="s">
        <v>292</v>
      </c>
    </row>
    <row r="125" spans="1:7" ht="21" customHeight="1">
      <c r="A125" s="86" t="s">
        <v>391</v>
      </c>
      <c r="B125" s="87" t="s">
        <v>392</v>
      </c>
      <c r="C125" s="86" t="s">
        <v>10</v>
      </c>
      <c r="D125" s="86" t="s">
        <v>359</v>
      </c>
      <c r="E125" s="88">
        <v>2.1999999999999999E-2</v>
      </c>
      <c r="F125" s="89">
        <v>46.85</v>
      </c>
      <c r="G125" s="89">
        <v>1.03</v>
      </c>
    </row>
    <row r="126" spans="1:7" ht="28.5" customHeight="1">
      <c r="A126" s="86" t="s">
        <v>393</v>
      </c>
      <c r="B126" s="87" t="s">
        <v>394</v>
      </c>
      <c r="C126" s="86" t="s">
        <v>10</v>
      </c>
      <c r="D126" s="86" t="s">
        <v>33</v>
      </c>
      <c r="E126" s="88">
        <v>0.184005</v>
      </c>
      <c r="F126" s="89">
        <v>1.5</v>
      </c>
      <c r="G126" s="89">
        <v>0.28000000000000003</v>
      </c>
    </row>
    <row r="127" spans="1:7" ht="28.5" customHeight="1">
      <c r="A127" s="86" t="s">
        <v>395</v>
      </c>
      <c r="B127" s="87" t="s">
        <v>396</v>
      </c>
      <c r="C127" s="86" t="s">
        <v>10</v>
      </c>
      <c r="D127" s="86" t="s">
        <v>13</v>
      </c>
      <c r="E127" s="88">
        <v>0.53205000000000002</v>
      </c>
      <c r="F127" s="89">
        <v>4</v>
      </c>
      <c r="G127" s="89">
        <v>2.13</v>
      </c>
    </row>
    <row r="128" spans="1:7" ht="15" customHeight="1">
      <c r="A128" s="1"/>
      <c r="B128" s="1"/>
      <c r="C128" s="1"/>
      <c r="D128" s="1"/>
      <c r="E128" s="279" t="s">
        <v>302</v>
      </c>
      <c r="F128" s="245"/>
      <c r="G128" s="90">
        <v>3.44</v>
      </c>
    </row>
    <row r="129" spans="1:7" ht="15" customHeight="1">
      <c r="A129" s="278" t="s">
        <v>303</v>
      </c>
      <c r="B129" s="245"/>
      <c r="C129" s="85" t="s">
        <v>4</v>
      </c>
      <c r="D129" s="85" t="s">
        <v>289</v>
      </c>
      <c r="E129" s="85" t="s">
        <v>290</v>
      </c>
      <c r="F129" s="85" t="s">
        <v>291</v>
      </c>
      <c r="G129" s="85" t="s">
        <v>292</v>
      </c>
    </row>
    <row r="130" spans="1:7" ht="21" customHeight="1">
      <c r="A130" s="86" t="s">
        <v>397</v>
      </c>
      <c r="B130" s="87" t="s">
        <v>398</v>
      </c>
      <c r="C130" s="86" t="s">
        <v>10</v>
      </c>
      <c r="D130" s="86" t="s">
        <v>306</v>
      </c>
      <c r="E130" s="88">
        <v>0.14563507000000001</v>
      </c>
      <c r="F130" s="89">
        <v>18.829999999999998</v>
      </c>
      <c r="G130" s="89">
        <v>2.74</v>
      </c>
    </row>
    <row r="131" spans="1:7" ht="18" customHeight="1">
      <c r="A131" s="1"/>
      <c r="B131" s="1"/>
      <c r="C131" s="1"/>
      <c r="D131" s="1"/>
      <c r="E131" s="279" t="s">
        <v>309</v>
      </c>
      <c r="F131" s="245"/>
      <c r="G131" s="90">
        <v>2.74</v>
      </c>
    </row>
    <row r="132" spans="1:7" ht="15" customHeight="1">
      <c r="A132" s="1"/>
      <c r="B132" s="1"/>
      <c r="C132" s="1"/>
      <c r="D132" s="1"/>
      <c r="E132" s="274" t="s">
        <v>314</v>
      </c>
      <c r="F132" s="245"/>
      <c r="G132" s="2">
        <v>6.18</v>
      </c>
    </row>
    <row r="133" spans="1:7" ht="9.75" customHeight="1">
      <c r="A133" s="1"/>
      <c r="B133" s="1"/>
      <c r="C133" s="1"/>
      <c r="D133" s="1"/>
      <c r="E133" s="275"/>
      <c r="F133" s="276"/>
      <c r="G133" s="276"/>
    </row>
    <row r="134" spans="1:7" ht="19.5" customHeight="1">
      <c r="A134" s="277" t="s">
        <v>399</v>
      </c>
      <c r="B134" s="244"/>
      <c r="C134" s="244"/>
      <c r="D134" s="244"/>
      <c r="E134" s="244"/>
      <c r="F134" s="244"/>
      <c r="G134" s="245"/>
    </row>
    <row r="135" spans="1:7" ht="15" customHeight="1">
      <c r="A135" s="278" t="s">
        <v>316</v>
      </c>
      <c r="B135" s="245"/>
      <c r="C135" s="85" t="s">
        <v>4</v>
      </c>
      <c r="D135" s="85" t="s">
        <v>289</v>
      </c>
      <c r="E135" s="85" t="s">
        <v>290</v>
      </c>
      <c r="F135" s="85" t="s">
        <v>291</v>
      </c>
      <c r="G135" s="85" t="s">
        <v>292</v>
      </c>
    </row>
    <row r="136" spans="1:7" ht="28.5" customHeight="1">
      <c r="A136" s="86" t="s">
        <v>383</v>
      </c>
      <c r="B136" s="87" t="s">
        <v>384</v>
      </c>
      <c r="C136" s="86" t="s">
        <v>10</v>
      </c>
      <c r="D136" s="86" t="s">
        <v>319</v>
      </c>
      <c r="E136" s="88">
        <v>6.54917E-3</v>
      </c>
      <c r="F136" s="89">
        <v>20.57</v>
      </c>
      <c r="G136" s="89">
        <v>0.13</v>
      </c>
    </row>
    <row r="137" spans="1:7" ht="28.5" customHeight="1">
      <c r="A137" s="86" t="s">
        <v>385</v>
      </c>
      <c r="B137" s="87" t="s">
        <v>386</v>
      </c>
      <c r="C137" s="86" t="s">
        <v>10</v>
      </c>
      <c r="D137" s="86" t="s">
        <v>322</v>
      </c>
      <c r="E137" s="88">
        <v>4.6919400000000003E-3</v>
      </c>
      <c r="F137" s="89">
        <v>21.36</v>
      </c>
      <c r="G137" s="89">
        <v>0.1</v>
      </c>
    </row>
    <row r="138" spans="1:7" ht="18" customHeight="1">
      <c r="A138" s="1"/>
      <c r="B138" s="1"/>
      <c r="C138" s="1"/>
      <c r="D138" s="1"/>
      <c r="E138" s="279" t="s">
        <v>323</v>
      </c>
      <c r="F138" s="245"/>
      <c r="G138" s="90">
        <v>0.23</v>
      </c>
    </row>
    <row r="139" spans="1:7" ht="15" customHeight="1">
      <c r="A139" s="278" t="s">
        <v>288</v>
      </c>
      <c r="B139" s="245"/>
      <c r="C139" s="85" t="s">
        <v>4</v>
      </c>
      <c r="D139" s="85" t="s">
        <v>289</v>
      </c>
      <c r="E139" s="85" t="s">
        <v>290</v>
      </c>
      <c r="F139" s="85" t="s">
        <v>291</v>
      </c>
      <c r="G139" s="85" t="s">
        <v>292</v>
      </c>
    </row>
    <row r="140" spans="1:7" ht="37.5" customHeight="1">
      <c r="A140" s="86" t="s">
        <v>400</v>
      </c>
      <c r="B140" s="87" t="s">
        <v>401</v>
      </c>
      <c r="C140" s="86" t="s">
        <v>10</v>
      </c>
      <c r="D140" s="86" t="s">
        <v>33</v>
      </c>
      <c r="E140" s="88">
        <v>3.55</v>
      </c>
      <c r="F140" s="89">
        <v>1.05</v>
      </c>
      <c r="G140" s="89">
        <v>3.72</v>
      </c>
    </row>
    <row r="141" spans="1:7" ht="15" customHeight="1">
      <c r="A141" s="1"/>
      <c r="B141" s="1"/>
      <c r="C141" s="1"/>
      <c r="D141" s="1"/>
      <c r="E141" s="279" t="s">
        <v>302</v>
      </c>
      <c r="F141" s="245"/>
      <c r="G141" s="90">
        <v>3.72</v>
      </c>
    </row>
    <row r="142" spans="1:7" ht="15" customHeight="1">
      <c r="A142" s="278" t="s">
        <v>303</v>
      </c>
      <c r="B142" s="245"/>
      <c r="C142" s="85" t="s">
        <v>4</v>
      </c>
      <c r="D142" s="85" t="s">
        <v>289</v>
      </c>
      <c r="E142" s="85" t="s">
        <v>290</v>
      </c>
      <c r="F142" s="85" t="s">
        <v>291</v>
      </c>
      <c r="G142" s="85" t="s">
        <v>292</v>
      </c>
    </row>
    <row r="143" spans="1:7" ht="15" customHeight="1">
      <c r="A143" s="86" t="s">
        <v>307</v>
      </c>
      <c r="B143" s="87" t="s">
        <v>308</v>
      </c>
      <c r="C143" s="86" t="s">
        <v>10</v>
      </c>
      <c r="D143" s="86" t="s">
        <v>306</v>
      </c>
      <c r="E143" s="88">
        <v>0.21309264</v>
      </c>
      <c r="F143" s="89">
        <v>19.97</v>
      </c>
      <c r="G143" s="89">
        <v>4.25</v>
      </c>
    </row>
    <row r="144" spans="1:7" ht="15" customHeight="1">
      <c r="A144" s="86" t="s">
        <v>352</v>
      </c>
      <c r="B144" s="87" t="s">
        <v>353</v>
      </c>
      <c r="C144" s="86" t="s">
        <v>10</v>
      </c>
      <c r="D144" s="86" t="s">
        <v>306</v>
      </c>
      <c r="E144" s="88">
        <v>0.13000606000000001</v>
      </c>
      <c r="F144" s="89">
        <v>24.44</v>
      </c>
      <c r="G144" s="89">
        <v>3.17</v>
      </c>
    </row>
    <row r="145" spans="1:7" ht="18" customHeight="1">
      <c r="A145" s="1"/>
      <c r="B145" s="1"/>
      <c r="C145" s="1"/>
      <c r="D145" s="1"/>
      <c r="E145" s="279" t="s">
        <v>309</v>
      </c>
      <c r="F145" s="245"/>
      <c r="G145" s="90">
        <v>7.42</v>
      </c>
    </row>
    <row r="146" spans="1:7" ht="15" customHeight="1">
      <c r="A146" s="1"/>
      <c r="B146" s="1"/>
      <c r="C146" s="1"/>
      <c r="D146" s="1"/>
      <c r="E146" s="274" t="s">
        <v>314</v>
      </c>
      <c r="F146" s="245"/>
      <c r="G146" s="2">
        <v>11.37</v>
      </c>
    </row>
    <row r="147" spans="1:7" ht="9.75" customHeight="1">
      <c r="A147" s="1"/>
      <c r="B147" s="1"/>
      <c r="C147" s="1"/>
      <c r="D147" s="1"/>
      <c r="E147" s="275"/>
      <c r="F147" s="276"/>
      <c r="G147" s="276"/>
    </row>
    <row r="148" spans="1:7" ht="19.5" customHeight="1">
      <c r="A148" s="277" t="s">
        <v>402</v>
      </c>
      <c r="B148" s="244"/>
      <c r="C148" s="244"/>
      <c r="D148" s="244"/>
      <c r="E148" s="244"/>
      <c r="F148" s="244"/>
      <c r="G148" s="245"/>
    </row>
    <row r="149" spans="1:7" ht="15" customHeight="1">
      <c r="A149" s="278" t="s">
        <v>288</v>
      </c>
      <c r="B149" s="245"/>
      <c r="C149" s="85" t="s">
        <v>4</v>
      </c>
      <c r="D149" s="85" t="s">
        <v>289</v>
      </c>
      <c r="E149" s="85" t="s">
        <v>290</v>
      </c>
      <c r="F149" s="85" t="s">
        <v>291</v>
      </c>
      <c r="G149" s="85" t="s">
        <v>292</v>
      </c>
    </row>
    <row r="150" spans="1:7" ht="28.5" customHeight="1">
      <c r="A150" s="86" t="s">
        <v>403</v>
      </c>
      <c r="B150" s="87" t="s">
        <v>404</v>
      </c>
      <c r="C150" s="86" t="s">
        <v>10</v>
      </c>
      <c r="D150" s="86" t="s">
        <v>297</v>
      </c>
      <c r="E150" s="88">
        <v>3.4615</v>
      </c>
      <c r="F150" s="89">
        <v>4.0199999999999996</v>
      </c>
      <c r="G150" s="89">
        <v>13.91</v>
      </c>
    </row>
    <row r="151" spans="1:7" ht="15" customHeight="1">
      <c r="A151" s="1"/>
      <c r="B151" s="1"/>
      <c r="C151" s="1"/>
      <c r="D151" s="1"/>
      <c r="E151" s="279" t="s">
        <v>302</v>
      </c>
      <c r="F151" s="245"/>
      <c r="G151" s="90">
        <v>13.91</v>
      </c>
    </row>
    <row r="152" spans="1:7" ht="15" customHeight="1">
      <c r="A152" s="278" t="s">
        <v>303</v>
      </c>
      <c r="B152" s="245"/>
      <c r="C152" s="85" t="s">
        <v>4</v>
      </c>
      <c r="D152" s="85" t="s">
        <v>289</v>
      </c>
      <c r="E152" s="85" t="s">
        <v>290</v>
      </c>
      <c r="F152" s="85" t="s">
        <v>291</v>
      </c>
      <c r="G152" s="85" t="s">
        <v>292</v>
      </c>
    </row>
    <row r="153" spans="1:7" ht="21" customHeight="1">
      <c r="A153" s="86" t="s">
        <v>405</v>
      </c>
      <c r="B153" s="87" t="s">
        <v>406</v>
      </c>
      <c r="C153" s="86" t="s">
        <v>10</v>
      </c>
      <c r="D153" s="86" t="s">
        <v>306</v>
      </c>
      <c r="E153" s="88">
        <v>0.13288633</v>
      </c>
      <c r="F153" s="89">
        <v>20.83</v>
      </c>
      <c r="G153" s="89">
        <v>2.76</v>
      </c>
    </row>
    <row r="154" spans="1:7" ht="15" customHeight="1">
      <c r="A154" s="86" t="s">
        <v>407</v>
      </c>
      <c r="B154" s="87" t="s">
        <v>408</v>
      </c>
      <c r="C154" s="86" t="s">
        <v>10</v>
      </c>
      <c r="D154" s="86" t="s">
        <v>306</v>
      </c>
      <c r="E154" s="88">
        <v>0.58881331999999997</v>
      </c>
      <c r="F154" s="89">
        <v>25.37</v>
      </c>
      <c r="G154" s="89">
        <v>14.93</v>
      </c>
    </row>
    <row r="155" spans="1:7" ht="18" customHeight="1">
      <c r="A155" s="1"/>
      <c r="B155" s="1"/>
      <c r="C155" s="1"/>
      <c r="D155" s="1"/>
      <c r="E155" s="279" t="s">
        <v>309</v>
      </c>
      <c r="F155" s="245"/>
      <c r="G155" s="90">
        <v>17.690000000000001</v>
      </c>
    </row>
    <row r="156" spans="1:7" ht="15" customHeight="1">
      <c r="A156" s="1"/>
      <c r="B156" s="1"/>
      <c r="C156" s="1"/>
      <c r="D156" s="1"/>
      <c r="E156" s="274" t="s">
        <v>314</v>
      </c>
      <c r="F156" s="245"/>
      <c r="G156" s="2">
        <v>31.6</v>
      </c>
    </row>
    <row r="157" spans="1:7" ht="9.75" customHeight="1">
      <c r="A157" s="1"/>
      <c r="B157" s="1"/>
      <c r="C157" s="1"/>
      <c r="D157" s="1"/>
      <c r="E157" s="275"/>
      <c r="F157" s="276"/>
      <c r="G157" s="276"/>
    </row>
    <row r="158" spans="1:7" ht="19.5" customHeight="1">
      <c r="A158" s="277" t="s">
        <v>409</v>
      </c>
      <c r="B158" s="244"/>
      <c r="C158" s="244"/>
      <c r="D158" s="244"/>
      <c r="E158" s="244"/>
      <c r="F158" s="244"/>
      <c r="G158" s="245"/>
    </row>
    <row r="159" spans="1:7" ht="15" customHeight="1">
      <c r="A159" s="278" t="s">
        <v>288</v>
      </c>
      <c r="B159" s="245"/>
      <c r="C159" s="85" t="s">
        <v>4</v>
      </c>
      <c r="D159" s="85" t="s">
        <v>289</v>
      </c>
      <c r="E159" s="85" t="s">
        <v>290</v>
      </c>
      <c r="F159" s="85" t="s">
        <v>291</v>
      </c>
      <c r="G159" s="85" t="s">
        <v>292</v>
      </c>
    </row>
    <row r="160" spans="1:7" ht="21" customHeight="1">
      <c r="A160" s="86" t="s">
        <v>410</v>
      </c>
      <c r="B160" s="87" t="s">
        <v>411</v>
      </c>
      <c r="C160" s="86" t="s">
        <v>10</v>
      </c>
      <c r="D160" s="86" t="s">
        <v>11</v>
      </c>
      <c r="E160" s="88">
        <v>1.04</v>
      </c>
      <c r="F160" s="89">
        <v>2.36</v>
      </c>
      <c r="G160" s="89">
        <v>2.4500000000000002</v>
      </c>
    </row>
    <row r="161" spans="1:7" ht="15" customHeight="1">
      <c r="A161" s="1"/>
      <c r="B161" s="1"/>
      <c r="C161" s="1"/>
      <c r="D161" s="1"/>
      <c r="E161" s="279" t="s">
        <v>302</v>
      </c>
      <c r="F161" s="245"/>
      <c r="G161" s="90">
        <v>2.4500000000000002</v>
      </c>
    </row>
    <row r="162" spans="1:7" ht="15" customHeight="1">
      <c r="A162" s="278" t="s">
        <v>303</v>
      </c>
      <c r="B162" s="245"/>
      <c r="C162" s="85" t="s">
        <v>4</v>
      </c>
      <c r="D162" s="85" t="s">
        <v>289</v>
      </c>
      <c r="E162" s="85" t="s">
        <v>290</v>
      </c>
      <c r="F162" s="85" t="s">
        <v>291</v>
      </c>
      <c r="G162" s="85" t="s">
        <v>292</v>
      </c>
    </row>
    <row r="163" spans="1:7" ht="15" customHeight="1">
      <c r="A163" s="86" t="s">
        <v>348</v>
      </c>
      <c r="B163" s="87" t="s">
        <v>349</v>
      </c>
      <c r="C163" s="86" t="s">
        <v>10</v>
      </c>
      <c r="D163" s="86" t="s">
        <v>306</v>
      </c>
      <c r="E163" s="88">
        <v>0.44793574000000003</v>
      </c>
      <c r="F163" s="89">
        <v>25.37</v>
      </c>
      <c r="G163" s="89">
        <v>11.36</v>
      </c>
    </row>
    <row r="164" spans="1:7" ht="15" customHeight="1">
      <c r="A164" s="86" t="s">
        <v>307</v>
      </c>
      <c r="B164" s="87" t="s">
        <v>308</v>
      </c>
      <c r="C164" s="86" t="s">
        <v>10</v>
      </c>
      <c r="D164" s="86" t="s">
        <v>306</v>
      </c>
      <c r="E164" s="88">
        <v>0.10100995</v>
      </c>
      <c r="F164" s="89">
        <v>19.97</v>
      </c>
      <c r="G164" s="89">
        <v>2.0099999999999998</v>
      </c>
    </row>
    <row r="165" spans="1:7" ht="18" customHeight="1">
      <c r="A165" s="1"/>
      <c r="B165" s="1"/>
      <c r="C165" s="1"/>
      <c r="D165" s="1"/>
      <c r="E165" s="279" t="s">
        <v>309</v>
      </c>
      <c r="F165" s="245"/>
      <c r="G165" s="90">
        <v>13.37</v>
      </c>
    </row>
    <row r="166" spans="1:7" ht="15" customHeight="1">
      <c r="A166" s="278" t="s">
        <v>310</v>
      </c>
      <c r="B166" s="245"/>
      <c r="C166" s="85" t="s">
        <v>4</v>
      </c>
      <c r="D166" s="85" t="s">
        <v>289</v>
      </c>
      <c r="E166" s="85" t="s">
        <v>290</v>
      </c>
      <c r="F166" s="85" t="s">
        <v>291</v>
      </c>
      <c r="G166" s="85" t="s">
        <v>292</v>
      </c>
    </row>
    <row r="167" spans="1:7" ht="28.5" customHeight="1">
      <c r="A167" s="86" t="s">
        <v>412</v>
      </c>
      <c r="B167" s="87" t="s">
        <v>413</v>
      </c>
      <c r="C167" s="86" t="s">
        <v>10</v>
      </c>
      <c r="D167" s="86" t="s">
        <v>15</v>
      </c>
      <c r="E167" s="88">
        <v>2.4660629999999999E-2</v>
      </c>
      <c r="F167" s="89">
        <v>774.32</v>
      </c>
      <c r="G167" s="89">
        <v>19.09</v>
      </c>
    </row>
    <row r="168" spans="1:7" ht="15" customHeight="1">
      <c r="A168" s="1"/>
      <c r="B168" s="1"/>
      <c r="C168" s="1"/>
      <c r="D168" s="1"/>
      <c r="E168" s="279" t="s">
        <v>313</v>
      </c>
      <c r="F168" s="245"/>
      <c r="G168" s="90">
        <v>19.09</v>
      </c>
    </row>
    <row r="169" spans="1:7" ht="15" customHeight="1">
      <c r="A169" s="1"/>
      <c r="B169" s="1"/>
      <c r="C169" s="1"/>
      <c r="D169" s="1"/>
      <c r="E169" s="274" t="s">
        <v>314</v>
      </c>
      <c r="F169" s="245"/>
      <c r="G169" s="2">
        <v>34.909999999999997</v>
      </c>
    </row>
    <row r="170" spans="1:7" ht="9.75" customHeight="1">
      <c r="A170" s="1"/>
      <c r="B170" s="1"/>
      <c r="C170" s="1"/>
      <c r="D170" s="1"/>
      <c r="E170" s="275"/>
      <c r="F170" s="276"/>
      <c r="G170" s="276"/>
    </row>
    <row r="171" spans="1:7" ht="27" customHeight="1">
      <c r="A171" s="277" t="s">
        <v>414</v>
      </c>
      <c r="B171" s="244"/>
      <c r="C171" s="244"/>
      <c r="D171" s="244"/>
      <c r="E171" s="244"/>
      <c r="F171" s="244"/>
      <c r="G171" s="245"/>
    </row>
    <row r="172" spans="1:7" ht="15" customHeight="1">
      <c r="A172" s="278" t="s">
        <v>310</v>
      </c>
      <c r="B172" s="245"/>
      <c r="C172" s="85" t="s">
        <v>4</v>
      </c>
      <c r="D172" s="85" t="s">
        <v>289</v>
      </c>
      <c r="E172" s="85" t="s">
        <v>290</v>
      </c>
      <c r="F172" s="85" t="s">
        <v>291</v>
      </c>
      <c r="G172" s="85" t="s">
        <v>292</v>
      </c>
    </row>
    <row r="173" spans="1:7" ht="28.5" customHeight="1">
      <c r="A173" s="86" t="s">
        <v>415</v>
      </c>
      <c r="B173" s="87" t="s">
        <v>416</v>
      </c>
      <c r="C173" s="86" t="s">
        <v>10</v>
      </c>
      <c r="D173" s="86" t="s">
        <v>13</v>
      </c>
      <c r="E173" s="88">
        <v>9.9194550199999991</v>
      </c>
      <c r="F173" s="89">
        <v>7.32</v>
      </c>
      <c r="G173" s="89">
        <v>72.61</v>
      </c>
    </row>
    <row r="174" spans="1:7" ht="28.5" customHeight="1">
      <c r="A174" s="86" t="s">
        <v>417</v>
      </c>
      <c r="B174" s="87" t="s">
        <v>418</v>
      </c>
      <c r="C174" s="86" t="s">
        <v>10</v>
      </c>
      <c r="D174" s="86" t="s">
        <v>33</v>
      </c>
      <c r="E174" s="88">
        <v>0.99180889000000005</v>
      </c>
      <c r="F174" s="89">
        <v>301.43</v>
      </c>
      <c r="G174" s="89">
        <v>298.95999999999998</v>
      </c>
    </row>
    <row r="175" spans="1:7" ht="37.5" customHeight="1">
      <c r="A175" s="86" t="s">
        <v>419</v>
      </c>
      <c r="B175" s="87" t="s">
        <v>420</v>
      </c>
      <c r="C175" s="86" t="s">
        <v>10</v>
      </c>
      <c r="D175" s="86" t="s">
        <v>33</v>
      </c>
      <c r="E175" s="88">
        <v>0.99180889000000005</v>
      </c>
      <c r="F175" s="89">
        <v>94.31</v>
      </c>
      <c r="G175" s="89">
        <v>93.53</v>
      </c>
    </row>
    <row r="176" spans="1:7" ht="37.5" customHeight="1">
      <c r="A176" s="86" t="s">
        <v>421</v>
      </c>
      <c r="B176" s="87" t="s">
        <v>422</v>
      </c>
      <c r="C176" s="86" t="s">
        <v>10</v>
      </c>
      <c r="D176" s="86" t="s">
        <v>33</v>
      </c>
      <c r="E176" s="88">
        <v>0.99180889000000005</v>
      </c>
      <c r="F176" s="89">
        <v>362.45</v>
      </c>
      <c r="G176" s="89">
        <v>359.48</v>
      </c>
    </row>
    <row r="177" spans="1:7" ht="15" customHeight="1">
      <c r="A177" s="1"/>
      <c r="B177" s="1"/>
      <c r="C177" s="1"/>
      <c r="D177" s="1"/>
      <c r="E177" s="279" t="s">
        <v>313</v>
      </c>
      <c r="F177" s="245"/>
      <c r="G177" s="90">
        <v>824.58</v>
      </c>
    </row>
    <row r="178" spans="1:7" ht="15" customHeight="1">
      <c r="A178" s="1"/>
      <c r="B178" s="1"/>
      <c r="C178" s="1"/>
      <c r="D178" s="1"/>
      <c r="E178" s="274" t="s">
        <v>314</v>
      </c>
      <c r="F178" s="245"/>
      <c r="G178" s="2">
        <v>824.58</v>
      </c>
    </row>
    <row r="179" spans="1:7" ht="9.75" customHeight="1">
      <c r="A179" s="1"/>
      <c r="B179" s="1"/>
      <c r="C179" s="1"/>
      <c r="D179" s="1"/>
      <c r="E179" s="275"/>
      <c r="F179" s="276"/>
      <c r="G179" s="276"/>
    </row>
    <row r="180" spans="1:7" ht="19.5" customHeight="1">
      <c r="A180" s="277" t="s">
        <v>423</v>
      </c>
      <c r="B180" s="244"/>
      <c r="C180" s="244"/>
      <c r="D180" s="244"/>
      <c r="E180" s="244"/>
      <c r="F180" s="244"/>
      <c r="G180" s="245"/>
    </row>
    <row r="181" spans="1:7" ht="15" customHeight="1">
      <c r="A181" s="278" t="s">
        <v>288</v>
      </c>
      <c r="B181" s="245"/>
      <c r="C181" s="85" t="s">
        <v>4</v>
      </c>
      <c r="D181" s="85" t="s">
        <v>289</v>
      </c>
      <c r="E181" s="85" t="s">
        <v>290</v>
      </c>
      <c r="F181" s="85" t="s">
        <v>291</v>
      </c>
      <c r="G181" s="85" t="s">
        <v>292</v>
      </c>
    </row>
    <row r="182" spans="1:7" ht="21" customHeight="1">
      <c r="A182" s="86" t="s">
        <v>424</v>
      </c>
      <c r="B182" s="87" t="s">
        <v>425</v>
      </c>
      <c r="C182" s="86" t="s">
        <v>426</v>
      </c>
      <c r="D182" s="86" t="s">
        <v>5</v>
      </c>
      <c r="E182" s="88">
        <v>1</v>
      </c>
      <c r="F182" s="89">
        <v>81.459999999999994</v>
      </c>
      <c r="G182" s="89">
        <v>81.459999999999994</v>
      </c>
    </row>
    <row r="183" spans="1:7" ht="15" customHeight="1">
      <c r="A183" s="1"/>
      <c r="B183" s="1"/>
      <c r="C183" s="1"/>
      <c r="D183" s="1"/>
      <c r="E183" s="279" t="s">
        <v>302</v>
      </c>
      <c r="F183" s="245"/>
      <c r="G183" s="90">
        <v>81.459999999999994</v>
      </c>
    </row>
    <row r="184" spans="1:7" ht="15" customHeight="1">
      <c r="A184" s="278" t="s">
        <v>303</v>
      </c>
      <c r="B184" s="245"/>
      <c r="C184" s="85" t="s">
        <v>4</v>
      </c>
      <c r="D184" s="85" t="s">
        <v>289</v>
      </c>
      <c r="E184" s="85" t="s">
        <v>290</v>
      </c>
      <c r="F184" s="85" t="s">
        <v>291</v>
      </c>
      <c r="G184" s="85" t="s">
        <v>292</v>
      </c>
    </row>
    <row r="185" spans="1:7" ht="21" customHeight="1">
      <c r="A185" s="86" t="s">
        <v>427</v>
      </c>
      <c r="B185" s="87" t="s">
        <v>428</v>
      </c>
      <c r="C185" s="86" t="s">
        <v>10</v>
      </c>
      <c r="D185" s="86" t="s">
        <v>306</v>
      </c>
      <c r="E185" s="88">
        <v>0.14638013999999999</v>
      </c>
      <c r="F185" s="89">
        <v>21.2</v>
      </c>
      <c r="G185" s="89">
        <v>3.1</v>
      </c>
    </row>
    <row r="186" spans="1:7" ht="15" customHeight="1">
      <c r="A186" s="86" t="s">
        <v>429</v>
      </c>
      <c r="B186" s="87" t="s">
        <v>430</v>
      </c>
      <c r="C186" s="86" t="s">
        <v>10</v>
      </c>
      <c r="D186" s="86" t="s">
        <v>306</v>
      </c>
      <c r="E186" s="88">
        <v>0.47167587999999999</v>
      </c>
      <c r="F186" s="89">
        <v>25.62</v>
      </c>
      <c r="G186" s="89">
        <v>12.08</v>
      </c>
    </row>
    <row r="187" spans="1:7" ht="18" customHeight="1">
      <c r="A187" s="1"/>
      <c r="B187" s="1"/>
      <c r="C187" s="1"/>
      <c r="D187" s="1"/>
      <c r="E187" s="279" t="s">
        <v>309</v>
      </c>
      <c r="F187" s="245"/>
      <c r="G187" s="90">
        <v>15.18</v>
      </c>
    </row>
    <row r="188" spans="1:7" ht="15" customHeight="1">
      <c r="A188" s="1"/>
      <c r="B188" s="1"/>
      <c r="C188" s="1"/>
      <c r="D188" s="1"/>
      <c r="E188" s="274" t="s">
        <v>314</v>
      </c>
      <c r="F188" s="245"/>
      <c r="G188" s="2">
        <v>96.64</v>
      </c>
    </row>
    <row r="189" spans="1:7" ht="9.75" customHeight="1">
      <c r="A189" s="1"/>
      <c r="B189" s="1"/>
      <c r="C189" s="1"/>
      <c r="D189" s="1"/>
      <c r="E189" s="275"/>
      <c r="F189" s="276"/>
      <c r="G189" s="276"/>
    </row>
    <row r="190" spans="1:7" ht="19.5" customHeight="1">
      <c r="A190" s="277" t="s">
        <v>431</v>
      </c>
      <c r="B190" s="244"/>
      <c r="C190" s="244"/>
      <c r="D190" s="244"/>
      <c r="E190" s="244"/>
      <c r="F190" s="244"/>
      <c r="G190" s="245"/>
    </row>
    <row r="191" spans="1:7" ht="15" customHeight="1">
      <c r="A191" s="278" t="s">
        <v>310</v>
      </c>
      <c r="B191" s="245"/>
      <c r="C191" s="85" t="s">
        <v>4</v>
      </c>
      <c r="D191" s="85" t="s">
        <v>289</v>
      </c>
      <c r="E191" s="85" t="s">
        <v>290</v>
      </c>
      <c r="F191" s="85" t="s">
        <v>291</v>
      </c>
      <c r="G191" s="85" t="s">
        <v>292</v>
      </c>
    </row>
    <row r="192" spans="1:7" ht="28.5" customHeight="1">
      <c r="A192" s="86" t="s">
        <v>432</v>
      </c>
      <c r="B192" s="87" t="s">
        <v>433</v>
      </c>
      <c r="C192" s="86" t="s">
        <v>10</v>
      </c>
      <c r="D192" s="86" t="s">
        <v>33</v>
      </c>
      <c r="E192" s="88">
        <v>0.98409692000000004</v>
      </c>
      <c r="F192" s="89">
        <v>16.68</v>
      </c>
      <c r="G192" s="89">
        <v>16.41</v>
      </c>
    </row>
    <row r="193" spans="1:7" ht="28.5" customHeight="1">
      <c r="A193" s="86" t="s">
        <v>434</v>
      </c>
      <c r="B193" s="87" t="s">
        <v>435</v>
      </c>
      <c r="C193" s="86" t="s">
        <v>10</v>
      </c>
      <c r="D193" s="86" t="s">
        <v>33</v>
      </c>
      <c r="E193" s="88">
        <v>0.98409692000000004</v>
      </c>
      <c r="F193" s="89">
        <v>9.73</v>
      </c>
      <c r="G193" s="89">
        <v>9.57</v>
      </c>
    </row>
    <row r="194" spans="1:7" ht="15" customHeight="1">
      <c r="A194" s="1"/>
      <c r="B194" s="1"/>
      <c r="C194" s="1"/>
      <c r="D194" s="1"/>
      <c r="E194" s="279" t="s">
        <v>313</v>
      </c>
      <c r="F194" s="245"/>
      <c r="G194" s="90">
        <v>25.98</v>
      </c>
    </row>
    <row r="195" spans="1:7" ht="15" customHeight="1">
      <c r="A195" s="1"/>
      <c r="B195" s="1"/>
      <c r="C195" s="1"/>
      <c r="D195" s="1"/>
      <c r="E195" s="274" t="s">
        <v>314</v>
      </c>
      <c r="F195" s="245"/>
      <c r="G195" s="2">
        <v>25.98</v>
      </c>
    </row>
    <row r="196" spans="1:7" ht="9.75" customHeight="1">
      <c r="A196" s="1"/>
      <c r="B196" s="1"/>
      <c r="C196" s="1"/>
      <c r="D196" s="1"/>
      <c r="E196" s="275"/>
      <c r="F196" s="276"/>
      <c r="G196" s="276"/>
    </row>
    <row r="197" spans="1:7" ht="19.5" customHeight="1">
      <c r="A197" s="277" t="s">
        <v>436</v>
      </c>
      <c r="B197" s="244"/>
      <c r="C197" s="244"/>
      <c r="D197" s="244"/>
      <c r="E197" s="244"/>
      <c r="F197" s="244"/>
      <c r="G197" s="245"/>
    </row>
    <row r="198" spans="1:7" ht="15" customHeight="1">
      <c r="A198" s="278" t="s">
        <v>288</v>
      </c>
      <c r="B198" s="245"/>
      <c r="C198" s="85" t="s">
        <v>4</v>
      </c>
      <c r="D198" s="85" t="s">
        <v>289</v>
      </c>
      <c r="E198" s="85" t="s">
        <v>290</v>
      </c>
      <c r="F198" s="85" t="s">
        <v>291</v>
      </c>
      <c r="G198" s="85" t="s">
        <v>292</v>
      </c>
    </row>
    <row r="199" spans="1:7" ht="21" customHeight="1">
      <c r="A199" s="86" t="s">
        <v>437</v>
      </c>
      <c r="B199" s="87" t="s">
        <v>438</v>
      </c>
      <c r="C199" s="86" t="s">
        <v>10</v>
      </c>
      <c r="D199" s="86" t="s">
        <v>33</v>
      </c>
      <c r="E199" s="88">
        <v>1</v>
      </c>
      <c r="F199" s="89">
        <v>2.91</v>
      </c>
      <c r="G199" s="89">
        <v>2.91</v>
      </c>
    </row>
    <row r="200" spans="1:7" ht="21" customHeight="1">
      <c r="A200" s="86" t="s">
        <v>439</v>
      </c>
      <c r="B200" s="87" t="s">
        <v>440</v>
      </c>
      <c r="C200" s="86" t="s">
        <v>10</v>
      </c>
      <c r="D200" s="86" t="s">
        <v>13</v>
      </c>
      <c r="E200" s="88">
        <v>6</v>
      </c>
      <c r="F200" s="89">
        <v>4.63</v>
      </c>
      <c r="G200" s="89">
        <v>27.78</v>
      </c>
    </row>
    <row r="201" spans="1:7" ht="21" customHeight="1">
      <c r="A201" s="86" t="s">
        <v>441</v>
      </c>
      <c r="B201" s="87" t="s">
        <v>442</v>
      </c>
      <c r="C201" s="86" t="s">
        <v>10</v>
      </c>
      <c r="D201" s="86" t="s">
        <v>13</v>
      </c>
      <c r="E201" s="88">
        <v>12</v>
      </c>
      <c r="F201" s="89">
        <v>2.76</v>
      </c>
      <c r="G201" s="89">
        <v>33.119999999999997</v>
      </c>
    </row>
    <row r="202" spans="1:7" ht="21" customHeight="1">
      <c r="A202" s="86" t="s">
        <v>443</v>
      </c>
      <c r="B202" s="87" t="s">
        <v>444</v>
      </c>
      <c r="C202" s="86" t="s">
        <v>426</v>
      </c>
      <c r="D202" s="86" t="s">
        <v>11</v>
      </c>
      <c r="E202" s="88">
        <v>0.15</v>
      </c>
      <c r="F202" s="89">
        <v>8.7799999999999994</v>
      </c>
      <c r="G202" s="89">
        <v>1.32</v>
      </c>
    </row>
    <row r="203" spans="1:7" ht="15" customHeight="1">
      <c r="A203" s="1"/>
      <c r="B203" s="1"/>
      <c r="C203" s="1"/>
      <c r="D203" s="1"/>
      <c r="E203" s="279" t="s">
        <v>302</v>
      </c>
      <c r="F203" s="245"/>
      <c r="G203" s="90">
        <v>65.13</v>
      </c>
    </row>
    <row r="204" spans="1:7" ht="15" customHeight="1">
      <c r="A204" s="278" t="s">
        <v>303</v>
      </c>
      <c r="B204" s="245"/>
      <c r="C204" s="85" t="s">
        <v>4</v>
      </c>
      <c r="D204" s="85" t="s">
        <v>289</v>
      </c>
      <c r="E204" s="85" t="s">
        <v>290</v>
      </c>
      <c r="F204" s="85" t="s">
        <v>291</v>
      </c>
      <c r="G204" s="85" t="s">
        <v>292</v>
      </c>
    </row>
    <row r="205" spans="1:7" ht="15" customHeight="1">
      <c r="A205" s="86" t="s">
        <v>429</v>
      </c>
      <c r="B205" s="87" t="s">
        <v>430</v>
      </c>
      <c r="C205" s="86" t="s">
        <v>10</v>
      </c>
      <c r="D205" s="86" t="s">
        <v>306</v>
      </c>
      <c r="E205" s="88">
        <v>4.8747803999999997</v>
      </c>
      <c r="F205" s="89">
        <v>25.62</v>
      </c>
      <c r="G205" s="89">
        <v>124.89</v>
      </c>
    </row>
    <row r="206" spans="1:7" ht="15" customHeight="1">
      <c r="A206" s="86" t="s">
        <v>307</v>
      </c>
      <c r="B206" s="87" t="s">
        <v>308</v>
      </c>
      <c r="C206" s="86" t="s">
        <v>10</v>
      </c>
      <c r="D206" s="86" t="s">
        <v>306</v>
      </c>
      <c r="E206" s="88">
        <v>5.8497364799999998</v>
      </c>
      <c r="F206" s="89">
        <v>19.97</v>
      </c>
      <c r="G206" s="89">
        <v>116.82</v>
      </c>
    </row>
    <row r="207" spans="1:7" ht="18" customHeight="1">
      <c r="A207" s="1"/>
      <c r="B207" s="1"/>
      <c r="C207" s="1"/>
      <c r="D207" s="1"/>
      <c r="E207" s="279" t="s">
        <v>309</v>
      </c>
      <c r="F207" s="245"/>
      <c r="G207" s="90">
        <v>241.71</v>
      </c>
    </row>
    <row r="208" spans="1:7" ht="15" customHeight="1">
      <c r="A208" s="1"/>
      <c r="B208" s="1"/>
      <c r="C208" s="1"/>
      <c r="D208" s="1"/>
      <c r="E208" s="274" t="s">
        <v>314</v>
      </c>
      <c r="F208" s="245"/>
      <c r="G208" s="2">
        <v>306.83999999999997</v>
      </c>
    </row>
    <row r="209" spans="1:7" ht="9.75" customHeight="1">
      <c r="A209" s="1"/>
      <c r="B209" s="1"/>
      <c r="C209" s="1"/>
      <c r="D209" s="1"/>
      <c r="E209" s="275"/>
      <c r="F209" s="276"/>
      <c r="G209" s="276"/>
    </row>
    <row r="210" spans="1:7" ht="19.5" customHeight="1">
      <c r="A210" s="277" t="s">
        <v>445</v>
      </c>
      <c r="B210" s="244"/>
      <c r="C210" s="244"/>
      <c r="D210" s="244"/>
      <c r="E210" s="244"/>
      <c r="F210" s="244"/>
      <c r="G210" s="245"/>
    </row>
    <row r="211" spans="1:7" ht="15" customHeight="1">
      <c r="A211" s="278" t="s">
        <v>288</v>
      </c>
      <c r="B211" s="245"/>
      <c r="C211" s="85" t="s">
        <v>4</v>
      </c>
      <c r="D211" s="85" t="s">
        <v>289</v>
      </c>
      <c r="E211" s="85" t="s">
        <v>290</v>
      </c>
      <c r="F211" s="85" t="s">
        <v>291</v>
      </c>
      <c r="G211" s="85" t="s">
        <v>292</v>
      </c>
    </row>
    <row r="212" spans="1:7" ht="21" customHeight="1">
      <c r="A212" s="86" t="s">
        <v>446</v>
      </c>
      <c r="B212" s="87" t="s">
        <v>447</v>
      </c>
      <c r="C212" s="86" t="s">
        <v>10</v>
      </c>
      <c r="D212" s="86" t="s">
        <v>334</v>
      </c>
      <c r="E212" s="88">
        <v>0.21</v>
      </c>
      <c r="F212" s="89">
        <v>17.18</v>
      </c>
      <c r="G212" s="89">
        <v>3.6</v>
      </c>
    </row>
    <row r="213" spans="1:7" ht="15" customHeight="1">
      <c r="A213" s="86" t="s">
        <v>448</v>
      </c>
      <c r="B213" s="87" t="s">
        <v>449</v>
      </c>
      <c r="C213" s="86" t="s">
        <v>10</v>
      </c>
      <c r="D213" s="86" t="s">
        <v>297</v>
      </c>
      <c r="E213" s="88">
        <v>0.5</v>
      </c>
      <c r="F213" s="89">
        <v>0.68</v>
      </c>
      <c r="G213" s="89">
        <v>0.34</v>
      </c>
    </row>
    <row r="214" spans="1:7" ht="15" customHeight="1">
      <c r="A214" s="1"/>
      <c r="B214" s="1"/>
      <c r="C214" s="1"/>
      <c r="D214" s="1"/>
      <c r="E214" s="279" t="s">
        <v>302</v>
      </c>
      <c r="F214" s="245"/>
      <c r="G214" s="90">
        <v>3.94</v>
      </c>
    </row>
    <row r="215" spans="1:7" ht="15" customHeight="1">
      <c r="A215" s="278" t="s">
        <v>303</v>
      </c>
      <c r="B215" s="245"/>
      <c r="C215" s="85" t="s">
        <v>4</v>
      </c>
      <c r="D215" s="85" t="s">
        <v>289</v>
      </c>
      <c r="E215" s="85" t="s">
        <v>290</v>
      </c>
      <c r="F215" s="85" t="s">
        <v>291</v>
      </c>
      <c r="G215" s="85" t="s">
        <v>292</v>
      </c>
    </row>
    <row r="216" spans="1:7" ht="15" customHeight="1">
      <c r="A216" s="86" t="s">
        <v>348</v>
      </c>
      <c r="B216" s="87" t="s">
        <v>349</v>
      </c>
      <c r="C216" s="86" t="s">
        <v>10</v>
      </c>
      <c r="D216" s="86" t="s">
        <v>306</v>
      </c>
      <c r="E216" s="88">
        <v>0.21134913</v>
      </c>
      <c r="F216" s="89">
        <v>25.37</v>
      </c>
      <c r="G216" s="89">
        <v>5.36</v>
      </c>
    </row>
    <row r="217" spans="1:7" ht="15" customHeight="1">
      <c r="A217" s="86" t="s">
        <v>307</v>
      </c>
      <c r="B217" s="87" t="s">
        <v>308</v>
      </c>
      <c r="C217" s="86" t="s">
        <v>10</v>
      </c>
      <c r="D217" s="86" t="s">
        <v>306</v>
      </c>
      <c r="E217" s="88">
        <v>0.10587164</v>
      </c>
      <c r="F217" s="89">
        <v>19.97</v>
      </c>
      <c r="G217" s="89">
        <v>2.11</v>
      </c>
    </row>
    <row r="218" spans="1:7" ht="18" customHeight="1">
      <c r="A218" s="1"/>
      <c r="B218" s="1"/>
      <c r="C218" s="1"/>
      <c r="D218" s="1"/>
      <c r="E218" s="279" t="s">
        <v>309</v>
      </c>
      <c r="F218" s="245"/>
      <c r="G218" s="90">
        <v>7.47</v>
      </c>
    </row>
    <row r="219" spans="1:7" ht="15" customHeight="1">
      <c r="A219" s="278" t="s">
        <v>310</v>
      </c>
      <c r="B219" s="245"/>
      <c r="C219" s="85" t="s">
        <v>4</v>
      </c>
      <c r="D219" s="85" t="s">
        <v>289</v>
      </c>
      <c r="E219" s="85" t="s">
        <v>290</v>
      </c>
      <c r="F219" s="85" t="s">
        <v>291</v>
      </c>
      <c r="G219" s="85" t="s">
        <v>292</v>
      </c>
    </row>
    <row r="220" spans="1:7" ht="28.5" customHeight="1">
      <c r="A220" s="86" t="s">
        <v>450</v>
      </c>
      <c r="B220" s="87" t="s">
        <v>451</v>
      </c>
      <c r="C220" s="86" t="s">
        <v>10</v>
      </c>
      <c r="D220" s="86" t="s">
        <v>15</v>
      </c>
      <c r="E220" s="88">
        <v>3.067309E-2</v>
      </c>
      <c r="F220" s="89">
        <v>700.28</v>
      </c>
      <c r="G220" s="89">
        <v>21.47</v>
      </c>
    </row>
    <row r="221" spans="1:7" ht="15" customHeight="1">
      <c r="A221" s="1"/>
      <c r="B221" s="1"/>
      <c r="C221" s="1"/>
      <c r="D221" s="1"/>
      <c r="E221" s="279" t="s">
        <v>313</v>
      </c>
      <c r="F221" s="245"/>
      <c r="G221" s="90">
        <v>21.47</v>
      </c>
    </row>
    <row r="222" spans="1:7" ht="15" customHeight="1">
      <c r="A222" s="1"/>
      <c r="B222" s="1"/>
      <c r="C222" s="1"/>
      <c r="D222" s="1"/>
      <c r="E222" s="274" t="s">
        <v>314</v>
      </c>
      <c r="F222" s="245"/>
      <c r="G222" s="2">
        <v>32.880000000000003</v>
      </c>
    </row>
    <row r="223" spans="1:7" ht="9.75" customHeight="1">
      <c r="A223" s="1"/>
      <c r="B223" s="1"/>
      <c r="C223" s="1"/>
      <c r="D223" s="1"/>
      <c r="E223" s="275"/>
      <c r="F223" s="276"/>
      <c r="G223" s="276"/>
    </row>
    <row r="224" spans="1:7" ht="19.5" customHeight="1">
      <c r="A224" s="277" t="s">
        <v>452</v>
      </c>
      <c r="B224" s="244"/>
      <c r="C224" s="244"/>
      <c r="D224" s="244"/>
      <c r="E224" s="244"/>
      <c r="F224" s="244"/>
      <c r="G224" s="245"/>
    </row>
    <row r="225" spans="1:7" ht="15" customHeight="1">
      <c r="A225" s="278" t="s">
        <v>288</v>
      </c>
      <c r="B225" s="245"/>
      <c r="C225" s="85" t="s">
        <v>4</v>
      </c>
      <c r="D225" s="85" t="s">
        <v>289</v>
      </c>
      <c r="E225" s="85" t="s">
        <v>290</v>
      </c>
      <c r="F225" s="85" t="s">
        <v>291</v>
      </c>
      <c r="G225" s="85" t="s">
        <v>292</v>
      </c>
    </row>
    <row r="226" spans="1:7" ht="15" customHeight="1">
      <c r="A226" s="86" t="s">
        <v>453</v>
      </c>
      <c r="B226" s="87" t="s">
        <v>454</v>
      </c>
      <c r="C226" s="86" t="s">
        <v>10</v>
      </c>
      <c r="D226" s="86" t="s">
        <v>297</v>
      </c>
      <c r="E226" s="88">
        <v>9.1300000000000008</v>
      </c>
      <c r="F226" s="89">
        <v>2.52</v>
      </c>
      <c r="G226" s="89">
        <v>23</v>
      </c>
    </row>
    <row r="227" spans="1:7" ht="28.5" customHeight="1">
      <c r="A227" s="86" t="s">
        <v>455</v>
      </c>
      <c r="B227" s="87" t="s">
        <v>456</v>
      </c>
      <c r="C227" s="86" t="s">
        <v>10</v>
      </c>
      <c r="D227" s="86" t="s">
        <v>11</v>
      </c>
      <c r="E227" s="88">
        <v>1.1544000000000001</v>
      </c>
      <c r="F227" s="89">
        <v>79.900000000000006</v>
      </c>
      <c r="G227" s="89">
        <v>92.23</v>
      </c>
    </row>
    <row r="228" spans="1:7" ht="15" customHeight="1">
      <c r="A228" s="86" t="s">
        <v>457</v>
      </c>
      <c r="B228" s="87" t="s">
        <v>458</v>
      </c>
      <c r="C228" s="86" t="s">
        <v>10</v>
      </c>
      <c r="D228" s="86" t="s">
        <v>297</v>
      </c>
      <c r="E228" s="88">
        <v>0.106</v>
      </c>
      <c r="F228" s="89">
        <v>4.8099999999999996</v>
      </c>
      <c r="G228" s="89">
        <v>0.5</v>
      </c>
    </row>
    <row r="229" spans="1:7" ht="15" customHeight="1">
      <c r="A229" s="1"/>
      <c r="B229" s="1"/>
      <c r="C229" s="1"/>
      <c r="D229" s="1"/>
      <c r="E229" s="279" t="s">
        <v>302</v>
      </c>
      <c r="F229" s="245"/>
      <c r="G229" s="90">
        <v>115.73</v>
      </c>
    </row>
    <row r="230" spans="1:7" ht="15" customHeight="1">
      <c r="A230" s="278" t="s">
        <v>303</v>
      </c>
      <c r="B230" s="245"/>
      <c r="C230" s="85" t="s">
        <v>4</v>
      </c>
      <c r="D230" s="85" t="s">
        <v>289</v>
      </c>
      <c r="E230" s="85" t="s">
        <v>290</v>
      </c>
      <c r="F230" s="85" t="s">
        <v>291</v>
      </c>
      <c r="G230" s="85" t="s">
        <v>292</v>
      </c>
    </row>
    <row r="231" spans="1:7" ht="21" customHeight="1">
      <c r="A231" s="86" t="s">
        <v>459</v>
      </c>
      <c r="B231" s="87" t="s">
        <v>460</v>
      </c>
      <c r="C231" s="86" t="s">
        <v>10</v>
      </c>
      <c r="D231" s="86" t="s">
        <v>306</v>
      </c>
      <c r="E231" s="88">
        <v>1.1700136699999999</v>
      </c>
      <c r="F231" s="89">
        <v>25.22</v>
      </c>
      <c r="G231" s="89">
        <v>29.5</v>
      </c>
    </row>
    <row r="232" spans="1:7" ht="15" customHeight="1">
      <c r="A232" s="86" t="s">
        <v>307</v>
      </c>
      <c r="B232" s="87" t="s">
        <v>308</v>
      </c>
      <c r="C232" s="86" t="s">
        <v>10</v>
      </c>
      <c r="D232" s="86" t="s">
        <v>306</v>
      </c>
      <c r="E232" s="88">
        <v>0.25395743999999998</v>
      </c>
      <c r="F232" s="89">
        <v>19.97</v>
      </c>
      <c r="G232" s="89">
        <v>5.07</v>
      </c>
    </row>
    <row r="233" spans="1:7" ht="18" customHeight="1">
      <c r="A233" s="1"/>
      <c r="B233" s="1"/>
      <c r="C233" s="1"/>
      <c r="D233" s="1"/>
      <c r="E233" s="279" t="s">
        <v>309</v>
      </c>
      <c r="F233" s="245"/>
      <c r="G233" s="90">
        <v>34.57</v>
      </c>
    </row>
    <row r="234" spans="1:7" ht="15" customHeight="1">
      <c r="A234" s="1"/>
      <c r="B234" s="1"/>
      <c r="C234" s="1"/>
      <c r="D234" s="1"/>
      <c r="E234" s="274" t="s">
        <v>314</v>
      </c>
      <c r="F234" s="245"/>
      <c r="G234" s="2">
        <v>150.30000000000001</v>
      </c>
    </row>
    <row r="235" spans="1:7" ht="9.75" customHeight="1">
      <c r="A235" s="1"/>
      <c r="B235" s="1"/>
      <c r="C235" s="1"/>
      <c r="D235" s="1"/>
      <c r="E235" s="275"/>
      <c r="F235" s="276"/>
      <c r="G235" s="276"/>
    </row>
    <row r="236" spans="1:7" ht="27" customHeight="1">
      <c r="A236" s="277" t="s">
        <v>461</v>
      </c>
      <c r="B236" s="244"/>
      <c r="C236" s="244"/>
      <c r="D236" s="244"/>
      <c r="E236" s="244"/>
      <c r="F236" s="244"/>
      <c r="G236" s="245"/>
    </row>
    <row r="237" spans="1:7" ht="15" customHeight="1">
      <c r="A237" s="278" t="s">
        <v>316</v>
      </c>
      <c r="B237" s="245"/>
      <c r="C237" s="85" t="s">
        <v>4</v>
      </c>
      <c r="D237" s="85" t="s">
        <v>289</v>
      </c>
      <c r="E237" s="85" t="s">
        <v>290</v>
      </c>
      <c r="F237" s="85" t="s">
        <v>291</v>
      </c>
      <c r="G237" s="85" t="s">
        <v>292</v>
      </c>
    </row>
    <row r="238" spans="1:7" ht="37.5" customHeight="1">
      <c r="A238" s="86" t="s">
        <v>462</v>
      </c>
      <c r="B238" s="87" t="s">
        <v>463</v>
      </c>
      <c r="C238" s="86" t="s">
        <v>10</v>
      </c>
      <c r="D238" s="86" t="s">
        <v>319</v>
      </c>
      <c r="E238" s="88">
        <v>7.4134489999999997E-2</v>
      </c>
      <c r="F238" s="89">
        <v>1.49</v>
      </c>
      <c r="G238" s="89">
        <v>0.11</v>
      </c>
    </row>
    <row r="239" spans="1:7" ht="37.5" customHeight="1">
      <c r="A239" s="86" t="s">
        <v>464</v>
      </c>
      <c r="B239" s="87" t="s">
        <v>465</v>
      </c>
      <c r="C239" s="86" t="s">
        <v>10</v>
      </c>
      <c r="D239" s="86" t="s">
        <v>322</v>
      </c>
      <c r="E239" s="88">
        <v>2.4809169999999998E-2</v>
      </c>
      <c r="F239" s="89">
        <v>4.49</v>
      </c>
      <c r="G239" s="89">
        <v>0.11</v>
      </c>
    </row>
    <row r="240" spans="1:7" ht="28.5" customHeight="1">
      <c r="A240" s="86" t="s">
        <v>466</v>
      </c>
      <c r="B240" s="87" t="s">
        <v>467</v>
      </c>
      <c r="C240" s="86" t="s">
        <v>10</v>
      </c>
      <c r="D240" s="86" t="s">
        <v>319</v>
      </c>
      <c r="E240" s="88">
        <v>0.21136632</v>
      </c>
      <c r="F240" s="89">
        <v>0.54</v>
      </c>
      <c r="G240" s="89">
        <v>0.11</v>
      </c>
    </row>
    <row r="241" spans="1:7" ht="28.5" customHeight="1">
      <c r="A241" s="86" t="s">
        <v>468</v>
      </c>
      <c r="B241" s="87" t="s">
        <v>469</v>
      </c>
      <c r="C241" s="86" t="s">
        <v>10</v>
      </c>
      <c r="D241" s="86" t="s">
        <v>322</v>
      </c>
      <c r="E241" s="88">
        <v>8.8199529999999998E-2</v>
      </c>
      <c r="F241" s="89">
        <v>2.58</v>
      </c>
      <c r="G241" s="89">
        <v>0.22</v>
      </c>
    </row>
    <row r="242" spans="1:7" ht="18" customHeight="1">
      <c r="A242" s="1"/>
      <c r="B242" s="1"/>
      <c r="C242" s="1"/>
      <c r="D242" s="1"/>
      <c r="E242" s="279" t="s">
        <v>323</v>
      </c>
      <c r="F242" s="245"/>
      <c r="G242" s="90">
        <v>0.55000000000000004</v>
      </c>
    </row>
    <row r="243" spans="1:7" ht="15" customHeight="1">
      <c r="A243" s="278" t="s">
        <v>288</v>
      </c>
      <c r="B243" s="245"/>
      <c r="C243" s="85" t="s">
        <v>4</v>
      </c>
      <c r="D243" s="85" t="s">
        <v>289</v>
      </c>
      <c r="E243" s="85" t="s">
        <v>290</v>
      </c>
      <c r="F243" s="85" t="s">
        <v>291</v>
      </c>
      <c r="G243" s="85" t="s">
        <v>292</v>
      </c>
    </row>
    <row r="244" spans="1:7" ht="15" customHeight="1">
      <c r="A244" s="86" t="s">
        <v>470</v>
      </c>
      <c r="B244" s="87" t="s">
        <v>471</v>
      </c>
      <c r="C244" s="86" t="s">
        <v>10</v>
      </c>
      <c r="D244" s="86" t="s">
        <v>334</v>
      </c>
      <c r="E244" s="88">
        <v>1.2500000000000001E-2</v>
      </c>
      <c r="F244" s="89">
        <v>20.350000000000001</v>
      </c>
      <c r="G244" s="89">
        <v>0.25</v>
      </c>
    </row>
    <row r="245" spans="1:7" ht="21" customHeight="1">
      <c r="A245" s="86" t="s">
        <v>472</v>
      </c>
      <c r="B245" s="87" t="s">
        <v>473</v>
      </c>
      <c r="C245" s="86" t="s">
        <v>10</v>
      </c>
      <c r="D245" s="86" t="s">
        <v>297</v>
      </c>
      <c r="E245" s="88">
        <v>10</v>
      </c>
      <c r="F245" s="89">
        <v>3.64</v>
      </c>
      <c r="G245" s="89">
        <v>36.4</v>
      </c>
    </row>
    <row r="246" spans="1:7" ht="28.5" customHeight="1">
      <c r="A246" s="86" t="s">
        <v>474</v>
      </c>
      <c r="B246" s="87" t="s">
        <v>475</v>
      </c>
      <c r="C246" s="86" t="s">
        <v>10</v>
      </c>
      <c r="D246" s="86" t="s">
        <v>297</v>
      </c>
      <c r="E246" s="88">
        <v>20</v>
      </c>
      <c r="F246" s="89">
        <v>0.61</v>
      </c>
      <c r="G246" s="89">
        <v>12.2</v>
      </c>
    </row>
    <row r="247" spans="1:7" ht="21" customHeight="1">
      <c r="A247" s="86" t="s">
        <v>476</v>
      </c>
      <c r="B247" s="87" t="s">
        <v>477</v>
      </c>
      <c r="C247" s="86" t="s">
        <v>10</v>
      </c>
      <c r="D247" s="86" t="s">
        <v>13</v>
      </c>
      <c r="E247" s="88">
        <v>1.67</v>
      </c>
      <c r="F247" s="89">
        <v>1.26</v>
      </c>
      <c r="G247" s="89">
        <v>2.1</v>
      </c>
    </row>
    <row r="248" spans="1:7" ht="15" customHeight="1">
      <c r="A248" s="86" t="s">
        <v>478</v>
      </c>
      <c r="B248" s="87" t="s">
        <v>479</v>
      </c>
      <c r="C248" s="86" t="s">
        <v>10</v>
      </c>
      <c r="D248" s="86" t="s">
        <v>334</v>
      </c>
      <c r="E248" s="88">
        <v>0.04</v>
      </c>
      <c r="F248" s="89">
        <v>9.17</v>
      </c>
      <c r="G248" s="89">
        <v>0.36</v>
      </c>
    </row>
    <row r="249" spans="1:7" ht="15" customHeight="1">
      <c r="A249" s="1"/>
      <c r="B249" s="1"/>
      <c r="C249" s="1"/>
      <c r="D249" s="1"/>
      <c r="E249" s="279" t="s">
        <v>302</v>
      </c>
      <c r="F249" s="245"/>
      <c r="G249" s="90">
        <v>51.31</v>
      </c>
    </row>
    <row r="250" spans="1:7" ht="15" customHeight="1">
      <c r="A250" s="278" t="s">
        <v>303</v>
      </c>
      <c r="B250" s="245"/>
      <c r="C250" s="85" t="s">
        <v>4</v>
      </c>
      <c r="D250" s="85" t="s">
        <v>289</v>
      </c>
      <c r="E250" s="85" t="s">
        <v>290</v>
      </c>
      <c r="F250" s="85" t="s">
        <v>291</v>
      </c>
      <c r="G250" s="85" t="s">
        <v>292</v>
      </c>
    </row>
    <row r="251" spans="1:7" ht="21" customHeight="1">
      <c r="A251" s="86" t="s">
        <v>480</v>
      </c>
      <c r="B251" s="87" t="s">
        <v>481</v>
      </c>
      <c r="C251" s="86" t="s">
        <v>10</v>
      </c>
      <c r="D251" s="86" t="s">
        <v>306</v>
      </c>
      <c r="E251" s="88">
        <v>1.06971876</v>
      </c>
      <c r="F251" s="89">
        <v>25.22</v>
      </c>
      <c r="G251" s="89">
        <v>26.97</v>
      </c>
    </row>
    <row r="252" spans="1:7" ht="15" customHeight="1">
      <c r="A252" s="86" t="s">
        <v>307</v>
      </c>
      <c r="B252" s="87" t="s">
        <v>308</v>
      </c>
      <c r="C252" s="86" t="s">
        <v>10</v>
      </c>
      <c r="D252" s="86" t="s">
        <v>306</v>
      </c>
      <c r="E252" s="88">
        <v>0.48563464000000001</v>
      </c>
      <c r="F252" s="89">
        <v>19.97</v>
      </c>
      <c r="G252" s="89">
        <v>9.69</v>
      </c>
    </row>
    <row r="253" spans="1:7" ht="18" customHeight="1">
      <c r="A253" s="1"/>
      <c r="B253" s="1"/>
      <c r="C253" s="1"/>
      <c r="D253" s="1"/>
      <c r="E253" s="279" t="s">
        <v>309</v>
      </c>
      <c r="F253" s="245"/>
      <c r="G253" s="90">
        <v>36.659999999999997</v>
      </c>
    </row>
    <row r="254" spans="1:7" ht="15" customHeight="1">
      <c r="A254" s="1"/>
      <c r="B254" s="1"/>
      <c r="C254" s="1"/>
      <c r="D254" s="1"/>
      <c r="E254" s="274" t="s">
        <v>314</v>
      </c>
      <c r="F254" s="245"/>
      <c r="G254" s="2">
        <v>88.52</v>
      </c>
    </row>
    <row r="255" spans="1:7" ht="9.75" customHeight="1">
      <c r="A255" s="1"/>
      <c r="B255" s="1"/>
      <c r="C255" s="1"/>
      <c r="D255" s="1"/>
      <c r="E255" s="275"/>
      <c r="F255" s="276"/>
      <c r="G255" s="276"/>
    </row>
    <row r="256" spans="1:7" ht="19.5" customHeight="1">
      <c r="A256" s="277" t="s">
        <v>482</v>
      </c>
      <c r="B256" s="244"/>
      <c r="C256" s="244"/>
      <c r="D256" s="244"/>
      <c r="E256" s="244"/>
      <c r="F256" s="244"/>
      <c r="G256" s="245"/>
    </row>
    <row r="257" spans="1:7" ht="15" customHeight="1">
      <c r="A257" s="278" t="s">
        <v>316</v>
      </c>
      <c r="B257" s="245"/>
      <c r="C257" s="85" t="s">
        <v>4</v>
      </c>
      <c r="D257" s="85" t="s">
        <v>289</v>
      </c>
      <c r="E257" s="85" t="s">
        <v>290</v>
      </c>
      <c r="F257" s="85" t="s">
        <v>291</v>
      </c>
      <c r="G257" s="85" t="s">
        <v>292</v>
      </c>
    </row>
    <row r="258" spans="1:7" ht="37.5" customHeight="1">
      <c r="A258" s="86" t="s">
        <v>483</v>
      </c>
      <c r="B258" s="87" t="s">
        <v>484</v>
      </c>
      <c r="C258" s="86" t="s">
        <v>10</v>
      </c>
      <c r="D258" s="86" t="s">
        <v>319</v>
      </c>
      <c r="E258" s="88">
        <v>4.9966169999999997E-2</v>
      </c>
      <c r="F258" s="89">
        <v>8.77</v>
      </c>
      <c r="G258" s="89">
        <v>0.43</v>
      </c>
    </row>
    <row r="259" spans="1:7" ht="37.5" customHeight="1">
      <c r="A259" s="86" t="s">
        <v>485</v>
      </c>
      <c r="B259" s="87" t="s">
        <v>486</v>
      </c>
      <c r="C259" s="86" t="s">
        <v>10</v>
      </c>
      <c r="D259" s="86" t="s">
        <v>322</v>
      </c>
      <c r="E259" s="88">
        <v>1.1849600000000001E-3</v>
      </c>
      <c r="F259" s="89">
        <v>31.48</v>
      </c>
      <c r="G259" s="89">
        <v>0.03</v>
      </c>
    </row>
    <row r="260" spans="1:7" ht="18" customHeight="1">
      <c r="A260" s="1"/>
      <c r="B260" s="1"/>
      <c r="C260" s="1"/>
      <c r="D260" s="1"/>
      <c r="E260" s="279" t="s">
        <v>323</v>
      </c>
      <c r="F260" s="245"/>
      <c r="G260" s="90">
        <v>0.46</v>
      </c>
    </row>
    <row r="261" spans="1:7" ht="15" customHeight="1">
      <c r="A261" s="278" t="s">
        <v>303</v>
      </c>
      <c r="B261" s="245"/>
      <c r="C261" s="85" t="s">
        <v>4</v>
      </c>
      <c r="D261" s="85" t="s">
        <v>289</v>
      </c>
      <c r="E261" s="85" t="s">
        <v>290</v>
      </c>
      <c r="F261" s="85" t="s">
        <v>291</v>
      </c>
      <c r="G261" s="85" t="s">
        <v>292</v>
      </c>
    </row>
    <row r="262" spans="1:7" ht="15" customHeight="1">
      <c r="A262" s="86" t="s">
        <v>348</v>
      </c>
      <c r="B262" s="87" t="s">
        <v>349</v>
      </c>
      <c r="C262" s="86" t="s">
        <v>10</v>
      </c>
      <c r="D262" s="86" t="s">
        <v>306</v>
      </c>
      <c r="E262" s="88">
        <v>5.1151139999999998E-2</v>
      </c>
      <c r="F262" s="89">
        <v>25.37</v>
      </c>
      <c r="G262" s="89">
        <v>1.29</v>
      </c>
    </row>
    <row r="263" spans="1:7" ht="15" customHeight="1">
      <c r="A263" s="86" t="s">
        <v>307</v>
      </c>
      <c r="B263" s="87" t="s">
        <v>308</v>
      </c>
      <c r="C263" s="86" t="s">
        <v>10</v>
      </c>
      <c r="D263" s="86" t="s">
        <v>306</v>
      </c>
      <c r="E263" s="88">
        <v>1.9156989999999999E-2</v>
      </c>
      <c r="F263" s="89">
        <v>19.97</v>
      </c>
      <c r="G263" s="89">
        <v>0.38</v>
      </c>
    </row>
    <row r="264" spans="1:7" ht="18" customHeight="1">
      <c r="A264" s="1"/>
      <c r="B264" s="1"/>
      <c r="C264" s="1"/>
      <c r="D264" s="1"/>
      <c r="E264" s="279" t="s">
        <v>309</v>
      </c>
      <c r="F264" s="245"/>
      <c r="G264" s="90">
        <v>1.67</v>
      </c>
    </row>
    <row r="265" spans="1:7" ht="15" customHeight="1">
      <c r="A265" s="278" t="s">
        <v>310</v>
      </c>
      <c r="B265" s="245"/>
      <c r="C265" s="85" t="s">
        <v>4</v>
      </c>
      <c r="D265" s="85" t="s">
        <v>289</v>
      </c>
      <c r="E265" s="85" t="s">
        <v>290</v>
      </c>
      <c r="F265" s="85" t="s">
        <v>291</v>
      </c>
      <c r="G265" s="85" t="s">
        <v>292</v>
      </c>
    </row>
    <row r="266" spans="1:7" ht="28.5" customHeight="1">
      <c r="A266" s="86" t="s">
        <v>487</v>
      </c>
      <c r="B266" s="87" t="s">
        <v>488</v>
      </c>
      <c r="C266" s="86" t="s">
        <v>10</v>
      </c>
      <c r="D266" s="86" t="s">
        <v>15</v>
      </c>
      <c r="E266" s="88">
        <v>4.1473899999999999E-3</v>
      </c>
      <c r="F266" s="89">
        <v>628.13</v>
      </c>
      <c r="G266" s="89">
        <v>2.6</v>
      </c>
    </row>
    <row r="267" spans="1:7" ht="15" customHeight="1">
      <c r="A267" s="1"/>
      <c r="B267" s="1"/>
      <c r="C267" s="1"/>
      <c r="D267" s="1"/>
      <c r="E267" s="279" t="s">
        <v>313</v>
      </c>
      <c r="F267" s="245"/>
      <c r="G267" s="90">
        <v>2.6</v>
      </c>
    </row>
    <row r="268" spans="1:7" ht="15" customHeight="1">
      <c r="A268" s="1"/>
      <c r="B268" s="1"/>
      <c r="C268" s="1"/>
      <c r="D268" s="1"/>
      <c r="E268" s="274" t="s">
        <v>314</v>
      </c>
      <c r="F268" s="245"/>
      <c r="G268" s="2">
        <v>4.7300000000000004</v>
      </c>
    </row>
    <row r="269" spans="1:7" ht="9.75" customHeight="1">
      <c r="A269" s="1"/>
      <c r="B269" s="1"/>
      <c r="C269" s="1"/>
      <c r="D269" s="1"/>
      <c r="E269" s="275"/>
      <c r="F269" s="276"/>
      <c r="G269" s="276"/>
    </row>
    <row r="270" spans="1:7" ht="19.5" customHeight="1">
      <c r="A270" s="277" t="s">
        <v>489</v>
      </c>
      <c r="B270" s="244"/>
      <c r="C270" s="244"/>
      <c r="D270" s="244"/>
      <c r="E270" s="244"/>
      <c r="F270" s="244"/>
      <c r="G270" s="245"/>
    </row>
    <row r="271" spans="1:7" ht="15" customHeight="1">
      <c r="A271" s="278" t="s">
        <v>303</v>
      </c>
      <c r="B271" s="245"/>
      <c r="C271" s="85" t="s">
        <v>4</v>
      </c>
      <c r="D271" s="85" t="s">
        <v>289</v>
      </c>
      <c r="E271" s="85" t="s">
        <v>290</v>
      </c>
      <c r="F271" s="85" t="s">
        <v>291</v>
      </c>
      <c r="G271" s="85" t="s">
        <v>292</v>
      </c>
    </row>
    <row r="272" spans="1:7" ht="15" customHeight="1">
      <c r="A272" s="86" t="s">
        <v>348</v>
      </c>
      <c r="B272" s="87" t="s">
        <v>349</v>
      </c>
      <c r="C272" s="86" t="s">
        <v>10</v>
      </c>
      <c r="D272" s="86" t="s">
        <v>306</v>
      </c>
      <c r="E272" s="88">
        <v>0.54312044999999998</v>
      </c>
      <c r="F272" s="89">
        <v>25.37</v>
      </c>
      <c r="G272" s="89">
        <v>13.77</v>
      </c>
    </row>
    <row r="273" spans="1:7" ht="15" customHeight="1">
      <c r="A273" s="86" t="s">
        <v>307</v>
      </c>
      <c r="B273" s="87" t="s">
        <v>308</v>
      </c>
      <c r="C273" s="86" t="s">
        <v>10</v>
      </c>
      <c r="D273" s="86" t="s">
        <v>306</v>
      </c>
      <c r="E273" s="88">
        <v>0.27136314</v>
      </c>
      <c r="F273" s="89">
        <v>19.97</v>
      </c>
      <c r="G273" s="89">
        <v>5.41</v>
      </c>
    </row>
    <row r="274" spans="1:7" ht="18" customHeight="1">
      <c r="A274" s="1"/>
      <c r="B274" s="1"/>
      <c r="C274" s="1"/>
      <c r="D274" s="1"/>
      <c r="E274" s="279" t="s">
        <v>309</v>
      </c>
      <c r="F274" s="245"/>
      <c r="G274" s="90">
        <v>19.18</v>
      </c>
    </row>
    <row r="275" spans="1:7" ht="15" customHeight="1">
      <c r="A275" s="278" t="s">
        <v>310</v>
      </c>
      <c r="B275" s="245"/>
      <c r="C275" s="85" t="s">
        <v>4</v>
      </c>
      <c r="D275" s="85" t="s">
        <v>289</v>
      </c>
      <c r="E275" s="85" t="s">
        <v>290</v>
      </c>
      <c r="F275" s="85" t="s">
        <v>291</v>
      </c>
      <c r="G275" s="85" t="s">
        <v>292</v>
      </c>
    </row>
    <row r="276" spans="1:7" ht="37.5" customHeight="1">
      <c r="A276" s="86" t="s">
        <v>362</v>
      </c>
      <c r="B276" s="87" t="s">
        <v>363</v>
      </c>
      <c r="C276" s="86" t="s">
        <v>10</v>
      </c>
      <c r="D276" s="86" t="s">
        <v>15</v>
      </c>
      <c r="E276" s="88">
        <v>2.992179E-2</v>
      </c>
      <c r="F276" s="89">
        <v>676.74</v>
      </c>
      <c r="G276" s="89">
        <v>20.239999999999998</v>
      </c>
    </row>
    <row r="277" spans="1:7" ht="15" customHeight="1">
      <c r="A277" s="1"/>
      <c r="B277" s="1"/>
      <c r="C277" s="1"/>
      <c r="D277" s="1"/>
      <c r="E277" s="279" t="s">
        <v>313</v>
      </c>
      <c r="F277" s="245"/>
      <c r="G277" s="90">
        <v>20.239999999999998</v>
      </c>
    </row>
    <row r="278" spans="1:7" ht="15" customHeight="1">
      <c r="A278" s="1"/>
      <c r="B278" s="1"/>
      <c r="C278" s="1"/>
      <c r="D278" s="1"/>
      <c r="E278" s="274" t="s">
        <v>314</v>
      </c>
      <c r="F278" s="245"/>
      <c r="G278" s="2">
        <v>39.42</v>
      </c>
    </row>
    <row r="279" spans="1:7" ht="9.75" customHeight="1">
      <c r="A279" s="1"/>
      <c r="B279" s="1"/>
      <c r="C279" s="1"/>
      <c r="D279" s="1"/>
      <c r="E279" s="275"/>
      <c r="F279" s="276"/>
      <c r="G279" s="276"/>
    </row>
    <row r="280" spans="1:7" ht="19.5" customHeight="1">
      <c r="A280" s="277" t="s">
        <v>490</v>
      </c>
      <c r="B280" s="244"/>
      <c r="C280" s="244"/>
      <c r="D280" s="244"/>
      <c r="E280" s="244"/>
      <c r="F280" s="244"/>
      <c r="G280" s="245"/>
    </row>
    <row r="281" spans="1:7" ht="15" customHeight="1">
      <c r="A281" s="278" t="s">
        <v>288</v>
      </c>
      <c r="B281" s="245"/>
      <c r="C281" s="85" t="s">
        <v>4</v>
      </c>
      <c r="D281" s="85" t="s">
        <v>289</v>
      </c>
      <c r="E281" s="85" t="s">
        <v>290</v>
      </c>
      <c r="F281" s="85" t="s">
        <v>291</v>
      </c>
      <c r="G281" s="85" t="s">
        <v>292</v>
      </c>
    </row>
    <row r="282" spans="1:7" ht="15" customHeight="1">
      <c r="A282" s="86" t="s">
        <v>491</v>
      </c>
      <c r="B282" s="87" t="s">
        <v>492</v>
      </c>
      <c r="C282" s="86" t="s">
        <v>10</v>
      </c>
      <c r="D282" s="86" t="s">
        <v>297</v>
      </c>
      <c r="E282" s="88">
        <v>6.85</v>
      </c>
      <c r="F282" s="89">
        <v>0.82</v>
      </c>
      <c r="G282" s="89">
        <v>5.61</v>
      </c>
    </row>
    <row r="283" spans="1:7" ht="15" customHeight="1">
      <c r="A283" s="86" t="s">
        <v>457</v>
      </c>
      <c r="B283" s="87" t="s">
        <v>458</v>
      </c>
      <c r="C283" s="86" t="s">
        <v>10</v>
      </c>
      <c r="D283" s="86" t="s">
        <v>297</v>
      </c>
      <c r="E283" s="88">
        <v>0.14099999999999999</v>
      </c>
      <c r="F283" s="89">
        <v>4.8099999999999996</v>
      </c>
      <c r="G283" s="89">
        <v>0.67</v>
      </c>
    </row>
    <row r="284" spans="1:7" ht="21" customHeight="1">
      <c r="A284" s="86" t="s">
        <v>493</v>
      </c>
      <c r="B284" s="87" t="s">
        <v>494</v>
      </c>
      <c r="C284" s="86" t="s">
        <v>10</v>
      </c>
      <c r="D284" s="86" t="s">
        <v>11</v>
      </c>
      <c r="E284" s="88">
        <v>1.0764</v>
      </c>
      <c r="F284" s="89">
        <v>63.97</v>
      </c>
      <c r="G284" s="89">
        <v>68.849999999999994</v>
      </c>
    </row>
    <row r="285" spans="1:7" ht="15" customHeight="1">
      <c r="A285" s="1"/>
      <c r="B285" s="1"/>
      <c r="C285" s="1"/>
      <c r="D285" s="1"/>
      <c r="E285" s="279" t="s">
        <v>302</v>
      </c>
      <c r="F285" s="245"/>
      <c r="G285" s="90">
        <v>75.13</v>
      </c>
    </row>
    <row r="286" spans="1:7" ht="15" customHeight="1">
      <c r="A286" s="278" t="s">
        <v>303</v>
      </c>
      <c r="B286" s="245"/>
      <c r="C286" s="85" t="s">
        <v>4</v>
      </c>
      <c r="D286" s="85" t="s">
        <v>289</v>
      </c>
      <c r="E286" s="85" t="s">
        <v>290</v>
      </c>
      <c r="F286" s="85" t="s">
        <v>291</v>
      </c>
      <c r="G286" s="85" t="s">
        <v>292</v>
      </c>
    </row>
    <row r="287" spans="1:7" ht="21" customHeight="1">
      <c r="A287" s="86" t="s">
        <v>459</v>
      </c>
      <c r="B287" s="87" t="s">
        <v>460</v>
      </c>
      <c r="C287" s="86" t="s">
        <v>10</v>
      </c>
      <c r="D287" s="86" t="s">
        <v>306</v>
      </c>
      <c r="E287" s="88">
        <v>0.75720228000000001</v>
      </c>
      <c r="F287" s="89">
        <v>25.22</v>
      </c>
      <c r="G287" s="89">
        <v>19.09</v>
      </c>
    </row>
    <row r="288" spans="1:7" ht="15" customHeight="1">
      <c r="A288" s="86" t="s">
        <v>307</v>
      </c>
      <c r="B288" s="87" t="s">
        <v>308</v>
      </c>
      <c r="C288" s="86" t="s">
        <v>10</v>
      </c>
      <c r="D288" s="86" t="s">
        <v>306</v>
      </c>
      <c r="E288" s="88">
        <v>0.32725198</v>
      </c>
      <c r="F288" s="89">
        <v>19.97</v>
      </c>
      <c r="G288" s="89">
        <v>6.53</v>
      </c>
    </row>
    <row r="289" spans="1:7" ht="18" customHeight="1">
      <c r="A289" s="1"/>
      <c r="B289" s="1"/>
      <c r="C289" s="1"/>
      <c r="D289" s="1"/>
      <c r="E289" s="279" t="s">
        <v>309</v>
      </c>
      <c r="F289" s="245"/>
      <c r="G289" s="90">
        <v>25.62</v>
      </c>
    </row>
    <row r="290" spans="1:7" ht="15" customHeight="1">
      <c r="A290" s="1"/>
      <c r="B290" s="1"/>
      <c r="C290" s="1"/>
      <c r="D290" s="1"/>
      <c r="E290" s="274" t="s">
        <v>314</v>
      </c>
      <c r="F290" s="245"/>
      <c r="G290" s="2">
        <v>100.75</v>
      </c>
    </row>
    <row r="291" spans="1:7" ht="9.75" customHeight="1">
      <c r="A291" s="1"/>
      <c r="B291" s="1"/>
      <c r="C291" s="1"/>
      <c r="D291" s="1"/>
      <c r="E291" s="275"/>
      <c r="F291" s="276"/>
      <c r="G291" s="276"/>
    </row>
    <row r="292" spans="1:7" ht="19.5" customHeight="1">
      <c r="A292" s="277" t="s">
        <v>495</v>
      </c>
      <c r="B292" s="244"/>
      <c r="C292" s="244"/>
      <c r="D292" s="244"/>
      <c r="E292" s="244"/>
      <c r="F292" s="244"/>
      <c r="G292" s="245"/>
    </row>
    <row r="293" spans="1:7" ht="15" customHeight="1">
      <c r="A293" s="278" t="s">
        <v>288</v>
      </c>
      <c r="B293" s="245"/>
      <c r="C293" s="85" t="s">
        <v>4</v>
      </c>
      <c r="D293" s="85" t="s">
        <v>289</v>
      </c>
      <c r="E293" s="85" t="s">
        <v>290</v>
      </c>
      <c r="F293" s="85" t="s">
        <v>291</v>
      </c>
      <c r="G293" s="85" t="s">
        <v>292</v>
      </c>
    </row>
    <row r="294" spans="1:7" ht="15" customHeight="1">
      <c r="A294" s="86" t="s">
        <v>478</v>
      </c>
      <c r="B294" s="87" t="s">
        <v>479</v>
      </c>
      <c r="C294" s="86" t="s">
        <v>10</v>
      </c>
      <c r="D294" s="86" t="s">
        <v>334</v>
      </c>
      <c r="E294" s="88">
        <v>0.1666</v>
      </c>
      <c r="F294" s="89">
        <v>9.17</v>
      </c>
      <c r="G294" s="89">
        <v>1.52</v>
      </c>
    </row>
    <row r="295" spans="1:7" ht="15" customHeight="1">
      <c r="A295" s="1"/>
      <c r="B295" s="1"/>
      <c r="C295" s="1"/>
      <c r="D295" s="1"/>
      <c r="E295" s="279" t="s">
        <v>302</v>
      </c>
      <c r="F295" s="245"/>
      <c r="G295" s="90">
        <v>1.52</v>
      </c>
    </row>
    <row r="296" spans="1:7" ht="15" customHeight="1">
      <c r="A296" s="278" t="s">
        <v>303</v>
      </c>
      <c r="B296" s="245"/>
      <c r="C296" s="85" t="s">
        <v>4</v>
      </c>
      <c r="D296" s="85" t="s">
        <v>289</v>
      </c>
      <c r="E296" s="85" t="s">
        <v>290</v>
      </c>
      <c r="F296" s="85" t="s">
        <v>291</v>
      </c>
      <c r="G296" s="85" t="s">
        <v>292</v>
      </c>
    </row>
    <row r="297" spans="1:7" ht="15" customHeight="1">
      <c r="A297" s="86" t="s">
        <v>496</v>
      </c>
      <c r="B297" s="87" t="s">
        <v>497</v>
      </c>
      <c r="C297" s="86" t="s">
        <v>10</v>
      </c>
      <c r="D297" s="86" t="s">
        <v>306</v>
      </c>
      <c r="E297" s="88">
        <v>6.5326759999999998E-2</v>
      </c>
      <c r="F297" s="89">
        <v>26.45</v>
      </c>
      <c r="G297" s="89">
        <v>1.72</v>
      </c>
    </row>
    <row r="298" spans="1:7" ht="15" customHeight="1">
      <c r="A298" s="86" t="s">
        <v>307</v>
      </c>
      <c r="B298" s="87" t="s">
        <v>308</v>
      </c>
      <c r="C298" s="86" t="s">
        <v>10</v>
      </c>
      <c r="D298" s="86" t="s">
        <v>306</v>
      </c>
      <c r="E298" s="88">
        <v>2.1901609999999998E-2</v>
      </c>
      <c r="F298" s="89">
        <v>19.97</v>
      </c>
      <c r="G298" s="89">
        <v>0.43</v>
      </c>
    </row>
    <row r="299" spans="1:7" ht="18" customHeight="1">
      <c r="A299" s="1"/>
      <c r="B299" s="1"/>
      <c r="C299" s="1"/>
      <c r="D299" s="1"/>
      <c r="E299" s="279" t="s">
        <v>309</v>
      </c>
      <c r="F299" s="245"/>
      <c r="G299" s="90">
        <v>2.15</v>
      </c>
    </row>
    <row r="300" spans="1:7" ht="15" customHeight="1">
      <c r="A300" s="1"/>
      <c r="B300" s="1"/>
      <c r="C300" s="1"/>
      <c r="D300" s="1"/>
      <c r="E300" s="274" t="s">
        <v>314</v>
      </c>
      <c r="F300" s="245"/>
      <c r="G300" s="2">
        <v>3.67</v>
      </c>
    </row>
    <row r="301" spans="1:7" ht="9.75" customHeight="1">
      <c r="A301" s="1"/>
      <c r="B301" s="1"/>
      <c r="C301" s="1"/>
      <c r="D301" s="1"/>
      <c r="E301" s="275"/>
      <c r="F301" s="276"/>
      <c r="G301" s="276"/>
    </row>
    <row r="302" spans="1:7" ht="19.5" customHeight="1">
      <c r="A302" s="277" t="s">
        <v>498</v>
      </c>
      <c r="B302" s="244"/>
      <c r="C302" s="244"/>
      <c r="D302" s="244"/>
      <c r="E302" s="244"/>
      <c r="F302" s="244"/>
      <c r="G302" s="245"/>
    </row>
    <row r="303" spans="1:7" ht="15" customHeight="1">
      <c r="A303" s="278" t="s">
        <v>288</v>
      </c>
      <c r="B303" s="245"/>
      <c r="C303" s="85" t="s">
        <v>4</v>
      </c>
      <c r="D303" s="85" t="s">
        <v>289</v>
      </c>
      <c r="E303" s="85" t="s">
        <v>290</v>
      </c>
      <c r="F303" s="85" t="s">
        <v>291</v>
      </c>
      <c r="G303" s="85" t="s">
        <v>292</v>
      </c>
    </row>
    <row r="304" spans="1:7" ht="21" customHeight="1">
      <c r="A304" s="86" t="s">
        <v>499</v>
      </c>
      <c r="B304" s="87" t="s">
        <v>500</v>
      </c>
      <c r="C304" s="86" t="s">
        <v>10</v>
      </c>
      <c r="D304" s="86" t="s">
        <v>33</v>
      </c>
      <c r="E304" s="88">
        <v>8.0199999999999994E-2</v>
      </c>
      <c r="F304" s="89">
        <v>0.75</v>
      </c>
      <c r="G304" s="89">
        <v>0.06</v>
      </c>
    </row>
    <row r="305" spans="1:7" ht="21" customHeight="1">
      <c r="A305" s="86" t="s">
        <v>501</v>
      </c>
      <c r="B305" s="87" t="s">
        <v>502</v>
      </c>
      <c r="C305" s="86" t="s">
        <v>10</v>
      </c>
      <c r="D305" s="86" t="s">
        <v>297</v>
      </c>
      <c r="E305" s="88">
        <v>1.3389</v>
      </c>
      <c r="F305" s="89">
        <v>2.2400000000000002</v>
      </c>
      <c r="G305" s="89">
        <v>2.99</v>
      </c>
    </row>
    <row r="306" spans="1:7" ht="15" customHeight="1">
      <c r="A306" s="1"/>
      <c r="B306" s="1"/>
      <c r="C306" s="1"/>
      <c r="D306" s="1"/>
      <c r="E306" s="279" t="s">
        <v>302</v>
      </c>
      <c r="F306" s="245"/>
      <c r="G306" s="90">
        <v>3.05</v>
      </c>
    </row>
    <row r="307" spans="1:7" ht="15" customHeight="1">
      <c r="A307" s="278" t="s">
        <v>303</v>
      </c>
      <c r="B307" s="245"/>
      <c r="C307" s="85" t="s">
        <v>4</v>
      </c>
      <c r="D307" s="85" t="s">
        <v>289</v>
      </c>
      <c r="E307" s="85" t="s">
        <v>290</v>
      </c>
      <c r="F307" s="85" t="s">
        <v>291</v>
      </c>
      <c r="G307" s="85" t="s">
        <v>292</v>
      </c>
    </row>
    <row r="308" spans="1:7" ht="15" customHeight="1">
      <c r="A308" s="86" t="s">
        <v>496</v>
      </c>
      <c r="B308" s="87" t="s">
        <v>497</v>
      </c>
      <c r="C308" s="86" t="s">
        <v>10</v>
      </c>
      <c r="D308" s="86" t="s">
        <v>306</v>
      </c>
      <c r="E308" s="88">
        <v>0.35195215000000002</v>
      </c>
      <c r="F308" s="89">
        <v>26.45</v>
      </c>
      <c r="G308" s="89">
        <v>9.3000000000000007</v>
      </c>
    </row>
    <row r="309" spans="1:7" ht="15" customHeight="1">
      <c r="A309" s="86" t="s">
        <v>307</v>
      </c>
      <c r="B309" s="87" t="s">
        <v>308</v>
      </c>
      <c r="C309" s="86" t="s">
        <v>10</v>
      </c>
      <c r="D309" s="86" t="s">
        <v>306</v>
      </c>
      <c r="E309" s="88">
        <v>0.11741087</v>
      </c>
      <c r="F309" s="89">
        <v>19.97</v>
      </c>
      <c r="G309" s="89">
        <v>2.34</v>
      </c>
    </row>
    <row r="310" spans="1:7" ht="18" customHeight="1">
      <c r="A310" s="1"/>
      <c r="B310" s="1"/>
      <c r="C310" s="1"/>
      <c r="D310" s="1"/>
      <c r="E310" s="279" t="s">
        <v>309</v>
      </c>
      <c r="F310" s="245"/>
      <c r="G310" s="90">
        <v>11.64</v>
      </c>
    </row>
    <row r="311" spans="1:7" ht="15" customHeight="1">
      <c r="A311" s="1"/>
      <c r="B311" s="1"/>
      <c r="C311" s="1"/>
      <c r="D311" s="1"/>
      <c r="E311" s="274" t="s">
        <v>314</v>
      </c>
      <c r="F311" s="245"/>
      <c r="G311" s="2">
        <v>14.69</v>
      </c>
    </row>
    <row r="312" spans="1:7" ht="9.75" customHeight="1">
      <c r="A312" s="1"/>
      <c r="B312" s="1"/>
      <c r="C312" s="1"/>
      <c r="D312" s="1"/>
      <c r="E312" s="275"/>
      <c r="F312" s="276"/>
      <c r="G312" s="276"/>
    </row>
    <row r="313" spans="1:7" ht="19.5" customHeight="1">
      <c r="A313" s="277" t="s">
        <v>503</v>
      </c>
      <c r="B313" s="244"/>
      <c r="C313" s="244"/>
      <c r="D313" s="244"/>
      <c r="E313" s="244"/>
      <c r="F313" s="244"/>
      <c r="G313" s="245"/>
    </row>
    <row r="314" spans="1:7" ht="15" customHeight="1">
      <c r="A314" s="278" t="s">
        <v>288</v>
      </c>
      <c r="B314" s="245"/>
      <c r="C314" s="85" t="s">
        <v>4</v>
      </c>
      <c r="D314" s="85" t="s">
        <v>289</v>
      </c>
      <c r="E314" s="85" t="s">
        <v>290</v>
      </c>
      <c r="F314" s="85" t="s">
        <v>291</v>
      </c>
      <c r="G314" s="85" t="s">
        <v>292</v>
      </c>
    </row>
    <row r="315" spans="1:7" ht="15" customHeight="1">
      <c r="A315" s="86" t="s">
        <v>332</v>
      </c>
      <c r="B315" s="87" t="s">
        <v>333</v>
      </c>
      <c r="C315" s="86" t="s">
        <v>10</v>
      </c>
      <c r="D315" s="86" t="s">
        <v>334</v>
      </c>
      <c r="E315" s="88">
        <v>0.22850000000000001</v>
      </c>
      <c r="F315" s="89">
        <v>30.26</v>
      </c>
      <c r="G315" s="89">
        <v>6.91</v>
      </c>
    </row>
    <row r="316" spans="1:7" ht="15" customHeight="1">
      <c r="A316" s="1"/>
      <c r="B316" s="1"/>
      <c r="C316" s="1"/>
      <c r="D316" s="1"/>
      <c r="E316" s="279" t="s">
        <v>302</v>
      </c>
      <c r="F316" s="245"/>
      <c r="G316" s="90">
        <v>6.91</v>
      </c>
    </row>
    <row r="317" spans="1:7" ht="15" customHeight="1">
      <c r="A317" s="278" t="s">
        <v>303</v>
      </c>
      <c r="B317" s="245"/>
      <c r="C317" s="85" t="s">
        <v>4</v>
      </c>
      <c r="D317" s="85" t="s">
        <v>289</v>
      </c>
      <c r="E317" s="85" t="s">
        <v>290</v>
      </c>
      <c r="F317" s="85" t="s">
        <v>291</v>
      </c>
      <c r="G317" s="85" t="s">
        <v>292</v>
      </c>
    </row>
    <row r="318" spans="1:7" ht="15" customHeight="1">
      <c r="A318" s="86" t="s">
        <v>496</v>
      </c>
      <c r="B318" s="87" t="s">
        <v>497</v>
      </c>
      <c r="C318" s="86" t="s">
        <v>10</v>
      </c>
      <c r="D318" s="86" t="s">
        <v>306</v>
      </c>
      <c r="E318" s="88">
        <v>0.15953949000000001</v>
      </c>
      <c r="F318" s="89">
        <v>26.45</v>
      </c>
      <c r="G318" s="89">
        <v>4.21</v>
      </c>
    </row>
    <row r="319" spans="1:7" ht="15" customHeight="1">
      <c r="A319" s="86" t="s">
        <v>307</v>
      </c>
      <c r="B319" s="87" t="s">
        <v>308</v>
      </c>
      <c r="C319" s="86" t="s">
        <v>10</v>
      </c>
      <c r="D319" s="86" t="s">
        <v>306</v>
      </c>
      <c r="E319" s="88">
        <v>5.2837780000000001E-2</v>
      </c>
      <c r="F319" s="89">
        <v>19.97</v>
      </c>
      <c r="G319" s="89">
        <v>1.05</v>
      </c>
    </row>
    <row r="320" spans="1:7" ht="18" customHeight="1">
      <c r="A320" s="1"/>
      <c r="B320" s="1"/>
      <c r="C320" s="1"/>
      <c r="D320" s="1"/>
      <c r="E320" s="279" t="s">
        <v>309</v>
      </c>
      <c r="F320" s="245"/>
      <c r="G320" s="90">
        <v>5.26</v>
      </c>
    </row>
    <row r="321" spans="1:7" ht="15" customHeight="1">
      <c r="A321" s="1"/>
      <c r="B321" s="1"/>
      <c r="C321" s="1"/>
      <c r="D321" s="1"/>
      <c r="E321" s="274" t="s">
        <v>314</v>
      </c>
      <c r="F321" s="245"/>
      <c r="G321" s="2">
        <v>12.17</v>
      </c>
    </row>
    <row r="322" spans="1:7" ht="9.75" customHeight="1">
      <c r="A322" s="1"/>
      <c r="B322" s="1"/>
      <c r="C322" s="1"/>
      <c r="D322" s="1"/>
      <c r="E322" s="275"/>
      <c r="F322" s="276"/>
      <c r="G322" s="276"/>
    </row>
    <row r="323" spans="1:7" ht="19.5" customHeight="1">
      <c r="A323" s="277" t="s">
        <v>504</v>
      </c>
      <c r="B323" s="244"/>
      <c r="C323" s="244"/>
      <c r="D323" s="244"/>
      <c r="E323" s="244"/>
      <c r="F323" s="244"/>
      <c r="G323" s="245"/>
    </row>
    <row r="324" spans="1:7" ht="15" customHeight="1">
      <c r="A324" s="278" t="s">
        <v>288</v>
      </c>
      <c r="B324" s="245"/>
      <c r="C324" s="85" t="s">
        <v>4</v>
      </c>
      <c r="D324" s="85" t="s">
        <v>289</v>
      </c>
      <c r="E324" s="85" t="s">
        <v>290</v>
      </c>
      <c r="F324" s="85" t="s">
        <v>291</v>
      </c>
      <c r="G324" s="85" t="s">
        <v>292</v>
      </c>
    </row>
    <row r="325" spans="1:7" ht="15" customHeight="1">
      <c r="A325" s="86" t="s">
        <v>332</v>
      </c>
      <c r="B325" s="87" t="s">
        <v>333</v>
      </c>
      <c r="C325" s="86" t="s">
        <v>10</v>
      </c>
      <c r="D325" s="86" t="s">
        <v>334</v>
      </c>
      <c r="E325" s="88">
        <v>0.22850000000000001</v>
      </c>
      <c r="F325" s="89">
        <v>30.26</v>
      </c>
      <c r="G325" s="89">
        <v>6.91</v>
      </c>
    </row>
    <row r="326" spans="1:7" ht="15" customHeight="1">
      <c r="A326" s="1"/>
      <c r="B326" s="1"/>
      <c r="C326" s="1"/>
      <c r="D326" s="1"/>
      <c r="E326" s="279" t="s">
        <v>302</v>
      </c>
      <c r="F326" s="245"/>
      <c r="G326" s="90">
        <v>6.91</v>
      </c>
    </row>
    <row r="327" spans="1:7" ht="15" customHeight="1">
      <c r="A327" s="278" t="s">
        <v>303</v>
      </c>
      <c r="B327" s="245"/>
      <c r="C327" s="85" t="s">
        <v>4</v>
      </c>
      <c r="D327" s="85" t="s">
        <v>289</v>
      </c>
      <c r="E327" s="85" t="s">
        <v>290</v>
      </c>
      <c r="F327" s="85" t="s">
        <v>291</v>
      </c>
      <c r="G327" s="85" t="s">
        <v>292</v>
      </c>
    </row>
    <row r="328" spans="1:7" ht="15" customHeight="1">
      <c r="A328" s="86" t="s">
        <v>496</v>
      </c>
      <c r="B328" s="87" t="s">
        <v>497</v>
      </c>
      <c r="C328" s="86" t="s">
        <v>10</v>
      </c>
      <c r="D328" s="86" t="s">
        <v>306</v>
      </c>
      <c r="E328" s="88">
        <v>0.22180512999999999</v>
      </c>
      <c r="F328" s="89">
        <v>26.45</v>
      </c>
      <c r="G328" s="89">
        <v>5.86</v>
      </c>
    </row>
    <row r="329" spans="1:7" ht="15" customHeight="1">
      <c r="A329" s="86" t="s">
        <v>307</v>
      </c>
      <c r="B329" s="87" t="s">
        <v>308</v>
      </c>
      <c r="C329" s="86" t="s">
        <v>10</v>
      </c>
      <c r="D329" s="86" t="s">
        <v>306</v>
      </c>
      <c r="E329" s="88">
        <v>7.3967610000000003E-2</v>
      </c>
      <c r="F329" s="89">
        <v>19.97</v>
      </c>
      <c r="G329" s="89">
        <v>1.47</v>
      </c>
    </row>
    <row r="330" spans="1:7" ht="18" customHeight="1">
      <c r="A330" s="1"/>
      <c r="B330" s="1"/>
      <c r="C330" s="1"/>
      <c r="D330" s="1"/>
      <c r="E330" s="279" t="s">
        <v>309</v>
      </c>
      <c r="F330" s="245"/>
      <c r="G330" s="90">
        <v>7.33</v>
      </c>
    </row>
    <row r="331" spans="1:7" ht="15" customHeight="1">
      <c r="A331" s="1"/>
      <c r="B331" s="1"/>
      <c r="C331" s="1"/>
      <c r="D331" s="1"/>
      <c r="E331" s="274" t="s">
        <v>314</v>
      </c>
      <c r="F331" s="245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281"/>
      <c r="B1" s="259"/>
      <c r="C1" s="259"/>
      <c r="D1" s="259"/>
      <c r="E1" s="259"/>
      <c r="F1" s="259"/>
      <c r="G1" s="259"/>
      <c r="H1" s="1"/>
    </row>
    <row r="2" spans="1:8" ht="15.75" customHeight="1">
      <c r="A2" s="91" t="s">
        <v>1</v>
      </c>
      <c r="B2" s="91" t="s">
        <v>3</v>
      </c>
      <c r="C2" s="91" t="s">
        <v>505</v>
      </c>
      <c r="D2" s="91" t="s">
        <v>506</v>
      </c>
      <c r="E2" s="91" t="s">
        <v>507</v>
      </c>
      <c r="F2" s="91" t="s">
        <v>508</v>
      </c>
      <c r="G2" s="92" t="s">
        <v>509</v>
      </c>
      <c r="H2" s="1"/>
    </row>
    <row r="3" spans="1:8" ht="12" customHeight="1">
      <c r="A3" s="282" t="s">
        <v>7</v>
      </c>
      <c r="B3" s="284" t="s">
        <v>8</v>
      </c>
      <c r="C3" s="285">
        <v>7571.29</v>
      </c>
      <c r="D3" s="93">
        <v>1</v>
      </c>
      <c r="E3" s="94"/>
      <c r="F3" s="94"/>
      <c r="G3" s="95">
        <v>1</v>
      </c>
      <c r="H3" s="1"/>
    </row>
    <row r="4" spans="1:8" ht="12.75" customHeight="1">
      <c r="A4" s="283"/>
      <c r="B4" s="283"/>
      <c r="C4" s="283"/>
      <c r="D4" s="96">
        <v>7571.29</v>
      </c>
      <c r="E4" s="97"/>
      <c r="F4" s="97"/>
      <c r="G4" s="98">
        <v>7571.29</v>
      </c>
      <c r="H4" s="1"/>
    </row>
    <row r="5" spans="1:8" ht="12" customHeight="1">
      <c r="A5" s="282" t="s">
        <v>18</v>
      </c>
      <c r="B5" s="284" t="s">
        <v>19</v>
      </c>
      <c r="C5" s="285">
        <v>10522.33</v>
      </c>
      <c r="D5" s="93">
        <v>1</v>
      </c>
      <c r="E5" s="94"/>
      <c r="F5" s="94"/>
      <c r="G5" s="95">
        <v>1</v>
      </c>
      <c r="H5" s="1"/>
    </row>
    <row r="6" spans="1:8" ht="12.75" customHeight="1">
      <c r="A6" s="283"/>
      <c r="B6" s="283"/>
      <c r="C6" s="283"/>
      <c r="D6" s="96">
        <v>10522.33</v>
      </c>
      <c r="E6" s="97"/>
      <c r="F6" s="97"/>
      <c r="G6" s="98">
        <v>10522.33</v>
      </c>
      <c r="H6" s="1"/>
    </row>
    <row r="7" spans="1:8" ht="12" customHeight="1">
      <c r="A7" s="282" t="s">
        <v>23</v>
      </c>
      <c r="B7" s="284" t="s">
        <v>24</v>
      </c>
      <c r="C7" s="285">
        <v>11488.43</v>
      </c>
      <c r="D7" s="93">
        <v>1</v>
      </c>
      <c r="E7" s="94"/>
      <c r="F7" s="94"/>
      <c r="G7" s="95">
        <v>1</v>
      </c>
      <c r="H7" s="1"/>
    </row>
    <row r="8" spans="1:8" ht="12.75" customHeight="1">
      <c r="A8" s="283"/>
      <c r="B8" s="283"/>
      <c r="C8" s="283"/>
      <c r="D8" s="96">
        <v>11488.43</v>
      </c>
      <c r="E8" s="97"/>
      <c r="F8" s="97"/>
      <c r="G8" s="98">
        <v>11488.43</v>
      </c>
      <c r="H8" s="1"/>
    </row>
    <row r="9" spans="1:8" ht="12" customHeight="1">
      <c r="A9" s="282" t="s">
        <v>30</v>
      </c>
      <c r="B9" s="284" t="s">
        <v>31</v>
      </c>
      <c r="C9" s="285">
        <v>2980.11</v>
      </c>
      <c r="D9" s="94"/>
      <c r="E9" s="93">
        <v>1</v>
      </c>
      <c r="F9" s="94"/>
      <c r="G9" s="95">
        <v>1</v>
      </c>
      <c r="H9" s="1"/>
    </row>
    <row r="10" spans="1:8" ht="12.75" customHeight="1">
      <c r="A10" s="283"/>
      <c r="B10" s="283"/>
      <c r="C10" s="283"/>
      <c r="D10" s="97"/>
      <c r="E10" s="96">
        <v>2980.11</v>
      </c>
      <c r="F10" s="97"/>
      <c r="G10" s="98">
        <v>2980.11</v>
      </c>
      <c r="H10" s="1"/>
    </row>
    <row r="11" spans="1:8" ht="12" customHeight="1">
      <c r="A11" s="282" t="s">
        <v>34</v>
      </c>
      <c r="B11" s="284" t="s">
        <v>35</v>
      </c>
      <c r="C11" s="285">
        <v>3147.13</v>
      </c>
      <c r="D11" s="94"/>
      <c r="E11" s="93">
        <v>1</v>
      </c>
      <c r="F11" s="94"/>
      <c r="G11" s="95">
        <v>1</v>
      </c>
      <c r="H11" s="1"/>
    </row>
    <row r="12" spans="1:8" ht="12.75" customHeight="1">
      <c r="A12" s="283"/>
      <c r="B12" s="283"/>
      <c r="C12" s="283"/>
      <c r="D12" s="97"/>
      <c r="E12" s="96">
        <v>3147.13</v>
      </c>
      <c r="F12" s="97"/>
      <c r="G12" s="98">
        <v>3147.13</v>
      </c>
      <c r="H12" s="1"/>
    </row>
    <row r="13" spans="1:8" ht="12" customHeight="1">
      <c r="A13" s="282" t="s">
        <v>40</v>
      </c>
      <c r="B13" s="284" t="s">
        <v>41</v>
      </c>
      <c r="C13" s="285">
        <v>45980.53</v>
      </c>
      <c r="D13" s="94"/>
      <c r="E13" s="93">
        <v>1</v>
      </c>
      <c r="F13" s="94"/>
      <c r="G13" s="95">
        <v>1</v>
      </c>
      <c r="H13" s="1"/>
    </row>
    <row r="14" spans="1:8" ht="12.75" customHeight="1">
      <c r="A14" s="283"/>
      <c r="B14" s="283"/>
      <c r="C14" s="283"/>
      <c r="D14" s="97"/>
      <c r="E14" s="96">
        <v>45980.53</v>
      </c>
      <c r="F14" s="97"/>
      <c r="G14" s="98">
        <v>45980.53</v>
      </c>
      <c r="H14" s="1"/>
    </row>
    <row r="15" spans="1:8" ht="12" customHeight="1">
      <c r="A15" s="282" t="s">
        <v>45</v>
      </c>
      <c r="B15" s="284" t="s">
        <v>46</v>
      </c>
      <c r="C15" s="285">
        <v>2750.12</v>
      </c>
      <c r="D15" s="94"/>
      <c r="E15" s="94"/>
      <c r="F15" s="93">
        <v>1</v>
      </c>
      <c r="G15" s="95">
        <v>1</v>
      </c>
      <c r="H15" s="1"/>
    </row>
    <row r="16" spans="1:8" ht="12.75" customHeight="1">
      <c r="A16" s="283"/>
      <c r="B16" s="283"/>
      <c r="C16" s="283"/>
      <c r="D16" s="97"/>
      <c r="E16" s="97"/>
      <c r="F16" s="96">
        <v>2750.12</v>
      </c>
      <c r="G16" s="98">
        <v>2750.12</v>
      </c>
      <c r="H16" s="1"/>
    </row>
    <row r="17" spans="1:8" ht="12" customHeight="1">
      <c r="A17" s="282" t="s">
        <v>50</v>
      </c>
      <c r="B17" s="284" t="s">
        <v>51</v>
      </c>
      <c r="C17" s="285">
        <v>14897.97</v>
      </c>
      <c r="D17" s="94"/>
      <c r="E17" s="94"/>
      <c r="F17" s="93">
        <v>1</v>
      </c>
      <c r="G17" s="95">
        <v>1</v>
      </c>
      <c r="H17" s="1"/>
    </row>
    <row r="18" spans="1:8" ht="12.75" customHeight="1">
      <c r="A18" s="283"/>
      <c r="B18" s="283"/>
      <c r="C18" s="283"/>
      <c r="D18" s="97"/>
      <c r="E18" s="97"/>
      <c r="F18" s="96">
        <v>14897.97</v>
      </c>
      <c r="G18" s="98">
        <v>14897.97</v>
      </c>
      <c r="H18" s="1"/>
    </row>
    <row r="19" spans="1:8" ht="12" customHeight="1">
      <c r="A19" s="282" t="s">
        <v>57</v>
      </c>
      <c r="B19" s="284" t="s">
        <v>58</v>
      </c>
      <c r="C19" s="285">
        <v>11593.36</v>
      </c>
      <c r="D19" s="94"/>
      <c r="E19" s="94"/>
      <c r="F19" s="93">
        <v>1</v>
      </c>
      <c r="G19" s="95">
        <v>1</v>
      </c>
      <c r="H19" s="1"/>
    </row>
    <row r="20" spans="1:8" ht="12.75" customHeight="1">
      <c r="A20" s="283"/>
      <c r="B20" s="283"/>
      <c r="C20" s="283"/>
      <c r="D20" s="97"/>
      <c r="E20" s="97"/>
      <c r="F20" s="96">
        <v>11593.36</v>
      </c>
      <c r="G20" s="98">
        <v>11593.36</v>
      </c>
      <c r="H20" s="1"/>
    </row>
    <row r="21" spans="1:8" ht="12" customHeight="1">
      <c r="A21" s="99"/>
      <c r="B21" s="100"/>
      <c r="C21" s="286">
        <v>110931.27</v>
      </c>
      <c r="D21" s="101">
        <v>29582.05</v>
      </c>
      <c r="E21" s="101">
        <v>52107.77</v>
      </c>
      <c r="F21" s="101">
        <v>29241.45</v>
      </c>
      <c r="G21" s="288">
        <v>110931.27</v>
      </c>
      <c r="H21" s="1"/>
    </row>
    <row r="22" spans="1:8" ht="12.75" customHeight="1">
      <c r="A22" s="102"/>
      <c r="B22" s="103"/>
      <c r="C22" s="287"/>
      <c r="D22" s="96">
        <v>29582.05</v>
      </c>
      <c r="E22" s="96">
        <v>81689.820000000007</v>
      </c>
      <c r="F22" s="96">
        <v>110931.27</v>
      </c>
      <c r="G22" s="283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289" t="s">
        <v>510</v>
      </c>
      <c r="B1" s="244"/>
      <c r="C1" s="245"/>
      <c r="D1" s="1"/>
    </row>
    <row r="2" spans="1:4" ht="12" customHeight="1">
      <c r="A2" s="104"/>
      <c r="B2" s="105" t="s">
        <v>0</v>
      </c>
      <c r="C2" s="105"/>
      <c r="D2" s="106"/>
    </row>
    <row r="3" spans="1:4" ht="15" customHeight="1">
      <c r="A3" s="107" t="s">
        <v>511</v>
      </c>
      <c r="B3" s="107" t="s">
        <v>3</v>
      </c>
      <c r="C3" s="107" t="s">
        <v>512</v>
      </c>
      <c r="D3" s="1"/>
    </row>
    <row r="4" spans="1:4" ht="12.75" customHeight="1">
      <c r="A4" s="104"/>
      <c r="B4" s="108" t="s">
        <v>513</v>
      </c>
      <c r="C4" s="104"/>
      <c r="D4" s="1"/>
    </row>
    <row r="5" spans="1:4" ht="12.75" customHeight="1">
      <c r="A5" s="109" t="s">
        <v>514</v>
      </c>
      <c r="B5" s="110" t="s">
        <v>515</v>
      </c>
      <c r="C5" s="111">
        <v>0.8</v>
      </c>
      <c r="D5" s="1"/>
    </row>
    <row r="6" spans="1:4" ht="12.75" customHeight="1">
      <c r="A6" s="109" t="s">
        <v>334</v>
      </c>
      <c r="B6" s="110" t="s">
        <v>516</v>
      </c>
      <c r="C6" s="111">
        <v>6.6</v>
      </c>
      <c r="D6" s="1"/>
    </row>
    <row r="7" spans="1:4" ht="15" customHeight="1">
      <c r="A7" s="104"/>
      <c r="B7" s="112" t="s">
        <v>292</v>
      </c>
      <c r="C7" s="113">
        <v>7.3999999999999995</v>
      </c>
      <c r="D7" s="1"/>
    </row>
    <row r="8" spans="1:4" ht="12.75" customHeight="1">
      <c r="A8" s="104"/>
      <c r="B8" s="108" t="s">
        <v>517</v>
      </c>
      <c r="C8" s="104"/>
      <c r="D8" s="1"/>
    </row>
    <row r="9" spans="1:4" ht="12.75" customHeight="1">
      <c r="A9" s="109" t="s">
        <v>518</v>
      </c>
      <c r="B9" s="110" t="s">
        <v>519</v>
      </c>
      <c r="C9" s="111">
        <v>3</v>
      </c>
      <c r="D9" s="1"/>
    </row>
    <row r="10" spans="1:4" ht="12.75" customHeight="1">
      <c r="A10" s="109" t="s">
        <v>520</v>
      </c>
      <c r="B10" s="110" t="s">
        <v>521</v>
      </c>
      <c r="C10" s="111">
        <v>1.23</v>
      </c>
      <c r="D10" s="1"/>
    </row>
    <row r="11" spans="1:4" ht="12.75" customHeight="1">
      <c r="A11" s="109" t="s">
        <v>522</v>
      </c>
      <c r="B11" s="110" t="s">
        <v>523</v>
      </c>
      <c r="C11" s="111">
        <v>0.97</v>
      </c>
      <c r="D11" s="1"/>
    </row>
    <row r="12" spans="1:4" ht="15" customHeight="1">
      <c r="A12" s="104"/>
      <c r="B12" s="112" t="s">
        <v>292</v>
      </c>
      <c r="C12" s="113">
        <v>5.2</v>
      </c>
      <c r="D12" s="1"/>
    </row>
    <row r="13" spans="1:4" ht="12.75" customHeight="1">
      <c r="A13" s="114" t="s">
        <v>524</v>
      </c>
      <c r="B13" s="108" t="s">
        <v>525</v>
      </c>
      <c r="C13" s="104"/>
      <c r="D13" s="1"/>
    </row>
    <row r="14" spans="1:4" ht="12.75" customHeight="1">
      <c r="A14" s="109"/>
      <c r="B14" s="110" t="s">
        <v>526</v>
      </c>
      <c r="C14" s="111">
        <v>6.15</v>
      </c>
      <c r="D14" s="1"/>
    </row>
    <row r="15" spans="1:4" ht="15" customHeight="1">
      <c r="A15" s="104"/>
      <c r="B15" s="112" t="s">
        <v>292</v>
      </c>
      <c r="C15" s="113">
        <v>6.15</v>
      </c>
      <c r="D15" s="1"/>
    </row>
    <row r="16" spans="1:4" ht="25.5" customHeight="1">
      <c r="A16" s="104"/>
      <c r="B16" s="290" t="s">
        <v>527</v>
      </c>
      <c r="C16" s="245"/>
      <c r="D16" s="1"/>
    </row>
    <row r="17" spans="1:4" ht="43.5" customHeight="1">
      <c r="A17" s="104"/>
      <c r="B17" s="291"/>
      <c r="C17" s="245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289" t="s">
        <v>528</v>
      </c>
      <c r="B1" s="244"/>
      <c r="C1" s="244"/>
      <c r="D1" s="244"/>
      <c r="E1" s="244"/>
      <c r="F1" s="245"/>
      <c r="G1" s="1"/>
    </row>
    <row r="2" spans="1:7" ht="12" customHeight="1">
      <c r="A2" s="104"/>
      <c r="B2" s="294" t="s">
        <v>0</v>
      </c>
      <c r="C2" s="244"/>
      <c r="D2" s="244"/>
      <c r="E2" s="245"/>
      <c r="F2" s="104"/>
      <c r="G2" s="1"/>
    </row>
    <row r="3" spans="1:7" ht="15" customHeight="1">
      <c r="A3" s="107" t="s">
        <v>511</v>
      </c>
      <c r="B3" s="107" t="s">
        <v>3</v>
      </c>
      <c r="C3" s="296" t="s">
        <v>529</v>
      </c>
      <c r="D3" s="245"/>
      <c r="E3" s="296" t="s">
        <v>530</v>
      </c>
      <c r="F3" s="245"/>
      <c r="G3" s="1"/>
    </row>
    <row r="4" spans="1:7" ht="12" customHeight="1">
      <c r="A4" s="104"/>
      <c r="B4" s="294" t="s">
        <v>0</v>
      </c>
      <c r="C4" s="245"/>
      <c r="D4" s="104"/>
      <c r="E4" s="104"/>
      <c r="F4" s="104"/>
      <c r="G4" s="1"/>
    </row>
    <row r="5" spans="1:7" ht="12.75" customHeight="1">
      <c r="A5" s="114" t="s">
        <v>531</v>
      </c>
      <c r="B5" s="108" t="s">
        <v>532</v>
      </c>
      <c r="C5" s="104"/>
      <c r="D5" s="104"/>
      <c r="E5" s="104"/>
      <c r="F5" s="104"/>
      <c r="G5" s="1"/>
    </row>
    <row r="6" spans="1:7" ht="12.75" customHeight="1">
      <c r="A6" s="109" t="s">
        <v>533</v>
      </c>
      <c r="B6" s="110" t="s">
        <v>534</v>
      </c>
      <c r="C6" s="292">
        <v>20</v>
      </c>
      <c r="D6" s="245"/>
      <c r="E6" s="297">
        <v>20</v>
      </c>
      <c r="F6" s="245"/>
      <c r="G6" s="1"/>
    </row>
    <row r="7" spans="1:7" ht="12.75" customHeight="1">
      <c r="A7" s="109" t="s">
        <v>535</v>
      </c>
      <c r="B7" s="110" t="s">
        <v>536</v>
      </c>
      <c r="C7" s="292">
        <v>1.5</v>
      </c>
      <c r="D7" s="245"/>
      <c r="E7" s="297">
        <v>1.5</v>
      </c>
      <c r="F7" s="245"/>
      <c r="G7" s="1"/>
    </row>
    <row r="8" spans="1:7" ht="12.75" customHeight="1">
      <c r="A8" s="109" t="s">
        <v>537</v>
      </c>
      <c r="B8" s="110" t="s">
        <v>538</v>
      </c>
      <c r="C8" s="292">
        <v>1</v>
      </c>
      <c r="D8" s="245"/>
      <c r="E8" s="297">
        <v>1</v>
      </c>
      <c r="F8" s="245"/>
      <c r="G8" s="1"/>
    </row>
    <row r="9" spans="1:7" ht="12.75" customHeight="1">
      <c r="A9" s="109" t="s">
        <v>539</v>
      </c>
      <c r="B9" s="110" t="s">
        <v>540</v>
      </c>
      <c r="C9" s="292">
        <v>0.2</v>
      </c>
      <c r="D9" s="245"/>
      <c r="E9" s="297">
        <v>0.2</v>
      </c>
      <c r="F9" s="245"/>
      <c r="G9" s="1"/>
    </row>
    <row r="10" spans="1:7" ht="12.75" customHeight="1">
      <c r="A10" s="109" t="s">
        <v>541</v>
      </c>
      <c r="B10" s="110" t="s">
        <v>542</v>
      </c>
      <c r="C10" s="292">
        <v>0.6</v>
      </c>
      <c r="D10" s="245"/>
      <c r="E10" s="297">
        <v>0.6</v>
      </c>
      <c r="F10" s="245"/>
      <c r="G10" s="1"/>
    </row>
    <row r="11" spans="1:7" ht="12.75" customHeight="1">
      <c r="A11" s="109" t="s">
        <v>543</v>
      </c>
      <c r="B11" s="110" t="s">
        <v>544</v>
      </c>
      <c r="C11" s="292">
        <v>2.5</v>
      </c>
      <c r="D11" s="245"/>
      <c r="E11" s="297">
        <v>2.5</v>
      </c>
      <c r="F11" s="245"/>
      <c r="G11" s="1"/>
    </row>
    <row r="12" spans="1:7" ht="12.75" customHeight="1">
      <c r="A12" s="109" t="s">
        <v>545</v>
      </c>
      <c r="B12" s="110" t="s">
        <v>546</v>
      </c>
      <c r="C12" s="292">
        <v>3</v>
      </c>
      <c r="D12" s="245"/>
      <c r="E12" s="297">
        <v>3</v>
      </c>
      <c r="F12" s="245"/>
      <c r="G12" s="1"/>
    </row>
    <row r="13" spans="1:7" ht="12.75" customHeight="1">
      <c r="A13" s="109" t="s">
        <v>547</v>
      </c>
      <c r="B13" s="110" t="s">
        <v>548</v>
      </c>
      <c r="C13" s="292">
        <v>8</v>
      </c>
      <c r="D13" s="245"/>
      <c r="E13" s="297">
        <v>8</v>
      </c>
      <c r="F13" s="245"/>
      <c r="G13" s="1"/>
    </row>
    <row r="14" spans="1:7" ht="12.75" customHeight="1">
      <c r="A14" s="109" t="s">
        <v>549</v>
      </c>
      <c r="B14" s="110" t="s">
        <v>550</v>
      </c>
      <c r="C14" s="292">
        <v>0</v>
      </c>
      <c r="D14" s="245"/>
      <c r="E14" s="297">
        <v>0</v>
      </c>
      <c r="F14" s="245"/>
      <c r="G14" s="1"/>
    </row>
    <row r="15" spans="1:7" ht="15" customHeight="1">
      <c r="A15" s="104"/>
      <c r="B15" s="112" t="s">
        <v>292</v>
      </c>
      <c r="C15" s="293">
        <v>36.799999999999997</v>
      </c>
      <c r="D15" s="245"/>
      <c r="E15" s="293">
        <v>36.799999999999997</v>
      </c>
      <c r="F15" s="245"/>
      <c r="G15" s="1"/>
    </row>
    <row r="16" spans="1:7" ht="12" customHeight="1">
      <c r="A16" s="104"/>
      <c r="B16" s="294" t="s">
        <v>0</v>
      </c>
      <c r="C16" s="245"/>
      <c r="D16" s="104"/>
      <c r="E16" s="104"/>
      <c r="F16" s="104"/>
      <c r="G16" s="1"/>
    </row>
    <row r="17" spans="1:7" ht="12.75" customHeight="1">
      <c r="A17" s="114" t="s">
        <v>551</v>
      </c>
      <c r="B17" s="108" t="s">
        <v>552</v>
      </c>
      <c r="C17" s="104"/>
      <c r="D17" s="104"/>
      <c r="E17" s="104"/>
      <c r="F17" s="104"/>
      <c r="G17" s="1"/>
    </row>
    <row r="18" spans="1:7" ht="12.75" customHeight="1">
      <c r="A18" s="109" t="s">
        <v>553</v>
      </c>
      <c r="B18" s="110" t="s">
        <v>554</v>
      </c>
      <c r="C18" s="292">
        <v>18.03</v>
      </c>
      <c r="D18" s="245"/>
      <c r="E18" s="297">
        <v>0</v>
      </c>
      <c r="F18" s="245"/>
      <c r="G18" s="1"/>
    </row>
    <row r="19" spans="1:7" ht="12.75" customHeight="1">
      <c r="A19" s="109" t="s">
        <v>555</v>
      </c>
      <c r="B19" s="110" t="s">
        <v>556</v>
      </c>
      <c r="C19" s="292">
        <v>4.3099999999999996</v>
      </c>
      <c r="D19" s="245"/>
      <c r="E19" s="297">
        <v>0</v>
      </c>
      <c r="F19" s="245"/>
      <c r="G19" s="1"/>
    </row>
    <row r="20" spans="1:7" ht="12.75" customHeight="1">
      <c r="A20" s="109" t="s">
        <v>557</v>
      </c>
      <c r="B20" s="110" t="s">
        <v>558</v>
      </c>
      <c r="C20" s="292">
        <v>0.85</v>
      </c>
      <c r="D20" s="245"/>
      <c r="E20" s="297">
        <v>0.64</v>
      </c>
      <c r="F20" s="245"/>
      <c r="G20" s="1"/>
    </row>
    <row r="21" spans="1:7" ht="12.75" customHeight="1">
      <c r="A21" s="109" t="s">
        <v>559</v>
      </c>
      <c r="B21" s="110" t="s">
        <v>560</v>
      </c>
      <c r="C21" s="292">
        <v>11.06</v>
      </c>
      <c r="D21" s="245"/>
      <c r="E21" s="297">
        <v>8.33</v>
      </c>
      <c r="F21" s="245"/>
      <c r="G21" s="1"/>
    </row>
    <row r="22" spans="1:7" ht="12.75" customHeight="1">
      <c r="A22" s="109" t="s">
        <v>561</v>
      </c>
      <c r="B22" s="110" t="s">
        <v>562</v>
      </c>
      <c r="C22" s="292">
        <v>0.06</v>
      </c>
      <c r="D22" s="245"/>
      <c r="E22" s="297">
        <v>0.04</v>
      </c>
      <c r="F22" s="245"/>
      <c r="G22" s="1"/>
    </row>
    <row r="23" spans="1:7" ht="12.75" customHeight="1">
      <c r="A23" s="109" t="s">
        <v>563</v>
      </c>
      <c r="B23" s="110" t="s">
        <v>564</v>
      </c>
      <c r="C23" s="292">
        <v>0.74</v>
      </c>
      <c r="D23" s="245"/>
      <c r="E23" s="297">
        <v>0.56000000000000005</v>
      </c>
      <c r="F23" s="245"/>
      <c r="G23" s="1"/>
    </row>
    <row r="24" spans="1:7" ht="12.75" customHeight="1">
      <c r="A24" s="109" t="s">
        <v>565</v>
      </c>
      <c r="B24" s="110" t="s">
        <v>566</v>
      </c>
      <c r="C24" s="292">
        <v>2.06</v>
      </c>
      <c r="D24" s="245"/>
      <c r="E24" s="297">
        <v>0</v>
      </c>
      <c r="F24" s="245"/>
      <c r="G24" s="1"/>
    </row>
    <row r="25" spans="1:7" ht="12.75" customHeight="1">
      <c r="A25" s="109" t="s">
        <v>567</v>
      </c>
      <c r="B25" s="110" t="s">
        <v>568</v>
      </c>
      <c r="C25" s="292">
        <v>0.1</v>
      </c>
      <c r="D25" s="245"/>
      <c r="E25" s="297">
        <v>0.08</v>
      </c>
      <c r="F25" s="245"/>
      <c r="G25" s="1"/>
    </row>
    <row r="26" spans="1:7" ht="12.75" customHeight="1">
      <c r="A26" s="109" t="s">
        <v>569</v>
      </c>
      <c r="B26" s="110" t="s">
        <v>570</v>
      </c>
      <c r="C26" s="292">
        <v>11.29</v>
      </c>
      <c r="D26" s="245"/>
      <c r="E26" s="297">
        <v>8.51</v>
      </c>
      <c r="F26" s="245"/>
      <c r="G26" s="1"/>
    </row>
    <row r="27" spans="1:7" ht="12.75" customHeight="1">
      <c r="A27" s="109" t="s">
        <v>571</v>
      </c>
      <c r="B27" s="110" t="s">
        <v>572</v>
      </c>
      <c r="C27" s="292">
        <v>0.04</v>
      </c>
      <c r="D27" s="245"/>
      <c r="E27" s="297">
        <v>0.03</v>
      </c>
      <c r="F27" s="245"/>
      <c r="G27" s="1"/>
    </row>
    <row r="28" spans="1:7" ht="15" customHeight="1">
      <c r="A28" s="104"/>
      <c r="B28" s="112" t="s">
        <v>292</v>
      </c>
      <c r="C28" s="293">
        <v>48.540000000000006</v>
      </c>
      <c r="D28" s="245"/>
      <c r="E28" s="293">
        <v>18.190000000000001</v>
      </c>
      <c r="F28" s="245"/>
      <c r="G28" s="1"/>
    </row>
    <row r="29" spans="1:7" ht="12" customHeight="1">
      <c r="A29" s="104"/>
      <c r="B29" s="294" t="s">
        <v>0</v>
      </c>
      <c r="C29" s="245"/>
      <c r="D29" s="104"/>
      <c r="E29" s="104"/>
      <c r="F29" s="104"/>
      <c r="G29" s="1"/>
    </row>
    <row r="30" spans="1:7" ht="12.75" customHeight="1">
      <c r="A30" s="114" t="s">
        <v>573</v>
      </c>
      <c r="B30" s="108" t="s">
        <v>574</v>
      </c>
      <c r="C30" s="104"/>
      <c r="D30" s="104"/>
      <c r="E30" s="104"/>
      <c r="F30" s="104"/>
      <c r="G30" s="1"/>
    </row>
    <row r="31" spans="1:7" ht="12.75" customHeight="1">
      <c r="A31" s="109" t="s">
        <v>575</v>
      </c>
      <c r="B31" s="110" t="s">
        <v>576</v>
      </c>
      <c r="C31" s="292">
        <v>4.57</v>
      </c>
      <c r="D31" s="245"/>
      <c r="E31" s="297">
        <v>3.45</v>
      </c>
      <c r="F31" s="245"/>
      <c r="G31" s="1"/>
    </row>
    <row r="32" spans="1:7" ht="12.75" customHeight="1">
      <c r="A32" s="109" t="s">
        <v>577</v>
      </c>
      <c r="B32" s="110" t="s">
        <v>578</v>
      </c>
      <c r="C32" s="292">
        <v>0.11</v>
      </c>
      <c r="D32" s="245"/>
      <c r="E32" s="297">
        <v>0.08</v>
      </c>
      <c r="F32" s="245"/>
      <c r="G32" s="1"/>
    </row>
    <row r="33" spans="1:7" ht="12.75" customHeight="1">
      <c r="A33" s="109" t="s">
        <v>579</v>
      </c>
      <c r="B33" s="110" t="s">
        <v>580</v>
      </c>
      <c r="C33" s="292">
        <v>3.31</v>
      </c>
      <c r="D33" s="245"/>
      <c r="E33" s="297">
        <v>2.5</v>
      </c>
      <c r="F33" s="245"/>
      <c r="G33" s="1"/>
    </row>
    <row r="34" spans="1:7" ht="12.75" customHeight="1">
      <c r="A34" s="109" t="s">
        <v>581</v>
      </c>
      <c r="B34" s="110" t="s">
        <v>582</v>
      </c>
      <c r="C34" s="292">
        <v>2.61</v>
      </c>
      <c r="D34" s="245"/>
      <c r="E34" s="297">
        <v>1.96</v>
      </c>
      <c r="F34" s="245"/>
      <c r="G34" s="1"/>
    </row>
    <row r="35" spans="1:7" ht="12.75" customHeight="1">
      <c r="A35" s="109" t="s">
        <v>583</v>
      </c>
      <c r="B35" s="110" t="s">
        <v>584</v>
      </c>
      <c r="C35" s="292">
        <v>0.38</v>
      </c>
      <c r="D35" s="245"/>
      <c r="E35" s="297">
        <v>0.28999999999999998</v>
      </c>
      <c r="F35" s="245"/>
      <c r="G35" s="1"/>
    </row>
    <row r="36" spans="1:7" ht="15" customHeight="1">
      <c r="A36" s="104"/>
      <c r="B36" s="112" t="s">
        <v>292</v>
      </c>
      <c r="C36" s="293">
        <v>10.98</v>
      </c>
      <c r="D36" s="245"/>
      <c r="E36" s="293">
        <v>8.2799999999999994</v>
      </c>
      <c r="F36" s="245"/>
      <c r="G36" s="1"/>
    </row>
    <row r="37" spans="1:7" ht="12" customHeight="1">
      <c r="A37" s="104"/>
      <c r="B37" s="294" t="s">
        <v>0</v>
      </c>
      <c r="C37" s="245"/>
      <c r="D37" s="104"/>
      <c r="E37" s="104"/>
      <c r="F37" s="104"/>
      <c r="G37" s="1"/>
    </row>
    <row r="38" spans="1:7" ht="12.75" customHeight="1">
      <c r="A38" s="114" t="s">
        <v>585</v>
      </c>
      <c r="B38" s="108" t="s">
        <v>586</v>
      </c>
      <c r="C38" s="104"/>
      <c r="D38" s="104"/>
      <c r="E38" s="104"/>
      <c r="F38" s="104"/>
      <c r="G38" s="1"/>
    </row>
    <row r="39" spans="1:7" ht="12.75" customHeight="1">
      <c r="A39" s="109" t="s">
        <v>587</v>
      </c>
      <c r="B39" s="110" t="s">
        <v>588</v>
      </c>
      <c r="C39" s="292">
        <v>17.86</v>
      </c>
      <c r="D39" s="245"/>
      <c r="E39" s="297">
        <v>6.69</v>
      </c>
      <c r="F39" s="245"/>
      <c r="G39" s="1"/>
    </row>
    <row r="40" spans="1:7" ht="18" customHeight="1">
      <c r="A40" s="109" t="s">
        <v>589</v>
      </c>
      <c r="B40" s="110" t="s">
        <v>590</v>
      </c>
      <c r="C40" s="292">
        <v>0.41</v>
      </c>
      <c r="D40" s="245"/>
      <c r="E40" s="297">
        <v>0.31</v>
      </c>
      <c r="F40" s="245"/>
      <c r="G40" s="1"/>
    </row>
    <row r="41" spans="1:7" ht="15" customHeight="1">
      <c r="A41" s="104"/>
      <c r="B41" s="112" t="s">
        <v>292</v>
      </c>
      <c r="C41" s="293">
        <v>18.27</v>
      </c>
      <c r="D41" s="245"/>
      <c r="E41" s="293">
        <v>7</v>
      </c>
      <c r="F41" s="245"/>
      <c r="G41" s="1"/>
    </row>
    <row r="42" spans="1:7" ht="15" customHeight="1">
      <c r="A42" s="104"/>
      <c r="B42" s="294" t="s">
        <v>0</v>
      </c>
      <c r="C42" s="244"/>
      <c r="D42" s="245"/>
      <c r="E42" s="104"/>
      <c r="F42" s="104"/>
      <c r="G42" s="1"/>
    </row>
    <row r="43" spans="1:7" ht="19.5" customHeight="1">
      <c r="A43" s="104"/>
      <c r="B43" s="115" t="s">
        <v>591</v>
      </c>
      <c r="C43" s="295">
        <v>114.59</v>
      </c>
      <c r="D43" s="245"/>
      <c r="E43" s="295">
        <v>70.27</v>
      </c>
      <c r="F43" s="245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MD03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2025-09-30T14:49:02Z</cp:lastPrinted>
  <dcterms:modified xsi:type="dcterms:W3CDTF">2025-09-30T14:49:26Z</dcterms:modified>
</cp:coreProperties>
</file>