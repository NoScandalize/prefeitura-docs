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7-praca-nova-conc042025-geo\praca-nova-geral\medicoes-edicao\BM04\"/>
    </mc:Choice>
  </mc:AlternateContent>
  <xr:revisionPtr revIDLastSave="0" documentId="13_ncr:1_{C646427F-C50F-4946-9098-346B59FDBD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 DE MEDIÇÃO" sheetId="1" r:id="rId1"/>
    <sheet name="MEMORIAL DE CALCULO" sheetId="3" r:id="rId2"/>
  </sheets>
  <definedNames>
    <definedName name="_xlnm.Print_Area" localSheetId="1">'MEMORIAL DE CALCULO'!$A$1:$U$909</definedName>
    <definedName name="_xlnm.Print_Area" localSheetId="0">'PLANILHA DE MEDIÇÃO'!$A$1:$X$350</definedName>
    <definedName name="JR_PAGE_ANCHOR_0_1" localSheetId="1">'MEMORIAL DE CALCULO'!#REF!</definedName>
    <definedName name="JR_PAGE_ANCHOR_0_1">'PLANILHA DE MEDIÇÃO'!#REF!</definedName>
    <definedName name="_xlnm.Print_Titles" localSheetId="1">'MEMORIAL DE CALCULO'!$1:$6</definedName>
    <definedName name="_xlnm.Print_Titles" localSheetId="0">'PLANILHA DE MEDIÇÃO'!$1:$5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01" i="3" l="1"/>
  <c r="Y201" i="3"/>
  <c r="W201" i="3"/>
  <c r="N201" i="3"/>
  <c r="M201" i="3"/>
  <c r="Z191" i="3"/>
  <c r="Y191" i="3"/>
  <c r="W191" i="3"/>
  <c r="N191" i="3"/>
  <c r="M191" i="3"/>
  <c r="Z184" i="3"/>
  <c r="Y184" i="3"/>
  <c r="W184" i="3"/>
  <c r="N184" i="3"/>
  <c r="M184" i="3"/>
  <c r="Z125" i="3"/>
  <c r="Y125" i="3"/>
  <c r="W125" i="3"/>
  <c r="N125" i="3"/>
  <c r="M125" i="3"/>
  <c r="Z107" i="3"/>
  <c r="Y107" i="3"/>
  <c r="W107" i="3"/>
  <c r="N107" i="3"/>
  <c r="M107" i="3"/>
  <c r="Z71" i="3"/>
  <c r="Y71" i="3"/>
  <c r="W71" i="3"/>
  <c r="N71" i="3"/>
  <c r="M71" i="3"/>
  <c r="Z32" i="3"/>
  <c r="Y32" i="3"/>
  <c r="W32" i="3"/>
  <c r="N32" i="3"/>
  <c r="M32" i="3"/>
  <c r="Z18" i="3"/>
  <c r="Y18" i="3"/>
  <c r="W18" i="3"/>
  <c r="N18" i="3"/>
  <c r="M18" i="3"/>
  <c r="Z16" i="3"/>
  <c r="Y16" i="3"/>
  <c r="W16" i="3"/>
  <c r="N16" i="3"/>
  <c r="M16" i="3"/>
  <c r="Z14" i="3"/>
  <c r="Y14" i="3"/>
  <c r="W14" i="3"/>
  <c r="N14" i="3"/>
  <c r="M14" i="3"/>
  <c r="Z11" i="3"/>
  <c r="Y11" i="3"/>
  <c r="W11" i="3"/>
  <c r="N11" i="3"/>
  <c r="M11" i="3"/>
  <c r="Z8" i="3"/>
  <c r="Y8" i="3"/>
  <c r="W8" i="3"/>
  <c r="T8" i="3"/>
  <c r="S8" i="3"/>
  <c r="Q8" i="3"/>
  <c r="P8" i="3"/>
  <c r="N8" i="3"/>
  <c r="M8" i="3"/>
  <c r="Z3" i="3"/>
  <c r="T3" i="3"/>
  <c r="Q3" i="3"/>
  <c r="N3" i="3"/>
  <c r="J2" i="3"/>
  <c r="W346" i="1"/>
  <c r="V346" i="1"/>
  <c r="T346" i="1"/>
  <c r="S346" i="1"/>
  <c r="Q346" i="1"/>
  <c r="P346" i="1"/>
  <c r="N346" i="1"/>
  <c r="M346" i="1"/>
  <c r="K346" i="1"/>
  <c r="J346" i="1"/>
  <c r="H346" i="1"/>
  <c r="X343" i="1"/>
  <c r="W343" i="1"/>
  <c r="V343" i="1"/>
  <c r="U343" i="1"/>
  <c r="T343" i="1"/>
  <c r="S343" i="1"/>
  <c r="H343" i="1"/>
  <c r="X342" i="1"/>
  <c r="W342" i="1"/>
  <c r="V342" i="1"/>
  <c r="O342" i="1"/>
  <c r="N342" i="1"/>
  <c r="M342" i="1"/>
  <c r="H342" i="1"/>
  <c r="X341" i="1"/>
  <c r="W341" i="1"/>
  <c r="V341" i="1"/>
  <c r="O341" i="1"/>
  <c r="N341" i="1"/>
  <c r="M341" i="1"/>
  <c r="H341" i="1"/>
  <c r="X340" i="1"/>
  <c r="W340" i="1"/>
  <c r="V340" i="1"/>
  <c r="O340" i="1"/>
  <c r="N340" i="1"/>
  <c r="M340" i="1"/>
  <c r="H340" i="1"/>
  <c r="X339" i="1"/>
  <c r="W339" i="1"/>
  <c r="V339" i="1"/>
  <c r="O339" i="1"/>
  <c r="N339" i="1"/>
  <c r="M339" i="1"/>
  <c r="H339" i="1"/>
  <c r="X338" i="1"/>
  <c r="W338" i="1"/>
  <c r="V338" i="1"/>
  <c r="O338" i="1"/>
  <c r="N338" i="1"/>
  <c r="M338" i="1"/>
  <c r="H338" i="1"/>
  <c r="X337" i="1"/>
  <c r="W337" i="1"/>
  <c r="V337" i="1"/>
  <c r="O337" i="1"/>
  <c r="N337" i="1"/>
  <c r="M337" i="1"/>
  <c r="H337" i="1"/>
  <c r="X336" i="1"/>
  <c r="W336" i="1"/>
  <c r="V336" i="1"/>
  <c r="O336" i="1"/>
  <c r="N336" i="1"/>
  <c r="M336" i="1"/>
  <c r="H336" i="1"/>
  <c r="X335" i="1"/>
  <c r="W335" i="1"/>
  <c r="V335" i="1"/>
  <c r="O335" i="1"/>
  <c r="N335" i="1"/>
  <c r="M335" i="1"/>
  <c r="H335" i="1"/>
  <c r="X334" i="1"/>
  <c r="W334" i="1"/>
  <c r="V334" i="1"/>
  <c r="O334" i="1"/>
  <c r="N334" i="1"/>
  <c r="M334" i="1"/>
  <c r="H334" i="1"/>
  <c r="X333" i="1"/>
  <c r="W333" i="1"/>
  <c r="V333" i="1"/>
  <c r="O333" i="1"/>
  <c r="N333" i="1"/>
  <c r="M333" i="1"/>
  <c r="H333" i="1"/>
  <c r="X332" i="1"/>
  <c r="W332" i="1"/>
  <c r="V332" i="1"/>
  <c r="O332" i="1"/>
  <c r="N332" i="1"/>
  <c r="M332" i="1"/>
  <c r="H332" i="1"/>
  <c r="X331" i="1"/>
  <c r="W331" i="1"/>
  <c r="V331" i="1"/>
  <c r="O331" i="1"/>
  <c r="N331" i="1"/>
  <c r="M331" i="1"/>
  <c r="H331" i="1"/>
  <c r="X330" i="1"/>
  <c r="W330" i="1"/>
  <c r="V330" i="1"/>
  <c r="O330" i="1"/>
  <c r="N330" i="1"/>
  <c r="M330" i="1"/>
  <c r="H330" i="1"/>
  <c r="X329" i="1"/>
  <c r="W329" i="1"/>
  <c r="V329" i="1"/>
  <c r="O329" i="1"/>
  <c r="N329" i="1"/>
  <c r="M329" i="1"/>
  <c r="H329" i="1"/>
  <c r="X328" i="1"/>
  <c r="W328" i="1"/>
  <c r="V328" i="1"/>
  <c r="O328" i="1"/>
  <c r="N328" i="1"/>
  <c r="M328" i="1"/>
  <c r="H328" i="1"/>
  <c r="X327" i="1"/>
  <c r="W327" i="1"/>
  <c r="V327" i="1"/>
  <c r="O327" i="1"/>
  <c r="N327" i="1"/>
  <c r="M327" i="1"/>
  <c r="H327" i="1"/>
  <c r="X326" i="1"/>
  <c r="W326" i="1"/>
  <c r="V326" i="1"/>
  <c r="O326" i="1"/>
  <c r="N326" i="1"/>
  <c r="M326" i="1"/>
  <c r="H326" i="1"/>
  <c r="X325" i="1"/>
  <c r="W325" i="1"/>
  <c r="V325" i="1"/>
  <c r="O325" i="1"/>
  <c r="N325" i="1"/>
  <c r="M325" i="1"/>
  <c r="H325" i="1"/>
  <c r="H324" i="1"/>
  <c r="X323" i="1"/>
  <c r="W323" i="1"/>
  <c r="V323" i="1"/>
  <c r="U323" i="1"/>
  <c r="T323" i="1"/>
  <c r="S323" i="1"/>
  <c r="H323" i="1"/>
  <c r="X322" i="1"/>
  <c r="W322" i="1"/>
  <c r="V322" i="1"/>
  <c r="U322" i="1"/>
  <c r="T322" i="1"/>
  <c r="S322" i="1"/>
  <c r="H322" i="1"/>
  <c r="X321" i="1"/>
  <c r="W321" i="1"/>
  <c r="V321" i="1"/>
  <c r="U321" i="1"/>
  <c r="T321" i="1"/>
  <c r="S321" i="1"/>
  <c r="H321" i="1"/>
  <c r="X320" i="1"/>
  <c r="W320" i="1"/>
  <c r="V320" i="1"/>
  <c r="U320" i="1"/>
  <c r="T320" i="1"/>
  <c r="S320" i="1"/>
  <c r="H320" i="1"/>
  <c r="X319" i="1"/>
  <c r="W319" i="1"/>
  <c r="V319" i="1"/>
  <c r="U319" i="1"/>
  <c r="T319" i="1"/>
  <c r="S319" i="1"/>
  <c r="H319" i="1"/>
  <c r="X318" i="1"/>
  <c r="W318" i="1"/>
  <c r="V318" i="1"/>
  <c r="O318" i="1"/>
  <c r="N318" i="1"/>
  <c r="M318" i="1"/>
  <c r="H318" i="1"/>
  <c r="X317" i="1"/>
  <c r="W317" i="1"/>
  <c r="V317" i="1"/>
  <c r="O317" i="1"/>
  <c r="N317" i="1"/>
  <c r="M317" i="1"/>
  <c r="H317" i="1"/>
  <c r="X316" i="1"/>
  <c r="W316" i="1"/>
  <c r="V316" i="1"/>
  <c r="O316" i="1"/>
  <c r="N316" i="1"/>
  <c r="M316" i="1"/>
  <c r="H316" i="1"/>
  <c r="X315" i="1"/>
  <c r="W315" i="1"/>
  <c r="V315" i="1"/>
  <c r="O315" i="1"/>
  <c r="N315" i="1"/>
  <c r="M315" i="1"/>
  <c r="H315" i="1"/>
  <c r="H314" i="1"/>
  <c r="X313" i="1"/>
  <c r="W313" i="1"/>
  <c r="V313" i="1"/>
  <c r="U313" i="1"/>
  <c r="T313" i="1"/>
  <c r="S313" i="1"/>
  <c r="H313" i="1"/>
  <c r="X312" i="1"/>
  <c r="W312" i="1"/>
  <c r="V312" i="1"/>
  <c r="U312" i="1"/>
  <c r="T312" i="1"/>
  <c r="S312" i="1"/>
  <c r="H312" i="1"/>
  <c r="X311" i="1"/>
  <c r="W311" i="1"/>
  <c r="V311" i="1"/>
  <c r="U311" i="1"/>
  <c r="T311" i="1"/>
  <c r="S311" i="1"/>
  <c r="H311" i="1"/>
  <c r="H310" i="1"/>
  <c r="X309" i="1"/>
  <c r="W309" i="1"/>
  <c r="V309" i="1"/>
  <c r="U309" i="1"/>
  <c r="T309" i="1"/>
  <c r="S309" i="1"/>
  <c r="H309" i="1"/>
  <c r="X308" i="1"/>
  <c r="W308" i="1"/>
  <c r="V308" i="1"/>
  <c r="R308" i="1"/>
  <c r="Q308" i="1"/>
  <c r="P308" i="1"/>
  <c r="H308" i="1"/>
  <c r="X307" i="1"/>
  <c r="W307" i="1"/>
  <c r="V307" i="1"/>
  <c r="R307" i="1"/>
  <c r="Q307" i="1"/>
  <c r="P307" i="1"/>
  <c r="H307" i="1"/>
  <c r="X306" i="1"/>
  <c r="W306" i="1"/>
  <c r="V306" i="1"/>
  <c r="R306" i="1"/>
  <c r="Q306" i="1"/>
  <c r="P306" i="1"/>
  <c r="H306" i="1"/>
  <c r="X305" i="1"/>
  <c r="W305" i="1"/>
  <c r="V305" i="1"/>
  <c r="R305" i="1"/>
  <c r="Q305" i="1"/>
  <c r="P305" i="1"/>
  <c r="H305" i="1"/>
  <c r="X304" i="1"/>
  <c r="W304" i="1"/>
  <c r="V304" i="1"/>
  <c r="R304" i="1"/>
  <c r="Q304" i="1"/>
  <c r="P304" i="1"/>
  <c r="H304" i="1"/>
  <c r="X303" i="1"/>
  <c r="W303" i="1"/>
  <c r="V303" i="1"/>
  <c r="R303" i="1"/>
  <c r="Q303" i="1"/>
  <c r="P303" i="1"/>
  <c r="H303" i="1"/>
  <c r="X302" i="1"/>
  <c r="W302" i="1"/>
  <c r="V302" i="1"/>
  <c r="R302" i="1"/>
  <c r="Q302" i="1"/>
  <c r="P302" i="1"/>
  <c r="H302" i="1"/>
  <c r="X301" i="1"/>
  <c r="W301" i="1"/>
  <c r="V301" i="1"/>
  <c r="R301" i="1"/>
  <c r="Q301" i="1"/>
  <c r="P301" i="1"/>
  <c r="H301" i="1"/>
  <c r="X300" i="1"/>
  <c r="W300" i="1"/>
  <c r="V300" i="1"/>
  <c r="R300" i="1"/>
  <c r="Q300" i="1"/>
  <c r="P300" i="1"/>
  <c r="H300" i="1"/>
  <c r="H299" i="1"/>
  <c r="H298" i="1"/>
  <c r="X297" i="1"/>
  <c r="W297" i="1"/>
  <c r="V297" i="1"/>
  <c r="O297" i="1"/>
  <c r="N297" i="1"/>
  <c r="M297" i="1"/>
  <c r="H297" i="1"/>
  <c r="X296" i="1"/>
  <c r="W296" i="1"/>
  <c r="V296" i="1"/>
  <c r="O296" i="1"/>
  <c r="N296" i="1"/>
  <c r="M296" i="1"/>
  <c r="H296" i="1"/>
  <c r="X295" i="1"/>
  <c r="W295" i="1"/>
  <c r="V295" i="1"/>
  <c r="U295" i="1"/>
  <c r="T295" i="1"/>
  <c r="S295" i="1"/>
  <c r="H295" i="1"/>
  <c r="X294" i="1"/>
  <c r="W294" i="1"/>
  <c r="V294" i="1"/>
  <c r="U294" i="1"/>
  <c r="T294" i="1"/>
  <c r="S294" i="1"/>
  <c r="H294" i="1"/>
  <c r="X293" i="1"/>
  <c r="W293" i="1"/>
  <c r="V293" i="1"/>
  <c r="U293" i="1"/>
  <c r="T293" i="1"/>
  <c r="S293" i="1"/>
  <c r="H293" i="1"/>
  <c r="X292" i="1"/>
  <c r="W292" i="1"/>
  <c r="V292" i="1"/>
  <c r="O292" i="1"/>
  <c r="N292" i="1"/>
  <c r="M292" i="1"/>
  <c r="H292" i="1"/>
  <c r="X291" i="1"/>
  <c r="W291" i="1"/>
  <c r="V291" i="1"/>
  <c r="O291" i="1"/>
  <c r="N291" i="1"/>
  <c r="M291" i="1"/>
  <c r="H291" i="1"/>
  <c r="X290" i="1"/>
  <c r="W290" i="1"/>
  <c r="V290" i="1"/>
  <c r="O290" i="1"/>
  <c r="N290" i="1"/>
  <c r="M290" i="1"/>
  <c r="H290" i="1"/>
  <c r="H289" i="1"/>
  <c r="X288" i="1"/>
  <c r="W288" i="1"/>
  <c r="V288" i="1"/>
  <c r="O288" i="1"/>
  <c r="N288" i="1"/>
  <c r="M288" i="1"/>
  <c r="H288" i="1"/>
  <c r="X287" i="1"/>
  <c r="W287" i="1"/>
  <c r="V287" i="1"/>
  <c r="O287" i="1"/>
  <c r="N287" i="1"/>
  <c r="M287" i="1"/>
  <c r="H287" i="1"/>
  <c r="X286" i="1"/>
  <c r="W286" i="1"/>
  <c r="V286" i="1"/>
  <c r="L286" i="1"/>
  <c r="J286" i="1"/>
  <c r="H286" i="1"/>
  <c r="X285" i="1"/>
  <c r="W285" i="1"/>
  <c r="V285" i="1"/>
  <c r="L285" i="1"/>
  <c r="J285" i="1"/>
  <c r="H285" i="1"/>
  <c r="X284" i="1"/>
  <c r="W284" i="1"/>
  <c r="V284" i="1"/>
  <c r="L284" i="1"/>
  <c r="J284" i="1"/>
  <c r="H284" i="1"/>
  <c r="X283" i="1"/>
  <c r="W283" i="1"/>
  <c r="V283" i="1"/>
  <c r="L283" i="1"/>
  <c r="J283" i="1"/>
  <c r="H283" i="1"/>
  <c r="X282" i="1"/>
  <c r="W282" i="1"/>
  <c r="V282" i="1"/>
  <c r="L282" i="1"/>
  <c r="J282" i="1"/>
  <c r="H282" i="1"/>
  <c r="H281" i="1"/>
  <c r="X280" i="1"/>
  <c r="W280" i="1"/>
  <c r="V280" i="1"/>
  <c r="L280" i="1"/>
  <c r="J280" i="1"/>
  <c r="H280" i="1"/>
  <c r="X279" i="1"/>
  <c r="W279" i="1"/>
  <c r="V279" i="1"/>
  <c r="L279" i="1"/>
  <c r="J279" i="1"/>
  <c r="H279" i="1"/>
  <c r="X278" i="1"/>
  <c r="W278" i="1"/>
  <c r="V278" i="1"/>
  <c r="L278" i="1"/>
  <c r="J278" i="1"/>
  <c r="H278" i="1"/>
  <c r="X277" i="1"/>
  <c r="W277" i="1"/>
  <c r="V277" i="1"/>
  <c r="L277" i="1"/>
  <c r="J277" i="1"/>
  <c r="H277" i="1"/>
  <c r="X276" i="1"/>
  <c r="W276" i="1"/>
  <c r="V276" i="1"/>
  <c r="L276" i="1"/>
  <c r="J276" i="1"/>
  <c r="H276" i="1"/>
  <c r="X275" i="1"/>
  <c r="W275" i="1"/>
  <c r="V275" i="1"/>
  <c r="L275" i="1"/>
  <c r="J275" i="1"/>
  <c r="H275" i="1"/>
  <c r="X274" i="1"/>
  <c r="W274" i="1"/>
  <c r="V274" i="1"/>
  <c r="L274" i="1"/>
  <c r="J274" i="1"/>
  <c r="H274" i="1"/>
  <c r="X273" i="1"/>
  <c r="W273" i="1"/>
  <c r="V273" i="1"/>
  <c r="L273" i="1"/>
  <c r="J273" i="1"/>
  <c r="H273" i="1"/>
  <c r="X272" i="1"/>
  <c r="W272" i="1"/>
  <c r="V272" i="1"/>
  <c r="L272" i="1"/>
  <c r="J272" i="1"/>
  <c r="H272" i="1"/>
  <c r="X271" i="1"/>
  <c r="W271" i="1"/>
  <c r="V271" i="1"/>
  <c r="L271" i="1"/>
  <c r="J271" i="1"/>
  <c r="H271" i="1"/>
  <c r="H270" i="1"/>
  <c r="X269" i="1"/>
  <c r="W269" i="1"/>
  <c r="V269" i="1"/>
  <c r="L269" i="1"/>
  <c r="J269" i="1"/>
  <c r="H269" i="1"/>
  <c r="X268" i="1"/>
  <c r="W268" i="1"/>
  <c r="V268" i="1"/>
  <c r="L268" i="1"/>
  <c r="J268" i="1"/>
  <c r="H268" i="1"/>
  <c r="H267" i="1"/>
  <c r="H266" i="1"/>
  <c r="X265" i="1"/>
  <c r="W265" i="1"/>
  <c r="V265" i="1"/>
  <c r="R265" i="1"/>
  <c r="Q265" i="1"/>
  <c r="P265" i="1"/>
  <c r="H265" i="1"/>
  <c r="X264" i="1"/>
  <c r="W264" i="1"/>
  <c r="V264" i="1"/>
  <c r="U264" i="1"/>
  <c r="T264" i="1"/>
  <c r="S264" i="1"/>
  <c r="H264" i="1"/>
  <c r="X263" i="1"/>
  <c r="W263" i="1"/>
  <c r="V263" i="1"/>
  <c r="U263" i="1"/>
  <c r="T263" i="1"/>
  <c r="S263" i="1"/>
  <c r="H263" i="1"/>
  <c r="H262" i="1"/>
  <c r="X261" i="1"/>
  <c r="W261" i="1"/>
  <c r="V261" i="1"/>
  <c r="R261" i="1"/>
  <c r="Q261" i="1"/>
  <c r="P261" i="1"/>
  <c r="H261" i="1"/>
  <c r="X260" i="1"/>
  <c r="W260" i="1"/>
  <c r="V260" i="1"/>
  <c r="R260" i="1"/>
  <c r="Q260" i="1"/>
  <c r="P260" i="1"/>
  <c r="H260" i="1"/>
  <c r="X259" i="1"/>
  <c r="W259" i="1"/>
  <c r="V259" i="1"/>
  <c r="R259" i="1"/>
  <c r="Q259" i="1"/>
  <c r="P259" i="1"/>
  <c r="H259" i="1"/>
  <c r="X258" i="1"/>
  <c r="W258" i="1"/>
  <c r="V258" i="1"/>
  <c r="R258" i="1"/>
  <c r="Q258" i="1"/>
  <c r="P258" i="1"/>
  <c r="H258" i="1"/>
  <c r="X257" i="1"/>
  <c r="W257" i="1"/>
  <c r="V257" i="1"/>
  <c r="R257" i="1"/>
  <c r="Q257" i="1"/>
  <c r="P257" i="1"/>
  <c r="H257" i="1"/>
  <c r="H256" i="1"/>
  <c r="X255" i="1"/>
  <c r="W255" i="1"/>
  <c r="V255" i="1"/>
  <c r="O255" i="1"/>
  <c r="N255" i="1"/>
  <c r="M255" i="1"/>
  <c r="H255" i="1"/>
  <c r="X254" i="1"/>
  <c r="W254" i="1"/>
  <c r="V254" i="1"/>
  <c r="O254" i="1"/>
  <c r="N254" i="1"/>
  <c r="M254" i="1"/>
  <c r="H254" i="1"/>
  <c r="X253" i="1"/>
  <c r="W253" i="1"/>
  <c r="V253" i="1"/>
  <c r="O253" i="1"/>
  <c r="N253" i="1"/>
  <c r="M253" i="1"/>
  <c r="H253" i="1"/>
  <c r="X252" i="1"/>
  <c r="W252" i="1"/>
  <c r="V252" i="1"/>
  <c r="O252" i="1"/>
  <c r="N252" i="1"/>
  <c r="M252" i="1"/>
  <c r="H252" i="1"/>
  <c r="X251" i="1"/>
  <c r="W251" i="1"/>
  <c r="V251" i="1"/>
  <c r="O251" i="1"/>
  <c r="N251" i="1"/>
  <c r="M251" i="1"/>
  <c r="H251" i="1"/>
  <c r="X250" i="1"/>
  <c r="W250" i="1"/>
  <c r="V250" i="1"/>
  <c r="O250" i="1"/>
  <c r="N250" i="1"/>
  <c r="M250" i="1"/>
  <c r="H250" i="1"/>
  <c r="X249" i="1"/>
  <c r="W249" i="1"/>
  <c r="V249" i="1"/>
  <c r="O249" i="1"/>
  <c r="N249" i="1"/>
  <c r="M249" i="1"/>
  <c r="H249" i="1"/>
  <c r="X248" i="1"/>
  <c r="W248" i="1"/>
  <c r="V248" i="1"/>
  <c r="O248" i="1"/>
  <c r="N248" i="1"/>
  <c r="M248" i="1"/>
  <c r="H248" i="1"/>
  <c r="X247" i="1"/>
  <c r="W247" i="1"/>
  <c r="V247" i="1"/>
  <c r="O247" i="1"/>
  <c r="N247" i="1"/>
  <c r="M247" i="1"/>
  <c r="H247" i="1"/>
  <c r="X246" i="1"/>
  <c r="W246" i="1"/>
  <c r="V246" i="1"/>
  <c r="O246" i="1"/>
  <c r="N246" i="1"/>
  <c r="M246" i="1"/>
  <c r="H246" i="1"/>
  <c r="X245" i="1"/>
  <c r="W245" i="1"/>
  <c r="V245" i="1"/>
  <c r="O245" i="1"/>
  <c r="N245" i="1"/>
  <c r="M245" i="1"/>
  <c r="H245" i="1"/>
  <c r="X244" i="1"/>
  <c r="W244" i="1"/>
  <c r="V244" i="1"/>
  <c r="O244" i="1"/>
  <c r="N244" i="1"/>
  <c r="M244" i="1"/>
  <c r="H244" i="1"/>
  <c r="X243" i="1"/>
  <c r="W243" i="1"/>
  <c r="V243" i="1"/>
  <c r="O243" i="1"/>
  <c r="N243" i="1"/>
  <c r="M243" i="1"/>
  <c r="H243" i="1"/>
  <c r="X242" i="1"/>
  <c r="W242" i="1"/>
  <c r="V242" i="1"/>
  <c r="O242" i="1"/>
  <c r="N242" i="1"/>
  <c r="M242" i="1"/>
  <c r="H242" i="1"/>
  <c r="X241" i="1"/>
  <c r="W241" i="1"/>
  <c r="V241" i="1"/>
  <c r="O241" i="1"/>
  <c r="N241" i="1"/>
  <c r="M241" i="1"/>
  <c r="H241" i="1"/>
  <c r="X240" i="1"/>
  <c r="W240" i="1"/>
  <c r="V240" i="1"/>
  <c r="O240" i="1"/>
  <c r="N240" i="1"/>
  <c r="M240" i="1"/>
  <c r="H240" i="1"/>
  <c r="X239" i="1"/>
  <c r="W239" i="1"/>
  <c r="V239" i="1"/>
  <c r="O239" i="1"/>
  <c r="N239" i="1"/>
  <c r="M239" i="1"/>
  <c r="H239" i="1"/>
  <c r="X238" i="1"/>
  <c r="W238" i="1"/>
  <c r="V238" i="1"/>
  <c r="O238" i="1"/>
  <c r="N238" i="1"/>
  <c r="M238" i="1"/>
  <c r="H238" i="1"/>
  <c r="H237" i="1"/>
  <c r="X236" i="1"/>
  <c r="W236" i="1"/>
  <c r="V236" i="1"/>
  <c r="O236" i="1"/>
  <c r="N236" i="1"/>
  <c r="M236" i="1"/>
  <c r="H236" i="1"/>
  <c r="X235" i="1"/>
  <c r="W235" i="1"/>
  <c r="V235" i="1"/>
  <c r="O235" i="1"/>
  <c r="N235" i="1"/>
  <c r="M235" i="1"/>
  <c r="H235" i="1"/>
  <c r="X234" i="1"/>
  <c r="W234" i="1"/>
  <c r="V234" i="1"/>
  <c r="O234" i="1"/>
  <c r="N234" i="1"/>
  <c r="M234" i="1"/>
  <c r="H234" i="1"/>
  <c r="X233" i="1"/>
  <c r="W233" i="1"/>
  <c r="V233" i="1"/>
  <c r="O233" i="1"/>
  <c r="N233" i="1"/>
  <c r="M233" i="1"/>
  <c r="H233" i="1"/>
  <c r="X232" i="1"/>
  <c r="W232" i="1"/>
  <c r="V232" i="1"/>
  <c r="O232" i="1"/>
  <c r="N232" i="1"/>
  <c r="M232" i="1"/>
  <c r="H232" i="1"/>
  <c r="X231" i="1"/>
  <c r="W231" i="1"/>
  <c r="V231" i="1"/>
  <c r="O231" i="1"/>
  <c r="N231" i="1"/>
  <c r="M231" i="1"/>
  <c r="H231" i="1"/>
  <c r="X230" i="1"/>
  <c r="W230" i="1"/>
  <c r="V230" i="1"/>
  <c r="O230" i="1"/>
  <c r="N230" i="1"/>
  <c r="M230" i="1"/>
  <c r="H230" i="1"/>
  <c r="X229" i="1"/>
  <c r="W229" i="1"/>
  <c r="V229" i="1"/>
  <c r="O229" i="1"/>
  <c r="N229" i="1"/>
  <c r="M229" i="1"/>
  <c r="H229" i="1"/>
  <c r="X228" i="1"/>
  <c r="W228" i="1"/>
  <c r="V228" i="1"/>
  <c r="O228" i="1"/>
  <c r="N228" i="1"/>
  <c r="M228" i="1"/>
  <c r="H228" i="1"/>
  <c r="X227" i="1"/>
  <c r="W227" i="1"/>
  <c r="V227" i="1"/>
  <c r="O227" i="1"/>
  <c r="N227" i="1"/>
  <c r="M227" i="1"/>
  <c r="H227" i="1"/>
  <c r="X226" i="1"/>
  <c r="W226" i="1"/>
  <c r="V226" i="1"/>
  <c r="O226" i="1"/>
  <c r="N226" i="1"/>
  <c r="M226" i="1"/>
  <c r="H226" i="1"/>
  <c r="X225" i="1"/>
  <c r="W225" i="1"/>
  <c r="V225" i="1"/>
  <c r="O225" i="1"/>
  <c r="N225" i="1"/>
  <c r="M225" i="1"/>
  <c r="H225" i="1"/>
  <c r="X224" i="1"/>
  <c r="W224" i="1"/>
  <c r="V224" i="1"/>
  <c r="O224" i="1"/>
  <c r="N224" i="1"/>
  <c r="M224" i="1"/>
  <c r="H224" i="1"/>
  <c r="X223" i="1"/>
  <c r="W223" i="1"/>
  <c r="V223" i="1"/>
  <c r="O223" i="1"/>
  <c r="N223" i="1"/>
  <c r="M223" i="1"/>
  <c r="H223" i="1"/>
  <c r="X222" i="1"/>
  <c r="W222" i="1"/>
  <c r="V222" i="1"/>
  <c r="O222" i="1"/>
  <c r="N222" i="1"/>
  <c r="M222" i="1"/>
  <c r="H222" i="1"/>
  <c r="X221" i="1"/>
  <c r="W221" i="1"/>
  <c r="V221" i="1"/>
  <c r="O221" i="1"/>
  <c r="N221" i="1"/>
  <c r="M221" i="1"/>
  <c r="H221" i="1"/>
  <c r="X220" i="1"/>
  <c r="W220" i="1"/>
  <c r="V220" i="1"/>
  <c r="O220" i="1"/>
  <c r="N220" i="1"/>
  <c r="M220" i="1"/>
  <c r="H220" i="1"/>
  <c r="X219" i="1"/>
  <c r="W219" i="1"/>
  <c r="V219" i="1"/>
  <c r="O219" i="1"/>
  <c r="N219" i="1"/>
  <c r="M219" i="1"/>
  <c r="H219" i="1"/>
  <c r="X218" i="1"/>
  <c r="W218" i="1"/>
  <c r="V218" i="1"/>
  <c r="O218" i="1"/>
  <c r="N218" i="1"/>
  <c r="M218" i="1"/>
  <c r="H218" i="1"/>
  <c r="X217" i="1"/>
  <c r="W217" i="1"/>
  <c r="V217" i="1"/>
  <c r="O217" i="1"/>
  <c r="N217" i="1"/>
  <c r="M217" i="1"/>
  <c r="H217" i="1"/>
  <c r="H216" i="1"/>
  <c r="X215" i="1"/>
  <c r="W215" i="1"/>
  <c r="V215" i="1"/>
  <c r="O215" i="1"/>
  <c r="N215" i="1"/>
  <c r="M215" i="1"/>
  <c r="H215" i="1"/>
  <c r="X214" i="1"/>
  <c r="W214" i="1"/>
  <c r="V214" i="1"/>
  <c r="O214" i="1"/>
  <c r="N214" i="1"/>
  <c r="M214" i="1"/>
  <c r="H214" i="1"/>
  <c r="X213" i="1"/>
  <c r="W213" i="1"/>
  <c r="V213" i="1"/>
  <c r="O213" i="1"/>
  <c r="N213" i="1"/>
  <c r="M213" i="1"/>
  <c r="H213" i="1"/>
  <c r="X212" i="1"/>
  <c r="W212" i="1"/>
  <c r="V212" i="1"/>
  <c r="O212" i="1"/>
  <c r="N212" i="1"/>
  <c r="M212" i="1"/>
  <c r="H212" i="1"/>
  <c r="X211" i="1"/>
  <c r="W211" i="1"/>
  <c r="V211" i="1"/>
  <c r="O211" i="1"/>
  <c r="N211" i="1"/>
  <c r="M211" i="1"/>
  <c r="H211" i="1"/>
  <c r="X210" i="1"/>
  <c r="W210" i="1"/>
  <c r="V210" i="1"/>
  <c r="O210" i="1"/>
  <c r="N210" i="1"/>
  <c r="M210" i="1"/>
  <c r="H210" i="1"/>
  <c r="X209" i="1"/>
  <c r="W209" i="1"/>
  <c r="V209" i="1"/>
  <c r="O209" i="1"/>
  <c r="N209" i="1"/>
  <c r="M209" i="1"/>
  <c r="H209" i="1"/>
  <c r="X208" i="1"/>
  <c r="W208" i="1"/>
  <c r="V208" i="1"/>
  <c r="O208" i="1"/>
  <c r="N208" i="1"/>
  <c r="M208" i="1"/>
  <c r="H208" i="1"/>
  <c r="X207" i="1"/>
  <c r="W207" i="1"/>
  <c r="V207" i="1"/>
  <c r="O207" i="1"/>
  <c r="N207" i="1"/>
  <c r="M207" i="1"/>
  <c r="H207" i="1"/>
  <c r="X206" i="1"/>
  <c r="W206" i="1"/>
  <c r="V206" i="1"/>
  <c r="O206" i="1"/>
  <c r="N206" i="1"/>
  <c r="M206" i="1"/>
  <c r="H206" i="1"/>
  <c r="X205" i="1"/>
  <c r="W205" i="1"/>
  <c r="V205" i="1"/>
  <c r="O205" i="1"/>
  <c r="N205" i="1"/>
  <c r="M205" i="1"/>
  <c r="H205" i="1"/>
  <c r="X204" i="1"/>
  <c r="W204" i="1"/>
  <c r="V204" i="1"/>
  <c r="O204" i="1"/>
  <c r="N204" i="1"/>
  <c r="M204" i="1"/>
  <c r="H204" i="1"/>
  <c r="X203" i="1"/>
  <c r="W203" i="1"/>
  <c r="V203" i="1"/>
  <c r="O203" i="1"/>
  <c r="N203" i="1"/>
  <c r="M203" i="1"/>
  <c r="H203" i="1"/>
  <c r="X202" i="1"/>
  <c r="W202" i="1"/>
  <c r="V202" i="1"/>
  <c r="O202" i="1"/>
  <c r="N202" i="1"/>
  <c r="M202" i="1"/>
  <c r="H202" i="1"/>
  <c r="X201" i="1"/>
  <c r="W201" i="1"/>
  <c r="V201" i="1"/>
  <c r="O201" i="1"/>
  <c r="N201" i="1"/>
  <c r="M201" i="1"/>
  <c r="H201" i="1"/>
  <c r="X200" i="1"/>
  <c r="W200" i="1"/>
  <c r="V200" i="1"/>
  <c r="O200" i="1"/>
  <c r="N200" i="1"/>
  <c r="M200" i="1"/>
  <c r="H200" i="1"/>
  <c r="X199" i="1"/>
  <c r="W199" i="1"/>
  <c r="V199" i="1"/>
  <c r="O199" i="1"/>
  <c r="N199" i="1"/>
  <c r="M199" i="1"/>
  <c r="H199" i="1"/>
  <c r="X198" i="1"/>
  <c r="W198" i="1"/>
  <c r="V198" i="1"/>
  <c r="O198" i="1"/>
  <c r="N198" i="1"/>
  <c r="M198" i="1"/>
  <c r="H198" i="1"/>
  <c r="X197" i="1"/>
  <c r="W197" i="1"/>
  <c r="V197" i="1"/>
  <c r="O197" i="1"/>
  <c r="N197" i="1"/>
  <c r="M197" i="1"/>
  <c r="H197" i="1"/>
  <c r="X196" i="1"/>
  <c r="W196" i="1"/>
  <c r="V196" i="1"/>
  <c r="O196" i="1"/>
  <c r="N196" i="1"/>
  <c r="M196" i="1"/>
  <c r="H196" i="1"/>
  <c r="X195" i="1"/>
  <c r="W195" i="1"/>
  <c r="V195" i="1"/>
  <c r="O195" i="1"/>
  <c r="N195" i="1"/>
  <c r="M195" i="1"/>
  <c r="H195" i="1"/>
  <c r="X194" i="1"/>
  <c r="W194" i="1"/>
  <c r="V194" i="1"/>
  <c r="O194" i="1"/>
  <c r="N194" i="1"/>
  <c r="M194" i="1"/>
  <c r="H194" i="1"/>
  <c r="X193" i="1"/>
  <c r="W193" i="1"/>
  <c r="V193" i="1"/>
  <c r="O193" i="1"/>
  <c r="N193" i="1"/>
  <c r="M193" i="1"/>
  <c r="H193" i="1"/>
  <c r="X192" i="1"/>
  <c r="W192" i="1"/>
  <c r="V192" i="1"/>
  <c r="O192" i="1"/>
  <c r="N192" i="1"/>
  <c r="M192" i="1"/>
  <c r="H192" i="1"/>
  <c r="H191" i="1"/>
  <c r="H190" i="1"/>
  <c r="X189" i="1"/>
  <c r="W189" i="1"/>
  <c r="V189" i="1"/>
  <c r="U189" i="1"/>
  <c r="T189" i="1"/>
  <c r="S189" i="1"/>
  <c r="H189" i="1"/>
  <c r="X188" i="1"/>
  <c r="W188" i="1"/>
  <c r="V188" i="1"/>
  <c r="O188" i="1"/>
  <c r="N188" i="1"/>
  <c r="M188" i="1"/>
  <c r="H188" i="1"/>
  <c r="X187" i="1"/>
  <c r="W187" i="1"/>
  <c r="V187" i="1"/>
  <c r="O187" i="1"/>
  <c r="N187" i="1"/>
  <c r="M187" i="1"/>
  <c r="H187" i="1"/>
  <c r="H186" i="1"/>
  <c r="X185" i="1"/>
  <c r="W185" i="1"/>
  <c r="V185" i="1"/>
  <c r="U185" i="1"/>
  <c r="T185" i="1"/>
  <c r="S185" i="1"/>
  <c r="H185" i="1"/>
  <c r="X184" i="1"/>
  <c r="W184" i="1"/>
  <c r="V184" i="1"/>
  <c r="U184" i="1"/>
  <c r="T184" i="1"/>
  <c r="S184" i="1"/>
  <c r="H184" i="1"/>
  <c r="X183" i="1"/>
  <c r="W183" i="1"/>
  <c r="V183" i="1"/>
  <c r="U183" i="1"/>
  <c r="T183" i="1"/>
  <c r="S183" i="1"/>
  <c r="H183" i="1"/>
  <c r="X182" i="1"/>
  <c r="W182" i="1"/>
  <c r="V182" i="1"/>
  <c r="U182" i="1"/>
  <c r="T182" i="1"/>
  <c r="S182" i="1"/>
  <c r="H182" i="1"/>
  <c r="H181" i="1"/>
  <c r="X180" i="1"/>
  <c r="W180" i="1"/>
  <c r="V180" i="1"/>
  <c r="U180" i="1"/>
  <c r="T180" i="1"/>
  <c r="S180" i="1"/>
  <c r="H180" i="1"/>
  <c r="X179" i="1"/>
  <c r="W179" i="1"/>
  <c r="V179" i="1"/>
  <c r="U179" i="1"/>
  <c r="T179" i="1"/>
  <c r="S179" i="1"/>
  <c r="H179" i="1"/>
  <c r="X178" i="1"/>
  <c r="W178" i="1"/>
  <c r="V178" i="1"/>
  <c r="R178" i="1"/>
  <c r="Q178" i="1"/>
  <c r="P178" i="1"/>
  <c r="H178" i="1"/>
  <c r="X177" i="1"/>
  <c r="W177" i="1"/>
  <c r="V177" i="1"/>
  <c r="R177" i="1"/>
  <c r="Q177" i="1"/>
  <c r="P177" i="1"/>
  <c r="H177" i="1"/>
  <c r="X176" i="1"/>
  <c r="W176" i="1"/>
  <c r="V176" i="1"/>
  <c r="R176" i="1"/>
  <c r="Q176" i="1"/>
  <c r="P176" i="1"/>
  <c r="H176" i="1"/>
  <c r="X175" i="1"/>
  <c r="W175" i="1"/>
  <c r="V175" i="1"/>
  <c r="R175" i="1"/>
  <c r="Q175" i="1"/>
  <c r="P175" i="1"/>
  <c r="H175" i="1"/>
  <c r="X174" i="1"/>
  <c r="W174" i="1"/>
  <c r="V174" i="1"/>
  <c r="R174" i="1"/>
  <c r="Q174" i="1"/>
  <c r="P174" i="1"/>
  <c r="H174" i="1"/>
  <c r="H173" i="1"/>
  <c r="X172" i="1"/>
  <c r="W172" i="1"/>
  <c r="V172" i="1"/>
  <c r="O172" i="1"/>
  <c r="N172" i="1"/>
  <c r="M172" i="1"/>
  <c r="H172" i="1"/>
  <c r="X171" i="1"/>
  <c r="W171" i="1"/>
  <c r="V171" i="1"/>
  <c r="O171" i="1"/>
  <c r="N171" i="1"/>
  <c r="M171" i="1"/>
  <c r="H171" i="1"/>
  <c r="X170" i="1"/>
  <c r="W170" i="1"/>
  <c r="V170" i="1"/>
  <c r="O170" i="1"/>
  <c r="N170" i="1"/>
  <c r="M170" i="1"/>
  <c r="H170" i="1"/>
  <c r="H169" i="1"/>
  <c r="X168" i="1"/>
  <c r="W168" i="1"/>
  <c r="V168" i="1"/>
  <c r="L168" i="1"/>
  <c r="J168" i="1"/>
  <c r="H168" i="1"/>
  <c r="X167" i="1"/>
  <c r="W167" i="1"/>
  <c r="V167" i="1"/>
  <c r="L167" i="1"/>
  <c r="J167" i="1"/>
  <c r="H167" i="1"/>
  <c r="X166" i="1"/>
  <c r="W166" i="1"/>
  <c r="V166" i="1"/>
  <c r="L166" i="1"/>
  <c r="J166" i="1"/>
  <c r="H166" i="1"/>
  <c r="X165" i="1"/>
  <c r="W165" i="1"/>
  <c r="V165" i="1"/>
  <c r="L165" i="1"/>
  <c r="J165" i="1"/>
  <c r="H165" i="1"/>
  <c r="X164" i="1"/>
  <c r="W164" i="1"/>
  <c r="V164" i="1"/>
  <c r="L164" i="1"/>
  <c r="J164" i="1"/>
  <c r="H164" i="1"/>
  <c r="X163" i="1"/>
  <c r="W163" i="1"/>
  <c r="V163" i="1"/>
  <c r="L163" i="1"/>
  <c r="J163" i="1"/>
  <c r="H163" i="1"/>
  <c r="X162" i="1"/>
  <c r="W162" i="1"/>
  <c r="V162" i="1"/>
  <c r="L162" i="1"/>
  <c r="J162" i="1"/>
  <c r="H162" i="1"/>
  <c r="X161" i="1"/>
  <c r="W161" i="1"/>
  <c r="V161" i="1"/>
  <c r="L161" i="1"/>
  <c r="J161" i="1"/>
  <c r="H161" i="1"/>
  <c r="X160" i="1"/>
  <c r="W160" i="1"/>
  <c r="V160" i="1"/>
  <c r="L160" i="1"/>
  <c r="J160" i="1"/>
  <c r="H160" i="1"/>
  <c r="X159" i="1"/>
  <c r="W159" i="1"/>
  <c r="V159" i="1"/>
  <c r="L159" i="1"/>
  <c r="J159" i="1"/>
  <c r="H159" i="1"/>
  <c r="H158" i="1"/>
  <c r="X157" i="1"/>
  <c r="W157" i="1"/>
  <c r="V157" i="1"/>
  <c r="L157" i="1"/>
  <c r="J157" i="1"/>
  <c r="H157" i="1"/>
  <c r="X156" i="1"/>
  <c r="W156" i="1"/>
  <c r="V156" i="1"/>
  <c r="L156" i="1"/>
  <c r="J156" i="1"/>
  <c r="H156" i="1"/>
  <c r="X155" i="1"/>
  <c r="W155" i="1"/>
  <c r="V155" i="1"/>
  <c r="L155" i="1"/>
  <c r="J155" i="1"/>
  <c r="H155" i="1"/>
  <c r="X154" i="1"/>
  <c r="W154" i="1"/>
  <c r="V154" i="1"/>
  <c r="L154" i="1"/>
  <c r="J154" i="1"/>
  <c r="H154" i="1"/>
  <c r="X153" i="1"/>
  <c r="W153" i="1"/>
  <c r="V153" i="1"/>
  <c r="L153" i="1"/>
  <c r="J153" i="1"/>
  <c r="H153" i="1"/>
  <c r="X152" i="1"/>
  <c r="W152" i="1"/>
  <c r="V152" i="1"/>
  <c r="L152" i="1"/>
  <c r="J152" i="1"/>
  <c r="H152" i="1"/>
  <c r="X151" i="1"/>
  <c r="W151" i="1"/>
  <c r="V151" i="1"/>
  <c r="L151" i="1"/>
  <c r="J151" i="1"/>
  <c r="H151" i="1"/>
  <c r="X150" i="1"/>
  <c r="W150" i="1"/>
  <c r="V150" i="1"/>
  <c r="L150" i="1"/>
  <c r="J150" i="1"/>
  <c r="H150" i="1"/>
  <c r="X149" i="1"/>
  <c r="W149" i="1"/>
  <c r="V149" i="1"/>
  <c r="L149" i="1"/>
  <c r="J149" i="1"/>
  <c r="H149" i="1"/>
  <c r="X148" i="1"/>
  <c r="W148" i="1"/>
  <c r="V148" i="1"/>
  <c r="L148" i="1"/>
  <c r="J148" i="1"/>
  <c r="H148" i="1"/>
  <c r="H147" i="1"/>
  <c r="X146" i="1"/>
  <c r="W146" i="1"/>
  <c r="V146" i="1"/>
  <c r="L146" i="1"/>
  <c r="J146" i="1"/>
  <c r="H146" i="1"/>
  <c r="X145" i="1"/>
  <c r="W145" i="1"/>
  <c r="V145" i="1"/>
  <c r="L145" i="1"/>
  <c r="J145" i="1"/>
  <c r="H145" i="1"/>
  <c r="H144" i="1"/>
  <c r="X143" i="1"/>
  <c r="W143" i="1"/>
  <c r="V143" i="1"/>
  <c r="L143" i="1"/>
  <c r="J143" i="1"/>
  <c r="H143" i="1"/>
  <c r="H142" i="1"/>
  <c r="H141" i="1"/>
  <c r="X140" i="1"/>
  <c r="W140" i="1"/>
  <c r="V140" i="1"/>
  <c r="U140" i="1"/>
  <c r="T140" i="1"/>
  <c r="S140" i="1"/>
  <c r="H140" i="1"/>
  <c r="X139" i="1"/>
  <c r="W139" i="1"/>
  <c r="V139" i="1"/>
  <c r="R139" i="1"/>
  <c r="Q139" i="1"/>
  <c r="P139" i="1"/>
  <c r="H139" i="1"/>
  <c r="X138" i="1"/>
  <c r="W138" i="1"/>
  <c r="V138" i="1"/>
  <c r="U138" i="1"/>
  <c r="T138" i="1"/>
  <c r="S138" i="1"/>
  <c r="H138" i="1"/>
  <c r="H137" i="1"/>
  <c r="X136" i="1"/>
  <c r="W136" i="1"/>
  <c r="V136" i="1"/>
  <c r="R136" i="1"/>
  <c r="Q136" i="1"/>
  <c r="P136" i="1"/>
  <c r="H136" i="1"/>
  <c r="X135" i="1"/>
  <c r="W135" i="1"/>
  <c r="V135" i="1"/>
  <c r="R135" i="1"/>
  <c r="Q135" i="1"/>
  <c r="P135" i="1"/>
  <c r="H135" i="1"/>
  <c r="X134" i="1"/>
  <c r="W134" i="1"/>
  <c r="V134" i="1"/>
  <c r="R134" i="1"/>
  <c r="Q134" i="1"/>
  <c r="P134" i="1"/>
  <c r="H134" i="1"/>
  <c r="X133" i="1"/>
  <c r="W133" i="1"/>
  <c r="V133" i="1"/>
  <c r="R133" i="1"/>
  <c r="Q133" i="1"/>
  <c r="P133" i="1"/>
  <c r="H133" i="1"/>
  <c r="X132" i="1"/>
  <c r="W132" i="1"/>
  <c r="V132" i="1"/>
  <c r="R132" i="1"/>
  <c r="Q132" i="1"/>
  <c r="P132" i="1"/>
  <c r="H132" i="1"/>
  <c r="X131" i="1"/>
  <c r="W131" i="1"/>
  <c r="V131" i="1"/>
  <c r="R131" i="1"/>
  <c r="Q131" i="1"/>
  <c r="P131" i="1"/>
  <c r="H131" i="1"/>
  <c r="H130" i="1"/>
  <c r="X129" i="1"/>
  <c r="W129" i="1"/>
  <c r="V129" i="1"/>
  <c r="O129" i="1"/>
  <c r="N129" i="1"/>
  <c r="M129" i="1"/>
  <c r="H129" i="1"/>
  <c r="X128" i="1"/>
  <c r="W128" i="1"/>
  <c r="V128" i="1"/>
  <c r="O128" i="1"/>
  <c r="N128" i="1"/>
  <c r="M128" i="1"/>
  <c r="H128" i="1"/>
  <c r="X127" i="1"/>
  <c r="W127" i="1"/>
  <c r="V127" i="1"/>
  <c r="O127" i="1"/>
  <c r="N127" i="1"/>
  <c r="M127" i="1"/>
  <c r="H127" i="1"/>
  <c r="X126" i="1"/>
  <c r="W126" i="1"/>
  <c r="V126" i="1"/>
  <c r="O126" i="1"/>
  <c r="N126" i="1"/>
  <c r="M126" i="1"/>
  <c r="H126" i="1"/>
  <c r="X125" i="1"/>
  <c r="W125" i="1"/>
  <c r="V125" i="1"/>
  <c r="O125" i="1"/>
  <c r="N125" i="1"/>
  <c r="M125" i="1"/>
  <c r="H125" i="1"/>
  <c r="X124" i="1"/>
  <c r="W124" i="1"/>
  <c r="V124" i="1"/>
  <c r="O124" i="1"/>
  <c r="N124" i="1"/>
  <c r="M124" i="1"/>
  <c r="H124" i="1"/>
  <c r="X123" i="1"/>
  <c r="W123" i="1"/>
  <c r="V123" i="1"/>
  <c r="O123" i="1"/>
  <c r="N123" i="1"/>
  <c r="M123" i="1"/>
  <c r="H123" i="1"/>
  <c r="X122" i="1"/>
  <c r="W122" i="1"/>
  <c r="V122" i="1"/>
  <c r="O122" i="1"/>
  <c r="N122" i="1"/>
  <c r="M122" i="1"/>
  <c r="H122" i="1"/>
  <c r="X121" i="1"/>
  <c r="W121" i="1"/>
  <c r="V121" i="1"/>
  <c r="O121" i="1"/>
  <c r="N121" i="1"/>
  <c r="M121" i="1"/>
  <c r="H121" i="1"/>
  <c r="X120" i="1"/>
  <c r="W120" i="1"/>
  <c r="V120" i="1"/>
  <c r="O120" i="1"/>
  <c r="N120" i="1"/>
  <c r="M120" i="1"/>
  <c r="H120" i="1"/>
  <c r="X119" i="1"/>
  <c r="W119" i="1"/>
  <c r="V119" i="1"/>
  <c r="O119" i="1"/>
  <c r="N119" i="1"/>
  <c r="M119" i="1"/>
  <c r="H119" i="1"/>
  <c r="X118" i="1"/>
  <c r="W118" i="1"/>
  <c r="V118" i="1"/>
  <c r="O118" i="1"/>
  <c r="N118" i="1"/>
  <c r="M118" i="1"/>
  <c r="H118" i="1"/>
  <c r="X117" i="1"/>
  <c r="W117" i="1"/>
  <c r="V117" i="1"/>
  <c r="O117" i="1"/>
  <c r="N117" i="1"/>
  <c r="M117" i="1"/>
  <c r="H117" i="1"/>
  <c r="X116" i="1"/>
  <c r="W116" i="1"/>
  <c r="V116" i="1"/>
  <c r="O116" i="1"/>
  <c r="N116" i="1"/>
  <c r="M116" i="1"/>
  <c r="H116" i="1"/>
  <c r="X115" i="1"/>
  <c r="W115" i="1"/>
  <c r="V115" i="1"/>
  <c r="O115" i="1"/>
  <c r="N115" i="1"/>
  <c r="M115" i="1"/>
  <c r="H115" i="1"/>
  <c r="X114" i="1"/>
  <c r="W114" i="1"/>
  <c r="V114" i="1"/>
  <c r="O114" i="1"/>
  <c r="N114" i="1"/>
  <c r="M114" i="1"/>
  <c r="H114" i="1"/>
  <c r="X113" i="1"/>
  <c r="W113" i="1"/>
  <c r="V113" i="1"/>
  <c r="O113" i="1"/>
  <c r="N113" i="1"/>
  <c r="M113" i="1"/>
  <c r="H113" i="1"/>
  <c r="X112" i="1"/>
  <c r="W112" i="1"/>
  <c r="V112" i="1"/>
  <c r="O112" i="1"/>
  <c r="N112" i="1"/>
  <c r="M112" i="1"/>
  <c r="H112" i="1"/>
  <c r="X111" i="1"/>
  <c r="W111" i="1"/>
  <c r="V111" i="1"/>
  <c r="O111" i="1"/>
  <c r="N111" i="1"/>
  <c r="M111" i="1"/>
  <c r="H111" i="1"/>
  <c r="X110" i="1"/>
  <c r="W110" i="1"/>
  <c r="V110" i="1"/>
  <c r="O110" i="1"/>
  <c r="N110" i="1"/>
  <c r="M110" i="1"/>
  <c r="H110" i="1"/>
  <c r="X109" i="1"/>
  <c r="W109" i="1"/>
  <c r="V109" i="1"/>
  <c r="O109" i="1"/>
  <c r="N109" i="1"/>
  <c r="M109" i="1"/>
  <c r="H109" i="1"/>
  <c r="H108" i="1"/>
  <c r="X107" i="1"/>
  <c r="W107" i="1"/>
  <c r="V107" i="1"/>
  <c r="O107" i="1"/>
  <c r="N107" i="1"/>
  <c r="M107" i="1"/>
  <c r="H107" i="1"/>
  <c r="X106" i="1"/>
  <c r="W106" i="1"/>
  <c r="V106" i="1"/>
  <c r="O106" i="1"/>
  <c r="N106" i="1"/>
  <c r="M106" i="1"/>
  <c r="H106" i="1"/>
  <c r="X105" i="1"/>
  <c r="W105" i="1"/>
  <c r="V105" i="1"/>
  <c r="O105" i="1"/>
  <c r="N105" i="1"/>
  <c r="M105" i="1"/>
  <c r="H105" i="1"/>
  <c r="X104" i="1"/>
  <c r="W104" i="1"/>
  <c r="V104" i="1"/>
  <c r="O104" i="1"/>
  <c r="N104" i="1"/>
  <c r="M104" i="1"/>
  <c r="H104" i="1"/>
  <c r="X103" i="1"/>
  <c r="W103" i="1"/>
  <c r="V103" i="1"/>
  <c r="O103" i="1"/>
  <c r="N103" i="1"/>
  <c r="M103" i="1"/>
  <c r="H103" i="1"/>
  <c r="X102" i="1"/>
  <c r="W102" i="1"/>
  <c r="V102" i="1"/>
  <c r="O102" i="1"/>
  <c r="N102" i="1"/>
  <c r="M102" i="1"/>
  <c r="H102" i="1"/>
  <c r="X101" i="1"/>
  <c r="W101" i="1"/>
  <c r="V101" i="1"/>
  <c r="O101" i="1"/>
  <c r="N101" i="1"/>
  <c r="M101" i="1"/>
  <c r="H101" i="1"/>
  <c r="X100" i="1"/>
  <c r="W100" i="1"/>
  <c r="V100" i="1"/>
  <c r="O100" i="1"/>
  <c r="N100" i="1"/>
  <c r="M100" i="1"/>
  <c r="H100" i="1"/>
  <c r="X99" i="1"/>
  <c r="W99" i="1"/>
  <c r="V99" i="1"/>
  <c r="O99" i="1"/>
  <c r="N99" i="1"/>
  <c r="M99" i="1"/>
  <c r="H99" i="1"/>
  <c r="X98" i="1"/>
  <c r="W98" i="1"/>
  <c r="V98" i="1"/>
  <c r="O98" i="1"/>
  <c r="N98" i="1"/>
  <c r="M98" i="1"/>
  <c r="H98" i="1"/>
  <c r="X97" i="1"/>
  <c r="W97" i="1"/>
  <c r="V97" i="1"/>
  <c r="O97" i="1"/>
  <c r="N97" i="1"/>
  <c r="M97" i="1"/>
  <c r="H97" i="1"/>
  <c r="X96" i="1"/>
  <c r="W96" i="1"/>
  <c r="V96" i="1"/>
  <c r="O96" i="1"/>
  <c r="N96" i="1"/>
  <c r="M96" i="1"/>
  <c r="H96" i="1"/>
  <c r="X95" i="1"/>
  <c r="W95" i="1"/>
  <c r="V95" i="1"/>
  <c r="O95" i="1"/>
  <c r="N95" i="1"/>
  <c r="M95" i="1"/>
  <c r="H95" i="1"/>
  <c r="X94" i="1"/>
  <c r="W94" i="1"/>
  <c r="V94" i="1"/>
  <c r="O94" i="1"/>
  <c r="N94" i="1"/>
  <c r="M94" i="1"/>
  <c r="H94" i="1"/>
  <c r="X93" i="1"/>
  <c r="W93" i="1"/>
  <c r="V93" i="1"/>
  <c r="O93" i="1"/>
  <c r="N93" i="1"/>
  <c r="M93" i="1"/>
  <c r="H93" i="1"/>
  <c r="X92" i="1"/>
  <c r="W92" i="1"/>
  <c r="V92" i="1"/>
  <c r="O92" i="1"/>
  <c r="N92" i="1"/>
  <c r="M92" i="1"/>
  <c r="H92" i="1"/>
  <c r="X91" i="1"/>
  <c r="W91" i="1"/>
  <c r="V91" i="1"/>
  <c r="O91" i="1"/>
  <c r="N91" i="1"/>
  <c r="M91" i="1"/>
  <c r="H91" i="1"/>
  <c r="X90" i="1"/>
  <c r="W90" i="1"/>
  <c r="V90" i="1"/>
  <c r="O90" i="1"/>
  <c r="N90" i="1"/>
  <c r="M90" i="1"/>
  <c r="H90" i="1"/>
  <c r="X89" i="1"/>
  <c r="W89" i="1"/>
  <c r="V89" i="1"/>
  <c r="O89" i="1"/>
  <c r="N89" i="1"/>
  <c r="M89" i="1"/>
  <c r="H89" i="1"/>
  <c r="X88" i="1"/>
  <c r="W88" i="1"/>
  <c r="V88" i="1"/>
  <c r="O88" i="1"/>
  <c r="N88" i="1"/>
  <c r="M88" i="1"/>
  <c r="H88" i="1"/>
  <c r="X87" i="1"/>
  <c r="W87" i="1"/>
  <c r="V87" i="1"/>
  <c r="O87" i="1"/>
  <c r="N87" i="1"/>
  <c r="M87" i="1"/>
  <c r="H87" i="1"/>
  <c r="H86" i="1"/>
  <c r="X85" i="1"/>
  <c r="W85" i="1"/>
  <c r="V85" i="1"/>
  <c r="O85" i="1"/>
  <c r="N85" i="1"/>
  <c r="M85" i="1"/>
  <c r="H85" i="1"/>
  <c r="X84" i="1"/>
  <c r="W84" i="1"/>
  <c r="V84" i="1"/>
  <c r="O84" i="1"/>
  <c r="N84" i="1"/>
  <c r="M84" i="1"/>
  <c r="H84" i="1"/>
  <c r="X83" i="1"/>
  <c r="W83" i="1"/>
  <c r="V83" i="1"/>
  <c r="O83" i="1"/>
  <c r="N83" i="1"/>
  <c r="M83" i="1"/>
  <c r="H83" i="1"/>
  <c r="X82" i="1"/>
  <c r="W82" i="1"/>
  <c r="V82" i="1"/>
  <c r="O82" i="1"/>
  <c r="N82" i="1"/>
  <c r="M82" i="1"/>
  <c r="H82" i="1"/>
  <c r="X81" i="1"/>
  <c r="W81" i="1"/>
  <c r="V81" i="1"/>
  <c r="O81" i="1"/>
  <c r="N81" i="1"/>
  <c r="M81" i="1"/>
  <c r="H81" i="1"/>
  <c r="X80" i="1"/>
  <c r="W80" i="1"/>
  <c r="V80" i="1"/>
  <c r="O80" i="1"/>
  <c r="N80" i="1"/>
  <c r="M80" i="1"/>
  <c r="H80" i="1"/>
  <c r="X79" i="1"/>
  <c r="W79" i="1"/>
  <c r="V79" i="1"/>
  <c r="O79" i="1"/>
  <c r="N79" i="1"/>
  <c r="M79" i="1"/>
  <c r="H79" i="1"/>
  <c r="X78" i="1"/>
  <c r="W78" i="1"/>
  <c r="V78" i="1"/>
  <c r="O78" i="1"/>
  <c r="N78" i="1"/>
  <c r="M78" i="1"/>
  <c r="H78" i="1"/>
  <c r="X77" i="1"/>
  <c r="W77" i="1"/>
  <c r="V77" i="1"/>
  <c r="O77" i="1"/>
  <c r="N77" i="1"/>
  <c r="M77" i="1"/>
  <c r="H77" i="1"/>
  <c r="X76" i="1"/>
  <c r="W76" i="1"/>
  <c r="V76" i="1"/>
  <c r="O76" i="1"/>
  <c r="N76" i="1"/>
  <c r="M76" i="1"/>
  <c r="H76" i="1"/>
  <c r="X75" i="1"/>
  <c r="W75" i="1"/>
  <c r="V75" i="1"/>
  <c r="O75" i="1"/>
  <c r="N75" i="1"/>
  <c r="M75" i="1"/>
  <c r="H75" i="1"/>
  <c r="X74" i="1"/>
  <c r="W74" i="1"/>
  <c r="V74" i="1"/>
  <c r="O74" i="1"/>
  <c r="N74" i="1"/>
  <c r="M74" i="1"/>
  <c r="H74" i="1"/>
  <c r="X73" i="1"/>
  <c r="W73" i="1"/>
  <c r="V73" i="1"/>
  <c r="O73" i="1"/>
  <c r="N73" i="1"/>
  <c r="M73" i="1"/>
  <c r="H73" i="1"/>
  <c r="X72" i="1"/>
  <c r="W72" i="1"/>
  <c r="V72" i="1"/>
  <c r="O72" i="1"/>
  <c r="N72" i="1"/>
  <c r="M72" i="1"/>
  <c r="H72" i="1"/>
  <c r="X71" i="1"/>
  <c r="W71" i="1"/>
  <c r="V71" i="1"/>
  <c r="O71" i="1"/>
  <c r="N71" i="1"/>
  <c r="M71" i="1"/>
  <c r="H71" i="1"/>
  <c r="X70" i="1"/>
  <c r="W70" i="1"/>
  <c r="V70" i="1"/>
  <c r="O70" i="1"/>
  <c r="N70" i="1"/>
  <c r="M70" i="1"/>
  <c r="H70" i="1"/>
  <c r="X69" i="1"/>
  <c r="W69" i="1"/>
  <c r="V69" i="1"/>
  <c r="O69" i="1"/>
  <c r="N69" i="1"/>
  <c r="M69" i="1"/>
  <c r="H69" i="1"/>
  <c r="X68" i="1"/>
  <c r="W68" i="1"/>
  <c r="V68" i="1"/>
  <c r="O68" i="1"/>
  <c r="N68" i="1"/>
  <c r="M68" i="1"/>
  <c r="H68" i="1"/>
  <c r="X67" i="1"/>
  <c r="W67" i="1"/>
  <c r="V67" i="1"/>
  <c r="O67" i="1"/>
  <c r="N67" i="1"/>
  <c r="M67" i="1"/>
  <c r="H67" i="1"/>
  <c r="X66" i="1"/>
  <c r="W66" i="1"/>
  <c r="V66" i="1"/>
  <c r="O66" i="1"/>
  <c r="N66" i="1"/>
  <c r="M66" i="1"/>
  <c r="H66" i="1"/>
  <c r="X65" i="1"/>
  <c r="W65" i="1"/>
  <c r="V65" i="1"/>
  <c r="O65" i="1"/>
  <c r="N65" i="1"/>
  <c r="M65" i="1"/>
  <c r="H65" i="1"/>
  <c r="X64" i="1"/>
  <c r="W64" i="1"/>
  <c r="V64" i="1"/>
  <c r="O64" i="1"/>
  <c r="N64" i="1"/>
  <c r="M64" i="1"/>
  <c r="H64" i="1"/>
  <c r="X63" i="1"/>
  <c r="W63" i="1"/>
  <c r="V63" i="1"/>
  <c r="O63" i="1"/>
  <c r="N63" i="1"/>
  <c r="M63" i="1"/>
  <c r="H63" i="1"/>
  <c r="X62" i="1"/>
  <c r="W62" i="1"/>
  <c r="V62" i="1"/>
  <c r="O62" i="1"/>
  <c r="N62" i="1"/>
  <c r="M62" i="1"/>
  <c r="H62" i="1"/>
  <c r="X61" i="1"/>
  <c r="W61" i="1"/>
  <c r="V61" i="1"/>
  <c r="O61" i="1"/>
  <c r="N61" i="1"/>
  <c r="M61" i="1"/>
  <c r="H61" i="1"/>
  <c r="H60" i="1"/>
  <c r="H59" i="1"/>
  <c r="X58" i="1"/>
  <c r="W58" i="1"/>
  <c r="V58" i="1"/>
  <c r="U58" i="1"/>
  <c r="T58" i="1"/>
  <c r="S58" i="1"/>
  <c r="H58" i="1"/>
  <c r="X57" i="1"/>
  <c r="W57" i="1"/>
  <c r="V57" i="1"/>
  <c r="O57" i="1"/>
  <c r="N57" i="1"/>
  <c r="M57" i="1"/>
  <c r="H57" i="1"/>
  <c r="X56" i="1"/>
  <c r="W56" i="1"/>
  <c r="V56" i="1"/>
  <c r="O56" i="1"/>
  <c r="N56" i="1"/>
  <c r="M56" i="1"/>
  <c r="H56" i="1"/>
  <c r="H55" i="1"/>
  <c r="X54" i="1"/>
  <c r="W54" i="1"/>
  <c r="V54" i="1"/>
  <c r="U54" i="1"/>
  <c r="T54" i="1"/>
  <c r="S54" i="1"/>
  <c r="H54" i="1"/>
  <c r="X53" i="1"/>
  <c r="W53" i="1"/>
  <c r="V53" i="1"/>
  <c r="U53" i="1"/>
  <c r="T53" i="1"/>
  <c r="S53" i="1"/>
  <c r="H53" i="1"/>
  <c r="H52" i="1"/>
  <c r="X51" i="1"/>
  <c r="W51" i="1"/>
  <c r="V51" i="1"/>
  <c r="U51" i="1"/>
  <c r="T51" i="1"/>
  <c r="S51" i="1"/>
  <c r="H51" i="1"/>
  <c r="X50" i="1"/>
  <c r="W50" i="1"/>
  <c r="V50" i="1"/>
  <c r="U50" i="1"/>
  <c r="T50" i="1"/>
  <c r="S50" i="1"/>
  <c r="H50" i="1"/>
  <c r="X49" i="1"/>
  <c r="W49" i="1"/>
  <c r="V49" i="1"/>
  <c r="U49" i="1"/>
  <c r="T49" i="1"/>
  <c r="S49" i="1"/>
  <c r="H49" i="1"/>
  <c r="X48" i="1"/>
  <c r="W48" i="1"/>
  <c r="V48" i="1"/>
  <c r="R48" i="1"/>
  <c r="Q48" i="1"/>
  <c r="P48" i="1"/>
  <c r="H48" i="1"/>
  <c r="X47" i="1"/>
  <c r="W47" i="1"/>
  <c r="V47" i="1"/>
  <c r="R47" i="1"/>
  <c r="Q47" i="1"/>
  <c r="P47" i="1"/>
  <c r="H47" i="1"/>
  <c r="X46" i="1"/>
  <c r="W46" i="1"/>
  <c r="V46" i="1"/>
  <c r="U46" i="1"/>
  <c r="T46" i="1"/>
  <c r="S46" i="1"/>
  <c r="H46" i="1"/>
  <c r="X45" i="1"/>
  <c r="W45" i="1"/>
  <c r="V45" i="1"/>
  <c r="R45" i="1"/>
  <c r="Q45" i="1"/>
  <c r="P45" i="1"/>
  <c r="H45" i="1"/>
  <c r="X44" i="1"/>
  <c r="W44" i="1"/>
  <c r="V44" i="1"/>
  <c r="R44" i="1"/>
  <c r="Q44" i="1"/>
  <c r="P44" i="1"/>
  <c r="H44" i="1"/>
  <c r="X43" i="1"/>
  <c r="W43" i="1"/>
  <c r="V43" i="1"/>
  <c r="R43" i="1"/>
  <c r="Q43" i="1"/>
  <c r="P43" i="1"/>
  <c r="H43" i="1"/>
  <c r="H42" i="1"/>
  <c r="X41" i="1"/>
  <c r="W41" i="1"/>
  <c r="V41" i="1"/>
  <c r="O41" i="1"/>
  <c r="N41" i="1"/>
  <c r="M41" i="1"/>
  <c r="H41" i="1"/>
  <c r="X40" i="1"/>
  <c r="W40" i="1"/>
  <c r="V40" i="1"/>
  <c r="O40" i="1"/>
  <c r="N40" i="1"/>
  <c r="M40" i="1"/>
  <c r="H40" i="1"/>
  <c r="X39" i="1"/>
  <c r="W39" i="1"/>
  <c r="V39" i="1"/>
  <c r="O39" i="1"/>
  <c r="N39" i="1"/>
  <c r="M39" i="1"/>
  <c r="H39" i="1"/>
  <c r="H38" i="1"/>
  <c r="X37" i="1"/>
  <c r="W37" i="1"/>
  <c r="V37" i="1"/>
  <c r="O37" i="1"/>
  <c r="N37" i="1"/>
  <c r="M37" i="1"/>
  <c r="H37" i="1"/>
  <c r="X36" i="1"/>
  <c r="W36" i="1"/>
  <c r="V36" i="1"/>
  <c r="O36" i="1"/>
  <c r="N36" i="1"/>
  <c r="M36" i="1"/>
  <c r="H36" i="1"/>
  <c r="X35" i="1"/>
  <c r="W35" i="1"/>
  <c r="V35" i="1"/>
  <c r="O35" i="1"/>
  <c r="N35" i="1"/>
  <c r="M35" i="1"/>
  <c r="H35" i="1"/>
  <c r="X34" i="1"/>
  <c r="W34" i="1"/>
  <c r="V34" i="1"/>
  <c r="O34" i="1"/>
  <c r="N34" i="1"/>
  <c r="M34" i="1"/>
  <c r="H34" i="1"/>
  <c r="X33" i="1"/>
  <c r="W33" i="1"/>
  <c r="V33" i="1"/>
  <c r="O33" i="1"/>
  <c r="N33" i="1"/>
  <c r="M33" i="1"/>
  <c r="H33" i="1"/>
  <c r="X32" i="1"/>
  <c r="W32" i="1"/>
  <c r="V32" i="1"/>
  <c r="O32" i="1"/>
  <c r="N32" i="1"/>
  <c r="M32" i="1"/>
  <c r="H32" i="1"/>
  <c r="X31" i="1"/>
  <c r="W31" i="1"/>
  <c r="V31" i="1"/>
  <c r="O31" i="1"/>
  <c r="N31" i="1"/>
  <c r="M31" i="1"/>
  <c r="H31" i="1"/>
  <c r="X30" i="1"/>
  <c r="W30" i="1"/>
  <c r="V30" i="1"/>
  <c r="L30" i="1"/>
  <c r="J30" i="1"/>
  <c r="H30" i="1"/>
  <c r="X29" i="1"/>
  <c r="W29" i="1"/>
  <c r="V29" i="1"/>
  <c r="L29" i="1"/>
  <c r="J29" i="1"/>
  <c r="H29" i="1"/>
  <c r="X28" i="1"/>
  <c r="W28" i="1"/>
  <c r="V28" i="1"/>
  <c r="L28" i="1"/>
  <c r="J28" i="1"/>
  <c r="H28" i="1"/>
  <c r="H27" i="1"/>
  <c r="X26" i="1"/>
  <c r="W26" i="1"/>
  <c r="V26" i="1"/>
  <c r="L26" i="1"/>
  <c r="J26" i="1"/>
  <c r="H26" i="1"/>
  <c r="X25" i="1"/>
  <c r="W25" i="1"/>
  <c r="V25" i="1"/>
  <c r="L25" i="1"/>
  <c r="J25" i="1"/>
  <c r="H25" i="1"/>
  <c r="X24" i="1"/>
  <c r="W24" i="1"/>
  <c r="V24" i="1"/>
  <c r="L24" i="1"/>
  <c r="J24" i="1"/>
  <c r="H24" i="1"/>
  <c r="X23" i="1"/>
  <c r="W23" i="1"/>
  <c r="V23" i="1"/>
  <c r="L23" i="1"/>
  <c r="J23" i="1"/>
  <c r="H23" i="1"/>
  <c r="X22" i="1"/>
  <c r="W22" i="1"/>
  <c r="V22" i="1"/>
  <c r="L22" i="1"/>
  <c r="J22" i="1"/>
  <c r="H22" i="1"/>
  <c r="X21" i="1"/>
  <c r="W21" i="1"/>
  <c r="V21" i="1"/>
  <c r="L21" i="1"/>
  <c r="J21" i="1"/>
  <c r="H21" i="1"/>
  <c r="X20" i="1"/>
  <c r="W20" i="1"/>
  <c r="V20" i="1"/>
  <c r="L20" i="1"/>
  <c r="J20" i="1"/>
  <c r="H20" i="1"/>
  <c r="X19" i="1"/>
  <c r="W19" i="1"/>
  <c r="V19" i="1"/>
  <c r="L19" i="1"/>
  <c r="J19" i="1"/>
  <c r="H19" i="1"/>
  <c r="X18" i="1"/>
  <c r="W18" i="1"/>
  <c r="V18" i="1"/>
  <c r="L18" i="1"/>
  <c r="J18" i="1"/>
  <c r="H18" i="1"/>
  <c r="X17" i="1"/>
  <c r="W17" i="1"/>
  <c r="V17" i="1"/>
  <c r="L17" i="1"/>
  <c r="J17" i="1"/>
  <c r="H17" i="1"/>
  <c r="H16" i="1"/>
  <c r="X15" i="1"/>
  <c r="W15" i="1"/>
  <c r="V15" i="1"/>
  <c r="L15" i="1"/>
  <c r="J15" i="1"/>
  <c r="H15" i="1"/>
  <c r="X14" i="1"/>
  <c r="W14" i="1"/>
  <c r="V14" i="1"/>
  <c r="L14" i="1"/>
  <c r="J14" i="1"/>
  <c r="H14" i="1"/>
  <c r="H13" i="1"/>
  <c r="X12" i="1"/>
  <c r="W12" i="1"/>
  <c r="V12" i="1"/>
  <c r="L12" i="1"/>
  <c r="J12" i="1"/>
  <c r="H12" i="1"/>
  <c r="H11" i="1"/>
  <c r="H10" i="1"/>
  <c r="X9" i="1"/>
  <c r="W9" i="1"/>
  <c r="V9" i="1"/>
  <c r="L9" i="1"/>
  <c r="J9" i="1"/>
  <c r="H9" i="1"/>
  <c r="X8" i="1"/>
  <c r="W8" i="1"/>
  <c r="V8" i="1"/>
  <c r="L8" i="1"/>
  <c r="J8" i="1"/>
  <c r="H8" i="1"/>
  <c r="X7" i="1"/>
  <c r="W7" i="1"/>
  <c r="V7" i="1"/>
  <c r="L7" i="1"/>
  <c r="J7" i="1"/>
  <c r="H7" i="1"/>
  <c r="H6" i="1"/>
  <c r="U3" i="1"/>
  <c r="R3" i="1"/>
  <c r="O3" i="1"/>
  <c r="M3" i="1"/>
  <c r="L3" i="1"/>
</calcChain>
</file>

<file path=xl/sharedStrings.xml><?xml version="1.0" encoding="utf-8"?>
<sst xmlns="http://schemas.openxmlformats.org/spreadsheetml/2006/main" count="3062" uniqueCount="1310">
  <si>
    <t>MEDIÇÕES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</si>
  <si>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</si>
  <si>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</si>
  <si>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</si>
  <si>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</si>
  <si>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</si>
  <si>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</si>
  <si>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</si>
  <si>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</si>
  <si>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</si>
  <si>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</si>
  <si>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</si>
  <si>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</si>
  <si>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</si>
  <si>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</si>
  <si>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</si>
  <si>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</si>
  <si>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</si>
  <si>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</si>
  <si>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</si>
  <si>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</si>
  <si>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</si>
  <si>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</si>
  <si>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</si>
  <si>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</si>
  <si>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VALOR BDI TOTAL:</t>
  </si>
  <si>
    <t>VALOR ORÇAMENTO:</t>
  </si>
  <si>
    <t>VALOR TOTAL:</t>
  </si>
  <si>
    <t>TOTAL DA MEDIÇÃO 01</t>
  </si>
  <si>
    <t>MEDIÇÃO 02</t>
  </si>
  <si>
    <t>MEDIÇÃO 03</t>
  </si>
  <si>
    <t>MEDIÇÃO 04</t>
  </si>
  <si>
    <t>MEDIÇÃO 05</t>
  </si>
  <si>
    <t>MOVIMENTO DE TERRA</t>
  </si>
  <si>
    <t>5.2</t>
  </si>
  <si>
    <t>5.3</t>
  </si>
  <si>
    <t>6.2</t>
  </si>
  <si>
    <t>SINAPI</t>
  </si>
  <si>
    <t>M</t>
  </si>
  <si>
    <t>ESTRUTURA</t>
  </si>
  <si>
    <t>FUNDAÇÃO</t>
  </si>
  <si>
    <t>3.1.1</t>
  </si>
  <si>
    <t>KG</t>
  </si>
  <si>
    <t>3.2.1</t>
  </si>
  <si>
    <t>3.2.2</t>
  </si>
  <si>
    <t>REVESTIMENTO</t>
  </si>
  <si>
    <t>PISO</t>
  </si>
  <si>
    <t>HIDRÁULICA</t>
  </si>
  <si>
    <t>ESQUADRIAS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</si>
  <si>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</si>
  <si>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</si>
  <si>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</si>
  <si>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</si>
  <si>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VALOR ORÇADO</t>
  </si>
  <si>
    <t>m²</t>
  </si>
  <si>
    <t>Próprio</t>
  </si>
  <si>
    <t>m³</t>
  </si>
  <si>
    <t>UN</t>
  </si>
  <si>
    <t xml:space="preserve">CALCULOS </t>
  </si>
  <si>
    <t xml:space="preserve">BANCO DE DADOS:         
SINAPI - 04/2025 - Paraíba </t>
  </si>
  <si>
    <t>DATA DE INÍCIO DO CONTRATO: 09/03/2026.
VIGÊNCIA: 12 MESES</t>
  </si>
  <si>
    <t>CONTRATAÇÃO DE PESSOA JURÍDICA ESPECIALIZADA NA ARE DA CONSTRUÇÃO CIVIL, PARA CONSTRUÇÃO DA PRAÇA NOVA, NO MUNICÍPIO DE COREMAS/PB.</t>
  </si>
  <si>
    <t>DADOS DO CONTRATANTE:  Prefeitura Municipal de Coremas.
CNPJ: 08.939.936/0001-94
PROCESSO LICITATÓRIO: Processo Administrativo N° 250811CE00004 e Concorrência Eletrônica N°. 0004/2025
CONTRATO N°. 069/2026
VALOR DA OBRA/CONTRATO: 378.601,23 (Trezentos e setenta e oito mil, seiscentos e um reais e vinte e três centavos).</t>
  </si>
  <si>
    <t>DADOS DO CONTRATADO: LUCRENATO RAMALHO LEITE JUNIOR LTDA
CNPJ: 26.916.688/0001-48
ENDEREÇO: R MARIA ALEXANDRINA SOARES DE SOUSA, 166, ACAMPAMENTO DNOCS - COREMAS
(PB) - 58770-000</t>
  </si>
  <si>
    <t>FONTE DOS RECURSOS:  
Recursos não Vinculados de Impostos (500)</t>
  </si>
  <si>
    <t>1.3</t>
  </si>
  <si>
    <t>QUIOSQUE</t>
  </si>
  <si>
    <t>FORNECIMENTO E INSTALAÇÃO DE PLACA DE OBRA COM CHAPA GALVANIZADA E ESTRUTURA DE MADEIRA. AF_03/2022_PS</t>
  </si>
  <si>
    <t>LOCAÇÃO CONVENCIONAL DE OBRA, UTILIZANDO GABARITO DE TÁBUAS CORRIDAS PONTALETADAS A CADA 2,00M - 2 UTILIZAÇÕES. AF_03/2024</t>
  </si>
  <si>
    <t>LIMPEZA MECANIZADA DE CAMADA VEGETAL, VEGETAÇÃO E PEQUENAS ÁRVORES (DIÂMETRO DE TRONCO MENOR QUE 0,20 M), COM TRATOR
DE ESTEIRAS. AF_03/2024</t>
  </si>
  <si>
    <t>2.1.1</t>
  </si>
  <si>
    <t>2.2.1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</si>
  <si>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</si>
  <si>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</si>
  <si>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</si>
  <si>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</si>
  <si>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</si>
  <si>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</si>
  <si>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</si>
  <si>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</si>
  <si>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</si>
  <si>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</si>
  <si>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</t>
  </si>
  <si>
    <t>ESTRUTRURA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</si>
  <si>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</si>
  <si>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</si>
  <si>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</si>
  <si>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</si>
  <si>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</si>
  <si>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</si>
  <si>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</si>
  <si>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</si>
  <si>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</si>
  <si>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</si>
  <si>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2.5</t>
  </si>
  <si>
    <t>PAREDES E PAINÉIS</t>
  </si>
  <si>
    <t>2.6</t>
  </si>
  <si>
    <t>2.5.1</t>
  </si>
  <si>
    <t>2.5.2</t>
  </si>
  <si>
    <t>2.5.3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</si>
  <si>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</si>
  <si>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</si>
  <si>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</si>
  <si>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</si>
  <si>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</si>
  <si>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</si>
  <si>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</si>
  <si>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</si>
  <si>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</si>
  <si>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</si>
  <si>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FORRO</t>
  </si>
  <si>
    <t>2.7.1</t>
  </si>
  <si>
    <t>2.7.2</t>
  </si>
  <si>
    <t>2.8</t>
  </si>
  <si>
    <t>2.9</t>
  </si>
  <si>
    <t>INSTALAÇÕES</t>
  </si>
  <si>
    <t>2.9.1</t>
  </si>
  <si>
    <t>2.9.1.1</t>
  </si>
  <si>
    <t>2.9.1.2</t>
  </si>
  <si>
    <t>2.9.1.3</t>
  </si>
  <si>
    <t>2.9.1.4</t>
  </si>
  <si>
    <t>2.9.1.5</t>
  </si>
  <si>
    <t>2.9.1.6</t>
  </si>
  <si>
    <t>2.9.1.7</t>
  </si>
  <si>
    <t>2.9.1.8</t>
  </si>
  <si>
    <t>2.9.1.9</t>
  </si>
  <si>
    <t>2.9.1.10</t>
  </si>
  <si>
    <t>2.9.1.11</t>
  </si>
  <si>
    <t>2.9.1.12</t>
  </si>
  <si>
    <t>2.9.1.13</t>
  </si>
  <si>
    <t>2.9.1.14</t>
  </si>
  <si>
    <t>2.9.1.15</t>
  </si>
  <si>
    <t>2.9.1.16</t>
  </si>
  <si>
    <t>2.9.1.17</t>
  </si>
  <si>
    <t>2.9.1.18</t>
  </si>
  <si>
    <t>2.9.1.19</t>
  </si>
  <si>
    <t>2.9.1.20</t>
  </si>
  <si>
    <t>2.9.1.21</t>
  </si>
  <si>
    <t>2.9.1.22</t>
  </si>
  <si>
    <t>2.9.1.23</t>
  </si>
  <si>
    <t>2.9.1.24</t>
  </si>
  <si>
    <t>2.9.1.25</t>
  </si>
  <si>
    <t>2.9.2</t>
  </si>
  <si>
    <t>ELÉTRICA</t>
  </si>
  <si>
    <t>2.9.2.1</t>
  </si>
  <si>
    <t>2.9.2.2</t>
  </si>
  <si>
    <t>2.9.2.3</t>
  </si>
  <si>
    <t>2.9.2.4</t>
  </si>
  <si>
    <t>2.9.2.5</t>
  </si>
  <si>
    <t>2.9.2.6</t>
  </si>
  <si>
    <t>2.9.2.7</t>
  </si>
  <si>
    <t>2.9.2.8</t>
  </si>
  <si>
    <t>2.9.2.9</t>
  </si>
  <si>
    <t>2.9.2.10</t>
  </si>
  <si>
    <t>2.9.2.11</t>
  </si>
  <si>
    <t>2.9.2.12</t>
  </si>
  <si>
    <t>2.9.2.13</t>
  </si>
  <si>
    <t>2.9.2.14</t>
  </si>
  <si>
    <t>2.9.2.15</t>
  </si>
  <si>
    <t>2.9.2.16</t>
  </si>
  <si>
    <t>2.9.2.17</t>
  </si>
  <si>
    <t>2.9.2.18</t>
  </si>
  <si>
    <t>2.9.2.19</t>
  </si>
  <si>
    <t>2.9.2.20</t>
  </si>
  <si>
    <t>2.9.2.21</t>
  </si>
  <si>
    <t>2.9.3</t>
  </si>
  <si>
    <t>SANITÁRIAS</t>
  </si>
  <si>
    <t>2.9.3.1</t>
  </si>
  <si>
    <t>2.9.3.2</t>
  </si>
  <si>
    <t>2.9.3.3</t>
  </si>
  <si>
    <t>2.9.3.4</t>
  </si>
  <si>
    <t>2.9.3.5</t>
  </si>
  <si>
    <t>2.9.3.6</t>
  </si>
  <si>
    <t>2.9.3.7</t>
  </si>
  <si>
    <t>2.9.3.8</t>
  </si>
  <si>
    <t>2.9.3.9</t>
  </si>
  <si>
    <t>2.9.3.10</t>
  </si>
  <si>
    <t>2.9.3.11</t>
  </si>
  <si>
    <t>2.9.3.12</t>
  </si>
  <si>
    <t>2.9.3.13</t>
  </si>
  <si>
    <t>2.9.3.14</t>
  </si>
  <si>
    <t>2.9.3.15</t>
  </si>
  <si>
    <t>2.9.3.16</t>
  </si>
  <si>
    <t>2.9.3.17</t>
  </si>
  <si>
    <t>2.9.3.18</t>
  </si>
  <si>
    <t>2.9.3.19</t>
  </si>
  <si>
    <t>2.9.3.20</t>
  </si>
  <si>
    <t>2.9.3.21</t>
  </si>
  <si>
    <t>2.10</t>
  </si>
  <si>
    <t>2.10.1</t>
  </si>
  <si>
    <t>2.10.2</t>
  </si>
  <si>
    <t>2.10.3</t>
  </si>
  <si>
    <t>2.10.4</t>
  </si>
  <si>
    <t>2.10.5</t>
  </si>
  <si>
    <t>2.10.6</t>
  </si>
  <si>
    <t>2.11</t>
  </si>
  <si>
    <t>2.11.1</t>
  </si>
  <si>
    <t>2.11.2</t>
  </si>
  <si>
    <t>2.11.3</t>
  </si>
  <si>
    <t>GUARITA</t>
  </si>
  <si>
    <t>3.3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</si>
  <si>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</si>
  <si>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</si>
  <si>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</si>
  <si>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</si>
  <si>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</si>
  <si>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</si>
  <si>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</si>
  <si>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</si>
  <si>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</si>
  <si>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</si>
  <si>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</si>
  <si>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</si>
  <si>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</si>
  <si>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</si>
  <si>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</si>
  <si>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</si>
  <si>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</si>
  <si>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</si>
  <si>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</si>
  <si>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</si>
  <si>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</si>
  <si>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3.5</t>
  </si>
  <si>
    <t>3.5.1</t>
  </si>
  <si>
    <t>3.5.2</t>
  </si>
  <si>
    <t>3.5.3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</si>
  <si>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</si>
  <si>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</si>
  <si>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</si>
  <si>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</si>
  <si>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</si>
  <si>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</si>
  <si>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</si>
  <si>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</si>
  <si>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</si>
  <si>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PINTURA INTERNA</t>
  </si>
  <si>
    <t>3.7.1</t>
  </si>
  <si>
    <t>3.7.2</t>
  </si>
  <si>
    <t>3.7.3</t>
  </si>
  <si>
    <t>3.7.4</t>
  </si>
  <si>
    <t>3.8</t>
  </si>
  <si>
    <t>3.8.1</t>
  </si>
  <si>
    <t>3.8.2</t>
  </si>
  <si>
    <t>3.8.3</t>
  </si>
  <si>
    <t>3.9</t>
  </si>
  <si>
    <t>3.9.1</t>
  </si>
  <si>
    <t>3.9.1.1</t>
  </si>
  <si>
    <t>3.9.1.2</t>
  </si>
  <si>
    <t>3.9.1.3</t>
  </si>
  <si>
    <t>3.9.1.4</t>
  </si>
  <si>
    <t>3.9.1.5</t>
  </si>
  <si>
    <t>3.9.1.6</t>
  </si>
  <si>
    <t>3.9.1.7</t>
  </si>
  <si>
    <t>3.9.1.8</t>
  </si>
  <si>
    <t>3.9.1.9</t>
  </si>
  <si>
    <t>3.9.1.10</t>
  </si>
  <si>
    <t>3.9.1.11</t>
  </si>
  <si>
    <t>3.9.1.12</t>
  </si>
  <si>
    <t>3.9.1.13</t>
  </si>
  <si>
    <t>3.9.1.14</t>
  </si>
  <si>
    <t>3.9.1.15</t>
  </si>
  <si>
    <t>3.9.1.16</t>
  </si>
  <si>
    <t>3.9.1.17</t>
  </si>
  <si>
    <t>3.9.1.18</t>
  </si>
  <si>
    <t>3.9.1.19</t>
  </si>
  <si>
    <t>3.9.1.20</t>
  </si>
  <si>
    <t>3.9.1.21</t>
  </si>
  <si>
    <t>3.9.1.22</t>
  </si>
  <si>
    <t>3.9.1.23</t>
  </si>
  <si>
    <t>3.9.1.24</t>
  </si>
  <si>
    <t>3.9.2</t>
  </si>
  <si>
    <t>ELÉTRICO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</si>
  <si>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</si>
  <si>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</si>
  <si>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</si>
  <si>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</si>
  <si>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</si>
  <si>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</si>
  <si>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</si>
  <si>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</si>
  <si>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3.9.2.9</t>
  </si>
  <si>
    <t>3.9.2.10</t>
  </si>
  <si>
    <t>3.9.2.11</t>
  </si>
  <si>
    <t>3.9.2.12</t>
  </si>
  <si>
    <t>3.9.2.13</t>
  </si>
  <si>
    <t>3.9.2.14</t>
  </si>
  <si>
    <t>3.9.2.15</t>
  </si>
  <si>
    <t>3.9.2.16</t>
  </si>
  <si>
    <t>3.9.2.17</t>
  </si>
  <si>
    <t>3.9.2.18</t>
  </si>
  <si>
    <t>3.9.2.19</t>
  </si>
  <si>
    <t>3.9.2.20</t>
  </si>
  <si>
    <t>3.9.3</t>
  </si>
  <si>
    <t>SANITÁRIO</t>
  </si>
  <si>
    <t>3.9.3.1</t>
  </si>
  <si>
    <t>3.9.3.2</t>
  </si>
  <si>
    <t>3.9.3.3</t>
  </si>
  <si>
    <t>3.9.3.4</t>
  </si>
  <si>
    <t>3.9.3.5</t>
  </si>
  <si>
    <t>3.9.3.6</t>
  </si>
  <si>
    <t>3.9.3.7</t>
  </si>
  <si>
    <t>3.9.3.8</t>
  </si>
  <si>
    <t>3.9.3.9</t>
  </si>
  <si>
    <t>3.9.3.10</t>
  </si>
  <si>
    <t>3.9.3.11</t>
  </si>
  <si>
    <t>3.9.3.12</t>
  </si>
  <si>
    <t>3.9.3.13</t>
  </si>
  <si>
    <t>3.9.3.14</t>
  </si>
  <si>
    <t>3.9.3.15</t>
  </si>
  <si>
    <t>3.9.3.16</t>
  </si>
  <si>
    <t>3.9.3.17</t>
  </si>
  <si>
    <t>3.9.3.18</t>
  </si>
  <si>
    <t>3.10</t>
  </si>
  <si>
    <t>3.10.1</t>
  </si>
  <si>
    <t>3.10.2</t>
  </si>
  <si>
    <t>3.10.3</t>
  </si>
  <si>
    <t>3.10.4</t>
  </si>
  <si>
    <t>3.10.5</t>
  </si>
  <si>
    <t>3.11</t>
  </si>
  <si>
    <t>3.11.1</t>
  </si>
  <si>
    <t>3.11.2</t>
  </si>
  <si>
    <t>3.11.3</t>
  </si>
  <si>
    <t>MURO</t>
  </si>
  <si>
    <t>4.2</t>
  </si>
  <si>
    <t>4.3</t>
  </si>
  <si>
    <t>4.1.1</t>
  </si>
  <si>
    <t>4.1.2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</si>
  <si>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</si>
  <si>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</si>
  <si>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</si>
  <si>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</si>
  <si>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</si>
  <si>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</si>
  <si>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</si>
  <si>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</si>
  <si>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</si>
  <si>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</si>
  <si>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SUPERESTRUTURA-MURO</t>
  </si>
  <si>
    <t>4.3.1</t>
  </si>
  <si>
    <t>4.3.2</t>
  </si>
  <si>
    <t>4.3.3</t>
  </si>
  <si>
    <t>4.3.4</t>
  </si>
  <si>
    <t>4.3.5</t>
  </si>
  <si>
    <t>4.3.6</t>
  </si>
  <si>
    <t>4.3.7</t>
  </si>
  <si>
    <t>4.4</t>
  </si>
  <si>
    <t>REVESTIMENTO- MURO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</si>
  <si>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</si>
  <si>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</si>
  <si>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</si>
  <si>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</si>
  <si>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</si>
  <si>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</si>
  <si>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</si>
  <si>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</si>
  <si>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URBANIZAÇÃO</t>
  </si>
  <si>
    <t>PAVIMENTAÇÃO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</si>
  <si>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</si>
  <si>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</si>
  <si>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</si>
  <si>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</si>
  <si>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</si>
  <si>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</si>
  <si>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</si>
  <si>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</si>
  <si>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</si>
  <si>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</si>
  <si>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PAISAGISMO</t>
  </si>
  <si>
    <t>5.2.1</t>
  </si>
  <si>
    <t>5.2.2</t>
  </si>
  <si>
    <t>5.2.3</t>
  </si>
  <si>
    <t>BANCOS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</si>
  <si>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</si>
  <si>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</si>
  <si>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</si>
  <si>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</si>
  <si>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</si>
  <si>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</si>
  <si>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</si>
  <si>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</si>
  <si>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</si>
  <si>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ILUMINAÇÃO PÚBLICA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</si>
  <si>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</si>
  <si>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</si>
  <si>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</si>
  <si>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</si>
  <si>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</si>
  <si>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</si>
  <si>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</si>
  <si>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</si>
  <si>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</si>
  <si>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</si>
  <si>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</si>
  <si>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</si>
  <si>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</si>
  <si>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</si>
  <si>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</si>
  <si>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</si>
  <si>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</si>
  <si>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compo</t>
  </si>
  <si>
    <t>ESCAVAÇÃO MANUAL DE VALA. AF_09/2024</t>
  </si>
  <si>
    <t>REATERRO MANUAL DE VALAS, COM PLACA VIBRATÓRIA. AF_08/2023</t>
  </si>
  <si>
    <t>LASTRO DE CONCRETO MAGRO, APLICADO EM BLOCOS DE COROAMENTO OU SAPATAS, ESPESSURA DE 5 CM. AF_01/2024</t>
  </si>
  <si>
    <t>PREPARO DE FUNDO DE VALA COM LARGURA MENOR QUE 1,5 M
(ACERTO DO SOLO NATURAL). AF_08/2020</t>
  </si>
  <si>
    <t>CONCRETO FCK = 25MPA, TRAÇO 1:2,3:2,7 (EM MASSA SECA DE CIMENTO/ AREIA MÉDIA/ BRITA 1) - PREPARO MECÂNICO COM
BETONEIRA 600 L. AF_05/2021</t>
  </si>
  <si>
    <t>LANÇAMENTO COM USO DE BALDES, ADENSAMENTO E ACABAMENTO DE
CONCRETO EM ESTRUTURAS. AF_02/2022</t>
  </si>
  <si>
    <t>FABRICAÇÃO, MONTAGEM E DESMONTAGEM DE FÔRMA PARA SAPATA CORRIDA, EM MADEIRA SERRADA, E=25 MM, 4 UTILIZAÇÕES. AF_01/2024</t>
  </si>
  <si>
    <t>FABRICAÇÃO, MONTAGEM E DESMONTAGEM DE FÔRMA PARA VIGA BALDRAME, EM CHAPA DE MADEIRA COMPENSADA RESINADA, E=17 MM,
4 UTILIZAÇÕES. AF_01/2024</t>
  </si>
  <si>
    <t>ARMAÇÃO DE SAPATA ISOLADA, VIGA BALDRAME E SAPATA CORRIDA UTILIZANDO AÇO CA-50 DE 6,3 MM - MONTAGEM. AF_01/2024</t>
  </si>
  <si>
    <t>ARMAÇÃO DE SAPATA ISOLADA, VIGA BALDRAME E SAPATA CORRIDA UTILIZANDO AÇO CA-60 DE 5 MM - MONTAGEM. AF_01/2024</t>
  </si>
  <si>
    <t>ARMAÇÃO DE SAPATA ISOLADA, VIGA BALDRAME E SAPATA CORRIDA UTILIZANDO AÇO CA-50 DE 8 MM - MONTAGEM. AF_01/2024</t>
  </si>
  <si>
    <t>IMPERMEABILIZAÇÃO DE SUPERFÍCIE COM EMULSÃO ASFÁLTICA, 2
DEMÃOS. AF_09/2023</t>
  </si>
  <si>
    <t>MONTAGEM E DESMONTAGEM DE FÔRMA DE PILARES RETANGULARES E ESTRUTURAS SIMILARES, PÉ-DIREITO DUPLO, EM CHAPA DE MADEIRA COMPENSADA RESINADA, 8 UTILIZAÇÕES. AF_09/2020</t>
  </si>
  <si>
    <t>MONTAGEM E DESMONTAGEM DE FÔRMA DE VIGA, ESCORAMENTO METÁLICO, PÉ-DIREITO SIMPLES, EM CHAPA DE MADEIRA PLASTIFICADA,
14 UTILIZAÇÕES. AF_09/2020</t>
  </si>
  <si>
    <t>MONTAGEM E DESMONTAGEM DE FÔRMA DE LAJE MACIÇA, PÉ-DIREITO SIMPLES, EM MADEIRA SERRADA, 4 UTILIZAÇÕES. AF_09/2020</t>
  </si>
  <si>
    <t>ARMAÇÃO DE PILAR OU VIGA DE ESTRUTURA CONVENCIONAL DE
CONCRETO ARMADO UTILIZANDO AÇO CA-60 DE 5,0 MM - MONTAGEM. AF_06/2022</t>
  </si>
  <si>
    <t>ARMAÇÃO DE PILAR OU VIGA DE ESTRUTURA DE CONCRETO ARMADO EMBUTIDA EM ALVENARIA DE VEDAÇÃO UTILIZANDO AÇO CA-50 DE 10,0
MM - MONTAGEM. AF_06/2022</t>
  </si>
  <si>
    <t>ARMAÇÃO DE PILAR OU VIGA DE ESTRUTURA CONVENCIONAL DE
CONCRETO ARMADO UTILIZANDO AÇO CA-50 DE 8,0 MM - MONTAGEM. AF_06/2022</t>
  </si>
  <si>
    <t>CONCRETO FCK = 25MPA, TRAÇO 1:2,3:2,7 (EM MASSA SECA DE
CIMENTO/ AREIA MÉDIA/ BRITA 1) - PREPARO MECÂNICO COM BETONEIRA 600 L. AF_05/2021</t>
  </si>
  <si>
    <t>ARMAÇÃO DE LAJE DE ESTRUTURA CONVENCIONAL DE CONCRETO ARMADO UTILIZANDO AÇO CA-60 DE 5,0 MM - MONTAGEM. AF_06/2022</t>
  </si>
  <si>
    <t>ARMAÇÃO DE LAJE DE ESTRUTURA CONVENCIONAL DE CONCRETO ARMADO UTILIZANDO AÇO CA-50 DE 6,3 MM - MONTAGEM. AF_06/2022</t>
  </si>
  <si>
    <t>ALVENARIA DE VEDAÇÃO DE BLOCOS CERÂMICOS FURADOS NA HORIZONTAL DE 9X19X29 CM (ESPESSURA 9 CM) E ARGAMASSA DE ASSENTAMENTO COM PREPARO EM BETONEIRA. AF_12/2021</t>
  </si>
  <si>
    <t>VERGA MOLDADA IN LOCO EM CONCRETO, ESPESSURA DE *15* CM.
AF_03/2024</t>
  </si>
  <si>
    <t>CONTRAVERGA MOLDADA IN LOCO EM CONCRETO, ESPESSURA DE *15*
CM. AF_03/2024</t>
  </si>
  <si>
    <t>CHAPISCO APLICADO EM ALVENARIAS E ESTRUTURAS DE CONCRETO INTERNAS, COM COLHER DE PEDREIRO. ARGAMASSA TRAÇO 1:3 COM
PREPARO MANUAL. AF_10/2022</t>
  </si>
  <si>
    <t>EMBOÇO, EM ARGAMASSA TRAÇO 1:2:8, PREPARO MECÂNICO, APLICADO MANUALMENTE EM PAREDES INTERNAS, PARA AMBIENTES COM ÁREA MENOR QUE 5M², E = 10MM, COM TALISCAS. AF_03/2024</t>
  </si>
  <si>
    <t>MASSA ÚNICA, EM ARGAMASSA TRAÇO 1:2:8, PREPARO MECÂNICO, APLICADA MANUALMENTE EM PAREDES INTERNAS DE AMBIENTES COM ÁREA ENTRE 5M² E 10M², E = 17,5MM, COM TALISCAS. AF_03/2024</t>
  </si>
  <si>
    <t>REVESTIMENTO CERÂMICO BRILHANTE RIVIERA 67X67CM  RETIFICADO- FORNECIMENTO E INSTALAÇÃO (ADAPTADO SINAPI  87256)</t>
  </si>
  <si>
    <t>CHAPISCO APLICADO EM ALVENARIA (COM PRESENÇA DE VÃOS) E ESTRUTURAS DE CONCRETO DE FACHADA, COM EQUIPAMENTO DE PROJEÇÃO. ARGAMASSA TRAÇO 1:3 COM PREPARO EM BETONEIRA 400
L. AF_10/2022</t>
  </si>
  <si>
    <t>EMBOÇO OU MASSA ÚNICA EM ARGAMASSA TRAÇO 1:2:8, PREPARO MANUAL, APLICADA MANUALMENTE EM PANOS DE FACHADA COM PRESENÇA DE VÃOS, ESPESSURA DE 25 MM, ACESSO POR ANDAIME.
AF_08/2022</t>
  </si>
  <si>
    <t>REVESTIMENTO CERÂMICO IVY MADEIRA MRE 67X67CM TIPO A - FORNECIMENTO E  INSTALAÇÃO (ADAPTADO SINAPI 87256)</t>
  </si>
  <si>
    <t>IMPERMEABILIZAÇÃO DE SUPERFÍCIE COM ARGAMASSA POLIMÉRICA /
MEMBRANA ACRÍLICA, 3 DEMÃOS. AF_09/2023</t>
  </si>
  <si>
    <t>FORRO EM RÉGUAS DE PVC, LISO, PARA AMBIENTES COMERCIAIS, INCLUSIVE ESTRUTURA BIDIRECIONAL DE FIXAÇÃO. AF_08/2023_PS</t>
  </si>
  <si>
    <t>ACABAMENTOS PARA FORRO (RODA-FORRO EM PERFIL METÁLICO E
PLÁSTICO). AF_08/2023</t>
  </si>
  <si>
    <t>LASTRO DE CONCRETO MAGRO, APLICADO EM PISOS, LAJES SOBRE SOLO OU RADIERS, ESPESSURA DE 5 CM. AF_01/2024</t>
  </si>
  <si>
    <t>CONTRAPISO EM ARGAMASSA TRAÇO 1:4 (CIMENTO E AREIA), PREPARO MANUAL, APLICADO EM ÁREAS SECAS SOBRE LAJE, ADERIDO, ACABAMENTO NÃO REFORÇADO, ESPESSURA 2CM. AF_07/2021</t>
  </si>
  <si>
    <t>CAIXA D´ÁGUA EM POLIETILENO, 1000 LITROS - FORNECIMENTO E
INSTALAÇÃO. AF_06/2021</t>
  </si>
  <si>
    <t>TORNEIRA DE BOIA PARA CAIXA D'ÁGUA, ROSCÁVEL, 1/2" -
FORNECIMENTO E INSTALAÇÃO. AF_08/2021</t>
  </si>
  <si>
    <t>VASO SANITÁRIO SIFONADO COM CAIXA ACOPLADA LOUÇA BRANCA -
FORNECIMENTO E INSTALAÇÃO. AF_01/2020</t>
  </si>
  <si>
    <t>DUCHA HIGIENICA PLASTICA COM REGISTRO METALICO 1/2"</t>
  </si>
  <si>
    <t>LAVATORIO / CUBA DE SOBREPOR, RETANGULAR, DE LOUCA BRANCA, COM LADRAO, DIMENSOES *52 X 45* CM (L X C)</t>
  </si>
  <si>
    <t>SIFAO EM METAL CROMADO PARA PIA OU LAVATORIO, 1 X 1.1/2"</t>
  </si>
  <si>
    <t>ENGATE FLEXÍVEL EM INOX, 1/2 X 30CM - FORNECIMENTO E
INSTALAÇÃO. AF_01/2020</t>
  </si>
  <si>
    <t>CUBA DE EMBUTIR DE AÇO INOXIDÁVEL MÉDIA, INCLUSO VÁLVULA TIPO AMERICANA E SIFÃO TIPO GARRAFA EM METAL CROMADO -
FORNECIMENTO E INSTALAÇÃO. AF_01/2020</t>
  </si>
  <si>
    <t>TORNEIRA CROMADA LONGA, DE PAREDE, 1/2" OU 3/4", PARA PIA DE COZINHA, PADRÃO POPULAR - FORNECIMENTO E INSTALAÇÃO.
AF_01/2020</t>
  </si>
  <si>
    <t>TORNEIRA METALICA CROMADA, RETA, DE PAREDE, PARA COZINHA, COM AREJADOR, PADRAO POPULAR, 1/2" OU 3/4"</t>
  </si>
  <si>
    <t>REGISTRO DE GAVETA BRUTO, LATÃO, ROSCÁVEL, 3/4", COM ACABAMENTO E CANOPLA CROMADOS - FORNECIMENTO E INSTALAÇÃO.
AF_08/2021</t>
  </si>
  <si>
    <t>REGISTRO DE ESFERA, PVC, SOLDÁVEL, COM VOLANTE, DN 50 MM -
FORNECIMENTO E INSTALAÇÃO. AF_08/2021</t>
  </si>
  <si>
    <t>REGISTRO DE ESFERA, PVC, SOLDÁVEL, COM VOLANTE, DN 25 MM -
FORNECIMENTO E INSTALAÇÃO. AF_08/2021</t>
  </si>
  <si>
    <t>ADAPTADOR CURTO COM BOLSA E ROSCA PARA REGISTRO, PVC, SOLDÁVEL, DN 25 MM X 3/4", INSTALADO EM RESERVAÇÃO PREDIAL DE ÁGUA - FORNECIMENTO E INSTALAÇÃO. AF_04/2024</t>
  </si>
  <si>
    <t>BUCHA DE REDUÇÃO, LONGA, PVC, SOLDÁVEL, DN 50 X 25 MM,
INSTALADO EM PRUMADA DE ÁGUA - FORNECIMENTO E INSTALAÇÃO. AF_06/2022</t>
  </si>
  <si>
    <t>CURVA 90 GRAUS, PVC, SOLDÁVEL, DN 25MM, INSTALADO EM RAMAL OU SUB-RAMAL DE ÁGUA - FORNECIMENTO E INSTALAÇÃO. AF_06/2022</t>
  </si>
  <si>
    <t>CURVA 90 GRAUS, PVC, SOLDÁVEL, DN 50MM, INSTALADO EM RAMAL DE DISTRIBUIÇÃO DE ÁGUA - FORNECIMENTO E INSTALAÇÃO. AF_06/2022</t>
  </si>
  <si>
    <t>JOELHO 45 GRAUS, PVC, SOLDÁVEL, DN 25MM, INSTALADO EM RAMAL OU SUB-RAMAL DE ÁGUA - FORNECIMENTO E INSTALAÇÃO. AF_06/2022</t>
  </si>
  <si>
    <t>JOELHO 90 GRAUS, PVC, SOLDÁVEL, DN 25MM, INSTALADO EM RAMAL DE DISTRIBUIÇÃO DE ÁGUA - FORNECIMENTO E INSTALAÇÃO.
AF_06/2022</t>
  </si>
  <si>
    <t>JOELHO 90 GRAUS, PVC, SERIE NORMAL, ESGOTO PREDIAL, DN 50 MM, JUNTA ELÁSTICA, FORNECIDO E INSTALADO EM RAMAL DE DESCARGA OU RAMAL DE ESGOTO SANITÁRIO. AF_08/2022</t>
  </si>
  <si>
    <t>TE DE REDUÇÃO, PVC, SOLDÁVEL, 90 GRAUS, DN 50 MM X 25 MM,
INSTALADO EM RESERVAÇÃO PREDIAL DE ÁGUA - FORNECIMENTO E INSTALAÇÃO. AF_04/2024</t>
  </si>
  <si>
    <t>TE, PVC, SOLDÁVEL, DN 25MM, INSTALADO EM PRUMADA DE ÁGUA -
FORNECIMENTO E INSTALAÇÃO. AF_06/2022</t>
  </si>
  <si>
    <t>TÊ, PVC, SOLDÁVEL, DN 50 MM INSTALADO EM RESERVAÇÃO PREDIAL DE ÁGUA - FORNECIMENTO E INSTALAÇÃO. AF_04/2024</t>
  </si>
  <si>
    <t>TUBO, PVC, SOLDÁVEL, DE 25MM, INSTALADO EM PRUMADA DE ÁGUA -
FORNECIMENTO E INSTALAÇÃO. AF_06/2022</t>
  </si>
  <si>
    <t>TUBO, PVC, SOLDÁVEL, DE 50MM, INSTALADO EM PRUMADA DE ÁGUA -
FORNECIMENTO E INSTALAÇÃO. AF_06/2022</t>
  </si>
  <si>
    <t>CURVA 90 GRAUS PARA ELETRODUTO, PVC, ROSCÁVEL, DN 25 MM (3/4"),
PARA CIRCUITOS TERMINAIS, INSTALADA EM PAREDE - FORNECIMENTO E INSTALAÇÃO. AF_03/2023</t>
  </si>
  <si>
    <t>LUVA PARA ELETRODUTO, PVC, ROSCÁVEL, DN 25 MM (3/4"), PARA CIRCUITOS TERMINAIS, INSTALADA EM PAREDE - FORNECIMENTO E
INSTALAÇÃO. AF_03/2023</t>
  </si>
  <si>
    <t>DISPOSITIVO DPS CLASSE II, 1 POLO, TENSAO MAXIMA DE 275 V,
CORRENTE MAXIMA DE *30* KA (TIPO AC)</t>
  </si>
  <si>
    <t>IDR INTERRUPTOR DIFERENCIAL RESIDUAL BIPOLAR IN=40A, 30mA
(ADAPTADO ORSE  13782)</t>
  </si>
  <si>
    <t>DISJUNTOR MONOPOLAR TIPO DIN, CORRENTE NOMINAL DE 10A -
FORNECIMENTO E INSTALAÇÃO. AF_10/2020</t>
  </si>
  <si>
    <t>DISJUNTOR MONOPOLAR TIPO DIN, CORRENTE NOMINAL DE 16A -
FORNECIMENTO E INSTALAÇÃO. AF_10/2020</t>
  </si>
  <si>
    <t>DISJUNTOR MONOPOLAR TIPO DIN, CORRENTE NOMINAL DE 32A -
FORNECIMENTO E INSTALAÇÃO. AF_10/2020</t>
  </si>
  <si>
    <t>INTERRUPTOR SIMPLES (1 MÓDULO), 10A/250V, INCLUINDO SUPORTE E PLACA - FORNECIMENTO E INSTALAÇÃO. AF_03/2023</t>
  </si>
  <si>
    <t>INTERRUPTOR SIMPLES (3 MÓDULOS), 10A/250V, INCLUINDO SUPORTE E PLACA - FORNECIMENTO E INSTALAÇÃO. AF_03/2023</t>
  </si>
  <si>
    <t>CAIXA ENTERRADA ELÉTRICA RETANGULAR, EM ALVENARIA COM TIJOLOS CERÂMICOS MACIÇOS, FUNDO COM BRITA, DIMENSÕES
INTERNAS: 0,3X0,3X0,3 M. AF_12/2020</t>
  </si>
  <si>
    <t>HASTE DE ATERRAMENTO, DIÂMETRO 5/8", COM 3 METROS -
FORNECIMENTO E INSTALAÇÃO. AF_08/2023</t>
  </si>
  <si>
    <t>CONECTOR TIPO CUNHA- FORNECIMENTO E INSTALAÇÃO (ADAPTADO
SINAPI 101551)</t>
  </si>
  <si>
    <t>TOMADA BAIXA DE EMBUTIR (1 MÓDULO), 2P+T 10 A, SEM SUPORTE E SEM PLACA - FORNECIMENTO E INSTALAÇÃO. AF_03/2023</t>
  </si>
  <si>
    <t>TOMADA MÉDIA DE EMBUTIR (2 MÓDULOS), 2P+T 10 A, INCLUINDO SUPORTE E PLACA - FORNECIMENTO E INSTALAÇÃO. AF_03/2023</t>
  </si>
  <si>
    <t>CABO DE COBRE FLEXÍVEL ISOLADO, 6 MM², ANTI-CHAMA 0,6/1,0 KV, PARA CIRCUITOS TERMINAIS - FORNECIMENTO E INSTALAÇÃO.
AF_03/2023</t>
  </si>
  <si>
    <t>CABO DE COBRE FLEXÍVEL ISOLADO, 1,5 MM², ANTI-CHAMA 450/750 V, PARA CIRCUITOS TERMINAIS - FORNECIMENTO E INSTALAÇÃO.
AF_03/2023</t>
  </si>
  <si>
    <t>CABO DE COBRE FLEXÍVEL ISOLADO, 2,5 MM², ANTI-CHAMA 450/750 V, PARA CIRCUITOS TERMINAIS - FORNECIMENTO E INSTALAÇÃO.
AF_03/2023</t>
  </si>
  <si>
    <t>ELETRODUTO DE PVC RÍGIDO ROSCÁVEL 40MM  (ADAPTADO ORSE 355)</t>
  </si>
  <si>
    <t>ELETRODUTO RÍGIDO SOLDÁVEL, PVC, DN 25 MM (3/4"), APARENTE -
FORNECIMENTO E INSTALAÇÃO. AF_10/2022</t>
  </si>
  <si>
    <t>ELETRODUTO FLEXÍVEL CORRUGADO, PVC, DN 25 MM (3/4"), PARA
CIRCUITOS TERMINAIS, INSTALADO EM PAREDE - FORNECIMENTO E INSTALAÇÃO. AF_03/2023</t>
  </si>
  <si>
    <t>CURVA 90 GRAUS PARA ELETRODUTO, PVC, ROSCÁVEL, DN 25 MM (3/4"), PARA CIRCUITOS TERMINAIS, INSTALADA EM PAREDE - FORNECIMENTO E INSTALAÇÃO. AF_03/2023</t>
  </si>
  <si>
    <t>LUVA PARA ELETRODUTO, PVC, ROSCÁVEL, DN 25 MM (3/4"), PARA CIRCUITOS TERMINAIS, INSTALADA EM PAREDE - FORNECIMENTO E INSTALAÇÃO. AF_03/2023</t>
  </si>
  <si>
    <t>QUADRO DE DISTRIBUIÇÃO DE ENERGIA EM PVC, DE EMBUTIR, SEM BARRAMENTO, PARA 6 DISJUNTORES - FORNECIMENTO E INSTALAÇÃO. AF_10/2020</t>
  </si>
  <si>
    <t>CHAPISCO APLICADO EM ALVENARIAS E ESTRUTURAS DE CONCRETO INTERNAS, COM COLHER DE PEDREIRO. ARGAMASSA TRAÇO 1:3 COM PREPARO MANUAL. AF_10/2022</t>
  </si>
  <si>
    <t>SUMIDOURO CIRCULAR, EM CONCRETO PRÉ-MOLDADO, DIÂMETRO INTERNO = 1,88 M, ALTURA INTERNA = 2,00 M, ÁREA DE INFILTRAÇÃO: 13,1 M² (PARA 5 CONTRIBUINTES). AF_12/2020</t>
  </si>
  <si>
    <t>CURVA LONGA, 45 GRAUS, PVC OCRE, JUNTA ELÁSTICA, DN 150 MM, PARA COLETOR PREDIAL DE ESGOTO. AF_06/2022</t>
  </si>
  <si>
    <t>CURVA CURTA 90 GRAUS, PVC, SERIE NORMAL, ESGOTO PREDIAL, DN 50 MM, JUNTA ELÁSTICA, FORNECIDO E INSTALADO EM RAMAL DE DESCARGA OU RAMAL DE ESGOTO SANITÁRIO. AF_08/2022</t>
  </si>
  <si>
    <t>JOELHO 45 GRAUS, PVC, SERIE NORMAL, ESGOTO PREDIAL, DN 40 MM, JUNTA SOLDÁVEL, FORNECIDO E INSTALADO EM RAMAL DE DESCARGA OU RAMAL DE ESGOTO SANITÁRIO. AF_08/2022</t>
  </si>
  <si>
    <t>JOELHO 45 GRAUS, PVC, SERIE NORMAL, ESGOTO PREDIAL, DN 50 MM, JUNTA ELÁSTICA, FORNECIDO E INSTALADO EM RAMAL DE DESCARGA OU RAMAL DE ESGOTO SANITÁRIO. AF_08/2022</t>
  </si>
  <si>
    <t>JOELHO 90 GRAUS, PVC, SERIE NORMAL, ESGOTO PREDIAL, DN 40 MM, JUNTA SOLDÁVEL, FORNECIDO E INSTALADO EM RAMAL DE DESCARGA OU RAMAL DE ESGOTO SANITÁRIO. AF_08/2022</t>
  </si>
  <si>
    <t>JOELHO 90 GRAUS, PVC, SERIE NORMAL, ESGOTO PREDIAL, DN 100 MM, JUNTA ELÁSTICA, FORNECIDO E INSTALADO EM RAMAL DE DESCARGA OU RAMAL DE ESGOTO SANITÁRIO. AF_08/2022</t>
  </si>
  <si>
    <t>JUNÇÃO SIMPLES, PVC, SERIE NORMAL, ESGOTO PREDIAL, DN 50 X 50 MM, JUNTA ELÁSTICA, FORNECIDO E INSTALADO EM RAMAL DE DESCARGA OU RAMAL DE ESGOTO SANITÁRIO. AF_08/2022</t>
  </si>
  <si>
    <t>JUNÇÃO DE REDUÇÃO INVERTIDA, PVC, SÉRIE NORMAL, ESGOTO PREDIAL, DN 100 X 50 MM, JUNTA ELÁSTICA, FORNECIDO E INSTALADO EM PRUMADA DE ESGOTO SANITÁRIO OU VENTILAÇÃO. AF_08/2022</t>
  </si>
  <si>
    <t>TERMINAL DE VENTILAÇÃO, PVC, SÉRIE NORMAL, ESGOTO PREDIAL, DN 50 MM, JUNTA SOLDÁVEL, FORNECIDO E INSTALADO EM PRUMADA DE ESGOTO SANITÁRIO OU VENTILAÇÃO. AF_08/2022</t>
  </si>
  <si>
    <t>TE, PVC, SERIE NORMAL, ESGOTO PREDIAL, DN 100 X 100 MM, JUNTA ELÁSTICA, FORNECIDO E INSTALADO EM RAMAL DE DESCARGA OU RAMAL DE ESGOTO SANITÁRIO. AF_08/2022</t>
  </si>
  <si>
    <t>TE, PVC, SERIE R, 150 X 150 MM, PARA ESGOTO PREDIAL</t>
  </si>
  <si>
    <t>CAIXA SIFONADA, COM GRELHA REDONDA, PVC, DN 150 X 150 X 50 MM, JUNTA SOLDÁVEL, FORNECIDA E INSTALADA EM RAMAL DE DESCARGA OU EM RAMAL DE ESGOTO SANITÁRIO. AF_08/2022</t>
  </si>
  <si>
    <t>ANEL DE VEDACAO, PVC FLEXIVEL, 100 MM, PARA SAIDA DE BACIA /
VASO SANITARIO</t>
  </si>
  <si>
    <t>TUBO PVC, SERIE NORMAL, ESGOTO PREDIAL, DN 50 MM, FORNECIDO E INSTALADO EM RAMAL DE DESCARGA OU RAMAL DE ESGOTO
SANITÁRIO. AF_08/2022</t>
  </si>
  <si>
    <t>TUBO PVC, SERIE NORMAL, ESGOTO PREDIAL, DN 100 MM, FORNECIDO E INSTALADO EM RAMAL DE DESCARGA OU RAMAL DE ESGOTO
SANITÁRIO. AF_08/2022</t>
  </si>
  <si>
    <t>CAP, PVC OCRE, JUNTA ELÁSTICA, DN 150 MM, PARA COLETOR PREDIAL DE ESGOTO. AF_06/2022</t>
  </si>
  <si>
    <t>TUBO PVC, SERIE NORMAL, ESGOTO PREDIAL, DN 40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</si>
  <si>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</si>
  <si>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75 MM, FORNECIDO E INSTALADO EM RAMAL DE DESCARGA OU RAMAL DE ESGOTO SANITÁRIO. AF_08/2022</t>
  </si>
  <si>
    <t>TUBO PVC, SERIE NORMAL, ESGOTO PREDIAL, DN 100 MM, FORNECIDO E INSTALADO EM RAMAL DE DESCARGA OU RAMAL DE ESGOTO SANITÁRIO. AF_08/2022</t>
  </si>
  <si>
    <t>TUBO PVC, SERIE NORMAL, ESGOTO PREDIAL, DN 150MM, FORNECIDO E INSTALADO EM  RAMAL DE DESCARGA OU RANAL DE ESGOTO SANITÁRIO (ADAPTADO SINAPI 89714)</t>
  </si>
  <si>
    <t>TELHAMENTO COM TELHA CERÂMICA CAPA-CANAL, TIPO COLONIAL, COM MAIS DE 2 ÁGUAS, INCLUSO TRANSPORTE VERTICAL. AF_07/2019</t>
  </si>
  <si>
    <t>TRAMA DE MADEIRA COMPOSTA POR RIPAS, CAIBROS E TERÇAS PARA TELHADOS DE MAIS QUE 2 ÁGUAS PARA TELHA DE ENCAIXE DE CERÂMICA OU DE CONCRETO, INCLUSO TRANSPORTE VERTICAL.
AF_07/2019</t>
  </si>
  <si>
    <t>FABRICAÇÃO E INSTALAÇÃO DE MEIA TESOURA DE MADEIRA NÃO APARELHADA, COM VÃO DE 3 M, PARA TELHA CERÂMICA OU DE
CONCRETO, INCLUSO IÇAMENTO. AF_07/2019</t>
  </si>
  <si>
    <t>FABRICAÇÃO E INSTALAÇÃO DE MEIA TESOURA DE MADEIRA NÃO APARELHADA, COM VÃO DE 4 M, PARA TELHA CERÂMICA OU DE
CONCRETO, INCLUSO IÇAMENTO. AF_07/2019</t>
  </si>
  <si>
    <t>PINTURA IMUNIZANTE PARA MADEIRA, 1 DEMÃO. AF_01/2021</t>
  </si>
  <si>
    <t>CUMEEIRA E ESPIGÃO PARA TELHA CERÂMICA EMBOÇADA COM ARGAMASSA TRAÇO 1:2:9 (CIMENTO, CAL E AREIA), PARA TELHADOS COM MAIS DE 2 ÁGUAS, INCLUSO TRANSPORTE VERTICAL. AF_07/2019</t>
  </si>
  <si>
    <t>PORTA DE MADEIRA PARA PINTURA, SEMI-OCA (LEVE OU MÉDIA), 80X210CM, ESPESSURA DE 3,5CM, INCLUSO DOBRADIÇAS -
FORNECIMENTO E INSTALAÇÃO. AF_12/2019</t>
  </si>
  <si>
    <t>ALVENARIA DE VEDAÇÃO COM ELEMENTO VAZADO DE CERÂMICA
(COBOGÓ) DE 7X20X20CM E ARGAMASSA DE ASSENTAMENTO COM PREPARO EM BETONEIRA. AF_05/2020</t>
  </si>
  <si>
    <t>FECHADURA DE EMBUTIR COM CILINDRO, EXTERNA, COMPLETA, ACABAMENTO PADRÃO MÉDIO, INCLUSO EXECUÇÃO DE FURO -
FORNECIMENTO E INSTALAÇÃO. AF_12/2019</t>
  </si>
  <si>
    <t>FABRICAÇÃO, MONTAGEM E DESMONTAGEM DE FÔRMA PARA VIGA
BALDRAME, EM CHAPA DE MADEIRA COMPENSADA RESINADA, E=17 MM, 4 UTILIZAÇÕES. AF_01/2024</t>
  </si>
  <si>
    <t>ARMAÇÃO DE LAJE DE ESTRUTURA CONVENCIONAL DE CONCRETO ARMADO UTILIZANDO AÇO CA-50 DE 8,0 MM - MONTAGEM. AF_06/2022</t>
  </si>
  <si>
    <t>EMASSAMENTO COM MASSA LÁTEX, APLICAÇÃO EM PAREDE, DUAS
DEMÃOS, LIXAMENTO MANUAL. AF_04/2023</t>
  </si>
  <si>
    <t>PINTURA LÁTEX ACRÍLICA PREMIUM, APLICAÇÃO MANUAL EM PAREDES,
DUAS DEMÃOS. AF_04/2023</t>
  </si>
  <si>
    <t>FUNDO SELADOR ACRÍLICO, APLICAÇÃO MANUAL EM PAREDE, UMA
DEMÃO. AF_04/2023</t>
  </si>
  <si>
    <t>CAIXA D´ÁGUA EM POLIÉSTER REFORÇADO COM FIBRA DE VIDRO, 500 LITROS - FORNECIMENTO E INSTALAÇÃO. AF_06/2021</t>
  </si>
  <si>
    <t>TORNEIRA METALICA CROMADA PARA JARDIM / TANQUE, COM BICO PLASTICO, CANO LONGO, DE PAREDE, PADRAO POPULAR / USO GERAL,
1/2" OU 3/4"</t>
  </si>
  <si>
    <t>CHUVEIRO ELÉTRICO COMUM CORPO PLÁSTICO, TIPO DUCHA -
FORNECIMENTO E INSTALAÇÃO. AF_01/2020</t>
  </si>
  <si>
    <t>REGISTRO DE GAVETA BRUTO, LATÃO, ROSCÁVEL, 3/4", COM
ACABAMENTO E CANOPLA CROMADOS - FORNECIMENTO E INSTALAÇÃO. AF_08/2021</t>
  </si>
  <si>
    <t>REGISTRO DE PRESSÃO BRUTO, LATÃO, ROSCÁVEL, 3/4'' -
FORNECIMENTO E INSTALAÇÃO. AF_08/2021</t>
  </si>
  <si>
    <t>REGISTRO DE ESFERA, PVC, SOLDÁVEL, COM VOLANTE, DN 32 MM -
FORNECIMENTO E INSTALAÇÃO. AF_08/2021</t>
  </si>
  <si>
    <t>CURVA 45 GRAUS, PVC, SOLDÁVEL, DN 25MM, INSTALADO EM RAMAL OU SUB-RAMAL DE ÁGUA - FORNECIMENTO E INSTALAÇÃO. AF_06/2022</t>
  </si>
  <si>
    <t>JOELHO 90 GRAUS, PVC, SOLDÁVEL, DN 32MM, INSTALADO EM RAMAL OU SUB-RAMAL DE ÁGUA - FORNECIMENTO E INSTALAÇÃO. AF_06/2022</t>
  </si>
  <si>
    <t>LUVA, PVC, SOLDÁVEL, DN 25MM, INSTALADO EM PRUMADA DE ÁGUA -
FORNECIMENTO E INSTALAÇÃO. AF_06/2022</t>
  </si>
  <si>
    <t>LUVA COM BUCHA DE LATÃO, PVC, SOLDÁVEL, DN 25MM X 3/4, INSTALADO EM RAMAL OU SUB-RAMAL DE ÁGUA - FORNECIMENTO E
INSTALAÇÃO. AF_06/2022</t>
  </si>
  <si>
    <t>TE, PVC, SOLDÁVEL, DN 32MM, INSTALADO EM PRUMADA DE ÁGUA -
FORNECIMENTO E INSTALAÇÃO. AF_06/2022</t>
  </si>
  <si>
    <t>TUBO, PVC, SOLDÁVEL, DE 32MM, INSTALADO EM PRUMADA DE ÁGUA -
FORNECIMENTO E INSTALAÇÃO. AF_06/2022</t>
  </si>
  <si>
    <t>CURVA 90 GRAUS PARA ELETRODUTO, PVC, ROSCÁVEL, DN 32 MM (1"), PARA CIRCUITOS TERMINAIS, INSTALADA EM FORRO - FORNECIMENTO E
INSTALAÇÃO. AF_03/2023</t>
  </si>
  <si>
    <t>CURVA 90 GRAUS PARA ELETRODUTO, PVC, SOLDÁVEL, DN 32 MM (1''), APARENTE - FORNECIMENTO E INSTALAÇÃO. AF_10/2022</t>
  </si>
  <si>
    <t>LUVA PARA ELETRODUTO, PVC, SOLDÁVEL, DN 32 MM (1''), APARENTE - FORNECIMENTO E INSTALAÇÃO. AF_10/2022</t>
  </si>
  <si>
    <t>INTERRUPTOR SIMPLES (1 MÓDULO) COM 1 TOMADA DE EMBUTIR 2P+T 10 A, INCLUINDO SUPORTE E PLACA - FORNECIMENTO E INSTALAÇÃO.
AF_03/2023</t>
  </si>
  <si>
    <t>CAIXA DE PASSAGEM, EM PVC, DE 4" X 2", PARA ELETRODUTO FLEXIVEL
CORRUGADO</t>
  </si>
  <si>
    <t>QUADRO DE DISTRIBUIÇÃO DE ENERGIA EM PVC, DE EMBUTIR, SEM BARRAMENTO, PARA 6 DISJUNTORES - FORNECIMENTO E INSTALAÇÃO.
AF_10/2020</t>
  </si>
  <si>
    <t>TOMADA MÉDIA DE EMBUTIR (1 MÓDULO), 2P+T 10 A, INCLUINDO SUPORTE E PLACA - FORNECIMENTO E INSTALAÇÃO. AF_03/2023</t>
  </si>
  <si>
    <t>ELETRODUTO RÍGIDO ROSCÁVEL, PVC, DN 40 MM (1 1/4"), PARA CIRCUITOS TERMINAIS, INSTALADO EM LAJE - FORNECIMENTO E
INSTALAÇÃO. AF_03/2023</t>
  </si>
  <si>
    <t>ELETRODUTO RÍGIDO SOLDÁVEL, PVC, DN 32 MM (1"), APARENTE -
FORNECIMENTO E INSTALAÇÃO. AF_10/2022</t>
  </si>
  <si>
    <t>DISPOSITIVO DPS CLASSE II, 1 POLO, TENSAO MAXIMA DE 275 V,
CORRENTE MAXIMA DE *20* KA (TIPO AC)</t>
  </si>
  <si>
    <t>CAIXA DE GORDURA SIMPLES, CIRCULAR, EM CONCRETO PRÉ- MOLDADO, DIÂMETRO INTERNO = 0,4 M, ALTURA INTERNA = 0,4 M.
AF_12/2020</t>
  </si>
  <si>
    <t>CURVA LONGA, 45 GRAUS, PVC OCRE, JUNTA ELÁSTICA, DN 100 MM, PARA COLETOR PREDIAL DE ESGOTO. AF_06/2022</t>
  </si>
  <si>
    <t>LUVA DE CORRER, PVC, SERIE NORMAL, ESGOTO PREDIAL, DN 100 MM, JUNTA ELÁSTICA, FORNECIDO E INSTALADO EM RAMAL DE DESCARGA OU RAMAL DE ESGOTO SANITÁRIO. AF_08/2022</t>
  </si>
  <si>
    <t>TÊ, PVC, SERIE R, ÁGUA PLUVIAL, DN 100 X 75 MM, JUNTA ELÁSTICA, FORNECIDO E INSTALADO EM CONDUTORES VERTICAIS DE ÁGUAS
PLUVIAIS. AF_06/2022</t>
  </si>
  <si>
    <t>RALO SIFONADO QUADRADO, PVC, 100 X 53 MM, SAIDA 40 MM, COM
GRELHA QUADRADA BRANCA</t>
  </si>
  <si>
    <t>TUBO PVC, SERIE NORMAL, ESGOTO PREDIAL, DN 40 MM, FORNECIDO E INSTALADO EM RAMAL DE DESCARGA OU RAMAL DE ESGOTO
SANITÁRIO. AF_08/2022</t>
  </si>
  <si>
    <t>TANQUE SÉPTICO RETANGULAR, EM ALVENARIA COM BLOCOS DE CONCRETO, DIMENSÕES INTERNAS: 1,2 X 2,4 X H=1,6 M, VOLUME ÚTIL: 3456 L (PARA 13 CONTRIBUINTES). AF_12/2020</t>
  </si>
  <si>
    <t>FABRICAÇÃO E INSTALAÇÃO DE TESOURA INTEIRA EM MADEIRA NÃO APARELHADA, VÃO DE 3 M, PARA TELHA CERÂMICA OU DE CONCRETO,
INCLUSO IÇAMENTO. AF_07/2019</t>
  </si>
  <si>
    <t>CUMEEIRA PARA TELHA CERÂMICA EMBOÇADA COM ARGAMASSA TRAÇO 1:2:9 (CIMENTO, CAL E AREIA) PARA TELHADOS COM ATÉ 2 ÁGUAS, INCLUSO TRANSPORTE VERTICAL. AF_07/2019</t>
  </si>
  <si>
    <t>PORTA DE MADEIRA PARA PINTURA, SEMI-OCA (LEVE OU MÉDIA),
80X210CM, ESPESSURA DE 3,5CM, INCLUSO DOBRADIÇAS - FORNECIMENTO E INSTALAÇÃO. AF_12/2019</t>
  </si>
  <si>
    <t>PORTA DE MADEIRA PARA VERNIZ, SEMI-OCA (LEVE OU MÉDIA),
70X210CM, ESPESSURA DE 3,5CM, INCLUSO DOBRADIÇAS - FORNECIMENTO E INSTALAÇÃO. AF_12/2019</t>
  </si>
  <si>
    <t>ALVENARIA DE VEDAÇÃO COM ELEMENTO VAZADO DE CERÂMICA (COBOGÓ) DE 7X20X20CM E ARGAMASSA DE ASSENTAMENTO COM
PREPARO EM BETONEIRA. AF_05/2020</t>
  </si>
  <si>
    <t>MONTAGEM E DESMONTAGEM DE FÔRMA DE VIGA, ESCORAMENTO
METÁLICO, PÉ-DIREITO SIMPLES, EM CHAPA DE MADEIRA PLASTIFICADA, 14 UTILIZAÇÕES. AF_09/2020</t>
  </si>
  <si>
    <t>ARMAÇÃO DE PILAR OU VIGA DE ESTRUTURA CONVENCIONAL DE CONCRETO ARMADO UTILIZANDO AÇO CA-60 DE 5,0 MM - MONTAGEM.
AF_06/2022</t>
  </si>
  <si>
    <t>ARMAÇÃO DE PILAR OU VIGA DE ESTRUTURA CONVENCIONAL DE CONCRETO ARMADO UTILIZANDO AÇO CA-50 DE 8,0 MM - MONTAGEM.
AF_06/2022</t>
  </si>
  <si>
    <t>CHAPISCO APLICADO EM ALVENARIA (SEM PRESENÇA DE VÃOS) E ESTRUTURAS DE CONCRETO DE FACHADA, COM COLHER DE PEDREIRO. ARGAMASSA TRAÇO 1:3 COM PREPARO EM BETONEIRA 400L. AF_10/2022</t>
  </si>
  <si>
    <t>EMBOÇO OU MASSA ÚNICA EM ARGAMASSA TRAÇO 1:2:8, PREPARO MECÂNICO COM BETONEIRA 400 L, APLICADA MANUALMENTE EM PANOS CEGOS DE FACHADA (SEM PRESENÇA DE VÃOS), ESPESSURA DE 25 MM.
AF_08/2022</t>
  </si>
  <si>
    <t>FECHAMENTO EM MADEIRA COM RIPA APARELHADA *1,5 X 5* CM, EM MACARANDUBA/MASSARANDUBA, ANGELIM OU EQUIVALENTE DA
REGIAO (ADAPTADO  ORSE 11617)</t>
  </si>
  <si>
    <t>Chapim de concreto pré-moldado (ADAPTADO 8637)</t>
  </si>
  <si>
    <t>EXECUÇÃO DE PASSEIO EM PISO INTERTRAVADO, COM BLOCO RETANGULAR COLORIDO DE 20 X 10 CM, ESPESSURA 6 CM. AF_10/2022</t>
  </si>
  <si>
    <t>ASSENTAMENTO DE GUIA (MEIO-FIO) EM TRECHO RETO, CONFECCIONADA EM CONCRETO PRÉ-FABRICADO, DIMENSÕES 100X15X13X20 CM (COMPRIMENTO X BASE INFERIOR X BASE SUPERIOR
X ALTURA). AF_01/2024</t>
  </si>
  <si>
    <t>ASSENTAMENTO DE GUIA (MEIO-FIO) EM TRECHO CURVO, CONFECCIONADA EM CONCRETO PRÉ-FABRICADO, DIMENSÕES 100X15X13X20 CM (COMPRIMENTO X BASE INFERIOR X BASE SUPERIOR
X ALTURA). AF_01/2024</t>
  </si>
  <si>
    <t>EXECUÇÃO DE PAVIMENTO EM PISO INTERTRAVADO, COM BLOCO
RETANGULAR COR NATURAL DE 20 X 10 CM, ESPESSURA 6 CM. AF_10/2022</t>
  </si>
  <si>
    <t>RAMPA DE ACESSIBILIDADE EM CONCRETO MOLDADO IN LOCO, EM CALÇADA NOVA COM LARGURA MENOR À 3,00 M, FCK 25MPA, COM PISO
PODOTÁTIL. AF_03/2024</t>
  </si>
  <si>
    <t>PINTURA DE MEIO-FIO COM TINTA BRANCA A BASE DE CAL (CAIAÇÃO).
AF_05/2021</t>
  </si>
  <si>
    <t>PISO PODOTÁTIL DE ALERTA OU DIRECIONAL, DE CONCRETO,
ASSENTADO SOBRE ARGAMASSA. AF_03/2024</t>
  </si>
  <si>
    <t>PINTURA DE PISO COM TINTA EPÓXI, APLICAÇÃO MANUAL, 2 DEMÃOS,
INCLUSO PRIMER EPÓXI. AF_05/2021</t>
  </si>
  <si>
    <t>PLANTIO DE GRAMA ESMERALDA OU SÃO CARLOS OU CURITIBANA, EM
PLACAS. AF_07/2024</t>
  </si>
  <si>
    <t>ESPALHAMENTO DE TERRA VEGETAL PARA O PLANTIO. AF_07/2024</t>
  </si>
  <si>
    <t>Mesa c/ tampo Ø=1,00m em concreto armado polido sobre tubo de concreto armado Ø=0,40m, e  4 bancos em concreto armado Ø=0,40m, com pintura acrílica cor cinza grafite da Coral ou  similar. (ADAPTADO 12114)</t>
  </si>
  <si>
    <t>ALVENARIA EM TIJOLO CERAMICO FURADO 9X19X19CM, 1 VEZ (ESPESSURA 19 CM) ,  ASSENTADO ARGAMASSA TRACO 1:4 (CIMENTO E AREIA MEDIA NAO PENEIRADA),  PREPARO MANUAL, JUNTA1 CM [ADAPTADO DE SINAPI 73935/002]</t>
  </si>
  <si>
    <t>CHAPISCO APLICADO EM ALVENARIAS E ESTRUTURAS DE CONCRETO
INTERNAS, COM COLHER DE PEDREIRO. ARGAMASSA TRAÇO 1:3 COM PREPARO MANUAL. AF_10/2022</t>
  </si>
  <si>
    <t>EMBOÇO, EM ARGAMASSA TRAÇO 1:2:8, PREPARO MANUAL, APLICADO MANUALMENTE EM PAREDES INTERNAS DE AMBIENTES COM ÁREA MENOR QUE 5M², E = 17,5MM, COM TALISCAS. AF_03/2024</t>
  </si>
  <si>
    <t>TEXTURA ACRÍLICA, APLICAÇÃO MANUAL EM PAREDE, UMA DEMÃO.
AF_04/2023</t>
  </si>
  <si>
    <t>TAMPO EM GRANITO OCRE - FORNECIMENTO E INSTALAÇÃO  (Conforme
projeto - bancos)</t>
  </si>
  <si>
    <t>CAIXA ENTERRADA ELÉTRICA RETANGULAR, EM CONCRETO PRÉ-
MOLDADO, FUNDO COM BRITA, DIMENSÕES INTERNAS: 0,4X0,4X0,4 M. AF_12/2020</t>
  </si>
  <si>
    <t>CURVA 45° PARA ELETRODUTO RIGÍDO ROSCAVÉL 50MM 1/2 (ADAPTADO
ORSE 11343)</t>
  </si>
  <si>
    <t>CURVA 90 GRAUS PARA ELETRODUTO, PVC, ROSCÁVEL, DN 25 MM (3/4"),
PARA CIRCUITOS TERMINAIS, INSTALADA EM LAJE - FORNECIMENTO E INSTALAÇÃO. AF_03/2023</t>
  </si>
  <si>
    <t>LUVA PARA ELETRODUTO, PVC, ROSCÁVEL, DN 50 MM (1 1/2"), PARA REDE ENTERRADA DE DISTRIBUIÇÃO DE ENERGIA ELÉTRICA - FORNECIMENTO E INSTALAÇÃO. AF_12/2021</t>
  </si>
  <si>
    <t>DISJUNTOR MONOPOLAR TIPO DIN, CORRENTE NOMINAL DE 25A -
FORNECIMENTO E INSTALAÇÃO. AF_10/2020</t>
  </si>
  <si>
    <t>SENSOR DE PRESENCA BIVOLT COM FOTOCELULA PARA QUALQUER TIPO DE LAMPADA, POTENCIA MAXIMA *1000* W, USO EXTERNO</t>
  </si>
  <si>
    <t>PADRÃO DE ENTRADA COLETIVO COM SAÍDA SUBTERRÂNEA, COM
POSTE DUPLO T</t>
  </si>
  <si>
    <t>CAIXA ENTERRADA ELÉTRICA RETANGULAR, EM ALVENARIA COM
TIJOLOS CERÂMICOS MACIÇOS, FUNDO COM BRITA, DIMENSÕES INTERNAS: 0,3X0,3X0,3 M. AF_12/2020</t>
  </si>
  <si>
    <t>CABO DE COBRE FLEXÍVEL ISOLADO, 4 MM², ANTI-CHAMA 0,6/1,0 KV, PARA CIRCUITOS TERMINAIS - FORNECIMENTO E INSTALAÇÃO.
AF_03/2023</t>
  </si>
  <si>
    <t>Poste decorativo com 02 pétalas, em tubo de alumínio com difusor em vidro leitoso brilhante,  ref. XR-708/2 da Xoulux ou similar, com 6,00m, inclusive lâmpada vapor de sódio de 250W. Rev  01_06/2024 (ORSE 8888)</t>
  </si>
  <si>
    <t>B.D.I. = 22,58%
ENCARGOS SOCIAIS:
Nao Desonerado: embutido nos presos unitário dos insumos de mão de obra, de acordo com as bases.</t>
  </si>
  <si>
    <t>B.D.I. = 22,58
ENCARGOS SOCIAIS:
Nao Desonerado: embutido nos presos unitário dos insumos de mão de obra, de acordo com as bases.</t>
  </si>
  <si>
    <t>QTD</t>
  </si>
  <si>
    <t>X</t>
  </si>
  <si>
    <t>Y</t>
  </si>
  <si>
    <t>Z</t>
  </si>
  <si>
    <t>TOTAL</t>
  </si>
  <si>
    <t>1.1.1</t>
  </si>
  <si>
    <t>1.2.1</t>
  </si>
  <si>
    <t>Perímetro externo</t>
  </si>
  <si>
    <t>Terreno</t>
  </si>
  <si>
    <t>PARCIAL</t>
  </si>
  <si>
    <t>GERAL</t>
  </si>
  <si>
    <t>Sapatas e vigas baldrames ( S4=S5=S7=S8=S10=S11 )</t>
  </si>
  <si>
    <t>Sapatas e vigas baldrames ( S2=S3=S12=S13 )</t>
  </si>
  <si>
    <t>Sapatas e vigas baldrames ( S1=S14 )</t>
  </si>
  <si>
    <t>Sapatas e vigas baldrames ( S6=S9 )</t>
  </si>
  <si>
    <t>Sapatas e vigas baldrames ( VB1 )</t>
  </si>
  <si>
    <t>Sapatas e vigas baldrames ( VB2 )</t>
  </si>
  <si>
    <t>Sapatas e vigas baldrames ( VB3 )</t>
  </si>
  <si>
    <t>Sapatas e vigas baldrames ( VB4 )</t>
  </si>
  <si>
    <t>Sapatas e vigas baldrames ( VB5  )</t>
  </si>
  <si>
    <t>Sapatas e vigas baldrames ( VB6=VB7=VB8=VB9=VB10=VB11=VB12=VB13 )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</si>
  <si>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</si>
  <si>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</si>
  <si>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</si>
  <si>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</si>
  <si>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</si>
  <si>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</si>
  <si>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</si>
  <si>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</si>
  <si>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</si>
  <si>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</si>
  <si>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2.2.2.1</t>
  </si>
  <si>
    <t>Volume de escavação - Volume de concreto das sapatas</t>
  </si>
  <si>
    <t xml:space="preserve">______________________________________
Eng. Responsável Técnico da Fiscalização
</t>
  </si>
  <si>
    <t xml:space="preserve">_________________________________
Eng. Responsável Técnico da Execução
</t>
  </si>
  <si>
    <t xml:space="preserve">______________________________________
Eng. Responsável Técnico da Fiscalização
</t>
  </si>
  <si>
    <t>2.3.1.1</t>
  </si>
  <si>
    <t>2.3.1.2</t>
  </si>
  <si>
    <t>2.3.1.3</t>
  </si>
  <si>
    <t>2.3.1.4</t>
  </si>
  <si>
    <t>2.3.2.1</t>
  </si>
  <si>
    <t>2.3.2.2</t>
  </si>
  <si>
    <t>2.3.2.3</t>
  </si>
  <si>
    <t>2.3.2.4</t>
  </si>
  <si>
    <t>2.3.2.5</t>
  </si>
  <si>
    <t>2.3.2.6</t>
  </si>
  <si>
    <t>2.3.2.7</t>
  </si>
  <si>
    <t>2.3.2.8</t>
  </si>
  <si>
    <t>2.3.2.9</t>
  </si>
  <si>
    <t>2.3.2.10</t>
  </si>
  <si>
    <t>2.3.3.1</t>
  </si>
  <si>
    <t>2.3.3.2</t>
  </si>
  <si>
    <t>2.3.4.1</t>
  </si>
  <si>
    <t>2.3.5.1</t>
  </si>
  <si>
    <t>2.3.6.1</t>
  </si>
  <si>
    <t>2.3.7.1</t>
  </si>
  <si>
    <t>2.3.8.1</t>
  </si>
  <si>
    <t>2.3.9.1</t>
  </si>
  <si>
    <t>2.3.10.1</t>
  </si>
  <si>
    <t>2.3.10.2</t>
  </si>
  <si>
    <t>2.3.10.3</t>
  </si>
  <si>
    <t>2.3.10.4</t>
  </si>
  <si>
    <t>2.3.10.5</t>
  </si>
  <si>
    <t>2.3.10.6</t>
  </si>
  <si>
    <t>2.4.1.1</t>
  </si>
  <si>
    <t>2.4.1.2</t>
  </si>
  <si>
    <t>2.4.1.3</t>
  </si>
  <si>
    <t>2.4.2.1</t>
  </si>
  <si>
    <t>2.4.3.1</t>
  </si>
  <si>
    <t>S4=S5=S7=S8=S10=S11</t>
  </si>
  <si>
    <t>S2=S3=S12=S13</t>
  </si>
  <si>
    <t>S1=S14</t>
  </si>
  <si>
    <t>S6=S9</t>
  </si>
  <si>
    <t>VB1</t>
  </si>
  <si>
    <t>VB2</t>
  </si>
  <si>
    <t>VB6=VB7=VB8=VB9=VB10=VB11=VB12=VB13</t>
  </si>
  <si>
    <t>VB3</t>
  </si>
  <si>
    <t>VB4</t>
  </si>
  <si>
    <t>VB5</t>
  </si>
  <si>
    <t>Sapatas</t>
  </si>
  <si>
    <t>Vigas Baldrames</t>
  </si>
  <si>
    <t>Perímetro ( Quiosque e WC )</t>
  </si>
  <si>
    <t>Lançamento</t>
  </si>
  <si>
    <t>Vigas baldrames</t>
  </si>
  <si>
    <t>Sapatas ( Prancha 05/11 )</t>
  </si>
  <si>
    <t>Vigas baldrames ( Prancha 06/11 )</t>
  </si>
  <si>
    <t>Pilares</t>
  </si>
  <si>
    <t>Arranque de Pilares ( Nível 230 )</t>
  </si>
  <si>
    <t>Pilares ( Nível 230 )</t>
  </si>
  <si>
    <t>Pilares ( Nível 420 )</t>
  </si>
  <si>
    <t>Viga</t>
  </si>
  <si>
    <t>Viga ( Nível 270 )</t>
  </si>
  <si>
    <t>Laje</t>
  </si>
  <si>
    <t>Laje ( Nível 275 )</t>
  </si>
  <si>
    <t>3.1.1.1</t>
  </si>
  <si>
    <t>3.2.1.1</t>
  </si>
  <si>
    <t>3.2.1.2</t>
  </si>
  <si>
    <t>3.2.1.3</t>
  </si>
  <si>
    <t>3.2.2.1</t>
  </si>
  <si>
    <t>3.3.1.1</t>
  </si>
  <si>
    <t>3.3.2.1</t>
  </si>
  <si>
    <t>3.3.2.2</t>
  </si>
  <si>
    <t>3.3.2.3</t>
  </si>
  <si>
    <t>3.3.3.1</t>
  </si>
  <si>
    <t>3.3.3.2</t>
  </si>
  <si>
    <t>3.3.4.1</t>
  </si>
  <si>
    <t>3.3.5.1</t>
  </si>
  <si>
    <t>3.3.6.1</t>
  </si>
  <si>
    <t>3.3.7.1</t>
  </si>
  <si>
    <t>3.3.8.1</t>
  </si>
  <si>
    <t>3.3.9.1</t>
  </si>
  <si>
    <t>3.3.10.1</t>
  </si>
  <si>
    <t>3.3.10.2</t>
  </si>
  <si>
    <t>3.4.1.1</t>
  </si>
  <si>
    <t>3.4.2.1</t>
  </si>
  <si>
    <t>3.4.2.2</t>
  </si>
  <si>
    <t>3.4.3.1</t>
  </si>
  <si>
    <t>3.4.3.2</t>
  </si>
  <si>
    <t>3.4.3.3</t>
  </si>
  <si>
    <t>3.4.4.1</t>
  </si>
  <si>
    <t>3.4.4.2</t>
  </si>
  <si>
    <t>3.4.5.1</t>
  </si>
  <si>
    <t>3.4.5.2</t>
  </si>
  <si>
    <t>3.4.6.1</t>
  </si>
  <si>
    <t>3.4.6.2</t>
  </si>
  <si>
    <t>3.4.6.3</t>
  </si>
  <si>
    <t>3.4.6.4</t>
  </si>
  <si>
    <t>3.4.7.1</t>
  </si>
  <si>
    <t>3.4.8.1</t>
  </si>
  <si>
    <t>3.4.9.1</t>
  </si>
  <si>
    <t>3.4.10.1</t>
  </si>
  <si>
    <t>Perímetro ( Guarita e WC )</t>
  </si>
  <si>
    <t>S1=S2=S3=S4</t>
  </si>
  <si>
    <t>S1=S2=S3=S4 ( Sapatas )</t>
  </si>
  <si>
    <t>VB1 E VB2 ( Vigas Baldrames Nível +0 )</t>
  </si>
  <si>
    <t>VB3, VB4, VB5  ( Vigas Baldrames Nível +0 )</t>
  </si>
  <si>
    <t>VB3, VB4, VB5 ( Vigas Baldrames Nível +0 )</t>
  </si>
  <si>
    <t>Sapatas ( Nível +0 )</t>
  </si>
  <si>
    <t>Vigas Baldrames ( Nível +0 )</t>
  </si>
  <si>
    <t>VB1 E VB2  ( Nível +0 )</t>
  </si>
  <si>
    <t>VB3, VB4, VB5 ( Nível +0 )</t>
  </si>
  <si>
    <t>Pilares ( Nível+300 )</t>
  </si>
  <si>
    <t>Vigas</t>
  </si>
  <si>
    <t>Viga platinbanda</t>
  </si>
  <si>
    <t>3.4.7.2</t>
  </si>
  <si>
    <t>3.4.7.3</t>
  </si>
  <si>
    <t>3.4.7.4</t>
  </si>
  <si>
    <t>4.1.1.1</t>
  </si>
  <si>
    <t>4.1.1.2</t>
  </si>
  <si>
    <t>4.1.1.3</t>
  </si>
  <si>
    <t>4.1.1.4</t>
  </si>
  <si>
    <t>4.1.1.5</t>
  </si>
  <si>
    <t>4.1.1.6</t>
  </si>
  <si>
    <t>4.1.1.7</t>
  </si>
  <si>
    <t>4.1.1.8</t>
  </si>
  <si>
    <t>4.1.1.9</t>
  </si>
  <si>
    <t>4.1.1.10</t>
  </si>
  <si>
    <t>4.1.1.11</t>
  </si>
  <si>
    <t>4.1.1.12</t>
  </si>
  <si>
    <t>4.1.1.13</t>
  </si>
  <si>
    <t>4.1.1.14</t>
  </si>
  <si>
    <t>4.1.1.15</t>
  </si>
  <si>
    <t>4.1.1.16</t>
  </si>
  <si>
    <t>4.1.2.1</t>
  </si>
  <si>
    <t>4.2.2.1</t>
  </si>
  <si>
    <t>4.2.2.2</t>
  </si>
  <si>
    <t>4.2.2.3</t>
  </si>
  <si>
    <t>4.2.2.4</t>
  </si>
  <si>
    <t>4.2.2.5</t>
  </si>
  <si>
    <t>4.2.2.6</t>
  </si>
  <si>
    <t>4.2.2.7</t>
  </si>
  <si>
    <t>4.2.2.8</t>
  </si>
  <si>
    <t>4.2.2.9</t>
  </si>
  <si>
    <t>4.2.2.10</t>
  </si>
  <si>
    <t>4.2.2.11</t>
  </si>
  <si>
    <t>4.2.2.12</t>
  </si>
  <si>
    <t>4.2.2.13</t>
  </si>
  <si>
    <t>4.2.2.14</t>
  </si>
  <si>
    <t>4.2.2.15</t>
  </si>
  <si>
    <t>4.2.2.16</t>
  </si>
  <si>
    <t>4.2.3.1</t>
  </si>
  <si>
    <t>4.2.3.2</t>
  </si>
  <si>
    <t>4.2.4.1</t>
  </si>
  <si>
    <t>4.2.5.1</t>
  </si>
  <si>
    <t>4.2.6.1</t>
  </si>
  <si>
    <t>4.2.7.1</t>
  </si>
  <si>
    <t>4.2.8.1</t>
  </si>
  <si>
    <t>4.2.9.1</t>
  </si>
  <si>
    <t>4.2.10.1</t>
  </si>
  <si>
    <t>4.2.10.2</t>
  </si>
  <si>
    <t>4.2.10.3</t>
  </si>
  <si>
    <t>4.2.10.4</t>
  </si>
  <si>
    <t>4.2.10.5</t>
  </si>
  <si>
    <t>4.2.10.6</t>
  </si>
  <si>
    <t>4.2.10.7</t>
  </si>
  <si>
    <t>4.2.10.8</t>
  </si>
  <si>
    <t>4.2.10.9</t>
  </si>
  <si>
    <t>4.2.10.10</t>
  </si>
  <si>
    <t>4.2.10.11</t>
  </si>
  <si>
    <t>4.2.10.12</t>
  </si>
  <si>
    <t>4.3.1.1</t>
  </si>
  <si>
    <t>4.3.1.2</t>
  </si>
  <si>
    <t>4.3.1.3</t>
  </si>
  <si>
    <t>4.3.2.1</t>
  </si>
  <si>
    <t>4.3.2.2</t>
  </si>
  <si>
    <t>4.3.3.1</t>
  </si>
  <si>
    <t>4.3.3.2</t>
  </si>
  <si>
    <t>4.3.3.3</t>
  </si>
  <si>
    <t>4.3.3.4</t>
  </si>
  <si>
    <t>4.3.4.1</t>
  </si>
  <si>
    <t>4.3.4.2</t>
  </si>
  <si>
    <t>4.3.4.3</t>
  </si>
  <si>
    <t>4.3.4.4</t>
  </si>
  <si>
    <t>4.3.5.1</t>
  </si>
  <si>
    <t>4.3.5.2</t>
  </si>
  <si>
    <t>S10=S11 ( Sapatas )</t>
  </si>
  <si>
    <t>S1=S2=S3=S4=S5=S6=S7=S8=S9=S26 ( Sapatas )</t>
  </si>
  <si>
    <t>S13=S14=S15=S16=S17=S18=S19=S20=S21=S22=S23=S24=S25 ( Sapatas )</t>
  </si>
  <si>
    <t>S12 ( Sapata )</t>
  </si>
  <si>
    <t>VB1 ( Vigas Baldrames )</t>
  </si>
  <si>
    <t>VB2 ( Vigas Baldrames )</t>
  </si>
  <si>
    <t>VB3 ( Vigas Baldrames )</t>
  </si>
  <si>
    <t>VB4 ( Vigas Baldrames )</t>
  </si>
  <si>
    <t>VB5 ( Vigas Baldrames )</t>
  </si>
  <si>
    <t>VB6 ( Vigas Baldrames )</t>
  </si>
  <si>
    <t>VB7 ( Vigas Baldrames )</t>
  </si>
  <si>
    <t>VB8 ( Vigas Baldrames )</t>
  </si>
  <si>
    <t>VB9 ( Vigas Baldrames )</t>
  </si>
  <si>
    <t>VB10 ( Vigas Baldrames )</t>
  </si>
  <si>
    <t>VB11 ( Vigas Baldrames )</t>
  </si>
  <si>
    <t>VB12 ( Vigas Baldrames )</t>
  </si>
  <si>
    <t>4.2.9.2</t>
  </si>
  <si>
    <t>Arranque de pilares</t>
  </si>
  <si>
    <t>Arranque de pilares ( Nível 0 )</t>
  </si>
  <si>
    <t>Pilares ( Nível 130 )</t>
  </si>
  <si>
    <t>Vigas  ( Nível 130 )</t>
  </si>
  <si>
    <t>Vigas  ( Nível 230 )</t>
  </si>
  <si>
    <t>2.8.1</t>
  </si>
  <si>
    <t>2.8.2</t>
  </si>
  <si>
    <t>2.8.3</t>
  </si>
  <si>
    <t>VALOR TOTAL ACUMULADO</t>
  </si>
  <si>
    <t>TOTAL DA MEDIÇÃO 02</t>
  </si>
  <si>
    <t>TOTAL MEDIDO NO PERÍODO 01 =</t>
  </si>
  <si>
    <t>AVANÇO</t>
  </si>
  <si>
    <t>PERCENTUAL DE EXECUÇÃO ACUMULADO</t>
  </si>
  <si>
    <t>QUANTIDADE TOTAL ACUMULADA</t>
  </si>
  <si>
    <t>AVANÇO NO PERIODO</t>
  </si>
  <si>
    <t>AVANÇO TOTAL ACUMULADO</t>
  </si>
  <si>
    <t xml:space="preserve">_____________________________________
Eng. Responsável Técnico da Execução
</t>
  </si>
  <si>
    <t>2.4.4.1</t>
  </si>
  <si>
    <t>2.4.4.2</t>
  </si>
  <si>
    <t>2.4.4.3</t>
  </si>
  <si>
    <t>2.4.4.4</t>
  </si>
  <si>
    <t>Pilares ( Nível 275 )</t>
  </si>
  <si>
    <t>2.4.5.1</t>
  </si>
  <si>
    <t>2.4.5.2</t>
  </si>
  <si>
    <t>2.4.5.3</t>
  </si>
  <si>
    <t>2.4.6.1</t>
  </si>
  <si>
    <t>2.4.7.1</t>
  </si>
  <si>
    <t>2.4.7.2</t>
  </si>
  <si>
    <t>2.4.7.3</t>
  </si>
  <si>
    <t>2.4.7.4</t>
  </si>
  <si>
    <t>2.4.7.5</t>
  </si>
  <si>
    <t>2.4.9.1</t>
  </si>
  <si>
    <t>2.4.10.1</t>
  </si>
  <si>
    <t>2.5.1.1</t>
  </si>
  <si>
    <t>2.5.1.2</t>
  </si>
  <si>
    <t>2.5.1.3</t>
  </si>
  <si>
    <t>2.5.1.4</t>
  </si>
  <si>
    <t>2.5.1.5</t>
  </si>
  <si>
    <t>2.5.1.6</t>
  </si>
  <si>
    <t>2.5.1.7</t>
  </si>
  <si>
    <t>2.5.2.1</t>
  </si>
  <si>
    <t>2.5.2.2</t>
  </si>
  <si>
    <t>2.5.2.3</t>
  </si>
  <si>
    <t>2.5.2.4</t>
  </si>
  <si>
    <t>Quiosque</t>
  </si>
  <si>
    <t>Porta</t>
  </si>
  <si>
    <t>Vão</t>
  </si>
  <si>
    <t>WC</t>
  </si>
  <si>
    <t>Janela</t>
  </si>
  <si>
    <t>P01 (0,30cm de cada lado )</t>
  </si>
  <si>
    <t>2.5.3.1</t>
  </si>
  <si>
    <t>2.5.3.2</t>
  </si>
  <si>
    <t>2.5.3.3</t>
  </si>
  <si>
    <t>2.8.1.1</t>
  </si>
  <si>
    <t>2.8.1.2</t>
  </si>
  <si>
    <t>2.8.2.1</t>
  </si>
  <si>
    <t>2.8.2.2</t>
  </si>
  <si>
    <t>Peças</t>
  </si>
  <si>
    <t>Peças (Cozinha)</t>
  </si>
  <si>
    <t>Acessório de tubo</t>
  </si>
  <si>
    <t xml:space="preserve">Conexões de tubo </t>
  </si>
  <si>
    <t>Tubos</t>
  </si>
  <si>
    <t>2.9.1.1.1</t>
  </si>
  <si>
    <t>2.9.1.2.1</t>
  </si>
  <si>
    <t>2.9.1.3.1</t>
  </si>
  <si>
    <t>2.9.1.4.1</t>
  </si>
  <si>
    <t>2.9.1.5.1</t>
  </si>
  <si>
    <t>2.9.1.6.1</t>
  </si>
  <si>
    <t>2.9.1.7.1</t>
  </si>
  <si>
    <t>2.9.1.8.1</t>
  </si>
  <si>
    <t>2.9.1.9.1</t>
  </si>
  <si>
    <t>2.9.1.10.1</t>
  </si>
  <si>
    <t>2.9.1.11.1</t>
  </si>
  <si>
    <t>2.9.1.12.1</t>
  </si>
  <si>
    <t>2.9.1.13.1</t>
  </si>
  <si>
    <t>2.9.1.14.1</t>
  </si>
  <si>
    <t>2.9.1.15.1</t>
  </si>
  <si>
    <t>2.9.1.16.1</t>
  </si>
  <si>
    <t>2.9.1.17.1</t>
  </si>
  <si>
    <t>2.9.1.18.1</t>
  </si>
  <si>
    <t>2.9.1.19.1</t>
  </si>
  <si>
    <t>2.9.1.20.1</t>
  </si>
  <si>
    <t>2.9.1.21.1</t>
  </si>
  <si>
    <t>2.9.1.22.1</t>
  </si>
  <si>
    <t>2.9.1.23.1</t>
  </si>
  <si>
    <t>2.9.1.24.1</t>
  </si>
  <si>
    <t>2.9.1.25.1</t>
  </si>
  <si>
    <t>Fase</t>
  </si>
  <si>
    <t>Neutro</t>
  </si>
  <si>
    <t>Terra</t>
  </si>
  <si>
    <t>2.9.2.1.1</t>
  </si>
  <si>
    <t>2.9.2.2.1</t>
  </si>
  <si>
    <t>2.9.2.3.1</t>
  </si>
  <si>
    <t>2.9.2.4.1</t>
  </si>
  <si>
    <t>2.9.2.5.1</t>
  </si>
  <si>
    <t>2.9.2.6.1</t>
  </si>
  <si>
    <t>2.9.2.7.1</t>
  </si>
  <si>
    <t>2.9.2.8.1</t>
  </si>
  <si>
    <t>2.9.2.9.1</t>
  </si>
  <si>
    <t>2.9.2.10.1</t>
  </si>
  <si>
    <t>2.9.2.11.1</t>
  </si>
  <si>
    <t>2.9.2.12.1</t>
  </si>
  <si>
    <t>2.9.2.13.1</t>
  </si>
  <si>
    <t>2.9.2.14.1</t>
  </si>
  <si>
    <t>2.9.2.15.1</t>
  </si>
  <si>
    <t>2.9.2.16.1</t>
  </si>
  <si>
    <t>2.9.2.17.1</t>
  </si>
  <si>
    <t>2.9.2.18.1</t>
  </si>
  <si>
    <t>2.9.2.16.2</t>
  </si>
  <si>
    <t>2.9.2.16.3</t>
  </si>
  <si>
    <t>2.9.2.17.2</t>
  </si>
  <si>
    <t>2.9.2.17.3</t>
  </si>
  <si>
    <t>2.9.2.18.2</t>
  </si>
  <si>
    <t>2.9.2.19.1</t>
  </si>
  <si>
    <t>2.9.2.20.1</t>
  </si>
  <si>
    <t>2.9.2.21.1</t>
  </si>
  <si>
    <t>2.9.3.1.1</t>
  </si>
  <si>
    <t>2.9.3.2.1</t>
  </si>
  <si>
    <t>2.9.3.3.1</t>
  </si>
  <si>
    <t>2.9.3.4.1</t>
  </si>
  <si>
    <t>2.9.3.5.1</t>
  </si>
  <si>
    <t>2.9.3.6.1</t>
  </si>
  <si>
    <t>2.9.3.7.1</t>
  </si>
  <si>
    <t>2.9.3.8.1</t>
  </si>
  <si>
    <t>2.9.3.9.1</t>
  </si>
  <si>
    <t>2.9.3.10.1</t>
  </si>
  <si>
    <t>2.9.3.11.1</t>
  </si>
  <si>
    <t>2.9.3.12.1</t>
  </si>
  <si>
    <t>2.9.3.13.1</t>
  </si>
  <si>
    <t>2.9.3.14.1</t>
  </si>
  <si>
    <t>2.9.3.15.1</t>
  </si>
  <si>
    <t>2.9.3.16.1</t>
  </si>
  <si>
    <t>2.9.3.17.1</t>
  </si>
  <si>
    <t>2.9.3.18.1</t>
  </si>
  <si>
    <t>2.9.3.19.1</t>
  </si>
  <si>
    <t>2.9.3.20.1</t>
  </si>
  <si>
    <t>2.9.3.21.1</t>
  </si>
  <si>
    <t>3.5.1.1</t>
  </si>
  <si>
    <t>3.5.1.2</t>
  </si>
  <si>
    <t>3.5.1.3</t>
  </si>
  <si>
    <t>3.5.1.4</t>
  </si>
  <si>
    <t>3.5.1.5</t>
  </si>
  <si>
    <t>3.5.1.6</t>
  </si>
  <si>
    <t>3.5.2.1</t>
  </si>
  <si>
    <t>3.5.2.2</t>
  </si>
  <si>
    <t>3.5.2.3</t>
  </si>
  <si>
    <t>3.5.2.4</t>
  </si>
  <si>
    <t>3.5.3.1</t>
  </si>
  <si>
    <t>3.5.3.2</t>
  </si>
  <si>
    <t>Guarita</t>
  </si>
  <si>
    <t>Janela de cobogó</t>
  </si>
  <si>
    <t>3.8.1.1</t>
  </si>
  <si>
    <t>3.8.2.1</t>
  </si>
  <si>
    <t>3.8.1.2</t>
  </si>
  <si>
    <t>3.8.2.2</t>
  </si>
  <si>
    <t xml:space="preserve">Guarita </t>
  </si>
  <si>
    <t xml:space="preserve">WC </t>
  </si>
  <si>
    <t>3.9.1.1.1</t>
  </si>
  <si>
    <t>3.9.1.2.1</t>
  </si>
  <si>
    <t>3.9.1.3.1</t>
  </si>
  <si>
    <t>3.9.1.4.1</t>
  </si>
  <si>
    <t>3.9.1.5.1</t>
  </si>
  <si>
    <t>3.9.1.6.1</t>
  </si>
  <si>
    <t>3.9.1.7.1</t>
  </si>
  <si>
    <t>3.9.1.8.1</t>
  </si>
  <si>
    <t>3.9.1.9.1</t>
  </si>
  <si>
    <t>3.9.1.10.1</t>
  </si>
  <si>
    <t>3.9.1.11.1</t>
  </si>
  <si>
    <t>3.9.1.12.1</t>
  </si>
  <si>
    <t>3.9.1.13.1</t>
  </si>
  <si>
    <t>3.9.1.14.1</t>
  </si>
  <si>
    <t>3.9.1.15.1</t>
  </si>
  <si>
    <t>3.9.1.16.1</t>
  </si>
  <si>
    <t>3.9.1.17.1</t>
  </si>
  <si>
    <t>3.9.1.18.1</t>
  </si>
  <si>
    <t>3.9.1.19.1</t>
  </si>
  <si>
    <t>3.9.1.20.1</t>
  </si>
  <si>
    <t>3.9.1.21.1</t>
  </si>
  <si>
    <t>3.9.1.22.1</t>
  </si>
  <si>
    <t>3.9.1.23.1</t>
  </si>
  <si>
    <t>3.9.1.24.1</t>
  </si>
  <si>
    <t>3.9.2.1.1</t>
  </si>
  <si>
    <t>3.9.2.2.1</t>
  </si>
  <si>
    <t>3.9.2.3.1</t>
  </si>
  <si>
    <t>3.9.2.4.1</t>
  </si>
  <si>
    <t>3.9.2.5.1</t>
  </si>
  <si>
    <t>3.9.2.6.1</t>
  </si>
  <si>
    <t>3.9.2.7.1</t>
  </si>
  <si>
    <t>3.9.2.8.1</t>
  </si>
  <si>
    <t>3.9.2.9.1</t>
  </si>
  <si>
    <t>3.9.2.10.1</t>
  </si>
  <si>
    <t>3.9.2.10.2</t>
  </si>
  <si>
    <t>3.9.2.10.3</t>
  </si>
  <si>
    <t>3.9.2.11.1</t>
  </si>
  <si>
    <t>3.9.2.11.2</t>
  </si>
  <si>
    <t>3.9.2.11.3</t>
  </si>
  <si>
    <t>3.9.2.12.1</t>
  </si>
  <si>
    <t>3.9.2.12.2</t>
  </si>
  <si>
    <t>3.9.2.12.3</t>
  </si>
  <si>
    <t>3.9.2.13.1</t>
  </si>
  <si>
    <t>3.9.2.14.1</t>
  </si>
  <si>
    <t>3.9.2.15.1</t>
  </si>
  <si>
    <t>3.9.2.16.1</t>
  </si>
  <si>
    <t>3.9.2.17.1</t>
  </si>
  <si>
    <t>3.9.2.18.1</t>
  </si>
  <si>
    <t>3.9.2.19.1</t>
  </si>
  <si>
    <t>3.9.2.20.1</t>
  </si>
  <si>
    <t>3.9.3.1.1</t>
  </si>
  <si>
    <t>3.9.3.2.1</t>
  </si>
  <si>
    <t>3.9.3.3.1</t>
  </si>
  <si>
    <t>3.9.3.4.1</t>
  </si>
  <si>
    <t>3.9.3.5.1</t>
  </si>
  <si>
    <t>3.9.3.6.1</t>
  </si>
  <si>
    <t>3.9.3.7.1</t>
  </si>
  <si>
    <t>3.9.3.8.1</t>
  </si>
  <si>
    <t>3.9.3.9.1</t>
  </si>
  <si>
    <t>3.9.3.10.1</t>
  </si>
  <si>
    <t>3.9.3.11.1</t>
  </si>
  <si>
    <t>3.9.3.12.1</t>
  </si>
  <si>
    <t>3.9.3.13.1</t>
  </si>
  <si>
    <t>3.9.3.14.1</t>
  </si>
  <si>
    <t>3.9.3.15.1</t>
  </si>
  <si>
    <t>3.9.3.16.1</t>
  </si>
  <si>
    <t>3.9.3.17.1</t>
  </si>
  <si>
    <t>3.9.3.18.1</t>
  </si>
  <si>
    <t>4.3.6.1</t>
  </si>
  <si>
    <t>4.3.6.2</t>
  </si>
  <si>
    <t>4.3.6.3</t>
  </si>
  <si>
    <t>4.3.6.4</t>
  </si>
  <si>
    <t>4.3.6.5</t>
  </si>
  <si>
    <t>4.4.1.1</t>
  </si>
  <si>
    <t>4.4.1.2</t>
  </si>
  <si>
    <t>4.4.2.1</t>
  </si>
  <si>
    <t>4.4.3.1</t>
  </si>
  <si>
    <t>4.4.2.2</t>
  </si>
  <si>
    <t>4.4.3.2</t>
  </si>
  <si>
    <t>Pilares (Nível 130)</t>
  </si>
  <si>
    <t>Pilares (Nível 230)</t>
  </si>
  <si>
    <t>Vigas (Nível 130)</t>
  </si>
  <si>
    <t>Vigas (Nível 230 )</t>
  </si>
  <si>
    <t>Muro (Parte total em alvenaria)</t>
  </si>
  <si>
    <t>Muro (Parte em madeira)</t>
  </si>
  <si>
    <t>Muro (Fechamento em madeira)</t>
  </si>
  <si>
    <t>Muro (Pingadeira)</t>
  </si>
  <si>
    <t>4.4.7.1</t>
  </si>
  <si>
    <t>4.4.8.1</t>
  </si>
  <si>
    <t>5.3.1.1</t>
  </si>
  <si>
    <t>5.3.2.1</t>
  </si>
  <si>
    <t>5.3.3.1</t>
  </si>
  <si>
    <t>5.3.4.1</t>
  </si>
  <si>
    <t>Banco (Base em alvenaria)</t>
  </si>
  <si>
    <t>6.1.1</t>
  </si>
  <si>
    <t>6.1.2</t>
  </si>
  <si>
    <t>6.2.1</t>
  </si>
  <si>
    <t>6.3.1</t>
  </si>
  <si>
    <t>6.4.1</t>
  </si>
  <si>
    <t>6.5.1</t>
  </si>
  <si>
    <t>6.6.1</t>
  </si>
  <si>
    <t>6.7.1</t>
  </si>
  <si>
    <t>6.8.1</t>
  </si>
  <si>
    <t>6.9.1</t>
  </si>
  <si>
    <t>6.10.1</t>
  </si>
  <si>
    <t>6.11.1</t>
  </si>
  <si>
    <t>6.12.1</t>
  </si>
  <si>
    <t>6.13.1</t>
  </si>
  <si>
    <t>6.14.1</t>
  </si>
  <si>
    <t>6.15.1</t>
  </si>
  <si>
    <t>6.16.1</t>
  </si>
  <si>
    <t>6.17.1</t>
  </si>
  <si>
    <t>6.17.2</t>
  </si>
  <si>
    <t>6.17.3</t>
  </si>
  <si>
    <t>6.18.1</t>
  </si>
  <si>
    <t>6.18.2</t>
  </si>
  <si>
    <t>6.18.3</t>
  </si>
  <si>
    <t>Eletrodutos</t>
  </si>
  <si>
    <t>Caixa de passagem</t>
  </si>
  <si>
    <t xml:space="preserve">Neutro </t>
  </si>
  <si>
    <t>TOTAL DA MEDIÇÃO 03</t>
  </si>
  <si>
    <t>TOTAL MEDIDO NO PERÍODO 03 =</t>
  </si>
  <si>
    <t>TOTAL MEDIDO NO PERÍODO 01</t>
  </si>
  <si>
    <t>TOTAL MEDIDO NO PERÍODO 02</t>
  </si>
  <si>
    <t>2.6.1.1</t>
  </si>
  <si>
    <t>2.6.1.2</t>
  </si>
  <si>
    <t>2.6.1.3</t>
  </si>
  <si>
    <t>2.6.1.4</t>
  </si>
  <si>
    <t>2.6.1.5</t>
  </si>
  <si>
    <t>2.6.1.6</t>
  </si>
  <si>
    <t>2.6.1.7</t>
  </si>
  <si>
    <t>2.6.2.1</t>
  </si>
  <si>
    <t>2.6.2.2</t>
  </si>
  <si>
    <t>2.6.2.3</t>
  </si>
  <si>
    <t>2.6.2.4</t>
  </si>
  <si>
    <t>2.6.2.5</t>
  </si>
  <si>
    <t>2.6.2.6</t>
  </si>
  <si>
    <t>2.6.2.7</t>
  </si>
  <si>
    <t>2.6.3.1</t>
  </si>
  <si>
    <t>2.6.3.2</t>
  </si>
  <si>
    <t>2.6.3.3</t>
  </si>
  <si>
    <t>2.6.3.4</t>
  </si>
  <si>
    <t>2.6.3.5</t>
  </si>
  <si>
    <t>2.6.3.6</t>
  </si>
  <si>
    <t>2.6.3.7</t>
  </si>
  <si>
    <t>2.6.5.1</t>
  </si>
  <si>
    <t>2.6.5.2</t>
  </si>
  <si>
    <t>2.6.5.3</t>
  </si>
  <si>
    <t>2.6.5.4</t>
  </si>
  <si>
    <t>2.6.5.5</t>
  </si>
  <si>
    <t>Quiosque(Interno)</t>
  </si>
  <si>
    <t>WC(Interno)</t>
  </si>
  <si>
    <t>Quiosque(Externo)</t>
  </si>
  <si>
    <t>2.6.6.1</t>
  </si>
  <si>
    <t>2.6.6.2</t>
  </si>
  <si>
    <t>2.6.6.3</t>
  </si>
  <si>
    <t>2.6.6.4</t>
  </si>
  <si>
    <t>2.6.6.5</t>
  </si>
  <si>
    <t>2.10.1.1</t>
  </si>
  <si>
    <t>2.10.2.1</t>
  </si>
  <si>
    <t>2.10.3.1</t>
  </si>
  <si>
    <t>2.10.4.1</t>
  </si>
  <si>
    <t>2.10.5.1</t>
  </si>
  <si>
    <t>2.10.6.1</t>
  </si>
  <si>
    <t>30% da área da cobertura (estimado)</t>
  </si>
  <si>
    <t>2.11.2.1</t>
  </si>
  <si>
    <t>3.6.1.1</t>
  </si>
  <si>
    <t>3.6.1.2</t>
  </si>
  <si>
    <t>3.6.1.3</t>
  </si>
  <si>
    <t>3.6.1.4</t>
  </si>
  <si>
    <t>3.6.1.5</t>
  </si>
  <si>
    <t>3.6.1.6</t>
  </si>
  <si>
    <t>3.6.2.1</t>
  </si>
  <si>
    <t>3.6.2.2</t>
  </si>
  <si>
    <t>3.6.2.3</t>
  </si>
  <si>
    <t>3.6.2.4</t>
  </si>
  <si>
    <t>3.6.2.5</t>
  </si>
  <si>
    <t>3.6.2.6</t>
  </si>
  <si>
    <t>3.6.3.1</t>
  </si>
  <si>
    <t>3.6.3.2</t>
  </si>
  <si>
    <t>3.6.3.3</t>
  </si>
  <si>
    <t>3.6.3.4</t>
  </si>
  <si>
    <t>3.6.3.5</t>
  </si>
  <si>
    <t>3.6.3.6</t>
  </si>
  <si>
    <t>Janela(Janela de cobogó)</t>
  </si>
  <si>
    <t>3.6.4.1</t>
  </si>
  <si>
    <t>3.6.4.2</t>
  </si>
  <si>
    <t>3.6.4.3</t>
  </si>
  <si>
    <t>3.6.4.4</t>
  </si>
  <si>
    <t>Guarita (Interno)</t>
  </si>
  <si>
    <t>Guarita (Externo)</t>
  </si>
  <si>
    <t>3.6.5.1</t>
  </si>
  <si>
    <t>3.6.5.2</t>
  </si>
  <si>
    <t>3.6.5.3</t>
  </si>
  <si>
    <t>3.6.5.4</t>
  </si>
  <si>
    <t>3.10.1.1</t>
  </si>
  <si>
    <t>3.10.2.1</t>
  </si>
  <si>
    <t>3.10.3.1</t>
  </si>
  <si>
    <t>3.10.4.1</t>
  </si>
  <si>
    <t>3.10.5.1</t>
  </si>
  <si>
    <t xml:space="preserve">10% da Área da cobertura </t>
  </si>
  <si>
    <t>3.11.3.1</t>
  </si>
  <si>
    <t>3.11.3.2</t>
  </si>
  <si>
    <t>Janelas</t>
  </si>
  <si>
    <t>5.1.1.1</t>
  </si>
  <si>
    <t>5.1.2.1</t>
  </si>
  <si>
    <t>5.1.3.1</t>
  </si>
  <si>
    <t>5.1.4.1</t>
  </si>
  <si>
    <t>5.1.5.1</t>
  </si>
  <si>
    <t>5.1.6.1</t>
  </si>
  <si>
    <t>5.1.7.1</t>
  </si>
  <si>
    <t>5.1.8.1</t>
  </si>
  <si>
    <t>5.1.9.1</t>
  </si>
  <si>
    <t>Vemelho</t>
  </si>
  <si>
    <t>Perímetro externo + parte canteiro</t>
  </si>
  <si>
    <t>Entre intertravados e canteiros curvos</t>
  </si>
  <si>
    <t>Pintado em azul com tinta para piso (Rampa de acessibilidade )</t>
  </si>
  <si>
    <t>Piso de alerta, em Amarelo (Conforme projeto)</t>
  </si>
  <si>
    <t>Piso direcional, em cinza (Conforme projeto)</t>
  </si>
  <si>
    <t>TOTAL MEDIDO NO PERÍODO 04 =</t>
  </si>
  <si>
    <t>TOTAL MEDIDO NO PERÍODO 03</t>
  </si>
  <si>
    <t>TOTAL DA MEDIÇÃO 04</t>
  </si>
  <si>
    <t xml:space="preserve">MEMORIAL DE CALCULO 04
</t>
  </si>
  <si>
    <t>VALOR MEDIDO NO PERÍODO:
R$ 59.587,43</t>
  </si>
  <si>
    <t xml:space="preserve">NÚMERO DA MEDIÇÃO:
4ª MEDIÇÃO.
</t>
  </si>
  <si>
    <t xml:space="preserve">Vão </t>
  </si>
  <si>
    <t>M2</t>
  </si>
  <si>
    <t>Quiosque (INTERNO )</t>
  </si>
  <si>
    <t>2.6.4.1</t>
  </si>
  <si>
    <t>2.6.4.2</t>
  </si>
  <si>
    <t>2.6.4.3</t>
  </si>
  <si>
    <t>2.6.4.4</t>
  </si>
  <si>
    <t>2.6.4.5</t>
  </si>
  <si>
    <t>2.6.4.6</t>
  </si>
  <si>
    <t>2.6.4.7</t>
  </si>
  <si>
    <t>2.6.7.1</t>
  </si>
  <si>
    <t>2.6.7.2</t>
  </si>
  <si>
    <t>2.6.7.3</t>
  </si>
  <si>
    <t>2.6.7.4</t>
  </si>
  <si>
    <t>Desconto vão, portas</t>
  </si>
  <si>
    <t xml:space="preserve">Bancadas </t>
  </si>
  <si>
    <t>Pilares (Externo )</t>
  </si>
  <si>
    <t>Fachada(Meia parede)</t>
  </si>
  <si>
    <t>2.6.8.1</t>
  </si>
  <si>
    <t>2.6.8.2</t>
  </si>
  <si>
    <t>2.6.8.3</t>
  </si>
  <si>
    <t>2.6.8.4</t>
  </si>
  <si>
    <t>2.6.8.5</t>
  </si>
  <si>
    <t>2.6.9.1</t>
  </si>
  <si>
    <t>2.6.9.2</t>
  </si>
  <si>
    <t>Meia parede (1,36m)</t>
  </si>
  <si>
    <t>Portas</t>
  </si>
  <si>
    <t>Laje onde tem a caixa d'agua(Laje impermeabilizada)</t>
  </si>
  <si>
    <t xml:space="preserve">Parede (onde tem caixa d'agua 0,40cm ) </t>
  </si>
  <si>
    <t>2.7.1.1</t>
  </si>
  <si>
    <t>2.7.1.2</t>
  </si>
  <si>
    <t>2.7.2.1</t>
  </si>
  <si>
    <t>2.7.2.2</t>
  </si>
  <si>
    <t xml:space="preserve">Cozinha </t>
  </si>
  <si>
    <t>Cozinha (Perímetro)</t>
  </si>
  <si>
    <t>WC (Perímetro)</t>
  </si>
  <si>
    <t>2.8.3.1</t>
  </si>
  <si>
    <t>2.8.3.2</t>
  </si>
  <si>
    <t>3.6.6.1</t>
  </si>
  <si>
    <t>3.6.6.2</t>
  </si>
  <si>
    <t>3.6.6.3</t>
  </si>
  <si>
    <t>3.6.6.4</t>
  </si>
  <si>
    <t>3.6.7.1</t>
  </si>
  <si>
    <t>3.6.7.2</t>
  </si>
  <si>
    <t>3.6.7.3</t>
  </si>
  <si>
    <t>3.6.7.4</t>
  </si>
  <si>
    <t>3.7.1.1</t>
  </si>
  <si>
    <t>3.7.1.2</t>
  </si>
  <si>
    <t>3.7.1.3</t>
  </si>
  <si>
    <t>3.7.1.4</t>
  </si>
  <si>
    <t>3.7.1.5</t>
  </si>
  <si>
    <t>3.7.1.6</t>
  </si>
  <si>
    <t>3.7.4.1</t>
  </si>
  <si>
    <t>3.7.4.2</t>
  </si>
  <si>
    <t>3.11.1.1</t>
  </si>
  <si>
    <t>4.4.4.1</t>
  </si>
  <si>
    <t>4.4.5.1</t>
  </si>
  <si>
    <t>4.4.5.2</t>
  </si>
  <si>
    <t>4.4.6.1</t>
  </si>
  <si>
    <t>4.4.6.2</t>
  </si>
  <si>
    <t xml:space="preserve">Piso revestido com grama </t>
  </si>
  <si>
    <t>5.1.10.1</t>
  </si>
  <si>
    <t>5.2.2.1</t>
  </si>
  <si>
    <t>5.2.2.2</t>
  </si>
  <si>
    <t>5.2.2.3</t>
  </si>
  <si>
    <t>5.2.2.4</t>
  </si>
  <si>
    <t>5.2.2.5</t>
  </si>
  <si>
    <t>Canteiro- parque</t>
  </si>
  <si>
    <t>Canteiro- Bancos</t>
  </si>
  <si>
    <t xml:space="preserve">Canteiro- Ao redor do quiosque </t>
  </si>
  <si>
    <t xml:space="preserve">Canteiro- Entre quiosque e parque </t>
  </si>
  <si>
    <t xml:space="preserve"> Canteiro- Muro </t>
  </si>
  <si>
    <t>5.2.1.1</t>
  </si>
  <si>
    <t>5.2.1.2</t>
  </si>
  <si>
    <t>5.2.1.3</t>
  </si>
  <si>
    <t>5.2.1.4</t>
  </si>
  <si>
    <t>5.2.1.5</t>
  </si>
  <si>
    <t>5.2.3.1</t>
  </si>
  <si>
    <t>Per.</t>
  </si>
  <si>
    <t>N° de
faces</t>
  </si>
  <si>
    <t>5.3.5.1</t>
  </si>
  <si>
    <t>5.3.6.1</t>
  </si>
  <si>
    <t>5.3.7.1</t>
  </si>
  <si>
    <t>5.3.8.1</t>
  </si>
  <si>
    <t>Banco (Perímetro x Altura)</t>
  </si>
  <si>
    <t>Banco</t>
  </si>
  <si>
    <t>5.3.9.1</t>
  </si>
  <si>
    <t>3.11.2.1</t>
  </si>
  <si>
    <t>3.8.3.1</t>
  </si>
  <si>
    <t>3.8.3.2</t>
  </si>
  <si>
    <t>3.7.3.1</t>
  </si>
  <si>
    <t>3.7.3.2</t>
  </si>
  <si>
    <t>3.7.3.3</t>
  </si>
  <si>
    <t>3.7.3.4</t>
  </si>
  <si>
    <t>3.7.3.5</t>
  </si>
  <si>
    <t>3.7.3.6</t>
  </si>
  <si>
    <t>3.7.2.1</t>
  </si>
  <si>
    <t>3.7.2.2</t>
  </si>
  <si>
    <t>3.7.2.3</t>
  </si>
  <si>
    <t>3.7.2.4</t>
  </si>
  <si>
    <t>3.7.2.5</t>
  </si>
  <si>
    <t>3.7.2.6</t>
  </si>
  <si>
    <t>2.11.1.1</t>
  </si>
  <si>
    <t>2.11.3.1</t>
  </si>
  <si>
    <t>6.19.1</t>
  </si>
  <si>
    <t>REFERÊNCIA/PERÍODO DA MEDIÇÃO: De  09/06/2026  a 07/08/2026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</si>
</sst>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  <numFmt numFmtId="166" formatCode="0000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MT"/>
      <family val="2"/>
    </font>
    <font>
      <sz val="10"/>
      <color theme="1"/>
      <name val="Arial MT"/>
    </font>
    <font>
      <b/>
      <sz val="10"/>
      <name val="Arial MT"/>
      <family val="2"/>
    </font>
    <font>
      <b/>
      <sz val="10"/>
      <name val="Arial MT"/>
    </font>
    <font>
      <b/>
      <sz val="10"/>
      <color rgb="FF000000"/>
      <name val="Arial MT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MT"/>
    </font>
    <font>
      <b/>
      <sz val="10"/>
      <color rgb="FF000000"/>
      <name val="Arial MT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5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165" fontId="13" fillId="0" borderId="2" xfId="0" applyNumberFormat="1" applyFont="1" applyBorder="1" applyAlignment="1">
      <alignment vertical="center" wrapText="1"/>
    </xf>
    <xf numFmtId="0" fontId="14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 vertical="center" wrapText="1"/>
    </xf>
    <xf numFmtId="10" fontId="4" fillId="0" borderId="0" xfId="2" applyNumberFormat="1" applyFont="1"/>
    <xf numFmtId="9" fontId="19" fillId="0" borderId="1" xfId="2" applyFont="1" applyFill="1" applyBorder="1" applyAlignment="1" applyProtection="1">
      <alignment horizontal="right" vertical="center" wrapText="1"/>
    </xf>
    <xf numFmtId="4" fontId="19" fillId="0" borderId="1" xfId="0" applyNumberFormat="1" applyFont="1" applyBorder="1" applyAlignment="1">
      <alignment horizontal="right" vertical="center" wrapText="1"/>
    </xf>
    <xf numFmtId="165" fontId="19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20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0" fontId="20" fillId="0" borderId="0" xfId="0" applyFont="1"/>
    <xf numFmtId="9" fontId="10" fillId="0" borderId="1" xfId="2" applyFont="1" applyBorder="1"/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2" fontId="16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/>
    <xf numFmtId="1" fontId="16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166" fontId="17" fillId="0" borderId="1" xfId="0" applyNumberFormat="1" applyFont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center" vertical="center" wrapText="1"/>
    </xf>
    <xf numFmtId="44" fontId="18" fillId="0" borderId="1" xfId="1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166" fontId="8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27" fillId="0" borderId="1" xfId="0" applyFont="1" applyBorder="1"/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1" xfId="0" applyFont="1" applyBorder="1"/>
    <xf numFmtId="0" fontId="3" fillId="0" borderId="1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2" fontId="28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0" fontId="0" fillId="0" borderId="0" xfId="0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0" fontId="8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14" fillId="0" borderId="1" xfId="0" applyFont="1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44" fontId="13" fillId="0" borderId="1" xfId="0" applyNumberFormat="1" applyFont="1" applyBorder="1" applyAlignment="1">
      <alignment vertical="center" wrapText="1"/>
    </xf>
    <xf numFmtId="10" fontId="11" fillId="3" borderId="1" xfId="2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6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44" fontId="24" fillId="0" borderId="1" xfId="0" applyNumberFormat="1" applyFont="1" applyBorder="1" applyAlignment="1">
      <alignment horizontal="left" vertical="center" shrinkToFit="1"/>
    </xf>
    <xf numFmtId="9" fontId="9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/>
    </xf>
    <xf numFmtId="44" fontId="17" fillId="0" borderId="1" xfId="0" applyNumberFormat="1" applyFont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right" vertical="center" wrapText="1"/>
    </xf>
    <xf numFmtId="44" fontId="9" fillId="0" borderId="1" xfId="2" applyNumberFormat="1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shrinkToFit="1"/>
    </xf>
    <xf numFmtId="165" fontId="3" fillId="3" borderId="1" xfId="0" applyNumberFormat="1" applyFont="1" applyFill="1" applyBorder="1" applyAlignment="1">
      <alignment horizontal="right" vertical="center" wrapText="1"/>
    </xf>
    <xf numFmtId="44" fontId="8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shrinkToFit="1"/>
    </xf>
    <xf numFmtId="44" fontId="3" fillId="3" borderId="1" xfId="0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/>
    <xf numFmtId="0" fontId="3" fillId="3" borderId="1" xfId="0" applyFont="1" applyFill="1" applyBorder="1" applyAlignment="1">
      <alignment horizontal="right" vertical="center" wrapText="1"/>
    </xf>
    <xf numFmtId="43" fontId="11" fillId="3" borderId="1" xfId="1" applyFont="1" applyFill="1" applyBorder="1" applyAlignment="1">
      <alignment horizontal="center" vertical="center" wrapText="1"/>
    </xf>
    <xf numFmtId="165" fontId="11" fillId="3" borderId="1" xfId="2" applyNumberFormat="1" applyFont="1" applyFill="1" applyBorder="1" applyAlignment="1">
      <alignment horizontal="center" vertical="center" wrapText="1"/>
    </xf>
    <xf numFmtId="165" fontId="11" fillId="3" borderId="1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165" fontId="12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3" fontId="11" fillId="3" borderId="1" xfId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Porcentagem" xfId="2" builtinId="5"/>
    <cellStyle name="Vírgula" xfId="1" builtinId="3"/>
    <cellStyle name="Vírgula 2" xfId="3" xr:uid="{89BC2880-66B6-451B-80BC-F6EBE5EFEEEE}"/>
  </cellStyles>
  <dxfs count="4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43543</xdr:colOff>
      <xdr:row>0</xdr:row>
      <xdr:rowOff>43543</xdr:rowOff>
    </xdr:from>
    <xdr:ext cx="1365934" cy="1469570"/>
    <xdr:pic>
      <xdr:nvPicPr>
        <xdr:cNvPr id="3" name="image1.jpeg">
          <a:extLst>
            <a:ext uri="{FF2B5EF4-FFF2-40B4-BE49-F238E27FC236}">
              <a16:creationId xmlns:a16="http://schemas.microsoft.com/office/drawing/2014/main" id="{A56DB9F0-7A3E-44B4-9BC9-555ED6EC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3" y="43543"/>
          <a:ext cx="1365934" cy="14695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97972</xdr:rowOff>
    </xdr:from>
    <xdr:ext cx="1328057" cy="1404257"/>
    <xdr:pic>
      <xdr:nvPicPr>
        <xdr:cNvPr id="3" name="image1.jpeg">
          <a:extLst>
            <a:ext uri="{FF2B5EF4-FFF2-40B4-BE49-F238E27FC236}">
              <a16:creationId xmlns:a16="http://schemas.microsoft.com/office/drawing/2014/main" id="{23B56817-AB73-4572-8284-C7E2E432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972"/>
          <a:ext cx="1328057" cy="14042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X362"/>
  <sheetViews>
    <sheetView view="pageBreakPreview" topLeftCell="B1" zoomScale="60" zoomScaleNormal="70" zoomScaleSheetLayoutView="85" workbookViewId="0">
      <selection activeCell="L8" sqref="L8"/>
    </sheetView>
  </sheetViews>
  <sheetFormatPr defaultColWidth="9.33203125" defaultRowHeight="13.8"/>
  <cols>
    <col min="1" max="1" width="21.6640625" style="9" customWidth="1"/>
    <col min="2" max="2" width="13.33203125" style="9" customWidth="1"/>
    <col min="3" max="3" width="71.88671875" style="9" customWidth="1"/>
    <col min="4" max="4" width="13" style="9" customWidth="1"/>
    <col min="5" max="5" width="11.33203125" style="9" customWidth="1"/>
    <col min="6" max="6" width="12.5546875" style="9" customWidth="1"/>
    <col min="7" max="7" width="13.6640625" style="9" customWidth="1"/>
    <col min="8" max="8" width="14.88671875" style="9" bestFit="1" customWidth="1"/>
    <col min="9" max="9" width="37.88671875" style="9" hidden="1" customWidth="1"/>
    <col min="10" max="11" width="20.6640625" style="9" hidden="1" customWidth="1"/>
    <col min="12" max="12" width="20" style="9" customWidth="1"/>
    <col min="13" max="13" width="31.6640625" style="9" hidden="1" customWidth="1"/>
    <col min="14" max="14" width="20.5546875" style="9" hidden="1" customWidth="1"/>
    <col min="15" max="15" width="20.6640625" style="9" customWidth="1"/>
    <col min="16" max="16" width="22.88671875" style="93" hidden="1" customWidth="1"/>
    <col min="17" max="17" width="20.5546875" style="93" hidden="1" customWidth="1"/>
    <col min="18" max="18" width="20.6640625" style="93" customWidth="1"/>
    <col min="19" max="19" width="15.6640625" style="93" customWidth="1"/>
    <col min="20" max="20" width="20.6640625" style="93" customWidth="1"/>
    <col min="21" max="21" width="19" style="93" customWidth="1"/>
    <col min="22" max="22" width="17.33203125" style="9" customWidth="1"/>
    <col min="23" max="23" width="17.21875" style="9" customWidth="1"/>
    <col min="24" max="24" width="19.21875" style="9" customWidth="1"/>
    <col min="25" max="25" width="9.33203125" style="9"/>
    <col min="26" max="26" width="0" style="9" hidden="1" customWidth="1"/>
    <col min="27" max="16384" width="9.33203125" style="9"/>
  </cols>
  <sheetData>
    <row r="1" spans="1:24" ht="127.2" customHeight="1">
      <c r="A1" s="70"/>
      <c r="B1" s="172" t="s">
        <v>61</v>
      </c>
      <c r="C1" s="173"/>
      <c r="D1" s="71"/>
      <c r="E1" s="157" t="s">
        <v>59</v>
      </c>
      <c r="F1" s="157"/>
      <c r="G1" s="157" t="s">
        <v>588</v>
      </c>
      <c r="H1" s="157"/>
      <c r="I1" s="27" t="s">
        <v>60</v>
      </c>
      <c r="J1" s="151"/>
      <c r="K1" s="152"/>
      <c r="L1" s="148"/>
      <c r="M1" s="149"/>
      <c r="N1" s="149"/>
      <c r="O1" s="150"/>
      <c r="P1" s="158"/>
      <c r="Q1" s="159"/>
      <c r="R1" s="160"/>
      <c r="S1" s="158"/>
      <c r="T1" s="159"/>
      <c r="U1" s="160"/>
      <c r="V1" s="146"/>
      <c r="W1" s="146"/>
      <c r="X1" s="146"/>
    </row>
    <row r="2" spans="1:24" ht="80.400000000000006" customHeight="1">
      <c r="A2" s="157" t="s">
        <v>62</v>
      </c>
      <c r="B2" s="157"/>
      <c r="C2" s="157"/>
      <c r="D2" s="157"/>
      <c r="E2" s="157" t="s">
        <v>1203</v>
      </c>
      <c r="F2" s="157"/>
      <c r="G2" s="157" t="s">
        <v>1309</v>
      </c>
      <c r="H2" s="157"/>
      <c r="I2" s="27" t="s">
        <v>1202</v>
      </c>
      <c r="J2" s="151"/>
      <c r="K2" s="152"/>
      <c r="L2" s="112" t="s">
        <v>1101</v>
      </c>
      <c r="M2" s="153"/>
      <c r="N2" s="154"/>
      <c r="O2" s="105" t="s">
        <v>1102</v>
      </c>
      <c r="P2" s="153"/>
      <c r="Q2" s="154"/>
      <c r="R2" s="105" t="s">
        <v>1199</v>
      </c>
      <c r="S2" s="174"/>
      <c r="T2" s="175"/>
      <c r="U2" s="176"/>
      <c r="V2" s="146"/>
      <c r="W2" s="146"/>
      <c r="X2" s="146"/>
    </row>
    <row r="3" spans="1:24" ht="55.95" customHeight="1">
      <c r="A3" s="157" t="s">
        <v>63</v>
      </c>
      <c r="B3" s="157"/>
      <c r="C3" s="157"/>
      <c r="D3" s="157"/>
      <c r="E3" s="170" t="s">
        <v>64</v>
      </c>
      <c r="F3" s="171"/>
      <c r="G3" s="171"/>
      <c r="H3" s="171"/>
      <c r="I3" s="171"/>
      <c r="J3" s="145" t="s">
        <v>832</v>
      </c>
      <c r="K3" s="145"/>
      <c r="L3" s="88">
        <f>K346</f>
        <v>101593.32700000002</v>
      </c>
      <c r="M3" s="155" t="str">
        <f>TEXT("TOTAL MEDIDO NO PERÍODO 02 =",)</f>
        <v>TOTAL MEDIDO NO PERÍODO 02 =</v>
      </c>
      <c r="N3" s="155"/>
      <c r="O3" s="107">
        <f>SUM(O7:O343)</f>
        <v>108647.23099999999</v>
      </c>
      <c r="P3" s="145" t="s">
        <v>1100</v>
      </c>
      <c r="Q3" s="145"/>
      <c r="R3" s="88">
        <f>Q346</f>
        <v>108773.24280000002</v>
      </c>
      <c r="S3" s="145" t="s">
        <v>1198</v>
      </c>
      <c r="T3" s="145"/>
      <c r="U3" s="88">
        <f>T346</f>
        <v>59587.428100000005</v>
      </c>
      <c r="V3" s="146"/>
      <c r="W3" s="146"/>
      <c r="X3" s="146"/>
    </row>
    <row r="4" spans="1:24" ht="15" customHeight="1">
      <c r="A4" s="144"/>
      <c r="B4" s="144"/>
      <c r="C4" s="144"/>
      <c r="D4" s="144"/>
      <c r="E4" s="144"/>
      <c r="F4" s="144"/>
      <c r="G4" s="144"/>
      <c r="H4" s="144"/>
      <c r="I4" s="144"/>
      <c r="J4" s="144" t="s">
        <v>0</v>
      </c>
      <c r="K4" s="144"/>
      <c r="L4" s="144"/>
      <c r="M4" s="144"/>
      <c r="N4" s="144"/>
      <c r="O4" s="144"/>
      <c r="P4" s="144"/>
      <c r="Q4" s="144"/>
      <c r="R4" s="144"/>
      <c r="S4" s="119"/>
      <c r="T4" s="119"/>
      <c r="U4" s="119"/>
      <c r="V4" s="144" t="s">
        <v>833</v>
      </c>
      <c r="W4" s="144"/>
      <c r="X4" s="144"/>
    </row>
    <row r="5" spans="1:24" ht="65.25" customHeight="1">
      <c r="A5" s="114" t="s">
        <v>1</v>
      </c>
      <c r="B5" s="114" t="s">
        <v>2</v>
      </c>
      <c r="C5" s="114" t="s">
        <v>3</v>
      </c>
      <c r="D5" s="114" t="s">
        <v>4</v>
      </c>
      <c r="E5" s="114" t="s">
        <v>5</v>
      </c>
      <c r="F5" s="114" t="s">
        <v>6</v>
      </c>
      <c r="G5" s="114" t="s">
        <v>7</v>
      </c>
      <c r="H5" s="114" t="s">
        <v>8</v>
      </c>
      <c r="I5" s="114"/>
      <c r="J5" s="114" t="s">
        <v>9</v>
      </c>
      <c r="K5" s="114" t="s">
        <v>10</v>
      </c>
      <c r="L5" s="114" t="s">
        <v>11</v>
      </c>
      <c r="M5" s="114" t="s">
        <v>9</v>
      </c>
      <c r="N5" s="114" t="s">
        <v>10</v>
      </c>
      <c r="O5" s="114" t="s">
        <v>11</v>
      </c>
      <c r="P5" s="114" t="s">
        <v>9</v>
      </c>
      <c r="Q5" s="114" t="s">
        <v>10</v>
      </c>
      <c r="R5" s="114" t="s">
        <v>11</v>
      </c>
      <c r="S5" s="120" t="s">
        <v>9</v>
      </c>
      <c r="T5" s="120" t="s">
        <v>10</v>
      </c>
      <c r="U5" s="120" t="s">
        <v>11</v>
      </c>
      <c r="V5" s="147" t="s">
        <v>834</v>
      </c>
      <c r="W5" s="147" t="s">
        <v>835</v>
      </c>
      <c r="X5" s="147" t="s">
        <v>830</v>
      </c>
    </row>
    <row r="6" spans="1:24" ht="20.100000000000001" customHeight="1">
      <c r="A6" s="113">
        <v>1</v>
      </c>
      <c r="B6" s="156" t="s">
        <v>12</v>
      </c>
      <c r="C6" s="156"/>
      <c r="D6" s="156"/>
      <c r="E6" s="156"/>
      <c r="F6" s="156"/>
      <c r="G6" s="156"/>
      <c r="H6" s="124">
        <f>SUM(H7:H9)</f>
        <v>14468.484199999999</v>
      </c>
      <c r="I6" s="2"/>
      <c r="J6" s="143" t="s">
        <v>13</v>
      </c>
      <c r="K6" s="143"/>
      <c r="L6" s="143"/>
      <c r="M6" s="143" t="s">
        <v>29</v>
      </c>
      <c r="N6" s="143"/>
      <c r="O6" s="143"/>
      <c r="P6" s="143" t="s">
        <v>30</v>
      </c>
      <c r="Q6" s="143"/>
      <c r="R6" s="143"/>
      <c r="S6" s="143" t="s">
        <v>31</v>
      </c>
      <c r="T6" s="143"/>
      <c r="U6" s="143"/>
      <c r="V6" s="147"/>
      <c r="W6" s="147"/>
      <c r="X6" s="147"/>
    </row>
    <row r="7" spans="1:24" s="39" customFormat="1" ht="49.95" customHeight="1">
      <c r="A7" s="101" t="s">
        <v>14</v>
      </c>
      <c r="B7" s="102">
        <v>103689</v>
      </c>
      <c r="C7" s="101" t="s">
        <v>67</v>
      </c>
      <c r="D7" s="44" t="s">
        <v>37</v>
      </c>
      <c r="E7" s="44" t="s">
        <v>54</v>
      </c>
      <c r="F7" s="47">
        <v>8</v>
      </c>
      <c r="G7" s="19">
        <v>537.1</v>
      </c>
      <c r="H7" s="19">
        <f>F7*G7</f>
        <v>4296.8</v>
      </c>
      <c r="I7" s="34"/>
      <c r="J7" s="118">
        <f>K7/F7</f>
        <v>1</v>
      </c>
      <c r="K7" s="121">
        <v>8</v>
      </c>
      <c r="L7" s="125">
        <f>J7*H7</f>
        <v>4296.8</v>
      </c>
      <c r="M7" s="125"/>
      <c r="N7" s="118"/>
      <c r="O7" s="121"/>
      <c r="P7" s="121"/>
      <c r="Q7" s="121"/>
      <c r="R7" s="121"/>
      <c r="S7" s="121"/>
      <c r="T7" s="121"/>
      <c r="U7" s="121"/>
      <c r="V7" s="118">
        <f>W7/F7</f>
        <v>1</v>
      </c>
      <c r="W7" s="116">
        <f t="shared" ref="W7:X9" si="0">N7+K7</f>
        <v>8</v>
      </c>
      <c r="X7" s="117">
        <f t="shared" si="0"/>
        <v>4296.8</v>
      </c>
    </row>
    <row r="8" spans="1:24" s="39" customFormat="1" ht="49.95" customHeight="1">
      <c r="A8" s="101" t="s">
        <v>15</v>
      </c>
      <c r="B8" s="102">
        <v>99059</v>
      </c>
      <c r="C8" s="101" t="s">
        <v>68</v>
      </c>
      <c r="D8" s="44" t="s">
        <v>37</v>
      </c>
      <c r="E8" s="44" t="s">
        <v>38</v>
      </c>
      <c r="F8" s="47">
        <v>132.87</v>
      </c>
      <c r="G8" s="19">
        <v>71.739999999999995</v>
      </c>
      <c r="H8" s="19">
        <f>F8*G8</f>
        <v>9532.0937999999987</v>
      </c>
      <c r="I8" s="34"/>
      <c r="J8" s="118">
        <f>K8/F8</f>
        <v>1</v>
      </c>
      <c r="K8" s="60">
        <v>132.87</v>
      </c>
      <c r="L8" s="125">
        <f>J8*H8</f>
        <v>9532.0937999999987</v>
      </c>
      <c r="M8" s="125"/>
      <c r="N8" s="118"/>
      <c r="O8" s="121"/>
      <c r="P8" s="121"/>
      <c r="Q8" s="121"/>
      <c r="R8" s="121"/>
      <c r="S8" s="121"/>
      <c r="T8" s="121"/>
      <c r="U8" s="121"/>
      <c r="V8" s="118">
        <f>W8/F8</f>
        <v>1</v>
      </c>
      <c r="W8" s="116">
        <f t="shared" si="0"/>
        <v>132.87</v>
      </c>
      <c r="X8" s="117">
        <f t="shared" si="0"/>
        <v>9532.0937999999987</v>
      </c>
    </row>
    <row r="9" spans="1:24" ht="49.95" customHeight="1">
      <c r="A9" s="96" t="s">
        <v>65</v>
      </c>
      <c r="B9" s="102">
        <v>98525</v>
      </c>
      <c r="C9" s="96" t="s">
        <v>69</v>
      </c>
      <c r="D9" s="44" t="s">
        <v>37</v>
      </c>
      <c r="E9" s="97" t="s">
        <v>54</v>
      </c>
      <c r="F9" s="18">
        <v>888.32</v>
      </c>
      <c r="G9" s="19">
        <v>0.72</v>
      </c>
      <c r="H9" s="19">
        <f>F9*G9</f>
        <v>639.59040000000005</v>
      </c>
      <c r="I9" s="3"/>
      <c r="J9" s="118">
        <f>K9/F9</f>
        <v>1</v>
      </c>
      <c r="K9" s="126">
        <v>888.32</v>
      </c>
      <c r="L9" s="125">
        <f>J9*H9</f>
        <v>639.59040000000005</v>
      </c>
      <c r="M9" s="125"/>
      <c r="N9" s="118"/>
      <c r="O9" s="121"/>
      <c r="P9" s="121"/>
      <c r="Q9" s="121"/>
      <c r="R9" s="121"/>
      <c r="S9" s="121"/>
      <c r="T9" s="121"/>
      <c r="U9" s="121"/>
      <c r="V9" s="118">
        <f>W9/F9</f>
        <v>1</v>
      </c>
      <c r="W9" s="116">
        <f t="shared" si="0"/>
        <v>888.32</v>
      </c>
      <c r="X9" s="117">
        <f t="shared" si="0"/>
        <v>639.59040000000005</v>
      </c>
    </row>
    <row r="10" spans="1:24" ht="19.2" customHeight="1">
      <c r="A10" s="113">
        <v>2</v>
      </c>
      <c r="B10" s="156" t="s">
        <v>66</v>
      </c>
      <c r="C10" s="156"/>
      <c r="D10" s="156"/>
      <c r="E10" s="156"/>
      <c r="F10" s="156"/>
      <c r="G10" s="156"/>
      <c r="H10" s="127">
        <f>SUM(H11,H13,H16,H27,H38,H42,H52,H55,H59,H130,H137)</f>
        <v>94029.074800000002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0.100000000000001" customHeight="1">
      <c r="A11" s="113" t="s">
        <v>16</v>
      </c>
      <c r="B11" s="156" t="s">
        <v>12</v>
      </c>
      <c r="C11" s="156"/>
      <c r="D11" s="156"/>
      <c r="E11" s="156"/>
      <c r="F11" s="156"/>
      <c r="G11" s="156"/>
      <c r="H11" s="127">
        <f>SUM(H12:H12)</f>
        <v>997.17599999999993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54.6" customHeight="1">
      <c r="A12" s="96" t="s">
        <v>70</v>
      </c>
      <c r="B12" s="102">
        <v>99059</v>
      </c>
      <c r="C12" s="98" t="s">
        <v>68</v>
      </c>
      <c r="D12" s="97" t="s">
        <v>37</v>
      </c>
      <c r="E12" s="97" t="s">
        <v>38</v>
      </c>
      <c r="F12" s="97">
        <v>13.9</v>
      </c>
      <c r="G12" s="19">
        <v>71.739999999999995</v>
      </c>
      <c r="H12" s="57">
        <f>F12*G12-0.01</f>
        <v>997.17599999999993</v>
      </c>
      <c r="I12" s="3"/>
      <c r="J12" s="118">
        <f>K12/F12</f>
        <v>1</v>
      </c>
      <c r="K12" s="103">
        <v>13.9</v>
      </c>
      <c r="L12" s="59">
        <f>J12*H12</f>
        <v>997.17599999999993</v>
      </c>
      <c r="M12" s="59"/>
      <c r="N12" s="118"/>
      <c r="O12" s="121"/>
      <c r="P12" s="121"/>
      <c r="Q12" s="121"/>
      <c r="R12" s="121"/>
      <c r="S12" s="121"/>
      <c r="T12" s="121"/>
      <c r="U12" s="121"/>
      <c r="V12" s="118">
        <f>W12/F12</f>
        <v>1</v>
      </c>
      <c r="W12" s="116">
        <f>N12+K12</f>
        <v>13.9</v>
      </c>
      <c r="X12" s="117">
        <f>O12+L12</f>
        <v>997.17599999999993</v>
      </c>
    </row>
    <row r="13" spans="1:24" ht="20.100000000000001" customHeight="1">
      <c r="A13" s="113" t="s">
        <v>17</v>
      </c>
      <c r="B13" s="156" t="s">
        <v>33</v>
      </c>
      <c r="C13" s="156"/>
      <c r="D13" s="156"/>
      <c r="E13" s="156"/>
      <c r="F13" s="156"/>
      <c r="G13" s="156"/>
      <c r="H13" s="127">
        <f>SUM(H14:H15)</f>
        <v>1312.6276999999998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49.95" customHeight="1">
      <c r="A14" s="75" t="s">
        <v>71</v>
      </c>
      <c r="B14" s="102">
        <v>93358</v>
      </c>
      <c r="C14" s="75" t="s">
        <v>400</v>
      </c>
      <c r="D14" s="54" t="s">
        <v>37</v>
      </c>
      <c r="E14" s="54" t="s">
        <v>56</v>
      </c>
      <c r="F14" s="54">
        <v>11.6</v>
      </c>
      <c r="G14" s="128">
        <v>96.82</v>
      </c>
      <c r="H14" s="129">
        <f>F14*G14</f>
        <v>1123.1119999999999</v>
      </c>
      <c r="I14" s="48"/>
      <c r="J14" s="118">
        <f t="shared" ref="J14:J30" si="1">K14/F14</f>
        <v>1</v>
      </c>
      <c r="K14" s="130">
        <v>11.6</v>
      </c>
      <c r="L14" s="59">
        <f>J14*H14</f>
        <v>1123.1119999999999</v>
      </c>
      <c r="M14" s="59"/>
      <c r="N14" s="118"/>
      <c r="O14" s="121"/>
      <c r="P14" s="121"/>
      <c r="Q14" s="121"/>
      <c r="R14" s="121"/>
      <c r="S14" s="121"/>
      <c r="T14" s="121"/>
      <c r="U14" s="121"/>
      <c r="V14" s="118">
        <f>W14/F14</f>
        <v>1</v>
      </c>
      <c r="W14" s="116">
        <f>N14+K14</f>
        <v>11.6</v>
      </c>
      <c r="X14" s="117">
        <f>O14+L14</f>
        <v>1123.1119999999999</v>
      </c>
    </row>
    <row r="15" spans="1:24" ht="49.95" customHeight="1">
      <c r="A15" s="75" t="s">
        <v>71</v>
      </c>
      <c r="B15" s="102">
        <v>104737</v>
      </c>
      <c r="C15" s="75" t="s">
        <v>401</v>
      </c>
      <c r="D15" s="54" t="s">
        <v>37</v>
      </c>
      <c r="E15" s="54" t="s">
        <v>56</v>
      </c>
      <c r="F15" s="54">
        <v>7.67</v>
      </c>
      <c r="G15" s="128">
        <v>24.71</v>
      </c>
      <c r="H15" s="129">
        <f>F15*G15-0.01</f>
        <v>189.51570000000001</v>
      </c>
      <c r="I15" s="48"/>
      <c r="J15" s="118">
        <f t="shared" si="1"/>
        <v>1</v>
      </c>
      <c r="K15" s="130">
        <v>7.67</v>
      </c>
      <c r="L15" s="59">
        <f>J15*H15</f>
        <v>189.51570000000001</v>
      </c>
      <c r="M15" s="59"/>
      <c r="N15" s="118"/>
      <c r="O15" s="121"/>
      <c r="P15" s="121"/>
      <c r="Q15" s="121"/>
      <c r="R15" s="121"/>
      <c r="S15" s="121"/>
      <c r="T15" s="121"/>
      <c r="U15" s="121"/>
      <c r="V15" s="118">
        <f>W15/F15</f>
        <v>1</v>
      </c>
      <c r="W15" s="116">
        <f>N15+K15</f>
        <v>7.67</v>
      </c>
      <c r="X15" s="117">
        <f>O15+L15</f>
        <v>189.51570000000001</v>
      </c>
    </row>
    <row r="16" spans="1:24" ht="20.100000000000001" customHeight="1">
      <c r="A16" s="113" t="s">
        <v>18</v>
      </c>
      <c r="B16" s="156" t="s">
        <v>40</v>
      </c>
      <c r="C16" s="156"/>
      <c r="D16" s="156"/>
      <c r="E16" s="156"/>
      <c r="F16" s="156"/>
      <c r="G16" s="156"/>
      <c r="H16" s="127">
        <f>SUM(H17:H26)-0.01</f>
        <v>13917.386500000001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9.95" customHeight="1">
      <c r="A17" s="101" t="s">
        <v>72</v>
      </c>
      <c r="B17" s="102">
        <v>96619</v>
      </c>
      <c r="C17" s="98" t="s">
        <v>402</v>
      </c>
      <c r="D17" s="97" t="s">
        <v>37</v>
      </c>
      <c r="E17" s="97" t="s">
        <v>54</v>
      </c>
      <c r="F17" s="18">
        <v>7.08</v>
      </c>
      <c r="G17" s="19">
        <v>44.9</v>
      </c>
      <c r="H17" s="19">
        <f>F17*G17</f>
        <v>317.892</v>
      </c>
      <c r="I17" s="3"/>
      <c r="J17" s="118">
        <f t="shared" si="1"/>
        <v>1</v>
      </c>
      <c r="K17" s="131">
        <v>7.08</v>
      </c>
      <c r="L17" s="59">
        <f t="shared" ref="L17:L26" si="2">J17*H17</f>
        <v>317.892</v>
      </c>
      <c r="M17" s="59"/>
      <c r="N17" s="118"/>
      <c r="O17" s="121"/>
      <c r="P17" s="121"/>
      <c r="Q17" s="121"/>
      <c r="R17" s="121"/>
      <c r="S17" s="121"/>
      <c r="T17" s="121"/>
      <c r="U17" s="121"/>
      <c r="V17" s="118">
        <f t="shared" ref="V17:V41" si="3">W17/F17</f>
        <v>1</v>
      </c>
      <c r="W17" s="116">
        <f t="shared" ref="W17:W26" si="4">N17+K17</f>
        <v>7.08</v>
      </c>
      <c r="X17" s="117">
        <f t="shared" ref="X17:X26" si="5">O17+L17</f>
        <v>317.892</v>
      </c>
    </row>
    <row r="18" spans="1:24" ht="49.95" customHeight="1">
      <c r="A18" s="101" t="s">
        <v>73</v>
      </c>
      <c r="B18" s="102">
        <v>101616</v>
      </c>
      <c r="C18" s="98" t="s">
        <v>403</v>
      </c>
      <c r="D18" s="97" t="s">
        <v>37</v>
      </c>
      <c r="E18" s="97" t="s">
        <v>54</v>
      </c>
      <c r="F18" s="18">
        <v>16.010000000000002</v>
      </c>
      <c r="G18" s="19">
        <v>7.07</v>
      </c>
      <c r="H18" s="19">
        <f t="shared" ref="H18:H26" si="6">F18*G18</f>
        <v>113.19070000000002</v>
      </c>
      <c r="I18" s="3"/>
      <c r="J18" s="118">
        <f t="shared" si="1"/>
        <v>1</v>
      </c>
      <c r="K18" s="131">
        <v>16.010000000000002</v>
      </c>
      <c r="L18" s="59">
        <f t="shared" si="2"/>
        <v>113.19070000000002</v>
      </c>
      <c r="M18" s="59"/>
      <c r="N18" s="118"/>
      <c r="O18" s="121"/>
      <c r="P18" s="121"/>
      <c r="Q18" s="121"/>
      <c r="R18" s="121"/>
      <c r="S18" s="121"/>
      <c r="T18" s="121"/>
      <c r="U18" s="121"/>
      <c r="V18" s="118">
        <f t="shared" si="3"/>
        <v>1</v>
      </c>
      <c r="W18" s="116">
        <f t="shared" si="4"/>
        <v>16.010000000000002</v>
      </c>
      <c r="X18" s="117">
        <f t="shared" si="5"/>
        <v>113.19070000000002</v>
      </c>
    </row>
    <row r="19" spans="1:24" ht="49.95" customHeight="1">
      <c r="A19" s="101" t="s">
        <v>74</v>
      </c>
      <c r="B19" s="102">
        <v>94971</v>
      </c>
      <c r="C19" s="98" t="s">
        <v>404</v>
      </c>
      <c r="D19" s="97" t="s">
        <v>37</v>
      </c>
      <c r="E19" s="97" t="s">
        <v>56</v>
      </c>
      <c r="F19" s="18">
        <v>3.93</v>
      </c>
      <c r="G19" s="19">
        <v>559.80999999999995</v>
      </c>
      <c r="H19" s="19">
        <f t="shared" si="6"/>
        <v>2200.0533</v>
      </c>
      <c r="I19" s="3"/>
      <c r="J19" s="118">
        <f t="shared" si="1"/>
        <v>1</v>
      </c>
      <c r="K19" s="131">
        <v>3.93</v>
      </c>
      <c r="L19" s="59">
        <f t="shared" si="2"/>
        <v>2200.0533</v>
      </c>
      <c r="M19" s="59"/>
      <c r="N19" s="118"/>
      <c r="O19" s="121"/>
      <c r="P19" s="121"/>
      <c r="Q19" s="121"/>
      <c r="R19" s="121"/>
      <c r="S19" s="121"/>
      <c r="T19" s="121"/>
      <c r="U19" s="121"/>
      <c r="V19" s="118">
        <f t="shared" si="3"/>
        <v>1</v>
      </c>
      <c r="W19" s="116">
        <f t="shared" si="4"/>
        <v>3.93</v>
      </c>
      <c r="X19" s="117">
        <f t="shared" si="5"/>
        <v>2200.0533</v>
      </c>
    </row>
    <row r="20" spans="1:24" ht="49.95" customHeight="1">
      <c r="A20" s="101" t="s">
        <v>75</v>
      </c>
      <c r="B20" s="102">
        <v>103670</v>
      </c>
      <c r="C20" s="98" t="s">
        <v>405</v>
      </c>
      <c r="D20" s="97" t="s">
        <v>37</v>
      </c>
      <c r="E20" s="97" t="s">
        <v>56</v>
      </c>
      <c r="F20" s="18">
        <v>3.93</v>
      </c>
      <c r="G20" s="19">
        <v>331.13</v>
      </c>
      <c r="H20" s="19">
        <f t="shared" si="6"/>
        <v>1301.3409000000001</v>
      </c>
      <c r="I20" s="3"/>
      <c r="J20" s="118">
        <f t="shared" si="1"/>
        <v>1</v>
      </c>
      <c r="K20" s="131">
        <v>3.93</v>
      </c>
      <c r="L20" s="59">
        <f t="shared" si="2"/>
        <v>1301.3409000000001</v>
      </c>
      <c r="M20" s="59"/>
      <c r="N20" s="118"/>
      <c r="O20" s="121"/>
      <c r="P20" s="121"/>
      <c r="Q20" s="121"/>
      <c r="R20" s="121"/>
      <c r="S20" s="121"/>
      <c r="T20" s="121"/>
      <c r="U20" s="121"/>
      <c r="V20" s="118">
        <f t="shared" si="3"/>
        <v>1</v>
      </c>
      <c r="W20" s="116">
        <f t="shared" si="4"/>
        <v>3.93</v>
      </c>
      <c r="X20" s="117">
        <f t="shared" si="5"/>
        <v>1301.3409000000001</v>
      </c>
    </row>
    <row r="21" spans="1:24" ht="49.95" customHeight="1">
      <c r="A21" s="101" t="s">
        <v>76</v>
      </c>
      <c r="B21" s="102">
        <v>104927</v>
      </c>
      <c r="C21" s="98" t="s">
        <v>406</v>
      </c>
      <c r="D21" s="97" t="s">
        <v>37</v>
      </c>
      <c r="E21" s="97" t="s">
        <v>54</v>
      </c>
      <c r="F21" s="18">
        <v>9.9499999999999993</v>
      </c>
      <c r="G21" s="19">
        <v>93.61</v>
      </c>
      <c r="H21" s="19">
        <f>F21*G21-0.01</f>
        <v>931.40949999999998</v>
      </c>
      <c r="I21" s="3"/>
      <c r="J21" s="118">
        <f t="shared" si="1"/>
        <v>1</v>
      </c>
      <c r="K21" s="131">
        <v>9.9499999999999993</v>
      </c>
      <c r="L21" s="59">
        <f t="shared" si="2"/>
        <v>931.40949999999998</v>
      </c>
      <c r="M21" s="59"/>
      <c r="N21" s="118"/>
      <c r="O21" s="121"/>
      <c r="P21" s="121"/>
      <c r="Q21" s="121"/>
      <c r="R21" s="121"/>
      <c r="S21" s="121"/>
      <c r="T21" s="121"/>
      <c r="U21" s="121"/>
      <c r="V21" s="118">
        <f t="shared" si="3"/>
        <v>1</v>
      </c>
      <c r="W21" s="116">
        <f t="shared" si="4"/>
        <v>9.9499999999999993</v>
      </c>
      <c r="X21" s="117">
        <f t="shared" si="5"/>
        <v>931.40949999999998</v>
      </c>
    </row>
    <row r="22" spans="1:24" ht="49.95" customHeight="1">
      <c r="A22" s="101" t="s">
        <v>77</v>
      </c>
      <c r="B22" s="102">
        <v>96542</v>
      </c>
      <c r="C22" s="98" t="s">
        <v>407</v>
      </c>
      <c r="D22" s="97" t="s">
        <v>37</v>
      </c>
      <c r="E22" s="97" t="s">
        <v>54</v>
      </c>
      <c r="F22" s="18">
        <v>33.68</v>
      </c>
      <c r="G22" s="19">
        <v>102.97</v>
      </c>
      <c r="H22" s="19">
        <f>F22*G22-0.01</f>
        <v>3468.0195999999996</v>
      </c>
      <c r="I22" s="3"/>
      <c r="J22" s="118">
        <f t="shared" si="1"/>
        <v>1</v>
      </c>
      <c r="K22" s="131">
        <v>33.68</v>
      </c>
      <c r="L22" s="59">
        <f t="shared" si="2"/>
        <v>3468.0195999999996</v>
      </c>
      <c r="M22" s="59"/>
      <c r="N22" s="118"/>
      <c r="O22" s="121"/>
      <c r="P22" s="121"/>
      <c r="Q22" s="121"/>
      <c r="R22" s="121"/>
      <c r="S22" s="121"/>
      <c r="T22" s="121"/>
      <c r="U22" s="121"/>
      <c r="V22" s="118">
        <f t="shared" si="3"/>
        <v>1</v>
      </c>
      <c r="W22" s="116">
        <f t="shared" si="4"/>
        <v>33.68</v>
      </c>
      <c r="X22" s="117">
        <f t="shared" si="5"/>
        <v>3468.0195999999996</v>
      </c>
    </row>
    <row r="23" spans="1:24" ht="49.95" customHeight="1">
      <c r="A23" s="101" t="s">
        <v>78</v>
      </c>
      <c r="B23" s="102">
        <v>104917</v>
      </c>
      <c r="C23" s="98" t="s">
        <v>408</v>
      </c>
      <c r="D23" s="97" t="s">
        <v>37</v>
      </c>
      <c r="E23" s="97" t="s">
        <v>42</v>
      </c>
      <c r="F23" s="18">
        <v>53</v>
      </c>
      <c r="G23" s="19">
        <v>17.399999999999999</v>
      </c>
      <c r="H23" s="19">
        <f t="shared" si="6"/>
        <v>922.19999999999993</v>
      </c>
      <c r="I23" s="3"/>
      <c r="J23" s="118">
        <f t="shared" si="1"/>
        <v>1</v>
      </c>
      <c r="K23" s="131">
        <v>53</v>
      </c>
      <c r="L23" s="59">
        <f t="shared" si="2"/>
        <v>922.19999999999993</v>
      </c>
      <c r="M23" s="59"/>
      <c r="N23" s="118"/>
      <c r="O23" s="121"/>
      <c r="P23" s="121"/>
      <c r="Q23" s="121"/>
      <c r="R23" s="121"/>
      <c r="S23" s="121"/>
      <c r="T23" s="121"/>
      <c r="U23" s="121"/>
      <c r="V23" s="118">
        <f t="shared" si="3"/>
        <v>1</v>
      </c>
      <c r="W23" s="116">
        <f t="shared" si="4"/>
        <v>53</v>
      </c>
      <c r="X23" s="117">
        <f t="shared" si="5"/>
        <v>922.19999999999993</v>
      </c>
    </row>
    <row r="24" spans="1:24" ht="49.95" customHeight="1">
      <c r="A24" s="101" t="s">
        <v>79</v>
      </c>
      <c r="B24" s="102">
        <v>104916</v>
      </c>
      <c r="C24" s="98" t="s">
        <v>409</v>
      </c>
      <c r="D24" s="97" t="s">
        <v>37</v>
      </c>
      <c r="E24" s="97" t="s">
        <v>42</v>
      </c>
      <c r="F24" s="18">
        <v>52.9</v>
      </c>
      <c r="G24" s="19">
        <v>18.75</v>
      </c>
      <c r="H24" s="19">
        <f>F24*G24-0.01</f>
        <v>991.86500000000001</v>
      </c>
      <c r="I24" s="3"/>
      <c r="J24" s="118">
        <f t="shared" si="1"/>
        <v>1</v>
      </c>
      <c r="K24" s="131">
        <v>52.9</v>
      </c>
      <c r="L24" s="59">
        <f t="shared" si="2"/>
        <v>991.86500000000001</v>
      </c>
      <c r="M24" s="59"/>
      <c r="N24" s="118"/>
      <c r="O24" s="121"/>
      <c r="P24" s="121"/>
      <c r="Q24" s="121"/>
      <c r="R24" s="121"/>
      <c r="S24" s="121"/>
      <c r="T24" s="121"/>
      <c r="U24" s="121"/>
      <c r="V24" s="118">
        <f t="shared" si="3"/>
        <v>1</v>
      </c>
      <c r="W24" s="116">
        <f t="shared" si="4"/>
        <v>52.9</v>
      </c>
      <c r="X24" s="117">
        <f t="shared" si="5"/>
        <v>991.86500000000001</v>
      </c>
    </row>
    <row r="25" spans="1:24" ht="49.95" customHeight="1">
      <c r="A25" s="101" t="s">
        <v>80</v>
      </c>
      <c r="B25" s="102">
        <v>104918</v>
      </c>
      <c r="C25" s="98" t="s">
        <v>410</v>
      </c>
      <c r="D25" s="97" t="s">
        <v>37</v>
      </c>
      <c r="E25" s="97" t="s">
        <v>42</v>
      </c>
      <c r="F25" s="18">
        <v>81.2</v>
      </c>
      <c r="G25" s="19">
        <v>16.16</v>
      </c>
      <c r="H25" s="19">
        <f t="shared" si="6"/>
        <v>1312.192</v>
      </c>
      <c r="I25" s="3"/>
      <c r="J25" s="118">
        <f t="shared" si="1"/>
        <v>1</v>
      </c>
      <c r="K25" s="131">
        <v>81.2</v>
      </c>
      <c r="L25" s="59">
        <f t="shared" si="2"/>
        <v>1312.192</v>
      </c>
      <c r="M25" s="59"/>
      <c r="N25" s="118"/>
      <c r="O25" s="121"/>
      <c r="P25" s="121"/>
      <c r="Q25" s="121"/>
      <c r="R25" s="121"/>
      <c r="S25" s="121"/>
      <c r="T25" s="121"/>
      <c r="U25" s="121"/>
      <c r="V25" s="118">
        <f t="shared" si="3"/>
        <v>1</v>
      </c>
      <c r="W25" s="116">
        <f t="shared" si="4"/>
        <v>81.2</v>
      </c>
      <c r="X25" s="117">
        <f t="shared" si="5"/>
        <v>1312.192</v>
      </c>
    </row>
    <row r="26" spans="1:24" ht="49.95" customHeight="1">
      <c r="A26" s="101" t="s">
        <v>81</v>
      </c>
      <c r="B26" s="102">
        <v>98557</v>
      </c>
      <c r="C26" s="98" t="s">
        <v>411</v>
      </c>
      <c r="D26" s="97" t="s">
        <v>37</v>
      </c>
      <c r="E26" s="97" t="s">
        <v>54</v>
      </c>
      <c r="F26" s="18">
        <v>43.73</v>
      </c>
      <c r="G26" s="19">
        <v>53.95</v>
      </c>
      <c r="H26" s="19">
        <f t="shared" si="6"/>
        <v>2359.2334999999998</v>
      </c>
      <c r="I26" s="3"/>
      <c r="J26" s="118">
        <f t="shared" si="1"/>
        <v>1</v>
      </c>
      <c r="K26" s="131">
        <v>43.73</v>
      </c>
      <c r="L26" s="59">
        <f t="shared" si="2"/>
        <v>2359.2334999999998</v>
      </c>
      <c r="M26" s="59"/>
      <c r="N26" s="118"/>
      <c r="O26" s="121"/>
      <c r="P26" s="121"/>
      <c r="Q26" s="121"/>
      <c r="R26" s="121"/>
      <c r="S26" s="121"/>
      <c r="T26" s="121"/>
      <c r="U26" s="121"/>
      <c r="V26" s="118">
        <f t="shared" si="3"/>
        <v>1</v>
      </c>
      <c r="W26" s="116">
        <f t="shared" si="4"/>
        <v>43.73</v>
      </c>
      <c r="X26" s="117">
        <f t="shared" si="5"/>
        <v>2359.2334999999998</v>
      </c>
    </row>
    <row r="27" spans="1:24" ht="20.100000000000001" customHeight="1">
      <c r="A27" s="113" t="s">
        <v>82</v>
      </c>
      <c r="B27" s="156" t="s">
        <v>83</v>
      </c>
      <c r="C27" s="156"/>
      <c r="D27" s="156"/>
      <c r="E27" s="156"/>
      <c r="F27" s="156"/>
      <c r="G27" s="156"/>
      <c r="H27" s="127">
        <f>SUM(H28:H37)+0.02</f>
        <v>15491.799799999997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49.95" customHeight="1">
      <c r="A28" s="101" t="s">
        <v>84</v>
      </c>
      <c r="B28" s="50">
        <v>92429</v>
      </c>
      <c r="C28" s="98" t="s">
        <v>412</v>
      </c>
      <c r="D28" s="97" t="s">
        <v>37</v>
      </c>
      <c r="E28" s="97" t="s">
        <v>54</v>
      </c>
      <c r="F28" s="18">
        <v>57.56</v>
      </c>
      <c r="G28" s="19">
        <v>82.09</v>
      </c>
      <c r="H28" s="19">
        <f>F28*G28</f>
        <v>4725.1004000000003</v>
      </c>
      <c r="I28" s="3"/>
      <c r="J28" s="118">
        <f t="shared" si="1"/>
        <v>1</v>
      </c>
      <c r="K28" s="131">
        <v>57.56</v>
      </c>
      <c r="L28" s="59">
        <f>J28*H28</f>
        <v>4725.1004000000003</v>
      </c>
      <c r="M28" s="59"/>
      <c r="N28" s="118"/>
      <c r="O28" s="121"/>
      <c r="P28" s="121"/>
      <c r="Q28" s="121"/>
      <c r="R28" s="121"/>
      <c r="S28" s="121"/>
      <c r="T28" s="121"/>
      <c r="U28" s="121"/>
      <c r="V28" s="118">
        <f t="shared" si="3"/>
        <v>1</v>
      </c>
      <c r="W28" s="116">
        <f t="shared" ref="W28:W37" si="7">N28+K28</f>
        <v>57.56</v>
      </c>
      <c r="X28" s="117">
        <f t="shared" ref="X28:X37" si="8">O28+L28</f>
        <v>4725.1004000000003</v>
      </c>
    </row>
    <row r="29" spans="1:24" ht="49.95" customHeight="1">
      <c r="A29" s="101" t="s">
        <v>85</v>
      </c>
      <c r="B29" s="50">
        <v>92476</v>
      </c>
      <c r="C29" s="98" t="s">
        <v>413</v>
      </c>
      <c r="D29" s="97" t="s">
        <v>37</v>
      </c>
      <c r="E29" s="97" t="s">
        <v>54</v>
      </c>
      <c r="F29" s="18">
        <v>12.9</v>
      </c>
      <c r="G29" s="19">
        <v>101.44</v>
      </c>
      <c r="H29" s="19">
        <f>F29*G29-0.01</f>
        <v>1308.566</v>
      </c>
      <c r="I29" s="3"/>
      <c r="J29" s="118">
        <f t="shared" si="1"/>
        <v>1</v>
      </c>
      <c r="K29" s="131">
        <v>12.9</v>
      </c>
      <c r="L29" s="59">
        <f>J29*H29</f>
        <v>1308.566</v>
      </c>
      <c r="M29" s="59"/>
      <c r="N29" s="118"/>
      <c r="O29" s="121"/>
      <c r="P29" s="121"/>
      <c r="Q29" s="121"/>
      <c r="R29" s="121"/>
      <c r="S29" s="121"/>
      <c r="T29" s="121"/>
      <c r="U29" s="121"/>
      <c r="V29" s="118">
        <f t="shared" si="3"/>
        <v>1</v>
      </c>
      <c r="W29" s="116">
        <f t="shared" si="7"/>
        <v>12.9</v>
      </c>
      <c r="X29" s="117">
        <f t="shared" si="8"/>
        <v>1308.566</v>
      </c>
    </row>
    <row r="30" spans="1:24" ht="49.95" customHeight="1">
      <c r="A30" s="101" t="s">
        <v>86</v>
      </c>
      <c r="B30" s="50">
        <v>92486</v>
      </c>
      <c r="C30" s="98" t="s">
        <v>414</v>
      </c>
      <c r="D30" s="97" t="s">
        <v>37</v>
      </c>
      <c r="E30" s="97" t="s">
        <v>54</v>
      </c>
      <c r="F30" s="18">
        <v>6.04</v>
      </c>
      <c r="G30" s="19">
        <v>181.19</v>
      </c>
      <c r="H30" s="19">
        <f>F30*G30-0.01</f>
        <v>1094.3776</v>
      </c>
      <c r="I30" s="3"/>
      <c r="J30" s="118">
        <f t="shared" si="1"/>
        <v>1</v>
      </c>
      <c r="K30" s="131">
        <v>6.04</v>
      </c>
      <c r="L30" s="59">
        <f>J30*H30</f>
        <v>1094.3776</v>
      </c>
      <c r="M30" s="59"/>
      <c r="N30" s="118"/>
      <c r="O30" s="121"/>
      <c r="P30" s="121"/>
      <c r="Q30" s="121"/>
      <c r="R30" s="121"/>
      <c r="S30" s="121"/>
      <c r="T30" s="121"/>
      <c r="U30" s="121"/>
      <c r="V30" s="118">
        <f t="shared" si="3"/>
        <v>1</v>
      </c>
      <c r="W30" s="116">
        <f t="shared" si="7"/>
        <v>6.04</v>
      </c>
      <c r="X30" s="117">
        <f t="shared" si="8"/>
        <v>1094.3776</v>
      </c>
    </row>
    <row r="31" spans="1:24" ht="49.95" customHeight="1">
      <c r="A31" s="101" t="s">
        <v>87</v>
      </c>
      <c r="B31" s="50">
        <v>92759</v>
      </c>
      <c r="C31" s="98" t="s">
        <v>415</v>
      </c>
      <c r="D31" s="97" t="s">
        <v>37</v>
      </c>
      <c r="E31" s="97" t="s">
        <v>42</v>
      </c>
      <c r="F31" s="18">
        <v>77.8</v>
      </c>
      <c r="G31" s="19">
        <v>15.87</v>
      </c>
      <c r="H31" s="19">
        <f>F31*G31-0.01</f>
        <v>1234.6759999999999</v>
      </c>
      <c r="I31" s="3"/>
      <c r="J31" s="118"/>
      <c r="K31" s="3"/>
      <c r="L31" s="59"/>
      <c r="M31" s="115">
        <f>N31/F31</f>
        <v>1</v>
      </c>
      <c r="N31" s="116">
        <f t="shared" ref="N31:N37" si="9">F31</f>
        <v>77.8</v>
      </c>
      <c r="O31" s="117">
        <f>N31*G31</f>
        <v>1234.6859999999999</v>
      </c>
      <c r="P31" s="117"/>
      <c r="Q31" s="117"/>
      <c r="R31" s="117"/>
      <c r="S31" s="117"/>
      <c r="T31" s="117"/>
      <c r="U31" s="117"/>
      <c r="V31" s="118">
        <f t="shared" si="3"/>
        <v>1</v>
      </c>
      <c r="W31" s="116">
        <f t="shared" si="7"/>
        <v>77.8</v>
      </c>
      <c r="X31" s="117">
        <f>O31+L31-0.01</f>
        <v>1234.6759999999999</v>
      </c>
    </row>
    <row r="32" spans="1:24" ht="49.95" customHeight="1">
      <c r="A32" s="101" t="s">
        <v>88</v>
      </c>
      <c r="B32" s="50">
        <v>104108</v>
      </c>
      <c r="C32" s="98" t="s">
        <v>416</v>
      </c>
      <c r="D32" s="97" t="s">
        <v>37</v>
      </c>
      <c r="E32" s="97" t="s">
        <v>42</v>
      </c>
      <c r="F32" s="18">
        <v>172.6</v>
      </c>
      <c r="G32" s="19">
        <v>14.5</v>
      </c>
      <c r="H32" s="19">
        <f t="shared" ref="H32:H37" si="10">F32*G32</f>
        <v>2502.6999999999998</v>
      </c>
      <c r="I32" s="3"/>
      <c r="J32" s="3"/>
      <c r="K32" s="3"/>
      <c r="L32" s="3"/>
      <c r="M32" s="115">
        <f t="shared" ref="M32:M41" si="11">N32/F32</f>
        <v>1</v>
      </c>
      <c r="N32" s="116">
        <f t="shared" si="9"/>
        <v>172.6</v>
      </c>
      <c r="O32" s="117">
        <f t="shared" ref="O32:O41" si="12">N32*G32</f>
        <v>2502.6999999999998</v>
      </c>
      <c r="P32" s="117"/>
      <c r="Q32" s="117"/>
      <c r="R32" s="117"/>
      <c r="S32" s="117"/>
      <c r="T32" s="117"/>
      <c r="U32" s="117"/>
      <c r="V32" s="118">
        <f t="shared" si="3"/>
        <v>1</v>
      </c>
      <c r="W32" s="116">
        <f t="shared" si="7"/>
        <v>172.6</v>
      </c>
      <c r="X32" s="117">
        <f t="shared" si="8"/>
        <v>2502.6999999999998</v>
      </c>
    </row>
    <row r="33" spans="1:24" ht="49.95" customHeight="1">
      <c r="A33" s="101" t="s">
        <v>89</v>
      </c>
      <c r="B33" s="50">
        <v>92761</v>
      </c>
      <c r="C33" s="98" t="s">
        <v>417</v>
      </c>
      <c r="D33" s="97" t="s">
        <v>37</v>
      </c>
      <c r="E33" s="97" t="s">
        <v>42</v>
      </c>
      <c r="F33" s="18">
        <v>28.2</v>
      </c>
      <c r="G33" s="19">
        <v>14.08</v>
      </c>
      <c r="H33" s="19">
        <f>F33*G33-0.01</f>
        <v>397.04599999999999</v>
      </c>
      <c r="I33" s="3"/>
      <c r="J33" s="3"/>
      <c r="K33" s="3"/>
      <c r="L33" s="3"/>
      <c r="M33" s="115">
        <f t="shared" si="11"/>
        <v>1</v>
      </c>
      <c r="N33" s="116">
        <f t="shared" si="9"/>
        <v>28.2</v>
      </c>
      <c r="O33" s="117">
        <f t="shared" si="12"/>
        <v>397.05599999999998</v>
      </c>
      <c r="P33" s="117"/>
      <c r="Q33" s="117"/>
      <c r="R33" s="117"/>
      <c r="S33" s="117"/>
      <c r="T33" s="117"/>
      <c r="U33" s="117"/>
      <c r="V33" s="118">
        <f t="shared" si="3"/>
        <v>1</v>
      </c>
      <c r="W33" s="116">
        <f t="shared" si="7"/>
        <v>28.2</v>
      </c>
      <c r="X33" s="117">
        <f>O33+L33-0.01</f>
        <v>397.04599999999999</v>
      </c>
    </row>
    <row r="34" spans="1:24" ht="49.95" customHeight="1">
      <c r="A34" s="101" t="s">
        <v>90</v>
      </c>
      <c r="B34" s="50">
        <v>94971</v>
      </c>
      <c r="C34" s="98" t="s">
        <v>418</v>
      </c>
      <c r="D34" s="97" t="s">
        <v>37</v>
      </c>
      <c r="E34" s="97" t="s">
        <v>56</v>
      </c>
      <c r="F34" s="18">
        <v>4.5199999999999996</v>
      </c>
      <c r="G34" s="19">
        <v>559.80999999999995</v>
      </c>
      <c r="H34" s="19">
        <f t="shared" si="10"/>
        <v>2530.3411999999994</v>
      </c>
      <c r="I34" s="3"/>
      <c r="J34" s="3"/>
      <c r="K34" s="3"/>
      <c r="L34" s="3"/>
      <c r="M34" s="115">
        <f t="shared" si="11"/>
        <v>1</v>
      </c>
      <c r="N34" s="116">
        <f t="shared" si="9"/>
        <v>4.5199999999999996</v>
      </c>
      <c r="O34" s="117">
        <f t="shared" si="12"/>
        <v>2530.3411999999994</v>
      </c>
      <c r="P34" s="117"/>
      <c r="Q34" s="117"/>
      <c r="R34" s="117"/>
      <c r="S34" s="117"/>
      <c r="T34" s="117"/>
      <c r="U34" s="117"/>
      <c r="V34" s="118">
        <f t="shared" si="3"/>
        <v>1</v>
      </c>
      <c r="W34" s="116">
        <f t="shared" si="7"/>
        <v>4.5199999999999996</v>
      </c>
      <c r="X34" s="117">
        <f t="shared" si="8"/>
        <v>2530.3411999999994</v>
      </c>
    </row>
    <row r="35" spans="1:24" ht="49.95" customHeight="1">
      <c r="A35" s="101" t="s">
        <v>91</v>
      </c>
      <c r="B35" s="50">
        <v>103670</v>
      </c>
      <c r="C35" s="98" t="s">
        <v>405</v>
      </c>
      <c r="D35" s="97" t="s">
        <v>37</v>
      </c>
      <c r="E35" s="97" t="s">
        <v>56</v>
      </c>
      <c r="F35" s="18">
        <v>4.5199999999999996</v>
      </c>
      <c r="G35" s="19">
        <v>331.13</v>
      </c>
      <c r="H35" s="19">
        <f>F35*G35-0.01</f>
        <v>1496.6975999999997</v>
      </c>
      <c r="I35" s="3"/>
      <c r="J35" s="3"/>
      <c r="K35" s="3"/>
      <c r="L35" s="3"/>
      <c r="M35" s="115">
        <f t="shared" si="11"/>
        <v>1</v>
      </c>
      <c r="N35" s="116">
        <f t="shared" si="9"/>
        <v>4.5199999999999996</v>
      </c>
      <c r="O35" s="117">
        <f t="shared" si="12"/>
        <v>1496.7075999999997</v>
      </c>
      <c r="P35" s="117"/>
      <c r="Q35" s="117"/>
      <c r="R35" s="117"/>
      <c r="S35" s="117"/>
      <c r="T35" s="117"/>
      <c r="U35" s="117"/>
      <c r="V35" s="118">
        <f t="shared" si="3"/>
        <v>1</v>
      </c>
      <c r="W35" s="116">
        <f t="shared" si="7"/>
        <v>4.5199999999999996</v>
      </c>
      <c r="X35" s="117">
        <f>O35+L35-0.01</f>
        <v>1496.6975999999997</v>
      </c>
    </row>
    <row r="36" spans="1:24" ht="49.95" customHeight="1">
      <c r="A36" s="101" t="s">
        <v>92</v>
      </c>
      <c r="B36" s="50">
        <v>92768</v>
      </c>
      <c r="C36" s="98" t="s">
        <v>419</v>
      </c>
      <c r="D36" s="97" t="s">
        <v>37</v>
      </c>
      <c r="E36" s="97" t="s">
        <v>42</v>
      </c>
      <c r="F36" s="18">
        <v>5.5</v>
      </c>
      <c r="G36" s="19">
        <v>15.31</v>
      </c>
      <c r="H36" s="19">
        <f>F36*G36-0.01</f>
        <v>84.194999999999993</v>
      </c>
      <c r="I36" s="3"/>
      <c r="J36" s="3"/>
      <c r="K36" s="3"/>
      <c r="L36" s="3"/>
      <c r="M36" s="115">
        <f t="shared" si="11"/>
        <v>1</v>
      </c>
      <c r="N36" s="116">
        <f t="shared" si="9"/>
        <v>5.5</v>
      </c>
      <c r="O36" s="117">
        <f t="shared" si="12"/>
        <v>84.204999999999998</v>
      </c>
      <c r="P36" s="117"/>
      <c r="Q36" s="117"/>
      <c r="R36" s="117"/>
      <c r="S36" s="117"/>
      <c r="T36" s="117"/>
      <c r="U36" s="117"/>
      <c r="V36" s="118">
        <f t="shared" si="3"/>
        <v>1</v>
      </c>
      <c r="W36" s="116">
        <f t="shared" si="7"/>
        <v>5.5</v>
      </c>
      <c r="X36" s="117">
        <f>O36+L36-0.01</f>
        <v>84.194999999999993</v>
      </c>
    </row>
    <row r="37" spans="1:24" ht="49.95" customHeight="1">
      <c r="A37" s="101" t="s">
        <v>93</v>
      </c>
      <c r="B37" s="50">
        <v>92769</v>
      </c>
      <c r="C37" s="98" t="s">
        <v>420</v>
      </c>
      <c r="D37" s="97" t="s">
        <v>37</v>
      </c>
      <c r="E37" s="97" t="s">
        <v>42</v>
      </c>
      <c r="F37" s="18">
        <v>8.1999999999999993</v>
      </c>
      <c r="G37" s="19">
        <v>14.4</v>
      </c>
      <c r="H37" s="19">
        <f t="shared" si="10"/>
        <v>118.08</v>
      </c>
      <c r="I37" s="3"/>
      <c r="J37" s="3"/>
      <c r="K37" s="3"/>
      <c r="L37" s="3"/>
      <c r="M37" s="115">
        <f t="shared" si="11"/>
        <v>1</v>
      </c>
      <c r="N37" s="116">
        <f t="shared" si="9"/>
        <v>8.1999999999999993</v>
      </c>
      <c r="O37" s="117">
        <f t="shared" si="12"/>
        <v>118.08</v>
      </c>
      <c r="P37" s="117"/>
      <c r="Q37" s="117"/>
      <c r="R37" s="117"/>
      <c r="S37" s="117"/>
      <c r="T37" s="117"/>
      <c r="U37" s="117"/>
      <c r="V37" s="118">
        <f t="shared" si="3"/>
        <v>1</v>
      </c>
      <c r="W37" s="116">
        <f t="shared" si="7"/>
        <v>8.1999999999999993</v>
      </c>
      <c r="X37" s="117">
        <f t="shared" si="8"/>
        <v>118.08</v>
      </c>
    </row>
    <row r="38" spans="1:24" ht="20.100000000000001" customHeight="1">
      <c r="A38" s="113" t="s">
        <v>94</v>
      </c>
      <c r="B38" s="156" t="s">
        <v>95</v>
      </c>
      <c r="C38" s="156"/>
      <c r="D38" s="156"/>
      <c r="E38" s="156"/>
      <c r="F38" s="156"/>
      <c r="G38" s="156"/>
      <c r="H38" s="127">
        <f>SUM(H39:H41)-0.01</f>
        <v>4669.9361000000008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9.95" customHeight="1">
      <c r="A39" s="96" t="s">
        <v>97</v>
      </c>
      <c r="B39" s="51">
        <v>103356</v>
      </c>
      <c r="C39" s="98" t="s">
        <v>421</v>
      </c>
      <c r="D39" s="23" t="s">
        <v>37</v>
      </c>
      <c r="E39" s="23" t="s">
        <v>54</v>
      </c>
      <c r="F39" s="24">
        <v>56.17</v>
      </c>
      <c r="G39" s="56">
        <v>67.73</v>
      </c>
      <c r="H39" s="19">
        <f>F39*G39</f>
        <v>3804.3941000000004</v>
      </c>
      <c r="I39" s="3"/>
      <c r="J39" s="3"/>
      <c r="K39" s="3"/>
      <c r="L39" s="3"/>
      <c r="M39" s="115">
        <f t="shared" si="11"/>
        <v>1</v>
      </c>
      <c r="N39" s="116">
        <f>F39</f>
        <v>56.17</v>
      </c>
      <c r="O39" s="117">
        <f t="shared" si="12"/>
        <v>3804.3941000000004</v>
      </c>
      <c r="P39" s="117"/>
      <c r="Q39" s="117"/>
      <c r="R39" s="117"/>
      <c r="S39" s="117"/>
      <c r="T39" s="117"/>
      <c r="U39" s="117"/>
      <c r="V39" s="118">
        <f t="shared" si="3"/>
        <v>1</v>
      </c>
      <c r="W39" s="116">
        <f t="shared" ref="W39:X41" si="13">N39+K39</f>
        <v>56.17</v>
      </c>
      <c r="X39" s="117">
        <f t="shared" si="13"/>
        <v>3804.3941000000004</v>
      </c>
    </row>
    <row r="40" spans="1:24" ht="49.95" customHeight="1">
      <c r="A40" s="96" t="s">
        <v>98</v>
      </c>
      <c r="B40" s="51">
        <v>105023</v>
      </c>
      <c r="C40" s="98" t="s">
        <v>422</v>
      </c>
      <c r="D40" s="23" t="s">
        <v>37</v>
      </c>
      <c r="E40" s="23" t="s">
        <v>38</v>
      </c>
      <c r="F40" s="24">
        <v>8.1</v>
      </c>
      <c r="G40" s="56">
        <v>71.61</v>
      </c>
      <c r="H40" s="19">
        <f>F40*G40</f>
        <v>580.04099999999994</v>
      </c>
      <c r="I40" s="3"/>
      <c r="J40" s="3"/>
      <c r="K40" s="3"/>
      <c r="L40" s="3"/>
      <c r="M40" s="115">
        <f t="shared" si="11"/>
        <v>1</v>
      </c>
      <c r="N40" s="116">
        <f>F40</f>
        <v>8.1</v>
      </c>
      <c r="O40" s="117">
        <f t="shared" si="12"/>
        <v>580.04099999999994</v>
      </c>
      <c r="P40" s="117"/>
      <c r="Q40" s="117"/>
      <c r="R40" s="117"/>
      <c r="S40" s="117"/>
      <c r="T40" s="117"/>
      <c r="U40" s="117"/>
      <c r="V40" s="118">
        <f t="shared" si="3"/>
        <v>1</v>
      </c>
      <c r="W40" s="116">
        <f t="shared" si="13"/>
        <v>8.1</v>
      </c>
      <c r="X40" s="117">
        <f t="shared" si="13"/>
        <v>580.04099999999994</v>
      </c>
    </row>
    <row r="41" spans="1:24" ht="49.95" customHeight="1">
      <c r="A41" s="96" t="s">
        <v>99</v>
      </c>
      <c r="B41" s="51">
        <v>105029</v>
      </c>
      <c r="C41" s="98" t="s">
        <v>423</v>
      </c>
      <c r="D41" s="23" t="s">
        <v>37</v>
      </c>
      <c r="E41" s="23" t="s">
        <v>38</v>
      </c>
      <c r="F41" s="24">
        <v>5.3</v>
      </c>
      <c r="G41" s="56">
        <v>53.87</v>
      </c>
      <c r="H41" s="19">
        <f>F41*G41</f>
        <v>285.51099999999997</v>
      </c>
      <c r="I41" s="3"/>
      <c r="J41" s="3"/>
      <c r="K41" s="3"/>
      <c r="L41" s="3"/>
      <c r="M41" s="115">
        <f t="shared" si="11"/>
        <v>1</v>
      </c>
      <c r="N41" s="116">
        <f>F41</f>
        <v>5.3</v>
      </c>
      <c r="O41" s="117">
        <f t="shared" si="12"/>
        <v>285.51099999999997</v>
      </c>
      <c r="P41" s="117"/>
      <c r="Q41" s="117"/>
      <c r="R41" s="117"/>
      <c r="S41" s="117"/>
      <c r="T41" s="117"/>
      <c r="U41" s="117"/>
      <c r="V41" s="118">
        <f t="shared" si="3"/>
        <v>1</v>
      </c>
      <c r="W41" s="116">
        <f t="shared" si="13"/>
        <v>5.3</v>
      </c>
      <c r="X41" s="117">
        <f t="shared" si="13"/>
        <v>285.51099999999997</v>
      </c>
    </row>
    <row r="42" spans="1:24" ht="20.100000000000001" customHeight="1">
      <c r="A42" s="113" t="s">
        <v>96</v>
      </c>
      <c r="B42" s="156" t="s">
        <v>45</v>
      </c>
      <c r="C42" s="156"/>
      <c r="D42" s="156"/>
      <c r="E42" s="156"/>
      <c r="F42" s="156"/>
      <c r="G42" s="156"/>
      <c r="H42" s="127">
        <f>SUM(H43:H51)</f>
        <v>12028.4033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49.95" customHeight="1">
      <c r="A43" s="96" t="s">
        <v>100</v>
      </c>
      <c r="B43" s="20">
        <v>87878</v>
      </c>
      <c r="C43" s="98" t="s">
        <v>484</v>
      </c>
      <c r="D43" s="97" t="s">
        <v>37</v>
      </c>
      <c r="E43" s="97" t="s">
        <v>54</v>
      </c>
      <c r="F43" s="18">
        <v>56.17</v>
      </c>
      <c r="G43" s="19">
        <v>5.51</v>
      </c>
      <c r="H43" s="19">
        <f>F43*G43-0.01</f>
        <v>309.48669999999998</v>
      </c>
      <c r="I43" s="7"/>
      <c r="J43" s="90"/>
      <c r="K43" s="91"/>
      <c r="L43" s="92"/>
      <c r="M43" s="92"/>
      <c r="N43" s="90"/>
      <c r="O43" s="91"/>
      <c r="P43" s="115">
        <f>Q43/F43</f>
        <v>1</v>
      </c>
      <c r="Q43" s="116">
        <f>F43</f>
        <v>56.17</v>
      </c>
      <c r="R43" s="117">
        <f>Q43*G43</f>
        <v>309.49669999999998</v>
      </c>
      <c r="S43" s="115"/>
      <c r="T43" s="116"/>
      <c r="U43" s="117"/>
      <c r="V43" s="118">
        <f t="shared" ref="V43:V51" si="14">W43/F43</f>
        <v>1</v>
      </c>
      <c r="W43" s="116">
        <f>N43+K43+Q43</f>
        <v>56.17</v>
      </c>
      <c r="X43" s="117">
        <f>O43+L43+R43-0.01</f>
        <v>309.48669999999998</v>
      </c>
    </row>
    <row r="44" spans="1:24" ht="49.95" customHeight="1">
      <c r="A44" s="96" t="s">
        <v>101</v>
      </c>
      <c r="B44" s="20">
        <v>87545</v>
      </c>
      <c r="C44" s="98" t="s">
        <v>425</v>
      </c>
      <c r="D44" s="97" t="s">
        <v>37</v>
      </c>
      <c r="E44" s="97" t="s">
        <v>54</v>
      </c>
      <c r="F44" s="18">
        <v>33.18</v>
      </c>
      <c r="G44" s="19">
        <v>32.409999999999997</v>
      </c>
      <c r="H44" s="19">
        <f t="shared" ref="H44:H51" si="15">F44*G44</f>
        <v>1075.3637999999999</v>
      </c>
      <c r="I44" s="7"/>
      <c r="J44" s="90"/>
      <c r="K44" s="91"/>
      <c r="L44" s="92"/>
      <c r="M44" s="92"/>
      <c r="N44" s="90"/>
      <c r="O44" s="91"/>
      <c r="P44" s="115">
        <f>Q44/F44</f>
        <v>1</v>
      </c>
      <c r="Q44" s="116">
        <f>F44</f>
        <v>33.18</v>
      </c>
      <c r="R44" s="117">
        <f>Q44*G44</f>
        <v>1075.3637999999999</v>
      </c>
      <c r="S44" s="115"/>
      <c r="T44" s="116"/>
      <c r="U44" s="117"/>
      <c r="V44" s="118">
        <f t="shared" si="14"/>
        <v>1</v>
      </c>
      <c r="W44" s="116">
        <f>N44+K44+Q44</f>
        <v>33.18</v>
      </c>
      <c r="X44" s="117">
        <f>O44+L44+R44</f>
        <v>1075.3637999999999</v>
      </c>
    </row>
    <row r="45" spans="1:24" ht="49.95" customHeight="1">
      <c r="A45" s="96" t="s">
        <v>102</v>
      </c>
      <c r="B45" s="20">
        <v>87529</v>
      </c>
      <c r="C45" s="98" t="s">
        <v>426</v>
      </c>
      <c r="D45" s="97" t="s">
        <v>37</v>
      </c>
      <c r="E45" s="97" t="s">
        <v>54</v>
      </c>
      <c r="F45" s="18">
        <v>33.18</v>
      </c>
      <c r="G45" s="19">
        <v>40.299999999999997</v>
      </c>
      <c r="H45" s="19">
        <f t="shared" si="15"/>
        <v>1337.154</v>
      </c>
      <c r="I45" s="7"/>
      <c r="J45" s="90"/>
      <c r="K45" s="91"/>
      <c r="L45" s="92"/>
      <c r="M45" s="92"/>
      <c r="N45" s="90"/>
      <c r="O45" s="91"/>
      <c r="P45" s="115">
        <f>Q45/F45</f>
        <v>1</v>
      </c>
      <c r="Q45" s="116">
        <f>F45</f>
        <v>33.18</v>
      </c>
      <c r="R45" s="117">
        <f>Q45*G45</f>
        <v>1337.154</v>
      </c>
      <c r="S45" s="115"/>
      <c r="T45" s="116"/>
      <c r="U45" s="117"/>
      <c r="V45" s="118">
        <f t="shared" si="14"/>
        <v>1</v>
      </c>
      <c r="W45" s="116">
        <f>N45+K45+Q45</f>
        <v>33.18</v>
      </c>
      <c r="X45" s="117">
        <f>O45+L45+R45</f>
        <v>1337.154</v>
      </c>
    </row>
    <row r="46" spans="1:24" ht="49.95" customHeight="1">
      <c r="A46" s="96" t="s">
        <v>103</v>
      </c>
      <c r="B46" s="52" t="s">
        <v>399</v>
      </c>
      <c r="C46" s="98" t="s">
        <v>427</v>
      </c>
      <c r="D46" s="97" t="s">
        <v>55</v>
      </c>
      <c r="E46" s="97" t="s">
        <v>54</v>
      </c>
      <c r="F46" s="18">
        <v>33.18</v>
      </c>
      <c r="G46" s="19">
        <v>74.900000000000006</v>
      </c>
      <c r="H46" s="19">
        <f t="shared" si="15"/>
        <v>2485.1820000000002</v>
      </c>
      <c r="I46" s="7"/>
      <c r="J46" s="90"/>
      <c r="K46" s="91"/>
      <c r="L46" s="92"/>
      <c r="M46" s="92"/>
      <c r="N46" s="90"/>
      <c r="O46" s="91"/>
      <c r="P46" s="91"/>
      <c r="Q46" s="91"/>
      <c r="R46" s="91"/>
      <c r="S46" s="115">
        <f>T46/F46</f>
        <v>1</v>
      </c>
      <c r="T46" s="116">
        <f>F46</f>
        <v>33.18</v>
      </c>
      <c r="U46" s="117">
        <f>T46*G46</f>
        <v>2485.1820000000002</v>
      </c>
      <c r="V46" s="118">
        <f t="shared" si="14"/>
        <v>1</v>
      </c>
      <c r="W46" s="116">
        <f>N46+K46+Q46+T46</f>
        <v>33.18</v>
      </c>
      <c r="X46" s="117">
        <f>O46+L46+R46+U46</f>
        <v>2485.1820000000002</v>
      </c>
    </row>
    <row r="47" spans="1:24" ht="49.95" customHeight="1">
      <c r="A47" s="96" t="s">
        <v>104</v>
      </c>
      <c r="B47" s="20">
        <v>87908</v>
      </c>
      <c r="C47" s="98" t="s">
        <v>428</v>
      </c>
      <c r="D47" s="97" t="s">
        <v>37</v>
      </c>
      <c r="E47" s="97" t="s">
        <v>54</v>
      </c>
      <c r="F47" s="18">
        <v>47.35</v>
      </c>
      <c r="G47" s="19">
        <v>6.83</v>
      </c>
      <c r="H47" s="19">
        <f t="shared" si="15"/>
        <v>323.40050000000002</v>
      </c>
      <c r="I47" s="7"/>
      <c r="J47" s="90"/>
      <c r="K47" s="91"/>
      <c r="L47" s="92"/>
      <c r="M47" s="92"/>
      <c r="N47" s="90"/>
      <c r="O47" s="91"/>
      <c r="P47" s="115">
        <f>Q47/F47</f>
        <v>1</v>
      </c>
      <c r="Q47" s="116">
        <f>F47</f>
        <v>47.35</v>
      </c>
      <c r="R47" s="117">
        <f>Q47*G47</f>
        <v>323.40050000000002</v>
      </c>
      <c r="S47" s="115"/>
      <c r="T47" s="116"/>
      <c r="U47" s="117"/>
      <c r="V47" s="118">
        <f t="shared" si="14"/>
        <v>1</v>
      </c>
      <c r="W47" s="116">
        <f>N47+K47+Q47</f>
        <v>47.35</v>
      </c>
      <c r="X47" s="117">
        <f>O47+L47+R47</f>
        <v>323.40050000000002</v>
      </c>
    </row>
    <row r="48" spans="1:24" ht="49.95" customHeight="1">
      <c r="A48" s="96" t="s">
        <v>105</v>
      </c>
      <c r="B48" s="20">
        <v>104218</v>
      </c>
      <c r="C48" s="98" t="s">
        <v>429</v>
      </c>
      <c r="D48" s="97" t="s">
        <v>37</v>
      </c>
      <c r="E48" s="97" t="s">
        <v>54</v>
      </c>
      <c r="F48" s="18">
        <v>47.35</v>
      </c>
      <c r="G48" s="19">
        <v>61.59</v>
      </c>
      <c r="H48" s="19">
        <f>F48*G48-0.01</f>
        <v>2916.2764999999999</v>
      </c>
      <c r="I48" s="7"/>
      <c r="J48" s="90"/>
      <c r="K48" s="91"/>
      <c r="L48" s="92"/>
      <c r="M48" s="92"/>
      <c r="N48" s="90"/>
      <c r="O48" s="91"/>
      <c r="P48" s="115">
        <f>Q48/F48</f>
        <v>1</v>
      </c>
      <c r="Q48" s="116">
        <f>F48</f>
        <v>47.35</v>
      </c>
      <c r="R48" s="117">
        <f>Q48*G48</f>
        <v>2916.2865000000002</v>
      </c>
      <c r="S48" s="115"/>
      <c r="T48" s="116"/>
      <c r="U48" s="117"/>
      <c r="V48" s="118">
        <f t="shared" si="14"/>
        <v>1</v>
      </c>
      <c r="W48" s="116">
        <f>N48+K48+Q48</f>
        <v>47.35</v>
      </c>
      <c r="X48" s="117">
        <f>O48+L48+R48-0.01</f>
        <v>2916.2764999999999</v>
      </c>
    </row>
    <row r="49" spans="1:24" ht="49.95" customHeight="1">
      <c r="A49" s="96" t="s">
        <v>106</v>
      </c>
      <c r="B49" s="20">
        <v>13</v>
      </c>
      <c r="C49" s="98" t="s">
        <v>430</v>
      </c>
      <c r="D49" s="97" t="s">
        <v>55</v>
      </c>
      <c r="E49" s="97" t="s">
        <v>54</v>
      </c>
      <c r="F49" s="18">
        <v>28.22</v>
      </c>
      <c r="G49" s="19">
        <v>76.790000000000006</v>
      </c>
      <c r="H49" s="19">
        <f t="shared" si="15"/>
        <v>2167.0138000000002</v>
      </c>
      <c r="I49" s="7"/>
      <c r="J49" s="90"/>
      <c r="K49" s="91"/>
      <c r="L49" s="92"/>
      <c r="M49" s="92"/>
      <c r="N49" s="90"/>
      <c r="O49" s="91"/>
      <c r="P49" s="91"/>
      <c r="Q49" s="91"/>
      <c r="R49" s="91"/>
      <c r="S49" s="115">
        <f>T49/F49</f>
        <v>1</v>
      </c>
      <c r="T49" s="116">
        <f>F49</f>
        <v>28.22</v>
      </c>
      <c r="U49" s="117">
        <f>T49*G49</f>
        <v>2167.0138000000002</v>
      </c>
      <c r="V49" s="118">
        <f t="shared" si="14"/>
        <v>1</v>
      </c>
      <c r="W49" s="116">
        <f t="shared" ref="W49:X51" si="16">N49+K49+Q49+T49</f>
        <v>28.22</v>
      </c>
      <c r="X49" s="117">
        <f t="shared" si="16"/>
        <v>2167.0138000000002</v>
      </c>
    </row>
    <row r="50" spans="1:24" ht="49.95" customHeight="1">
      <c r="A50" s="96" t="s">
        <v>107</v>
      </c>
      <c r="B50" s="52" t="s">
        <v>399</v>
      </c>
      <c r="C50" s="98" t="s">
        <v>427</v>
      </c>
      <c r="D50" s="97" t="s">
        <v>55</v>
      </c>
      <c r="E50" s="97" t="s">
        <v>54</v>
      </c>
      <c r="F50" s="18">
        <v>13.64</v>
      </c>
      <c r="G50" s="19">
        <v>74.900000000000006</v>
      </c>
      <c r="H50" s="19">
        <f>F50*G50-0.01</f>
        <v>1021.6260000000001</v>
      </c>
      <c r="I50" s="7"/>
      <c r="J50" s="90"/>
      <c r="K50" s="91"/>
      <c r="L50" s="92"/>
      <c r="M50" s="92"/>
      <c r="N50" s="90"/>
      <c r="O50" s="91"/>
      <c r="P50" s="91"/>
      <c r="Q50" s="91"/>
      <c r="R50" s="91"/>
      <c r="S50" s="115">
        <f>T50/F50</f>
        <v>1</v>
      </c>
      <c r="T50" s="116">
        <f>F50</f>
        <v>13.64</v>
      </c>
      <c r="U50" s="117">
        <f>T50*G50-0.01</f>
        <v>1021.6260000000001</v>
      </c>
      <c r="V50" s="118">
        <f t="shared" si="14"/>
        <v>1</v>
      </c>
      <c r="W50" s="116">
        <f t="shared" si="16"/>
        <v>13.64</v>
      </c>
      <c r="X50" s="117">
        <f t="shared" si="16"/>
        <v>1021.6260000000001</v>
      </c>
    </row>
    <row r="51" spans="1:24" ht="49.95" customHeight="1">
      <c r="A51" s="96" t="s">
        <v>108</v>
      </c>
      <c r="B51" s="20">
        <v>98555</v>
      </c>
      <c r="C51" s="98" t="s">
        <v>431</v>
      </c>
      <c r="D51" s="97" t="s">
        <v>37</v>
      </c>
      <c r="E51" s="97" t="s">
        <v>54</v>
      </c>
      <c r="F51" s="18">
        <v>10</v>
      </c>
      <c r="G51" s="19">
        <v>39.29</v>
      </c>
      <c r="H51" s="19">
        <f t="shared" si="15"/>
        <v>392.9</v>
      </c>
      <c r="I51" s="7"/>
      <c r="J51" s="90"/>
      <c r="K51" s="91"/>
      <c r="L51" s="92"/>
      <c r="M51" s="92"/>
      <c r="N51" s="90"/>
      <c r="O51" s="91"/>
      <c r="P51" s="91"/>
      <c r="Q51" s="91"/>
      <c r="R51" s="91"/>
      <c r="S51" s="115">
        <f>T51/F51</f>
        <v>1</v>
      </c>
      <c r="T51" s="116">
        <f>F51</f>
        <v>10</v>
      </c>
      <c r="U51" s="117">
        <f>T51*G51</f>
        <v>392.9</v>
      </c>
      <c r="V51" s="118">
        <f t="shared" si="14"/>
        <v>1</v>
      </c>
      <c r="W51" s="116">
        <f t="shared" si="16"/>
        <v>10</v>
      </c>
      <c r="X51" s="117">
        <f t="shared" si="16"/>
        <v>392.9</v>
      </c>
    </row>
    <row r="52" spans="1:24" ht="20.100000000000001" customHeight="1">
      <c r="A52" s="113" t="s">
        <v>109</v>
      </c>
      <c r="B52" s="156" t="s">
        <v>110</v>
      </c>
      <c r="C52" s="156"/>
      <c r="D52" s="156"/>
      <c r="E52" s="156"/>
      <c r="F52" s="156"/>
      <c r="G52" s="156"/>
      <c r="H52" s="127">
        <f>SUM(H53:H54)</f>
        <v>913.62199999999996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s="32" customFormat="1" ht="49.95" customHeight="1">
      <c r="A53" s="76" t="s">
        <v>111</v>
      </c>
      <c r="B53" s="77">
        <v>96486</v>
      </c>
      <c r="C53" s="132" t="s">
        <v>432</v>
      </c>
      <c r="D53" s="133" t="s">
        <v>37</v>
      </c>
      <c r="E53" s="133" t="s">
        <v>54</v>
      </c>
      <c r="F53" s="133">
        <v>9.6</v>
      </c>
      <c r="G53" s="134">
        <v>73.09</v>
      </c>
      <c r="H53" s="55">
        <f>F53*G53</f>
        <v>701.66399999999999</v>
      </c>
      <c r="I53" s="40"/>
      <c r="J53" s="29"/>
      <c r="K53" s="30"/>
      <c r="L53" s="31"/>
      <c r="M53" s="31"/>
      <c r="N53" s="29"/>
      <c r="O53" s="30"/>
      <c r="P53" s="30"/>
      <c r="Q53" s="30"/>
      <c r="R53" s="30"/>
      <c r="S53" s="115">
        <f>T53/F53</f>
        <v>1</v>
      </c>
      <c r="T53" s="116">
        <f>F53</f>
        <v>9.6</v>
      </c>
      <c r="U53" s="117">
        <f>T53*G53</f>
        <v>701.66399999999999</v>
      </c>
      <c r="V53" s="118">
        <f>W53/F53</f>
        <v>1</v>
      </c>
      <c r="W53" s="116">
        <f>N53+K53+Q53+T53</f>
        <v>9.6</v>
      </c>
      <c r="X53" s="117">
        <f>O53+L53+R53+U53</f>
        <v>701.66399999999999</v>
      </c>
    </row>
    <row r="54" spans="1:24" s="32" customFormat="1" ht="49.95" customHeight="1">
      <c r="A54" s="76" t="s">
        <v>112</v>
      </c>
      <c r="B54" s="77">
        <v>96121</v>
      </c>
      <c r="C54" s="132" t="s">
        <v>433</v>
      </c>
      <c r="D54" s="133" t="s">
        <v>37</v>
      </c>
      <c r="E54" s="133" t="s">
        <v>38</v>
      </c>
      <c r="F54" s="133">
        <v>18.399999999999999</v>
      </c>
      <c r="G54" s="134">
        <v>11.52</v>
      </c>
      <c r="H54" s="55">
        <f>F54*G54-0.01</f>
        <v>211.958</v>
      </c>
      <c r="I54" s="40"/>
      <c r="J54" s="29"/>
      <c r="K54" s="30"/>
      <c r="L54" s="31"/>
      <c r="M54" s="31"/>
      <c r="N54" s="29"/>
      <c r="O54" s="30"/>
      <c r="P54" s="30"/>
      <c r="Q54" s="30"/>
      <c r="R54" s="30"/>
      <c r="S54" s="115">
        <f>T54/F54</f>
        <v>1</v>
      </c>
      <c r="T54" s="116">
        <f>F54</f>
        <v>18.399999999999999</v>
      </c>
      <c r="U54" s="117">
        <f>T54*G54-0.01</f>
        <v>211.958</v>
      </c>
      <c r="V54" s="118">
        <f>W54/F54</f>
        <v>1</v>
      </c>
      <c r="W54" s="116">
        <f>N54+K54+Q54+T54</f>
        <v>18.399999999999999</v>
      </c>
      <c r="X54" s="117">
        <f>O54+L54+R54+U54</f>
        <v>211.958</v>
      </c>
    </row>
    <row r="55" spans="1:24" ht="20.100000000000001" customHeight="1">
      <c r="A55" s="113" t="s">
        <v>113</v>
      </c>
      <c r="B55" s="156" t="s">
        <v>46</v>
      </c>
      <c r="C55" s="156"/>
      <c r="D55" s="156"/>
      <c r="E55" s="156"/>
      <c r="F55" s="156"/>
      <c r="G55" s="156"/>
      <c r="H55" s="127">
        <f>SUM(H56:H58)</f>
        <v>1505.664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49.95" customHeight="1">
      <c r="A56" s="96" t="s">
        <v>827</v>
      </c>
      <c r="B56" s="20">
        <v>95241</v>
      </c>
      <c r="C56" s="98" t="s">
        <v>434</v>
      </c>
      <c r="D56" s="97" t="s">
        <v>37</v>
      </c>
      <c r="E56" s="97" t="s">
        <v>54</v>
      </c>
      <c r="F56" s="18">
        <v>9.6</v>
      </c>
      <c r="G56" s="19">
        <v>41.55</v>
      </c>
      <c r="H56" s="19">
        <f>F56*G56</f>
        <v>398.87999999999994</v>
      </c>
      <c r="I56" s="7"/>
      <c r="J56" s="90"/>
      <c r="K56" s="91"/>
      <c r="L56" s="92"/>
      <c r="M56" s="115">
        <f>N56/F56</f>
        <v>1</v>
      </c>
      <c r="N56" s="116">
        <f>F56</f>
        <v>9.6</v>
      </c>
      <c r="O56" s="117">
        <f>N56*G56</f>
        <v>398.87999999999994</v>
      </c>
      <c r="P56" s="117"/>
      <c r="Q56" s="117"/>
      <c r="R56" s="117"/>
      <c r="S56" s="117"/>
      <c r="T56" s="117"/>
      <c r="U56" s="117"/>
      <c r="V56" s="118">
        <f>W56/F56</f>
        <v>1</v>
      </c>
      <c r="W56" s="116">
        <f>N56+K56</f>
        <v>9.6</v>
      </c>
      <c r="X56" s="117">
        <f>O56+L56</f>
        <v>398.87999999999994</v>
      </c>
    </row>
    <row r="57" spans="1:24" ht="49.95" customHeight="1">
      <c r="A57" s="96" t="s">
        <v>828</v>
      </c>
      <c r="B57" s="20">
        <v>87622</v>
      </c>
      <c r="C57" s="98" t="s">
        <v>435</v>
      </c>
      <c r="D57" s="97" t="s">
        <v>37</v>
      </c>
      <c r="E57" s="97" t="s">
        <v>54</v>
      </c>
      <c r="F57" s="18">
        <v>9.6</v>
      </c>
      <c r="G57" s="19">
        <v>40.39</v>
      </c>
      <c r="H57" s="19">
        <f>F57*G57</f>
        <v>387.74399999999997</v>
      </c>
      <c r="I57" s="7"/>
      <c r="J57" s="90"/>
      <c r="K57" s="91"/>
      <c r="L57" s="92"/>
      <c r="M57" s="115">
        <f>N57/F57</f>
        <v>1</v>
      </c>
      <c r="N57" s="116">
        <f>F57</f>
        <v>9.6</v>
      </c>
      <c r="O57" s="117">
        <f>N57*G57</f>
        <v>387.74399999999997</v>
      </c>
      <c r="P57" s="117"/>
      <c r="Q57" s="117"/>
      <c r="R57" s="117"/>
      <c r="S57" s="117"/>
      <c r="T57" s="117"/>
      <c r="U57" s="117"/>
      <c r="V57" s="118">
        <f>W57/F57</f>
        <v>1</v>
      </c>
      <c r="W57" s="116">
        <f>N57+K57</f>
        <v>9.6</v>
      </c>
      <c r="X57" s="117">
        <f>O57+L57</f>
        <v>387.74399999999997</v>
      </c>
    </row>
    <row r="58" spans="1:24" ht="49.95" customHeight="1">
      <c r="A58" s="96" t="s">
        <v>829</v>
      </c>
      <c r="B58" s="52" t="s">
        <v>399</v>
      </c>
      <c r="C58" s="98" t="s">
        <v>427</v>
      </c>
      <c r="D58" s="97" t="s">
        <v>55</v>
      </c>
      <c r="E58" s="97" t="s">
        <v>54</v>
      </c>
      <c r="F58" s="18">
        <v>9.6</v>
      </c>
      <c r="G58" s="19">
        <v>74.900000000000006</v>
      </c>
      <c r="H58" s="19">
        <f>F58*G58</f>
        <v>719.04000000000008</v>
      </c>
      <c r="I58" s="7"/>
      <c r="J58" s="90"/>
      <c r="K58" s="91"/>
      <c r="L58" s="92"/>
      <c r="M58" s="115"/>
      <c r="N58" s="116"/>
      <c r="O58" s="117"/>
      <c r="P58" s="117"/>
      <c r="Q58" s="117"/>
      <c r="R58" s="117"/>
      <c r="S58" s="115">
        <f>T58/F58</f>
        <v>1</v>
      </c>
      <c r="T58" s="116">
        <f>F58</f>
        <v>9.6</v>
      </c>
      <c r="U58" s="117">
        <f>T58*G58</f>
        <v>719.04000000000008</v>
      </c>
      <c r="V58" s="118">
        <f>W58/F58</f>
        <v>1</v>
      </c>
      <c r="W58" s="116">
        <f>N58+K58+Q58+T58</f>
        <v>9.6</v>
      </c>
      <c r="X58" s="117">
        <f>O58+L58+R58+U58</f>
        <v>719.04000000000008</v>
      </c>
    </row>
    <row r="59" spans="1:24" ht="20.100000000000001" customHeight="1">
      <c r="A59" s="113" t="s">
        <v>114</v>
      </c>
      <c r="B59" s="156" t="s">
        <v>115</v>
      </c>
      <c r="C59" s="156"/>
      <c r="D59" s="156"/>
      <c r="E59" s="156"/>
      <c r="F59" s="156"/>
      <c r="G59" s="156"/>
      <c r="H59" s="127">
        <f>SUM(H60,H86,H108)</f>
        <v>14710.263199999998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0.100000000000001" customHeight="1">
      <c r="A60" s="113" t="s">
        <v>116</v>
      </c>
      <c r="B60" s="156" t="s">
        <v>47</v>
      </c>
      <c r="C60" s="156"/>
      <c r="D60" s="156"/>
      <c r="E60" s="156"/>
      <c r="F60" s="156"/>
      <c r="G60" s="156"/>
      <c r="H60" s="127">
        <f>SUM(H61:H85)-0.01</f>
        <v>3931.5154999999991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9.95" customHeight="1">
      <c r="A61" s="101" t="s">
        <v>117</v>
      </c>
      <c r="B61" s="51">
        <v>102607</v>
      </c>
      <c r="C61" s="98" t="s">
        <v>436</v>
      </c>
      <c r="D61" s="97" t="s">
        <v>37</v>
      </c>
      <c r="E61" s="97" t="s">
        <v>57</v>
      </c>
      <c r="F61" s="18">
        <v>1</v>
      </c>
      <c r="G61" s="19">
        <v>550.66999999999996</v>
      </c>
      <c r="H61" s="19">
        <f>F61*G61</f>
        <v>550.66999999999996</v>
      </c>
      <c r="I61" s="3"/>
      <c r="J61" s="3"/>
      <c r="K61" s="3"/>
      <c r="L61" s="3"/>
      <c r="M61" s="115">
        <f>N61/F61</f>
        <v>1</v>
      </c>
      <c r="N61" s="116">
        <f>F61</f>
        <v>1</v>
      </c>
      <c r="O61" s="117">
        <f>N61*G61</f>
        <v>550.66999999999996</v>
      </c>
      <c r="P61" s="117"/>
      <c r="Q61" s="117"/>
      <c r="R61" s="117"/>
      <c r="S61" s="117"/>
      <c r="T61" s="117"/>
      <c r="U61" s="117"/>
      <c r="V61" s="118">
        <f t="shared" ref="V61:V124" si="17">W61/F61</f>
        <v>1</v>
      </c>
      <c r="W61" s="116">
        <f>N61+K61</f>
        <v>1</v>
      </c>
      <c r="X61" s="117">
        <f>O61+L61</f>
        <v>550.66999999999996</v>
      </c>
    </row>
    <row r="62" spans="1:24" ht="49.95" customHeight="1">
      <c r="A62" s="101" t="s">
        <v>118</v>
      </c>
      <c r="B62" s="51">
        <v>94795</v>
      </c>
      <c r="C62" s="98" t="s">
        <v>437</v>
      </c>
      <c r="D62" s="97" t="s">
        <v>37</v>
      </c>
      <c r="E62" s="97" t="s">
        <v>57</v>
      </c>
      <c r="F62" s="18">
        <v>1</v>
      </c>
      <c r="G62" s="19">
        <v>52.78</v>
      </c>
      <c r="H62" s="19">
        <f t="shared" ref="H62:H85" si="18">F62*G62</f>
        <v>52.78</v>
      </c>
      <c r="I62" s="3"/>
      <c r="J62" s="90"/>
      <c r="K62" s="91"/>
      <c r="L62" s="92"/>
      <c r="M62" s="115">
        <f t="shared" ref="M62:M85" si="19">N62/F62</f>
        <v>1</v>
      </c>
      <c r="N62" s="116">
        <f t="shared" ref="N62:N85" si="20">F62</f>
        <v>1</v>
      </c>
      <c r="O62" s="117">
        <f t="shared" ref="O62:O85" si="21">N62*G62</f>
        <v>52.78</v>
      </c>
      <c r="P62" s="117"/>
      <c r="Q62" s="117"/>
      <c r="R62" s="117"/>
      <c r="S62" s="117"/>
      <c r="T62" s="117"/>
      <c r="U62" s="117"/>
      <c r="V62" s="118">
        <f t="shared" si="17"/>
        <v>1</v>
      </c>
      <c r="W62" s="116">
        <f t="shared" ref="W62:W85" si="22">N62+K62</f>
        <v>1</v>
      </c>
      <c r="X62" s="117">
        <f t="shared" ref="X62:X85" si="23">O62+L62</f>
        <v>52.78</v>
      </c>
    </row>
    <row r="63" spans="1:24" ht="49.95" customHeight="1">
      <c r="A63" s="101" t="s">
        <v>119</v>
      </c>
      <c r="B63" s="51">
        <v>86888</v>
      </c>
      <c r="C63" s="98" t="s">
        <v>438</v>
      </c>
      <c r="D63" s="97" t="s">
        <v>37</v>
      </c>
      <c r="E63" s="97" t="s">
        <v>57</v>
      </c>
      <c r="F63" s="18">
        <v>1</v>
      </c>
      <c r="G63" s="19">
        <v>591.21</v>
      </c>
      <c r="H63" s="19">
        <f t="shared" si="18"/>
        <v>591.21</v>
      </c>
      <c r="I63" s="3"/>
      <c r="J63" s="90"/>
      <c r="K63" s="91"/>
      <c r="L63" s="92"/>
      <c r="M63" s="115">
        <f t="shared" si="19"/>
        <v>1</v>
      </c>
      <c r="N63" s="116">
        <f t="shared" si="20"/>
        <v>1</v>
      </c>
      <c r="O63" s="117">
        <f t="shared" si="21"/>
        <v>591.21</v>
      </c>
      <c r="P63" s="117"/>
      <c r="Q63" s="117"/>
      <c r="R63" s="117"/>
      <c r="S63" s="117"/>
      <c r="T63" s="117"/>
      <c r="U63" s="117"/>
      <c r="V63" s="118">
        <f t="shared" si="17"/>
        <v>1</v>
      </c>
      <c r="W63" s="116">
        <f t="shared" si="22"/>
        <v>1</v>
      </c>
      <c r="X63" s="117">
        <f t="shared" si="23"/>
        <v>591.21</v>
      </c>
    </row>
    <row r="64" spans="1:24" ht="49.95" customHeight="1">
      <c r="A64" s="101" t="s">
        <v>120</v>
      </c>
      <c r="B64" s="78">
        <v>1370</v>
      </c>
      <c r="C64" s="98" t="s">
        <v>439</v>
      </c>
      <c r="D64" s="97" t="s">
        <v>37</v>
      </c>
      <c r="E64" s="97" t="s">
        <v>57</v>
      </c>
      <c r="F64" s="18">
        <v>1</v>
      </c>
      <c r="G64" s="19">
        <v>141.46</v>
      </c>
      <c r="H64" s="19">
        <f t="shared" si="18"/>
        <v>141.46</v>
      </c>
      <c r="I64" s="3"/>
      <c r="J64" s="90"/>
      <c r="K64" s="91"/>
      <c r="L64" s="92"/>
      <c r="M64" s="115">
        <f t="shared" si="19"/>
        <v>1</v>
      </c>
      <c r="N64" s="116">
        <f t="shared" si="20"/>
        <v>1</v>
      </c>
      <c r="O64" s="117">
        <f t="shared" si="21"/>
        <v>141.46</v>
      </c>
      <c r="P64" s="117"/>
      <c r="Q64" s="117"/>
      <c r="R64" s="117"/>
      <c r="S64" s="117"/>
      <c r="T64" s="117"/>
      <c r="U64" s="117"/>
      <c r="V64" s="118">
        <f t="shared" si="17"/>
        <v>1</v>
      </c>
      <c r="W64" s="116">
        <f t="shared" si="22"/>
        <v>1</v>
      </c>
      <c r="X64" s="117">
        <f t="shared" si="23"/>
        <v>141.46</v>
      </c>
    </row>
    <row r="65" spans="1:24" ht="49.95" customHeight="1">
      <c r="A65" s="101" t="s">
        <v>121</v>
      </c>
      <c r="B65" s="78">
        <v>10427</v>
      </c>
      <c r="C65" s="98" t="s">
        <v>440</v>
      </c>
      <c r="D65" s="97" t="s">
        <v>37</v>
      </c>
      <c r="E65" s="97" t="s">
        <v>57</v>
      </c>
      <c r="F65" s="18">
        <v>1</v>
      </c>
      <c r="G65" s="19">
        <v>596.73</v>
      </c>
      <c r="H65" s="19">
        <f t="shared" si="18"/>
        <v>596.73</v>
      </c>
      <c r="I65" s="3"/>
      <c r="J65" s="90"/>
      <c r="K65" s="91"/>
      <c r="L65" s="92"/>
      <c r="M65" s="115">
        <f t="shared" si="19"/>
        <v>1</v>
      </c>
      <c r="N65" s="116">
        <f t="shared" si="20"/>
        <v>1</v>
      </c>
      <c r="O65" s="117">
        <f t="shared" si="21"/>
        <v>596.73</v>
      </c>
      <c r="P65" s="117"/>
      <c r="Q65" s="117"/>
      <c r="R65" s="117"/>
      <c r="S65" s="117"/>
      <c r="T65" s="117"/>
      <c r="U65" s="117"/>
      <c r="V65" s="118">
        <f t="shared" si="17"/>
        <v>1</v>
      </c>
      <c r="W65" s="116">
        <f t="shared" si="22"/>
        <v>1</v>
      </c>
      <c r="X65" s="117">
        <f t="shared" si="23"/>
        <v>596.73</v>
      </c>
    </row>
    <row r="66" spans="1:24" ht="49.95" customHeight="1">
      <c r="A66" s="101" t="s">
        <v>122</v>
      </c>
      <c r="B66" s="78">
        <v>6136</v>
      </c>
      <c r="C66" s="98" t="s">
        <v>441</v>
      </c>
      <c r="D66" s="97" t="s">
        <v>37</v>
      </c>
      <c r="E66" s="97" t="s">
        <v>57</v>
      </c>
      <c r="F66" s="18">
        <v>1</v>
      </c>
      <c r="G66" s="19">
        <v>206.49</v>
      </c>
      <c r="H66" s="19">
        <f t="shared" si="18"/>
        <v>206.49</v>
      </c>
      <c r="I66" s="3"/>
      <c r="J66" s="90"/>
      <c r="K66" s="91"/>
      <c r="L66" s="92"/>
      <c r="M66" s="115">
        <f t="shared" si="19"/>
        <v>1</v>
      </c>
      <c r="N66" s="116">
        <f t="shared" si="20"/>
        <v>1</v>
      </c>
      <c r="O66" s="117">
        <f t="shared" si="21"/>
        <v>206.49</v>
      </c>
      <c r="P66" s="117"/>
      <c r="Q66" s="117"/>
      <c r="R66" s="117"/>
      <c r="S66" s="117"/>
      <c r="T66" s="117"/>
      <c r="U66" s="117"/>
      <c r="V66" s="118">
        <f t="shared" si="17"/>
        <v>1</v>
      </c>
      <c r="W66" s="116">
        <f t="shared" si="22"/>
        <v>1</v>
      </c>
      <c r="X66" s="117">
        <f t="shared" si="23"/>
        <v>206.49</v>
      </c>
    </row>
    <row r="67" spans="1:24" ht="49.95" customHeight="1">
      <c r="A67" s="101" t="s">
        <v>123</v>
      </c>
      <c r="B67" s="51">
        <v>86886</v>
      </c>
      <c r="C67" s="98" t="s">
        <v>442</v>
      </c>
      <c r="D67" s="97" t="s">
        <v>37</v>
      </c>
      <c r="E67" s="97" t="s">
        <v>57</v>
      </c>
      <c r="F67" s="18">
        <v>1</v>
      </c>
      <c r="G67" s="19">
        <v>53.04</v>
      </c>
      <c r="H67" s="19">
        <f t="shared" si="18"/>
        <v>53.04</v>
      </c>
      <c r="I67" s="3"/>
      <c r="J67" s="90"/>
      <c r="K67" s="91"/>
      <c r="L67" s="92"/>
      <c r="M67" s="115">
        <f t="shared" si="19"/>
        <v>1</v>
      </c>
      <c r="N67" s="116">
        <f t="shared" si="20"/>
        <v>1</v>
      </c>
      <c r="O67" s="117">
        <f t="shared" si="21"/>
        <v>53.04</v>
      </c>
      <c r="P67" s="117"/>
      <c r="Q67" s="117"/>
      <c r="R67" s="117"/>
      <c r="S67" s="117"/>
      <c r="T67" s="117"/>
      <c r="U67" s="117"/>
      <c r="V67" s="118">
        <f t="shared" si="17"/>
        <v>1</v>
      </c>
      <c r="W67" s="116">
        <f t="shared" si="22"/>
        <v>1</v>
      </c>
      <c r="X67" s="117">
        <f t="shared" si="23"/>
        <v>53.04</v>
      </c>
    </row>
    <row r="68" spans="1:24" ht="49.95" customHeight="1">
      <c r="A68" s="101" t="s">
        <v>124</v>
      </c>
      <c r="B68" s="51">
        <v>86936</v>
      </c>
      <c r="C68" s="98" t="s">
        <v>443</v>
      </c>
      <c r="D68" s="97" t="s">
        <v>37</v>
      </c>
      <c r="E68" s="97" t="s">
        <v>57</v>
      </c>
      <c r="F68" s="18">
        <v>1</v>
      </c>
      <c r="G68" s="19">
        <v>562.74</v>
      </c>
      <c r="H68" s="19">
        <f t="shared" si="18"/>
        <v>562.74</v>
      </c>
      <c r="I68" s="3"/>
      <c r="J68" s="90"/>
      <c r="K68" s="91"/>
      <c r="L68" s="92"/>
      <c r="M68" s="115">
        <f t="shared" si="19"/>
        <v>1</v>
      </c>
      <c r="N68" s="116">
        <f t="shared" si="20"/>
        <v>1</v>
      </c>
      <c r="O68" s="117">
        <f t="shared" si="21"/>
        <v>562.74</v>
      </c>
      <c r="P68" s="117"/>
      <c r="Q68" s="117"/>
      <c r="R68" s="117"/>
      <c r="S68" s="117"/>
      <c r="T68" s="117"/>
      <c r="U68" s="117"/>
      <c r="V68" s="118">
        <f t="shared" si="17"/>
        <v>1</v>
      </c>
      <c r="W68" s="116">
        <f t="shared" si="22"/>
        <v>1</v>
      </c>
      <c r="X68" s="117">
        <f t="shared" si="23"/>
        <v>562.74</v>
      </c>
    </row>
    <row r="69" spans="1:24" ht="49.95" customHeight="1">
      <c r="A69" s="101" t="s">
        <v>125</v>
      </c>
      <c r="B69" s="51">
        <v>86911</v>
      </c>
      <c r="C69" s="98" t="s">
        <v>444</v>
      </c>
      <c r="D69" s="97" t="s">
        <v>37</v>
      </c>
      <c r="E69" s="97" t="s">
        <v>57</v>
      </c>
      <c r="F69" s="18">
        <v>1</v>
      </c>
      <c r="G69" s="19">
        <v>112.25</v>
      </c>
      <c r="H69" s="19">
        <f t="shared" si="18"/>
        <v>112.25</v>
      </c>
      <c r="I69" s="3"/>
      <c r="J69" s="3"/>
      <c r="K69" s="3"/>
      <c r="L69" s="3"/>
      <c r="M69" s="115">
        <f t="shared" si="19"/>
        <v>1</v>
      </c>
      <c r="N69" s="116">
        <f t="shared" si="20"/>
        <v>1</v>
      </c>
      <c r="O69" s="117">
        <f t="shared" si="21"/>
        <v>112.25</v>
      </c>
      <c r="P69" s="117"/>
      <c r="Q69" s="117"/>
      <c r="R69" s="117"/>
      <c r="S69" s="117"/>
      <c r="T69" s="117"/>
      <c r="U69" s="117"/>
      <c r="V69" s="118">
        <f t="shared" si="17"/>
        <v>1</v>
      </c>
      <c r="W69" s="116">
        <f t="shared" si="22"/>
        <v>1</v>
      </c>
      <c r="X69" s="117">
        <f t="shared" si="23"/>
        <v>112.25</v>
      </c>
    </row>
    <row r="70" spans="1:24" ht="49.95" customHeight="1">
      <c r="A70" s="101" t="s">
        <v>126</v>
      </c>
      <c r="B70" s="78">
        <v>13983</v>
      </c>
      <c r="C70" s="98" t="s">
        <v>445</v>
      </c>
      <c r="D70" s="97" t="s">
        <v>37</v>
      </c>
      <c r="E70" s="97" t="s">
        <v>57</v>
      </c>
      <c r="F70" s="18">
        <v>1</v>
      </c>
      <c r="G70" s="19">
        <v>121.48</v>
      </c>
      <c r="H70" s="19">
        <f t="shared" si="18"/>
        <v>121.48</v>
      </c>
      <c r="I70" s="3"/>
      <c r="J70" s="90"/>
      <c r="K70" s="91"/>
      <c r="L70" s="92"/>
      <c r="M70" s="115">
        <f t="shared" si="19"/>
        <v>1</v>
      </c>
      <c r="N70" s="116">
        <f t="shared" si="20"/>
        <v>1</v>
      </c>
      <c r="O70" s="117">
        <f t="shared" si="21"/>
        <v>121.48</v>
      </c>
      <c r="P70" s="117"/>
      <c r="Q70" s="117"/>
      <c r="R70" s="117"/>
      <c r="S70" s="117"/>
      <c r="T70" s="117"/>
      <c r="U70" s="117"/>
      <c r="V70" s="118">
        <f t="shared" si="17"/>
        <v>1</v>
      </c>
      <c r="W70" s="116">
        <f t="shared" si="22"/>
        <v>1</v>
      </c>
      <c r="X70" s="117">
        <f t="shared" si="23"/>
        <v>121.48</v>
      </c>
    </row>
    <row r="71" spans="1:24" ht="49.95" customHeight="1">
      <c r="A71" s="101" t="s">
        <v>127</v>
      </c>
      <c r="B71" s="51">
        <v>89987</v>
      </c>
      <c r="C71" s="98" t="s">
        <v>446</v>
      </c>
      <c r="D71" s="97" t="s">
        <v>37</v>
      </c>
      <c r="E71" s="97" t="s">
        <v>57</v>
      </c>
      <c r="F71" s="18">
        <v>2</v>
      </c>
      <c r="G71" s="19">
        <v>115.36</v>
      </c>
      <c r="H71" s="19">
        <f t="shared" si="18"/>
        <v>230.72</v>
      </c>
      <c r="I71" s="3"/>
      <c r="J71" s="90"/>
      <c r="K71" s="91"/>
      <c r="L71" s="92"/>
      <c r="M71" s="115">
        <f t="shared" si="19"/>
        <v>1</v>
      </c>
      <c r="N71" s="116">
        <f t="shared" si="20"/>
        <v>2</v>
      </c>
      <c r="O71" s="117">
        <f t="shared" si="21"/>
        <v>230.72</v>
      </c>
      <c r="P71" s="117"/>
      <c r="Q71" s="117"/>
      <c r="R71" s="117"/>
      <c r="S71" s="117"/>
      <c r="T71" s="117"/>
      <c r="U71" s="117"/>
      <c r="V71" s="118">
        <f t="shared" si="17"/>
        <v>1</v>
      </c>
      <c r="W71" s="116">
        <f t="shared" si="22"/>
        <v>2</v>
      </c>
      <c r="X71" s="117">
        <f t="shared" si="23"/>
        <v>230.72</v>
      </c>
    </row>
    <row r="72" spans="1:24" ht="49.95" customHeight="1">
      <c r="A72" s="101" t="s">
        <v>128</v>
      </c>
      <c r="B72" s="51">
        <v>94492</v>
      </c>
      <c r="C72" s="98" t="s">
        <v>447</v>
      </c>
      <c r="D72" s="97" t="s">
        <v>37</v>
      </c>
      <c r="E72" s="97" t="s">
        <v>57</v>
      </c>
      <c r="F72" s="18">
        <v>2</v>
      </c>
      <c r="G72" s="19">
        <v>54.83</v>
      </c>
      <c r="H72" s="19">
        <f t="shared" si="18"/>
        <v>109.66</v>
      </c>
      <c r="I72" s="3"/>
      <c r="J72" s="90"/>
      <c r="K72" s="91"/>
      <c r="L72" s="92"/>
      <c r="M72" s="115">
        <f t="shared" si="19"/>
        <v>1</v>
      </c>
      <c r="N72" s="116">
        <f t="shared" si="20"/>
        <v>2</v>
      </c>
      <c r="O72" s="117">
        <f t="shared" si="21"/>
        <v>109.66</v>
      </c>
      <c r="P72" s="117"/>
      <c r="Q72" s="117"/>
      <c r="R72" s="117"/>
      <c r="S72" s="117"/>
      <c r="T72" s="117"/>
      <c r="U72" s="117"/>
      <c r="V72" s="118">
        <f t="shared" si="17"/>
        <v>1</v>
      </c>
      <c r="W72" s="116">
        <f t="shared" si="22"/>
        <v>2</v>
      </c>
      <c r="X72" s="117">
        <f t="shared" si="23"/>
        <v>109.66</v>
      </c>
    </row>
    <row r="73" spans="1:24" ht="49.95" customHeight="1">
      <c r="A73" s="101" t="s">
        <v>129</v>
      </c>
      <c r="B73" s="51">
        <v>94489</v>
      </c>
      <c r="C73" s="98" t="s">
        <v>448</v>
      </c>
      <c r="D73" s="97" t="s">
        <v>37</v>
      </c>
      <c r="E73" s="97" t="s">
        <v>57</v>
      </c>
      <c r="F73" s="18">
        <v>1</v>
      </c>
      <c r="G73" s="19">
        <v>26.72</v>
      </c>
      <c r="H73" s="19">
        <f t="shared" si="18"/>
        <v>26.72</v>
      </c>
      <c r="I73" s="3"/>
      <c r="J73" s="90"/>
      <c r="K73" s="91"/>
      <c r="L73" s="92"/>
      <c r="M73" s="115">
        <f t="shared" si="19"/>
        <v>1</v>
      </c>
      <c r="N73" s="116">
        <f t="shared" si="20"/>
        <v>1</v>
      </c>
      <c r="O73" s="117">
        <f t="shared" si="21"/>
        <v>26.72</v>
      </c>
      <c r="P73" s="117"/>
      <c r="Q73" s="117"/>
      <c r="R73" s="117"/>
      <c r="S73" s="117"/>
      <c r="T73" s="117"/>
      <c r="U73" s="117"/>
      <c r="V73" s="118">
        <f t="shared" si="17"/>
        <v>1</v>
      </c>
      <c r="W73" s="116">
        <f t="shared" si="22"/>
        <v>1</v>
      </c>
      <c r="X73" s="117">
        <f t="shared" si="23"/>
        <v>26.72</v>
      </c>
    </row>
    <row r="74" spans="1:24" ht="49.95" customHeight="1">
      <c r="A74" s="101" t="s">
        <v>130</v>
      </c>
      <c r="B74" s="51">
        <v>94656</v>
      </c>
      <c r="C74" s="98" t="s">
        <v>449</v>
      </c>
      <c r="D74" s="97" t="s">
        <v>37</v>
      </c>
      <c r="E74" s="97" t="s">
        <v>57</v>
      </c>
      <c r="F74" s="18">
        <v>2</v>
      </c>
      <c r="G74" s="19">
        <v>3.57</v>
      </c>
      <c r="H74" s="19">
        <f t="shared" si="18"/>
        <v>7.14</v>
      </c>
      <c r="I74" s="3"/>
      <c r="J74" s="90"/>
      <c r="K74" s="91"/>
      <c r="L74" s="92"/>
      <c r="M74" s="115">
        <f t="shared" si="19"/>
        <v>1</v>
      </c>
      <c r="N74" s="116">
        <f t="shared" si="20"/>
        <v>2</v>
      </c>
      <c r="O74" s="117">
        <f t="shared" si="21"/>
        <v>7.14</v>
      </c>
      <c r="P74" s="117"/>
      <c r="Q74" s="117"/>
      <c r="R74" s="117"/>
      <c r="S74" s="117"/>
      <c r="T74" s="117"/>
      <c r="U74" s="117"/>
      <c r="V74" s="118">
        <f t="shared" si="17"/>
        <v>1</v>
      </c>
      <c r="W74" s="116">
        <f t="shared" si="22"/>
        <v>2</v>
      </c>
      <c r="X74" s="117">
        <f t="shared" si="23"/>
        <v>7.14</v>
      </c>
    </row>
    <row r="75" spans="1:24" ht="49.95" customHeight="1">
      <c r="A75" s="101" t="s">
        <v>131</v>
      </c>
      <c r="B75" s="51">
        <v>103966</v>
      </c>
      <c r="C75" s="98" t="s">
        <v>450</v>
      </c>
      <c r="D75" s="97" t="s">
        <v>37</v>
      </c>
      <c r="E75" s="97" t="s">
        <v>57</v>
      </c>
      <c r="F75" s="18">
        <v>1</v>
      </c>
      <c r="G75" s="19">
        <v>10.14</v>
      </c>
      <c r="H75" s="19">
        <f t="shared" si="18"/>
        <v>10.14</v>
      </c>
      <c r="I75" s="3"/>
      <c r="J75" s="90"/>
      <c r="K75" s="91"/>
      <c r="L75" s="92"/>
      <c r="M75" s="115">
        <f t="shared" si="19"/>
        <v>1</v>
      </c>
      <c r="N75" s="116">
        <f t="shared" si="20"/>
        <v>1</v>
      </c>
      <c r="O75" s="117">
        <f t="shared" si="21"/>
        <v>10.14</v>
      </c>
      <c r="P75" s="117"/>
      <c r="Q75" s="117"/>
      <c r="R75" s="117"/>
      <c r="S75" s="117"/>
      <c r="T75" s="117"/>
      <c r="U75" s="117"/>
      <c r="V75" s="118">
        <f t="shared" si="17"/>
        <v>1</v>
      </c>
      <c r="W75" s="116">
        <f t="shared" si="22"/>
        <v>1</v>
      </c>
      <c r="X75" s="117">
        <f t="shared" si="23"/>
        <v>10.14</v>
      </c>
    </row>
    <row r="76" spans="1:24" ht="49.95" customHeight="1">
      <c r="A76" s="101" t="s">
        <v>132</v>
      </c>
      <c r="B76" s="51">
        <v>89364</v>
      </c>
      <c r="C76" s="98" t="s">
        <v>451</v>
      </c>
      <c r="D76" s="97" t="s">
        <v>37</v>
      </c>
      <c r="E76" s="97" t="s">
        <v>57</v>
      </c>
      <c r="F76" s="18">
        <v>8</v>
      </c>
      <c r="G76" s="19">
        <v>12.66</v>
      </c>
      <c r="H76" s="19">
        <f t="shared" si="18"/>
        <v>101.28</v>
      </c>
      <c r="I76" s="3"/>
      <c r="J76" s="90"/>
      <c r="K76" s="91"/>
      <c r="L76" s="92"/>
      <c r="M76" s="115">
        <f t="shared" si="19"/>
        <v>1</v>
      </c>
      <c r="N76" s="116">
        <f t="shared" si="20"/>
        <v>8</v>
      </c>
      <c r="O76" s="117">
        <f t="shared" si="21"/>
        <v>101.28</v>
      </c>
      <c r="P76" s="117"/>
      <c r="Q76" s="117"/>
      <c r="R76" s="117"/>
      <c r="S76" s="117"/>
      <c r="T76" s="117"/>
      <c r="U76" s="117"/>
      <c r="V76" s="118">
        <f t="shared" si="17"/>
        <v>1</v>
      </c>
      <c r="W76" s="116">
        <f t="shared" si="22"/>
        <v>8</v>
      </c>
      <c r="X76" s="117">
        <f t="shared" si="23"/>
        <v>101.28</v>
      </c>
    </row>
    <row r="77" spans="1:24" ht="49.95" customHeight="1">
      <c r="A77" s="101" t="s">
        <v>133</v>
      </c>
      <c r="B77" s="51">
        <v>103986</v>
      </c>
      <c r="C77" s="98" t="s">
        <v>452</v>
      </c>
      <c r="D77" s="97" t="s">
        <v>37</v>
      </c>
      <c r="E77" s="97" t="s">
        <v>57</v>
      </c>
      <c r="F77" s="18">
        <v>1</v>
      </c>
      <c r="G77" s="19">
        <v>30.01</v>
      </c>
      <c r="H77" s="19">
        <f t="shared" si="18"/>
        <v>30.01</v>
      </c>
      <c r="I77" s="3"/>
      <c r="J77" s="90"/>
      <c r="K77" s="91"/>
      <c r="L77" s="92"/>
      <c r="M77" s="115">
        <f t="shared" si="19"/>
        <v>1</v>
      </c>
      <c r="N77" s="116">
        <f t="shared" si="20"/>
        <v>1</v>
      </c>
      <c r="O77" s="117">
        <f t="shared" si="21"/>
        <v>30.01</v>
      </c>
      <c r="P77" s="117"/>
      <c r="Q77" s="117"/>
      <c r="R77" s="117"/>
      <c r="S77" s="117"/>
      <c r="T77" s="117"/>
      <c r="U77" s="117"/>
      <c r="V77" s="118">
        <f t="shared" si="17"/>
        <v>1</v>
      </c>
      <c r="W77" s="116">
        <f t="shared" si="22"/>
        <v>1</v>
      </c>
      <c r="X77" s="117">
        <f t="shared" si="23"/>
        <v>30.01</v>
      </c>
    </row>
    <row r="78" spans="1:24" ht="49.95" customHeight="1">
      <c r="A78" s="101" t="s">
        <v>134</v>
      </c>
      <c r="B78" s="51">
        <v>89363</v>
      </c>
      <c r="C78" s="98" t="s">
        <v>453</v>
      </c>
      <c r="D78" s="97" t="s">
        <v>37</v>
      </c>
      <c r="E78" s="97" t="s">
        <v>57</v>
      </c>
      <c r="F78" s="18">
        <v>7</v>
      </c>
      <c r="G78" s="19">
        <v>10.94</v>
      </c>
      <c r="H78" s="19">
        <f t="shared" si="18"/>
        <v>76.58</v>
      </c>
      <c r="I78" s="3"/>
      <c r="J78" s="90"/>
      <c r="K78" s="91"/>
      <c r="L78" s="92"/>
      <c r="M78" s="115">
        <f t="shared" si="19"/>
        <v>1</v>
      </c>
      <c r="N78" s="116">
        <f t="shared" si="20"/>
        <v>7</v>
      </c>
      <c r="O78" s="117">
        <f t="shared" si="21"/>
        <v>76.58</v>
      </c>
      <c r="P78" s="117"/>
      <c r="Q78" s="117"/>
      <c r="R78" s="117"/>
      <c r="S78" s="117"/>
      <c r="T78" s="117"/>
      <c r="U78" s="117"/>
      <c r="V78" s="118">
        <f t="shared" si="17"/>
        <v>1</v>
      </c>
      <c r="W78" s="116">
        <f t="shared" si="22"/>
        <v>7</v>
      </c>
      <c r="X78" s="117">
        <f t="shared" si="23"/>
        <v>76.58</v>
      </c>
    </row>
    <row r="79" spans="1:24" ht="49.95" customHeight="1">
      <c r="A79" s="101" t="s">
        <v>135</v>
      </c>
      <c r="B79" s="51">
        <v>89408</v>
      </c>
      <c r="C79" s="98" t="s">
        <v>454</v>
      </c>
      <c r="D79" s="97" t="s">
        <v>37</v>
      </c>
      <c r="E79" s="97" t="s">
        <v>57</v>
      </c>
      <c r="F79" s="18">
        <v>7</v>
      </c>
      <c r="G79" s="19">
        <v>9.18</v>
      </c>
      <c r="H79" s="19">
        <f t="shared" si="18"/>
        <v>64.259999999999991</v>
      </c>
      <c r="I79" s="3"/>
      <c r="J79" s="90"/>
      <c r="K79" s="91"/>
      <c r="L79" s="92"/>
      <c r="M79" s="115">
        <f t="shared" si="19"/>
        <v>1</v>
      </c>
      <c r="N79" s="116">
        <f t="shared" si="20"/>
        <v>7</v>
      </c>
      <c r="O79" s="117">
        <f t="shared" si="21"/>
        <v>64.259999999999991</v>
      </c>
      <c r="P79" s="117"/>
      <c r="Q79" s="117"/>
      <c r="R79" s="117"/>
      <c r="S79" s="117"/>
      <c r="T79" s="117"/>
      <c r="U79" s="117"/>
      <c r="V79" s="118">
        <f t="shared" si="17"/>
        <v>1</v>
      </c>
      <c r="W79" s="116">
        <f t="shared" si="22"/>
        <v>7</v>
      </c>
      <c r="X79" s="117">
        <f t="shared" si="23"/>
        <v>64.259999999999991</v>
      </c>
    </row>
    <row r="80" spans="1:24" ht="49.95" customHeight="1">
      <c r="A80" s="101" t="s">
        <v>136</v>
      </c>
      <c r="B80" s="51">
        <v>89731</v>
      </c>
      <c r="C80" s="98" t="s">
        <v>455</v>
      </c>
      <c r="D80" s="97" t="s">
        <v>37</v>
      </c>
      <c r="E80" s="97" t="s">
        <v>57</v>
      </c>
      <c r="F80" s="18">
        <v>1</v>
      </c>
      <c r="G80" s="19">
        <v>17.02</v>
      </c>
      <c r="H80" s="19">
        <f t="shared" si="18"/>
        <v>17.02</v>
      </c>
      <c r="I80" s="3"/>
      <c r="J80" s="90"/>
      <c r="K80" s="91"/>
      <c r="L80" s="92"/>
      <c r="M80" s="115">
        <f t="shared" si="19"/>
        <v>1</v>
      </c>
      <c r="N80" s="116">
        <f t="shared" si="20"/>
        <v>1</v>
      </c>
      <c r="O80" s="117">
        <f t="shared" si="21"/>
        <v>17.02</v>
      </c>
      <c r="P80" s="117"/>
      <c r="Q80" s="117"/>
      <c r="R80" s="117"/>
      <c r="S80" s="117"/>
      <c r="T80" s="117"/>
      <c r="U80" s="117"/>
      <c r="V80" s="118">
        <f t="shared" si="17"/>
        <v>1</v>
      </c>
      <c r="W80" s="116">
        <f t="shared" si="22"/>
        <v>1</v>
      </c>
      <c r="X80" s="117">
        <f t="shared" si="23"/>
        <v>17.02</v>
      </c>
    </row>
    <row r="81" spans="1:24" ht="49.95" customHeight="1">
      <c r="A81" s="101" t="s">
        <v>137</v>
      </c>
      <c r="B81" s="51">
        <v>105189</v>
      </c>
      <c r="C81" s="98" t="s">
        <v>456</v>
      </c>
      <c r="D81" s="97" t="s">
        <v>37</v>
      </c>
      <c r="E81" s="97" t="s">
        <v>57</v>
      </c>
      <c r="F81" s="18">
        <v>1</v>
      </c>
      <c r="G81" s="19">
        <v>22.77</v>
      </c>
      <c r="H81" s="19">
        <f t="shared" si="18"/>
        <v>22.77</v>
      </c>
      <c r="I81" s="3"/>
      <c r="J81" s="90"/>
      <c r="K81" s="91"/>
      <c r="L81" s="92"/>
      <c r="M81" s="115">
        <f t="shared" si="19"/>
        <v>1</v>
      </c>
      <c r="N81" s="116">
        <f t="shared" si="20"/>
        <v>1</v>
      </c>
      <c r="O81" s="117">
        <f t="shared" si="21"/>
        <v>22.77</v>
      </c>
      <c r="P81" s="117"/>
      <c r="Q81" s="117"/>
      <c r="R81" s="117"/>
      <c r="S81" s="117"/>
      <c r="T81" s="117"/>
      <c r="U81" s="117"/>
      <c r="V81" s="118">
        <f t="shared" si="17"/>
        <v>1</v>
      </c>
      <c r="W81" s="116">
        <f t="shared" si="22"/>
        <v>1</v>
      </c>
      <c r="X81" s="117">
        <f t="shared" si="23"/>
        <v>22.77</v>
      </c>
    </row>
    <row r="82" spans="1:24" ht="49.95" customHeight="1">
      <c r="A82" s="101" t="s">
        <v>138</v>
      </c>
      <c r="B82" s="51">
        <v>89617</v>
      </c>
      <c r="C82" s="98" t="s">
        <v>457</v>
      </c>
      <c r="D82" s="97" t="s">
        <v>37</v>
      </c>
      <c r="E82" s="97" t="s">
        <v>57</v>
      </c>
      <c r="F82" s="18">
        <v>3</v>
      </c>
      <c r="G82" s="19">
        <v>7.9</v>
      </c>
      <c r="H82" s="19">
        <f t="shared" si="18"/>
        <v>23.700000000000003</v>
      </c>
      <c r="I82" s="3"/>
      <c r="J82" s="90"/>
      <c r="K82" s="91"/>
      <c r="L82" s="92"/>
      <c r="M82" s="115">
        <f t="shared" si="19"/>
        <v>1</v>
      </c>
      <c r="N82" s="116">
        <f t="shared" si="20"/>
        <v>3</v>
      </c>
      <c r="O82" s="117">
        <f t="shared" si="21"/>
        <v>23.700000000000003</v>
      </c>
      <c r="P82" s="117"/>
      <c r="Q82" s="117"/>
      <c r="R82" s="117"/>
      <c r="S82" s="117"/>
      <c r="T82" s="117"/>
      <c r="U82" s="117"/>
      <c r="V82" s="118">
        <f t="shared" si="17"/>
        <v>1</v>
      </c>
      <c r="W82" s="116">
        <f t="shared" si="22"/>
        <v>3</v>
      </c>
      <c r="X82" s="117">
        <f t="shared" si="23"/>
        <v>23.700000000000003</v>
      </c>
    </row>
    <row r="83" spans="1:24" ht="49.95" customHeight="1">
      <c r="A83" s="101" t="s">
        <v>139</v>
      </c>
      <c r="B83" s="51">
        <v>94694</v>
      </c>
      <c r="C83" s="98" t="s">
        <v>458</v>
      </c>
      <c r="D83" s="97" t="s">
        <v>37</v>
      </c>
      <c r="E83" s="97" t="s">
        <v>57</v>
      </c>
      <c r="F83" s="18">
        <v>1</v>
      </c>
      <c r="G83" s="19">
        <v>24.89</v>
      </c>
      <c r="H83" s="19">
        <f t="shared" si="18"/>
        <v>24.89</v>
      </c>
      <c r="I83" s="3"/>
      <c r="J83" s="90"/>
      <c r="K83" s="91"/>
      <c r="L83" s="92"/>
      <c r="M83" s="115">
        <f t="shared" si="19"/>
        <v>1</v>
      </c>
      <c r="N83" s="116">
        <f t="shared" si="20"/>
        <v>1</v>
      </c>
      <c r="O83" s="117">
        <f t="shared" si="21"/>
        <v>24.89</v>
      </c>
      <c r="P83" s="117"/>
      <c r="Q83" s="117"/>
      <c r="R83" s="117"/>
      <c r="S83" s="117"/>
      <c r="T83" s="117"/>
      <c r="U83" s="117"/>
      <c r="V83" s="118">
        <f t="shared" si="17"/>
        <v>1</v>
      </c>
      <c r="W83" s="116">
        <f t="shared" si="22"/>
        <v>1</v>
      </c>
      <c r="X83" s="117">
        <f t="shared" si="23"/>
        <v>24.89</v>
      </c>
    </row>
    <row r="84" spans="1:24" ht="49.95" customHeight="1">
      <c r="A84" s="101" t="s">
        <v>140</v>
      </c>
      <c r="B84" s="51">
        <v>89446</v>
      </c>
      <c r="C84" s="98" t="s">
        <v>459</v>
      </c>
      <c r="D84" s="97" t="s">
        <v>37</v>
      </c>
      <c r="E84" s="97" t="s">
        <v>38</v>
      </c>
      <c r="F84" s="18">
        <v>20.260000000000002</v>
      </c>
      <c r="G84" s="19">
        <v>6.09</v>
      </c>
      <c r="H84" s="19">
        <f t="shared" si="18"/>
        <v>123.38340000000001</v>
      </c>
      <c r="I84" s="3"/>
      <c r="J84" s="90"/>
      <c r="K84" s="91"/>
      <c r="L84" s="92"/>
      <c r="M84" s="115">
        <f t="shared" si="19"/>
        <v>1</v>
      </c>
      <c r="N84" s="116">
        <f t="shared" si="20"/>
        <v>20.260000000000002</v>
      </c>
      <c r="O84" s="117">
        <f t="shared" si="21"/>
        <v>123.38340000000001</v>
      </c>
      <c r="P84" s="117"/>
      <c r="Q84" s="117"/>
      <c r="R84" s="117"/>
      <c r="S84" s="117"/>
      <c r="T84" s="117"/>
      <c r="U84" s="117"/>
      <c r="V84" s="118">
        <f t="shared" si="17"/>
        <v>1</v>
      </c>
      <c r="W84" s="116">
        <f t="shared" si="22"/>
        <v>20.260000000000002</v>
      </c>
      <c r="X84" s="117">
        <f t="shared" si="23"/>
        <v>123.38340000000001</v>
      </c>
    </row>
    <row r="85" spans="1:24" ht="49.95" customHeight="1">
      <c r="A85" s="101" t="s">
        <v>141</v>
      </c>
      <c r="B85" s="51">
        <v>89449</v>
      </c>
      <c r="C85" s="98" t="s">
        <v>460</v>
      </c>
      <c r="D85" s="97" t="s">
        <v>37</v>
      </c>
      <c r="E85" s="97" t="s">
        <v>38</v>
      </c>
      <c r="F85" s="18">
        <v>3.61</v>
      </c>
      <c r="G85" s="19">
        <v>20.61</v>
      </c>
      <c r="H85" s="19">
        <f t="shared" si="18"/>
        <v>74.40209999999999</v>
      </c>
      <c r="I85" s="3"/>
      <c r="J85" s="90"/>
      <c r="K85" s="91"/>
      <c r="L85" s="92"/>
      <c r="M85" s="115">
        <f t="shared" si="19"/>
        <v>1</v>
      </c>
      <c r="N85" s="116">
        <f t="shared" si="20"/>
        <v>3.61</v>
      </c>
      <c r="O85" s="117">
        <f t="shared" si="21"/>
        <v>74.40209999999999</v>
      </c>
      <c r="P85" s="117"/>
      <c r="Q85" s="117"/>
      <c r="R85" s="117"/>
      <c r="S85" s="117"/>
      <c r="T85" s="117"/>
      <c r="U85" s="117"/>
      <c r="V85" s="118">
        <f t="shared" si="17"/>
        <v>1</v>
      </c>
      <c r="W85" s="116">
        <f t="shared" si="22"/>
        <v>3.61</v>
      </c>
      <c r="X85" s="117">
        <f t="shared" si="23"/>
        <v>74.40209999999999</v>
      </c>
    </row>
    <row r="86" spans="1:24" ht="20.100000000000001" customHeight="1">
      <c r="A86" s="113" t="s">
        <v>142</v>
      </c>
      <c r="B86" s="156" t="s">
        <v>143</v>
      </c>
      <c r="C86" s="156"/>
      <c r="D86" s="156"/>
      <c r="E86" s="156"/>
      <c r="F86" s="156"/>
      <c r="G86" s="156"/>
      <c r="H86" s="127">
        <f>SUM(H87:H107)</f>
        <v>5307.6832999999997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9.95" customHeight="1">
      <c r="A87" s="96" t="s">
        <v>144</v>
      </c>
      <c r="B87" s="20">
        <v>91914</v>
      </c>
      <c r="C87" s="25" t="s">
        <v>481</v>
      </c>
      <c r="D87" s="97" t="s">
        <v>37</v>
      </c>
      <c r="E87" s="97" t="s">
        <v>57</v>
      </c>
      <c r="F87" s="18">
        <v>2</v>
      </c>
      <c r="G87" s="19">
        <v>18.579999999999998</v>
      </c>
      <c r="H87" s="19">
        <f>F87*G87</f>
        <v>37.159999999999997</v>
      </c>
      <c r="I87" s="3"/>
      <c r="J87" s="3"/>
      <c r="K87" s="3"/>
      <c r="L87" s="3"/>
      <c r="M87" s="115">
        <f>N87/F87</f>
        <v>1</v>
      </c>
      <c r="N87" s="116">
        <f>F87</f>
        <v>2</v>
      </c>
      <c r="O87" s="117">
        <f>N87*G87</f>
        <v>37.159999999999997</v>
      </c>
      <c r="P87" s="117"/>
      <c r="Q87" s="117"/>
      <c r="R87" s="117"/>
      <c r="S87" s="117"/>
      <c r="T87" s="117"/>
      <c r="U87" s="117"/>
      <c r="V87" s="118">
        <f t="shared" si="17"/>
        <v>1</v>
      </c>
      <c r="W87" s="116">
        <f>N87+K87</f>
        <v>2</v>
      </c>
      <c r="X87" s="117">
        <f>O87+L87</f>
        <v>37.159999999999997</v>
      </c>
    </row>
    <row r="88" spans="1:24" ht="49.95" customHeight="1">
      <c r="A88" s="96" t="s">
        <v>145</v>
      </c>
      <c r="B88" s="20">
        <v>91884</v>
      </c>
      <c r="C88" s="25" t="s">
        <v>482</v>
      </c>
      <c r="D88" s="97" t="s">
        <v>37</v>
      </c>
      <c r="E88" s="97" t="s">
        <v>57</v>
      </c>
      <c r="F88" s="18">
        <v>4</v>
      </c>
      <c r="G88" s="19">
        <v>11.97</v>
      </c>
      <c r="H88" s="19">
        <f t="shared" ref="H88:H107" si="24">F88*G88</f>
        <v>47.88</v>
      </c>
      <c r="I88" s="3"/>
      <c r="J88" s="3"/>
      <c r="K88" s="3"/>
      <c r="L88" s="3"/>
      <c r="M88" s="115">
        <f t="shared" ref="M88:M107" si="25">N88/F88</f>
        <v>1</v>
      </c>
      <c r="N88" s="116">
        <f t="shared" ref="N88:N107" si="26">F88</f>
        <v>4</v>
      </c>
      <c r="O88" s="117">
        <f t="shared" ref="O88:O107" si="27">N88*G88</f>
        <v>47.88</v>
      </c>
      <c r="P88" s="117"/>
      <c r="Q88" s="117"/>
      <c r="R88" s="117"/>
      <c r="S88" s="117"/>
      <c r="T88" s="117"/>
      <c r="U88" s="117"/>
      <c r="V88" s="118">
        <f t="shared" si="17"/>
        <v>1</v>
      </c>
      <c r="W88" s="116">
        <f t="shared" ref="W88:W107" si="28">N88+K88</f>
        <v>4</v>
      </c>
      <c r="X88" s="117">
        <f t="shared" ref="X88:X107" si="29">O88+L88</f>
        <v>47.88</v>
      </c>
    </row>
    <row r="89" spans="1:24" ht="49.95" customHeight="1">
      <c r="A89" s="96" t="s">
        <v>146</v>
      </c>
      <c r="B89" s="53">
        <v>39470</v>
      </c>
      <c r="C89" s="25" t="s">
        <v>463</v>
      </c>
      <c r="D89" s="97" t="s">
        <v>37</v>
      </c>
      <c r="E89" s="97" t="s">
        <v>57</v>
      </c>
      <c r="F89" s="18">
        <v>2</v>
      </c>
      <c r="G89" s="19">
        <v>89.64</v>
      </c>
      <c r="H89" s="19">
        <f t="shared" si="24"/>
        <v>179.28</v>
      </c>
      <c r="I89" s="3"/>
      <c r="J89" s="3"/>
      <c r="K89" s="3"/>
      <c r="L89" s="3"/>
      <c r="M89" s="115">
        <f t="shared" si="25"/>
        <v>1</v>
      </c>
      <c r="N89" s="116">
        <f t="shared" si="26"/>
        <v>2</v>
      </c>
      <c r="O89" s="117">
        <f t="shared" si="27"/>
        <v>179.28</v>
      </c>
      <c r="P89" s="117"/>
      <c r="Q89" s="117"/>
      <c r="R89" s="117"/>
      <c r="S89" s="117"/>
      <c r="T89" s="117"/>
      <c r="U89" s="117"/>
      <c r="V89" s="118">
        <f t="shared" si="17"/>
        <v>1</v>
      </c>
      <c r="W89" s="116">
        <f t="shared" si="28"/>
        <v>2</v>
      </c>
      <c r="X89" s="117">
        <f t="shared" si="29"/>
        <v>179.28</v>
      </c>
    </row>
    <row r="90" spans="1:24" ht="49.95" customHeight="1">
      <c r="A90" s="96" t="s">
        <v>147</v>
      </c>
      <c r="B90" s="20">
        <v>16</v>
      </c>
      <c r="C90" s="25" t="s">
        <v>464</v>
      </c>
      <c r="D90" s="97" t="s">
        <v>55</v>
      </c>
      <c r="E90" s="97" t="s">
        <v>5</v>
      </c>
      <c r="F90" s="18">
        <v>1</v>
      </c>
      <c r="G90" s="19">
        <v>196.6</v>
      </c>
      <c r="H90" s="19">
        <f t="shared" si="24"/>
        <v>196.6</v>
      </c>
      <c r="I90" s="3"/>
      <c r="J90" s="3"/>
      <c r="K90" s="3"/>
      <c r="L90" s="3"/>
      <c r="M90" s="115">
        <f t="shared" si="25"/>
        <v>1</v>
      </c>
      <c r="N90" s="116">
        <f t="shared" si="26"/>
        <v>1</v>
      </c>
      <c r="O90" s="117">
        <f t="shared" si="27"/>
        <v>196.6</v>
      </c>
      <c r="P90" s="117"/>
      <c r="Q90" s="117"/>
      <c r="R90" s="117"/>
      <c r="S90" s="117"/>
      <c r="T90" s="117"/>
      <c r="U90" s="117"/>
      <c r="V90" s="118">
        <f t="shared" si="17"/>
        <v>1</v>
      </c>
      <c r="W90" s="116">
        <f t="shared" si="28"/>
        <v>1</v>
      </c>
      <c r="X90" s="117">
        <f t="shared" si="29"/>
        <v>196.6</v>
      </c>
    </row>
    <row r="91" spans="1:24" ht="49.95" customHeight="1">
      <c r="A91" s="96" t="s">
        <v>148</v>
      </c>
      <c r="B91" s="20">
        <v>93653</v>
      </c>
      <c r="C91" s="25" t="s">
        <v>465</v>
      </c>
      <c r="D91" s="97" t="s">
        <v>37</v>
      </c>
      <c r="E91" s="97" t="s">
        <v>57</v>
      </c>
      <c r="F91" s="18">
        <v>1</v>
      </c>
      <c r="G91" s="19">
        <v>12.41</v>
      </c>
      <c r="H91" s="19">
        <f t="shared" si="24"/>
        <v>12.41</v>
      </c>
      <c r="I91" s="3"/>
      <c r="J91" s="3"/>
      <c r="K91" s="3"/>
      <c r="L91" s="3"/>
      <c r="M91" s="115">
        <f t="shared" si="25"/>
        <v>1</v>
      </c>
      <c r="N91" s="116">
        <f t="shared" si="26"/>
        <v>1</v>
      </c>
      <c r="O91" s="117">
        <f t="shared" si="27"/>
        <v>12.41</v>
      </c>
      <c r="P91" s="117"/>
      <c r="Q91" s="117"/>
      <c r="R91" s="117"/>
      <c r="S91" s="117"/>
      <c r="T91" s="117"/>
      <c r="U91" s="117"/>
      <c r="V91" s="118">
        <f t="shared" si="17"/>
        <v>1</v>
      </c>
      <c r="W91" s="116">
        <f t="shared" si="28"/>
        <v>1</v>
      </c>
      <c r="X91" s="117">
        <f t="shared" si="29"/>
        <v>12.41</v>
      </c>
    </row>
    <row r="92" spans="1:24" ht="49.95" customHeight="1">
      <c r="A92" s="96" t="s">
        <v>149</v>
      </c>
      <c r="B92" s="20">
        <v>93654</v>
      </c>
      <c r="C92" s="25" t="s">
        <v>466</v>
      </c>
      <c r="D92" s="97" t="s">
        <v>37</v>
      </c>
      <c r="E92" s="97" t="s">
        <v>57</v>
      </c>
      <c r="F92" s="18">
        <v>1</v>
      </c>
      <c r="G92" s="19">
        <v>13.12</v>
      </c>
      <c r="H92" s="19">
        <f t="shared" si="24"/>
        <v>13.12</v>
      </c>
      <c r="I92" s="3"/>
      <c r="J92" s="3"/>
      <c r="K92" s="3"/>
      <c r="L92" s="3"/>
      <c r="M92" s="115">
        <f t="shared" si="25"/>
        <v>1</v>
      </c>
      <c r="N92" s="116">
        <f t="shared" si="26"/>
        <v>1</v>
      </c>
      <c r="O92" s="117">
        <f t="shared" si="27"/>
        <v>13.12</v>
      </c>
      <c r="P92" s="117"/>
      <c r="Q92" s="117"/>
      <c r="R92" s="117"/>
      <c r="S92" s="117"/>
      <c r="T92" s="117"/>
      <c r="U92" s="117"/>
      <c r="V92" s="118">
        <f t="shared" si="17"/>
        <v>1</v>
      </c>
      <c r="W92" s="116">
        <f t="shared" si="28"/>
        <v>1</v>
      </c>
      <c r="X92" s="117">
        <f t="shared" si="29"/>
        <v>13.12</v>
      </c>
    </row>
    <row r="93" spans="1:24" ht="49.95" customHeight="1">
      <c r="A93" s="96" t="s">
        <v>150</v>
      </c>
      <c r="B93" s="20">
        <v>93657</v>
      </c>
      <c r="C93" s="25" t="s">
        <v>467</v>
      </c>
      <c r="D93" s="97" t="s">
        <v>37</v>
      </c>
      <c r="E93" s="97" t="s">
        <v>57</v>
      </c>
      <c r="F93" s="18">
        <v>1</v>
      </c>
      <c r="G93" s="19">
        <v>16.21</v>
      </c>
      <c r="H93" s="19">
        <f t="shared" si="24"/>
        <v>16.21</v>
      </c>
      <c r="I93" s="3"/>
      <c r="J93" s="3"/>
      <c r="K93" s="3"/>
      <c r="L93" s="3"/>
      <c r="M93" s="115">
        <f t="shared" si="25"/>
        <v>1</v>
      </c>
      <c r="N93" s="116">
        <f t="shared" si="26"/>
        <v>1</v>
      </c>
      <c r="O93" s="117">
        <f t="shared" si="27"/>
        <v>16.21</v>
      </c>
      <c r="P93" s="117"/>
      <c r="Q93" s="117"/>
      <c r="R93" s="117"/>
      <c r="S93" s="117"/>
      <c r="T93" s="117"/>
      <c r="U93" s="117"/>
      <c r="V93" s="118">
        <f t="shared" si="17"/>
        <v>1</v>
      </c>
      <c r="W93" s="116">
        <f t="shared" si="28"/>
        <v>1</v>
      </c>
      <c r="X93" s="117">
        <f t="shared" si="29"/>
        <v>16.21</v>
      </c>
    </row>
    <row r="94" spans="1:24" ht="49.95" customHeight="1">
      <c r="A94" s="96" t="s">
        <v>151</v>
      </c>
      <c r="B94" s="20">
        <v>91953</v>
      </c>
      <c r="C94" s="25" t="s">
        <v>468</v>
      </c>
      <c r="D94" s="97" t="s">
        <v>37</v>
      </c>
      <c r="E94" s="97" t="s">
        <v>57</v>
      </c>
      <c r="F94" s="18">
        <v>1</v>
      </c>
      <c r="G94" s="19">
        <v>32.159999999999997</v>
      </c>
      <c r="H94" s="19">
        <f t="shared" si="24"/>
        <v>32.159999999999997</v>
      </c>
      <c r="I94" s="3"/>
      <c r="J94" s="3"/>
      <c r="K94" s="3"/>
      <c r="L94" s="3"/>
      <c r="M94" s="115">
        <f t="shared" si="25"/>
        <v>1</v>
      </c>
      <c r="N94" s="116">
        <f t="shared" si="26"/>
        <v>1</v>
      </c>
      <c r="O94" s="117">
        <f t="shared" si="27"/>
        <v>32.159999999999997</v>
      </c>
      <c r="P94" s="117"/>
      <c r="Q94" s="117"/>
      <c r="R94" s="117"/>
      <c r="S94" s="117"/>
      <c r="T94" s="117"/>
      <c r="U94" s="117"/>
      <c r="V94" s="118">
        <f t="shared" si="17"/>
        <v>1</v>
      </c>
      <c r="W94" s="116">
        <f t="shared" si="28"/>
        <v>1</v>
      </c>
      <c r="X94" s="117">
        <f t="shared" si="29"/>
        <v>32.159999999999997</v>
      </c>
    </row>
    <row r="95" spans="1:24" ht="49.95" customHeight="1">
      <c r="A95" s="96" t="s">
        <v>152</v>
      </c>
      <c r="B95" s="20">
        <v>91967</v>
      </c>
      <c r="C95" s="25" t="s">
        <v>469</v>
      </c>
      <c r="D95" s="97" t="s">
        <v>37</v>
      </c>
      <c r="E95" s="97" t="s">
        <v>57</v>
      </c>
      <c r="F95" s="18">
        <v>1</v>
      </c>
      <c r="G95" s="19">
        <v>65.77</v>
      </c>
      <c r="H95" s="19">
        <f t="shared" si="24"/>
        <v>65.77</v>
      </c>
      <c r="I95" s="3"/>
      <c r="J95" s="3"/>
      <c r="K95" s="3"/>
      <c r="L95" s="3"/>
      <c r="M95" s="115">
        <f t="shared" si="25"/>
        <v>1</v>
      </c>
      <c r="N95" s="116">
        <f t="shared" si="26"/>
        <v>1</v>
      </c>
      <c r="O95" s="117">
        <f t="shared" si="27"/>
        <v>65.77</v>
      </c>
      <c r="P95" s="117"/>
      <c r="Q95" s="117"/>
      <c r="R95" s="117"/>
      <c r="S95" s="117"/>
      <c r="T95" s="117"/>
      <c r="U95" s="117"/>
      <c r="V95" s="118">
        <f t="shared" si="17"/>
        <v>1</v>
      </c>
      <c r="W95" s="116">
        <f t="shared" si="28"/>
        <v>1</v>
      </c>
      <c r="X95" s="117">
        <f t="shared" si="29"/>
        <v>65.77</v>
      </c>
    </row>
    <row r="96" spans="1:24" ht="49.95" customHeight="1">
      <c r="A96" s="96" t="s">
        <v>153</v>
      </c>
      <c r="B96" s="20">
        <v>101876</v>
      </c>
      <c r="C96" s="25" t="s">
        <v>483</v>
      </c>
      <c r="D96" s="97" t="s">
        <v>37</v>
      </c>
      <c r="E96" s="97" t="s">
        <v>57</v>
      </c>
      <c r="F96" s="18">
        <v>1</v>
      </c>
      <c r="G96" s="19">
        <v>119.29</v>
      </c>
      <c r="H96" s="19">
        <f t="shared" si="24"/>
        <v>119.29</v>
      </c>
      <c r="I96" s="3"/>
      <c r="J96" s="3"/>
      <c r="K96" s="3"/>
      <c r="L96" s="3"/>
      <c r="M96" s="115">
        <f t="shared" si="25"/>
        <v>1</v>
      </c>
      <c r="N96" s="116">
        <f t="shared" si="26"/>
        <v>1</v>
      </c>
      <c r="O96" s="117">
        <f t="shared" si="27"/>
        <v>119.29</v>
      </c>
      <c r="P96" s="117"/>
      <c r="Q96" s="117"/>
      <c r="R96" s="117"/>
      <c r="S96" s="117"/>
      <c r="T96" s="117"/>
      <c r="U96" s="117"/>
      <c r="V96" s="118">
        <f t="shared" si="17"/>
        <v>1</v>
      </c>
      <c r="W96" s="116">
        <f t="shared" si="28"/>
        <v>1</v>
      </c>
      <c r="X96" s="117">
        <f t="shared" si="29"/>
        <v>119.29</v>
      </c>
    </row>
    <row r="97" spans="1:24" ht="49.95" customHeight="1">
      <c r="A97" s="96" t="s">
        <v>154</v>
      </c>
      <c r="B97" s="20">
        <v>97886</v>
      </c>
      <c r="C97" s="25" t="s">
        <v>470</v>
      </c>
      <c r="D97" s="97" t="s">
        <v>37</v>
      </c>
      <c r="E97" s="97" t="s">
        <v>57</v>
      </c>
      <c r="F97" s="18">
        <v>1</v>
      </c>
      <c r="G97" s="19">
        <v>182.85</v>
      </c>
      <c r="H97" s="19">
        <f t="shared" si="24"/>
        <v>182.85</v>
      </c>
      <c r="I97" s="3"/>
      <c r="J97" s="3"/>
      <c r="K97" s="3"/>
      <c r="L97" s="3"/>
      <c r="M97" s="115">
        <f t="shared" si="25"/>
        <v>1</v>
      </c>
      <c r="N97" s="116">
        <f t="shared" si="26"/>
        <v>1</v>
      </c>
      <c r="O97" s="117">
        <f t="shared" si="27"/>
        <v>182.85</v>
      </c>
      <c r="P97" s="117"/>
      <c r="Q97" s="117"/>
      <c r="R97" s="117"/>
      <c r="S97" s="117"/>
      <c r="T97" s="117"/>
      <c r="U97" s="117"/>
      <c r="V97" s="118">
        <f t="shared" si="17"/>
        <v>1</v>
      </c>
      <c r="W97" s="116">
        <f t="shared" si="28"/>
        <v>1</v>
      </c>
      <c r="X97" s="117">
        <f t="shared" si="29"/>
        <v>182.85</v>
      </c>
    </row>
    <row r="98" spans="1:24" ht="49.95" customHeight="1">
      <c r="A98" s="96" t="s">
        <v>155</v>
      </c>
      <c r="B98" s="20">
        <v>96985</v>
      </c>
      <c r="C98" s="25" t="s">
        <v>471</v>
      </c>
      <c r="D98" s="97" t="s">
        <v>37</v>
      </c>
      <c r="E98" s="97" t="s">
        <v>57</v>
      </c>
      <c r="F98" s="18">
        <v>1</v>
      </c>
      <c r="G98" s="19">
        <v>99.89</v>
      </c>
      <c r="H98" s="19">
        <f t="shared" si="24"/>
        <v>99.89</v>
      </c>
      <c r="I98" s="3"/>
      <c r="J98" s="3"/>
      <c r="K98" s="3"/>
      <c r="L98" s="3"/>
      <c r="M98" s="115">
        <f t="shared" si="25"/>
        <v>1</v>
      </c>
      <c r="N98" s="116">
        <f t="shared" si="26"/>
        <v>1</v>
      </c>
      <c r="O98" s="117">
        <f t="shared" si="27"/>
        <v>99.89</v>
      </c>
      <c r="P98" s="117"/>
      <c r="Q98" s="117"/>
      <c r="R98" s="117"/>
      <c r="S98" s="117"/>
      <c r="T98" s="117"/>
      <c r="U98" s="117"/>
      <c r="V98" s="118">
        <f t="shared" si="17"/>
        <v>1</v>
      </c>
      <c r="W98" s="116">
        <f t="shared" si="28"/>
        <v>1</v>
      </c>
      <c r="X98" s="117">
        <f t="shared" si="29"/>
        <v>99.89</v>
      </c>
    </row>
    <row r="99" spans="1:24" ht="49.95" customHeight="1">
      <c r="A99" s="96" t="s">
        <v>156</v>
      </c>
      <c r="B99" s="20">
        <v>17</v>
      </c>
      <c r="C99" s="25" t="s">
        <v>472</v>
      </c>
      <c r="D99" s="97" t="s">
        <v>55</v>
      </c>
      <c r="E99" s="97" t="s">
        <v>5</v>
      </c>
      <c r="F99" s="18">
        <v>1</v>
      </c>
      <c r="G99" s="19">
        <v>71.3</v>
      </c>
      <c r="H99" s="19">
        <f t="shared" si="24"/>
        <v>71.3</v>
      </c>
      <c r="I99" s="3"/>
      <c r="J99" s="3"/>
      <c r="K99" s="3"/>
      <c r="L99" s="3"/>
      <c r="M99" s="115">
        <f t="shared" si="25"/>
        <v>1</v>
      </c>
      <c r="N99" s="116">
        <f t="shared" si="26"/>
        <v>1</v>
      </c>
      <c r="O99" s="117">
        <f t="shared" si="27"/>
        <v>71.3</v>
      </c>
      <c r="P99" s="117"/>
      <c r="Q99" s="117"/>
      <c r="R99" s="117"/>
      <c r="S99" s="117"/>
      <c r="T99" s="117"/>
      <c r="U99" s="117"/>
      <c r="V99" s="118">
        <f t="shared" si="17"/>
        <v>1</v>
      </c>
      <c r="W99" s="116">
        <f t="shared" si="28"/>
        <v>1</v>
      </c>
      <c r="X99" s="117">
        <f t="shared" si="29"/>
        <v>71.3</v>
      </c>
    </row>
    <row r="100" spans="1:24" ht="49.95" customHeight="1">
      <c r="A100" s="96" t="s">
        <v>157</v>
      </c>
      <c r="B100" s="20">
        <v>91998</v>
      </c>
      <c r="C100" s="25" t="s">
        <v>473</v>
      </c>
      <c r="D100" s="97" t="s">
        <v>37</v>
      </c>
      <c r="E100" s="97" t="s">
        <v>57</v>
      </c>
      <c r="F100" s="18">
        <v>3</v>
      </c>
      <c r="G100" s="19">
        <v>21.88</v>
      </c>
      <c r="H100" s="19">
        <f t="shared" si="24"/>
        <v>65.64</v>
      </c>
      <c r="I100" s="3"/>
      <c r="J100" s="3"/>
      <c r="K100" s="3"/>
      <c r="L100" s="3"/>
      <c r="M100" s="115">
        <f t="shared" si="25"/>
        <v>1</v>
      </c>
      <c r="N100" s="116">
        <f t="shared" si="26"/>
        <v>3</v>
      </c>
      <c r="O100" s="117">
        <f t="shared" si="27"/>
        <v>65.64</v>
      </c>
      <c r="P100" s="117"/>
      <c r="Q100" s="117"/>
      <c r="R100" s="117"/>
      <c r="S100" s="117"/>
      <c r="T100" s="117"/>
      <c r="U100" s="117"/>
      <c r="V100" s="118">
        <f t="shared" si="17"/>
        <v>1</v>
      </c>
      <c r="W100" s="116">
        <f t="shared" si="28"/>
        <v>3</v>
      </c>
      <c r="X100" s="117">
        <f t="shared" si="29"/>
        <v>65.64</v>
      </c>
    </row>
    <row r="101" spans="1:24" ht="49.95" customHeight="1">
      <c r="A101" s="96" t="s">
        <v>158</v>
      </c>
      <c r="B101" s="20">
        <v>92004</v>
      </c>
      <c r="C101" s="25" t="s">
        <v>474</v>
      </c>
      <c r="D101" s="97" t="s">
        <v>37</v>
      </c>
      <c r="E101" s="97" t="s">
        <v>57</v>
      </c>
      <c r="F101" s="18">
        <v>1</v>
      </c>
      <c r="G101" s="19">
        <v>60.61</v>
      </c>
      <c r="H101" s="19">
        <f t="shared" si="24"/>
        <v>60.61</v>
      </c>
      <c r="I101" s="3"/>
      <c r="J101" s="3"/>
      <c r="K101" s="3"/>
      <c r="L101" s="3"/>
      <c r="M101" s="115">
        <f t="shared" si="25"/>
        <v>1</v>
      </c>
      <c r="N101" s="116">
        <f t="shared" si="26"/>
        <v>1</v>
      </c>
      <c r="O101" s="117">
        <f t="shared" si="27"/>
        <v>60.61</v>
      </c>
      <c r="P101" s="117"/>
      <c r="Q101" s="117"/>
      <c r="R101" s="117"/>
      <c r="S101" s="117"/>
      <c r="T101" s="117"/>
      <c r="U101" s="117"/>
      <c r="V101" s="118">
        <f t="shared" si="17"/>
        <v>1</v>
      </c>
      <c r="W101" s="116">
        <f t="shared" si="28"/>
        <v>1</v>
      </c>
      <c r="X101" s="117">
        <f t="shared" si="29"/>
        <v>60.61</v>
      </c>
    </row>
    <row r="102" spans="1:24" ht="49.95" customHeight="1">
      <c r="A102" s="96" t="s">
        <v>159</v>
      </c>
      <c r="B102" s="20">
        <v>91931</v>
      </c>
      <c r="C102" s="25" t="s">
        <v>475</v>
      </c>
      <c r="D102" s="97" t="s">
        <v>37</v>
      </c>
      <c r="E102" s="97" t="s">
        <v>38</v>
      </c>
      <c r="F102" s="18">
        <v>127.8</v>
      </c>
      <c r="G102" s="19">
        <v>13.01</v>
      </c>
      <c r="H102" s="19">
        <f>F102*G102-0.01</f>
        <v>1662.6679999999999</v>
      </c>
      <c r="I102" s="3"/>
      <c r="J102" s="3"/>
      <c r="K102" s="3"/>
      <c r="L102" s="3"/>
      <c r="M102" s="115">
        <f t="shared" si="25"/>
        <v>1</v>
      </c>
      <c r="N102" s="116">
        <f t="shared" si="26"/>
        <v>127.8</v>
      </c>
      <c r="O102" s="117">
        <f t="shared" si="27"/>
        <v>1662.6779999999999</v>
      </c>
      <c r="P102" s="117"/>
      <c r="Q102" s="117"/>
      <c r="R102" s="117"/>
      <c r="S102" s="117"/>
      <c r="T102" s="117"/>
      <c r="U102" s="117"/>
      <c r="V102" s="118">
        <f t="shared" si="17"/>
        <v>1</v>
      </c>
      <c r="W102" s="116">
        <f t="shared" si="28"/>
        <v>127.8</v>
      </c>
      <c r="X102" s="117">
        <f>O102+L102-0.01</f>
        <v>1662.6679999999999</v>
      </c>
    </row>
    <row r="103" spans="1:24" ht="49.95" customHeight="1">
      <c r="A103" s="96" t="s">
        <v>160</v>
      </c>
      <c r="B103" s="20">
        <v>91924</v>
      </c>
      <c r="C103" s="25" t="s">
        <v>476</v>
      </c>
      <c r="D103" s="97" t="s">
        <v>37</v>
      </c>
      <c r="E103" s="97" t="s">
        <v>38</v>
      </c>
      <c r="F103" s="18">
        <v>111.6</v>
      </c>
      <c r="G103" s="19">
        <v>3.72</v>
      </c>
      <c r="H103" s="19">
        <f t="shared" si="24"/>
        <v>415.15199999999999</v>
      </c>
      <c r="I103" s="3"/>
      <c r="J103" s="3"/>
      <c r="K103" s="3"/>
      <c r="L103" s="3"/>
      <c r="M103" s="115">
        <f t="shared" si="25"/>
        <v>1</v>
      </c>
      <c r="N103" s="116">
        <f t="shared" si="26"/>
        <v>111.6</v>
      </c>
      <c r="O103" s="117">
        <f t="shared" si="27"/>
        <v>415.15199999999999</v>
      </c>
      <c r="P103" s="117"/>
      <c r="Q103" s="117"/>
      <c r="R103" s="117"/>
      <c r="S103" s="117"/>
      <c r="T103" s="117"/>
      <c r="U103" s="117"/>
      <c r="V103" s="118">
        <f t="shared" si="17"/>
        <v>1</v>
      </c>
      <c r="W103" s="116">
        <f t="shared" si="28"/>
        <v>111.6</v>
      </c>
      <c r="X103" s="117">
        <f t="shared" si="29"/>
        <v>415.15199999999999</v>
      </c>
    </row>
    <row r="104" spans="1:24" ht="49.95" customHeight="1">
      <c r="A104" s="96" t="s">
        <v>161</v>
      </c>
      <c r="B104" s="20">
        <v>91926</v>
      </c>
      <c r="C104" s="25" t="s">
        <v>477</v>
      </c>
      <c r="D104" s="97" t="s">
        <v>37</v>
      </c>
      <c r="E104" s="97" t="s">
        <v>38</v>
      </c>
      <c r="F104" s="18">
        <v>27.2</v>
      </c>
      <c r="G104" s="19">
        <v>5.47</v>
      </c>
      <c r="H104" s="19">
        <f t="shared" si="24"/>
        <v>148.78399999999999</v>
      </c>
      <c r="I104" s="3"/>
      <c r="J104" s="3"/>
      <c r="K104" s="3"/>
      <c r="L104" s="3"/>
      <c r="M104" s="115">
        <f t="shared" si="25"/>
        <v>1</v>
      </c>
      <c r="N104" s="116">
        <f t="shared" si="26"/>
        <v>27.2</v>
      </c>
      <c r="O104" s="117">
        <f t="shared" si="27"/>
        <v>148.78399999999999</v>
      </c>
      <c r="P104" s="117"/>
      <c r="Q104" s="117"/>
      <c r="R104" s="117"/>
      <c r="S104" s="117"/>
      <c r="T104" s="117"/>
      <c r="U104" s="117"/>
      <c r="V104" s="118">
        <f t="shared" si="17"/>
        <v>1</v>
      </c>
      <c r="W104" s="116">
        <f t="shared" si="28"/>
        <v>27.2</v>
      </c>
      <c r="X104" s="117">
        <f t="shared" si="29"/>
        <v>148.78399999999999</v>
      </c>
    </row>
    <row r="105" spans="1:24" ht="49.95" customHeight="1">
      <c r="A105" s="96" t="s">
        <v>162</v>
      </c>
      <c r="B105" s="20">
        <v>23</v>
      </c>
      <c r="C105" s="25" t="s">
        <v>478</v>
      </c>
      <c r="D105" s="97" t="s">
        <v>55</v>
      </c>
      <c r="E105" s="97" t="s">
        <v>38</v>
      </c>
      <c r="F105" s="18">
        <v>38.76</v>
      </c>
      <c r="G105" s="19">
        <v>26.17</v>
      </c>
      <c r="H105" s="19">
        <f>F105*G105-0.01</f>
        <v>1014.3392</v>
      </c>
      <c r="I105" s="3"/>
      <c r="J105" s="3"/>
      <c r="K105" s="3"/>
      <c r="L105" s="3"/>
      <c r="M105" s="115">
        <f t="shared" si="25"/>
        <v>1</v>
      </c>
      <c r="N105" s="116">
        <f t="shared" si="26"/>
        <v>38.76</v>
      </c>
      <c r="O105" s="117">
        <f t="shared" si="27"/>
        <v>1014.3492</v>
      </c>
      <c r="P105" s="117"/>
      <c r="Q105" s="117"/>
      <c r="R105" s="117"/>
      <c r="S105" s="117"/>
      <c r="T105" s="117"/>
      <c r="U105" s="117"/>
      <c r="V105" s="118">
        <f t="shared" si="17"/>
        <v>1</v>
      </c>
      <c r="W105" s="116">
        <f t="shared" si="28"/>
        <v>38.76</v>
      </c>
      <c r="X105" s="117">
        <f>O105+L105-0.01</f>
        <v>1014.3392</v>
      </c>
    </row>
    <row r="106" spans="1:24" ht="49.95" customHeight="1">
      <c r="A106" s="96" t="s">
        <v>163</v>
      </c>
      <c r="B106" s="20">
        <v>95727</v>
      </c>
      <c r="C106" s="25" t="s">
        <v>479</v>
      </c>
      <c r="D106" s="97" t="s">
        <v>37</v>
      </c>
      <c r="E106" s="97" t="s">
        <v>38</v>
      </c>
      <c r="F106" s="18">
        <v>28.53</v>
      </c>
      <c r="G106" s="19">
        <v>22.3</v>
      </c>
      <c r="H106" s="19">
        <f>F106*G106-0.01</f>
        <v>636.20900000000006</v>
      </c>
      <c r="I106" s="3"/>
      <c r="J106" s="3"/>
      <c r="K106" s="3"/>
      <c r="L106" s="3"/>
      <c r="M106" s="115">
        <f t="shared" si="25"/>
        <v>1</v>
      </c>
      <c r="N106" s="116">
        <f t="shared" si="26"/>
        <v>28.53</v>
      </c>
      <c r="O106" s="117">
        <f t="shared" si="27"/>
        <v>636.21900000000005</v>
      </c>
      <c r="P106" s="117"/>
      <c r="Q106" s="117"/>
      <c r="R106" s="117"/>
      <c r="S106" s="117"/>
      <c r="T106" s="117"/>
      <c r="U106" s="117"/>
      <c r="V106" s="118">
        <f t="shared" si="17"/>
        <v>1</v>
      </c>
      <c r="W106" s="116">
        <f t="shared" si="28"/>
        <v>28.53</v>
      </c>
      <c r="X106" s="117">
        <f>O106+L106-0.01</f>
        <v>636.20900000000006</v>
      </c>
    </row>
    <row r="107" spans="1:24" ht="49.95" customHeight="1">
      <c r="A107" s="96" t="s">
        <v>164</v>
      </c>
      <c r="B107" s="20">
        <v>91854</v>
      </c>
      <c r="C107" s="25" t="s">
        <v>480</v>
      </c>
      <c r="D107" s="97" t="s">
        <v>37</v>
      </c>
      <c r="E107" s="97" t="s">
        <v>38</v>
      </c>
      <c r="F107" s="18">
        <v>21.31</v>
      </c>
      <c r="G107" s="19">
        <v>10.81</v>
      </c>
      <c r="H107" s="19">
        <f t="shared" si="24"/>
        <v>230.36109999999999</v>
      </c>
      <c r="I107" s="3"/>
      <c r="J107" s="3"/>
      <c r="K107" s="3"/>
      <c r="L107" s="3"/>
      <c r="M107" s="115">
        <f t="shared" si="25"/>
        <v>1</v>
      </c>
      <c r="N107" s="116">
        <f t="shared" si="26"/>
        <v>21.31</v>
      </c>
      <c r="O107" s="117">
        <f t="shared" si="27"/>
        <v>230.36109999999999</v>
      </c>
      <c r="P107" s="117"/>
      <c r="Q107" s="117"/>
      <c r="R107" s="117"/>
      <c r="S107" s="117"/>
      <c r="T107" s="117"/>
      <c r="U107" s="117"/>
      <c r="V107" s="118">
        <f t="shared" si="17"/>
        <v>1</v>
      </c>
      <c r="W107" s="116">
        <f t="shared" si="28"/>
        <v>21.31</v>
      </c>
      <c r="X107" s="117">
        <f t="shared" si="29"/>
        <v>230.36109999999999</v>
      </c>
    </row>
    <row r="108" spans="1:24" ht="20.100000000000001" customHeight="1">
      <c r="A108" s="113" t="s">
        <v>165</v>
      </c>
      <c r="B108" s="156" t="s">
        <v>166</v>
      </c>
      <c r="C108" s="156"/>
      <c r="D108" s="156"/>
      <c r="E108" s="156"/>
      <c r="F108" s="156"/>
      <c r="G108" s="156"/>
      <c r="H108" s="127">
        <f>SUM(H109:H129)</f>
        <v>5471.0644000000002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49.95" customHeight="1">
      <c r="A109" s="96" t="s">
        <v>167</v>
      </c>
      <c r="B109" s="20">
        <v>98062</v>
      </c>
      <c r="C109" s="98" t="s">
        <v>485</v>
      </c>
      <c r="D109" s="97" t="s">
        <v>37</v>
      </c>
      <c r="E109" s="97" t="s">
        <v>57</v>
      </c>
      <c r="F109" s="18">
        <v>1</v>
      </c>
      <c r="G109" s="19">
        <v>3778.29</v>
      </c>
      <c r="H109" s="19">
        <f>F109*G109</f>
        <v>3778.29</v>
      </c>
      <c r="I109" s="3"/>
      <c r="J109" s="3"/>
      <c r="K109" s="3"/>
      <c r="L109" s="3"/>
      <c r="M109" s="115">
        <f>N109/F109</f>
        <v>1</v>
      </c>
      <c r="N109" s="116">
        <f>F109</f>
        <v>1</v>
      </c>
      <c r="O109" s="117">
        <f>N109*G109</f>
        <v>3778.29</v>
      </c>
      <c r="P109" s="117"/>
      <c r="Q109" s="117"/>
      <c r="R109" s="117"/>
      <c r="S109" s="117"/>
      <c r="T109" s="117"/>
      <c r="U109" s="117"/>
      <c r="V109" s="118">
        <f t="shared" si="17"/>
        <v>1</v>
      </c>
      <c r="W109" s="116">
        <f>N109+K109</f>
        <v>1</v>
      </c>
      <c r="X109" s="117">
        <f>O109+L109</f>
        <v>3778.29</v>
      </c>
    </row>
    <row r="110" spans="1:24" ht="49.95" customHeight="1">
      <c r="A110" s="96" t="s">
        <v>168</v>
      </c>
      <c r="B110" s="20">
        <v>104084</v>
      </c>
      <c r="C110" s="98" t="s">
        <v>501</v>
      </c>
      <c r="D110" s="97" t="s">
        <v>37</v>
      </c>
      <c r="E110" s="97" t="s">
        <v>57</v>
      </c>
      <c r="F110" s="18">
        <v>1</v>
      </c>
      <c r="G110" s="19">
        <v>91.1</v>
      </c>
      <c r="H110" s="19">
        <f t="shared" ref="H110:H129" si="30">F110*G110</f>
        <v>91.1</v>
      </c>
      <c r="I110" s="3"/>
      <c r="J110" s="3"/>
      <c r="K110" s="3"/>
      <c r="L110" s="3"/>
      <c r="M110" s="115">
        <f t="shared" ref="M110:M129" si="31">N110/F110</f>
        <v>1</v>
      </c>
      <c r="N110" s="116">
        <f t="shared" ref="N110:N129" si="32">F110</f>
        <v>1</v>
      </c>
      <c r="O110" s="117">
        <f t="shared" ref="O110:O129" si="33">N110*G110</f>
        <v>91.1</v>
      </c>
      <c r="P110" s="117"/>
      <c r="Q110" s="117"/>
      <c r="R110" s="117"/>
      <c r="S110" s="117"/>
      <c r="T110" s="117"/>
      <c r="U110" s="117"/>
      <c r="V110" s="118">
        <f t="shared" si="17"/>
        <v>1</v>
      </c>
      <c r="W110" s="116">
        <f t="shared" ref="W110:W129" si="34">N110+K110</f>
        <v>1</v>
      </c>
      <c r="X110" s="117">
        <f t="shared" ref="X110:X129" si="35">O110+L110</f>
        <v>91.1</v>
      </c>
    </row>
    <row r="111" spans="1:24" ht="49.95" customHeight="1">
      <c r="A111" s="96" t="s">
        <v>169</v>
      </c>
      <c r="B111" s="20">
        <v>104065</v>
      </c>
      <c r="C111" s="98" t="s">
        <v>486</v>
      </c>
      <c r="D111" s="97" t="s">
        <v>37</v>
      </c>
      <c r="E111" s="97" t="s">
        <v>57</v>
      </c>
      <c r="F111" s="18">
        <v>1</v>
      </c>
      <c r="G111" s="19">
        <v>161.43</v>
      </c>
      <c r="H111" s="19">
        <f t="shared" si="30"/>
        <v>161.43</v>
      </c>
      <c r="I111" s="3"/>
      <c r="J111" s="3"/>
      <c r="K111" s="3"/>
      <c r="L111" s="3"/>
      <c r="M111" s="115">
        <f t="shared" si="31"/>
        <v>1</v>
      </c>
      <c r="N111" s="116">
        <f t="shared" si="32"/>
        <v>1</v>
      </c>
      <c r="O111" s="117">
        <f t="shared" si="33"/>
        <v>161.43</v>
      </c>
      <c r="P111" s="117"/>
      <c r="Q111" s="117"/>
      <c r="R111" s="117"/>
      <c r="S111" s="117"/>
      <c r="T111" s="117"/>
      <c r="U111" s="117"/>
      <c r="V111" s="118">
        <f t="shared" si="17"/>
        <v>1</v>
      </c>
      <c r="W111" s="116">
        <f t="shared" si="34"/>
        <v>1</v>
      </c>
      <c r="X111" s="117">
        <f t="shared" si="35"/>
        <v>161.43</v>
      </c>
    </row>
    <row r="112" spans="1:24" ht="49.95" customHeight="1">
      <c r="A112" s="96" t="s">
        <v>170</v>
      </c>
      <c r="B112" s="20">
        <v>89733</v>
      </c>
      <c r="C112" s="98" t="s">
        <v>487</v>
      </c>
      <c r="D112" s="97" t="s">
        <v>37</v>
      </c>
      <c r="E112" s="97" t="s">
        <v>57</v>
      </c>
      <c r="F112" s="18">
        <v>2</v>
      </c>
      <c r="G112" s="19">
        <v>26.18</v>
      </c>
      <c r="H112" s="19">
        <f t="shared" si="30"/>
        <v>52.36</v>
      </c>
      <c r="I112" s="3"/>
      <c r="J112" s="3"/>
      <c r="K112" s="3"/>
      <c r="L112" s="3"/>
      <c r="M112" s="115">
        <f t="shared" si="31"/>
        <v>1</v>
      </c>
      <c r="N112" s="116">
        <f t="shared" si="32"/>
        <v>2</v>
      </c>
      <c r="O112" s="117">
        <f t="shared" si="33"/>
        <v>52.36</v>
      </c>
      <c r="P112" s="117"/>
      <c r="Q112" s="117"/>
      <c r="R112" s="117"/>
      <c r="S112" s="117"/>
      <c r="T112" s="117"/>
      <c r="U112" s="117"/>
      <c r="V112" s="118">
        <f t="shared" si="17"/>
        <v>1</v>
      </c>
      <c r="W112" s="116">
        <f t="shared" si="34"/>
        <v>2</v>
      </c>
      <c r="X112" s="117">
        <f t="shared" si="35"/>
        <v>52.36</v>
      </c>
    </row>
    <row r="113" spans="1:24" ht="49.95" customHeight="1">
      <c r="A113" s="96" t="s">
        <v>171</v>
      </c>
      <c r="B113" s="20">
        <v>89726</v>
      </c>
      <c r="C113" s="98" t="s">
        <v>488</v>
      </c>
      <c r="D113" s="97" t="s">
        <v>37</v>
      </c>
      <c r="E113" s="97" t="s">
        <v>57</v>
      </c>
      <c r="F113" s="18">
        <v>3</v>
      </c>
      <c r="G113" s="19">
        <v>10.95</v>
      </c>
      <c r="H113" s="19">
        <f t="shared" si="30"/>
        <v>32.849999999999994</v>
      </c>
      <c r="I113" s="3"/>
      <c r="J113" s="3"/>
      <c r="K113" s="3"/>
      <c r="L113" s="3"/>
      <c r="M113" s="115">
        <f t="shared" si="31"/>
        <v>1</v>
      </c>
      <c r="N113" s="116">
        <f t="shared" si="32"/>
        <v>3</v>
      </c>
      <c r="O113" s="117">
        <f t="shared" si="33"/>
        <v>32.849999999999994</v>
      </c>
      <c r="P113" s="117"/>
      <c r="Q113" s="117"/>
      <c r="R113" s="117"/>
      <c r="S113" s="117"/>
      <c r="T113" s="117"/>
      <c r="U113" s="117"/>
      <c r="V113" s="118">
        <f t="shared" si="17"/>
        <v>1</v>
      </c>
      <c r="W113" s="116">
        <f t="shared" si="34"/>
        <v>3</v>
      </c>
      <c r="X113" s="117">
        <f t="shared" si="35"/>
        <v>32.849999999999994</v>
      </c>
    </row>
    <row r="114" spans="1:24" ht="49.95" customHeight="1">
      <c r="A114" s="96" t="s">
        <v>172</v>
      </c>
      <c r="B114" s="20">
        <v>89732</v>
      </c>
      <c r="C114" s="98" t="s">
        <v>489</v>
      </c>
      <c r="D114" s="97" t="s">
        <v>37</v>
      </c>
      <c r="E114" s="97" t="s">
        <v>57</v>
      </c>
      <c r="F114" s="18">
        <v>5</v>
      </c>
      <c r="G114" s="19">
        <v>17.82</v>
      </c>
      <c r="H114" s="19">
        <f t="shared" si="30"/>
        <v>89.1</v>
      </c>
      <c r="I114" s="3"/>
      <c r="J114" s="3"/>
      <c r="K114" s="3"/>
      <c r="L114" s="3"/>
      <c r="M114" s="115">
        <f t="shared" si="31"/>
        <v>1</v>
      </c>
      <c r="N114" s="116">
        <f t="shared" si="32"/>
        <v>5</v>
      </c>
      <c r="O114" s="117">
        <f t="shared" si="33"/>
        <v>89.1</v>
      </c>
      <c r="P114" s="117"/>
      <c r="Q114" s="117"/>
      <c r="R114" s="117"/>
      <c r="S114" s="117"/>
      <c r="T114" s="117"/>
      <c r="U114" s="117"/>
      <c r="V114" s="118">
        <f t="shared" si="17"/>
        <v>1</v>
      </c>
      <c r="W114" s="116">
        <f t="shared" si="34"/>
        <v>5</v>
      </c>
      <c r="X114" s="117">
        <f t="shared" si="35"/>
        <v>89.1</v>
      </c>
    </row>
    <row r="115" spans="1:24" ht="49.95" customHeight="1">
      <c r="A115" s="96" t="s">
        <v>173</v>
      </c>
      <c r="B115" s="20">
        <v>89724</v>
      </c>
      <c r="C115" s="98" t="s">
        <v>490</v>
      </c>
      <c r="D115" s="97" t="s">
        <v>37</v>
      </c>
      <c r="E115" s="97" t="s">
        <v>57</v>
      </c>
      <c r="F115" s="18">
        <v>2</v>
      </c>
      <c r="G115" s="19">
        <v>10.7</v>
      </c>
      <c r="H115" s="19">
        <f t="shared" si="30"/>
        <v>21.4</v>
      </c>
      <c r="I115" s="3"/>
      <c r="J115" s="3"/>
      <c r="K115" s="3"/>
      <c r="L115" s="3"/>
      <c r="M115" s="115">
        <f t="shared" si="31"/>
        <v>1</v>
      </c>
      <c r="N115" s="116">
        <f t="shared" si="32"/>
        <v>2</v>
      </c>
      <c r="O115" s="117">
        <f t="shared" si="33"/>
        <v>21.4</v>
      </c>
      <c r="P115" s="117"/>
      <c r="Q115" s="117"/>
      <c r="R115" s="117"/>
      <c r="S115" s="117"/>
      <c r="T115" s="117"/>
      <c r="U115" s="117"/>
      <c r="V115" s="118">
        <f t="shared" si="17"/>
        <v>1</v>
      </c>
      <c r="W115" s="116">
        <f t="shared" si="34"/>
        <v>2</v>
      </c>
      <c r="X115" s="117">
        <f t="shared" si="35"/>
        <v>21.4</v>
      </c>
    </row>
    <row r="116" spans="1:24" ht="49.95" customHeight="1">
      <c r="A116" s="96" t="s">
        <v>174</v>
      </c>
      <c r="B116" s="20">
        <v>89731</v>
      </c>
      <c r="C116" s="98" t="s">
        <v>455</v>
      </c>
      <c r="D116" s="97" t="s">
        <v>37</v>
      </c>
      <c r="E116" s="97" t="s">
        <v>57</v>
      </c>
      <c r="F116" s="18">
        <v>8</v>
      </c>
      <c r="G116" s="19">
        <v>17.02</v>
      </c>
      <c r="H116" s="19">
        <f t="shared" si="30"/>
        <v>136.16</v>
      </c>
      <c r="I116" s="3"/>
      <c r="J116" s="3"/>
      <c r="K116" s="3"/>
      <c r="L116" s="3"/>
      <c r="M116" s="115">
        <f t="shared" si="31"/>
        <v>1</v>
      </c>
      <c r="N116" s="116">
        <f t="shared" si="32"/>
        <v>8</v>
      </c>
      <c r="O116" s="117">
        <f t="shared" si="33"/>
        <v>136.16</v>
      </c>
      <c r="P116" s="117"/>
      <c r="Q116" s="117"/>
      <c r="R116" s="117"/>
      <c r="S116" s="117"/>
      <c r="T116" s="117"/>
      <c r="U116" s="117"/>
      <c r="V116" s="118">
        <f t="shared" si="17"/>
        <v>1</v>
      </c>
      <c r="W116" s="116">
        <f t="shared" si="34"/>
        <v>8</v>
      </c>
      <c r="X116" s="117">
        <f t="shared" si="35"/>
        <v>136.16</v>
      </c>
    </row>
    <row r="117" spans="1:24" ht="49.95" customHeight="1">
      <c r="A117" s="96" t="s">
        <v>175</v>
      </c>
      <c r="B117" s="20">
        <v>89744</v>
      </c>
      <c r="C117" s="98" t="s">
        <v>491</v>
      </c>
      <c r="D117" s="97" t="s">
        <v>37</v>
      </c>
      <c r="E117" s="97" t="s">
        <v>57</v>
      </c>
      <c r="F117" s="18">
        <v>1</v>
      </c>
      <c r="G117" s="19">
        <v>31.13</v>
      </c>
      <c r="H117" s="19">
        <f t="shared" si="30"/>
        <v>31.13</v>
      </c>
      <c r="I117" s="3"/>
      <c r="J117" s="3"/>
      <c r="K117" s="3"/>
      <c r="L117" s="3"/>
      <c r="M117" s="115">
        <f t="shared" si="31"/>
        <v>1</v>
      </c>
      <c r="N117" s="116">
        <f t="shared" si="32"/>
        <v>1</v>
      </c>
      <c r="O117" s="117">
        <f t="shared" si="33"/>
        <v>31.13</v>
      </c>
      <c r="P117" s="117"/>
      <c r="Q117" s="117"/>
      <c r="R117" s="117"/>
      <c r="S117" s="117"/>
      <c r="T117" s="117"/>
      <c r="U117" s="117"/>
      <c r="V117" s="118">
        <f t="shared" si="17"/>
        <v>1</v>
      </c>
      <c r="W117" s="116">
        <f t="shared" si="34"/>
        <v>1</v>
      </c>
      <c r="X117" s="117">
        <f t="shared" si="35"/>
        <v>31.13</v>
      </c>
    </row>
    <row r="118" spans="1:24" ht="49.95" customHeight="1">
      <c r="A118" s="96" t="s">
        <v>176</v>
      </c>
      <c r="B118" s="20">
        <v>89785</v>
      </c>
      <c r="C118" s="98" t="s">
        <v>492</v>
      </c>
      <c r="D118" s="97" t="s">
        <v>37</v>
      </c>
      <c r="E118" s="97" t="s">
        <v>57</v>
      </c>
      <c r="F118" s="18">
        <v>1</v>
      </c>
      <c r="G118" s="19">
        <v>30.01</v>
      </c>
      <c r="H118" s="19">
        <f t="shared" si="30"/>
        <v>30.01</v>
      </c>
      <c r="I118" s="3"/>
      <c r="J118" s="3"/>
      <c r="K118" s="3"/>
      <c r="L118" s="3"/>
      <c r="M118" s="115">
        <f t="shared" si="31"/>
        <v>1</v>
      </c>
      <c r="N118" s="116">
        <f t="shared" si="32"/>
        <v>1</v>
      </c>
      <c r="O118" s="117">
        <f t="shared" si="33"/>
        <v>30.01</v>
      </c>
      <c r="P118" s="117"/>
      <c r="Q118" s="117"/>
      <c r="R118" s="117"/>
      <c r="S118" s="117"/>
      <c r="T118" s="117"/>
      <c r="U118" s="117"/>
      <c r="V118" s="118">
        <f t="shared" si="17"/>
        <v>1</v>
      </c>
      <c r="W118" s="116">
        <f t="shared" si="34"/>
        <v>1</v>
      </c>
      <c r="X118" s="117">
        <f t="shared" si="35"/>
        <v>30.01</v>
      </c>
    </row>
    <row r="119" spans="1:24" ht="49.95" customHeight="1">
      <c r="A119" s="96" t="s">
        <v>177</v>
      </c>
      <c r="B119" s="20">
        <v>104353</v>
      </c>
      <c r="C119" s="98" t="s">
        <v>493</v>
      </c>
      <c r="D119" s="97" t="s">
        <v>37</v>
      </c>
      <c r="E119" s="97" t="s">
        <v>57</v>
      </c>
      <c r="F119" s="18">
        <v>1</v>
      </c>
      <c r="G119" s="19">
        <v>46.81</v>
      </c>
      <c r="H119" s="19">
        <f t="shared" si="30"/>
        <v>46.81</v>
      </c>
      <c r="I119" s="3"/>
      <c r="J119" s="3"/>
      <c r="K119" s="3"/>
      <c r="L119" s="3"/>
      <c r="M119" s="115">
        <f t="shared" si="31"/>
        <v>1</v>
      </c>
      <c r="N119" s="116">
        <f t="shared" si="32"/>
        <v>1</v>
      </c>
      <c r="O119" s="117">
        <f t="shared" si="33"/>
        <v>46.81</v>
      </c>
      <c r="P119" s="117"/>
      <c r="Q119" s="117"/>
      <c r="R119" s="117"/>
      <c r="S119" s="117"/>
      <c r="T119" s="117"/>
      <c r="U119" s="117"/>
      <c r="V119" s="118">
        <f t="shared" si="17"/>
        <v>1</v>
      </c>
      <c r="W119" s="116">
        <f t="shared" si="34"/>
        <v>1</v>
      </c>
      <c r="X119" s="117">
        <f t="shared" si="35"/>
        <v>46.81</v>
      </c>
    </row>
    <row r="120" spans="1:24" ht="49.95" customHeight="1">
      <c r="A120" s="96" t="s">
        <v>178</v>
      </c>
      <c r="B120" s="20">
        <v>104348</v>
      </c>
      <c r="C120" s="98" t="s">
        <v>494</v>
      </c>
      <c r="D120" s="97" t="s">
        <v>37</v>
      </c>
      <c r="E120" s="97" t="s">
        <v>57</v>
      </c>
      <c r="F120" s="18">
        <v>1</v>
      </c>
      <c r="G120" s="19">
        <v>11.64</v>
      </c>
      <c r="H120" s="19">
        <f t="shared" si="30"/>
        <v>11.64</v>
      </c>
      <c r="I120" s="3"/>
      <c r="J120" s="3"/>
      <c r="K120" s="3"/>
      <c r="L120" s="3"/>
      <c r="M120" s="115">
        <f t="shared" si="31"/>
        <v>1</v>
      </c>
      <c r="N120" s="116">
        <f t="shared" si="32"/>
        <v>1</v>
      </c>
      <c r="O120" s="117">
        <f t="shared" si="33"/>
        <v>11.64</v>
      </c>
      <c r="P120" s="117"/>
      <c r="Q120" s="117"/>
      <c r="R120" s="117"/>
      <c r="S120" s="117"/>
      <c r="T120" s="117"/>
      <c r="U120" s="117"/>
      <c r="V120" s="118">
        <f t="shared" si="17"/>
        <v>1</v>
      </c>
      <c r="W120" s="116">
        <f t="shared" si="34"/>
        <v>1</v>
      </c>
      <c r="X120" s="117">
        <f t="shared" si="35"/>
        <v>11.64</v>
      </c>
    </row>
    <row r="121" spans="1:24" ht="49.95" customHeight="1">
      <c r="A121" s="96" t="s">
        <v>179</v>
      </c>
      <c r="B121" s="20">
        <v>89796</v>
      </c>
      <c r="C121" s="98" t="s">
        <v>495</v>
      </c>
      <c r="D121" s="97" t="s">
        <v>37</v>
      </c>
      <c r="E121" s="97" t="s">
        <v>57</v>
      </c>
      <c r="F121" s="18">
        <v>2</v>
      </c>
      <c r="G121" s="19">
        <v>48.82</v>
      </c>
      <c r="H121" s="19">
        <f t="shared" si="30"/>
        <v>97.64</v>
      </c>
      <c r="I121" s="3"/>
      <c r="J121" s="3"/>
      <c r="K121" s="3"/>
      <c r="L121" s="3"/>
      <c r="M121" s="115">
        <f t="shared" si="31"/>
        <v>1</v>
      </c>
      <c r="N121" s="116">
        <f t="shared" si="32"/>
        <v>2</v>
      </c>
      <c r="O121" s="117">
        <f t="shared" si="33"/>
        <v>97.64</v>
      </c>
      <c r="P121" s="117"/>
      <c r="Q121" s="117"/>
      <c r="R121" s="117"/>
      <c r="S121" s="117"/>
      <c r="T121" s="117"/>
      <c r="U121" s="117"/>
      <c r="V121" s="118">
        <f t="shared" si="17"/>
        <v>1</v>
      </c>
      <c r="W121" s="116">
        <f t="shared" si="34"/>
        <v>2</v>
      </c>
      <c r="X121" s="117">
        <f t="shared" si="35"/>
        <v>97.64</v>
      </c>
    </row>
    <row r="122" spans="1:24" ht="49.95" customHeight="1">
      <c r="A122" s="96" t="s">
        <v>180</v>
      </c>
      <c r="B122" s="53">
        <v>20181</v>
      </c>
      <c r="C122" s="98" t="s">
        <v>496</v>
      </c>
      <c r="D122" s="97" t="s">
        <v>37</v>
      </c>
      <c r="E122" s="97" t="s">
        <v>57</v>
      </c>
      <c r="F122" s="18">
        <v>1</v>
      </c>
      <c r="G122" s="19">
        <v>125.71</v>
      </c>
      <c r="H122" s="19">
        <f t="shared" si="30"/>
        <v>125.71</v>
      </c>
      <c r="I122" s="3"/>
      <c r="J122" s="3"/>
      <c r="K122" s="3"/>
      <c r="L122" s="3"/>
      <c r="M122" s="115">
        <f t="shared" si="31"/>
        <v>1</v>
      </c>
      <c r="N122" s="116">
        <f t="shared" si="32"/>
        <v>1</v>
      </c>
      <c r="O122" s="117">
        <f t="shared" si="33"/>
        <v>125.71</v>
      </c>
      <c r="P122" s="117"/>
      <c r="Q122" s="117"/>
      <c r="R122" s="117"/>
      <c r="S122" s="117"/>
      <c r="T122" s="117"/>
      <c r="U122" s="117"/>
      <c r="V122" s="118">
        <f t="shared" si="17"/>
        <v>1</v>
      </c>
      <c r="W122" s="116">
        <f t="shared" si="34"/>
        <v>1</v>
      </c>
      <c r="X122" s="117">
        <f t="shared" si="35"/>
        <v>125.71</v>
      </c>
    </row>
    <row r="123" spans="1:24" ht="49.95" customHeight="1">
      <c r="A123" s="96" t="s">
        <v>181</v>
      </c>
      <c r="B123" s="20">
        <v>104329</v>
      </c>
      <c r="C123" s="98" t="s">
        <v>497</v>
      </c>
      <c r="D123" s="97" t="s">
        <v>37</v>
      </c>
      <c r="E123" s="97" t="s">
        <v>57</v>
      </c>
      <c r="F123" s="18">
        <v>1</v>
      </c>
      <c r="G123" s="19">
        <v>77.48</v>
      </c>
      <c r="H123" s="19">
        <f t="shared" si="30"/>
        <v>77.48</v>
      </c>
      <c r="I123" s="3"/>
      <c r="J123" s="3"/>
      <c r="K123" s="3"/>
      <c r="L123" s="3"/>
      <c r="M123" s="115">
        <f t="shared" si="31"/>
        <v>1</v>
      </c>
      <c r="N123" s="116">
        <f t="shared" si="32"/>
        <v>1</v>
      </c>
      <c r="O123" s="117">
        <f t="shared" si="33"/>
        <v>77.48</v>
      </c>
      <c r="P123" s="117"/>
      <c r="Q123" s="117"/>
      <c r="R123" s="117"/>
      <c r="S123" s="117"/>
      <c r="T123" s="117"/>
      <c r="U123" s="117"/>
      <c r="V123" s="118">
        <f t="shared" si="17"/>
        <v>1</v>
      </c>
      <c r="W123" s="116">
        <f t="shared" si="34"/>
        <v>1</v>
      </c>
      <c r="X123" s="117">
        <f t="shared" si="35"/>
        <v>77.48</v>
      </c>
    </row>
    <row r="124" spans="1:24" ht="49.95" customHeight="1">
      <c r="A124" s="96" t="s">
        <v>182</v>
      </c>
      <c r="B124" s="53">
        <v>6138</v>
      </c>
      <c r="C124" s="98" t="s">
        <v>498</v>
      </c>
      <c r="D124" s="97" t="s">
        <v>37</v>
      </c>
      <c r="E124" s="97" t="s">
        <v>57</v>
      </c>
      <c r="F124" s="18">
        <v>2</v>
      </c>
      <c r="G124" s="19">
        <v>10.67</v>
      </c>
      <c r="H124" s="19">
        <f t="shared" si="30"/>
        <v>21.34</v>
      </c>
      <c r="I124" s="3"/>
      <c r="J124" s="3"/>
      <c r="K124" s="3"/>
      <c r="L124" s="3"/>
      <c r="M124" s="115">
        <f t="shared" si="31"/>
        <v>1</v>
      </c>
      <c r="N124" s="116">
        <f t="shared" si="32"/>
        <v>2</v>
      </c>
      <c r="O124" s="117">
        <f t="shared" si="33"/>
        <v>21.34</v>
      </c>
      <c r="P124" s="117"/>
      <c r="Q124" s="117"/>
      <c r="R124" s="117"/>
      <c r="S124" s="117"/>
      <c r="T124" s="117"/>
      <c r="U124" s="117"/>
      <c r="V124" s="118">
        <f t="shared" si="17"/>
        <v>1</v>
      </c>
      <c r="W124" s="116">
        <f t="shared" si="34"/>
        <v>2</v>
      </c>
      <c r="X124" s="117">
        <f t="shared" si="35"/>
        <v>21.34</v>
      </c>
    </row>
    <row r="125" spans="1:24" ht="49.95" customHeight="1">
      <c r="A125" s="96" t="s">
        <v>183</v>
      </c>
      <c r="B125" s="20">
        <v>89711</v>
      </c>
      <c r="C125" s="98" t="s">
        <v>502</v>
      </c>
      <c r="D125" s="97" t="s">
        <v>37</v>
      </c>
      <c r="E125" s="97" t="s">
        <v>38</v>
      </c>
      <c r="F125" s="18">
        <v>1.97</v>
      </c>
      <c r="G125" s="19">
        <v>23.31</v>
      </c>
      <c r="H125" s="19">
        <f t="shared" si="30"/>
        <v>45.920699999999997</v>
      </c>
      <c r="I125" s="3"/>
      <c r="J125" s="3"/>
      <c r="K125" s="3"/>
      <c r="L125" s="3"/>
      <c r="M125" s="115">
        <f t="shared" si="31"/>
        <v>1</v>
      </c>
      <c r="N125" s="116">
        <f t="shared" si="32"/>
        <v>1.97</v>
      </c>
      <c r="O125" s="117">
        <f t="shared" si="33"/>
        <v>45.920699999999997</v>
      </c>
      <c r="P125" s="117"/>
      <c r="Q125" s="117"/>
      <c r="R125" s="117"/>
      <c r="S125" s="117"/>
      <c r="T125" s="117"/>
      <c r="U125" s="117"/>
      <c r="V125" s="118">
        <f t="shared" ref="V125:V136" si="36">W125/F125</f>
        <v>1</v>
      </c>
      <c r="W125" s="116">
        <f t="shared" si="34"/>
        <v>1.97</v>
      </c>
      <c r="X125" s="117">
        <f t="shared" si="35"/>
        <v>45.920699999999997</v>
      </c>
    </row>
    <row r="126" spans="1:24" ht="49.95" customHeight="1">
      <c r="A126" s="96" t="s">
        <v>184</v>
      </c>
      <c r="B126" s="20">
        <v>89712</v>
      </c>
      <c r="C126" s="98" t="s">
        <v>503</v>
      </c>
      <c r="D126" s="97" t="s">
        <v>37</v>
      </c>
      <c r="E126" s="97" t="s">
        <v>38</v>
      </c>
      <c r="F126" s="18">
        <v>7.86</v>
      </c>
      <c r="G126" s="19">
        <v>29.55</v>
      </c>
      <c r="H126" s="19">
        <f t="shared" si="30"/>
        <v>232.26300000000001</v>
      </c>
      <c r="I126" s="3"/>
      <c r="J126" s="3"/>
      <c r="K126" s="3"/>
      <c r="L126" s="3"/>
      <c r="M126" s="115">
        <f t="shared" si="31"/>
        <v>1</v>
      </c>
      <c r="N126" s="116">
        <f t="shared" si="32"/>
        <v>7.86</v>
      </c>
      <c r="O126" s="117">
        <f t="shared" si="33"/>
        <v>232.26300000000001</v>
      </c>
      <c r="P126" s="117"/>
      <c r="Q126" s="117"/>
      <c r="R126" s="117"/>
      <c r="S126" s="117"/>
      <c r="T126" s="117"/>
      <c r="U126" s="117"/>
      <c r="V126" s="118">
        <f t="shared" si="36"/>
        <v>1</v>
      </c>
      <c r="W126" s="116">
        <f t="shared" si="34"/>
        <v>7.86</v>
      </c>
      <c r="X126" s="117">
        <f t="shared" si="35"/>
        <v>232.26300000000001</v>
      </c>
    </row>
    <row r="127" spans="1:24" ht="49.95" customHeight="1">
      <c r="A127" s="96" t="s">
        <v>185</v>
      </c>
      <c r="B127" s="20">
        <v>89713</v>
      </c>
      <c r="C127" s="98" t="s">
        <v>504</v>
      </c>
      <c r="D127" s="97" t="s">
        <v>37</v>
      </c>
      <c r="E127" s="97" t="s">
        <v>38</v>
      </c>
      <c r="F127" s="18">
        <v>0.47</v>
      </c>
      <c r="G127" s="19">
        <v>36.79</v>
      </c>
      <c r="H127" s="19">
        <f t="shared" si="30"/>
        <v>17.2913</v>
      </c>
      <c r="I127" s="3"/>
      <c r="J127" s="3"/>
      <c r="K127" s="3"/>
      <c r="L127" s="3"/>
      <c r="M127" s="115">
        <f t="shared" si="31"/>
        <v>1</v>
      </c>
      <c r="N127" s="116">
        <f t="shared" si="32"/>
        <v>0.47</v>
      </c>
      <c r="O127" s="117">
        <f t="shared" si="33"/>
        <v>17.2913</v>
      </c>
      <c r="P127" s="117"/>
      <c r="Q127" s="117"/>
      <c r="R127" s="117"/>
      <c r="S127" s="117"/>
      <c r="T127" s="117"/>
      <c r="U127" s="117"/>
      <c r="V127" s="118">
        <f t="shared" si="36"/>
        <v>1</v>
      </c>
      <c r="W127" s="116">
        <f t="shared" si="34"/>
        <v>0.47</v>
      </c>
      <c r="X127" s="117">
        <f t="shared" si="35"/>
        <v>17.2913</v>
      </c>
    </row>
    <row r="128" spans="1:24" ht="49.95" customHeight="1">
      <c r="A128" s="96" t="s">
        <v>186</v>
      </c>
      <c r="B128" s="20">
        <v>89714</v>
      </c>
      <c r="C128" s="98" t="s">
        <v>505</v>
      </c>
      <c r="D128" s="97" t="s">
        <v>37</v>
      </c>
      <c r="E128" s="97" t="s">
        <v>38</v>
      </c>
      <c r="F128" s="18">
        <v>1.83</v>
      </c>
      <c r="G128" s="19">
        <v>41.13</v>
      </c>
      <c r="H128" s="19">
        <f>F128*G128-0.01</f>
        <v>75.257900000000006</v>
      </c>
      <c r="I128" s="3"/>
      <c r="J128" s="3"/>
      <c r="K128" s="3"/>
      <c r="L128" s="3"/>
      <c r="M128" s="115">
        <f t="shared" si="31"/>
        <v>1</v>
      </c>
      <c r="N128" s="116">
        <f t="shared" si="32"/>
        <v>1.83</v>
      </c>
      <c r="O128" s="117">
        <f t="shared" si="33"/>
        <v>75.267900000000012</v>
      </c>
      <c r="P128" s="117"/>
      <c r="Q128" s="117"/>
      <c r="R128" s="117"/>
      <c r="S128" s="117"/>
      <c r="T128" s="117"/>
      <c r="U128" s="117"/>
      <c r="V128" s="118">
        <f t="shared" si="36"/>
        <v>1</v>
      </c>
      <c r="W128" s="116">
        <f t="shared" si="34"/>
        <v>1.83</v>
      </c>
      <c r="X128" s="117">
        <f>O128+L128-0.01</f>
        <v>75.257900000000006</v>
      </c>
    </row>
    <row r="129" spans="1:24" ht="49.95" customHeight="1">
      <c r="A129" s="96" t="s">
        <v>187</v>
      </c>
      <c r="B129" s="20">
        <v>19</v>
      </c>
      <c r="C129" s="98" t="s">
        <v>506</v>
      </c>
      <c r="D129" s="97" t="s">
        <v>55</v>
      </c>
      <c r="E129" s="97" t="s">
        <v>38</v>
      </c>
      <c r="F129" s="18">
        <v>4.3099999999999996</v>
      </c>
      <c r="G129" s="19">
        <v>68.650000000000006</v>
      </c>
      <c r="H129" s="19">
        <f t="shared" si="30"/>
        <v>295.88150000000002</v>
      </c>
      <c r="I129" s="3"/>
      <c r="J129" s="3"/>
      <c r="K129" s="3"/>
      <c r="L129" s="3"/>
      <c r="M129" s="115">
        <f t="shared" si="31"/>
        <v>1</v>
      </c>
      <c r="N129" s="116">
        <f t="shared" si="32"/>
        <v>4.3099999999999996</v>
      </c>
      <c r="O129" s="117">
        <f t="shared" si="33"/>
        <v>295.88150000000002</v>
      </c>
      <c r="P129" s="117"/>
      <c r="Q129" s="117"/>
      <c r="R129" s="117"/>
      <c r="S129" s="117"/>
      <c r="T129" s="117"/>
      <c r="U129" s="117"/>
      <c r="V129" s="118">
        <f t="shared" si="36"/>
        <v>1</v>
      </c>
      <c r="W129" s="116">
        <f t="shared" si="34"/>
        <v>4.3099999999999996</v>
      </c>
      <c r="X129" s="117">
        <f t="shared" si="35"/>
        <v>295.88150000000002</v>
      </c>
    </row>
    <row r="130" spans="1:24" ht="20.100000000000001" customHeight="1">
      <c r="A130" s="113" t="s">
        <v>188</v>
      </c>
      <c r="B130" s="156" t="s">
        <v>21</v>
      </c>
      <c r="C130" s="156"/>
      <c r="D130" s="156"/>
      <c r="E130" s="156"/>
      <c r="F130" s="156"/>
      <c r="G130" s="156"/>
      <c r="H130" s="127">
        <f>SUM(H131:H136)</f>
        <v>27189.414199999999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49.95" customHeight="1">
      <c r="A131" s="96" t="s">
        <v>189</v>
      </c>
      <c r="B131" s="20">
        <v>94204</v>
      </c>
      <c r="C131" s="98" t="s">
        <v>507</v>
      </c>
      <c r="D131" s="97" t="s">
        <v>37</v>
      </c>
      <c r="E131" s="97" t="s">
        <v>54</v>
      </c>
      <c r="F131" s="18">
        <v>98.46</v>
      </c>
      <c r="G131" s="19">
        <v>52.95</v>
      </c>
      <c r="H131" s="19">
        <f>F131*G131-0.01</f>
        <v>5213.4470000000001</v>
      </c>
      <c r="I131" s="3"/>
      <c r="J131" s="3"/>
      <c r="K131" s="3"/>
      <c r="L131" s="3"/>
      <c r="M131" s="3"/>
      <c r="N131" s="3"/>
      <c r="O131" s="3"/>
      <c r="P131" s="115">
        <f t="shared" ref="P131:P136" si="37">Q131/F131</f>
        <v>1</v>
      </c>
      <c r="Q131" s="116">
        <f t="shared" ref="Q131:Q136" si="38">F131</f>
        <v>98.46</v>
      </c>
      <c r="R131" s="117">
        <f t="shared" ref="R131:R136" si="39">Q131*G131</f>
        <v>5213.4570000000003</v>
      </c>
      <c r="S131" s="115"/>
      <c r="T131" s="116"/>
      <c r="U131" s="117"/>
      <c r="V131" s="118">
        <f t="shared" si="36"/>
        <v>1</v>
      </c>
      <c r="W131" s="116">
        <f t="shared" ref="W131:W136" si="40">N131+K131+Q131</f>
        <v>98.46</v>
      </c>
      <c r="X131" s="117">
        <f>O131+L131+R131-0.01</f>
        <v>5213.4470000000001</v>
      </c>
    </row>
    <row r="132" spans="1:24" ht="49.95" customHeight="1">
      <c r="A132" s="96" t="s">
        <v>190</v>
      </c>
      <c r="B132" s="20">
        <v>92540</v>
      </c>
      <c r="C132" s="98" t="s">
        <v>508</v>
      </c>
      <c r="D132" s="97" t="s">
        <v>37</v>
      </c>
      <c r="E132" s="97" t="s">
        <v>54</v>
      </c>
      <c r="F132" s="18">
        <v>98.46</v>
      </c>
      <c r="G132" s="19">
        <v>92.74</v>
      </c>
      <c r="H132" s="19">
        <f>F132*G132</f>
        <v>9131.1803999999993</v>
      </c>
      <c r="I132" s="3"/>
      <c r="J132" s="3"/>
      <c r="K132" s="3"/>
      <c r="L132" s="3"/>
      <c r="M132" s="3"/>
      <c r="N132" s="3"/>
      <c r="O132" s="3"/>
      <c r="P132" s="115">
        <f t="shared" si="37"/>
        <v>1</v>
      </c>
      <c r="Q132" s="116">
        <f t="shared" si="38"/>
        <v>98.46</v>
      </c>
      <c r="R132" s="117">
        <f t="shared" si="39"/>
        <v>9131.1803999999993</v>
      </c>
      <c r="S132" s="115"/>
      <c r="T132" s="116"/>
      <c r="U132" s="117"/>
      <c r="V132" s="118">
        <f t="shared" si="36"/>
        <v>1</v>
      </c>
      <c r="W132" s="116">
        <f t="shared" si="40"/>
        <v>98.46</v>
      </c>
      <c r="X132" s="117">
        <f>O132+L132+R132</f>
        <v>9131.1803999999993</v>
      </c>
    </row>
    <row r="133" spans="1:24" ht="49.95" customHeight="1">
      <c r="A133" s="96" t="s">
        <v>191</v>
      </c>
      <c r="B133" s="20">
        <v>100357</v>
      </c>
      <c r="C133" s="98" t="s">
        <v>509</v>
      </c>
      <c r="D133" s="97" t="s">
        <v>37</v>
      </c>
      <c r="E133" s="97" t="s">
        <v>57</v>
      </c>
      <c r="F133" s="18">
        <v>4</v>
      </c>
      <c r="G133" s="19">
        <v>1159.1500000000001</v>
      </c>
      <c r="H133" s="19">
        <f>F133*G133</f>
        <v>4636.6000000000004</v>
      </c>
      <c r="I133" s="3"/>
      <c r="J133" s="3"/>
      <c r="K133" s="3"/>
      <c r="L133" s="3"/>
      <c r="M133" s="3"/>
      <c r="N133" s="3"/>
      <c r="O133" s="3"/>
      <c r="P133" s="115">
        <f t="shared" si="37"/>
        <v>1</v>
      </c>
      <c r="Q133" s="116">
        <f t="shared" si="38"/>
        <v>4</v>
      </c>
      <c r="R133" s="117">
        <f t="shared" si="39"/>
        <v>4636.6000000000004</v>
      </c>
      <c r="S133" s="115"/>
      <c r="T133" s="116"/>
      <c r="U133" s="117"/>
      <c r="V133" s="118">
        <f t="shared" si="36"/>
        <v>1</v>
      </c>
      <c r="W133" s="116">
        <f t="shared" si="40"/>
        <v>4</v>
      </c>
      <c r="X133" s="117">
        <f>O133+L133+R133</f>
        <v>4636.6000000000004</v>
      </c>
    </row>
    <row r="134" spans="1:24" ht="49.95" customHeight="1">
      <c r="A134" s="96" t="s">
        <v>192</v>
      </c>
      <c r="B134" s="20">
        <v>100358</v>
      </c>
      <c r="C134" s="98" t="s">
        <v>510</v>
      </c>
      <c r="D134" s="97" t="s">
        <v>37</v>
      </c>
      <c r="E134" s="97" t="s">
        <v>57</v>
      </c>
      <c r="F134" s="18">
        <v>4</v>
      </c>
      <c r="G134" s="19">
        <v>1568.57</v>
      </c>
      <c r="H134" s="19">
        <f>F134*G134</f>
        <v>6274.28</v>
      </c>
      <c r="I134" s="3"/>
      <c r="J134" s="3"/>
      <c r="K134" s="3"/>
      <c r="L134" s="3"/>
      <c r="M134" s="3"/>
      <c r="N134" s="3"/>
      <c r="O134" s="3"/>
      <c r="P134" s="115">
        <f t="shared" si="37"/>
        <v>1</v>
      </c>
      <c r="Q134" s="116">
        <f t="shared" si="38"/>
        <v>4</v>
      </c>
      <c r="R134" s="117">
        <f t="shared" si="39"/>
        <v>6274.28</v>
      </c>
      <c r="S134" s="115"/>
      <c r="T134" s="116"/>
      <c r="U134" s="117"/>
      <c r="V134" s="118">
        <f t="shared" si="36"/>
        <v>1</v>
      </c>
      <c r="W134" s="116">
        <f t="shared" si="40"/>
        <v>4</v>
      </c>
      <c r="X134" s="117">
        <f>O134+L134+R134</f>
        <v>6274.28</v>
      </c>
    </row>
    <row r="135" spans="1:24" ht="49.95" customHeight="1">
      <c r="A135" s="96" t="s">
        <v>193</v>
      </c>
      <c r="B135" s="20">
        <v>102233</v>
      </c>
      <c r="C135" s="98" t="s">
        <v>511</v>
      </c>
      <c r="D135" s="97" t="s">
        <v>37</v>
      </c>
      <c r="E135" s="97" t="s">
        <v>54</v>
      </c>
      <c r="F135" s="18">
        <v>24.62</v>
      </c>
      <c r="G135" s="19">
        <v>13.54</v>
      </c>
      <c r="H135" s="19">
        <f>F135*G135</f>
        <v>333.35480000000001</v>
      </c>
      <c r="I135" s="3"/>
      <c r="J135" s="3"/>
      <c r="K135" s="3"/>
      <c r="L135" s="3"/>
      <c r="M135" s="3"/>
      <c r="N135" s="3"/>
      <c r="O135" s="3"/>
      <c r="P135" s="115">
        <f t="shared" si="37"/>
        <v>1</v>
      </c>
      <c r="Q135" s="116">
        <f t="shared" si="38"/>
        <v>24.62</v>
      </c>
      <c r="R135" s="117">
        <f t="shared" si="39"/>
        <v>333.35480000000001</v>
      </c>
      <c r="S135" s="115"/>
      <c r="T135" s="116"/>
      <c r="U135" s="117"/>
      <c r="V135" s="118">
        <f t="shared" si="36"/>
        <v>1</v>
      </c>
      <c r="W135" s="116">
        <f t="shared" si="40"/>
        <v>24.62</v>
      </c>
      <c r="X135" s="117">
        <f>O135+L135+R135</f>
        <v>333.35480000000001</v>
      </c>
    </row>
    <row r="136" spans="1:24" ht="49.95" customHeight="1">
      <c r="A136" s="96" t="s">
        <v>194</v>
      </c>
      <c r="B136" s="20">
        <v>94219</v>
      </c>
      <c r="C136" s="98" t="s">
        <v>512</v>
      </c>
      <c r="D136" s="97" t="s">
        <v>37</v>
      </c>
      <c r="E136" s="97" t="s">
        <v>38</v>
      </c>
      <c r="F136" s="18">
        <v>47.2</v>
      </c>
      <c r="G136" s="19">
        <v>33.909999999999997</v>
      </c>
      <c r="H136" s="19">
        <f>F136*G136</f>
        <v>1600.5519999999999</v>
      </c>
      <c r="I136" s="3"/>
      <c r="J136" s="3"/>
      <c r="K136" s="3"/>
      <c r="L136" s="3"/>
      <c r="M136" s="3"/>
      <c r="N136" s="3"/>
      <c r="O136" s="3"/>
      <c r="P136" s="115">
        <f t="shared" si="37"/>
        <v>1</v>
      </c>
      <c r="Q136" s="116">
        <f t="shared" si="38"/>
        <v>47.2</v>
      </c>
      <c r="R136" s="117">
        <f t="shared" si="39"/>
        <v>1600.5519999999999</v>
      </c>
      <c r="S136" s="115"/>
      <c r="T136" s="116"/>
      <c r="U136" s="117"/>
      <c r="V136" s="118">
        <f t="shared" si="36"/>
        <v>1</v>
      </c>
      <c r="W136" s="116">
        <f t="shared" si="40"/>
        <v>47.2</v>
      </c>
      <c r="X136" s="117">
        <f>O136+L136+R136</f>
        <v>1600.5519999999999</v>
      </c>
    </row>
    <row r="137" spans="1:24" ht="20.100000000000001" customHeight="1">
      <c r="A137" s="113" t="s">
        <v>195</v>
      </c>
      <c r="B137" s="156" t="s">
        <v>48</v>
      </c>
      <c r="C137" s="156"/>
      <c r="D137" s="156"/>
      <c r="E137" s="156"/>
      <c r="F137" s="156"/>
      <c r="G137" s="156"/>
      <c r="H137" s="127">
        <f>SUM(H138:H140)</f>
        <v>1292.7819999999999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9.95" customHeight="1">
      <c r="A138" s="96" t="s">
        <v>196</v>
      </c>
      <c r="B138" s="51">
        <v>90822</v>
      </c>
      <c r="C138" s="98" t="s">
        <v>513</v>
      </c>
      <c r="D138" s="97" t="s">
        <v>37</v>
      </c>
      <c r="E138" s="97" t="s">
        <v>57</v>
      </c>
      <c r="F138" s="18">
        <v>2</v>
      </c>
      <c r="G138" s="19">
        <v>443.77</v>
      </c>
      <c r="H138" s="19">
        <f>F138*G138</f>
        <v>887.54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115">
        <f>T138/F138</f>
        <v>1</v>
      </c>
      <c r="T138" s="116">
        <f>F138</f>
        <v>2</v>
      </c>
      <c r="U138" s="117">
        <f>T138*G138</f>
        <v>887.54</v>
      </c>
      <c r="V138" s="118">
        <f>W138/F138</f>
        <v>1</v>
      </c>
      <c r="W138" s="116">
        <f>N138+K138+Q138+T138</f>
        <v>2</v>
      </c>
      <c r="X138" s="117">
        <f>O138+L138+R138+U138</f>
        <v>887.54</v>
      </c>
    </row>
    <row r="139" spans="1:24" ht="49.95" customHeight="1">
      <c r="A139" s="96" t="s">
        <v>197</v>
      </c>
      <c r="B139" s="51">
        <v>101162</v>
      </c>
      <c r="C139" s="98" t="s">
        <v>514</v>
      </c>
      <c r="D139" s="97" t="s">
        <v>37</v>
      </c>
      <c r="E139" s="97" t="s">
        <v>54</v>
      </c>
      <c r="F139" s="18">
        <v>0.2</v>
      </c>
      <c r="G139" s="19">
        <v>172.11</v>
      </c>
      <c r="H139" s="19">
        <f>F139*G139</f>
        <v>34.422000000000004</v>
      </c>
      <c r="I139" s="3"/>
      <c r="J139" s="3"/>
      <c r="K139" s="3"/>
      <c r="L139" s="3"/>
      <c r="M139" s="3"/>
      <c r="N139" s="3"/>
      <c r="O139" s="3"/>
      <c r="P139" s="115">
        <f>Q139/F139</f>
        <v>1</v>
      </c>
      <c r="Q139" s="116">
        <f>F139</f>
        <v>0.2</v>
      </c>
      <c r="R139" s="117">
        <f>Q139*G139</f>
        <v>34.422000000000004</v>
      </c>
      <c r="S139" s="115"/>
      <c r="T139" s="116"/>
      <c r="U139" s="117"/>
      <c r="V139" s="118">
        <f>W139/F139</f>
        <v>1</v>
      </c>
      <c r="W139" s="116">
        <f>N139+K139+Q139</f>
        <v>0.2</v>
      </c>
      <c r="X139" s="117">
        <f>O139+L139+R139</f>
        <v>34.422000000000004</v>
      </c>
    </row>
    <row r="140" spans="1:24" ht="49.95" customHeight="1">
      <c r="A140" s="96" t="s">
        <v>198</v>
      </c>
      <c r="B140" s="51">
        <v>90830</v>
      </c>
      <c r="C140" s="98" t="s">
        <v>515</v>
      </c>
      <c r="D140" s="97" t="s">
        <v>37</v>
      </c>
      <c r="E140" s="97" t="s">
        <v>57</v>
      </c>
      <c r="F140" s="18">
        <v>2</v>
      </c>
      <c r="G140" s="19">
        <v>185.41</v>
      </c>
      <c r="H140" s="19">
        <f>F140*G140</f>
        <v>370.82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115">
        <f>T140/F140</f>
        <v>1</v>
      </c>
      <c r="T140" s="116">
        <f>F140</f>
        <v>2</v>
      </c>
      <c r="U140" s="117">
        <f>T140*G140</f>
        <v>370.82</v>
      </c>
      <c r="V140" s="118">
        <f>W140/F140</f>
        <v>1</v>
      </c>
      <c r="W140" s="116">
        <f>N140+K140+Q140+T140</f>
        <v>2</v>
      </c>
      <c r="X140" s="117">
        <f>O140+L140+R140+U140</f>
        <v>370.82</v>
      </c>
    </row>
    <row r="141" spans="1:24" ht="19.5" customHeight="1">
      <c r="A141" s="113">
        <v>3</v>
      </c>
      <c r="B141" s="156" t="s">
        <v>199</v>
      </c>
      <c r="C141" s="156"/>
      <c r="D141" s="156"/>
      <c r="E141" s="156"/>
      <c r="F141" s="156"/>
      <c r="G141" s="156"/>
      <c r="H141" s="127">
        <f>SUM(H142,H144,H147,H158,H169,H173,H181,H186,H190,H256,H262)+0.02</f>
        <v>48294.647399999994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9.5" customHeight="1">
      <c r="A142" s="113" t="s">
        <v>19</v>
      </c>
      <c r="B142" s="156" t="s">
        <v>12</v>
      </c>
      <c r="C142" s="156"/>
      <c r="D142" s="156"/>
      <c r="E142" s="156"/>
      <c r="F142" s="156"/>
      <c r="G142" s="156"/>
      <c r="H142" s="127">
        <f>SUM(H143)</f>
        <v>1054.568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49.95" customHeight="1">
      <c r="A143" s="96" t="s">
        <v>41</v>
      </c>
      <c r="B143" s="20">
        <v>99059</v>
      </c>
      <c r="C143" s="98" t="s">
        <v>68</v>
      </c>
      <c r="D143" s="97" t="s">
        <v>37</v>
      </c>
      <c r="E143" s="97" t="s">
        <v>38</v>
      </c>
      <c r="F143" s="18">
        <v>14.7</v>
      </c>
      <c r="G143" s="19">
        <v>71.739999999999995</v>
      </c>
      <c r="H143" s="19">
        <f>F143*G143-0.01</f>
        <v>1054.568</v>
      </c>
      <c r="I143" s="3"/>
      <c r="J143" s="118">
        <f t="shared" ref="J143:J168" si="41">K143/F143</f>
        <v>1</v>
      </c>
      <c r="K143" s="18">
        <v>14.7</v>
      </c>
      <c r="L143" s="59">
        <f>J143*H143</f>
        <v>1054.568</v>
      </c>
      <c r="M143" s="59"/>
      <c r="N143" s="118"/>
      <c r="O143" s="121"/>
      <c r="P143" s="121"/>
      <c r="Q143" s="121"/>
      <c r="R143" s="121"/>
      <c r="S143" s="121"/>
      <c r="T143" s="121"/>
      <c r="U143" s="121"/>
      <c r="V143" s="118">
        <f>W143/F143</f>
        <v>1</v>
      </c>
      <c r="W143" s="116">
        <f>N143+K143</f>
        <v>14.7</v>
      </c>
      <c r="X143" s="117">
        <f>O143+L143</f>
        <v>1054.568</v>
      </c>
    </row>
    <row r="144" spans="1:24" ht="19.2" customHeight="1">
      <c r="A144" s="113" t="s">
        <v>20</v>
      </c>
      <c r="B144" s="156" t="s">
        <v>33</v>
      </c>
      <c r="C144" s="156"/>
      <c r="D144" s="156"/>
      <c r="E144" s="156"/>
      <c r="F144" s="156"/>
      <c r="G144" s="156"/>
      <c r="H144" s="127">
        <f>SUM(H145:H146)</f>
        <v>438.90919999999994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49.95" customHeight="1">
      <c r="A145" s="96" t="s">
        <v>43</v>
      </c>
      <c r="B145" s="20">
        <v>93358</v>
      </c>
      <c r="C145" s="98" t="s">
        <v>400</v>
      </c>
      <c r="D145" s="97" t="s">
        <v>37</v>
      </c>
      <c r="E145" s="97" t="s">
        <v>56</v>
      </c>
      <c r="F145" s="18">
        <v>3.88</v>
      </c>
      <c r="G145" s="19">
        <v>96.82</v>
      </c>
      <c r="H145" s="19">
        <f>F145*G145</f>
        <v>375.66159999999996</v>
      </c>
      <c r="I145" s="3"/>
      <c r="J145" s="118">
        <f t="shared" si="41"/>
        <v>1</v>
      </c>
      <c r="K145" s="18">
        <v>3.88</v>
      </c>
      <c r="L145" s="59">
        <f>J145*H145</f>
        <v>375.66159999999996</v>
      </c>
      <c r="M145" s="59"/>
      <c r="N145" s="118"/>
      <c r="O145" s="121"/>
      <c r="P145" s="121"/>
      <c r="Q145" s="121"/>
      <c r="R145" s="121"/>
      <c r="S145" s="121"/>
      <c r="T145" s="121"/>
      <c r="U145" s="121"/>
      <c r="V145" s="118">
        <f>W145/F145</f>
        <v>1</v>
      </c>
      <c r="W145" s="116">
        <f>N145+K145</f>
        <v>3.88</v>
      </c>
      <c r="X145" s="117">
        <f>O145+L145</f>
        <v>375.66159999999996</v>
      </c>
    </row>
    <row r="146" spans="1:24" ht="49.95" customHeight="1">
      <c r="A146" s="96" t="s">
        <v>44</v>
      </c>
      <c r="B146" s="20">
        <v>104737</v>
      </c>
      <c r="C146" s="98" t="s">
        <v>401</v>
      </c>
      <c r="D146" s="97" t="s">
        <v>37</v>
      </c>
      <c r="E146" s="97" t="s">
        <v>56</v>
      </c>
      <c r="F146" s="18">
        <v>2.56</v>
      </c>
      <c r="G146" s="19">
        <v>24.71</v>
      </c>
      <c r="H146" s="19">
        <f>F146*G146-0.01</f>
        <v>63.247600000000006</v>
      </c>
      <c r="I146" s="3"/>
      <c r="J146" s="118">
        <f t="shared" si="41"/>
        <v>1</v>
      </c>
      <c r="K146" s="18">
        <v>2.56</v>
      </c>
      <c r="L146" s="59">
        <f>J146*H146</f>
        <v>63.247600000000006</v>
      </c>
      <c r="M146" s="59"/>
      <c r="N146" s="118"/>
      <c r="O146" s="121"/>
      <c r="P146" s="121"/>
      <c r="Q146" s="121"/>
      <c r="R146" s="121"/>
      <c r="S146" s="121"/>
      <c r="T146" s="121"/>
      <c r="U146" s="121"/>
      <c r="V146" s="118">
        <f>W146/F146</f>
        <v>1</v>
      </c>
      <c r="W146" s="116">
        <f>N146+K146</f>
        <v>2.56</v>
      </c>
      <c r="X146" s="117">
        <f>O146+L146</f>
        <v>63.247600000000006</v>
      </c>
    </row>
    <row r="147" spans="1:24" ht="19.2" customHeight="1">
      <c r="A147" s="113" t="s">
        <v>200</v>
      </c>
      <c r="B147" s="156" t="s">
        <v>40</v>
      </c>
      <c r="C147" s="156"/>
      <c r="D147" s="156"/>
      <c r="E147" s="156"/>
      <c r="F147" s="156"/>
      <c r="G147" s="156"/>
      <c r="H147" s="127">
        <f>SUM(H148:H157)-0.01</f>
        <v>4537.0481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49.95" customHeight="1">
      <c r="A148" s="96" t="s">
        <v>201</v>
      </c>
      <c r="B148" s="20">
        <v>96619</v>
      </c>
      <c r="C148" s="98" t="s">
        <v>402</v>
      </c>
      <c r="D148" s="97" t="s">
        <v>37</v>
      </c>
      <c r="E148" s="97" t="s">
        <v>54</v>
      </c>
      <c r="F148" s="18">
        <v>2.38</v>
      </c>
      <c r="G148" s="19">
        <v>44.9</v>
      </c>
      <c r="H148" s="19">
        <f>F148*G148</f>
        <v>106.86199999999999</v>
      </c>
      <c r="I148" s="3"/>
      <c r="J148" s="118">
        <f t="shared" si="41"/>
        <v>1</v>
      </c>
      <c r="K148" s="18">
        <v>2.38</v>
      </c>
      <c r="L148" s="59">
        <f t="shared" ref="L148:L157" si="42">J148*H148</f>
        <v>106.86199999999999</v>
      </c>
      <c r="M148" s="59"/>
      <c r="N148" s="118"/>
      <c r="O148" s="121"/>
      <c r="P148" s="121"/>
      <c r="Q148" s="121"/>
      <c r="R148" s="121"/>
      <c r="S148" s="121"/>
      <c r="T148" s="121"/>
      <c r="U148" s="121"/>
      <c r="V148" s="118">
        <f t="shared" ref="V148:V172" si="43">W148/F148</f>
        <v>1</v>
      </c>
      <c r="W148" s="116">
        <f>N148+K148</f>
        <v>2.38</v>
      </c>
      <c r="X148" s="117">
        <f>O148+L148</f>
        <v>106.86199999999999</v>
      </c>
    </row>
    <row r="149" spans="1:24" ht="49.95" customHeight="1">
      <c r="A149" s="96" t="s">
        <v>202</v>
      </c>
      <c r="B149" s="20">
        <v>101616</v>
      </c>
      <c r="C149" s="98" t="s">
        <v>403</v>
      </c>
      <c r="D149" s="97" t="s">
        <v>37</v>
      </c>
      <c r="E149" s="97" t="s">
        <v>54</v>
      </c>
      <c r="F149" s="18">
        <v>4.6100000000000003</v>
      </c>
      <c r="G149" s="19">
        <v>7.07</v>
      </c>
      <c r="H149" s="19">
        <f t="shared" ref="H149:H157" si="44">F149*G149</f>
        <v>32.592700000000001</v>
      </c>
      <c r="I149" s="3"/>
      <c r="J149" s="118">
        <f t="shared" si="41"/>
        <v>1</v>
      </c>
      <c r="K149" s="18">
        <v>4.6100000000000003</v>
      </c>
      <c r="L149" s="59">
        <f t="shared" si="42"/>
        <v>32.592700000000001</v>
      </c>
      <c r="M149" s="59"/>
      <c r="N149" s="118"/>
      <c r="O149" s="121"/>
      <c r="P149" s="121"/>
      <c r="Q149" s="121"/>
      <c r="R149" s="121"/>
      <c r="S149" s="121"/>
      <c r="T149" s="121"/>
      <c r="U149" s="121"/>
      <c r="V149" s="118">
        <f t="shared" si="43"/>
        <v>1</v>
      </c>
      <c r="W149" s="116">
        <f t="shared" ref="W149:W157" si="45">N149+K149</f>
        <v>4.6100000000000003</v>
      </c>
      <c r="X149" s="117">
        <f t="shared" ref="X149:X157" si="46">O149+L149</f>
        <v>32.592700000000001</v>
      </c>
    </row>
    <row r="150" spans="1:24" ht="49.95" customHeight="1">
      <c r="A150" s="96" t="s">
        <v>203</v>
      </c>
      <c r="B150" s="20">
        <v>94971</v>
      </c>
      <c r="C150" s="98" t="s">
        <v>404</v>
      </c>
      <c r="D150" s="97" t="s">
        <v>37</v>
      </c>
      <c r="E150" s="97" t="s">
        <v>56</v>
      </c>
      <c r="F150" s="18">
        <v>1.32</v>
      </c>
      <c r="G150" s="19">
        <v>559.80999999999995</v>
      </c>
      <c r="H150" s="19">
        <f>F150*G150-0.01</f>
        <v>738.93920000000003</v>
      </c>
      <c r="I150" s="3"/>
      <c r="J150" s="118">
        <f t="shared" si="41"/>
        <v>1</v>
      </c>
      <c r="K150" s="18">
        <v>1.32</v>
      </c>
      <c r="L150" s="59">
        <f t="shared" si="42"/>
        <v>738.93920000000003</v>
      </c>
      <c r="M150" s="59"/>
      <c r="N150" s="118"/>
      <c r="O150" s="121"/>
      <c r="P150" s="121"/>
      <c r="Q150" s="121"/>
      <c r="R150" s="121"/>
      <c r="S150" s="121"/>
      <c r="T150" s="121"/>
      <c r="U150" s="121"/>
      <c r="V150" s="118">
        <f t="shared" si="43"/>
        <v>1</v>
      </c>
      <c r="W150" s="116">
        <f t="shared" si="45"/>
        <v>1.32</v>
      </c>
      <c r="X150" s="117">
        <f t="shared" si="46"/>
        <v>738.93920000000003</v>
      </c>
    </row>
    <row r="151" spans="1:24" ht="49.95" customHeight="1">
      <c r="A151" s="96" t="s">
        <v>204</v>
      </c>
      <c r="B151" s="20">
        <v>103670</v>
      </c>
      <c r="C151" s="98" t="s">
        <v>405</v>
      </c>
      <c r="D151" s="97" t="s">
        <v>37</v>
      </c>
      <c r="E151" s="97" t="s">
        <v>56</v>
      </c>
      <c r="F151" s="18">
        <v>1.32</v>
      </c>
      <c r="G151" s="19">
        <v>331.13</v>
      </c>
      <c r="H151" s="19">
        <f t="shared" si="44"/>
        <v>437.09160000000003</v>
      </c>
      <c r="I151" s="3"/>
      <c r="J151" s="118">
        <f t="shared" si="41"/>
        <v>1</v>
      </c>
      <c r="K151" s="18">
        <v>1.32</v>
      </c>
      <c r="L151" s="59">
        <f t="shared" si="42"/>
        <v>437.09160000000003</v>
      </c>
      <c r="M151" s="59"/>
      <c r="N151" s="118"/>
      <c r="O151" s="121"/>
      <c r="P151" s="121"/>
      <c r="Q151" s="121"/>
      <c r="R151" s="121"/>
      <c r="S151" s="121"/>
      <c r="T151" s="121"/>
      <c r="U151" s="121"/>
      <c r="V151" s="118">
        <f t="shared" si="43"/>
        <v>1</v>
      </c>
      <c r="W151" s="116">
        <f t="shared" si="45"/>
        <v>1.32</v>
      </c>
      <c r="X151" s="117">
        <f t="shared" si="46"/>
        <v>437.09160000000003</v>
      </c>
    </row>
    <row r="152" spans="1:24" ht="49.95" customHeight="1">
      <c r="A152" s="96" t="s">
        <v>205</v>
      </c>
      <c r="B152" s="20">
        <v>104927</v>
      </c>
      <c r="C152" s="98" t="s">
        <v>406</v>
      </c>
      <c r="D152" s="97" t="s">
        <v>37</v>
      </c>
      <c r="E152" s="97" t="s">
        <v>54</v>
      </c>
      <c r="F152" s="18">
        <v>3.1</v>
      </c>
      <c r="G152" s="19">
        <v>93.61</v>
      </c>
      <c r="H152" s="19">
        <f t="shared" si="44"/>
        <v>290.19100000000003</v>
      </c>
      <c r="I152" s="3"/>
      <c r="J152" s="118">
        <f t="shared" si="41"/>
        <v>1</v>
      </c>
      <c r="K152" s="18">
        <v>3.1</v>
      </c>
      <c r="L152" s="59">
        <f t="shared" si="42"/>
        <v>290.19100000000003</v>
      </c>
      <c r="M152" s="59"/>
      <c r="N152" s="118"/>
      <c r="O152" s="121"/>
      <c r="P152" s="121"/>
      <c r="Q152" s="121"/>
      <c r="R152" s="121"/>
      <c r="S152" s="121"/>
      <c r="T152" s="121"/>
      <c r="U152" s="121"/>
      <c r="V152" s="118">
        <f t="shared" si="43"/>
        <v>1</v>
      </c>
      <c r="W152" s="116">
        <f t="shared" si="45"/>
        <v>3.1</v>
      </c>
      <c r="X152" s="117">
        <f t="shared" si="46"/>
        <v>290.19100000000003</v>
      </c>
    </row>
    <row r="153" spans="1:24" ht="49.95" customHeight="1">
      <c r="A153" s="96" t="s">
        <v>206</v>
      </c>
      <c r="B153" s="20">
        <v>96542</v>
      </c>
      <c r="C153" s="98" t="s">
        <v>516</v>
      </c>
      <c r="D153" s="97" t="s">
        <v>37</v>
      </c>
      <c r="E153" s="97" t="s">
        <v>54</v>
      </c>
      <c r="F153" s="18">
        <v>11.93</v>
      </c>
      <c r="G153" s="19">
        <v>102.97</v>
      </c>
      <c r="H153" s="19">
        <f t="shared" si="44"/>
        <v>1228.4321</v>
      </c>
      <c r="I153" s="3"/>
      <c r="J153" s="118">
        <f t="shared" si="41"/>
        <v>1</v>
      </c>
      <c r="K153" s="18">
        <v>11.93</v>
      </c>
      <c r="L153" s="59">
        <f t="shared" si="42"/>
        <v>1228.4321</v>
      </c>
      <c r="M153" s="59"/>
      <c r="N153" s="118"/>
      <c r="O153" s="121"/>
      <c r="P153" s="121"/>
      <c r="Q153" s="121"/>
      <c r="R153" s="121"/>
      <c r="S153" s="121"/>
      <c r="T153" s="121"/>
      <c r="U153" s="121"/>
      <c r="V153" s="118">
        <f t="shared" si="43"/>
        <v>1</v>
      </c>
      <c r="W153" s="116">
        <f t="shared" si="45"/>
        <v>11.93</v>
      </c>
      <c r="X153" s="117">
        <f t="shared" si="46"/>
        <v>1228.4321</v>
      </c>
    </row>
    <row r="154" spans="1:24" ht="49.95" customHeight="1">
      <c r="A154" s="96" t="s">
        <v>207</v>
      </c>
      <c r="B154" s="20">
        <v>104917</v>
      </c>
      <c r="C154" s="98" t="s">
        <v>408</v>
      </c>
      <c r="D154" s="97" t="s">
        <v>37</v>
      </c>
      <c r="E154" s="97" t="s">
        <v>42</v>
      </c>
      <c r="F154" s="18">
        <v>17.600000000000001</v>
      </c>
      <c r="G154" s="19">
        <v>17.399999999999999</v>
      </c>
      <c r="H154" s="19">
        <f t="shared" si="44"/>
        <v>306.24</v>
      </c>
      <c r="I154" s="3"/>
      <c r="J154" s="118">
        <f t="shared" si="41"/>
        <v>1</v>
      </c>
      <c r="K154" s="18">
        <v>17.600000000000001</v>
      </c>
      <c r="L154" s="59">
        <f t="shared" si="42"/>
        <v>306.24</v>
      </c>
      <c r="M154" s="59"/>
      <c r="N154" s="118"/>
      <c r="O154" s="121"/>
      <c r="P154" s="121"/>
      <c r="Q154" s="121"/>
      <c r="R154" s="121"/>
      <c r="S154" s="121"/>
      <c r="T154" s="121"/>
      <c r="U154" s="121"/>
      <c r="V154" s="118">
        <f t="shared" si="43"/>
        <v>1</v>
      </c>
      <c r="W154" s="116">
        <f t="shared" si="45"/>
        <v>17.600000000000001</v>
      </c>
      <c r="X154" s="117">
        <f t="shared" si="46"/>
        <v>306.24</v>
      </c>
    </row>
    <row r="155" spans="1:24" ht="49.95" customHeight="1">
      <c r="A155" s="96" t="s">
        <v>208</v>
      </c>
      <c r="B155" s="20">
        <v>104916</v>
      </c>
      <c r="C155" s="98" t="s">
        <v>409</v>
      </c>
      <c r="D155" s="97" t="s">
        <v>37</v>
      </c>
      <c r="E155" s="97" t="s">
        <v>42</v>
      </c>
      <c r="F155" s="18">
        <v>11.2</v>
      </c>
      <c r="G155" s="19">
        <v>18.75</v>
      </c>
      <c r="H155" s="19">
        <f t="shared" si="44"/>
        <v>210</v>
      </c>
      <c r="I155" s="3"/>
      <c r="J155" s="118">
        <f t="shared" si="41"/>
        <v>1</v>
      </c>
      <c r="K155" s="18">
        <v>11.2</v>
      </c>
      <c r="L155" s="59">
        <f t="shared" si="42"/>
        <v>210</v>
      </c>
      <c r="M155" s="59"/>
      <c r="N155" s="118"/>
      <c r="O155" s="121"/>
      <c r="P155" s="121"/>
      <c r="Q155" s="121"/>
      <c r="R155" s="121"/>
      <c r="S155" s="121"/>
      <c r="T155" s="121"/>
      <c r="U155" s="121"/>
      <c r="V155" s="118">
        <f t="shared" si="43"/>
        <v>1</v>
      </c>
      <c r="W155" s="116">
        <f t="shared" si="45"/>
        <v>11.2</v>
      </c>
      <c r="X155" s="117">
        <f t="shared" si="46"/>
        <v>210</v>
      </c>
    </row>
    <row r="156" spans="1:24" ht="49.95" customHeight="1">
      <c r="A156" s="96" t="s">
        <v>209</v>
      </c>
      <c r="B156" s="20">
        <v>104918</v>
      </c>
      <c r="C156" s="98" t="s">
        <v>410</v>
      </c>
      <c r="D156" s="97" t="s">
        <v>37</v>
      </c>
      <c r="E156" s="97" t="s">
        <v>42</v>
      </c>
      <c r="F156" s="18">
        <v>28.8</v>
      </c>
      <c r="G156" s="19">
        <v>16.16</v>
      </c>
      <c r="H156" s="19">
        <f>F156*G156-0.01</f>
        <v>465.39800000000002</v>
      </c>
      <c r="I156" s="3"/>
      <c r="J156" s="118">
        <f t="shared" si="41"/>
        <v>1</v>
      </c>
      <c r="K156" s="18">
        <v>28.8</v>
      </c>
      <c r="L156" s="59">
        <f t="shared" si="42"/>
        <v>465.39800000000002</v>
      </c>
      <c r="M156" s="59"/>
      <c r="N156" s="118"/>
      <c r="O156" s="121"/>
      <c r="P156" s="121"/>
      <c r="Q156" s="121"/>
      <c r="R156" s="121"/>
      <c r="S156" s="121"/>
      <c r="T156" s="121"/>
      <c r="U156" s="121"/>
      <c r="V156" s="118">
        <f t="shared" si="43"/>
        <v>1</v>
      </c>
      <c r="W156" s="116">
        <f t="shared" si="45"/>
        <v>28.8</v>
      </c>
      <c r="X156" s="117">
        <f t="shared" si="46"/>
        <v>465.39800000000002</v>
      </c>
    </row>
    <row r="157" spans="1:24" ht="49.95" customHeight="1">
      <c r="A157" s="96" t="s">
        <v>210</v>
      </c>
      <c r="B157" s="20">
        <v>98557</v>
      </c>
      <c r="C157" s="96" t="s">
        <v>411</v>
      </c>
      <c r="D157" s="97" t="s">
        <v>37</v>
      </c>
      <c r="E157" s="97" t="s">
        <v>54</v>
      </c>
      <c r="F157" s="18">
        <v>13.37</v>
      </c>
      <c r="G157" s="19">
        <v>53.95</v>
      </c>
      <c r="H157" s="19">
        <f t="shared" si="44"/>
        <v>721.31150000000002</v>
      </c>
      <c r="I157" s="3"/>
      <c r="J157" s="118">
        <f t="shared" si="41"/>
        <v>1</v>
      </c>
      <c r="K157" s="18">
        <v>13.37</v>
      </c>
      <c r="L157" s="59">
        <f t="shared" si="42"/>
        <v>721.31150000000002</v>
      </c>
      <c r="M157" s="59"/>
      <c r="N157" s="118"/>
      <c r="O157" s="121"/>
      <c r="P157" s="121"/>
      <c r="Q157" s="121"/>
      <c r="R157" s="121"/>
      <c r="S157" s="121"/>
      <c r="T157" s="121"/>
      <c r="U157" s="121"/>
      <c r="V157" s="118">
        <f t="shared" si="43"/>
        <v>1</v>
      </c>
      <c r="W157" s="116">
        <f t="shared" si="45"/>
        <v>13.37</v>
      </c>
      <c r="X157" s="117">
        <f t="shared" si="46"/>
        <v>721.31150000000002</v>
      </c>
    </row>
    <row r="158" spans="1:24" ht="19.2" customHeight="1">
      <c r="A158" s="113" t="s">
        <v>211</v>
      </c>
      <c r="B158" s="156" t="s">
        <v>39</v>
      </c>
      <c r="C158" s="156"/>
      <c r="D158" s="156"/>
      <c r="E158" s="156"/>
      <c r="F158" s="156"/>
      <c r="G158" s="156"/>
      <c r="H158" s="127">
        <f>SUM(H159:H168)-0.01</f>
        <v>10077.3951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49.95" customHeight="1">
      <c r="A159" s="96" t="s">
        <v>212</v>
      </c>
      <c r="B159" s="20">
        <v>92429</v>
      </c>
      <c r="C159" s="98" t="s">
        <v>412</v>
      </c>
      <c r="D159" s="97" t="s">
        <v>37</v>
      </c>
      <c r="E159" s="97" t="s">
        <v>54</v>
      </c>
      <c r="F159" s="18">
        <v>18.72</v>
      </c>
      <c r="G159" s="19">
        <v>82.09</v>
      </c>
      <c r="H159" s="19">
        <f>F159*G159</f>
        <v>1536.7248</v>
      </c>
      <c r="I159" s="3"/>
      <c r="J159" s="118">
        <f t="shared" si="41"/>
        <v>1</v>
      </c>
      <c r="K159" s="18">
        <v>18.72</v>
      </c>
      <c r="L159" s="59">
        <f t="shared" ref="L159:L168" si="47">J159*H159</f>
        <v>1536.7248</v>
      </c>
      <c r="M159" s="59"/>
      <c r="N159" s="118"/>
      <c r="O159" s="121"/>
      <c r="P159" s="121"/>
      <c r="Q159" s="121"/>
      <c r="R159" s="121"/>
      <c r="S159" s="121"/>
      <c r="T159" s="121"/>
      <c r="U159" s="121"/>
      <c r="V159" s="118">
        <f t="shared" si="43"/>
        <v>1</v>
      </c>
      <c r="W159" s="116">
        <f>N159+K159</f>
        <v>18.72</v>
      </c>
      <c r="X159" s="117">
        <f>O159+L159</f>
        <v>1536.7248</v>
      </c>
    </row>
    <row r="160" spans="1:24" ht="49.95" customHeight="1">
      <c r="A160" s="96" t="s">
        <v>213</v>
      </c>
      <c r="B160" s="20">
        <v>92476</v>
      </c>
      <c r="C160" s="25" t="s">
        <v>413</v>
      </c>
      <c r="D160" s="97" t="s">
        <v>37</v>
      </c>
      <c r="E160" s="97" t="s">
        <v>54</v>
      </c>
      <c r="F160" s="18">
        <v>17.04</v>
      </c>
      <c r="G160" s="19">
        <v>101.44</v>
      </c>
      <c r="H160" s="19">
        <f>F160*G160-0.01</f>
        <v>1728.5275999999999</v>
      </c>
      <c r="I160" s="3"/>
      <c r="J160" s="118">
        <f t="shared" si="41"/>
        <v>1</v>
      </c>
      <c r="K160" s="18">
        <v>17.04</v>
      </c>
      <c r="L160" s="59">
        <f t="shared" si="47"/>
        <v>1728.5275999999999</v>
      </c>
      <c r="M160" s="59"/>
      <c r="N160" s="118"/>
      <c r="O160" s="121"/>
      <c r="P160" s="121"/>
      <c r="Q160" s="121"/>
      <c r="R160" s="121"/>
      <c r="S160" s="121"/>
      <c r="T160" s="121"/>
      <c r="U160" s="121"/>
      <c r="V160" s="118">
        <f t="shared" si="43"/>
        <v>1</v>
      </c>
      <c r="W160" s="116">
        <f t="shared" ref="W160:W168" si="48">N160+K160</f>
        <v>17.04</v>
      </c>
      <c r="X160" s="117">
        <f t="shared" ref="X160:X168" si="49">O160+L160</f>
        <v>1728.5275999999999</v>
      </c>
    </row>
    <row r="161" spans="1:24" ht="49.95" customHeight="1">
      <c r="A161" s="96" t="s">
        <v>214</v>
      </c>
      <c r="B161" s="20">
        <v>92759</v>
      </c>
      <c r="C161" s="98" t="s">
        <v>415</v>
      </c>
      <c r="D161" s="97" t="s">
        <v>37</v>
      </c>
      <c r="E161" s="97" t="s">
        <v>42</v>
      </c>
      <c r="F161" s="18">
        <v>43.2</v>
      </c>
      <c r="G161" s="19">
        <v>15.87</v>
      </c>
      <c r="H161" s="19">
        <f t="shared" ref="H161:H167" si="50">F161*G161</f>
        <v>685.58400000000006</v>
      </c>
      <c r="I161" s="3"/>
      <c r="J161" s="118">
        <f t="shared" si="41"/>
        <v>1</v>
      </c>
      <c r="K161" s="18">
        <v>43.2</v>
      </c>
      <c r="L161" s="59">
        <f t="shared" si="47"/>
        <v>685.58400000000006</v>
      </c>
      <c r="M161" s="59"/>
      <c r="N161" s="118"/>
      <c r="O161" s="121"/>
      <c r="P161" s="121"/>
      <c r="Q161" s="121"/>
      <c r="R161" s="121"/>
      <c r="S161" s="121"/>
      <c r="T161" s="121"/>
      <c r="U161" s="121"/>
      <c r="V161" s="118">
        <f t="shared" si="43"/>
        <v>1</v>
      </c>
      <c r="W161" s="116">
        <f t="shared" si="48"/>
        <v>43.2</v>
      </c>
      <c r="X161" s="117">
        <f t="shared" si="49"/>
        <v>685.58400000000006</v>
      </c>
    </row>
    <row r="162" spans="1:24" ht="49.95" customHeight="1">
      <c r="A162" s="96" t="s">
        <v>215</v>
      </c>
      <c r="B162" s="20">
        <v>104108</v>
      </c>
      <c r="C162" s="25" t="s">
        <v>416</v>
      </c>
      <c r="D162" s="97" t="s">
        <v>37</v>
      </c>
      <c r="E162" s="97" t="s">
        <v>42</v>
      </c>
      <c r="F162" s="18">
        <v>69.900000000000006</v>
      </c>
      <c r="G162" s="19">
        <v>14.5</v>
      </c>
      <c r="H162" s="19">
        <f t="shared" si="50"/>
        <v>1013.5500000000001</v>
      </c>
      <c r="I162" s="3"/>
      <c r="J162" s="118">
        <f t="shared" si="41"/>
        <v>1</v>
      </c>
      <c r="K162" s="18">
        <v>69.900000000000006</v>
      </c>
      <c r="L162" s="59">
        <f t="shared" si="47"/>
        <v>1013.5500000000001</v>
      </c>
      <c r="M162" s="59"/>
      <c r="N162" s="118"/>
      <c r="O162" s="121"/>
      <c r="P162" s="121"/>
      <c r="Q162" s="121"/>
      <c r="R162" s="121"/>
      <c r="S162" s="121"/>
      <c r="T162" s="121"/>
      <c r="U162" s="121"/>
      <c r="V162" s="118">
        <f t="shared" si="43"/>
        <v>1</v>
      </c>
      <c r="W162" s="116">
        <f t="shared" si="48"/>
        <v>69.900000000000006</v>
      </c>
      <c r="X162" s="117">
        <f t="shared" si="49"/>
        <v>1013.5500000000001</v>
      </c>
    </row>
    <row r="163" spans="1:24" ht="49.95" customHeight="1">
      <c r="A163" s="96" t="s">
        <v>216</v>
      </c>
      <c r="B163" s="20">
        <v>92761</v>
      </c>
      <c r="C163" s="25" t="s">
        <v>417</v>
      </c>
      <c r="D163" s="97" t="s">
        <v>37</v>
      </c>
      <c r="E163" s="97" t="s">
        <v>42</v>
      </c>
      <c r="F163" s="18">
        <v>36.5</v>
      </c>
      <c r="G163" s="19">
        <v>14.08</v>
      </c>
      <c r="H163" s="19">
        <f t="shared" si="50"/>
        <v>513.91999999999996</v>
      </c>
      <c r="I163" s="3"/>
      <c r="J163" s="118">
        <f t="shared" si="41"/>
        <v>1</v>
      </c>
      <c r="K163" s="18">
        <v>36.5</v>
      </c>
      <c r="L163" s="59">
        <f t="shared" si="47"/>
        <v>513.91999999999996</v>
      </c>
      <c r="M163" s="59"/>
      <c r="N163" s="118"/>
      <c r="O163" s="121"/>
      <c r="P163" s="121"/>
      <c r="Q163" s="121"/>
      <c r="R163" s="121"/>
      <c r="S163" s="121"/>
      <c r="T163" s="121"/>
      <c r="U163" s="121"/>
      <c r="V163" s="118">
        <f t="shared" si="43"/>
        <v>1</v>
      </c>
      <c r="W163" s="116">
        <f t="shared" si="48"/>
        <v>36.5</v>
      </c>
      <c r="X163" s="117">
        <f t="shared" si="49"/>
        <v>513.91999999999996</v>
      </c>
    </row>
    <row r="164" spans="1:24" ht="49.95" customHeight="1">
      <c r="A164" s="96" t="s">
        <v>217</v>
      </c>
      <c r="B164" s="20">
        <v>94971</v>
      </c>
      <c r="C164" s="98" t="s">
        <v>404</v>
      </c>
      <c r="D164" s="97" t="s">
        <v>37</v>
      </c>
      <c r="E164" s="97" t="s">
        <v>56</v>
      </c>
      <c r="F164" s="18">
        <v>2.61</v>
      </c>
      <c r="G164" s="19">
        <v>559.80999999999995</v>
      </c>
      <c r="H164" s="19">
        <f t="shared" si="50"/>
        <v>1461.1040999999998</v>
      </c>
      <c r="I164" s="3"/>
      <c r="J164" s="118">
        <f t="shared" si="41"/>
        <v>1</v>
      </c>
      <c r="K164" s="18">
        <v>2.61</v>
      </c>
      <c r="L164" s="59">
        <f t="shared" si="47"/>
        <v>1461.1040999999998</v>
      </c>
      <c r="M164" s="59"/>
      <c r="N164" s="118"/>
      <c r="O164" s="121"/>
      <c r="P164" s="121"/>
      <c r="Q164" s="121"/>
      <c r="R164" s="121"/>
      <c r="S164" s="121"/>
      <c r="T164" s="121"/>
      <c r="U164" s="121"/>
      <c r="V164" s="118">
        <f t="shared" si="43"/>
        <v>1</v>
      </c>
      <c r="W164" s="116">
        <f t="shared" si="48"/>
        <v>2.61</v>
      </c>
      <c r="X164" s="117">
        <f t="shared" si="49"/>
        <v>1461.1040999999998</v>
      </c>
    </row>
    <row r="165" spans="1:24" ht="49.95" customHeight="1">
      <c r="A165" s="96" t="s">
        <v>218</v>
      </c>
      <c r="B165" s="20">
        <v>103670</v>
      </c>
      <c r="C165" s="25" t="s">
        <v>405</v>
      </c>
      <c r="D165" s="97" t="s">
        <v>37</v>
      </c>
      <c r="E165" s="97" t="s">
        <v>56</v>
      </c>
      <c r="F165" s="18">
        <v>2.61</v>
      </c>
      <c r="G165" s="19">
        <v>331.13</v>
      </c>
      <c r="H165" s="19">
        <f>F165*G165-0.01</f>
        <v>864.23929999999996</v>
      </c>
      <c r="I165" s="3"/>
      <c r="J165" s="118">
        <f t="shared" si="41"/>
        <v>1</v>
      </c>
      <c r="K165" s="18">
        <v>2.61</v>
      </c>
      <c r="L165" s="59">
        <f t="shared" si="47"/>
        <v>864.23929999999996</v>
      </c>
      <c r="M165" s="59"/>
      <c r="N165" s="118"/>
      <c r="O165" s="121"/>
      <c r="P165" s="121"/>
      <c r="Q165" s="121"/>
      <c r="R165" s="121"/>
      <c r="S165" s="121"/>
      <c r="T165" s="121"/>
      <c r="U165" s="121"/>
      <c r="V165" s="118">
        <f t="shared" si="43"/>
        <v>1</v>
      </c>
      <c r="W165" s="116">
        <f t="shared" si="48"/>
        <v>2.61</v>
      </c>
      <c r="X165" s="117">
        <f t="shared" si="49"/>
        <v>864.23929999999996</v>
      </c>
    </row>
    <row r="166" spans="1:24" ht="49.95" customHeight="1">
      <c r="A166" s="96" t="s">
        <v>219</v>
      </c>
      <c r="B166" s="20">
        <v>92486</v>
      </c>
      <c r="C166" s="98" t="s">
        <v>414</v>
      </c>
      <c r="D166" s="97" t="s">
        <v>37</v>
      </c>
      <c r="E166" s="97" t="s">
        <v>54</v>
      </c>
      <c r="F166" s="18">
        <v>8.67</v>
      </c>
      <c r="G166" s="19">
        <v>181.19</v>
      </c>
      <c r="H166" s="19">
        <f>F166*G166-0.01</f>
        <v>1570.9073000000001</v>
      </c>
      <c r="I166" s="3"/>
      <c r="J166" s="118">
        <f t="shared" si="41"/>
        <v>1</v>
      </c>
      <c r="K166" s="18">
        <v>8.67</v>
      </c>
      <c r="L166" s="59">
        <f t="shared" si="47"/>
        <v>1570.9073000000001</v>
      </c>
      <c r="M166" s="59"/>
      <c r="N166" s="118"/>
      <c r="O166" s="121"/>
      <c r="P166" s="121"/>
      <c r="Q166" s="121"/>
      <c r="R166" s="121"/>
      <c r="S166" s="121"/>
      <c r="T166" s="121"/>
      <c r="U166" s="121"/>
      <c r="V166" s="118">
        <f t="shared" si="43"/>
        <v>1</v>
      </c>
      <c r="W166" s="116">
        <f t="shared" si="48"/>
        <v>8.67</v>
      </c>
      <c r="X166" s="117">
        <f t="shared" si="49"/>
        <v>1570.9073000000001</v>
      </c>
    </row>
    <row r="167" spans="1:24" ht="49.95" customHeight="1">
      <c r="A167" s="96" t="s">
        <v>220</v>
      </c>
      <c r="B167" s="20">
        <v>92769</v>
      </c>
      <c r="C167" s="25" t="s">
        <v>420</v>
      </c>
      <c r="D167" s="97" t="s">
        <v>37</v>
      </c>
      <c r="E167" s="97" t="s">
        <v>42</v>
      </c>
      <c r="F167" s="18">
        <v>16.3</v>
      </c>
      <c r="G167" s="19">
        <v>14.4</v>
      </c>
      <c r="H167" s="19">
        <f t="shared" si="50"/>
        <v>234.72000000000003</v>
      </c>
      <c r="I167" s="3"/>
      <c r="J167" s="118">
        <f t="shared" si="41"/>
        <v>1</v>
      </c>
      <c r="K167" s="18">
        <v>16.3</v>
      </c>
      <c r="L167" s="59">
        <f t="shared" si="47"/>
        <v>234.72000000000003</v>
      </c>
      <c r="M167" s="59"/>
      <c r="N167" s="118"/>
      <c r="O167" s="121"/>
      <c r="P167" s="121"/>
      <c r="Q167" s="121"/>
      <c r="R167" s="121"/>
      <c r="S167" s="121"/>
      <c r="T167" s="121"/>
      <c r="U167" s="121"/>
      <c r="V167" s="118">
        <f t="shared" si="43"/>
        <v>1</v>
      </c>
      <c r="W167" s="116">
        <f t="shared" si="48"/>
        <v>16.3</v>
      </c>
      <c r="X167" s="117">
        <f t="shared" si="49"/>
        <v>234.72000000000003</v>
      </c>
    </row>
    <row r="168" spans="1:24" ht="49.95" customHeight="1">
      <c r="A168" s="96" t="s">
        <v>221</v>
      </c>
      <c r="B168" s="20">
        <v>92770</v>
      </c>
      <c r="C168" s="25" t="s">
        <v>517</v>
      </c>
      <c r="D168" s="97" t="s">
        <v>37</v>
      </c>
      <c r="E168" s="97" t="s">
        <v>42</v>
      </c>
      <c r="F168" s="18">
        <v>34.6</v>
      </c>
      <c r="G168" s="19">
        <v>13.53</v>
      </c>
      <c r="H168" s="19">
        <f>F168*G168-0.01</f>
        <v>468.12799999999999</v>
      </c>
      <c r="I168" s="3"/>
      <c r="J168" s="118">
        <f t="shared" si="41"/>
        <v>1</v>
      </c>
      <c r="K168" s="18">
        <v>34.6</v>
      </c>
      <c r="L168" s="59">
        <f t="shared" si="47"/>
        <v>468.12799999999999</v>
      </c>
      <c r="M168" s="59"/>
      <c r="N168" s="118"/>
      <c r="O168" s="121"/>
      <c r="P168" s="121"/>
      <c r="Q168" s="121"/>
      <c r="R168" s="121"/>
      <c r="S168" s="121"/>
      <c r="T168" s="121"/>
      <c r="U168" s="121"/>
      <c r="V168" s="118">
        <f t="shared" si="43"/>
        <v>1</v>
      </c>
      <c r="W168" s="116">
        <f t="shared" si="48"/>
        <v>34.6</v>
      </c>
      <c r="X168" s="117">
        <f t="shared" si="49"/>
        <v>468.12799999999999</v>
      </c>
    </row>
    <row r="169" spans="1:24" ht="20.100000000000001" customHeight="1">
      <c r="A169" s="113" t="s">
        <v>222</v>
      </c>
      <c r="B169" s="156" t="s">
        <v>95</v>
      </c>
      <c r="C169" s="156"/>
      <c r="D169" s="156"/>
      <c r="E169" s="156"/>
      <c r="F169" s="156"/>
      <c r="G169" s="156"/>
      <c r="H169" s="127">
        <f>SUM(H170:H172)</f>
        <v>3247.7518000000005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49.95" customHeight="1">
      <c r="A170" s="96" t="s">
        <v>223</v>
      </c>
      <c r="B170" s="20">
        <v>103356</v>
      </c>
      <c r="C170" s="98" t="s">
        <v>421</v>
      </c>
      <c r="D170" s="97" t="s">
        <v>37</v>
      </c>
      <c r="E170" s="97" t="s">
        <v>54</v>
      </c>
      <c r="F170" s="97">
        <v>36.76</v>
      </c>
      <c r="G170" s="123">
        <v>67.73</v>
      </c>
      <c r="H170" s="19">
        <f>F170*G170</f>
        <v>2489.7548000000002</v>
      </c>
      <c r="I170" s="3"/>
      <c r="J170" s="3"/>
      <c r="K170" s="3"/>
      <c r="L170" s="3"/>
      <c r="M170" s="115">
        <f>N170/F170</f>
        <v>1</v>
      </c>
      <c r="N170" s="116">
        <f>F170</f>
        <v>36.76</v>
      </c>
      <c r="O170" s="117">
        <f>N170*G170</f>
        <v>2489.7548000000002</v>
      </c>
      <c r="P170" s="117"/>
      <c r="Q170" s="117"/>
      <c r="R170" s="117"/>
      <c r="S170" s="117"/>
      <c r="T170" s="117"/>
      <c r="U170" s="117"/>
      <c r="V170" s="118">
        <f t="shared" si="43"/>
        <v>1</v>
      </c>
      <c r="W170" s="116">
        <f>N170+K170</f>
        <v>36.76</v>
      </c>
      <c r="X170" s="117">
        <f>O170+L170</f>
        <v>2489.7548000000002</v>
      </c>
    </row>
    <row r="171" spans="1:24" ht="49.95" customHeight="1">
      <c r="A171" s="96" t="s">
        <v>224</v>
      </c>
      <c r="B171" s="20">
        <v>105023</v>
      </c>
      <c r="C171" s="98" t="s">
        <v>422</v>
      </c>
      <c r="D171" s="97" t="s">
        <v>37</v>
      </c>
      <c r="E171" s="97" t="s">
        <v>38</v>
      </c>
      <c r="F171" s="97">
        <v>7.2</v>
      </c>
      <c r="G171" s="123">
        <v>71.61</v>
      </c>
      <c r="H171" s="19">
        <f>F171*G171</f>
        <v>515.59199999999998</v>
      </c>
      <c r="I171" s="3"/>
      <c r="J171" s="3"/>
      <c r="K171" s="3"/>
      <c r="L171" s="3"/>
      <c r="M171" s="115">
        <f>N171/F171</f>
        <v>1</v>
      </c>
      <c r="N171" s="116">
        <f>F171</f>
        <v>7.2</v>
      </c>
      <c r="O171" s="117">
        <f>N171*G171</f>
        <v>515.59199999999998</v>
      </c>
      <c r="P171" s="117"/>
      <c r="Q171" s="117"/>
      <c r="R171" s="117"/>
      <c r="S171" s="117"/>
      <c r="T171" s="117"/>
      <c r="U171" s="117"/>
      <c r="V171" s="118">
        <f t="shared" si="43"/>
        <v>1</v>
      </c>
      <c r="W171" s="116">
        <f>N171+K171</f>
        <v>7.2</v>
      </c>
      <c r="X171" s="117">
        <f>O171+L171</f>
        <v>515.59199999999998</v>
      </c>
    </row>
    <row r="172" spans="1:24" ht="49.95" customHeight="1">
      <c r="A172" s="96" t="s">
        <v>225</v>
      </c>
      <c r="B172" s="20">
        <v>105029</v>
      </c>
      <c r="C172" s="98" t="s">
        <v>423</v>
      </c>
      <c r="D172" s="97" t="s">
        <v>37</v>
      </c>
      <c r="E172" s="97" t="s">
        <v>38</v>
      </c>
      <c r="F172" s="97">
        <v>4.5</v>
      </c>
      <c r="G172" s="123">
        <v>53.87</v>
      </c>
      <c r="H172" s="19">
        <f>F172*G172-0.01</f>
        <v>242.405</v>
      </c>
      <c r="I172" s="3"/>
      <c r="J172" s="3"/>
      <c r="K172" s="3"/>
      <c r="L172" s="3"/>
      <c r="M172" s="115">
        <f>N172/F172</f>
        <v>1</v>
      </c>
      <c r="N172" s="116">
        <f>F172</f>
        <v>4.5</v>
      </c>
      <c r="O172" s="117">
        <f>N172*G172</f>
        <v>242.41499999999999</v>
      </c>
      <c r="P172" s="117"/>
      <c r="Q172" s="117"/>
      <c r="R172" s="117"/>
      <c r="S172" s="117"/>
      <c r="T172" s="117"/>
      <c r="U172" s="117"/>
      <c r="V172" s="118">
        <f t="shared" si="43"/>
        <v>1</v>
      </c>
      <c r="W172" s="116">
        <f>N172+K172</f>
        <v>4.5</v>
      </c>
      <c r="X172" s="117">
        <f>O172+L172-0.01</f>
        <v>242.405</v>
      </c>
    </row>
    <row r="173" spans="1:24" ht="20.100000000000001" customHeight="1">
      <c r="A173" s="113" t="s">
        <v>226</v>
      </c>
      <c r="B173" s="156" t="s">
        <v>45</v>
      </c>
      <c r="C173" s="156"/>
      <c r="D173" s="156"/>
      <c r="E173" s="156"/>
      <c r="F173" s="156"/>
      <c r="G173" s="156"/>
      <c r="H173" s="127">
        <f>SUM(H174:H180)</f>
        <v>6790.4302999999991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49.95" customHeight="1">
      <c r="A174" s="96" t="s">
        <v>227</v>
      </c>
      <c r="B174" s="97">
        <v>87878</v>
      </c>
      <c r="C174" s="98" t="s">
        <v>424</v>
      </c>
      <c r="D174" s="97" t="s">
        <v>37</v>
      </c>
      <c r="E174" s="97" t="s">
        <v>54</v>
      </c>
      <c r="F174" s="97">
        <v>36.76</v>
      </c>
      <c r="G174" s="123">
        <v>5.51</v>
      </c>
      <c r="H174" s="19">
        <f>F174*G174-0.01</f>
        <v>202.5376</v>
      </c>
      <c r="I174" s="3"/>
      <c r="J174" s="3"/>
      <c r="K174" s="3"/>
      <c r="L174" s="3"/>
      <c r="M174" s="3"/>
      <c r="N174" s="3"/>
      <c r="O174" s="3"/>
      <c r="P174" s="115">
        <f>Q174/F174</f>
        <v>1</v>
      </c>
      <c r="Q174" s="116">
        <f>F174</f>
        <v>36.76</v>
      </c>
      <c r="R174" s="117">
        <f>Q174*G174</f>
        <v>202.54759999999999</v>
      </c>
      <c r="S174" s="115"/>
      <c r="T174" s="116"/>
      <c r="U174" s="117"/>
      <c r="V174" s="118">
        <f>W174/F174</f>
        <v>1</v>
      </c>
      <c r="W174" s="116">
        <f>N174+K174+Q174</f>
        <v>36.76</v>
      </c>
      <c r="X174" s="117">
        <f>O174+L174+R174-0.01</f>
        <v>202.5376</v>
      </c>
    </row>
    <row r="175" spans="1:24" ht="49.95" customHeight="1">
      <c r="A175" s="96" t="s">
        <v>228</v>
      </c>
      <c r="B175" s="97">
        <v>87545</v>
      </c>
      <c r="C175" s="98" t="s">
        <v>425</v>
      </c>
      <c r="D175" s="97" t="s">
        <v>37</v>
      </c>
      <c r="E175" s="97" t="s">
        <v>54</v>
      </c>
      <c r="F175" s="97">
        <v>33.94</v>
      </c>
      <c r="G175" s="123">
        <v>32.409999999999997</v>
      </c>
      <c r="H175" s="19">
        <f>F175*G175-0.01</f>
        <v>1099.9853999999998</v>
      </c>
      <c r="I175" s="3"/>
      <c r="J175" s="3"/>
      <c r="K175" s="3"/>
      <c r="L175" s="3"/>
      <c r="M175" s="3"/>
      <c r="N175" s="3"/>
      <c r="O175" s="3"/>
      <c r="P175" s="115">
        <f>Q175/F175</f>
        <v>1</v>
      </c>
      <c r="Q175" s="116">
        <f>F175</f>
        <v>33.94</v>
      </c>
      <c r="R175" s="117">
        <f>Q175*G175</f>
        <v>1099.9953999999998</v>
      </c>
      <c r="S175" s="115"/>
      <c r="T175" s="116"/>
      <c r="U175" s="117"/>
      <c r="V175" s="118">
        <f t="shared" ref="V175:V180" si="51">W175/F175</f>
        <v>1</v>
      </c>
      <c r="W175" s="116">
        <f>N175+K175+Q175</f>
        <v>33.94</v>
      </c>
      <c r="X175" s="117">
        <f>O175+L175+R175-0.01</f>
        <v>1099.9853999999998</v>
      </c>
    </row>
    <row r="176" spans="1:24" ht="49.95" customHeight="1">
      <c r="A176" s="96" t="s">
        <v>229</v>
      </c>
      <c r="B176" s="97">
        <v>87529</v>
      </c>
      <c r="C176" s="98" t="s">
        <v>426</v>
      </c>
      <c r="D176" s="97" t="s">
        <v>37</v>
      </c>
      <c r="E176" s="97" t="s">
        <v>54</v>
      </c>
      <c r="F176" s="97">
        <v>33.94</v>
      </c>
      <c r="G176" s="123">
        <v>40.299999999999997</v>
      </c>
      <c r="H176" s="19">
        <f>F176*G176</f>
        <v>1367.7819999999999</v>
      </c>
      <c r="I176" s="3"/>
      <c r="J176" s="3"/>
      <c r="K176" s="3"/>
      <c r="L176" s="3"/>
      <c r="M176" s="3"/>
      <c r="N176" s="3"/>
      <c r="O176" s="3"/>
      <c r="P176" s="115">
        <f>Q176/F176</f>
        <v>1</v>
      </c>
      <c r="Q176" s="116">
        <f>F176</f>
        <v>33.94</v>
      </c>
      <c r="R176" s="117">
        <f>Q176*G176</f>
        <v>1367.7819999999999</v>
      </c>
      <c r="S176" s="115"/>
      <c r="T176" s="116"/>
      <c r="U176" s="117"/>
      <c r="V176" s="118">
        <f t="shared" si="51"/>
        <v>1</v>
      </c>
      <c r="W176" s="116">
        <f>N176+K176+Q176</f>
        <v>33.94</v>
      </c>
      <c r="X176" s="117">
        <f>O176+L176+R176</f>
        <v>1367.7819999999999</v>
      </c>
    </row>
    <row r="177" spans="1:24" ht="49.95" customHeight="1">
      <c r="A177" s="96" t="s">
        <v>230</v>
      </c>
      <c r="B177" s="97">
        <v>87908</v>
      </c>
      <c r="C177" s="98" t="s">
        <v>428</v>
      </c>
      <c r="D177" s="97" t="s">
        <v>37</v>
      </c>
      <c r="E177" s="97" t="s">
        <v>54</v>
      </c>
      <c r="F177" s="97">
        <v>40.83</v>
      </c>
      <c r="G177" s="123">
        <v>6.83</v>
      </c>
      <c r="H177" s="19">
        <f>F177*G177-0.01</f>
        <v>278.85890000000001</v>
      </c>
      <c r="I177" s="3"/>
      <c r="J177" s="3"/>
      <c r="K177" s="3"/>
      <c r="L177" s="3"/>
      <c r="M177" s="3"/>
      <c r="N177" s="3"/>
      <c r="O177" s="3"/>
      <c r="P177" s="115">
        <f>Q177/F177</f>
        <v>1</v>
      </c>
      <c r="Q177" s="116">
        <f>F177</f>
        <v>40.83</v>
      </c>
      <c r="R177" s="117">
        <f>Q177*G177</f>
        <v>278.8689</v>
      </c>
      <c r="S177" s="115"/>
      <c r="T177" s="116"/>
      <c r="U177" s="117"/>
      <c r="V177" s="118">
        <f t="shared" si="51"/>
        <v>1</v>
      </c>
      <c r="W177" s="116">
        <f>N177+K177+Q177</f>
        <v>40.83</v>
      </c>
      <c r="X177" s="117">
        <f>O177+L177+R177-0.01</f>
        <v>278.85890000000001</v>
      </c>
    </row>
    <row r="178" spans="1:24" ht="49.95" customHeight="1">
      <c r="A178" s="96" t="s">
        <v>231</v>
      </c>
      <c r="B178" s="97">
        <v>104218</v>
      </c>
      <c r="C178" s="98" t="s">
        <v>429</v>
      </c>
      <c r="D178" s="97" t="s">
        <v>37</v>
      </c>
      <c r="E178" s="97" t="s">
        <v>54</v>
      </c>
      <c r="F178" s="97">
        <v>40.83</v>
      </c>
      <c r="G178" s="123">
        <v>61.59</v>
      </c>
      <c r="H178" s="19">
        <f>F178*G178-0.01</f>
        <v>2514.7096999999999</v>
      </c>
      <c r="I178" s="3"/>
      <c r="J178" s="3"/>
      <c r="K178" s="3"/>
      <c r="L178" s="3"/>
      <c r="M178" s="3"/>
      <c r="N178" s="3"/>
      <c r="O178" s="3"/>
      <c r="P178" s="115">
        <f>Q178/F178</f>
        <v>1</v>
      </c>
      <c r="Q178" s="116">
        <f>F178</f>
        <v>40.83</v>
      </c>
      <c r="R178" s="117">
        <f>Q178*G178</f>
        <v>2514.7197000000001</v>
      </c>
      <c r="S178" s="115"/>
      <c r="T178" s="116"/>
      <c r="U178" s="117"/>
      <c r="V178" s="118">
        <f t="shared" si="51"/>
        <v>1</v>
      </c>
      <c r="W178" s="116">
        <f>N178+K178+Q178</f>
        <v>40.83</v>
      </c>
      <c r="X178" s="117">
        <f>O178+L178+R178-0.01</f>
        <v>2514.7096999999999</v>
      </c>
    </row>
    <row r="179" spans="1:24" ht="49.95" customHeight="1">
      <c r="A179" s="96" t="s">
        <v>232</v>
      </c>
      <c r="B179" s="97">
        <v>88497</v>
      </c>
      <c r="C179" s="98" t="s">
        <v>518</v>
      </c>
      <c r="D179" s="97" t="s">
        <v>37</v>
      </c>
      <c r="E179" s="97" t="s">
        <v>54</v>
      </c>
      <c r="F179" s="97">
        <v>40.83</v>
      </c>
      <c r="G179" s="123">
        <v>18.440000000000001</v>
      </c>
      <c r="H179" s="19">
        <f>F179*G179-0.01</f>
        <v>752.89520000000005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115">
        <f>T179/F179</f>
        <v>1</v>
      </c>
      <c r="T179" s="116">
        <f>F179</f>
        <v>40.83</v>
      </c>
      <c r="U179" s="117">
        <f>T179*G179-0.01</f>
        <v>752.89520000000005</v>
      </c>
      <c r="V179" s="118">
        <f t="shared" si="51"/>
        <v>1</v>
      </c>
      <c r="W179" s="116">
        <f>N179+K179+Q179+T179</f>
        <v>40.83</v>
      </c>
      <c r="X179" s="117">
        <f>O179+L179+R179+U179</f>
        <v>752.89520000000005</v>
      </c>
    </row>
    <row r="180" spans="1:24" ht="49.95" customHeight="1">
      <c r="A180" s="96" t="s">
        <v>233</v>
      </c>
      <c r="B180" s="97">
        <v>88489</v>
      </c>
      <c r="C180" s="98" t="s">
        <v>519</v>
      </c>
      <c r="D180" s="97" t="s">
        <v>37</v>
      </c>
      <c r="E180" s="97" t="s">
        <v>54</v>
      </c>
      <c r="F180" s="97">
        <v>40.83</v>
      </c>
      <c r="G180" s="123">
        <v>14.05</v>
      </c>
      <c r="H180" s="19">
        <f>F180*G180</f>
        <v>573.66150000000005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115">
        <f>T180/F180</f>
        <v>1</v>
      </c>
      <c r="T180" s="116">
        <f>F180</f>
        <v>40.83</v>
      </c>
      <c r="U180" s="117">
        <f>T180*G180</f>
        <v>573.66150000000005</v>
      </c>
      <c r="V180" s="118">
        <f t="shared" si="51"/>
        <v>1</v>
      </c>
      <c r="W180" s="116">
        <f>N180+K180+Q180+T180</f>
        <v>40.83</v>
      </c>
      <c r="X180" s="117">
        <f>O180+L180+R180+U180</f>
        <v>573.66150000000005</v>
      </c>
    </row>
    <row r="181" spans="1:24" ht="20.100000000000001" customHeight="1">
      <c r="A181" s="113" t="s">
        <v>234</v>
      </c>
      <c r="B181" s="156" t="s">
        <v>235</v>
      </c>
      <c r="C181" s="156"/>
      <c r="D181" s="156"/>
      <c r="E181" s="156"/>
      <c r="F181" s="156"/>
      <c r="G181" s="156"/>
      <c r="H181" s="127">
        <f>SUM(H182:H185)-0.01</f>
        <v>1850.6069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49.95" customHeight="1">
      <c r="A182" s="96" t="s">
        <v>236</v>
      </c>
      <c r="B182" s="22">
        <v>88485</v>
      </c>
      <c r="C182" s="98" t="s">
        <v>520</v>
      </c>
      <c r="D182" s="97" t="s">
        <v>37</v>
      </c>
      <c r="E182" s="97" t="s">
        <v>54</v>
      </c>
      <c r="F182" s="18">
        <v>33.94</v>
      </c>
      <c r="G182" s="19">
        <v>4.2699999999999996</v>
      </c>
      <c r="H182" s="19">
        <f>F182*G182</f>
        <v>144.92379999999997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115">
        <f>T182/F182</f>
        <v>1</v>
      </c>
      <c r="T182" s="116">
        <f>F182</f>
        <v>33.94</v>
      </c>
      <c r="U182" s="117">
        <f>T182*G182</f>
        <v>144.92379999999997</v>
      </c>
      <c r="V182" s="118">
        <f>W182/F182</f>
        <v>1</v>
      </c>
      <c r="W182" s="116">
        <f t="shared" ref="W182:X185" si="52">N182+K182+Q182+T182</f>
        <v>33.94</v>
      </c>
      <c r="X182" s="117">
        <f t="shared" si="52"/>
        <v>144.92379999999997</v>
      </c>
    </row>
    <row r="183" spans="1:24" ht="49.95" customHeight="1">
      <c r="A183" s="96" t="s">
        <v>237</v>
      </c>
      <c r="B183" s="22">
        <v>88497</v>
      </c>
      <c r="C183" s="98" t="s">
        <v>518</v>
      </c>
      <c r="D183" s="97" t="s">
        <v>37</v>
      </c>
      <c r="E183" s="97" t="s">
        <v>54</v>
      </c>
      <c r="F183" s="18">
        <v>33.94</v>
      </c>
      <c r="G183" s="19">
        <v>18.440000000000001</v>
      </c>
      <c r="H183" s="19">
        <f>F183*G183</f>
        <v>625.85360000000003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115">
        <f>T183/F183</f>
        <v>1</v>
      </c>
      <c r="T183" s="116">
        <f>F183</f>
        <v>33.94</v>
      </c>
      <c r="U183" s="117">
        <f>T183*G183</f>
        <v>625.85360000000003</v>
      </c>
      <c r="V183" s="118">
        <f>W183/F183</f>
        <v>1</v>
      </c>
      <c r="W183" s="116">
        <f t="shared" si="52"/>
        <v>33.94</v>
      </c>
      <c r="X183" s="117">
        <f t="shared" si="52"/>
        <v>625.85360000000003</v>
      </c>
    </row>
    <row r="184" spans="1:24" ht="49.95" customHeight="1">
      <c r="A184" s="96" t="s">
        <v>238</v>
      </c>
      <c r="B184" s="22">
        <v>88489</v>
      </c>
      <c r="C184" s="98" t="s">
        <v>519</v>
      </c>
      <c r="D184" s="97" t="s">
        <v>37</v>
      </c>
      <c r="E184" s="97" t="s">
        <v>54</v>
      </c>
      <c r="F184" s="18">
        <v>33.94</v>
      </c>
      <c r="G184" s="19">
        <v>14.05</v>
      </c>
      <c r="H184" s="19">
        <f>F184*G184-0.01</f>
        <v>476.84699999999998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115">
        <f>T184/F184</f>
        <v>1</v>
      </c>
      <c r="T184" s="116">
        <f>F184</f>
        <v>33.94</v>
      </c>
      <c r="U184" s="117">
        <f>T184*G184-0.01</f>
        <v>476.84699999999998</v>
      </c>
      <c r="V184" s="118">
        <f>W184/F184</f>
        <v>1</v>
      </c>
      <c r="W184" s="116">
        <f t="shared" si="52"/>
        <v>33.94</v>
      </c>
      <c r="X184" s="117">
        <f t="shared" si="52"/>
        <v>476.84699999999998</v>
      </c>
    </row>
    <row r="185" spans="1:24" ht="49.95" customHeight="1">
      <c r="A185" s="96" t="s">
        <v>239</v>
      </c>
      <c r="B185" s="22">
        <v>96486</v>
      </c>
      <c r="C185" s="98" t="s">
        <v>432</v>
      </c>
      <c r="D185" s="97" t="s">
        <v>37</v>
      </c>
      <c r="E185" s="97" t="s">
        <v>54</v>
      </c>
      <c r="F185" s="18">
        <v>8.25</v>
      </c>
      <c r="G185" s="19">
        <v>73.09</v>
      </c>
      <c r="H185" s="19">
        <f>F185*G185</f>
        <v>602.99250000000006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115">
        <f>T185/F185</f>
        <v>1</v>
      </c>
      <c r="T185" s="116">
        <f>F185</f>
        <v>8.25</v>
      </c>
      <c r="U185" s="117">
        <f>T185*G185</f>
        <v>602.99250000000006</v>
      </c>
      <c r="V185" s="118">
        <f>W185/F185</f>
        <v>1</v>
      </c>
      <c r="W185" s="116">
        <f t="shared" si="52"/>
        <v>8.25</v>
      </c>
      <c r="X185" s="117">
        <f t="shared" si="52"/>
        <v>602.99250000000006</v>
      </c>
    </row>
    <row r="186" spans="1:24" ht="20.100000000000001" customHeight="1">
      <c r="A186" s="113" t="s">
        <v>240</v>
      </c>
      <c r="B186" s="156" t="s">
        <v>46</v>
      </c>
      <c r="C186" s="156"/>
      <c r="D186" s="156"/>
      <c r="E186" s="156"/>
      <c r="F186" s="156"/>
      <c r="G186" s="156"/>
      <c r="H186" s="127">
        <f>SUM(H187:H189)+0.01</f>
        <v>1293.9100000000001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49.95" customHeight="1">
      <c r="A187" s="96" t="s">
        <v>241</v>
      </c>
      <c r="B187" s="22">
        <v>95241</v>
      </c>
      <c r="C187" s="98" t="s">
        <v>434</v>
      </c>
      <c r="D187" s="97" t="s">
        <v>37</v>
      </c>
      <c r="E187" s="97" t="s">
        <v>54</v>
      </c>
      <c r="F187" s="18">
        <v>8.25</v>
      </c>
      <c r="G187" s="19">
        <v>41.55</v>
      </c>
      <c r="H187" s="19">
        <f>F187*G187-0.01</f>
        <v>342.77749999999997</v>
      </c>
      <c r="I187" s="3"/>
      <c r="J187" s="3"/>
      <c r="K187" s="3"/>
      <c r="L187" s="3"/>
      <c r="M187" s="115">
        <f>N187/F187</f>
        <v>1</v>
      </c>
      <c r="N187" s="116">
        <f>F187</f>
        <v>8.25</v>
      </c>
      <c r="O187" s="117">
        <f>N187*G187</f>
        <v>342.78749999999997</v>
      </c>
      <c r="P187" s="117"/>
      <c r="Q187" s="117"/>
      <c r="R187" s="117"/>
      <c r="S187" s="117"/>
      <c r="T187" s="117"/>
      <c r="U187" s="117"/>
      <c r="V187" s="118">
        <f>W187/F187</f>
        <v>1</v>
      </c>
      <c r="W187" s="116">
        <f>N187+K187</f>
        <v>8.25</v>
      </c>
      <c r="X187" s="117">
        <f>O187+L187-0.01</f>
        <v>342.77749999999997</v>
      </c>
    </row>
    <row r="188" spans="1:24" ht="49.95" customHeight="1">
      <c r="A188" s="96" t="s">
        <v>242</v>
      </c>
      <c r="B188" s="22">
        <v>87622</v>
      </c>
      <c r="C188" s="98" t="s">
        <v>435</v>
      </c>
      <c r="D188" s="97" t="s">
        <v>37</v>
      </c>
      <c r="E188" s="97" t="s">
        <v>54</v>
      </c>
      <c r="F188" s="18">
        <v>8.25</v>
      </c>
      <c r="G188" s="19">
        <v>40.39</v>
      </c>
      <c r="H188" s="19">
        <f>F188*G188-0.01</f>
        <v>333.20750000000004</v>
      </c>
      <c r="I188" s="3"/>
      <c r="J188" s="3"/>
      <c r="K188" s="3"/>
      <c r="L188" s="3"/>
      <c r="M188" s="115">
        <f>N188/F188</f>
        <v>1</v>
      </c>
      <c r="N188" s="116">
        <f>F188</f>
        <v>8.25</v>
      </c>
      <c r="O188" s="117">
        <f>N188*G188</f>
        <v>333.21750000000003</v>
      </c>
      <c r="P188" s="117"/>
      <c r="Q188" s="117"/>
      <c r="R188" s="117"/>
      <c r="S188" s="117"/>
      <c r="T188" s="117"/>
      <c r="U188" s="117"/>
      <c r="V188" s="118">
        <f>W188/F188</f>
        <v>1</v>
      </c>
      <c r="W188" s="116">
        <f>N188+K188</f>
        <v>8.25</v>
      </c>
      <c r="X188" s="117">
        <f>O188+L188-0.01</f>
        <v>333.20750000000004</v>
      </c>
    </row>
    <row r="189" spans="1:24" ht="49.95" customHeight="1">
      <c r="A189" s="96" t="s">
        <v>243</v>
      </c>
      <c r="B189" s="22" t="s">
        <v>399</v>
      </c>
      <c r="C189" s="98" t="s">
        <v>427</v>
      </c>
      <c r="D189" s="97" t="s">
        <v>55</v>
      </c>
      <c r="E189" s="97" t="s">
        <v>54</v>
      </c>
      <c r="F189" s="18">
        <v>8.25</v>
      </c>
      <c r="G189" s="19">
        <v>74.900000000000006</v>
      </c>
      <c r="H189" s="19">
        <f>F189*G189-0.01</f>
        <v>617.91500000000008</v>
      </c>
      <c r="I189" s="3"/>
      <c r="J189" s="3"/>
      <c r="K189" s="3"/>
      <c r="L189" s="3"/>
      <c r="M189" s="3"/>
      <c r="N189" s="116"/>
      <c r="O189" s="3"/>
      <c r="P189" s="3"/>
      <c r="Q189" s="3"/>
      <c r="R189" s="3"/>
      <c r="S189" s="115">
        <f>T189/F189</f>
        <v>1</v>
      </c>
      <c r="T189" s="116">
        <f>F189</f>
        <v>8.25</v>
      </c>
      <c r="U189" s="117">
        <f>T189*G189-0.01</f>
        <v>617.91500000000008</v>
      </c>
      <c r="V189" s="118">
        <f>W189/F189</f>
        <v>1</v>
      </c>
      <c r="W189" s="116">
        <f>N189+K189+Q189+T189</f>
        <v>8.25</v>
      </c>
      <c r="X189" s="117">
        <f>O189+L189+R189+U189</f>
        <v>617.91500000000008</v>
      </c>
    </row>
    <row r="190" spans="1:24" ht="20.100000000000001" customHeight="1">
      <c r="A190" s="113" t="s">
        <v>244</v>
      </c>
      <c r="B190" s="156" t="s">
        <v>115</v>
      </c>
      <c r="C190" s="156"/>
      <c r="D190" s="156"/>
      <c r="E190" s="156"/>
      <c r="F190" s="156"/>
      <c r="G190" s="156"/>
      <c r="H190" s="127">
        <f>SUM(H191,H216,H237)</f>
        <v>13670.025799999999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20.100000000000001" customHeight="1">
      <c r="A191" s="113" t="s">
        <v>245</v>
      </c>
      <c r="B191" s="156" t="s">
        <v>47</v>
      </c>
      <c r="C191" s="156"/>
      <c r="D191" s="156"/>
      <c r="E191" s="156"/>
      <c r="F191" s="156"/>
      <c r="G191" s="156"/>
      <c r="H191" s="127">
        <f>SUM(H192:H215)-0.01</f>
        <v>3065.1956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49.95" customHeight="1">
      <c r="A192" s="96" t="s">
        <v>246</v>
      </c>
      <c r="B192" s="22">
        <v>102611</v>
      </c>
      <c r="C192" s="96" t="s">
        <v>521</v>
      </c>
      <c r="D192" s="97" t="s">
        <v>37</v>
      </c>
      <c r="E192" s="97" t="s">
        <v>57</v>
      </c>
      <c r="F192" s="18">
        <v>1</v>
      </c>
      <c r="G192" s="19">
        <v>554.88</v>
      </c>
      <c r="H192" s="19">
        <f>F192*G192</f>
        <v>554.88</v>
      </c>
      <c r="I192" s="3"/>
      <c r="J192" s="3"/>
      <c r="K192" s="3"/>
      <c r="L192" s="3"/>
      <c r="M192" s="115">
        <f>N192/F192</f>
        <v>1</v>
      </c>
      <c r="N192" s="116">
        <f>F192</f>
        <v>1</v>
      </c>
      <c r="O192" s="117">
        <f>N192*G192</f>
        <v>554.88</v>
      </c>
      <c r="P192" s="117"/>
      <c r="Q192" s="117"/>
      <c r="R192" s="117"/>
      <c r="S192" s="117"/>
      <c r="T192" s="117"/>
      <c r="U192" s="117"/>
      <c r="V192" s="118">
        <f t="shared" ref="V192:V255" si="53">W192/F192</f>
        <v>1</v>
      </c>
      <c r="W192" s="116">
        <f>N192+K192</f>
        <v>1</v>
      </c>
      <c r="X192" s="117">
        <f>O192+L192</f>
        <v>554.88</v>
      </c>
    </row>
    <row r="193" spans="1:24" ht="49.95" customHeight="1">
      <c r="A193" s="96" t="s">
        <v>247</v>
      </c>
      <c r="B193" s="22">
        <v>11762</v>
      </c>
      <c r="C193" s="96" t="s">
        <v>522</v>
      </c>
      <c r="D193" s="97" t="s">
        <v>37</v>
      </c>
      <c r="E193" s="97" t="s">
        <v>57</v>
      </c>
      <c r="F193" s="18">
        <v>1</v>
      </c>
      <c r="G193" s="19">
        <v>75.849999999999994</v>
      </c>
      <c r="H193" s="19">
        <f t="shared" ref="H193:H215" si="54">F193*G193</f>
        <v>75.849999999999994</v>
      </c>
      <c r="I193" s="3"/>
      <c r="J193" s="3"/>
      <c r="K193" s="3"/>
      <c r="L193" s="3"/>
      <c r="M193" s="115">
        <f t="shared" ref="M193:M215" si="55">N193/F193</f>
        <v>1</v>
      </c>
      <c r="N193" s="116">
        <f t="shared" ref="N193:N215" si="56">F193</f>
        <v>1</v>
      </c>
      <c r="O193" s="117">
        <f t="shared" ref="O193:O215" si="57">N193*G193</f>
        <v>75.849999999999994</v>
      </c>
      <c r="P193" s="117"/>
      <c r="Q193" s="117"/>
      <c r="R193" s="117"/>
      <c r="S193" s="117"/>
      <c r="T193" s="117"/>
      <c r="U193" s="117"/>
      <c r="V193" s="118">
        <f t="shared" si="53"/>
        <v>1</v>
      </c>
      <c r="W193" s="116">
        <f t="shared" ref="W193:W215" si="58">N193+K193</f>
        <v>1</v>
      </c>
      <c r="X193" s="117">
        <f t="shared" ref="X193:X215" si="59">O193+L193</f>
        <v>75.849999999999994</v>
      </c>
    </row>
    <row r="194" spans="1:24" ht="49.95" customHeight="1">
      <c r="A194" s="96" t="s">
        <v>248</v>
      </c>
      <c r="B194" s="22">
        <v>86888</v>
      </c>
      <c r="C194" s="96" t="s">
        <v>438</v>
      </c>
      <c r="D194" s="97" t="s">
        <v>37</v>
      </c>
      <c r="E194" s="97" t="s">
        <v>57</v>
      </c>
      <c r="F194" s="18">
        <v>1</v>
      </c>
      <c r="G194" s="19">
        <v>591.21</v>
      </c>
      <c r="H194" s="19">
        <f t="shared" si="54"/>
        <v>591.21</v>
      </c>
      <c r="I194" s="3"/>
      <c r="J194" s="3"/>
      <c r="K194" s="3"/>
      <c r="L194" s="3"/>
      <c r="M194" s="115">
        <f t="shared" si="55"/>
        <v>1</v>
      </c>
      <c r="N194" s="116">
        <f t="shared" si="56"/>
        <v>1</v>
      </c>
      <c r="O194" s="117">
        <f t="shared" si="57"/>
        <v>591.21</v>
      </c>
      <c r="P194" s="117"/>
      <c r="Q194" s="117"/>
      <c r="R194" s="117"/>
      <c r="S194" s="117"/>
      <c r="T194" s="117"/>
      <c r="U194" s="117"/>
      <c r="V194" s="118">
        <f t="shared" si="53"/>
        <v>1</v>
      </c>
      <c r="W194" s="116">
        <f t="shared" si="58"/>
        <v>1</v>
      </c>
      <c r="X194" s="117">
        <f t="shared" si="59"/>
        <v>591.21</v>
      </c>
    </row>
    <row r="195" spans="1:24" ht="49.95" customHeight="1">
      <c r="A195" s="96" t="s">
        <v>249</v>
      </c>
      <c r="B195" s="22">
        <v>1370</v>
      </c>
      <c r="C195" s="96" t="s">
        <v>439</v>
      </c>
      <c r="D195" s="97" t="s">
        <v>37</v>
      </c>
      <c r="E195" s="97" t="s">
        <v>57</v>
      </c>
      <c r="F195" s="18">
        <v>1</v>
      </c>
      <c r="G195" s="19">
        <v>141.46</v>
      </c>
      <c r="H195" s="19">
        <f t="shared" si="54"/>
        <v>141.46</v>
      </c>
      <c r="I195" s="3"/>
      <c r="J195" s="3"/>
      <c r="K195" s="3"/>
      <c r="L195" s="3"/>
      <c r="M195" s="115">
        <f t="shared" si="55"/>
        <v>1</v>
      </c>
      <c r="N195" s="116">
        <f t="shared" si="56"/>
        <v>1</v>
      </c>
      <c r="O195" s="117">
        <f t="shared" si="57"/>
        <v>141.46</v>
      </c>
      <c r="P195" s="117"/>
      <c r="Q195" s="117"/>
      <c r="R195" s="117"/>
      <c r="S195" s="117"/>
      <c r="T195" s="117"/>
      <c r="U195" s="117"/>
      <c r="V195" s="118">
        <f t="shared" si="53"/>
        <v>1</v>
      </c>
      <c r="W195" s="116">
        <f t="shared" si="58"/>
        <v>1</v>
      </c>
      <c r="X195" s="117">
        <f t="shared" si="59"/>
        <v>141.46</v>
      </c>
    </row>
    <row r="196" spans="1:24" ht="49.95" customHeight="1">
      <c r="A196" s="96" t="s">
        <v>250</v>
      </c>
      <c r="B196" s="22">
        <v>10427</v>
      </c>
      <c r="C196" s="96" t="s">
        <v>440</v>
      </c>
      <c r="D196" s="97" t="s">
        <v>37</v>
      </c>
      <c r="E196" s="97" t="s">
        <v>57</v>
      </c>
      <c r="F196" s="18">
        <v>1</v>
      </c>
      <c r="G196" s="19">
        <v>596.73</v>
      </c>
      <c r="H196" s="19">
        <f t="shared" si="54"/>
        <v>596.73</v>
      </c>
      <c r="I196" s="3"/>
      <c r="J196" s="3"/>
      <c r="K196" s="3"/>
      <c r="L196" s="3"/>
      <c r="M196" s="115">
        <f t="shared" si="55"/>
        <v>1</v>
      </c>
      <c r="N196" s="116">
        <f t="shared" si="56"/>
        <v>1</v>
      </c>
      <c r="O196" s="117">
        <f t="shared" si="57"/>
        <v>596.73</v>
      </c>
      <c r="P196" s="117"/>
      <c r="Q196" s="117"/>
      <c r="R196" s="117"/>
      <c r="S196" s="117"/>
      <c r="T196" s="117"/>
      <c r="U196" s="117"/>
      <c r="V196" s="118">
        <f t="shared" si="53"/>
        <v>1</v>
      </c>
      <c r="W196" s="116">
        <f t="shared" si="58"/>
        <v>1</v>
      </c>
      <c r="X196" s="117">
        <f t="shared" si="59"/>
        <v>596.73</v>
      </c>
    </row>
    <row r="197" spans="1:24" ht="49.95" customHeight="1">
      <c r="A197" s="96" t="s">
        <v>251</v>
      </c>
      <c r="B197" s="22">
        <v>6136</v>
      </c>
      <c r="C197" s="96" t="s">
        <v>441</v>
      </c>
      <c r="D197" s="97" t="s">
        <v>37</v>
      </c>
      <c r="E197" s="97" t="s">
        <v>57</v>
      </c>
      <c r="F197" s="18">
        <v>1</v>
      </c>
      <c r="G197" s="19">
        <v>206.49</v>
      </c>
      <c r="H197" s="19">
        <f t="shared" si="54"/>
        <v>206.49</v>
      </c>
      <c r="I197" s="3"/>
      <c r="J197" s="3"/>
      <c r="K197" s="3"/>
      <c r="L197" s="3"/>
      <c r="M197" s="115">
        <f t="shared" si="55"/>
        <v>1</v>
      </c>
      <c r="N197" s="116">
        <f t="shared" si="56"/>
        <v>1</v>
      </c>
      <c r="O197" s="117">
        <f t="shared" si="57"/>
        <v>206.49</v>
      </c>
      <c r="P197" s="117"/>
      <c r="Q197" s="117"/>
      <c r="R197" s="117"/>
      <c r="S197" s="117"/>
      <c r="T197" s="117"/>
      <c r="U197" s="117"/>
      <c r="V197" s="118">
        <f t="shared" si="53"/>
        <v>1</v>
      </c>
      <c r="W197" s="116">
        <f t="shared" si="58"/>
        <v>1</v>
      </c>
      <c r="X197" s="117">
        <f t="shared" si="59"/>
        <v>206.49</v>
      </c>
    </row>
    <row r="198" spans="1:24" ht="49.95" customHeight="1">
      <c r="A198" s="96" t="s">
        <v>252</v>
      </c>
      <c r="B198" s="22">
        <v>86886</v>
      </c>
      <c r="C198" s="96" t="s">
        <v>442</v>
      </c>
      <c r="D198" s="97" t="s">
        <v>37</v>
      </c>
      <c r="E198" s="97" t="s">
        <v>57</v>
      </c>
      <c r="F198" s="18">
        <v>1</v>
      </c>
      <c r="G198" s="19">
        <v>53.04</v>
      </c>
      <c r="H198" s="19">
        <f t="shared" si="54"/>
        <v>53.04</v>
      </c>
      <c r="I198" s="3"/>
      <c r="J198" s="3"/>
      <c r="K198" s="3"/>
      <c r="L198" s="3"/>
      <c r="M198" s="115">
        <f t="shared" si="55"/>
        <v>1</v>
      </c>
      <c r="N198" s="116">
        <f t="shared" si="56"/>
        <v>1</v>
      </c>
      <c r="O198" s="117">
        <f t="shared" si="57"/>
        <v>53.04</v>
      </c>
      <c r="P198" s="117"/>
      <c r="Q198" s="117"/>
      <c r="R198" s="117"/>
      <c r="S198" s="117"/>
      <c r="T198" s="117"/>
      <c r="U198" s="117"/>
      <c r="V198" s="118">
        <f t="shared" si="53"/>
        <v>1</v>
      </c>
      <c r="W198" s="116">
        <f t="shared" si="58"/>
        <v>1</v>
      </c>
      <c r="X198" s="117">
        <f t="shared" si="59"/>
        <v>53.04</v>
      </c>
    </row>
    <row r="199" spans="1:24" ht="49.95" customHeight="1">
      <c r="A199" s="96" t="s">
        <v>253</v>
      </c>
      <c r="B199" s="22">
        <v>100860</v>
      </c>
      <c r="C199" s="96" t="s">
        <v>523</v>
      </c>
      <c r="D199" s="97" t="s">
        <v>37</v>
      </c>
      <c r="E199" s="97" t="s">
        <v>57</v>
      </c>
      <c r="F199" s="18">
        <v>1</v>
      </c>
      <c r="G199" s="19">
        <v>120.45</v>
      </c>
      <c r="H199" s="19">
        <f t="shared" si="54"/>
        <v>120.45</v>
      </c>
      <c r="I199" s="3"/>
      <c r="J199" s="3"/>
      <c r="K199" s="3"/>
      <c r="L199" s="3"/>
      <c r="M199" s="115">
        <f t="shared" si="55"/>
        <v>1</v>
      </c>
      <c r="N199" s="116">
        <f t="shared" si="56"/>
        <v>1</v>
      </c>
      <c r="O199" s="117">
        <f t="shared" si="57"/>
        <v>120.45</v>
      </c>
      <c r="P199" s="117"/>
      <c r="Q199" s="117"/>
      <c r="R199" s="117"/>
      <c r="S199" s="117"/>
      <c r="T199" s="117"/>
      <c r="U199" s="117"/>
      <c r="V199" s="118">
        <f t="shared" si="53"/>
        <v>1</v>
      </c>
      <c r="W199" s="116">
        <f t="shared" si="58"/>
        <v>1</v>
      </c>
      <c r="X199" s="117">
        <f t="shared" si="59"/>
        <v>120.45</v>
      </c>
    </row>
    <row r="200" spans="1:24" ht="49.95" customHeight="1">
      <c r="A200" s="96" t="s">
        <v>254</v>
      </c>
      <c r="B200" s="22">
        <v>89987</v>
      </c>
      <c r="C200" s="96" t="s">
        <v>524</v>
      </c>
      <c r="D200" s="97" t="s">
        <v>37</v>
      </c>
      <c r="E200" s="97" t="s">
        <v>57</v>
      </c>
      <c r="F200" s="18">
        <v>1</v>
      </c>
      <c r="G200" s="19">
        <v>115.36</v>
      </c>
      <c r="H200" s="19">
        <f t="shared" si="54"/>
        <v>115.36</v>
      </c>
      <c r="I200" s="3"/>
      <c r="J200" s="3"/>
      <c r="K200" s="3"/>
      <c r="L200" s="3"/>
      <c r="M200" s="115">
        <f t="shared" si="55"/>
        <v>1</v>
      </c>
      <c r="N200" s="116">
        <f t="shared" si="56"/>
        <v>1</v>
      </c>
      <c r="O200" s="117">
        <f t="shared" si="57"/>
        <v>115.36</v>
      </c>
      <c r="P200" s="117"/>
      <c r="Q200" s="117"/>
      <c r="R200" s="117"/>
      <c r="S200" s="117"/>
      <c r="T200" s="117"/>
      <c r="U200" s="117"/>
      <c r="V200" s="118">
        <f t="shared" si="53"/>
        <v>1</v>
      </c>
      <c r="W200" s="116">
        <f t="shared" si="58"/>
        <v>1</v>
      </c>
      <c r="X200" s="117">
        <f t="shared" si="59"/>
        <v>115.36</v>
      </c>
    </row>
    <row r="201" spans="1:24" ht="49.95" customHeight="1">
      <c r="A201" s="96" t="s">
        <v>255</v>
      </c>
      <c r="B201" s="22">
        <v>89351</v>
      </c>
      <c r="C201" s="96" t="s">
        <v>525</v>
      </c>
      <c r="D201" s="97" t="s">
        <v>37</v>
      </c>
      <c r="E201" s="97" t="s">
        <v>57</v>
      </c>
      <c r="F201" s="18">
        <v>1</v>
      </c>
      <c r="G201" s="19">
        <v>40.01</v>
      </c>
      <c r="H201" s="19">
        <f t="shared" si="54"/>
        <v>40.01</v>
      </c>
      <c r="I201" s="3"/>
      <c r="J201" s="3"/>
      <c r="K201" s="3"/>
      <c r="L201" s="3"/>
      <c r="M201" s="115">
        <f t="shared" si="55"/>
        <v>1</v>
      </c>
      <c r="N201" s="116">
        <f t="shared" si="56"/>
        <v>1</v>
      </c>
      <c r="O201" s="117">
        <f t="shared" si="57"/>
        <v>40.01</v>
      </c>
      <c r="P201" s="117"/>
      <c r="Q201" s="117"/>
      <c r="R201" s="117"/>
      <c r="S201" s="117"/>
      <c r="T201" s="117"/>
      <c r="U201" s="117"/>
      <c r="V201" s="118">
        <f t="shared" si="53"/>
        <v>1</v>
      </c>
      <c r="W201" s="116">
        <f t="shared" si="58"/>
        <v>1</v>
      </c>
      <c r="X201" s="117">
        <f t="shared" si="59"/>
        <v>40.01</v>
      </c>
    </row>
    <row r="202" spans="1:24" ht="49.95" customHeight="1">
      <c r="A202" s="96" t="s">
        <v>256</v>
      </c>
      <c r="B202" s="22">
        <v>94489</v>
      </c>
      <c r="C202" s="96" t="s">
        <v>448</v>
      </c>
      <c r="D202" s="97" t="s">
        <v>37</v>
      </c>
      <c r="E202" s="97" t="s">
        <v>57</v>
      </c>
      <c r="F202" s="18">
        <v>1</v>
      </c>
      <c r="G202" s="19">
        <v>26.72</v>
      </c>
      <c r="H202" s="19">
        <f t="shared" si="54"/>
        <v>26.72</v>
      </c>
      <c r="I202" s="3"/>
      <c r="J202" s="3"/>
      <c r="K202" s="3"/>
      <c r="L202" s="3"/>
      <c r="M202" s="115">
        <f t="shared" si="55"/>
        <v>1</v>
      </c>
      <c r="N202" s="116">
        <f t="shared" si="56"/>
        <v>1</v>
      </c>
      <c r="O202" s="117">
        <f t="shared" si="57"/>
        <v>26.72</v>
      </c>
      <c r="P202" s="117"/>
      <c r="Q202" s="117"/>
      <c r="R202" s="117"/>
      <c r="S202" s="117"/>
      <c r="T202" s="117"/>
      <c r="U202" s="117"/>
      <c r="V202" s="118">
        <f t="shared" si="53"/>
        <v>1</v>
      </c>
      <c r="W202" s="116">
        <f t="shared" si="58"/>
        <v>1</v>
      </c>
      <c r="X202" s="117">
        <f t="shared" si="59"/>
        <v>26.72</v>
      </c>
    </row>
    <row r="203" spans="1:24" ht="49.95" customHeight="1">
      <c r="A203" s="96" t="s">
        <v>257</v>
      </c>
      <c r="B203" s="22">
        <v>94490</v>
      </c>
      <c r="C203" s="96" t="s">
        <v>526</v>
      </c>
      <c r="D203" s="97" t="s">
        <v>37</v>
      </c>
      <c r="E203" s="97" t="s">
        <v>57</v>
      </c>
      <c r="F203" s="18">
        <v>1</v>
      </c>
      <c r="G203" s="19">
        <v>39.07</v>
      </c>
      <c r="H203" s="19">
        <f t="shared" si="54"/>
        <v>39.07</v>
      </c>
      <c r="I203" s="3"/>
      <c r="J203" s="3"/>
      <c r="K203" s="3"/>
      <c r="L203" s="3"/>
      <c r="M203" s="115">
        <f t="shared" si="55"/>
        <v>1</v>
      </c>
      <c r="N203" s="116">
        <f t="shared" si="56"/>
        <v>1</v>
      </c>
      <c r="O203" s="117">
        <f t="shared" si="57"/>
        <v>39.07</v>
      </c>
      <c r="P203" s="117"/>
      <c r="Q203" s="117"/>
      <c r="R203" s="117"/>
      <c r="S203" s="117"/>
      <c r="T203" s="117"/>
      <c r="U203" s="117"/>
      <c r="V203" s="118">
        <f t="shared" si="53"/>
        <v>1</v>
      </c>
      <c r="W203" s="116">
        <f t="shared" si="58"/>
        <v>1</v>
      </c>
      <c r="X203" s="117">
        <f t="shared" si="59"/>
        <v>39.07</v>
      </c>
    </row>
    <row r="204" spans="1:24" ht="49.95" customHeight="1">
      <c r="A204" s="96" t="s">
        <v>258</v>
      </c>
      <c r="B204" s="22">
        <v>94656</v>
      </c>
      <c r="C204" s="96" t="s">
        <v>449</v>
      </c>
      <c r="D204" s="97" t="s">
        <v>37</v>
      </c>
      <c r="E204" s="97" t="s">
        <v>57</v>
      </c>
      <c r="F204" s="18">
        <v>1</v>
      </c>
      <c r="G204" s="19">
        <v>3.57</v>
      </c>
      <c r="H204" s="19">
        <f t="shared" si="54"/>
        <v>3.57</v>
      </c>
      <c r="I204" s="3"/>
      <c r="J204" s="3"/>
      <c r="K204" s="3"/>
      <c r="L204" s="3"/>
      <c r="M204" s="115">
        <f t="shared" si="55"/>
        <v>1</v>
      </c>
      <c r="N204" s="116">
        <f t="shared" si="56"/>
        <v>1</v>
      </c>
      <c r="O204" s="117">
        <f t="shared" si="57"/>
        <v>3.57</v>
      </c>
      <c r="P204" s="117"/>
      <c r="Q204" s="117"/>
      <c r="R204" s="117"/>
      <c r="S204" s="117"/>
      <c r="T204" s="117"/>
      <c r="U204" s="117"/>
      <c r="V204" s="118">
        <f t="shared" si="53"/>
        <v>1</v>
      </c>
      <c r="W204" s="116">
        <f t="shared" si="58"/>
        <v>1</v>
      </c>
      <c r="X204" s="117">
        <f t="shared" si="59"/>
        <v>3.57</v>
      </c>
    </row>
    <row r="205" spans="1:24" ht="49.95" customHeight="1">
      <c r="A205" s="96" t="s">
        <v>259</v>
      </c>
      <c r="B205" s="22">
        <v>89364</v>
      </c>
      <c r="C205" s="96" t="s">
        <v>451</v>
      </c>
      <c r="D205" s="97" t="s">
        <v>37</v>
      </c>
      <c r="E205" s="97" t="s">
        <v>57</v>
      </c>
      <c r="F205" s="18">
        <v>7</v>
      </c>
      <c r="G205" s="19">
        <v>12.66</v>
      </c>
      <c r="H205" s="19">
        <f t="shared" si="54"/>
        <v>88.62</v>
      </c>
      <c r="I205" s="3"/>
      <c r="J205" s="3"/>
      <c r="K205" s="3"/>
      <c r="L205" s="3"/>
      <c r="M205" s="115">
        <f t="shared" si="55"/>
        <v>1</v>
      </c>
      <c r="N205" s="116">
        <f t="shared" si="56"/>
        <v>7</v>
      </c>
      <c r="O205" s="117">
        <f t="shared" si="57"/>
        <v>88.62</v>
      </c>
      <c r="P205" s="117"/>
      <c r="Q205" s="117"/>
      <c r="R205" s="117"/>
      <c r="S205" s="117"/>
      <c r="T205" s="117"/>
      <c r="U205" s="117"/>
      <c r="V205" s="118">
        <f t="shared" si="53"/>
        <v>1</v>
      </c>
      <c r="W205" s="116">
        <f t="shared" si="58"/>
        <v>7</v>
      </c>
      <c r="X205" s="117">
        <f t="shared" si="59"/>
        <v>88.62</v>
      </c>
    </row>
    <row r="206" spans="1:24" ht="49.95" customHeight="1">
      <c r="A206" s="96" t="s">
        <v>260</v>
      </c>
      <c r="B206" s="22">
        <v>89365</v>
      </c>
      <c r="C206" s="96" t="s">
        <v>527</v>
      </c>
      <c r="D206" s="97" t="s">
        <v>37</v>
      </c>
      <c r="E206" s="97" t="s">
        <v>57</v>
      </c>
      <c r="F206" s="18">
        <v>2</v>
      </c>
      <c r="G206" s="19">
        <v>12.04</v>
      </c>
      <c r="H206" s="19">
        <f t="shared" si="54"/>
        <v>24.08</v>
      </c>
      <c r="I206" s="3"/>
      <c r="J206" s="3"/>
      <c r="K206" s="3"/>
      <c r="L206" s="3"/>
      <c r="M206" s="115">
        <f t="shared" si="55"/>
        <v>1</v>
      </c>
      <c r="N206" s="116">
        <f t="shared" si="56"/>
        <v>2</v>
      </c>
      <c r="O206" s="117">
        <f t="shared" si="57"/>
        <v>24.08</v>
      </c>
      <c r="P206" s="117"/>
      <c r="Q206" s="117"/>
      <c r="R206" s="117"/>
      <c r="S206" s="117"/>
      <c r="T206" s="117"/>
      <c r="U206" s="117"/>
      <c r="V206" s="118">
        <f t="shared" si="53"/>
        <v>1</v>
      </c>
      <c r="W206" s="116">
        <f t="shared" si="58"/>
        <v>2</v>
      </c>
      <c r="X206" s="117">
        <f t="shared" si="59"/>
        <v>24.08</v>
      </c>
    </row>
    <row r="207" spans="1:24" ht="49.95" customHeight="1">
      <c r="A207" s="96" t="s">
        <v>261</v>
      </c>
      <c r="B207" s="22">
        <v>89363</v>
      </c>
      <c r="C207" s="96" t="s">
        <v>453</v>
      </c>
      <c r="D207" s="97" t="s">
        <v>37</v>
      </c>
      <c r="E207" s="97" t="s">
        <v>57</v>
      </c>
      <c r="F207" s="18">
        <v>2</v>
      </c>
      <c r="G207" s="19">
        <v>10.94</v>
      </c>
      <c r="H207" s="19">
        <f t="shared" si="54"/>
        <v>21.88</v>
      </c>
      <c r="I207" s="3"/>
      <c r="J207" s="3"/>
      <c r="K207" s="3"/>
      <c r="L207" s="3"/>
      <c r="M207" s="115">
        <f t="shared" si="55"/>
        <v>1</v>
      </c>
      <c r="N207" s="116">
        <f t="shared" si="56"/>
        <v>2</v>
      </c>
      <c r="O207" s="117">
        <f t="shared" si="57"/>
        <v>21.88</v>
      </c>
      <c r="P207" s="117"/>
      <c r="Q207" s="117"/>
      <c r="R207" s="117"/>
      <c r="S207" s="117"/>
      <c r="T207" s="117"/>
      <c r="U207" s="117"/>
      <c r="V207" s="118">
        <f t="shared" si="53"/>
        <v>1</v>
      </c>
      <c r="W207" s="116">
        <f t="shared" si="58"/>
        <v>2</v>
      </c>
      <c r="X207" s="117">
        <f t="shared" si="59"/>
        <v>21.88</v>
      </c>
    </row>
    <row r="208" spans="1:24" ht="49.95" customHeight="1">
      <c r="A208" s="96" t="s">
        <v>262</v>
      </c>
      <c r="B208" s="22">
        <v>89408</v>
      </c>
      <c r="C208" s="96" t="s">
        <v>454</v>
      </c>
      <c r="D208" s="97" t="s">
        <v>37</v>
      </c>
      <c r="E208" s="97" t="s">
        <v>57</v>
      </c>
      <c r="F208" s="18">
        <v>6</v>
      </c>
      <c r="G208" s="19">
        <v>9.18</v>
      </c>
      <c r="H208" s="19">
        <f t="shared" si="54"/>
        <v>55.08</v>
      </c>
      <c r="I208" s="3"/>
      <c r="J208" s="3"/>
      <c r="K208" s="3"/>
      <c r="L208" s="3"/>
      <c r="M208" s="115">
        <f t="shared" si="55"/>
        <v>1</v>
      </c>
      <c r="N208" s="116">
        <f t="shared" si="56"/>
        <v>6</v>
      </c>
      <c r="O208" s="117">
        <f t="shared" si="57"/>
        <v>55.08</v>
      </c>
      <c r="P208" s="117"/>
      <c r="Q208" s="117"/>
      <c r="R208" s="117"/>
      <c r="S208" s="117"/>
      <c r="T208" s="117"/>
      <c r="U208" s="117"/>
      <c r="V208" s="118">
        <f t="shared" si="53"/>
        <v>1</v>
      </c>
      <c r="W208" s="116">
        <f t="shared" si="58"/>
        <v>6</v>
      </c>
      <c r="X208" s="117">
        <f t="shared" si="59"/>
        <v>55.08</v>
      </c>
    </row>
    <row r="209" spans="1:24" ht="49.95" customHeight="1">
      <c r="A209" s="96" t="s">
        <v>263</v>
      </c>
      <c r="B209" s="22">
        <v>89367</v>
      </c>
      <c r="C209" s="96" t="s">
        <v>528</v>
      </c>
      <c r="D209" s="97" t="s">
        <v>37</v>
      </c>
      <c r="E209" s="97" t="s">
        <v>57</v>
      </c>
      <c r="F209" s="18">
        <v>3</v>
      </c>
      <c r="G209" s="19">
        <v>13.93</v>
      </c>
      <c r="H209" s="19">
        <f t="shared" si="54"/>
        <v>41.79</v>
      </c>
      <c r="I209" s="3"/>
      <c r="J209" s="3"/>
      <c r="K209" s="3"/>
      <c r="L209" s="3"/>
      <c r="M209" s="115">
        <f t="shared" si="55"/>
        <v>1</v>
      </c>
      <c r="N209" s="116">
        <f t="shared" si="56"/>
        <v>3</v>
      </c>
      <c r="O209" s="117">
        <f t="shared" si="57"/>
        <v>41.79</v>
      </c>
      <c r="P209" s="117"/>
      <c r="Q209" s="117"/>
      <c r="R209" s="117"/>
      <c r="S209" s="117"/>
      <c r="T209" s="117"/>
      <c r="U209" s="117"/>
      <c r="V209" s="118">
        <f t="shared" si="53"/>
        <v>1</v>
      </c>
      <c r="W209" s="116">
        <f t="shared" si="58"/>
        <v>3</v>
      </c>
      <c r="X209" s="117">
        <f t="shared" si="59"/>
        <v>41.79</v>
      </c>
    </row>
    <row r="210" spans="1:24" ht="49.95" customHeight="1">
      <c r="A210" s="96" t="s">
        <v>264</v>
      </c>
      <c r="B210" s="22">
        <v>89528</v>
      </c>
      <c r="C210" s="96" t="s">
        <v>529</v>
      </c>
      <c r="D210" s="97" t="s">
        <v>37</v>
      </c>
      <c r="E210" s="97" t="s">
        <v>57</v>
      </c>
      <c r="F210" s="18">
        <v>1</v>
      </c>
      <c r="G210" s="19">
        <v>4.42</v>
      </c>
      <c r="H210" s="19">
        <f t="shared" si="54"/>
        <v>4.42</v>
      </c>
      <c r="I210" s="3"/>
      <c r="J210" s="3"/>
      <c r="K210" s="3"/>
      <c r="L210" s="3"/>
      <c r="M210" s="115">
        <f t="shared" si="55"/>
        <v>1</v>
      </c>
      <c r="N210" s="116">
        <f t="shared" si="56"/>
        <v>1</v>
      </c>
      <c r="O210" s="117">
        <f t="shared" si="57"/>
        <v>4.42</v>
      </c>
      <c r="P210" s="117"/>
      <c r="Q210" s="117"/>
      <c r="R210" s="117"/>
      <c r="S210" s="117"/>
      <c r="T210" s="117"/>
      <c r="U210" s="117"/>
      <c r="V210" s="118">
        <f t="shared" si="53"/>
        <v>1</v>
      </c>
      <c r="W210" s="116">
        <f t="shared" si="58"/>
        <v>1</v>
      </c>
      <c r="X210" s="117">
        <f t="shared" si="59"/>
        <v>4.42</v>
      </c>
    </row>
    <row r="211" spans="1:24" ht="49.95" customHeight="1">
      <c r="A211" s="96" t="s">
        <v>265</v>
      </c>
      <c r="B211" s="22">
        <v>89381</v>
      </c>
      <c r="C211" s="96" t="s">
        <v>530</v>
      </c>
      <c r="D211" s="97" t="s">
        <v>37</v>
      </c>
      <c r="E211" s="97" t="s">
        <v>57</v>
      </c>
      <c r="F211" s="18">
        <v>1</v>
      </c>
      <c r="G211" s="19">
        <v>13.55</v>
      </c>
      <c r="H211" s="19">
        <f t="shared" si="54"/>
        <v>13.55</v>
      </c>
      <c r="I211" s="3"/>
      <c r="J211" s="3"/>
      <c r="K211" s="3"/>
      <c r="L211" s="3"/>
      <c r="M211" s="115">
        <f t="shared" si="55"/>
        <v>1</v>
      </c>
      <c r="N211" s="116">
        <f t="shared" si="56"/>
        <v>1</v>
      </c>
      <c r="O211" s="117">
        <f t="shared" si="57"/>
        <v>13.55</v>
      </c>
      <c r="P211" s="117"/>
      <c r="Q211" s="117"/>
      <c r="R211" s="117"/>
      <c r="S211" s="117"/>
      <c r="T211" s="117"/>
      <c r="U211" s="117"/>
      <c r="V211" s="118">
        <f t="shared" si="53"/>
        <v>1</v>
      </c>
      <c r="W211" s="116">
        <f t="shared" si="58"/>
        <v>1</v>
      </c>
      <c r="X211" s="117">
        <f t="shared" si="59"/>
        <v>13.55</v>
      </c>
    </row>
    <row r="212" spans="1:24" ht="49.95" customHeight="1">
      <c r="A212" s="96" t="s">
        <v>266</v>
      </c>
      <c r="B212" s="22">
        <v>89617</v>
      </c>
      <c r="C212" s="96" t="s">
        <v>457</v>
      </c>
      <c r="D212" s="97" t="s">
        <v>37</v>
      </c>
      <c r="E212" s="97" t="s">
        <v>57</v>
      </c>
      <c r="F212" s="18">
        <v>6</v>
      </c>
      <c r="G212" s="19">
        <v>7.9</v>
      </c>
      <c r="H212" s="19">
        <f t="shared" si="54"/>
        <v>47.400000000000006</v>
      </c>
      <c r="I212" s="3"/>
      <c r="J212" s="3"/>
      <c r="K212" s="3"/>
      <c r="L212" s="3"/>
      <c r="M212" s="115">
        <f t="shared" si="55"/>
        <v>1</v>
      </c>
      <c r="N212" s="116">
        <f t="shared" si="56"/>
        <v>6</v>
      </c>
      <c r="O212" s="117">
        <f t="shared" si="57"/>
        <v>47.400000000000006</v>
      </c>
      <c r="P212" s="117"/>
      <c r="Q212" s="117"/>
      <c r="R212" s="117"/>
      <c r="S212" s="117"/>
      <c r="T212" s="117"/>
      <c r="U212" s="117"/>
      <c r="V212" s="118">
        <f t="shared" si="53"/>
        <v>1</v>
      </c>
      <c r="W212" s="116">
        <f t="shared" si="58"/>
        <v>6</v>
      </c>
      <c r="X212" s="117">
        <f t="shared" si="59"/>
        <v>47.400000000000006</v>
      </c>
    </row>
    <row r="213" spans="1:24" ht="49.95" customHeight="1">
      <c r="A213" s="96" t="s">
        <v>267</v>
      </c>
      <c r="B213" s="22">
        <v>89620</v>
      </c>
      <c r="C213" s="96" t="s">
        <v>531</v>
      </c>
      <c r="D213" s="97" t="s">
        <v>37</v>
      </c>
      <c r="E213" s="97" t="s">
        <v>57</v>
      </c>
      <c r="F213" s="18">
        <v>1</v>
      </c>
      <c r="G213" s="19">
        <v>12.52</v>
      </c>
      <c r="H213" s="19">
        <f t="shared" si="54"/>
        <v>12.52</v>
      </c>
      <c r="I213" s="3"/>
      <c r="J213" s="3"/>
      <c r="K213" s="3"/>
      <c r="L213" s="3"/>
      <c r="M213" s="115">
        <f t="shared" si="55"/>
        <v>1</v>
      </c>
      <c r="N213" s="116">
        <f t="shared" si="56"/>
        <v>1</v>
      </c>
      <c r="O213" s="117">
        <f t="shared" si="57"/>
        <v>12.52</v>
      </c>
      <c r="P213" s="117"/>
      <c r="Q213" s="117"/>
      <c r="R213" s="117"/>
      <c r="S213" s="117"/>
      <c r="T213" s="117"/>
      <c r="U213" s="117"/>
      <c r="V213" s="118">
        <f t="shared" si="53"/>
        <v>1</v>
      </c>
      <c r="W213" s="116">
        <f t="shared" si="58"/>
        <v>1</v>
      </c>
      <c r="X213" s="117">
        <f t="shared" si="59"/>
        <v>12.52</v>
      </c>
    </row>
    <row r="214" spans="1:24" ht="49.95" customHeight="1">
      <c r="A214" s="96" t="s">
        <v>268</v>
      </c>
      <c r="B214" s="22">
        <v>89446</v>
      </c>
      <c r="C214" s="96" t="s">
        <v>459</v>
      </c>
      <c r="D214" s="97" t="s">
        <v>37</v>
      </c>
      <c r="E214" s="97" t="s">
        <v>38</v>
      </c>
      <c r="F214" s="18">
        <v>26.14</v>
      </c>
      <c r="G214" s="19">
        <v>6.09</v>
      </c>
      <c r="H214" s="19">
        <f t="shared" si="54"/>
        <v>159.1926</v>
      </c>
      <c r="I214" s="3"/>
      <c r="J214" s="3"/>
      <c r="K214" s="3"/>
      <c r="L214" s="3"/>
      <c r="M214" s="115">
        <f t="shared" si="55"/>
        <v>1</v>
      </c>
      <c r="N214" s="116">
        <f t="shared" si="56"/>
        <v>26.14</v>
      </c>
      <c r="O214" s="117">
        <f t="shared" si="57"/>
        <v>159.1926</v>
      </c>
      <c r="P214" s="117"/>
      <c r="Q214" s="117"/>
      <c r="R214" s="117"/>
      <c r="S214" s="117"/>
      <c r="T214" s="117"/>
      <c r="U214" s="117"/>
      <c r="V214" s="118">
        <f t="shared" si="53"/>
        <v>1</v>
      </c>
      <c r="W214" s="116">
        <f t="shared" si="58"/>
        <v>26.14</v>
      </c>
      <c r="X214" s="117">
        <f t="shared" si="59"/>
        <v>159.1926</v>
      </c>
    </row>
    <row r="215" spans="1:24" ht="49.95" customHeight="1">
      <c r="A215" s="96" t="s">
        <v>269</v>
      </c>
      <c r="B215" s="26">
        <v>89447</v>
      </c>
      <c r="C215" s="98" t="s">
        <v>532</v>
      </c>
      <c r="D215" s="97" t="s">
        <v>37</v>
      </c>
      <c r="E215" s="97" t="s">
        <v>38</v>
      </c>
      <c r="F215" s="18">
        <v>2.62</v>
      </c>
      <c r="G215" s="19">
        <v>12.15</v>
      </c>
      <c r="H215" s="19">
        <f t="shared" si="54"/>
        <v>31.833000000000002</v>
      </c>
      <c r="I215" s="3"/>
      <c r="J215" s="3"/>
      <c r="K215" s="3"/>
      <c r="L215" s="3"/>
      <c r="M215" s="115">
        <f t="shared" si="55"/>
        <v>1</v>
      </c>
      <c r="N215" s="116">
        <f t="shared" si="56"/>
        <v>2.62</v>
      </c>
      <c r="O215" s="117">
        <f t="shared" si="57"/>
        <v>31.833000000000002</v>
      </c>
      <c r="P215" s="117"/>
      <c r="Q215" s="117"/>
      <c r="R215" s="117"/>
      <c r="S215" s="117"/>
      <c r="T215" s="117"/>
      <c r="U215" s="117"/>
      <c r="V215" s="118">
        <f t="shared" si="53"/>
        <v>1</v>
      </c>
      <c r="W215" s="116">
        <f t="shared" si="58"/>
        <v>2.62</v>
      </c>
      <c r="X215" s="117">
        <f t="shared" si="59"/>
        <v>31.833000000000002</v>
      </c>
    </row>
    <row r="216" spans="1:24" ht="20.100000000000001" customHeight="1">
      <c r="A216" s="113" t="s">
        <v>270</v>
      </c>
      <c r="B216" s="156" t="s">
        <v>271</v>
      </c>
      <c r="C216" s="156"/>
      <c r="D216" s="156"/>
      <c r="E216" s="156"/>
      <c r="F216" s="156"/>
      <c r="G216" s="156"/>
      <c r="H216" s="127">
        <f>SUM(H217:H236)-0.01</f>
        <v>3565.1938999999993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49.95" customHeight="1">
      <c r="A217" s="96" t="s">
        <v>272</v>
      </c>
      <c r="B217" s="20">
        <v>91893</v>
      </c>
      <c r="C217" s="98" t="s">
        <v>533</v>
      </c>
      <c r="D217" s="97" t="s">
        <v>37</v>
      </c>
      <c r="E217" s="97" t="s">
        <v>57</v>
      </c>
      <c r="F217" s="18">
        <v>2</v>
      </c>
      <c r="G217" s="19">
        <v>16.37</v>
      </c>
      <c r="H217" s="19">
        <f>F217*G217</f>
        <v>32.74</v>
      </c>
      <c r="I217" s="3"/>
      <c r="J217" s="90"/>
      <c r="K217" s="91"/>
      <c r="L217" s="92"/>
      <c r="M217" s="115">
        <f>N217/F217</f>
        <v>1</v>
      </c>
      <c r="N217" s="116">
        <f>F217</f>
        <v>2</v>
      </c>
      <c r="O217" s="117">
        <f>N217*G217</f>
        <v>32.74</v>
      </c>
      <c r="P217" s="117"/>
      <c r="Q217" s="117"/>
      <c r="R217" s="117"/>
      <c r="S217" s="117"/>
      <c r="T217" s="117"/>
      <c r="U217" s="117"/>
      <c r="V217" s="118">
        <f t="shared" si="53"/>
        <v>1</v>
      </c>
      <c r="W217" s="116">
        <f>N217+K217</f>
        <v>2</v>
      </c>
      <c r="X217" s="117">
        <f>O217+L217</f>
        <v>32.74</v>
      </c>
    </row>
    <row r="218" spans="1:24" ht="49.95" customHeight="1">
      <c r="A218" s="96" t="s">
        <v>273</v>
      </c>
      <c r="B218" s="97">
        <v>95741</v>
      </c>
      <c r="C218" s="98" t="s">
        <v>534</v>
      </c>
      <c r="D218" s="97" t="s">
        <v>37</v>
      </c>
      <c r="E218" s="97" t="s">
        <v>57</v>
      </c>
      <c r="F218" s="18">
        <v>1</v>
      </c>
      <c r="G218" s="19">
        <v>16.03</v>
      </c>
      <c r="H218" s="19">
        <f t="shared" ref="H218:H236" si="60">F218*G218</f>
        <v>16.03</v>
      </c>
      <c r="I218" s="3"/>
      <c r="J218" s="3"/>
      <c r="K218" s="3"/>
      <c r="L218" s="3"/>
      <c r="M218" s="115">
        <f t="shared" ref="M218:M236" si="61">N218/F218</f>
        <v>1</v>
      </c>
      <c r="N218" s="116">
        <f t="shared" ref="N218:N236" si="62">F218</f>
        <v>1</v>
      </c>
      <c r="O218" s="117">
        <f t="shared" ref="O218:O236" si="63">N218*G218</f>
        <v>16.03</v>
      </c>
      <c r="P218" s="117"/>
      <c r="Q218" s="117"/>
      <c r="R218" s="117"/>
      <c r="S218" s="117"/>
      <c r="T218" s="117"/>
      <c r="U218" s="117"/>
      <c r="V218" s="118">
        <f t="shared" si="53"/>
        <v>1</v>
      </c>
      <c r="W218" s="116">
        <f t="shared" ref="W218:W236" si="64">N218+K218</f>
        <v>1</v>
      </c>
      <c r="X218" s="117">
        <f t="shared" ref="X218:X236" si="65">O218+L218</f>
        <v>16.03</v>
      </c>
    </row>
    <row r="219" spans="1:24" ht="49.95" customHeight="1">
      <c r="A219" s="96" t="s">
        <v>274</v>
      </c>
      <c r="B219" s="20">
        <v>104447</v>
      </c>
      <c r="C219" s="98" t="s">
        <v>535</v>
      </c>
      <c r="D219" s="97" t="s">
        <v>37</v>
      </c>
      <c r="E219" s="97" t="s">
        <v>57</v>
      </c>
      <c r="F219" s="18">
        <v>4</v>
      </c>
      <c r="G219" s="19">
        <v>11.06</v>
      </c>
      <c r="H219" s="19">
        <f t="shared" si="60"/>
        <v>44.24</v>
      </c>
      <c r="I219" s="3"/>
      <c r="J219" s="3"/>
      <c r="K219" s="3"/>
      <c r="L219" s="3"/>
      <c r="M219" s="115">
        <f t="shared" si="61"/>
        <v>1</v>
      </c>
      <c r="N219" s="116">
        <f t="shared" si="62"/>
        <v>4</v>
      </c>
      <c r="O219" s="117">
        <f t="shared" si="63"/>
        <v>44.24</v>
      </c>
      <c r="P219" s="117"/>
      <c r="Q219" s="117"/>
      <c r="R219" s="117"/>
      <c r="S219" s="117"/>
      <c r="T219" s="117"/>
      <c r="U219" s="117"/>
      <c r="V219" s="118">
        <f t="shared" si="53"/>
        <v>1</v>
      </c>
      <c r="W219" s="116">
        <f t="shared" si="64"/>
        <v>4</v>
      </c>
      <c r="X219" s="117">
        <f t="shared" si="65"/>
        <v>44.24</v>
      </c>
    </row>
    <row r="220" spans="1:24" ht="49.95" customHeight="1">
      <c r="A220" s="96" t="s">
        <v>275</v>
      </c>
      <c r="B220" s="20">
        <v>91953</v>
      </c>
      <c r="C220" s="98" t="s">
        <v>468</v>
      </c>
      <c r="D220" s="97" t="s">
        <v>37</v>
      </c>
      <c r="E220" s="97" t="s">
        <v>57</v>
      </c>
      <c r="F220" s="18">
        <v>1</v>
      </c>
      <c r="G220" s="19">
        <v>32.159999999999997</v>
      </c>
      <c r="H220" s="19">
        <f t="shared" si="60"/>
        <v>32.159999999999997</v>
      </c>
      <c r="I220" s="3"/>
      <c r="J220" s="3"/>
      <c r="K220" s="3"/>
      <c r="L220" s="3"/>
      <c r="M220" s="115">
        <f t="shared" si="61"/>
        <v>1</v>
      </c>
      <c r="N220" s="116">
        <f t="shared" si="62"/>
        <v>1</v>
      </c>
      <c r="O220" s="117">
        <f t="shared" si="63"/>
        <v>32.159999999999997</v>
      </c>
      <c r="P220" s="117"/>
      <c r="Q220" s="117"/>
      <c r="R220" s="117"/>
      <c r="S220" s="117"/>
      <c r="T220" s="117"/>
      <c r="U220" s="117"/>
      <c r="V220" s="118">
        <f t="shared" si="53"/>
        <v>1</v>
      </c>
      <c r="W220" s="116">
        <f t="shared" si="64"/>
        <v>1</v>
      </c>
      <c r="X220" s="117">
        <f t="shared" si="65"/>
        <v>32.159999999999997</v>
      </c>
    </row>
    <row r="221" spans="1:24" ht="49.95" customHeight="1">
      <c r="A221" s="96" t="s">
        <v>276</v>
      </c>
      <c r="B221" s="20">
        <v>92023</v>
      </c>
      <c r="C221" s="98" t="s">
        <v>536</v>
      </c>
      <c r="D221" s="97" t="s">
        <v>37</v>
      </c>
      <c r="E221" s="97" t="s">
        <v>57</v>
      </c>
      <c r="F221" s="18">
        <v>1</v>
      </c>
      <c r="G221" s="19">
        <v>54.74</v>
      </c>
      <c r="H221" s="19">
        <f t="shared" si="60"/>
        <v>54.74</v>
      </c>
      <c r="I221" s="3"/>
      <c r="J221" s="3"/>
      <c r="K221" s="3"/>
      <c r="L221" s="3"/>
      <c r="M221" s="115">
        <f t="shared" si="61"/>
        <v>1</v>
      </c>
      <c r="N221" s="116">
        <f t="shared" si="62"/>
        <v>1</v>
      </c>
      <c r="O221" s="117">
        <f t="shared" si="63"/>
        <v>54.74</v>
      </c>
      <c r="P221" s="117"/>
      <c r="Q221" s="117"/>
      <c r="R221" s="117"/>
      <c r="S221" s="117"/>
      <c r="T221" s="117"/>
      <c r="U221" s="117"/>
      <c r="V221" s="118">
        <f t="shared" si="53"/>
        <v>1</v>
      </c>
      <c r="W221" s="116">
        <f t="shared" si="64"/>
        <v>1</v>
      </c>
      <c r="X221" s="117">
        <f t="shared" si="65"/>
        <v>54.74</v>
      </c>
    </row>
    <row r="222" spans="1:24" ht="49.95" customHeight="1">
      <c r="A222" s="96" t="s">
        <v>277</v>
      </c>
      <c r="B222" s="20">
        <v>1872</v>
      </c>
      <c r="C222" s="98" t="s">
        <v>537</v>
      </c>
      <c r="D222" s="97" t="s">
        <v>37</v>
      </c>
      <c r="E222" s="97" t="s">
        <v>57</v>
      </c>
      <c r="F222" s="18">
        <v>1</v>
      </c>
      <c r="G222" s="19">
        <v>1.54</v>
      </c>
      <c r="H222" s="19">
        <f t="shared" si="60"/>
        <v>1.54</v>
      </c>
      <c r="I222" s="3"/>
      <c r="J222" s="3"/>
      <c r="K222" s="3"/>
      <c r="L222" s="3"/>
      <c r="M222" s="115">
        <f t="shared" si="61"/>
        <v>1</v>
      </c>
      <c r="N222" s="116">
        <f t="shared" si="62"/>
        <v>1</v>
      </c>
      <c r="O222" s="117">
        <f t="shared" si="63"/>
        <v>1.54</v>
      </c>
      <c r="P222" s="117"/>
      <c r="Q222" s="117"/>
      <c r="R222" s="117"/>
      <c r="S222" s="117"/>
      <c r="T222" s="117"/>
      <c r="U222" s="117"/>
      <c r="V222" s="118">
        <f t="shared" si="53"/>
        <v>1</v>
      </c>
      <c r="W222" s="116">
        <f t="shared" si="64"/>
        <v>1</v>
      </c>
      <c r="X222" s="117">
        <f t="shared" si="65"/>
        <v>1.54</v>
      </c>
    </row>
    <row r="223" spans="1:24" ht="49.95" customHeight="1">
      <c r="A223" s="96" t="s">
        <v>278</v>
      </c>
      <c r="B223" s="20">
        <v>101876</v>
      </c>
      <c r="C223" s="98" t="s">
        <v>538</v>
      </c>
      <c r="D223" s="97" t="s">
        <v>37</v>
      </c>
      <c r="E223" s="97" t="s">
        <v>57</v>
      </c>
      <c r="F223" s="18">
        <v>1</v>
      </c>
      <c r="G223" s="19">
        <v>119.29</v>
      </c>
      <c r="H223" s="19">
        <f t="shared" si="60"/>
        <v>119.29</v>
      </c>
      <c r="I223" s="3"/>
      <c r="J223" s="3"/>
      <c r="K223" s="3"/>
      <c r="L223" s="3"/>
      <c r="M223" s="115">
        <f t="shared" si="61"/>
        <v>1</v>
      </c>
      <c r="N223" s="116">
        <f t="shared" si="62"/>
        <v>1</v>
      </c>
      <c r="O223" s="117">
        <f t="shared" si="63"/>
        <v>119.29</v>
      </c>
      <c r="P223" s="117"/>
      <c r="Q223" s="117"/>
      <c r="R223" s="117"/>
      <c r="S223" s="117"/>
      <c r="T223" s="117"/>
      <c r="U223" s="117"/>
      <c r="V223" s="118">
        <f t="shared" si="53"/>
        <v>1</v>
      </c>
      <c r="W223" s="116">
        <f t="shared" si="64"/>
        <v>1</v>
      </c>
      <c r="X223" s="117">
        <f t="shared" si="65"/>
        <v>119.29</v>
      </c>
    </row>
    <row r="224" spans="1:24" ht="49.95" customHeight="1">
      <c r="A224" s="96" t="s">
        <v>279</v>
      </c>
      <c r="B224" s="20">
        <v>91996</v>
      </c>
      <c r="C224" s="98" t="s">
        <v>539</v>
      </c>
      <c r="D224" s="97" t="s">
        <v>37</v>
      </c>
      <c r="E224" s="97" t="s">
        <v>57</v>
      </c>
      <c r="F224" s="18">
        <v>1</v>
      </c>
      <c r="G224" s="19">
        <v>37.99</v>
      </c>
      <c r="H224" s="19">
        <f t="shared" si="60"/>
        <v>37.99</v>
      </c>
      <c r="I224" s="3"/>
      <c r="J224" s="3"/>
      <c r="K224" s="3"/>
      <c r="L224" s="3"/>
      <c r="M224" s="115">
        <f t="shared" si="61"/>
        <v>1</v>
      </c>
      <c r="N224" s="116">
        <f t="shared" si="62"/>
        <v>1</v>
      </c>
      <c r="O224" s="117">
        <f t="shared" si="63"/>
        <v>37.99</v>
      </c>
      <c r="P224" s="117"/>
      <c r="Q224" s="117"/>
      <c r="R224" s="117"/>
      <c r="S224" s="117"/>
      <c r="T224" s="117"/>
      <c r="U224" s="117"/>
      <c r="V224" s="118">
        <f t="shared" si="53"/>
        <v>1</v>
      </c>
      <c r="W224" s="116">
        <f t="shared" si="64"/>
        <v>1</v>
      </c>
      <c r="X224" s="117">
        <f t="shared" si="65"/>
        <v>37.99</v>
      </c>
    </row>
    <row r="225" spans="1:24" ht="49.95" customHeight="1">
      <c r="A225" s="96" t="s">
        <v>280</v>
      </c>
      <c r="B225" s="20">
        <v>92004</v>
      </c>
      <c r="C225" s="98" t="s">
        <v>474</v>
      </c>
      <c r="D225" s="97" t="s">
        <v>37</v>
      </c>
      <c r="E225" s="97" t="s">
        <v>57</v>
      </c>
      <c r="F225" s="18">
        <v>1</v>
      </c>
      <c r="G225" s="19">
        <v>60.61</v>
      </c>
      <c r="H225" s="19">
        <f t="shared" si="60"/>
        <v>60.61</v>
      </c>
      <c r="I225" s="3"/>
      <c r="J225" s="90"/>
      <c r="K225" s="91"/>
      <c r="L225" s="92"/>
      <c r="M225" s="115">
        <f t="shared" si="61"/>
        <v>1</v>
      </c>
      <c r="N225" s="116">
        <f t="shared" si="62"/>
        <v>1</v>
      </c>
      <c r="O225" s="117">
        <f t="shared" si="63"/>
        <v>60.61</v>
      </c>
      <c r="P225" s="117"/>
      <c r="Q225" s="117"/>
      <c r="R225" s="117"/>
      <c r="S225" s="117"/>
      <c r="T225" s="117"/>
      <c r="U225" s="117"/>
      <c r="V225" s="118">
        <f t="shared" si="53"/>
        <v>1</v>
      </c>
      <c r="W225" s="116">
        <f t="shared" si="64"/>
        <v>1</v>
      </c>
      <c r="X225" s="117">
        <f t="shared" si="65"/>
        <v>60.61</v>
      </c>
    </row>
    <row r="226" spans="1:24" ht="49.95" customHeight="1">
      <c r="A226" s="96" t="s">
        <v>281</v>
      </c>
      <c r="B226" s="97">
        <v>91924</v>
      </c>
      <c r="C226" s="98" t="s">
        <v>476</v>
      </c>
      <c r="D226" s="97" t="s">
        <v>37</v>
      </c>
      <c r="E226" s="97" t="s">
        <v>38</v>
      </c>
      <c r="F226" s="18">
        <v>16.600000000000001</v>
      </c>
      <c r="G226" s="19">
        <v>3.72</v>
      </c>
      <c r="H226" s="19">
        <f t="shared" si="60"/>
        <v>61.75200000000001</v>
      </c>
      <c r="I226" s="3"/>
      <c r="J226" s="3"/>
      <c r="K226" s="3"/>
      <c r="L226" s="3"/>
      <c r="M226" s="115">
        <f t="shared" si="61"/>
        <v>1</v>
      </c>
      <c r="N226" s="116">
        <f t="shared" si="62"/>
        <v>16.600000000000001</v>
      </c>
      <c r="O226" s="117">
        <f t="shared" si="63"/>
        <v>61.75200000000001</v>
      </c>
      <c r="P226" s="117"/>
      <c r="Q226" s="117"/>
      <c r="R226" s="117"/>
      <c r="S226" s="117"/>
      <c r="T226" s="117"/>
      <c r="U226" s="117"/>
      <c r="V226" s="118">
        <f t="shared" si="53"/>
        <v>1</v>
      </c>
      <c r="W226" s="116">
        <f t="shared" si="64"/>
        <v>16.600000000000001</v>
      </c>
      <c r="X226" s="117">
        <f t="shared" si="65"/>
        <v>61.75200000000001</v>
      </c>
    </row>
    <row r="227" spans="1:24" ht="49.95" customHeight="1">
      <c r="A227" s="96" t="s">
        <v>282</v>
      </c>
      <c r="B227" s="20">
        <v>91926</v>
      </c>
      <c r="C227" s="98" t="s">
        <v>477</v>
      </c>
      <c r="D227" s="97" t="s">
        <v>37</v>
      </c>
      <c r="E227" s="97" t="s">
        <v>38</v>
      </c>
      <c r="F227" s="18">
        <v>52.2</v>
      </c>
      <c r="G227" s="19">
        <v>5.47</v>
      </c>
      <c r="H227" s="19">
        <f t="shared" si="60"/>
        <v>285.53399999999999</v>
      </c>
      <c r="I227" s="3"/>
      <c r="J227" s="3"/>
      <c r="K227" s="3"/>
      <c r="L227" s="3"/>
      <c r="M227" s="115">
        <f t="shared" si="61"/>
        <v>1</v>
      </c>
      <c r="N227" s="116">
        <f t="shared" si="62"/>
        <v>52.2</v>
      </c>
      <c r="O227" s="117">
        <f t="shared" si="63"/>
        <v>285.53399999999999</v>
      </c>
      <c r="P227" s="117"/>
      <c r="Q227" s="117"/>
      <c r="R227" s="117"/>
      <c r="S227" s="117"/>
      <c r="T227" s="117"/>
      <c r="U227" s="117"/>
      <c r="V227" s="118">
        <f t="shared" si="53"/>
        <v>1</v>
      </c>
      <c r="W227" s="116">
        <f t="shared" si="64"/>
        <v>52.2</v>
      </c>
      <c r="X227" s="117">
        <f t="shared" si="65"/>
        <v>285.53399999999999</v>
      </c>
    </row>
    <row r="228" spans="1:24" ht="49.95" customHeight="1">
      <c r="A228" s="96" t="s">
        <v>283</v>
      </c>
      <c r="B228" s="20">
        <v>91931</v>
      </c>
      <c r="C228" s="98" t="s">
        <v>475</v>
      </c>
      <c r="D228" s="97" t="s">
        <v>37</v>
      </c>
      <c r="E228" s="97" t="s">
        <v>38</v>
      </c>
      <c r="F228" s="18">
        <v>112.2</v>
      </c>
      <c r="G228" s="19">
        <v>13.01</v>
      </c>
      <c r="H228" s="19">
        <f t="shared" si="60"/>
        <v>1459.722</v>
      </c>
      <c r="I228" s="3"/>
      <c r="J228" s="3"/>
      <c r="K228" s="3"/>
      <c r="L228" s="3"/>
      <c r="M228" s="115">
        <f t="shared" si="61"/>
        <v>1</v>
      </c>
      <c r="N228" s="116">
        <f t="shared" si="62"/>
        <v>112.2</v>
      </c>
      <c r="O228" s="117">
        <f t="shared" si="63"/>
        <v>1459.722</v>
      </c>
      <c r="P228" s="117"/>
      <c r="Q228" s="117"/>
      <c r="R228" s="117"/>
      <c r="S228" s="117"/>
      <c r="T228" s="117"/>
      <c r="U228" s="117"/>
      <c r="V228" s="118">
        <f t="shared" si="53"/>
        <v>1</v>
      </c>
      <c r="W228" s="116">
        <f t="shared" si="64"/>
        <v>112.2</v>
      </c>
      <c r="X228" s="117">
        <f t="shared" si="65"/>
        <v>1459.722</v>
      </c>
    </row>
    <row r="229" spans="1:24" ht="49.95" customHeight="1">
      <c r="A229" s="96" t="s">
        <v>284</v>
      </c>
      <c r="B229" s="20">
        <v>91869</v>
      </c>
      <c r="C229" s="98" t="s">
        <v>540</v>
      </c>
      <c r="D229" s="97" t="s">
        <v>37</v>
      </c>
      <c r="E229" s="97" t="s">
        <v>38</v>
      </c>
      <c r="F229" s="18">
        <v>33.450000000000003</v>
      </c>
      <c r="G229" s="19">
        <v>20.399999999999999</v>
      </c>
      <c r="H229" s="19">
        <f t="shared" si="60"/>
        <v>682.38</v>
      </c>
      <c r="I229" s="3"/>
      <c r="J229" s="3"/>
      <c r="K229" s="3"/>
      <c r="L229" s="3"/>
      <c r="M229" s="115">
        <f t="shared" si="61"/>
        <v>1</v>
      </c>
      <c r="N229" s="116">
        <f t="shared" si="62"/>
        <v>33.450000000000003</v>
      </c>
      <c r="O229" s="117">
        <f t="shared" si="63"/>
        <v>682.38</v>
      </c>
      <c r="P229" s="117"/>
      <c r="Q229" s="117"/>
      <c r="R229" s="117"/>
      <c r="S229" s="117"/>
      <c r="T229" s="117"/>
      <c r="U229" s="117"/>
      <c r="V229" s="118">
        <f t="shared" si="53"/>
        <v>1</v>
      </c>
      <c r="W229" s="116">
        <f t="shared" si="64"/>
        <v>33.450000000000003</v>
      </c>
      <c r="X229" s="117">
        <f t="shared" si="65"/>
        <v>682.38</v>
      </c>
    </row>
    <row r="230" spans="1:24" ht="49.95" customHeight="1">
      <c r="A230" s="96" t="s">
        <v>285</v>
      </c>
      <c r="B230" s="20">
        <v>95728</v>
      </c>
      <c r="C230" s="98" t="s">
        <v>541</v>
      </c>
      <c r="D230" s="97" t="s">
        <v>37</v>
      </c>
      <c r="E230" s="97" t="s">
        <v>38</v>
      </c>
      <c r="F230" s="18">
        <v>2.2799999999999998</v>
      </c>
      <c r="G230" s="19">
        <v>28.91</v>
      </c>
      <c r="H230" s="19">
        <f t="shared" si="60"/>
        <v>65.9148</v>
      </c>
      <c r="I230" s="3"/>
      <c r="J230" s="3"/>
      <c r="K230" s="3"/>
      <c r="L230" s="3"/>
      <c r="M230" s="115">
        <f t="shared" si="61"/>
        <v>1</v>
      </c>
      <c r="N230" s="116">
        <f t="shared" si="62"/>
        <v>2.2799999999999998</v>
      </c>
      <c r="O230" s="117">
        <f t="shared" si="63"/>
        <v>65.9148</v>
      </c>
      <c r="P230" s="117"/>
      <c r="Q230" s="117"/>
      <c r="R230" s="117"/>
      <c r="S230" s="117"/>
      <c r="T230" s="117"/>
      <c r="U230" s="117"/>
      <c r="V230" s="118">
        <f t="shared" si="53"/>
        <v>1</v>
      </c>
      <c r="W230" s="116">
        <f t="shared" si="64"/>
        <v>2.2799999999999998</v>
      </c>
      <c r="X230" s="117">
        <f t="shared" si="65"/>
        <v>65.9148</v>
      </c>
    </row>
    <row r="231" spans="1:24" ht="49.95" customHeight="1">
      <c r="A231" s="96" t="s">
        <v>286</v>
      </c>
      <c r="B231" s="20">
        <v>91854</v>
      </c>
      <c r="C231" s="98" t="s">
        <v>480</v>
      </c>
      <c r="D231" s="97" t="s">
        <v>37</v>
      </c>
      <c r="E231" s="97" t="s">
        <v>38</v>
      </c>
      <c r="F231" s="18">
        <v>18.309999999999999</v>
      </c>
      <c r="G231" s="19">
        <v>10.81</v>
      </c>
      <c r="H231" s="19">
        <f t="shared" si="60"/>
        <v>197.93109999999999</v>
      </c>
      <c r="I231" s="3"/>
      <c r="J231" s="3"/>
      <c r="K231" s="3"/>
      <c r="L231" s="3"/>
      <c r="M231" s="115">
        <f t="shared" si="61"/>
        <v>1</v>
      </c>
      <c r="N231" s="116">
        <f t="shared" si="62"/>
        <v>18.309999999999999</v>
      </c>
      <c r="O231" s="117">
        <f t="shared" si="63"/>
        <v>197.93109999999999</v>
      </c>
      <c r="P231" s="117"/>
      <c r="Q231" s="117"/>
      <c r="R231" s="117"/>
      <c r="S231" s="117"/>
      <c r="T231" s="117"/>
      <c r="U231" s="117"/>
      <c r="V231" s="118">
        <f t="shared" si="53"/>
        <v>1</v>
      </c>
      <c r="W231" s="116">
        <f t="shared" si="64"/>
        <v>18.309999999999999</v>
      </c>
      <c r="X231" s="117">
        <f t="shared" si="65"/>
        <v>197.93109999999999</v>
      </c>
    </row>
    <row r="232" spans="1:24" ht="49.95" customHeight="1">
      <c r="A232" s="96" t="s">
        <v>287</v>
      </c>
      <c r="B232" s="20">
        <v>39469</v>
      </c>
      <c r="C232" s="98" t="s">
        <v>542</v>
      </c>
      <c r="D232" s="97" t="s">
        <v>37</v>
      </c>
      <c r="E232" s="97" t="s">
        <v>57</v>
      </c>
      <c r="F232" s="18">
        <v>1</v>
      </c>
      <c r="G232" s="19">
        <v>72.95</v>
      </c>
      <c r="H232" s="19">
        <f t="shared" si="60"/>
        <v>72.95</v>
      </c>
      <c r="I232" s="3"/>
      <c r="J232" s="3"/>
      <c r="K232" s="3"/>
      <c r="L232" s="3"/>
      <c r="M232" s="115">
        <f t="shared" si="61"/>
        <v>1</v>
      </c>
      <c r="N232" s="116">
        <f t="shared" si="62"/>
        <v>1</v>
      </c>
      <c r="O232" s="117">
        <f t="shared" si="63"/>
        <v>72.95</v>
      </c>
      <c r="P232" s="117"/>
      <c r="Q232" s="117"/>
      <c r="R232" s="117"/>
      <c r="S232" s="117"/>
      <c r="T232" s="117"/>
      <c r="U232" s="117"/>
      <c r="V232" s="118">
        <f t="shared" si="53"/>
        <v>1</v>
      </c>
      <c r="W232" s="116">
        <f t="shared" si="64"/>
        <v>1</v>
      </c>
      <c r="X232" s="117">
        <f t="shared" si="65"/>
        <v>72.95</v>
      </c>
    </row>
    <row r="233" spans="1:24" ht="49.95" customHeight="1">
      <c r="A233" s="96" t="s">
        <v>288</v>
      </c>
      <c r="B233" s="20">
        <v>39470</v>
      </c>
      <c r="C233" s="98" t="s">
        <v>463</v>
      </c>
      <c r="D233" s="97" t="s">
        <v>37</v>
      </c>
      <c r="E233" s="97" t="s">
        <v>57</v>
      </c>
      <c r="F233" s="18">
        <v>1</v>
      </c>
      <c r="G233" s="19">
        <v>89.64</v>
      </c>
      <c r="H233" s="19">
        <f t="shared" si="60"/>
        <v>89.64</v>
      </c>
      <c r="I233" s="3"/>
      <c r="J233" s="3"/>
      <c r="K233" s="3"/>
      <c r="L233" s="3"/>
      <c r="M233" s="115">
        <f t="shared" si="61"/>
        <v>1</v>
      </c>
      <c r="N233" s="116">
        <f t="shared" si="62"/>
        <v>1</v>
      </c>
      <c r="O233" s="117">
        <f t="shared" si="63"/>
        <v>89.64</v>
      </c>
      <c r="P233" s="117"/>
      <c r="Q233" s="117"/>
      <c r="R233" s="117"/>
      <c r="S233" s="117"/>
      <c r="T233" s="117"/>
      <c r="U233" s="117"/>
      <c r="V233" s="118">
        <f t="shared" si="53"/>
        <v>1</v>
      </c>
      <c r="W233" s="116">
        <f t="shared" si="64"/>
        <v>1</v>
      </c>
      <c r="X233" s="117">
        <f t="shared" si="65"/>
        <v>89.64</v>
      </c>
    </row>
    <row r="234" spans="1:24" ht="49.95" customHeight="1">
      <c r="A234" s="96" t="s">
        <v>289</v>
      </c>
      <c r="B234" s="20">
        <v>16</v>
      </c>
      <c r="C234" s="98" t="s">
        <v>464</v>
      </c>
      <c r="D234" s="97" t="s">
        <v>55</v>
      </c>
      <c r="E234" s="97" t="s">
        <v>5</v>
      </c>
      <c r="F234" s="18">
        <v>1</v>
      </c>
      <c r="G234" s="19">
        <v>196.6</v>
      </c>
      <c r="H234" s="19">
        <f t="shared" si="60"/>
        <v>196.6</v>
      </c>
      <c r="I234" s="3"/>
      <c r="J234" s="3"/>
      <c r="K234" s="3"/>
      <c r="L234" s="3"/>
      <c r="M234" s="115">
        <f t="shared" si="61"/>
        <v>1</v>
      </c>
      <c r="N234" s="116">
        <f t="shared" si="62"/>
        <v>1</v>
      </c>
      <c r="O234" s="117">
        <f t="shared" si="63"/>
        <v>196.6</v>
      </c>
      <c r="P234" s="117"/>
      <c r="Q234" s="117"/>
      <c r="R234" s="117"/>
      <c r="S234" s="117"/>
      <c r="T234" s="117"/>
      <c r="U234" s="117"/>
      <c r="V234" s="118">
        <f t="shared" si="53"/>
        <v>1</v>
      </c>
      <c r="W234" s="116">
        <f t="shared" si="64"/>
        <v>1</v>
      </c>
      <c r="X234" s="117">
        <f t="shared" si="65"/>
        <v>196.6</v>
      </c>
    </row>
    <row r="235" spans="1:24" ht="49.95" customHeight="1">
      <c r="A235" s="96" t="s">
        <v>290</v>
      </c>
      <c r="B235" s="20">
        <v>93653</v>
      </c>
      <c r="C235" s="98" t="s">
        <v>465</v>
      </c>
      <c r="D235" s="97" t="s">
        <v>37</v>
      </c>
      <c r="E235" s="97" t="s">
        <v>57</v>
      </c>
      <c r="F235" s="18">
        <v>3</v>
      </c>
      <c r="G235" s="19">
        <v>12.41</v>
      </c>
      <c r="H235" s="19">
        <f t="shared" si="60"/>
        <v>37.230000000000004</v>
      </c>
      <c r="I235" s="3"/>
      <c r="J235" s="3"/>
      <c r="K235" s="3"/>
      <c r="L235" s="3"/>
      <c r="M235" s="115">
        <f t="shared" si="61"/>
        <v>1</v>
      </c>
      <c r="N235" s="116">
        <f t="shared" si="62"/>
        <v>3</v>
      </c>
      <c r="O235" s="117">
        <f t="shared" si="63"/>
        <v>37.230000000000004</v>
      </c>
      <c r="P235" s="117"/>
      <c r="Q235" s="117"/>
      <c r="R235" s="117"/>
      <c r="S235" s="117"/>
      <c r="T235" s="117"/>
      <c r="U235" s="117"/>
      <c r="V235" s="118">
        <f t="shared" si="53"/>
        <v>1</v>
      </c>
      <c r="W235" s="116">
        <f t="shared" si="64"/>
        <v>3</v>
      </c>
      <c r="X235" s="117">
        <f t="shared" si="65"/>
        <v>37.230000000000004</v>
      </c>
    </row>
    <row r="236" spans="1:24" ht="49.95" customHeight="1">
      <c r="A236" s="96" t="s">
        <v>291</v>
      </c>
      <c r="B236" s="20">
        <v>93657</v>
      </c>
      <c r="C236" s="98" t="s">
        <v>467</v>
      </c>
      <c r="D236" s="97" t="s">
        <v>37</v>
      </c>
      <c r="E236" s="97" t="s">
        <v>57</v>
      </c>
      <c r="F236" s="18">
        <v>1</v>
      </c>
      <c r="G236" s="19">
        <v>16.21</v>
      </c>
      <c r="H236" s="19">
        <f t="shared" si="60"/>
        <v>16.21</v>
      </c>
      <c r="I236" s="3"/>
      <c r="J236" s="3"/>
      <c r="K236" s="3"/>
      <c r="L236" s="3"/>
      <c r="M236" s="115">
        <f t="shared" si="61"/>
        <v>1</v>
      </c>
      <c r="N236" s="116">
        <f t="shared" si="62"/>
        <v>1</v>
      </c>
      <c r="O236" s="117">
        <f t="shared" si="63"/>
        <v>16.21</v>
      </c>
      <c r="P236" s="117"/>
      <c r="Q236" s="117"/>
      <c r="R236" s="117"/>
      <c r="S236" s="117"/>
      <c r="T236" s="117"/>
      <c r="U236" s="117"/>
      <c r="V236" s="118">
        <f t="shared" si="53"/>
        <v>1</v>
      </c>
      <c r="W236" s="116">
        <f t="shared" si="64"/>
        <v>1</v>
      </c>
      <c r="X236" s="117">
        <f t="shared" si="65"/>
        <v>16.21</v>
      </c>
    </row>
    <row r="237" spans="1:24" ht="20.100000000000001" customHeight="1">
      <c r="A237" s="113" t="s">
        <v>292</v>
      </c>
      <c r="B237" s="156" t="s">
        <v>293</v>
      </c>
      <c r="C237" s="156"/>
      <c r="D237" s="156"/>
      <c r="E237" s="156"/>
      <c r="F237" s="156"/>
      <c r="G237" s="156"/>
      <c r="H237" s="127">
        <f>SUM(H238:H255)</f>
        <v>7039.6363000000001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49.95" customHeight="1">
      <c r="A238" s="96" t="s">
        <v>294</v>
      </c>
      <c r="B238" s="20">
        <v>98102</v>
      </c>
      <c r="C238" s="98" t="s">
        <v>543</v>
      </c>
      <c r="D238" s="97" t="s">
        <v>37</v>
      </c>
      <c r="E238" s="97" t="s">
        <v>57</v>
      </c>
      <c r="F238" s="18">
        <v>1</v>
      </c>
      <c r="G238" s="19">
        <v>232.2</v>
      </c>
      <c r="H238" s="19">
        <f>F238*G238</f>
        <v>232.2</v>
      </c>
      <c r="I238" s="3"/>
      <c r="J238" s="90"/>
      <c r="K238" s="91"/>
      <c r="L238" s="92"/>
      <c r="M238" s="115">
        <f>N238/F238</f>
        <v>1</v>
      </c>
      <c r="N238" s="116">
        <f>F238</f>
        <v>1</v>
      </c>
      <c r="O238" s="117">
        <f>N238*G238</f>
        <v>232.2</v>
      </c>
      <c r="P238" s="117"/>
      <c r="Q238" s="117"/>
      <c r="R238" s="117"/>
      <c r="S238" s="117"/>
      <c r="T238" s="117"/>
      <c r="U238" s="117"/>
      <c r="V238" s="118">
        <f t="shared" si="53"/>
        <v>1</v>
      </c>
      <c r="W238" s="116">
        <f>N238+K238</f>
        <v>1</v>
      </c>
      <c r="X238" s="117">
        <f>O238+L238</f>
        <v>232.2</v>
      </c>
    </row>
    <row r="239" spans="1:24" ht="49.95" customHeight="1">
      <c r="A239" s="96" t="s">
        <v>295</v>
      </c>
      <c r="B239" s="97">
        <v>104063</v>
      </c>
      <c r="C239" s="98" t="s">
        <v>544</v>
      </c>
      <c r="D239" s="97" t="s">
        <v>37</v>
      </c>
      <c r="E239" s="97" t="s">
        <v>57</v>
      </c>
      <c r="F239" s="18">
        <v>1</v>
      </c>
      <c r="G239" s="19">
        <v>72.98</v>
      </c>
      <c r="H239" s="19">
        <f t="shared" ref="H239:H255" si="66">F239*G239</f>
        <v>72.98</v>
      </c>
      <c r="I239" s="3"/>
      <c r="J239" s="3"/>
      <c r="K239" s="3"/>
      <c r="L239" s="3"/>
      <c r="M239" s="115">
        <f t="shared" ref="M239:M255" si="67">N239/F239</f>
        <v>1</v>
      </c>
      <c r="N239" s="116">
        <f t="shared" ref="N239:N255" si="68">F239</f>
        <v>1</v>
      </c>
      <c r="O239" s="117">
        <f t="shared" ref="O239:O255" si="69">N239*G239</f>
        <v>72.98</v>
      </c>
      <c r="P239" s="117"/>
      <c r="Q239" s="117"/>
      <c r="R239" s="117"/>
      <c r="S239" s="117"/>
      <c r="T239" s="117"/>
      <c r="U239" s="117"/>
      <c r="V239" s="118">
        <f t="shared" si="53"/>
        <v>1</v>
      </c>
      <c r="W239" s="116">
        <f t="shared" ref="W239:W255" si="70">N239+K239</f>
        <v>1</v>
      </c>
      <c r="X239" s="117">
        <f t="shared" ref="X239:X255" si="71">O239+L239</f>
        <v>72.98</v>
      </c>
    </row>
    <row r="240" spans="1:24" ht="49.95" customHeight="1">
      <c r="A240" s="96" t="s">
        <v>296</v>
      </c>
      <c r="B240" s="20">
        <v>89726</v>
      </c>
      <c r="C240" s="98" t="s">
        <v>488</v>
      </c>
      <c r="D240" s="97" t="s">
        <v>37</v>
      </c>
      <c r="E240" s="97" t="s">
        <v>57</v>
      </c>
      <c r="F240" s="18">
        <v>3</v>
      </c>
      <c r="G240" s="19">
        <v>10.95</v>
      </c>
      <c r="H240" s="19">
        <f t="shared" si="66"/>
        <v>32.849999999999994</v>
      </c>
      <c r="I240" s="3"/>
      <c r="J240" s="3"/>
      <c r="K240" s="3"/>
      <c r="L240" s="3"/>
      <c r="M240" s="115">
        <f t="shared" si="67"/>
        <v>1</v>
      </c>
      <c r="N240" s="116">
        <f t="shared" si="68"/>
        <v>3</v>
      </c>
      <c r="O240" s="117">
        <f t="shared" si="69"/>
        <v>32.849999999999994</v>
      </c>
      <c r="P240" s="117"/>
      <c r="Q240" s="117"/>
      <c r="R240" s="117"/>
      <c r="S240" s="117"/>
      <c r="T240" s="117"/>
      <c r="U240" s="117"/>
      <c r="V240" s="118">
        <f t="shared" si="53"/>
        <v>1</v>
      </c>
      <c r="W240" s="116">
        <f t="shared" si="70"/>
        <v>3</v>
      </c>
      <c r="X240" s="117">
        <f t="shared" si="71"/>
        <v>32.849999999999994</v>
      </c>
    </row>
    <row r="241" spans="1:24" ht="49.95" customHeight="1">
      <c r="A241" s="96" t="s">
        <v>297</v>
      </c>
      <c r="B241" s="20">
        <v>89732</v>
      </c>
      <c r="C241" s="98" t="s">
        <v>489</v>
      </c>
      <c r="D241" s="97" t="s">
        <v>37</v>
      </c>
      <c r="E241" s="97" t="s">
        <v>57</v>
      </c>
      <c r="F241" s="18">
        <v>3</v>
      </c>
      <c r="G241" s="19">
        <v>17.82</v>
      </c>
      <c r="H241" s="19">
        <f t="shared" si="66"/>
        <v>53.46</v>
      </c>
      <c r="I241" s="3"/>
      <c r="J241" s="3"/>
      <c r="K241" s="3"/>
      <c r="L241" s="3"/>
      <c r="M241" s="115">
        <f t="shared" si="67"/>
        <v>1</v>
      </c>
      <c r="N241" s="116">
        <f t="shared" si="68"/>
        <v>3</v>
      </c>
      <c r="O241" s="117">
        <f t="shared" si="69"/>
        <v>53.46</v>
      </c>
      <c r="P241" s="117"/>
      <c r="Q241" s="117"/>
      <c r="R241" s="117"/>
      <c r="S241" s="117"/>
      <c r="T241" s="117"/>
      <c r="U241" s="117"/>
      <c r="V241" s="118">
        <f t="shared" si="53"/>
        <v>1</v>
      </c>
      <c r="W241" s="116">
        <f t="shared" si="70"/>
        <v>3</v>
      </c>
      <c r="X241" s="117">
        <f t="shared" si="71"/>
        <v>53.46</v>
      </c>
    </row>
    <row r="242" spans="1:24" ht="49.95" customHeight="1">
      <c r="A242" s="96" t="s">
        <v>298</v>
      </c>
      <c r="B242" s="20">
        <v>89724</v>
      </c>
      <c r="C242" s="98" t="s">
        <v>490</v>
      </c>
      <c r="D242" s="97" t="s">
        <v>37</v>
      </c>
      <c r="E242" s="97" t="s">
        <v>57</v>
      </c>
      <c r="F242" s="18">
        <v>4</v>
      </c>
      <c r="G242" s="19">
        <v>10.7</v>
      </c>
      <c r="H242" s="19">
        <f t="shared" si="66"/>
        <v>42.8</v>
      </c>
      <c r="I242" s="3"/>
      <c r="J242" s="3"/>
      <c r="K242" s="3"/>
      <c r="L242" s="3"/>
      <c r="M242" s="115">
        <f t="shared" si="67"/>
        <v>1</v>
      </c>
      <c r="N242" s="116">
        <f t="shared" si="68"/>
        <v>4</v>
      </c>
      <c r="O242" s="117">
        <f t="shared" si="69"/>
        <v>42.8</v>
      </c>
      <c r="P242" s="117"/>
      <c r="Q242" s="117"/>
      <c r="R242" s="117"/>
      <c r="S242" s="117"/>
      <c r="T242" s="117"/>
      <c r="U242" s="117"/>
      <c r="V242" s="118">
        <f t="shared" si="53"/>
        <v>1</v>
      </c>
      <c r="W242" s="116">
        <f t="shared" si="70"/>
        <v>4</v>
      </c>
      <c r="X242" s="117">
        <f t="shared" si="71"/>
        <v>42.8</v>
      </c>
    </row>
    <row r="243" spans="1:24" ht="49.95" customHeight="1">
      <c r="A243" s="96" t="s">
        <v>299</v>
      </c>
      <c r="B243" s="20">
        <v>89731</v>
      </c>
      <c r="C243" s="98" t="s">
        <v>455</v>
      </c>
      <c r="D243" s="97" t="s">
        <v>37</v>
      </c>
      <c r="E243" s="97" t="s">
        <v>57</v>
      </c>
      <c r="F243" s="18">
        <v>3</v>
      </c>
      <c r="G243" s="19">
        <v>17.02</v>
      </c>
      <c r="H243" s="19">
        <f t="shared" si="66"/>
        <v>51.06</v>
      </c>
      <c r="I243" s="3"/>
      <c r="J243" s="3"/>
      <c r="K243" s="3"/>
      <c r="L243" s="3"/>
      <c r="M243" s="115">
        <f t="shared" si="67"/>
        <v>1</v>
      </c>
      <c r="N243" s="116">
        <f t="shared" si="68"/>
        <v>3</v>
      </c>
      <c r="O243" s="117">
        <f t="shared" si="69"/>
        <v>51.06</v>
      </c>
      <c r="P243" s="117"/>
      <c r="Q243" s="117"/>
      <c r="R243" s="117"/>
      <c r="S243" s="117"/>
      <c r="T243" s="117"/>
      <c r="U243" s="117"/>
      <c r="V243" s="118">
        <f t="shared" si="53"/>
        <v>1</v>
      </c>
      <c r="W243" s="116">
        <f t="shared" si="70"/>
        <v>3</v>
      </c>
      <c r="X243" s="117">
        <f t="shared" si="71"/>
        <v>51.06</v>
      </c>
    </row>
    <row r="244" spans="1:24" ht="49.95" customHeight="1">
      <c r="A244" s="96" t="s">
        <v>300</v>
      </c>
      <c r="B244" s="20">
        <v>89744</v>
      </c>
      <c r="C244" s="98" t="s">
        <v>491</v>
      </c>
      <c r="D244" s="97" t="s">
        <v>37</v>
      </c>
      <c r="E244" s="97" t="s">
        <v>57</v>
      </c>
      <c r="F244" s="18">
        <v>1</v>
      </c>
      <c r="G244" s="19">
        <v>31.13</v>
      </c>
      <c r="H244" s="19">
        <f t="shared" si="66"/>
        <v>31.13</v>
      </c>
      <c r="I244" s="3"/>
      <c r="J244" s="3"/>
      <c r="K244" s="3"/>
      <c r="L244" s="3"/>
      <c r="M244" s="115">
        <f t="shared" si="67"/>
        <v>1</v>
      </c>
      <c r="N244" s="116">
        <f t="shared" si="68"/>
        <v>1</v>
      </c>
      <c r="O244" s="117">
        <f t="shared" si="69"/>
        <v>31.13</v>
      </c>
      <c r="P244" s="117"/>
      <c r="Q244" s="117"/>
      <c r="R244" s="117"/>
      <c r="S244" s="117"/>
      <c r="T244" s="117"/>
      <c r="U244" s="117"/>
      <c r="V244" s="118">
        <f t="shared" si="53"/>
        <v>1</v>
      </c>
      <c r="W244" s="116">
        <f t="shared" si="70"/>
        <v>1</v>
      </c>
      <c r="X244" s="117">
        <f t="shared" si="71"/>
        <v>31.13</v>
      </c>
    </row>
    <row r="245" spans="1:24" ht="49.95" customHeight="1">
      <c r="A245" s="96" t="s">
        <v>301</v>
      </c>
      <c r="B245" s="20">
        <v>104353</v>
      </c>
      <c r="C245" s="98" t="s">
        <v>493</v>
      </c>
      <c r="D245" s="97" t="s">
        <v>37</v>
      </c>
      <c r="E245" s="97" t="s">
        <v>57</v>
      </c>
      <c r="F245" s="18">
        <v>1</v>
      </c>
      <c r="G245" s="19">
        <v>46.81</v>
      </c>
      <c r="H245" s="19">
        <f t="shared" si="66"/>
        <v>46.81</v>
      </c>
      <c r="I245" s="3"/>
      <c r="J245" s="3"/>
      <c r="K245" s="3"/>
      <c r="L245" s="3"/>
      <c r="M245" s="115">
        <f t="shared" si="67"/>
        <v>1</v>
      </c>
      <c r="N245" s="116">
        <f t="shared" si="68"/>
        <v>1</v>
      </c>
      <c r="O245" s="117">
        <f t="shared" si="69"/>
        <v>46.81</v>
      </c>
      <c r="P245" s="117"/>
      <c r="Q245" s="117"/>
      <c r="R245" s="117"/>
      <c r="S245" s="117"/>
      <c r="T245" s="117"/>
      <c r="U245" s="117"/>
      <c r="V245" s="118">
        <f t="shared" si="53"/>
        <v>1</v>
      </c>
      <c r="W245" s="116">
        <f t="shared" si="70"/>
        <v>1</v>
      </c>
      <c r="X245" s="117">
        <f t="shared" si="71"/>
        <v>46.81</v>
      </c>
    </row>
    <row r="246" spans="1:24" ht="49.95" customHeight="1">
      <c r="A246" s="96" t="s">
        <v>302</v>
      </c>
      <c r="B246" s="20">
        <v>89779</v>
      </c>
      <c r="C246" s="98" t="s">
        <v>545</v>
      </c>
      <c r="D246" s="97" t="s">
        <v>37</v>
      </c>
      <c r="E246" s="97" t="s">
        <v>57</v>
      </c>
      <c r="F246" s="18">
        <v>1</v>
      </c>
      <c r="G246" s="19">
        <v>38.67</v>
      </c>
      <c r="H246" s="19">
        <f t="shared" si="66"/>
        <v>38.67</v>
      </c>
      <c r="I246" s="3"/>
      <c r="J246" s="90"/>
      <c r="K246" s="91"/>
      <c r="L246" s="92"/>
      <c r="M246" s="115">
        <f t="shared" si="67"/>
        <v>1</v>
      </c>
      <c r="N246" s="116">
        <f t="shared" si="68"/>
        <v>1</v>
      </c>
      <c r="O246" s="117">
        <f t="shared" si="69"/>
        <v>38.67</v>
      </c>
      <c r="P246" s="117"/>
      <c r="Q246" s="117"/>
      <c r="R246" s="117"/>
      <c r="S246" s="117"/>
      <c r="T246" s="117"/>
      <c r="U246" s="117"/>
      <c r="V246" s="118">
        <f t="shared" si="53"/>
        <v>1</v>
      </c>
      <c r="W246" s="116">
        <f t="shared" si="70"/>
        <v>1</v>
      </c>
      <c r="X246" s="117">
        <f t="shared" si="71"/>
        <v>38.67</v>
      </c>
    </row>
    <row r="247" spans="1:24" ht="49.95" customHeight="1">
      <c r="A247" s="96" t="s">
        <v>303</v>
      </c>
      <c r="B247" s="97">
        <v>104348</v>
      </c>
      <c r="C247" s="98" t="s">
        <v>494</v>
      </c>
      <c r="D247" s="97" t="s">
        <v>37</v>
      </c>
      <c r="E247" s="97" t="s">
        <v>57</v>
      </c>
      <c r="F247" s="18">
        <v>1</v>
      </c>
      <c r="G247" s="19">
        <v>11.64</v>
      </c>
      <c r="H247" s="19">
        <f t="shared" si="66"/>
        <v>11.64</v>
      </c>
      <c r="I247" s="3"/>
      <c r="J247" s="3"/>
      <c r="K247" s="3"/>
      <c r="L247" s="3"/>
      <c r="M247" s="115">
        <f t="shared" si="67"/>
        <v>1</v>
      </c>
      <c r="N247" s="116">
        <f t="shared" si="68"/>
        <v>1</v>
      </c>
      <c r="O247" s="117">
        <f t="shared" si="69"/>
        <v>11.64</v>
      </c>
      <c r="P247" s="117"/>
      <c r="Q247" s="117"/>
      <c r="R247" s="117"/>
      <c r="S247" s="117"/>
      <c r="T247" s="117"/>
      <c r="U247" s="117"/>
      <c r="V247" s="118">
        <f t="shared" si="53"/>
        <v>1</v>
      </c>
      <c r="W247" s="116">
        <f t="shared" si="70"/>
        <v>1</v>
      </c>
      <c r="X247" s="117">
        <f t="shared" si="71"/>
        <v>11.64</v>
      </c>
    </row>
    <row r="248" spans="1:24" ht="49.95" customHeight="1">
      <c r="A248" s="96" t="s">
        <v>304</v>
      </c>
      <c r="B248" s="20">
        <v>89696</v>
      </c>
      <c r="C248" s="98" t="s">
        <v>546</v>
      </c>
      <c r="D248" s="97" t="s">
        <v>37</v>
      </c>
      <c r="E248" s="97" t="s">
        <v>57</v>
      </c>
      <c r="F248" s="18">
        <v>1</v>
      </c>
      <c r="G248" s="19">
        <v>92.4</v>
      </c>
      <c r="H248" s="19">
        <f t="shared" si="66"/>
        <v>92.4</v>
      </c>
      <c r="I248" s="3"/>
      <c r="J248" s="3"/>
      <c r="K248" s="3"/>
      <c r="L248" s="3"/>
      <c r="M248" s="115">
        <f t="shared" si="67"/>
        <v>1</v>
      </c>
      <c r="N248" s="116">
        <f t="shared" si="68"/>
        <v>1</v>
      </c>
      <c r="O248" s="117">
        <f t="shared" si="69"/>
        <v>92.4</v>
      </c>
      <c r="P248" s="117"/>
      <c r="Q248" s="117"/>
      <c r="R248" s="117"/>
      <c r="S248" s="117"/>
      <c r="T248" s="117"/>
      <c r="U248" s="117"/>
      <c r="V248" s="118">
        <f t="shared" si="53"/>
        <v>1</v>
      </c>
      <c r="W248" s="116">
        <f t="shared" si="70"/>
        <v>1</v>
      </c>
      <c r="X248" s="117">
        <f t="shared" si="71"/>
        <v>92.4</v>
      </c>
    </row>
    <row r="249" spans="1:24" ht="49.95" customHeight="1">
      <c r="A249" s="96" t="s">
        <v>305</v>
      </c>
      <c r="B249" s="20">
        <v>104329</v>
      </c>
      <c r="C249" s="98" t="s">
        <v>497</v>
      </c>
      <c r="D249" s="97" t="s">
        <v>37</v>
      </c>
      <c r="E249" s="97" t="s">
        <v>57</v>
      </c>
      <c r="F249" s="18">
        <v>1</v>
      </c>
      <c r="G249" s="19">
        <v>77.48</v>
      </c>
      <c r="H249" s="19">
        <f t="shared" si="66"/>
        <v>77.48</v>
      </c>
      <c r="I249" s="3"/>
      <c r="J249" s="90"/>
      <c r="K249" s="91"/>
      <c r="L249" s="92"/>
      <c r="M249" s="115">
        <f t="shared" si="67"/>
        <v>1</v>
      </c>
      <c r="N249" s="116">
        <f t="shared" si="68"/>
        <v>1</v>
      </c>
      <c r="O249" s="117">
        <f t="shared" si="69"/>
        <v>77.48</v>
      </c>
      <c r="P249" s="117"/>
      <c r="Q249" s="117"/>
      <c r="R249" s="117"/>
      <c r="S249" s="117"/>
      <c r="T249" s="117"/>
      <c r="U249" s="117"/>
      <c r="V249" s="118">
        <f t="shared" si="53"/>
        <v>1</v>
      </c>
      <c r="W249" s="116">
        <f t="shared" si="70"/>
        <v>1</v>
      </c>
      <c r="X249" s="117">
        <f t="shared" si="71"/>
        <v>77.48</v>
      </c>
    </row>
    <row r="250" spans="1:24" ht="49.95" customHeight="1">
      <c r="A250" s="96" t="s">
        <v>306</v>
      </c>
      <c r="B250" s="97">
        <v>11745</v>
      </c>
      <c r="C250" s="98" t="s">
        <v>547</v>
      </c>
      <c r="D250" s="97" t="s">
        <v>37</v>
      </c>
      <c r="E250" s="97" t="s">
        <v>57</v>
      </c>
      <c r="F250" s="18">
        <v>1</v>
      </c>
      <c r="G250" s="19">
        <v>14.66</v>
      </c>
      <c r="H250" s="19">
        <f t="shared" si="66"/>
        <v>14.66</v>
      </c>
      <c r="I250" s="3"/>
      <c r="J250" s="3"/>
      <c r="K250" s="3"/>
      <c r="L250" s="3"/>
      <c r="M250" s="115">
        <f t="shared" si="67"/>
        <v>1</v>
      </c>
      <c r="N250" s="116">
        <f t="shared" si="68"/>
        <v>1</v>
      </c>
      <c r="O250" s="117">
        <f t="shared" si="69"/>
        <v>14.66</v>
      </c>
      <c r="P250" s="117"/>
      <c r="Q250" s="117"/>
      <c r="R250" s="117"/>
      <c r="S250" s="117"/>
      <c r="T250" s="117"/>
      <c r="U250" s="117"/>
      <c r="V250" s="118">
        <f t="shared" si="53"/>
        <v>1</v>
      </c>
      <c r="W250" s="116">
        <f t="shared" si="70"/>
        <v>1</v>
      </c>
      <c r="X250" s="117">
        <f t="shared" si="71"/>
        <v>14.66</v>
      </c>
    </row>
    <row r="251" spans="1:24" ht="49.95" customHeight="1">
      <c r="A251" s="96" t="s">
        <v>307</v>
      </c>
      <c r="B251" s="20">
        <v>89711</v>
      </c>
      <c r="C251" s="98" t="s">
        <v>548</v>
      </c>
      <c r="D251" s="97" t="s">
        <v>37</v>
      </c>
      <c r="E251" s="97" t="s">
        <v>38</v>
      </c>
      <c r="F251" s="18">
        <v>2.54</v>
      </c>
      <c r="G251" s="19">
        <v>23.31</v>
      </c>
      <c r="H251" s="19">
        <f>F251*G251-0.01</f>
        <v>59.197400000000002</v>
      </c>
      <c r="I251" s="3"/>
      <c r="J251" s="3"/>
      <c r="K251" s="3"/>
      <c r="L251" s="3"/>
      <c r="M251" s="115">
        <f t="shared" si="67"/>
        <v>1</v>
      </c>
      <c r="N251" s="116">
        <f t="shared" si="68"/>
        <v>2.54</v>
      </c>
      <c r="O251" s="117">
        <f t="shared" si="69"/>
        <v>59.2074</v>
      </c>
      <c r="P251" s="117"/>
      <c r="Q251" s="117"/>
      <c r="R251" s="117"/>
      <c r="S251" s="117"/>
      <c r="T251" s="117"/>
      <c r="U251" s="117"/>
      <c r="V251" s="118">
        <f t="shared" si="53"/>
        <v>1</v>
      </c>
      <c r="W251" s="116">
        <f t="shared" si="70"/>
        <v>2.54</v>
      </c>
      <c r="X251" s="117">
        <f>O251+L251-0.01</f>
        <v>59.197400000000002</v>
      </c>
    </row>
    <row r="252" spans="1:24" ht="49.95" customHeight="1">
      <c r="A252" s="96" t="s">
        <v>308</v>
      </c>
      <c r="B252" s="20">
        <v>89712</v>
      </c>
      <c r="C252" s="98" t="s">
        <v>499</v>
      </c>
      <c r="D252" s="97" t="s">
        <v>37</v>
      </c>
      <c r="E252" s="97" t="s">
        <v>38</v>
      </c>
      <c r="F252" s="18">
        <v>5.05</v>
      </c>
      <c r="G252" s="19">
        <v>29.55</v>
      </c>
      <c r="H252" s="19">
        <f>F252*G252-0.01</f>
        <v>149.2175</v>
      </c>
      <c r="I252" s="3"/>
      <c r="J252" s="3"/>
      <c r="K252" s="3"/>
      <c r="L252" s="3"/>
      <c r="M252" s="115">
        <f t="shared" si="67"/>
        <v>1</v>
      </c>
      <c r="N252" s="116">
        <f t="shared" si="68"/>
        <v>5.05</v>
      </c>
      <c r="O252" s="117">
        <f t="shared" si="69"/>
        <v>149.22749999999999</v>
      </c>
      <c r="P252" s="117"/>
      <c r="Q252" s="117"/>
      <c r="R252" s="117"/>
      <c r="S252" s="117"/>
      <c r="T252" s="117"/>
      <c r="U252" s="117"/>
      <c r="V252" s="118">
        <f t="shared" si="53"/>
        <v>1</v>
      </c>
      <c r="W252" s="116">
        <f t="shared" si="70"/>
        <v>5.05</v>
      </c>
      <c r="X252" s="117">
        <f>O252+L252-0.01</f>
        <v>149.2175</v>
      </c>
    </row>
    <row r="253" spans="1:24" ht="49.95" customHeight="1">
      <c r="A253" s="96" t="s">
        <v>309</v>
      </c>
      <c r="B253" s="20">
        <v>89714</v>
      </c>
      <c r="C253" s="98" t="s">
        <v>500</v>
      </c>
      <c r="D253" s="97" t="s">
        <v>37</v>
      </c>
      <c r="E253" s="97" t="s">
        <v>38</v>
      </c>
      <c r="F253" s="18">
        <v>13.78</v>
      </c>
      <c r="G253" s="19">
        <v>41.13</v>
      </c>
      <c r="H253" s="19">
        <f t="shared" si="66"/>
        <v>566.77139999999997</v>
      </c>
      <c r="I253" s="3"/>
      <c r="J253" s="3"/>
      <c r="K253" s="3"/>
      <c r="L253" s="3"/>
      <c r="M253" s="115">
        <f t="shared" si="67"/>
        <v>1</v>
      </c>
      <c r="N253" s="116">
        <f t="shared" si="68"/>
        <v>13.78</v>
      </c>
      <c r="O253" s="117">
        <f t="shared" si="69"/>
        <v>566.77139999999997</v>
      </c>
      <c r="P253" s="117"/>
      <c r="Q253" s="117"/>
      <c r="R253" s="117"/>
      <c r="S253" s="117"/>
      <c r="T253" s="117"/>
      <c r="U253" s="117"/>
      <c r="V253" s="118">
        <f t="shared" si="53"/>
        <v>1</v>
      </c>
      <c r="W253" s="116">
        <f t="shared" si="70"/>
        <v>13.78</v>
      </c>
      <c r="X253" s="117">
        <f t="shared" si="71"/>
        <v>566.77139999999997</v>
      </c>
    </row>
    <row r="254" spans="1:24" ht="49.95" customHeight="1">
      <c r="A254" s="96" t="s">
        <v>310</v>
      </c>
      <c r="B254" s="20">
        <v>89696</v>
      </c>
      <c r="C254" s="98" t="s">
        <v>546</v>
      </c>
      <c r="D254" s="97" t="s">
        <v>37</v>
      </c>
      <c r="E254" s="97" t="s">
        <v>57</v>
      </c>
      <c r="F254" s="18">
        <v>1</v>
      </c>
      <c r="G254" s="19">
        <v>92.4</v>
      </c>
      <c r="H254" s="19">
        <f t="shared" si="66"/>
        <v>92.4</v>
      </c>
      <c r="I254" s="3"/>
      <c r="J254" s="3"/>
      <c r="K254" s="3"/>
      <c r="L254" s="3"/>
      <c r="M254" s="115">
        <f t="shared" si="67"/>
        <v>1</v>
      </c>
      <c r="N254" s="116">
        <f t="shared" si="68"/>
        <v>1</v>
      </c>
      <c r="O254" s="117">
        <f t="shared" si="69"/>
        <v>92.4</v>
      </c>
      <c r="P254" s="117"/>
      <c r="Q254" s="117"/>
      <c r="R254" s="117"/>
      <c r="S254" s="117"/>
      <c r="T254" s="117"/>
      <c r="U254" s="117"/>
      <c r="V254" s="118">
        <f t="shared" si="53"/>
        <v>1</v>
      </c>
      <c r="W254" s="116">
        <f t="shared" si="70"/>
        <v>1</v>
      </c>
      <c r="X254" s="117">
        <f t="shared" si="71"/>
        <v>92.4</v>
      </c>
    </row>
    <row r="255" spans="1:24" ht="49.95" customHeight="1">
      <c r="A255" s="96" t="s">
        <v>311</v>
      </c>
      <c r="B255" s="20">
        <v>98083</v>
      </c>
      <c r="C255" s="98" t="s">
        <v>549</v>
      </c>
      <c r="D255" s="97" t="s">
        <v>37</v>
      </c>
      <c r="E255" s="97" t="s">
        <v>57</v>
      </c>
      <c r="F255" s="18">
        <v>1</v>
      </c>
      <c r="G255" s="19">
        <v>5373.91</v>
      </c>
      <c r="H255" s="19">
        <f t="shared" si="66"/>
        <v>5373.91</v>
      </c>
      <c r="I255" s="3"/>
      <c r="J255" s="3"/>
      <c r="K255" s="3"/>
      <c r="L255" s="3"/>
      <c r="M255" s="115">
        <f t="shared" si="67"/>
        <v>1</v>
      </c>
      <c r="N255" s="116">
        <f t="shared" si="68"/>
        <v>1</v>
      </c>
      <c r="O255" s="117">
        <f t="shared" si="69"/>
        <v>5373.91</v>
      </c>
      <c r="P255" s="117"/>
      <c r="Q255" s="117"/>
      <c r="R255" s="117"/>
      <c r="S255" s="117"/>
      <c r="T255" s="117"/>
      <c r="U255" s="117"/>
      <c r="V255" s="118">
        <f t="shared" si="53"/>
        <v>1</v>
      </c>
      <c r="W255" s="116">
        <f t="shared" si="70"/>
        <v>1</v>
      </c>
      <c r="X255" s="117">
        <f t="shared" si="71"/>
        <v>5373.91</v>
      </c>
    </row>
    <row r="256" spans="1:24" ht="20.100000000000001" customHeight="1">
      <c r="A256" s="113" t="s">
        <v>312</v>
      </c>
      <c r="B256" s="156" t="s">
        <v>21</v>
      </c>
      <c r="C256" s="156"/>
      <c r="D256" s="156"/>
      <c r="E256" s="156"/>
      <c r="F256" s="156"/>
      <c r="G256" s="156"/>
      <c r="H256" s="127">
        <f>SUM(H257:H261)+0.01</f>
        <v>4274.7034000000003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49.95" customHeight="1">
      <c r="A257" s="96" t="s">
        <v>313</v>
      </c>
      <c r="B257" s="20">
        <v>94204</v>
      </c>
      <c r="C257" s="98" t="s">
        <v>507</v>
      </c>
      <c r="D257" s="97" t="s">
        <v>37</v>
      </c>
      <c r="E257" s="97" t="s">
        <v>54</v>
      </c>
      <c r="F257" s="18">
        <v>13.28</v>
      </c>
      <c r="G257" s="19">
        <v>52.95</v>
      </c>
      <c r="H257" s="19">
        <f>F257*G257-0.01</f>
        <v>703.16600000000005</v>
      </c>
      <c r="I257" s="3"/>
      <c r="J257" s="90"/>
      <c r="K257" s="91"/>
      <c r="L257" s="92"/>
      <c r="M257" s="92"/>
      <c r="N257" s="90"/>
      <c r="O257" s="91"/>
      <c r="P257" s="115">
        <f>Q257/F257</f>
        <v>1</v>
      </c>
      <c r="Q257" s="116">
        <f>F257</f>
        <v>13.28</v>
      </c>
      <c r="R257" s="117">
        <f>Q257*G257</f>
        <v>703.17600000000004</v>
      </c>
      <c r="S257" s="115"/>
      <c r="T257" s="116"/>
      <c r="U257" s="117"/>
      <c r="V257" s="118">
        <f>W257/F257</f>
        <v>1</v>
      </c>
      <c r="W257" s="116">
        <f>N257+K257+Q257</f>
        <v>13.28</v>
      </c>
      <c r="X257" s="117">
        <f>O257+L257+R257-0.01</f>
        <v>703.16600000000005</v>
      </c>
    </row>
    <row r="258" spans="1:24" ht="49.95" customHeight="1">
      <c r="A258" s="96" t="s">
        <v>314</v>
      </c>
      <c r="B258" s="97">
        <v>92540</v>
      </c>
      <c r="C258" s="98" t="s">
        <v>508</v>
      </c>
      <c r="D258" s="97" t="s">
        <v>37</v>
      </c>
      <c r="E258" s="97" t="s">
        <v>54</v>
      </c>
      <c r="F258" s="18">
        <v>13.28</v>
      </c>
      <c r="G258" s="19">
        <v>92.74</v>
      </c>
      <c r="H258" s="19">
        <f>F258*G258-0.01</f>
        <v>1231.5771999999999</v>
      </c>
      <c r="I258" s="3"/>
      <c r="J258" s="3"/>
      <c r="K258" s="3"/>
      <c r="L258" s="3"/>
      <c r="M258" s="3"/>
      <c r="N258" s="3"/>
      <c r="O258" s="3"/>
      <c r="P258" s="115">
        <f>Q258/F258</f>
        <v>1</v>
      </c>
      <c r="Q258" s="116">
        <f>F258</f>
        <v>13.28</v>
      </c>
      <c r="R258" s="117">
        <f>Q258*G258</f>
        <v>1231.5871999999999</v>
      </c>
      <c r="S258" s="115"/>
      <c r="T258" s="116"/>
      <c r="U258" s="117"/>
      <c r="V258" s="118">
        <f>W258/F258</f>
        <v>1</v>
      </c>
      <c r="W258" s="116">
        <f>N258+K258+Q258</f>
        <v>13.28</v>
      </c>
      <c r="X258" s="117">
        <f>O258+L258+R258-0.01</f>
        <v>1231.5771999999999</v>
      </c>
    </row>
    <row r="259" spans="1:24" ht="49.95" customHeight="1">
      <c r="A259" s="96" t="s">
        <v>315</v>
      </c>
      <c r="B259" s="20">
        <v>92545</v>
      </c>
      <c r="C259" s="98" t="s">
        <v>550</v>
      </c>
      <c r="D259" s="97" t="s">
        <v>37</v>
      </c>
      <c r="E259" s="97" t="s">
        <v>57</v>
      </c>
      <c r="F259" s="18">
        <v>2</v>
      </c>
      <c r="G259" s="19">
        <v>1118.8800000000001</v>
      </c>
      <c r="H259" s="19">
        <f>F259*G259</f>
        <v>2237.7600000000002</v>
      </c>
      <c r="I259" s="3"/>
      <c r="J259" s="3"/>
      <c r="K259" s="3"/>
      <c r="L259" s="3"/>
      <c r="M259" s="3"/>
      <c r="N259" s="3"/>
      <c r="O259" s="3"/>
      <c r="P259" s="115">
        <f>Q259/F259</f>
        <v>1</v>
      </c>
      <c r="Q259" s="116">
        <f>F259</f>
        <v>2</v>
      </c>
      <c r="R259" s="117">
        <f>Q259*G259</f>
        <v>2237.7600000000002</v>
      </c>
      <c r="S259" s="115"/>
      <c r="T259" s="116"/>
      <c r="U259" s="117"/>
      <c r="V259" s="118">
        <f>W259/F259</f>
        <v>1</v>
      </c>
      <c r="W259" s="116">
        <f>N259+K259+Q259</f>
        <v>2</v>
      </c>
      <c r="X259" s="117">
        <f>O259+L259+R259</f>
        <v>2237.7600000000002</v>
      </c>
    </row>
    <row r="260" spans="1:24" ht="49.95" customHeight="1">
      <c r="A260" s="96" t="s">
        <v>316</v>
      </c>
      <c r="B260" s="20">
        <v>94221</v>
      </c>
      <c r="C260" s="98" t="s">
        <v>551</v>
      </c>
      <c r="D260" s="97" t="s">
        <v>37</v>
      </c>
      <c r="E260" s="97" t="s">
        <v>38</v>
      </c>
      <c r="F260" s="18">
        <v>3.2</v>
      </c>
      <c r="G260" s="19">
        <v>26.31</v>
      </c>
      <c r="H260" s="19">
        <f>F260*G260</f>
        <v>84.192000000000007</v>
      </c>
      <c r="I260" s="3"/>
      <c r="J260" s="3"/>
      <c r="K260" s="3"/>
      <c r="L260" s="3"/>
      <c r="M260" s="3"/>
      <c r="N260" s="3"/>
      <c r="O260" s="3"/>
      <c r="P260" s="115">
        <f>Q260/F260</f>
        <v>1</v>
      </c>
      <c r="Q260" s="116">
        <f>F260</f>
        <v>3.2</v>
      </c>
      <c r="R260" s="117">
        <f>Q260*G260</f>
        <v>84.192000000000007</v>
      </c>
      <c r="S260" s="115"/>
      <c r="T260" s="116"/>
      <c r="U260" s="117"/>
      <c r="V260" s="118">
        <f>W260/F260</f>
        <v>1</v>
      </c>
      <c r="W260" s="116">
        <f>N260+K260+Q260</f>
        <v>3.2</v>
      </c>
      <c r="X260" s="117">
        <f>O260+L260+R260</f>
        <v>84.192000000000007</v>
      </c>
    </row>
    <row r="261" spans="1:24" ht="49.95" customHeight="1">
      <c r="A261" s="96" t="s">
        <v>317</v>
      </c>
      <c r="B261" s="20">
        <v>102233</v>
      </c>
      <c r="C261" s="98" t="s">
        <v>511</v>
      </c>
      <c r="D261" s="97" t="s">
        <v>37</v>
      </c>
      <c r="E261" s="97" t="s">
        <v>54</v>
      </c>
      <c r="F261" s="18">
        <v>1.33</v>
      </c>
      <c r="G261" s="19">
        <v>13.54</v>
      </c>
      <c r="H261" s="19">
        <f>F261*G261-0.01</f>
        <v>17.998199999999997</v>
      </c>
      <c r="I261" s="3"/>
      <c r="J261" s="3"/>
      <c r="K261" s="3"/>
      <c r="L261" s="3"/>
      <c r="M261" s="3"/>
      <c r="N261" s="3"/>
      <c r="O261" s="3"/>
      <c r="P261" s="115">
        <f>Q261/F261</f>
        <v>1</v>
      </c>
      <c r="Q261" s="116">
        <f>F261</f>
        <v>1.33</v>
      </c>
      <c r="R261" s="117">
        <f>Q261*G261</f>
        <v>18.008199999999999</v>
      </c>
      <c r="S261" s="115"/>
      <c r="T261" s="116"/>
      <c r="U261" s="117"/>
      <c r="V261" s="118">
        <f>W261/F261</f>
        <v>1</v>
      </c>
      <c r="W261" s="116">
        <f>N261+K261+Q261</f>
        <v>1.33</v>
      </c>
      <c r="X261" s="117">
        <f>O261+L261+R261-0.01</f>
        <v>17.998199999999997</v>
      </c>
    </row>
    <row r="262" spans="1:24" ht="19.2" customHeight="1">
      <c r="A262" s="113" t="s">
        <v>318</v>
      </c>
      <c r="B262" s="156" t="s">
        <v>48</v>
      </c>
      <c r="C262" s="156"/>
      <c r="D262" s="156"/>
      <c r="E262" s="156"/>
      <c r="F262" s="156"/>
      <c r="G262" s="156"/>
      <c r="H262" s="127">
        <f>SUM(H263:H265)</f>
        <v>1059.2788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9.95" customHeight="1">
      <c r="A263" s="96" t="s">
        <v>319</v>
      </c>
      <c r="B263" s="20">
        <v>90822</v>
      </c>
      <c r="C263" s="98" t="s">
        <v>552</v>
      </c>
      <c r="D263" s="97" t="s">
        <v>37</v>
      </c>
      <c r="E263" s="97" t="s">
        <v>57</v>
      </c>
      <c r="F263" s="18">
        <v>1</v>
      </c>
      <c r="G263" s="19">
        <v>443.77</v>
      </c>
      <c r="H263" s="19">
        <f>F263*G263</f>
        <v>443.77</v>
      </c>
      <c r="I263" s="3"/>
      <c r="J263" s="90"/>
      <c r="K263" s="91"/>
      <c r="L263" s="92"/>
      <c r="M263" s="92"/>
      <c r="N263" s="90"/>
      <c r="O263" s="91"/>
      <c r="P263" s="91"/>
      <c r="Q263" s="91"/>
      <c r="R263" s="91"/>
      <c r="S263" s="115">
        <f>T263/F263</f>
        <v>1</v>
      </c>
      <c r="T263" s="116">
        <f>F263</f>
        <v>1</v>
      </c>
      <c r="U263" s="117">
        <f>T263*G263</f>
        <v>443.77</v>
      </c>
      <c r="V263" s="118">
        <f>W263/F263</f>
        <v>1</v>
      </c>
      <c r="W263" s="116">
        <f>N263+K263+Q263+T263</f>
        <v>1</v>
      </c>
      <c r="X263" s="117">
        <f>O263+L263+R263+U263</f>
        <v>443.77</v>
      </c>
    </row>
    <row r="264" spans="1:24" ht="49.95" customHeight="1">
      <c r="A264" s="96" t="s">
        <v>320</v>
      </c>
      <c r="B264" s="97">
        <v>91010</v>
      </c>
      <c r="C264" s="98" t="s">
        <v>553</v>
      </c>
      <c r="D264" s="97" t="s">
        <v>37</v>
      </c>
      <c r="E264" s="97" t="s">
        <v>57</v>
      </c>
      <c r="F264" s="18">
        <v>1</v>
      </c>
      <c r="G264" s="19">
        <v>429.64</v>
      </c>
      <c r="H264" s="19">
        <f>F264*G264</f>
        <v>429.64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115">
        <f>T264/F264</f>
        <v>1</v>
      </c>
      <c r="T264" s="116">
        <f>F264</f>
        <v>1</v>
      </c>
      <c r="U264" s="117">
        <f>T264*G264</f>
        <v>429.64</v>
      </c>
      <c r="V264" s="118">
        <f>W264/F264</f>
        <v>1</v>
      </c>
      <c r="W264" s="116">
        <f>N264+K264+Q264+T264</f>
        <v>1</v>
      </c>
      <c r="X264" s="117">
        <f>O264+L264+R264+U264</f>
        <v>429.64</v>
      </c>
    </row>
    <row r="265" spans="1:24" ht="49.95" customHeight="1">
      <c r="A265" s="96" t="s">
        <v>321</v>
      </c>
      <c r="B265" s="20">
        <v>101162</v>
      </c>
      <c r="C265" s="98" t="s">
        <v>554</v>
      </c>
      <c r="D265" s="97" t="s">
        <v>37</v>
      </c>
      <c r="E265" s="97" t="s">
        <v>54</v>
      </c>
      <c r="F265" s="18">
        <v>1.08</v>
      </c>
      <c r="G265" s="19">
        <v>172.11</v>
      </c>
      <c r="H265" s="19">
        <f>F265*G265-0.01</f>
        <v>185.86880000000005</v>
      </c>
      <c r="I265" s="3"/>
      <c r="J265" s="3"/>
      <c r="K265" s="3"/>
      <c r="L265" s="3"/>
      <c r="M265" s="3"/>
      <c r="N265" s="3"/>
      <c r="O265" s="3"/>
      <c r="P265" s="115">
        <f>Q265/F265</f>
        <v>1</v>
      </c>
      <c r="Q265" s="116">
        <f>F265</f>
        <v>1.08</v>
      </c>
      <c r="R265" s="117">
        <f>Q265*G265</f>
        <v>185.87880000000004</v>
      </c>
      <c r="S265" s="115"/>
      <c r="T265" s="116"/>
      <c r="U265" s="117"/>
      <c r="V265" s="118">
        <f>W265/F265</f>
        <v>1</v>
      </c>
      <c r="W265" s="116">
        <f>N265+K265+Q265</f>
        <v>1.08</v>
      </c>
      <c r="X265" s="117">
        <f>O265+L265+R265-0.01</f>
        <v>185.86880000000005</v>
      </c>
    </row>
    <row r="266" spans="1:24" ht="20.100000000000001" customHeight="1">
      <c r="A266" s="113">
        <v>4</v>
      </c>
      <c r="B266" s="156" t="s">
        <v>322</v>
      </c>
      <c r="C266" s="156"/>
      <c r="D266" s="156"/>
      <c r="E266" s="156"/>
      <c r="F266" s="156"/>
      <c r="G266" s="156"/>
      <c r="H266" s="127">
        <f>SUM(H267,H270,H281,H289)</f>
        <v>92757.999499999991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20.100000000000001" customHeight="1">
      <c r="A267" s="113" t="s">
        <v>22</v>
      </c>
      <c r="B267" s="156" t="s">
        <v>33</v>
      </c>
      <c r="C267" s="156"/>
      <c r="D267" s="156"/>
      <c r="E267" s="156"/>
      <c r="F267" s="156"/>
      <c r="G267" s="156"/>
      <c r="H267" s="127">
        <f>SUM(H268:H269)+0.01</f>
        <v>3514.0226999999995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49.95" customHeight="1">
      <c r="A268" s="96" t="s">
        <v>325</v>
      </c>
      <c r="B268" s="20">
        <v>93358</v>
      </c>
      <c r="C268" s="98" t="s">
        <v>400</v>
      </c>
      <c r="D268" s="97" t="s">
        <v>37</v>
      </c>
      <c r="E268" s="97" t="s">
        <v>56</v>
      </c>
      <c r="F268" s="18">
        <v>30.57</v>
      </c>
      <c r="G268" s="19">
        <v>96.82</v>
      </c>
      <c r="H268" s="19">
        <f>F268*G268-0.01</f>
        <v>2959.7773999999995</v>
      </c>
      <c r="I268" s="3"/>
      <c r="J268" s="118">
        <f>K268/F268</f>
        <v>1</v>
      </c>
      <c r="K268" s="18">
        <v>30.57</v>
      </c>
      <c r="L268" s="59">
        <f>J268*H268</f>
        <v>2959.7773999999995</v>
      </c>
      <c r="M268" s="59"/>
      <c r="N268" s="118"/>
      <c r="O268" s="121"/>
      <c r="P268" s="121"/>
      <c r="Q268" s="121"/>
      <c r="R268" s="121"/>
      <c r="S268" s="121"/>
      <c r="T268" s="121"/>
      <c r="U268" s="121"/>
      <c r="V268" s="118">
        <f>W268/F268</f>
        <v>1</v>
      </c>
      <c r="W268" s="116">
        <f>N268+K268</f>
        <v>30.57</v>
      </c>
      <c r="X268" s="117">
        <f>O268+L268</f>
        <v>2959.7773999999995</v>
      </c>
    </row>
    <row r="269" spans="1:24" ht="49.95" customHeight="1">
      <c r="A269" s="96" t="s">
        <v>326</v>
      </c>
      <c r="B269" s="97">
        <v>104737</v>
      </c>
      <c r="C269" s="98" t="s">
        <v>401</v>
      </c>
      <c r="D269" s="97" t="s">
        <v>37</v>
      </c>
      <c r="E269" s="97" t="s">
        <v>56</v>
      </c>
      <c r="F269" s="18">
        <v>22.43</v>
      </c>
      <c r="G269" s="19">
        <v>24.71</v>
      </c>
      <c r="H269" s="19">
        <f>F269*G269-0.01</f>
        <v>554.23530000000005</v>
      </c>
      <c r="I269" s="3"/>
      <c r="J269" s="118">
        <f>K269/F269</f>
        <v>1</v>
      </c>
      <c r="K269" s="18">
        <v>22.43</v>
      </c>
      <c r="L269" s="59">
        <f>J269*H269</f>
        <v>554.23530000000005</v>
      </c>
      <c r="M269" s="59"/>
      <c r="N269" s="118"/>
      <c r="O269" s="121"/>
      <c r="P269" s="121"/>
      <c r="Q269" s="121"/>
      <c r="R269" s="121"/>
      <c r="S269" s="121"/>
      <c r="T269" s="121"/>
      <c r="U269" s="121"/>
      <c r="V269" s="118">
        <f>W269/F269</f>
        <v>1</v>
      </c>
      <c r="W269" s="116">
        <f>N269+K269</f>
        <v>22.43</v>
      </c>
      <c r="X269" s="117">
        <f>O269+L269</f>
        <v>554.23530000000005</v>
      </c>
    </row>
    <row r="270" spans="1:24" ht="20.100000000000001" customHeight="1">
      <c r="A270" s="113" t="s">
        <v>323</v>
      </c>
      <c r="B270" s="156" t="s">
        <v>40</v>
      </c>
      <c r="C270" s="156"/>
      <c r="D270" s="156"/>
      <c r="E270" s="156"/>
      <c r="F270" s="156"/>
      <c r="G270" s="156"/>
      <c r="H270" s="127">
        <f>SUM(H271:H280)</f>
        <v>24777.845299999997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49.95" customHeight="1">
      <c r="A271" s="96" t="s">
        <v>327</v>
      </c>
      <c r="B271" s="20">
        <v>96619</v>
      </c>
      <c r="C271" s="98" t="s">
        <v>402</v>
      </c>
      <c r="D271" s="97" t="s">
        <v>37</v>
      </c>
      <c r="E271" s="97" t="s">
        <v>54</v>
      </c>
      <c r="F271" s="18">
        <v>20.49</v>
      </c>
      <c r="G271" s="19">
        <v>44.9</v>
      </c>
      <c r="H271" s="19">
        <f>F271*G271</f>
        <v>920.00099999999986</v>
      </c>
      <c r="I271" s="3"/>
      <c r="J271" s="118">
        <f t="shared" ref="J271:J280" si="72">K271/F271</f>
        <v>1</v>
      </c>
      <c r="K271" s="18">
        <v>20.49</v>
      </c>
      <c r="L271" s="59">
        <f t="shared" ref="L271:L280" si="73">J271*H271</f>
        <v>920.00099999999986</v>
      </c>
      <c r="M271" s="59"/>
      <c r="N271" s="118"/>
      <c r="O271" s="121"/>
      <c r="P271" s="121"/>
      <c r="Q271" s="121"/>
      <c r="R271" s="121"/>
      <c r="S271" s="121"/>
      <c r="T271" s="121"/>
      <c r="U271" s="121"/>
      <c r="V271" s="118">
        <f t="shared" ref="V271:V295" si="74">W271/F271</f>
        <v>1</v>
      </c>
      <c r="W271" s="116">
        <f>N271+K271</f>
        <v>20.49</v>
      </c>
      <c r="X271" s="117">
        <f>O271+L271</f>
        <v>920.00099999999986</v>
      </c>
    </row>
    <row r="272" spans="1:24" ht="49.95" customHeight="1">
      <c r="A272" s="96" t="s">
        <v>328</v>
      </c>
      <c r="B272" s="97">
        <v>101616</v>
      </c>
      <c r="C272" s="98" t="s">
        <v>403</v>
      </c>
      <c r="D272" s="97" t="s">
        <v>37</v>
      </c>
      <c r="E272" s="97" t="s">
        <v>54</v>
      </c>
      <c r="F272" s="18">
        <v>35</v>
      </c>
      <c r="G272" s="19">
        <v>7.07</v>
      </c>
      <c r="H272" s="19">
        <f t="shared" ref="H272:H278" si="75">F272*G272</f>
        <v>247.45000000000002</v>
      </c>
      <c r="I272" s="3"/>
      <c r="J272" s="118">
        <f t="shared" si="72"/>
        <v>1</v>
      </c>
      <c r="K272" s="18">
        <v>35</v>
      </c>
      <c r="L272" s="59">
        <f t="shared" si="73"/>
        <v>247.45000000000002</v>
      </c>
      <c r="M272" s="59"/>
      <c r="N272" s="118"/>
      <c r="O272" s="121"/>
      <c r="P272" s="121"/>
      <c r="Q272" s="121"/>
      <c r="R272" s="121"/>
      <c r="S272" s="121"/>
      <c r="T272" s="121"/>
      <c r="U272" s="121"/>
      <c r="V272" s="118">
        <f t="shared" si="74"/>
        <v>1</v>
      </c>
      <c r="W272" s="116">
        <f t="shared" ref="W272:W280" si="76">N272+K272</f>
        <v>35</v>
      </c>
      <c r="X272" s="117">
        <f t="shared" ref="X272:X280" si="77">O272+L272</f>
        <v>247.45000000000002</v>
      </c>
    </row>
    <row r="273" spans="1:24" ht="49.95" customHeight="1">
      <c r="A273" s="96" t="s">
        <v>329</v>
      </c>
      <c r="B273" s="20">
        <v>94971</v>
      </c>
      <c r="C273" s="98" t="s">
        <v>404</v>
      </c>
      <c r="D273" s="97" t="s">
        <v>37</v>
      </c>
      <c r="E273" s="97" t="s">
        <v>56</v>
      </c>
      <c r="F273" s="18">
        <v>8.14</v>
      </c>
      <c r="G273" s="19">
        <v>559.80999999999995</v>
      </c>
      <c r="H273" s="19">
        <f t="shared" si="75"/>
        <v>4556.8534</v>
      </c>
      <c r="I273" s="3"/>
      <c r="J273" s="118">
        <f t="shared" si="72"/>
        <v>1</v>
      </c>
      <c r="K273" s="18">
        <v>8.14</v>
      </c>
      <c r="L273" s="59">
        <f t="shared" si="73"/>
        <v>4556.8534</v>
      </c>
      <c r="M273" s="59"/>
      <c r="N273" s="118"/>
      <c r="O273" s="121"/>
      <c r="P273" s="121"/>
      <c r="Q273" s="121"/>
      <c r="R273" s="121"/>
      <c r="S273" s="121"/>
      <c r="T273" s="121"/>
      <c r="U273" s="121"/>
      <c r="V273" s="118">
        <f t="shared" si="74"/>
        <v>1</v>
      </c>
      <c r="W273" s="116">
        <f t="shared" si="76"/>
        <v>8.14</v>
      </c>
      <c r="X273" s="117">
        <f t="shared" si="77"/>
        <v>4556.8534</v>
      </c>
    </row>
    <row r="274" spans="1:24" ht="49.95" customHeight="1">
      <c r="A274" s="96" t="s">
        <v>330</v>
      </c>
      <c r="B274" s="20">
        <v>103670</v>
      </c>
      <c r="C274" s="98" t="s">
        <v>405</v>
      </c>
      <c r="D274" s="97" t="s">
        <v>37</v>
      </c>
      <c r="E274" s="97" t="s">
        <v>56</v>
      </c>
      <c r="F274" s="18">
        <v>8.14</v>
      </c>
      <c r="G274" s="19">
        <v>331.13</v>
      </c>
      <c r="H274" s="19">
        <f>F274*G274-0.01</f>
        <v>2695.3881999999999</v>
      </c>
      <c r="I274" s="3"/>
      <c r="J274" s="118">
        <f t="shared" si="72"/>
        <v>1</v>
      </c>
      <c r="K274" s="18">
        <v>8.14</v>
      </c>
      <c r="L274" s="59">
        <f t="shared" si="73"/>
        <v>2695.3881999999999</v>
      </c>
      <c r="M274" s="59"/>
      <c r="N274" s="118"/>
      <c r="O274" s="121"/>
      <c r="P274" s="121"/>
      <c r="Q274" s="121"/>
      <c r="R274" s="121"/>
      <c r="S274" s="121"/>
      <c r="T274" s="121"/>
      <c r="U274" s="121"/>
      <c r="V274" s="118">
        <f t="shared" si="74"/>
        <v>1</v>
      </c>
      <c r="W274" s="116">
        <f t="shared" si="76"/>
        <v>8.14</v>
      </c>
      <c r="X274" s="117">
        <f t="shared" si="77"/>
        <v>2695.3881999999999</v>
      </c>
    </row>
    <row r="275" spans="1:24" ht="49.95" customHeight="1">
      <c r="A275" s="96" t="s">
        <v>331</v>
      </c>
      <c r="B275" s="20">
        <v>104927</v>
      </c>
      <c r="C275" s="98" t="s">
        <v>406</v>
      </c>
      <c r="D275" s="97" t="s">
        <v>37</v>
      </c>
      <c r="E275" s="97" t="s">
        <v>54</v>
      </c>
      <c r="F275" s="18">
        <v>22.77</v>
      </c>
      <c r="G275" s="19">
        <v>93.61</v>
      </c>
      <c r="H275" s="19">
        <f>F275*G275-0.01</f>
        <v>2131.4896999999996</v>
      </c>
      <c r="I275" s="3"/>
      <c r="J275" s="118">
        <f t="shared" si="72"/>
        <v>1</v>
      </c>
      <c r="K275" s="18">
        <v>22.77</v>
      </c>
      <c r="L275" s="59">
        <f t="shared" si="73"/>
        <v>2131.4896999999996</v>
      </c>
      <c r="M275" s="59"/>
      <c r="N275" s="118"/>
      <c r="O275" s="121"/>
      <c r="P275" s="121"/>
      <c r="Q275" s="121"/>
      <c r="R275" s="121"/>
      <c r="S275" s="121"/>
      <c r="T275" s="121"/>
      <c r="U275" s="121"/>
      <c r="V275" s="118">
        <f t="shared" si="74"/>
        <v>1</v>
      </c>
      <c r="W275" s="116">
        <f t="shared" si="76"/>
        <v>22.77</v>
      </c>
      <c r="X275" s="117">
        <f t="shared" si="77"/>
        <v>2131.4896999999996</v>
      </c>
    </row>
    <row r="276" spans="1:24" ht="49.95" customHeight="1">
      <c r="A276" s="96" t="s">
        <v>332</v>
      </c>
      <c r="B276" s="20">
        <v>96542</v>
      </c>
      <c r="C276" s="98" t="s">
        <v>407</v>
      </c>
      <c r="D276" s="97" t="s">
        <v>37</v>
      </c>
      <c r="E276" s="97" t="s">
        <v>54</v>
      </c>
      <c r="F276" s="18">
        <v>45.05</v>
      </c>
      <c r="G276" s="19">
        <v>102.97</v>
      </c>
      <c r="H276" s="19">
        <f>F276*G276-0.01</f>
        <v>4638.7884999999997</v>
      </c>
      <c r="I276" s="3"/>
      <c r="J276" s="118">
        <f t="shared" si="72"/>
        <v>1</v>
      </c>
      <c r="K276" s="18">
        <v>45.05</v>
      </c>
      <c r="L276" s="59">
        <f t="shared" si="73"/>
        <v>4638.7884999999997</v>
      </c>
      <c r="M276" s="59"/>
      <c r="N276" s="118"/>
      <c r="O276" s="121"/>
      <c r="P276" s="121"/>
      <c r="Q276" s="121"/>
      <c r="R276" s="121"/>
      <c r="S276" s="121"/>
      <c r="T276" s="121"/>
      <c r="U276" s="121"/>
      <c r="V276" s="118">
        <f t="shared" si="74"/>
        <v>1</v>
      </c>
      <c r="W276" s="116">
        <f t="shared" si="76"/>
        <v>45.05</v>
      </c>
      <c r="X276" s="117">
        <f t="shared" si="77"/>
        <v>4638.7884999999997</v>
      </c>
    </row>
    <row r="277" spans="1:24" ht="49.95" customHeight="1">
      <c r="A277" s="96" t="s">
        <v>333</v>
      </c>
      <c r="B277" s="20">
        <v>104917</v>
      </c>
      <c r="C277" s="98" t="s">
        <v>408</v>
      </c>
      <c r="D277" s="97" t="s">
        <v>37</v>
      </c>
      <c r="E277" s="97" t="s">
        <v>42</v>
      </c>
      <c r="F277" s="18">
        <v>138.69999999999999</v>
      </c>
      <c r="G277" s="19">
        <v>17.399999999999999</v>
      </c>
      <c r="H277" s="19">
        <f t="shared" si="75"/>
        <v>2413.3799999999997</v>
      </c>
      <c r="I277" s="3"/>
      <c r="J277" s="118">
        <f t="shared" si="72"/>
        <v>1</v>
      </c>
      <c r="K277" s="18">
        <v>138.69999999999999</v>
      </c>
      <c r="L277" s="59">
        <f t="shared" si="73"/>
        <v>2413.3799999999997</v>
      </c>
      <c r="M277" s="59"/>
      <c r="N277" s="118"/>
      <c r="O277" s="121"/>
      <c r="P277" s="121"/>
      <c r="Q277" s="121"/>
      <c r="R277" s="121"/>
      <c r="S277" s="121"/>
      <c r="T277" s="121"/>
      <c r="U277" s="121"/>
      <c r="V277" s="118">
        <f t="shared" si="74"/>
        <v>1</v>
      </c>
      <c r="W277" s="116">
        <f t="shared" si="76"/>
        <v>138.69999999999999</v>
      </c>
      <c r="X277" s="117">
        <f t="shared" si="77"/>
        <v>2413.3799999999997</v>
      </c>
    </row>
    <row r="278" spans="1:24" ht="49.95" customHeight="1">
      <c r="A278" s="96" t="s">
        <v>334</v>
      </c>
      <c r="B278" s="20">
        <v>104916</v>
      </c>
      <c r="C278" s="98" t="s">
        <v>409</v>
      </c>
      <c r="D278" s="97" t="s">
        <v>37</v>
      </c>
      <c r="E278" s="97" t="s">
        <v>42</v>
      </c>
      <c r="F278" s="18">
        <v>89</v>
      </c>
      <c r="G278" s="19">
        <v>18.75</v>
      </c>
      <c r="H278" s="19">
        <f t="shared" si="75"/>
        <v>1668.75</v>
      </c>
      <c r="I278" s="3"/>
      <c r="J278" s="118">
        <f t="shared" si="72"/>
        <v>1</v>
      </c>
      <c r="K278" s="18">
        <v>89</v>
      </c>
      <c r="L278" s="59">
        <f t="shared" si="73"/>
        <v>1668.75</v>
      </c>
      <c r="M278" s="59"/>
      <c r="N278" s="118"/>
      <c r="O278" s="121"/>
      <c r="P278" s="121"/>
      <c r="Q278" s="121"/>
      <c r="R278" s="121"/>
      <c r="S278" s="121"/>
      <c r="T278" s="121"/>
      <c r="U278" s="121"/>
      <c r="V278" s="118">
        <f t="shared" si="74"/>
        <v>1</v>
      </c>
      <c r="W278" s="116">
        <f t="shared" si="76"/>
        <v>89</v>
      </c>
      <c r="X278" s="117">
        <f t="shared" si="77"/>
        <v>1668.75</v>
      </c>
    </row>
    <row r="279" spans="1:24" ht="49.95" customHeight="1">
      <c r="A279" s="96" t="s">
        <v>335</v>
      </c>
      <c r="B279" s="20">
        <v>104918</v>
      </c>
      <c r="C279" s="98" t="s">
        <v>410</v>
      </c>
      <c r="D279" s="97" t="s">
        <v>37</v>
      </c>
      <c r="E279" s="97" t="s">
        <v>42</v>
      </c>
      <c r="F279" s="18">
        <v>122.8</v>
      </c>
      <c r="G279" s="19">
        <v>16.16</v>
      </c>
      <c r="H279" s="19">
        <f>F279*G279-0.01</f>
        <v>1984.4379999999999</v>
      </c>
      <c r="I279" s="3"/>
      <c r="J279" s="118">
        <f t="shared" si="72"/>
        <v>1</v>
      </c>
      <c r="K279" s="18">
        <v>122.8</v>
      </c>
      <c r="L279" s="59">
        <f t="shared" si="73"/>
        <v>1984.4379999999999</v>
      </c>
      <c r="M279" s="59"/>
      <c r="N279" s="118"/>
      <c r="O279" s="121"/>
      <c r="P279" s="121"/>
      <c r="Q279" s="121"/>
      <c r="R279" s="121"/>
      <c r="S279" s="121"/>
      <c r="T279" s="121"/>
      <c r="U279" s="121"/>
      <c r="V279" s="118">
        <f t="shared" si="74"/>
        <v>1</v>
      </c>
      <c r="W279" s="116">
        <f t="shared" si="76"/>
        <v>122.8</v>
      </c>
      <c r="X279" s="117">
        <f t="shared" si="77"/>
        <v>1984.4379999999999</v>
      </c>
    </row>
    <row r="280" spans="1:24" ht="49.95" customHeight="1">
      <c r="A280" s="96" t="s">
        <v>336</v>
      </c>
      <c r="B280" s="97">
        <v>98557</v>
      </c>
      <c r="C280" s="98" t="s">
        <v>411</v>
      </c>
      <c r="D280" s="97" t="s">
        <v>37</v>
      </c>
      <c r="E280" s="97" t="s">
        <v>54</v>
      </c>
      <c r="F280" s="18">
        <v>65.27</v>
      </c>
      <c r="G280" s="19">
        <v>53.95</v>
      </c>
      <c r="H280" s="19">
        <f>F280*G280-0.01</f>
        <v>3521.3064999999997</v>
      </c>
      <c r="I280" s="3"/>
      <c r="J280" s="118">
        <f t="shared" si="72"/>
        <v>1</v>
      </c>
      <c r="K280" s="18">
        <v>65.27</v>
      </c>
      <c r="L280" s="59">
        <f t="shared" si="73"/>
        <v>3521.3064999999997</v>
      </c>
      <c r="M280" s="59"/>
      <c r="N280" s="118"/>
      <c r="O280" s="121"/>
      <c r="P280" s="121"/>
      <c r="Q280" s="121"/>
      <c r="R280" s="121"/>
      <c r="S280" s="121"/>
      <c r="T280" s="121"/>
      <c r="U280" s="121"/>
      <c r="V280" s="118">
        <f t="shared" si="74"/>
        <v>1</v>
      </c>
      <c r="W280" s="116">
        <f t="shared" si="76"/>
        <v>65.27</v>
      </c>
      <c r="X280" s="117">
        <f t="shared" si="77"/>
        <v>3521.3064999999997</v>
      </c>
    </row>
    <row r="281" spans="1:24" ht="20.100000000000001" customHeight="1">
      <c r="A281" s="113" t="s">
        <v>324</v>
      </c>
      <c r="B281" s="156" t="s">
        <v>337</v>
      </c>
      <c r="C281" s="156"/>
      <c r="D281" s="156"/>
      <c r="E281" s="156"/>
      <c r="F281" s="156"/>
      <c r="G281" s="156"/>
      <c r="H281" s="127">
        <f>SUM(H282:H288)</f>
        <v>25900.380399999998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49.95" customHeight="1">
      <c r="A282" s="96" t="s">
        <v>338</v>
      </c>
      <c r="B282" s="20">
        <v>92429</v>
      </c>
      <c r="C282" s="98" t="s">
        <v>412</v>
      </c>
      <c r="D282" s="97" t="s">
        <v>37</v>
      </c>
      <c r="E282" s="97" t="s">
        <v>54</v>
      </c>
      <c r="F282" s="18">
        <v>77.22</v>
      </c>
      <c r="G282" s="19">
        <v>82.09</v>
      </c>
      <c r="H282" s="19">
        <f>F282*G282-0.01</f>
        <v>6338.9798000000001</v>
      </c>
      <c r="I282" s="3"/>
      <c r="J282" s="118">
        <f>K282/F282</f>
        <v>1</v>
      </c>
      <c r="K282" s="18">
        <v>77.22</v>
      </c>
      <c r="L282" s="59">
        <f>J282*H282</f>
        <v>6338.9798000000001</v>
      </c>
      <c r="M282" s="59"/>
      <c r="N282" s="118"/>
      <c r="O282" s="121"/>
      <c r="P282" s="121"/>
      <c r="Q282" s="121"/>
      <c r="R282" s="121"/>
      <c r="S282" s="121"/>
      <c r="T282" s="121"/>
      <c r="U282" s="121"/>
      <c r="V282" s="118">
        <f t="shared" si="74"/>
        <v>1</v>
      </c>
      <c r="W282" s="116">
        <f t="shared" ref="W282:X286" si="78">N282+K282</f>
        <v>77.22</v>
      </c>
      <c r="X282" s="117">
        <f t="shared" si="78"/>
        <v>6338.9798000000001</v>
      </c>
    </row>
    <row r="283" spans="1:24" ht="49.95" customHeight="1">
      <c r="A283" s="96" t="s">
        <v>339</v>
      </c>
      <c r="B283" s="97">
        <v>92476</v>
      </c>
      <c r="C283" s="98" t="s">
        <v>555</v>
      </c>
      <c r="D283" s="97" t="s">
        <v>37</v>
      </c>
      <c r="E283" s="97" t="s">
        <v>54</v>
      </c>
      <c r="F283" s="18">
        <v>45.51</v>
      </c>
      <c r="G283" s="19">
        <v>101.44</v>
      </c>
      <c r="H283" s="19">
        <f t="shared" ref="H283:H288" si="79">F283*G283</f>
        <v>4616.5343999999996</v>
      </c>
      <c r="I283" s="3"/>
      <c r="J283" s="118">
        <f>K283/F283</f>
        <v>1</v>
      </c>
      <c r="K283" s="18">
        <v>45.51</v>
      </c>
      <c r="L283" s="59">
        <f>J283*H283</f>
        <v>4616.5343999999996</v>
      </c>
      <c r="M283" s="59"/>
      <c r="N283" s="118"/>
      <c r="O283" s="121"/>
      <c r="P283" s="121"/>
      <c r="Q283" s="121"/>
      <c r="R283" s="121"/>
      <c r="S283" s="121"/>
      <c r="T283" s="121"/>
      <c r="U283" s="121"/>
      <c r="V283" s="118">
        <f t="shared" si="74"/>
        <v>1</v>
      </c>
      <c r="W283" s="116">
        <f t="shared" si="78"/>
        <v>45.51</v>
      </c>
      <c r="X283" s="117">
        <f t="shared" si="78"/>
        <v>4616.5343999999996</v>
      </c>
    </row>
    <row r="284" spans="1:24" ht="49.95" customHeight="1">
      <c r="A284" s="96" t="s">
        <v>340</v>
      </c>
      <c r="B284" s="20">
        <v>92759</v>
      </c>
      <c r="C284" s="98" t="s">
        <v>556</v>
      </c>
      <c r="D284" s="97" t="s">
        <v>37</v>
      </c>
      <c r="E284" s="97" t="s">
        <v>42</v>
      </c>
      <c r="F284" s="18">
        <v>143.80000000000001</v>
      </c>
      <c r="G284" s="19">
        <v>15.87</v>
      </c>
      <c r="H284" s="19">
        <f>F284*G284-0.01</f>
        <v>2282.096</v>
      </c>
      <c r="I284" s="3"/>
      <c r="J284" s="118">
        <f>K284/F284</f>
        <v>1</v>
      </c>
      <c r="K284" s="18">
        <v>143.80000000000001</v>
      </c>
      <c r="L284" s="59">
        <f>J284*H284</f>
        <v>2282.096</v>
      </c>
      <c r="M284" s="59"/>
      <c r="N284" s="118"/>
      <c r="O284" s="121"/>
      <c r="P284" s="121"/>
      <c r="Q284" s="121"/>
      <c r="R284" s="121"/>
      <c r="S284" s="121"/>
      <c r="T284" s="121"/>
      <c r="U284" s="121"/>
      <c r="V284" s="118">
        <f t="shared" si="74"/>
        <v>1</v>
      </c>
      <c r="W284" s="116">
        <f t="shared" si="78"/>
        <v>143.80000000000001</v>
      </c>
      <c r="X284" s="117">
        <f t="shared" si="78"/>
        <v>2282.096</v>
      </c>
    </row>
    <row r="285" spans="1:24" ht="49.95" customHeight="1">
      <c r="A285" s="96" t="s">
        <v>341</v>
      </c>
      <c r="B285" s="20">
        <v>104108</v>
      </c>
      <c r="C285" s="98" t="s">
        <v>416</v>
      </c>
      <c r="D285" s="97" t="s">
        <v>37</v>
      </c>
      <c r="E285" s="97" t="s">
        <v>42</v>
      </c>
      <c r="F285" s="18">
        <v>305.89999999999998</v>
      </c>
      <c r="G285" s="19">
        <v>14.5</v>
      </c>
      <c r="H285" s="19">
        <f t="shared" si="79"/>
        <v>4435.5499999999993</v>
      </c>
      <c r="I285" s="3"/>
      <c r="J285" s="118">
        <f>K285/F285</f>
        <v>1</v>
      </c>
      <c r="K285" s="18">
        <v>305.89999999999998</v>
      </c>
      <c r="L285" s="59">
        <f>J285*H285</f>
        <v>4435.5499999999993</v>
      </c>
      <c r="M285" s="59"/>
      <c r="N285" s="118"/>
      <c r="O285" s="121"/>
      <c r="P285" s="121"/>
      <c r="Q285" s="121"/>
      <c r="R285" s="121"/>
      <c r="S285" s="121"/>
      <c r="T285" s="121"/>
      <c r="U285" s="121"/>
      <c r="V285" s="118">
        <f t="shared" si="74"/>
        <v>1</v>
      </c>
      <c r="W285" s="116">
        <f t="shared" si="78"/>
        <v>305.89999999999998</v>
      </c>
      <c r="X285" s="117">
        <f t="shared" si="78"/>
        <v>4435.5499999999993</v>
      </c>
    </row>
    <row r="286" spans="1:24" ht="49.95" customHeight="1">
      <c r="A286" s="96" t="s">
        <v>342</v>
      </c>
      <c r="B286" s="20">
        <v>92761</v>
      </c>
      <c r="C286" s="98" t="s">
        <v>557</v>
      </c>
      <c r="D286" s="97" t="s">
        <v>37</v>
      </c>
      <c r="E286" s="97" t="s">
        <v>42</v>
      </c>
      <c r="F286" s="18">
        <v>120.5</v>
      </c>
      <c r="G286" s="19">
        <v>14.08</v>
      </c>
      <c r="H286" s="19">
        <f t="shared" si="79"/>
        <v>1696.64</v>
      </c>
      <c r="I286" s="3"/>
      <c r="J286" s="118">
        <f>K286/F286</f>
        <v>1</v>
      </c>
      <c r="K286" s="18">
        <v>120.5</v>
      </c>
      <c r="L286" s="59">
        <f>J286*H286</f>
        <v>1696.64</v>
      </c>
      <c r="M286" s="59"/>
      <c r="N286" s="118"/>
      <c r="O286" s="121"/>
      <c r="P286" s="121"/>
      <c r="Q286" s="121"/>
      <c r="R286" s="121"/>
      <c r="S286" s="121"/>
      <c r="T286" s="121"/>
      <c r="U286" s="121"/>
      <c r="V286" s="118">
        <f t="shared" si="74"/>
        <v>1</v>
      </c>
      <c r="W286" s="116">
        <f t="shared" si="78"/>
        <v>120.5</v>
      </c>
      <c r="X286" s="117">
        <f t="shared" si="78"/>
        <v>1696.64</v>
      </c>
    </row>
    <row r="287" spans="1:24" ht="49.95" customHeight="1">
      <c r="A287" s="96" t="s">
        <v>343</v>
      </c>
      <c r="B287" s="20">
        <v>94971</v>
      </c>
      <c r="C287" s="98" t="s">
        <v>404</v>
      </c>
      <c r="D287" s="97" t="s">
        <v>37</v>
      </c>
      <c r="E287" s="97" t="s">
        <v>56</v>
      </c>
      <c r="F287" s="18">
        <v>7.33</v>
      </c>
      <c r="G287" s="19">
        <v>559.80999999999995</v>
      </c>
      <c r="H287" s="19">
        <f>F287*G287-0.01</f>
        <v>4103.3972999999996</v>
      </c>
      <c r="I287" s="3"/>
      <c r="J287" s="3"/>
      <c r="K287" s="3"/>
      <c r="L287" s="3"/>
      <c r="M287" s="115">
        <f>N287/F287</f>
        <v>1</v>
      </c>
      <c r="N287" s="116">
        <f>F287</f>
        <v>7.33</v>
      </c>
      <c r="O287" s="117">
        <f>N287*G287</f>
        <v>4103.4072999999999</v>
      </c>
      <c r="P287" s="117"/>
      <c r="Q287" s="117"/>
      <c r="R287" s="117"/>
      <c r="S287" s="117"/>
      <c r="T287" s="117"/>
      <c r="U287" s="117"/>
      <c r="V287" s="118">
        <f t="shared" si="74"/>
        <v>1</v>
      </c>
      <c r="W287" s="116">
        <f>N287+K287</f>
        <v>7.33</v>
      </c>
      <c r="X287" s="117">
        <f>O287+L287-0.01</f>
        <v>4103.3972999999996</v>
      </c>
    </row>
    <row r="288" spans="1:24" ht="49.95" customHeight="1">
      <c r="A288" s="96" t="s">
        <v>344</v>
      </c>
      <c r="B288" s="20">
        <v>103670</v>
      </c>
      <c r="C288" s="98" t="s">
        <v>405</v>
      </c>
      <c r="D288" s="97" t="s">
        <v>37</v>
      </c>
      <c r="E288" s="97" t="s">
        <v>56</v>
      </c>
      <c r="F288" s="18">
        <v>7.33</v>
      </c>
      <c r="G288" s="19">
        <v>331.13</v>
      </c>
      <c r="H288" s="19">
        <f t="shared" si="79"/>
        <v>2427.1828999999998</v>
      </c>
      <c r="I288" s="3"/>
      <c r="J288" s="3"/>
      <c r="K288" s="3"/>
      <c r="L288" s="3"/>
      <c r="M288" s="115">
        <f>N288/F288</f>
        <v>1</v>
      </c>
      <c r="N288" s="116">
        <f>F288</f>
        <v>7.33</v>
      </c>
      <c r="O288" s="117">
        <f>N288*G288</f>
        <v>2427.1828999999998</v>
      </c>
      <c r="P288" s="117"/>
      <c r="Q288" s="117"/>
      <c r="R288" s="117"/>
      <c r="S288" s="117"/>
      <c r="T288" s="117"/>
      <c r="U288" s="117"/>
      <c r="V288" s="118">
        <f t="shared" si="74"/>
        <v>1</v>
      </c>
      <c r="W288" s="116">
        <f>N288+K288</f>
        <v>7.33</v>
      </c>
      <c r="X288" s="117">
        <f>O288+L288</f>
        <v>2427.1828999999998</v>
      </c>
    </row>
    <row r="289" spans="1:24" ht="20.100000000000001" customHeight="1">
      <c r="A289" s="113" t="s">
        <v>345</v>
      </c>
      <c r="B289" s="156" t="s">
        <v>346</v>
      </c>
      <c r="C289" s="156"/>
      <c r="D289" s="156"/>
      <c r="E289" s="156"/>
      <c r="F289" s="156"/>
      <c r="G289" s="156"/>
      <c r="H289" s="127">
        <f>SUM(H290:H297)+0.01</f>
        <v>38565.751099999994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49.95" customHeight="1">
      <c r="A290" s="96" t="s">
        <v>347</v>
      </c>
      <c r="B290" s="20">
        <v>103356</v>
      </c>
      <c r="C290" s="98" t="s">
        <v>421</v>
      </c>
      <c r="D290" s="97" t="s">
        <v>37</v>
      </c>
      <c r="E290" s="97" t="s">
        <v>54</v>
      </c>
      <c r="F290" s="18">
        <v>126.59</v>
      </c>
      <c r="G290" s="19">
        <v>67.73</v>
      </c>
      <c r="H290" s="19">
        <f>F290*G290</f>
        <v>8573.940700000001</v>
      </c>
      <c r="I290" s="3"/>
      <c r="J290" s="90"/>
      <c r="K290" s="91"/>
      <c r="L290" s="92"/>
      <c r="M290" s="115">
        <f>N290/F290</f>
        <v>1</v>
      </c>
      <c r="N290" s="116">
        <f>F290</f>
        <v>126.59</v>
      </c>
      <c r="O290" s="117">
        <f>N290*G290</f>
        <v>8573.940700000001</v>
      </c>
      <c r="P290" s="117"/>
      <c r="Q290" s="117"/>
      <c r="R290" s="117"/>
      <c r="S290" s="117"/>
      <c r="T290" s="117"/>
      <c r="U290" s="117"/>
      <c r="V290" s="118">
        <f t="shared" si="74"/>
        <v>1</v>
      </c>
      <c r="W290" s="116">
        <f>N290+K290</f>
        <v>126.59</v>
      </c>
      <c r="X290" s="117">
        <f>O290+L290</f>
        <v>8573.940700000001</v>
      </c>
    </row>
    <row r="291" spans="1:24" ht="49.95" customHeight="1">
      <c r="A291" s="96" t="s">
        <v>348</v>
      </c>
      <c r="B291" s="97">
        <v>87894</v>
      </c>
      <c r="C291" s="98" t="s">
        <v>558</v>
      </c>
      <c r="D291" s="97" t="s">
        <v>37</v>
      </c>
      <c r="E291" s="97" t="s">
        <v>54</v>
      </c>
      <c r="F291" s="18">
        <v>253.19</v>
      </c>
      <c r="G291" s="19">
        <v>7.56</v>
      </c>
      <c r="H291" s="19">
        <f>F291*G291-0.01</f>
        <v>1914.1063999999999</v>
      </c>
      <c r="I291" s="3"/>
      <c r="J291" s="3"/>
      <c r="K291" s="3"/>
      <c r="L291" s="3"/>
      <c r="M291" s="115">
        <f t="shared" ref="M291:M297" si="80">N291/F291</f>
        <v>1</v>
      </c>
      <c r="N291" s="116">
        <f t="shared" ref="N291:N297" si="81">F291</f>
        <v>253.19</v>
      </c>
      <c r="O291" s="117">
        <f t="shared" ref="O291:O297" si="82">N291*G291</f>
        <v>1914.1163999999999</v>
      </c>
      <c r="P291" s="117"/>
      <c r="Q291" s="117"/>
      <c r="R291" s="117"/>
      <c r="S291" s="117"/>
      <c r="T291" s="117"/>
      <c r="U291" s="117"/>
      <c r="V291" s="118">
        <f t="shared" si="74"/>
        <v>1</v>
      </c>
      <c r="W291" s="116">
        <f t="shared" ref="W291:W297" si="83">N291+K291</f>
        <v>253.19</v>
      </c>
      <c r="X291" s="117">
        <f>O291+L291-0.01</f>
        <v>1914.1063999999999</v>
      </c>
    </row>
    <row r="292" spans="1:24" ht="49.95" customHeight="1">
      <c r="A292" s="96" t="s">
        <v>349</v>
      </c>
      <c r="B292" s="20">
        <v>87792</v>
      </c>
      <c r="C292" s="98" t="s">
        <v>559</v>
      </c>
      <c r="D292" s="97" t="s">
        <v>37</v>
      </c>
      <c r="E292" s="97" t="s">
        <v>54</v>
      </c>
      <c r="F292" s="18">
        <v>253.19</v>
      </c>
      <c r="G292" s="19">
        <v>44.72</v>
      </c>
      <c r="H292" s="19">
        <f>F292*G292-0.01</f>
        <v>11322.646799999999</v>
      </c>
      <c r="I292" s="3"/>
      <c r="J292" s="3"/>
      <c r="K292" s="3"/>
      <c r="L292" s="3"/>
      <c r="M292" s="115">
        <f t="shared" si="80"/>
        <v>1</v>
      </c>
      <c r="N292" s="116">
        <f t="shared" si="81"/>
        <v>253.19</v>
      </c>
      <c r="O292" s="117">
        <f t="shared" si="82"/>
        <v>11322.656799999999</v>
      </c>
      <c r="P292" s="117"/>
      <c r="Q292" s="117"/>
      <c r="R292" s="117"/>
      <c r="S292" s="117"/>
      <c r="T292" s="117"/>
      <c r="U292" s="117"/>
      <c r="V292" s="118">
        <f t="shared" si="74"/>
        <v>1</v>
      </c>
      <c r="W292" s="116">
        <f t="shared" si="83"/>
        <v>253.19</v>
      </c>
      <c r="X292" s="117">
        <f>O292+L292-0.01</f>
        <v>11322.646799999999</v>
      </c>
    </row>
    <row r="293" spans="1:24" ht="49.95" customHeight="1">
      <c r="A293" s="96" t="s">
        <v>350</v>
      </c>
      <c r="B293" s="20">
        <v>88485</v>
      </c>
      <c r="C293" s="98" t="s">
        <v>520</v>
      </c>
      <c r="D293" s="97" t="s">
        <v>37</v>
      </c>
      <c r="E293" s="97" t="s">
        <v>54</v>
      </c>
      <c r="F293" s="18">
        <v>102.07</v>
      </c>
      <c r="G293" s="19">
        <v>4.2699999999999996</v>
      </c>
      <c r="H293" s="19">
        <f>F293*G293-0.01</f>
        <v>435.82889999999992</v>
      </c>
      <c r="I293" s="3"/>
      <c r="J293" s="3"/>
      <c r="K293" s="3"/>
      <c r="L293" s="3"/>
      <c r="M293" s="115"/>
      <c r="N293" s="116"/>
      <c r="O293" s="117"/>
      <c r="P293" s="117"/>
      <c r="Q293" s="117"/>
      <c r="R293" s="117"/>
      <c r="S293" s="115">
        <f>T293/F293</f>
        <v>1</v>
      </c>
      <c r="T293" s="116">
        <f>F293</f>
        <v>102.07</v>
      </c>
      <c r="U293" s="117">
        <f>T293*G293-0.01</f>
        <v>435.82889999999992</v>
      </c>
      <c r="V293" s="118">
        <f t="shared" si="74"/>
        <v>1</v>
      </c>
      <c r="W293" s="116">
        <f t="shared" ref="W293:X295" si="84">N293+K293+Q293+T293</f>
        <v>102.07</v>
      </c>
      <c r="X293" s="117">
        <f t="shared" si="84"/>
        <v>435.82889999999992</v>
      </c>
    </row>
    <row r="294" spans="1:24" ht="49.95" customHeight="1">
      <c r="A294" s="96" t="s">
        <v>351</v>
      </c>
      <c r="B294" s="20">
        <v>88497</v>
      </c>
      <c r="C294" s="98" t="s">
        <v>518</v>
      </c>
      <c r="D294" s="97" t="s">
        <v>37</v>
      </c>
      <c r="E294" s="97" t="s">
        <v>54</v>
      </c>
      <c r="F294" s="18">
        <v>253.19</v>
      </c>
      <c r="G294" s="19">
        <v>18.440000000000001</v>
      </c>
      <c r="H294" s="19">
        <f>F294*G294</f>
        <v>4668.8236000000006</v>
      </c>
      <c r="I294" s="3"/>
      <c r="J294" s="3"/>
      <c r="K294" s="3"/>
      <c r="L294" s="3"/>
      <c r="M294" s="115"/>
      <c r="N294" s="116"/>
      <c r="O294" s="117"/>
      <c r="P294" s="117"/>
      <c r="Q294" s="117"/>
      <c r="R294" s="117"/>
      <c r="S294" s="115">
        <f>T294/F294</f>
        <v>1</v>
      </c>
      <c r="T294" s="116">
        <f>F294</f>
        <v>253.19</v>
      </c>
      <c r="U294" s="117">
        <f>T294*G294</f>
        <v>4668.8236000000006</v>
      </c>
      <c r="V294" s="118">
        <f t="shared" si="74"/>
        <v>1</v>
      </c>
      <c r="W294" s="116">
        <f t="shared" si="84"/>
        <v>253.19</v>
      </c>
      <c r="X294" s="117">
        <f t="shared" si="84"/>
        <v>4668.8236000000006</v>
      </c>
    </row>
    <row r="295" spans="1:24" ht="49.95" customHeight="1">
      <c r="A295" s="96" t="s">
        <v>352</v>
      </c>
      <c r="B295" s="20">
        <v>88489</v>
      </c>
      <c r="C295" s="98" t="s">
        <v>519</v>
      </c>
      <c r="D295" s="97" t="s">
        <v>37</v>
      </c>
      <c r="E295" s="97" t="s">
        <v>54</v>
      </c>
      <c r="F295" s="18">
        <v>253.19</v>
      </c>
      <c r="G295" s="19">
        <v>14.05</v>
      </c>
      <c r="H295" s="19">
        <f>F295*G295-0.01</f>
        <v>3557.3094999999998</v>
      </c>
      <c r="I295" s="3"/>
      <c r="J295" s="3"/>
      <c r="K295" s="3"/>
      <c r="L295" s="3"/>
      <c r="M295" s="115"/>
      <c r="N295" s="116"/>
      <c r="O295" s="117"/>
      <c r="P295" s="117"/>
      <c r="Q295" s="117"/>
      <c r="R295" s="117"/>
      <c r="S295" s="115">
        <f>T295/F295</f>
        <v>1</v>
      </c>
      <c r="T295" s="116">
        <f>F295</f>
        <v>253.19</v>
      </c>
      <c r="U295" s="117">
        <f>T295*G295-0.01</f>
        <v>3557.3094999999998</v>
      </c>
      <c r="V295" s="118">
        <f t="shared" si="74"/>
        <v>1</v>
      </c>
      <c r="W295" s="116">
        <f t="shared" si="84"/>
        <v>253.19</v>
      </c>
      <c r="X295" s="117">
        <f t="shared" si="84"/>
        <v>3557.3094999999998</v>
      </c>
    </row>
    <row r="296" spans="1:24" ht="49.95" customHeight="1">
      <c r="A296" s="96" t="s">
        <v>353</v>
      </c>
      <c r="B296" s="20">
        <v>10</v>
      </c>
      <c r="C296" s="98" t="s">
        <v>560</v>
      </c>
      <c r="D296" s="97" t="s">
        <v>55</v>
      </c>
      <c r="E296" s="97" t="s">
        <v>54</v>
      </c>
      <c r="F296" s="18">
        <v>30</v>
      </c>
      <c r="G296" s="19">
        <v>189.69</v>
      </c>
      <c r="H296" s="19">
        <f>F296*G296</f>
        <v>5690.7</v>
      </c>
      <c r="I296" s="3"/>
      <c r="J296" s="3"/>
      <c r="K296" s="3"/>
      <c r="L296" s="3"/>
      <c r="M296" s="115">
        <f t="shared" si="80"/>
        <v>1</v>
      </c>
      <c r="N296" s="116">
        <f t="shared" si="81"/>
        <v>30</v>
      </c>
      <c r="O296" s="117">
        <f t="shared" si="82"/>
        <v>5690.7</v>
      </c>
      <c r="P296" s="117"/>
      <c r="Q296" s="117"/>
      <c r="R296" s="117"/>
      <c r="S296" s="117"/>
      <c r="T296" s="117"/>
      <c r="U296" s="117"/>
      <c r="V296" s="118">
        <f>W296/F296</f>
        <v>1</v>
      </c>
      <c r="W296" s="116">
        <f t="shared" si="83"/>
        <v>30</v>
      </c>
      <c r="X296" s="117">
        <f>O296+L296</f>
        <v>5690.7</v>
      </c>
    </row>
    <row r="297" spans="1:24" ht="49.95" customHeight="1">
      <c r="A297" s="96" t="s">
        <v>354</v>
      </c>
      <c r="B297" s="20">
        <v>24</v>
      </c>
      <c r="C297" s="98" t="s">
        <v>561</v>
      </c>
      <c r="D297" s="97" t="s">
        <v>55</v>
      </c>
      <c r="E297" s="97" t="s">
        <v>38</v>
      </c>
      <c r="F297" s="18">
        <v>39.96</v>
      </c>
      <c r="G297" s="19">
        <v>60.12</v>
      </c>
      <c r="H297" s="19">
        <f>F297*G297-0.01</f>
        <v>2402.3851999999997</v>
      </c>
      <c r="I297" s="3"/>
      <c r="J297" s="3"/>
      <c r="K297" s="3"/>
      <c r="L297" s="3"/>
      <c r="M297" s="115">
        <f t="shared" si="80"/>
        <v>1</v>
      </c>
      <c r="N297" s="116">
        <f t="shared" si="81"/>
        <v>39.96</v>
      </c>
      <c r="O297" s="117">
        <f t="shared" si="82"/>
        <v>2402.3951999999999</v>
      </c>
      <c r="P297" s="117"/>
      <c r="Q297" s="117"/>
      <c r="R297" s="117"/>
      <c r="S297" s="117"/>
      <c r="T297" s="117"/>
      <c r="U297" s="117"/>
      <c r="V297" s="118">
        <f>W297/F297</f>
        <v>1</v>
      </c>
      <c r="W297" s="116">
        <f t="shared" si="83"/>
        <v>39.96</v>
      </c>
      <c r="X297" s="117">
        <f>O297+L297-0.01</f>
        <v>2402.3851999999997</v>
      </c>
    </row>
    <row r="298" spans="1:24" ht="20.100000000000001" customHeight="1">
      <c r="A298" s="113">
        <v>5</v>
      </c>
      <c r="B298" s="156" t="s">
        <v>355</v>
      </c>
      <c r="C298" s="156"/>
      <c r="D298" s="156"/>
      <c r="E298" s="156"/>
      <c r="F298" s="156"/>
      <c r="G298" s="156"/>
      <c r="H298" s="127">
        <f>SUM(H299,H310,H314)+0.01</f>
        <v>82217.371799999994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20.100000000000001" customHeight="1">
      <c r="A299" s="113" t="s">
        <v>23</v>
      </c>
      <c r="B299" s="156" t="s">
        <v>356</v>
      </c>
      <c r="C299" s="156"/>
      <c r="D299" s="156"/>
      <c r="E299" s="156"/>
      <c r="F299" s="156"/>
      <c r="G299" s="156"/>
      <c r="H299" s="127">
        <f>SUM(H300:H309)</f>
        <v>71588.159299999999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49.95" customHeight="1">
      <c r="A300" s="96" t="s">
        <v>357</v>
      </c>
      <c r="B300" s="20">
        <v>93679</v>
      </c>
      <c r="C300" s="98" t="s">
        <v>562</v>
      </c>
      <c r="D300" s="97" t="s">
        <v>37</v>
      </c>
      <c r="E300" s="97" t="s">
        <v>54</v>
      </c>
      <c r="F300" s="18">
        <v>192</v>
      </c>
      <c r="G300" s="19">
        <v>93.84</v>
      </c>
      <c r="H300" s="19">
        <f>F300*G300</f>
        <v>18017.28</v>
      </c>
      <c r="I300" s="3"/>
      <c r="J300" s="90"/>
      <c r="K300" s="91"/>
      <c r="L300" s="92"/>
      <c r="M300" s="92"/>
      <c r="N300" s="90"/>
      <c r="O300" s="91"/>
      <c r="P300" s="115">
        <f>Q300/F300</f>
        <v>1</v>
      </c>
      <c r="Q300" s="116">
        <f>F300</f>
        <v>192</v>
      </c>
      <c r="R300" s="117">
        <f>Q300*G300</f>
        <v>18017.28</v>
      </c>
      <c r="S300" s="115"/>
      <c r="T300" s="116"/>
      <c r="U300" s="117"/>
      <c r="V300" s="118">
        <f>W300/F300</f>
        <v>1</v>
      </c>
      <c r="W300" s="116">
        <f>N300+K300+Q300</f>
        <v>192</v>
      </c>
      <c r="X300" s="117">
        <f>O300+L300+R300</f>
        <v>18017.28</v>
      </c>
    </row>
    <row r="301" spans="1:24" ht="49.95" customHeight="1">
      <c r="A301" s="96" t="s">
        <v>358</v>
      </c>
      <c r="B301" s="97">
        <v>94275</v>
      </c>
      <c r="C301" s="98" t="s">
        <v>563</v>
      </c>
      <c r="D301" s="97" t="s">
        <v>37</v>
      </c>
      <c r="E301" s="97" t="s">
        <v>38</v>
      </c>
      <c r="F301" s="18">
        <v>132.02000000000001</v>
      </c>
      <c r="G301" s="19">
        <v>39.94</v>
      </c>
      <c r="H301" s="19">
        <f>F301*G301-0.01</f>
        <v>5272.8688000000002</v>
      </c>
      <c r="I301" s="3"/>
      <c r="J301" s="3"/>
      <c r="K301" s="3"/>
      <c r="L301" s="3"/>
      <c r="M301" s="3"/>
      <c r="N301" s="3"/>
      <c r="O301" s="3"/>
      <c r="P301" s="115">
        <f t="shared" ref="P301:P308" si="85">Q301/F301</f>
        <v>1</v>
      </c>
      <c r="Q301" s="116">
        <f t="shared" ref="Q301:Q308" si="86">F301</f>
        <v>132.02000000000001</v>
      </c>
      <c r="R301" s="117">
        <f t="shared" ref="R301:R308" si="87">Q301*G301</f>
        <v>5272.8788000000004</v>
      </c>
      <c r="S301" s="115"/>
      <c r="T301" s="116"/>
      <c r="U301" s="117"/>
      <c r="V301" s="118">
        <f t="shared" ref="V301:V309" si="88">W301/F301</f>
        <v>1</v>
      </c>
      <c r="W301" s="116">
        <f t="shared" ref="W301:W308" si="89">N301+K301+Q301</f>
        <v>132.02000000000001</v>
      </c>
      <c r="X301" s="117">
        <f>O301+L301+R301-0.01</f>
        <v>5272.8688000000002</v>
      </c>
    </row>
    <row r="302" spans="1:24" ht="49.95" customHeight="1">
      <c r="A302" s="96" t="s">
        <v>359</v>
      </c>
      <c r="B302" s="20">
        <v>94276</v>
      </c>
      <c r="C302" s="98" t="s">
        <v>564</v>
      </c>
      <c r="D302" s="97" t="s">
        <v>37</v>
      </c>
      <c r="E302" s="97" t="s">
        <v>38</v>
      </c>
      <c r="F302" s="18">
        <v>121.37</v>
      </c>
      <c r="G302" s="19">
        <v>43.06</v>
      </c>
      <c r="H302" s="19">
        <f t="shared" ref="H302:H309" si="90">F302*G302</f>
        <v>5226.1922000000004</v>
      </c>
      <c r="I302" s="3"/>
      <c r="J302" s="3"/>
      <c r="K302" s="3"/>
      <c r="L302" s="3"/>
      <c r="M302" s="3"/>
      <c r="N302" s="3"/>
      <c r="O302" s="3"/>
      <c r="P302" s="115">
        <f t="shared" si="85"/>
        <v>1</v>
      </c>
      <c r="Q302" s="116">
        <f t="shared" si="86"/>
        <v>121.37</v>
      </c>
      <c r="R302" s="117">
        <f t="shared" si="87"/>
        <v>5226.1922000000004</v>
      </c>
      <c r="S302" s="115"/>
      <c r="T302" s="116"/>
      <c r="U302" s="117"/>
      <c r="V302" s="118">
        <f t="shared" si="88"/>
        <v>1</v>
      </c>
      <c r="W302" s="116">
        <f t="shared" si="89"/>
        <v>121.37</v>
      </c>
      <c r="X302" s="117">
        <f t="shared" ref="X302:X308" si="91">O302+L302+R302</f>
        <v>5226.1922000000004</v>
      </c>
    </row>
    <row r="303" spans="1:24" ht="49.95" customHeight="1">
      <c r="A303" s="96" t="s">
        <v>360</v>
      </c>
      <c r="B303" s="20">
        <v>92397</v>
      </c>
      <c r="C303" s="98" t="s">
        <v>565</v>
      </c>
      <c r="D303" s="97" t="s">
        <v>37</v>
      </c>
      <c r="E303" s="97" t="s">
        <v>54</v>
      </c>
      <c r="F303" s="18">
        <v>400</v>
      </c>
      <c r="G303" s="19">
        <v>73.92</v>
      </c>
      <c r="H303" s="19">
        <f t="shared" si="90"/>
        <v>29568</v>
      </c>
      <c r="I303" s="3"/>
      <c r="J303" s="3"/>
      <c r="K303" s="3"/>
      <c r="L303" s="3"/>
      <c r="M303" s="3"/>
      <c r="N303" s="3"/>
      <c r="O303" s="3"/>
      <c r="P303" s="115">
        <f t="shared" si="85"/>
        <v>1</v>
      </c>
      <c r="Q303" s="116">
        <f t="shared" si="86"/>
        <v>400</v>
      </c>
      <c r="R303" s="117">
        <f t="shared" si="87"/>
        <v>29568</v>
      </c>
      <c r="S303" s="115"/>
      <c r="T303" s="116"/>
      <c r="U303" s="117"/>
      <c r="V303" s="118">
        <f t="shared" si="88"/>
        <v>1</v>
      </c>
      <c r="W303" s="116">
        <f t="shared" si="89"/>
        <v>400</v>
      </c>
      <c r="X303" s="117">
        <f t="shared" si="91"/>
        <v>29568</v>
      </c>
    </row>
    <row r="304" spans="1:24" ht="49.95" customHeight="1">
      <c r="A304" s="96" t="s">
        <v>361</v>
      </c>
      <c r="B304" s="20">
        <v>105004</v>
      </c>
      <c r="C304" s="98" t="s">
        <v>566</v>
      </c>
      <c r="D304" s="97" t="s">
        <v>37</v>
      </c>
      <c r="E304" s="97" t="s">
        <v>54</v>
      </c>
      <c r="F304" s="18">
        <v>5.0999999999999996</v>
      </c>
      <c r="G304" s="19">
        <v>134.66999999999999</v>
      </c>
      <c r="H304" s="19">
        <f>F304*G304-0.01</f>
        <v>686.8069999999999</v>
      </c>
      <c r="I304" s="3"/>
      <c r="J304" s="3"/>
      <c r="K304" s="3"/>
      <c r="L304" s="3"/>
      <c r="M304" s="3"/>
      <c r="N304" s="3"/>
      <c r="O304" s="3"/>
      <c r="P304" s="115">
        <f t="shared" si="85"/>
        <v>1</v>
      </c>
      <c r="Q304" s="116">
        <f t="shared" si="86"/>
        <v>5.0999999999999996</v>
      </c>
      <c r="R304" s="117">
        <f t="shared" si="87"/>
        <v>686.81699999999989</v>
      </c>
      <c r="S304" s="115"/>
      <c r="T304" s="116"/>
      <c r="U304" s="117"/>
      <c r="V304" s="118">
        <f t="shared" si="88"/>
        <v>1</v>
      </c>
      <c r="W304" s="116">
        <f t="shared" si="89"/>
        <v>5.0999999999999996</v>
      </c>
      <c r="X304" s="117">
        <f>O304+L304+R304-0.01</f>
        <v>686.8069999999999</v>
      </c>
    </row>
    <row r="305" spans="1:24" ht="49.95" customHeight="1">
      <c r="A305" s="96" t="s">
        <v>362</v>
      </c>
      <c r="B305" s="20">
        <v>102498</v>
      </c>
      <c r="C305" s="98" t="s">
        <v>567</v>
      </c>
      <c r="D305" s="97" t="s">
        <v>37</v>
      </c>
      <c r="E305" s="97" t="s">
        <v>38</v>
      </c>
      <c r="F305" s="18">
        <v>253.39</v>
      </c>
      <c r="G305" s="19">
        <v>1.77</v>
      </c>
      <c r="H305" s="19">
        <f t="shared" si="90"/>
        <v>448.50029999999998</v>
      </c>
      <c r="I305" s="3"/>
      <c r="J305" s="3"/>
      <c r="K305" s="3"/>
      <c r="L305" s="3"/>
      <c r="M305" s="3"/>
      <c r="N305" s="3"/>
      <c r="O305" s="3"/>
      <c r="P305" s="115">
        <f t="shared" si="85"/>
        <v>1</v>
      </c>
      <c r="Q305" s="116">
        <f t="shared" si="86"/>
        <v>253.39</v>
      </c>
      <c r="R305" s="117">
        <f t="shared" si="87"/>
        <v>448.50029999999998</v>
      </c>
      <c r="S305" s="115"/>
      <c r="T305" s="116"/>
      <c r="U305" s="117"/>
      <c r="V305" s="118">
        <f t="shared" si="88"/>
        <v>1</v>
      </c>
      <c r="W305" s="116">
        <f t="shared" si="89"/>
        <v>253.39</v>
      </c>
      <c r="X305" s="117">
        <f t="shared" si="91"/>
        <v>448.50029999999998</v>
      </c>
    </row>
    <row r="306" spans="1:24" ht="49.95" customHeight="1">
      <c r="A306" s="96" t="s">
        <v>363</v>
      </c>
      <c r="B306" s="20">
        <v>104658</v>
      </c>
      <c r="C306" s="98" t="s">
        <v>568</v>
      </c>
      <c r="D306" s="97" t="s">
        <v>37</v>
      </c>
      <c r="E306" s="97" t="s">
        <v>54</v>
      </c>
      <c r="F306" s="18">
        <v>38</v>
      </c>
      <c r="G306" s="19">
        <v>156.38999999999999</v>
      </c>
      <c r="H306" s="19">
        <f t="shared" si="90"/>
        <v>5942.82</v>
      </c>
      <c r="I306" s="3"/>
      <c r="J306" s="3"/>
      <c r="K306" s="3"/>
      <c r="L306" s="3"/>
      <c r="M306" s="3"/>
      <c r="N306" s="3"/>
      <c r="O306" s="3"/>
      <c r="P306" s="115">
        <f t="shared" si="85"/>
        <v>1</v>
      </c>
      <c r="Q306" s="116">
        <f t="shared" si="86"/>
        <v>38</v>
      </c>
      <c r="R306" s="117">
        <f t="shared" si="87"/>
        <v>5942.82</v>
      </c>
      <c r="S306" s="115"/>
      <c r="T306" s="116"/>
      <c r="U306" s="117"/>
      <c r="V306" s="118">
        <f t="shared" si="88"/>
        <v>1</v>
      </c>
      <c r="W306" s="116">
        <f t="shared" si="89"/>
        <v>38</v>
      </c>
      <c r="X306" s="117">
        <f t="shared" si="91"/>
        <v>5942.82</v>
      </c>
    </row>
    <row r="307" spans="1:24" ht="49.95" customHeight="1">
      <c r="A307" s="96" t="s">
        <v>364</v>
      </c>
      <c r="B307" s="20">
        <v>104658</v>
      </c>
      <c r="C307" s="98" t="s">
        <v>568</v>
      </c>
      <c r="D307" s="97" t="s">
        <v>37</v>
      </c>
      <c r="E307" s="97" t="s">
        <v>54</v>
      </c>
      <c r="F307" s="18">
        <v>1</v>
      </c>
      <c r="G307" s="19">
        <v>156.38999999999999</v>
      </c>
      <c r="H307" s="19">
        <f t="shared" si="90"/>
        <v>156.38999999999999</v>
      </c>
      <c r="I307" s="3"/>
      <c r="J307" s="3"/>
      <c r="K307" s="3"/>
      <c r="L307" s="3"/>
      <c r="M307" s="3"/>
      <c r="N307" s="3"/>
      <c r="O307" s="3"/>
      <c r="P307" s="115">
        <f t="shared" si="85"/>
        <v>1</v>
      </c>
      <c r="Q307" s="116">
        <f t="shared" si="86"/>
        <v>1</v>
      </c>
      <c r="R307" s="117">
        <f t="shared" si="87"/>
        <v>156.38999999999999</v>
      </c>
      <c r="S307" s="115"/>
      <c r="T307" s="116"/>
      <c r="U307" s="117"/>
      <c r="V307" s="118">
        <f t="shared" si="88"/>
        <v>1</v>
      </c>
      <c r="W307" s="116">
        <f t="shared" si="89"/>
        <v>1</v>
      </c>
      <c r="X307" s="117">
        <f t="shared" si="91"/>
        <v>156.38999999999999</v>
      </c>
    </row>
    <row r="308" spans="1:24" ht="49.95" customHeight="1">
      <c r="A308" s="96" t="s">
        <v>365</v>
      </c>
      <c r="B308" s="20">
        <v>102494</v>
      </c>
      <c r="C308" s="98" t="s">
        <v>569</v>
      </c>
      <c r="D308" s="97" t="s">
        <v>37</v>
      </c>
      <c r="E308" s="97" t="s">
        <v>54</v>
      </c>
      <c r="F308" s="18">
        <v>5.0999999999999996</v>
      </c>
      <c r="G308" s="19">
        <v>67.510000000000005</v>
      </c>
      <c r="H308" s="19">
        <f t="shared" si="90"/>
        <v>344.30099999999999</v>
      </c>
      <c r="I308" s="3"/>
      <c r="J308" s="90"/>
      <c r="K308" s="91"/>
      <c r="L308" s="92"/>
      <c r="M308" s="92"/>
      <c r="N308" s="90"/>
      <c r="O308" s="91"/>
      <c r="P308" s="115">
        <f t="shared" si="85"/>
        <v>1</v>
      </c>
      <c r="Q308" s="116">
        <f t="shared" si="86"/>
        <v>5.0999999999999996</v>
      </c>
      <c r="R308" s="117">
        <f t="shared" si="87"/>
        <v>344.30099999999999</v>
      </c>
      <c r="S308" s="115"/>
      <c r="T308" s="116"/>
      <c r="U308" s="117"/>
      <c r="V308" s="118">
        <f t="shared" si="88"/>
        <v>1</v>
      </c>
      <c r="W308" s="116">
        <f t="shared" si="89"/>
        <v>5.0999999999999996</v>
      </c>
      <c r="X308" s="117">
        <f t="shared" si="91"/>
        <v>344.30099999999999</v>
      </c>
    </row>
    <row r="309" spans="1:24" ht="49.95" customHeight="1">
      <c r="A309" s="96" t="s">
        <v>366</v>
      </c>
      <c r="B309" s="97">
        <v>103946</v>
      </c>
      <c r="C309" s="98" t="s">
        <v>570</v>
      </c>
      <c r="D309" s="97" t="s">
        <v>37</v>
      </c>
      <c r="E309" s="97" t="s">
        <v>54</v>
      </c>
      <c r="F309" s="18">
        <v>250</v>
      </c>
      <c r="G309" s="19">
        <v>23.7</v>
      </c>
      <c r="H309" s="19">
        <f t="shared" si="90"/>
        <v>5925</v>
      </c>
      <c r="I309" s="3"/>
      <c r="J309" s="3"/>
      <c r="K309" s="3"/>
      <c r="L309" s="3"/>
      <c r="M309" s="3"/>
      <c r="N309" s="3"/>
      <c r="O309" s="3"/>
      <c r="P309" s="115"/>
      <c r="Q309" s="116"/>
      <c r="R309" s="117"/>
      <c r="S309" s="115">
        <f>T309/F309</f>
        <v>1</v>
      </c>
      <c r="T309" s="116">
        <f>F309</f>
        <v>250</v>
      </c>
      <c r="U309" s="117">
        <f>T309*G309</f>
        <v>5925</v>
      </c>
      <c r="V309" s="118">
        <f t="shared" si="88"/>
        <v>1</v>
      </c>
      <c r="W309" s="116">
        <f>N309+K309+Q309+T309</f>
        <v>250</v>
      </c>
      <c r="X309" s="117">
        <f>O309+L309+R309+U309</f>
        <v>5925</v>
      </c>
    </row>
    <row r="310" spans="1:24" ht="20.100000000000001" customHeight="1">
      <c r="A310" s="113" t="s">
        <v>34</v>
      </c>
      <c r="B310" s="156" t="s">
        <v>367</v>
      </c>
      <c r="C310" s="156"/>
      <c r="D310" s="156"/>
      <c r="E310" s="156"/>
      <c r="F310" s="156"/>
      <c r="G310" s="156"/>
      <c r="H310" s="127">
        <f>SUM(H311:H313)-0.01</f>
        <v>2906.4566999999997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49.95" customHeight="1">
      <c r="A311" s="96" t="s">
        <v>368</v>
      </c>
      <c r="B311" s="20">
        <v>103946</v>
      </c>
      <c r="C311" s="98" t="s">
        <v>570</v>
      </c>
      <c r="D311" s="97" t="s">
        <v>37</v>
      </c>
      <c r="E311" s="97" t="s">
        <v>54</v>
      </c>
      <c r="F311" s="18">
        <v>25.69</v>
      </c>
      <c r="G311" s="19">
        <v>23.7</v>
      </c>
      <c r="H311" s="19">
        <f>F311*G311</f>
        <v>608.85300000000007</v>
      </c>
      <c r="I311" s="3"/>
      <c r="J311" s="90"/>
      <c r="K311" s="91"/>
      <c r="L311" s="92"/>
      <c r="M311" s="92"/>
      <c r="N311" s="90"/>
      <c r="O311" s="91"/>
      <c r="P311" s="91"/>
      <c r="Q311" s="91"/>
      <c r="R311" s="91"/>
      <c r="S311" s="115">
        <f>T311/F311</f>
        <v>1</v>
      </c>
      <c r="T311" s="116">
        <f>F311</f>
        <v>25.69</v>
      </c>
      <c r="U311" s="117">
        <f>T311*G311</f>
        <v>608.85300000000007</v>
      </c>
      <c r="V311" s="118">
        <f>W311/F311</f>
        <v>1</v>
      </c>
      <c r="W311" s="116">
        <f t="shared" ref="W311:X313" si="92">N311+K311+Q311+T311</f>
        <v>25.69</v>
      </c>
      <c r="X311" s="117">
        <f t="shared" si="92"/>
        <v>608.85300000000007</v>
      </c>
    </row>
    <row r="312" spans="1:24" ht="49.95" customHeight="1">
      <c r="A312" s="96" t="s">
        <v>369</v>
      </c>
      <c r="B312" s="97">
        <v>105521</v>
      </c>
      <c r="C312" s="98" t="s">
        <v>571</v>
      </c>
      <c r="D312" s="97" t="s">
        <v>37</v>
      </c>
      <c r="E312" s="97" t="s">
        <v>54</v>
      </c>
      <c r="F312" s="18">
        <v>25.69</v>
      </c>
      <c r="G312" s="19">
        <v>3.73</v>
      </c>
      <c r="H312" s="19">
        <f>F312*G312</f>
        <v>95.823700000000002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115">
        <f>T312/F312</f>
        <v>1</v>
      </c>
      <c r="T312" s="116">
        <f>F312</f>
        <v>25.69</v>
      </c>
      <c r="U312" s="117">
        <f>T312*G312</f>
        <v>95.823700000000002</v>
      </c>
      <c r="V312" s="118">
        <f>W312/F312</f>
        <v>1</v>
      </c>
      <c r="W312" s="116">
        <f t="shared" si="92"/>
        <v>25.69</v>
      </c>
      <c r="X312" s="117">
        <f t="shared" si="92"/>
        <v>95.823700000000002</v>
      </c>
    </row>
    <row r="313" spans="1:24" ht="49.95" customHeight="1">
      <c r="A313" s="96" t="s">
        <v>370</v>
      </c>
      <c r="B313" s="20">
        <v>25</v>
      </c>
      <c r="C313" s="98" t="s">
        <v>572</v>
      </c>
      <c r="D313" s="97" t="s">
        <v>55</v>
      </c>
      <c r="E313" s="97" t="s">
        <v>5</v>
      </c>
      <c r="F313" s="18">
        <v>3</v>
      </c>
      <c r="G313" s="19">
        <v>733.93</v>
      </c>
      <c r="H313" s="19">
        <f>F313*G313</f>
        <v>2201.79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115">
        <f>T313/F313</f>
        <v>1</v>
      </c>
      <c r="T313" s="116">
        <f>F313</f>
        <v>3</v>
      </c>
      <c r="U313" s="117">
        <f>T313*G313</f>
        <v>2201.79</v>
      </c>
      <c r="V313" s="118">
        <f>W313/F313</f>
        <v>1</v>
      </c>
      <c r="W313" s="116">
        <f t="shared" si="92"/>
        <v>3</v>
      </c>
      <c r="X313" s="117">
        <f t="shared" si="92"/>
        <v>2201.79</v>
      </c>
    </row>
    <row r="314" spans="1:24" ht="20.100000000000001" customHeight="1">
      <c r="A314" s="113" t="s">
        <v>35</v>
      </c>
      <c r="B314" s="156" t="s">
        <v>371</v>
      </c>
      <c r="C314" s="156"/>
      <c r="D314" s="156"/>
      <c r="E314" s="156"/>
      <c r="F314" s="156"/>
      <c r="G314" s="156"/>
      <c r="H314" s="127">
        <f>SUM(H315:H323)</f>
        <v>7722.7457999999997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49.95" customHeight="1">
      <c r="A315" s="96" t="s">
        <v>372</v>
      </c>
      <c r="B315" s="20">
        <v>93358</v>
      </c>
      <c r="C315" s="98" t="s">
        <v>400</v>
      </c>
      <c r="D315" s="97" t="s">
        <v>37</v>
      </c>
      <c r="E315" s="97" t="s">
        <v>56</v>
      </c>
      <c r="F315" s="18">
        <v>1.92</v>
      </c>
      <c r="G315" s="19">
        <v>96.82</v>
      </c>
      <c r="H315" s="19">
        <f>F315*G315</f>
        <v>185.89439999999999</v>
      </c>
      <c r="I315" s="3"/>
      <c r="J315" s="90"/>
      <c r="K315" s="91"/>
      <c r="L315" s="92"/>
      <c r="M315" s="115">
        <f>N315/F315</f>
        <v>1</v>
      </c>
      <c r="N315" s="116">
        <f>F315</f>
        <v>1.92</v>
      </c>
      <c r="O315" s="117">
        <f>N315*G315</f>
        <v>185.89439999999999</v>
      </c>
      <c r="P315" s="117"/>
      <c r="Q315" s="117"/>
      <c r="R315" s="117"/>
      <c r="S315" s="117"/>
      <c r="T315" s="117"/>
      <c r="U315" s="117"/>
      <c r="V315" s="118">
        <f t="shared" ref="V315:V323" si="93">W315/F315</f>
        <v>1</v>
      </c>
      <c r="W315" s="116">
        <f>N315+K315</f>
        <v>1.92</v>
      </c>
      <c r="X315" s="117">
        <f>O315+L315</f>
        <v>185.89439999999999</v>
      </c>
    </row>
    <row r="316" spans="1:24" ht="49.95" customHeight="1">
      <c r="A316" s="96" t="s">
        <v>373</v>
      </c>
      <c r="B316" s="97">
        <v>101616</v>
      </c>
      <c r="C316" s="98" t="s">
        <v>403</v>
      </c>
      <c r="D316" s="97" t="s">
        <v>37</v>
      </c>
      <c r="E316" s="97" t="s">
        <v>54</v>
      </c>
      <c r="F316" s="18">
        <v>6.4</v>
      </c>
      <c r="G316" s="19">
        <v>7.07</v>
      </c>
      <c r="H316" s="19">
        <f>F316*G316-0.01</f>
        <v>45.238000000000007</v>
      </c>
      <c r="I316" s="3"/>
      <c r="J316" s="3"/>
      <c r="K316" s="3"/>
      <c r="L316" s="3"/>
      <c r="M316" s="115">
        <f>N316/F316</f>
        <v>1</v>
      </c>
      <c r="N316" s="116">
        <f>F316</f>
        <v>6.4</v>
      </c>
      <c r="O316" s="117">
        <f>N316*G316</f>
        <v>45.248000000000005</v>
      </c>
      <c r="P316" s="117"/>
      <c r="Q316" s="117"/>
      <c r="R316" s="117"/>
      <c r="S316" s="117"/>
      <c r="T316" s="117"/>
      <c r="U316" s="117"/>
      <c r="V316" s="118">
        <f t="shared" si="93"/>
        <v>1</v>
      </c>
      <c r="W316" s="116">
        <f>N316+K316</f>
        <v>6.4</v>
      </c>
      <c r="X316" s="117">
        <f>O316+L316-0.01</f>
        <v>45.238000000000007</v>
      </c>
    </row>
    <row r="317" spans="1:24" ht="49.95" customHeight="1">
      <c r="A317" s="96" t="s">
        <v>374</v>
      </c>
      <c r="B317" s="20">
        <v>96619</v>
      </c>
      <c r="C317" s="98" t="s">
        <v>402</v>
      </c>
      <c r="D317" s="97" t="s">
        <v>37</v>
      </c>
      <c r="E317" s="97" t="s">
        <v>54</v>
      </c>
      <c r="F317" s="18">
        <v>6.4</v>
      </c>
      <c r="G317" s="19">
        <v>44.9</v>
      </c>
      <c r="H317" s="19">
        <f>F317*G317</f>
        <v>287.36</v>
      </c>
      <c r="I317" s="3"/>
      <c r="J317" s="3"/>
      <c r="K317" s="3"/>
      <c r="L317" s="3"/>
      <c r="M317" s="115">
        <f>N317/F317</f>
        <v>1</v>
      </c>
      <c r="N317" s="116">
        <f>F317</f>
        <v>6.4</v>
      </c>
      <c r="O317" s="117">
        <f>N317*G317</f>
        <v>287.36</v>
      </c>
      <c r="P317" s="117"/>
      <c r="Q317" s="117"/>
      <c r="R317" s="117"/>
      <c r="S317" s="117"/>
      <c r="T317" s="117"/>
      <c r="U317" s="117"/>
      <c r="V317" s="118">
        <f t="shared" si="93"/>
        <v>1</v>
      </c>
      <c r="W317" s="116">
        <f>N317+K317</f>
        <v>6.4</v>
      </c>
      <c r="X317" s="117">
        <f>O317+L317</f>
        <v>287.36</v>
      </c>
    </row>
    <row r="318" spans="1:24" ht="49.95" customHeight="1">
      <c r="A318" s="96" t="s">
        <v>375</v>
      </c>
      <c r="B318" s="20">
        <v>8</v>
      </c>
      <c r="C318" s="98" t="s">
        <v>573</v>
      </c>
      <c r="D318" s="97" t="s">
        <v>55</v>
      </c>
      <c r="E318" s="97" t="s">
        <v>54</v>
      </c>
      <c r="F318" s="18">
        <v>1.92</v>
      </c>
      <c r="G318" s="19">
        <v>120.42</v>
      </c>
      <c r="H318" s="19">
        <f>F318*G318-0.01</f>
        <v>231.19640000000001</v>
      </c>
      <c r="I318" s="3"/>
      <c r="J318" s="3"/>
      <c r="K318" s="3"/>
      <c r="L318" s="3"/>
      <c r="M318" s="115">
        <f>N318/F318</f>
        <v>1</v>
      </c>
      <c r="N318" s="116">
        <f>F318</f>
        <v>1.92</v>
      </c>
      <c r="O318" s="117">
        <f>N318*G318</f>
        <v>231.2064</v>
      </c>
      <c r="P318" s="117"/>
      <c r="Q318" s="117"/>
      <c r="R318" s="117"/>
      <c r="S318" s="117"/>
      <c r="T318" s="117"/>
      <c r="U318" s="117"/>
      <c r="V318" s="118">
        <f t="shared" si="93"/>
        <v>1</v>
      </c>
      <c r="W318" s="116">
        <f>N318+K318</f>
        <v>1.92</v>
      </c>
      <c r="X318" s="117">
        <f>O318+L318-0.01</f>
        <v>231.19640000000001</v>
      </c>
    </row>
    <row r="319" spans="1:24" ht="49.95" customHeight="1">
      <c r="A319" s="96" t="s">
        <v>376</v>
      </c>
      <c r="B319" s="20">
        <v>87878</v>
      </c>
      <c r="C319" s="98" t="s">
        <v>574</v>
      </c>
      <c r="D319" s="97" t="s">
        <v>37</v>
      </c>
      <c r="E319" s="97" t="s">
        <v>54</v>
      </c>
      <c r="F319" s="18">
        <v>14.4</v>
      </c>
      <c r="G319" s="19">
        <v>5.51</v>
      </c>
      <c r="H319" s="19">
        <f>F319*G319</f>
        <v>79.343999999999994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115">
        <f>T319/F319</f>
        <v>1</v>
      </c>
      <c r="T319" s="116">
        <f>F319</f>
        <v>14.4</v>
      </c>
      <c r="U319" s="117">
        <f>T319*G319</f>
        <v>79.343999999999994</v>
      </c>
      <c r="V319" s="118">
        <f t="shared" si="93"/>
        <v>1</v>
      </c>
      <c r="W319" s="116">
        <f t="shared" ref="W319:X323" si="94">N319+K319+Q319+T319</f>
        <v>14.4</v>
      </c>
      <c r="X319" s="117">
        <f t="shared" si="94"/>
        <v>79.343999999999994</v>
      </c>
    </row>
    <row r="320" spans="1:24" ht="49.95" customHeight="1">
      <c r="A320" s="96" t="s">
        <v>377</v>
      </c>
      <c r="B320" s="20">
        <v>87528</v>
      </c>
      <c r="C320" s="98" t="s">
        <v>575</v>
      </c>
      <c r="D320" s="97" t="s">
        <v>37</v>
      </c>
      <c r="E320" s="97" t="s">
        <v>54</v>
      </c>
      <c r="F320" s="18">
        <v>14.4</v>
      </c>
      <c r="G320" s="19">
        <v>48.77</v>
      </c>
      <c r="H320" s="19">
        <f>F320*G320-0.01</f>
        <v>702.27800000000002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115">
        <f>T320/F320</f>
        <v>1</v>
      </c>
      <c r="T320" s="116">
        <f>F320</f>
        <v>14.4</v>
      </c>
      <c r="U320" s="117">
        <f>T320*G320-0.01</f>
        <v>702.27800000000002</v>
      </c>
      <c r="V320" s="118">
        <f t="shared" si="93"/>
        <v>1</v>
      </c>
      <c r="W320" s="116">
        <f t="shared" si="94"/>
        <v>14.4</v>
      </c>
      <c r="X320" s="117">
        <f t="shared" si="94"/>
        <v>702.27800000000002</v>
      </c>
    </row>
    <row r="321" spans="1:24" ht="49.95" customHeight="1">
      <c r="A321" s="96" t="s">
        <v>378</v>
      </c>
      <c r="B321" s="20">
        <v>95305</v>
      </c>
      <c r="C321" s="98" t="s">
        <v>576</v>
      </c>
      <c r="D321" s="97" t="s">
        <v>37</v>
      </c>
      <c r="E321" s="97" t="s">
        <v>54</v>
      </c>
      <c r="F321" s="18">
        <v>14.4</v>
      </c>
      <c r="G321" s="19">
        <v>14.88</v>
      </c>
      <c r="H321" s="19">
        <f>F321*G321</f>
        <v>214.27200000000002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115">
        <f>T321/F321</f>
        <v>1</v>
      </c>
      <c r="T321" s="116">
        <f>F321</f>
        <v>14.4</v>
      </c>
      <c r="U321" s="117">
        <f>T321*G321</f>
        <v>214.27200000000002</v>
      </c>
      <c r="V321" s="118">
        <f t="shared" si="93"/>
        <v>1</v>
      </c>
      <c r="W321" s="116">
        <f t="shared" si="94"/>
        <v>14.4</v>
      </c>
      <c r="X321" s="117">
        <f t="shared" si="94"/>
        <v>214.27200000000002</v>
      </c>
    </row>
    <row r="322" spans="1:24" ht="49.95" customHeight="1">
      <c r="A322" s="96" t="s">
        <v>379</v>
      </c>
      <c r="B322" s="20">
        <v>8</v>
      </c>
      <c r="C322" s="98" t="s">
        <v>573</v>
      </c>
      <c r="D322" s="97" t="s">
        <v>55</v>
      </c>
      <c r="E322" s="97" t="s">
        <v>54</v>
      </c>
      <c r="F322" s="18">
        <v>14.4</v>
      </c>
      <c r="G322" s="19">
        <v>120.42</v>
      </c>
      <c r="H322" s="19">
        <f>F322*G322-0.01</f>
        <v>1734.038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115">
        <f>T322/F322</f>
        <v>1</v>
      </c>
      <c r="T322" s="116">
        <f>F322</f>
        <v>14.4</v>
      </c>
      <c r="U322" s="117">
        <f>T322*G322-0.01</f>
        <v>1734.038</v>
      </c>
      <c r="V322" s="118">
        <f t="shared" si="93"/>
        <v>1</v>
      </c>
      <c r="W322" s="116">
        <f t="shared" si="94"/>
        <v>14.4</v>
      </c>
      <c r="X322" s="117">
        <f t="shared" si="94"/>
        <v>1734.038</v>
      </c>
    </row>
    <row r="323" spans="1:24" ht="49.95" customHeight="1">
      <c r="A323" s="96" t="s">
        <v>380</v>
      </c>
      <c r="B323" s="20">
        <v>7</v>
      </c>
      <c r="C323" s="98" t="s">
        <v>577</v>
      </c>
      <c r="D323" s="97" t="s">
        <v>55</v>
      </c>
      <c r="E323" s="97" t="s">
        <v>54</v>
      </c>
      <c r="F323" s="18">
        <v>6.5</v>
      </c>
      <c r="G323" s="19">
        <v>652.79</v>
      </c>
      <c r="H323" s="19">
        <f>F323*G323-0.01</f>
        <v>4243.125</v>
      </c>
      <c r="I323" s="3"/>
      <c r="J323" s="90"/>
      <c r="K323" s="91"/>
      <c r="L323" s="92"/>
      <c r="M323" s="92"/>
      <c r="N323" s="90"/>
      <c r="O323" s="91"/>
      <c r="P323" s="91"/>
      <c r="Q323" s="91"/>
      <c r="R323" s="91"/>
      <c r="S323" s="115">
        <f>T323/F323</f>
        <v>1</v>
      </c>
      <c r="T323" s="116">
        <f>F323</f>
        <v>6.5</v>
      </c>
      <c r="U323" s="117">
        <f>T323*G323-0.01</f>
        <v>4243.125</v>
      </c>
      <c r="V323" s="118">
        <f t="shared" si="93"/>
        <v>1</v>
      </c>
      <c r="W323" s="116">
        <f t="shared" si="94"/>
        <v>6.5</v>
      </c>
      <c r="X323" s="117">
        <f t="shared" si="94"/>
        <v>4243.125</v>
      </c>
    </row>
    <row r="324" spans="1:24" ht="20.100000000000001" customHeight="1">
      <c r="A324" s="113">
        <v>6</v>
      </c>
      <c r="B324" s="156" t="s">
        <v>381</v>
      </c>
      <c r="C324" s="156"/>
      <c r="D324" s="156"/>
      <c r="E324" s="156"/>
      <c r="F324" s="156"/>
      <c r="G324" s="156"/>
      <c r="H324" s="127">
        <f>SUM(H325:H343)</f>
        <v>46833.661200000002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49.95" customHeight="1">
      <c r="A325" s="96" t="s">
        <v>24</v>
      </c>
      <c r="B325" s="20">
        <v>93358</v>
      </c>
      <c r="C325" s="98" t="s">
        <v>400</v>
      </c>
      <c r="D325" s="97" t="s">
        <v>37</v>
      </c>
      <c r="E325" s="97" t="s">
        <v>56</v>
      </c>
      <c r="F325" s="18">
        <v>13.41</v>
      </c>
      <c r="G325" s="19">
        <v>96.82</v>
      </c>
      <c r="H325" s="19">
        <f>F325*G325-0.01</f>
        <v>1298.3462</v>
      </c>
      <c r="I325" s="3"/>
      <c r="J325" s="90"/>
      <c r="K325" s="91"/>
      <c r="L325" s="92"/>
      <c r="M325" s="115">
        <f>N325/F325</f>
        <v>1</v>
      </c>
      <c r="N325" s="116">
        <f>F325</f>
        <v>13.41</v>
      </c>
      <c r="O325" s="117">
        <f>N325*G325</f>
        <v>1298.3561999999999</v>
      </c>
      <c r="P325" s="117"/>
      <c r="Q325" s="117"/>
      <c r="R325" s="117"/>
      <c r="S325" s="117"/>
      <c r="T325" s="117"/>
      <c r="U325" s="117"/>
      <c r="V325" s="118">
        <f t="shared" ref="V325:V343" si="95">W325/F325</f>
        <v>1</v>
      </c>
      <c r="W325" s="116">
        <f>N325+K325</f>
        <v>13.41</v>
      </c>
      <c r="X325" s="117">
        <f>O325+L325</f>
        <v>1298.3561999999999</v>
      </c>
    </row>
    <row r="326" spans="1:24" ht="49.95" customHeight="1">
      <c r="A326" s="96" t="s">
        <v>36</v>
      </c>
      <c r="B326" s="97">
        <v>97882</v>
      </c>
      <c r="C326" s="98" t="s">
        <v>578</v>
      </c>
      <c r="D326" s="97" t="s">
        <v>37</v>
      </c>
      <c r="E326" s="97" t="s">
        <v>57</v>
      </c>
      <c r="F326" s="18">
        <v>15</v>
      </c>
      <c r="G326" s="19">
        <v>270.14999999999998</v>
      </c>
      <c r="H326" s="19">
        <f t="shared" ref="H326:H343" si="96">F326*G326</f>
        <v>4052.2499999999995</v>
      </c>
      <c r="I326" s="3"/>
      <c r="J326" s="3"/>
      <c r="K326" s="3"/>
      <c r="L326" s="3"/>
      <c r="M326" s="115">
        <f t="shared" ref="M326:M342" si="97">N326/F326</f>
        <v>1</v>
      </c>
      <c r="N326" s="116">
        <f t="shared" ref="N326:N342" si="98">F326</f>
        <v>15</v>
      </c>
      <c r="O326" s="117">
        <f t="shared" ref="O326:O342" si="99">N326*G326</f>
        <v>4052.2499999999995</v>
      </c>
      <c r="P326" s="117"/>
      <c r="Q326" s="117"/>
      <c r="R326" s="117"/>
      <c r="S326" s="117"/>
      <c r="T326" s="117"/>
      <c r="U326" s="117"/>
      <c r="V326" s="118">
        <f t="shared" si="95"/>
        <v>1</v>
      </c>
      <c r="W326" s="116">
        <f t="shared" ref="W326:W342" si="100">N326+K326</f>
        <v>15</v>
      </c>
      <c r="X326" s="117">
        <f t="shared" ref="X326:X342" si="101">O326+L326</f>
        <v>4052.2499999999995</v>
      </c>
    </row>
    <row r="327" spans="1:24" ht="49.95" customHeight="1">
      <c r="A327" s="96" t="s">
        <v>382</v>
      </c>
      <c r="B327" s="20">
        <v>20</v>
      </c>
      <c r="C327" s="98" t="s">
        <v>579</v>
      </c>
      <c r="D327" s="97" t="s">
        <v>55</v>
      </c>
      <c r="E327" s="97" t="s">
        <v>5</v>
      </c>
      <c r="F327" s="18">
        <v>1</v>
      </c>
      <c r="G327" s="19">
        <v>8.85</v>
      </c>
      <c r="H327" s="19">
        <f t="shared" si="96"/>
        <v>8.85</v>
      </c>
      <c r="I327" s="3"/>
      <c r="J327" s="3"/>
      <c r="K327" s="3"/>
      <c r="L327" s="3"/>
      <c r="M327" s="115">
        <f t="shared" si="97"/>
        <v>1</v>
      </c>
      <c r="N327" s="116">
        <f t="shared" si="98"/>
        <v>1</v>
      </c>
      <c r="O327" s="117">
        <f t="shared" si="99"/>
        <v>8.85</v>
      </c>
      <c r="P327" s="117"/>
      <c r="Q327" s="117"/>
      <c r="R327" s="117"/>
      <c r="S327" s="117"/>
      <c r="T327" s="117"/>
      <c r="U327" s="117"/>
      <c r="V327" s="118">
        <f t="shared" si="95"/>
        <v>1</v>
      </c>
      <c r="W327" s="116">
        <f t="shared" si="100"/>
        <v>1</v>
      </c>
      <c r="X327" s="117">
        <f t="shared" si="101"/>
        <v>8.85</v>
      </c>
    </row>
    <row r="328" spans="1:24" ht="49.95" customHeight="1">
      <c r="A328" s="96" t="s">
        <v>383</v>
      </c>
      <c r="B328" s="20">
        <v>91914</v>
      </c>
      <c r="C328" s="98" t="s">
        <v>461</v>
      </c>
      <c r="D328" s="97" t="s">
        <v>37</v>
      </c>
      <c r="E328" s="97" t="s">
        <v>57</v>
      </c>
      <c r="F328" s="18">
        <v>3</v>
      </c>
      <c r="G328" s="19">
        <v>18.579999999999998</v>
      </c>
      <c r="H328" s="19">
        <f t="shared" si="96"/>
        <v>55.739999999999995</v>
      </c>
      <c r="I328" s="3"/>
      <c r="J328" s="3"/>
      <c r="K328" s="3"/>
      <c r="L328" s="3"/>
      <c r="M328" s="115">
        <f t="shared" si="97"/>
        <v>1</v>
      </c>
      <c r="N328" s="116">
        <f t="shared" si="98"/>
        <v>3</v>
      </c>
      <c r="O328" s="117">
        <f t="shared" si="99"/>
        <v>55.739999999999995</v>
      </c>
      <c r="P328" s="117"/>
      <c r="Q328" s="117"/>
      <c r="R328" s="117"/>
      <c r="S328" s="117"/>
      <c r="T328" s="117"/>
      <c r="U328" s="117"/>
      <c r="V328" s="118">
        <f t="shared" si="95"/>
        <v>1</v>
      </c>
      <c r="W328" s="116">
        <f t="shared" si="100"/>
        <v>3</v>
      </c>
      <c r="X328" s="117">
        <f t="shared" si="101"/>
        <v>55.739999999999995</v>
      </c>
    </row>
    <row r="329" spans="1:24" ht="49.95" customHeight="1">
      <c r="A329" s="96" t="s">
        <v>384</v>
      </c>
      <c r="B329" s="20">
        <v>91902</v>
      </c>
      <c r="C329" s="98" t="s">
        <v>580</v>
      </c>
      <c r="D329" s="97" t="s">
        <v>37</v>
      </c>
      <c r="E329" s="97" t="s">
        <v>57</v>
      </c>
      <c r="F329" s="18">
        <v>3</v>
      </c>
      <c r="G329" s="19">
        <v>11.01</v>
      </c>
      <c r="H329" s="19">
        <f t="shared" si="96"/>
        <v>33.03</v>
      </c>
      <c r="I329" s="3"/>
      <c r="J329" s="3"/>
      <c r="K329" s="3"/>
      <c r="L329" s="3"/>
      <c r="M329" s="115">
        <f t="shared" si="97"/>
        <v>1</v>
      </c>
      <c r="N329" s="116">
        <f t="shared" si="98"/>
        <v>3</v>
      </c>
      <c r="O329" s="117">
        <f t="shared" si="99"/>
        <v>33.03</v>
      </c>
      <c r="P329" s="117"/>
      <c r="Q329" s="117"/>
      <c r="R329" s="117"/>
      <c r="S329" s="117"/>
      <c r="T329" s="117"/>
      <c r="U329" s="117"/>
      <c r="V329" s="118">
        <f t="shared" si="95"/>
        <v>1</v>
      </c>
      <c r="W329" s="116">
        <f t="shared" si="100"/>
        <v>3</v>
      </c>
      <c r="X329" s="117">
        <f t="shared" si="101"/>
        <v>33.03</v>
      </c>
    </row>
    <row r="330" spans="1:24" ht="49.95" customHeight="1">
      <c r="A330" s="96" t="s">
        <v>385</v>
      </c>
      <c r="B330" s="20">
        <v>91884</v>
      </c>
      <c r="C330" s="98" t="s">
        <v>462</v>
      </c>
      <c r="D330" s="97" t="s">
        <v>37</v>
      </c>
      <c r="E330" s="97" t="s">
        <v>57</v>
      </c>
      <c r="F330" s="18">
        <v>6</v>
      </c>
      <c r="G330" s="19">
        <v>11.97</v>
      </c>
      <c r="H330" s="19">
        <f t="shared" si="96"/>
        <v>71.820000000000007</v>
      </c>
      <c r="I330" s="3"/>
      <c r="J330" s="3"/>
      <c r="K330" s="3"/>
      <c r="L330" s="3"/>
      <c r="M330" s="115">
        <f t="shared" si="97"/>
        <v>1</v>
      </c>
      <c r="N330" s="116">
        <f t="shared" si="98"/>
        <v>6</v>
      </c>
      <c r="O330" s="117">
        <f t="shared" si="99"/>
        <v>71.820000000000007</v>
      </c>
      <c r="P330" s="117"/>
      <c r="Q330" s="117"/>
      <c r="R330" s="117"/>
      <c r="S330" s="117"/>
      <c r="T330" s="117"/>
      <c r="U330" s="117"/>
      <c r="V330" s="118">
        <f t="shared" si="95"/>
        <v>1</v>
      </c>
      <c r="W330" s="116">
        <f t="shared" si="100"/>
        <v>6</v>
      </c>
      <c r="X330" s="117">
        <f t="shared" si="101"/>
        <v>71.820000000000007</v>
      </c>
    </row>
    <row r="331" spans="1:24" ht="49.95" customHeight="1">
      <c r="A331" s="96" t="s">
        <v>386</v>
      </c>
      <c r="B331" s="20">
        <v>93013</v>
      </c>
      <c r="C331" s="98" t="s">
        <v>581</v>
      </c>
      <c r="D331" s="97" t="s">
        <v>37</v>
      </c>
      <c r="E331" s="97" t="s">
        <v>57</v>
      </c>
      <c r="F331" s="18">
        <v>8</v>
      </c>
      <c r="G331" s="19">
        <v>15.07</v>
      </c>
      <c r="H331" s="19">
        <f t="shared" si="96"/>
        <v>120.56</v>
      </c>
      <c r="I331" s="3"/>
      <c r="J331" s="3"/>
      <c r="K331" s="3"/>
      <c r="L331" s="3"/>
      <c r="M331" s="115">
        <f t="shared" si="97"/>
        <v>1</v>
      </c>
      <c r="N331" s="116">
        <f t="shared" si="98"/>
        <v>8</v>
      </c>
      <c r="O331" s="117">
        <f t="shared" si="99"/>
        <v>120.56</v>
      </c>
      <c r="P331" s="117"/>
      <c r="Q331" s="117"/>
      <c r="R331" s="117"/>
      <c r="S331" s="117"/>
      <c r="T331" s="117"/>
      <c r="U331" s="117"/>
      <c r="V331" s="118">
        <f t="shared" si="95"/>
        <v>1</v>
      </c>
      <c r="W331" s="116">
        <f t="shared" si="100"/>
        <v>8</v>
      </c>
      <c r="X331" s="117">
        <f t="shared" si="101"/>
        <v>120.56</v>
      </c>
    </row>
    <row r="332" spans="1:24" ht="49.95" customHeight="1">
      <c r="A332" s="96" t="s">
        <v>387</v>
      </c>
      <c r="B332" s="20">
        <v>39470</v>
      </c>
      <c r="C332" s="98" t="s">
        <v>463</v>
      </c>
      <c r="D332" s="97" t="s">
        <v>37</v>
      </c>
      <c r="E332" s="97" t="s">
        <v>57</v>
      </c>
      <c r="F332" s="18">
        <v>2</v>
      </c>
      <c r="G332" s="19">
        <v>89.64</v>
      </c>
      <c r="H332" s="19">
        <f t="shared" si="96"/>
        <v>179.28</v>
      </c>
      <c r="I332" s="3"/>
      <c r="J332" s="3"/>
      <c r="K332" s="3"/>
      <c r="L332" s="3"/>
      <c r="M332" s="115">
        <f t="shared" si="97"/>
        <v>1</v>
      </c>
      <c r="N332" s="116">
        <f t="shared" si="98"/>
        <v>2</v>
      </c>
      <c r="O332" s="117">
        <f t="shared" si="99"/>
        <v>179.28</v>
      </c>
      <c r="P332" s="117"/>
      <c r="Q332" s="117"/>
      <c r="R332" s="117"/>
      <c r="S332" s="117"/>
      <c r="T332" s="117"/>
      <c r="U332" s="117"/>
      <c r="V332" s="118">
        <f t="shared" si="95"/>
        <v>1</v>
      </c>
      <c r="W332" s="116">
        <f t="shared" si="100"/>
        <v>2</v>
      </c>
      <c r="X332" s="117">
        <f t="shared" si="101"/>
        <v>179.28</v>
      </c>
    </row>
    <row r="333" spans="1:24" ht="49.95" customHeight="1">
      <c r="A333" s="96" t="s">
        <v>388</v>
      </c>
      <c r="B333" s="20">
        <v>93656</v>
      </c>
      <c r="C333" s="98" t="s">
        <v>582</v>
      </c>
      <c r="D333" s="97" t="s">
        <v>37</v>
      </c>
      <c r="E333" s="97" t="s">
        <v>57</v>
      </c>
      <c r="F333" s="18">
        <v>2</v>
      </c>
      <c r="G333" s="19">
        <v>14.52</v>
      </c>
      <c r="H333" s="19">
        <f t="shared" si="96"/>
        <v>29.04</v>
      </c>
      <c r="I333" s="3"/>
      <c r="J333" s="90"/>
      <c r="K333" s="91"/>
      <c r="L333" s="92"/>
      <c r="M333" s="115">
        <f t="shared" si="97"/>
        <v>1</v>
      </c>
      <c r="N333" s="116">
        <f t="shared" si="98"/>
        <v>2</v>
      </c>
      <c r="O333" s="117">
        <f t="shared" si="99"/>
        <v>29.04</v>
      </c>
      <c r="P333" s="117"/>
      <c r="Q333" s="117"/>
      <c r="R333" s="117"/>
      <c r="S333" s="117"/>
      <c r="T333" s="117"/>
      <c r="U333" s="117"/>
      <c r="V333" s="118">
        <f t="shared" si="95"/>
        <v>1</v>
      </c>
      <c r="W333" s="116">
        <f t="shared" si="100"/>
        <v>2</v>
      </c>
      <c r="X333" s="117">
        <f t="shared" si="101"/>
        <v>29.04</v>
      </c>
    </row>
    <row r="334" spans="1:24" ht="49.95" customHeight="1">
      <c r="A334" s="96" t="s">
        <v>389</v>
      </c>
      <c r="B334" s="97">
        <v>93657</v>
      </c>
      <c r="C334" s="98" t="s">
        <v>467</v>
      </c>
      <c r="D334" s="97" t="s">
        <v>37</v>
      </c>
      <c r="E334" s="97" t="s">
        <v>57</v>
      </c>
      <c r="F334" s="18">
        <v>1</v>
      </c>
      <c r="G334" s="19">
        <v>16.21</v>
      </c>
      <c r="H334" s="19">
        <f t="shared" si="96"/>
        <v>16.21</v>
      </c>
      <c r="I334" s="3"/>
      <c r="J334" s="3"/>
      <c r="K334" s="3"/>
      <c r="L334" s="3"/>
      <c r="M334" s="115">
        <f t="shared" si="97"/>
        <v>1</v>
      </c>
      <c r="N334" s="116">
        <f t="shared" si="98"/>
        <v>1</v>
      </c>
      <c r="O334" s="117">
        <f t="shared" si="99"/>
        <v>16.21</v>
      </c>
      <c r="P334" s="117"/>
      <c r="Q334" s="117"/>
      <c r="R334" s="117"/>
      <c r="S334" s="117"/>
      <c r="T334" s="117"/>
      <c r="U334" s="117"/>
      <c r="V334" s="118">
        <f t="shared" si="95"/>
        <v>1</v>
      </c>
      <c r="W334" s="116">
        <f t="shared" si="100"/>
        <v>1</v>
      </c>
      <c r="X334" s="117">
        <f t="shared" si="101"/>
        <v>16.21</v>
      </c>
    </row>
    <row r="335" spans="1:24" ht="49.95" customHeight="1">
      <c r="A335" s="96" t="s">
        <v>390</v>
      </c>
      <c r="B335" s="20">
        <v>39396</v>
      </c>
      <c r="C335" s="98" t="s">
        <v>583</v>
      </c>
      <c r="D335" s="97" t="s">
        <v>37</v>
      </c>
      <c r="E335" s="97" t="s">
        <v>57</v>
      </c>
      <c r="F335" s="18">
        <v>2</v>
      </c>
      <c r="G335" s="19">
        <v>80.150000000000006</v>
      </c>
      <c r="H335" s="19">
        <f t="shared" si="96"/>
        <v>160.30000000000001</v>
      </c>
      <c r="I335" s="3"/>
      <c r="J335" s="90"/>
      <c r="K335" s="91"/>
      <c r="L335" s="92"/>
      <c r="M335" s="115">
        <f t="shared" si="97"/>
        <v>1</v>
      </c>
      <c r="N335" s="116">
        <f t="shared" si="98"/>
        <v>2</v>
      </c>
      <c r="O335" s="117">
        <f t="shared" si="99"/>
        <v>160.30000000000001</v>
      </c>
      <c r="P335" s="117"/>
      <c r="Q335" s="117"/>
      <c r="R335" s="117"/>
      <c r="S335" s="117"/>
      <c r="T335" s="117"/>
      <c r="U335" s="117"/>
      <c r="V335" s="118">
        <f t="shared" si="95"/>
        <v>1</v>
      </c>
      <c r="W335" s="116">
        <f t="shared" si="100"/>
        <v>2</v>
      </c>
      <c r="X335" s="117">
        <f t="shared" si="101"/>
        <v>160.30000000000001</v>
      </c>
    </row>
    <row r="336" spans="1:24" ht="49.95" customHeight="1">
      <c r="A336" s="96" t="s">
        <v>391</v>
      </c>
      <c r="B336" s="97">
        <v>21</v>
      </c>
      <c r="C336" s="98" t="s">
        <v>584</v>
      </c>
      <c r="D336" s="97" t="s">
        <v>55</v>
      </c>
      <c r="E336" s="97" t="s">
        <v>5</v>
      </c>
      <c r="F336" s="18">
        <v>1</v>
      </c>
      <c r="G336" s="19">
        <v>7994.67</v>
      </c>
      <c r="H336" s="19">
        <f t="shared" si="96"/>
        <v>7994.67</v>
      </c>
      <c r="I336" s="3"/>
      <c r="J336" s="3"/>
      <c r="K336" s="3"/>
      <c r="L336" s="3"/>
      <c r="M336" s="115">
        <f t="shared" si="97"/>
        <v>1</v>
      </c>
      <c r="N336" s="116">
        <f t="shared" si="98"/>
        <v>1</v>
      </c>
      <c r="O336" s="117">
        <f t="shared" si="99"/>
        <v>7994.67</v>
      </c>
      <c r="P336" s="117"/>
      <c r="Q336" s="117"/>
      <c r="R336" s="117"/>
      <c r="S336" s="117"/>
      <c r="T336" s="117"/>
      <c r="U336" s="117"/>
      <c r="V336" s="118">
        <f t="shared" si="95"/>
        <v>1</v>
      </c>
      <c r="W336" s="116">
        <f t="shared" si="100"/>
        <v>1</v>
      </c>
      <c r="X336" s="117">
        <f t="shared" si="101"/>
        <v>7994.67</v>
      </c>
    </row>
    <row r="337" spans="1:24" ht="49.95" customHeight="1">
      <c r="A337" s="96" t="s">
        <v>392</v>
      </c>
      <c r="B337" s="20">
        <v>101876</v>
      </c>
      <c r="C337" s="98" t="s">
        <v>538</v>
      </c>
      <c r="D337" s="97" t="s">
        <v>37</v>
      </c>
      <c r="E337" s="97" t="s">
        <v>57</v>
      </c>
      <c r="F337" s="18">
        <v>1</v>
      </c>
      <c r="G337" s="19">
        <v>119.29</v>
      </c>
      <c r="H337" s="19">
        <f t="shared" si="96"/>
        <v>119.29</v>
      </c>
      <c r="I337" s="3"/>
      <c r="J337" s="3"/>
      <c r="K337" s="3"/>
      <c r="L337" s="3"/>
      <c r="M337" s="115">
        <f t="shared" si="97"/>
        <v>1</v>
      </c>
      <c r="N337" s="116">
        <f t="shared" si="98"/>
        <v>1</v>
      </c>
      <c r="O337" s="117">
        <f t="shared" si="99"/>
        <v>119.29</v>
      </c>
      <c r="P337" s="117"/>
      <c r="Q337" s="117"/>
      <c r="R337" s="117"/>
      <c r="S337" s="117"/>
      <c r="T337" s="117"/>
      <c r="U337" s="117"/>
      <c r="V337" s="118">
        <f t="shared" si="95"/>
        <v>1</v>
      </c>
      <c r="W337" s="116">
        <f t="shared" si="100"/>
        <v>1</v>
      </c>
      <c r="X337" s="117">
        <f t="shared" si="101"/>
        <v>119.29</v>
      </c>
    </row>
    <row r="338" spans="1:24" ht="49.95" customHeight="1">
      <c r="A338" s="96" t="s">
        <v>393</v>
      </c>
      <c r="B338" s="20">
        <v>97886</v>
      </c>
      <c r="C338" s="98" t="s">
        <v>585</v>
      </c>
      <c r="D338" s="97" t="s">
        <v>37</v>
      </c>
      <c r="E338" s="97" t="s">
        <v>57</v>
      </c>
      <c r="F338" s="18">
        <v>16</v>
      </c>
      <c r="G338" s="19">
        <v>182.85</v>
      </c>
      <c r="H338" s="19">
        <f t="shared" si="96"/>
        <v>2925.6</v>
      </c>
      <c r="I338" s="3"/>
      <c r="J338" s="3"/>
      <c r="K338" s="3"/>
      <c r="L338" s="3"/>
      <c r="M338" s="115">
        <f t="shared" si="97"/>
        <v>1</v>
      </c>
      <c r="N338" s="116">
        <f t="shared" si="98"/>
        <v>16</v>
      </c>
      <c r="O338" s="117">
        <f t="shared" si="99"/>
        <v>2925.6</v>
      </c>
      <c r="P338" s="117"/>
      <c r="Q338" s="117"/>
      <c r="R338" s="117"/>
      <c r="S338" s="117"/>
      <c r="T338" s="117"/>
      <c r="U338" s="117"/>
      <c r="V338" s="118">
        <f t="shared" si="95"/>
        <v>1</v>
      </c>
      <c r="W338" s="116">
        <f t="shared" si="100"/>
        <v>16</v>
      </c>
      <c r="X338" s="117">
        <f t="shared" si="101"/>
        <v>2925.6</v>
      </c>
    </row>
    <row r="339" spans="1:24" ht="49.95" customHeight="1">
      <c r="A339" s="96" t="s">
        <v>394</v>
      </c>
      <c r="B339" s="20">
        <v>17</v>
      </c>
      <c r="C339" s="98" t="s">
        <v>472</v>
      </c>
      <c r="D339" s="97" t="s">
        <v>55</v>
      </c>
      <c r="E339" s="97" t="s">
        <v>5</v>
      </c>
      <c r="F339" s="18">
        <v>16</v>
      </c>
      <c r="G339" s="19">
        <v>71.3</v>
      </c>
      <c r="H339" s="19">
        <f t="shared" si="96"/>
        <v>1140.8</v>
      </c>
      <c r="I339" s="3"/>
      <c r="J339" s="3"/>
      <c r="K339" s="3"/>
      <c r="L339" s="3"/>
      <c r="M339" s="115">
        <f t="shared" si="97"/>
        <v>1</v>
      </c>
      <c r="N339" s="116">
        <f t="shared" si="98"/>
        <v>16</v>
      </c>
      <c r="O339" s="117">
        <f t="shared" si="99"/>
        <v>1140.8</v>
      </c>
      <c r="P339" s="117"/>
      <c r="Q339" s="117"/>
      <c r="R339" s="117"/>
      <c r="S339" s="117"/>
      <c r="T339" s="117"/>
      <c r="U339" s="117"/>
      <c r="V339" s="118">
        <f t="shared" si="95"/>
        <v>1</v>
      </c>
      <c r="W339" s="116">
        <f t="shared" si="100"/>
        <v>16</v>
      </c>
      <c r="X339" s="117">
        <f t="shared" si="101"/>
        <v>1140.8</v>
      </c>
    </row>
    <row r="340" spans="1:24" ht="49.95" customHeight="1">
      <c r="A340" s="96" t="s">
        <v>395</v>
      </c>
      <c r="B340" s="20">
        <v>96985</v>
      </c>
      <c r="C340" s="98" t="s">
        <v>471</v>
      </c>
      <c r="D340" s="97" t="s">
        <v>37</v>
      </c>
      <c r="E340" s="97" t="s">
        <v>57</v>
      </c>
      <c r="F340" s="18">
        <v>16</v>
      </c>
      <c r="G340" s="19">
        <v>99.89</v>
      </c>
      <c r="H340" s="19">
        <f t="shared" si="96"/>
        <v>1598.24</v>
      </c>
      <c r="I340" s="3"/>
      <c r="J340" s="3"/>
      <c r="K340" s="3"/>
      <c r="L340" s="3"/>
      <c r="M340" s="115">
        <f t="shared" si="97"/>
        <v>1</v>
      </c>
      <c r="N340" s="116">
        <f t="shared" si="98"/>
        <v>16</v>
      </c>
      <c r="O340" s="117">
        <f t="shared" si="99"/>
        <v>1598.24</v>
      </c>
      <c r="P340" s="117"/>
      <c r="Q340" s="117"/>
      <c r="R340" s="117"/>
      <c r="S340" s="117"/>
      <c r="T340" s="117"/>
      <c r="U340" s="117"/>
      <c r="V340" s="118">
        <f t="shared" si="95"/>
        <v>1</v>
      </c>
      <c r="W340" s="116">
        <f t="shared" si="100"/>
        <v>16</v>
      </c>
      <c r="X340" s="117">
        <f t="shared" si="101"/>
        <v>1598.24</v>
      </c>
    </row>
    <row r="341" spans="1:24" ht="49.95" customHeight="1">
      <c r="A341" s="96" t="s">
        <v>396</v>
      </c>
      <c r="B341" s="20">
        <v>91929</v>
      </c>
      <c r="C341" s="98" t="s">
        <v>586</v>
      </c>
      <c r="D341" s="97" t="s">
        <v>37</v>
      </c>
      <c r="E341" s="97" t="s">
        <v>38</v>
      </c>
      <c r="F341" s="18">
        <v>569.70000000000005</v>
      </c>
      <c r="G341" s="19">
        <v>9.16</v>
      </c>
      <c r="H341" s="19">
        <f t="shared" si="96"/>
        <v>5218.4520000000002</v>
      </c>
      <c r="I341" s="3"/>
      <c r="J341" s="3"/>
      <c r="K341" s="3"/>
      <c r="L341" s="3"/>
      <c r="M341" s="115">
        <f t="shared" si="97"/>
        <v>1</v>
      </c>
      <c r="N341" s="116">
        <f t="shared" si="98"/>
        <v>569.70000000000005</v>
      </c>
      <c r="O341" s="117">
        <f t="shared" si="99"/>
        <v>5218.4520000000002</v>
      </c>
      <c r="P341" s="117"/>
      <c r="Q341" s="117"/>
      <c r="R341" s="117"/>
      <c r="S341" s="117"/>
      <c r="T341" s="117"/>
      <c r="U341" s="117"/>
      <c r="V341" s="118">
        <f t="shared" si="95"/>
        <v>1</v>
      </c>
      <c r="W341" s="116">
        <f t="shared" si="100"/>
        <v>569.70000000000005</v>
      </c>
      <c r="X341" s="117">
        <f t="shared" si="101"/>
        <v>5218.4520000000002</v>
      </c>
    </row>
    <row r="342" spans="1:24" ht="49.95" customHeight="1">
      <c r="A342" s="96" t="s">
        <v>397</v>
      </c>
      <c r="B342" s="20">
        <v>91931</v>
      </c>
      <c r="C342" s="98" t="s">
        <v>475</v>
      </c>
      <c r="D342" s="97" t="s">
        <v>37</v>
      </c>
      <c r="E342" s="97" t="s">
        <v>38</v>
      </c>
      <c r="F342" s="18">
        <v>24.3</v>
      </c>
      <c r="G342" s="19">
        <v>13.01</v>
      </c>
      <c r="H342" s="19">
        <f t="shared" si="96"/>
        <v>316.14300000000003</v>
      </c>
      <c r="I342" s="3"/>
      <c r="J342" s="3"/>
      <c r="K342" s="3"/>
      <c r="L342" s="3"/>
      <c r="M342" s="115">
        <f t="shared" si="97"/>
        <v>1</v>
      </c>
      <c r="N342" s="116">
        <f t="shared" si="98"/>
        <v>24.3</v>
      </c>
      <c r="O342" s="117">
        <f t="shared" si="99"/>
        <v>316.14300000000003</v>
      </c>
      <c r="P342" s="117"/>
      <c r="Q342" s="117"/>
      <c r="R342" s="117"/>
      <c r="S342" s="117"/>
      <c r="T342" s="117"/>
      <c r="U342" s="117"/>
      <c r="V342" s="118">
        <f t="shared" si="95"/>
        <v>1</v>
      </c>
      <c r="W342" s="116">
        <f t="shared" si="100"/>
        <v>24.3</v>
      </c>
      <c r="X342" s="117">
        <f t="shared" si="101"/>
        <v>316.14300000000003</v>
      </c>
    </row>
    <row r="343" spans="1:24" ht="49.95" customHeight="1">
      <c r="A343" s="96" t="s">
        <v>398</v>
      </c>
      <c r="B343" s="20">
        <v>29</v>
      </c>
      <c r="C343" s="98" t="s">
        <v>587</v>
      </c>
      <c r="D343" s="97" t="s">
        <v>55</v>
      </c>
      <c r="E343" s="97" t="s">
        <v>5</v>
      </c>
      <c r="F343" s="18">
        <v>16</v>
      </c>
      <c r="G343" s="19">
        <v>1343.44</v>
      </c>
      <c r="H343" s="19">
        <f t="shared" si="96"/>
        <v>21495.040000000001</v>
      </c>
      <c r="I343" s="3"/>
      <c r="J343" s="90"/>
      <c r="K343" s="91"/>
      <c r="L343" s="92"/>
      <c r="M343" s="92"/>
      <c r="N343" s="90"/>
      <c r="O343" s="91"/>
      <c r="P343" s="91"/>
      <c r="Q343" s="91"/>
      <c r="R343" s="91"/>
      <c r="S343" s="115">
        <f>T343/F343</f>
        <v>1</v>
      </c>
      <c r="T343" s="116">
        <f>F343</f>
        <v>16</v>
      </c>
      <c r="U343" s="117">
        <f>T343*G343</f>
        <v>21495.040000000001</v>
      </c>
      <c r="V343" s="118">
        <f t="shared" si="95"/>
        <v>1</v>
      </c>
      <c r="W343" s="116">
        <f>N343+K343+Q343+T343</f>
        <v>16</v>
      </c>
      <c r="X343" s="117">
        <f>O343+L343+R343+U343</f>
        <v>21495.040000000001</v>
      </c>
    </row>
    <row r="344" spans="1:24" ht="24.9" customHeight="1">
      <c r="A344" s="137" t="s">
        <v>25</v>
      </c>
      <c r="B344" s="137"/>
      <c r="C344" s="137"/>
      <c r="D344" s="137"/>
      <c r="E344" s="137"/>
      <c r="F344" s="137"/>
      <c r="G344" s="137"/>
      <c r="H344" s="135">
        <v>69696.92</v>
      </c>
      <c r="I344" s="2"/>
      <c r="J344" s="138" t="s">
        <v>836</v>
      </c>
      <c r="K344" s="138" t="s">
        <v>28</v>
      </c>
      <c r="L344" s="138"/>
      <c r="M344" s="138" t="s">
        <v>836</v>
      </c>
      <c r="N344" s="138" t="s">
        <v>831</v>
      </c>
      <c r="O344" s="138"/>
      <c r="P344" s="138" t="s">
        <v>836</v>
      </c>
      <c r="Q344" s="138" t="s">
        <v>1099</v>
      </c>
      <c r="R344" s="138"/>
      <c r="S344" s="138" t="s">
        <v>836</v>
      </c>
      <c r="T344" s="177" t="s">
        <v>1200</v>
      </c>
      <c r="U344" s="177"/>
      <c r="V344" s="138" t="s">
        <v>837</v>
      </c>
      <c r="W344" s="138" t="s">
        <v>830</v>
      </c>
      <c r="X344" s="138"/>
    </row>
    <row r="345" spans="1:24" ht="24.9" customHeight="1">
      <c r="A345" s="137" t="s">
        <v>26</v>
      </c>
      <c r="B345" s="137"/>
      <c r="C345" s="137"/>
      <c r="D345" s="137"/>
      <c r="E345" s="137"/>
      <c r="F345" s="137"/>
      <c r="G345" s="137"/>
      <c r="H345" s="135">
        <v>308904.31</v>
      </c>
      <c r="I345" s="2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77"/>
      <c r="U345" s="177"/>
      <c r="V345" s="138"/>
      <c r="W345" s="138"/>
      <c r="X345" s="138"/>
    </row>
    <row r="346" spans="1:24" ht="31.5" customHeight="1">
      <c r="A346" s="137" t="s">
        <v>27</v>
      </c>
      <c r="B346" s="137"/>
      <c r="C346" s="137"/>
      <c r="D346" s="137"/>
      <c r="E346" s="137"/>
      <c r="F346" s="137"/>
      <c r="G346" s="137"/>
      <c r="H346" s="127">
        <f>SUM(H344:H345)</f>
        <v>378601.23</v>
      </c>
      <c r="I346" s="136"/>
      <c r="J346" s="108">
        <f>K346/$H$346</f>
        <v>0.26833860788038122</v>
      </c>
      <c r="K346" s="142">
        <f>SUM(L7:L343)</f>
        <v>101593.32700000002</v>
      </c>
      <c r="L346" s="142"/>
      <c r="M346" s="108">
        <f>N346/H346</f>
        <v>0.28697009515790528</v>
      </c>
      <c r="N346" s="140">
        <f>SUM(O7:O343)</f>
        <v>108647.23099999999</v>
      </c>
      <c r="O346" s="140"/>
      <c r="P346" s="108">
        <f>Q346/H346</f>
        <v>0.28730293031536119</v>
      </c>
      <c r="Q346" s="140">
        <f>SUM(R7:R343)</f>
        <v>108773.24280000002</v>
      </c>
      <c r="R346" s="140"/>
      <c r="S346" s="108">
        <f>T346/H346</f>
        <v>0.15738836374092077</v>
      </c>
      <c r="T346" s="140">
        <f>SUM(U7:U343)-0.34</f>
        <v>59587.428100000005</v>
      </c>
      <c r="U346" s="140"/>
      <c r="V346" s="108">
        <f>W346/H346</f>
        <v>0.99999999709456799</v>
      </c>
      <c r="W346" s="139">
        <f>SUM(X7:X343)-0.02</f>
        <v>378601.22889999987</v>
      </c>
      <c r="X346" s="139"/>
    </row>
    <row r="347" spans="1:24" ht="60" customHeight="1">
      <c r="A347" s="161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3"/>
      <c r="S347" s="141" t="s">
        <v>838</v>
      </c>
      <c r="T347" s="141"/>
      <c r="U347" s="141"/>
      <c r="V347" s="141" t="s">
        <v>623</v>
      </c>
      <c r="W347" s="141"/>
      <c r="X347" s="141"/>
    </row>
    <row r="348" spans="1:24" ht="60" customHeight="1">
      <c r="A348" s="164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6"/>
      <c r="S348" s="141"/>
      <c r="T348" s="141"/>
      <c r="U348" s="141"/>
      <c r="V348" s="141"/>
      <c r="W348" s="141"/>
      <c r="X348" s="141"/>
    </row>
    <row r="349" spans="1:24" ht="70.2" customHeight="1">
      <c r="A349" s="164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6"/>
      <c r="S349" s="141"/>
      <c r="T349" s="141"/>
      <c r="U349" s="141"/>
      <c r="V349" s="141"/>
      <c r="W349" s="141"/>
      <c r="X349" s="141"/>
    </row>
    <row r="350" spans="1:24">
      <c r="A350" s="167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9"/>
      <c r="S350" s="141"/>
      <c r="T350" s="141"/>
      <c r="U350" s="141"/>
      <c r="V350" s="141"/>
      <c r="W350" s="141"/>
      <c r="X350" s="141"/>
    </row>
    <row r="352" spans="1:24">
      <c r="K352" s="43"/>
      <c r="O352" s="43"/>
      <c r="P352" s="43"/>
      <c r="Q352" s="43"/>
      <c r="R352" s="43"/>
      <c r="S352" s="43"/>
      <c r="T352" s="43"/>
      <c r="U352" s="43"/>
      <c r="X352" s="43"/>
    </row>
    <row r="353" spans="3:23">
      <c r="C353" s="11"/>
      <c r="E353" s="11"/>
      <c r="H353" s="12"/>
      <c r="J353" s="11"/>
      <c r="N353" s="11"/>
      <c r="W353" s="11"/>
    </row>
    <row r="355" spans="3:23">
      <c r="H355" s="12"/>
    </row>
    <row r="356" spans="3:23">
      <c r="H356" s="13"/>
    </row>
    <row r="357" spans="3:23">
      <c r="H357" s="12"/>
    </row>
    <row r="358" spans="3:23">
      <c r="H358" s="12"/>
    </row>
    <row r="359" spans="3:23">
      <c r="H359" s="12"/>
    </row>
    <row r="360" spans="3:23">
      <c r="H360" s="12"/>
    </row>
    <row r="361" spans="3:23">
      <c r="H361" s="12"/>
    </row>
    <row r="362" spans="3:23">
      <c r="H362" s="28"/>
    </row>
  </sheetData>
  <mergeCells count="92">
    <mergeCell ref="S1:U2"/>
    <mergeCell ref="S3:T3"/>
    <mergeCell ref="S6:U6"/>
    <mergeCell ref="S344:S345"/>
    <mergeCell ref="T344:U345"/>
    <mergeCell ref="P1:R1"/>
    <mergeCell ref="P2:Q2"/>
    <mergeCell ref="A347:R350"/>
    <mergeCell ref="A346:G346"/>
    <mergeCell ref="A344:G344"/>
    <mergeCell ref="B237:G237"/>
    <mergeCell ref="E1:F1"/>
    <mergeCell ref="G1:H1"/>
    <mergeCell ref="E3:I3"/>
    <mergeCell ref="B6:G6"/>
    <mergeCell ref="A2:D2"/>
    <mergeCell ref="E2:F2"/>
    <mergeCell ref="G2:H2"/>
    <mergeCell ref="B1:C1"/>
    <mergeCell ref="A4:I4"/>
    <mergeCell ref="B169:G169"/>
    <mergeCell ref="B137:G137"/>
    <mergeCell ref="B142:G142"/>
    <mergeCell ref="B27:G27"/>
    <mergeCell ref="B130:G130"/>
    <mergeCell ref="B42:G42"/>
    <mergeCell ref="B86:G86"/>
    <mergeCell ref="B108:G108"/>
    <mergeCell ref="B11:G11"/>
    <mergeCell ref="A3:D3"/>
    <mergeCell ref="B10:G10"/>
    <mergeCell ref="B181:G181"/>
    <mergeCell ref="B16:G16"/>
    <mergeCell ref="B38:G38"/>
    <mergeCell ref="B13:G13"/>
    <mergeCell ref="B52:G52"/>
    <mergeCell ref="B59:G59"/>
    <mergeCell ref="B60:G60"/>
    <mergeCell ref="B141:G141"/>
    <mergeCell ref="B144:G144"/>
    <mergeCell ref="B147:G147"/>
    <mergeCell ref="B158:G158"/>
    <mergeCell ref="B173:G173"/>
    <mergeCell ref="B55:G55"/>
    <mergeCell ref="B186:G186"/>
    <mergeCell ref="B190:G190"/>
    <mergeCell ref="B256:G256"/>
    <mergeCell ref="B324:G324"/>
    <mergeCell ref="B314:G314"/>
    <mergeCell ref="B298:G298"/>
    <mergeCell ref="B299:G299"/>
    <mergeCell ref="B310:G310"/>
    <mergeCell ref="B262:G262"/>
    <mergeCell ref="B266:G266"/>
    <mergeCell ref="B267:G267"/>
    <mergeCell ref="B270:G270"/>
    <mergeCell ref="B281:G281"/>
    <mergeCell ref="B289:G289"/>
    <mergeCell ref="B191:G191"/>
    <mergeCell ref="B216:G216"/>
    <mergeCell ref="M6:O6"/>
    <mergeCell ref="J6:L6"/>
    <mergeCell ref="J4:R4"/>
    <mergeCell ref="V4:X4"/>
    <mergeCell ref="J3:K3"/>
    <mergeCell ref="P3:Q3"/>
    <mergeCell ref="V1:X3"/>
    <mergeCell ref="W5:W6"/>
    <mergeCell ref="V5:V6"/>
    <mergeCell ref="X5:X6"/>
    <mergeCell ref="P6:R6"/>
    <mergeCell ref="L1:O1"/>
    <mergeCell ref="J2:K2"/>
    <mergeCell ref="M2:N2"/>
    <mergeCell ref="J1:K1"/>
    <mergeCell ref="M3:N3"/>
    <mergeCell ref="V347:X350"/>
    <mergeCell ref="K346:L346"/>
    <mergeCell ref="V344:V345"/>
    <mergeCell ref="W344:X345"/>
    <mergeCell ref="K344:L345"/>
    <mergeCell ref="P344:P345"/>
    <mergeCell ref="Q344:R345"/>
    <mergeCell ref="Q346:R346"/>
    <mergeCell ref="S347:U350"/>
    <mergeCell ref="T346:U346"/>
    <mergeCell ref="A345:G345"/>
    <mergeCell ref="J344:J345"/>
    <mergeCell ref="M344:M345"/>
    <mergeCell ref="N344:O345"/>
    <mergeCell ref="W346:X346"/>
    <mergeCell ref="N346:O346"/>
  </mergeCells>
  <phoneticPr fontId="15" type="noConversion"/>
  <conditionalFormatting sqref="V7:V9">
    <cfRule type="cellIs" dxfId="40" priority="77" stopIfTrue="1" operator="equal">
      <formula>1</formula>
    </cfRule>
  </conditionalFormatting>
  <conditionalFormatting sqref="V12">
    <cfRule type="cellIs" dxfId="39" priority="76" stopIfTrue="1" operator="equal">
      <formula>1</formula>
    </cfRule>
  </conditionalFormatting>
  <conditionalFormatting sqref="V14:V15">
    <cfRule type="cellIs" dxfId="38" priority="74" stopIfTrue="1" operator="equal">
      <formula>1</formula>
    </cfRule>
  </conditionalFormatting>
  <conditionalFormatting sqref="V17:V26">
    <cfRule type="cellIs" dxfId="37" priority="73" stopIfTrue="1" operator="equal">
      <formula>1</formula>
    </cfRule>
  </conditionalFormatting>
  <conditionalFormatting sqref="V28:V37">
    <cfRule type="cellIs" dxfId="36" priority="72" stopIfTrue="1" operator="equal">
      <formula>1</formula>
    </cfRule>
  </conditionalFormatting>
  <conditionalFormatting sqref="V39:V41">
    <cfRule type="cellIs" dxfId="35" priority="71" stopIfTrue="1" operator="equal">
      <formula>1</formula>
    </cfRule>
  </conditionalFormatting>
  <conditionalFormatting sqref="V43:V51">
    <cfRule type="cellIs" dxfId="34" priority="28" stopIfTrue="1" operator="equal">
      <formula>1</formula>
    </cfRule>
  </conditionalFormatting>
  <conditionalFormatting sqref="V53:V54">
    <cfRule type="cellIs" dxfId="33" priority="26" stopIfTrue="1" operator="equal">
      <formula>1</formula>
    </cfRule>
  </conditionalFormatting>
  <conditionalFormatting sqref="V56:V58">
    <cfRule type="cellIs" dxfId="32" priority="25" stopIfTrue="1" operator="equal">
      <formula>1</formula>
    </cfRule>
  </conditionalFormatting>
  <conditionalFormatting sqref="V61:V85">
    <cfRule type="cellIs" dxfId="31" priority="68" stopIfTrue="1" operator="equal">
      <formula>1</formula>
    </cfRule>
  </conditionalFormatting>
  <conditionalFormatting sqref="V87:V107">
    <cfRule type="cellIs" dxfId="30" priority="67" stopIfTrue="1" operator="equal">
      <formula>1</formula>
    </cfRule>
  </conditionalFormatting>
  <conditionalFormatting sqref="V109:V129">
    <cfRule type="cellIs" dxfId="29" priority="66" stopIfTrue="1" operator="equal">
      <formula>1</formula>
    </cfRule>
  </conditionalFormatting>
  <conditionalFormatting sqref="V131:V136">
    <cfRule type="cellIs" dxfId="28" priority="42" stopIfTrue="1" operator="equal">
      <formula>1</formula>
    </cfRule>
  </conditionalFormatting>
  <conditionalFormatting sqref="V138:V140">
    <cfRule type="cellIs" dxfId="27" priority="23" stopIfTrue="1" operator="equal">
      <formula>1</formula>
    </cfRule>
  </conditionalFormatting>
  <conditionalFormatting sqref="V143">
    <cfRule type="cellIs" dxfId="26" priority="65" stopIfTrue="1" operator="equal">
      <formula>1</formula>
    </cfRule>
  </conditionalFormatting>
  <conditionalFormatting sqref="V145:V146">
    <cfRule type="cellIs" dxfId="25" priority="63" stopIfTrue="1" operator="equal">
      <formula>1</formula>
    </cfRule>
  </conditionalFormatting>
  <conditionalFormatting sqref="V148:V157">
    <cfRule type="cellIs" dxfId="24" priority="62" stopIfTrue="1" operator="equal">
      <formula>1</formula>
    </cfRule>
  </conditionalFormatting>
  <conditionalFormatting sqref="V159:V168">
    <cfRule type="cellIs" dxfId="23" priority="61" stopIfTrue="1" operator="equal">
      <formula>1</formula>
    </cfRule>
  </conditionalFormatting>
  <conditionalFormatting sqref="V170:V172">
    <cfRule type="cellIs" dxfId="22" priority="58" stopIfTrue="1" operator="equal">
      <formula>1</formula>
    </cfRule>
  </conditionalFormatting>
  <conditionalFormatting sqref="V174:V180">
    <cfRule type="cellIs" dxfId="21" priority="21" stopIfTrue="1" operator="equal">
      <formula>1</formula>
    </cfRule>
  </conditionalFormatting>
  <conditionalFormatting sqref="V182:V185">
    <cfRule type="cellIs" dxfId="20" priority="17" stopIfTrue="1" operator="equal">
      <formula>1</formula>
    </cfRule>
  </conditionalFormatting>
  <conditionalFormatting sqref="V187:V189">
    <cfRule type="cellIs" dxfId="19" priority="16" stopIfTrue="1" operator="equal">
      <formula>1</formula>
    </cfRule>
  </conditionalFormatting>
  <conditionalFormatting sqref="V192:V215">
    <cfRule type="cellIs" dxfId="18" priority="54" stopIfTrue="1" operator="equal">
      <formula>1</formula>
    </cfRule>
  </conditionalFormatting>
  <conditionalFormatting sqref="V217:V236">
    <cfRule type="cellIs" dxfId="17" priority="53" stopIfTrue="1" operator="equal">
      <formula>1</formula>
    </cfRule>
  </conditionalFormatting>
  <conditionalFormatting sqref="V238:V255">
    <cfRule type="cellIs" dxfId="16" priority="52" stopIfTrue="1" operator="equal">
      <formula>1</formula>
    </cfRule>
  </conditionalFormatting>
  <conditionalFormatting sqref="V257:V261">
    <cfRule type="cellIs" dxfId="15" priority="34" stopIfTrue="1" operator="equal">
      <formula>1</formula>
    </cfRule>
  </conditionalFormatting>
  <conditionalFormatting sqref="V263:V265">
    <cfRule type="cellIs" dxfId="14" priority="14" stopIfTrue="1" operator="equal">
      <formula>1</formula>
    </cfRule>
  </conditionalFormatting>
  <conditionalFormatting sqref="V268:V269">
    <cfRule type="cellIs" dxfId="13" priority="50" stopIfTrue="1" operator="equal">
      <formula>1</formula>
    </cfRule>
  </conditionalFormatting>
  <conditionalFormatting sqref="V271:V280">
    <cfRule type="cellIs" dxfId="12" priority="49" stopIfTrue="1" operator="equal">
      <formula>1</formula>
    </cfRule>
  </conditionalFormatting>
  <conditionalFormatting sqref="V282:V288">
    <cfRule type="cellIs" dxfId="11" priority="48" stopIfTrue="1" operator="equal">
      <formula>1</formula>
    </cfRule>
  </conditionalFormatting>
  <conditionalFormatting sqref="V290:V297">
    <cfRule type="cellIs" dxfId="10" priority="11" stopIfTrue="1" operator="equal">
      <formula>1</formula>
    </cfRule>
  </conditionalFormatting>
  <conditionalFormatting sqref="V300:V309">
    <cfRule type="cellIs" dxfId="9" priority="10" stopIfTrue="1" operator="equal">
      <formula>1</formula>
    </cfRule>
  </conditionalFormatting>
  <conditionalFormatting sqref="V311:V313">
    <cfRule type="cellIs" dxfId="8" priority="7" stopIfTrue="1" operator="equal">
      <formula>1</formula>
    </cfRule>
  </conditionalFormatting>
  <conditionalFormatting sqref="V315:V323">
    <cfRule type="cellIs" dxfId="7" priority="2" stopIfTrue="1" operator="equal">
      <formula>1</formula>
    </cfRule>
  </conditionalFormatting>
  <conditionalFormatting sqref="V325:V343">
    <cfRule type="cellIs" dxfId="6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1" fitToHeight="23" orientation="landscape" r:id="rId1"/>
  <rowBreaks count="2" manualBreakCount="2">
    <brk id="320" max="23" man="1"/>
    <brk id="334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K921"/>
  <sheetViews>
    <sheetView tabSelected="1" view="pageBreakPreview" zoomScale="70" zoomScaleNormal="70" zoomScaleSheetLayoutView="70" workbookViewId="0">
      <selection activeCell="G2" sqref="G2:I2"/>
    </sheetView>
  </sheetViews>
  <sheetFormatPr defaultColWidth="9.33203125" defaultRowHeight="13.8"/>
  <cols>
    <col min="1" max="1" width="21.6640625" style="9" customWidth="1"/>
    <col min="2" max="2" width="13.33203125" style="9" customWidth="1"/>
    <col min="3" max="3" width="70.33203125" style="9" customWidth="1"/>
    <col min="4" max="4" width="13" style="9" customWidth="1"/>
    <col min="5" max="7" width="15.6640625" style="9" customWidth="1"/>
    <col min="8" max="11" width="10.6640625" style="9" customWidth="1"/>
    <col min="12" max="12" width="24" style="9" hidden="1" customWidth="1"/>
    <col min="13" max="13" width="25.33203125" style="9" hidden="1" customWidth="1"/>
    <col min="14" max="14" width="24" style="9" hidden="1" customWidth="1"/>
    <col min="15" max="15" width="14" style="9" hidden="1" customWidth="1"/>
    <col min="16" max="16" width="29.33203125" style="9" hidden="1" customWidth="1"/>
    <col min="17" max="17" width="15.44140625" style="9" hidden="1" customWidth="1"/>
    <col min="18" max="18" width="12.5546875" style="9" hidden="1" customWidth="1"/>
    <col min="19" max="19" width="25.33203125" style="9" hidden="1" customWidth="1"/>
    <col min="20" max="20" width="15.44140625" style="9" hidden="1" customWidth="1"/>
    <col min="21" max="21" width="21" style="9" hidden="1" customWidth="1"/>
    <col min="22" max="22" width="19.6640625" style="9" hidden="1" customWidth="1"/>
    <col min="23" max="23" width="17.44140625" style="9" hidden="1" customWidth="1"/>
    <col min="24" max="24" width="22.5546875" style="9" hidden="1" customWidth="1"/>
    <col min="25" max="25" width="25.33203125" style="9" hidden="1" customWidth="1"/>
    <col min="26" max="26" width="19.33203125" style="9" hidden="1" customWidth="1"/>
    <col min="27" max="16384" width="9.33203125" style="9"/>
  </cols>
  <sheetData>
    <row r="1" spans="1:26" ht="126.6" customHeight="1">
      <c r="A1" s="8"/>
      <c r="B1" s="191" t="s">
        <v>61</v>
      </c>
      <c r="C1" s="191"/>
      <c r="D1" s="191"/>
      <c r="E1" s="145" t="s">
        <v>59</v>
      </c>
      <c r="F1" s="145"/>
      <c r="G1" s="145" t="s">
        <v>589</v>
      </c>
      <c r="H1" s="145"/>
      <c r="I1" s="145"/>
      <c r="J1" s="153" t="s">
        <v>60</v>
      </c>
      <c r="K1" s="154"/>
      <c r="L1" s="146"/>
      <c r="M1" s="146"/>
      <c r="N1" s="146"/>
      <c r="O1" s="146"/>
      <c r="P1" s="146"/>
      <c r="Q1" s="146"/>
      <c r="R1" s="146"/>
      <c r="S1" s="146"/>
      <c r="T1" s="148"/>
      <c r="U1" s="42"/>
      <c r="V1" s="42"/>
      <c r="W1" s="42"/>
      <c r="X1" s="146"/>
      <c r="Y1" s="146"/>
      <c r="Z1" s="148"/>
    </row>
    <row r="2" spans="1:26" ht="102" customHeight="1">
      <c r="A2" s="157" t="s">
        <v>62</v>
      </c>
      <c r="B2" s="157"/>
      <c r="C2" s="157"/>
      <c r="D2" s="157"/>
      <c r="E2" s="145" t="s">
        <v>1203</v>
      </c>
      <c r="F2" s="145"/>
      <c r="G2" s="145" t="s">
        <v>1309</v>
      </c>
      <c r="H2" s="145"/>
      <c r="I2" s="145"/>
      <c r="J2" s="153" t="str">
        <f>'PLANILHA DE MEDIÇÃO'!I2</f>
        <v>VALOR MEDIDO NO PERÍODO:
R$ 59.587,43</v>
      </c>
      <c r="K2" s="154"/>
      <c r="L2" s="146"/>
      <c r="M2" s="146"/>
      <c r="N2" s="146"/>
      <c r="O2" s="146"/>
      <c r="P2" s="146"/>
      <c r="Q2" s="146"/>
      <c r="R2" s="146"/>
      <c r="S2" s="146"/>
      <c r="T2" s="148"/>
      <c r="U2" s="42"/>
      <c r="V2" s="42"/>
      <c r="W2" s="42"/>
      <c r="X2" s="146"/>
      <c r="Y2" s="146"/>
      <c r="Z2" s="148"/>
    </row>
    <row r="3" spans="1:26" ht="91.5" customHeight="1">
      <c r="A3" s="157" t="s">
        <v>63</v>
      </c>
      <c r="B3" s="157"/>
      <c r="C3" s="157"/>
      <c r="D3" s="157"/>
      <c r="E3" s="145" t="s">
        <v>64</v>
      </c>
      <c r="F3" s="145"/>
      <c r="G3" s="145"/>
      <c r="H3" s="145"/>
      <c r="I3" s="145"/>
      <c r="J3" s="145"/>
      <c r="K3" s="145"/>
      <c r="L3" s="188" t="s">
        <v>49</v>
      </c>
      <c r="M3" s="189"/>
      <c r="N3" s="14" t="e">
        <f>#REF!</f>
        <v>#REF!</v>
      </c>
      <c r="O3" s="188" t="s">
        <v>50</v>
      </c>
      <c r="P3" s="189"/>
      <c r="Q3" s="14" t="e">
        <f>#REF!</f>
        <v>#REF!</v>
      </c>
      <c r="R3" s="188" t="s">
        <v>51</v>
      </c>
      <c r="S3" s="189"/>
      <c r="T3" s="14" t="e">
        <f>#REF!</f>
        <v>#REF!</v>
      </c>
      <c r="U3" s="14"/>
      <c r="V3" s="14"/>
      <c r="W3" s="14"/>
      <c r="X3" s="188" t="s">
        <v>52</v>
      </c>
      <c r="Y3" s="189"/>
      <c r="Z3" s="14" t="e">
        <f>#REF!</f>
        <v>#REF!</v>
      </c>
    </row>
    <row r="4" spans="1:26" ht="15" customHeight="1">
      <c r="A4" s="144" t="s">
        <v>1201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90" t="s">
        <v>0</v>
      </c>
      <c r="M4" s="190"/>
      <c r="N4" s="190"/>
      <c r="O4" s="190" t="s">
        <v>0</v>
      </c>
      <c r="P4" s="190"/>
      <c r="Q4" s="190"/>
      <c r="R4" s="190" t="s">
        <v>0</v>
      </c>
      <c r="S4" s="190"/>
      <c r="T4" s="190"/>
      <c r="U4" s="41"/>
      <c r="V4" s="41"/>
      <c r="W4" s="41"/>
      <c r="X4" s="190" t="s">
        <v>0</v>
      </c>
      <c r="Y4" s="190"/>
      <c r="Z4" s="190"/>
    </row>
    <row r="5" spans="1:26" ht="65.25" customHeight="1">
      <c r="A5" s="1" t="s">
        <v>1</v>
      </c>
      <c r="B5" s="1" t="s">
        <v>2</v>
      </c>
      <c r="C5" s="1" t="s">
        <v>3</v>
      </c>
      <c r="D5" s="147" t="s">
        <v>58</v>
      </c>
      <c r="E5" s="147"/>
      <c r="F5" s="147"/>
      <c r="G5" s="147"/>
      <c r="H5" s="147"/>
      <c r="I5" s="147"/>
      <c r="J5" s="147"/>
      <c r="K5" s="147"/>
      <c r="L5" s="1" t="s">
        <v>9</v>
      </c>
      <c r="M5" s="1" t="s">
        <v>10</v>
      </c>
      <c r="N5" s="1" t="s">
        <v>11</v>
      </c>
      <c r="O5" s="1" t="s">
        <v>9</v>
      </c>
      <c r="P5" s="1" t="s">
        <v>10</v>
      </c>
      <c r="Q5" s="1" t="s">
        <v>11</v>
      </c>
      <c r="R5" s="1" t="s">
        <v>9</v>
      </c>
      <c r="S5" s="1" t="s">
        <v>10</v>
      </c>
      <c r="T5" s="1" t="s">
        <v>11</v>
      </c>
      <c r="U5" s="1" t="s">
        <v>9</v>
      </c>
      <c r="V5" s="1" t="s">
        <v>10</v>
      </c>
      <c r="W5" s="1" t="s">
        <v>11</v>
      </c>
      <c r="X5" s="1" t="s">
        <v>9</v>
      </c>
      <c r="Y5" s="1" t="s">
        <v>10</v>
      </c>
      <c r="Z5" s="1" t="s">
        <v>11</v>
      </c>
    </row>
    <row r="6" spans="1:26" ht="25.2" customHeight="1">
      <c r="A6" s="192"/>
      <c r="B6" s="193"/>
      <c r="C6" s="194"/>
      <c r="D6" s="61" t="s">
        <v>590</v>
      </c>
      <c r="E6" s="61" t="s">
        <v>591</v>
      </c>
      <c r="F6" s="61" t="s">
        <v>592</v>
      </c>
      <c r="G6" s="62" t="s">
        <v>593</v>
      </c>
      <c r="H6" s="61" t="s">
        <v>599</v>
      </c>
      <c r="I6" s="61" t="s">
        <v>594</v>
      </c>
      <c r="J6" s="61" t="s">
        <v>600</v>
      </c>
      <c r="K6" s="61" t="s">
        <v>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2" customHeight="1">
      <c r="A7" s="46">
        <v>1</v>
      </c>
      <c r="B7" s="156" t="s">
        <v>12</v>
      </c>
      <c r="C7" s="156"/>
      <c r="D7" s="64"/>
      <c r="E7" s="1"/>
      <c r="F7" s="1"/>
      <c r="G7" s="1"/>
      <c r="H7" s="64"/>
      <c r="I7" s="64"/>
      <c r="J7" s="64"/>
      <c r="K7" s="64"/>
      <c r="L7" s="187" t="s">
        <v>13</v>
      </c>
      <c r="M7" s="187"/>
      <c r="N7" s="187"/>
      <c r="O7" s="187" t="s">
        <v>29</v>
      </c>
      <c r="P7" s="187"/>
      <c r="Q7" s="187"/>
      <c r="R7" s="187" t="s">
        <v>30</v>
      </c>
      <c r="S7" s="187"/>
      <c r="T7" s="187"/>
      <c r="U7" s="187" t="s">
        <v>31</v>
      </c>
      <c r="V7" s="187"/>
      <c r="W7" s="187"/>
      <c r="X7" s="187" t="s">
        <v>32</v>
      </c>
      <c r="Y7" s="187"/>
      <c r="Z7" s="187"/>
    </row>
    <row r="8" spans="1:26" s="39" customFormat="1" ht="49.95" customHeight="1">
      <c r="A8" s="45" t="s">
        <v>14</v>
      </c>
      <c r="B8" s="49">
        <v>103689</v>
      </c>
      <c r="C8" s="65" t="s">
        <v>67</v>
      </c>
      <c r="D8" s="17"/>
      <c r="E8" s="17"/>
      <c r="F8" s="17"/>
      <c r="G8" s="17"/>
      <c r="H8" s="17"/>
      <c r="I8" s="17"/>
      <c r="J8" s="58"/>
      <c r="K8" s="58"/>
      <c r="L8" s="35">
        <v>1</v>
      </c>
      <c r="M8" s="36">
        <f>TRUNC(L8*F8,2)</f>
        <v>0</v>
      </c>
      <c r="N8" s="37">
        <f>TRUNC(M8*G8)+0.46</f>
        <v>0.46</v>
      </c>
      <c r="O8" s="35">
        <v>0</v>
      </c>
      <c r="P8" s="36">
        <f>TRUNC(O8*F8,2)</f>
        <v>0</v>
      </c>
      <c r="Q8" s="37">
        <f>TRUNC(P8*G8)+0</f>
        <v>0</v>
      </c>
      <c r="R8" s="38">
        <v>0</v>
      </c>
      <c r="S8" s="36">
        <f>TRUNC(R8*F8,2)</f>
        <v>0</v>
      </c>
      <c r="T8" s="37">
        <f>TRUNC(S8*G8)</f>
        <v>0</v>
      </c>
      <c r="U8" s="37"/>
      <c r="V8" s="37"/>
      <c r="W8" s="37">
        <f>TRUNC(G8*V8)+0</f>
        <v>0</v>
      </c>
      <c r="X8" s="35">
        <v>0</v>
      </c>
      <c r="Y8" s="36">
        <f>TRUNC(X8*F8,2)</f>
        <v>0</v>
      </c>
      <c r="Z8" s="37">
        <f>TRUNC(Y8*G8)+0</f>
        <v>0</v>
      </c>
    </row>
    <row r="9" spans="1:26" s="39" customFormat="1" ht="19.95" customHeight="1">
      <c r="A9" s="45" t="s">
        <v>595</v>
      </c>
      <c r="B9" s="63"/>
      <c r="C9" s="45"/>
      <c r="D9" s="17"/>
      <c r="E9" s="17"/>
      <c r="F9" s="17"/>
      <c r="G9" s="17"/>
      <c r="H9" s="17"/>
      <c r="I9" s="17"/>
      <c r="J9" s="58"/>
      <c r="K9" s="58"/>
      <c r="L9" s="35"/>
      <c r="M9" s="36"/>
      <c r="N9" s="37"/>
      <c r="O9" s="35"/>
      <c r="P9" s="36"/>
      <c r="Q9" s="37"/>
      <c r="R9" s="38"/>
      <c r="S9" s="36"/>
      <c r="T9" s="37"/>
      <c r="U9" s="37"/>
      <c r="V9" s="37"/>
      <c r="W9" s="37"/>
      <c r="X9" s="35"/>
      <c r="Y9" s="36"/>
      <c r="Z9" s="37"/>
    </row>
    <row r="10" spans="1:26" s="39" customFormat="1" ht="49.95" customHeight="1">
      <c r="A10" s="45" t="s">
        <v>15</v>
      </c>
      <c r="B10" s="49">
        <v>99059</v>
      </c>
      <c r="C10" s="65" t="s">
        <v>68</v>
      </c>
      <c r="D10" s="17"/>
      <c r="E10" s="17"/>
      <c r="F10" s="17"/>
      <c r="G10" s="17"/>
      <c r="H10" s="17"/>
      <c r="I10" s="17"/>
      <c r="J10" s="58"/>
      <c r="K10" s="58"/>
      <c r="L10" s="35"/>
      <c r="M10" s="36"/>
      <c r="N10" s="37"/>
      <c r="O10" s="35"/>
      <c r="P10" s="36"/>
      <c r="Q10" s="37"/>
      <c r="R10" s="38"/>
      <c r="S10" s="36"/>
      <c r="T10" s="37"/>
      <c r="U10" s="37"/>
      <c r="V10" s="37"/>
      <c r="W10" s="37"/>
      <c r="X10" s="35"/>
      <c r="Y10" s="36"/>
      <c r="Z10" s="37"/>
    </row>
    <row r="11" spans="1:26" ht="19.95" customHeight="1">
      <c r="A11" s="45" t="s">
        <v>596</v>
      </c>
      <c r="B11" s="63"/>
      <c r="C11" s="66" t="s">
        <v>597</v>
      </c>
      <c r="D11" s="17"/>
      <c r="E11" s="17"/>
      <c r="F11" s="17"/>
      <c r="G11" s="17"/>
      <c r="H11" s="17"/>
      <c r="I11" s="17"/>
      <c r="J11" s="58"/>
      <c r="K11" s="58"/>
      <c r="L11" s="4">
        <v>1</v>
      </c>
      <c r="M11" s="5">
        <f>TRUNC(L11*F12,2)</f>
        <v>0</v>
      </c>
      <c r="N11" s="6">
        <f>TRUNC(M11*G12)+0.41</f>
        <v>0.41</v>
      </c>
      <c r="O11" s="4"/>
      <c r="P11" s="5"/>
      <c r="Q11" s="6"/>
      <c r="R11" s="4"/>
      <c r="S11" s="5"/>
      <c r="T11" s="6"/>
      <c r="U11" s="6"/>
      <c r="V11" s="6"/>
      <c r="W11" s="37">
        <f>TRUNC(G12*V11)+0</f>
        <v>0</v>
      </c>
      <c r="X11" s="4"/>
      <c r="Y11" s="36">
        <f>TRUNC(X11*F12,2)</f>
        <v>0</v>
      </c>
      <c r="Z11" s="37">
        <f>TRUNC(Y11*G12)+0</f>
        <v>0</v>
      </c>
    </row>
    <row r="12" spans="1:26" ht="55.2" customHeight="1">
      <c r="A12" s="16" t="s">
        <v>65</v>
      </c>
      <c r="B12" s="49">
        <v>98525</v>
      </c>
      <c r="C12" s="72" t="s">
        <v>69</v>
      </c>
      <c r="D12" s="17"/>
      <c r="E12" s="17"/>
      <c r="F12" s="17"/>
      <c r="G12" s="17"/>
      <c r="H12" s="17"/>
      <c r="I12" s="17"/>
      <c r="J12" s="58"/>
      <c r="K12" s="5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95" customHeight="1">
      <c r="A13" s="16"/>
      <c r="B13" s="49"/>
      <c r="C13" s="16" t="s">
        <v>598</v>
      </c>
      <c r="D13" s="17"/>
      <c r="E13" s="17"/>
      <c r="F13" s="17"/>
      <c r="G13" s="17"/>
      <c r="H13" s="17"/>
      <c r="I13" s="17"/>
      <c r="J13" s="58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2" customHeight="1">
      <c r="A14" s="46">
        <v>2</v>
      </c>
      <c r="B14" s="156" t="s">
        <v>66</v>
      </c>
      <c r="C14" s="156"/>
      <c r="D14" s="64"/>
      <c r="E14" s="1"/>
      <c r="F14" s="1"/>
      <c r="G14" s="1"/>
      <c r="H14" s="1"/>
      <c r="I14" s="64"/>
      <c r="J14" s="1"/>
      <c r="K14" s="64"/>
      <c r="L14" s="4">
        <v>1</v>
      </c>
      <c r="M14" s="5">
        <f>TRUNC(L14*F16,2)</f>
        <v>0</v>
      </c>
      <c r="N14" s="6">
        <f>TRUNC(M14*G16)+0.12</f>
        <v>0.12</v>
      </c>
      <c r="O14" s="4"/>
      <c r="P14" s="5"/>
      <c r="Q14" s="6"/>
      <c r="R14" s="4"/>
      <c r="S14" s="5"/>
      <c r="T14" s="6"/>
      <c r="U14" s="6"/>
      <c r="V14" s="6"/>
      <c r="W14" s="37">
        <f>TRUNC(G16*V14)+0</f>
        <v>0</v>
      </c>
      <c r="X14" s="4"/>
      <c r="Y14" s="36">
        <f>TRUNC(X14*F16,2)</f>
        <v>0</v>
      </c>
      <c r="Z14" s="37">
        <f>TRUNC(Y14*G16)+0</f>
        <v>0</v>
      </c>
    </row>
    <row r="15" spans="1:26" ht="25.2" customHeight="1">
      <c r="A15" s="46" t="s">
        <v>16</v>
      </c>
      <c r="B15" s="156" t="s">
        <v>12</v>
      </c>
      <c r="C15" s="156"/>
      <c r="D15" s="64"/>
      <c r="E15" s="64"/>
      <c r="F15" s="64"/>
      <c r="G15" s="64"/>
      <c r="H15" s="1"/>
      <c r="I15" s="64"/>
      <c r="J15" s="1"/>
      <c r="K15" s="64"/>
      <c r="L15" s="4"/>
      <c r="M15" s="5"/>
      <c r="N15" s="6"/>
      <c r="O15" s="4"/>
      <c r="P15" s="5"/>
      <c r="Q15" s="6"/>
      <c r="R15" s="4"/>
      <c r="S15" s="5"/>
      <c r="T15" s="6"/>
      <c r="U15" s="6"/>
      <c r="V15" s="6"/>
      <c r="W15" s="37"/>
      <c r="X15" s="4"/>
      <c r="Y15" s="36"/>
      <c r="Z15" s="37"/>
    </row>
    <row r="16" spans="1:26" ht="49.95" customHeight="1">
      <c r="A16" s="16" t="s">
        <v>70</v>
      </c>
      <c r="B16" s="49">
        <v>99059</v>
      </c>
      <c r="C16" s="73" t="s">
        <v>68</v>
      </c>
      <c r="D16" s="17"/>
      <c r="E16" s="17"/>
      <c r="F16" s="17"/>
      <c r="G16" s="17"/>
      <c r="H16" s="17"/>
      <c r="I16" s="17"/>
      <c r="J16" s="74"/>
      <c r="K16" s="69"/>
      <c r="L16" s="4">
        <v>1</v>
      </c>
      <c r="M16" s="5">
        <f>TRUNC(L16*F18,2)</f>
        <v>0</v>
      </c>
      <c r="N16" s="6">
        <f>TRUNC(M16*G18)+0</f>
        <v>0</v>
      </c>
      <c r="O16" s="4"/>
      <c r="P16" s="5"/>
      <c r="Q16" s="6"/>
      <c r="R16" s="4"/>
      <c r="S16" s="5"/>
      <c r="T16" s="6"/>
      <c r="U16" s="6"/>
      <c r="V16" s="6"/>
      <c r="W16" s="37">
        <f>TRUNC(G18*V16)+0</f>
        <v>0</v>
      </c>
      <c r="X16" s="4"/>
      <c r="Y16" s="36">
        <f>TRUNC(X16*F18,2)</f>
        <v>0</v>
      </c>
      <c r="Z16" s="37">
        <f>TRUNC(Y16*G18)+0</f>
        <v>0</v>
      </c>
    </row>
    <row r="17" spans="1:26" ht="19.95" customHeight="1">
      <c r="A17" s="16"/>
      <c r="B17" s="49"/>
      <c r="C17" s="21" t="s">
        <v>671</v>
      </c>
      <c r="D17" s="17"/>
      <c r="E17" s="17"/>
      <c r="F17" s="17"/>
      <c r="G17" s="17"/>
      <c r="H17" s="68"/>
      <c r="I17" s="68"/>
      <c r="J17" s="69"/>
      <c r="K17" s="69"/>
      <c r="L17" s="4"/>
      <c r="M17" s="5"/>
      <c r="N17" s="6"/>
      <c r="O17" s="4"/>
      <c r="P17" s="5"/>
      <c r="Q17" s="6"/>
      <c r="R17" s="4"/>
      <c r="S17" s="5"/>
      <c r="T17" s="6"/>
      <c r="U17" s="6"/>
      <c r="V17" s="6"/>
      <c r="W17" s="37"/>
      <c r="X17" s="4"/>
      <c r="Y17" s="36"/>
      <c r="Z17" s="37"/>
    </row>
    <row r="18" spans="1:26" ht="25.2" customHeight="1">
      <c r="A18" s="46" t="s">
        <v>17</v>
      </c>
      <c r="B18" s="156" t="s">
        <v>33</v>
      </c>
      <c r="C18" s="156"/>
      <c r="D18" s="64"/>
      <c r="E18" s="64"/>
      <c r="F18" s="64"/>
      <c r="G18" s="64"/>
      <c r="H18" s="67"/>
      <c r="I18" s="67"/>
      <c r="J18" s="67"/>
      <c r="K18" s="67"/>
      <c r="L18" s="4">
        <v>1</v>
      </c>
      <c r="M18" s="5" t="e">
        <f>TRUNC(L18*#REF!,2)</f>
        <v>#REF!</v>
      </c>
      <c r="N18" s="6" t="e">
        <f>TRUNC(M18*#REF!)+0.2</f>
        <v>#REF!</v>
      </c>
      <c r="O18" s="4"/>
      <c r="P18" s="5"/>
      <c r="Q18" s="6"/>
      <c r="R18" s="4"/>
      <c r="S18" s="5"/>
      <c r="T18" s="6"/>
      <c r="U18" s="6"/>
      <c r="V18" s="6"/>
      <c r="W18" s="37" t="e">
        <f>TRUNC(#REF!*V18)+0</f>
        <v>#REF!</v>
      </c>
      <c r="X18" s="4"/>
      <c r="Y18" s="36" t="e">
        <f>TRUNC(X18*#REF!,2)</f>
        <v>#REF!</v>
      </c>
      <c r="Z18" s="37" t="e">
        <f>TRUNC(Y18*#REF!)+0</f>
        <v>#REF!</v>
      </c>
    </row>
    <row r="19" spans="1:26" ht="49.95" customHeight="1">
      <c r="A19" s="75" t="s">
        <v>71</v>
      </c>
      <c r="B19" s="49">
        <v>93358</v>
      </c>
      <c r="C19" s="73" t="s">
        <v>400</v>
      </c>
      <c r="D19" s="17"/>
      <c r="E19" s="17"/>
      <c r="F19" s="17"/>
      <c r="G19" s="17"/>
      <c r="H19" s="17"/>
      <c r="I19" s="17"/>
      <c r="J19" s="74"/>
      <c r="K19" s="69"/>
      <c r="L19" s="4"/>
      <c r="M19" s="5"/>
      <c r="N19" s="6"/>
      <c r="O19" s="4"/>
      <c r="P19" s="5"/>
      <c r="Q19" s="6"/>
      <c r="R19" s="4"/>
      <c r="S19" s="5"/>
      <c r="T19" s="6"/>
      <c r="U19" s="6"/>
      <c r="V19" s="6"/>
      <c r="W19" s="37"/>
      <c r="X19" s="4"/>
      <c r="Y19" s="36"/>
      <c r="Z19" s="37"/>
    </row>
    <row r="20" spans="1:26" ht="19.95" customHeight="1">
      <c r="A20" s="75" t="s">
        <v>611</v>
      </c>
      <c r="B20" s="49"/>
      <c r="C20" s="21" t="s">
        <v>601</v>
      </c>
      <c r="D20" s="17"/>
      <c r="E20" s="17"/>
      <c r="F20" s="17"/>
      <c r="G20" s="17"/>
      <c r="H20" s="68"/>
      <c r="I20" s="68"/>
      <c r="J20" s="69"/>
      <c r="K20" s="69"/>
      <c r="L20" s="4"/>
      <c r="M20" s="5"/>
      <c r="N20" s="6"/>
      <c r="O20" s="4"/>
      <c r="P20" s="5"/>
      <c r="Q20" s="6"/>
      <c r="R20" s="4"/>
      <c r="S20" s="5"/>
      <c r="T20" s="6"/>
      <c r="U20" s="6"/>
      <c r="V20" s="6"/>
      <c r="W20" s="37"/>
      <c r="X20" s="4"/>
      <c r="Y20" s="36"/>
      <c r="Z20" s="37"/>
    </row>
    <row r="21" spans="1:26" ht="19.95" customHeight="1">
      <c r="A21" s="75" t="s">
        <v>612</v>
      </c>
      <c r="B21" s="49"/>
      <c r="C21" s="21" t="s">
        <v>602</v>
      </c>
      <c r="D21" s="17"/>
      <c r="E21" s="17"/>
      <c r="F21" s="17"/>
      <c r="G21" s="17"/>
      <c r="H21" s="68"/>
      <c r="I21" s="68"/>
      <c r="J21" s="69"/>
      <c r="K21" s="69"/>
      <c r="L21" s="4"/>
      <c r="M21" s="5"/>
      <c r="N21" s="6"/>
      <c r="O21" s="4"/>
      <c r="P21" s="5"/>
      <c r="Q21" s="6"/>
      <c r="R21" s="4"/>
      <c r="S21" s="5"/>
      <c r="T21" s="6"/>
      <c r="U21" s="6"/>
      <c r="V21" s="6"/>
      <c r="W21" s="37"/>
      <c r="X21" s="4"/>
      <c r="Y21" s="36"/>
      <c r="Z21" s="37"/>
    </row>
    <row r="22" spans="1:26" ht="19.95" customHeight="1">
      <c r="A22" s="75" t="s">
        <v>613</v>
      </c>
      <c r="B22" s="49"/>
      <c r="C22" s="21" t="s">
        <v>603</v>
      </c>
      <c r="D22" s="17"/>
      <c r="E22" s="17"/>
      <c r="F22" s="17"/>
      <c r="G22" s="17"/>
      <c r="H22" s="68"/>
      <c r="I22" s="68"/>
      <c r="J22" s="69"/>
      <c r="K22" s="69"/>
      <c r="L22" s="4"/>
      <c r="M22" s="5"/>
      <c r="N22" s="6"/>
      <c r="O22" s="4"/>
      <c r="P22" s="5"/>
      <c r="Q22" s="6"/>
      <c r="R22" s="4"/>
      <c r="S22" s="5"/>
      <c r="T22" s="6"/>
      <c r="U22" s="6"/>
      <c r="V22" s="6"/>
      <c r="W22" s="37"/>
      <c r="X22" s="4"/>
      <c r="Y22" s="36"/>
      <c r="Z22" s="37"/>
    </row>
    <row r="23" spans="1:26" ht="19.95" customHeight="1">
      <c r="A23" s="75" t="s">
        <v>614</v>
      </c>
      <c r="B23" s="49"/>
      <c r="C23" s="21" t="s">
        <v>604</v>
      </c>
      <c r="D23" s="17"/>
      <c r="E23" s="17"/>
      <c r="F23" s="17"/>
      <c r="G23" s="17"/>
      <c r="H23" s="68"/>
      <c r="I23" s="68"/>
      <c r="J23" s="69"/>
      <c r="K23" s="69"/>
      <c r="L23" s="4"/>
      <c r="M23" s="5"/>
      <c r="N23" s="6"/>
      <c r="O23" s="4"/>
      <c r="P23" s="5"/>
      <c r="Q23" s="6"/>
      <c r="R23" s="4"/>
      <c r="S23" s="5"/>
      <c r="T23" s="6"/>
      <c r="U23" s="6"/>
      <c r="V23" s="6"/>
      <c r="W23" s="37"/>
      <c r="X23" s="4"/>
      <c r="Y23" s="36"/>
      <c r="Z23" s="37"/>
    </row>
    <row r="24" spans="1:26" ht="19.95" customHeight="1">
      <c r="A24" s="75" t="s">
        <v>615</v>
      </c>
      <c r="B24" s="49"/>
      <c r="C24" s="21" t="s">
        <v>605</v>
      </c>
      <c r="D24" s="17"/>
      <c r="E24" s="17"/>
      <c r="F24" s="17"/>
      <c r="G24" s="17"/>
      <c r="H24" s="68"/>
      <c r="I24" s="68"/>
      <c r="J24" s="69"/>
      <c r="K24" s="69"/>
      <c r="L24" s="4"/>
      <c r="M24" s="5"/>
      <c r="N24" s="6"/>
      <c r="O24" s="4"/>
      <c r="P24" s="5"/>
      <c r="Q24" s="6"/>
      <c r="R24" s="4"/>
      <c r="S24" s="5"/>
      <c r="T24" s="6"/>
      <c r="U24" s="6"/>
      <c r="V24" s="6"/>
      <c r="W24" s="37"/>
      <c r="X24" s="4"/>
      <c r="Y24" s="36"/>
      <c r="Z24" s="37"/>
    </row>
    <row r="25" spans="1:26" ht="19.95" customHeight="1">
      <c r="A25" s="75" t="s">
        <v>616</v>
      </c>
      <c r="B25" s="49"/>
      <c r="C25" s="21" t="s">
        <v>606</v>
      </c>
      <c r="D25" s="17"/>
      <c r="E25" s="17"/>
      <c r="F25" s="17"/>
      <c r="G25" s="17"/>
      <c r="H25" s="68"/>
      <c r="I25" s="68"/>
      <c r="J25" s="69"/>
      <c r="K25" s="69"/>
      <c r="L25" s="4"/>
      <c r="M25" s="5"/>
      <c r="N25" s="6"/>
      <c r="O25" s="4"/>
      <c r="P25" s="5"/>
      <c r="Q25" s="6"/>
      <c r="R25" s="4"/>
      <c r="S25" s="5"/>
      <c r="T25" s="6"/>
      <c r="U25" s="6"/>
      <c r="V25" s="6"/>
      <c r="W25" s="37"/>
      <c r="X25" s="4"/>
      <c r="Y25" s="36"/>
      <c r="Z25" s="37"/>
    </row>
    <row r="26" spans="1:26" ht="19.95" customHeight="1">
      <c r="A26" s="75" t="s">
        <v>617</v>
      </c>
      <c r="B26" s="49"/>
      <c r="C26" s="21" t="s">
        <v>607</v>
      </c>
      <c r="D26" s="17"/>
      <c r="E26" s="17"/>
      <c r="F26" s="17"/>
      <c r="G26" s="17"/>
      <c r="H26" s="68"/>
      <c r="I26" s="68"/>
      <c r="J26" s="69"/>
      <c r="K26" s="69"/>
      <c r="L26" s="4"/>
      <c r="M26" s="5"/>
      <c r="N26" s="6"/>
      <c r="O26" s="4"/>
      <c r="P26" s="5"/>
      <c r="Q26" s="6"/>
      <c r="R26" s="4"/>
      <c r="S26" s="5"/>
      <c r="T26" s="6"/>
      <c r="U26" s="6"/>
      <c r="V26" s="6"/>
      <c r="W26" s="37"/>
      <c r="X26" s="4"/>
      <c r="Y26" s="36"/>
      <c r="Z26" s="37"/>
    </row>
    <row r="27" spans="1:26" ht="19.95" customHeight="1">
      <c r="A27" s="75" t="s">
        <v>618</v>
      </c>
      <c r="B27" s="49"/>
      <c r="C27" s="21" t="s">
        <v>608</v>
      </c>
      <c r="D27" s="17"/>
      <c r="E27" s="17"/>
      <c r="F27" s="17"/>
      <c r="G27" s="17"/>
      <c r="H27" s="68"/>
      <c r="I27" s="68"/>
      <c r="J27" s="69"/>
      <c r="K27" s="69"/>
      <c r="L27" s="4"/>
      <c r="M27" s="5"/>
      <c r="N27" s="6"/>
      <c r="O27" s="4"/>
      <c r="P27" s="5"/>
      <c r="Q27" s="6"/>
      <c r="R27" s="4"/>
      <c r="S27" s="5"/>
      <c r="T27" s="6"/>
      <c r="U27" s="6"/>
      <c r="V27" s="6"/>
      <c r="W27" s="37"/>
      <c r="X27" s="4"/>
      <c r="Y27" s="36"/>
      <c r="Z27" s="37"/>
    </row>
    <row r="28" spans="1:26" ht="19.95" customHeight="1">
      <c r="A28" s="75" t="s">
        <v>619</v>
      </c>
      <c r="B28" s="49"/>
      <c r="C28" s="21" t="s">
        <v>609</v>
      </c>
      <c r="D28" s="17"/>
      <c r="E28" s="17"/>
      <c r="F28" s="17"/>
      <c r="G28" s="17"/>
      <c r="H28" s="68"/>
      <c r="I28" s="68"/>
      <c r="J28" s="69"/>
      <c r="K28" s="69"/>
      <c r="L28" s="4"/>
      <c r="M28" s="5"/>
      <c r="N28" s="6"/>
      <c r="O28" s="4"/>
      <c r="P28" s="5"/>
      <c r="Q28" s="6"/>
      <c r="R28" s="4"/>
      <c r="S28" s="5"/>
      <c r="T28" s="6"/>
      <c r="U28" s="6"/>
      <c r="V28" s="6"/>
      <c r="W28" s="37"/>
      <c r="X28" s="4"/>
      <c r="Y28" s="36"/>
      <c r="Z28" s="37"/>
    </row>
    <row r="29" spans="1:26" ht="19.95" customHeight="1">
      <c r="A29" s="75" t="s">
        <v>620</v>
      </c>
      <c r="B29" s="49"/>
      <c r="C29" s="21" t="s">
        <v>610</v>
      </c>
      <c r="D29" s="17"/>
      <c r="E29" s="17"/>
      <c r="F29" s="17"/>
      <c r="G29" s="17"/>
      <c r="H29" s="68"/>
      <c r="I29" s="68"/>
      <c r="J29" s="69"/>
      <c r="K29" s="69"/>
      <c r="L29" s="4"/>
      <c r="M29" s="5"/>
      <c r="N29" s="6"/>
      <c r="O29" s="4"/>
      <c r="P29" s="5"/>
      <c r="Q29" s="6"/>
      <c r="R29" s="4"/>
      <c r="S29" s="5"/>
      <c r="T29" s="6"/>
      <c r="U29" s="6"/>
      <c r="V29" s="6"/>
      <c r="W29" s="37"/>
      <c r="X29" s="4"/>
      <c r="Y29" s="36"/>
      <c r="Z29" s="37"/>
    </row>
    <row r="30" spans="1:26" ht="49.95" customHeight="1">
      <c r="A30" s="16" t="s">
        <v>71</v>
      </c>
      <c r="B30" s="49">
        <v>104737</v>
      </c>
      <c r="C30" s="73" t="s">
        <v>401</v>
      </c>
      <c r="D30" s="17"/>
      <c r="E30" s="17"/>
      <c r="F30" s="17"/>
      <c r="G30" s="17"/>
      <c r="H30" s="17"/>
      <c r="I30" s="17"/>
      <c r="J30" s="74"/>
      <c r="K30" s="69"/>
      <c r="L30" s="4"/>
      <c r="M30" s="5"/>
      <c r="N30" s="6"/>
      <c r="O30" s="4"/>
      <c r="P30" s="5"/>
      <c r="Q30" s="6"/>
      <c r="R30" s="4"/>
      <c r="S30" s="5"/>
      <c r="T30" s="6"/>
      <c r="U30" s="6"/>
      <c r="V30" s="6"/>
      <c r="W30" s="37"/>
      <c r="X30" s="4"/>
      <c r="Y30" s="36"/>
      <c r="Z30" s="37"/>
    </row>
    <row r="31" spans="1:26" ht="19.95" customHeight="1">
      <c r="A31" s="16" t="s">
        <v>621</v>
      </c>
      <c r="B31" s="49"/>
      <c r="C31" s="21" t="s">
        <v>622</v>
      </c>
      <c r="D31" s="17"/>
      <c r="E31" s="17"/>
      <c r="F31" s="17"/>
      <c r="G31" s="17"/>
      <c r="H31" s="68"/>
      <c r="I31" s="68"/>
      <c r="J31" s="69"/>
      <c r="K31" s="69"/>
      <c r="L31" s="4"/>
      <c r="M31" s="5"/>
      <c r="N31" s="6"/>
      <c r="O31" s="4"/>
      <c r="P31" s="5"/>
      <c r="Q31" s="6"/>
      <c r="R31" s="4"/>
      <c r="S31" s="5"/>
      <c r="T31" s="6"/>
      <c r="U31" s="6"/>
      <c r="V31" s="6"/>
      <c r="W31" s="37"/>
      <c r="X31" s="4"/>
      <c r="Y31" s="36"/>
      <c r="Z31" s="37"/>
    </row>
    <row r="32" spans="1:26" ht="25.2" customHeight="1">
      <c r="A32" s="46" t="s">
        <v>18</v>
      </c>
      <c r="B32" s="156" t="s">
        <v>40</v>
      </c>
      <c r="C32" s="156"/>
      <c r="D32" s="64"/>
      <c r="E32" s="64"/>
      <c r="F32" s="64"/>
      <c r="G32" s="64"/>
      <c r="H32" s="67"/>
      <c r="I32" s="67"/>
      <c r="J32" s="67"/>
      <c r="K32" s="67"/>
      <c r="L32" s="4">
        <v>1</v>
      </c>
      <c r="M32" s="5" t="e">
        <f>TRUNC(L32*#REF!,2)</f>
        <v>#REF!</v>
      </c>
      <c r="N32" s="6" t="e">
        <f>TRUNC(M32*#REF!)+0.2</f>
        <v>#REF!</v>
      </c>
      <c r="O32" s="4"/>
      <c r="P32" s="5"/>
      <c r="Q32" s="6"/>
      <c r="R32" s="4"/>
      <c r="S32" s="5"/>
      <c r="T32" s="6"/>
      <c r="U32" s="6"/>
      <c r="V32" s="6"/>
      <c r="W32" s="37" t="e">
        <f>TRUNC(#REF!*V32)+0</f>
        <v>#REF!</v>
      </c>
      <c r="X32" s="4"/>
      <c r="Y32" s="36" t="e">
        <f>TRUNC(X32*#REF!,2)</f>
        <v>#REF!</v>
      </c>
      <c r="Z32" s="37" t="e">
        <f>TRUNC(Y32*#REF!)+0</f>
        <v>#REF!</v>
      </c>
    </row>
    <row r="33" spans="1:26" ht="49.95" customHeight="1">
      <c r="A33" s="45" t="s">
        <v>72</v>
      </c>
      <c r="B33" s="49">
        <v>96619</v>
      </c>
      <c r="C33" s="73" t="s">
        <v>402</v>
      </c>
      <c r="D33" s="17"/>
      <c r="E33" s="17"/>
      <c r="F33" s="17"/>
      <c r="G33" s="17"/>
      <c r="H33" s="17"/>
      <c r="I33" s="17"/>
      <c r="J33" s="74"/>
      <c r="K33" s="69"/>
      <c r="L33" s="4"/>
      <c r="M33" s="5"/>
      <c r="N33" s="6"/>
      <c r="O33" s="4"/>
      <c r="P33" s="5"/>
      <c r="Q33" s="6"/>
      <c r="R33" s="4"/>
      <c r="S33" s="5"/>
      <c r="T33" s="6"/>
      <c r="U33" s="6"/>
      <c r="V33" s="6"/>
      <c r="W33" s="37"/>
      <c r="X33" s="4"/>
      <c r="Y33" s="36"/>
      <c r="Z33" s="37"/>
    </row>
    <row r="34" spans="1:26" ht="19.95" customHeight="1">
      <c r="A34" s="16" t="s">
        <v>626</v>
      </c>
      <c r="B34" s="49"/>
      <c r="C34" s="21" t="s">
        <v>659</v>
      </c>
      <c r="D34" s="17"/>
      <c r="E34" s="17"/>
      <c r="F34" s="17"/>
      <c r="G34" s="17"/>
      <c r="H34" s="68"/>
      <c r="I34" s="68"/>
      <c r="J34" s="69"/>
      <c r="K34" s="69"/>
      <c r="L34" s="4"/>
      <c r="M34" s="5"/>
      <c r="N34" s="6"/>
      <c r="O34" s="4"/>
      <c r="P34" s="5"/>
      <c r="Q34" s="6"/>
      <c r="R34" s="4"/>
      <c r="S34" s="5"/>
      <c r="T34" s="6"/>
      <c r="U34" s="6"/>
      <c r="V34" s="6"/>
      <c r="W34" s="37"/>
      <c r="X34" s="4"/>
      <c r="Y34" s="36"/>
      <c r="Z34" s="37"/>
    </row>
    <row r="35" spans="1:26" ht="19.95" customHeight="1">
      <c r="A35" s="16" t="s">
        <v>627</v>
      </c>
      <c r="B35" s="49"/>
      <c r="C35" s="79" t="s">
        <v>660</v>
      </c>
      <c r="D35" s="17"/>
      <c r="E35" s="17"/>
      <c r="F35" s="17"/>
      <c r="G35" s="17"/>
      <c r="H35" s="68"/>
      <c r="I35" s="68"/>
      <c r="J35" s="69"/>
      <c r="K35" s="69"/>
      <c r="L35" s="4"/>
      <c r="M35" s="5"/>
      <c r="N35" s="6"/>
      <c r="O35" s="4"/>
      <c r="P35" s="5"/>
      <c r="Q35" s="6"/>
      <c r="R35" s="4"/>
      <c r="S35" s="5"/>
      <c r="T35" s="6"/>
      <c r="U35" s="6"/>
      <c r="V35" s="6"/>
      <c r="W35" s="37"/>
      <c r="X35" s="4"/>
      <c r="Y35" s="36"/>
      <c r="Z35" s="37"/>
    </row>
    <row r="36" spans="1:26" ht="19.95" customHeight="1">
      <c r="A36" s="16" t="s">
        <v>628</v>
      </c>
      <c r="B36" s="49"/>
      <c r="C36" s="21" t="s">
        <v>661</v>
      </c>
      <c r="D36" s="17"/>
      <c r="E36" s="17"/>
      <c r="F36" s="17"/>
      <c r="G36" s="17"/>
      <c r="H36" s="68"/>
      <c r="I36" s="68"/>
      <c r="J36" s="69"/>
      <c r="K36" s="69"/>
      <c r="L36" s="4"/>
      <c r="M36" s="5"/>
      <c r="N36" s="6"/>
      <c r="O36" s="4"/>
      <c r="P36" s="5"/>
      <c r="Q36" s="6"/>
      <c r="R36" s="4"/>
      <c r="S36" s="5"/>
      <c r="T36" s="6"/>
      <c r="U36" s="6"/>
      <c r="V36" s="6"/>
      <c r="W36" s="37"/>
      <c r="X36" s="4"/>
      <c r="Y36" s="36"/>
      <c r="Z36" s="37"/>
    </row>
    <row r="37" spans="1:26" ht="19.95" customHeight="1">
      <c r="A37" s="16" t="s">
        <v>629</v>
      </c>
      <c r="B37" s="49"/>
      <c r="C37" s="21" t="s">
        <v>662</v>
      </c>
      <c r="D37" s="17"/>
      <c r="E37" s="17"/>
      <c r="F37" s="17"/>
      <c r="G37" s="17"/>
      <c r="H37" s="68"/>
      <c r="I37" s="68"/>
      <c r="J37" s="69"/>
      <c r="K37" s="69"/>
      <c r="L37" s="4"/>
      <c r="M37" s="5"/>
      <c r="N37" s="6"/>
      <c r="O37" s="4"/>
      <c r="P37" s="5"/>
      <c r="Q37" s="6"/>
      <c r="R37" s="4"/>
      <c r="S37" s="5"/>
      <c r="T37" s="6"/>
      <c r="U37" s="6"/>
      <c r="V37" s="6"/>
      <c r="W37" s="37"/>
      <c r="X37" s="4"/>
      <c r="Y37" s="36"/>
      <c r="Z37" s="37"/>
    </row>
    <row r="38" spans="1:26" ht="49.95" customHeight="1">
      <c r="A38" s="45" t="s">
        <v>73</v>
      </c>
      <c r="B38" s="49">
        <v>101616</v>
      </c>
      <c r="C38" s="73" t="s">
        <v>403</v>
      </c>
      <c r="D38" s="17"/>
      <c r="E38" s="17"/>
      <c r="F38" s="17"/>
      <c r="G38" s="17"/>
      <c r="H38" s="17"/>
      <c r="I38" s="17"/>
      <c r="J38" s="74"/>
      <c r="K38" s="69"/>
      <c r="L38" s="4"/>
      <c r="M38" s="5"/>
      <c r="N38" s="6"/>
      <c r="O38" s="4"/>
      <c r="P38" s="5"/>
      <c r="Q38" s="6"/>
      <c r="R38" s="4"/>
      <c r="S38" s="5"/>
      <c r="T38" s="6"/>
      <c r="U38" s="6"/>
      <c r="V38" s="6"/>
      <c r="W38" s="37"/>
      <c r="X38" s="4"/>
      <c r="Y38" s="36"/>
      <c r="Z38" s="37"/>
    </row>
    <row r="39" spans="1:26" ht="19.95" customHeight="1">
      <c r="A39" s="16" t="s">
        <v>630</v>
      </c>
      <c r="B39" s="49"/>
      <c r="C39" s="21" t="s">
        <v>659</v>
      </c>
      <c r="D39" s="17"/>
      <c r="E39" s="17"/>
      <c r="F39" s="17"/>
      <c r="G39" s="17"/>
      <c r="H39" s="81"/>
      <c r="I39" s="81"/>
      <c r="J39" s="58"/>
      <c r="K39" s="58"/>
      <c r="L39" s="4"/>
      <c r="M39" s="5"/>
      <c r="N39" s="6"/>
      <c r="O39" s="4"/>
      <c r="P39" s="5"/>
      <c r="Q39" s="6"/>
      <c r="R39" s="4"/>
      <c r="S39" s="5"/>
      <c r="T39" s="6"/>
      <c r="U39" s="6"/>
      <c r="V39" s="6"/>
      <c r="W39" s="37"/>
      <c r="X39" s="4"/>
      <c r="Y39" s="36"/>
      <c r="Z39" s="37"/>
    </row>
    <row r="40" spans="1:26" ht="19.95" customHeight="1">
      <c r="A40" s="16" t="s">
        <v>631</v>
      </c>
      <c r="B40" s="49"/>
      <c r="C40" s="21" t="s">
        <v>660</v>
      </c>
      <c r="D40" s="17"/>
      <c r="E40" s="17"/>
      <c r="F40" s="17"/>
      <c r="G40" s="17"/>
      <c r="H40" s="81"/>
      <c r="I40" s="81"/>
      <c r="J40" s="58"/>
      <c r="K40" s="58"/>
      <c r="L40" s="4"/>
      <c r="M40" s="5"/>
      <c r="N40" s="6"/>
      <c r="O40" s="4"/>
      <c r="P40" s="5"/>
      <c r="Q40" s="6"/>
      <c r="R40" s="4"/>
      <c r="S40" s="5"/>
      <c r="T40" s="6"/>
      <c r="U40" s="6"/>
      <c r="V40" s="6"/>
      <c r="W40" s="37"/>
      <c r="X40" s="4"/>
      <c r="Y40" s="36"/>
      <c r="Z40" s="37"/>
    </row>
    <row r="41" spans="1:26" ht="19.95" customHeight="1">
      <c r="A41" s="16" t="s">
        <v>632</v>
      </c>
      <c r="B41" s="49"/>
      <c r="C41" s="80" t="s">
        <v>661</v>
      </c>
      <c r="D41" s="17"/>
      <c r="E41" s="17"/>
      <c r="F41" s="17"/>
      <c r="G41" s="17"/>
      <c r="H41" s="81"/>
      <c r="I41" s="82"/>
      <c r="J41" s="58"/>
      <c r="K41" s="58"/>
      <c r="L41" s="4"/>
      <c r="M41" s="5"/>
      <c r="N41" s="6"/>
      <c r="O41" s="4"/>
      <c r="P41" s="5"/>
      <c r="Q41" s="6"/>
      <c r="R41" s="4"/>
      <c r="S41" s="5"/>
      <c r="T41" s="6"/>
      <c r="U41" s="6"/>
      <c r="V41" s="6"/>
      <c r="W41" s="37"/>
      <c r="X41" s="4"/>
      <c r="Y41" s="36"/>
      <c r="Z41" s="37"/>
    </row>
    <row r="42" spans="1:26" ht="19.95" customHeight="1">
      <c r="A42" s="16" t="s">
        <v>633</v>
      </c>
      <c r="B42" s="49"/>
      <c r="C42" s="80" t="s">
        <v>662</v>
      </c>
      <c r="D42" s="17"/>
      <c r="E42" s="17"/>
      <c r="F42" s="17"/>
      <c r="G42" s="17"/>
      <c r="H42" s="81"/>
      <c r="I42" s="81"/>
      <c r="J42" s="58"/>
      <c r="K42" s="58"/>
      <c r="L42" s="4"/>
      <c r="M42" s="5"/>
      <c r="N42" s="6"/>
      <c r="O42" s="4"/>
      <c r="P42" s="5"/>
      <c r="Q42" s="6"/>
      <c r="R42" s="4"/>
      <c r="S42" s="5"/>
      <c r="T42" s="6"/>
      <c r="U42" s="6"/>
      <c r="V42" s="6"/>
      <c r="W42" s="37"/>
      <c r="X42" s="4"/>
      <c r="Y42" s="36"/>
      <c r="Z42" s="37"/>
    </row>
    <row r="43" spans="1:26" ht="19.95" customHeight="1">
      <c r="A43" s="16" t="s">
        <v>634</v>
      </c>
      <c r="B43" s="49"/>
      <c r="C43" s="80" t="s">
        <v>663</v>
      </c>
      <c r="D43" s="17"/>
      <c r="E43" s="17"/>
      <c r="F43" s="17"/>
      <c r="G43" s="17"/>
      <c r="H43" s="81"/>
      <c r="I43" s="81"/>
      <c r="J43" s="58"/>
      <c r="K43" s="58"/>
      <c r="L43" s="4"/>
      <c r="M43" s="5"/>
      <c r="N43" s="6"/>
      <c r="O43" s="4"/>
      <c r="P43" s="5"/>
      <c r="Q43" s="6"/>
      <c r="R43" s="4"/>
      <c r="S43" s="5"/>
      <c r="T43" s="6"/>
      <c r="U43" s="6"/>
      <c r="V43" s="6"/>
      <c r="W43" s="37"/>
      <c r="X43" s="4"/>
      <c r="Y43" s="36"/>
      <c r="Z43" s="37"/>
    </row>
    <row r="44" spans="1:26" ht="19.95" customHeight="1">
      <c r="A44" s="16" t="s">
        <v>635</v>
      </c>
      <c r="B44" s="49"/>
      <c r="C44" s="80" t="s">
        <v>664</v>
      </c>
      <c r="D44" s="17"/>
      <c r="E44" s="17"/>
      <c r="F44" s="17"/>
      <c r="G44" s="17"/>
      <c r="H44" s="81"/>
      <c r="I44" s="81"/>
      <c r="J44" s="58"/>
      <c r="K44" s="58"/>
      <c r="L44" s="4"/>
      <c r="M44" s="5"/>
      <c r="N44" s="6"/>
      <c r="O44" s="4"/>
      <c r="P44" s="5"/>
      <c r="Q44" s="6"/>
      <c r="R44" s="4"/>
      <c r="S44" s="5"/>
      <c r="T44" s="6"/>
      <c r="U44" s="6"/>
      <c r="V44" s="6"/>
      <c r="W44" s="37"/>
      <c r="X44" s="4"/>
      <c r="Y44" s="36"/>
      <c r="Z44" s="37"/>
    </row>
    <row r="45" spans="1:26" ht="19.95" customHeight="1">
      <c r="A45" s="16" t="s">
        <v>636</v>
      </c>
      <c r="B45" s="49"/>
      <c r="C45" s="80" t="s">
        <v>666</v>
      </c>
      <c r="D45" s="17"/>
      <c r="E45" s="17"/>
      <c r="F45" s="17"/>
      <c r="G45" s="17"/>
      <c r="H45" s="81"/>
      <c r="I45" s="81"/>
      <c r="J45" s="58"/>
      <c r="K45" s="58"/>
      <c r="L45" s="4"/>
      <c r="M45" s="5"/>
      <c r="N45" s="6"/>
      <c r="O45" s="4"/>
      <c r="P45" s="5"/>
      <c r="Q45" s="6"/>
      <c r="R45" s="4"/>
      <c r="S45" s="5"/>
      <c r="T45" s="6"/>
      <c r="U45" s="6"/>
      <c r="V45" s="6"/>
      <c r="W45" s="37"/>
      <c r="X45" s="4"/>
      <c r="Y45" s="36"/>
      <c r="Z45" s="37"/>
    </row>
    <row r="46" spans="1:26" ht="19.95" customHeight="1">
      <c r="A46" s="16" t="s">
        <v>637</v>
      </c>
      <c r="B46" s="49"/>
      <c r="C46" s="80" t="s">
        <v>667</v>
      </c>
      <c r="D46" s="17"/>
      <c r="E46" s="17"/>
      <c r="F46" s="17"/>
      <c r="G46" s="17"/>
      <c r="H46" s="81"/>
      <c r="I46" s="81"/>
      <c r="J46" s="58"/>
      <c r="K46" s="58"/>
      <c r="L46" s="4"/>
      <c r="M46" s="5"/>
      <c r="N46" s="6"/>
      <c r="O46" s="4"/>
      <c r="P46" s="5"/>
      <c r="Q46" s="6"/>
      <c r="R46" s="4"/>
      <c r="S46" s="5"/>
      <c r="T46" s="6"/>
      <c r="U46" s="6"/>
      <c r="V46" s="6"/>
      <c r="W46" s="37"/>
      <c r="X46" s="4"/>
      <c r="Y46" s="36"/>
      <c r="Z46" s="37"/>
    </row>
    <row r="47" spans="1:26" ht="19.95" customHeight="1">
      <c r="A47" s="16" t="s">
        <v>638</v>
      </c>
      <c r="B47" s="49"/>
      <c r="C47" s="80" t="s">
        <v>668</v>
      </c>
      <c r="D47" s="17"/>
      <c r="E47" s="17"/>
      <c r="F47" s="17"/>
      <c r="G47" s="17"/>
      <c r="H47" s="81"/>
      <c r="I47" s="81"/>
      <c r="J47" s="58"/>
      <c r="K47" s="58"/>
      <c r="L47" s="4"/>
      <c r="M47" s="5"/>
      <c r="N47" s="6"/>
      <c r="O47" s="4"/>
      <c r="P47" s="5"/>
      <c r="Q47" s="6"/>
      <c r="R47" s="4"/>
      <c r="S47" s="5"/>
      <c r="T47" s="6"/>
      <c r="U47" s="6"/>
      <c r="V47" s="6"/>
      <c r="W47" s="37"/>
      <c r="X47" s="4"/>
      <c r="Y47" s="36"/>
      <c r="Z47" s="37"/>
    </row>
    <row r="48" spans="1:26" ht="19.95" customHeight="1">
      <c r="A48" s="16" t="s">
        <v>639</v>
      </c>
      <c r="B48" s="49"/>
      <c r="C48" s="80" t="s">
        <v>665</v>
      </c>
      <c r="D48" s="17"/>
      <c r="E48" s="17"/>
      <c r="F48" s="17"/>
      <c r="G48" s="17"/>
      <c r="H48"/>
      <c r="I48" s="81"/>
      <c r="J48" s="58"/>
      <c r="K48" s="58"/>
      <c r="L48" s="4"/>
      <c r="M48" s="5"/>
      <c r="N48" s="6"/>
      <c r="O48" s="4"/>
      <c r="P48" s="5"/>
      <c r="Q48" s="6"/>
      <c r="R48" s="4"/>
      <c r="S48" s="5"/>
      <c r="T48" s="6"/>
      <c r="U48" s="6"/>
      <c r="V48" s="6"/>
      <c r="W48" s="37"/>
      <c r="X48" s="4"/>
      <c r="Y48" s="36"/>
      <c r="Z48" s="37"/>
    </row>
    <row r="49" spans="1:26" ht="49.95" customHeight="1">
      <c r="A49" s="45" t="s">
        <v>74</v>
      </c>
      <c r="B49" s="49">
        <v>94971</v>
      </c>
      <c r="C49" s="73" t="s">
        <v>404</v>
      </c>
      <c r="D49" s="17"/>
      <c r="E49" s="17"/>
      <c r="F49" s="17"/>
      <c r="G49" s="17"/>
      <c r="H49" s="17"/>
      <c r="I49" s="17"/>
      <c r="J49" s="74"/>
      <c r="K49" s="69"/>
      <c r="L49" s="4"/>
      <c r="M49" s="5"/>
      <c r="N49" s="6"/>
      <c r="O49" s="4"/>
      <c r="P49" s="5"/>
      <c r="Q49" s="6"/>
      <c r="R49" s="4"/>
      <c r="S49" s="5"/>
      <c r="T49" s="6"/>
      <c r="U49" s="6"/>
      <c r="V49" s="6"/>
      <c r="W49" s="37"/>
      <c r="X49" s="4"/>
      <c r="Y49" s="36"/>
      <c r="Z49" s="37"/>
    </row>
    <row r="50" spans="1:26" ht="19.95" customHeight="1">
      <c r="A50" s="16" t="s">
        <v>640</v>
      </c>
      <c r="B50" s="49"/>
      <c r="C50" s="21" t="s">
        <v>669</v>
      </c>
      <c r="D50" s="17"/>
      <c r="E50" s="17"/>
      <c r="F50" s="17"/>
      <c r="G50" s="17"/>
      <c r="H50" s="68"/>
      <c r="I50" s="68"/>
      <c r="J50" s="69"/>
      <c r="K50" s="69"/>
      <c r="L50" s="4"/>
      <c r="M50" s="5"/>
      <c r="N50" s="6"/>
      <c r="O50" s="4"/>
      <c r="P50" s="5"/>
      <c r="Q50" s="6"/>
      <c r="R50" s="4"/>
      <c r="S50" s="5"/>
      <c r="T50" s="6"/>
      <c r="U50" s="6"/>
      <c r="V50" s="6"/>
      <c r="W50" s="37"/>
      <c r="X50" s="4"/>
      <c r="Y50" s="36"/>
      <c r="Z50" s="37"/>
    </row>
    <row r="51" spans="1:26" ht="19.95" customHeight="1">
      <c r="A51" s="16" t="s">
        <v>641</v>
      </c>
      <c r="B51" s="49"/>
      <c r="C51" s="21" t="s">
        <v>670</v>
      </c>
      <c r="D51" s="17"/>
      <c r="E51" s="17"/>
      <c r="F51" s="17"/>
      <c r="G51" s="17"/>
      <c r="H51" s="68"/>
      <c r="I51" s="68"/>
      <c r="J51" s="69"/>
      <c r="K51" s="69"/>
      <c r="L51" s="4"/>
      <c r="M51" s="5"/>
      <c r="N51" s="6"/>
      <c r="O51" s="4"/>
      <c r="P51" s="5"/>
      <c r="Q51" s="6"/>
      <c r="R51" s="4"/>
      <c r="S51" s="5"/>
      <c r="T51" s="6"/>
      <c r="U51" s="6"/>
      <c r="V51" s="6"/>
      <c r="W51" s="37"/>
      <c r="X51" s="4"/>
      <c r="Y51" s="36"/>
      <c r="Z51" s="37"/>
    </row>
    <row r="52" spans="1:26" ht="49.95" customHeight="1">
      <c r="A52" s="45" t="s">
        <v>75</v>
      </c>
      <c r="B52" s="49">
        <v>103670</v>
      </c>
      <c r="C52" s="73" t="s">
        <v>405</v>
      </c>
      <c r="D52" s="17"/>
      <c r="E52" s="17"/>
      <c r="F52" s="17"/>
      <c r="G52" s="17"/>
      <c r="H52" s="17"/>
      <c r="I52" s="17"/>
      <c r="J52" s="74"/>
      <c r="K52" s="69"/>
      <c r="L52" s="4"/>
      <c r="M52" s="5"/>
      <c r="N52" s="6"/>
      <c r="O52" s="4"/>
      <c r="P52" s="5"/>
      <c r="Q52" s="6"/>
      <c r="R52" s="4"/>
      <c r="S52" s="5"/>
      <c r="T52" s="6"/>
      <c r="U52" s="6"/>
      <c r="V52" s="6"/>
      <c r="W52" s="37"/>
      <c r="X52" s="4"/>
      <c r="Y52" s="36"/>
      <c r="Z52" s="37"/>
    </row>
    <row r="53" spans="1:26" ht="19.95" customHeight="1">
      <c r="A53" s="16" t="s">
        <v>642</v>
      </c>
      <c r="B53" s="49"/>
      <c r="C53" s="21" t="s">
        <v>672</v>
      </c>
      <c r="D53" s="17"/>
      <c r="E53" s="17"/>
      <c r="F53" s="17"/>
      <c r="G53" s="17"/>
      <c r="H53" s="17"/>
      <c r="I53" s="17"/>
      <c r="J53" s="69"/>
      <c r="K53" s="69"/>
      <c r="L53" s="4"/>
      <c r="M53" s="5"/>
      <c r="N53" s="6"/>
      <c r="O53" s="4"/>
      <c r="P53" s="5"/>
      <c r="Q53" s="6"/>
      <c r="R53" s="4"/>
      <c r="S53" s="5"/>
      <c r="T53" s="6"/>
      <c r="U53" s="6"/>
      <c r="V53" s="6"/>
      <c r="W53" s="37"/>
      <c r="X53" s="4"/>
      <c r="Y53" s="36"/>
      <c r="Z53" s="37"/>
    </row>
    <row r="54" spans="1:26" ht="49.95" customHeight="1">
      <c r="A54" s="45" t="s">
        <v>76</v>
      </c>
      <c r="B54" s="49">
        <v>104927</v>
      </c>
      <c r="C54" s="73" t="s">
        <v>406</v>
      </c>
      <c r="D54" s="17"/>
      <c r="E54" s="17"/>
      <c r="F54" s="17"/>
      <c r="G54" s="17"/>
      <c r="H54" s="17"/>
      <c r="I54" s="17"/>
      <c r="J54" s="74"/>
      <c r="K54" s="69"/>
      <c r="L54" s="4"/>
      <c r="M54" s="5"/>
      <c r="N54" s="6"/>
      <c r="O54" s="4"/>
      <c r="P54" s="5"/>
      <c r="Q54" s="6"/>
      <c r="R54" s="4"/>
      <c r="S54" s="5"/>
      <c r="T54" s="6"/>
      <c r="U54" s="6"/>
      <c r="V54" s="6"/>
      <c r="W54" s="37"/>
      <c r="X54" s="4"/>
      <c r="Y54" s="36"/>
      <c r="Z54" s="37"/>
    </row>
    <row r="55" spans="1:26" ht="19.95" customHeight="1">
      <c r="A55" s="16" t="s">
        <v>643</v>
      </c>
      <c r="B55" s="49"/>
      <c r="C55" s="21" t="s">
        <v>669</v>
      </c>
      <c r="D55" s="17"/>
      <c r="E55" s="17"/>
      <c r="F55" s="17"/>
      <c r="G55" s="17"/>
      <c r="H55" s="68"/>
      <c r="I55" s="68"/>
      <c r="J55" s="69"/>
      <c r="K55" s="69"/>
      <c r="L55" s="4"/>
      <c r="M55" s="5"/>
      <c r="N55" s="6"/>
      <c r="O55" s="4"/>
      <c r="P55" s="5"/>
      <c r="Q55" s="6"/>
      <c r="R55" s="4"/>
      <c r="S55" s="5"/>
      <c r="T55" s="6"/>
      <c r="U55" s="6"/>
      <c r="V55" s="6"/>
      <c r="W55" s="37"/>
      <c r="X55" s="4"/>
      <c r="Y55" s="36"/>
      <c r="Z55" s="37"/>
    </row>
    <row r="56" spans="1:26" ht="49.95" customHeight="1">
      <c r="A56" s="45" t="s">
        <v>77</v>
      </c>
      <c r="B56" s="49">
        <v>96542</v>
      </c>
      <c r="C56" s="73" t="s">
        <v>407</v>
      </c>
      <c r="D56" s="17"/>
      <c r="E56" s="17"/>
      <c r="F56" s="17"/>
      <c r="G56" s="17"/>
      <c r="H56" s="17"/>
      <c r="I56" s="17"/>
      <c r="J56" s="74"/>
      <c r="K56" s="69"/>
      <c r="L56" s="4"/>
      <c r="M56" s="5"/>
      <c r="N56" s="6"/>
      <c r="O56" s="4"/>
      <c r="P56" s="5"/>
      <c r="Q56" s="6"/>
      <c r="R56" s="4"/>
      <c r="S56" s="5"/>
      <c r="T56" s="6"/>
      <c r="U56" s="6"/>
      <c r="V56" s="6"/>
      <c r="W56" s="37"/>
      <c r="X56" s="4"/>
      <c r="Y56" s="36"/>
      <c r="Z56" s="37"/>
    </row>
    <row r="57" spans="1:26" ht="19.95" customHeight="1">
      <c r="A57" s="16" t="s">
        <v>644</v>
      </c>
      <c r="B57" s="49"/>
      <c r="C57" s="21" t="s">
        <v>673</v>
      </c>
      <c r="D57" s="17"/>
      <c r="E57" s="17"/>
      <c r="F57" s="17"/>
      <c r="G57" s="17"/>
      <c r="H57" s="17"/>
      <c r="I57" s="17"/>
      <c r="J57" s="69"/>
      <c r="K57" s="69"/>
      <c r="L57" s="4"/>
      <c r="M57" s="5"/>
      <c r="N57" s="6"/>
      <c r="O57" s="4"/>
      <c r="P57" s="5"/>
      <c r="Q57" s="6"/>
      <c r="R57" s="4"/>
      <c r="S57" s="5"/>
      <c r="T57" s="6"/>
      <c r="U57" s="6"/>
      <c r="V57" s="6"/>
      <c r="W57" s="37"/>
      <c r="X57" s="4"/>
      <c r="Y57" s="36"/>
      <c r="Z57" s="37"/>
    </row>
    <row r="58" spans="1:26" ht="49.95" customHeight="1">
      <c r="A58" s="45" t="s">
        <v>78</v>
      </c>
      <c r="B58" s="49">
        <v>104917</v>
      </c>
      <c r="C58" s="73" t="s">
        <v>408</v>
      </c>
      <c r="D58" s="17"/>
      <c r="E58" s="17"/>
      <c r="F58" s="17"/>
      <c r="G58" s="17"/>
      <c r="H58" s="17"/>
      <c r="I58" s="17"/>
      <c r="J58" s="69"/>
      <c r="K58" s="69"/>
      <c r="L58" s="4"/>
      <c r="M58" s="5"/>
      <c r="N58" s="6"/>
      <c r="O58" s="4"/>
      <c r="P58" s="5"/>
      <c r="Q58" s="6"/>
      <c r="R58" s="4"/>
      <c r="S58" s="5"/>
      <c r="T58" s="6"/>
      <c r="U58" s="6"/>
      <c r="V58" s="6"/>
      <c r="W58" s="37"/>
      <c r="X58" s="4"/>
      <c r="Y58" s="36"/>
      <c r="Z58" s="37"/>
    </row>
    <row r="59" spans="1:26" ht="19.95" customHeight="1">
      <c r="A59" s="16" t="s">
        <v>645</v>
      </c>
      <c r="B59" s="49"/>
      <c r="C59" s="21" t="s">
        <v>674</v>
      </c>
      <c r="D59" s="17"/>
      <c r="E59" s="17"/>
      <c r="F59" s="17"/>
      <c r="G59" s="17"/>
      <c r="H59" s="17"/>
      <c r="I59" s="17"/>
      <c r="J59" s="69"/>
      <c r="K59" s="69"/>
      <c r="L59" s="4"/>
      <c r="M59" s="5"/>
      <c r="N59" s="6"/>
      <c r="O59" s="4"/>
      <c r="P59" s="5"/>
      <c r="Q59" s="6"/>
      <c r="R59" s="4"/>
      <c r="S59" s="5"/>
      <c r="T59" s="6"/>
      <c r="U59" s="6"/>
      <c r="V59" s="6"/>
      <c r="W59" s="37"/>
      <c r="X59" s="4"/>
      <c r="Y59" s="36"/>
      <c r="Z59" s="37"/>
    </row>
    <row r="60" spans="1:26" ht="49.95" customHeight="1">
      <c r="A60" s="45" t="s">
        <v>79</v>
      </c>
      <c r="B60" s="49">
        <v>104916</v>
      </c>
      <c r="C60" s="73" t="s">
        <v>409</v>
      </c>
      <c r="D60" s="17"/>
      <c r="E60" s="17"/>
      <c r="F60" s="17"/>
      <c r="G60" s="17"/>
      <c r="H60" s="17"/>
      <c r="I60" s="17"/>
      <c r="J60" s="74"/>
      <c r="K60" s="69"/>
      <c r="L60" s="4"/>
      <c r="M60" s="5"/>
      <c r="N60" s="6"/>
      <c r="O60" s="4"/>
      <c r="P60" s="5"/>
      <c r="Q60" s="6"/>
      <c r="R60" s="4"/>
      <c r="S60" s="5"/>
      <c r="T60" s="6"/>
      <c r="U60" s="6"/>
      <c r="V60" s="6"/>
      <c r="W60" s="37"/>
      <c r="X60" s="4"/>
      <c r="Y60" s="36"/>
      <c r="Z60" s="37"/>
    </row>
    <row r="61" spans="1:26" ht="19.95" customHeight="1">
      <c r="A61" s="45" t="s">
        <v>646</v>
      </c>
      <c r="B61" s="49"/>
      <c r="C61" s="21" t="s">
        <v>675</v>
      </c>
      <c r="D61" s="17"/>
      <c r="E61" s="17"/>
      <c r="F61" s="17"/>
      <c r="G61" s="17"/>
      <c r="H61" s="17"/>
      <c r="I61" s="17"/>
      <c r="J61" s="69"/>
      <c r="K61" s="69"/>
      <c r="L61" s="4"/>
      <c r="M61" s="5"/>
      <c r="N61" s="6"/>
      <c r="O61" s="4"/>
      <c r="P61" s="5"/>
      <c r="Q61" s="6"/>
      <c r="R61" s="4"/>
      <c r="S61" s="5"/>
      <c r="T61" s="6"/>
      <c r="U61" s="6"/>
      <c r="V61" s="6"/>
      <c r="W61" s="37"/>
      <c r="X61" s="4"/>
      <c r="Y61" s="36"/>
      <c r="Z61" s="37"/>
    </row>
    <row r="62" spans="1:26" ht="49.95" customHeight="1">
      <c r="A62" s="45" t="s">
        <v>80</v>
      </c>
      <c r="B62" s="49">
        <v>104918</v>
      </c>
      <c r="C62" s="73" t="s">
        <v>410</v>
      </c>
      <c r="D62" s="17"/>
      <c r="E62" s="17"/>
      <c r="F62" s="17"/>
      <c r="G62" s="17"/>
      <c r="H62" s="17"/>
      <c r="I62" s="17"/>
      <c r="J62" s="74"/>
      <c r="K62" s="69"/>
      <c r="L62" s="4"/>
      <c r="M62" s="5"/>
      <c r="N62" s="6"/>
      <c r="O62" s="4"/>
      <c r="P62" s="5"/>
      <c r="Q62" s="6"/>
      <c r="R62" s="4"/>
      <c r="S62" s="5"/>
      <c r="T62" s="6"/>
      <c r="U62" s="6"/>
      <c r="V62" s="6"/>
      <c r="W62" s="37"/>
      <c r="X62" s="4"/>
      <c r="Y62" s="36"/>
      <c r="Z62" s="37"/>
    </row>
    <row r="63" spans="1:26" ht="19.95" customHeight="1">
      <c r="A63" s="45" t="s">
        <v>647</v>
      </c>
      <c r="B63" s="49"/>
      <c r="C63" s="21" t="s">
        <v>673</v>
      </c>
      <c r="D63" s="17"/>
      <c r="E63" s="17"/>
      <c r="F63" s="17"/>
      <c r="H63" s="17"/>
      <c r="I63" s="17"/>
      <c r="J63" s="69"/>
      <c r="K63" s="69"/>
      <c r="L63" s="4"/>
      <c r="M63" s="5"/>
      <c r="N63" s="6"/>
      <c r="O63" s="4"/>
      <c r="P63" s="5"/>
      <c r="Q63" s="6"/>
      <c r="R63" s="4"/>
      <c r="S63" s="5"/>
      <c r="T63" s="6"/>
      <c r="U63" s="6"/>
      <c r="V63" s="6"/>
      <c r="W63" s="37"/>
      <c r="X63" s="4"/>
      <c r="Y63" s="36"/>
      <c r="Z63" s="37"/>
    </row>
    <row r="64" spans="1:26" ht="49.95" customHeight="1">
      <c r="A64" s="45" t="s">
        <v>81</v>
      </c>
      <c r="B64" s="49">
        <v>98557</v>
      </c>
      <c r="C64" s="73" t="s">
        <v>411</v>
      </c>
      <c r="D64" s="17"/>
      <c r="E64" s="17"/>
      <c r="F64" s="58"/>
      <c r="G64" s="17"/>
      <c r="H64" s="17"/>
      <c r="I64" s="17"/>
      <c r="J64" s="74"/>
      <c r="K64" s="69"/>
      <c r="L64" s="4"/>
      <c r="M64" s="5"/>
      <c r="N64" s="6"/>
      <c r="O64" s="4"/>
      <c r="P64" s="5"/>
      <c r="Q64" s="6"/>
      <c r="R64" s="4"/>
      <c r="S64" s="5"/>
      <c r="T64" s="6"/>
      <c r="U64" s="6"/>
      <c r="V64" s="6"/>
      <c r="W64" s="37"/>
      <c r="X64" s="4"/>
      <c r="Y64" s="36"/>
      <c r="Z64" s="37"/>
    </row>
    <row r="65" spans="1:26" ht="19.95" customHeight="1">
      <c r="A65" s="45" t="s">
        <v>648</v>
      </c>
      <c r="B65" s="49"/>
      <c r="C65" s="21" t="s">
        <v>663</v>
      </c>
      <c r="D65" s="17"/>
      <c r="E65" s="17"/>
      <c r="F65" s="17"/>
      <c r="G65" s="17"/>
      <c r="H65" s="68"/>
      <c r="I65" s="68"/>
      <c r="J65" s="69"/>
      <c r="K65" s="69"/>
      <c r="L65" s="4"/>
      <c r="M65" s="5"/>
      <c r="N65" s="6"/>
      <c r="O65" s="4"/>
      <c r="P65" s="5"/>
      <c r="Q65" s="6"/>
      <c r="R65" s="4"/>
      <c r="S65" s="5"/>
      <c r="T65" s="6"/>
      <c r="U65" s="6"/>
      <c r="V65" s="6"/>
      <c r="W65" s="37"/>
      <c r="X65" s="4"/>
      <c r="Y65" s="36"/>
      <c r="Z65" s="37"/>
    </row>
    <row r="66" spans="1:26" ht="19.95" customHeight="1">
      <c r="A66" s="45" t="s">
        <v>649</v>
      </c>
      <c r="B66" s="49"/>
      <c r="C66" s="83" t="s">
        <v>664</v>
      </c>
      <c r="D66" s="17"/>
      <c r="E66" s="17"/>
      <c r="F66" s="17"/>
      <c r="G66" s="17"/>
      <c r="H66" s="68"/>
      <c r="I66" s="68"/>
      <c r="J66" s="69"/>
      <c r="K66" s="69"/>
      <c r="L66" s="4"/>
      <c r="M66" s="5"/>
      <c r="N66" s="6"/>
      <c r="O66" s="4"/>
      <c r="P66" s="5"/>
      <c r="Q66" s="6"/>
      <c r="R66" s="4"/>
      <c r="S66" s="5"/>
      <c r="T66" s="6"/>
      <c r="U66" s="6"/>
      <c r="V66" s="6"/>
      <c r="W66" s="37"/>
      <c r="X66" s="4"/>
      <c r="Y66" s="36"/>
      <c r="Z66" s="37"/>
    </row>
    <row r="67" spans="1:26" ht="19.95" customHeight="1">
      <c r="A67" s="45" t="s">
        <v>650</v>
      </c>
      <c r="B67" s="49"/>
      <c r="C67" s="83" t="s">
        <v>666</v>
      </c>
      <c r="D67" s="17"/>
      <c r="E67" s="17"/>
      <c r="F67" s="17"/>
      <c r="G67" s="17"/>
      <c r="H67" s="68"/>
      <c r="I67" s="68"/>
      <c r="J67" s="69"/>
      <c r="K67" s="69"/>
      <c r="L67" s="4"/>
      <c r="M67" s="5"/>
      <c r="N67" s="6"/>
      <c r="O67" s="4"/>
      <c r="P67" s="5"/>
      <c r="Q67" s="6"/>
      <c r="R67" s="4"/>
      <c r="S67" s="5"/>
      <c r="T67" s="6"/>
      <c r="U67" s="6"/>
      <c r="V67" s="6"/>
      <c r="W67" s="37"/>
      <c r="X67" s="4"/>
      <c r="Y67" s="36"/>
      <c r="Z67" s="37"/>
    </row>
    <row r="68" spans="1:26" ht="19.95" customHeight="1">
      <c r="A68" s="45" t="s">
        <v>651</v>
      </c>
      <c r="B68" s="49"/>
      <c r="C68" s="83" t="s">
        <v>667</v>
      </c>
      <c r="D68" s="17"/>
      <c r="E68" s="17"/>
      <c r="F68" s="17"/>
      <c r="G68" s="17"/>
      <c r="H68" s="68"/>
      <c r="I68" s="68"/>
      <c r="J68" s="69"/>
      <c r="K68" s="69"/>
      <c r="L68" s="4"/>
      <c r="M68" s="5"/>
      <c r="N68" s="6"/>
      <c r="O68" s="4"/>
      <c r="P68" s="5"/>
      <c r="Q68" s="6"/>
      <c r="R68" s="4"/>
      <c r="S68" s="5"/>
      <c r="T68" s="6"/>
      <c r="U68" s="6"/>
      <c r="V68" s="6"/>
      <c r="W68" s="37"/>
      <c r="X68" s="4"/>
      <c r="Y68" s="36"/>
      <c r="Z68" s="37"/>
    </row>
    <row r="69" spans="1:26" ht="19.95" customHeight="1">
      <c r="A69" s="45" t="s">
        <v>652</v>
      </c>
      <c r="B69" s="49"/>
      <c r="C69" s="83" t="s">
        <v>668</v>
      </c>
      <c r="D69" s="17"/>
      <c r="E69" s="17"/>
      <c r="F69" s="17"/>
      <c r="G69" s="17"/>
      <c r="H69" s="68"/>
      <c r="I69" s="68"/>
      <c r="J69" s="69"/>
      <c r="K69" s="69"/>
      <c r="L69" s="4"/>
      <c r="M69" s="5"/>
      <c r="N69" s="6"/>
      <c r="O69" s="4"/>
      <c r="P69" s="5"/>
      <c r="Q69" s="6"/>
      <c r="R69" s="4"/>
      <c r="S69" s="5"/>
      <c r="T69" s="6"/>
      <c r="U69" s="6"/>
      <c r="V69" s="6"/>
      <c r="W69" s="37"/>
      <c r="X69" s="4"/>
      <c r="Y69" s="36"/>
      <c r="Z69" s="37"/>
    </row>
    <row r="70" spans="1:26" ht="19.95" customHeight="1">
      <c r="A70" s="45" t="s">
        <v>653</v>
      </c>
      <c r="B70" s="49"/>
      <c r="C70" s="21" t="s">
        <v>665</v>
      </c>
      <c r="D70" s="17"/>
      <c r="E70" s="17"/>
      <c r="F70" s="17"/>
      <c r="G70" s="17"/>
      <c r="H70" s="68"/>
      <c r="I70" s="68"/>
      <c r="J70" s="69"/>
      <c r="K70" s="69"/>
      <c r="L70" s="4"/>
      <c r="M70" s="5"/>
      <c r="N70" s="6"/>
      <c r="O70" s="4"/>
      <c r="P70" s="5"/>
      <c r="Q70" s="6"/>
      <c r="R70" s="4"/>
      <c r="S70" s="5"/>
      <c r="T70" s="6"/>
      <c r="U70" s="6"/>
      <c r="V70" s="6"/>
      <c r="W70" s="37"/>
      <c r="X70" s="4"/>
      <c r="Y70" s="36"/>
      <c r="Z70" s="37"/>
    </row>
    <row r="71" spans="1:26" ht="25.2" customHeight="1">
      <c r="A71" s="46" t="s">
        <v>82</v>
      </c>
      <c r="B71" s="156" t="s">
        <v>83</v>
      </c>
      <c r="C71" s="156"/>
      <c r="D71" s="64"/>
      <c r="E71" s="64"/>
      <c r="F71" s="64"/>
      <c r="G71" s="64"/>
      <c r="H71" s="67"/>
      <c r="I71" s="67"/>
      <c r="J71" s="67"/>
      <c r="K71" s="67"/>
      <c r="L71" s="4">
        <v>1</v>
      </c>
      <c r="M71" s="5" t="e">
        <f>TRUNC(L71*#REF!,2)</f>
        <v>#REF!</v>
      </c>
      <c r="N71" s="6" t="e">
        <f>TRUNC(M71*#REF!)+0.2</f>
        <v>#REF!</v>
      </c>
      <c r="O71" s="4"/>
      <c r="P71" s="5"/>
      <c r="Q71" s="6"/>
      <c r="R71" s="4"/>
      <c r="S71" s="5"/>
      <c r="T71" s="6"/>
      <c r="U71" s="6"/>
      <c r="V71" s="6"/>
      <c r="W71" s="37" t="e">
        <f>TRUNC(#REF!*V71)+0</f>
        <v>#REF!</v>
      </c>
      <c r="X71" s="4"/>
      <c r="Y71" s="36" t="e">
        <f>TRUNC(X71*#REF!,2)</f>
        <v>#REF!</v>
      </c>
      <c r="Z71" s="37" t="e">
        <f>TRUNC(Y71*#REF!)+0</f>
        <v>#REF!</v>
      </c>
    </row>
    <row r="72" spans="1:26" ht="49.95" customHeight="1">
      <c r="A72" s="15" t="s">
        <v>84</v>
      </c>
      <c r="B72" s="50">
        <v>92429</v>
      </c>
      <c r="C72" s="84" t="s">
        <v>412</v>
      </c>
      <c r="D72" s="17"/>
      <c r="E72" s="17"/>
      <c r="F72" s="17"/>
      <c r="G72" s="17"/>
      <c r="H72" s="17"/>
      <c r="I72" s="17"/>
      <c r="J72" s="74"/>
      <c r="K72" s="69"/>
      <c r="L72" s="4"/>
      <c r="M72" s="5"/>
      <c r="N72" s="6"/>
      <c r="O72" s="4"/>
      <c r="P72" s="5"/>
      <c r="Q72" s="6"/>
      <c r="R72" s="4"/>
      <c r="S72" s="5"/>
      <c r="T72" s="6"/>
      <c r="U72" s="6"/>
      <c r="V72" s="6"/>
      <c r="W72" s="37"/>
      <c r="X72" s="4"/>
      <c r="Y72" s="36"/>
      <c r="Z72" s="37"/>
    </row>
    <row r="73" spans="1:26" ht="19.95" customHeight="1">
      <c r="A73" s="15" t="s">
        <v>654</v>
      </c>
      <c r="B73" s="49"/>
      <c r="C73" s="21" t="s">
        <v>677</v>
      </c>
      <c r="D73" s="17"/>
      <c r="E73" s="17"/>
      <c r="F73" s="17"/>
      <c r="G73" s="17"/>
      <c r="H73" s="17"/>
      <c r="I73" s="17"/>
      <c r="J73" s="69"/>
      <c r="K73" s="69"/>
      <c r="L73" s="4"/>
      <c r="M73" s="5"/>
      <c r="N73" s="6"/>
      <c r="O73" s="4"/>
      <c r="P73" s="5"/>
      <c r="Q73" s="6"/>
      <c r="R73" s="4"/>
      <c r="S73" s="5"/>
      <c r="T73" s="6"/>
      <c r="U73" s="6"/>
      <c r="V73" s="6"/>
      <c r="W73" s="37"/>
      <c r="X73" s="4"/>
      <c r="Y73" s="36"/>
      <c r="Z73" s="37"/>
    </row>
    <row r="74" spans="1:26" ht="19.95" customHeight="1">
      <c r="A74" s="15" t="s">
        <v>655</v>
      </c>
      <c r="B74" s="49"/>
      <c r="C74" s="21" t="s">
        <v>678</v>
      </c>
      <c r="D74" s="17"/>
      <c r="E74" s="17"/>
      <c r="F74" s="17"/>
      <c r="G74" s="17"/>
      <c r="H74" s="17"/>
      <c r="I74" s="17"/>
      <c r="J74" s="69"/>
      <c r="K74" s="69"/>
      <c r="L74" s="4"/>
      <c r="M74" s="5"/>
      <c r="N74" s="6"/>
      <c r="O74" s="4"/>
      <c r="P74" s="5"/>
      <c r="Q74" s="6"/>
      <c r="R74" s="4"/>
      <c r="S74" s="5"/>
      <c r="T74" s="6"/>
      <c r="U74" s="6"/>
      <c r="V74" s="6"/>
      <c r="W74" s="37"/>
      <c r="X74" s="4"/>
      <c r="Y74" s="36"/>
      <c r="Z74" s="37"/>
    </row>
    <row r="75" spans="1:26" ht="19.95" customHeight="1">
      <c r="A75" s="15" t="s">
        <v>656</v>
      </c>
      <c r="B75" s="49"/>
      <c r="C75" s="21" t="s">
        <v>679</v>
      </c>
      <c r="D75" s="17"/>
      <c r="E75" s="17"/>
      <c r="F75" s="17"/>
      <c r="G75" s="17"/>
      <c r="H75" s="17"/>
      <c r="I75" s="17"/>
      <c r="J75" s="69"/>
      <c r="K75" s="69"/>
      <c r="L75" s="4"/>
      <c r="M75" s="5"/>
      <c r="N75" s="6"/>
      <c r="O75" s="4"/>
      <c r="P75" s="5"/>
      <c r="Q75" s="6"/>
      <c r="R75" s="4"/>
      <c r="S75" s="5"/>
      <c r="T75" s="6"/>
      <c r="U75" s="6"/>
      <c r="V75" s="6"/>
      <c r="W75" s="37"/>
      <c r="X75" s="4"/>
      <c r="Y75" s="36"/>
      <c r="Z75" s="37"/>
    </row>
    <row r="76" spans="1:26" ht="49.95" customHeight="1">
      <c r="A76" s="15" t="s">
        <v>85</v>
      </c>
      <c r="B76" s="50">
        <v>92476</v>
      </c>
      <c r="C76" s="84" t="s">
        <v>413</v>
      </c>
      <c r="D76" s="17"/>
      <c r="E76" s="17"/>
      <c r="F76" s="17"/>
      <c r="G76" s="17"/>
      <c r="H76" s="17"/>
      <c r="I76" s="17"/>
      <c r="J76" s="74"/>
      <c r="K76" s="69"/>
      <c r="L76" s="4"/>
      <c r="M76" s="5"/>
      <c r="N76" s="6"/>
      <c r="O76" s="4"/>
      <c r="P76" s="5"/>
      <c r="Q76" s="6"/>
      <c r="R76" s="4"/>
      <c r="S76" s="5"/>
      <c r="T76" s="6"/>
      <c r="U76" s="6"/>
      <c r="V76" s="6"/>
      <c r="W76" s="37"/>
      <c r="X76" s="4"/>
      <c r="Y76" s="36"/>
      <c r="Z76" s="37"/>
    </row>
    <row r="77" spans="1:26" ht="19.95" customHeight="1">
      <c r="A77" s="15" t="s">
        <v>657</v>
      </c>
      <c r="B77" s="49"/>
      <c r="C77" s="21" t="s">
        <v>681</v>
      </c>
      <c r="D77" s="17"/>
      <c r="E77" s="17"/>
      <c r="F77" s="17"/>
      <c r="G77" s="17"/>
      <c r="H77" s="68"/>
      <c r="I77" s="68"/>
      <c r="J77" s="69"/>
      <c r="K77" s="69"/>
      <c r="L77" s="4"/>
      <c r="M77" s="5"/>
      <c r="N77" s="6"/>
      <c r="O77" s="4"/>
      <c r="P77" s="5"/>
      <c r="Q77" s="6"/>
      <c r="R77" s="4"/>
      <c r="S77" s="5"/>
      <c r="T77" s="6"/>
      <c r="U77" s="6"/>
      <c r="V77" s="6"/>
      <c r="W77" s="37"/>
      <c r="X77" s="4"/>
      <c r="Y77" s="36"/>
      <c r="Z77" s="37"/>
    </row>
    <row r="78" spans="1:26" ht="49.95" customHeight="1">
      <c r="A78" s="15" t="s">
        <v>86</v>
      </c>
      <c r="B78" s="50">
        <v>92486</v>
      </c>
      <c r="C78" s="84" t="s">
        <v>414</v>
      </c>
      <c r="D78" s="17"/>
      <c r="E78" s="17"/>
      <c r="F78" s="17"/>
      <c r="G78" s="17"/>
      <c r="H78" s="17"/>
      <c r="I78" s="17"/>
      <c r="J78" s="74"/>
      <c r="K78" s="69"/>
      <c r="L78" s="4"/>
      <c r="M78" s="5"/>
      <c r="N78" s="6"/>
      <c r="O78" s="4"/>
      <c r="P78" s="5"/>
      <c r="Q78" s="6"/>
      <c r="R78" s="4"/>
      <c r="S78" s="5"/>
      <c r="T78" s="6"/>
      <c r="U78" s="6"/>
      <c r="V78" s="6"/>
      <c r="W78" s="37"/>
      <c r="X78" s="4"/>
      <c r="Y78" s="36"/>
      <c r="Z78" s="37"/>
    </row>
    <row r="79" spans="1:26" ht="19.95" customHeight="1">
      <c r="A79" s="15" t="s">
        <v>658</v>
      </c>
      <c r="B79" s="49"/>
      <c r="C79" s="21" t="s">
        <v>683</v>
      </c>
      <c r="D79" s="17"/>
      <c r="E79" s="17"/>
      <c r="F79" s="17"/>
      <c r="G79" s="17"/>
      <c r="H79" s="68"/>
      <c r="I79" s="68"/>
      <c r="J79" s="69"/>
      <c r="K79" s="69"/>
      <c r="L79" s="4"/>
      <c r="M79" s="5"/>
      <c r="N79" s="6"/>
      <c r="O79" s="4"/>
      <c r="P79" s="5"/>
      <c r="Q79" s="6"/>
      <c r="R79" s="4"/>
      <c r="S79" s="5"/>
      <c r="T79" s="6"/>
      <c r="U79" s="6"/>
      <c r="V79" s="6"/>
      <c r="W79" s="37"/>
      <c r="X79" s="4"/>
      <c r="Y79" s="36"/>
      <c r="Z79" s="37"/>
    </row>
    <row r="80" spans="1:26" ht="49.95" customHeight="1">
      <c r="A80" s="15" t="s">
        <v>87</v>
      </c>
      <c r="B80" s="50">
        <v>92759</v>
      </c>
      <c r="C80" s="109" t="s">
        <v>415</v>
      </c>
      <c r="D80" s="17"/>
      <c r="E80" s="17"/>
      <c r="F80" s="17"/>
      <c r="G80" s="17"/>
      <c r="H80" s="17"/>
      <c r="I80" s="17"/>
      <c r="J80" s="74"/>
      <c r="K80" s="105"/>
      <c r="L80" s="4"/>
      <c r="M80" s="5"/>
      <c r="N80" s="6"/>
      <c r="O80" s="4"/>
      <c r="P80" s="5"/>
      <c r="Q80" s="6"/>
      <c r="R80" s="4"/>
      <c r="S80" s="5"/>
      <c r="T80" s="6"/>
      <c r="U80" s="6"/>
      <c r="V80" s="6"/>
      <c r="W80" s="37"/>
      <c r="X80" s="4"/>
      <c r="Y80" s="36"/>
      <c r="Z80" s="37"/>
    </row>
    <row r="81" spans="1:26" s="93" customFormat="1" ht="19.95" customHeight="1">
      <c r="A81" s="95" t="s">
        <v>839</v>
      </c>
      <c r="B81" s="102"/>
      <c r="C81" s="111" t="s">
        <v>822</v>
      </c>
      <c r="D81" s="97"/>
      <c r="E81" s="97"/>
      <c r="F81" s="97"/>
      <c r="G81" s="97"/>
      <c r="H81" s="97"/>
      <c r="I81" s="97"/>
      <c r="J81" s="105"/>
      <c r="K81" s="105"/>
      <c r="L81" s="90"/>
      <c r="M81" s="91"/>
      <c r="N81" s="92"/>
      <c r="O81" s="90"/>
      <c r="P81" s="91"/>
      <c r="Q81" s="92"/>
      <c r="R81" s="90"/>
      <c r="S81" s="91"/>
      <c r="T81" s="92"/>
      <c r="U81" s="92"/>
      <c r="V81" s="92"/>
      <c r="W81" s="100"/>
      <c r="X81" s="90"/>
      <c r="Y81" s="99"/>
      <c r="Z81" s="100"/>
    </row>
    <row r="82" spans="1:26" s="93" customFormat="1" ht="19.95" customHeight="1">
      <c r="A82" s="95" t="s">
        <v>840</v>
      </c>
      <c r="B82" s="102"/>
      <c r="C82" s="98" t="s">
        <v>678</v>
      </c>
      <c r="D82" s="97"/>
      <c r="E82" s="97"/>
      <c r="F82" s="97"/>
      <c r="G82" s="97"/>
      <c r="H82" s="97"/>
      <c r="I82" s="97"/>
      <c r="J82" s="105"/>
      <c r="K82" s="105"/>
      <c r="L82" s="90"/>
      <c r="M82" s="91"/>
      <c r="N82" s="92"/>
      <c r="O82" s="90"/>
      <c r="P82" s="91"/>
      <c r="Q82" s="92"/>
      <c r="R82" s="90"/>
      <c r="S82" s="91"/>
      <c r="T82" s="92"/>
      <c r="U82" s="92"/>
      <c r="V82" s="92"/>
      <c r="W82" s="100"/>
      <c r="X82" s="90"/>
      <c r="Y82" s="99"/>
      <c r="Z82" s="100"/>
    </row>
    <row r="83" spans="1:26" s="93" customFormat="1" ht="19.95" customHeight="1">
      <c r="A83" s="95" t="s">
        <v>841</v>
      </c>
      <c r="B83" s="102"/>
      <c r="C83" s="98" t="s">
        <v>843</v>
      </c>
      <c r="D83" s="97"/>
      <c r="E83" s="97"/>
      <c r="F83" s="97"/>
      <c r="G83" s="97"/>
      <c r="H83" s="97"/>
      <c r="I83" s="97"/>
      <c r="J83" s="105"/>
      <c r="K83" s="105"/>
      <c r="L83" s="90"/>
      <c r="M83" s="91"/>
      <c r="N83" s="92"/>
      <c r="O83" s="90"/>
      <c r="P83" s="91"/>
      <c r="Q83" s="92"/>
      <c r="R83" s="90"/>
      <c r="S83" s="91"/>
      <c r="T83" s="92"/>
      <c r="U83" s="92"/>
      <c r="V83" s="92"/>
      <c r="W83" s="100"/>
      <c r="X83" s="90"/>
      <c r="Y83" s="99"/>
      <c r="Z83" s="100"/>
    </row>
    <row r="84" spans="1:26" s="93" customFormat="1" ht="19.95" customHeight="1">
      <c r="A84" s="95" t="s">
        <v>842</v>
      </c>
      <c r="B84" s="102"/>
      <c r="C84" s="98" t="s">
        <v>681</v>
      </c>
      <c r="D84" s="97"/>
      <c r="E84" s="97"/>
      <c r="F84" s="97"/>
      <c r="G84" s="97"/>
      <c r="H84" s="97"/>
      <c r="I84" s="97"/>
      <c r="J84" s="105"/>
      <c r="K84" s="105"/>
      <c r="L84" s="90"/>
      <c r="M84" s="91"/>
      <c r="N84" s="92"/>
      <c r="O84" s="90"/>
      <c r="P84" s="91"/>
      <c r="Q84" s="92"/>
      <c r="R84" s="90"/>
      <c r="S84" s="91"/>
      <c r="T84" s="92"/>
      <c r="U84" s="92"/>
      <c r="V84" s="92"/>
      <c r="W84" s="100"/>
      <c r="X84" s="90"/>
      <c r="Y84" s="99"/>
      <c r="Z84" s="100"/>
    </row>
    <row r="85" spans="1:26" ht="49.95" customHeight="1">
      <c r="A85" s="15" t="s">
        <v>88</v>
      </c>
      <c r="B85" s="50">
        <v>104108</v>
      </c>
      <c r="C85" s="110" t="s">
        <v>416</v>
      </c>
      <c r="D85" s="17"/>
      <c r="E85" s="17"/>
      <c r="F85" s="17"/>
      <c r="G85" s="17"/>
      <c r="H85" s="17"/>
      <c r="I85" s="17"/>
      <c r="J85" s="74"/>
      <c r="K85" s="69"/>
      <c r="L85" s="4"/>
      <c r="M85" s="5"/>
      <c r="N85" s="6"/>
      <c r="O85" s="4"/>
      <c r="P85" s="5"/>
      <c r="Q85" s="6"/>
      <c r="R85" s="4"/>
      <c r="S85" s="5"/>
      <c r="T85" s="6"/>
      <c r="U85" s="6"/>
      <c r="V85" s="6"/>
      <c r="W85" s="37"/>
      <c r="X85" s="4"/>
      <c r="Y85" s="36"/>
      <c r="Z85" s="37"/>
    </row>
    <row r="86" spans="1:26" s="93" customFormat="1" ht="19.95" customHeight="1">
      <c r="A86" s="95" t="s">
        <v>844</v>
      </c>
      <c r="B86" s="102"/>
      <c r="C86" s="98" t="s">
        <v>822</v>
      </c>
      <c r="D86" s="97"/>
      <c r="E86" s="97"/>
      <c r="F86" s="97"/>
      <c r="G86" s="97"/>
      <c r="H86" s="97"/>
      <c r="I86" s="97"/>
      <c r="J86" s="105"/>
      <c r="K86" s="105"/>
      <c r="L86" s="90"/>
      <c r="M86" s="91"/>
      <c r="N86" s="92"/>
      <c r="O86" s="90"/>
      <c r="P86" s="91"/>
      <c r="Q86" s="92"/>
      <c r="R86" s="90"/>
      <c r="S86" s="91"/>
      <c r="T86" s="92"/>
      <c r="U86" s="92"/>
      <c r="V86" s="92"/>
      <c r="W86" s="100"/>
      <c r="X86" s="90"/>
      <c r="Y86" s="99"/>
      <c r="Z86" s="100"/>
    </row>
    <row r="87" spans="1:26" s="93" customFormat="1" ht="19.95" customHeight="1">
      <c r="A87" s="95" t="s">
        <v>845</v>
      </c>
      <c r="B87" s="102"/>
      <c r="C87" s="98" t="s">
        <v>678</v>
      </c>
      <c r="D87" s="97"/>
      <c r="E87" s="97"/>
      <c r="F87" s="97"/>
      <c r="G87" s="97"/>
      <c r="H87" s="97"/>
      <c r="I87" s="97"/>
      <c r="J87" s="105"/>
      <c r="K87" s="105"/>
      <c r="L87" s="90"/>
      <c r="M87" s="91"/>
      <c r="N87" s="92"/>
      <c r="O87" s="90"/>
      <c r="P87" s="91"/>
      <c r="Q87" s="92"/>
      <c r="R87" s="90"/>
      <c r="S87" s="91"/>
      <c r="T87" s="92"/>
      <c r="U87" s="92"/>
      <c r="V87" s="92"/>
      <c r="W87" s="100"/>
      <c r="X87" s="90"/>
      <c r="Y87" s="99"/>
      <c r="Z87" s="100"/>
    </row>
    <row r="88" spans="1:26" s="93" customFormat="1" ht="19.95" customHeight="1">
      <c r="A88" s="95" t="s">
        <v>846</v>
      </c>
      <c r="B88" s="102"/>
      <c r="C88" s="98" t="s">
        <v>843</v>
      </c>
      <c r="D88" s="97"/>
      <c r="E88" s="97"/>
      <c r="F88" s="97"/>
      <c r="G88" s="97"/>
      <c r="H88" s="97"/>
      <c r="I88" s="97"/>
      <c r="J88" s="105"/>
      <c r="K88" s="105"/>
      <c r="L88" s="90"/>
      <c r="M88" s="91"/>
      <c r="N88" s="92"/>
      <c r="O88" s="90"/>
      <c r="P88" s="91"/>
      <c r="Q88" s="92"/>
      <c r="R88" s="90"/>
      <c r="S88" s="91"/>
      <c r="T88" s="92"/>
      <c r="U88" s="92"/>
      <c r="V88" s="92"/>
      <c r="W88" s="100"/>
      <c r="X88" s="90"/>
      <c r="Y88" s="99"/>
      <c r="Z88" s="100"/>
    </row>
    <row r="89" spans="1:26" ht="49.95" customHeight="1">
      <c r="A89" s="15" t="s">
        <v>89</v>
      </c>
      <c r="B89" s="50">
        <v>92761</v>
      </c>
      <c r="C89" s="84" t="s">
        <v>417</v>
      </c>
      <c r="D89" s="17"/>
      <c r="E89" s="17"/>
      <c r="F89" s="17"/>
      <c r="G89" s="17"/>
      <c r="H89" s="17"/>
      <c r="I89" s="17"/>
      <c r="J89" s="74"/>
      <c r="K89" s="69"/>
      <c r="L89" s="4"/>
      <c r="M89" s="5"/>
      <c r="N89" s="6"/>
      <c r="O89" s="4"/>
      <c r="P89" s="5"/>
      <c r="Q89" s="6"/>
      <c r="R89" s="4"/>
      <c r="S89" s="5"/>
      <c r="T89" s="6"/>
      <c r="U89" s="6"/>
      <c r="V89" s="6"/>
      <c r="W89" s="37"/>
      <c r="X89" s="4"/>
      <c r="Y89" s="36"/>
      <c r="Z89" s="37"/>
    </row>
    <row r="90" spans="1:26" s="93" customFormat="1" ht="19.95" customHeight="1">
      <c r="A90" s="95" t="s">
        <v>847</v>
      </c>
      <c r="B90" s="102"/>
      <c r="C90" s="98" t="s">
        <v>681</v>
      </c>
      <c r="D90" s="97"/>
      <c r="E90" s="97"/>
      <c r="F90" s="97"/>
      <c r="G90" s="97"/>
      <c r="H90" s="97"/>
      <c r="I90" s="97"/>
      <c r="J90" s="105"/>
      <c r="K90" s="105"/>
      <c r="L90" s="90"/>
      <c r="M90" s="91"/>
      <c r="N90" s="92"/>
      <c r="O90" s="90"/>
      <c r="P90" s="91"/>
      <c r="Q90" s="92"/>
      <c r="R90" s="90"/>
      <c r="S90" s="91"/>
      <c r="T90" s="92"/>
      <c r="U90" s="92"/>
      <c r="V90" s="92"/>
      <c r="W90" s="100"/>
      <c r="X90" s="90"/>
      <c r="Y90" s="99"/>
      <c r="Z90" s="100"/>
    </row>
    <row r="91" spans="1:26" ht="49.95" customHeight="1">
      <c r="A91" s="15" t="s">
        <v>90</v>
      </c>
      <c r="B91" s="50">
        <v>94971</v>
      </c>
      <c r="C91" s="84" t="s">
        <v>418</v>
      </c>
      <c r="D91" s="17"/>
      <c r="E91" s="17"/>
      <c r="F91" s="17"/>
      <c r="G91" s="17"/>
      <c r="H91" s="17"/>
      <c r="I91" s="17"/>
      <c r="J91" s="74"/>
      <c r="K91" s="69"/>
      <c r="L91" s="4"/>
      <c r="M91" s="5"/>
      <c r="N91" s="6"/>
      <c r="O91" s="4"/>
      <c r="P91" s="5"/>
      <c r="Q91" s="6"/>
      <c r="R91" s="4"/>
      <c r="S91" s="5"/>
      <c r="T91" s="6"/>
      <c r="U91" s="6"/>
      <c r="V91" s="6"/>
      <c r="W91" s="37"/>
      <c r="X91" s="4"/>
      <c r="Y91" s="36"/>
      <c r="Z91" s="37"/>
    </row>
    <row r="92" spans="1:26" s="93" customFormat="1" ht="19.95" customHeight="1">
      <c r="A92" s="95" t="s">
        <v>848</v>
      </c>
      <c r="B92" s="102"/>
      <c r="C92" s="98" t="s">
        <v>822</v>
      </c>
      <c r="D92" s="97"/>
      <c r="E92" s="97"/>
      <c r="F92" s="97"/>
      <c r="G92" s="97"/>
      <c r="H92" s="97"/>
      <c r="I92" s="97"/>
      <c r="J92" s="105"/>
      <c r="K92" s="105"/>
      <c r="L92" s="90"/>
      <c r="M92" s="91"/>
      <c r="N92" s="92"/>
      <c r="O92" s="90"/>
      <c r="P92" s="91"/>
      <c r="Q92" s="92"/>
      <c r="R92" s="90"/>
      <c r="S92" s="91"/>
      <c r="T92" s="92"/>
      <c r="U92" s="92"/>
      <c r="V92" s="92"/>
      <c r="W92" s="100"/>
      <c r="X92" s="90"/>
      <c r="Y92" s="99"/>
      <c r="Z92" s="100"/>
    </row>
    <row r="93" spans="1:26" s="93" customFormat="1" ht="19.95" customHeight="1">
      <c r="A93" s="95" t="s">
        <v>849</v>
      </c>
      <c r="B93" s="102"/>
      <c r="C93" s="98" t="s">
        <v>678</v>
      </c>
      <c r="D93" s="97"/>
      <c r="E93" s="97"/>
      <c r="F93" s="97"/>
      <c r="G93" s="97"/>
      <c r="H93" s="97"/>
      <c r="I93" s="97"/>
      <c r="J93" s="105"/>
      <c r="K93" s="105"/>
      <c r="L93" s="90"/>
      <c r="M93" s="91"/>
      <c r="N93" s="92"/>
      <c r="O93" s="90"/>
      <c r="P93" s="91"/>
      <c r="Q93" s="92"/>
      <c r="R93" s="90"/>
      <c r="S93" s="91"/>
      <c r="T93" s="92"/>
      <c r="U93" s="92"/>
      <c r="V93" s="92"/>
      <c r="W93" s="100"/>
      <c r="X93" s="90"/>
      <c r="Y93" s="99"/>
      <c r="Z93" s="100"/>
    </row>
    <row r="94" spans="1:26" s="93" customFormat="1" ht="19.95" customHeight="1">
      <c r="A94" s="95" t="s">
        <v>850</v>
      </c>
      <c r="B94" s="102"/>
      <c r="C94" s="98" t="s">
        <v>843</v>
      </c>
      <c r="D94" s="97"/>
      <c r="E94" s="97"/>
      <c r="F94" s="97"/>
      <c r="G94" s="97"/>
      <c r="H94" s="97"/>
      <c r="I94" s="97"/>
      <c r="J94" s="105"/>
      <c r="K94" s="105"/>
      <c r="L94" s="90"/>
      <c r="M94" s="91"/>
      <c r="N94" s="92"/>
      <c r="O94" s="90"/>
      <c r="P94" s="91"/>
      <c r="Q94" s="92"/>
      <c r="R94" s="90"/>
      <c r="S94" s="91"/>
      <c r="T94" s="92"/>
      <c r="U94" s="92"/>
      <c r="V94" s="92"/>
      <c r="W94" s="100"/>
      <c r="X94" s="90"/>
      <c r="Y94" s="99"/>
      <c r="Z94" s="100"/>
    </row>
    <row r="95" spans="1:26" s="93" customFormat="1" ht="19.95" customHeight="1">
      <c r="A95" s="95" t="s">
        <v>851</v>
      </c>
      <c r="B95" s="102"/>
      <c r="C95" s="98" t="s">
        <v>681</v>
      </c>
      <c r="D95" s="97"/>
      <c r="E95" s="97"/>
      <c r="F95" s="97"/>
      <c r="G95" s="97"/>
      <c r="H95" s="97"/>
      <c r="I95" s="97"/>
      <c r="J95" s="105"/>
      <c r="K95" s="105"/>
      <c r="L95" s="90"/>
      <c r="M95" s="91"/>
      <c r="N95" s="92"/>
      <c r="O95" s="90"/>
      <c r="P95" s="91"/>
      <c r="Q95" s="92"/>
      <c r="R95" s="90"/>
      <c r="S95" s="91"/>
      <c r="T95" s="92"/>
      <c r="U95" s="92"/>
      <c r="V95" s="92"/>
      <c r="W95" s="100"/>
      <c r="X95" s="90"/>
      <c r="Y95" s="99"/>
      <c r="Z95" s="100"/>
    </row>
    <row r="96" spans="1:26" s="93" customFormat="1" ht="19.95" customHeight="1">
      <c r="A96" s="95" t="s">
        <v>852</v>
      </c>
      <c r="B96" s="102"/>
      <c r="C96" s="98" t="s">
        <v>683</v>
      </c>
      <c r="D96" s="97"/>
      <c r="E96" s="97"/>
      <c r="F96" s="97"/>
      <c r="G96" s="97"/>
      <c r="H96" s="97"/>
      <c r="I96" s="97"/>
      <c r="J96" s="105"/>
      <c r="K96" s="105"/>
      <c r="L96" s="90"/>
      <c r="M96" s="91"/>
      <c r="N96" s="92"/>
      <c r="O96" s="90"/>
      <c r="P96" s="91"/>
      <c r="Q96" s="92"/>
      <c r="R96" s="90"/>
      <c r="S96" s="91"/>
      <c r="T96" s="92"/>
      <c r="U96" s="92"/>
      <c r="V96" s="92"/>
      <c r="W96" s="100"/>
      <c r="X96" s="90"/>
      <c r="Y96" s="99"/>
      <c r="Z96" s="100"/>
    </row>
    <row r="97" spans="1:26" ht="49.95" customHeight="1">
      <c r="A97" s="15" t="s">
        <v>91</v>
      </c>
      <c r="B97" s="50">
        <v>103670</v>
      </c>
      <c r="C97" s="84" t="s">
        <v>405</v>
      </c>
      <c r="D97" s="17"/>
      <c r="E97" s="17"/>
      <c r="F97" s="17"/>
      <c r="G97" s="17"/>
      <c r="H97" s="17"/>
      <c r="I97" s="17"/>
      <c r="J97" s="106"/>
      <c r="K97" s="105"/>
      <c r="L97" s="4"/>
      <c r="M97" s="5"/>
      <c r="N97" s="6"/>
      <c r="O97" s="4"/>
      <c r="P97" s="5"/>
      <c r="Q97" s="6"/>
      <c r="R97" s="4"/>
      <c r="S97" s="5"/>
      <c r="T97" s="6"/>
      <c r="U97" s="6"/>
      <c r="V97" s="6"/>
      <c r="W97" s="37"/>
      <c r="X97" s="4"/>
      <c r="Y97" s="36"/>
      <c r="Z97" s="37"/>
    </row>
    <row r="98" spans="1:26" s="93" customFormat="1" ht="19.95" customHeight="1">
      <c r="A98" s="95" t="s">
        <v>848</v>
      </c>
      <c r="B98" s="102"/>
      <c r="C98" s="98" t="s">
        <v>822</v>
      </c>
      <c r="D98" s="97"/>
      <c r="E98" s="97"/>
      <c r="F98" s="97"/>
      <c r="G98" s="97"/>
      <c r="H98" s="97"/>
      <c r="I98" s="97"/>
      <c r="J98" s="105"/>
      <c r="K98" s="105"/>
      <c r="L98" s="90"/>
      <c r="M98" s="91"/>
      <c r="N98" s="92"/>
      <c r="O98" s="90"/>
      <c r="P98" s="91"/>
      <c r="Q98" s="92"/>
      <c r="R98" s="90"/>
      <c r="S98" s="91"/>
      <c r="T98" s="92"/>
      <c r="U98" s="92"/>
      <c r="V98" s="92"/>
      <c r="W98" s="100"/>
      <c r="X98" s="90"/>
      <c r="Y98" s="99"/>
      <c r="Z98" s="100"/>
    </row>
    <row r="99" spans="1:26" s="93" customFormat="1" ht="19.95" customHeight="1">
      <c r="A99" s="95" t="s">
        <v>849</v>
      </c>
      <c r="B99" s="102"/>
      <c r="C99" s="98" t="s">
        <v>678</v>
      </c>
      <c r="D99" s="97"/>
      <c r="E99" s="97"/>
      <c r="F99" s="97"/>
      <c r="G99" s="97"/>
      <c r="H99" s="97"/>
      <c r="I99" s="97"/>
      <c r="J99" s="105"/>
      <c r="K99" s="105"/>
      <c r="L99" s="90"/>
      <c r="M99" s="91"/>
      <c r="N99" s="92"/>
      <c r="O99" s="90"/>
      <c r="P99" s="91"/>
      <c r="Q99" s="92"/>
      <c r="R99" s="90"/>
      <c r="S99" s="91"/>
      <c r="T99" s="92"/>
      <c r="U99" s="92"/>
      <c r="V99" s="92"/>
      <c r="W99" s="100"/>
      <c r="X99" s="90"/>
      <c r="Y99" s="99"/>
      <c r="Z99" s="100"/>
    </row>
    <row r="100" spans="1:26" s="93" customFormat="1" ht="19.95" customHeight="1">
      <c r="A100" s="95" t="s">
        <v>850</v>
      </c>
      <c r="B100" s="102"/>
      <c r="C100" s="98" t="s">
        <v>843</v>
      </c>
      <c r="D100" s="97"/>
      <c r="E100" s="97"/>
      <c r="F100" s="97"/>
      <c r="G100" s="97"/>
      <c r="H100" s="97"/>
      <c r="I100" s="97"/>
      <c r="J100" s="105"/>
      <c r="K100" s="105"/>
      <c r="L100" s="90"/>
      <c r="M100" s="91"/>
      <c r="N100" s="92"/>
      <c r="O100" s="90"/>
      <c r="P100" s="91"/>
      <c r="Q100" s="92"/>
      <c r="R100" s="90"/>
      <c r="S100" s="91"/>
      <c r="T100" s="92"/>
      <c r="U100" s="92"/>
      <c r="V100" s="92"/>
      <c r="W100" s="100"/>
      <c r="X100" s="90"/>
      <c r="Y100" s="99"/>
      <c r="Z100" s="100"/>
    </row>
    <row r="101" spans="1:26" s="93" customFormat="1" ht="19.95" customHeight="1">
      <c r="A101" s="95" t="s">
        <v>851</v>
      </c>
      <c r="B101" s="102"/>
      <c r="C101" s="98" t="s">
        <v>681</v>
      </c>
      <c r="D101" s="97"/>
      <c r="E101" s="97"/>
      <c r="F101" s="97"/>
      <c r="G101" s="97"/>
      <c r="H101" s="97"/>
      <c r="I101" s="97"/>
      <c r="J101" s="105"/>
      <c r="K101" s="105"/>
      <c r="L101" s="90"/>
      <c r="M101" s="91"/>
      <c r="N101" s="92"/>
      <c r="O101" s="90"/>
      <c r="P101" s="91"/>
      <c r="Q101" s="92"/>
      <c r="R101" s="90"/>
      <c r="S101" s="91"/>
      <c r="T101" s="92"/>
      <c r="U101" s="92"/>
      <c r="V101" s="92"/>
      <c r="W101" s="100"/>
      <c r="X101" s="90"/>
      <c r="Y101" s="99"/>
      <c r="Z101" s="100"/>
    </row>
    <row r="102" spans="1:26" s="93" customFormat="1" ht="19.95" customHeight="1">
      <c r="A102" s="95" t="s">
        <v>852</v>
      </c>
      <c r="B102" s="102"/>
      <c r="C102" s="98" t="s">
        <v>683</v>
      </c>
      <c r="D102" s="97"/>
      <c r="E102" s="97"/>
      <c r="F102" s="97"/>
      <c r="G102" s="97"/>
      <c r="H102" s="97"/>
      <c r="I102" s="97"/>
      <c r="J102" s="105"/>
      <c r="K102" s="105"/>
      <c r="L102" s="90"/>
      <c r="M102" s="91"/>
      <c r="N102" s="92"/>
      <c r="O102" s="90"/>
      <c r="P102" s="91"/>
      <c r="Q102" s="92"/>
      <c r="R102" s="90"/>
      <c r="S102" s="91"/>
      <c r="T102" s="92"/>
      <c r="U102" s="92"/>
      <c r="V102" s="92"/>
      <c r="W102" s="100"/>
      <c r="X102" s="90"/>
      <c r="Y102" s="99"/>
      <c r="Z102" s="100"/>
    </row>
    <row r="103" spans="1:26" ht="49.95" customHeight="1">
      <c r="A103" s="15" t="s">
        <v>92</v>
      </c>
      <c r="B103" s="50">
        <v>92768</v>
      </c>
      <c r="C103" s="84" t="s">
        <v>419</v>
      </c>
      <c r="D103" s="17"/>
      <c r="E103" s="17"/>
      <c r="F103" s="17"/>
      <c r="G103" s="17"/>
      <c r="H103" s="17"/>
      <c r="I103" s="17"/>
      <c r="J103" s="74"/>
      <c r="K103" s="69"/>
      <c r="L103" s="4"/>
      <c r="M103" s="5"/>
      <c r="N103" s="6"/>
      <c r="O103" s="4"/>
      <c r="P103" s="5"/>
      <c r="Q103" s="6"/>
      <c r="R103" s="4"/>
      <c r="S103" s="5"/>
      <c r="T103" s="6"/>
      <c r="U103" s="6"/>
      <c r="V103" s="6"/>
      <c r="W103" s="37"/>
      <c r="X103" s="4"/>
      <c r="Y103" s="36"/>
      <c r="Z103" s="37"/>
    </row>
    <row r="104" spans="1:26" s="93" customFormat="1" ht="19.95" customHeight="1">
      <c r="A104" s="95" t="s">
        <v>853</v>
      </c>
      <c r="B104" s="102"/>
      <c r="C104" s="98" t="s">
        <v>683</v>
      </c>
      <c r="D104" s="97"/>
      <c r="E104" s="97"/>
      <c r="F104" s="97"/>
      <c r="G104" s="97"/>
      <c r="H104" s="97"/>
      <c r="I104" s="97"/>
      <c r="J104" s="105"/>
      <c r="K104" s="105"/>
      <c r="L104" s="90"/>
      <c r="M104" s="91"/>
      <c r="N104" s="92"/>
      <c r="O104" s="90"/>
      <c r="P104" s="91"/>
      <c r="Q104" s="92"/>
      <c r="R104" s="90"/>
      <c r="S104" s="91"/>
      <c r="T104" s="92"/>
      <c r="U104" s="92"/>
      <c r="V104" s="92"/>
      <c r="W104" s="100"/>
      <c r="X104" s="90"/>
      <c r="Y104" s="99"/>
      <c r="Z104" s="100"/>
    </row>
    <row r="105" spans="1:26" ht="49.95" customHeight="1">
      <c r="A105" s="15" t="s">
        <v>93</v>
      </c>
      <c r="B105" s="50">
        <v>92769</v>
      </c>
      <c r="C105" s="84" t="s">
        <v>420</v>
      </c>
      <c r="D105" s="17"/>
      <c r="E105" s="17"/>
      <c r="F105" s="17"/>
      <c r="G105" s="17"/>
      <c r="H105" s="17"/>
      <c r="I105" s="17"/>
      <c r="J105" s="74"/>
      <c r="K105" s="69"/>
      <c r="L105" s="4"/>
      <c r="M105" s="5"/>
      <c r="N105" s="6"/>
      <c r="O105" s="4"/>
      <c r="P105" s="5"/>
      <c r="Q105" s="6"/>
      <c r="R105" s="4"/>
      <c r="S105" s="5"/>
      <c r="T105" s="6"/>
      <c r="U105" s="6"/>
      <c r="V105" s="6"/>
      <c r="W105" s="37"/>
      <c r="X105" s="4"/>
      <c r="Y105" s="36"/>
      <c r="Z105" s="37"/>
    </row>
    <row r="106" spans="1:26" s="93" customFormat="1" ht="19.95" customHeight="1">
      <c r="A106" s="95" t="s">
        <v>854</v>
      </c>
      <c r="B106" s="102"/>
      <c r="C106" s="98" t="s">
        <v>683</v>
      </c>
      <c r="D106" s="97"/>
      <c r="E106" s="97"/>
      <c r="F106" s="97"/>
      <c r="G106" s="97"/>
      <c r="H106" s="97"/>
      <c r="I106" s="97"/>
      <c r="J106" s="105"/>
      <c r="K106" s="105"/>
      <c r="L106" s="90"/>
      <c r="M106" s="91"/>
      <c r="N106" s="92"/>
      <c r="O106" s="90"/>
      <c r="P106" s="91"/>
      <c r="Q106" s="92"/>
      <c r="R106" s="90"/>
      <c r="S106" s="91"/>
      <c r="T106" s="92"/>
      <c r="U106" s="92"/>
      <c r="V106" s="92"/>
      <c r="W106" s="100"/>
      <c r="X106" s="90"/>
      <c r="Y106" s="99"/>
      <c r="Z106" s="100"/>
    </row>
    <row r="107" spans="1:26" ht="25.2" customHeight="1">
      <c r="A107" s="46" t="s">
        <v>94</v>
      </c>
      <c r="B107" s="156" t="s">
        <v>95</v>
      </c>
      <c r="C107" s="156"/>
      <c r="D107" s="64"/>
      <c r="E107" s="64"/>
      <c r="F107" s="64"/>
      <c r="G107" s="64"/>
      <c r="H107" s="67"/>
      <c r="I107" s="67"/>
      <c r="J107" s="67"/>
      <c r="K107" s="67"/>
      <c r="L107" s="4">
        <v>1</v>
      </c>
      <c r="M107" s="5" t="e">
        <f>TRUNC(L107*#REF!,2)</f>
        <v>#REF!</v>
      </c>
      <c r="N107" s="6" t="e">
        <f>TRUNC(M107*#REF!)+0.2</f>
        <v>#REF!</v>
      </c>
      <c r="O107" s="4"/>
      <c r="P107" s="5"/>
      <c r="Q107" s="6"/>
      <c r="R107" s="4"/>
      <c r="S107" s="5"/>
      <c r="T107" s="6"/>
      <c r="U107" s="6"/>
      <c r="V107" s="6"/>
      <c r="W107" s="37" t="e">
        <f>TRUNC(#REF!*V107)+0</f>
        <v>#REF!</v>
      </c>
      <c r="X107" s="4"/>
      <c r="Y107" s="36" t="e">
        <f>TRUNC(X107*#REF!,2)</f>
        <v>#REF!</v>
      </c>
      <c r="Z107" s="37" t="e">
        <f>TRUNC(Y107*#REF!)+0</f>
        <v>#REF!</v>
      </c>
    </row>
    <row r="108" spans="1:26" ht="49.95" customHeight="1">
      <c r="A108" s="16" t="s">
        <v>97</v>
      </c>
      <c r="B108" s="51">
        <v>103356</v>
      </c>
      <c r="C108" s="73" t="s">
        <v>421</v>
      </c>
      <c r="D108" s="17"/>
      <c r="E108" s="17"/>
      <c r="F108" s="17"/>
      <c r="G108" s="17"/>
      <c r="H108" s="17"/>
      <c r="I108" s="17"/>
      <c r="J108" s="74"/>
      <c r="K108" s="69"/>
      <c r="L108" s="4"/>
      <c r="M108" s="5"/>
      <c r="N108" s="6"/>
      <c r="O108" s="4"/>
      <c r="P108" s="5"/>
      <c r="Q108" s="6"/>
      <c r="R108" s="4"/>
      <c r="S108" s="5"/>
      <c r="T108" s="6"/>
      <c r="U108" s="6"/>
      <c r="V108" s="6"/>
      <c r="W108" s="37"/>
      <c r="X108" s="4"/>
      <c r="Y108" s="36"/>
      <c r="Z108" s="37"/>
    </row>
    <row r="109" spans="1:26" s="93" customFormat="1" ht="19.95" customHeight="1">
      <c r="A109" s="96" t="s">
        <v>855</v>
      </c>
      <c r="B109" s="102"/>
      <c r="C109" s="98" t="s">
        <v>866</v>
      </c>
      <c r="D109" s="97"/>
      <c r="E109" s="97"/>
      <c r="F109" s="97"/>
      <c r="G109" s="97"/>
      <c r="H109" s="104"/>
      <c r="I109" s="104"/>
      <c r="J109" s="105"/>
      <c r="K109" s="105"/>
      <c r="L109" s="90"/>
      <c r="M109" s="91"/>
      <c r="N109" s="92"/>
      <c r="O109" s="90"/>
      <c r="P109" s="91"/>
      <c r="Q109" s="92"/>
      <c r="R109" s="90"/>
      <c r="S109" s="91"/>
      <c r="T109" s="92"/>
      <c r="U109" s="92"/>
      <c r="V109" s="92"/>
      <c r="W109" s="100"/>
      <c r="X109" s="90"/>
      <c r="Y109" s="99"/>
      <c r="Z109" s="100"/>
    </row>
    <row r="110" spans="1:26" s="93" customFormat="1" ht="19.95" customHeight="1">
      <c r="A110" s="96" t="s">
        <v>856</v>
      </c>
      <c r="B110" s="102"/>
      <c r="C110" s="98" t="s">
        <v>867</v>
      </c>
      <c r="D110" s="97"/>
      <c r="E110" s="97"/>
      <c r="F110" s="97"/>
      <c r="G110" s="97"/>
      <c r="H110" s="104"/>
      <c r="I110" s="104"/>
      <c r="J110" s="105"/>
      <c r="K110" s="105"/>
      <c r="L110" s="90"/>
      <c r="M110" s="91"/>
      <c r="N110" s="92"/>
      <c r="O110" s="90"/>
      <c r="P110" s="91"/>
      <c r="Q110" s="92"/>
      <c r="R110" s="90"/>
      <c r="S110" s="91"/>
      <c r="T110" s="92"/>
      <c r="U110" s="92"/>
      <c r="V110" s="92"/>
      <c r="W110" s="100"/>
      <c r="X110" s="90"/>
      <c r="Y110" s="99"/>
      <c r="Z110" s="100"/>
    </row>
    <row r="111" spans="1:26" s="93" customFormat="1" ht="19.95" customHeight="1">
      <c r="A111" s="96" t="s">
        <v>857</v>
      </c>
      <c r="B111" s="102"/>
      <c r="C111" s="98" t="s">
        <v>868</v>
      </c>
      <c r="D111" s="97"/>
      <c r="E111" s="97"/>
      <c r="F111" s="97"/>
      <c r="G111" s="97"/>
      <c r="H111" s="104"/>
      <c r="I111" s="104"/>
      <c r="J111" s="105"/>
      <c r="K111" s="105"/>
      <c r="L111" s="90"/>
      <c r="M111" s="91"/>
      <c r="N111" s="92"/>
      <c r="O111" s="90"/>
      <c r="P111" s="91"/>
      <c r="Q111" s="92"/>
      <c r="R111" s="90"/>
      <c r="S111" s="91"/>
      <c r="T111" s="92"/>
      <c r="U111" s="92"/>
      <c r="V111" s="92"/>
      <c r="W111" s="100"/>
      <c r="X111" s="90"/>
      <c r="Y111" s="99"/>
      <c r="Z111" s="100"/>
    </row>
    <row r="112" spans="1:26" s="93" customFormat="1" ht="19.95" customHeight="1">
      <c r="A112" s="96" t="s">
        <v>858</v>
      </c>
      <c r="B112" s="102"/>
      <c r="C112" s="98" t="s">
        <v>868</v>
      </c>
      <c r="D112" s="97"/>
      <c r="E112" s="97"/>
      <c r="F112" s="97"/>
      <c r="G112" s="97"/>
      <c r="H112" s="104"/>
      <c r="I112" s="104"/>
      <c r="J112" s="105"/>
      <c r="K112" s="105"/>
      <c r="L112" s="90"/>
      <c r="M112" s="91"/>
      <c r="N112" s="92"/>
      <c r="O112" s="90"/>
      <c r="P112" s="91"/>
      <c r="Q112" s="92"/>
      <c r="R112" s="90"/>
      <c r="S112" s="91"/>
      <c r="T112" s="92"/>
      <c r="U112" s="92"/>
      <c r="V112" s="92"/>
      <c r="W112" s="100"/>
      <c r="X112" s="90"/>
      <c r="Y112" s="99"/>
      <c r="Z112" s="100"/>
    </row>
    <row r="113" spans="1:26" s="93" customFormat="1" ht="19.95" customHeight="1">
      <c r="A113" s="96" t="s">
        <v>859</v>
      </c>
      <c r="B113" s="102"/>
      <c r="C113" s="98" t="s">
        <v>869</v>
      </c>
      <c r="D113" s="97"/>
      <c r="E113" s="97"/>
      <c r="F113" s="97"/>
      <c r="G113" s="97"/>
      <c r="H113" s="104"/>
      <c r="I113" s="104"/>
      <c r="J113" s="105"/>
      <c r="K113" s="105"/>
      <c r="L113" s="90"/>
      <c r="M113" s="91"/>
      <c r="N113" s="92"/>
      <c r="O113" s="90"/>
      <c r="P113" s="91"/>
      <c r="Q113" s="92"/>
      <c r="R113" s="90"/>
      <c r="S113" s="91"/>
      <c r="T113" s="92"/>
      <c r="U113" s="92"/>
      <c r="V113" s="92"/>
      <c r="W113" s="100"/>
      <c r="X113" s="90"/>
      <c r="Y113" s="99"/>
      <c r="Z113" s="100"/>
    </row>
    <row r="114" spans="1:26" s="93" customFormat="1" ht="19.95" customHeight="1">
      <c r="A114" s="96" t="s">
        <v>860</v>
      </c>
      <c r="B114" s="102"/>
      <c r="C114" s="98" t="s">
        <v>867</v>
      </c>
      <c r="D114" s="97"/>
      <c r="E114" s="97"/>
      <c r="F114" s="97"/>
      <c r="G114" s="97"/>
      <c r="H114" s="104"/>
      <c r="I114" s="104"/>
      <c r="J114" s="105"/>
      <c r="K114" s="105"/>
      <c r="L114" s="90"/>
      <c r="M114" s="91"/>
      <c r="N114" s="92"/>
      <c r="O114" s="90"/>
      <c r="P114" s="91"/>
      <c r="Q114" s="92"/>
      <c r="R114" s="90"/>
      <c r="S114" s="91"/>
      <c r="T114" s="92"/>
      <c r="U114" s="92"/>
      <c r="V114" s="92"/>
      <c r="W114" s="100"/>
      <c r="X114" s="90"/>
      <c r="Y114" s="99"/>
      <c r="Z114" s="100"/>
    </row>
    <row r="115" spans="1:26" s="93" customFormat="1" ht="19.95" customHeight="1">
      <c r="A115" s="96" t="s">
        <v>861</v>
      </c>
      <c r="B115" s="102"/>
      <c r="C115" s="98" t="s">
        <v>870</v>
      </c>
      <c r="D115" s="97"/>
      <c r="E115" s="97"/>
      <c r="F115" s="97"/>
      <c r="G115" s="97"/>
      <c r="H115" s="104"/>
      <c r="I115" s="104"/>
      <c r="J115" s="105"/>
      <c r="K115" s="105"/>
      <c r="L115" s="90"/>
      <c r="M115" s="91"/>
      <c r="N115" s="92"/>
      <c r="O115" s="90"/>
      <c r="P115" s="91"/>
      <c r="Q115" s="92"/>
      <c r="R115" s="90"/>
      <c r="S115" s="91"/>
      <c r="T115" s="92"/>
      <c r="U115" s="92"/>
      <c r="V115" s="92"/>
      <c r="W115" s="100"/>
      <c r="X115" s="90"/>
      <c r="Y115" s="99"/>
      <c r="Z115" s="100"/>
    </row>
    <row r="116" spans="1:26" ht="49.95" customHeight="1">
      <c r="A116" s="16" t="s">
        <v>98</v>
      </c>
      <c r="B116" s="51">
        <v>105023</v>
      </c>
      <c r="C116" s="73" t="s">
        <v>422</v>
      </c>
      <c r="D116" s="17"/>
      <c r="E116" s="17"/>
      <c r="F116" s="17"/>
      <c r="G116" s="17"/>
      <c r="H116" s="17"/>
      <c r="I116" s="17"/>
      <c r="J116" s="74"/>
      <c r="K116" s="69"/>
      <c r="L116" s="4"/>
      <c r="M116" s="5"/>
      <c r="N116" s="6"/>
      <c r="O116" s="4"/>
      <c r="P116" s="5"/>
      <c r="Q116" s="6"/>
      <c r="R116" s="4"/>
      <c r="S116" s="5"/>
      <c r="T116" s="6"/>
      <c r="U116" s="6"/>
      <c r="V116" s="6"/>
      <c r="W116" s="37"/>
      <c r="X116" s="4"/>
      <c r="Y116" s="36"/>
      <c r="Z116" s="37"/>
    </row>
    <row r="117" spans="1:26" s="93" customFormat="1" ht="19.95" customHeight="1">
      <c r="A117" s="96" t="s">
        <v>862</v>
      </c>
      <c r="B117" s="102"/>
      <c r="C117" s="98" t="s">
        <v>871</v>
      </c>
      <c r="D117" s="97"/>
      <c r="E117" s="97"/>
      <c r="F117" s="97"/>
      <c r="G117" s="97"/>
      <c r="H117" s="97"/>
      <c r="I117" s="97"/>
      <c r="J117" s="105"/>
      <c r="K117" s="105"/>
      <c r="L117" s="90"/>
      <c r="M117" s="91"/>
      <c r="N117" s="92"/>
      <c r="O117" s="90"/>
      <c r="P117" s="91"/>
      <c r="Q117" s="92"/>
      <c r="R117" s="90"/>
      <c r="S117" s="91"/>
      <c r="T117" s="92"/>
      <c r="U117" s="92"/>
      <c r="V117" s="92"/>
      <c r="W117" s="100"/>
      <c r="X117" s="90"/>
      <c r="Y117" s="99"/>
      <c r="Z117" s="100"/>
    </row>
    <row r="118" spans="1:26" s="93" customFormat="1" ht="19.95" customHeight="1">
      <c r="A118" s="96" t="s">
        <v>863</v>
      </c>
      <c r="B118" s="102"/>
      <c r="C118" s="98" t="s">
        <v>868</v>
      </c>
      <c r="D118" s="97"/>
      <c r="E118" s="97"/>
      <c r="F118" s="97"/>
      <c r="G118" s="97"/>
      <c r="H118" s="97"/>
      <c r="I118" s="97"/>
      <c r="J118" s="105"/>
      <c r="K118" s="105"/>
      <c r="L118" s="90"/>
      <c r="M118" s="91"/>
      <c r="N118" s="92"/>
      <c r="O118" s="90"/>
      <c r="P118" s="91"/>
      <c r="Q118" s="92"/>
      <c r="R118" s="90"/>
      <c r="S118" s="91"/>
      <c r="T118" s="92"/>
      <c r="U118" s="92"/>
      <c r="V118" s="92"/>
      <c r="W118" s="100"/>
      <c r="X118" s="90"/>
      <c r="Y118" s="99"/>
      <c r="Z118" s="100"/>
    </row>
    <row r="119" spans="1:26" s="93" customFormat="1" ht="19.95" customHeight="1">
      <c r="A119" s="96" t="s">
        <v>864</v>
      </c>
      <c r="B119" s="102"/>
      <c r="C119" s="98" t="s">
        <v>868</v>
      </c>
      <c r="D119" s="97"/>
      <c r="E119" s="97"/>
      <c r="F119" s="97"/>
      <c r="G119" s="97"/>
      <c r="H119" s="97"/>
      <c r="I119" s="97"/>
      <c r="J119" s="105"/>
      <c r="K119" s="105"/>
      <c r="L119" s="90"/>
      <c r="M119" s="91"/>
      <c r="N119" s="92"/>
      <c r="O119" s="90"/>
      <c r="P119" s="91"/>
      <c r="Q119" s="92"/>
      <c r="R119" s="90"/>
      <c r="S119" s="91"/>
      <c r="T119" s="92"/>
      <c r="U119" s="92"/>
      <c r="V119" s="92"/>
      <c r="W119" s="100"/>
      <c r="X119" s="90"/>
      <c r="Y119" s="99"/>
      <c r="Z119" s="100"/>
    </row>
    <row r="120" spans="1:26" s="93" customFormat="1" ht="19.95" customHeight="1">
      <c r="A120" s="96" t="s">
        <v>865</v>
      </c>
      <c r="B120" s="102"/>
      <c r="C120" t="s">
        <v>870</v>
      </c>
      <c r="D120" s="97"/>
      <c r="E120" s="97"/>
      <c r="F120" s="97"/>
      <c r="G120" s="97"/>
      <c r="H120" s="97"/>
      <c r="I120" s="97"/>
      <c r="J120" s="105"/>
      <c r="K120" s="105"/>
      <c r="L120" s="90"/>
      <c r="M120" s="91"/>
      <c r="N120" s="92"/>
      <c r="O120" s="90"/>
      <c r="P120" s="91"/>
      <c r="Q120" s="92"/>
      <c r="R120" s="90"/>
      <c r="S120" s="91"/>
      <c r="T120" s="92"/>
      <c r="U120" s="92"/>
      <c r="V120" s="92"/>
      <c r="W120" s="100"/>
      <c r="X120" s="90"/>
      <c r="Y120" s="99"/>
      <c r="Z120" s="100"/>
    </row>
    <row r="121" spans="1:26" ht="49.95" customHeight="1">
      <c r="A121" s="16" t="s">
        <v>99</v>
      </c>
      <c r="B121" s="51">
        <v>105029</v>
      </c>
      <c r="C121" s="73" t="s">
        <v>423</v>
      </c>
      <c r="D121" s="17"/>
      <c r="E121" s="17"/>
      <c r="F121" s="17"/>
      <c r="G121" s="17"/>
      <c r="H121" s="17"/>
      <c r="I121" s="17"/>
      <c r="J121" s="74"/>
      <c r="K121" s="69"/>
      <c r="L121" s="4"/>
      <c r="M121" s="5"/>
      <c r="N121" s="6"/>
      <c r="O121" s="4"/>
      <c r="P121" s="5"/>
      <c r="Q121" s="6"/>
      <c r="R121" s="4"/>
      <c r="S121" s="5"/>
      <c r="T121" s="6"/>
      <c r="U121" s="6"/>
      <c r="V121" s="6"/>
      <c r="W121" s="37"/>
      <c r="X121" s="4"/>
      <c r="Y121" s="36"/>
      <c r="Z121" s="37"/>
    </row>
    <row r="122" spans="1:26" s="93" customFormat="1" ht="19.95" customHeight="1">
      <c r="A122" s="96" t="s">
        <v>872</v>
      </c>
      <c r="B122" s="102"/>
      <c r="C122" s="98" t="s">
        <v>868</v>
      </c>
      <c r="D122" s="97"/>
      <c r="E122" s="97"/>
      <c r="F122" s="97"/>
      <c r="G122" s="97"/>
      <c r="H122" s="97"/>
      <c r="I122" s="97"/>
      <c r="J122" s="105"/>
      <c r="K122" s="105"/>
      <c r="L122" s="90"/>
      <c r="M122" s="91"/>
      <c r="N122" s="92"/>
      <c r="O122" s="90"/>
      <c r="P122" s="91"/>
      <c r="Q122" s="92"/>
      <c r="R122" s="90"/>
      <c r="S122" s="91"/>
      <c r="T122" s="92"/>
      <c r="U122" s="92"/>
      <c r="V122" s="92"/>
      <c r="W122" s="100"/>
      <c r="X122" s="90"/>
      <c r="Y122" s="99"/>
      <c r="Z122" s="100"/>
    </row>
    <row r="123" spans="1:26" s="93" customFormat="1" ht="19.95" customHeight="1">
      <c r="A123" s="96" t="s">
        <v>873</v>
      </c>
      <c r="B123" s="102"/>
      <c r="C123" s="98" t="s">
        <v>868</v>
      </c>
      <c r="D123" s="97"/>
      <c r="E123" s="97"/>
      <c r="F123" s="97"/>
      <c r="G123" s="97"/>
      <c r="H123" s="97"/>
      <c r="I123" s="97"/>
      <c r="J123" s="105"/>
      <c r="K123" s="105"/>
      <c r="L123" s="90"/>
      <c r="M123" s="91"/>
      <c r="N123" s="92"/>
      <c r="O123" s="90"/>
      <c r="P123" s="91"/>
      <c r="Q123" s="92"/>
      <c r="R123" s="90"/>
      <c r="S123" s="91"/>
      <c r="T123" s="92"/>
      <c r="U123" s="92"/>
      <c r="V123" s="92"/>
      <c r="W123" s="100"/>
      <c r="X123" s="90"/>
      <c r="Y123" s="99"/>
      <c r="Z123" s="100"/>
    </row>
    <row r="124" spans="1:26" s="93" customFormat="1" ht="19.95" customHeight="1">
      <c r="A124" s="96" t="s">
        <v>874</v>
      </c>
      <c r="B124" s="102"/>
      <c r="C124" s="89" t="s">
        <v>870</v>
      </c>
      <c r="D124" s="97"/>
      <c r="E124" s="97"/>
      <c r="F124" s="97"/>
      <c r="G124" s="97"/>
      <c r="H124" s="97"/>
      <c r="I124" s="97"/>
      <c r="J124" s="105"/>
      <c r="K124" s="105"/>
      <c r="L124" s="90"/>
      <c r="M124" s="91"/>
      <c r="N124" s="92"/>
      <c r="O124" s="90"/>
      <c r="P124" s="91"/>
      <c r="Q124" s="92"/>
      <c r="R124" s="90"/>
      <c r="S124" s="91"/>
      <c r="T124" s="92"/>
      <c r="U124" s="92"/>
      <c r="V124" s="92"/>
      <c r="W124" s="100"/>
      <c r="X124" s="90"/>
      <c r="Y124" s="99"/>
      <c r="Z124" s="100"/>
    </row>
    <row r="125" spans="1:26" ht="25.2" customHeight="1">
      <c r="A125" s="46" t="s">
        <v>96</v>
      </c>
      <c r="B125" s="156" t="s">
        <v>45</v>
      </c>
      <c r="C125" s="156"/>
      <c r="D125" s="64"/>
      <c r="E125" s="64"/>
      <c r="F125" s="64"/>
      <c r="G125" s="64"/>
      <c r="H125" s="67"/>
      <c r="I125" s="67"/>
      <c r="J125" s="67"/>
      <c r="K125" s="67"/>
      <c r="L125" s="4">
        <v>1</v>
      </c>
      <c r="M125" s="5" t="e">
        <f>TRUNC(L125*#REF!,2)</f>
        <v>#REF!</v>
      </c>
      <c r="N125" s="6" t="e">
        <f>TRUNC(M125*#REF!)+0.2</f>
        <v>#REF!</v>
      </c>
      <c r="O125" s="4"/>
      <c r="P125" s="5"/>
      <c r="Q125" s="6"/>
      <c r="R125" s="4"/>
      <c r="S125" s="5"/>
      <c r="T125" s="6"/>
      <c r="U125" s="6"/>
      <c r="V125" s="6"/>
      <c r="W125" s="37" t="e">
        <f>TRUNC(#REF!*V125)+0</f>
        <v>#REF!</v>
      </c>
      <c r="X125" s="4"/>
      <c r="Y125" s="36" t="e">
        <f>TRUNC(X125*#REF!,2)</f>
        <v>#REF!</v>
      </c>
      <c r="Z125" s="37" t="e">
        <f>TRUNC(Y125*#REF!)+0</f>
        <v>#REF!</v>
      </c>
    </row>
    <row r="126" spans="1:26" ht="49.95" customHeight="1">
      <c r="A126" s="16" t="s">
        <v>100</v>
      </c>
      <c r="B126" s="20">
        <v>87878</v>
      </c>
      <c r="C126" s="73" t="s">
        <v>484</v>
      </c>
      <c r="D126" s="17"/>
      <c r="E126" s="17"/>
      <c r="F126" s="17"/>
      <c r="G126" s="17"/>
      <c r="H126" s="17"/>
      <c r="I126" s="17"/>
      <c r="J126" s="74"/>
      <c r="K126" s="69"/>
      <c r="L126" s="4"/>
      <c r="M126" s="5"/>
      <c r="N126" s="6"/>
      <c r="O126" s="4"/>
      <c r="P126" s="5"/>
      <c r="Q126" s="6"/>
      <c r="R126" s="4"/>
      <c r="S126" s="5"/>
      <c r="T126" s="6"/>
      <c r="U126" s="6"/>
      <c r="V126" s="6"/>
      <c r="W126" s="37"/>
      <c r="X126" s="4"/>
      <c r="Y126" s="36"/>
      <c r="Z126" s="37"/>
    </row>
    <row r="127" spans="1:26" s="93" customFormat="1" ht="19.5" customHeight="1">
      <c r="A127" s="96" t="s">
        <v>1103</v>
      </c>
      <c r="B127" s="102"/>
      <c r="C127" s="98" t="s">
        <v>1129</v>
      </c>
      <c r="D127" s="97"/>
      <c r="E127" s="97"/>
      <c r="F127" s="97"/>
      <c r="G127" s="97"/>
      <c r="H127" s="97"/>
      <c r="I127" s="97"/>
      <c r="J127" s="105"/>
      <c r="K127" s="105"/>
      <c r="L127" s="90"/>
      <c r="M127" s="91"/>
      <c r="N127" s="92"/>
      <c r="O127" s="90"/>
      <c r="P127" s="91"/>
      <c r="Q127" s="92"/>
      <c r="R127" s="90"/>
      <c r="S127" s="91"/>
      <c r="T127" s="92"/>
      <c r="U127" s="92"/>
      <c r="V127" s="92"/>
      <c r="W127" s="100"/>
      <c r="X127" s="90"/>
      <c r="Y127" s="99"/>
      <c r="Z127" s="100"/>
    </row>
    <row r="128" spans="1:26" s="93" customFormat="1" ht="19.95" customHeight="1">
      <c r="A128" s="96" t="s">
        <v>1104</v>
      </c>
      <c r="B128" s="102"/>
      <c r="C128" s="98" t="s">
        <v>867</v>
      </c>
      <c r="D128" s="97"/>
      <c r="E128" s="97"/>
      <c r="F128" s="97"/>
      <c r="G128" s="97"/>
      <c r="H128" s="97"/>
      <c r="I128" s="97"/>
      <c r="J128" s="105"/>
      <c r="K128" s="105"/>
      <c r="L128" s="90"/>
      <c r="M128" s="91"/>
      <c r="N128" s="92"/>
      <c r="O128" s="90"/>
      <c r="P128" s="91"/>
      <c r="Q128" s="92"/>
      <c r="R128" s="90"/>
      <c r="S128" s="91"/>
      <c r="T128" s="92"/>
      <c r="U128" s="92"/>
      <c r="V128" s="92"/>
      <c r="W128" s="100"/>
      <c r="X128" s="90"/>
      <c r="Y128" s="99"/>
      <c r="Z128" s="100"/>
    </row>
    <row r="129" spans="1:26" s="93" customFormat="1" ht="19.5" customHeight="1">
      <c r="A129" s="96" t="s">
        <v>1105</v>
      </c>
      <c r="B129" s="102"/>
      <c r="C129" s="98" t="s">
        <v>868</v>
      </c>
      <c r="D129" s="97"/>
      <c r="E129" s="97"/>
      <c r="F129" s="97"/>
      <c r="G129" s="97"/>
      <c r="H129" s="97"/>
      <c r="I129" s="97"/>
      <c r="J129" s="105"/>
      <c r="K129" s="105"/>
      <c r="L129" s="90"/>
      <c r="M129" s="91"/>
      <c r="N129" s="92"/>
      <c r="O129" s="90"/>
      <c r="P129" s="91"/>
      <c r="Q129" s="92"/>
      <c r="R129" s="90"/>
      <c r="S129" s="91"/>
      <c r="T129" s="92"/>
      <c r="U129" s="92"/>
      <c r="V129" s="92"/>
      <c r="W129" s="100"/>
      <c r="X129" s="90"/>
      <c r="Y129" s="99"/>
      <c r="Z129" s="100"/>
    </row>
    <row r="130" spans="1:26" s="93" customFormat="1" ht="19.95" customHeight="1">
      <c r="A130" s="96" t="s">
        <v>1106</v>
      </c>
      <c r="B130" s="102"/>
      <c r="C130" s="98" t="s">
        <v>868</v>
      </c>
      <c r="D130" s="97"/>
      <c r="E130" s="97"/>
      <c r="F130" s="97"/>
      <c r="G130" s="97"/>
      <c r="H130" s="97"/>
      <c r="I130" s="97"/>
      <c r="J130" s="105"/>
      <c r="K130" s="105"/>
      <c r="L130" s="90"/>
      <c r="M130" s="91"/>
      <c r="N130" s="92"/>
      <c r="O130" s="90"/>
      <c r="P130" s="91"/>
      <c r="Q130" s="92"/>
      <c r="R130" s="90"/>
      <c r="S130" s="91"/>
      <c r="T130" s="92"/>
      <c r="U130" s="92"/>
      <c r="V130" s="92"/>
      <c r="W130" s="100"/>
      <c r="X130" s="90"/>
      <c r="Y130" s="99"/>
      <c r="Z130" s="100"/>
    </row>
    <row r="131" spans="1:26" s="93" customFormat="1" ht="19.5" customHeight="1">
      <c r="A131" s="96" t="s">
        <v>1107</v>
      </c>
      <c r="B131" s="102"/>
      <c r="C131" s="98" t="s">
        <v>1130</v>
      </c>
      <c r="D131" s="97"/>
      <c r="E131" s="97"/>
      <c r="F131" s="97"/>
      <c r="G131" s="97"/>
      <c r="H131" s="97"/>
      <c r="I131" s="97"/>
      <c r="J131" s="105"/>
      <c r="K131" s="105"/>
      <c r="L131" s="90"/>
      <c r="M131" s="91"/>
      <c r="N131" s="92"/>
      <c r="O131" s="90"/>
      <c r="P131" s="91"/>
      <c r="Q131" s="92"/>
      <c r="R131" s="90"/>
      <c r="S131" s="91"/>
      <c r="T131" s="92"/>
      <c r="U131" s="92"/>
      <c r="V131" s="92"/>
      <c r="W131" s="100"/>
      <c r="X131" s="90"/>
      <c r="Y131" s="99"/>
      <c r="Z131" s="100"/>
    </row>
    <row r="132" spans="1:26" s="93" customFormat="1" ht="19.95" customHeight="1">
      <c r="A132" s="96" t="s">
        <v>1108</v>
      </c>
      <c r="B132" s="102"/>
      <c r="C132" s="98" t="s">
        <v>867</v>
      </c>
      <c r="D132" s="97"/>
      <c r="E132" s="97"/>
      <c r="F132" s="97"/>
      <c r="G132" s="97"/>
      <c r="H132" s="97"/>
      <c r="I132" s="97"/>
      <c r="J132" s="105"/>
      <c r="K132" s="105"/>
      <c r="L132" s="90"/>
      <c r="M132" s="91"/>
      <c r="N132" s="92"/>
      <c r="O132" s="90"/>
      <c r="P132" s="91"/>
      <c r="Q132" s="92"/>
      <c r="R132" s="90"/>
      <c r="S132" s="91"/>
      <c r="T132" s="92"/>
      <c r="U132" s="92"/>
      <c r="V132" s="92"/>
      <c r="W132" s="100"/>
      <c r="X132" s="90"/>
      <c r="Y132" s="99"/>
      <c r="Z132" s="100"/>
    </row>
    <row r="133" spans="1:26" s="93" customFormat="1" ht="19.5" customHeight="1">
      <c r="A133" s="96" t="s">
        <v>1109</v>
      </c>
      <c r="B133" s="102"/>
      <c r="C133" s="98" t="s">
        <v>870</v>
      </c>
      <c r="D133" s="97"/>
      <c r="E133" s="97"/>
      <c r="F133" s="97"/>
      <c r="G133" s="97"/>
      <c r="H133" s="97"/>
      <c r="I133" s="97"/>
      <c r="J133" s="105"/>
      <c r="K133" s="105"/>
      <c r="L133" s="90"/>
      <c r="M133" s="91"/>
      <c r="N133" s="92"/>
      <c r="O133" s="90"/>
      <c r="P133" s="91"/>
      <c r="Q133" s="92"/>
      <c r="R133" s="90"/>
      <c r="S133" s="91"/>
      <c r="T133" s="92"/>
      <c r="U133" s="92"/>
      <c r="V133" s="92"/>
      <c r="W133" s="100"/>
      <c r="X133" s="90"/>
      <c r="Y133" s="99"/>
      <c r="Z133" s="100"/>
    </row>
    <row r="134" spans="1:26" ht="49.95" customHeight="1">
      <c r="A134" s="16" t="s">
        <v>101</v>
      </c>
      <c r="B134" s="20">
        <v>87545</v>
      </c>
      <c r="C134" s="73" t="s">
        <v>425</v>
      </c>
      <c r="D134" s="17"/>
      <c r="E134" s="17"/>
      <c r="F134" s="17"/>
      <c r="G134" s="17"/>
      <c r="H134" s="17"/>
      <c r="I134" s="17"/>
      <c r="J134" s="74"/>
      <c r="K134" s="105"/>
      <c r="L134" s="4"/>
      <c r="M134" s="5"/>
      <c r="N134" s="6"/>
      <c r="O134" s="4"/>
      <c r="P134" s="5"/>
      <c r="Q134" s="6"/>
      <c r="R134" s="4"/>
      <c r="S134" s="5"/>
      <c r="T134" s="6"/>
      <c r="U134" s="6"/>
      <c r="V134" s="6"/>
      <c r="W134" s="37"/>
      <c r="X134" s="4"/>
      <c r="Y134" s="36"/>
      <c r="Z134" s="37"/>
    </row>
    <row r="135" spans="1:26" s="93" customFormat="1" ht="19.5" customHeight="1">
      <c r="A135" s="96" t="s">
        <v>1110</v>
      </c>
      <c r="B135" s="102"/>
      <c r="C135" s="98" t="s">
        <v>1129</v>
      </c>
      <c r="D135" s="97"/>
      <c r="E135" s="97"/>
      <c r="F135" s="97"/>
      <c r="G135" s="97"/>
      <c r="H135" s="97"/>
      <c r="I135" s="97"/>
      <c r="J135" s="105"/>
      <c r="K135" s="105"/>
      <c r="L135" s="90"/>
      <c r="M135" s="91"/>
      <c r="N135" s="92"/>
      <c r="O135" s="90"/>
      <c r="P135" s="91"/>
      <c r="Q135" s="92"/>
      <c r="R135" s="90"/>
      <c r="S135" s="91"/>
      <c r="T135" s="92"/>
      <c r="U135" s="92"/>
      <c r="V135" s="92"/>
      <c r="W135" s="100"/>
      <c r="X135" s="90"/>
      <c r="Y135" s="99"/>
      <c r="Z135" s="100"/>
    </row>
    <row r="136" spans="1:26" s="93" customFormat="1" ht="19.95" customHeight="1">
      <c r="A136" s="96" t="s">
        <v>1111</v>
      </c>
      <c r="B136" s="102"/>
      <c r="C136" s="98" t="s">
        <v>867</v>
      </c>
      <c r="D136" s="97"/>
      <c r="E136" s="97"/>
      <c r="F136" s="97"/>
      <c r="G136" s="97"/>
      <c r="H136" s="97"/>
      <c r="I136" s="97"/>
      <c r="J136" s="105"/>
      <c r="K136" s="105"/>
      <c r="L136" s="90"/>
      <c r="M136" s="91"/>
      <c r="N136" s="92"/>
      <c r="O136" s="90"/>
      <c r="P136" s="91"/>
      <c r="Q136" s="92"/>
      <c r="R136" s="90"/>
      <c r="S136" s="91"/>
      <c r="T136" s="92"/>
      <c r="U136" s="92"/>
      <c r="V136" s="92"/>
      <c r="W136" s="100"/>
      <c r="X136" s="90"/>
      <c r="Y136" s="99"/>
      <c r="Z136" s="100"/>
    </row>
    <row r="137" spans="1:26" s="93" customFormat="1" ht="19.5" customHeight="1">
      <c r="A137" s="96" t="s">
        <v>1112</v>
      </c>
      <c r="B137" s="102"/>
      <c r="C137" s="98" t="s">
        <v>868</v>
      </c>
      <c r="D137" s="97"/>
      <c r="E137" s="97"/>
      <c r="F137" s="97"/>
      <c r="G137" s="97"/>
      <c r="H137" s="97"/>
      <c r="I137" s="97"/>
      <c r="J137" s="105"/>
      <c r="K137" s="105"/>
      <c r="L137" s="90"/>
      <c r="M137" s="91"/>
      <c r="N137" s="92"/>
      <c r="O137" s="90"/>
      <c r="P137" s="91"/>
      <c r="Q137" s="92"/>
      <c r="R137" s="90"/>
      <c r="S137" s="91"/>
      <c r="T137" s="92"/>
      <c r="U137" s="92"/>
      <c r="V137" s="92"/>
      <c r="W137" s="100"/>
      <c r="X137" s="90"/>
      <c r="Y137" s="99"/>
      <c r="Z137" s="100"/>
    </row>
    <row r="138" spans="1:26" s="93" customFormat="1" ht="19.95" customHeight="1">
      <c r="A138" s="96" t="s">
        <v>1113</v>
      </c>
      <c r="B138" s="102"/>
      <c r="C138" s="98" t="s">
        <v>868</v>
      </c>
      <c r="D138" s="97"/>
      <c r="E138" s="97"/>
      <c r="F138" s="97"/>
      <c r="G138" s="97"/>
      <c r="H138" s="97"/>
      <c r="I138" s="97"/>
      <c r="J138" s="105"/>
      <c r="K138" s="105"/>
      <c r="L138" s="90"/>
      <c r="M138" s="91"/>
      <c r="N138" s="92"/>
      <c r="O138" s="90"/>
      <c r="P138" s="91"/>
      <c r="Q138" s="92"/>
      <c r="R138" s="90"/>
      <c r="S138" s="91"/>
      <c r="T138" s="92"/>
      <c r="U138" s="92"/>
      <c r="V138" s="92"/>
      <c r="W138" s="100"/>
      <c r="X138" s="90"/>
      <c r="Y138" s="99"/>
      <c r="Z138" s="100"/>
    </row>
    <row r="139" spans="1:26" s="93" customFormat="1" ht="19.5" customHeight="1">
      <c r="A139" s="96" t="s">
        <v>1114</v>
      </c>
      <c r="B139" s="102"/>
      <c r="C139" s="98" t="s">
        <v>1130</v>
      </c>
      <c r="D139" s="97"/>
      <c r="E139" s="97"/>
      <c r="F139" s="97"/>
      <c r="G139" s="97"/>
      <c r="H139" s="97"/>
      <c r="I139" s="97"/>
      <c r="J139" s="105"/>
      <c r="K139" s="105"/>
      <c r="L139" s="90"/>
      <c r="M139" s="91"/>
      <c r="N139" s="92"/>
      <c r="O139" s="90"/>
      <c r="P139" s="91"/>
      <c r="Q139" s="92"/>
      <c r="R139" s="90"/>
      <c r="S139" s="91"/>
      <c r="T139" s="92"/>
      <c r="U139" s="92"/>
      <c r="V139" s="92"/>
      <c r="W139" s="100"/>
      <c r="X139" s="90"/>
      <c r="Y139" s="99"/>
      <c r="Z139" s="100"/>
    </row>
    <row r="140" spans="1:26" s="93" customFormat="1" ht="19.95" customHeight="1">
      <c r="A140" s="96" t="s">
        <v>1115</v>
      </c>
      <c r="B140" s="102"/>
      <c r="C140" s="98" t="s">
        <v>867</v>
      </c>
      <c r="D140" s="97"/>
      <c r="E140" s="97"/>
      <c r="F140" s="97"/>
      <c r="G140" s="97"/>
      <c r="H140" s="97"/>
      <c r="I140" s="97"/>
      <c r="J140" s="105"/>
      <c r="K140" s="105"/>
      <c r="L140" s="90"/>
      <c r="M140" s="91"/>
      <c r="N140" s="92"/>
      <c r="O140" s="90"/>
      <c r="P140" s="91"/>
      <c r="Q140" s="92"/>
      <c r="R140" s="90"/>
      <c r="S140" s="91"/>
      <c r="T140" s="92"/>
      <c r="U140" s="92"/>
      <c r="V140" s="92"/>
      <c r="W140" s="100"/>
      <c r="X140" s="90"/>
      <c r="Y140" s="99"/>
      <c r="Z140" s="100"/>
    </row>
    <row r="141" spans="1:26" s="93" customFormat="1" ht="19.5" customHeight="1">
      <c r="A141" s="96" t="s">
        <v>1116</v>
      </c>
      <c r="B141" s="102"/>
      <c r="C141" s="98" t="s">
        <v>870</v>
      </c>
      <c r="D141" s="97"/>
      <c r="E141" s="97"/>
      <c r="F141" s="97"/>
      <c r="G141" s="97"/>
      <c r="H141" s="97"/>
      <c r="I141" s="97"/>
      <c r="J141" s="105"/>
      <c r="K141" s="105"/>
      <c r="L141" s="90"/>
      <c r="M141" s="91"/>
      <c r="N141" s="92"/>
      <c r="O141" s="90"/>
      <c r="P141" s="91"/>
      <c r="Q141" s="92"/>
      <c r="R141" s="90"/>
      <c r="S141" s="91"/>
      <c r="T141" s="92"/>
      <c r="U141" s="92"/>
      <c r="V141" s="92"/>
      <c r="W141" s="100"/>
      <c r="X141" s="90"/>
      <c r="Y141" s="99"/>
      <c r="Z141" s="100"/>
    </row>
    <row r="142" spans="1:26" ht="49.95" customHeight="1">
      <c r="A142" s="16" t="s">
        <v>102</v>
      </c>
      <c r="B142" s="20">
        <v>87529</v>
      </c>
      <c r="C142" s="73" t="s">
        <v>426</v>
      </c>
      <c r="D142" s="17"/>
      <c r="E142" s="17"/>
      <c r="F142" s="17"/>
      <c r="G142" s="17"/>
      <c r="H142" s="17"/>
      <c r="I142" s="17"/>
      <c r="J142" s="106"/>
      <c r="K142" s="105"/>
      <c r="L142" s="4"/>
      <c r="M142" s="5"/>
      <c r="N142" s="6"/>
      <c r="O142" s="4"/>
      <c r="P142" s="5"/>
      <c r="Q142" s="6"/>
      <c r="R142" s="4"/>
      <c r="S142" s="5"/>
      <c r="T142" s="6"/>
      <c r="U142" s="6"/>
      <c r="V142" s="6"/>
      <c r="W142" s="37"/>
      <c r="X142" s="4"/>
      <c r="Y142" s="36"/>
      <c r="Z142" s="37"/>
    </row>
    <row r="143" spans="1:26" s="93" customFormat="1" ht="19.5" customHeight="1">
      <c r="A143" s="96" t="s">
        <v>1117</v>
      </c>
      <c r="B143" s="102"/>
      <c r="C143" s="98" t="s">
        <v>1129</v>
      </c>
      <c r="D143" s="97"/>
      <c r="E143" s="97"/>
      <c r="F143" s="97"/>
      <c r="G143" s="97"/>
      <c r="H143" s="97"/>
      <c r="I143" s="97"/>
      <c r="J143" s="105"/>
      <c r="K143" s="105"/>
      <c r="L143" s="90"/>
      <c r="M143" s="91"/>
      <c r="N143" s="92"/>
      <c r="O143" s="90"/>
      <c r="P143" s="91"/>
      <c r="Q143" s="92"/>
      <c r="R143" s="90"/>
      <c r="S143" s="91"/>
      <c r="T143" s="92"/>
      <c r="U143" s="92"/>
      <c r="V143" s="92"/>
      <c r="W143" s="100"/>
      <c r="X143" s="90"/>
      <c r="Y143" s="99"/>
      <c r="Z143" s="100"/>
    </row>
    <row r="144" spans="1:26" s="93" customFormat="1" ht="19.95" customHeight="1">
      <c r="A144" s="96" t="s">
        <v>1118</v>
      </c>
      <c r="B144" s="102"/>
      <c r="C144" s="98" t="s">
        <v>867</v>
      </c>
      <c r="D144" s="97"/>
      <c r="E144" s="97"/>
      <c r="F144" s="97"/>
      <c r="G144" s="97"/>
      <c r="H144" s="97"/>
      <c r="I144" s="97"/>
      <c r="J144" s="105"/>
      <c r="K144" s="105"/>
      <c r="L144" s="90"/>
      <c r="M144" s="91"/>
      <c r="N144" s="92"/>
      <c r="O144" s="90"/>
      <c r="P144" s="91"/>
      <c r="Q144" s="92"/>
      <c r="R144" s="90"/>
      <c r="S144" s="91"/>
      <c r="T144" s="92"/>
      <c r="U144" s="92"/>
      <c r="V144" s="92"/>
      <c r="W144" s="100"/>
      <c r="X144" s="90"/>
      <c r="Y144" s="99"/>
      <c r="Z144" s="100"/>
    </row>
    <row r="145" spans="1:26" s="93" customFormat="1" ht="19.5" customHeight="1">
      <c r="A145" s="96" t="s">
        <v>1119</v>
      </c>
      <c r="B145" s="102"/>
      <c r="C145" s="98" t="s">
        <v>868</v>
      </c>
      <c r="D145" s="97"/>
      <c r="E145" s="97"/>
      <c r="F145" s="97"/>
      <c r="G145" s="97"/>
      <c r="H145" s="97"/>
      <c r="I145" s="97"/>
      <c r="J145" s="105"/>
      <c r="K145" s="105"/>
      <c r="L145" s="90"/>
      <c r="M145" s="91"/>
      <c r="N145" s="92"/>
      <c r="O145" s="90"/>
      <c r="P145" s="91"/>
      <c r="Q145" s="92"/>
      <c r="R145" s="90"/>
      <c r="S145" s="91"/>
      <c r="T145" s="92"/>
      <c r="U145" s="92"/>
      <c r="V145" s="92"/>
      <c r="W145" s="100"/>
      <c r="X145" s="90"/>
      <c r="Y145" s="99"/>
      <c r="Z145" s="100"/>
    </row>
    <row r="146" spans="1:26" s="93" customFormat="1" ht="19.95" customHeight="1">
      <c r="A146" s="96" t="s">
        <v>1120</v>
      </c>
      <c r="B146" s="102"/>
      <c r="C146" s="98" t="s">
        <v>868</v>
      </c>
      <c r="D146" s="97"/>
      <c r="E146" s="97"/>
      <c r="F146" s="97"/>
      <c r="G146" s="97"/>
      <c r="H146" s="97"/>
      <c r="I146" s="97"/>
      <c r="J146" s="105"/>
      <c r="K146" s="105"/>
      <c r="L146" s="90"/>
      <c r="M146" s="91"/>
      <c r="N146" s="92"/>
      <c r="O146" s="90"/>
      <c r="P146" s="91"/>
      <c r="Q146" s="92"/>
      <c r="R146" s="90"/>
      <c r="S146" s="91"/>
      <c r="T146" s="92"/>
      <c r="U146" s="92"/>
      <c r="V146" s="92"/>
      <c r="W146" s="100"/>
      <c r="X146" s="90"/>
      <c r="Y146" s="99"/>
      <c r="Z146" s="100"/>
    </row>
    <row r="147" spans="1:26" s="93" customFormat="1" ht="19.5" customHeight="1">
      <c r="A147" s="96" t="s">
        <v>1121</v>
      </c>
      <c r="B147" s="102"/>
      <c r="C147" s="98" t="s">
        <v>1130</v>
      </c>
      <c r="D147" s="97"/>
      <c r="E147" s="97"/>
      <c r="F147" s="97"/>
      <c r="G147" s="97"/>
      <c r="H147" s="97"/>
      <c r="I147" s="97"/>
      <c r="J147" s="105"/>
      <c r="K147" s="105"/>
      <c r="L147" s="90"/>
      <c r="M147" s="91"/>
      <c r="N147" s="92"/>
      <c r="O147" s="90"/>
      <c r="P147" s="91"/>
      <c r="Q147" s="92"/>
      <c r="R147" s="90"/>
      <c r="S147" s="91"/>
      <c r="T147" s="92"/>
      <c r="U147" s="92"/>
      <c r="V147" s="92"/>
      <c r="W147" s="100"/>
      <c r="X147" s="90"/>
      <c r="Y147" s="99"/>
      <c r="Z147" s="100"/>
    </row>
    <row r="148" spans="1:26" s="93" customFormat="1" ht="19.95" customHeight="1">
      <c r="A148" s="96" t="s">
        <v>1122</v>
      </c>
      <c r="B148" s="102"/>
      <c r="C148" s="98" t="s">
        <v>867</v>
      </c>
      <c r="D148" s="97"/>
      <c r="E148" s="97"/>
      <c r="F148" s="97"/>
      <c r="G148" s="97"/>
      <c r="H148" s="97"/>
      <c r="I148" s="97"/>
      <c r="J148" s="105"/>
      <c r="K148" s="105"/>
      <c r="L148" s="90"/>
      <c r="M148" s="91"/>
      <c r="N148" s="92"/>
      <c r="O148" s="90"/>
      <c r="P148" s="91"/>
      <c r="Q148" s="92"/>
      <c r="R148" s="90"/>
      <c r="S148" s="91"/>
      <c r="T148" s="92"/>
      <c r="U148" s="92"/>
      <c r="V148" s="92"/>
      <c r="W148" s="100"/>
      <c r="X148" s="90"/>
      <c r="Y148" s="99"/>
      <c r="Z148" s="100"/>
    </row>
    <row r="149" spans="1:26" s="93" customFormat="1" ht="19.5" customHeight="1">
      <c r="A149" s="96" t="s">
        <v>1123</v>
      </c>
      <c r="B149" s="102"/>
      <c r="C149" s="98" t="s">
        <v>870</v>
      </c>
      <c r="D149" s="97"/>
      <c r="E149" s="97"/>
      <c r="F149" s="97"/>
      <c r="G149" s="97"/>
      <c r="H149" s="97"/>
      <c r="I149" s="97"/>
      <c r="J149" s="105"/>
      <c r="K149" s="105"/>
      <c r="L149" s="90"/>
      <c r="M149" s="91"/>
      <c r="N149" s="92"/>
      <c r="O149" s="90"/>
      <c r="P149" s="91"/>
      <c r="Q149" s="92"/>
      <c r="R149" s="90"/>
      <c r="S149" s="91"/>
      <c r="T149" s="92"/>
      <c r="U149" s="92"/>
      <c r="V149" s="92"/>
      <c r="W149" s="100"/>
      <c r="X149" s="90"/>
      <c r="Y149" s="99"/>
      <c r="Z149" s="100"/>
    </row>
    <row r="150" spans="1:26" ht="49.95" customHeight="1">
      <c r="A150" s="16" t="s">
        <v>103</v>
      </c>
      <c r="B150" s="52" t="s">
        <v>399</v>
      </c>
      <c r="C150" s="73" t="s">
        <v>427</v>
      </c>
      <c r="D150" s="17"/>
      <c r="E150" s="17"/>
      <c r="F150" s="17"/>
      <c r="G150" s="17"/>
      <c r="H150" s="17"/>
      <c r="I150" s="17"/>
      <c r="J150" s="74">
        <v>33.18</v>
      </c>
      <c r="K150" s="69" t="s">
        <v>1205</v>
      </c>
      <c r="L150" s="4"/>
      <c r="M150" s="5"/>
      <c r="N150" s="6"/>
      <c r="O150" s="4"/>
      <c r="P150" s="5"/>
      <c r="Q150" s="6"/>
      <c r="R150" s="4"/>
      <c r="S150" s="5"/>
      <c r="T150" s="6"/>
      <c r="U150" s="6"/>
      <c r="V150" s="6"/>
      <c r="W150" s="37"/>
      <c r="X150" s="4"/>
      <c r="Y150" s="36"/>
      <c r="Z150" s="37"/>
    </row>
    <row r="151" spans="1:26" s="93" customFormat="1" ht="19.5" customHeight="1">
      <c r="A151" s="96" t="s">
        <v>1207</v>
      </c>
      <c r="B151" s="102"/>
      <c r="C151" s="98" t="s">
        <v>1206</v>
      </c>
      <c r="D151" s="97">
        <v>1</v>
      </c>
      <c r="E151" s="97">
        <v>10</v>
      </c>
      <c r="F151" s="97">
        <v>2.6</v>
      </c>
      <c r="G151" s="97"/>
      <c r="H151" s="97">
        <v>26</v>
      </c>
      <c r="I151" s="97">
        <v>26</v>
      </c>
      <c r="J151" s="105"/>
      <c r="K151" s="105"/>
      <c r="L151" s="90"/>
      <c r="M151" s="91"/>
      <c r="N151" s="92"/>
      <c r="O151" s="90"/>
      <c r="P151" s="91"/>
      <c r="Q151" s="92"/>
      <c r="R151" s="90"/>
      <c r="S151" s="91"/>
      <c r="T151" s="92"/>
      <c r="U151" s="92"/>
      <c r="V151" s="92"/>
      <c r="W151" s="100"/>
      <c r="X151" s="90"/>
      <c r="Y151" s="99"/>
      <c r="Z151" s="100"/>
    </row>
    <row r="152" spans="1:26" s="93" customFormat="1" ht="19.95" customHeight="1">
      <c r="A152" s="96" t="s">
        <v>1208</v>
      </c>
      <c r="B152" s="102"/>
      <c r="C152" s="98" t="s">
        <v>867</v>
      </c>
      <c r="D152" s="97">
        <v>-1</v>
      </c>
      <c r="E152" s="97">
        <v>0.8</v>
      </c>
      <c r="F152" s="97">
        <v>2.1</v>
      </c>
      <c r="G152" s="97"/>
      <c r="H152" s="97">
        <v>1.68</v>
      </c>
      <c r="I152" s="97">
        <v>-1.68</v>
      </c>
      <c r="J152" s="105"/>
      <c r="K152" s="105"/>
      <c r="L152" s="90"/>
      <c r="M152" s="91"/>
      <c r="N152" s="92"/>
      <c r="O152" s="90"/>
      <c r="P152" s="91"/>
      <c r="Q152" s="92"/>
      <c r="R152" s="90"/>
      <c r="S152" s="91"/>
      <c r="T152" s="92"/>
      <c r="U152" s="92"/>
      <c r="V152" s="92"/>
      <c r="W152" s="100"/>
      <c r="X152" s="90"/>
      <c r="Y152" s="99"/>
      <c r="Z152" s="100"/>
    </row>
    <row r="153" spans="1:26" s="93" customFormat="1" ht="19.5" customHeight="1">
      <c r="A153" s="96" t="s">
        <v>1209</v>
      </c>
      <c r="B153" s="102"/>
      <c r="C153" s="98" t="s">
        <v>1204</v>
      </c>
      <c r="D153" s="97">
        <v>-1</v>
      </c>
      <c r="E153" s="97">
        <v>1</v>
      </c>
      <c r="F153" s="97">
        <v>1.1000000000000001</v>
      </c>
      <c r="G153" s="97"/>
      <c r="H153" s="97">
        <v>1.1000000000000001</v>
      </c>
      <c r="I153" s="97">
        <v>-1.1000000000000001</v>
      </c>
      <c r="J153" s="105"/>
      <c r="K153" s="105"/>
      <c r="L153" s="90"/>
      <c r="M153" s="91"/>
      <c r="N153" s="92"/>
      <c r="O153" s="90"/>
      <c r="P153" s="91"/>
      <c r="Q153" s="92"/>
      <c r="R153" s="90"/>
      <c r="S153" s="91"/>
      <c r="T153" s="92"/>
      <c r="U153" s="92"/>
      <c r="V153" s="92"/>
      <c r="W153" s="100"/>
      <c r="X153" s="90"/>
      <c r="Y153" s="99"/>
      <c r="Z153" s="100"/>
    </row>
    <row r="154" spans="1:26" s="93" customFormat="1" ht="19.95" customHeight="1">
      <c r="A154" s="96" t="s">
        <v>1210</v>
      </c>
      <c r="B154" s="102"/>
      <c r="C154" s="98" t="s">
        <v>1204</v>
      </c>
      <c r="D154" s="97">
        <v>-1</v>
      </c>
      <c r="E154" s="97">
        <v>2</v>
      </c>
      <c r="F154" s="97">
        <v>1.1000000000000001</v>
      </c>
      <c r="G154" s="97"/>
      <c r="H154" s="97">
        <v>2.2000000000000002</v>
      </c>
      <c r="I154" s="97">
        <v>-2.2000000000000002</v>
      </c>
      <c r="J154" s="105"/>
      <c r="K154" s="105"/>
      <c r="L154" s="90"/>
      <c r="M154" s="91"/>
      <c r="N154" s="92"/>
      <c r="O154" s="90"/>
      <c r="P154" s="91"/>
      <c r="Q154" s="92"/>
      <c r="R154" s="90"/>
      <c r="S154" s="91"/>
      <c r="T154" s="92"/>
      <c r="U154" s="92"/>
      <c r="V154" s="92"/>
      <c r="W154" s="100"/>
      <c r="X154" s="90"/>
      <c r="Y154" s="99"/>
      <c r="Z154" s="100"/>
    </row>
    <row r="155" spans="1:26" s="93" customFormat="1" ht="19.5" customHeight="1">
      <c r="A155" s="96" t="s">
        <v>1211</v>
      </c>
      <c r="B155" s="102"/>
      <c r="C155" s="98" t="s">
        <v>869</v>
      </c>
      <c r="D155" s="97">
        <v>-1</v>
      </c>
      <c r="E155" s="97">
        <v>5.4</v>
      </c>
      <c r="F155" s="97">
        <v>2.6</v>
      </c>
      <c r="G155" s="97"/>
      <c r="H155" s="97">
        <v>14.04</v>
      </c>
      <c r="I155" s="97">
        <v>14.04</v>
      </c>
      <c r="J155" s="105"/>
      <c r="K155" s="105"/>
      <c r="L155" s="90"/>
      <c r="M155" s="91"/>
      <c r="N155" s="92"/>
      <c r="O155" s="90"/>
      <c r="P155" s="91"/>
      <c r="Q155" s="92"/>
      <c r="R155" s="90"/>
      <c r="S155" s="91"/>
      <c r="T155" s="92"/>
      <c r="U155" s="92"/>
      <c r="V155" s="92"/>
      <c r="W155" s="100"/>
      <c r="X155" s="90"/>
      <c r="Y155" s="99"/>
      <c r="Z155" s="100"/>
    </row>
    <row r="156" spans="1:26" s="93" customFormat="1" ht="19.95" customHeight="1">
      <c r="A156" s="96" t="s">
        <v>1212</v>
      </c>
      <c r="B156" s="102"/>
      <c r="C156" s="98" t="s">
        <v>867</v>
      </c>
      <c r="D156" s="97">
        <v>-1</v>
      </c>
      <c r="E156" s="97">
        <v>0.8</v>
      </c>
      <c r="F156" s="97">
        <v>2.1</v>
      </c>
      <c r="G156" s="97"/>
      <c r="H156" s="97">
        <v>1.68</v>
      </c>
      <c r="I156" s="97">
        <v>-1.68</v>
      </c>
      <c r="J156" s="105"/>
      <c r="K156" s="105"/>
      <c r="L156" s="90"/>
      <c r="M156" s="91"/>
      <c r="N156" s="92"/>
      <c r="O156" s="90"/>
      <c r="P156" s="91"/>
      <c r="Q156" s="92"/>
      <c r="R156" s="90"/>
      <c r="S156" s="91"/>
      <c r="T156" s="92"/>
      <c r="U156" s="92"/>
      <c r="V156" s="92"/>
      <c r="W156" s="100"/>
      <c r="X156" s="90"/>
      <c r="Y156" s="99"/>
      <c r="Z156" s="100"/>
    </row>
    <row r="157" spans="1:26" s="93" customFormat="1" ht="19.5" customHeight="1">
      <c r="A157" s="96" t="s">
        <v>1213</v>
      </c>
      <c r="B157" s="102"/>
      <c r="C157" s="98" t="s">
        <v>870</v>
      </c>
      <c r="D157" s="97">
        <v>-1</v>
      </c>
      <c r="E157" s="97">
        <v>0.5</v>
      </c>
      <c r="F157" s="97">
        <v>0.4</v>
      </c>
      <c r="G157" s="97"/>
      <c r="H157" s="97">
        <v>0.2</v>
      </c>
      <c r="I157" s="97">
        <v>-0.2</v>
      </c>
      <c r="J157" s="105"/>
      <c r="K157" s="105"/>
      <c r="L157" s="90"/>
      <c r="M157" s="91"/>
      <c r="N157" s="92"/>
      <c r="O157" s="90"/>
      <c r="P157" s="91"/>
      <c r="Q157" s="92"/>
      <c r="R157" s="90"/>
      <c r="S157" s="91"/>
      <c r="T157" s="92"/>
      <c r="U157" s="92"/>
      <c r="V157" s="92"/>
      <c r="W157" s="100"/>
      <c r="X157" s="90"/>
      <c r="Y157" s="99"/>
      <c r="Z157" s="100"/>
    </row>
    <row r="158" spans="1:26" ht="49.95" customHeight="1">
      <c r="A158" s="16" t="s">
        <v>104</v>
      </c>
      <c r="B158" s="20">
        <v>87908</v>
      </c>
      <c r="C158" s="73" t="s">
        <v>428</v>
      </c>
      <c r="D158" s="17"/>
      <c r="E158" s="17"/>
      <c r="F158" s="17"/>
      <c r="G158" s="17"/>
      <c r="H158" s="17"/>
      <c r="I158" s="17"/>
      <c r="J158" s="106"/>
      <c r="K158" s="69"/>
      <c r="L158" s="4"/>
      <c r="M158" s="5"/>
      <c r="N158" s="6"/>
      <c r="O158" s="4"/>
      <c r="P158" s="5"/>
      <c r="Q158" s="6"/>
      <c r="R158" s="4"/>
      <c r="S158" s="5"/>
      <c r="T158" s="6"/>
      <c r="U158" s="6"/>
      <c r="V158" s="6"/>
      <c r="W158" s="37"/>
      <c r="X158" s="4"/>
      <c r="Y158" s="36"/>
      <c r="Z158" s="37"/>
    </row>
    <row r="159" spans="1:26" s="93" customFormat="1" ht="19.5" customHeight="1">
      <c r="A159" s="96" t="s">
        <v>1124</v>
      </c>
      <c r="B159" s="102"/>
      <c r="C159" s="98" t="s">
        <v>1131</v>
      </c>
      <c r="D159" s="97"/>
      <c r="E159" s="97"/>
      <c r="F159" s="97"/>
      <c r="G159" s="97"/>
      <c r="H159" s="97"/>
      <c r="I159" s="97"/>
      <c r="J159" s="105"/>
      <c r="K159" s="105"/>
      <c r="L159" s="90"/>
      <c r="M159" s="91"/>
      <c r="N159" s="92"/>
      <c r="O159" s="90"/>
      <c r="P159" s="91"/>
      <c r="Q159" s="92"/>
      <c r="R159" s="90"/>
      <c r="S159" s="91"/>
      <c r="T159" s="92"/>
      <c r="U159" s="92"/>
      <c r="V159" s="92"/>
      <c r="W159" s="100"/>
      <c r="X159" s="90"/>
      <c r="Y159" s="99"/>
      <c r="Z159" s="100"/>
    </row>
    <row r="160" spans="1:26" s="93" customFormat="1" ht="19.95" customHeight="1">
      <c r="A160" s="96" t="s">
        <v>1125</v>
      </c>
      <c r="B160" s="102"/>
      <c r="C160" s="98" t="s">
        <v>867</v>
      </c>
      <c r="D160" s="97"/>
      <c r="E160" s="97"/>
      <c r="F160" s="97"/>
      <c r="G160" s="97"/>
      <c r="H160" s="97"/>
      <c r="I160" s="97"/>
      <c r="J160" s="105"/>
      <c r="K160" s="105"/>
      <c r="L160" s="90"/>
      <c r="M160" s="91"/>
      <c r="N160" s="92"/>
      <c r="O160" s="90"/>
      <c r="P160" s="91"/>
      <c r="Q160" s="92"/>
      <c r="R160" s="90"/>
      <c r="S160" s="91"/>
      <c r="T160" s="92"/>
      <c r="U160" s="92"/>
      <c r="V160" s="92"/>
      <c r="W160" s="100"/>
      <c r="X160" s="90"/>
      <c r="Y160" s="99"/>
      <c r="Z160" s="100"/>
    </row>
    <row r="161" spans="1:26" s="93" customFormat="1" ht="19.5" customHeight="1">
      <c r="A161" s="96" t="s">
        <v>1126</v>
      </c>
      <c r="B161" s="102"/>
      <c r="C161" s="98" t="s">
        <v>868</v>
      </c>
      <c r="D161" s="97"/>
      <c r="E161" s="97"/>
      <c r="F161" s="97"/>
      <c r="G161" s="97"/>
      <c r="H161" s="97"/>
      <c r="I161" s="97"/>
      <c r="J161" s="105"/>
      <c r="K161" s="105"/>
      <c r="L161" s="90"/>
      <c r="M161" s="91"/>
      <c r="N161" s="92"/>
      <c r="O161" s="90"/>
      <c r="P161" s="91"/>
      <c r="Q161" s="92"/>
      <c r="R161" s="90"/>
      <c r="S161" s="91"/>
      <c r="T161" s="92"/>
      <c r="U161" s="92"/>
      <c r="V161" s="92"/>
      <c r="W161" s="100"/>
      <c r="X161" s="90"/>
      <c r="Y161" s="99"/>
      <c r="Z161" s="100"/>
    </row>
    <row r="162" spans="1:26" s="93" customFormat="1" ht="19.95" customHeight="1">
      <c r="A162" s="96" t="s">
        <v>1127</v>
      </c>
      <c r="B162" s="102"/>
      <c r="C162" s="98" t="s">
        <v>868</v>
      </c>
      <c r="D162" s="97"/>
      <c r="E162" s="97"/>
      <c r="F162" s="97"/>
      <c r="G162" s="97"/>
      <c r="H162" s="97"/>
      <c r="I162" s="97"/>
      <c r="J162" s="105"/>
      <c r="K162" s="105"/>
      <c r="L162" s="90"/>
      <c r="M162" s="91"/>
      <c r="N162" s="92"/>
      <c r="O162" s="90"/>
      <c r="P162" s="91"/>
      <c r="Q162" s="92"/>
      <c r="R162" s="90"/>
      <c r="S162" s="91"/>
      <c r="T162" s="92"/>
      <c r="U162" s="92"/>
      <c r="V162" s="92"/>
      <c r="W162" s="100"/>
      <c r="X162" s="90"/>
      <c r="Y162" s="99"/>
      <c r="Z162" s="100"/>
    </row>
    <row r="163" spans="1:26" s="93" customFormat="1" ht="19.5" customHeight="1">
      <c r="A163" s="96" t="s">
        <v>1128</v>
      </c>
      <c r="B163" s="102"/>
      <c r="C163" s="98" t="s">
        <v>870</v>
      </c>
      <c r="D163" s="97"/>
      <c r="E163" s="97"/>
      <c r="F163" s="97"/>
      <c r="G163" s="97"/>
      <c r="H163" s="97"/>
      <c r="I163" s="97"/>
      <c r="J163" s="105"/>
      <c r="K163" s="105"/>
      <c r="L163" s="90"/>
      <c r="M163" s="91"/>
      <c r="N163" s="92"/>
      <c r="O163" s="90"/>
      <c r="P163" s="91"/>
      <c r="Q163" s="92"/>
      <c r="R163" s="90"/>
      <c r="S163" s="91"/>
      <c r="T163" s="92"/>
      <c r="U163" s="92"/>
      <c r="V163" s="92"/>
      <c r="W163" s="100"/>
      <c r="X163" s="90"/>
      <c r="Y163" s="99"/>
      <c r="Z163" s="100"/>
    </row>
    <row r="164" spans="1:26" ht="49.95" customHeight="1">
      <c r="A164" s="16" t="s">
        <v>105</v>
      </c>
      <c r="B164" s="20">
        <v>104218</v>
      </c>
      <c r="C164" s="73" t="s">
        <v>429</v>
      </c>
      <c r="D164" s="17"/>
      <c r="E164" s="17"/>
      <c r="F164" s="17"/>
      <c r="G164" s="17"/>
      <c r="H164" s="17"/>
      <c r="I164" s="17"/>
      <c r="J164" s="106"/>
      <c r="K164" s="105"/>
      <c r="L164" s="4"/>
      <c r="M164" s="5"/>
      <c r="N164" s="6"/>
      <c r="O164" s="4"/>
      <c r="P164" s="5"/>
      <c r="Q164" s="6"/>
      <c r="R164" s="4"/>
      <c r="S164" s="5"/>
      <c r="T164" s="6"/>
      <c r="U164" s="6"/>
      <c r="V164" s="6"/>
      <c r="W164" s="37"/>
      <c r="X164" s="4"/>
      <c r="Y164" s="36"/>
      <c r="Z164" s="37"/>
    </row>
    <row r="165" spans="1:26" s="93" customFormat="1" ht="19.5" customHeight="1">
      <c r="A165" s="96" t="s">
        <v>1132</v>
      </c>
      <c r="B165" s="102"/>
      <c r="C165" s="98" t="s">
        <v>1131</v>
      </c>
      <c r="D165" s="97"/>
      <c r="E165" s="97"/>
      <c r="F165" s="97"/>
      <c r="G165" s="97"/>
      <c r="H165" s="97"/>
      <c r="I165" s="97"/>
      <c r="J165" s="105"/>
      <c r="K165" s="105"/>
      <c r="L165" s="90"/>
      <c r="M165" s="91"/>
      <c r="N165" s="92"/>
      <c r="O165" s="90"/>
      <c r="P165" s="91"/>
      <c r="Q165" s="92"/>
      <c r="R165" s="90"/>
      <c r="S165" s="91"/>
      <c r="T165" s="92"/>
      <c r="U165" s="92"/>
      <c r="V165" s="92"/>
      <c r="W165" s="100"/>
      <c r="X165" s="90"/>
      <c r="Y165" s="99"/>
      <c r="Z165" s="100"/>
    </row>
    <row r="166" spans="1:26" s="93" customFormat="1" ht="19.95" customHeight="1">
      <c r="A166" s="96" t="s">
        <v>1133</v>
      </c>
      <c r="B166" s="102"/>
      <c r="C166" s="98" t="s">
        <v>867</v>
      </c>
      <c r="D166" s="97"/>
      <c r="E166" s="97"/>
      <c r="F166" s="97"/>
      <c r="G166" s="97"/>
      <c r="H166" s="97"/>
      <c r="I166" s="97"/>
      <c r="J166" s="105"/>
      <c r="K166" s="105"/>
      <c r="L166" s="90"/>
      <c r="M166" s="91"/>
      <c r="N166" s="92"/>
      <c r="O166" s="90"/>
      <c r="P166" s="91"/>
      <c r="Q166" s="92"/>
      <c r="R166" s="90"/>
      <c r="S166" s="91"/>
      <c r="T166" s="92"/>
      <c r="U166" s="92"/>
      <c r="V166" s="92"/>
      <c r="W166" s="100"/>
      <c r="X166" s="90"/>
      <c r="Y166" s="99"/>
      <c r="Z166" s="100"/>
    </row>
    <row r="167" spans="1:26" s="93" customFormat="1" ht="19.5" customHeight="1">
      <c r="A167" s="96" t="s">
        <v>1134</v>
      </c>
      <c r="B167" s="102"/>
      <c r="C167" s="98" t="s">
        <v>868</v>
      </c>
      <c r="D167" s="97"/>
      <c r="E167" s="97"/>
      <c r="F167" s="97"/>
      <c r="G167" s="97"/>
      <c r="H167" s="97"/>
      <c r="I167" s="97"/>
      <c r="J167" s="105"/>
      <c r="K167" s="105"/>
      <c r="L167" s="90"/>
      <c r="M167" s="91"/>
      <c r="N167" s="92"/>
      <c r="O167" s="90"/>
      <c r="P167" s="91"/>
      <c r="Q167" s="92"/>
      <c r="R167" s="90"/>
      <c r="S167" s="91"/>
      <c r="T167" s="92"/>
      <c r="U167" s="92"/>
      <c r="V167" s="92"/>
      <c r="W167" s="100"/>
      <c r="X167" s="90"/>
      <c r="Y167" s="99"/>
      <c r="Z167" s="100"/>
    </row>
    <row r="168" spans="1:26" s="93" customFormat="1" ht="19.95" customHeight="1">
      <c r="A168" s="96" t="s">
        <v>1135</v>
      </c>
      <c r="B168" s="102"/>
      <c r="C168" s="98" t="s">
        <v>868</v>
      </c>
      <c r="D168" s="97"/>
      <c r="E168" s="97"/>
      <c r="F168" s="97"/>
      <c r="G168" s="97"/>
      <c r="H168" s="97"/>
      <c r="I168" s="97"/>
      <c r="J168" s="105"/>
      <c r="K168" s="105"/>
      <c r="L168" s="90"/>
      <c r="M168" s="91"/>
      <c r="N168" s="92"/>
      <c r="O168" s="90"/>
      <c r="P168" s="91"/>
      <c r="Q168" s="92"/>
      <c r="R168" s="90"/>
      <c r="S168" s="91"/>
      <c r="T168" s="92"/>
      <c r="U168" s="92"/>
      <c r="V168" s="92"/>
      <c r="W168" s="100"/>
      <c r="X168" s="90"/>
      <c r="Y168" s="99"/>
      <c r="Z168" s="100"/>
    </row>
    <row r="169" spans="1:26" s="93" customFormat="1" ht="19.5" customHeight="1">
      <c r="A169" s="96" t="s">
        <v>1136</v>
      </c>
      <c r="B169" s="102"/>
      <c r="C169" s="98" t="s">
        <v>870</v>
      </c>
      <c r="D169" s="97"/>
      <c r="E169" s="97"/>
      <c r="F169" s="97"/>
      <c r="G169" s="97"/>
      <c r="H169" s="97"/>
      <c r="I169" s="97"/>
      <c r="J169" s="105"/>
      <c r="K169" s="105"/>
      <c r="L169" s="90"/>
      <c r="M169" s="91"/>
      <c r="N169" s="92"/>
      <c r="O169" s="90"/>
      <c r="P169" s="91"/>
      <c r="Q169" s="92"/>
      <c r="R169" s="90"/>
      <c r="S169" s="91"/>
      <c r="T169" s="92"/>
      <c r="U169" s="92"/>
      <c r="V169" s="92"/>
      <c r="W169" s="100"/>
      <c r="X169" s="90"/>
      <c r="Y169" s="99"/>
      <c r="Z169" s="100"/>
    </row>
    <row r="170" spans="1:26" ht="49.95" customHeight="1">
      <c r="A170" s="16" t="s">
        <v>106</v>
      </c>
      <c r="B170" s="20">
        <v>13</v>
      </c>
      <c r="C170" s="73" t="s">
        <v>430</v>
      </c>
      <c r="D170" s="17"/>
      <c r="E170" s="17"/>
      <c r="F170" s="17"/>
      <c r="G170" s="17"/>
      <c r="H170" s="17"/>
      <c r="I170" s="17"/>
      <c r="J170" s="74">
        <v>28.22</v>
      </c>
      <c r="K170" s="69" t="s">
        <v>1205</v>
      </c>
      <c r="L170" s="4"/>
      <c r="M170" s="5"/>
      <c r="N170" s="6"/>
      <c r="O170" s="4"/>
      <c r="P170" s="5"/>
      <c r="Q170" s="6"/>
      <c r="R170" s="4"/>
      <c r="S170" s="5"/>
      <c r="T170" s="6"/>
      <c r="U170" s="6"/>
      <c r="V170" s="6"/>
      <c r="W170" s="37"/>
      <c r="X170" s="4"/>
      <c r="Y170" s="36"/>
      <c r="Z170" s="37"/>
    </row>
    <row r="171" spans="1:26" s="93" customFormat="1" ht="19.5" customHeight="1">
      <c r="A171" s="96" t="s">
        <v>1214</v>
      </c>
      <c r="B171" s="102"/>
      <c r="C171" s="98" t="s">
        <v>1220</v>
      </c>
      <c r="D171" s="97">
        <v>8</v>
      </c>
      <c r="E171" s="97">
        <v>0.8</v>
      </c>
      <c r="F171" s="97">
        <v>2.2999999999999998</v>
      </c>
      <c r="G171" s="97"/>
      <c r="H171" s="97">
        <v>1.84</v>
      </c>
      <c r="I171" s="97">
        <v>14.72</v>
      </c>
      <c r="J171" s="105"/>
      <c r="K171" s="105"/>
      <c r="L171" s="90"/>
      <c r="M171" s="91"/>
      <c r="N171" s="92"/>
      <c r="O171" s="90"/>
      <c r="P171" s="91"/>
      <c r="Q171" s="92"/>
      <c r="R171" s="90"/>
      <c r="S171" s="91"/>
      <c r="T171" s="92"/>
      <c r="U171" s="92"/>
      <c r="V171" s="92"/>
      <c r="W171" s="100"/>
      <c r="X171" s="90"/>
      <c r="Y171" s="99"/>
      <c r="Z171" s="100"/>
    </row>
    <row r="172" spans="1:26" s="93" customFormat="1" ht="19.95" customHeight="1">
      <c r="A172" s="96" t="s">
        <v>1215</v>
      </c>
      <c r="B172" s="102"/>
      <c r="C172" s="98" t="s">
        <v>1221</v>
      </c>
      <c r="D172" s="97">
        <v>1</v>
      </c>
      <c r="E172" s="97">
        <v>13.9</v>
      </c>
      <c r="F172" s="97">
        <v>1</v>
      </c>
      <c r="G172" s="97"/>
      <c r="H172" s="97">
        <v>13.9</v>
      </c>
      <c r="I172" s="97">
        <v>13.9</v>
      </c>
      <c r="J172" s="105"/>
      <c r="K172" s="105"/>
      <c r="L172" s="90"/>
      <c r="M172" s="91"/>
      <c r="N172" s="92"/>
      <c r="O172" s="90"/>
      <c r="P172" s="91"/>
      <c r="Q172" s="92"/>
      <c r="R172" s="90"/>
      <c r="S172" s="91"/>
      <c r="T172" s="92"/>
      <c r="U172" s="92"/>
      <c r="V172" s="92"/>
      <c r="W172" s="100"/>
      <c r="X172" s="90"/>
      <c r="Y172" s="99"/>
      <c r="Z172" s="100"/>
    </row>
    <row r="173" spans="1:26" s="93" customFormat="1" ht="19.5" customHeight="1">
      <c r="A173" s="96" t="s">
        <v>1216</v>
      </c>
      <c r="B173" s="102"/>
      <c r="C173" s="98" t="s">
        <v>1218</v>
      </c>
      <c r="D173" s="97">
        <v>-2</v>
      </c>
      <c r="E173" s="97">
        <v>0.8</v>
      </c>
      <c r="F173" s="97">
        <v>1</v>
      </c>
      <c r="G173" s="97"/>
      <c r="H173" s="97">
        <v>0.8</v>
      </c>
      <c r="I173" s="97">
        <v>-1.6</v>
      </c>
      <c r="J173" s="105"/>
      <c r="K173" s="105"/>
      <c r="L173" s="90"/>
      <c r="M173" s="91"/>
      <c r="N173" s="92"/>
      <c r="O173" s="90"/>
      <c r="P173" s="91"/>
      <c r="Q173" s="92"/>
      <c r="R173" s="90"/>
      <c r="S173" s="91"/>
      <c r="T173" s="92"/>
      <c r="U173" s="92"/>
      <c r="V173" s="92"/>
      <c r="W173" s="100"/>
      <c r="X173" s="90"/>
      <c r="Y173" s="99"/>
      <c r="Z173" s="100"/>
    </row>
    <row r="174" spans="1:26" s="93" customFormat="1" ht="19.95" customHeight="1">
      <c r="A174" s="96" t="s">
        <v>1217</v>
      </c>
      <c r="B174" s="102"/>
      <c r="C174" s="98" t="s">
        <v>1219</v>
      </c>
      <c r="D174" s="97">
        <v>1</v>
      </c>
      <c r="E174" s="97">
        <v>1.204</v>
      </c>
      <c r="G174" s="97"/>
      <c r="H174" s="97">
        <v>1.204</v>
      </c>
      <c r="I174" s="97">
        <v>1.2</v>
      </c>
      <c r="J174" s="105"/>
      <c r="K174" s="105"/>
      <c r="L174" s="90"/>
      <c r="M174" s="91"/>
      <c r="N174" s="92"/>
      <c r="O174" s="90"/>
      <c r="P174" s="91"/>
      <c r="Q174" s="92"/>
      <c r="R174" s="90"/>
      <c r="S174" s="91"/>
      <c r="T174" s="92"/>
      <c r="U174" s="92"/>
      <c r="V174" s="92"/>
      <c r="W174" s="100"/>
      <c r="X174" s="90"/>
      <c r="Y174" s="99"/>
      <c r="Z174" s="100"/>
    </row>
    <row r="175" spans="1:26" ht="49.95" customHeight="1">
      <c r="A175" s="16" t="s">
        <v>107</v>
      </c>
      <c r="B175" s="52" t="s">
        <v>399</v>
      </c>
      <c r="C175" s="73" t="s">
        <v>427</v>
      </c>
      <c r="D175" s="17"/>
      <c r="E175" s="17"/>
      <c r="F175" s="17"/>
      <c r="G175" s="17"/>
      <c r="H175" s="17"/>
      <c r="I175" s="17"/>
      <c r="J175" s="74">
        <v>13.64</v>
      </c>
      <c r="K175" s="69" t="s">
        <v>1205</v>
      </c>
      <c r="L175" s="4"/>
      <c r="M175" s="5"/>
      <c r="N175" s="6"/>
      <c r="O175" s="4"/>
      <c r="P175" s="5"/>
      <c r="Q175" s="6"/>
      <c r="R175" s="4"/>
      <c r="S175" s="5"/>
      <c r="T175" s="6"/>
      <c r="U175" s="6"/>
      <c r="V175" s="6"/>
      <c r="W175" s="37"/>
      <c r="X175" s="4"/>
      <c r="Y175" s="36"/>
      <c r="Z175" s="37"/>
    </row>
    <row r="176" spans="1:26" s="93" customFormat="1" ht="19.5" customHeight="1">
      <c r="A176" s="96" t="s">
        <v>1222</v>
      </c>
      <c r="B176" s="102"/>
      <c r="C176" s="98" t="s">
        <v>1229</v>
      </c>
      <c r="D176" s="97">
        <v>1</v>
      </c>
      <c r="E176" s="97">
        <v>13.9</v>
      </c>
      <c r="F176" s="97">
        <v>1.36</v>
      </c>
      <c r="G176" s="97"/>
      <c r="H176" s="97">
        <v>18.904</v>
      </c>
      <c r="I176" s="97">
        <v>18.899999999999999</v>
      </c>
      <c r="J176" s="105"/>
      <c r="K176" s="105"/>
      <c r="L176" s="90"/>
      <c r="M176" s="91"/>
      <c r="N176" s="92"/>
      <c r="O176" s="90"/>
      <c r="P176" s="91"/>
      <c r="Q176" s="92"/>
      <c r="R176" s="90"/>
      <c r="S176" s="91"/>
      <c r="T176" s="92"/>
      <c r="U176" s="92"/>
      <c r="V176" s="92"/>
      <c r="W176" s="100"/>
      <c r="X176" s="90"/>
      <c r="Y176" s="99"/>
      <c r="Z176" s="100"/>
    </row>
    <row r="177" spans="1:26" s="93" customFormat="1" ht="19.95" customHeight="1">
      <c r="A177" s="96" t="s">
        <v>1223</v>
      </c>
      <c r="B177" s="102"/>
      <c r="C177" s="98" t="s">
        <v>1230</v>
      </c>
      <c r="D177" s="97">
        <v>-2</v>
      </c>
      <c r="E177" s="97">
        <v>0.8</v>
      </c>
      <c r="F177" s="97">
        <v>1.1000000000000001</v>
      </c>
      <c r="G177" s="97"/>
      <c r="H177" s="97">
        <v>0.88</v>
      </c>
      <c r="I177" s="97">
        <v>-1.76</v>
      </c>
      <c r="J177" s="105"/>
      <c r="K177" s="105"/>
      <c r="L177" s="90"/>
      <c r="M177" s="91"/>
      <c r="N177" s="92"/>
      <c r="O177" s="90"/>
      <c r="P177" s="91"/>
      <c r="Q177" s="92"/>
      <c r="R177" s="90"/>
      <c r="S177" s="91"/>
      <c r="T177" s="92"/>
      <c r="U177" s="92"/>
      <c r="V177" s="92"/>
      <c r="W177" s="100"/>
      <c r="X177" s="90"/>
      <c r="Y177" s="99"/>
      <c r="Z177" s="100"/>
    </row>
    <row r="178" spans="1:26" s="93" customFormat="1" ht="19.5" customHeight="1">
      <c r="A178" s="96" t="s">
        <v>1224</v>
      </c>
      <c r="B178" s="102"/>
      <c r="C178" s="98" t="s">
        <v>868</v>
      </c>
      <c r="D178" s="97">
        <v>-1</v>
      </c>
      <c r="E178" s="97">
        <v>2</v>
      </c>
      <c r="F178" s="97">
        <v>1.1000000000000001</v>
      </c>
      <c r="G178" s="97"/>
      <c r="H178" s="97">
        <v>2.2000000000000002</v>
      </c>
      <c r="I178" s="97">
        <v>-2.2000000000000002</v>
      </c>
      <c r="J178" s="105"/>
      <c r="K178" s="105"/>
      <c r="L178" s="90"/>
      <c r="M178" s="91"/>
      <c r="N178" s="92"/>
      <c r="O178" s="90"/>
      <c r="P178" s="91"/>
      <c r="Q178" s="92"/>
      <c r="R178" s="90"/>
      <c r="S178" s="91"/>
      <c r="T178" s="92"/>
      <c r="U178" s="92"/>
      <c r="V178" s="92"/>
      <c r="W178" s="100"/>
      <c r="X178" s="90"/>
      <c r="Y178" s="99"/>
      <c r="Z178" s="100"/>
    </row>
    <row r="179" spans="1:26" s="93" customFormat="1" ht="19.95" customHeight="1">
      <c r="A179" s="96" t="s">
        <v>1225</v>
      </c>
      <c r="B179" s="102"/>
      <c r="C179" s="98" t="s">
        <v>868</v>
      </c>
      <c r="D179" s="97">
        <v>-1</v>
      </c>
      <c r="E179" s="97">
        <v>1</v>
      </c>
      <c r="F179" s="97">
        <v>1.1000000000000001</v>
      </c>
      <c r="G179" s="97"/>
      <c r="H179" s="97">
        <v>1.1000000000000001</v>
      </c>
      <c r="I179" s="97">
        <v>-1.1000000000000001</v>
      </c>
      <c r="J179" s="105"/>
      <c r="K179" s="105"/>
      <c r="L179" s="90"/>
      <c r="M179" s="91"/>
      <c r="N179" s="92"/>
      <c r="O179" s="90"/>
      <c r="P179" s="91"/>
      <c r="Q179" s="92"/>
      <c r="R179" s="90"/>
      <c r="S179" s="91"/>
      <c r="T179" s="92"/>
      <c r="U179" s="92"/>
      <c r="V179" s="92"/>
      <c r="W179" s="100"/>
      <c r="X179" s="90"/>
      <c r="Y179" s="99"/>
      <c r="Z179" s="100"/>
    </row>
    <row r="180" spans="1:26" s="93" customFormat="1" ht="19.5" customHeight="1">
      <c r="A180" s="96" t="s">
        <v>1226</v>
      </c>
      <c r="B180" s="102"/>
      <c r="C180" s="98" t="s">
        <v>870</v>
      </c>
      <c r="D180" s="97">
        <v>-1</v>
      </c>
      <c r="E180" s="97">
        <v>0.5</v>
      </c>
      <c r="F180" s="97">
        <v>0.4</v>
      </c>
      <c r="G180" s="97"/>
      <c r="H180" s="97">
        <v>0.2</v>
      </c>
      <c r="I180" s="97">
        <v>-0.2</v>
      </c>
      <c r="J180" s="105"/>
      <c r="K180" s="105"/>
      <c r="L180" s="90"/>
      <c r="M180" s="91"/>
      <c r="N180" s="92"/>
      <c r="O180" s="90"/>
      <c r="P180" s="91"/>
      <c r="Q180" s="92"/>
      <c r="R180" s="90"/>
      <c r="S180" s="91"/>
      <c r="T180" s="92"/>
      <c r="U180" s="92"/>
      <c r="V180" s="92"/>
      <c r="W180" s="100"/>
      <c r="X180" s="90"/>
      <c r="Y180" s="99"/>
      <c r="Z180" s="100"/>
    </row>
    <row r="181" spans="1:26" ht="49.95" customHeight="1">
      <c r="A181" s="16" t="s">
        <v>108</v>
      </c>
      <c r="B181" s="20">
        <v>98555</v>
      </c>
      <c r="C181" s="73" t="s">
        <v>431</v>
      </c>
      <c r="D181" s="17"/>
      <c r="E181" s="17"/>
      <c r="F181" s="17"/>
      <c r="G181" s="17"/>
      <c r="I181" s="17"/>
      <c r="J181" s="74">
        <v>10</v>
      </c>
      <c r="K181" s="69" t="s">
        <v>1205</v>
      </c>
      <c r="L181" s="4"/>
      <c r="M181" s="5"/>
      <c r="N181" s="6"/>
      <c r="O181" s="4"/>
      <c r="P181" s="5"/>
      <c r="Q181" s="6"/>
      <c r="R181" s="4"/>
      <c r="S181" s="5"/>
      <c r="T181" s="6"/>
      <c r="U181" s="6"/>
      <c r="V181" s="6"/>
      <c r="W181" s="37"/>
      <c r="X181" s="4"/>
      <c r="Y181" s="36"/>
      <c r="Z181" s="37"/>
    </row>
    <row r="182" spans="1:26" s="93" customFormat="1" ht="19.5" customHeight="1">
      <c r="A182" s="96" t="s">
        <v>1227</v>
      </c>
      <c r="B182" s="102"/>
      <c r="C182" s="98" t="s">
        <v>1231</v>
      </c>
      <c r="D182" s="97">
        <v>1</v>
      </c>
      <c r="E182" s="97">
        <v>6</v>
      </c>
      <c r="F182" s="97"/>
      <c r="G182" s="97"/>
      <c r="H182" s="17">
        <v>6</v>
      </c>
      <c r="I182" s="97">
        <v>6</v>
      </c>
      <c r="J182" s="105"/>
      <c r="K182" s="105"/>
      <c r="L182" s="90"/>
      <c r="M182" s="91"/>
      <c r="N182" s="92"/>
      <c r="O182" s="90"/>
      <c r="P182" s="91"/>
      <c r="Q182" s="92"/>
      <c r="R182" s="90"/>
      <c r="S182" s="91"/>
      <c r="T182" s="92"/>
      <c r="U182" s="92"/>
      <c r="V182" s="92"/>
      <c r="W182" s="100"/>
      <c r="X182" s="90"/>
      <c r="Y182" s="99"/>
      <c r="Z182" s="100"/>
    </row>
    <row r="183" spans="1:26" s="93" customFormat="1" ht="19.95" customHeight="1">
      <c r="A183" s="96" t="s">
        <v>1228</v>
      </c>
      <c r="B183" s="102"/>
      <c r="C183" s="98" t="s">
        <v>1232</v>
      </c>
      <c r="D183" s="97">
        <v>1</v>
      </c>
      <c r="E183" s="97">
        <v>10</v>
      </c>
      <c r="F183" s="97">
        <v>0.4</v>
      </c>
      <c r="G183" s="97"/>
      <c r="H183" s="97">
        <v>4</v>
      </c>
      <c r="I183" s="97">
        <v>4</v>
      </c>
      <c r="J183" s="105"/>
      <c r="K183" s="105"/>
      <c r="L183" s="90"/>
      <c r="M183" s="91"/>
      <c r="N183" s="92"/>
      <c r="O183" s="90"/>
      <c r="P183" s="91"/>
      <c r="Q183" s="92"/>
      <c r="R183" s="90"/>
      <c r="S183" s="91"/>
      <c r="T183" s="92"/>
      <c r="U183" s="92"/>
      <c r="V183" s="92"/>
      <c r="W183" s="100"/>
      <c r="X183" s="90"/>
      <c r="Y183" s="99"/>
      <c r="Z183" s="100"/>
    </row>
    <row r="184" spans="1:26" ht="25.2" customHeight="1">
      <c r="A184" s="46" t="s">
        <v>109</v>
      </c>
      <c r="B184" s="156" t="s">
        <v>110</v>
      </c>
      <c r="C184" s="156"/>
      <c r="D184" s="64"/>
      <c r="E184" s="64"/>
      <c r="F184" s="64"/>
      <c r="G184" s="64"/>
      <c r="H184" s="67"/>
      <c r="I184" s="67"/>
      <c r="J184" s="67"/>
      <c r="K184" s="67"/>
      <c r="L184" s="4">
        <v>1</v>
      </c>
      <c r="M184" s="5" t="e">
        <f>TRUNC(L184*#REF!,2)</f>
        <v>#REF!</v>
      </c>
      <c r="N184" s="6" t="e">
        <f>TRUNC(M184*#REF!)+0.2</f>
        <v>#REF!</v>
      </c>
      <c r="O184" s="4"/>
      <c r="P184" s="5"/>
      <c r="Q184" s="6"/>
      <c r="R184" s="4"/>
      <c r="S184" s="5"/>
      <c r="T184" s="6"/>
      <c r="U184" s="6"/>
      <c r="V184" s="6"/>
      <c r="W184" s="37" t="e">
        <f>TRUNC(#REF!*V184)+0</f>
        <v>#REF!</v>
      </c>
      <c r="X184" s="4"/>
      <c r="Y184" s="36" t="e">
        <f>TRUNC(X184*#REF!,2)</f>
        <v>#REF!</v>
      </c>
      <c r="Z184" s="37" t="e">
        <f>TRUNC(Y184*#REF!)+0</f>
        <v>#REF!</v>
      </c>
    </row>
    <row r="185" spans="1:26" ht="49.95" customHeight="1">
      <c r="A185" s="76" t="s">
        <v>111</v>
      </c>
      <c r="B185" s="77">
        <v>96486</v>
      </c>
      <c r="C185" s="85" t="s">
        <v>432</v>
      </c>
      <c r="D185" s="17"/>
      <c r="E185" s="17"/>
      <c r="F185" s="17"/>
      <c r="G185" s="17"/>
      <c r="H185" s="17"/>
      <c r="I185" s="17"/>
      <c r="J185" s="74">
        <v>9.6</v>
      </c>
      <c r="K185" s="69" t="s">
        <v>1205</v>
      </c>
      <c r="L185" s="4"/>
      <c r="M185" s="5"/>
      <c r="N185" s="6"/>
      <c r="O185" s="4"/>
      <c r="P185" s="5"/>
      <c r="Q185" s="6"/>
      <c r="R185" s="4"/>
      <c r="S185" s="5"/>
      <c r="T185" s="6"/>
      <c r="U185" s="6"/>
      <c r="V185" s="6"/>
      <c r="W185" s="37"/>
      <c r="X185" s="4"/>
      <c r="Y185" s="36"/>
      <c r="Z185" s="37"/>
    </row>
    <row r="186" spans="1:26" s="93" customFormat="1" ht="19.95" customHeight="1">
      <c r="A186" s="94" t="s">
        <v>1233</v>
      </c>
      <c r="B186" s="102"/>
      <c r="C186" s="98" t="s">
        <v>869</v>
      </c>
      <c r="D186" s="97">
        <v>1</v>
      </c>
      <c r="E186" s="97">
        <v>3.6</v>
      </c>
      <c r="F186" s="97"/>
      <c r="G186" s="97"/>
      <c r="H186" s="97">
        <v>3.6</v>
      </c>
      <c r="I186" s="97">
        <v>3.6</v>
      </c>
      <c r="J186" s="105"/>
      <c r="K186" s="105"/>
      <c r="L186" s="90"/>
      <c r="M186" s="91"/>
      <c r="N186" s="92"/>
      <c r="O186" s="90"/>
      <c r="P186" s="91"/>
      <c r="Q186" s="92"/>
      <c r="R186" s="90"/>
      <c r="S186" s="91"/>
      <c r="T186" s="92"/>
      <c r="U186" s="92"/>
      <c r="V186" s="92"/>
      <c r="W186" s="100"/>
      <c r="X186" s="90"/>
      <c r="Y186" s="99"/>
      <c r="Z186" s="100"/>
    </row>
    <row r="187" spans="1:26" s="93" customFormat="1" ht="19.95" customHeight="1">
      <c r="A187" s="94" t="s">
        <v>1234</v>
      </c>
      <c r="B187" s="102"/>
      <c r="C187" s="98" t="s">
        <v>1237</v>
      </c>
      <c r="D187" s="97">
        <v>1</v>
      </c>
      <c r="E187" s="97">
        <v>6</v>
      </c>
      <c r="F187" s="97"/>
      <c r="G187" s="97"/>
      <c r="H187" s="97">
        <v>6</v>
      </c>
      <c r="I187" s="97">
        <v>6</v>
      </c>
      <c r="J187" s="105"/>
      <c r="K187" s="105"/>
      <c r="L187" s="90"/>
      <c r="M187" s="91"/>
      <c r="N187" s="92"/>
      <c r="O187" s="90"/>
      <c r="P187" s="91"/>
      <c r="Q187" s="92"/>
      <c r="R187" s="90"/>
      <c r="S187" s="91"/>
      <c r="T187" s="92"/>
      <c r="U187" s="92"/>
      <c r="V187" s="92"/>
      <c r="W187" s="100"/>
      <c r="X187" s="90"/>
      <c r="Y187" s="99"/>
      <c r="Z187" s="100"/>
    </row>
    <row r="188" spans="1:26" ht="49.95" customHeight="1">
      <c r="A188" s="76" t="s">
        <v>112</v>
      </c>
      <c r="B188" s="77">
        <v>96121</v>
      </c>
      <c r="C188" s="85" t="s">
        <v>433</v>
      </c>
      <c r="D188" s="17"/>
      <c r="E188" s="17"/>
      <c r="F188" s="17"/>
      <c r="G188" s="17"/>
      <c r="H188" s="17"/>
      <c r="I188" s="17"/>
      <c r="J188" s="74">
        <v>18.399999999999999</v>
      </c>
      <c r="K188" s="69" t="s">
        <v>38</v>
      </c>
      <c r="L188" s="4"/>
      <c r="M188" s="5"/>
      <c r="N188" s="6"/>
      <c r="O188" s="4"/>
      <c r="P188" s="5"/>
      <c r="Q188" s="6"/>
      <c r="R188" s="4"/>
      <c r="S188" s="5"/>
      <c r="T188" s="6"/>
      <c r="U188" s="6"/>
      <c r="V188" s="6"/>
      <c r="W188" s="37"/>
      <c r="X188" s="4"/>
      <c r="Y188" s="36"/>
      <c r="Z188" s="37"/>
    </row>
    <row r="189" spans="1:26" s="93" customFormat="1" ht="19.95" customHeight="1">
      <c r="A189" s="94" t="s">
        <v>1235</v>
      </c>
      <c r="B189" s="102"/>
      <c r="C189" s="98" t="s">
        <v>1239</v>
      </c>
      <c r="D189" s="97">
        <v>1</v>
      </c>
      <c r="E189" s="97">
        <v>10</v>
      </c>
      <c r="F189" s="97"/>
      <c r="G189" s="97"/>
      <c r="H189" s="97">
        <v>10</v>
      </c>
      <c r="I189" s="97">
        <v>10</v>
      </c>
      <c r="J189" s="105"/>
      <c r="K189" s="105"/>
      <c r="L189" s="90"/>
      <c r="M189" s="91"/>
      <c r="N189" s="92"/>
      <c r="O189" s="90"/>
      <c r="P189" s="91"/>
      <c r="Q189" s="92"/>
      <c r="R189" s="90"/>
      <c r="S189" s="91"/>
      <c r="T189" s="92"/>
      <c r="U189" s="92"/>
      <c r="V189" s="92"/>
      <c r="W189" s="100"/>
      <c r="X189" s="90"/>
      <c r="Y189" s="99"/>
      <c r="Z189" s="100"/>
    </row>
    <row r="190" spans="1:26" s="93" customFormat="1" ht="19.95" customHeight="1">
      <c r="A190" s="94" t="s">
        <v>1236</v>
      </c>
      <c r="B190" s="102"/>
      <c r="C190" s="98" t="s">
        <v>1238</v>
      </c>
      <c r="D190" s="97">
        <v>1</v>
      </c>
      <c r="E190" s="97">
        <v>8.4</v>
      </c>
      <c r="F190" s="97"/>
      <c r="G190" s="97"/>
      <c r="H190" s="97">
        <v>8.4</v>
      </c>
      <c r="I190" s="97">
        <v>8.4</v>
      </c>
      <c r="J190" s="105"/>
      <c r="K190" s="105"/>
      <c r="L190" s="90"/>
      <c r="M190" s="91"/>
      <c r="N190" s="92"/>
      <c r="O190" s="90"/>
      <c r="P190" s="91"/>
      <c r="Q190" s="92"/>
      <c r="R190" s="90"/>
      <c r="S190" s="91"/>
      <c r="T190" s="92"/>
      <c r="U190" s="92"/>
      <c r="V190" s="92"/>
      <c r="W190" s="100"/>
      <c r="X190" s="90"/>
      <c r="Y190" s="99"/>
      <c r="Z190" s="100"/>
    </row>
    <row r="191" spans="1:26" ht="25.2" customHeight="1">
      <c r="A191" s="46" t="s">
        <v>113</v>
      </c>
      <c r="B191" s="156" t="s">
        <v>46</v>
      </c>
      <c r="C191" s="156"/>
      <c r="D191" s="64"/>
      <c r="E191" s="64"/>
      <c r="F191" s="64"/>
      <c r="G191" s="64"/>
      <c r="H191" s="67"/>
      <c r="I191" s="67"/>
      <c r="J191" s="67"/>
      <c r="K191" s="67"/>
      <c r="L191" s="4">
        <v>1</v>
      </c>
      <c r="M191" s="5" t="e">
        <f>TRUNC(L191*#REF!,2)</f>
        <v>#REF!</v>
      </c>
      <c r="N191" s="6" t="e">
        <f>TRUNC(M191*#REF!)+0.2</f>
        <v>#REF!</v>
      </c>
      <c r="O191" s="4"/>
      <c r="P191" s="5"/>
      <c r="Q191" s="6"/>
      <c r="R191" s="4"/>
      <c r="S191" s="5"/>
      <c r="T191" s="6"/>
      <c r="U191" s="6"/>
      <c r="V191" s="6"/>
      <c r="W191" s="37" t="e">
        <f>TRUNC(#REF!*V191)+0</f>
        <v>#REF!</v>
      </c>
      <c r="X191" s="4"/>
      <c r="Y191" s="36" t="e">
        <f>TRUNC(X191*#REF!,2)</f>
        <v>#REF!</v>
      </c>
      <c r="Z191" s="37" t="e">
        <f>TRUNC(Y191*#REF!)+0</f>
        <v>#REF!</v>
      </c>
    </row>
    <row r="192" spans="1:26" ht="49.95" customHeight="1">
      <c r="A192" s="10" t="s">
        <v>827</v>
      </c>
      <c r="B192" s="20">
        <v>95241</v>
      </c>
      <c r="C192" s="73" t="s">
        <v>434</v>
      </c>
      <c r="D192" s="17"/>
      <c r="E192" s="17"/>
      <c r="F192" s="17"/>
      <c r="G192" s="17"/>
      <c r="H192" s="17"/>
      <c r="I192" s="17"/>
      <c r="J192" s="74"/>
      <c r="K192" s="69"/>
      <c r="L192" s="4"/>
      <c r="M192" s="5"/>
      <c r="N192" s="6"/>
      <c r="O192" s="4"/>
      <c r="P192" s="5"/>
      <c r="Q192" s="6"/>
      <c r="R192" s="4"/>
      <c r="S192" s="5"/>
      <c r="T192" s="6"/>
      <c r="U192" s="6"/>
      <c r="V192" s="6"/>
      <c r="W192" s="37"/>
      <c r="X192" s="4"/>
      <c r="Y192" s="36"/>
      <c r="Z192" s="37"/>
    </row>
    <row r="193" spans="1:37" s="93" customFormat="1" ht="19.95" customHeight="1">
      <c r="A193" s="94" t="s">
        <v>875</v>
      </c>
      <c r="B193" s="102"/>
      <c r="C193" s="98" t="s">
        <v>866</v>
      </c>
      <c r="D193" s="97"/>
      <c r="E193" s="97"/>
      <c r="F193" s="97"/>
      <c r="G193" s="97"/>
      <c r="H193" s="97"/>
      <c r="I193" s="97"/>
      <c r="J193" s="105"/>
      <c r="K193" s="105"/>
      <c r="L193" s="90"/>
      <c r="M193" s="91"/>
      <c r="N193" s="92"/>
      <c r="O193" s="90"/>
      <c r="P193" s="91"/>
      <c r="Q193" s="92"/>
      <c r="R193" s="90"/>
      <c r="S193" s="91"/>
      <c r="T193" s="92"/>
      <c r="U193" s="92"/>
      <c r="V193" s="92"/>
      <c r="W193" s="100"/>
      <c r="X193" s="90"/>
      <c r="Y193" s="99"/>
      <c r="Z193" s="100"/>
    </row>
    <row r="194" spans="1:37" s="93" customFormat="1" ht="19.95" customHeight="1">
      <c r="A194" s="94" t="s">
        <v>876</v>
      </c>
      <c r="B194" s="102"/>
      <c r="C194" s="98" t="s">
        <v>869</v>
      </c>
      <c r="D194" s="97"/>
      <c r="E194" s="97"/>
      <c r="F194" s="97"/>
      <c r="G194" s="97"/>
      <c r="H194" s="97"/>
      <c r="I194" s="97"/>
      <c r="J194" s="105"/>
      <c r="K194" s="105"/>
      <c r="L194" s="90"/>
      <c r="M194" s="91"/>
      <c r="N194" s="92"/>
      <c r="O194" s="90"/>
      <c r="P194" s="91"/>
      <c r="Q194" s="92"/>
      <c r="R194" s="90"/>
      <c r="S194" s="91"/>
      <c r="T194" s="92"/>
      <c r="U194" s="92"/>
      <c r="V194" s="92"/>
      <c r="W194" s="100"/>
      <c r="X194" s="90"/>
      <c r="Y194" s="99"/>
      <c r="Z194" s="100"/>
    </row>
    <row r="195" spans="1:37" ht="49.95" customHeight="1">
      <c r="A195" s="10" t="s">
        <v>828</v>
      </c>
      <c r="B195" s="20">
        <v>87622</v>
      </c>
      <c r="C195" s="73" t="s">
        <v>435</v>
      </c>
      <c r="D195" s="17"/>
      <c r="E195" s="17"/>
      <c r="F195" s="17"/>
      <c r="G195" s="17"/>
      <c r="H195" s="17"/>
      <c r="I195" s="17"/>
      <c r="J195" s="106"/>
      <c r="K195" s="105"/>
      <c r="L195" s="4"/>
      <c r="M195" s="5"/>
      <c r="N195" s="6"/>
      <c r="O195" s="4"/>
      <c r="P195" s="5"/>
      <c r="Q195" s="6"/>
      <c r="R195" s="4"/>
      <c r="S195" s="5"/>
      <c r="T195" s="6"/>
      <c r="U195" s="6"/>
      <c r="V195" s="6"/>
      <c r="W195" s="37"/>
      <c r="X195" s="4"/>
      <c r="Y195" s="36"/>
      <c r="Z195" s="37"/>
    </row>
    <row r="196" spans="1:37" s="93" customFormat="1" ht="19.95" customHeight="1">
      <c r="A196" s="94" t="s">
        <v>877</v>
      </c>
      <c r="B196" s="102"/>
      <c r="C196" s="98" t="s">
        <v>866</v>
      </c>
      <c r="D196" s="97"/>
      <c r="E196" s="97"/>
      <c r="F196" s="97"/>
      <c r="G196" s="97"/>
      <c r="H196" s="97"/>
      <c r="I196" s="97"/>
      <c r="J196" s="105"/>
      <c r="K196" s="105"/>
      <c r="L196" s="90"/>
      <c r="M196" s="91"/>
      <c r="N196" s="92"/>
      <c r="O196" s="90"/>
      <c r="P196" s="91"/>
      <c r="Q196" s="92"/>
      <c r="R196" s="90"/>
      <c r="S196" s="91"/>
      <c r="T196" s="92"/>
      <c r="U196" s="92"/>
      <c r="V196" s="92"/>
      <c r="W196" s="100"/>
      <c r="X196" s="90"/>
      <c r="Y196" s="99"/>
      <c r="Z196" s="100"/>
    </row>
    <row r="197" spans="1:37" s="93" customFormat="1" ht="19.95" customHeight="1">
      <c r="A197" s="94" t="s">
        <v>878</v>
      </c>
      <c r="B197" s="102"/>
      <c r="C197" s="98" t="s">
        <v>869</v>
      </c>
      <c r="D197" s="97"/>
      <c r="E197" s="97"/>
      <c r="F197" s="97"/>
      <c r="G197" s="97"/>
      <c r="H197" s="97"/>
      <c r="I197" s="97"/>
      <c r="J197" s="105"/>
      <c r="K197" s="105"/>
      <c r="L197" s="90"/>
      <c r="M197" s="91"/>
      <c r="N197" s="92"/>
      <c r="O197" s="90"/>
      <c r="P197" s="91"/>
      <c r="Q197" s="92"/>
      <c r="R197" s="90"/>
      <c r="S197" s="91"/>
      <c r="T197" s="92"/>
      <c r="U197" s="92"/>
      <c r="V197" s="92"/>
      <c r="W197" s="100"/>
      <c r="X197" s="90"/>
      <c r="Y197" s="99"/>
      <c r="Z197" s="100"/>
    </row>
    <row r="198" spans="1:37" ht="49.95" customHeight="1">
      <c r="A198" s="10" t="s">
        <v>829</v>
      </c>
      <c r="B198" s="52" t="s">
        <v>399</v>
      </c>
      <c r="C198" s="73" t="s">
        <v>427</v>
      </c>
      <c r="D198" s="17"/>
      <c r="E198" s="17"/>
      <c r="F198" s="17"/>
      <c r="G198" s="17"/>
      <c r="H198" s="17"/>
      <c r="I198" s="17"/>
      <c r="J198" s="106">
        <v>9.6</v>
      </c>
      <c r="K198" s="105" t="s">
        <v>1205</v>
      </c>
      <c r="L198" s="4"/>
      <c r="M198" s="5"/>
      <c r="N198" s="6"/>
      <c r="O198" s="4"/>
      <c r="P198" s="5"/>
      <c r="Q198" s="6"/>
      <c r="R198" s="4"/>
      <c r="S198" s="5"/>
      <c r="T198" s="6"/>
      <c r="U198" s="6"/>
      <c r="V198" s="6"/>
      <c r="W198" s="37"/>
      <c r="X198" s="4"/>
      <c r="Y198" s="36"/>
      <c r="Z198" s="37"/>
    </row>
    <row r="199" spans="1:37" s="93" customFormat="1" ht="19.95" customHeight="1">
      <c r="A199" s="94" t="s">
        <v>1240</v>
      </c>
      <c r="B199" s="102"/>
      <c r="C199" s="98" t="s">
        <v>866</v>
      </c>
      <c r="D199" s="97">
        <v>1</v>
      </c>
      <c r="E199" s="97">
        <v>3.6</v>
      </c>
      <c r="F199" s="97"/>
      <c r="G199" s="97"/>
      <c r="H199" s="97">
        <v>3.6</v>
      </c>
      <c r="I199" s="97">
        <v>3.6</v>
      </c>
      <c r="J199" s="105"/>
      <c r="K199" s="105"/>
      <c r="L199" s="90"/>
      <c r="M199" s="91"/>
      <c r="N199" s="92"/>
      <c r="O199" s="90"/>
      <c r="P199" s="91"/>
      <c r="Q199" s="92"/>
      <c r="R199" s="90"/>
      <c r="S199" s="91"/>
      <c r="T199" s="92"/>
      <c r="U199" s="92"/>
      <c r="V199" s="92"/>
      <c r="W199" s="100"/>
      <c r="X199" s="90"/>
      <c r="Y199" s="99"/>
      <c r="Z199" s="100"/>
    </row>
    <row r="200" spans="1:37" s="93" customFormat="1" ht="19.95" customHeight="1">
      <c r="A200" s="94" t="s">
        <v>1241</v>
      </c>
      <c r="B200" s="102"/>
      <c r="C200" s="98" t="s">
        <v>869</v>
      </c>
      <c r="D200" s="97">
        <v>1</v>
      </c>
      <c r="E200" s="97">
        <v>6</v>
      </c>
      <c r="F200" s="97"/>
      <c r="G200" s="97"/>
      <c r="H200" s="97">
        <v>6</v>
      </c>
      <c r="I200" s="97">
        <v>6</v>
      </c>
      <c r="J200" s="105"/>
      <c r="K200" s="105"/>
      <c r="L200" s="90"/>
      <c r="M200" s="91"/>
      <c r="N200" s="92"/>
      <c r="O200" s="90"/>
      <c r="P200" s="91"/>
      <c r="Q200" s="92"/>
      <c r="R200" s="90"/>
      <c r="S200" s="91"/>
      <c r="T200" s="92"/>
      <c r="U200" s="92"/>
      <c r="V200" s="92"/>
      <c r="W200" s="100"/>
      <c r="X200" s="90"/>
      <c r="Y200" s="99"/>
      <c r="Z200" s="100"/>
    </row>
    <row r="201" spans="1:37" ht="25.2" customHeight="1">
      <c r="A201" s="46" t="s">
        <v>114</v>
      </c>
      <c r="B201" s="156" t="s">
        <v>115</v>
      </c>
      <c r="C201" s="156"/>
      <c r="D201" s="64"/>
      <c r="E201" s="64"/>
      <c r="F201" s="64"/>
      <c r="G201" s="64"/>
      <c r="H201" s="67"/>
      <c r="I201" s="67"/>
      <c r="J201" s="67"/>
      <c r="K201" s="67"/>
      <c r="L201" s="4">
        <v>1</v>
      </c>
      <c r="M201" s="5" t="e">
        <f>TRUNC(L201*#REF!,2)</f>
        <v>#REF!</v>
      </c>
      <c r="N201" s="6" t="e">
        <f>TRUNC(M201*#REF!)+0.2</f>
        <v>#REF!</v>
      </c>
      <c r="O201" s="4"/>
      <c r="P201" s="5"/>
      <c r="Q201" s="6"/>
      <c r="R201" s="4"/>
      <c r="S201" s="5"/>
      <c r="T201" s="6"/>
      <c r="U201" s="6"/>
      <c r="V201" s="6"/>
      <c r="W201" s="37" t="e">
        <f>TRUNC(#REF!*V201)+0</f>
        <v>#REF!</v>
      </c>
      <c r="X201" s="4"/>
      <c r="Y201" s="36" t="e">
        <f>TRUNC(X201*#REF!,2)</f>
        <v>#REF!</v>
      </c>
      <c r="Z201" s="37" t="e">
        <f>TRUNC(Y201*#REF!)+0</f>
        <v>#REF!</v>
      </c>
    </row>
    <row r="202" spans="1:37" s="33" customFormat="1" ht="25.2" customHeight="1">
      <c r="A202" s="46" t="s">
        <v>116</v>
      </c>
      <c r="B202" s="156" t="s">
        <v>47</v>
      </c>
      <c r="C202" s="156"/>
      <c r="D202" s="64"/>
      <c r="E202" s="64"/>
      <c r="F202" s="64"/>
      <c r="G202" s="64"/>
      <c r="H202" s="67"/>
      <c r="I202" s="67"/>
      <c r="J202" s="67"/>
      <c r="K202" s="67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</row>
    <row r="203" spans="1:37" ht="49.95" customHeight="1">
      <c r="A203" s="45" t="s">
        <v>117</v>
      </c>
      <c r="B203" s="51">
        <v>102607</v>
      </c>
      <c r="C203" s="73" t="s">
        <v>436</v>
      </c>
      <c r="D203" s="17"/>
      <c r="E203" s="17"/>
      <c r="F203" s="17"/>
      <c r="G203" s="17"/>
      <c r="H203" s="17"/>
      <c r="I203" s="17"/>
      <c r="J203" s="74"/>
      <c r="K203" s="69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spans="1:37" s="93" customFormat="1" ht="19.95" customHeight="1">
      <c r="A204" s="101" t="s">
        <v>884</v>
      </c>
      <c r="B204" s="102"/>
      <c r="C204" s="98" t="s">
        <v>879</v>
      </c>
      <c r="D204" s="97"/>
      <c r="E204" s="97"/>
      <c r="F204" s="97"/>
      <c r="G204" s="97"/>
      <c r="H204" s="97"/>
      <c r="I204" s="97"/>
      <c r="J204" s="105"/>
      <c r="K204" s="105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spans="1:37" ht="49.95" customHeight="1">
      <c r="A205" s="45" t="s">
        <v>118</v>
      </c>
      <c r="B205" s="51">
        <v>94795</v>
      </c>
      <c r="C205" s="73" t="s">
        <v>437</v>
      </c>
      <c r="D205" s="17"/>
      <c r="E205" s="17"/>
      <c r="F205" s="17"/>
      <c r="G205" s="17"/>
      <c r="H205" s="17"/>
      <c r="I205" s="17"/>
      <c r="J205" s="106"/>
      <c r="K205" s="105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spans="1:37" s="93" customFormat="1" ht="19.95" customHeight="1">
      <c r="A206" s="101" t="s">
        <v>885</v>
      </c>
      <c r="B206" s="102"/>
      <c r="C206" s="98" t="s">
        <v>879</v>
      </c>
      <c r="D206" s="97"/>
      <c r="E206" s="97"/>
      <c r="F206" s="97"/>
      <c r="G206" s="97"/>
      <c r="H206" s="97"/>
      <c r="I206" s="97"/>
      <c r="J206" s="105"/>
      <c r="K206" s="105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spans="1:37" ht="49.95" customHeight="1">
      <c r="A207" s="45" t="s">
        <v>119</v>
      </c>
      <c r="B207" s="51">
        <v>86888</v>
      </c>
      <c r="C207" s="73" t="s">
        <v>438</v>
      </c>
      <c r="D207" s="17"/>
      <c r="E207" s="17"/>
      <c r="F207" s="17"/>
      <c r="G207" s="17"/>
      <c r="H207" s="17"/>
      <c r="I207" s="17"/>
      <c r="J207" s="106"/>
      <c r="K207" s="105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spans="1:37" s="93" customFormat="1" ht="19.95" customHeight="1">
      <c r="A208" s="101" t="s">
        <v>886</v>
      </c>
      <c r="B208" s="102"/>
      <c r="C208" s="98" t="s">
        <v>879</v>
      </c>
      <c r="D208" s="97"/>
      <c r="E208" s="97"/>
      <c r="F208" s="97"/>
      <c r="G208" s="97"/>
      <c r="H208" s="97"/>
      <c r="I208" s="97"/>
      <c r="J208" s="105"/>
      <c r="K208" s="105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spans="1:26" ht="49.95" customHeight="1">
      <c r="A209" s="45" t="s">
        <v>120</v>
      </c>
      <c r="B209" s="78">
        <v>1370</v>
      </c>
      <c r="C209" s="73" t="s">
        <v>439</v>
      </c>
      <c r="D209" s="97"/>
      <c r="E209" s="97"/>
      <c r="F209" s="17"/>
      <c r="G209" s="17"/>
      <c r="H209" s="97"/>
      <c r="I209" s="97"/>
      <c r="J209" s="106"/>
      <c r="K209" s="105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spans="1:26" s="93" customFormat="1" ht="19.95" customHeight="1">
      <c r="A210" s="101" t="s">
        <v>887</v>
      </c>
      <c r="B210" s="102"/>
      <c r="C210" s="98" t="s">
        <v>879</v>
      </c>
      <c r="D210" s="97"/>
      <c r="E210" s="97"/>
      <c r="F210" s="97"/>
      <c r="G210" s="97"/>
      <c r="H210" s="97"/>
      <c r="I210" s="97"/>
      <c r="J210" s="105"/>
      <c r="K210" s="105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spans="1:26" ht="49.95" customHeight="1">
      <c r="A211" s="45" t="s">
        <v>121</v>
      </c>
      <c r="B211" s="78">
        <v>10427</v>
      </c>
      <c r="C211" s="73" t="s">
        <v>440</v>
      </c>
      <c r="D211" s="97"/>
      <c r="E211" s="97"/>
      <c r="F211" s="17"/>
      <c r="G211" s="17"/>
      <c r="H211" s="97"/>
      <c r="I211" s="97"/>
      <c r="J211" s="106"/>
      <c r="K211" s="105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spans="1:26" s="93" customFormat="1" ht="19.95" customHeight="1">
      <c r="A212" s="101" t="s">
        <v>888</v>
      </c>
      <c r="B212" s="102"/>
      <c r="C212" s="98" t="s">
        <v>879</v>
      </c>
      <c r="D212" s="97"/>
      <c r="E212" s="97"/>
      <c r="F212" s="97"/>
      <c r="G212" s="97"/>
      <c r="H212" s="97"/>
      <c r="I212" s="97"/>
      <c r="J212" s="105"/>
      <c r="K212" s="105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spans="1:26" ht="49.95" customHeight="1">
      <c r="A213" s="45" t="s">
        <v>122</v>
      </c>
      <c r="B213" s="78">
        <v>6136</v>
      </c>
      <c r="C213" s="73" t="s">
        <v>441</v>
      </c>
      <c r="D213" s="97"/>
      <c r="E213" s="97"/>
      <c r="F213" s="17"/>
      <c r="G213" s="17"/>
      <c r="H213" s="97"/>
      <c r="I213" s="97"/>
      <c r="J213" s="106"/>
      <c r="K213" s="105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spans="1:26" s="93" customFormat="1" ht="19.95" customHeight="1">
      <c r="A214" s="101" t="s">
        <v>889</v>
      </c>
      <c r="B214" s="102"/>
      <c r="C214" s="98" t="s">
        <v>879</v>
      </c>
      <c r="D214" s="97"/>
      <c r="E214" s="97"/>
      <c r="F214" s="97"/>
      <c r="G214" s="97"/>
      <c r="H214" s="97"/>
      <c r="I214" s="97"/>
      <c r="J214" s="105"/>
      <c r="K214" s="105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spans="1:26" ht="49.95" customHeight="1">
      <c r="A215" s="45" t="s">
        <v>123</v>
      </c>
      <c r="B215" s="51">
        <v>86886</v>
      </c>
      <c r="C215" s="73" t="s">
        <v>442</v>
      </c>
      <c r="D215" s="97"/>
      <c r="E215" s="97"/>
      <c r="F215" s="17"/>
      <c r="G215" s="17"/>
      <c r="H215" s="97"/>
      <c r="I215" s="97"/>
      <c r="J215" s="106"/>
      <c r="K215" s="105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spans="1:26" s="93" customFormat="1" ht="19.95" customHeight="1">
      <c r="A216" s="101" t="s">
        <v>890</v>
      </c>
      <c r="B216" s="102"/>
      <c r="C216" s="98" t="s">
        <v>879</v>
      </c>
      <c r="D216" s="97"/>
      <c r="E216" s="97"/>
      <c r="F216" s="97"/>
      <c r="G216" s="97"/>
      <c r="H216" s="97"/>
      <c r="I216" s="97"/>
      <c r="J216" s="105"/>
      <c r="K216" s="105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spans="1:26" ht="49.95" customHeight="1">
      <c r="A217" s="45" t="s">
        <v>124</v>
      </c>
      <c r="B217" s="51">
        <v>86936</v>
      </c>
      <c r="C217" s="73" t="s">
        <v>443</v>
      </c>
      <c r="D217" s="97"/>
      <c r="E217" s="97"/>
      <c r="F217" s="17"/>
      <c r="G217" s="17"/>
      <c r="H217" s="97"/>
      <c r="I217" s="97"/>
      <c r="J217" s="106"/>
      <c r="K217" s="105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spans="1:26" s="93" customFormat="1" ht="19.95" customHeight="1">
      <c r="A218" s="101" t="s">
        <v>891</v>
      </c>
      <c r="B218" s="102"/>
      <c r="C218" s="98" t="s">
        <v>880</v>
      </c>
      <c r="D218" s="97"/>
      <c r="E218" s="97"/>
      <c r="F218" s="97"/>
      <c r="G218" s="97"/>
      <c r="H218" s="97"/>
      <c r="I218" s="97"/>
      <c r="J218" s="105"/>
      <c r="K218" s="105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spans="1:26" ht="49.95" customHeight="1">
      <c r="A219" s="45" t="s">
        <v>125</v>
      </c>
      <c r="B219" s="51">
        <v>86911</v>
      </c>
      <c r="C219" s="73" t="s">
        <v>444</v>
      </c>
      <c r="D219" s="97"/>
      <c r="E219" s="97"/>
      <c r="F219" s="17"/>
      <c r="G219" s="17"/>
      <c r="H219" s="97"/>
      <c r="I219" s="97"/>
      <c r="J219" s="106"/>
      <c r="K219" s="105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spans="1:26" s="93" customFormat="1" ht="19.95" customHeight="1">
      <c r="A220" s="101" t="s">
        <v>892</v>
      </c>
      <c r="B220" s="102"/>
      <c r="C220" s="98" t="s">
        <v>880</v>
      </c>
      <c r="D220" s="97"/>
      <c r="E220" s="97"/>
      <c r="F220" s="97"/>
      <c r="G220" s="97"/>
      <c r="H220" s="97"/>
      <c r="I220" s="97"/>
      <c r="J220" s="105"/>
      <c r="K220" s="105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spans="1:26" ht="49.95" customHeight="1">
      <c r="A221" s="45" t="s">
        <v>126</v>
      </c>
      <c r="B221" s="78">
        <v>13983</v>
      </c>
      <c r="C221" s="73" t="s">
        <v>445</v>
      </c>
      <c r="D221" s="97"/>
      <c r="E221" s="97"/>
      <c r="F221" s="17"/>
      <c r="G221" s="17"/>
      <c r="H221" s="97"/>
      <c r="I221" s="97"/>
      <c r="J221" s="106"/>
      <c r="K221" s="105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spans="1:26" s="93" customFormat="1" ht="19.95" customHeight="1">
      <c r="A222" s="101" t="s">
        <v>893</v>
      </c>
      <c r="B222" s="102"/>
      <c r="C222" s="98" t="s">
        <v>880</v>
      </c>
      <c r="D222" s="97"/>
      <c r="E222" s="97"/>
      <c r="F222" s="97"/>
      <c r="G222" s="97"/>
      <c r="H222" s="97"/>
      <c r="I222" s="97"/>
      <c r="J222" s="105"/>
      <c r="K222" s="105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spans="1:26" ht="49.95" customHeight="1">
      <c r="A223" s="45" t="s">
        <v>127</v>
      </c>
      <c r="B223" s="51">
        <v>89987</v>
      </c>
      <c r="C223" s="73" t="s">
        <v>446</v>
      </c>
      <c r="D223" s="97"/>
      <c r="E223" s="17"/>
      <c r="F223" s="17"/>
      <c r="G223" s="17"/>
      <c r="H223" s="17"/>
      <c r="I223" s="17"/>
      <c r="J223" s="74"/>
      <c r="K223" s="105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spans="1:26" s="93" customFormat="1" ht="19.95" customHeight="1">
      <c r="A224" s="101" t="s">
        <v>894</v>
      </c>
      <c r="B224" s="102"/>
      <c r="C224" s="98" t="s">
        <v>881</v>
      </c>
      <c r="D224" s="97"/>
      <c r="E224" s="97"/>
      <c r="F224" s="97"/>
      <c r="G224" s="97"/>
      <c r="H224" s="104"/>
      <c r="I224" s="104"/>
      <c r="J224" s="105"/>
      <c r="K224" s="105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spans="1:26" ht="49.95" customHeight="1">
      <c r="A225" s="45" t="s">
        <v>128</v>
      </c>
      <c r="B225" s="51">
        <v>94492</v>
      </c>
      <c r="C225" s="73" t="s">
        <v>447</v>
      </c>
      <c r="D225" s="97"/>
      <c r="E225" s="17"/>
      <c r="F225" s="17"/>
      <c r="G225" s="17"/>
      <c r="H225" s="97"/>
      <c r="I225" s="97"/>
      <c r="J225" s="106"/>
      <c r="K225" s="105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spans="1:26" s="93" customFormat="1" ht="19.95" customHeight="1">
      <c r="A226" s="101" t="s">
        <v>895</v>
      </c>
      <c r="B226" s="102"/>
      <c r="C226" s="98" t="s">
        <v>881</v>
      </c>
      <c r="D226" s="97"/>
      <c r="E226" s="97"/>
      <c r="F226" s="97"/>
      <c r="G226" s="97"/>
      <c r="H226" s="104"/>
      <c r="I226" s="104"/>
      <c r="J226" s="105"/>
      <c r="K226" s="105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spans="1:26" ht="49.95" customHeight="1">
      <c r="A227" s="45" t="s">
        <v>129</v>
      </c>
      <c r="B227" s="51">
        <v>94489</v>
      </c>
      <c r="C227" s="73" t="s">
        <v>448</v>
      </c>
      <c r="D227" s="97"/>
      <c r="E227" s="17"/>
      <c r="F227" s="17"/>
      <c r="G227" s="17"/>
      <c r="H227" s="97"/>
      <c r="I227" s="97"/>
      <c r="J227" s="106"/>
      <c r="K227" s="105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spans="1:26" s="93" customFormat="1" ht="19.95" customHeight="1">
      <c r="A228" s="101" t="s">
        <v>896</v>
      </c>
      <c r="B228" s="102"/>
      <c r="C228" s="98" t="s">
        <v>881</v>
      </c>
      <c r="D228" s="97"/>
      <c r="E228" s="97"/>
      <c r="F228" s="97"/>
      <c r="G228" s="97"/>
      <c r="H228" s="97"/>
      <c r="I228" s="97"/>
      <c r="J228" s="105"/>
      <c r="K228" s="105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spans="1:26" ht="49.95" customHeight="1">
      <c r="A229" s="45" t="s">
        <v>130</v>
      </c>
      <c r="B229" s="51">
        <v>94656</v>
      </c>
      <c r="C229" s="73" t="s">
        <v>449</v>
      </c>
      <c r="D229" s="97"/>
      <c r="E229" s="17"/>
      <c r="F229" s="17"/>
      <c r="G229" s="17"/>
      <c r="H229" s="97"/>
      <c r="I229" s="97"/>
      <c r="J229" s="106"/>
      <c r="K229" s="105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spans="1:26" s="93" customFormat="1" ht="19.95" customHeight="1">
      <c r="A230" s="101" t="s">
        <v>897</v>
      </c>
      <c r="B230" s="102"/>
      <c r="C230" s="98" t="s">
        <v>882</v>
      </c>
      <c r="D230" s="97"/>
      <c r="E230" s="97"/>
      <c r="F230" s="97"/>
      <c r="G230" s="97"/>
      <c r="H230" s="104"/>
      <c r="I230" s="104"/>
      <c r="J230" s="105"/>
      <c r="K230" s="105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spans="1:26" ht="49.95" customHeight="1">
      <c r="A231" s="45" t="s">
        <v>131</v>
      </c>
      <c r="B231" s="51">
        <v>103966</v>
      </c>
      <c r="C231" s="73" t="s">
        <v>450</v>
      </c>
      <c r="D231" s="97"/>
      <c r="E231" s="17"/>
      <c r="F231" s="17"/>
      <c r="G231" s="17"/>
      <c r="H231" s="97"/>
      <c r="I231" s="97"/>
      <c r="J231" s="106"/>
      <c r="K231" s="105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spans="1:26" s="93" customFormat="1" ht="19.95" customHeight="1">
      <c r="A232" s="101" t="s">
        <v>898</v>
      </c>
      <c r="B232" s="102"/>
      <c r="C232" s="98" t="s">
        <v>882</v>
      </c>
      <c r="D232" s="97"/>
      <c r="E232" s="97"/>
      <c r="F232" s="97"/>
      <c r="G232" s="97"/>
      <c r="H232" s="97"/>
      <c r="I232" s="97"/>
      <c r="J232" s="105"/>
      <c r="K232" s="105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spans="1:26" ht="49.95" customHeight="1">
      <c r="A233" s="45" t="s">
        <v>132</v>
      </c>
      <c r="B233" s="51">
        <v>89364</v>
      </c>
      <c r="C233" s="73" t="s">
        <v>451</v>
      </c>
      <c r="D233" s="97"/>
      <c r="E233" s="17"/>
      <c r="F233" s="17"/>
      <c r="G233" s="17"/>
      <c r="H233" s="17"/>
      <c r="I233" s="17"/>
      <c r="J233" s="74"/>
      <c r="K233" s="105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spans="1:26" s="93" customFormat="1" ht="19.95" customHeight="1">
      <c r="A234" s="101" t="s">
        <v>899</v>
      </c>
      <c r="B234" s="102"/>
      <c r="C234" s="98" t="s">
        <v>882</v>
      </c>
      <c r="D234" s="97"/>
      <c r="E234" s="97"/>
      <c r="F234" s="97"/>
      <c r="G234" s="97"/>
      <c r="H234" s="104"/>
      <c r="I234" s="104"/>
      <c r="J234" s="105"/>
      <c r="K234" s="105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spans="1:26" ht="49.95" customHeight="1">
      <c r="A235" s="101" t="s">
        <v>133</v>
      </c>
      <c r="B235" s="51">
        <v>103986</v>
      </c>
      <c r="C235" s="73" t="s">
        <v>452</v>
      </c>
      <c r="D235" s="97"/>
      <c r="E235" s="17"/>
      <c r="F235" s="17"/>
      <c r="G235" s="17"/>
      <c r="H235" s="17"/>
      <c r="I235" s="17"/>
      <c r="J235" s="74"/>
      <c r="K235" s="105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spans="1:26" s="93" customFormat="1" ht="19.95" customHeight="1">
      <c r="A236" s="101" t="s">
        <v>900</v>
      </c>
      <c r="B236" s="102"/>
      <c r="C236" s="98" t="s">
        <v>882</v>
      </c>
      <c r="D236" s="97"/>
      <c r="E236" s="97"/>
      <c r="F236" s="97"/>
      <c r="G236" s="97"/>
      <c r="H236" s="104"/>
      <c r="I236" s="104"/>
      <c r="J236" s="105"/>
      <c r="K236" s="105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spans="1:26" ht="49.95" customHeight="1">
      <c r="A237" s="45" t="s">
        <v>134</v>
      </c>
      <c r="B237" s="51">
        <v>89363</v>
      </c>
      <c r="C237" s="73" t="s">
        <v>453</v>
      </c>
      <c r="D237" s="97"/>
      <c r="E237" s="17"/>
      <c r="F237" s="17"/>
      <c r="G237" s="17"/>
      <c r="H237" s="17"/>
      <c r="I237" s="17"/>
      <c r="J237" s="74"/>
      <c r="K237" s="105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spans="1:26" s="93" customFormat="1" ht="19.95" customHeight="1">
      <c r="A238" s="101" t="s">
        <v>901</v>
      </c>
      <c r="B238" s="102"/>
      <c r="C238" s="98" t="s">
        <v>882</v>
      </c>
      <c r="D238" s="97"/>
      <c r="E238" s="97"/>
      <c r="F238" s="97"/>
      <c r="G238" s="97"/>
      <c r="H238" s="104"/>
      <c r="I238" s="104"/>
      <c r="J238" s="105"/>
      <c r="K238" s="105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spans="1:26" ht="49.95" customHeight="1">
      <c r="A239" s="45" t="s">
        <v>135</v>
      </c>
      <c r="B239" s="51">
        <v>89408</v>
      </c>
      <c r="C239" s="73" t="s">
        <v>454</v>
      </c>
      <c r="D239" s="97"/>
      <c r="E239" s="17"/>
      <c r="F239" s="17"/>
      <c r="G239" s="17"/>
      <c r="H239" s="97"/>
      <c r="I239" s="97"/>
      <c r="J239" s="106"/>
      <c r="K239" s="105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spans="1:26" s="93" customFormat="1" ht="19.95" customHeight="1">
      <c r="A240" s="101" t="s">
        <v>902</v>
      </c>
      <c r="B240" s="102"/>
      <c r="C240" s="98" t="s">
        <v>882</v>
      </c>
      <c r="D240" s="97"/>
      <c r="E240" s="97"/>
      <c r="F240" s="97"/>
      <c r="G240" s="97"/>
      <c r="H240" s="104"/>
      <c r="I240" s="104"/>
      <c r="J240" s="105"/>
      <c r="K240" s="105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spans="1:26" ht="49.95" customHeight="1">
      <c r="A241" s="45" t="s">
        <v>136</v>
      </c>
      <c r="B241" s="51">
        <v>89731</v>
      </c>
      <c r="C241" s="73" t="s">
        <v>455</v>
      </c>
      <c r="D241" s="97"/>
      <c r="E241" s="17"/>
      <c r="F241" s="17"/>
      <c r="G241" s="17"/>
      <c r="H241" s="17"/>
      <c r="I241" s="17"/>
      <c r="J241" s="74"/>
      <c r="K241" s="105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spans="1:26" s="93" customFormat="1" ht="19.95" customHeight="1">
      <c r="A242" s="101" t="s">
        <v>903</v>
      </c>
      <c r="B242" s="102"/>
      <c r="C242" s="98" t="s">
        <v>882</v>
      </c>
      <c r="D242" s="97"/>
      <c r="E242" s="97"/>
      <c r="F242" s="97"/>
      <c r="G242" s="97"/>
      <c r="H242" s="104"/>
      <c r="I242" s="104"/>
      <c r="J242" s="105"/>
      <c r="K242" s="105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spans="1:26" ht="49.95" customHeight="1">
      <c r="A243" s="45" t="s">
        <v>137</v>
      </c>
      <c r="B243" s="51">
        <v>105189</v>
      </c>
      <c r="C243" s="73" t="s">
        <v>456</v>
      </c>
      <c r="D243" s="97"/>
      <c r="E243" s="17"/>
      <c r="F243" s="17"/>
      <c r="G243" s="17"/>
      <c r="H243" s="17"/>
      <c r="I243" s="17"/>
      <c r="J243" s="74"/>
      <c r="K243" s="105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spans="1:26" s="93" customFormat="1" ht="19.95" customHeight="1">
      <c r="A244" s="101" t="s">
        <v>904</v>
      </c>
      <c r="B244" s="102"/>
      <c r="C244" s="98" t="s">
        <v>882</v>
      </c>
      <c r="D244" s="97"/>
      <c r="E244" s="97"/>
      <c r="F244" s="97"/>
      <c r="G244" s="97"/>
      <c r="H244" s="104"/>
      <c r="I244" s="104"/>
      <c r="J244" s="105"/>
      <c r="K244" s="105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spans="1:26" ht="49.95" customHeight="1">
      <c r="A245" s="45" t="s">
        <v>138</v>
      </c>
      <c r="B245" s="51">
        <v>89617</v>
      </c>
      <c r="C245" s="73" t="s">
        <v>457</v>
      </c>
      <c r="D245" s="97"/>
      <c r="E245" s="17"/>
      <c r="F245" s="17"/>
      <c r="G245" s="17"/>
      <c r="H245" s="17"/>
      <c r="I245" s="17"/>
      <c r="J245" s="74"/>
      <c r="K245" s="105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spans="1:26" s="93" customFormat="1" ht="19.95" customHeight="1">
      <c r="A246" s="101" t="s">
        <v>905</v>
      </c>
      <c r="B246" s="102"/>
      <c r="C246" s="98" t="s">
        <v>882</v>
      </c>
      <c r="D246" s="97"/>
      <c r="E246" s="97"/>
      <c r="F246" s="97"/>
      <c r="G246" s="97"/>
      <c r="H246" s="104"/>
      <c r="I246" s="104"/>
      <c r="J246" s="105"/>
      <c r="K246" s="105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spans="1:26" ht="49.95" customHeight="1">
      <c r="A247" s="45" t="s">
        <v>139</v>
      </c>
      <c r="B247" s="51">
        <v>94694</v>
      </c>
      <c r="C247" s="73" t="s">
        <v>458</v>
      </c>
      <c r="D247" s="97"/>
      <c r="E247" s="17"/>
      <c r="F247" s="17"/>
      <c r="G247" s="17"/>
      <c r="H247" s="17"/>
      <c r="I247" s="17"/>
      <c r="J247" s="74"/>
      <c r="K247" s="105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spans="1:26" s="93" customFormat="1" ht="19.95" customHeight="1">
      <c r="A248" s="101" t="s">
        <v>906</v>
      </c>
      <c r="B248" s="102"/>
      <c r="C248" s="98" t="s">
        <v>882</v>
      </c>
      <c r="D248" s="97"/>
      <c r="E248" s="97"/>
      <c r="F248" s="97"/>
      <c r="G248" s="97"/>
      <c r="H248" s="104"/>
      <c r="I248" s="104"/>
      <c r="J248" s="105"/>
      <c r="K248" s="105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spans="1:26" ht="49.95" customHeight="1">
      <c r="A249" s="45" t="s">
        <v>140</v>
      </c>
      <c r="B249" s="51">
        <v>89446</v>
      </c>
      <c r="C249" s="73" t="s">
        <v>459</v>
      </c>
      <c r="D249" s="97"/>
      <c r="E249" s="17"/>
      <c r="F249" s="17"/>
      <c r="G249" s="17"/>
      <c r="H249" s="17"/>
      <c r="I249" s="17"/>
      <c r="J249" s="74"/>
      <c r="K249" s="69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spans="1:26" s="93" customFormat="1" ht="19.95" customHeight="1">
      <c r="A250" s="101" t="s">
        <v>907</v>
      </c>
      <c r="B250" s="102"/>
      <c r="C250" s="98" t="s">
        <v>883</v>
      </c>
      <c r="D250" s="97"/>
      <c r="E250" s="97"/>
      <c r="F250" s="97"/>
      <c r="G250" s="97"/>
      <c r="H250" s="97"/>
      <c r="I250" s="97"/>
      <c r="J250" s="105"/>
      <c r="K250" s="105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spans="1:26" ht="49.95" customHeight="1">
      <c r="A251" s="45" t="s">
        <v>141</v>
      </c>
      <c r="B251" s="51">
        <v>89449</v>
      </c>
      <c r="C251" s="73" t="s">
        <v>460</v>
      </c>
      <c r="D251" s="97"/>
      <c r="E251" s="17"/>
      <c r="F251" s="17"/>
      <c r="G251" s="17"/>
      <c r="H251" s="17"/>
      <c r="I251" s="17"/>
      <c r="J251" s="74"/>
      <c r="K251" s="105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spans="1:26" s="93" customFormat="1" ht="19.95" customHeight="1">
      <c r="A252" s="101" t="s">
        <v>908</v>
      </c>
      <c r="B252" s="102"/>
      <c r="C252" s="98" t="s">
        <v>883</v>
      </c>
      <c r="D252" s="97"/>
      <c r="E252" s="97"/>
      <c r="F252" s="97"/>
      <c r="G252" s="97"/>
      <c r="H252" s="97"/>
      <c r="I252" s="97"/>
      <c r="J252" s="105"/>
      <c r="K252" s="105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spans="1:26" ht="25.2" customHeight="1">
      <c r="A253" s="46" t="s">
        <v>142</v>
      </c>
      <c r="B253" s="156" t="s">
        <v>143</v>
      </c>
      <c r="C253" s="156"/>
      <c r="D253" s="64"/>
      <c r="E253" s="64"/>
      <c r="F253" s="64"/>
      <c r="G253" s="64"/>
      <c r="H253" s="67"/>
      <c r="I253" s="67"/>
      <c r="J253" s="67"/>
      <c r="K253" s="67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spans="1:26" ht="49.95" customHeight="1">
      <c r="A254" s="16" t="s">
        <v>144</v>
      </c>
      <c r="B254" s="20">
        <v>91914</v>
      </c>
      <c r="C254" s="86" t="s">
        <v>481</v>
      </c>
      <c r="D254" s="97"/>
      <c r="E254" s="17"/>
      <c r="F254" s="17"/>
      <c r="G254" s="17"/>
      <c r="H254" s="17"/>
      <c r="I254" s="17"/>
      <c r="J254" s="74"/>
      <c r="K254" s="69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spans="1:26" s="93" customFormat="1" ht="19.95" customHeight="1">
      <c r="A255" s="96" t="s">
        <v>912</v>
      </c>
      <c r="B255" s="102"/>
      <c r="C255" s="98"/>
      <c r="D255" s="97"/>
      <c r="E255" s="97"/>
      <c r="F255" s="97"/>
      <c r="G255" s="97"/>
      <c r="H255" s="104"/>
      <c r="I255" s="104"/>
      <c r="J255" s="105"/>
      <c r="K255" s="105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spans="1:26" ht="49.95" customHeight="1">
      <c r="A256" s="16" t="s">
        <v>145</v>
      </c>
      <c r="B256" s="20">
        <v>91884</v>
      </c>
      <c r="C256" s="86" t="s">
        <v>482</v>
      </c>
      <c r="D256" s="97"/>
      <c r="E256" s="17"/>
      <c r="F256" s="17"/>
      <c r="G256" s="17"/>
      <c r="H256" s="17"/>
      <c r="I256" s="17"/>
      <c r="J256" s="74"/>
      <c r="K256" s="105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spans="1:26" s="93" customFormat="1" ht="19.95" customHeight="1">
      <c r="A257" s="96" t="s">
        <v>913</v>
      </c>
      <c r="B257" s="102"/>
      <c r="C257" s="98"/>
      <c r="D257" s="97"/>
      <c r="E257" s="97"/>
      <c r="F257" s="97"/>
      <c r="G257" s="97"/>
      <c r="H257" s="104"/>
      <c r="I257" s="104"/>
      <c r="J257" s="105"/>
      <c r="K257" s="105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spans="1:26" ht="49.95" customHeight="1">
      <c r="A258" s="16" t="s">
        <v>146</v>
      </c>
      <c r="B258" s="53">
        <v>39470</v>
      </c>
      <c r="C258" s="86" t="s">
        <v>463</v>
      </c>
      <c r="D258" s="97"/>
      <c r="E258" s="17"/>
      <c r="F258" s="17"/>
      <c r="G258" s="17"/>
      <c r="H258" s="17"/>
      <c r="I258" s="17"/>
      <c r="J258" s="74"/>
      <c r="K258" s="105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spans="1:26" s="93" customFormat="1" ht="19.95" customHeight="1">
      <c r="A259" s="96" t="s">
        <v>914</v>
      </c>
      <c r="B259" s="102"/>
      <c r="C259" s="98"/>
      <c r="D259" s="97"/>
      <c r="E259" s="97"/>
      <c r="F259" s="97"/>
      <c r="G259" s="97"/>
      <c r="H259" s="104"/>
      <c r="I259" s="104"/>
      <c r="J259" s="105"/>
      <c r="K259" s="105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spans="1:26" ht="49.95" customHeight="1">
      <c r="A260" s="16" t="s">
        <v>147</v>
      </c>
      <c r="B260" s="20">
        <v>16</v>
      </c>
      <c r="C260" s="86" t="s">
        <v>464</v>
      </c>
      <c r="D260" s="97"/>
      <c r="E260" s="17"/>
      <c r="F260" s="17"/>
      <c r="G260" s="17"/>
      <c r="H260" s="17"/>
      <c r="I260" s="17"/>
      <c r="J260" s="74"/>
      <c r="K260" s="105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spans="1:26" s="93" customFormat="1" ht="19.95" customHeight="1">
      <c r="A261" s="96" t="s">
        <v>915</v>
      </c>
      <c r="B261" s="102"/>
      <c r="C261" s="98"/>
      <c r="D261" s="97"/>
      <c r="E261" s="97"/>
      <c r="F261" s="97"/>
      <c r="G261" s="97"/>
      <c r="H261" s="97"/>
      <c r="I261" s="97"/>
      <c r="J261" s="105"/>
      <c r="K261" s="105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spans="1:26" ht="49.95" customHeight="1">
      <c r="A262" s="16" t="s">
        <v>148</v>
      </c>
      <c r="B262" s="20">
        <v>93653</v>
      </c>
      <c r="C262" s="86" t="s">
        <v>465</v>
      </c>
      <c r="D262" s="97"/>
      <c r="E262" s="17"/>
      <c r="F262" s="17"/>
      <c r="G262" s="17"/>
      <c r="H262" s="17"/>
      <c r="I262" s="17"/>
      <c r="J262" s="74"/>
      <c r="K262" s="105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spans="1:26" s="93" customFormat="1" ht="19.95" customHeight="1">
      <c r="A263" s="96" t="s">
        <v>916</v>
      </c>
      <c r="B263" s="102"/>
      <c r="C263" s="98"/>
      <c r="D263" s="97"/>
      <c r="E263" s="97"/>
      <c r="F263" s="97"/>
      <c r="G263" s="97"/>
      <c r="H263" s="97"/>
      <c r="I263" s="97"/>
      <c r="J263" s="105"/>
      <c r="K263" s="105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spans="1:26" ht="49.95" customHeight="1">
      <c r="A264" s="16" t="s">
        <v>149</v>
      </c>
      <c r="B264" s="20">
        <v>93654</v>
      </c>
      <c r="C264" s="86" t="s">
        <v>466</v>
      </c>
      <c r="D264" s="97"/>
      <c r="E264" s="17"/>
      <c r="F264" s="17"/>
      <c r="G264" s="17"/>
      <c r="H264" s="17"/>
      <c r="I264" s="17"/>
      <c r="J264" s="74"/>
      <c r="K264" s="105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spans="1:26" s="93" customFormat="1" ht="19.95" customHeight="1">
      <c r="A265" s="96" t="s">
        <v>917</v>
      </c>
      <c r="B265" s="102"/>
      <c r="C265" s="98"/>
      <c r="D265" s="97"/>
      <c r="E265" s="97"/>
      <c r="F265" s="97"/>
      <c r="G265" s="97"/>
      <c r="H265" s="97"/>
      <c r="I265" s="97"/>
      <c r="J265" s="105"/>
      <c r="K265" s="105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spans="1:26" ht="49.95" customHeight="1">
      <c r="A266" s="16" t="s">
        <v>150</v>
      </c>
      <c r="B266" s="20">
        <v>93657</v>
      </c>
      <c r="C266" s="86" t="s">
        <v>467</v>
      </c>
      <c r="D266" s="97"/>
      <c r="E266" s="17"/>
      <c r="F266" s="17"/>
      <c r="G266" s="17"/>
      <c r="H266" s="17"/>
      <c r="I266" s="17"/>
      <c r="J266" s="74"/>
      <c r="K266" s="105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spans="1:26" s="93" customFormat="1" ht="19.95" customHeight="1">
      <c r="A267" s="96" t="s">
        <v>918</v>
      </c>
      <c r="B267" s="102"/>
      <c r="C267" s="98"/>
      <c r="D267" s="97"/>
      <c r="E267" s="97"/>
      <c r="F267" s="97"/>
      <c r="G267" s="97"/>
      <c r="H267" s="97"/>
      <c r="I267" s="97"/>
      <c r="J267" s="105"/>
      <c r="K267" s="105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spans="1:26" ht="49.95" customHeight="1">
      <c r="A268" s="16" t="s">
        <v>151</v>
      </c>
      <c r="B268" s="20">
        <v>91953</v>
      </c>
      <c r="C268" s="86" t="s">
        <v>468</v>
      </c>
      <c r="D268" s="97"/>
      <c r="E268" s="17"/>
      <c r="F268" s="17"/>
      <c r="G268" s="17"/>
      <c r="H268" s="17"/>
      <c r="I268" s="17"/>
      <c r="J268" s="74"/>
      <c r="K268" s="105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spans="1:26" s="93" customFormat="1" ht="19.95" customHeight="1">
      <c r="A269" s="96" t="s">
        <v>919</v>
      </c>
      <c r="B269" s="102"/>
      <c r="C269" s="98"/>
      <c r="D269" s="97"/>
      <c r="E269" s="97"/>
      <c r="F269" s="97"/>
      <c r="G269" s="97"/>
      <c r="H269" s="97"/>
      <c r="I269" s="97"/>
      <c r="J269" s="105"/>
      <c r="K269" s="105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spans="1:26" ht="49.95" customHeight="1">
      <c r="A270" s="16" t="s">
        <v>152</v>
      </c>
      <c r="B270" s="20">
        <v>91967</v>
      </c>
      <c r="C270" s="86" t="s">
        <v>469</v>
      </c>
      <c r="D270" s="97"/>
      <c r="E270" s="17"/>
      <c r="F270" s="17"/>
      <c r="G270" s="17"/>
      <c r="H270" s="17"/>
      <c r="I270" s="17"/>
      <c r="J270" s="74"/>
      <c r="K270" s="105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spans="1:26" s="93" customFormat="1" ht="19.95" customHeight="1">
      <c r="A271" s="96" t="s">
        <v>920</v>
      </c>
      <c r="B271" s="102"/>
      <c r="C271" s="98"/>
      <c r="D271" s="97"/>
      <c r="E271" s="97"/>
      <c r="F271" s="97"/>
      <c r="G271" s="97"/>
      <c r="H271" s="97"/>
      <c r="I271" s="97"/>
      <c r="J271" s="105"/>
      <c r="K271" s="105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spans="1:26" ht="49.95" customHeight="1">
      <c r="A272" s="16" t="s">
        <v>153</v>
      </c>
      <c r="B272" s="20">
        <v>101876</v>
      </c>
      <c r="C272" s="86" t="s">
        <v>483</v>
      </c>
      <c r="D272" s="97"/>
      <c r="E272" s="17"/>
      <c r="F272" s="17"/>
      <c r="G272" s="17"/>
      <c r="H272" s="17"/>
      <c r="I272" s="17"/>
      <c r="J272" s="74"/>
      <c r="K272" s="105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spans="1:26" s="93" customFormat="1" ht="19.95" customHeight="1">
      <c r="A273" s="96" t="s">
        <v>921</v>
      </c>
      <c r="B273" s="102"/>
      <c r="C273" s="98"/>
      <c r="D273" s="97"/>
      <c r="E273" s="97"/>
      <c r="F273" s="97"/>
      <c r="G273" s="97"/>
      <c r="H273" s="97"/>
      <c r="I273" s="97"/>
      <c r="J273" s="105"/>
      <c r="K273" s="105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spans="1:26" ht="49.95" customHeight="1">
      <c r="A274" s="16" t="s">
        <v>154</v>
      </c>
      <c r="B274" s="20">
        <v>97886</v>
      </c>
      <c r="C274" s="86" t="s">
        <v>470</v>
      </c>
      <c r="D274" s="97"/>
      <c r="E274" s="17"/>
      <c r="F274" s="17"/>
      <c r="G274" s="17"/>
      <c r="H274" s="17"/>
      <c r="I274" s="17"/>
      <c r="J274" s="74"/>
      <c r="K274" s="105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spans="1:26" s="93" customFormat="1" ht="19.95" customHeight="1">
      <c r="A275" s="96" t="s">
        <v>922</v>
      </c>
      <c r="B275" s="102"/>
      <c r="C275" s="98"/>
      <c r="D275" s="97"/>
      <c r="E275" s="97"/>
      <c r="F275" s="97"/>
      <c r="G275" s="97"/>
      <c r="H275" s="97"/>
      <c r="I275" s="97"/>
      <c r="J275" s="105"/>
      <c r="K275" s="105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spans="1:26" ht="49.95" customHeight="1">
      <c r="A276" s="16" t="s">
        <v>155</v>
      </c>
      <c r="B276" s="20">
        <v>96985</v>
      </c>
      <c r="C276" s="86" t="s">
        <v>471</v>
      </c>
      <c r="D276" s="97"/>
      <c r="E276" s="17"/>
      <c r="F276" s="17"/>
      <c r="G276" s="17"/>
      <c r="H276" s="17"/>
      <c r="I276" s="17"/>
      <c r="J276" s="74"/>
      <c r="K276" s="105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spans="1:26" s="93" customFormat="1" ht="19.95" customHeight="1">
      <c r="A277" s="96" t="s">
        <v>923</v>
      </c>
      <c r="B277" s="102"/>
      <c r="C277" s="98"/>
      <c r="D277" s="97"/>
      <c r="E277" s="97"/>
      <c r="F277" s="97"/>
      <c r="G277" s="97"/>
      <c r="H277" s="97"/>
      <c r="I277" s="97"/>
      <c r="J277" s="105"/>
      <c r="K277" s="105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spans="1:26" ht="49.95" customHeight="1">
      <c r="A278" s="16" t="s">
        <v>156</v>
      </c>
      <c r="B278" s="20">
        <v>17</v>
      </c>
      <c r="C278" s="86" t="s">
        <v>472</v>
      </c>
      <c r="D278" s="97"/>
      <c r="E278" s="17"/>
      <c r="F278" s="17"/>
      <c r="G278" s="17"/>
      <c r="H278" s="17"/>
      <c r="I278" s="17"/>
      <c r="J278" s="74"/>
      <c r="K278" s="105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spans="1:26" s="93" customFormat="1" ht="19.95" customHeight="1">
      <c r="A279" s="96" t="s">
        <v>924</v>
      </c>
      <c r="B279" s="102"/>
      <c r="C279" s="98"/>
      <c r="D279" s="97"/>
      <c r="E279" s="97"/>
      <c r="F279" s="97"/>
      <c r="G279" s="97"/>
      <c r="H279" s="97"/>
      <c r="I279" s="97"/>
      <c r="J279" s="105"/>
      <c r="K279" s="105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spans="1:26" ht="49.95" customHeight="1">
      <c r="A280" s="16" t="s">
        <v>157</v>
      </c>
      <c r="B280" s="20">
        <v>91998</v>
      </c>
      <c r="C280" s="86" t="s">
        <v>473</v>
      </c>
      <c r="D280" s="97"/>
      <c r="E280" s="17"/>
      <c r="F280" s="17"/>
      <c r="G280" s="17"/>
      <c r="H280" s="17"/>
      <c r="I280" s="17"/>
      <c r="J280" s="74"/>
      <c r="K280" s="105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spans="1:26" s="93" customFormat="1" ht="19.95" customHeight="1">
      <c r="A281" s="96" t="s">
        <v>925</v>
      </c>
      <c r="B281" s="102"/>
      <c r="C281" s="98"/>
      <c r="D281" s="97"/>
      <c r="E281" s="97"/>
      <c r="F281" s="97"/>
      <c r="G281" s="97"/>
      <c r="H281" s="97"/>
      <c r="I281" s="97"/>
      <c r="J281" s="105"/>
      <c r="K281" s="105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spans="1:26" ht="49.95" customHeight="1">
      <c r="A282" s="16" t="s">
        <v>158</v>
      </c>
      <c r="B282" s="20">
        <v>92004</v>
      </c>
      <c r="C282" s="86" t="s">
        <v>474</v>
      </c>
      <c r="D282" s="97"/>
      <c r="E282" s="17"/>
      <c r="F282" s="17"/>
      <c r="G282" s="17"/>
      <c r="H282" s="17"/>
      <c r="I282" s="17"/>
      <c r="J282" s="74"/>
      <c r="K282" s="105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spans="1:26" s="93" customFormat="1" ht="19.95" customHeight="1">
      <c r="A283" s="96" t="s">
        <v>926</v>
      </c>
      <c r="B283" s="102"/>
      <c r="C283" s="98"/>
      <c r="D283" s="97"/>
      <c r="E283" s="97"/>
      <c r="F283" s="97"/>
      <c r="G283" s="97"/>
      <c r="H283" s="97"/>
      <c r="I283" s="97"/>
      <c r="J283" s="105"/>
      <c r="K283" s="105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spans="1:26" ht="49.95" customHeight="1">
      <c r="A284" s="16" t="s">
        <v>159</v>
      </c>
      <c r="B284" s="20">
        <v>91931</v>
      </c>
      <c r="C284" s="86" t="s">
        <v>475</v>
      </c>
      <c r="D284" s="17"/>
      <c r="E284" s="17"/>
      <c r="F284" s="17"/>
      <c r="G284" s="17"/>
      <c r="H284" s="17"/>
      <c r="I284" s="17"/>
      <c r="J284" s="74"/>
      <c r="K284" s="105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spans="1:26" s="93" customFormat="1" ht="19.95" customHeight="1">
      <c r="A285" s="96" t="s">
        <v>927</v>
      </c>
      <c r="B285" s="102"/>
      <c r="C285" s="98" t="s">
        <v>909</v>
      </c>
      <c r="D285" s="97"/>
      <c r="E285" s="97"/>
      <c r="F285" s="97"/>
      <c r="G285" s="97"/>
      <c r="H285" s="97"/>
      <c r="I285" s="97"/>
      <c r="J285" s="105"/>
      <c r="K285" s="105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spans="1:26" s="93" customFormat="1" ht="19.95" customHeight="1">
      <c r="A286" s="96" t="s">
        <v>930</v>
      </c>
      <c r="B286" s="102"/>
      <c r="C286" s="98" t="s">
        <v>910</v>
      </c>
      <c r="D286" s="97"/>
      <c r="E286" s="97"/>
      <c r="F286" s="97"/>
      <c r="G286" s="97"/>
      <c r="H286" s="97"/>
      <c r="I286" s="97"/>
      <c r="J286" s="105"/>
      <c r="K286" s="105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spans="1:26" s="93" customFormat="1" ht="19.95" customHeight="1">
      <c r="A287" s="96" t="s">
        <v>931</v>
      </c>
      <c r="B287" s="102"/>
      <c r="C287" s="98" t="s">
        <v>911</v>
      </c>
      <c r="D287" s="97"/>
      <c r="E287" s="97"/>
      <c r="F287" s="97"/>
      <c r="G287" s="97"/>
      <c r="H287" s="97"/>
      <c r="I287" s="97"/>
      <c r="J287" s="105"/>
      <c r="K287" s="105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spans="1:26" ht="49.95" customHeight="1">
      <c r="A288" s="16" t="s">
        <v>160</v>
      </c>
      <c r="B288" s="20">
        <v>91924</v>
      </c>
      <c r="C288" s="86" t="s">
        <v>476</v>
      </c>
      <c r="D288" s="17"/>
      <c r="E288" s="17"/>
      <c r="F288" s="17"/>
      <c r="G288" s="17"/>
      <c r="H288" s="17"/>
      <c r="I288" s="17"/>
      <c r="J288" s="74"/>
      <c r="K288" s="105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spans="1:26" s="93" customFormat="1" ht="19.95" customHeight="1">
      <c r="A289" s="96" t="s">
        <v>928</v>
      </c>
      <c r="B289" s="102"/>
      <c r="C289" s="98" t="s">
        <v>909</v>
      </c>
      <c r="D289" s="97"/>
      <c r="E289" s="97"/>
      <c r="F289" s="97"/>
      <c r="G289" s="97"/>
      <c r="H289" s="97"/>
      <c r="I289" s="97"/>
      <c r="J289" s="105"/>
      <c r="K289" s="105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spans="1:26" s="93" customFormat="1" ht="19.95" customHeight="1">
      <c r="A290" s="96" t="s">
        <v>932</v>
      </c>
      <c r="B290" s="102"/>
      <c r="C290" s="98" t="s">
        <v>910</v>
      </c>
      <c r="D290" s="97"/>
      <c r="E290" s="97"/>
      <c r="F290" s="97"/>
      <c r="G290" s="97"/>
      <c r="H290" s="97"/>
      <c r="I290" s="97"/>
      <c r="J290" s="105"/>
      <c r="K290" s="105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spans="1:26" s="93" customFormat="1" ht="19.95" customHeight="1">
      <c r="A291" s="96" t="s">
        <v>933</v>
      </c>
      <c r="B291" s="102"/>
      <c r="C291" s="98" t="s">
        <v>911</v>
      </c>
      <c r="D291" s="97"/>
      <c r="E291" s="97"/>
      <c r="F291" s="97"/>
      <c r="G291" s="97"/>
      <c r="H291" s="97"/>
      <c r="I291" s="97"/>
      <c r="J291" s="105"/>
      <c r="K291" s="105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spans="1:26" ht="49.95" customHeight="1">
      <c r="A292" s="16" t="s">
        <v>161</v>
      </c>
      <c r="B292" s="20">
        <v>91926</v>
      </c>
      <c r="C292" s="86" t="s">
        <v>477</v>
      </c>
      <c r="D292" s="17"/>
      <c r="E292" s="17"/>
      <c r="F292" s="17"/>
      <c r="G292" s="17"/>
      <c r="H292" s="17"/>
      <c r="I292" s="17"/>
      <c r="J292" s="74"/>
      <c r="K292" s="105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spans="1:26" s="93" customFormat="1" ht="19.95" customHeight="1">
      <c r="A293" s="96" t="s">
        <v>929</v>
      </c>
      <c r="B293" s="102"/>
      <c r="C293" s="98" t="s">
        <v>909</v>
      </c>
      <c r="D293" s="97"/>
      <c r="E293" s="97"/>
      <c r="F293" s="97"/>
      <c r="G293" s="97"/>
      <c r="H293" s="97"/>
      <c r="I293" s="97"/>
      <c r="J293" s="105"/>
      <c r="K293" s="105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spans="1:26" s="93" customFormat="1" ht="19.95" customHeight="1">
      <c r="A294" s="96" t="s">
        <v>934</v>
      </c>
      <c r="B294" s="102"/>
      <c r="C294" s="98" t="s">
        <v>910</v>
      </c>
      <c r="D294" s="97"/>
      <c r="E294" s="97"/>
      <c r="F294" s="97"/>
      <c r="G294" s="97"/>
      <c r="H294" s="97"/>
      <c r="I294" s="97"/>
      <c r="J294" s="105"/>
      <c r="K294" s="105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spans="1:26" ht="49.95" customHeight="1">
      <c r="A295" s="16" t="s">
        <v>162</v>
      </c>
      <c r="B295" s="20">
        <v>23</v>
      </c>
      <c r="C295" s="86" t="s">
        <v>478</v>
      </c>
      <c r="D295" s="17"/>
      <c r="E295" s="17"/>
      <c r="F295" s="17"/>
      <c r="G295" s="17"/>
      <c r="H295" s="17"/>
      <c r="I295" s="17"/>
      <c r="J295" s="74"/>
      <c r="K295" s="105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spans="1:26" s="93" customFormat="1" ht="19.95" customHeight="1">
      <c r="A296" s="96" t="s">
        <v>935</v>
      </c>
      <c r="B296" s="102"/>
      <c r="C296" s="98"/>
      <c r="D296" s="97"/>
      <c r="E296" s="97"/>
      <c r="F296" s="97"/>
      <c r="G296" s="97"/>
      <c r="H296" s="97"/>
      <c r="I296" s="97"/>
      <c r="J296" s="105"/>
      <c r="K296" s="105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spans="1:26" ht="49.95" customHeight="1">
      <c r="A297" s="16" t="s">
        <v>163</v>
      </c>
      <c r="B297" s="20">
        <v>95727</v>
      </c>
      <c r="C297" s="86" t="s">
        <v>479</v>
      </c>
      <c r="D297" s="17"/>
      <c r="E297" s="17"/>
      <c r="F297" s="17"/>
      <c r="G297" s="17"/>
      <c r="H297" s="17"/>
      <c r="I297" s="17"/>
      <c r="J297" s="74"/>
      <c r="K297" s="105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spans="1:26" s="93" customFormat="1" ht="19.95" customHeight="1">
      <c r="A298" s="96" t="s">
        <v>936</v>
      </c>
      <c r="B298" s="102"/>
      <c r="C298" s="98"/>
      <c r="D298" s="97"/>
      <c r="E298" s="97"/>
      <c r="F298" s="97"/>
      <c r="G298" s="97"/>
      <c r="H298" s="97"/>
      <c r="I298" s="97"/>
      <c r="J298" s="105"/>
      <c r="K298" s="105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spans="1:26" ht="49.95" customHeight="1">
      <c r="A299" s="16" t="s">
        <v>164</v>
      </c>
      <c r="B299" s="20">
        <v>91854</v>
      </c>
      <c r="C299" s="86" t="s">
        <v>480</v>
      </c>
      <c r="D299" s="17"/>
      <c r="E299" s="17"/>
      <c r="F299" s="17"/>
      <c r="G299" s="17"/>
      <c r="H299" s="17"/>
      <c r="I299" s="17"/>
      <c r="J299" s="74"/>
      <c r="K299" s="105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spans="1:26" s="93" customFormat="1" ht="19.95" customHeight="1">
      <c r="A300" s="96" t="s">
        <v>937</v>
      </c>
      <c r="B300" s="102"/>
      <c r="C300" s="98"/>
      <c r="D300" s="97"/>
      <c r="E300" s="97"/>
      <c r="F300" s="97"/>
      <c r="G300" s="97"/>
      <c r="H300" s="97"/>
      <c r="I300" s="97"/>
      <c r="J300" s="105"/>
      <c r="K300" s="105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spans="1:26" ht="25.2" customHeight="1">
      <c r="A301" s="46" t="s">
        <v>165</v>
      </c>
      <c r="B301" s="156" t="s">
        <v>166</v>
      </c>
      <c r="C301" s="156"/>
      <c r="D301" s="64"/>
      <c r="E301" s="64"/>
      <c r="F301" s="64"/>
      <c r="G301" s="64"/>
      <c r="H301" s="67"/>
      <c r="I301" s="67"/>
      <c r="J301" s="67"/>
      <c r="K301" s="67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spans="1:26" ht="49.95" customHeight="1">
      <c r="A302" s="16" t="s">
        <v>167</v>
      </c>
      <c r="B302" s="20">
        <v>98062</v>
      </c>
      <c r="C302" s="73" t="s">
        <v>485</v>
      </c>
      <c r="D302" s="17"/>
      <c r="E302" s="17"/>
      <c r="F302" s="17"/>
      <c r="G302" s="17"/>
      <c r="H302" s="17"/>
      <c r="I302" s="17"/>
      <c r="J302" s="74"/>
      <c r="K302" s="105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spans="1:26" s="93" customFormat="1" ht="19.95" customHeight="1">
      <c r="A303" s="96" t="s">
        <v>938</v>
      </c>
      <c r="B303" s="102"/>
      <c r="C303" s="98"/>
      <c r="D303" s="97"/>
      <c r="E303" s="97"/>
      <c r="F303" s="97"/>
      <c r="G303" s="97"/>
      <c r="H303" s="97"/>
      <c r="I303" s="97"/>
      <c r="J303" s="105"/>
      <c r="K303" s="105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spans="1:26" ht="49.95" customHeight="1">
      <c r="A304" s="16" t="s">
        <v>168</v>
      </c>
      <c r="B304" s="20">
        <v>104084</v>
      </c>
      <c r="C304" s="73" t="s">
        <v>501</v>
      </c>
      <c r="D304" s="17"/>
      <c r="E304" s="17"/>
      <c r="F304" s="17"/>
      <c r="G304" s="17"/>
      <c r="H304" s="17"/>
      <c r="I304" s="17"/>
      <c r="J304" s="74"/>
      <c r="K304" s="105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spans="1:26" s="93" customFormat="1" ht="19.95" customHeight="1">
      <c r="A305" s="96" t="s">
        <v>939</v>
      </c>
      <c r="B305" s="102"/>
      <c r="C305" s="98"/>
      <c r="D305" s="97"/>
      <c r="E305" s="97"/>
      <c r="F305" s="97"/>
      <c r="G305" s="97"/>
      <c r="H305" s="97"/>
      <c r="I305" s="97"/>
      <c r="J305" s="105"/>
      <c r="K305" s="105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spans="1:26" ht="49.95" customHeight="1">
      <c r="A306" s="16" t="s">
        <v>169</v>
      </c>
      <c r="B306" s="20">
        <v>104065</v>
      </c>
      <c r="C306" s="73" t="s">
        <v>486</v>
      </c>
      <c r="D306" s="17"/>
      <c r="E306" s="17"/>
      <c r="F306" s="17"/>
      <c r="G306" s="17"/>
      <c r="H306" s="17"/>
      <c r="I306" s="17"/>
      <c r="J306" s="74"/>
      <c r="K306" s="105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spans="1:26" s="93" customFormat="1" ht="19.95" customHeight="1">
      <c r="A307" s="96" t="s">
        <v>940</v>
      </c>
      <c r="B307" s="102"/>
      <c r="C307" s="98"/>
      <c r="D307" s="97"/>
      <c r="E307" s="97"/>
      <c r="F307" s="97"/>
      <c r="G307" s="97"/>
      <c r="H307" s="97"/>
      <c r="I307" s="97"/>
      <c r="J307" s="105"/>
      <c r="K307" s="105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spans="1:26" ht="49.95" customHeight="1">
      <c r="A308" s="16" t="s">
        <v>170</v>
      </c>
      <c r="B308" s="20">
        <v>89733</v>
      </c>
      <c r="C308" s="73" t="s">
        <v>487</v>
      </c>
      <c r="D308" s="17"/>
      <c r="E308" s="17"/>
      <c r="F308" s="17"/>
      <c r="G308" s="17"/>
      <c r="H308" s="17"/>
      <c r="I308" s="17"/>
      <c r="J308" s="74"/>
      <c r="K308" s="105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spans="1:26" s="93" customFormat="1" ht="19.95" customHeight="1">
      <c r="A309" s="96" t="s">
        <v>941</v>
      </c>
      <c r="B309" s="102"/>
      <c r="C309" s="98"/>
      <c r="D309" s="97"/>
      <c r="E309" s="97"/>
      <c r="F309" s="97"/>
      <c r="G309" s="97"/>
      <c r="H309" s="104"/>
      <c r="I309" s="104"/>
      <c r="J309" s="105"/>
      <c r="K309" s="105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spans="1:26" ht="49.95" customHeight="1">
      <c r="A310" s="16" t="s">
        <v>171</v>
      </c>
      <c r="B310" s="20">
        <v>89726</v>
      </c>
      <c r="C310" s="73" t="s">
        <v>488</v>
      </c>
      <c r="D310" s="17"/>
      <c r="E310" s="17"/>
      <c r="F310" s="17"/>
      <c r="G310" s="17"/>
      <c r="H310" s="17"/>
      <c r="I310" s="17"/>
      <c r="J310" s="74"/>
      <c r="K310" s="105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spans="1:26" s="93" customFormat="1" ht="19.95" customHeight="1">
      <c r="A311" s="96" t="s">
        <v>942</v>
      </c>
      <c r="B311" s="102"/>
      <c r="C311" s="98"/>
      <c r="D311" s="97"/>
      <c r="E311" s="97"/>
      <c r="F311" s="97"/>
      <c r="G311" s="97"/>
      <c r="H311" s="104"/>
      <c r="I311" s="104"/>
      <c r="J311" s="105"/>
      <c r="K311" s="105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spans="1:26" ht="49.95" customHeight="1">
      <c r="A312" s="16" t="s">
        <v>172</v>
      </c>
      <c r="B312" s="20">
        <v>89732</v>
      </c>
      <c r="C312" s="73" t="s">
        <v>489</v>
      </c>
      <c r="D312" s="17"/>
      <c r="E312" s="17"/>
      <c r="F312" s="17"/>
      <c r="G312" s="17"/>
      <c r="H312" s="17"/>
      <c r="I312" s="17"/>
      <c r="J312" s="74"/>
      <c r="K312" s="105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spans="1:26" s="93" customFormat="1" ht="19.95" customHeight="1">
      <c r="A313" s="96" t="s">
        <v>943</v>
      </c>
      <c r="B313" s="102"/>
      <c r="C313" s="98"/>
      <c r="D313" s="97"/>
      <c r="E313" s="97"/>
      <c r="F313" s="97"/>
      <c r="G313" s="97"/>
      <c r="H313" s="104"/>
      <c r="I313" s="104"/>
      <c r="J313" s="105"/>
      <c r="K313" s="105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spans="1:26" ht="49.95" customHeight="1">
      <c r="A314" s="16" t="s">
        <v>173</v>
      </c>
      <c r="B314" s="20">
        <v>89724</v>
      </c>
      <c r="C314" s="73" t="s">
        <v>490</v>
      </c>
      <c r="D314" s="17"/>
      <c r="E314" s="17"/>
      <c r="F314" s="17"/>
      <c r="G314" s="17"/>
      <c r="H314" s="17"/>
      <c r="I314" s="17"/>
      <c r="J314" s="74"/>
      <c r="K314" s="105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spans="1:26" s="93" customFormat="1" ht="19.95" customHeight="1">
      <c r="A315" s="96" t="s">
        <v>944</v>
      </c>
      <c r="B315" s="102"/>
      <c r="C315" s="98"/>
      <c r="D315" s="97"/>
      <c r="E315" s="97"/>
      <c r="F315" s="97"/>
      <c r="G315" s="97"/>
      <c r="H315" s="104"/>
      <c r="I315" s="104"/>
      <c r="J315" s="105"/>
      <c r="K315" s="105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spans="1:26" ht="49.95" customHeight="1">
      <c r="A316" s="16" t="s">
        <v>174</v>
      </c>
      <c r="B316" s="20">
        <v>89731</v>
      </c>
      <c r="C316" s="73" t="s">
        <v>455</v>
      </c>
      <c r="D316" s="17"/>
      <c r="E316" s="17"/>
      <c r="F316" s="17"/>
      <c r="G316" s="17"/>
      <c r="H316" s="17"/>
      <c r="I316" s="17"/>
      <c r="J316" s="74"/>
      <c r="K316" s="105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spans="1:26" s="93" customFormat="1" ht="19.95" customHeight="1">
      <c r="A317" s="96" t="s">
        <v>945</v>
      </c>
      <c r="B317" s="102"/>
      <c r="C317" s="98"/>
      <c r="D317" s="97"/>
      <c r="E317" s="97"/>
      <c r="F317" s="97"/>
      <c r="G317" s="97"/>
      <c r="H317" s="104"/>
      <c r="I317" s="104"/>
      <c r="J317" s="105"/>
      <c r="K317" s="105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spans="1:26" ht="49.95" customHeight="1">
      <c r="A318" s="16" t="s">
        <v>175</v>
      </c>
      <c r="B318" s="20">
        <v>89744</v>
      </c>
      <c r="C318" s="73" t="s">
        <v>491</v>
      </c>
      <c r="D318" s="17"/>
      <c r="E318" s="17"/>
      <c r="F318" s="17"/>
      <c r="G318" s="17"/>
      <c r="H318" s="17"/>
      <c r="I318" s="17"/>
      <c r="J318" s="74"/>
      <c r="K318" s="105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spans="1:26" s="93" customFormat="1" ht="19.95" customHeight="1">
      <c r="A319" s="96" t="s">
        <v>946</v>
      </c>
      <c r="B319" s="102"/>
      <c r="C319" s="98"/>
      <c r="D319" s="97"/>
      <c r="E319" s="97"/>
      <c r="F319" s="97"/>
      <c r="G319" s="97"/>
      <c r="H319" s="104"/>
      <c r="I319" s="104"/>
      <c r="J319" s="105"/>
      <c r="K319" s="105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spans="1:26" ht="49.95" customHeight="1">
      <c r="A320" s="16" t="s">
        <v>176</v>
      </c>
      <c r="B320" s="20">
        <v>89785</v>
      </c>
      <c r="C320" s="73" t="s">
        <v>492</v>
      </c>
      <c r="D320" s="17"/>
      <c r="E320" s="17"/>
      <c r="F320" s="17"/>
      <c r="G320" s="17"/>
      <c r="H320" s="17"/>
      <c r="I320" s="17"/>
      <c r="J320" s="74"/>
      <c r="K320" s="105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spans="1:26" s="93" customFormat="1" ht="19.95" customHeight="1">
      <c r="A321" s="96" t="s">
        <v>947</v>
      </c>
      <c r="B321" s="102"/>
      <c r="C321" s="98"/>
      <c r="D321" s="97"/>
      <c r="E321" s="97"/>
      <c r="F321" s="97"/>
      <c r="G321" s="97"/>
      <c r="H321" s="104"/>
      <c r="I321" s="104"/>
      <c r="J321" s="105"/>
      <c r="K321" s="105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spans="1:26" ht="49.95" customHeight="1">
      <c r="A322" s="16" t="s">
        <v>177</v>
      </c>
      <c r="B322" s="20">
        <v>104353</v>
      </c>
      <c r="C322" s="73" t="s">
        <v>493</v>
      </c>
      <c r="D322" s="17"/>
      <c r="E322" s="17"/>
      <c r="F322" s="17"/>
      <c r="G322" s="17"/>
      <c r="H322" s="17"/>
      <c r="I322" s="17"/>
      <c r="J322" s="74"/>
      <c r="K322" s="105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spans="1:26" s="93" customFormat="1" ht="19.95" customHeight="1">
      <c r="A323" s="96" t="s">
        <v>948</v>
      </c>
      <c r="B323" s="102"/>
      <c r="C323" s="98"/>
      <c r="D323" s="97"/>
      <c r="E323" s="97"/>
      <c r="F323" s="97"/>
      <c r="G323" s="97"/>
      <c r="H323" s="104"/>
      <c r="I323" s="104"/>
      <c r="J323" s="105"/>
      <c r="K323" s="105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spans="1:26" ht="49.95" customHeight="1">
      <c r="A324" s="16" t="s">
        <v>178</v>
      </c>
      <c r="B324" s="20">
        <v>104348</v>
      </c>
      <c r="C324" s="73" t="s">
        <v>494</v>
      </c>
      <c r="D324" s="17"/>
      <c r="E324" s="17"/>
      <c r="F324" s="17"/>
      <c r="G324" s="17"/>
      <c r="H324" s="17"/>
      <c r="I324" s="17"/>
      <c r="J324" s="74"/>
      <c r="K324" s="105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spans="1:26" s="93" customFormat="1" ht="19.95" customHeight="1">
      <c r="A325" s="96" t="s">
        <v>949</v>
      </c>
      <c r="B325" s="102"/>
      <c r="C325" s="98"/>
      <c r="D325" s="97"/>
      <c r="E325" s="97"/>
      <c r="F325" s="97"/>
      <c r="G325" s="97"/>
      <c r="H325" s="104"/>
      <c r="I325" s="104"/>
      <c r="J325" s="105"/>
      <c r="K325" s="105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spans="1:26" ht="49.95" customHeight="1">
      <c r="A326" s="16" t="s">
        <v>179</v>
      </c>
      <c r="B326" s="20">
        <v>89796</v>
      </c>
      <c r="C326" s="73" t="s">
        <v>495</v>
      </c>
      <c r="D326" s="17"/>
      <c r="E326" s="17"/>
      <c r="F326" s="17"/>
      <c r="G326" s="17"/>
      <c r="H326" s="17"/>
      <c r="I326" s="17"/>
      <c r="J326" s="74"/>
      <c r="K326" s="105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spans="1:26" s="93" customFormat="1" ht="19.95" customHeight="1">
      <c r="A327" s="96" t="s">
        <v>950</v>
      </c>
      <c r="B327" s="102"/>
      <c r="C327" s="98"/>
      <c r="D327" s="97"/>
      <c r="E327" s="97"/>
      <c r="F327" s="97"/>
      <c r="G327" s="97"/>
      <c r="H327" s="104"/>
      <c r="I327" s="104"/>
      <c r="J327" s="105"/>
      <c r="K327" s="105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spans="1:26" ht="49.95" customHeight="1">
      <c r="A328" s="16" t="s">
        <v>180</v>
      </c>
      <c r="B328" s="53">
        <v>20181</v>
      </c>
      <c r="C328" s="73" t="s">
        <v>496</v>
      </c>
      <c r="D328" s="17"/>
      <c r="E328" s="17"/>
      <c r="F328" s="17"/>
      <c r="G328" s="17"/>
      <c r="H328" s="17"/>
      <c r="I328" s="17"/>
      <c r="J328" s="74"/>
      <c r="K328" s="105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spans="1:26" s="93" customFormat="1" ht="19.95" customHeight="1">
      <c r="A329" s="96" t="s">
        <v>951</v>
      </c>
      <c r="B329" s="102"/>
      <c r="C329" s="98"/>
      <c r="D329" s="97"/>
      <c r="E329" s="97"/>
      <c r="F329" s="97"/>
      <c r="G329" s="97"/>
      <c r="H329" s="104"/>
      <c r="I329" s="104"/>
      <c r="J329" s="105"/>
      <c r="K329" s="105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spans="1:26" ht="49.95" customHeight="1">
      <c r="A330" s="16" t="s">
        <v>181</v>
      </c>
      <c r="B330" s="20">
        <v>104329</v>
      </c>
      <c r="C330" s="73" t="s">
        <v>497</v>
      </c>
      <c r="D330" s="17"/>
      <c r="E330" s="17"/>
      <c r="F330" s="17"/>
      <c r="G330" s="17"/>
      <c r="H330" s="17"/>
      <c r="I330" s="17"/>
      <c r="J330" s="74"/>
      <c r="K330" s="105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spans="1:26" s="93" customFormat="1" ht="19.95" customHeight="1">
      <c r="A331" s="96" t="s">
        <v>952</v>
      </c>
      <c r="B331" s="102"/>
      <c r="C331" s="98"/>
      <c r="D331" s="97"/>
      <c r="E331" s="97"/>
      <c r="F331" s="97"/>
      <c r="G331" s="97"/>
      <c r="H331" s="104"/>
      <c r="I331" s="104"/>
      <c r="J331" s="105"/>
      <c r="K331" s="105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spans="1:26" ht="49.95" customHeight="1">
      <c r="A332" s="16" t="s">
        <v>182</v>
      </c>
      <c r="B332" s="53">
        <v>6138</v>
      </c>
      <c r="C332" s="73" t="s">
        <v>498</v>
      </c>
      <c r="D332" s="17"/>
      <c r="E332" s="17"/>
      <c r="F332" s="17"/>
      <c r="G332" s="17"/>
      <c r="H332" s="17"/>
      <c r="I332" s="17"/>
      <c r="J332" s="74"/>
      <c r="K332" s="105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spans="1:26" s="93" customFormat="1" ht="19.95" customHeight="1">
      <c r="A333" s="96" t="s">
        <v>953</v>
      </c>
      <c r="B333" s="102"/>
      <c r="C333" s="98"/>
      <c r="D333" s="97"/>
      <c r="E333" s="97"/>
      <c r="F333" s="97"/>
      <c r="G333" s="97"/>
      <c r="H333" s="104"/>
      <c r="I333" s="104"/>
      <c r="J333" s="105"/>
      <c r="K333" s="105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spans="1:26" ht="49.95" customHeight="1">
      <c r="A334" s="16" t="s">
        <v>183</v>
      </c>
      <c r="B334" s="20">
        <v>89711</v>
      </c>
      <c r="C334" s="73" t="s">
        <v>502</v>
      </c>
      <c r="D334" s="17"/>
      <c r="E334" s="17"/>
      <c r="F334" s="17"/>
      <c r="G334" s="17"/>
      <c r="H334" s="17"/>
      <c r="I334" s="17"/>
      <c r="J334" s="74"/>
      <c r="K334" s="105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spans="1:26" s="93" customFormat="1" ht="19.95" customHeight="1">
      <c r="A335" s="96" t="s">
        <v>954</v>
      </c>
      <c r="B335" s="102"/>
      <c r="C335" s="98"/>
      <c r="D335" s="97"/>
      <c r="E335" s="97"/>
      <c r="F335" s="97"/>
      <c r="G335" s="97"/>
      <c r="H335" s="97"/>
      <c r="I335" s="97"/>
      <c r="J335" s="105"/>
      <c r="K335" s="105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spans="1:26" ht="49.95" customHeight="1">
      <c r="A336" s="16" t="s">
        <v>184</v>
      </c>
      <c r="B336" s="20">
        <v>89712</v>
      </c>
      <c r="C336" s="73" t="s">
        <v>503</v>
      </c>
      <c r="D336" s="17"/>
      <c r="E336" s="17"/>
      <c r="F336" s="17"/>
      <c r="G336" s="17"/>
      <c r="H336" s="17"/>
      <c r="I336" s="17"/>
      <c r="J336" s="74"/>
      <c r="K336" s="105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spans="1:26" s="93" customFormat="1" ht="19.95" customHeight="1">
      <c r="A337" s="96" t="s">
        <v>955</v>
      </c>
      <c r="B337" s="102"/>
      <c r="C337" s="98"/>
      <c r="D337" s="97"/>
      <c r="E337" s="97"/>
      <c r="F337" s="97"/>
      <c r="G337" s="97"/>
      <c r="H337" s="97"/>
      <c r="I337" s="97"/>
      <c r="J337" s="105"/>
      <c r="K337" s="105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spans="1:26" ht="49.95" customHeight="1">
      <c r="A338" s="16" t="s">
        <v>185</v>
      </c>
      <c r="B338" s="20">
        <v>89713</v>
      </c>
      <c r="C338" s="73" t="s">
        <v>504</v>
      </c>
      <c r="D338" s="17"/>
      <c r="E338" s="17"/>
      <c r="F338" s="17"/>
      <c r="G338" s="17"/>
      <c r="H338" s="17"/>
      <c r="I338" s="17"/>
      <c r="J338" s="106"/>
      <c r="K338" s="105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spans="1:26" s="93" customFormat="1" ht="19.95" customHeight="1">
      <c r="A339" s="96" t="s">
        <v>956</v>
      </c>
      <c r="B339" s="102"/>
      <c r="C339" s="98"/>
      <c r="D339" s="97"/>
      <c r="E339" s="97"/>
      <c r="F339" s="97"/>
      <c r="G339" s="97"/>
      <c r="H339" s="97"/>
      <c r="I339" s="97"/>
      <c r="J339" s="105"/>
      <c r="K339" s="105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spans="1:26" ht="49.95" customHeight="1">
      <c r="A340" s="16" t="s">
        <v>186</v>
      </c>
      <c r="B340" s="20">
        <v>89714</v>
      </c>
      <c r="C340" s="73" t="s">
        <v>505</v>
      </c>
      <c r="D340" s="17"/>
      <c r="E340" s="17"/>
      <c r="F340" s="17"/>
      <c r="G340" s="17"/>
      <c r="H340" s="17"/>
      <c r="I340" s="17"/>
      <c r="J340" s="106"/>
      <c r="K340" s="105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spans="1:26" s="93" customFormat="1" ht="19.95" customHeight="1">
      <c r="A341" s="96" t="s">
        <v>957</v>
      </c>
      <c r="B341" s="102"/>
      <c r="C341" s="98"/>
      <c r="D341" s="97"/>
      <c r="E341" s="97"/>
      <c r="F341" s="97"/>
      <c r="G341" s="97"/>
      <c r="H341" s="97"/>
      <c r="I341" s="97"/>
      <c r="J341" s="105"/>
      <c r="K341" s="105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spans="1:26" ht="49.95" customHeight="1">
      <c r="A342" s="16" t="s">
        <v>187</v>
      </c>
      <c r="B342" s="20">
        <v>19</v>
      </c>
      <c r="C342" s="73" t="s">
        <v>506</v>
      </c>
      <c r="D342" s="17"/>
      <c r="E342" s="17"/>
      <c r="F342" s="17"/>
      <c r="G342" s="17"/>
      <c r="H342" s="17"/>
      <c r="I342" s="17"/>
      <c r="J342" s="74"/>
      <c r="K342" s="105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spans="1:26" s="93" customFormat="1" ht="19.95" customHeight="1">
      <c r="A343" s="96" t="s">
        <v>958</v>
      </c>
      <c r="B343" s="102"/>
      <c r="C343" s="98"/>
      <c r="D343" s="97"/>
      <c r="E343" s="97"/>
      <c r="F343" s="97"/>
      <c r="G343" s="97"/>
      <c r="H343" s="97"/>
      <c r="I343" s="97"/>
      <c r="J343" s="105"/>
      <c r="K343" s="105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spans="1:26" ht="25.2" customHeight="1">
      <c r="A344" s="46" t="s">
        <v>188</v>
      </c>
      <c r="B344" s="156" t="s">
        <v>21</v>
      </c>
      <c r="C344" s="156"/>
      <c r="D344" s="64"/>
      <c r="E344" s="64"/>
      <c r="F344" s="64"/>
      <c r="G344" s="64"/>
      <c r="H344" s="67"/>
      <c r="I344" s="67"/>
      <c r="J344" s="67"/>
      <c r="K344" s="67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spans="1:26" ht="49.95" customHeight="1">
      <c r="A345" s="16" t="s">
        <v>189</v>
      </c>
      <c r="B345" s="20">
        <v>94204</v>
      </c>
      <c r="C345" s="73" t="s">
        <v>507</v>
      </c>
      <c r="D345" s="17"/>
      <c r="E345" s="17"/>
      <c r="F345" s="17"/>
      <c r="G345" s="17"/>
      <c r="H345" s="17"/>
      <c r="I345" s="17"/>
      <c r="J345" s="74"/>
      <c r="K345" s="69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spans="1:26" s="93" customFormat="1" ht="19.5" customHeight="1">
      <c r="A346" s="96" t="s">
        <v>1137</v>
      </c>
      <c r="B346" s="102"/>
      <c r="C346" s="98"/>
      <c r="D346" s="97"/>
      <c r="E346" s="97"/>
      <c r="F346" s="97"/>
      <c r="G346" s="97"/>
      <c r="H346" s="97"/>
      <c r="I346" s="97"/>
      <c r="J346" s="105"/>
      <c r="K346" s="105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spans="1:26" ht="49.95" customHeight="1">
      <c r="A347" s="16" t="s">
        <v>190</v>
      </c>
      <c r="B347" s="20">
        <v>92540</v>
      </c>
      <c r="C347" s="73" t="s">
        <v>508</v>
      </c>
      <c r="D347" s="17"/>
      <c r="E347" s="17"/>
      <c r="F347" s="17"/>
      <c r="G347" s="17"/>
      <c r="H347" s="17"/>
      <c r="I347" s="17"/>
      <c r="J347" s="74"/>
      <c r="K347" s="105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spans="1:26" s="93" customFormat="1" ht="19.5" customHeight="1">
      <c r="A348" s="96" t="s">
        <v>1138</v>
      </c>
      <c r="B348" s="102"/>
      <c r="C348" s="98"/>
      <c r="D348" s="97"/>
      <c r="E348" s="97"/>
      <c r="F348" s="97"/>
      <c r="G348" s="97"/>
      <c r="H348" s="97"/>
      <c r="I348" s="97"/>
      <c r="J348" s="105"/>
      <c r="K348" s="105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spans="1:26" ht="49.95" customHeight="1">
      <c r="A349" s="16" t="s">
        <v>191</v>
      </c>
      <c r="B349" s="20">
        <v>100357</v>
      </c>
      <c r="C349" s="73" t="s">
        <v>509</v>
      </c>
      <c r="D349" s="17"/>
      <c r="E349" s="17"/>
      <c r="F349" s="17"/>
      <c r="G349" s="17"/>
      <c r="H349" s="17"/>
      <c r="I349" s="17"/>
      <c r="J349" s="74"/>
      <c r="K349" s="105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spans="1:26" s="93" customFormat="1" ht="19.5" customHeight="1">
      <c r="A350" s="96" t="s">
        <v>1139</v>
      </c>
      <c r="B350" s="102"/>
      <c r="C350" s="98"/>
      <c r="D350" s="97"/>
      <c r="E350" s="97"/>
      <c r="F350" s="97"/>
      <c r="G350" s="97"/>
      <c r="H350" s="97"/>
      <c r="I350" s="97"/>
      <c r="J350" s="105"/>
      <c r="K350" s="105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spans="1:26" ht="49.95" customHeight="1">
      <c r="A351" s="16" t="s">
        <v>192</v>
      </c>
      <c r="B351" s="20">
        <v>100358</v>
      </c>
      <c r="C351" s="73" t="s">
        <v>510</v>
      </c>
      <c r="D351" s="17"/>
      <c r="E351" s="17"/>
      <c r="F351" s="17"/>
      <c r="G351" s="17"/>
      <c r="H351" s="17"/>
      <c r="I351" s="17"/>
      <c r="J351" s="106"/>
      <c r="K351" s="105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spans="1:26" s="93" customFormat="1" ht="19.5" customHeight="1">
      <c r="A352" s="96" t="s">
        <v>1140</v>
      </c>
      <c r="B352" s="102"/>
      <c r="C352" s="98"/>
      <c r="D352" s="97"/>
      <c r="E352" s="97"/>
      <c r="F352" s="97"/>
      <c r="G352" s="97"/>
      <c r="H352" s="97"/>
      <c r="I352" s="97"/>
      <c r="J352" s="105"/>
      <c r="K352" s="105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spans="1:26" ht="49.95" customHeight="1">
      <c r="A353" s="16" t="s">
        <v>193</v>
      </c>
      <c r="B353" s="20">
        <v>102233</v>
      </c>
      <c r="C353" s="73" t="s">
        <v>511</v>
      </c>
      <c r="D353" s="17"/>
      <c r="E353" s="17"/>
      <c r="F353" s="17"/>
      <c r="G353" s="17"/>
      <c r="H353" s="17"/>
      <c r="I353" s="17"/>
      <c r="J353" s="74"/>
      <c r="K353" s="105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spans="1:26" s="93" customFormat="1" ht="19.5" customHeight="1">
      <c r="A354" s="96" t="s">
        <v>1141</v>
      </c>
      <c r="B354" s="102"/>
      <c r="C354" s="98" t="s">
        <v>1143</v>
      </c>
      <c r="D354" s="97"/>
      <c r="E354" s="97"/>
      <c r="F354" s="97"/>
      <c r="G354" s="97"/>
      <c r="H354" s="97"/>
      <c r="I354" s="97"/>
      <c r="J354" s="105"/>
      <c r="K354" s="105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spans="1:26" ht="49.95" customHeight="1">
      <c r="A355" s="16" t="s">
        <v>194</v>
      </c>
      <c r="B355" s="20">
        <v>94219</v>
      </c>
      <c r="C355" s="73" t="s">
        <v>512</v>
      </c>
      <c r="D355" s="17"/>
      <c r="E355" s="17"/>
      <c r="F355" s="17"/>
      <c r="G355" s="17"/>
      <c r="H355" s="17"/>
      <c r="I355" s="17"/>
      <c r="J355" s="74"/>
      <c r="K355" s="69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spans="1:26" s="93" customFormat="1" ht="19.5" customHeight="1">
      <c r="A356" s="96" t="s">
        <v>1142</v>
      </c>
      <c r="B356" s="102"/>
      <c r="C356" s="98"/>
      <c r="D356" s="97"/>
      <c r="E356" s="97"/>
      <c r="F356" s="97"/>
      <c r="G356" s="97"/>
      <c r="H356" s="97"/>
      <c r="I356" s="97"/>
      <c r="J356" s="105"/>
      <c r="K356" s="105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spans="1:26" ht="25.2" customHeight="1">
      <c r="A357" s="46" t="s">
        <v>195</v>
      </c>
      <c r="B357" s="156" t="s">
        <v>48</v>
      </c>
      <c r="C357" s="156"/>
      <c r="D357" s="64"/>
      <c r="E357" s="64"/>
      <c r="F357" s="64"/>
      <c r="G357" s="64"/>
      <c r="H357" s="67"/>
      <c r="I357" s="67"/>
      <c r="J357" s="67"/>
      <c r="K357" s="67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spans="1:26" ht="49.95" customHeight="1">
      <c r="A358" s="16" t="s">
        <v>196</v>
      </c>
      <c r="B358" s="51">
        <v>90822</v>
      </c>
      <c r="C358" s="73" t="s">
        <v>513</v>
      </c>
      <c r="D358" s="17"/>
      <c r="E358" s="17"/>
      <c r="F358" s="17"/>
      <c r="G358" s="17"/>
      <c r="H358" s="17"/>
      <c r="I358" s="17"/>
      <c r="J358" s="74">
        <v>2</v>
      </c>
      <c r="K358" s="69" t="s">
        <v>57</v>
      </c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spans="1:26" s="93" customFormat="1" ht="19.5" customHeight="1">
      <c r="A359" s="96" t="s">
        <v>1306</v>
      </c>
      <c r="B359" s="102"/>
      <c r="C359" s="98"/>
      <c r="D359" s="97">
        <v>1</v>
      </c>
      <c r="E359" s="97">
        <v>2</v>
      </c>
      <c r="F359" s="97"/>
      <c r="G359" s="97"/>
      <c r="H359" s="97">
        <v>2</v>
      </c>
      <c r="I359" s="97">
        <v>2</v>
      </c>
      <c r="J359" s="105"/>
      <c r="K359" s="105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spans="1:26" ht="49.95" customHeight="1">
      <c r="A360" s="16" t="s">
        <v>197</v>
      </c>
      <c r="B360" s="51">
        <v>101162</v>
      </c>
      <c r="C360" s="73" t="s">
        <v>514</v>
      </c>
      <c r="D360" s="17"/>
      <c r="E360" s="17"/>
      <c r="F360" s="17"/>
      <c r="G360" s="17"/>
      <c r="H360" s="17"/>
      <c r="I360" s="17"/>
      <c r="J360" s="74"/>
      <c r="K360" s="105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spans="1:26" s="93" customFormat="1" ht="19.5" customHeight="1">
      <c r="A361" s="96" t="s">
        <v>1144</v>
      </c>
      <c r="B361" s="102"/>
      <c r="C361" s="98"/>
      <c r="D361" s="97"/>
      <c r="E361" s="97"/>
      <c r="F361" s="97"/>
      <c r="G361" s="97"/>
      <c r="H361" s="97"/>
      <c r="I361" s="97"/>
      <c r="J361" s="105"/>
      <c r="K361" s="105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spans="1:26" ht="49.95" customHeight="1">
      <c r="A362" s="16" t="s">
        <v>198</v>
      </c>
      <c r="B362" s="51">
        <v>90830</v>
      </c>
      <c r="C362" s="73" t="s">
        <v>515</v>
      </c>
      <c r="D362" s="17"/>
      <c r="E362" s="17"/>
      <c r="F362" s="17"/>
      <c r="G362" s="17"/>
      <c r="H362" s="17"/>
      <c r="I362" s="17"/>
      <c r="J362" s="106">
        <v>2</v>
      </c>
      <c r="K362" s="105" t="s">
        <v>57</v>
      </c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spans="1:26" s="93" customFormat="1" ht="19.5" customHeight="1">
      <c r="A363" s="96" t="s">
        <v>1307</v>
      </c>
      <c r="B363" s="102"/>
      <c r="C363" s="98"/>
      <c r="D363" s="97">
        <v>1</v>
      </c>
      <c r="E363" s="97">
        <v>2</v>
      </c>
      <c r="F363" s="97"/>
      <c r="G363" s="97"/>
      <c r="H363" s="97">
        <v>2</v>
      </c>
      <c r="I363" s="97">
        <v>2</v>
      </c>
      <c r="J363" s="105"/>
      <c r="K363" s="105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spans="1:26" ht="25.2" customHeight="1">
      <c r="A364" s="46">
        <v>3</v>
      </c>
      <c r="B364" s="156" t="s">
        <v>199</v>
      </c>
      <c r="C364" s="156"/>
      <c r="D364" s="64"/>
      <c r="E364" s="64"/>
      <c r="F364" s="64"/>
      <c r="G364" s="64"/>
      <c r="H364" s="67"/>
      <c r="I364" s="67"/>
      <c r="J364" s="67"/>
      <c r="K364" s="67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spans="1:26" ht="25.2" customHeight="1">
      <c r="A365" s="46" t="s">
        <v>19</v>
      </c>
      <c r="B365" s="156" t="s">
        <v>12</v>
      </c>
      <c r="C365" s="156"/>
      <c r="D365" s="64"/>
      <c r="E365" s="64"/>
      <c r="F365" s="64"/>
      <c r="G365" s="64"/>
      <c r="H365" s="67"/>
      <c r="I365" s="67"/>
      <c r="J365" s="67"/>
      <c r="K365" s="67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spans="1:26" ht="49.95" customHeight="1">
      <c r="A366" s="16" t="s">
        <v>41</v>
      </c>
      <c r="B366" s="20">
        <v>99059</v>
      </c>
      <c r="C366" s="73" t="s">
        <v>68</v>
      </c>
      <c r="D366" s="17"/>
      <c r="E366" s="17"/>
      <c r="F366" s="17"/>
      <c r="G366" s="17"/>
      <c r="H366" s="17"/>
      <c r="I366" s="17"/>
      <c r="J366" s="74"/>
      <c r="K366" s="69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spans="1:26" ht="19.95" customHeight="1">
      <c r="A367" s="16" t="s">
        <v>684</v>
      </c>
      <c r="B367" s="49"/>
      <c r="C367" s="21" t="s">
        <v>721</v>
      </c>
      <c r="D367" s="17"/>
      <c r="E367" s="17"/>
      <c r="F367" s="17"/>
      <c r="G367" s="17"/>
      <c r="H367" s="17"/>
      <c r="I367" s="17"/>
      <c r="J367" s="69"/>
      <c r="K367" s="69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spans="1:26" ht="25.2" customHeight="1">
      <c r="A368" s="46" t="s">
        <v>20</v>
      </c>
      <c r="B368" s="156" t="s">
        <v>33</v>
      </c>
      <c r="C368" s="156"/>
      <c r="D368" s="64"/>
      <c r="E368" s="64"/>
      <c r="F368" s="64"/>
      <c r="G368" s="64"/>
      <c r="H368" s="67"/>
      <c r="I368" s="67"/>
      <c r="J368" s="67"/>
      <c r="K368" s="67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spans="1:26" ht="49.95" customHeight="1">
      <c r="A369" s="16" t="s">
        <v>43</v>
      </c>
      <c r="B369" s="20">
        <v>93358</v>
      </c>
      <c r="C369" s="73" t="s">
        <v>400</v>
      </c>
      <c r="D369" s="17"/>
      <c r="E369" s="17"/>
      <c r="F369" s="17"/>
      <c r="G369" s="17"/>
      <c r="H369" s="17"/>
      <c r="I369" s="17"/>
      <c r="J369" s="74"/>
      <c r="K369" s="69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spans="1:26" ht="19.95" customHeight="1">
      <c r="A370" s="16" t="s">
        <v>685</v>
      </c>
      <c r="B370" s="49"/>
      <c r="C370" s="21" t="s">
        <v>723</v>
      </c>
      <c r="D370" s="17"/>
      <c r="E370" s="17"/>
      <c r="F370" s="17"/>
      <c r="G370" s="17"/>
      <c r="H370" s="68"/>
      <c r="I370" s="68"/>
      <c r="J370" s="69"/>
      <c r="K370" s="69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spans="1:26" ht="19.95" customHeight="1">
      <c r="A371" s="16" t="s">
        <v>686</v>
      </c>
      <c r="B371" s="49"/>
      <c r="C371" s="21" t="s">
        <v>724</v>
      </c>
      <c r="D371" s="17"/>
      <c r="E371" s="17"/>
      <c r="F371" s="17"/>
      <c r="G371" s="17"/>
      <c r="H371" s="68"/>
      <c r="I371" s="68"/>
      <c r="J371" s="69"/>
      <c r="K371" s="69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spans="1:26" ht="19.95" customHeight="1">
      <c r="A372" s="16" t="s">
        <v>687</v>
      </c>
      <c r="B372" s="49"/>
      <c r="C372" s="21" t="s">
        <v>725</v>
      </c>
      <c r="D372" s="17"/>
      <c r="E372" s="17"/>
      <c r="F372" s="17"/>
      <c r="G372" s="17"/>
      <c r="H372" s="68"/>
      <c r="I372" s="68"/>
      <c r="J372" s="69"/>
      <c r="K372" s="69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spans="1:26" ht="49.95" customHeight="1">
      <c r="A373" s="16" t="s">
        <v>44</v>
      </c>
      <c r="B373" s="20">
        <v>104737</v>
      </c>
      <c r="C373" s="73" t="s">
        <v>401</v>
      </c>
      <c r="D373" s="17"/>
      <c r="E373" s="17"/>
      <c r="F373" s="17"/>
      <c r="G373" s="17"/>
      <c r="H373" s="17"/>
      <c r="I373" s="17"/>
      <c r="J373" s="74"/>
      <c r="K373" s="69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spans="1:26" ht="19.95" customHeight="1">
      <c r="A374" s="16" t="s">
        <v>688</v>
      </c>
      <c r="B374" s="49"/>
      <c r="C374" s="21" t="s">
        <v>622</v>
      </c>
      <c r="D374" s="17"/>
      <c r="E374" s="17"/>
      <c r="F374" s="17"/>
      <c r="G374" s="17"/>
      <c r="H374" s="17"/>
      <c r="I374" s="17"/>
      <c r="J374" s="69"/>
      <c r="K374" s="69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spans="1:26" ht="25.2" customHeight="1">
      <c r="A375" s="46" t="s">
        <v>200</v>
      </c>
      <c r="B375" s="156" t="s">
        <v>40</v>
      </c>
      <c r="C375" s="156"/>
      <c r="D375" s="64"/>
      <c r="E375" s="64"/>
      <c r="F375" s="64"/>
      <c r="G375" s="64"/>
      <c r="H375" s="67"/>
      <c r="I375" s="67"/>
      <c r="J375" s="67"/>
      <c r="K375" s="67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spans="1:26" ht="49.95" customHeight="1">
      <c r="A376" s="16" t="s">
        <v>201</v>
      </c>
      <c r="B376" s="20">
        <v>96619</v>
      </c>
      <c r="C376" s="73" t="s">
        <v>402</v>
      </c>
      <c r="D376" s="17"/>
      <c r="E376" s="17"/>
      <c r="F376" s="17"/>
      <c r="G376" s="17"/>
      <c r="H376" s="17"/>
      <c r="I376" s="17"/>
      <c r="J376" s="74"/>
      <c r="K376" s="69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spans="1:26" ht="19.95" customHeight="1">
      <c r="A377" s="16" t="s">
        <v>689</v>
      </c>
      <c r="B377" s="49"/>
      <c r="C377" s="21" t="s">
        <v>722</v>
      </c>
      <c r="D377" s="17"/>
      <c r="E377" s="17"/>
      <c r="F377" s="17"/>
      <c r="G377" s="17"/>
      <c r="H377" s="68"/>
      <c r="I377" s="68"/>
      <c r="J377" s="69"/>
      <c r="K377" s="69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spans="1:26" ht="49.95" customHeight="1">
      <c r="A378" s="16" t="s">
        <v>202</v>
      </c>
      <c r="B378" s="20">
        <v>101616</v>
      </c>
      <c r="C378" s="73" t="s">
        <v>403</v>
      </c>
      <c r="D378" s="17"/>
      <c r="E378" s="17"/>
      <c r="F378" s="17"/>
      <c r="G378" s="17"/>
      <c r="H378" s="17"/>
      <c r="I378" s="17"/>
      <c r="J378" s="74"/>
      <c r="K378" s="69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spans="1:26" ht="19.95" customHeight="1">
      <c r="A379" s="16" t="s">
        <v>690</v>
      </c>
      <c r="B379" s="49"/>
      <c r="C379" s="21" t="s">
        <v>723</v>
      </c>
      <c r="D379" s="17"/>
      <c r="E379" s="17"/>
      <c r="F379" s="17"/>
      <c r="G379" s="17"/>
      <c r="H379" s="68"/>
      <c r="I379" s="68"/>
      <c r="J379" s="69"/>
      <c r="K379" s="69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spans="1:26" ht="19.95" customHeight="1">
      <c r="A380" s="16" t="s">
        <v>691</v>
      </c>
      <c r="B380" s="49"/>
      <c r="C380" s="21" t="s">
        <v>724</v>
      </c>
      <c r="D380" s="17"/>
      <c r="E380" s="17"/>
      <c r="F380" s="17"/>
      <c r="G380" s="17"/>
      <c r="H380" s="68"/>
      <c r="I380" s="68"/>
      <c r="J380" s="69"/>
      <c r="K380" s="69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spans="1:26" ht="19.95" customHeight="1">
      <c r="A381" s="16" t="s">
        <v>692</v>
      </c>
      <c r="B381" s="49"/>
      <c r="C381" s="21" t="s">
        <v>726</v>
      </c>
      <c r="D381" s="17"/>
      <c r="E381" s="17"/>
      <c r="F381" s="17"/>
      <c r="G381" s="17"/>
      <c r="H381" s="68"/>
      <c r="I381" s="68"/>
      <c r="J381" s="69"/>
      <c r="K381" s="69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spans="1:26" ht="49.95" customHeight="1">
      <c r="A382" s="16" t="s">
        <v>203</v>
      </c>
      <c r="B382" s="20">
        <v>94971</v>
      </c>
      <c r="C382" s="73" t="s">
        <v>404</v>
      </c>
      <c r="D382" s="17"/>
      <c r="E382" s="17"/>
      <c r="F382" s="17"/>
      <c r="G382" s="17"/>
      <c r="H382" s="17"/>
      <c r="I382" s="17"/>
      <c r="J382" s="74"/>
      <c r="K382" s="69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spans="1:26" ht="19.95" customHeight="1">
      <c r="A383" s="16" t="s">
        <v>693</v>
      </c>
      <c r="B383" s="49"/>
      <c r="C383" s="21" t="s">
        <v>727</v>
      </c>
      <c r="D383" s="17"/>
      <c r="E383" s="17"/>
      <c r="F383" s="17"/>
      <c r="G383" s="17"/>
      <c r="H383" s="17"/>
      <c r="I383" s="17"/>
      <c r="J383" s="69"/>
      <c r="K383" s="69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spans="1:26" ht="19.95" customHeight="1">
      <c r="A384" s="16" t="s">
        <v>694</v>
      </c>
      <c r="B384" s="49"/>
      <c r="C384" s="21" t="s">
        <v>728</v>
      </c>
      <c r="D384" s="17"/>
      <c r="E384" s="17"/>
      <c r="F384" s="17"/>
      <c r="G384" s="17"/>
      <c r="H384" s="17"/>
      <c r="I384" s="17"/>
      <c r="J384" s="69"/>
      <c r="K384" s="69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spans="1:26" ht="49.95" customHeight="1">
      <c r="A385" s="16" t="s">
        <v>204</v>
      </c>
      <c r="B385" s="20">
        <v>103670</v>
      </c>
      <c r="C385" s="73" t="s">
        <v>405</v>
      </c>
      <c r="D385" s="17"/>
      <c r="E385" s="17"/>
      <c r="F385" s="17"/>
      <c r="G385" s="17"/>
      <c r="H385" s="17"/>
      <c r="I385" s="17"/>
      <c r="J385" s="74"/>
      <c r="K385" s="69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spans="1:26" ht="19.95" customHeight="1">
      <c r="A386" s="16" t="s">
        <v>695</v>
      </c>
      <c r="B386" s="49"/>
      <c r="C386" s="21" t="s">
        <v>672</v>
      </c>
      <c r="D386" s="17"/>
      <c r="E386" s="17"/>
      <c r="F386" s="17"/>
      <c r="G386" s="17"/>
      <c r="H386" s="17"/>
      <c r="I386" s="17"/>
      <c r="J386" s="69"/>
      <c r="K386" s="69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spans="1:26" ht="49.95" customHeight="1">
      <c r="A387" s="16" t="s">
        <v>205</v>
      </c>
      <c r="B387" s="20">
        <v>104927</v>
      </c>
      <c r="C387" s="73" t="s">
        <v>406</v>
      </c>
      <c r="D387" s="17"/>
      <c r="E387" s="17"/>
      <c r="F387" s="17"/>
      <c r="G387" s="17"/>
      <c r="H387" s="17"/>
      <c r="I387" s="17"/>
      <c r="J387" s="74"/>
      <c r="K387" s="69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spans="1:26" ht="19.95" customHeight="1">
      <c r="A388" s="16" t="s">
        <v>696</v>
      </c>
      <c r="B388" s="49"/>
      <c r="C388" s="21" t="s">
        <v>727</v>
      </c>
      <c r="D388" s="17"/>
      <c r="E388" s="17"/>
      <c r="F388" s="17"/>
      <c r="G388" s="17"/>
      <c r="H388" s="17"/>
      <c r="I388" s="17"/>
      <c r="J388" s="69"/>
      <c r="K388" s="69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spans="1:26" ht="49.95" customHeight="1">
      <c r="A389" s="16" t="s">
        <v>206</v>
      </c>
      <c r="B389" s="20">
        <v>96542</v>
      </c>
      <c r="C389" s="73" t="s">
        <v>516</v>
      </c>
      <c r="D389" s="17"/>
      <c r="E389" s="17"/>
      <c r="F389" s="17"/>
      <c r="G389" s="17"/>
      <c r="H389" s="17"/>
      <c r="I389" s="17"/>
      <c r="J389" s="74"/>
      <c r="K389" s="69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spans="1:26" ht="19.95" customHeight="1">
      <c r="A390" s="16" t="s">
        <v>697</v>
      </c>
      <c r="B390" s="49"/>
      <c r="C390" s="21" t="s">
        <v>728</v>
      </c>
      <c r="D390" s="17"/>
      <c r="E390" s="17"/>
      <c r="F390" s="17"/>
      <c r="G390" s="17"/>
      <c r="H390" s="17"/>
      <c r="I390" s="17"/>
      <c r="J390" s="69"/>
      <c r="K390" s="69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spans="1:26" ht="49.95" customHeight="1">
      <c r="A391" s="16" t="s">
        <v>207</v>
      </c>
      <c r="B391" s="20">
        <v>104917</v>
      </c>
      <c r="C391" s="73" t="s">
        <v>408</v>
      </c>
      <c r="D391" s="17"/>
      <c r="E391" s="17"/>
      <c r="F391" s="17"/>
      <c r="G391" s="17"/>
      <c r="H391" s="17"/>
      <c r="I391" s="17"/>
      <c r="J391" s="74"/>
      <c r="K391" s="69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spans="1:26" ht="19.95" customHeight="1">
      <c r="A392" s="16" t="s">
        <v>698</v>
      </c>
      <c r="B392" s="49"/>
      <c r="C392" s="21" t="s">
        <v>669</v>
      </c>
      <c r="D392" s="17"/>
      <c r="E392" s="17"/>
      <c r="F392" s="17"/>
      <c r="G392" s="17"/>
      <c r="H392" s="17"/>
      <c r="I392" s="17"/>
      <c r="J392" s="69"/>
      <c r="K392" s="69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spans="1:26" ht="49.95" customHeight="1">
      <c r="A393" s="16" t="s">
        <v>208</v>
      </c>
      <c r="B393" s="20">
        <v>104916</v>
      </c>
      <c r="C393" s="73" t="s">
        <v>409</v>
      </c>
      <c r="D393" s="17"/>
      <c r="E393" s="17"/>
      <c r="F393" s="17"/>
      <c r="G393" s="17"/>
      <c r="H393" s="17"/>
      <c r="I393" s="17"/>
      <c r="J393" s="74"/>
      <c r="K393" s="69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spans="1:26" ht="19.95" customHeight="1">
      <c r="A394" s="16" t="s">
        <v>699</v>
      </c>
      <c r="B394" s="49"/>
      <c r="C394" s="21" t="s">
        <v>673</v>
      </c>
      <c r="D394" s="17"/>
      <c r="E394" s="17"/>
      <c r="F394" s="17"/>
      <c r="G394" s="17"/>
      <c r="H394" s="17"/>
      <c r="I394" s="17"/>
      <c r="J394" s="69"/>
      <c r="K394" s="69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spans="1:26" ht="49.95" customHeight="1">
      <c r="A395" s="16" t="s">
        <v>209</v>
      </c>
      <c r="B395" s="20">
        <v>104918</v>
      </c>
      <c r="C395" s="73" t="s">
        <v>410</v>
      </c>
      <c r="D395" s="17"/>
      <c r="E395" s="17"/>
      <c r="F395" s="17"/>
      <c r="G395" s="17"/>
      <c r="H395" s="17"/>
      <c r="I395" s="17"/>
      <c r="J395" s="74"/>
      <c r="K395" s="69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spans="1:26" ht="19.95" customHeight="1">
      <c r="A396" s="16" t="s">
        <v>700</v>
      </c>
      <c r="B396" s="49"/>
      <c r="C396" s="21" t="s">
        <v>673</v>
      </c>
      <c r="D396" s="17"/>
      <c r="E396" s="17"/>
      <c r="F396" s="17"/>
      <c r="G396" s="17"/>
      <c r="H396" s="17"/>
      <c r="I396" s="17"/>
      <c r="J396" s="69"/>
      <c r="K396" s="69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spans="1:26" ht="49.95" customHeight="1">
      <c r="A397" s="16" t="s">
        <v>210</v>
      </c>
      <c r="B397" s="20">
        <v>98557</v>
      </c>
      <c r="C397" s="72" t="s">
        <v>411</v>
      </c>
      <c r="D397" s="17"/>
      <c r="E397" s="17"/>
      <c r="F397" s="58"/>
      <c r="G397" s="17"/>
      <c r="H397" s="17"/>
      <c r="I397" s="17"/>
      <c r="J397" s="74"/>
      <c r="K397" s="69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spans="1:26" ht="19.95" customHeight="1">
      <c r="A398" s="16" t="s">
        <v>701</v>
      </c>
      <c r="B398" s="49"/>
      <c r="C398" s="21" t="s">
        <v>729</v>
      </c>
      <c r="D398" s="17"/>
      <c r="E398" s="17"/>
      <c r="F398" s="17"/>
      <c r="G398" s="17"/>
      <c r="H398" s="68"/>
      <c r="I398" s="68"/>
      <c r="J398" s="69"/>
      <c r="K398" s="69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spans="1:26" ht="19.95" customHeight="1">
      <c r="A399" s="16" t="s">
        <v>702</v>
      </c>
      <c r="B399" s="49"/>
      <c r="C399" s="21" t="s">
        <v>730</v>
      </c>
      <c r="D399" s="17"/>
      <c r="E399" s="17"/>
      <c r="F399" s="17"/>
      <c r="G399" s="17"/>
      <c r="H399" s="68"/>
      <c r="I399" s="68"/>
      <c r="J399" s="69"/>
      <c r="K399" s="69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spans="1:26" ht="25.2" customHeight="1">
      <c r="A400" s="46" t="s">
        <v>211</v>
      </c>
      <c r="B400" s="156" t="s">
        <v>39</v>
      </c>
      <c r="C400" s="156"/>
      <c r="D400" s="64"/>
      <c r="E400" s="64"/>
      <c r="F400" s="64"/>
      <c r="G400" s="64"/>
      <c r="H400" s="67"/>
      <c r="I400" s="67"/>
      <c r="J400" s="67"/>
      <c r="K400" s="67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spans="1:26" ht="49.95" customHeight="1">
      <c r="A401" s="16" t="s">
        <v>212</v>
      </c>
      <c r="B401" s="20">
        <v>92429</v>
      </c>
      <c r="C401" s="73" t="s">
        <v>412</v>
      </c>
      <c r="D401" s="17"/>
      <c r="E401" s="17"/>
      <c r="F401" s="17"/>
      <c r="G401" s="17"/>
      <c r="H401" s="17"/>
      <c r="I401" s="17"/>
      <c r="J401" s="74"/>
      <c r="K401" s="69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spans="1:26" ht="19.95" customHeight="1">
      <c r="A402" s="16" t="s">
        <v>703</v>
      </c>
      <c r="B402" s="49"/>
      <c r="C402" s="21" t="s">
        <v>731</v>
      </c>
      <c r="D402" s="17"/>
      <c r="E402" s="17"/>
      <c r="F402" s="17"/>
      <c r="G402" s="17"/>
      <c r="H402" s="17"/>
      <c r="I402" s="17"/>
      <c r="J402" s="69"/>
      <c r="K402" s="69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spans="1:26" ht="49.95" customHeight="1">
      <c r="A403" s="16" t="s">
        <v>213</v>
      </c>
      <c r="B403" s="20">
        <v>92476</v>
      </c>
      <c r="C403" s="86" t="s">
        <v>413</v>
      </c>
      <c r="D403" s="17"/>
      <c r="E403" s="17"/>
      <c r="F403" s="17"/>
      <c r="G403" s="17"/>
      <c r="H403" s="17"/>
      <c r="I403" s="17"/>
      <c r="J403" s="74"/>
      <c r="K403" s="69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spans="1:26" ht="19.95" customHeight="1">
      <c r="A404" s="16" t="s">
        <v>704</v>
      </c>
      <c r="B404" s="49"/>
      <c r="C404" s="21" t="s">
        <v>732</v>
      </c>
      <c r="D404" s="17"/>
      <c r="E404" s="17"/>
      <c r="F404" s="17"/>
      <c r="G404" s="17"/>
      <c r="H404" s="17"/>
      <c r="I404" s="17"/>
      <c r="J404" s="69"/>
      <c r="K404" s="69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spans="1:26" ht="19.95" customHeight="1">
      <c r="A405" s="16" t="s">
        <v>705</v>
      </c>
      <c r="B405" s="49"/>
      <c r="C405" s="21" t="s">
        <v>733</v>
      </c>
      <c r="D405" s="17"/>
      <c r="E405" s="17"/>
      <c r="F405" s="17"/>
      <c r="G405" s="17"/>
      <c r="H405" s="17"/>
      <c r="I405" s="17"/>
      <c r="J405" s="69"/>
      <c r="K405" s="69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spans="1:26" ht="49.95" customHeight="1">
      <c r="A406" s="16" t="s">
        <v>214</v>
      </c>
      <c r="B406" s="20">
        <v>92759</v>
      </c>
      <c r="C406" s="73" t="s">
        <v>415</v>
      </c>
      <c r="D406" s="17"/>
      <c r="E406" s="17"/>
      <c r="F406" s="17"/>
      <c r="G406" s="17"/>
      <c r="H406" s="17"/>
      <c r="I406" s="17"/>
      <c r="J406" s="74"/>
      <c r="K406" s="69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spans="1:26" ht="19.95" customHeight="1">
      <c r="A407" s="16" t="s">
        <v>706</v>
      </c>
      <c r="B407" s="49"/>
      <c r="C407" s="21" t="s">
        <v>676</v>
      </c>
      <c r="D407" s="17"/>
      <c r="E407" s="17"/>
      <c r="F407" s="17"/>
      <c r="G407" s="17"/>
      <c r="H407" s="17"/>
      <c r="I407" s="17"/>
      <c r="J407" s="69"/>
      <c r="K407" s="69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spans="1:26" ht="19.95" customHeight="1">
      <c r="A408" s="16" t="s">
        <v>707</v>
      </c>
      <c r="B408" s="49"/>
      <c r="C408" s="21" t="s">
        <v>732</v>
      </c>
      <c r="D408" s="17"/>
      <c r="E408" s="17"/>
      <c r="F408" s="17"/>
      <c r="G408" s="17"/>
      <c r="H408" s="17"/>
      <c r="I408" s="17"/>
      <c r="J408" s="69"/>
      <c r="K408" s="69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spans="1:26" ht="19.95" customHeight="1">
      <c r="A409" s="16" t="s">
        <v>708</v>
      </c>
      <c r="B409" s="49"/>
      <c r="C409" s="21" t="s">
        <v>733</v>
      </c>
      <c r="D409" s="17"/>
      <c r="E409" s="17"/>
      <c r="F409" s="17"/>
      <c r="G409" s="17"/>
      <c r="H409" s="17"/>
      <c r="I409" s="17"/>
      <c r="J409" s="69"/>
      <c r="K409" s="69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spans="1:26" ht="49.95" customHeight="1">
      <c r="A410" s="16" t="s">
        <v>215</v>
      </c>
      <c r="B410" s="20">
        <v>104108</v>
      </c>
      <c r="C410" s="86" t="s">
        <v>416</v>
      </c>
      <c r="D410" s="17"/>
      <c r="E410" s="17"/>
      <c r="F410" s="17"/>
      <c r="G410" s="17"/>
      <c r="H410" s="17"/>
      <c r="I410" s="17"/>
      <c r="J410" s="74"/>
      <c r="K410" s="69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spans="1:26" ht="19.95" customHeight="1">
      <c r="A411" s="16" t="s">
        <v>709</v>
      </c>
      <c r="B411" s="49"/>
      <c r="C411" s="21" t="s">
        <v>676</v>
      </c>
      <c r="D411" s="17"/>
      <c r="E411" s="17"/>
      <c r="F411" s="17"/>
      <c r="G411" s="17"/>
      <c r="H411" s="17"/>
      <c r="I411" s="17"/>
      <c r="J411" s="69"/>
      <c r="K411" s="69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spans="1:26" ht="19.95" customHeight="1">
      <c r="A412" s="16" t="s">
        <v>710</v>
      </c>
      <c r="B412" s="49"/>
      <c r="C412" s="21" t="s">
        <v>680</v>
      </c>
      <c r="D412" s="17"/>
      <c r="E412" s="17"/>
      <c r="F412" s="17"/>
      <c r="G412" s="17"/>
      <c r="H412" s="17"/>
      <c r="I412" s="17"/>
      <c r="J412" s="69"/>
      <c r="K412" s="69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spans="1:26" ht="49.95" customHeight="1">
      <c r="A413" s="16" t="s">
        <v>216</v>
      </c>
      <c r="B413" s="20">
        <v>92761</v>
      </c>
      <c r="C413" s="86" t="s">
        <v>417</v>
      </c>
      <c r="D413" s="17"/>
      <c r="E413" s="17"/>
      <c r="F413" s="17"/>
      <c r="G413" s="17"/>
      <c r="H413" s="17"/>
      <c r="I413" s="17"/>
      <c r="J413" s="74"/>
      <c r="K413" s="69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spans="1:26" ht="19.95" customHeight="1">
      <c r="A414" s="16" t="s">
        <v>711</v>
      </c>
      <c r="B414" s="49"/>
      <c r="C414" s="21" t="s">
        <v>732</v>
      </c>
      <c r="D414" s="17"/>
      <c r="E414" s="17"/>
      <c r="F414" s="17"/>
      <c r="G414" s="17"/>
      <c r="H414" s="17"/>
      <c r="I414" s="17"/>
      <c r="J414" s="69"/>
      <c r="K414" s="69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spans="1:26" ht="19.95" customHeight="1">
      <c r="A415" s="16" t="s">
        <v>712</v>
      </c>
      <c r="B415" s="49"/>
      <c r="C415" s="21" t="s">
        <v>733</v>
      </c>
      <c r="D415" s="17"/>
      <c r="E415" s="17"/>
      <c r="F415" s="17"/>
      <c r="G415" s="17"/>
      <c r="H415" s="17"/>
      <c r="I415" s="17"/>
      <c r="J415" s="69"/>
      <c r="K415" s="69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spans="1:26" ht="49.95" customHeight="1">
      <c r="A416" s="16" t="s">
        <v>217</v>
      </c>
      <c r="B416" s="20">
        <v>94971</v>
      </c>
      <c r="C416" s="73" t="s">
        <v>404</v>
      </c>
      <c r="D416" s="17"/>
      <c r="E416" s="17"/>
      <c r="F416" s="17"/>
      <c r="G416" s="17"/>
      <c r="H416" s="17"/>
      <c r="I416" s="17"/>
      <c r="J416" s="74"/>
      <c r="K416" s="69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spans="1:26" ht="19.95" customHeight="1">
      <c r="A417" s="16" t="s">
        <v>713</v>
      </c>
      <c r="B417" s="49"/>
      <c r="C417" s="21" t="s">
        <v>676</v>
      </c>
      <c r="D417" s="17"/>
      <c r="E417" s="17"/>
      <c r="F417" s="17"/>
      <c r="G417" s="17"/>
      <c r="H417" s="17"/>
      <c r="I417" s="17"/>
      <c r="J417" s="69"/>
      <c r="K417" s="69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spans="1:26" ht="19.95" customHeight="1">
      <c r="A418" s="16" t="s">
        <v>714</v>
      </c>
      <c r="B418" s="49"/>
      <c r="C418" s="21" t="s">
        <v>732</v>
      </c>
      <c r="D418" s="17"/>
      <c r="E418" s="17"/>
      <c r="F418" s="17"/>
      <c r="G418" s="17"/>
      <c r="H418" s="17"/>
      <c r="I418" s="17"/>
      <c r="J418" s="69"/>
      <c r="K418" s="69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spans="1:26" ht="19.95" customHeight="1">
      <c r="A419" s="16" t="s">
        <v>715</v>
      </c>
      <c r="B419" s="49"/>
      <c r="C419" s="21" t="s">
        <v>733</v>
      </c>
      <c r="D419" s="17"/>
      <c r="E419" s="17"/>
      <c r="F419" s="17"/>
      <c r="G419" s="17"/>
      <c r="H419" s="17"/>
      <c r="I419" s="17"/>
      <c r="J419" s="69"/>
      <c r="K419" s="69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spans="1:26" ht="19.95" customHeight="1">
      <c r="A420" s="16" t="s">
        <v>716</v>
      </c>
      <c r="B420" s="49"/>
      <c r="C420" s="21" t="s">
        <v>682</v>
      </c>
      <c r="D420" s="17"/>
      <c r="E420" s="17"/>
      <c r="F420" s="17"/>
      <c r="G420" s="17"/>
      <c r="H420" s="17"/>
      <c r="I420" s="17"/>
      <c r="J420" s="69"/>
      <c r="K420" s="69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spans="1:26" ht="49.95" customHeight="1">
      <c r="A421" s="16" t="s">
        <v>218</v>
      </c>
      <c r="B421" s="20">
        <v>103670</v>
      </c>
      <c r="C421" s="86" t="s">
        <v>405</v>
      </c>
      <c r="D421" s="17"/>
      <c r="E421" s="17"/>
      <c r="F421" s="17"/>
      <c r="G421" s="17"/>
      <c r="H421" s="17"/>
      <c r="I421" s="17"/>
      <c r="J421" s="74"/>
      <c r="K421" s="69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spans="1:26" ht="19.95" customHeight="1">
      <c r="A422" s="16" t="s">
        <v>717</v>
      </c>
      <c r="B422" s="49"/>
      <c r="C422" s="21" t="s">
        <v>676</v>
      </c>
      <c r="D422" s="17"/>
      <c r="E422" s="17"/>
      <c r="F422" s="17"/>
      <c r="G422" s="17"/>
      <c r="H422" s="17"/>
      <c r="I422" s="17"/>
      <c r="J422" s="69"/>
      <c r="K422" s="69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spans="1:26" ht="19.95" customHeight="1">
      <c r="A423" s="16" t="s">
        <v>734</v>
      </c>
      <c r="B423" s="49"/>
      <c r="C423" s="21" t="s">
        <v>732</v>
      </c>
      <c r="D423" s="17"/>
      <c r="E423" s="17"/>
      <c r="F423" s="17"/>
      <c r="G423" s="17"/>
      <c r="H423" s="17"/>
      <c r="I423" s="17"/>
      <c r="J423" s="69"/>
      <c r="K423" s="69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spans="1:26" ht="19.95" customHeight="1">
      <c r="A424" s="16" t="s">
        <v>735</v>
      </c>
      <c r="B424" s="49"/>
      <c r="C424" s="21" t="s">
        <v>733</v>
      </c>
      <c r="D424" s="17"/>
      <c r="E424" s="17"/>
      <c r="F424" s="17"/>
      <c r="G424" s="17"/>
      <c r="H424" s="17"/>
      <c r="I424" s="17"/>
      <c r="J424" s="69"/>
      <c r="K424" s="69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spans="1:26" ht="19.95" customHeight="1">
      <c r="A425" s="16" t="s">
        <v>736</v>
      </c>
      <c r="B425" s="49"/>
      <c r="C425" s="21" t="s">
        <v>682</v>
      </c>
      <c r="D425" s="17"/>
      <c r="E425" s="17"/>
      <c r="F425" s="17"/>
      <c r="G425" s="17"/>
      <c r="H425" s="17"/>
      <c r="I425" s="17"/>
      <c r="J425" s="69"/>
      <c r="K425" s="69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spans="1:26" ht="49.95" customHeight="1">
      <c r="A426" s="16" t="s">
        <v>219</v>
      </c>
      <c r="B426" s="20">
        <v>92486</v>
      </c>
      <c r="C426" s="73" t="s">
        <v>414</v>
      </c>
      <c r="D426" s="17"/>
      <c r="E426" s="17"/>
      <c r="F426" s="17"/>
      <c r="G426" s="17"/>
      <c r="H426" s="17"/>
      <c r="I426" s="17"/>
      <c r="J426" s="74"/>
      <c r="K426" s="69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spans="1:26" ht="19.95" customHeight="1">
      <c r="A427" s="16" t="s">
        <v>718</v>
      </c>
      <c r="B427" s="49"/>
      <c r="C427" s="21"/>
      <c r="D427" s="17"/>
      <c r="E427" s="17"/>
      <c r="F427" s="17"/>
      <c r="G427" s="17"/>
      <c r="H427" s="17"/>
      <c r="I427" s="17"/>
      <c r="J427" s="69"/>
      <c r="K427" s="69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spans="1:26" ht="49.95" customHeight="1">
      <c r="A428" s="16" t="s">
        <v>220</v>
      </c>
      <c r="B428" s="20">
        <v>92769</v>
      </c>
      <c r="C428" s="86" t="s">
        <v>420</v>
      </c>
      <c r="D428" s="17"/>
      <c r="E428" s="17"/>
      <c r="F428" s="17"/>
      <c r="G428" s="17"/>
      <c r="H428" s="17"/>
      <c r="I428" s="17"/>
      <c r="J428" s="74"/>
      <c r="K428" s="69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spans="1:26" ht="19.95" customHeight="1">
      <c r="A429" s="16" t="s">
        <v>719</v>
      </c>
      <c r="B429" s="49"/>
      <c r="C429" s="21"/>
      <c r="D429" s="17"/>
      <c r="E429" s="17"/>
      <c r="F429" s="17"/>
      <c r="G429" s="17"/>
      <c r="H429" s="17"/>
      <c r="I429" s="17"/>
      <c r="J429" s="69"/>
      <c r="K429" s="69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spans="1:26" ht="49.95" customHeight="1">
      <c r="A430" s="16" t="s">
        <v>221</v>
      </c>
      <c r="B430" s="20">
        <v>92770</v>
      </c>
      <c r="C430" s="86" t="s">
        <v>517</v>
      </c>
      <c r="D430" s="17"/>
      <c r="E430" s="17"/>
      <c r="F430" s="17"/>
      <c r="G430" s="17"/>
      <c r="H430" s="17"/>
      <c r="I430" s="17"/>
      <c r="J430" s="74"/>
      <c r="K430" s="69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spans="1:26" ht="19.95" customHeight="1">
      <c r="A431" s="16" t="s">
        <v>720</v>
      </c>
      <c r="B431" s="49"/>
      <c r="C431" s="21"/>
      <c r="D431" s="17"/>
      <c r="E431" s="17"/>
      <c r="F431" s="17"/>
      <c r="G431" s="17"/>
      <c r="H431" s="17"/>
      <c r="I431" s="17"/>
      <c r="J431" s="69"/>
      <c r="K431" s="69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spans="1:26" ht="25.2" customHeight="1">
      <c r="A432" s="46" t="s">
        <v>222</v>
      </c>
      <c r="B432" s="156" t="s">
        <v>95</v>
      </c>
      <c r="C432" s="156"/>
      <c r="D432" s="64"/>
      <c r="E432" s="64"/>
      <c r="F432" s="64"/>
      <c r="G432" s="64"/>
      <c r="H432" s="67"/>
      <c r="I432" s="67"/>
      <c r="J432" s="67"/>
      <c r="K432" s="67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spans="1:26" ht="49.95" customHeight="1">
      <c r="A433" s="16" t="s">
        <v>223</v>
      </c>
      <c r="B433" s="20">
        <v>103356</v>
      </c>
      <c r="C433" s="73" t="s">
        <v>421</v>
      </c>
      <c r="D433" s="17"/>
      <c r="E433" s="17"/>
      <c r="F433" s="17"/>
      <c r="G433" s="17"/>
      <c r="H433" s="17"/>
      <c r="I433" s="17"/>
      <c r="J433" s="74"/>
      <c r="K433" s="69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spans="1:26" s="93" customFormat="1" ht="19.95" customHeight="1">
      <c r="A434" s="96" t="s">
        <v>959</v>
      </c>
      <c r="B434" s="102"/>
      <c r="C434" s="98" t="s">
        <v>971</v>
      </c>
      <c r="D434" s="97"/>
      <c r="E434" s="97"/>
      <c r="F434" s="97"/>
      <c r="G434" s="97"/>
      <c r="H434" s="104"/>
      <c r="I434" s="104"/>
      <c r="J434" s="105"/>
      <c r="K434" s="105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spans="1:26" s="93" customFormat="1" ht="19.95" customHeight="1">
      <c r="A435" s="96" t="s">
        <v>960</v>
      </c>
      <c r="B435" s="102"/>
      <c r="C435" s="98" t="s">
        <v>867</v>
      </c>
      <c r="D435" s="97"/>
      <c r="E435" s="97"/>
      <c r="F435" s="97"/>
      <c r="G435" s="97"/>
      <c r="H435" s="104"/>
      <c r="I435" s="104"/>
      <c r="J435" s="105"/>
      <c r="K435" s="105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spans="1:26" s="93" customFormat="1" ht="19.95" customHeight="1">
      <c r="A436" s="96" t="s">
        <v>961</v>
      </c>
      <c r="B436" s="102"/>
      <c r="C436" s="98" t="s">
        <v>972</v>
      </c>
      <c r="D436" s="97"/>
      <c r="E436" s="97"/>
      <c r="F436" s="97"/>
      <c r="G436" s="97"/>
      <c r="H436" s="104"/>
      <c r="I436" s="104"/>
      <c r="J436" s="105"/>
      <c r="K436" s="105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spans="1:26" s="93" customFormat="1" ht="19.95" customHeight="1">
      <c r="A437" s="96" t="s">
        <v>962</v>
      </c>
      <c r="B437" s="102"/>
      <c r="C437" s="98" t="s">
        <v>869</v>
      </c>
      <c r="D437" s="97"/>
      <c r="E437" s="97"/>
      <c r="F437" s="97"/>
      <c r="G437" s="97"/>
      <c r="H437" s="104"/>
      <c r="I437" s="104"/>
      <c r="J437" s="105"/>
      <c r="K437" s="105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spans="1:26" s="93" customFormat="1" ht="19.95" customHeight="1">
      <c r="A438" s="96" t="s">
        <v>963</v>
      </c>
      <c r="B438" s="102"/>
      <c r="C438" s="98" t="s">
        <v>867</v>
      </c>
      <c r="D438" s="97"/>
      <c r="E438" s="97"/>
      <c r="F438" s="97"/>
      <c r="G438" s="97"/>
      <c r="H438" s="104"/>
      <c r="I438" s="104"/>
      <c r="J438" s="105"/>
      <c r="K438" s="105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spans="1:26" s="93" customFormat="1" ht="19.95" customHeight="1">
      <c r="A439" s="96" t="s">
        <v>964</v>
      </c>
      <c r="B439" s="102"/>
      <c r="C439" s="98" t="s">
        <v>870</v>
      </c>
      <c r="D439" s="97"/>
      <c r="E439" s="97"/>
      <c r="F439" s="97"/>
      <c r="G439" s="97"/>
      <c r="H439" s="104"/>
      <c r="I439" s="104"/>
      <c r="J439" s="105"/>
      <c r="K439" s="105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spans="1:26" ht="49.95" customHeight="1">
      <c r="A440" s="16" t="s">
        <v>224</v>
      </c>
      <c r="B440" s="20">
        <v>105023</v>
      </c>
      <c r="C440" s="73" t="s">
        <v>422</v>
      </c>
      <c r="D440" s="17"/>
      <c r="E440" s="17"/>
      <c r="F440" s="17"/>
      <c r="G440" s="17"/>
      <c r="H440" s="17"/>
      <c r="I440" s="17"/>
      <c r="J440" s="74"/>
      <c r="K440" s="69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spans="1:26" s="93" customFormat="1" ht="19.95" customHeight="1">
      <c r="A441" s="96" t="s">
        <v>965</v>
      </c>
      <c r="B441" s="102"/>
      <c r="C441" s="98"/>
      <c r="D441" s="97"/>
      <c r="E441" s="97"/>
      <c r="F441" s="97"/>
      <c r="G441" s="97"/>
      <c r="H441" s="104"/>
      <c r="I441" s="104"/>
      <c r="J441" s="105"/>
      <c r="K441" s="105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spans="1:26" s="93" customFormat="1" ht="19.95" customHeight="1">
      <c r="A442" s="96" t="s">
        <v>966</v>
      </c>
      <c r="B442" s="102"/>
      <c r="C442" s="98"/>
      <c r="D442" s="97"/>
      <c r="E442" s="97"/>
      <c r="F442" s="97"/>
      <c r="G442" s="97"/>
      <c r="H442" s="97"/>
      <c r="I442" s="97"/>
      <c r="J442" s="105"/>
      <c r="K442" s="105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spans="1:26" s="93" customFormat="1" ht="19.95" customHeight="1">
      <c r="A443" s="96" t="s">
        <v>967</v>
      </c>
      <c r="B443" s="102"/>
      <c r="C443" s="98"/>
      <c r="D443" s="97"/>
      <c r="E443" s="97"/>
      <c r="F443" s="97"/>
      <c r="G443" s="97"/>
      <c r="H443" s="104"/>
      <c r="I443" s="104"/>
      <c r="J443" s="105"/>
      <c r="K443" s="105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spans="1:26" s="93" customFormat="1" ht="19.95" customHeight="1">
      <c r="A444" s="96" t="s">
        <v>968</v>
      </c>
      <c r="B444" s="102"/>
      <c r="C444" s="98"/>
      <c r="D444" s="97"/>
      <c r="E444" s="97"/>
      <c r="F444" s="97"/>
      <c r="G444" s="97"/>
      <c r="H444" s="97"/>
      <c r="I444" s="97"/>
      <c r="J444" s="105"/>
      <c r="K444" s="105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spans="1:26" ht="49.95" customHeight="1">
      <c r="A445" s="16" t="s">
        <v>225</v>
      </c>
      <c r="B445" s="20">
        <v>105029</v>
      </c>
      <c r="C445" s="73" t="s">
        <v>423</v>
      </c>
      <c r="D445" s="17"/>
      <c r="E445" s="17"/>
      <c r="F445" s="17"/>
      <c r="G445" s="17"/>
      <c r="H445" s="17"/>
      <c r="I445" s="17"/>
      <c r="J445" s="74"/>
      <c r="K445" s="69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spans="1:26" s="93" customFormat="1" ht="19.95" customHeight="1">
      <c r="A446" s="96" t="s">
        <v>969</v>
      </c>
      <c r="B446" s="102"/>
      <c r="C446" s="98"/>
      <c r="D446" s="97"/>
      <c r="E446" s="97"/>
      <c r="F446" s="97"/>
      <c r="G446" s="97"/>
      <c r="H446" s="97"/>
      <c r="I446" s="104"/>
      <c r="J446" s="105"/>
      <c r="K446" s="105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spans="1:26" s="93" customFormat="1" ht="19.95" customHeight="1">
      <c r="A447" s="96" t="s">
        <v>970</v>
      </c>
      <c r="B447" s="102"/>
      <c r="C447" s="98"/>
      <c r="D447" s="97"/>
      <c r="E447" s="97"/>
      <c r="F447" s="97"/>
      <c r="G447" s="97"/>
      <c r="H447" s="97"/>
      <c r="I447" s="97"/>
      <c r="J447" s="105"/>
      <c r="K447" s="105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spans="1:26" ht="25.2" customHeight="1">
      <c r="A448" s="46" t="s">
        <v>226</v>
      </c>
      <c r="B448" s="156" t="s">
        <v>45</v>
      </c>
      <c r="C448" s="156"/>
      <c r="D448" s="64"/>
      <c r="E448" s="64"/>
      <c r="F448" s="64"/>
      <c r="G448" s="64"/>
      <c r="H448" s="67"/>
      <c r="I448" s="67"/>
      <c r="J448" s="67"/>
      <c r="K448" s="67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spans="1:26" ht="49.95" customHeight="1">
      <c r="A449" s="16" t="s">
        <v>227</v>
      </c>
      <c r="B449" s="17">
        <v>87878</v>
      </c>
      <c r="C449" s="73" t="s">
        <v>424</v>
      </c>
      <c r="D449" s="17"/>
      <c r="E449" s="17"/>
      <c r="F449" s="17"/>
      <c r="G449" s="17"/>
      <c r="H449" s="17"/>
      <c r="I449" s="17"/>
      <c r="J449" s="74"/>
      <c r="K449" s="69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spans="1:26" s="93" customFormat="1" ht="19.5" customHeight="1">
      <c r="A450" s="96" t="s">
        <v>1145</v>
      </c>
      <c r="B450" s="102"/>
      <c r="C450" s="98" t="s">
        <v>1168</v>
      </c>
      <c r="D450" s="97"/>
      <c r="E450" s="97"/>
      <c r="F450" s="97"/>
      <c r="G450" s="97"/>
      <c r="H450" s="97"/>
      <c r="I450" s="97"/>
      <c r="J450" s="105"/>
      <c r="K450" s="105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spans="1:26" s="93" customFormat="1" ht="19.5" customHeight="1">
      <c r="A451" s="96" t="s">
        <v>1146</v>
      </c>
      <c r="B451" s="102"/>
      <c r="C451" s="98" t="s">
        <v>867</v>
      </c>
      <c r="D451" s="97"/>
      <c r="E451" s="97"/>
      <c r="F451" s="97"/>
      <c r="G451" s="97"/>
      <c r="H451" s="97"/>
      <c r="I451" s="97"/>
      <c r="J451" s="105"/>
      <c r="K451" s="105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spans="1:26" s="93" customFormat="1" ht="19.5" customHeight="1">
      <c r="A452" s="96" t="s">
        <v>1147</v>
      </c>
      <c r="B452" s="102"/>
      <c r="C452" s="98" t="s">
        <v>1163</v>
      </c>
      <c r="D452" s="97"/>
      <c r="E452" s="97"/>
      <c r="F452" s="97"/>
      <c r="G452" s="97"/>
      <c r="H452" s="97"/>
      <c r="I452" s="97"/>
      <c r="J452" s="105"/>
      <c r="K452" s="105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spans="1:26" s="93" customFormat="1" ht="19.5" customHeight="1">
      <c r="A453" s="96" t="s">
        <v>1148</v>
      </c>
      <c r="B453" s="102"/>
      <c r="C453" s="98" t="s">
        <v>869</v>
      </c>
      <c r="D453" s="97"/>
      <c r="E453" s="97"/>
      <c r="F453" s="97"/>
      <c r="G453" s="97"/>
      <c r="H453" s="97"/>
      <c r="I453" s="97"/>
      <c r="J453" s="105"/>
      <c r="K453" s="105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spans="1:26" s="93" customFormat="1" ht="19.5" customHeight="1">
      <c r="A454" s="96" t="s">
        <v>1149</v>
      </c>
      <c r="B454" s="102"/>
      <c r="C454" s="98" t="s">
        <v>867</v>
      </c>
      <c r="D454" s="97"/>
      <c r="E454" s="97"/>
      <c r="F454" s="97"/>
      <c r="G454" s="97"/>
      <c r="H454" s="97"/>
      <c r="I454" s="97"/>
      <c r="J454" s="105"/>
      <c r="K454" s="105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spans="1:26" s="93" customFormat="1" ht="19.5" customHeight="1">
      <c r="A455" s="96" t="s">
        <v>1150</v>
      </c>
      <c r="B455" s="102"/>
      <c r="C455" s="98" t="s">
        <v>870</v>
      </c>
      <c r="D455" s="97"/>
      <c r="E455" s="97"/>
      <c r="F455" s="97"/>
      <c r="G455" s="97"/>
      <c r="H455" s="97"/>
      <c r="I455" s="97"/>
      <c r="J455" s="105"/>
      <c r="K455" s="105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spans="1:26" ht="49.95" customHeight="1">
      <c r="A456" s="16" t="s">
        <v>228</v>
      </c>
      <c r="B456" s="17">
        <v>87545</v>
      </c>
      <c r="C456" s="73" t="s">
        <v>425</v>
      </c>
      <c r="D456" s="17"/>
      <c r="E456" s="17"/>
      <c r="F456" s="122"/>
      <c r="G456" s="17"/>
      <c r="H456" s="17"/>
      <c r="I456" s="17"/>
      <c r="J456" s="74"/>
      <c r="K456" s="105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spans="1:26" s="93" customFormat="1" ht="19.5" customHeight="1">
      <c r="A457" s="96" t="s">
        <v>1151</v>
      </c>
      <c r="B457" s="102"/>
      <c r="C457" s="98" t="s">
        <v>1168</v>
      </c>
      <c r="D457" s="97"/>
      <c r="E457" s="97"/>
      <c r="F457" s="97"/>
      <c r="G457" s="97"/>
      <c r="H457" s="97"/>
      <c r="I457" s="97"/>
      <c r="J457" s="105"/>
      <c r="K457" s="105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spans="1:26" s="93" customFormat="1" ht="19.5" customHeight="1">
      <c r="A458" s="96" t="s">
        <v>1152</v>
      </c>
      <c r="B458" s="102"/>
      <c r="C458" s="98" t="s">
        <v>867</v>
      </c>
      <c r="D458" s="97"/>
      <c r="E458" s="97"/>
      <c r="F458" s="97"/>
      <c r="G458" s="97"/>
      <c r="H458" s="97"/>
      <c r="I458" s="97"/>
      <c r="J458" s="105"/>
      <c r="K458" s="105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spans="1:26" s="93" customFormat="1" ht="19.5" customHeight="1">
      <c r="A459" s="96" t="s">
        <v>1153</v>
      </c>
      <c r="B459" s="102"/>
      <c r="C459" s="98" t="s">
        <v>1163</v>
      </c>
      <c r="D459" s="97"/>
      <c r="E459" s="97"/>
      <c r="F459" s="97"/>
      <c r="G459" s="97"/>
      <c r="H459" s="97"/>
      <c r="I459" s="97"/>
      <c r="J459" s="105"/>
      <c r="K459" s="105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spans="1:26" s="93" customFormat="1" ht="19.5" customHeight="1">
      <c r="A460" s="96" t="s">
        <v>1154</v>
      </c>
      <c r="B460" s="102"/>
      <c r="C460" s="98" t="s">
        <v>869</v>
      </c>
      <c r="D460" s="97"/>
      <c r="E460" s="97"/>
      <c r="F460" s="97"/>
      <c r="G460" s="97"/>
      <c r="H460" s="97"/>
      <c r="I460" s="97"/>
      <c r="J460" s="105"/>
      <c r="K460" s="105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spans="1:26" s="93" customFormat="1" ht="19.5" customHeight="1">
      <c r="A461" s="96" t="s">
        <v>1155</v>
      </c>
      <c r="B461" s="102"/>
      <c r="C461" s="98" t="s">
        <v>867</v>
      </c>
      <c r="D461" s="97"/>
      <c r="E461" s="97"/>
      <c r="F461" s="97"/>
      <c r="G461" s="97"/>
      <c r="H461" s="97"/>
      <c r="I461" s="97"/>
      <c r="J461" s="105"/>
      <c r="K461" s="105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spans="1:26" s="93" customFormat="1" ht="19.5" customHeight="1">
      <c r="A462" s="96" t="s">
        <v>1156</v>
      </c>
      <c r="B462" s="102"/>
      <c r="C462" s="98" t="s">
        <v>870</v>
      </c>
      <c r="D462" s="97"/>
      <c r="E462" s="97"/>
      <c r="F462" s="97"/>
      <c r="G462" s="97"/>
      <c r="H462" s="97"/>
      <c r="I462" s="97"/>
      <c r="J462" s="105"/>
      <c r="K462" s="105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spans="1:26" ht="49.95" customHeight="1">
      <c r="A463" s="16" t="s">
        <v>229</v>
      </c>
      <c r="B463" s="17">
        <v>87529</v>
      </c>
      <c r="C463" s="73" t="s">
        <v>426</v>
      </c>
      <c r="D463" s="97"/>
      <c r="E463" s="97"/>
      <c r="F463" s="122"/>
      <c r="G463" s="97"/>
      <c r="H463" s="97"/>
      <c r="I463" s="97"/>
      <c r="J463" s="106"/>
      <c r="K463" s="105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spans="1:26" s="93" customFormat="1" ht="19.5" customHeight="1">
      <c r="A464" s="96" t="s">
        <v>1157</v>
      </c>
      <c r="B464" s="102"/>
      <c r="C464" s="98" t="s">
        <v>1168</v>
      </c>
      <c r="D464" s="97"/>
      <c r="E464" s="97"/>
      <c r="F464" s="97"/>
      <c r="G464" s="97"/>
      <c r="H464" s="97"/>
      <c r="I464" s="97"/>
      <c r="J464" s="105"/>
      <c r="K464" s="105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spans="1:26" s="93" customFormat="1" ht="19.5" customHeight="1">
      <c r="A465" s="96" t="s">
        <v>1158</v>
      </c>
      <c r="B465" s="102"/>
      <c r="C465" s="98" t="s">
        <v>867</v>
      </c>
      <c r="D465" s="97"/>
      <c r="E465" s="97"/>
      <c r="F465" s="97"/>
      <c r="G465" s="97"/>
      <c r="H465" s="97"/>
      <c r="I465" s="97"/>
      <c r="J465" s="105"/>
      <c r="K465" s="105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spans="1:26" s="93" customFormat="1" ht="19.5" customHeight="1">
      <c r="A466" s="96" t="s">
        <v>1159</v>
      </c>
      <c r="B466" s="102"/>
      <c r="C466" s="98" t="s">
        <v>1163</v>
      </c>
      <c r="D466" s="97"/>
      <c r="E466" s="97"/>
      <c r="F466" s="97"/>
      <c r="G466" s="97"/>
      <c r="H466" s="97"/>
      <c r="I466" s="97"/>
      <c r="J466" s="105"/>
      <c r="K466" s="105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spans="1:26" s="93" customFormat="1" ht="19.5" customHeight="1">
      <c r="A467" s="96" t="s">
        <v>1160</v>
      </c>
      <c r="B467" s="102"/>
      <c r="C467" s="98" t="s">
        <v>869</v>
      </c>
      <c r="D467" s="97"/>
      <c r="E467" s="97"/>
      <c r="F467" s="97"/>
      <c r="G467" s="97"/>
      <c r="H467" s="97"/>
      <c r="I467" s="97"/>
      <c r="J467" s="105"/>
      <c r="K467" s="105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spans="1:26" s="93" customFormat="1" ht="19.5" customHeight="1">
      <c r="A468" s="96" t="s">
        <v>1161</v>
      </c>
      <c r="B468" s="102"/>
      <c r="C468" s="98" t="s">
        <v>867</v>
      </c>
      <c r="D468" s="97"/>
      <c r="E468" s="97"/>
      <c r="F468" s="97"/>
      <c r="G468" s="97"/>
      <c r="H468" s="97"/>
      <c r="I468" s="97"/>
      <c r="J468" s="105"/>
      <c r="K468" s="105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spans="1:26" s="93" customFormat="1" ht="19.5" customHeight="1">
      <c r="A469" s="96" t="s">
        <v>1162</v>
      </c>
      <c r="B469" s="102"/>
      <c r="C469" s="98" t="s">
        <v>870</v>
      </c>
      <c r="D469" s="97"/>
      <c r="E469" s="97"/>
      <c r="F469" s="97"/>
      <c r="G469" s="97"/>
      <c r="H469" s="97"/>
      <c r="I469" s="97"/>
      <c r="J469" s="105"/>
      <c r="K469" s="105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spans="1:26" ht="49.95" customHeight="1">
      <c r="A470" s="16" t="s">
        <v>230</v>
      </c>
      <c r="B470" s="17">
        <v>87908</v>
      </c>
      <c r="C470" s="73" t="s">
        <v>428</v>
      </c>
      <c r="D470" s="17"/>
      <c r="E470" s="17"/>
      <c r="F470" s="17"/>
      <c r="G470" s="17"/>
      <c r="H470" s="17"/>
      <c r="I470" s="17"/>
      <c r="J470" s="74"/>
      <c r="K470" s="69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spans="1:26" s="93" customFormat="1" ht="19.5" customHeight="1">
      <c r="A471" s="96" t="s">
        <v>1164</v>
      </c>
      <c r="B471" s="102"/>
      <c r="C471" s="98" t="s">
        <v>1169</v>
      </c>
      <c r="D471" s="97"/>
      <c r="E471" s="97"/>
      <c r="F471" s="97"/>
      <c r="G471" s="97"/>
      <c r="H471" s="97"/>
      <c r="I471" s="97"/>
      <c r="J471" s="105"/>
      <c r="K471" s="105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spans="1:26" s="93" customFormat="1" ht="19.5" customHeight="1">
      <c r="A472" s="96" t="s">
        <v>1165</v>
      </c>
      <c r="B472" s="102"/>
      <c r="C472" s="98" t="s">
        <v>867</v>
      </c>
      <c r="D472" s="97"/>
      <c r="E472" s="97"/>
      <c r="F472" s="97"/>
      <c r="G472" s="97"/>
      <c r="H472" s="97"/>
      <c r="I472" s="97"/>
      <c r="J472" s="105"/>
      <c r="K472" s="105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spans="1:26" s="93" customFormat="1" ht="19.5" customHeight="1">
      <c r="A473" s="96" t="s">
        <v>1166</v>
      </c>
      <c r="B473" s="102"/>
      <c r="C473" s="98" t="s">
        <v>870</v>
      </c>
      <c r="D473" s="97"/>
      <c r="E473" s="97"/>
      <c r="F473" s="97"/>
      <c r="G473" s="97"/>
      <c r="H473" s="97"/>
      <c r="I473" s="97"/>
      <c r="J473" s="105"/>
      <c r="K473" s="105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spans="1:26" s="93" customFormat="1" ht="19.5" customHeight="1">
      <c r="A474" s="96" t="s">
        <v>1167</v>
      </c>
      <c r="B474" s="102"/>
      <c r="C474" s="98" t="s">
        <v>870</v>
      </c>
      <c r="D474" s="97"/>
      <c r="E474" s="97"/>
      <c r="F474" s="97"/>
      <c r="G474" s="97"/>
      <c r="H474" s="97"/>
      <c r="I474" s="97"/>
      <c r="J474" s="105"/>
      <c r="K474" s="105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spans="1:26" ht="49.95" customHeight="1">
      <c r="A475" s="16" t="s">
        <v>231</v>
      </c>
      <c r="B475" s="17">
        <v>104218</v>
      </c>
      <c r="C475" s="73" t="s">
        <v>429</v>
      </c>
      <c r="D475" s="17"/>
      <c r="E475" s="17"/>
      <c r="F475" s="17"/>
      <c r="G475" s="17"/>
      <c r="H475" s="17"/>
      <c r="I475" s="17"/>
      <c r="J475" s="106"/>
      <c r="K475" s="105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spans="1:26" s="93" customFormat="1" ht="19.5" customHeight="1">
      <c r="A476" s="96" t="s">
        <v>1170</v>
      </c>
      <c r="B476" s="102"/>
      <c r="C476" s="98" t="s">
        <v>1169</v>
      </c>
      <c r="D476" s="97"/>
      <c r="E476" s="97"/>
      <c r="F476" s="97"/>
      <c r="G476" s="97"/>
      <c r="H476" s="97"/>
      <c r="I476" s="97"/>
      <c r="J476" s="105"/>
      <c r="K476" s="105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spans="1:26" s="93" customFormat="1" ht="19.5" customHeight="1">
      <c r="A477" s="96" t="s">
        <v>1171</v>
      </c>
      <c r="B477" s="102"/>
      <c r="C477" s="98" t="s">
        <v>867</v>
      </c>
      <c r="D477" s="97"/>
      <c r="E477" s="97"/>
      <c r="F477" s="97"/>
      <c r="G477" s="97"/>
      <c r="H477" s="97"/>
      <c r="I477" s="97"/>
      <c r="J477" s="105"/>
      <c r="K477" s="105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spans="1:26" s="93" customFormat="1" ht="19.5" customHeight="1">
      <c r="A478" s="96" t="s">
        <v>1172</v>
      </c>
      <c r="B478" s="102"/>
      <c r="C478" s="98" t="s">
        <v>870</v>
      </c>
      <c r="D478" s="97"/>
      <c r="E478" s="97"/>
      <c r="F478" s="97"/>
      <c r="G478" s="97"/>
      <c r="H478" s="97"/>
      <c r="I478" s="97"/>
      <c r="J478" s="105"/>
      <c r="K478" s="105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spans="1:26" s="93" customFormat="1" ht="19.5" customHeight="1">
      <c r="A479" s="96" t="s">
        <v>1173</v>
      </c>
      <c r="B479" s="102"/>
      <c r="C479" s="98" t="s">
        <v>870</v>
      </c>
      <c r="D479" s="97"/>
      <c r="E479" s="97"/>
      <c r="F479" s="97"/>
      <c r="G479" s="97"/>
      <c r="H479" s="97"/>
      <c r="I479" s="97"/>
      <c r="J479" s="105"/>
      <c r="K479" s="105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spans="1:26" ht="49.95" customHeight="1">
      <c r="A480" s="16" t="s">
        <v>232</v>
      </c>
      <c r="B480" s="17">
        <v>88497</v>
      </c>
      <c r="C480" s="73" t="s">
        <v>518</v>
      </c>
      <c r="D480" s="97"/>
      <c r="E480" s="97"/>
      <c r="F480" s="97"/>
      <c r="G480" s="97"/>
      <c r="H480" s="97"/>
      <c r="I480" s="97"/>
      <c r="J480" s="106">
        <v>40.83</v>
      </c>
      <c r="K480" s="105" t="s">
        <v>1205</v>
      </c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spans="1:26" s="93" customFormat="1" ht="19.5" customHeight="1">
      <c r="A481" s="96" t="s">
        <v>1242</v>
      </c>
      <c r="B481" s="102"/>
      <c r="C481" s="98" t="s">
        <v>1169</v>
      </c>
      <c r="D481" s="97">
        <v>1</v>
      </c>
      <c r="E481" s="97">
        <v>13.19</v>
      </c>
      <c r="F481" s="97">
        <v>3.05</v>
      </c>
      <c r="G481" s="97"/>
      <c r="H481" s="97">
        <v>40.229500000000002</v>
      </c>
      <c r="I481" s="97">
        <v>40.229999999999997</v>
      </c>
      <c r="J481" s="105"/>
      <c r="K481" s="105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spans="1:26" s="93" customFormat="1" ht="19.5" customHeight="1">
      <c r="A482" s="96" t="s">
        <v>1243</v>
      </c>
      <c r="B482" s="102"/>
      <c r="C482" s="98" t="s">
        <v>867</v>
      </c>
      <c r="D482" s="97">
        <v>1</v>
      </c>
      <c r="E482" s="97">
        <v>0.8</v>
      </c>
      <c r="F482" s="97">
        <v>2.1</v>
      </c>
      <c r="G482" s="97"/>
      <c r="H482" s="97">
        <v>1.68</v>
      </c>
      <c r="I482" s="97">
        <v>1.68</v>
      </c>
      <c r="J482" s="105"/>
      <c r="K482" s="105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spans="1:26" s="93" customFormat="1" ht="19.5" customHeight="1">
      <c r="A483" s="96" t="s">
        <v>1244</v>
      </c>
      <c r="B483" s="102"/>
      <c r="C483" s="98" t="s">
        <v>870</v>
      </c>
      <c r="D483" s="97">
        <v>-2</v>
      </c>
      <c r="E483" s="97">
        <v>1.1000000000000001</v>
      </c>
      <c r="F483" s="97">
        <v>0.4</v>
      </c>
      <c r="G483" s="97"/>
      <c r="H483" s="97">
        <v>0.44</v>
      </c>
      <c r="I483" s="97">
        <v>-0.88</v>
      </c>
      <c r="J483" s="105"/>
      <c r="K483" s="105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spans="1:26" s="93" customFormat="1" ht="19.5" customHeight="1">
      <c r="A484" s="96" t="s">
        <v>1245</v>
      </c>
      <c r="B484" s="102"/>
      <c r="C484" s="98" t="s">
        <v>870</v>
      </c>
      <c r="D484" s="97">
        <v>-1</v>
      </c>
      <c r="E484" s="97">
        <v>0.5</v>
      </c>
      <c r="F484" s="97">
        <v>0.4</v>
      </c>
      <c r="G484" s="97"/>
      <c r="H484" s="97">
        <v>0.2</v>
      </c>
      <c r="I484" s="97">
        <v>-0.2</v>
      </c>
      <c r="J484" s="105"/>
      <c r="K484" s="105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spans="1:26" ht="49.95" customHeight="1">
      <c r="A485" s="16" t="s">
        <v>233</v>
      </c>
      <c r="B485" s="17">
        <v>88489</v>
      </c>
      <c r="C485" s="73" t="s">
        <v>519</v>
      </c>
      <c r="D485" s="97"/>
      <c r="E485" s="97"/>
      <c r="F485" s="97"/>
      <c r="G485" s="97"/>
      <c r="H485" s="97"/>
      <c r="I485" s="97"/>
      <c r="J485" s="106">
        <v>40.83</v>
      </c>
      <c r="K485" s="105" t="s">
        <v>1205</v>
      </c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spans="1:26" s="93" customFormat="1" ht="19.5" customHeight="1">
      <c r="A486" s="96" t="s">
        <v>1246</v>
      </c>
      <c r="B486" s="102"/>
      <c r="C486" s="98" t="s">
        <v>1169</v>
      </c>
      <c r="D486" s="97">
        <v>1</v>
      </c>
      <c r="E486" s="97">
        <v>13.19</v>
      </c>
      <c r="F486" s="97">
        <v>3.05</v>
      </c>
      <c r="G486" s="97"/>
      <c r="H486" s="97">
        <v>40.229500000000002</v>
      </c>
      <c r="I486" s="97">
        <v>40.229999999999997</v>
      </c>
      <c r="J486" s="105"/>
      <c r="K486" s="105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spans="1:26" s="93" customFormat="1" ht="19.5" customHeight="1">
      <c r="A487" s="96" t="s">
        <v>1247</v>
      </c>
      <c r="B487" s="102"/>
      <c r="C487" s="98" t="s">
        <v>867</v>
      </c>
      <c r="D487" s="97">
        <v>1</v>
      </c>
      <c r="E487" s="97">
        <v>0.8</v>
      </c>
      <c r="F487" s="97">
        <v>2.1</v>
      </c>
      <c r="G487" s="97"/>
      <c r="H487" s="97">
        <v>1.68</v>
      </c>
      <c r="I487" s="97">
        <v>1.68</v>
      </c>
      <c r="J487" s="105"/>
      <c r="K487" s="105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spans="1:26" s="93" customFormat="1" ht="19.5" customHeight="1">
      <c r="A488" s="96" t="s">
        <v>1248</v>
      </c>
      <c r="B488" s="102"/>
      <c r="C488" s="98" t="s">
        <v>870</v>
      </c>
      <c r="D488" s="97">
        <v>-2</v>
      </c>
      <c r="E488" s="97">
        <v>1.1000000000000001</v>
      </c>
      <c r="F488" s="97">
        <v>0.4</v>
      </c>
      <c r="G488" s="97"/>
      <c r="H488" s="97">
        <v>0.44</v>
      </c>
      <c r="I488" s="97">
        <v>-0.88</v>
      </c>
      <c r="J488" s="105"/>
      <c r="K488" s="105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spans="1:26" s="93" customFormat="1" ht="19.5" customHeight="1">
      <c r="A489" s="96" t="s">
        <v>1249</v>
      </c>
      <c r="B489" s="102"/>
      <c r="C489" s="98" t="s">
        <v>870</v>
      </c>
      <c r="D489" s="97">
        <v>-1</v>
      </c>
      <c r="E489" s="97">
        <v>0.5</v>
      </c>
      <c r="F489" s="97">
        <v>0.4</v>
      </c>
      <c r="G489" s="97"/>
      <c r="H489" s="97">
        <v>0.2</v>
      </c>
      <c r="I489" s="97">
        <v>-0.2</v>
      </c>
      <c r="J489" s="105"/>
      <c r="K489" s="105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spans="1:26" ht="25.2" customHeight="1">
      <c r="A490" s="46" t="s">
        <v>234</v>
      </c>
      <c r="B490" s="156" t="s">
        <v>235</v>
      </c>
      <c r="C490" s="156"/>
      <c r="D490" s="64"/>
      <c r="E490" s="64"/>
      <c r="F490" s="64"/>
      <c r="G490" s="64"/>
      <c r="H490" s="67"/>
      <c r="I490" s="67"/>
      <c r="J490" s="67"/>
      <c r="K490" s="67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spans="1:26" ht="49.95" customHeight="1">
      <c r="A491" s="16" t="s">
        <v>236</v>
      </c>
      <c r="B491" s="22">
        <v>88485</v>
      </c>
      <c r="C491" s="73" t="s">
        <v>520</v>
      </c>
      <c r="D491" s="17"/>
      <c r="E491" s="17"/>
      <c r="F491" s="17"/>
      <c r="G491" s="17"/>
      <c r="H491" s="17"/>
      <c r="I491" s="17"/>
      <c r="J491" s="106">
        <v>33.94</v>
      </c>
      <c r="K491" s="105" t="s">
        <v>1205</v>
      </c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spans="1:26" s="93" customFormat="1" ht="19.5" customHeight="1">
      <c r="A492" s="96" t="s">
        <v>1250</v>
      </c>
      <c r="B492" s="102"/>
      <c r="C492" s="98" t="s">
        <v>971</v>
      </c>
      <c r="D492" s="97">
        <v>1</v>
      </c>
      <c r="E492" s="97">
        <v>6.5</v>
      </c>
      <c r="F492" s="97">
        <v>2.8</v>
      </c>
      <c r="G492" s="97"/>
      <c r="H492" s="97">
        <v>18.2</v>
      </c>
      <c r="I492" s="97">
        <v>18.2</v>
      </c>
      <c r="J492" s="105"/>
      <c r="K492" s="105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spans="1:26" s="93" customFormat="1" ht="19.5" customHeight="1">
      <c r="A493" s="96" t="s">
        <v>1251</v>
      </c>
      <c r="B493" s="102"/>
      <c r="C493" s="98" t="s">
        <v>867</v>
      </c>
      <c r="D493" s="97">
        <v>-1</v>
      </c>
      <c r="E493" s="97">
        <v>0.8</v>
      </c>
      <c r="F493" s="97">
        <v>2.1</v>
      </c>
      <c r="G493" s="97"/>
      <c r="H493" s="97">
        <v>1.68</v>
      </c>
      <c r="I493" s="97">
        <v>-1.68</v>
      </c>
      <c r="J493" s="105"/>
      <c r="K493" s="105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spans="1:26" s="93" customFormat="1" ht="19.5" customHeight="1">
      <c r="A494" s="96" t="s">
        <v>1252</v>
      </c>
      <c r="B494" s="102"/>
      <c r="C494" s="98" t="s">
        <v>1163</v>
      </c>
      <c r="D494" s="97">
        <v>-2</v>
      </c>
      <c r="E494" s="97">
        <v>1.1000000000000001</v>
      </c>
      <c r="F494" s="97">
        <v>1.1000000000000001</v>
      </c>
      <c r="G494" s="97"/>
      <c r="H494" s="97">
        <v>1.21</v>
      </c>
      <c r="I494" s="97">
        <v>-2.42</v>
      </c>
      <c r="J494" s="105"/>
      <c r="K494" s="105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spans="1:26" s="93" customFormat="1" ht="19.5" customHeight="1">
      <c r="A495" s="96" t="s">
        <v>1253</v>
      </c>
      <c r="B495" s="102"/>
      <c r="C495" s="98" t="s">
        <v>869</v>
      </c>
      <c r="D495" s="97">
        <v>1</v>
      </c>
      <c r="E495" s="97">
        <v>7.6</v>
      </c>
      <c r="F495" s="97">
        <v>2.83</v>
      </c>
      <c r="G495" s="97"/>
      <c r="H495" s="97">
        <v>21.507999999999999</v>
      </c>
      <c r="I495" s="97">
        <v>21.51</v>
      </c>
      <c r="J495" s="105"/>
      <c r="K495" s="105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spans="1:26" s="93" customFormat="1" ht="19.5" customHeight="1">
      <c r="A496" s="96" t="s">
        <v>1254</v>
      </c>
      <c r="B496" s="102"/>
      <c r="C496" s="98" t="s">
        <v>867</v>
      </c>
      <c r="D496" s="97">
        <v>-1</v>
      </c>
      <c r="E496" s="97">
        <v>0.7</v>
      </c>
      <c r="F496" s="97">
        <v>2.1</v>
      </c>
      <c r="G496" s="97"/>
      <c r="H496" s="97">
        <v>1.47</v>
      </c>
      <c r="I496" s="97">
        <v>-1.47</v>
      </c>
      <c r="J496" s="105"/>
      <c r="K496" s="105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spans="1:26" s="93" customFormat="1" ht="19.5" customHeight="1">
      <c r="A497" s="96" t="s">
        <v>1255</v>
      </c>
      <c r="B497" s="102"/>
      <c r="C497" s="98" t="s">
        <v>870</v>
      </c>
      <c r="D497" s="97">
        <v>-1</v>
      </c>
      <c r="E497" s="97">
        <v>0.5</v>
      </c>
      <c r="F497" s="97">
        <v>0.4</v>
      </c>
      <c r="G497" s="97"/>
      <c r="H497" s="97">
        <v>0.2</v>
      </c>
      <c r="I497" s="97">
        <v>-0.2</v>
      </c>
      <c r="J497" s="105"/>
      <c r="K497" s="105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spans="1:26" ht="49.95" customHeight="1">
      <c r="A498" s="16" t="s">
        <v>237</v>
      </c>
      <c r="B498" s="22">
        <v>88497</v>
      </c>
      <c r="C498" s="73" t="s">
        <v>518</v>
      </c>
      <c r="D498" s="17"/>
      <c r="E498" s="17"/>
      <c r="F498" s="17"/>
      <c r="G498" s="17"/>
      <c r="H498" s="17"/>
      <c r="I498" s="17"/>
      <c r="J498" s="106">
        <v>33.94</v>
      </c>
      <c r="K498" s="105" t="s">
        <v>1205</v>
      </c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spans="1:26" s="93" customFormat="1" ht="19.5" customHeight="1">
      <c r="A499" s="96" t="s">
        <v>1300</v>
      </c>
      <c r="B499" s="102"/>
      <c r="C499" s="98" t="s">
        <v>971</v>
      </c>
      <c r="D499" s="97">
        <v>1</v>
      </c>
      <c r="E499" s="97">
        <v>6.5</v>
      </c>
      <c r="F499" s="97">
        <v>2.8</v>
      </c>
      <c r="G499" s="97"/>
      <c r="H499" s="97">
        <v>18.2</v>
      </c>
      <c r="I499" s="97">
        <v>18.2</v>
      </c>
      <c r="J499" s="105"/>
      <c r="K499" s="105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spans="1:26" s="93" customFormat="1" ht="19.5" customHeight="1">
      <c r="A500" s="96" t="s">
        <v>1301</v>
      </c>
      <c r="B500" s="102"/>
      <c r="C500" s="98" t="s">
        <v>867</v>
      </c>
      <c r="D500" s="97">
        <v>-1</v>
      </c>
      <c r="E500" s="97">
        <v>0.8</v>
      </c>
      <c r="F500" s="97">
        <v>2.1</v>
      </c>
      <c r="G500" s="97"/>
      <c r="H500" s="97">
        <v>1.68</v>
      </c>
      <c r="I500" s="97">
        <v>-1.68</v>
      </c>
      <c r="J500" s="105"/>
      <c r="K500" s="105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spans="1:26" s="93" customFormat="1" ht="19.5" customHeight="1">
      <c r="A501" s="96" t="s">
        <v>1302</v>
      </c>
      <c r="B501" s="102"/>
      <c r="C501" s="98" t="s">
        <v>1163</v>
      </c>
      <c r="D501" s="97">
        <v>-2</v>
      </c>
      <c r="E501" s="97">
        <v>1.1000000000000001</v>
      </c>
      <c r="F501" s="97">
        <v>1.1000000000000001</v>
      </c>
      <c r="G501" s="97"/>
      <c r="H501" s="97">
        <v>1.21</v>
      </c>
      <c r="I501" s="97">
        <v>-2.42</v>
      </c>
      <c r="J501" s="105"/>
      <c r="K501" s="105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spans="1:26" s="93" customFormat="1" ht="19.5" customHeight="1">
      <c r="A502" s="96" t="s">
        <v>1303</v>
      </c>
      <c r="B502" s="102"/>
      <c r="C502" s="98" t="s">
        <v>869</v>
      </c>
      <c r="D502" s="97">
        <v>1</v>
      </c>
      <c r="E502" s="97">
        <v>7.6</v>
      </c>
      <c r="F502" s="97">
        <v>2.83</v>
      </c>
      <c r="G502" s="97"/>
      <c r="H502" s="97">
        <v>21.507999999999999</v>
      </c>
      <c r="I502" s="97">
        <v>21.51</v>
      </c>
      <c r="J502" s="105"/>
      <c r="K502" s="105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spans="1:26" s="93" customFormat="1" ht="19.5" customHeight="1">
      <c r="A503" s="96" t="s">
        <v>1304</v>
      </c>
      <c r="B503" s="102"/>
      <c r="C503" s="98" t="s">
        <v>867</v>
      </c>
      <c r="D503" s="97">
        <v>-1</v>
      </c>
      <c r="E503" s="97">
        <v>0.7</v>
      </c>
      <c r="F503" s="97">
        <v>2.1</v>
      </c>
      <c r="G503" s="97"/>
      <c r="H503" s="97">
        <v>1.47</v>
      </c>
      <c r="I503" s="97">
        <v>-1.47</v>
      </c>
      <c r="J503" s="105"/>
      <c r="K503" s="105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spans="1:26" s="93" customFormat="1" ht="19.5" customHeight="1">
      <c r="A504" s="96" t="s">
        <v>1305</v>
      </c>
      <c r="B504" s="102"/>
      <c r="C504" s="98" t="s">
        <v>870</v>
      </c>
      <c r="D504" s="97">
        <v>-1</v>
      </c>
      <c r="E504" s="97">
        <v>0.5</v>
      </c>
      <c r="F504" s="97">
        <v>0.4</v>
      </c>
      <c r="G504" s="97"/>
      <c r="H504" s="97">
        <v>0.2</v>
      </c>
      <c r="I504" s="97">
        <v>-0.2</v>
      </c>
      <c r="J504" s="105"/>
      <c r="K504" s="105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spans="1:26" ht="49.95" customHeight="1">
      <c r="A505" s="16" t="s">
        <v>238</v>
      </c>
      <c r="B505" s="22">
        <v>88489</v>
      </c>
      <c r="C505" s="73" t="s">
        <v>519</v>
      </c>
      <c r="D505" s="17"/>
      <c r="E505" s="17"/>
      <c r="F505" s="17"/>
      <c r="G505" s="17"/>
      <c r="H505" s="17"/>
      <c r="I505" s="17"/>
      <c r="J505" s="106">
        <v>33.94</v>
      </c>
      <c r="K505" s="105" t="s">
        <v>1205</v>
      </c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spans="1:26" s="93" customFormat="1" ht="19.5" customHeight="1">
      <c r="A506" s="96" t="s">
        <v>1294</v>
      </c>
      <c r="B506" s="102"/>
      <c r="C506" s="98" t="s">
        <v>971</v>
      </c>
      <c r="D506" s="97">
        <v>1</v>
      </c>
      <c r="E506" s="97">
        <v>6.5</v>
      </c>
      <c r="F506" s="97">
        <v>2.8</v>
      </c>
      <c r="G506" s="97"/>
      <c r="H506" s="97">
        <v>18.2</v>
      </c>
      <c r="I506" s="97">
        <v>18.2</v>
      </c>
      <c r="J506" s="105"/>
      <c r="K506" s="105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spans="1:26" s="93" customFormat="1" ht="19.5" customHeight="1">
      <c r="A507" s="96" t="s">
        <v>1295</v>
      </c>
      <c r="B507" s="102"/>
      <c r="C507" s="98" t="s">
        <v>867</v>
      </c>
      <c r="D507" s="97">
        <v>-1</v>
      </c>
      <c r="E507" s="97">
        <v>0.8</v>
      </c>
      <c r="F507" s="97">
        <v>2.1</v>
      </c>
      <c r="G507" s="97"/>
      <c r="H507" s="97">
        <v>1.68</v>
      </c>
      <c r="I507" s="97">
        <v>-1.68</v>
      </c>
      <c r="J507" s="105"/>
      <c r="K507" s="105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spans="1:26" s="93" customFormat="1" ht="19.5" customHeight="1">
      <c r="A508" s="96" t="s">
        <v>1296</v>
      </c>
      <c r="B508" s="102"/>
      <c r="C508" s="98" t="s">
        <v>1163</v>
      </c>
      <c r="D508" s="97">
        <v>-2</v>
      </c>
      <c r="E508" s="97">
        <v>1.1000000000000001</v>
      </c>
      <c r="F508" s="97">
        <v>1.1000000000000001</v>
      </c>
      <c r="G508" s="97"/>
      <c r="H508" s="97">
        <v>1.21</v>
      </c>
      <c r="I508" s="97">
        <v>-2.42</v>
      </c>
      <c r="J508" s="105"/>
      <c r="K508" s="105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spans="1:26" s="93" customFormat="1" ht="19.5" customHeight="1">
      <c r="A509" s="96" t="s">
        <v>1297</v>
      </c>
      <c r="B509" s="102"/>
      <c r="C509" s="98" t="s">
        <v>869</v>
      </c>
      <c r="D509" s="97">
        <v>1</v>
      </c>
      <c r="E509" s="97">
        <v>7.6</v>
      </c>
      <c r="F509" s="97">
        <v>2.83</v>
      </c>
      <c r="G509" s="97"/>
      <c r="H509" s="97">
        <v>21.507999999999999</v>
      </c>
      <c r="I509" s="97">
        <v>21.51</v>
      </c>
      <c r="J509" s="105"/>
      <c r="K509" s="105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spans="1:26" s="93" customFormat="1" ht="19.5" customHeight="1">
      <c r="A510" s="96" t="s">
        <v>1298</v>
      </c>
      <c r="B510" s="102"/>
      <c r="C510" s="98" t="s">
        <v>867</v>
      </c>
      <c r="D510" s="97">
        <v>-1</v>
      </c>
      <c r="E510" s="97">
        <v>0.7</v>
      </c>
      <c r="F510" s="97">
        <v>2.1</v>
      </c>
      <c r="G510" s="97"/>
      <c r="H510" s="97">
        <v>1.47</v>
      </c>
      <c r="I510" s="97">
        <v>-1.47</v>
      </c>
      <c r="J510" s="105"/>
      <c r="K510" s="105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spans="1:26" s="93" customFormat="1" ht="19.5" customHeight="1">
      <c r="A511" s="96" t="s">
        <v>1299</v>
      </c>
      <c r="B511" s="102"/>
      <c r="C511" s="98" t="s">
        <v>870</v>
      </c>
      <c r="D511" s="97">
        <v>-1</v>
      </c>
      <c r="E511" s="97">
        <v>0.5</v>
      </c>
      <c r="F511" s="97">
        <v>0.4</v>
      </c>
      <c r="G511" s="97"/>
      <c r="H511" s="97">
        <v>0.2</v>
      </c>
      <c r="I511" s="97">
        <v>-0.2</v>
      </c>
      <c r="J511" s="105"/>
      <c r="K511" s="105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spans="1:26" ht="49.95" customHeight="1">
      <c r="A512" s="16" t="s">
        <v>239</v>
      </c>
      <c r="B512" s="22">
        <v>96486</v>
      </c>
      <c r="C512" s="73" t="s">
        <v>432</v>
      </c>
      <c r="D512" s="17"/>
      <c r="E512" s="17"/>
      <c r="F512" s="17"/>
      <c r="G512" s="17"/>
      <c r="H512" s="17"/>
      <c r="I512" s="17"/>
      <c r="J512" s="74">
        <v>8.25</v>
      </c>
      <c r="K512" s="105" t="s">
        <v>1205</v>
      </c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spans="1:26" s="93" customFormat="1" ht="19.5" customHeight="1">
      <c r="A513" s="96" t="s">
        <v>1256</v>
      </c>
      <c r="B513" s="102"/>
      <c r="C513" s="98" t="s">
        <v>971</v>
      </c>
      <c r="D513" s="97">
        <v>1</v>
      </c>
      <c r="E513" s="97">
        <v>5</v>
      </c>
      <c r="F513" s="97"/>
      <c r="G513" s="97"/>
      <c r="H513" s="97">
        <v>5</v>
      </c>
      <c r="I513" s="97">
        <v>5</v>
      </c>
      <c r="J513" s="105"/>
      <c r="K513" s="105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spans="1:26" s="93" customFormat="1" ht="19.5" customHeight="1">
      <c r="A514" s="96" t="s">
        <v>1257</v>
      </c>
      <c r="B514" s="102"/>
      <c r="C514" s="98" t="s">
        <v>869</v>
      </c>
      <c r="D514" s="97">
        <v>1</v>
      </c>
      <c r="E514" s="97">
        <v>3.25</v>
      </c>
      <c r="F514" s="97"/>
      <c r="G514" s="97"/>
      <c r="H514" s="97">
        <v>3.25</v>
      </c>
      <c r="I514" s="97">
        <v>3.25</v>
      </c>
      <c r="J514" s="105"/>
      <c r="K514" s="105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spans="1:26" ht="25.2" customHeight="1">
      <c r="A515" s="46" t="s">
        <v>240</v>
      </c>
      <c r="B515" s="156" t="s">
        <v>46</v>
      </c>
      <c r="C515" s="156"/>
      <c r="D515" s="64"/>
      <c r="E515" s="64"/>
      <c r="F515" s="64"/>
      <c r="G515" s="64"/>
      <c r="H515" s="67"/>
      <c r="I515" s="67"/>
      <c r="J515" s="67"/>
      <c r="K515" s="67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spans="1:26" ht="49.95" customHeight="1">
      <c r="A516" s="16" t="s">
        <v>241</v>
      </c>
      <c r="B516" s="22">
        <v>95241</v>
      </c>
      <c r="C516" s="73" t="s">
        <v>434</v>
      </c>
      <c r="D516" s="17"/>
      <c r="E516" s="17"/>
      <c r="F516" s="17"/>
      <c r="G516" s="17"/>
      <c r="H516" s="17"/>
      <c r="I516" s="17"/>
      <c r="J516" s="74"/>
      <c r="K516" s="69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spans="1:26" s="93" customFormat="1" ht="19.95" customHeight="1">
      <c r="A517" s="96" t="s">
        <v>973</v>
      </c>
      <c r="B517" s="102"/>
      <c r="C517" s="98" t="s">
        <v>977</v>
      </c>
      <c r="D517" s="97"/>
      <c r="E517" s="97"/>
      <c r="F517" s="97"/>
      <c r="G517" s="97"/>
      <c r="H517" s="97"/>
      <c r="I517" s="97"/>
      <c r="J517" s="105"/>
      <c r="K517" s="105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spans="1:26" s="93" customFormat="1" ht="19.95" customHeight="1">
      <c r="A518" s="96" t="s">
        <v>975</v>
      </c>
      <c r="B518" s="102"/>
      <c r="C518" s="98" t="s">
        <v>978</v>
      </c>
      <c r="D518" s="97"/>
      <c r="E518" s="97"/>
      <c r="F518" s="97"/>
      <c r="G518" s="97"/>
      <c r="H518" s="97"/>
      <c r="I518" s="97"/>
      <c r="J518" s="105"/>
      <c r="K518" s="105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spans="1:26" ht="49.95" customHeight="1">
      <c r="A519" s="16" t="s">
        <v>242</v>
      </c>
      <c r="B519" s="22">
        <v>87622</v>
      </c>
      <c r="C519" s="73" t="s">
        <v>435</v>
      </c>
      <c r="D519" s="17"/>
      <c r="E519" s="17"/>
      <c r="F519" s="17"/>
      <c r="G519" s="17"/>
      <c r="H519" s="17"/>
      <c r="I519" s="17"/>
      <c r="J519" s="106"/>
      <c r="K519" s="105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spans="1:26" s="93" customFormat="1" ht="19.95" customHeight="1">
      <c r="A520" s="96" t="s">
        <v>974</v>
      </c>
      <c r="B520" s="102"/>
      <c r="C520" s="98" t="s">
        <v>977</v>
      </c>
      <c r="D520" s="97"/>
      <c r="E520" s="97"/>
      <c r="F520" s="97"/>
      <c r="G520" s="97"/>
      <c r="H520" s="97"/>
      <c r="I520" s="97"/>
      <c r="J520" s="105"/>
      <c r="K520" s="105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spans="1:26" s="93" customFormat="1" ht="19.95" customHeight="1">
      <c r="A521" s="96" t="s">
        <v>976</v>
      </c>
      <c r="B521" s="102"/>
      <c r="C521" s="98" t="s">
        <v>978</v>
      </c>
      <c r="D521" s="97"/>
      <c r="E521" s="97"/>
      <c r="F521" s="97"/>
      <c r="G521" s="97"/>
      <c r="H521" s="97"/>
      <c r="I521" s="97"/>
      <c r="J521" s="105"/>
      <c r="K521" s="105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spans="1:26" ht="49.95" customHeight="1">
      <c r="A522" s="16" t="s">
        <v>243</v>
      </c>
      <c r="B522" s="22" t="s">
        <v>399</v>
      </c>
      <c r="C522" s="73" t="s">
        <v>427</v>
      </c>
      <c r="D522" s="17"/>
      <c r="E522" s="17"/>
      <c r="F522" s="17"/>
      <c r="G522" s="17"/>
      <c r="H522" s="17"/>
      <c r="I522" s="17"/>
      <c r="J522" s="106">
        <v>8.25</v>
      </c>
      <c r="K522" s="105" t="s">
        <v>1205</v>
      </c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spans="1:26" s="93" customFormat="1" ht="19.5" customHeight="1">
      <c r="A523" s="96" t="s">
        <v>1292</v>
      </c>
      <c r="B523" s="102"/>
      <c r="C523" s="98" t="s">
        <v>971</v>
      </c>
      <c r="D523" s="97">
        <v>1</v>
      </c>
      <c r="E523" s="97">
        <v>5</v>
      </c>
      <c r="F523" s="97"/>
      <c r="G523" s="97"/>
      <c r="H523" s="97">
        <v>5</v>
      </c>
      <c r="I523" s="97">
        <v>5</v>
      </c>
      <c r="J523" s="105"/>
      <c r="K523" s="105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spans="1:26" s="93" customFormat="1" ht="19.5" customHeight="1">
      <c r="A524" s="96" t="s">
        <v>1293</v>
      </c>
      <c r="B524" s="102"/>
      <c r="C524" s="98" t="s">
        <v>869</v>
      </c>
      <c r="D524" s="97">
        <v>1</v>
      </c>
      <c r="E524" s="97">
        <v>3.25</v>
      </c>
      <c r="F524" s="97"/>
      <c r="G524" s="97"/>
      <c r="H524" s="97">
        <v>3.25</v>
      </c>
      <c r="I524" s="97">
        <v>3.25</v>
      </c>
      <c r="J524" s="105"/>
      <c r="K524" s="105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spans="1:26" ht="25.2" customHeight="1">
      <c r="A525" s="46" t="s">
        <v>244</v>
      </c>
      <c r="B525" s="156" t="s">
        <v>115</v>
      </c>
      <c r="C525" s="156"/>
      <c r="D525" s="64"/>
      <c r="E525" s="64"/>
      <c r="F525" s="64"/>
      <c r="G525" s="64"/>
      <c r="H525" s="67"/>
      <c r="I525" s="67"/>
      <c r="J525" s="67"/>
      <c r="K525" s="67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spans="1:26" ht="25.2" customHeight="1">
      <c r="A526" s="46" t="s">
        <v>245</v>
      </c>
      <c r="B526" s="156" t="s">
        <v>47</v>
      </c>
      <c r="C526" s="156"/>
      <c r="D526" s="64"/>
      <c r="E526" s="64"/>
      <c r="F526" s="64"/>
      <c r="G526" s="64"/>
      <c r="H526" s="67"/>
      <c r="I526" s="67"/>
      <c r="J526" s="67"/>
      <c r="K526" s="67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spans="1:26" ht="49.95" customHeight="1">
      <c r="A527" s="16" t="s">
        <v>246</v>
      </c>
      <c r="B527" s="22">
        <v>102611</v>
      </c>
      <c r="C527" s="72" t="s">
        <v>521</v>
      </c>
      <c r="D527" s="17"/>
      <c r="E527" s="97"/>
      <c r="F527" s="17"/>
      <c r="G527" s="17"/>
      <c r="H527" s="17"/>
      <c r="I527" s="17"/>
      <c r="J527" s="74"/>
      <c r="K527" s="69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spans="1:26" s="93" customFormat="1" ht="19.95" customHeight="1">
      <c r="A528" s="96" t="s">
        <v>979</v>
      </c>
      <c r="B528" s="102"/>
      <c r="C528" s="98"/>
      <c r="D528" s="97"/>
      <c r="E528" s="97"/>
      <c r="F528" s="97"/>
      <c r="G528" s="97"/>
      <c r="H528" s="97"/>
      <c r="I528" s="97"/>
      <c r="J528" s="105"/>
      <c r="K528" s="105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spans="1:26" ht="49.95" customHeight="1">
      <c r="A529" s="16" t="s">
        <v>247</v>
      </c>
      <c r="B529" s="22">
        <v>11762</v>
      </c>
      <c r="C529" s="72" t="s">
        <v>522</v>
      </c>
      <c r="D529" s="17"/>
      <c r="E529" s="97"/>
      <c r="F529" s="17"/>
      <c r="G529" s="17"/>
      <c r="H529" s="97"/>
      <c r="I529" s="97"/>
      <c r="J529" s="106"/>
      <c r="K529" s="105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spans="1:26" s="93" customFormat="1" ht="19.95" customHeight="1">
      <c r="A530" s="96" t="s">
        <v>980</v>
      </c>
      <c r="B530" s="102"/>
      <c r="C530" s="98"/>
      <c r="D530" s="97"/>
      <c r="E530" s="97"/>
      <c r="F530" s="97"/>
      <c r="G530" s="97"/>
      <c r="H530" s="97"/>
      <c r="I530" s="97"/>
      <c r="J530" s="105"/>
      <c r="K530" s="105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spans="1:26" ht="49.95" customHeight="1">
      <c r="A531" s="16" t="s">
        <v>248</v>
      </c>
      <c r="B531" s="22">
        <v>86888</v>
      </c>
      <c r="C531" s="72" t="s">
        <v>438</v>
      </c>
      <c r="D531" s="17"/>
      <c r="E531" s="97"/>
      <c r="F531" s="17"/>
      <c r="G531" s="17"/>
      <c r="H531" s="97"/>
      <c r="I531" s="97"/>
      <c r="J531" s="106"/>
      <c r="K531" s="105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spans="1:26" s="93" customFormat="1" ht="19.95" customHeight="1">
      <c r="A532" s="96" t="s">
        <v>981</v>
      </c>
      <c r="B532" s="102"/>
      <c r="C532" s="98"/>
      <c r="D532" s="97"/>
      <c r="E532" s="97"/>
      <c r="F532" s="97"/>
      <c r="G532" s="97"/>
      <c r="H532" s="97"/>
      <c r="I532" s="97"/>
      <c r="J532" s="105"/>
      <c r="K532" s="105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spans="1:26" ht="49.95" customHeight="1">
      <c r="A533" s="16" t="s">
        <v>249</v>
      </c>
      <c r="B533" s="22">
        <v>1370</v>
      </c>
      <c r="C533" s="72" t="s">
        <v>439</v>
      </c>
      <c r="D533" s="17"/>
      <c r="E533" s="97"/>
      <c r="F533" s="17"/>
      <c r="G533" s="17"/>
      <c r="H533" s="97"/>
      <c r="I533" s="97"/>
      <c r="J533" s="106"/>
      <c r="K533" s="105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spans="1:26" s="93" customFormat="1" ht="19.95" customHeight="1">
      <c r="A534" s="96" t="s">
        <v>982</v>
      </c>
      <c r="B534" s="102"/>
      <c r="C534" s="98"/>
      <c r="D534" s="97"/>
      <c r="E534" s="97"/>
      <c r="F534" s="97"/>
      <c r="G534" s="97"/>
      <c r="H534" s="97"/>
      <c r="I534" s="97"/>
      <c r="J534" s="105"/>
      <c r="K534" s="105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spans="1:26" ht="49.95" customHeight="1">
      <c r="A535" s="16" t="s">
        <v>250</v>
      </c>
      <c r="B535" s="22">
        <v>10427</v>
      </c>
      <c r="C535" s="72" t="s">
        <v>440</v>
      </c>
      <c r="D535" s="17"/>
      <c r="E535" s="97"/>
      <c r="F535" s="17"/>
      <c r="G535" s="17"/>
      <c r="H535" s="97"/>
      <c r="I535" s="97"/>
      <c r="J535" s="106"/>
      <c r="K535" s="105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spans="1:26" s="93" customFormat="1" ht="19.95" customHeight="1">
      <c r="A536" s="96" t="s">
        <v>983</v>
      </c>
      <c r="B536" s="102"/>
      <c r="C536" s="98"/>
      <c r="D536" s="97"/>
      <c r="E536" s="97"/>
      <c r="F536" s="97"/>
      <c r="G536" s="97"/>
      <c r="H536" s="97"/>
      <c r="I536" s="97"/>
      <c r="J536" s="105"/>
      <c r="K536" s="105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spans="1:26" ht="49.95" customHeight="1">
      <c r="A537" s="16" t="s">
        <v>251</v>
      </c>
      <c r="B537" s="22">
        <v>6136</v>
      </c>
      <c r="C537" s="72" t="s">
        <v>441</v>
      </c>
      <c r="D537" s="17"/>
      <c r="E537" s="97"/>
      <c r="F537" s="17"/>
      <c r="G537" s="17"/>
      <c r="H537" s="97"/>
      <c r="I537" s="97"/>
      <c r="J537" s="106"/>
      <c r="K537" s="105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spans="1:26" s="93" customFormat="1" ht="19.95" customHeight="1">
      <c r="A538" s="96" t="s">
        <v>984</v>
      </c>
      <c r="B538" s="102"/>
      <c r="C538" s="98"/>
      <c r="D538" s="97"/>
      <c r="E538" s="97"/>
      <c r="F538" s="97"/>
      <c r="G538" s="97"/>
      <c r="H538" s="97"/>
      <c r="I538" s="97"/>
      <c r="J538" s="105"/>
      <c r="K538" s="105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spans="1:26" ht="49.95" customHeight="1">
      <c r="A539" s="16" t="s">
        <v>252</v>
      </c>
      <c r="B539" s="22">
        <v>86886</v>
      </c>
      <c r="C539" s="72" t="s">
        <v>442</v>
      </c>
      <c r="D539" s="17"/>
      <c r="E539" s="97"/>
      <c r="F539" s="17"/>
      <c r="G539" s="17"/>
      <c r="H539" s="97"/>
      <c r="I539" s="97"/>
      <c r="J539" s="106"/>
      <c r="K539" s="105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spans="1:26" s="93" customFormat="1" ht="19.95" customHeight="1">
      <c r="A540" s="96" t="s">
        <v>985</v>
      </c>
      <c r="B540" s="102"/>
      <c r="C540" s="98"/>
      <c r="D540" s="97"/>
      <c r="E540" s="97"/>
      <c r="F540" s="97"/>
      <c r="G540" s="97"/>
      <c r="H540" s="97"/>
      <c r="I540" s="97"/>
      <c r="J540" s="105"/>
      <c r="K540" s="105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spans="1:26" ht="49.95" customHeight="1">
      <c r="A541" s="16" t="s">
        <v>253</v>
      </c>
      <c r="B541" s="22">
        <v>100860</v>
      </c>
      <c r="C541" s="72" t="s">
        <v>523</v>
      </c>
      <c r="D541" s="17"/>
      <c r="E541" s="97"/>
      <c r="F541" s="17"/>
      <c r="G541" s="17"/>
      <c r="H541" s="97"/>
      <c r="I541" s="97"/>
      <c r="J541" s="106"/>
      <c r="K541" s="105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spans="1:26" s="93" customFormat="1" ht="19.95" customHeight="1">
      <c r="A542" s="96" t="s">
        <v>986</v>
      </c>
      <c r="B542" s="102"/>
      <c r="C542" s="98"/>
      <c r="D542" s="97"/>
      <c r="E542" s="97"/>
      <c r="F542" s="97"/>
      <c r="G542" s="97"/>
      <c r="H542" s="97"/>
      <c r="I542" s="97"/>
      <c r="J542" s="105"/>
      <c r="K542" s="105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spans="1:26" ht="49.95" customHeight="1">
      <c r="A543" s="16" t="s">
        <v>254</v>
      </c>
      <c r="B543" s="22">
        <v>89987</v>
      </c>
      <c r="C543" s="72" t="s">
        <v>524</v>
      </c>
      <c r="D543" s="17"/>
      <c r="E543" s="97"/>
      <c r="F543" s="17"/>
      <c r="G543" s="17"/>
      <c r="H543" s="97"/>
      <c r="I543" s="97"/>
      <c r="J543" s="106"/>
      <c r="K543" s="105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spans="1:26" s="93" customFormat="1" ht="19.95" customHeight="1">
      <c r="A544" s="96" t="s">
        <v>987</v>
      </c>
      <c r="B544" s="102"/>
      <c r="C544" s="98"/>
      <c r="D544" s="97"/>
      <c r="E544" s="97"/>
      <c r="F544" s="97"/>
      <c r="G544" s="97"/>
      <c r="H544" s="97"/>
      <c r="I544" s="97"/>
      <c r="J544" s="105"/>
      <c r="K544" s="105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spans="1:26" ht="49.95" customHeight="1">
      <c r="A545" s="16" t="s">
        <v>255</v>
      </c>
      <c r="B545" s="22">
        <v>89351</v>
      </c>
      <c r="C545" s="72" t="s">
        <v>525</v>
      </c>
      <c r="D545" s="17"/>
      <c r="E545" s="97"/>
      <c r="F545" s="17"/>
      <c r="G545" s="17"/>
      <c r="H545" s="97"/>
      <c r="I545" s="97"/>
      <c r="J545" s="106"/>
      <c r="K545" s="105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spans="1:26" s="93" customFormat="1" ht="19.95" customHeight="1">
      <c r="A546" s="96" t="s">
        <v>988</v>
      </c>
      <c r="B546" s="102"/>
      <c r="C546" s="98"/>
      <c r="D546" s="97"/>
      <c r="E546" s="97"/>
      <c r="F546" s="97"/>
      <c r="G546" s="97"/>
      <c r="H546" s="97"/>
      <c r="I546" s="97"/>
      <c r="J546" s="105"/>
      <c r="K546" s="105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spans="1:26" ht="49.95" customHeight="1">
      <c r="A547" s="16" t="s">
        <v>256</v>
      </c>
      <c r="B547" s="22">
        <v>94489</v>
      </c>
      <c r="C547" s="72" t="s">
        <v>448</v>
      </c>
      <c r="D547" s="17"/>
      <c r="E547" s="97"/>
      <c r="F547" s="17"/>
      <c r="G547" s="17"/>
      <c r="H547" s="97"/>
      <c r="I547" s="97"/>
      <c r="J547" s="106"/>
      <c r="K547" s="105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spans="1:26" s="93" customFormat="1" ht="19.95" customHeight="1">
      <c r="A548" s="96" t="s">
        <v>989</v>
      </c>
      <c r="B548" s="102"/>
      <c r="C548" s="98"/>
      <c r="D548" s="97"/>
      <c r="E548" s="97"/>
      <c r="F548" s="97"/>
      <c r="G548" s="97"/>
      <c r="H548" s="97"/>
      <c r="I548" s="97"/>
      <c r="J548" s="105"/>
      <c r="K548" s="105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spans="1:26" ht="49.95" customHeight="1">
      <c r="A549" s="16" t="s">
        <v>257</v>
      </c>
      <c r="B549" s="22">
        <v>94490</v>
      </c>
      <c r="C549" s="72" t="s">
        <v>526</v>
      </c>
      <c r="D549" s="17"/>
      <c r="E549" s="97"/>
      <c r="F549" s="17"/>
      <c r="G549" s="17"/>
      <c r="H549" s="97"/>
      <c r="I549" s="97"/>
      <c r="J549" s="106"/>
      <c r="K549" s="105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spans="1:26" s="93" customFormat="1" ht="19.95" customHeight="1">
      <c r="A550" s="96" t="s">
        <v>990</v>
      </c>
      <c r="B550" s="102"/>
      <c r="C550" s="98"/>
      <c r="D550" s="97"/>
      <c r="E550" s="97"/>
      <c r="F550" s="97"/>
      <c r="G550" s="97"/>
      <c r="H550" s="97"/>
      <c r="I550" s="97"/>
      <c r="J550" s="105"/>
      <c r="K550" s="105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spans="1:26" ht="49.95" customHeight="1">
      <c r="A551" s="16" t="s">
        <v>258</v>
      </c>
      <c r="B551" s="22">
        <v>94656</v>
      </c>
      <c r="C551" s="72" t="s">
        <v>449</v>
      </c>
      <c r="D551" s="17"/>
      <c r="E551" s="97"/>
      <c r="F551" s="17"/>
      <c r="G551" s="17"/>
      <c r="H551" s="97"/>
      <c r="I551" s="97"/>
      <c r="J551" s="106"/>
      <c r="K551" s="105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spans="1:26" s="93" customFormat="1" ht="19.95" customHeight="1">
      <c r="A552" s="96" t="s">
        <v>991</v>
      </c>
      <c r="B552" s="102"/>
      <c r="C552" s="98"/>
      <c r="D552" s="97"/>
      <c r="E552" s="97"/>
      <c r="F552" s="97"/>
      <c r="G552" s="97"/>
      <c r="H552" s="97"/>
      <c r="I552" s="97"/>
      <c r="J552" s="105"/>
      <c r="K552" s="105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spans="1:26" ht="49.95" customHeight="1">
      <c r="A553" s="16" t="s">
        <v>259</v>
      </c>
      <c r="B553" s="22">
        <v>89364</v>
      </c>
      <c r="C553" s="72" t="s">
        <v>451</v>
      </c>
      <c r="D553" s="97"/>
      <c r="E553" s="17"/>
      <c r="F553" s="17"/>
      <c r="G553" s="17"/>
      <c r="H553" s="17"/>
      <c r="I553" s="17"/>
      <c r="J553" s="74"/>
      <c r="K553" s="105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spans="1:26" s="93" customFormat="1" ht="19.95" customHeight="1">
      <c r="A554" s="96" t="s">
        <v>992</v>
      </c>
      <c r="B554" s="102"/>
      <c r="C554" s="98"/>
      <c r="D554" s="97"/>
      <c r="E554" s="97"/>
      <c r="F554" s="97"/>
      <c r="G554" s="97"/>
      <c r="H554" s="97"/>
      <c r="I554" s="97"/>
      <c r="J554" s="105"/>
      <c r="K554" s="105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spans="1:26" ht="49.95" customHeight="1">
      <c r="A555" s="16" t="s">
        <v>260</v>
      </c>
      <c r="B555" s="22">
        <v>89365</v>
      </c>
      <c r="C555" s="72" t="s">
        <v>527</v>
      </c>
      <c r="D555" s="97"/>
      <c r="E555" s="17"/>
      <c r="F555" s="17"/>
      <c r="G555" s="17"/>
      <c r="H555" s="17"/>
      <c r="I555" s="17"/>
      <c r="J555" s="74"/>
      <c r="K555" s="105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spans="1:26" s="93" customFormat="1" ht="19.95" customHeight="1">
      <c r="A556" s="96" t="s">
        <v>993</v>
      </c>
      <c r="B556" s="102"/>
      <c r="C556" s="98"/>
      <c r="D556" s="97"/>
      <c r="E556" s="97"/>
      <c r="F556" s="97"/>
      <c r="G556" s="97"/>
      <c r="H556" s="104"/>
      <c r="I556" s="104"/>
      <c r="J556" s="105"/>
      <c r="K556" s="105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spans="1:26" ht="49.95" customHeight="1">
      <c r="A557" s="16" t="s">
        <v>261</v>
      </c>
      <c r="B557" s="22">
        <v>89363</v>
      </c>
      <c r="C557" s="72" t="s">
        <v>453</v>
      </c>
      <c r="D557" s="97"/>
      <c r="E557" s="17"/>
      <c r="F557" s="17"/>
      <c r="G557" s="17"/>
      <c r="H557" s="17"/>
      <c r="I557" s="17"/>
      <c r="J557" s="74"/>
      <c r="K557" s="105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spans="1:26" s="93" customFormat="1" ht="19.95" customHeight="1">
      <c r="A558" s="96" t="s">
        <v>994</v>
      </c>
      <c r="B558" s="102"/>
      <c r="C558" s="98"/>
      <c r="D558" s="97"/>
      <c r="E558" s="97"/>
      <c r="F558" s="97"/>
      <c r="G558" s="97"/>
      <c r="H558" s="104"/>
      <c r="I558" s="104"/>
      <c r="J558" s="105"/>
      <c r="K558" s="105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spans="1:26" ht="49.95" customHeight="1">
      <c r="A559" s="16" t="s">
        <v>262</v>
      </c>
      <c r="B559" s="22">
        <v>89408</v>
      </c>
      <c r="C559" s="72" t="s">
        <v>454</v>
      </c>
      <c r="D559" s="97"/>
      <c r="E559" s="17"/>
      <c r="F559" s="17"/>
      <c r="G559" s="17"/>
      <c r="H559" s="17"/>
      <c r="I559" s="17"/>
      <c r="J559" s="74"/>
      <c r="K559" s="105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spans="1:26" s="93" customFormat="1" ht="19.95" customHeight="1">
      <c r="A560" s="96" t="s">
        <v>995</v>
      </c>
      <c r="B560" s="102"/>
      <c r="C560" s="98"/>
      <c r="D560" s="97"/>
      <c r="E560" s="97"/>
      <c r="F560" s="97"/>
      <c r="G560" s="97"/>
      <c r="H560" s="104"/>
      <c r="I560" s="104"/>
      <c r="J560" s="105"/>
      <c r="K560" s="105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spans="1:26" ht="49.95" customHeight="1">
      <c r="A561" s="16" t="s">
        <v>263</v>
      </c>
      <c r="B561" s="22">
        <v>89367</v>
      </c>
      <c r="C561" s="72" t="s">
        <v>528</v>
      </c>
      <c r="D561" s="97"/>
      <c r="E561" s="17"/>
      <c r="F561" s="17"/>
      <c r="G561" s="17"/>
      <c r="H561" s="17"/>
      <c r="I561" s="17"/>
      <c r="J561" s="74"/>
      <c r="K561" s="105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spans="1:26" s="93" customFormat="1" ht="19.95" customHeight="1">
      <c r="A562" s="96" t="s">
        <v>996</v>
      </c>
      <c r="B562" s="102"/>
      <c r="C562" s="98"/>
      <c r="D562" s="97"/>
      <c r="E562" s="97"/>
      <c r="F562" s="97"/>
      <c r="G562" s="97"/>
      <c r="H562" s="104"/>
      <c r="I562" s="104"/>
      <c r="J562" s="105"/>
      <c r="K562" s="105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spans="1:26" ht="49.95" customHeight="1">
      <c r="A563" s="16" t="s">
        <v>264</v>
      </c>
      <c r="B563" s="22">
        <v>89528</v>
      </c>
      <c r="C563" s="72" t="s">
        <v>529</v>
      </c>
      <c r="D563" s="97"/>
      <c r="E563" s="17"/>
      <c r="F563" s="17"/>
      <c r="G563" s="17"/>
      <c r="H563" s="17"/>
      <c r="I563" s="17"/>
      <c r="J563" s="74"/>
      <c r="K563" s="105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spans="1:26" s="93" customFormat="1" ht="19.95" customHeight="1">
      <c r="A564" s="96" t="s">
        <v>997</v>
      </c>
      <c r="B564" s="102"/>
      <c r="C564" s="98"/>
      <c r="D564" s="97"/>
      <c r="E564" s="97"/>
      <c r="F564" s="97"/>
      <c r="G564" s="97"/>
      <c r="H564" s="104"/>
      <c r="I564" s="104"/>
      <c r="J564" s="105"/>
      <c r="K564" s="105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spans="1:26" ht="49.95" customHeight="1">
      <c r="A565" s="16" t="s">
        <v>265</v>
      </c>
      <c r="B565" s="22">
        <v>89381</v>
      </c>
      <c r="C565" s="72" t="s">
        <v>530</v>
      </c>
      <c r="D565" s="97"/>
      <c r="E565" s="17"/>
      <c r="F565" s="17"/>
      <c r="G565" s="17"/>
      <c r="H565" s="17"/>
      <c r="I565" s="17"/>
      <c r="J565" s="74"/>
      <c r="K565" s="105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spans="1:26" s="93" customFormat="1" ht="19.95" customHeight="1">
      <c r="A566" s="96" t="s">
        <v>998</v>
      </c>
      <c r="B566" s="102"/>
      <c r="C566" s="98"/>
      <c r="D566" s="97"/>
      <c r="E566" s="97"/>
      <c r="F566" s="97"/>
      <c r="G566" s="97"/>
      <c r="H566" s="104"/>
      <c r="I566" s="104"/>
      <c r="J566" s="105"/>
      <c r="K566" s="105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spans="1:26" ht="49.95" customHeight="1">
      <c r="A567" s="16" t="s">
        <v>266</v>
      </c>
      <c r="B567" s="22">
        <v>89617</v>
      </c>
      <c r="C567" s="72" t="s">
        <v>457</v>
      </c>
      <c r="D567" s="97"/>
      <c r="E567" s="17"/>
      <c r="F567" s="17"/>
      <c r="G567" s="17"/>
      <c r="H567" s="17"/>
      <c r="I567" s="17"/>
      <c r="J567" s="74"/>
      <c r="K567" s="105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spans="1:26" s="93" customFormat="1" ht="19.95" customHeight="1">
      <c r="A568" s="96" t="s">
        <v>999</v>
      </c>
      <c r="B568" s="102"/>
      <c r="C568" s="98"/>
      <c r="D568" s="97"/>
      <c r="E568" s="97"/>
      <c r="F568" s="97"/>
      <c r="G568" s="97"/>
      <c r="H568" s="104"/>
      <c r="I568" s="104"/>
      <c r="J568" s="105"/>
      <c r="K568" s="105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spans="1:26" ht="49.95" customHeight="1">
      <c r="A569" s="16" t="s">
        <v>267</v>
      </c>
      <c r="B569" s="22">
        <v>89620</v>
      </c>
      <c r="C569" s="72" t="s">
        <v>531</v>
      </c>
      <c r="D569" s="97"/>
      <c r="E569" s="17"/>
      <c r="F569" s="17"/>
      <c r="G569" s="17"/>
      <c r="H569" s="17"/>
      <c r="I569" s="17"/>
      <c r="J569" s="74"/>
      <c r="K569" s="105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spans="1:26" s="93" customFormat="1" ht="19.95" customHeight="1">
      <c r="A570" s="96" t="s">
        <v>1000</v>
      </c>
      <c r="B570" s="102"/>
      <c r="C570" s="98"/>
      <c r="D570" s="97"/>
      <c r="E570" s="97"/>
      <c r="F570" s="97"/>
      <c r="G570" s="97"/>
      <c r="H570" s="104"/>
      <c r="I570" s="104"/>
      <c r="J570" s="105"/>
      <c r="K570" s="105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spans="1:26" ht="49.95" customHeight="1">
      <c r="A571" s="16" t="s">
        <v>268</v>
      </c>
      <c r="B571" s="22">
        <v>89446</v>
      </c>
      <c r="C571" s="72" t="s">
        <v>459</v>
      </c>
      <c r="D571" s="97"/>
      <c r="E571" s="17"/>
      <c r="F571" s="17"/>
      <c r="G571" s="17"/>
      <c r="H571" s="17"/>
      <c r="I571" s="17"/>
      <c r="J571" s="74"/>
      <c r="K571" s="69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spans="1:26" s="93" customFormat="1" ht="19.95" customHeight="1">
      <c r="A572" s="96" t="s">
        <v>1001</v>
      </c>
      <c r="B572" s="102"/>
      <c r="C572" s="98"/>
      <c r="D572" s="97"/>
      <c r="E572" s="97"/>
      <c r="F572" s="97"/>
      <c r="G572" s="97"/>
      <c r="H572" s="97"/>
      <c r="I572" s="97"/>
      <c r="J572" s="105"/>
      <c r="K572" s="105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spans="1:26" ht="49.95" customHeight="1">
      <c r="A573" s="16" t="s">
        <v>269</v>
      </c>
      <c r="B573" s="26">
        <v>89447</v>
      </c>
      <c r="C573" s="73" t="s">
        <v>532</v>
      </c>
      <c r="D573" s="97"/>
      <c r="E573" s="17"/>
      <c r="F573" s="17"/>
      <c r="G573" s="17"/>
      <c r="H573" s="17"/>
      <c r="I573" s="17"/>
      <c r="J573" s="74"/>
      <c r="K573" s="105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spans="1:26" s="93" customFormat="1" ht="19.95" customHeight="1">
      <c r="A574" s="96" t="s">
        <v>1002</v>
      </c>
      <c r="B574" s="102"/>
      <c r="C574" s="98"/>
      <c r="D574" s="97"/>
      <c r="E574" s="97"/>
      <c r="F574" s="97"/>
      <c r="G574" s="97"/>
      <c r="H574" s="97"/>
      <c r="I574" s="97"/>
      <c r="J574" s="105"/>
      <c r="K574" s="105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spans="1:26" ht="25.2" customHeight="1">
      <c r="A575" s="46" t="s">
        <v>270</v>
      </c>
      <c r="B575" s="156" t="s">
        <v>271</v>
      </c>
      <c r="C575" s="156"/>
      <c r="D575" s="64"/>
      <c r="E575" s="64"/>
      <c r="F575" s="64"/>
      <c r="G575" s="64"/>
      <c r="H575" s="67"/>
      <c r="I575" s="67"/>
      <c r="J575" s="67"/>
      <c r="K575" s="67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spans="1:26" ht="49.95" customHeight="1">
      <c r="A576" s="16" t="s">
        <v>272</v>
      </c>
      <c r="B576" s="20">
        <v>91893</v>
      </c>
      <c r="C576" s="73" t="s">
        <v>533</v>
      </c>
      <c r="D576" s="17"/>
      <c r="E576" s="17"/>
      <c r="F576" s="17"/>
      <c r="G576" s="17"/>
      <c r="H576" s="17"/>
      <c r="I576" s="17"/>
      <c r="J576" s="74"/>
      <c r="K576" s="69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spans="1:26" s="93" customFormat="1" ht="19.95" customHeight="1">
      <c r="A577" s="96" t="s">
        <v>1003</v>
      </c>
      <c r="B577" s="102"/>
      <c r="C577" s="98"/>
      <c r="D577" s="97"/>
      <c r="E577" s="97"/>
      <c r="F577" s="97"/>
      <c r="G577" s="97"/>
      <c r="H577" s="104"/>
      <c r="I577" s="104"/>
      <c r="J577" s="105"/>
      <c r="K577" s="105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spans="1:26" ht="49.95" customHeight="1">
      <c r="A578" s="16" t="s">
        <v>273</v>
      </c>
      <c r="B578" s="17">
        <v>95741</v>
      </c>
      <c r="C578" s="73" t="s">
        <v>534</v>
      </c>
      <c r="D578" s="17"/>
      <c r="E578" s="17"/>
      <c r="F578" s="17"/>
      <c r="G578" s="17"/>
      <c r="H578" s="17"/>
      <c r="I578" s="17"/>
      <c r="J578" s="74"/>
      <c r="K578" s="105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spans="1:26" s="93" customFormat="1" ht="19.95" customHeight="1">
      <c r="A579" s="96" t="s">
        <v>1004</v>
      </c>
      <c r="B579" s="102"/>
      <c r="C579" s="98"/>
      <c r="D579" s="97"/>
      <c r="E579" s="97"/>
      <c r="F579" s="97"/>
      <c r="G579" s="97"/>
      <c r="H579" s="104"/>
      <c r="I579" s="104"/>
      <c r="J579" s="105"/>
      <c r="K579" s="105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spans="1:26" ht="49.95" customHeight="1">
      <c r="A580" s="16" t="s">
        <v>274</v>
      </c>
      <c r="B580" s="20">
        <v>104447</v>
      </c>
      <c r="C580" s="73" t="s">
        <v>535</v>
      </c>
      <c r="D580" s="97"/>
      <c r="E580" s="17"/>
      <c r="F580" s="17"/>
      <c r="G580" s="17"/>
      <c r="H580" s="17"/>
      <c r="I580" s="17"/>
      <c r="J580" s="74"/>
      <c r="K580" s="105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spans="1:26" s="93" customFormat="1" ht="19.95" customHeight="1">
      <c r="A581" s="96" t="s">
        <v>1005</v>
      </c>
      <c r="B581" s="102"/>
      <c r="C581" s="98"/>
      <c r="D581" s="97"/>
      <c r="E581" s="97"/>
      <c r="F581" s="97"/>
      <c r="G581" s="97"/>
      <c r="H581" s="104"/>
      <c r="I581" s="104"/>
      <c r="J581" s="105"/>
      <c r="K581" s="105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spans="1:26" ht="49.95" customHeight="1">
      <c r="A582" s="16" t="s">
        <v>275</v>
      </c>
      <c r="B582" s="20">
        <v>91953</v>
      </c>
      <c r="C582" s="73" t="s">
        <v>468</v>
      </c>
      <c r="D582" s="97"/>
      <c r="E582" s="17"/>
      <c r="F582" s="17"/>
      <c r="G582" s="17"/>
      <c r="H582" s="17"/>
      <c r="I582" s="17"/>
      <c r="J582" s="74"/>
      <c r="K582" s="105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spans="1:26" s="93" customFormat="1" ht="19.95" customHeight="1">
      <c r="A583" s="96" t="s">
        <v>1006</v>
      </c>
      <c r="B583" s="102"/>
      <c r="C583" s="98"/>
      <c r="D583" s="97"/>
      <c r="E583" s="97"/>
      <c r="F583" s="97"/>
      <c r="G583" s="97"/>
      <c r="H583" s="104"/>
      <c r="I583" s="104"/>
      <c r="J583" s="105"/>
      <c r="K583" s="105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spans="1:26" ht="49.95" customHeight="1">
      <c r="A584" s="16" t="s">
        <v>276</v>
      </c>
      <c r="B584" s="20">
        <v>92023</v>
      </c>
      <c r="C584" s="73" t="s">
        <v>536</v>
      </c>
      <c r="D584" s="97"/>
      <c r="E584" s="17"/>
      <c r="F584" s="17"/>
      <c r="G584" s="17"/>
      <c r="H584" s="17"/>
      <c r="I584" s="17"/>
      <c r="J584" s="74"/>
      <c r="K584" s="105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spans="1:26" s="93" customFormat="1" ht="19.95" customHeight="1">
      <c r="A585" s="96" t="s">
        <v>1007</v>
      </c>
      <c r="B585" s="102"/>
      <c r="C585" s="98"/>
      <c r="D585" s="97"/>
      <c r="E585" s="97"/>
      <c r="F585" s="97"/>
      <c r="G585" s="97"/>
      <c r="H585" s="104"/>
      <c r="I585" s="104"/>
      <c r="J585" s="105"/>
      <c r="K585" s="105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spans="1:26" ht="49.95" customHeight="1">
      <c r="A586" s="16" t="s">
        <v>277</v>
      </c>
      <c r="B586" s="20">
        <v>1872</v>
      </c>
      <c r="C586" s="73" t="s">
        <v>537</v>
      </c>
      <c r="D586" s="97"/>
      <c r="E586" s="17"/>
      <c r="F586" s="17"/>
      <c r="G586" s="17"/>
      <c r="H586" s="17"/>
      <c r="I586" s="17"/>
      <c r="J586" s="74"/>
      <c r="K586" s="105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spans="1:26" s="93" customFormat="1" ht="19.95" customHeight="1">
      <c r="A587" s="96" t="s">
        <v>1008</v>
      </c>
      <c r="B587" s="102"/>
      <c r="C587" s="98"/>
      <c r="D587" s="97"/>
      <c r="E587" s="97"/>
      <c r="F587" s="97"/>
      <c r="G587" s="97"/>
      <c r="H587" s="104"/>
      <c r="I587" s="104"/>
      <c r="J587" s="105"/>
      <c r="K587" s="105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spans="1:26" ht="49.95" customHeight="1">
      <c r="A588" s="16" t="s">
        <v>278</v>
      </c>
      <c r="B588" s="20">
        <v>101876</v>
      </c>
      <c r="C588" s="73" t="s">
        <v>538</v>
      </c>
      <c r="D588" s="97"/>
      <c r="E588" s="17"/>
      <c r="F588" s="17"/>
      <c r="G588" s="17"/>
      <c r="H588" s="17"/>
      <c r="I588" s="17"/>
      <c r="J588" s="74"/>
      <c r="K588" s="105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spans="1:26" s="93" customFormat="1" ht="19.95" customHeight="1">
      <c r="A589" s="96" t="s">
        <v>1009</v>
      </c>
      <c r="B589" s="102"/>
      <c r="C589" s="98"/>
      <c r="D589" s="97"/>
      <c r="E589" s="97"/>
      <c r="F589" s="97"/>
      <c r="G589" s="97"/>
      <c r="H589" s="104"/>
      <c r="I589" s="104"/>
      <c r="J589" s="105"/>
      <c r="K589" s="105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spans="1:26" ht="49.95" customHeight="1">
      <c r="A590" s="16" t="s">
        <v>279</v>
      </c>
      <c r="B590" s="20">
        <v>91996</v>
      </c>
      <c r="C590" s="73" t="s">
        <v>539</v>
      </c>
      <c r="D590" s="97"/>
      <c r="E590" s="17"/>
      <c r="F590" s="17"/>
      <c r="G590" s="17"/>
      <c r="H590" s="17"/>
      <c r="I590" s="17"/>
      <c r="J590" s="74"/>
      <c r="K590" s="105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spans="1:26" s="93" customFormat="1" ht="19.95" customHeight="1">
      <c r="A591" s="96" t="s">
        <v>1010</v>
      </c>
      <c r="B591" s="102"/>
      <c r="C591" s="98"/>
      <c r="D591" s="97"/>
      <c r="E591" s="97"/>
      <c r="F591" s="97"/>
      <c r="G591" s="97"/>
      <c r="H591" s="104"/>
      <c r="I591" s="104"/>
      <c r="J591" s="105"/>
      <c r="K591" s="105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spans="1:26" ht="49.95" customHeight="1">
      <c r="A592" s="16" t="s">
        <v>280</v>
      </c>
      <c r="B592" s="20">
        <v>92004</v>
      </c>
      <c r="C592" s="73" t="s">
        <v>474</v>
      </c>
      <c r="D592" s="97"/>
      <c r="E592" s="17"/>
      <c r="F592" s="17"/>
      <c r="G592" s="17"/>
      <c r="H592" s="17"/>
      <c r="I592" s="17"/>
      <c r="J592" s="74"/>
      <c r="K592" s="69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spans="1:26" s="93" customFormat="1" ht="19.95" customHeight="1">
      <c r="A593" s="96" t="s">
        <v>1011</v>
      </c>
      <c r="B593" s="102"/>
      <c r="C593" s="98"/>
      <c r="D593" s="97"/>
      <c r="E593" s="97"/>
      <c r="F593" s="97"/>
      <c r="G593" s="97"/>
      <c r="H593" s="104"/>
      <c r="I593" s="104"/>
      <c r="J593" s="105"/>
      <c r="K593" s="105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spans="1:26" ht="49.95" customHeight="1">
      <c r="A594" s="16" t="s">
        <v>281</v>
      </c>
      <c r="B594" s="17">
        <v>91924</v>
      </c>
      <c r="C594" s="73" t="s">
        <v>476</v>
      </c>
      <c r="D594" s="17"/>
      <c r="E594" s="17"/>
      <c r="F594" s="17"/>
      <c r="G594" s="17"/>
      <c r="H594" s="17"/>
      <c r="I594" s="17"/>
      <c r="J594" s="74"/>
      <c r="K594" s="105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spans="1:26" s="93" customFormat="1" ht="19.95" customHeight="1">
      <c r="A595" s="96" t="s">
        <v>1012</v>
      </c>
      <c r="B595" s="102"/>
      <c r="C595" s="98"/>
      <c r="D595" s="97"/>
      <c r="E595" s="97"/>
      <c r="F595" s="97"/>
      <c r="G595" s="97"/>
      <c r="H595" s="97"/>
      <c r="I595" s="97"/>
      <c r="J595" s="105"/>
      <c r="K595" s="105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spans="1:26" s="93" customFormat="1" ht="19.95" customHeight="1">
      <c r="A596" s="96" t="s">
        <v>1013</v>
      </c>
      <c r="B596" s="102"/>
      <c r="C596" s="98"/>
      <c r="D596" s="97"/>
      <c r="E596" s="97"/>
      <c r="F596" s="97"/>
      <c r="G596" s="97"/>
      <c r="H596" s="97"/>
      <c r="I596" s="97"/>
      <c r="J596" s="105"/>
      <c r="K596" s="105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spans="1:26" s="93" customFormat="1" ht="19.95" customHeight="1">
      <c r="A597" s="96" t="s">
        <v>1014</v>
      </c>
      <c r="B597" s="102"/>
      <c r="C597" s="98"/>
      <c r="D597" s="97"/>
      <c r="E597" s="97"/>
      <c r="F597" s="97"/>
      <c r="G597" s="97"/>
      <c r="H597" s="97"/>
      <c r="I597" s="97"/>
      <c r="J597" s="105"/>
      <c r="K597" s="105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spans="1:26" ht="49.95" customHeight="1">
      <c r="A598" s="16" t="s">
        <v>282</v>
      </c>
      <c r="B598" s="20">
        <v>91926</v>
      </c>
      <c r="C598" s="73" t="s">
        <v>477</v>
      </c>
      <c r="D598" s="17"/>
      <c r="E598" s="17"/>
      <c r="F598" s="17"/>
      <c r="G598" s="17"/>
      <c r="H598" s="17"/>
      <c r="I598" s="17"/>
      <c r="J598" s="74"/>
      <c r="K598" s="105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spans="1:26" s="93" customFormat="1" ht="19.95" customHeight="1">
      <c r="A599" s="96" t="s">
        <v>1015</v>
      </c>
      <c r="B599" s="102"/>
      <c r="C599" s="98"/>
      <c r="D599" s="97"/>
      <c r="E599" s="97"/>
      <c r="F599" s="97"/>
      <c r="G599" s="97"/>
      <c r="H599" s="97"/>
      <c r="I599" s="97"/>
      <c r="J599" s="105"/>
      <c r="K599" s="105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spans="1:26" s="93" customFormat="1" ht="19.95" customHeight="1">
      <c r="A600" s="96" t="s">
        <v>1016</v>
      </c>
      <c r="B600" s="102"/>
      <c r="C600" s="98"/>
      <c r="D600" s="97"/>
      <c r="E600" s="97"/>
      <c r="F600" s="97"/>
      <c r="G600" s="97"/>
      <c r="H600" s="97"/>
      <c r="I600" s="97"/>
      <c r="J600" s="105"/>
      <c r="K600" s="105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spans="1:26" s="93" customFormat="1" ht="19.95" customHeight="1">
      <c r="A601" s="96" t="s">
        <v>1017</v>
      </c>
      <c r="B601" s="102"/>
      <c r="C601" s="98"/>
      <c r="D601" s="97"/>
      <c r="E601" s="97"/>
      <c r="F601" s="97"/>
      <c r="G601" s="97"/>
      <c r="H601" s="97"/>
      <c r="I601" s="97"/>
      <c r="J601" s="105"/>
      <c r="K601" s="105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spans="1:26" ht="49.95" customHeight="1">
      <c r="A602" s="16" t="s">
        <v>283</v>
      </c>
      <c r="B602" s="20">
        <v>91931</v>
      </c>
      <c r="C602" s="73" t="s">
        <v>475</v>
      </c>
      <c r="D602" s="17"/>
      <c r="E602" s="17"/>
      <c r="F602" s="17"/>
      <c r="G602" s="17"/>
      <c r="H602" s="17"/>
      <c r="I602" s="17"/>
      <c r="J602" s="74"/>
      <c r="K602" s="105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spans="1:26" s="93" customFormat="1" ht="19.95" customHeight="1">
      <c r="A603" s="96" t="s">
        <v>1018</v>
      </c>
      <c r="B603" s="102"/>
      <c r="C603" s="98"/>
      <c r="D603" s="97"/>
      <c r="E603" s="97"/>
      <c r="F603" s="97"/>
      <c r="G603" s="97"/>
      <c r="H603" s="97"/>
      <c r="I603" s="97"/>
      <c r="J603" s="105"/>
      <c r="K603" s="105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spans="1:26" s="93" customFormat="1" ht="19.95" customHeight="1">
      <c r="A604" s="96" t="s">
        <v>1019</v>
      </c>
      <c r="B604" s="102"/>
      <c r="C604" s="98"/>
      <c r="D604" s="97"/>
      <c r="E604" s="97"/>
      <c r="F604" s="97"/>
      <c r="G604" s="97"/>
      <c r="H604" s="97"/>
      <c r="I604" s="97"/>
      <c r="J604" s="105"/>
      <c r="K604" s="105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spans="1:26" s="93" customFormat="1" ht="19.95" customHeight="1">
      <c r="A605" s="96" t="s">
        <v>1020</v>
      </c>
      <c r="B605" s="102"/>
      <c r="C605" s="98"/>
      <c r="D605" s="97"/>
      <c r="E605" s="97"/>
      <c r="F605" s="97"/>
      <c r="G605" s="97"/>
      <c r="H605" s="97"/>
      <c r="I605" s="97"/>
      <c r="J605" s="105"/>
      <c r="K605" s="105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spans="1:26" ht="49.95" customHeight="1">
      <c r="A606" s="16" t="s">
        <v>284</v>
      </c>
      <c r="B606" s="20">
        <v>91869</v>
      </c>
      <c r="C606" s="73" t="s">
        <v>540</v>
      </c>
      <c r="D606" s="17"/>
      <c r="E606" s="17"/>
      <c r="F606" s="17"/>
      <c r="G606" s="17"/>
      <c r="H606" s="17"/>
      <c r="I606" s="17"/>
      <c r="J606" s="74"/>
      <c r="K606" s="105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spans="1:26" s="93" customFormat="1" ht="19.95" customHeight="1">
      <c r="A607" s="96" t="s">
        <v>1021</v>
      </c>
      <c r="B607" s="102"/>
      <c r="C607" s="98"/>
      <c r="D607" s="97"/>
      <c r="E607" s="97"/>
      <c r="F607" s="97"/>
      <c r="G607" s="97"/>
      <c r="H607" s="97"/>
      <c r="I607" s="97"/>
      <c r="J607" s="105"/>
      <c r="K607" s="105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spans="1:26" ht="49.95" customHeight="1">
      <c r="A608" s="16" t="s">
        <v>285</v>
      </c>
      <c r="B608" s="20">
        <v>95728</v>
      </c>
      <c r="C608" s="73" t="s">
        <v>541</v>
      </c>
      <c r="D608" s="17"/>
      <c r="E608" s="17"/>
      <c r="F608" s="17"/>
      <c r="G608" s="17"/>
      <c r="H608" s="17"/>
      <c r="I608" s="17"/>
      <c r="J608" s="74"/>
      <c r="K608" s="105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spans="1:26" s="93" customFormat="1" ht="19.95" customHeight="1">
      <c r="A609" s="96" t="s">
        <v>1022</v>
      </c>
      <c r="B609" s="102"/>
      <c r="C609" s="98"/>
      <c r="D609" s="97"/>
      <c r="E609" s="97"/>
      <c r="F609" s="97"/>
      <c r="G609" s="97"/>
      <c r="H609" s="97"/>
      <c r="I609" s="97"/>
      <c r="J609" s="105"/>
      <c r="K609" s="105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spans="1:26" ht="49.95" customHeight="1">
      <c r="A610" s="16" t="s">
        <v>286</v>
      </c>
      <c r="B610" s="20">
        <v>91854</v>
      </c>
      <c r="C610" s="73" t="s">
        <v>480</v>
      </c>
      <c r="D610" s="97"/>
      <c r="E610" s="17"/>
      <c r="F610" s="17"/>
      <c r="G610" s="17"/>
      <c r="H610" s="17"/>
      <c r="I610" s="17"/>
      <c r="J610" s="74"/>
      <c r="K610" s="69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spans="1:26" s="93" customFormat="1" ht="19.95" customHeight="1">
      <c r="A611" s="96" t="s">
        <v>1023</v>
      </c>
      <c r="B611" s="102"/>
      <c r="C611" s="98"/>
      <c r="D611" s="97"/>
      <c r="E611" s="97"/>
      <c r="F611" s="97"/>
      <c r="G611" s="97"/>
      <c r="H611" s="97"/>
      <c r="I611" s="97"/>
      <c r="J611" s="105"/>
      <c r="K611" s="105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spans="1:26" ht="49.95" customHeight="1">
      <c r="A612" s="16" t="s">
        <v>287</v>
      </c>
      <c r="B612" s="20">
        <v>39469</v>
      </c>
      <c r="C612" s="73" t="s">
        <v>542</v>
      </c>
      <c r="D612" s="97"/>
      <c r="E612" s="17"/>
      <c r="F612" s="17"/>
      <c r="G612" s="17"/>
      <c r="H612" s="17"/>
      <c r="I612" s="17"/>
      <c r="J612" s="74"/>
      <c r="K612" s="105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spans="1:26" s="93" customFormat="1" ht="19.95" customHeight="1">
      <c r="A613" s="96" t="s">
        <v>1024</v>
      </c>
      <c r="B613" s="102"/>
      <c r="C613" s="98"/>
      <c r="D613" s="97"/>
      <c r="E613" s="97"/>
      <c r="F613" s="97"/>
      <c r="G613" s="97"/>
      <c r="H613" s="104"/>
      <c r="I613" s="104"/>
      <c r="J613" s="105"/>
      <c r="K613" s="105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spans="1:26" ht="49.95" customHeight="1">
      <c r="A614" s="16" t="s">
        <v>288</v>
      </c>
      <c r="B614" s="20">
        <v>39470</v>
      </c>
      <c r="C614" s="73" t="s">
        <v>463</v>
      </c>
      <c r="D614" s="97"/>
      <c r="E614" s="17"/>
      <c r="F614" s="17"/>
      <c r="G614" s="17"/>
      <c r="H614" s="17"/>
      <c r="I614" s="17"/>
      <c r="J614" s="74"/>
      <c r="K614" s="105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spans="1:26" s="93" customFormat="1" ht="19.95" customHeight="1">
      <c r="A615" s="96" t="s">
        <v>1025</v>
      </c>
      <c r="B615" s="102"/>
      <c r="C615" s="98"/>
      <c r="D615" s="97"/>
      <c r="E615" s="97"/>
      <c r="F615" s="97"/>
      <c r="G615" s="97"/>
      <c r="H615" s="104"/>
      <c r="I615" s="104"/>
      <c r="J615" s="105"/>
      <c r="K615" s="105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spans="1:26" ht="49.95" customHeight="1">
      <c r="A616" s="16" t="s">
        <v>289</v>
      </c>
      <c r="B616" s="20">
        <v>16</v>
      </c>
      <c r="C616" s="73" t="s">
        <v>464</v>
      </c>
      <c r="D616" s="97"/>
      <c r="E616" s="17"/>
      <c r="F616" s="17"/>
      <c r="G616" s="17"/>
      <c r="H616" s="17"/>
      <c r="I616" s="17"/>
      <c r="J616" s="74"/>
      <c r="K616" s="69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spans="1:26" s="93" customFormat="1" ht="19.95" customHeight="1">
      <c r="A617" s="96" t="s">
        <v>1026</v>
      </c>
      <c r="B617" s="102"/>
      <c r="C617" s="98"/>
      <c r="D617" s="97"/>
      <c r="E617" s="97"/>
      <c r="F617" s="97"/>
      <c r="G617" s="97"/>
      <c r="H617" s="104"/>
      <c r="I617" s="104"/>
      <c r="J617" s="105"/>
      <c r="K617" s="105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spans="1:26" ht="49.95" customHeight="1">
      <c r="A618" s="16" t="s">
        <v>290</v>
      </c>
      <c r="B618" s="20">
        <v>93653</v>
      </c>
      <c r="C618" s="73" t="s">
        <v>465</v>
      </c>
      <c r="D618" s="97"/>
      <c r="E618" s="17"/>
      <c r="F618" s="17"/>
      <c r="G618" s="17"/>
      <c r="H618" s="17"/>
      <c r="I618" s="17"/>
      <c r="J618" s="74"/>
      <c r="K618" s="69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spans="1:26" s="93" customFormat="1" ht="19.95" customHeight="1">
      <c r="A619" s="96" t="s">
        <v>1027</v>
      </c>
      <c r="B619" s="102"/>
      <c r="C619" s="98"/>
      <c r="D619" s="97"/>
      <c r="E619" s="97"/>
      <c r="F619" s="97"/>
      <c r="G619" s="97"/>
      <c r="H619" s="104"/>
      <c r="I619" s="104"/>
      <c r="J619" s="105"/>
      <c r="K619" s="105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spans="1:26" ht="49.95" customHeight="1">
      <c r="A620" s="16" t="s">
        <v>291</v>
      </c>
      <c r="B620" s="20">
        <v>93657</v>
      </c>
      <c r="C620" s="73" t="s">
        <v>467</v>
      </c>
      <c r="D620" s="97"/>
      <c r="E620" s="17"/>
      <c r="F620" s="17"/>
      <c r="G620" s="17"/>
      <c r="H620" s="17"/>
      <c r="I620" s="17"/>
      <c r="J620" s="74"/>
      <c r="K620" s="105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spans="1:26" s="93" customFormat="1" ht="19.95" customHeight="1">
      <c r="A621" s="96" t="s">
        <v>1028</v>
      </c>
      <c r="B621" s="102"/>
      <c r="C621" s="98"/>
      <c r="D621" s="97"/>
      <c r="E621" s="97"/>
      <c r="F621" s="97"/>
      <c r="G621" s="97"/>
      <c r="H621" s="104"/>
      <c r="I621" s="104"/>
      <c r="J621" s="105"/>
      <c r="K621" s="105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spans="1:26" ht="25.2" customHeight="1">
      <c r="A622" s="46" t="s">
        <v>292</v>
      </c>
      <c r="B622" s="156" t="s">
        <v>293</v>
      </c>
      <c r="C622" s="156"/>
      <c r="D622" s="64"/>
      <c r="E622" s="64"/>
      <c r="F622" s="64"/>
      <c r="G622" s="64"/>
      <c r="H622" s="67"/>
      <c r="I622" s="67"/>
      <c r="J622" s="67"/>
      <c r="K622" s="67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spans="1:26" ht="49.95" customHeight="1">
      <c r="A623" s="16" t="s">
        <v>294</v>
      </c>
      <c r="B623" s="20">
        <v>98102</v>
      </c>
      <c r="C623" s="73" t="s">
        <v>543</v>
      </c>
      <c r="D623" s="17"/>
      <c r="E623" s="17"/>
      <c r="F623" s="17"/>
      <c r="G623" s="17"/>
      <c r="H623" s="17"/>
      <c r="I623" s="17"/>
      <c r="J623" s="74"/>
      <c r="K623" s="105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spans="1:26" s="93" customFormat="1" ht="19.95" customHeight="1">
      <c r="A624" s="96" t="s">
        <v>1029</v>
      </c>
      <c r="B624" s="102"/>
      <c r="C624" s="98"/>
      <c r="D624" s="97"/>
      <c r="E624" s="97"/>
      <c r="F624" s="97"/>
      <c r="G624" s="97"/>
      <c r="H624" s="104"/>
      <c r="I624" s="104"/>
      <c r="J624" s="105"/>
      <c r="K624" s="105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spans="1:26" ht="49.95" customHeight="1">
      <c r="A625" s="16" t="s">
        <v>295</v>
      </c>
      <c r="B625" s="17">
        <v>104063</v>
      </c>
      <c r="C625" s="73" t="s">
        <v>544</v>
      </c>
      <c r="D625" s="17"/>
      <c r="E625" s="17"/>
      <c r="F625" s="17"/>
      <c r="G625" s="17"/>
      <c r="H625" s="17"/>
      <c r="I625" s="17"/>
      <c r="J625" s="74"/>
      <c r="K625" s="105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spans="1:26" s="93" customFormat="1" ht="19.95" customHeight="1">
      <c r="A626" s="96" t="s">
        <v>1030</v>
      </c>
      <c r="B626" s="102"/>
      <c r="C626" s="98"/>
      <c r="D626" s="97"/>
      <c r="E626" s="97"/>
      <c r="F626" s="97"/>
      <c r="G626" s="97"/>
      <c r="H626" s="104"/>
      <c r="I626" s="104"/>
      <c r="J626" s="105"/>
      <c r="K626" s="105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spans="1:26" ht="49.95" customHeight="1">
      <c r="A627" s="16" t="s">
        <v>296</v>
      </c>
      <c r="B627" s="20">
        <v>89726</v>
      </c>
      <c r="C627" s="73" t="s">
        <v>488</v>
      </c>
      <c r="D627" s="17"/>
      <c r="E627" s="17"/>
      <c r="F627" s="17"/>
      <c r="G627" s="17"/>
      <c r="H627" s="17"/>
      <c r="I627" s="17"/>
      <c r="J627" s="74"/>
      <c r="K627" s="105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spans="1:26" s="93" customFormat="1" ht="19.95" customHeight="1">
      <c r="A628" s="96" t="s">
        <v>1031</v>
      </c>
      <c r="B628" s="102"/>
      <c r="C628" s="98"/>
      <c r="D628" s="97"/>
      <c r="E628" s="97"/>
      <c r="F628" s="97"/>
      <c r="G628" s="97"/>
      <c r="H628" s="104"/>
      <c r="I628" s="104"/>
      <c r="J628" s="105"/>
      <c r="K628" s="105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spans="1:26" ht="49.95" customHeight="1">
      <c r="A629" s="16" t="s">
        <v>297</v>
      </c>
      <c r="B629" s="20">
        <v>89732</v>
      </c>
      <c r="C629" s="73" t="s">
        <v>489</v>
      </c>
      <c r="D629" s="17"/>
      <c r="E629" s="17"/>
      <c r="F629" s="17"/>
      <c r="G629" s="17"/>
      <c r="H629" s="17"/>
      <c r="I629" s="17"/>
      <c r="J629" s="74"/>
      <c r="K629" s="105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spans="1:26" s="93" customFormat="1" ht="19.95" customHeight="1">
      <c r="A630" s="96" t="s">
        <v>1032</v>
      </c>
      <c r="B630" s="102"/>
      <c r="C630" s="98"/>
      <c r="D630" s="97"/>
      <c r="E630" s="97"/>
      <c r="F630" s="97"/>
      <c r="G630" s="97"/>
      <c r="H630" s="104"/>
      <c r="I630" s="104"/>
      <c r="J630" s="105"/>
      <c r="K630" s="105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spans="1:26" ht="49.95" customHeight="1">
      <c r="A631" s="16" t="s">
        <v>298</v>
      </c>
      <c r="B631" s="20">
        <v>89724</v>
      </c>
      <c r="C631" s="73" t="s">
        <v>490</v>
      </c>
      <c r="D631" s="17"/>
      <c r="E631" s="17"/>
      <c r="F631" s="17"/>
      <c r="G631" s="17"/>
      <c r="H631" s="17"/>
      <c r="I631" s="17"/>
      <c r="J631" s="74"/>
      <c r="K631" s="105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spans="1:26" s="93" customFormat="1" ht="19.95" customHeight="1">
      <c r="A632" s="96" t="s">
        <v>1033</v>
      </c>
      <c r="B632" s="102"/>
      <c r="C632" s="98"/>
      <c r="D632" s="97"/>
      <c r="E632" s="97"/>
      <c r="F632" s="97"/>
      <c r="G632" s="97"/>
      <c r="H632" s="104"/>
      <c r="I632" s="104"/>
      <c r="J632" s="105"/>
      <c r="K632" s="105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spans="1:26" ht="49.95" customHeight="1">
      <c r="A633" s="16" t="s">
        <v>299</v>
      </c>
      <c r="B633" s="20">
        <v>89731</v>
      </c>
      <c r="C633" s="73" t="s">
        <v>455</v>
      </c>
      <c r="D633" s="17"/>
      <c r="E633" s="17"/>
      <c r="F633" s="17"/>
      <c r="G633" s="17"/>
      <c r="H633" s="17"/>
      <c r="I633" s="17"/>
      <c r="J633" s="74"/>
      <c r="K633" s="105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spans="1:26" s="93" customFormat="1" ht="19.95" customHeight="1">
      <c r="A634" s="96" t="s">
        <v>1034</v>
      </c>
      <c r="B634" s="102"/>
      <c r="C634" s="98"/>
      <c r="D634" s="97"/>
      <c r="E634" s="97"/>
      <c r="F634" s="97"/>
      <c r="G634" s="97"/>
      <c r="H634" s="104"/>
      <c r="I634" s="104"/>
      <c r="J634" s="105"/>
      <c r="K634" s="105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spans="1:26" ht="49.95" customHeight="1">
      <c r="A635" s="16" t="s">
        <v>300</v>
      </c>
      <c r="B635" s="20">
        <v>89744</v>
      </c>
      <c r="C635" s="73" t="s">
        <v>491</v>
      </c>
      <c r="D635" s="17"/>
      <c r="E635" s="17"/>
      <c r="F635" s="17"/>
      <c r="G635" s="17"/>
      <c r="H635" s="17"/>
      <c r="I635" s="17"/>
      <c r="J635" s="74"/>
      <c r="K635" s="105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spans="1:26" s="93" customFormat="1" ht="19.95" customHeight="1">
      <c r="A636" s="96" t="s">
        <v>1035</v>
      </c>
      <c r="B636" s="102"/>
      <c r="C636" s="98"/>
      <c r="D636" s="97"/>
      <c r="E636" s="97"/>
      <c r="F636" s="97"/>
      <c r="G636" s="97"/>
      <c r="H636" s="104"/>
      <c r="I636" s="104"/>
      <c r="J636" s="105"/>
      <c r="K636" s="105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spans="1:26" ht="49.95" customHeight="1">
      <c r="A637" s="16" t="s">
        <v>301</v>
      </c>
      <c r="B637" s="20">
        <v>104353</v>
      </c>
      <c r="C637" s="73" t="s">
        <v>493</v>
      </c>
      <c r="D637" s="17"/>
      <c r="E637" s="17"/>
      <c r="F637" s="17"/>
      <c r="G637" s="17"/>
      <c r="H637" s="17"/>
      <c r="I637" s="17"/>
      <c r="J637" s="74"/>
      <c r="K637" s="105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spans="1:26" s="93" customFormat="1" ht="19.95" customHeight="1">
      <c r="A638" s="96" t="s">
        <v>1036</v>
      </c>
      <c r="B638" s="102"/>
      <c r="C638" s="98"/>
      <c r="D638" s="97"/>
      <c r="E638" s="97"/>
      <c r="F638" s="97"/>
      <c r="G638" s="97"/>
      <c r="H638" s="104"/>
      <c r="I638" s="104"/>
      <c r="J638" s="105"/>
      <c r="K638" s="105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spans="1:26" ht="49.95" customHeight="1">
      <c r="A639" s="16" t="s">
        <v>302</v>
      </c>
      <c r="B639" s="20">
        <v>89779</v>
      </c>
      <c r="C639" s="73" t="s">
        <v>545</v>
      </c>
      <c r="D639" s="17"/>
      <c r="E639" s="17"/>
      <c r="F639" s="17"/>
      <c r="G639" s="17"/>
      <c r="H639" s="17"/>
      <c r="I639" s="17"/>
      <c r="J639" s="74"/>
      <c r="K639" s="105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spans="1:26" s="93" customFormat="1" ht="19.95" customHeight="1">
      <c r="A640" s="96" t="s">
        <v>1037</v>
      </c>
      <c r="B640" s="102"/>
      <c r="C640" s="98"/>
      <c r="D640" s="97"/>
      <c r="E640" s="97"/>
      <c r="F640" s="97"/>
      <c r="G640" s="97"/>
      <c r="H640" s="104"/>
      <c r="I640" s="104"/>
      <c r="J640" s="105"/>
      <c r="K640" s="105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spans="1:26" ht="49.95" customHeight="1">
      <c r="A641" s="16" t="s">
        <v>303</v>
      </c>
      <c r="B641" s="17">
        <v>104348</v>
      </c>
      <c r="C641" s="73" t="s">
        <v>494</v>
      </c>
      <c r="D641" s="17"/>
      <c r="E641" s="17"/>
      <c r="F641" s="17"/>
      <c r="G641" s="17"/>
      <c r="H641" s="17"/>
      <c r="I641" s="17"/>
      <c r="J641" s="74"/>
      <c r="K641" s="105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spans="1:26" s="93" customFormat="1" ht="19.95" customHeight="1">
      <c r="A642" s="96" t="s">
        <v>1038</v>
      </c>
      <c r="B642" s="102"/>
      <c r="C642" s="98"/>
      <c r="D642" s="97"/>
      <c r="E642" s="97"/>
      <c r="F642" s="97"/>
      <c r="G642" s="97"/>
      <c r="H642" s="104"/>
      <c r="I642" s="104"/>
      <c r="J642" s="105"/>
      <c r="K642" s="105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spans="1:26" ht="49.95" customHeight="1">
      <c r="A643" s="16" t="s">
        <v>304</v>
      </c>
      <c r="B643" s="20">
        <v>89696</v>
      </c>
      <c r="C643" s="73" t="s">
        <v>546</v>
      </c>
      <c r="D643" s="17"/>
      <c r="E643" s="17"/>
      <c r="F643" s="17"/>
      <c r="G643" s="17"/>
      <c r="H643" s="17"/>
      <c r="I643" s="17"/>
      <c r="J643" s="74"/>
      <c r="K643" s="105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spans="1:26" s="93" customFormat="1" ht="19.95" customHeight="1">
      <c r="A644" s="96" t="s">
        <v>1039</v>
      </c>
      <c r="B644" s="102"/>
      <c r="C644" s="98"/>
      <c r="D644" s="97"/>
      <c r="E644" s="97"/>
      <c r="F644" s="97"/>
      <c r="G644" s="97"/>
      <c r="H644" s="104"/>
      <c r="I644" s="104"/>
      <c r="J644" s="105"/>
      <c r="K644" s="105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spans="1:26" ht="49.95" customHeight="1">
      <c r="A645" s="16" t="s">
        <v>305</v>
      </c>
      <c r="B645" s="20">
        <v>104329</v>
      </c>
      <c r="C645" s="73" t="s">
        <v>497</v>
      </c>
      <c r="D645" s="17"/>
      <c r="E645" s="17"/>
      <c r="F645" s="17"/>
      <c r="G645" s="17"/>
      <c r="H645" s="17"/>
      <c r="I645" s="17"/>
      <c r="J645" s="74"/>
      <c r="K645" s="105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spans="1:26" s="93" customFormat="1" ht="19.95" customHeight="1">
      <c r="A646" s="96" t="s">
        <v>1040</v>
      </c>
      <c r="B646" s="102"/>
      <c r="C646" s="98"/>
      <c r="D646" s="97"/>
      <c r="E646" s="97"/>
      <c r="F646" s="97"/>
      <c r="G646" s="97"/>
      <c r="H646" s="104"/>
      <c r="I646" s="104"/>
      <c r="J646" s="105"/>
      <c r="K646" s="105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spans="1:26" ht="49.95" customHeight="1">
      <c r="A647" s="16" t="s">
        <v>306</v>
      </c>
      <c r="B647" s="17">
        <v>11745</v>
      </c>
      <c r="C647" s="73" t="s">
        <v>547</v>
      </c>
      <c r="D647" s="17"/>
      <c r="E647" s="17"/>
      <c r="F647" s="17"/>
      <c r="G647" s="17"/>
      <c r="H647" s="17"/>
      <c r="I647" s="17"/>
      <c r="J647" s="74"/>
      <c r="K647" s="105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spans="1:26" s="93" customFormat="1" ht="19.95" customHeight="1">
      <c r="A648" s="96" t="s">
        <v>1041</v>
      </c>
      <c r="B648" s="102"/>
      <c r="C648" s="98"/>
      <c r="D648" s="97"/>
      <c r="E648" s="97"/>
      <c r="F648" s="97"/>
      <c r="G648" s="97"/>
      <c r="H648" s="104"/>
      <c r="I648" s="104"/>
      <c r="J648" s="105"/>
      <c r="K648" s="105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spans="1:26" ht="49.95" customHeight="1">
      <c r="A649" s="16" t="s">
        <v>307</v>
      </c>
      <c r="B649" s="20">
        <v>89711</v>
      </c>
      <c r="C649" s="73" t="s">
        <v>548</v>
      </c>
      <c r="D649" s="17"/>
      <c r="E649" s="17"/>
      <c r="F649" s="17"/>
      <c r="G649" s="17"/>
      <c r="H649" s="17"/>
      <c r="I649" s="17"/>
      <c r="J649" s="74"/>
      <c r="K649" s="105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spans="1:26" s="93" customFormat="1" ht="19.95" customHeight="1">
      <c r="A650" s="96" t="s">
        <v>1042</v>
      </c>
      <c r="B650" s="102"/>
      <c r="C650" s="98"/>
      <c r="D650" s="97"/>
      <c r="E650" s="97"/>
      <c r="F650" s="97"/>
      <c r="G650" s="97"/>
      <c r="H650" s="97"/>
      <c r="I650" s="97"/>
      <c r="J650" s="105"/>
      <c r="K650" s="105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spans="1:26" ht="49.95" customHeight="1">
      <c r="A651" s="16" t="s">
        <v>308</v>
      </c>
      <c r="B651" s="20">
        <v>89712</v>
      </c>
      <c r="C651" s="73" t="s">
        <v>499</v>
      </c>
      <c r="D651" s="17"/>
      <c r="E651" s="17"/>
      <c r="F651" s="17"/>
      <c r="G651" s="17"/>
      <c r="H651" s="17"/>
      <c r="I651" s="17"/>
      <c r="J651" s="74"/>
      <c r="K651" s="105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spans="1:26" s="93" customFormat="1" ht="19.95" customHeight="1">
      <c r="A652" s="96" t="s">
        <v>1043</v>
      </c>
      <c r="B652" s="102"/>
      <c r="C652" s="98"/>
      <c r="D652" s="97"/>
      <c r="E652" s="97"/>
      <c r="F652" s="97"/>
      <c r="G652" s="97"/>
      <c r="H652" s="97"/>
      <c r="I652" s="97"/>
      <c r="J652" s="105"/>
      <c r="K652" s="105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spans="1:26" ht="49.95" customHeight="1">
      <c r="A653" s="16" t="s">
        <v>309</v>
      </c>
      <c r="B653" s="20">
        <v>89714</v>
      </c>
      <c r="C653" s="73" t="s">
        <v>500</v>
      </c>
      <c r="D653" s="17"/>
      <c r="E653" s="17"/>
      <c r="F653" s="17"/>
      <c r="G653" s="17"/>
      <c r="H653" s="17"/>
      <c r="I653" s="17"/>
      <c r="J653" s="74"/>
      <c r="K653" s="105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spans="1:26" s="93" customFormat="1" ht="19.95" customHeight="1">
      <c r="A654" s="96" t="s">
        <v>1044</v>
      </c>
      <c r="B654" s="102"/>
      <c r="C654" s="98"/>
      <c r="D654" s="97"/>
      <c r="E654" s="97"/>
      <c r="F654" s="97"/>
      <c r="G654" s="97"/>
      <c r="H654" s="97"/>
      <c r="I654" s="97"/>
      <c r="J654" s="105"/>
      <c r="K654" s="105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spans="1:26" ht="49.95" customHeight="1">
      <c r="A655" s="16" t="s">
        <v>310</v>
      </c>
      <c r="B655" s="20">
        <v>89696</v>
      </c>
      <c r="C655" s="73" t="s">
        <v>546</v>
      </c>
      <c r="D655" s="17"/>
      <c r="E655" s="17"/>
      <c r="F655" s="17"/>
      <c r="G655" s="17"/>
      <c r="H655" s="17"/>
      <c r="I655" s="17"/>
      <c r="J655" s="74"/>
      <c r="K655" s="105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spans="1:26" s="93" customFormat="1" ht="19.95" customHeight="1">
      <c r="A656" s="96" t="s">
        <v>1045</v>
      </c>
      <c r="B656" s="102"/>
      <c r="C656" s="98"/>
      <c r="D656" s="97"/>
      <c r="E656" s="97"/>
      <c r="F656" s="97"/>
      <c r="G656" s="97"/>
      <c r="H656" s="104"/>
      <c r="I656" s="104"/>
      <c r="J656" s="105"/>
      <c r="K656" s="105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spans="1:26" ht="49.95" customHeight="1">
      <c r="A657" s="16" t="s">
        <v>311</v>
      </c>
      <c r="B657" s="20">
        <v>98083</v>
      </c>
      <c r="C657" s="73" t="s">
        <v>549</v>
      </c>
      <c r="D657" s="17"/>
      <c r="E657" s="17"/>
      <c r="F657" s="17"/>
      <c r="G657" s="17"/>
      <c r="H657" s="17"/>
      <c r="I657" s="17"/>
      <c r="J657" s="74"/>
      <c r="K657" s="105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spans="1:26" s="93" customFormat="1" ht="19.95" customHeight="1">
      <c r="A658" s="96" t="s">
        <v>1046</v>
      </c>
      <c r="B658" s="102"/>
      <c r="C658" s="98"/>
      <c r="D658" s="97"/>
      <c r="E658" s="97"/>
      <c r="F658" s="97"/>
      <c r="G658" s="97"/>
      <c r="H658" s="104"/>
      <c r="I658" s="104"/>
      <c r="J658" s="105"/>
      <c r="K658" s="105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spans="1:26" ht="25.2" customHeight="1">
      <c r="A659" s="46" t="s">
        <v>312</v>
      </c>
      <c r="B659" s="156" t="s">
        <v>21</v>
      </c>
      <c r="C659" s="156"/>
      <c r="D659" s="64"/>
      <c r="E659" s="64"/>
      <c r="F659" s="64"/>
      <c r="G659" s="64"/>
      <c r="H659" s="67"/>
      <c r="I659" s="67"/>
      <c r="J659" s="67"/>
      <c r="K659" s="67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spans="1:26" ht="49.95" customHeight="1">
      <c r="A660" s="16" t="s">
        <v>313</v>
      </c>
      <c r="B660" s="20">
        <v>94204</v>
      </c>
      <c r="C660" s="73" t="s">
        <v>507</v>
      </c>
      <c r="D660" s="17"/>
      <c r="E660" s="17"/>
      <c r="F660" s="17"/>
      <c r="G660" s="17"/>
      <c r="H660" s="17"/>
      <c r="I660" s="17"/>
      <c r="J660" s="106"/>
      <c r="K660" s="69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spans="1:26" s="93" customFormat="1" ht="19.95" customHeight="1">
      <c r="A661" s="96" t="s">
        <v>1174</v>
      </c>
      <c r="B661" s="102"/>
      <c r="C661" s="98"/>
      <c r="D661" s="97"/>
      <c r="E661" s="97"/>
      <c r="F661" s="97"/>
      <c r="G661" s="97"/>
      <c r="H661" s="97"/>
      <c r="I661" s="97"/>
      <c r="J661" s="105"/>
      <c r="K661" s="105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spans="1:26" ht="49.95" customHeight="1">
      <c r="A662" s="16" t="s">
        <v>314</v>
      </c>
      <c r="B662" s="17">
        <v>92540</v>
      </c>
      <c r="C662" s="73" t="s">
        <v>508</v>
      </c>
      <c r="D662" s="17"/>
      <c r="E662" s="17"/>
      <c r="F662" s="17"/>
      <c r="G662" s="17"/>
      <c r="H662" s="17"/>
      <c r="I662" s="17"/>
      <c r="J662" s="106"/>
      <c r="K662" s="105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spans="1:26" s="93" customFormat="1" ht="19.95" customHeight="1">
      <c r="A663" s="96" t="s">
        <v>1175</v>
      </c>
      <c r="B663" s="102"/>
      <c r="C663" s="98"/>
      <c r="D663" s="97"/>
      <c r="E663" s="97"/>
      <c r="F663" s="97"/>
      <c r="G663" s="97"/>
      <c r="H663" s="97"/>
      <c r="I663" s="97"/>
      <c r="J663" s="105"/>
      <c r="K663" s="105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spans="1:26" ht="49.95" customHeight="1">
      <c r="A664" s="16" t="s">
        <v>315</v>
      </c>
      <c r="B664" s="20">
        <v>92545</v>
      </c>
      <c r="C664" s="73" t="s">
        <v>550</v>
      </c>
      <c r="D664" s="17"/>
      <c r="E664" s="17"/>
      <c r="F664" s="17"/>
      <c r="G664" s="17"/>
      <c r="H664" s="17"/>
      <c r="I664" s="17"/>
      <c r="J664" s="74"/>
      <c r="K664" s="69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spans="1:26" s="93" customFormat="1" ht="19.95" customHeight="1">
      <c r="A665" s="96" t="s">
        <v>1176</v>
      </c>
      <c r="B665" s="102"/>
      <c r="C665" s="98"/>
      <c r="D665" s="97"/>
      <c r="E665" s="97"/>
      <c r="F665" s="97"/>
      <c r="G665" s="97"/>
      <c r="H665" s="104"/>
      <c r="I665" s="104"/>
      <c r="J665" s="105"/>
      <c r="K665" s="105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spans="1:26" ht="49.95" customHeight="1">
      <c r="A666" s="16" t="s">
        <v>316</v>
      </c>
      <c r="B666" s="20">
        <v>94221</v>
      </c>
      <c r="C666" s="73" t="s">
        <v>551</v>
      </c>
      <c r="D666" s="17"/>
      <c r="E666" s="17"/>
      <c r="F666" s="17"/>
      <c r="G666" s="17"/>
      <c r="H666" s="17"/>
      <c r="I666" s="17"/>
      <c r="J666" s="74"/>
      <c r="K666" s="105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spans="1:26" s="93" customFormat="1" ht="19.95" customHeight="1">
      <c r="A667" s="96" t="s">
        <v>1177</v>
      </c>
      <c r="B667" s="102"/>
      <c r="C667" s="98"/>
      <c r="D667" s="97"/>
      <c r="E667" s="97"/>
      <c r="F667" s="97"/>
      <c r="G667" s="97"/>
      <c r="H667" s="97"/>
      <c r="I667" s="97"/>
      <c r="J667" s="105"/>
      <c r="K667" s="105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spans="1:26" ht="49.95" customHeight="1">
      <c r="A668" s="16" t="s">
        <v>317</v>
      </c>
      <c r="B668" s="20">
        <v>102233</v>
      </c>
      <c r="C668" s="73" t="s">
        <v>511</v>
      </c>
      <c r="D668" s="17"/>
      <c r="E668" s="17"/>
      <c r="F668" s="17"/>
      <c r="G668" s="17"/>
      <c r="H668" s="17"/>
      <c r="I668" s="17"/>
      <c r="J668" s="74"/>
      <c r="K668" s="105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spans="1:26" s="93" customFormat="1" ht="19.95" customHeight="1">
      <c r="A669" s="96" t="s">
        <v>1178</v>
      </c>
      <c r="B669" s="102"/>
      <c r="C669" s="98" t="s">
        <v>1179</v>
      </c>
      <c r="D669" s="97"/>
      <c r="E669" s="97"/>
      <c r="F669" s="97"/>
      <c r="G669" s="97"/>
      <c r="H669" s="104"/>
      <c r="I669" s="104"/>
      <c r="J669" s="105"/>
      <c r="K669" s="105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spans="1:26" ht="25.2" customHeight="1">
      <c r="A670" s="46" t="s">
        <v>318</v>
      </c>
      <c r="B670" s="156" t="s">
        <v>48</v>
      </c>
      <c r="C670" s="156"/>
      <c r="D670" s="64"/>
      <c r="E670" s="64"/>
      <c r="F670" s="64"/>
      <c r="G670" s="64"/>
      <c r="H670" s="67"/>
      <c r="I670" s="67"/>
      <c r="J670" s="67"/>
      <c r="K670" s="67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spans="1:26" ht="49.95" customHeight="1">
      <c r="A671" s="16" t="s">
        <v>319</v>
      </c>
      <c r="B671" s="20">
        <v>90822</v>
      </c>
      <c r="C671" s="73" t="s">
        <v>552</v>
      </c>
      <c r="D671" s="17"/>
      <c r="E671" s="17"/>
      <c r="F671" s="17"/>
      <c r="G671" s="17"/>
      <c r="H671" s="17"/>
      <c r="I671" s="17"/>
      <c r="J671" s="74">
        <v>1</v>
      </c>
      <c r="K671" s="69" t="s">
        <v>57</v>
      </c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spans="1:26" s="93" customFormat="1" ht="19.95" customHeight="1">
      <c r="A672" s="96" t="s">
        <v>1258</v>
      </c>
      <c r="B672" s="102"/>
      <c r="C672" s="98"/>
      <c r="D672" s="97">
        <v>1</v>
      </c>
      <c r="E672" s="97">
        <v>1</v>
      </c>
      <c r="F672" s="97"/>
      <c r="G672" s="97"/>
      <c r="H672" s="97">
        <v>1</v>
      </c>
      <c r="I672" s="97">
        <v>1</v>
      </c>
      <c r="J672" s="105"/>
      <c r="K672" s="105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spans="1:26" ht="49.95" customHeight="1">
      <c r="A673" s="16" t="s">
        <v>320</v>
      </c>
      <c r="B673" s="17">
        <v>91010</v>
      </c>
      <c r="C673" s="73" t="s">
        <v>553</v>
      </c>
      <c r="D673" s="17"/>
      <c r="E673" s="17"/>
      <c r="F673" s="17"/>
      <c r="G673" s="17"/>
      <c r="H673" s="17"/>
      <c r="I673" s="17"/>
      <c r="J673" s="106">
        <v>1</v>
      </c>
      <c r="K673" s="105" t="s">
        <v>57</v>
      </c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spans="1:26" s="93" customFormat="1" ht="19.95" customHeight="1">
      <c r="A674" s="96" t="s">
        <v>1291</v>
      </c>
      <c r="B674" s="102"/>
      <c r="C674" s="98"/>
      <c r="D674" s="97">
        <v>1</v>
      </c>
      <c r="E674" s="97">
        <v>1</v>
      </c>
      <c r="F674" s="97"/>
      <c r="G674" s="97"/>
      <c r="H674" s="97">
        <v>1</v>
      </c>
      <c r="I674" s="97">
        <v>1</v>
      </c>
      <c r="J674" s="105"/>
      <c r="K674" s="105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spans="1:26" ht="49.95" customHeight="1">
      <c r="A675" s="16" t="s">
        <v>321</v>
      </c>
      <c r="B675" s="20">
        <v>101162</v>
      </c>
      <c r="C675" s="73" t="s">
        <v>554</v>
      </c>
      <c r="D675" s="17"/>
      <c r="E675" s="17"/>
      <c r="F675" s="17"/>
      <c r="G675" s="17"/>
      <c r="H675" s="17"/>
      <c r="I675" s="17"/>
      <c r="J675" s="74"/>
      <c r="K675" s="69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spans="1:26" s="93" customFormat="1" ht="19.95" customHeight="1">
      <c r="A676" s="96" t="s">
        <v>1180</v>
      </c>
      <c r="B676" s="102"/>
      <c r="C676" s="98" t="s">
        <v>1182</v>
      </c>
      <c r="D676" s="97"/>
      <c r="E676" s="97"/>
      <c r="F676" s="97"/>
      <c r="G676" s="97"/>
      <c r="H676" s="104"/>
      <c r="I676" s="104"/>
      <c r="J676" s="105"/>
      <c r="K676" s="105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spans="1:26" s="93" customFormat="1" ht="19.95" customHeight="1">
      <c r="A677" s="96" t="s">
        <v>1181</v>
      </c>
      <c r="B677" s="102"/>
      <c r="C677" s="98" t="s">
        <v>1182</v>
      </c>
      <c r="D677" s="97"/>
      <c r="E677" s="97"/>
      <c r="F677" s="97"/>
      <c r="G677" s="97"/>
      <c r="H677" s="97"/>
      <c r="I677" s="97"/>
      <c r="J677" s="105"/>
      <c r="K677" s="105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spans="1:26" ht="25.2" customHeight="1">
      <c r="A678" s="46">
        <v>4</v>
      </c>
      <c r="B678" s="156" t="s">
        <v>322</v>
      </c>
      <c r="C678" s="156"/>
      <c r="D678" s="64"/>
      <c r="E678" s="64"/>
      <c r="F678" s="64"/>
      <c r="G678" s="64"/>
      <c r="H678" s="67"/>
      <c r="I678" s="67"/>
      <c r="J678" s="67"/>
      <c r="K678" s="67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spans="1:26" ht="25.2" customHeight="1">
      <c r="A679" s="46" t="s">
        <v>22</v>
      </c>
      <c r="B679" s="156" t="s">
        <v>33</v>
      </c>
      <c r="C679" s="156"/>
      <c r="D679" s="64"/>
      <c r="E679" s="64"/>
      <c r="F679" s="64"/>
      <c r="G679" s="64"/>
      <c r="H679" s="67"/>
      <c r="I679" s="67"/>
      <c r="J679" s="67"/>
      <c r="K679" s="67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spans="1:26" ht="49.95" customHeight="1">
      <c r="A680" s="16" t="s">
        <v>325</v>
      </c>
      <c r="B680" s="20">
        <v>93358</v>
      </c>
      <c r="C680" s="73" t="s">
        <v>400</v>
      </c>
      <c r="D680" s="17"/>
      <c r="E680" s="17"/>
      <c r="F680" s="17"/>
      <c r="G680" s="17"/>
      <c r="H680" s="17"/>
      <c r="I680" s="17"/>
      <c r="J680" s="74"/>
      <c r="K680" s="69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spans="1:26" ht="19.95" customHeight="1">
      <c r="A681" s="16" t="s">
        <v>737</v>
      </c>
      <c r="B681" s="49"/>
      <c r="C681" s="21" t="s">
        <v>805</v>
      </c>
      <c r="D681" s="17"/>
      <c r="E681" s="17"/>
      <c r="F681" s="17"/>
      <c r="G681" s="17"/>
      <c r="H681" s="68"/>
      <c r="I681" s="68"/>
      <c r="J681" s="69"/>
      <c r="K681" s="69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spans="1:26" ht="19.95" customHeight="1">
      <c r="A682" s="16" t="s">
        <v>738</v>
      </c>
      <c r="B682" s="49"/>
      <c r="C682" s="21" t="s">
        <v>806</v>
      </c>
      <c r="D682" s="17"/>
      <c r="E682" s="17"/>
      <c r="F682" s="17"/>
      <c r="G682" s="17"/>
      <c r="H682" s="68"/>
      <c r="I682" s="68"/>
      <c r="J682" s="69"/>
      <c r="K682" s="69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spans="1:26" ht="19.95" customHeight="1">
      <c r="A683" s="16" t="s">
        <v>739</v>
      </c>
      <c r="B683" s="49"/>
      <c r="C683" s="21" t="s">
        <v>807</v>
      </c>
      <c r="D683" s="17"/>
      <c r="E683" s="17"/>
      <c r="F683" s="17"/>
      <c r="G683" s="17"/>
      <c r="H683" s="68"/>
      <c r="I683" s="68"/>
      <c r="J683" s="69"/>
      <c r="K683" s="69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spans="1:26" ht="19.95" customHeight="1">
      <c r="A684" s="16" t="s">
        <v>740</v>
      </c>
      <c r="B684" s="49"/>
      <c r="C684" s="21" t="s">
        <v>808</v>
      </c>
      <c r="D684" s="17"/>
      <c r="E684" s="17"/>
      <c r="F684" s="17"/>
      <c r="G684" s="17"/>
      <c r="H684" s="68"/>
      <c r="I684" s="68"/>
      <c r="J684" s="69"/>
      <c r="K684" s="69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spans="1:26" ht="19.95" customHeight="1">
      <c r="A685" s="16" t="s">
        <v>741</v>
      </c>
      <c r="B685" s="49"/>
      <c r="C685" s="21" t="s">
        <v>809</v>
      </c>
      <c r="D685" s="17"/>
      <c r="E685" s="17"/>
      <c r="F685" s="17"/>
      <c r="G685" s="17"/>
      <c r="H685" s="68"/>
      <c r="I685" s="68"/>
      <c r="J685" s="69"/>
      <c r="K685" s="69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spans="1:26" ht="19.95" customHeight="1">
      <c r="A686" s="16" t="s">
        <v>742</v>
      </c>
      <c r="B686" s="49"/>
      <c r="C686" s="21" t="s">
        <v>810</v>
      </c>
      <c r="D686" s="17"/>
      <c r="E686" s="17"/>
      <c r="F686" s="17"/>
      <c r="G686" s="17"/>
      <c r="H686" s="68"/>
      <c r="I686" s="68"/>
      <c r="J686" s="69"/>
      <c r="K686" s="69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spans="1:26" ht="19.95" customHeight="1">
      <c r="A687" s="16" t="s">
        <v>743</v>
      </c>
      <c r="B687" s="49"/>
      <c r="C687" s="21" t="s">
        <v>811</v>
      </c>
      <c r="D687" s="17"/>
      <c r="E687" s="17"/>
      <c r="F687" s="17"/>
      <c r="G687" s="17"/>
      <c r="H687" s="68"/>
      <c r="I687" s="68"/>
      <c r="J687" s="69"/>
      <c r="K687" s="69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spans="1:26" ht="19.95" customHeight="1">
      <c r="A688" s="16" t="s">
        <v>744</v>
      </c>
      <c r="B688" s="49"/>
      <c r="C688" s="21" t="s">
        <v>812</v>
      </c>
      <c r="D688" s="17"/>
      <c r="E688" s="17"/>
      <c r="F688" s="17"/>
      <c r="G688" s="17"/>
      <c r="H688" s="68"/>
      <c r="I688" s="68"/>
      <c r="J688" s="69"/>
      <c r="K688" s="69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spans="1:26" ht="19.95" customHeight="1">
      <c r="A689" s="16" t="s">
        <v>745</v>
      </c>
      <c r="B689" s="49"/>
      <c r="C689" s="21" t="s">
        <v>813</v>
      </c>
      <c r="D689" s="17"/>
      <c r="E689" s="17"/>
      <c r="F689" s="17"/>
      <c r="G689" s="17"/>
      <c r="H689" s="68"/>
      <c r="I689" s="68"/>
      <c r="J689" s="69"/>
      <c r="K689" s="69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spans="1:26" ht="19.95" customHeight="1">
      <c r="A690" s="16" t="s">
        <v>746</v>
      </c>
      <c r="B690" s="49"/>
      <c r="C690" s="21" t="s">
        <v>814</v>
      </c>
      <c r="D690" s="17"/>
      <c r="E690" s="17"/>
      <c r="F690" s="17"/>
      <c r="G690" s="17"/>
      <c r="H690" s="68"/>
      <c r="I690" s="68"/>
      <c r="J690" s="69"/>
      <c r="K690" s="69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spans="1:26" ht="19.95" customHeight="1">
      <c r="A691" s="16" t="s">
        <v>747</v>
      </c>
      <c r="B691" s="49"/>
      <c r="C691" s="21" t="s">
        <v>815</v>
      </c>
      <c r="D691" s="17"/>
      <c r="E691" s="17"/>
      <c r="F691" s="17"/>
      <c r="G691" s="17"/>
      <c r="H691" s="68"/>
      <c r="I691" s="68"/>
      <c r="J691" s="69"/>
      <c r="K691" s="69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spans="1:26" ht="19.95" customHeight="1">
      <c r="A692" s="16" t="s">
        <v>748</v>
      </c>
      <c r="B692" s="49"/>
      <c r="C692" s="21" t="s">
        <v>816</v>
      </c>
      <c r="D692" s="17"/>
      <c r="E692" s="17"/>
      <c r="F692" s="17"/>
      <c r="G692" s="17"/>
      <c r="H692" s="68"/>
      <c r="I692" s="68"/>
      <c r="J692" s="69"/>
      <c r="K692" s="69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spans="1:26" ht="19.95" customHeight="1">
      <c r="A693" s="16" t="s">
        <v>749</v>
      </c>
      <c r="B693" s="49"/>
      <c r="C693" s="21" t="s">
        <v>817</v>
      </c>
      <c r="D693" s="17"/>
      <c r="E693" s="17"/>
      <c r="F693" s="17"/>
      <c r="G693" s="17"/>
      <c r="H693" s="68"/>
      <c r="I693" s="68"/>
      <c r="J693" s="69"/>
      <c r="K693" s="69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spans="1:26" ht="19.95" customHeight="1">
      <c r="A694" s="16" t="s">
        <v>750</v>
      </c>
      <c r="B694" s="49"/>
      <c r="C694" s="21" t="s">
        <v>818</v>
      </c>
      <c r="D694" s="17"/>
      <c r="E694" s="17"/>
      <c r="F694" s="17"/>
      <c r="G694" s="17"/>
      <c r="H694" s="68"/>
      <c r="I694" s="68"/>
      <c r="J694" s="69"/>
      <c r="K694" s="69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spans="1:26" ht="19.95" customHeight="1">
      <c r="A695" s="16" t="s">
        <v>751</v>
      </c>
      <c r="B695" s="49"/>
      <c r="C695" s="21" t="s">
        <v>819</v>
      </c>
      <c r="D695" s="17"/>
      <c r="E695" s="17"/>
      <c r="F695" s="17"/>
      <c r="G695" s="17"/>
      <c r="H695" s="68"/>
      <c r="I695" s="68"/>
      <c r="J695" s="69"/>
      <c r="K695" s="69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spans="1:26" ht="19.95" customHeight="1">
      <c r="A696" s="16" t="s">
        <v>752</v>
      </c>
      <c r="B696" s="49"/>
      <c r="C696" s="21" t="s">
        <v>820</v>
      </c>
      <c r="D696" s="17"/>
      <c r="E696" s="17"/>
      <c r="F696" s="17"/>
      <c r="G696" s="17"/>
      <c r="H696" s="68"/>
      <c r="I696" s="68"/>
      <c r="J696" s="69"/>
      <c r="K696" s="69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spans="1:26" ht="49.95" customHeight="1">
      <c r="A697" s="16" t="s">
        <v>326</v>
      </c>
      <c r="B697" s="17">
        <v>104737</v>
      </c>
      <c r="C697" s="73" t="s">
        <v>401</v>
      </c>
      <c r="D697" s="17"/>
      <c r="E697" s="17"/>
      <c r="F697" s="17"/>
      <c r="G697" s="17"/>
      <c r="H697" s="17"/>
      <c r="I697" s="17"/>
      <c r="J697" s="74"/>
      <c r="K697" s="69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spans="1:26" ht="19.95" customHeight="1">
      <c r="A698" s="16" t="s">
        <v>753</v>
      </c>
      <c r="B698" s="49"/>
      <c r="C698" s="21" t="s">
        <v>622</v>
      </c>
      <c r="D698" s="17"/>
      <c r="E698" s="17"/>
      <c r="F698" s="17"/>
      <c r="G698" s="17"/>
      <c r="H698" s="68"/>
      <c r="I698" s="68"/>
      <c r="J698" s="69"/>
      <c r="K698" s="69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spans="1:26" ht="25.2" customHeight="1">
      <c r="A699" s="46" t="s">
        <v>323</v>
      </c>
      <c r="B699" s="156" t="s">
        <v>40</v>
      </c>
      <c r="C699" s="156"/>
      <c r="D699" s="64"/>
      <c r="E699" s="64"/>
      <c r="F699" s="64"/>
      <c r="G699" s="64"/>
      <c r="H699" s="67"/>
      <c r="I699" s="67"/>
      <c r="J699" s="67"/>
      <c r="K699" s="67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spans="1:26" ht="49.95" customHeight="1">
      <c r="A700" s="16" t="s">
        <v>327</v>
      </c>
      <c r="B700" s="20">
        <v>96619</v>
      </c>
      <c r="C700" s="73" t="s">
        <v>402</v>
      </c>
      <c r="D700" s="17"/>
      <c r="E700" s="17"/>
      <c r="F700" s="17"/>
      <c r="G700" s="17"/>
      <c r="H700" s="17"/>
      <c r="I700" s="17"/>
      <c r="J700" s="74"/>
      <c r="K700" s="69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spans="1:26" ht="19.95" customHeight="1">
      <c r="A701" s="16" t="s">
        <v>327</v>
      </c>
      <c r="B701" s="49"/>
      <c r="C701" s="21" t="s">
        <v>805</v>
      </c>
      <c r="D701" s="17"/>
      <c r="E701" s="17"/>
      <c r="F701" s="17"/>
      <c r="G701" s="17"/>
      <c r="H701" s="68"/>
      <c r="I701" s="68"/>
      <c r="J701" s="69"/>
      <c r="K701" s="69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spans="1:26" ht="19.95" customHeight="1">
      <c r="A702" s="16" t="s">
        <v>749</v>
      </c>
      <c r="B702" s="49"/>
      <c r="C702" s="21" t="s">
        <v>806</v>
      </c>
      <c r="D702" s="17"/>
      <c r="E702" s="17"/>
      <c r="F702" s="17"/>
      <c r="G702" s="17"/>
      <c r="H702" s="68"/>
      <c r="I702" s="68"/>
      <c r="J702" s="69"/>
      <c r="K702" s="69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spans="1:26" ht="19.95" customHeight="1">
      <c r="A703" s="16" t="s">
        <v>750</v>
      </c>
      <c r="B703" s="49"/>
      <c r="C703" s="21" t="s">
        <v>807</v>
      </c>
      <c r="D703" s="17"/>
      <c r="E703" s="17"/>
      <c r="F703" s="17"/>
      <c r="G703" s="17"/>
      <c r="H703" s="68"/>
      <c r="I703" s="68"/>
      <c r="J703" s="69"/>
      <c r="K703" s="69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spans="1:26" ht="19.95" customHeight="1">
      <c r="A704" s="16" t="s">
        <v>751</v>
      </c>
      <c r="B704" s="49"/>
      <c r="C704" s="21" t="s">
        <v>808</v>
      </c>
      <c r="D704" s="17"/>
      <c r="E704" s="17"/>
      <c r="F704" s="17"/>
      <c r="G704" s="17"/>
      <c r="H704" s="68"/>
      <c r="I704" s="68"/>
      <c r="J704" s="69"/>
      <c r="K704" s="69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spans="1:26" ht="49.95" customHeight="1">
      <c r="A705" s="16" t="s">
        <v>328</v>
      </c>
      <c r="B705" s="17">
        <v>101616</v>
      </c>
      <c r="C705" s="73" t="s">
        <v>403</v>
      </c>
      <c r="D705" s="17"/>
      <c r="E705" s="17"/>
      <c r="F705" s="17"/>
      <c r="G705" s="17"/>
      <c r="H705" s="17"/>
      <c r="I705" s="17"/>
      <c r="J705" s="87"/>
      <c r="K705" s="69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spans="1:26" ht="19.95" customHeight="1">
      <c r="A706" s="16" t="s">
        <v>754</v>
      </c>
      <c r="B706" s="49"/>
      <c r="C706" s="21" t="s">
        <v>805</v>
      </c>
      <c r="D706" s="17"/>
      <c r="E706" s="17"/>
      <c r="F706" s="17"/>
      <c r="G706" s="17"/>
      <c r="H706" s="68"/>
      <c r="I706" s="68"/>
      <c r="J706" s="69"/>
      <c r="K706" s="69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spans="1:26" ht="19.95" customHeight="1">
      <c r="A707" s="16" t="s">
        <v>755</v>
      </c>
      <c r="B707" s="49"/>
      <c r="C707" s="21" t="s">
        <v>806</v>
      </c>
      <c r="D707" s="17"/>
      <c r="E707" s="17"/>
      <c r="F707" s="17"/>
      <c r="G707" s="17"/>
      <c r="H707" s="68"/>
      <c r="I707" s="68"/>
      <c r="J707" s="69"/>
      <c r="K707" s="69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spans="1:26" ht="19.95" customHeight="1">
      <c r="A708" s="16" t="s">
        <v>756</v>
      </c>
      <c r="B708" s="49"/>
      <c r="C708" s="21" t="s">
        <v>807</v>
      </c>
      <c r="D708" s="17"/>
      <c r="E708" s="17"/>
      <c r="F708" s="17"/>
      <c r="G708" s="17"/>
      <c r="H708" s="68"/>
      <c r="I708" s="68"/>
      <c r="J708" s="69"/>
      <c r="K708" s="69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spans="1:26" ht="19.95" customHeight="1">
      <c r="A709" s="16" t="s">
        <v>757</v>
      </c>
      <c r="B709" s="49"/>
      <c r="C709" s="21" t="s">
        <v>808</v>
      </c>
      <c r="D709" s="17"/>
      <c r="E709" s="17"/>
      <c r="F709" s="17"/>
      <c r="G709" s="17"/>
      <c r="H709" s="68"/>
      <c r="I709" s="68"/>
      <c r="J709" s="69"/>
      <c r="K709" s="69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spans="1:26" ht="19.95" customHeight="1">
      <c r="A710" s="16" t="s">
        <v>758</v>
      </c>
      <c r="B710" s="49"/>
      <c r="C710" s="21" t="s">
        <v>809</v>
      </c>
      <c r="D710" s="17"/>
      <c r="E710" s="17"/>
      <c r="F710" s="17"/>
      <c r="G710" s="17"/>
      <c r="H710" s="68"/>
      <c r="I710" s="68"/>
      <c r="J710" s="69"/>
      <c r="K710" s="69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spans="1:26" ht="19.95" customHeight="1">
      <c r="A711" s="16" t="s">
        <v>759</v>
      </c>
      <c r="B711" s="49"/>
      <c r="C711" s="21" t="s">
        <v>810</v>
      </c>
      <c r="D711" s="17"/>
      <c r="E711" s="17"/>
      <c r="F711" s="17"/>
      <c r="G711" s="17"/>
      <c r="H711" s="68"/>
      <c r="I711" s="68"/>
      <c r="J711" s="69"/>
      <c r="K711" s="69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spans="1:26" ht="19.95" customHeight="1">
      <c r="A712" s="16" t="s">
        <v>760</v>
      </c>
      <c r="B712" s="49"/>
      <c r="C712" s="21" t="s">
        <v>811</v>
      </c>
      <c r="D712" s="17"/>
      <c r="E712" s="17"/>
      <c r="F712" s="17"/>
      <c r="G712" s="17"/>
      <c r="H712" s="68"/>
      <c r="I712" s="68"/>
      <c r="J712" s="69"/>
      <c r="K712" s="69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spans="1:26" ht="19.95" customHeight="1">
      <c r="A713" s="16" t="s">
        <v>761</v>
      </c>
      <c r="B713" s="49"/>
      <c r="C713" s="21" t="s">
        <v>812</v>
      </c>
      <c r="D713" s="17"/>
      <c r="E713" s="17"/>
      <c r="F713" s="17"/>
      <c r="G713" s="17"/>
      <c r="H713" s="68"/>
      <c r="I713" s="68"/>
      <c r="J713" s="69"/>
      <c r="K713" s="69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spans="1:26" ht="19.95" customHeight="1">
      <c r="A714" s="16" t="s">
        <v>762</v>
      </c>
      <c r="B714" s="49"/>
      <c r="C714" s="21" t="s">
        <v>813</v>
      </c>
      <c r="D714" s="17"/>
      <c r="E714" s="17"/>
      <c r="F714" s="17"/>
      <c r="G714" s="17"/>
      <c r="H714" s="68"/>
      <c r="I714" s="68"/>
      <c r="J714" s="69"/>
      <c r="K714" s="69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spans="1:26" ht="19.95" customHeight="1">
      <c r="A715" s="16" t="s">
        <v>763</v>
      </c>
      <c r="B715" s="49"/>
      <c r="C715" s="21" t="s">
        <v>814</v>
      </c>
      <c r="D715" s="17"/>
      <c r="E715" s="17"/>
      <c r="F715" s="17"/>
      <c r="G715" s="17"/>
      <c r="H715" s="68"/>
      <c r="I715" s="68"/>
      <c r="J715" s="69"/>
      <c r="K715" s="69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spans="1:26" ht="19.95" customHeight="1">
      <c r="A716" s="16" t="s">
        <v>764</v>
      </c>
      <c r="B716" s="49"/>
      <c r="C716" s="21" t="s">
        <v>815</v>
      </c>
      <c r="D716" s="17"/>
      <c r="E716" s="17"/>
      <c r="F716" s="17"/>
      <c r="G716" s="17"/>
      <c r="H716" s="68"/>
      <c r="I716" s="68"/>
      <c r="J716" s="69"/>
      <c r="K716" s="69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spans="1:26" ht="19.95" customHeight="1">
      <c r="A717" s="16" t="s">
        <v>765</v>
      </c>
      <c r="B717" s="49"/>
      <c r="C717" s="21" t="s">
        <v>816</v>
      </c>
      <c r="D717" s="17"/>
      <c r="E717" s="17"/>
      <c r="F717" s="17"/>
      <c r="G717" s="17"/>
      <c r="H717" s="68"/>
      <c r="I717" s="68"/>
      <c r="J717" s="69"/>
      <c r="K717" s="69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spans="1:26" ht="19.95" customHeight="1">
      <c r="A718" s="16" t="s">
        <v>766</v>
      </c>
      <c r="B718" s="49"/>
      <c r="C718" s="21" t="s">
        <v>817</v>
      </c>
      <c r="D718" s="17"/>
      <c r="E718" s="17"/>
      <c r="F718" s="17"/>
      <c r="G718" s="17"/>
      <c r="H718" s="68"/>
      <c r="I718" s="68"/>
      <c r="J718" s="69"/>
      <c r="K718" s="69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spans="1:26" ht="19.95" customHeight="1">
      <c r="A719" s="16" t="s">
        <v>767</v>
      </c>
      <c r="B719" s="49"/>
      <c r="C719" s="21" t="s">
        <v>818</v>
      </c>
      <c r="D719" s="17"/>
      <c r="E719" s="17"/>
      <c r="F719" s="17"/>
      <c r="G719" s="17"/>
      <c r="H719" s="68"/>
      <c r="I719" s="68"/>
      <c r="J719" s="69"/>
      <c r="K719" s="69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spans="1:26" ht="19.95" customHeight="1">
      <c r="A720" s="16" t="s">
        <v>768</v>
      </c>
      <c r="B720" s="49"/>
      <c r="C720" s="21" t="s">
        <v>819</v>
      </c>
      <c r="D720" s="17"/>
      <c r="E720" s="17"/>
      <c r="F720" s="17"/>
      <c r="G720" s="17"/>
      <c r="H720" s="68"/>
      <c r="I720" s="68"/>
      <c r="J720" s="69"/>
      <c r="K720" s="69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spans="1:26" ht="19.95" customHeight="1">
      <c r="A721" s="16" t="s">
        <v>769</v>
      </c>
      <c r="B721" s="49"/>
      <c r="C721" s="21" t="s">
        <v>820</v>
      </c>
      <c r="D721" s="17"/>
      <c r="E721" s="17"/>
      <c r="F721" s="17"/>
      <c r="G721" s="17"/>
      <c r="H721" s="68"/>
      <c r="I721" s="68"/>
      <c r="J721" s="69"/>
      <c r="K721" s="69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spans="1:26" ht="49.95" customHeight="1">
      <c r="A722" s="16" t="s">
        <v>329</v>
      </c>
      <c r="B722" s="20">
        <v>94971</v>
      </c>
      <c r="C722" s="73" t="s">
        <v>404</v>
      </c>
      <c r="D722" s="17"/>
      <c r="E722" s="17"/>
      <c r="F722" s="17"/>
      <c r="G722" s="17"/>
      <c r="H722" s="17"/>
      <c r="I722" s="17"/>
      <c r="J722" s="74"/>
      <c r="K722" s="69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spans="1:26" ht="19.95" customHeight="1">
      <c r="A723" s="16" t="s">
        <v>770</v>
      </c>
      <c r="B723" s="49"/>
      <c r="C723" s="21" t="s">
        <v>669</v>
      </c>
      <c r="D723" s="17"/>
      <c r="E723" s="17"/>
      <c r="F723" s="17"/>
      <c r="G723" s="17"/>
      <c r="H723" s="17"/>
      <c r="I723" s="17"/>
      <c r="J723" s="69"/>
      <c r="K723" s="69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spans="1:26" ht="19.95" customHeight="1">
      <c r="A724" s="16" t="s">
        <v>771</v>
      </c>
      <c r="B724" s="49"/>
      <c r="C724" s="21" t="s">
        <v>670</v>
      </c>
      <c r="D724" s="17"/>
      <c r="E724" s="17"/>
      <c r="F724" s="17"/>
      <c r="G724" s="17"/>
      <c r="H724" s="17"/>
      <c r="I724" s="17"/>
      <c r="J724" s="69"/>
      <c r="K724" s="69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spans="1:26" ht="49.95" customHeight="1">
      <c r="A725" s="16" t="s">
        <v>330</v>
      </c>
      <c r="B725" s="20">
        <v>103670</v>
      </c>
      <c r="C725" s="73" t="s">
        <v>405</v>
      </c>
      <c r="D725" s="17"/>
      <c r="E725" s="17"/>
      <c r="F725" s="17"/>
      <c r="G725" s="17"/>
      <c r="H725" s="17"/>
      <c r="I725" s="17"/>
      <c r="J725" s="74"/>
      <c r="K725" s="69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spans="1:26" ht="19.95" customHeight="1">
      <c r="A726" s="16" t="s">
        <v>772</v>
      </c>
      <c r="B726" s="49"/>
      <c r="C726" s="21"/>
      <c r="D726" s="17"/>
      <c r="E726" s="17"/>
      <c r="F726" s="17"/>
      <c r="G726" s="17"/>
      <c r="H726" s="17"/>
      <c r="I726" s="17"/>
      <c r="J726" s="69"/>
      <c r="K726" s="69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spans="1:26" ht="49.95" customHeight="1">
      <c r="A727" s="16" t="s">
        <v>331</v>
      </c>
      <c r="B727" s="20">
        <v>104927</v>
      </c>
      <c r="C727" s="73" t="s">
        <v>406</v>
      </c>
      <c r="D727" s="17"/>
      <c r="E727" s="17"/>
      <c r="F727" s="17"/>
      <c r="G727" s="17"/>
      <c r="H727" s="17"/>
      <c r="I727" s="17"/>
      <c r="J727" s="74"/>
      <c r="K727" s="69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spans="1:26" ht="19.95" customHeight="1">
      <c r="A728" s="16" t="s">
        <v>773</v>
      </c>
      <c r="B728" s="49"/>
      <c r="C728" s="21" t="s">
        <v>669</v>
      </c>
      <c r="D728" s="17"/>
      <c r="E728" s="68"/>
      <c r="F728" s="17"/>
      <c r="G728" s="17"/>
      <c r="H728" s="68"/>
      <c r="I728" s="68"/>
      <c r="J728" s="69"/>
      <c r="K728" s="69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spans="1:26" ht="49.95" customHeight="1">
      <c r="A729" s="16" t="s">
        <v>332</v>
      </c>
      <c r="B729" s="20">
        <v>96542</v>
      </c>
      <c r="C729" s="73" t="s">
        <v>407</v>
      </c>
      <c r="D729" s="17"/>
      <c r="E729" s="17"/>
      <c r="F729" s="17"/>
      <c r="G729" s="17"/>
      <c r="H729" s="17"/>
      <c r="I729" s="17"/>
      <c r="J729" s="74"/>
      <c r="K729" s="69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spans="1:26" ht="19.95" customHeight="1">
      <c r="A730" s="16" t="s">
        <v>774</v>
      </c>
      <c r="B730" s="49"/>
      <c r="C730" s="21" t="s">
        <v>673</v>
      </c>
      <c r="D730" s="17"/>
      <c r="E730" s="17"/>
      <c r="F730" s="17"/>
      <c r="G730" s="17"/>
      <c r="H730" s="17"/>
      <c r="I730" s="17"/>
      <c r="J730" s="69"/>
      <c r="K730" s="69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spans="1:26" ht="49.95" customHeight="1">
      <c r="A731" s="16" t="s">
        <v>333</v>
      </c>
      <c r="B731" s="20">
        <v>104917</v>
      </c>
      <c r="C731" s="73" t="s">
        <v>408</v>
      </c>
      <c r="D731" s="17"/>
      <c r="E731" s="17"/>
      <c r="F731" s="17"/>
      <c r="G731" s="17"/>
      <c r="H731" s="17"/>
      <c r="I731" s="17"/>
      <c r="J731" s="74"/>
      <c r="K731" s="69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spans="1:26" ht="19.95" customHeight="1">
      <c r="A732" s="16" t="s">
        <v>775</v>
      </c>
      <c r="B732" s="49"/>
      <c r="C732" s="21" t="s">
        <v>669</v>
      </c>
      <c r="D732" s="17"/>
      <c r="E732" s="17"/>
      <c r="F732" s="17"/>
      <c r="G732" s="17"/>
      <c r="H732" s="68"/>
      <c r="I732" s="68"/>
      <c r="J732" s="69"/>
      <c r="K732" s="69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spans="1:26" ht="49.95" customHeight="1">
      <c r="A733" s="16" t="s">
        <v>334</v>
      </c>
      <c r="B733" s="20">
        <v>104916</v>
      </c>
      <c r="C733" s="73" t="s">
        <v>409</v>
      </c>
      <c r="D733" s="17"/>
      <c r="E733" s="17"/>
      <c r="F733" s="17"/>
      <c r="G733" s="17"/>
      <c r="H733" s="17"/>
      <c r="I733" s="17"/>
      <c r="J733" s="74"/>
      <c r="K733" s="69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spans="1:26" ht="19.95" customHeight="1">
      <c r="A734" s="16" t="s">
        <v>776</v>
      </c>
      <c r="B734" s="49"/>
      <c r="C734" s="21" t="s">
        <v>673</v>
      </c>
      <c r="D734" s="17"/>
      <c r="E734" s="17"/>
      <c r="F734" s="17"/>
      <c r="G734" s="17"/>
      <c r="H734" s="68"/>
      <c r="I734" s="68"/>
      <c r="J734" s="69"/>
      <c r="K734" s="69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spans="1:26" ht="49.95" customHeight="1">
      <c r="A735" s="16" t="s">
        <v>335</v>
      </c>
      <c r="B735" s="20">
        <v>104918</v>
      </c>
      <c r="C735" s="73" t="s">
        <v>410</v>
      </c>
      <c r="D735" s="17"/>
      <c r="E735" s="17"/>
      <c r="F735" s="17"/>
      <c r="G735" s="17"/>
      <c r="H735" s="17"/>
      <c r="I735" s="17"/>
      <c r="J735" s="74"/>
      <c r="K735" s="69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spans="1:26" ht="19.95" customHeight="1">
      <c r="A736" s="16" t="s">
        <v>777</v>
      </c>
      <c r="B736" s="49"/>
      <c r="C736" s="21" t="s">
        <v>669</v>
      </c>
      <c r="D736" s="17"/>
      <c r="E736" s="17"/>
      <c r="F736" s="17"/>
      <c r="G736" s="17"/>
      <c r="H736" s="17"/>
      <c r="I736" s="17"/>
      <c r="J736" s="69"/>
      <c r="K736" s="69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spans="1:26" ht="19.95" customHeight="1">
      <c r="A737" s="16" t="s">
        <v>821</v>
      </c>
      <c r="B737" s="49"/>
      <c r="C737" s="21" t="s">
        <v>673</v>
      </c>
      <c r="D737" s="17"/>
      <c r="E737" s="17"/>
      <c r="F737" s="17"/>
      <c r="G737" s="17"/>
      <c r="H737" s="17"/>
      <c r="I737" s="17"/>
      <c r="J737" s="69"/>
      <c r="K737" s="69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spans="1:26" ht="49.95" customHeight="1">
      <c r="A738" s="16" t="s">
        <v>336</v>
      </c>
      <c r="B738" s="17">
        <v>98557</v>
      </c>
      <c r="C738" s="73" t="s">
        <v>411</v>
      </c>
      <c r="D738" s="17"/>
      <c r="E738" s="17"/>
      <c r="F738" s="58"/>
      <c r="G738" s="17"/>
      <c r="H738" s="17"/>
      <c r="I738" s="17"/>
      <c r="J738" s="74"/>
      <c r="K738" s="69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spans="1:26" ht="19.95" customHeight="1">
      <c r="A739" s="16" t="s">
        <v>778</v>
      </c>
      <c r="B739" s="49"/>
      <c r="C739" s="21" t="s">
        <v>809</v>
      </c>
      <c r="D739" s="17"/>
      <c r="E739" s="17"/>
      <c r="F739" s="17"/>
      <c r="G739" s="17"/>
      <c r="H739" s="68"/>
      <c r="I739" s="68"/>
      <c r="J739" s="69"/>
      <c r="K739" s="69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spans="1:26" ht="19.95" customHeight="1">
      <c r="A740" s="16" t="s">
        <v>779</v>
      </c>
      <c r="B740" s="49"/>
      <c r="C740" s="21" t="s">
        <v>810</v>
      </c>
      <c r="D740" s="17"/>
      <c r="E740" s="17"/>
      <c r="F740" s="17"/>
      <c r="G740" s="17"/>
      <c r="H740" s="68"/>
      <c r="I740" s="68"/>
      <c r="J740" s="69"/>
      <c r="K740" s="69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spans="1:26" ht="19.95" customHeight="1">
      <c r="A741" s="16" t="s">
        <v>780</v>
      </c>
      <c r="B741" s="49"/>
      <c r="C741" s="21" t="s">
        <v>811</v>
      </c>
      <c r="D741" s="17"/>
      <c r="E741" s="17"/>
      <c r="F741" s="17"/>
      <c r="G741" s="17"/>
      <c r="H741" s="68"/>
      <c r="I741" s="68"/>
      <c r="J741" s="69"/>
      <c r="K741" s="69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spans="1:26" ht="19.95" customHeight="1">
      <c r="A742" s="16" t="s">
        <v>781</v>
      </c>
      <c r="B742" s="49"/>
      <c r="C742" s="21" t="s">
        <v>812</v>
      </c>
      <c r="D742" s="17"/>
      <c r="E742" s="17"/>
      <c r="F742" s="17"/>
      <c r="G742" s="17"/>
      <c r="H742" s="68"/>
      <c r="I742" s="68"/>
      <c r="J742" s="69"/>
      <c r="K742" s="69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spans="1:26" ht="19.95" customHeight="1">
      <c r="A743" s="16" t="s">
        <v>782</v>
      </c>
      <c r="B743" s="49"/>
      <c r="C743" s="21" t="s">
        <v>813</v>
      </c>
      <c r="D743" s="17"/>
      <c r="E743" s="17"/>
      <c r="F743" s="17"/>
      <c r="G743" s="17"/>
      <c r="H743" s="68"/>
      <c r="I743" s="68"/>
      <c r="J743" s="69"/>
      <c r="K743" s="69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spans="1:26" ht="19.95" customHeight="1">
      <c r="A744" s="16" t="s">
        <v>783</v>
      </c>
      <c r="B744" s="49"/>
      <c r="C744" s="21" t="s">
        <v>814</v>
      </c>
      <c r="D744" s="17"/>
      <c r="E744" s="17"/>
      <c r="F744" s="17"/>
      <c r="G744" s="17"/>
      <c r="H744" s="68"/>
      <c r="I744" s="68"/>
      <c r="J744" s="69"/>
      <c r="K744" s="69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spans="1:26" ht="19.95" customHeight="1">
      <c r="A745" s="16" t="s">
        <v>784</v>
      </c>
      <c r="B745" s="49"/>
      <c r="C745" s="21" t="s">
        <v>815</v>
      </c>
      <c r="D745" s="17"/>
      <c r="E745" s="17"/>
      <c r="F745" s="17"/>
      <c r="G745" s="17"/>
      <c r="H745" s="68"/>
      <c r="I745" s="68"/>
      <c r="J745" s="69"/>
      <c r="K745" s="69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spans="1:26" ht="19.95" customHeight="1">
      <c r="A746" s="16" t="s">
        <v>785</v>
      </c>
      <c r="B746" s="49"/>
      <c r="C746" s="21" t="s">
        <v>816</v>
      </c>
      <c r="D746" s="17"/>
      <c r="E746" s="17"/>
      <c r="F746" s="17"/>
      <c r="G746" s="17"/>
      <c r="H746" s="68"/>
      <c r="I746" s="68"/>
      <c r="J746" s="69"/>
      <c r="K746" s="69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spans="1:26" ht="19.95" customHeight="1">
      <c r="A747" s="16" t="s">
        <v>786</v>
      </c>
      <c r="B747" s="49"/>
      <c r="C747" s="21" t="s">
        <v>817</v>
      </c>
      <c r="D747" s="17"/>
      <c r="E747" s="17"/>
      <c r="F747" s="17"/>
      <c r="G747" s="17"/>
      <c r="H747" s="68"/>
      <c r="I747" s="68"/>
      <c r="J747" s="69"/>
      <c r="K747" s="69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spans="1:26" ht="19.95" customHeight="1">
      <c r="A748" s="16" t="s">
        <v>787</v>
      </c>
      <c r="B748" s="49"/>
      <c r="C748" s="21" t="s">
        <v>818</v>
      </c>
      <c r="D748" s="17"/>
      <c r="E748" s="17"/>
      <c r="F748" s="17"/>
      <c r="G748" s="17"/>
      <c r="H748" s="68"/>
      <c r="I748" s="68"/>
      <c r="J748" s="69"/>
      <c r="K748" s="69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spans="1:26" ht="19.95" customHeight="1">
      <c r="A749" s="16" t="s">
        <v>788</v>
      </c>
      <c r="B749" s="49"/>
      <c r="C749" s="21" t="s">
        <v>819</v>
      </c>
      <c r="D749" s="17"/>
      <c r="E749" s="17"/>
      <c r="F749" s="17"/>
      <c r="G749" s="17"/>
      <c r="H749" s="68"/>
      <c r="I749" s="68"/>
      <c r="J749" s="69"/>
      <c r="K749" s="69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spans="1:26" ht="19.95" customHeight="1">
      <c r="A750" s="16" t="s">
        <v>789</v>
      </c>
      <c r="B750" s="49"/>
      <c r="C750" s="21" t="s">
        <v>820</v>
      </c>
      <c r="D750" s="17"/>
      <c r="E750" s="17"/>
      <c r="F750" s="17"/>
      <c r="G750" s="17"/>
      <c r="H750" s="68"/>
      <c r="I750" s="68"/>
      <c r="J750" s="69"/>
      <c r="K750" s="69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spans="1:26" ht="25.2" customHeight="1">
      <c r="A751" s="46" t="s">
        <v>324</v>
      </c>
      <c r="B751" s="156" t="s">
        <v>337</v>
      </c>
      <c r="C751" s="156"/>
      <c r="D751" s="64"/>
      <c r="E751" s="64"/>
      <c r="F751" s="64"/>
      <c r="G751" s="64"/>
      <c r="H751" s="67"/>
      <c r="I751" s="67"/>
      <c r="J751" s="67"/>
      <c r="K751" s="67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spans="1:26" ht="49.95" customHeight="1">
      <c r="A752" s="16" t="s">
        <v>338</v>
      </c>
      <c r="B752" s="20">
        <v>92429</v>
      </c>
      <c r="C752" s="73" t="s">
        <v>412</v>
      </c>
      <c r="D752" s="17"/>
      <c r="E752" s="17"/>
      <c r="F752" s="17"/>
      <c r="G752" s="17"/>
      <c r="H752" s="17"/>
      <c r="I752" s="17"/>
      <c r="J752" s="74"/>
      <c r="K752" s="69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spans="1:26" ht="19.95" customHeight="1">
      <c r="A753" s="16" t="s">
        <v>790</v>
      </c>
      <c r="B753" s="49"/>
      <c r="C753" s="21" t="s">
        <v>823</v>
      </c>
      <c r="D753" s="17"/>
      <c r="E753" s="17"/>
      <c r="F753" s="17"/>
      <c r="G753" s="17"/>
      <c r="H753" s="17"/>
      <c r="I753" s="17"/>
      <c r="J753" s="69"/>
      <c r="K753" s="69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spans="1:26" ht="19.95" customHeight="1">
      <c r="A754" s="16" t="s">
        <v>791</v>
      </c>
      <c r="B754" s="49"/>
      <c r="C754" s="21" t="s">
        <v>824</v>
      </c>
      <c r="D754" s="17"/>
      <c r="E754" s="17"/>
      <c r="F754" s="17"/>
      <c r="G754" s="17"/>
      <c r="H754" s="17"/>
      <c r="I754" s="17"/>
      <c r="J754" s="69"/>
      <c r="K754" s="69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spans="1:26" ht="19.95" customHeight="1">
      <c r="A755" s="16" t="s">
        <v>792</v>
      </c>
      <c r="B755" s="49"/>
      <c r="C755" s="21" t="s">
        <v>678</v>
      </c>
      <c r="D755" s="17"/>
      <c r="E755" s="17"/>
      <c r="F755" s="17"/>
      <c r="G755" s="17"/>
      <c r="H755" s="17"/>
      <c r="I755" s="17"/>
      <c r="J755" s="69"/>
      <c r="K755" s="69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spans="1:26" ht="49.95" customHeight="1">
      <c r="A756" s="16" t="s">
        <v>339</v>
      </c>
      <c r="B756" s="17">
        <v>92476</v>
      </c>
      <c r="C756" s="73" t="s">
        <v>555</v>
      </c>
      <c r="D756" s="17"/>
      <c r="E756" s="17"/>
      <c r="F756" s="17"/>
      <c r="G756" s="17"/>
      <c r="H756" s="17"/>
      <c r="I756" s="17"/>
      <c r="J756" s="74"/>
      <c r="K756" s="69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spans="1:26" ht="19.95" customHeight="1">
      <c r="A757" s="16" t="s">
        <v>793</v>
      </c>
      <c r="B757" s="49"/>
      <c r="C757" s="21" t="s">
        <v>825</v>
      </c>
      <c r="D757" s="17"/>
      <c r="E757" s="17"/>
      <c r="F757" s="17"/>
      <c r="G757" s="17"/>
      <c r="H757" s="17"/>
      <c r="I757" s="17"/>
      <c r="J757" s="69"/>
      <c r="K757" s="69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spans="1:26" ht="19.95" customHeight="1">
      <c r="A758" s="16" t="s">
        <v>794</v>
      </c>
      <c r="B758" s="49"/>
      <c r="C758" s="21" t="s">
        <v>826</v>
      </c>
      <c r="D758" s="17"/>
      <c r="E758" s="17"/>
      <c r="F758" s="17"/>
      <c r="G758" s="17"/>
      <c r="H758" s="17"/>
      <c r="I758" s="17"/>
      <c r="J758" s="69"/>
      <c r="K758" s="69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spans="1:26" ht="49.95" customHeight="1">
      <c r="A759" s="16" t="s">
        <v>340</v>
      </c>
      <c r="B759" s="20">
        <v>92759</v>
      </c>
      <c r="C759" s="73" t="s">
        <v>556</v>
      </c>
      <c r="D759" s="17"/>
      <c r="E759" s="17"/>
      <c r="F759" s="17"/>
      <c r="G759" s="17"/>
      <c r="H759" s="17"/>
      <c r="I759" s="17"/>
      <c r="J759" s="74"/>
      <c r="K759" s="69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spans="1:26" ht="19.95" customHeight="1">
      <c r="A760" s="16" t="s">
        <v>795</v>
      </c>
      <c r="B760" s="49"/>
      <c r="C760" s="21" t="s">
        <v>822</v>
      </c>
      <c r="D760" s="17"/>
      <c r="E760" s="17"/>
      <c r="F760" s="17"/>
      <c r="G760" s="17"/>
      <c r="H760" s="17"/>
      <c r="I760" s="17"/>
      <c r="J760" s="69"/>
      <c r="K760" s="69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spans="1:26" ht="19.95" customHeight="1">
      <c r="A761" s="16" t="s">
        <v>796</v>
      </c>
      <c r="B761" s="49"/>
      <c r="C761" s="21" t="s">
        <v>824</v>
      </c>
      <c r="D761" s="17"/>
      <c r="E761" s="17"/>
      <c r="F761" s="17"/>
      <c r="G761" s="17"/>
      <c r="H761" s="17"/>
      <c r="I761" s="17"/>
      <c r="J761" s="69"/>
      <c r="K761" s="69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spans="1:26" ht="19.95" customHeight="1">
      <c r="A762" s="16" t="s">
        <v>797</v>
      </c>
      <c r="B762" s="49"/>
      <c r="C762" s="21" t="s">
        <v>678</v>
      </c>
      <c r="D762" s="17"/>
      <c r="E762" s="17"/>
      <c r="F762" s="17"/>
      <c r="G762" s="17"/>
      <c r="H762" s="17"/>
      <c r="I762" s="17"/>
      <c r="J762" s="69"/>
      <c r="K762" s="69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spans="1:26" ht="19.95" customHeight="1">
      <c r="A763" s="16" t="s">
        <v>798</v>
      </c>
      <c r="B763" s="49"/>
      <c r="C763" s="21" t="s">
        <v>825</v>
      </c>
      <c r="D763" s="17"/>
      <c r="E763" s="17"/>
      <c r="F763" s="17"/>
      <c r="G763" s="17"/>
      <c r="H763" s="17"/>
      <c r="I763" s="17"/>
      <c r="J763" s="69"/>
      <c r="K763" s="69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spans="1:26" ht="49.95" customHeight="1">
      <c r="A764" s="16" t="s">
        <v>341</v>
      </c>
      <c r="B764" s="20">
        <v>104108</v>
      </c>
      <c r="C764" s="73" t="s">
        <v>416</v>
      </c>
      <c r="D764" s="17"/>
      <c r="E764" s="17"/>
      <c r="F764" s="17"/>
      <c r="G764" s="17"/>
      <c r="H764" s="17"/>
      <c r="I764" s="17"/>
      <c r="J764" s="74"/>
      <c r="K764" s="69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spans="1:26" ht="19.95" customHeight="1">
      <c r="A765" s="16" t="s">
        <v>799</v>
      </c>
      <c r="B765" s="49"/>
      <c r="C765" s="21" t="s">
        <v>822</v>
      </c>
      <c r="D765" s="17"/>
      <c r="E765" s="17"/>
      <c r="F765" s="17"/>
      <c r="G765" s="17"/>
      <c r="H765" s="17"/>
      <c r="I765" s="17"/>
      <c r="J765" s="69"/>
      <c r="K765" s="69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spans="1:26" ht="19.95" customHeight="1">
      <c r="A766" s="16" t="s">
        <v>800</v>
      </c>
      <c r="B766" s="49"/>
      <c r="C766" s="21" t="s">
        <v>824</v>
      </c>
      <c r="D766" s="17"/>
      <c r="E766" s="17"/>
      <c r="F766" s="17"/>
      <c r="G766" s="17"/>
      <c r="H766" s="17"/>
      <c r="I766" s="17"/>
      <c r="J766" s="69"/>
      <c r="K766" s="69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spans="1:26" ht="19.95" customHeight="1">
      <c r="A767" s="16" t="s">
        <v>801</v>
      </c>
      <c r="B767" s="49"/>
      <c r="C767" s="21" t="s">
        <v>678</v>
      </c>
      <c r="D767" s="17"/>
      <c r="E767" s="17"/>
      <c r="F767" s="17"/>
      <c r="G767" s="17"/>
      <c r="H767" s="17"/>
      <c r="I767" s="17"/>
      <c r="J767" s="69"/>
      <c r="K767" s="69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spans="1:26" ht="19.95" customHeight="1">
      <c r="A768" s="16" t="s">
        <v>802</v>
      </c>
      <c r="B768" s="49"/>
      <c r="C768" s="21" t="s">
        <v>825</v>
      </c>
      <c r="D768" s="17"/>
      <c r="E768" s="17"/>
      <c r="F768" s="17"/>
      <c r="G768" s="17"/>
      <c r="H768" s="17"/>
      <c r="I768" s="17"/>
      <c r="J768" s="69"/>
      <c r="K768" s="69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spans="1:26" ht="49.95" customHeight="1">
      <c r="A769" s="16" t="s">
        <v>342</v>
      </c>
      <c r="B769" s="20">
        <v>92761</v>
      </c>
      <c r="C769" s="73" t="s">
        <v>557</v>
      </c>
      <c r="D769" s="17"/>
      <c r="E769" s="17"/>
      <c r="F769" s="17"/>
      <c r="G769" s="17"/>
      <c r="H769" s="17"/>
      <c r="I769" s="17"/>
      <c r="J769" s="74"/>
      <c r="K769" s="69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spans="1:26" ht="19.95" customHeight="1">
      <c r="A770" s="16" t="s">
        <v>803</v>
      </c>
      <c r="B770" s="49"/>
      <c r="C770" s="21" t="s">
        <v>825</v>
      </c>
      <c r="D770" s="17"/>
      <c r="E770" s="17"/>
      <c r="F770" s="17"/>
      <c r="G770" s="17"/>
      <c r="H770" s="17"/>
      <c r="I770" s="17"/>
      <c r="J770" s="69"/>
      <c r="K770" s="69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spans="1:26" ht="19.95" customHeight="1">
      <c r="A771" s="16" t="s">
        <v>804</v>
      </c>
      <c r="B771" s="49"/>
      <c r="C771" s="21" t="s">
        <v>826</v>
      </c>
      <c r="D771" s="17"/>
      <c r="E771" s="17"/>
      <c r="F771" s="17"/>
      <c r="G771" s="17"/>
      <c r="H771" s="17"/>
      <c r="I771" s="17"/>
      <c r="J771" s="69"/>
      <c r="K771" s="69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spans="1:26" ht="49.95" customHeight="1">
      <c r="A772" s="16" t="s">
        <v>343</v>
      </c>
      <c r="B772" s="20">
        <v>94971</v>
      </c>
      <c r="C772" s="73" t="s">
        <v>404</v>
      </c>
      <c r="D772" s="17"/>
      <c r="E772" s="17"/>
      <c r="F772" s="17"/>
      <c r="G772" s="17"/>
      <c r="H772" s="17"/>
      <c r="I772" s="17"/>
      <c r="J772" s="74"/>
      <c r="K772" s="69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spans="1:26" s="93" customFormat="1" ht="19.95" customHeight="1">
      <c r="A773" s="96" t="s">
        <v>1047</v>
      </c>
      <c r="B773" s="102"/>
      <c r="C773" s="98" t="s">
        <v>822</v>
      </c>
      <c r="D773" s="97"/>
      <c r="E773" s="97"/>
      <c r="F773" s="97"/>
      <c r="G773" s="97"/>
      <c r="H773" s="97"/>
      <c r="I773" s="97"/>
      <c r="J773" s="105"/>
      <c r="K773" s="105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spans="1:26" s="93" customFormat="1" ht="19.95" customHeight="1">
      <c r="A774" s="96" t="s">
        <v>1048</v>
      </c>
      <c r="B774" s="102"/>
      <c r="C774" s="98" t="s">
        <v>1058</v>
      </c>
      <c r="D774" s="97"/>
      <c r="E774" s="97"/>
      <c r="F774" s="97"/>
      <c r="G774" s="97"/>
      <c r="H774" s="97"/>
      <c r="I774" s="97"/>
      <c r="J774" s="105"/>
      <c r="K774" s="105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spans="1:26" s="93" customFormat="1" ht="19.95" customHeight="1">
      <c r="A775" s="96" t="s">
        <v>1049</v>
      </c>
      <c r="B775" s="102"/>
      <c r="C775" s="98" t="s">
        <v>1059</v>
      </c>
      <c r="D775" s="97"/>
      <c r="E775" s="97"/>
      <c r="F775" s="97"/>
      <c r="G775" s="97"/>
      <c r="H775" s="97"/>
      <c r="I775" s="97"/>
      <c r="J775" s="105"/>
      <c r="K775" s="105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spans="1:26" s="93" customFormat="1" ht="19.95" customHeight="1">
      <c r="A776" s="96" t="s">
        <v>1050</v>
      </c>
      <c r="B776" s="102"/>
      <c r="C776" s="98" t="s">
        <v>1060</v>
      </c>
      <c r="D776" s="97"/>
      <c r="E776" s="97"/>
      <c r="F776" s="97"/>
      <c r="G776" s="97"/>
      <c r="H776" s="97"/>
      <c r="I776" s="97"/>
      <c r="J776" s="105"/>
      <c r="K776" s="105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spans="1:26" s="93" customFormat="1" ht="19.95" customHeight="1">
      <c r="A777" s="96" t="s">
        <v>1051</v>
      </c>
      <c r="B777" s="102"/>
      <c r="C777" s="98" t="s">
        <v>1061</v>
      </c>
      <c r="D777" s="97"/>
      <c r="E777" s="97"/>
      <c r="F777" s="97"/>
      <c r="G777" s="97"/>
      <c r="H777" s="97"/>
      <c r="I777" s="97"/>
      <c r="J777" s="105"/>
      <c r="K777" s="105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spans="1:26" ht="49.95" customHeight="1">
      <c r="A778" s="16" t="s">
        <v>344</v>
      </c>
      <c r="B778" s="20">
        <v>103670</v>
      </c>
      <c r="C778" s="73" t="s">
        <v>405</v>
      </c>
      <c r="D778" s="17"/>
      <c r="E778" s="17"/>
      <c r="F778" s="17"/>
      <c r="G778" s="17"/>
      <c r="H778" s="17"/>
      <c r="I778" s="17"/>
      <c r="J778" s="106"/>
      <c r="K778" s="105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spans="1:26" s="93" customFormat="1" ht="19.95" customHeight="1">
      <c r="A779" s="96" t="s">
        <v>1047</v>
      </c>
      <c r="B779" s="102"/>
      <c r="C779" s="98" t="s">
        <v>822</v>
      </c>
      <c r="D779" s="97"/>
      <c r="E779" s="97"/>
      <c r="F779" s="97"/>
      <c r="G779" s="97"/>
      <c r="H779" s="97"/>
      <c r="I779" s="97"/>
      <c r="J779" s="105"/>
      <c r="K779" s="105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spans="1:26" s="93" customFormat="1" ht="19.95" customHeight="1">
      <c r="A780" s="96" t="s">
        <v>1048</v>
      </c>
      <c r="B780" s="102"/>
      <c r="C780" s="98" t="s">
        <v>1058</v>
      </c>
      <c r="D780" s="97"/>
      <c r="E780" s="97"/>
      <c r="F780" s="97"/>
      <c r="G780" s="97"/>
      <c r="H780" s="97"/>
      <c r="I780" s="97"/>
      <c r="J780" s="105"/>
      <c r="K780" s="105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spans="1:26" s="93" customFormat="1" ht="19.95" customHeight="1">
      <c r="A781" s="96" t="s">
        <v>1049</v>
      </c>
      <c r="B781" s="102"/>
      <c r="C781" s="98" t="s">
        <v>1059</v>
      </c>
      <c r="D781" s="97"/>
      <c r="E781" s="97"/>
      <c r="F781" s="97"/>
      <c r="G781" s="97"/>
      <c r="H781" s="97"/>
      <c r="I781" s="97"/>
      <c r="J781" s="105"/>
      <c r="K781" s="105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spans="1:26" s="93" customFormat="1" ht="19.95" customHeight="1">
      <c r="A782" s="96" t="s">
        <v>1050</v>
      </c>
      <c r="B782" s="102"/>
      <c r="C782" s="98" t="s">
        <v>1060</v>
      </c>
      <c r="D782" s="97"/>
      <c r="E782" s="97"/>
      <c r="F782" s="97"/>
      <c r="G782" s="97"/>
      <c r="H782" s="97"/>
      <c r="I782" s="97"/>
      <c r="J782" s="105"/>
      <c r="K782" s="105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spans="1:26" s="93" customFormat="1" ht="19.95" customHeight="1">
      <c r="A783" s="96" t="s">
        <v>1051</v>
      </c>
      <c r="B783" s="102"/>
      <c r="C783" s="98" t="s">
        <v>1061</v>
      </c>
      <c r="D783" s="97"/>
      <c r="E783" s="97"/>
      <c r="F783" s="97"/>
      <c r="G783" s="97"/>
      <c r="H783" s="97"/>
      <c r="I783" s="97"/>
      <c r="J783" s="105"/>
      <c r="K783" s="105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spans="1:26" ht="25.2" customHeight="1">
      <c r="A784" s="46" t="s">
        <v>345</v>
      </c>
      <c r="B784" s="156" t="s">
        <v>346</v>
      </c>
      <c r="C784" s="156"/>
      <c r="D784" s="64"/>
      <c r="E784" s="64"/>
      <c r="F784" s="64"/>
      <c r="G784" s="64"/>
      <c r="H784" s="67"/>
      <c r="I784" s="67"/>
      <c r="J784" s="67"/>
      <c r="K784" s="67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spans="1:26" ht="49.95" customHeight="1">
      <c r="A785" s="16" t="s">
        <v>347</v>
      </c>
      <c r="B785" s="20">
        <v>103356</v>
      </c>
      <c r="C785" s="73" t="s">
        <v>421</v>
      </c>
      <c r="D785" s="17"/>
      <c r="E785" s="103"/>
      <c r="F785" s="17"/>
      <c r="G785" s="17"/>
      <c r="H785" s="17"/>
      <c r="I785" s="17"/>
      <c r="J785" s="74"/>
      <c r="K785" s="69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spans="1:26" s="93" customFormat="1" ht="19.95" customHeight="1">
      <c r="A786" s="96" t="s">
        <v>1052</v>
      </c>
      <c r="B786" s="102"/>
      <c r="C786" s="98" t="s">
        <v>1062</v>
      </c>
      <c r="D786" s="97"/>
      <c r="E786" s="97"/>
      <c r="F786" s="97"/>
      <c r="G786" s="97"/>
      <c r="H786" s="97"/>
      <c r="I786" s="97"/>
      <c r="J786" s="105"/>
      <c r="K786" s="105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spans="1:26" s="93" customFormat="1" ht="19.95" customHeight="1">
      <c r="A787" s="96" t="s">
        <v>1053</v>
      </c>
      <c r="B787" s="102"/>
      <c r="C787" s="98" t="s">
        <v>1063</v>
      </c>
      <c r="D787" s="97"/>
      <c r="E787" s="97"/>
      <c r="F787" s="97"/>
      <c r="G787" s="97"/>
      <c r="H787" s="97"/>
      <c r="I787" s="97"/>
      <c r="J787" s="105"/>
      <c r="K787" s="105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spans="1:26" ht="49.95" customHeight="1">
      <c r="A788" s="16" t="s">
        <v>348</v>
      </c>
      <c r="B788" s="17">
        <v>87894</v>
      </c>
      <c r="C788" s="73" t="s">
        <v>558</v>
      </c>
      <c r="D788" s="103"/>
      <c r="E788" s="103"/>
      <c r="F788" s="17"/>
      <c r="G788" s="17"/>
      <c r="H788" s="17"/>
      <c r="I788" s="17"/>
      <c r="J788" s="74"/>
      <c r="K788" s="105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spans="1:26" s="93" customFormat="1" ht="19.95" customHeight="1">
      <c r="A789" s="96" t="s">
        <v>1054</v>
      </c>
      <c r="B789" s="102"/>
      <c r="C789" s="98" t="s">
        <v>1062</v>
      </c>
      <c r="D789" s="97"/>
      <c r="E789" s="97"/>
      <c r="F789" s="97"/>
      <c r="G789" s="97"/>
      <c r="H789" s="97"/>
      <c r="I789" s="97"/>
      <c r="J789" s="105"/>
      <c r="K789" s="105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spans="1:26" s="93" customFormat="1" ht="19.95" customHeight="1">
      <c r="A790" s="96" t="s">
        <v>1056</v>
      </c>
      <c r="B790" s="102"/>
      <c r="C790" s="98" t="s">
        <v>1063</v>
      </c>
      <c r="D790" s="97"/>
      <c r="E790" s="97"/>
      <c r="F790" s="97"/>
      <c r="G790" s="97"/>
      <c r="H790" s="97"/>
      <c r="I790" s="97"/>
      <c r="J790" s="105"/>
      <c r="K790" s="105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spans="1:26" ht="49.95" customHeight="1">
      <c r="A791" s="16" t="s">
        <v>349</v>
      </c>
      <c r="B791" s="20">
        <v>87792</v>
      </c>
      <c r="C791" s="73" t="s">
        <v>559</v>
      </c>
      <c r="D791" s="17"/>
      <c r="E791" s="103"/>
      <c r="F791" s="17"/>
      <c r="G791" s="17"/>
      <c r="H791" s="17"/>
      <c r="I791" s="17"/>
      <c r="J791" s="106"/>
      <c r="K791" s="105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spans="1:26" s="93" customFormat="1" ht="19.95" customHeight="1">
      <c r="A792" s="96" t="s">
        <v>1055</v>
      </c>
      <c r="B792" s="102"/>
      <c r="C792" s="98" t="s">
        <v>1062</v>
      </c>
      <c r="D792" s="97"/>
      <c r="E792" s="97"/>
      <c r="F792" s="97"/>
      <c r="G792" s="97"/>
      <c r="H792" s="97"/>
      <c r="I792" s="97"/>
      <c r="J792" s="105"/>
      <c r="K792" s="105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spans="1:26" s="93" customFormat="1" ht="19.95" customHeight="1">
      <c r="A793" s="96" t="s">
        <v>1057</v>
      </c>
      <c r="B793" s="102"/>
      <c r="C793" s="98" t="s">
        <v>1063</v>
      </c>
      <c r="D793" s="97"/>
      <c r="E793" s="97"/>
      <c r="F793" s="97"/>
      <c r="G793" s="97"/>
      <c r="H793" s="97"/>
      <c r="I793" s="97"/>
      <c r="J793" s="105"/>
      <c r="K793" s="105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spans="1:26" ht="49.95" customHeight="1">
      <c r="A794" s="16" t="s">
        <v>350</v>
      </c>
      <c r="B794" s="20">
        <v>88485</v>
      </c>
      <c r="C794" s="73" t="s">
        <v>520</v>
      </c>
      <c r="D794" s="17"/>
      <c r="E794" s="17"/>
      <c r="F794" s="17"/>
      <c r="G794" s="17"/>
      <c r="H794" s="17"/>
      <c r="I794" s="17"/>
      <c r="J794" s="74">
        <v>102.07</v>
      </c>
      <c r="K794" s="69" t="s">
        <v>1205</v>
      </c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spans="1:26" s="93" customFormat="1" ht="19.95" customHeight="1">
      <c r="A795" s="96" t="s">
        <v>1259</v>
      </c>
      <c r="B795" s="102"/>
      <c r="C795" s="98" t="s">
        <v>1062</v>
      </c>
      <c r="D795" s="97">
        <v>2</v>
      </c>
      <c r="E795" s="97">
        <v>72.91</v>
      </c>
      <c r="F795" s="97">
        <v>0.7</v>
      </c>
      <c r="G795" s="97"/>
      <c r="H795" s="97">
        <v>51.036999999999999</v>
      </c>
      <c r="I795" s="97">
        <v>102.07</v>
      </c>
      <c r="J795" s="105"/>
      <c r="K795" s="105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spans="1:26" ht="49.95" customHeight="1">
      <c r="A796" s="16" t="s">
        <v>351</v>
      </c>
      <c r="B796" s="20">
        <v>88497</v>
      </c>
      <c r="C796" s="73" t="s">
        <v>518</v>
      </c>
      <c r="D796" s="17"/>
      <c r="E796" s="17"/>
      <c r="F796" s="17"/>
      <c r="G796" s="17"/>
      <c r="H796" s="17"/>
      <c r="I796" s="17"/>
      <c r="J796" s="74">
        <v>253.19</v>
      </c>
      <c r="K796" s="69" t="s">
        <v>1205</v>
      </c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spans="1:26" s="93" customFormat="1" ht="19.95" customHeight="1">
      <c r="A797" s="96" t="s">
        <v>1260</v>
      </c>
      <c r="B797" s="102"/>
      <c r="C797" s="98" t="s">
        <v>1062</v>
      </c>
      <c r="D797" s="97">
        <v>2</v>
      </c>
      <c r="E797" s="97">
        <v>39.96</v>
      </c>
      <c r="F797" s="97">
        <v>2.2999999999999998</v>
      </c>
      <c r="G797" s="97"/>
      <c r="H797" s="97">
        <v>91.908000000000001</v>
      </c>
      <c r="I797" s="97">
        <v>183.82</v>
      </c>
      <c r="J797" s="105"/>
      <c r="K797" s="105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spans="1:26" s="93" customFormat="1" ht="19.95" customHeight="1">
      <c r="A798" s="96" t="s">
        <v>1261</v>
      </c>
      <c r="B798" s="102"/>
      <c r="C798" s="98" t="s">
        <v>1063</v>
      </c>
      <c r="D798" s="97">
        <v>2</v>
      </c>
      <c r="E798" s="97">
        <v>26.68</v>
      </c>
      <c r="F798" s="97">
        <v>1.3</v>
      </c>
      <c r="G798" s="97"/>
      <c r="H798" s="97">
        <v>34.683999999999997</v>
      </c>
      <c r="I798" s="97">
        <v>69.37</v>
      </c>
      <c r="J798" s="105"/>
      <c r="K798" s="105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spans="1:26" ht="49.95" customHeight="1">
      <c r="A799" s="16" t="s">
        <v>352</v>
      </c>
      <c r="B799" s="20">
        <v>88489</v>
      </c>
      <c r="C799" s="73" t="s">
        <v>519</v>
      </c>
      <c r="D799" s="17"/>
      <c r="E799" s="17"/>
      <c r="F799" s="17"/>
      <c r="G799" s="17"/>
      <c r="H799" s="17"/>
      <c r="I799" s="17"/>
      <c r="J799" s="106">
        <v>253.19</v>
      </c>
      <c r="K799" s="105" t="s">
        <v>1205</v>
      </c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spans="1:26" s="93" customFormat="1" ht="19.95" customHeight="1">
      <c r="A800" s="96" t="s">
        <v>1262</v>
      </c>
      <c r="B800" s="102"/>
      <c r="C800" s="98" t="s">
        <v>1062</v>
      </c>
      <c r="D800" s="97">
        <v>2</v>
      </c>
      <c r="E800" s="97">
        <v>39.96</v>
      </c>
      <c r="F800" s="97">
        <v>2.2999999999999998</v>
      </c>
      <c r="G800" s="97"/>
      <c r="H800" s="97">
        <v>91.908000000000001</v>
      </c>
      <c r="I800" s="97">
        <v>183.82</v>
      </c>
      <c r="J800" s="105"/>
      <c r="K800" s="105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spans="1:26" s="93" customFormat="1" ht="19.95" customHeight="1">
      <c r="A801" s="96" t="s">
        <v>1263</v>
      </c>
      <c r="B801" s="102"/>
      <c r="C801" s="98" t="s">
        <v>1063</v>
      </c>
      <c r="D801" s="97">
        <v>2</v>
      </c>
      <c r="E801" s="97">
        <v>26.68</v>
      </c>
      <c r="F801" s="97">
        <v>1.3</v>
      </c>
      <c r="G801" s="97"/>
      <c r="H801" s="97">
        <v>34.683999999999997</v>
      </c>
      <c r="I801" s="97">
        <v>69.37</v>
      </c>
      <c r="J801" s="105"/>
      <c r="K801" s="105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spans="1:26" ht="49.95" customHeight="1">
      <c r="A802" s="16" t="s">
        <v>353</v>
      </c>
      <c r="B802" s="20">
        <v>10</v>
      </c>
      <c r="C802" s="73" t="s">
        <v>560</v>
      </c>
      <c r="D802" s="17"/>
      <c r="E802" s="17"/>
      <c r="F802" s="17"/>
      <c r="G802" s="17"/>
      <c r="H802" s="17"/>
      <c r="I802" s="17"/>
      <c r="J802" s="74"/>
      <c r="K802" s="69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spans="1:26" s="93" customFormat="1" ht="19.95" customHeight="1">
      <c r="A803" s="96" t="s">
        <v>1066</v>
      </c>
      <c r="B803" s="102"/>
      <c r="C803" s="98" t="s">
        <v>1064</v>
      </c>
      <c r="D803" s="97"/>
      <c r="E803" s="97"/>
      <c r="F803" s="97"/>
      <c r="G803" s="97"/>
      <c r="H803" s="97"/>
      <c r="I803" s="97"/>
      <c r="J803" s="105"/>
      <c r="K803" s="105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spans="1:26" ht="49.95" customHeight="1">
      <c r="A804" s="16" t="s">
        <v>354</v>
      </c>
      <c r="B804" s="20">
        <v>24</v>
      </c>
      <c r="C804" s="73" t="s">
        <v>561</v>
      </c>
      <c r="D804" s="17"/>
      <c r="E804" s="17"/>
      <c r="F804" s="17"/>
      <c r="G804" s="17"/>
      <c r="H804" s="17"/>
      <c r="I804" s="17"/>
      <c r="J804" s="74"/>
      <c r="K804" s="69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spans="1:26" s="93" customFormat="1" ht="19.95" customHeight="1">
      <c r="A805" s="96" t="s">
        <v>1067</v>
      </c>
      <c r="B805" s="102"/>
      <c r="C805" t="s">
        <v>1065</v>
      </c>
      <c r="D805" s="97"/>
      <c r="E805" s="97"/>
      <c r="F805" s="97"/>
      <c r="G805" s="97"/>
      <c r="H805" s="97"/>
      <c r="I805" s="97"/>
      <c r="J805" s="105"/>
      <c r="K805" s="105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spans="1:26" ht="25.2" customHeight="1">
      <c r="A806" s="46">
        <v>5</v>
      </c>
      <c r="B806" s="156" t="s">
        <v>355</v>
      </c>
      <c r="C806" s="156"/>
      <c r="D806" s="64"/>
      <c r="E806" s="64"/>
      <c r="F806" s="64"/>
      <c r="G806" s="64"/>
      <c r="H806" s="67"/>
      <c r="I806" s="67"/>
      <c r="J806" s="67"/>
      <c r="K806" s="67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spans="1:26" ht="25.2" customHeight="1">
      <c r="A807" s="46" t="s">
        <v>23</v>
      </c>
      <c r="B807" s="156" t="s">
        <v>356</v>
      </c>
      <c r="C807" s="156"/>
      <c r="D807" s="64"/>
      <c r="E807" s="64"/>
      <c r="F807" s="64"/>
      <c r="G807" s="64"/>
      <c r="H807" s="67"/>
      <c r="I807" s="67"/>
      <c r="J807" s="67"/>
      <c r="K807" s="67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spans="1:26" ht="49.95" customHeight="1">
      <c r="A808" s="16" t="s">
        <v>357</v>
      </c>
      <c r="B808" s="20">
        <v>93679</v>
      </c>
      <c r="C808" s="73" t="s">
        <v>562</v>
      </c>
      <c r="D808" s="17"/>
      <c r="E808" s="17"/>
      <c r="F808" s="17"/>
      <c r="G808" s="17"/>
      <c r="H808" s="17"/>
      <c r="I808" s="17"/>
      <c r="J808" s="106"/>
      <c r="K808" s="69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spans="1:26" s="93" customFormat="1" ht="19.95" customHeight="1">
      <c r="A809" s="96" t="s">
        <v>1183</v>
      </c>
      <c r="B809" s="102"/>
      <c r="C809" s="98" t="s">
        <v>1192</v>
      </c>
      <c r="D809" s="97"/>
      <c r="E809" s="97"/>
      <c r="F809" s="97"/>
      <c r="G809" s="97"/>
      <c r="H809" s="97"/>
      <c r="I809" s="97"/>
      <c r="J809" s="105"/>
      <c r="K809" s="105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spans="1:26" ht="49.95" customHeight="1">
      <c r="A810" s="16" t="s">
        <v>358</v>
      </c>
      <c r="B810" s="17">
        <v>94275</v>
      </c>
      <c r="C810" s="73" t="s">
        <v>563</v>
      </c>
      <c r="D810" s="17"/>
      <c r="E810" s="17"/>
      <c r="F810" s="17"/>
      <c r="G810" s="17"/>
      <c r="H810" s="17"/>
      <c r="I810" s="17"/>
      <c r="J810" s="106"/>
      <c r="K810" s="69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spans="1:26" s="93" customFormat="1" ht="19.95" customHeight="1">
      <c r="A811" s="96" t="s">
        <v>1184</v>
      </c>
      <c r="B811" s="102"/>
      <c r="C811" s="98" t="s">
        <v>1193</v>
      </c>
      <c r="D811" s="97"/>
      <c r="E811" s="97"/>
      <c r="F811" s="97"/>
      <c r="G811" s="97"/>
      <c r="H811" s="97"/>
      <c r="I811" s="97"/>
      <c r="J811" s="105"/>
      <c r="K811" s="105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spans="1:26" ht="49.95" customHeight="1">
      <c r="A812" s="16" t="s">
        <v>359</v>
      </c>
      <c r="B812" s="20">
        <v>94276</v>
      </c>
      <c r="C812" s="73" t="s">
        <v>564</v>
      </c>
      <c r="D812" s="17"/>
      <c r="E812" s="17"/>
      <c r="F812" s="17"/>
      <c r="G812" s="17"/>
      <c r="H812" s="17"/>
      <c r="I812" s="17"/>
      <c r="J812" s="74"/>
      <c r="K812" s="105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spans="1:26" s="93" customFormat="1" ht="19.95" customHeight="1">
      <c r="A813" s="96" t="s">
        <v>1185</v>
      </c>
      <c r="B813" s="102"/>
      <c r="C813" s="98" t="s">
        <v>1194</v>
      </c>
      <c r="D813" s="97"/>
      <c r="E813" s="97"/>
      <c r="F813" s="97"/>
      <c r="G813" s="97"/>
      <c r="H813" s="97"/>
      <c r="I813" s="97"/>
      <c r="J813" s="105"/>
      <c r="K813" s="105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spans="1:26" ht="49.95" customHeight="1">
      <c r="A814" s="16" t="s">
        <v>360</v>
      </c>
      <c r="B814" s="20">
        <v>92397</v>
      </c>
      <c r="C814" s="73" t="s">
        <v>565</v>
      </c>
      <c r="D814" s="17"/>
      <c r="E814" s="17"/>
      <c r="F814" s="17"/>
      <c r="G814" s="17"/>
      <c r="H814" s="17"/>
      <c r="I814" s="17"/>
      <c r="J814" s="74"/>
      <c r="K814" s="105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spans="1:26" s="93" customFormat="1" ht="19.95" customHeight="1">
      <c r="A815" s="96" t="s">
        <v>1186</v>
      </c>
      <c r="B815" s="102"/>
      <c r="C815" s="98"/>
      <c r="D815" s="97"/>
      <c r="E815" s="97"/>
      <c r="F815" s="97"/>
      <c r="G815" s="97"/>
      <c r="H815" s="97"/>
      <c r="I815" s="97"/>
      <c r="J815" s="105"/>
      <c r="K815" s="105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spans="1:26" ht="49.95" customHeight="1">
      <c r="A816" s="16" t="s">
        <v>361</v>
      </c>
      <c r="B816" s="20">
        <v>105004</v>
      </c>
      <c r="C816" s="73" t="s">
        <v>566</v>
      </c>
      <c r="D816" s="17"/>
      <c r="E816" s="17"/>
      <c r="F816" s="17"/>
      <c r="G816" s="17"/>
      <c r="H816" s="17"/>
      <c r="I816" s="17"/>
      <c r="J816" s="74"/>
      <c r="K816" s="105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spans="1:26" s="93" customFormat="1" ht="19.95" customHeight="1">
      <c r="A817" s="96" t="s">
        <v>1187</v>
      </c>
      <c r="B817" s="102"/>
      <c r="C817" s="98"/>
      <c r="D817" s="97"/>
      <c r="E817" s="97"/>
      <c r="F817" s="97"/>
      <c r="G817" s="97"/>
      <c r="H817" s="97"/>
      <c r="I817" s="97"/>
      <c r="J817" s="105"/>
      <c r="K817" s="105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spans="1:26" ht="49.95" customHeight="1">
      <c r="A818" s="16" t="s">
        <v>362</v>
      </c>
      <c r="B818" s="20">
        <v>102498</v>
      </c>
      <c r="C818" s="73" t="s">
        <v>567</v>
      </c>
      <c r="D818" s="17"/>
      <c r="E818" s="17"/>
      <c r="F818" s="17"/>
      <c r="G818" s="17"/>
      <c r="H818" s="17"/>
      <c r="I818" s="17"/>
      <c r="J818" s="74"/>
      <c r="K818" s="69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spans="1:26" s="93" customFormat="1" ht="19.95" customHeight="1">
      <c r="A819" s="96" t="s">
        <v>1188</v>
      </c>
      <c r="B819" s="102"/>
      <c r="C819" s="98"/>
      <c r="D819" s="97"/>
      <c r="E819" s="97"/>
      <c r="F819" s="97"/>
      <c r="G819" s="97"/>
      <c r="H819" s="97"/>
      <c r="I819" s="97"/>
      <c r="J819" s="105"/>
      <c r="K819" s="105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spans="1:26" ht="49.95" customHeight="1">
      <c r="A820" s="16" t="s">
        <v>363</v>
      </c>
      <c r="B820" s="20">
        <v>104658</v>
      </c>
      <c r="C820" s="73" t="s">
        <v>568</v>
      </c>
      <c r="D820" s="17"/>
      <c r="E820" s="17"/>
      <c r="F820" s="17"/>
      <c r="G820" s="17"/>
      <c r="H820" s="17"/>
      <c r="I820" s="17"/>
      <c r="J820" s="106"/>
      <c r="K820" s="69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spans="1:26" s="93" customFormat="1" ht="19.95" customHeight="1">
      <c r="A821" s="96" t="s">
        <v>1189</v>
      </c>
      <c r="B821" s="102"/>
      <c r="C821" s="98" t="s">
        <v>1197</v>
      </c>
      <c r="D821" s="97"/>
      <c r="E821" s="97"/>
      <c r="F821" s="97"/>
      <c r="G821" s="97"/>
      <c r="H821" s="97"/>
      <c r="I821" s="97"/>
      <c r="J821" s="105"/>
      <c r="K821" s="105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spans="1:26" ht="49.95" customHeight="1">
      <c r="A822" s="16" t="s">
        <v>364</v>
      </c>
      <c r="B822" s="20">
        <v>104658</v>
      </c>
      <c r="C822" s="73" t="s">
        <v>568</v>
      </c>
      <c r="D822" s="17"/>
      <c r="E822" s="17"/>
      <c r="F822" s="17"/>
      <c r="G822" s="17"/>
      <c r="H822" s="17"/>
      <c r="I822" s="17"/>
      <c r="J822" s="74"/>
      <c r="K822" s="69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spans="1:26" s="93" customFormat="1" ht="19.95" customHeight="1">
      <c r="A823" s="96" t="s">
        <v>1190</v>
      </c>
      <c r="B823" s="102"/>
      <c r="C823" s="98" t="s">
        <v>1196</v>
      </c>
      <c r="D823" s="97"/>
      <c r="E823" s="97"/>
      <c r="F823" s="97"/>
      <c r="G823" s="97"/>
      <c r="H823" s="97"/>
      <c r="I823" s="97"/>
      <c r="J823" s="105"/>
      <c r="K823" s="105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spans="1:26" ht="49.95" customHeight="1">
      <c r="A824" s="16" t="s">
        <v>365</v>
      </c>
      <c r="B824" s="20">
        <v>102494</v>
      </c>
      <c r="C824" s="73" t="s">
        <v>569</v>
      </c>
      <c r="D824" s="17"/>
      <c r="E824" s="17"/>
      <c r="F824" s="17"/>
      <c r="G824" s="17"/>
      <c r="H824" s="17"/>
      <c r="I824" s="17"/>
      <c r="J824" s="74"/>
      <c r="K824" s="105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spans="1:26" s="93" customFormat="1" ht="19.95" customHeight="1">
      <c r="A825" s="96" t="s">
        <v>1191</v>
      </c>
      <c r="B825" s="102"/>
      <c r="C825" s="98" t="s">
        <v>1195</v>
      </c>
      <c r="D825" s="97"/>
      <c r="E825" s="97"/>
      <c r="F825" s="97"/>
      <c r="G825" s="97"/>
      <c r="H825" s="97"/>
      <c r="I825" s="97"/>
      <c r="J825" s="105"/>
      <c r="K825" s="105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spans="1:26" ht="49.95" customHeight="1">
      <c r="A826" s="16" t="s">
        <v>366</v>
      </c>
      <c r="B826" s="17">
        <v>103946</v>
      </c>
      <c r="C826" s="73" t="s">
        <v>570</v>
      </c>
      <c r="D826" s="17"/>
      <c r="E826" s="17"/>
      <c r="F826" s="17"/>
      <c r="G826" s="17"/>
      <c r="H826" s="17"/>
      <c r="I826" s="17"/>
      <c r="J826" s="74">
        <v>250</v>
      </c>
      <c r="K826" s="69" t="s">
        <v>1205</v>
      </c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spans="1:26" s="93" customFormat="1" ht="19.95" customHeight="1">
      <c r="A827" s="96" t="s">
        <v>1265</v>
      </c>
      <c r="B827" s="102"/>
      <c r="C827" s="98" t="s">
        <v>1264</v>
      </c>
      <c r="D827" s="97">
        <v>1</v>
      </c>
      <c r="E827" s="97">
        <v>250</v>
      </c>
      <c r="F827" s="97"/>
      <c r="G827" s="97"/>
      <c r="H827" s="97">
        <v>250</v>
      </c>
      <c r="I827" s="97">
        <v>250</v>
      </c>
      <c r="J827" s="105"/>
      <c r="K827" s="105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spans="1:26" ht="25.2" customHeight="1">
      <c r="A828" s="46" t="s">
        <v>34</v>
      </c>
      <c r="B828" s="156" t="s">
        <v>367</v>
      </c>
      <c r="C828" s="156"/>
      <c r="D828" s="64"/>
      <c r="E828" s="64"/>
      <c r="F828" s="64"/>
      <c r="G828" s="64"/>
      <c r="H828" s="67"/>
      <c r="I828" s="67"/>
      <c r="J828" s="67"/>
      <c r="K828" s="67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spans="1:26" ht="49.95" customHeight="1">
      <c r="A829" s="16" t="s">
        <v>368</v>
      </c>
      <c r="B829" s="20">
        <v>103946</v>
      </c>
      <c r="C829" s="73" t="s">
        <v>570</v>
      </c>
      <c r="D829" s="17"/>
      <c r="E829" s="17"/>
      <c r="F829" s="17"/>
      <c r="G829" s="17"/>
      <c r="H829" s="17"/>
      <c r="I829" s="17"/>
      <c r="J829" s="106">
        <v>25.69</v>
      </c>
      <c r="K829" s="105" t="s">
        <v>1205</v>
      </c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spans="1:26" s="93" customFormat="1" ht="19.95" customHeight="1">
      <c r="A830" s="96" t="s">
        <v>1276</v>
      </c>
      <c r="B830" s="102"/>
      <c r="C830" s="98" t="s">
        <v>1271</v>
      </c>
      <c r="D830" s="97">
        <v>1</v>
      </c>
      <c r="E830" s="97">
        <v>175.15</v>
      </c>
      <c r="F830" s="97"/>
      <c r="G830" s="97">
        <v>0.1</v>
      </c>
      <c r="H830" s="97">
        <v>17.515000000000001</v>
      </c>
      <c r="I830" s="97">
        <v>17.52</v>
      </c>
      <c r="J830" s="105"/>
      <c r="K830" s="105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spans="1:26" s="93" customFormat="1" ht="19.95" customHeight="1">
      <c r="A831" s="96" t="s">
        <v>1277</v>
      </c>
      <c r="B831" s="102"/>
      <c r="C831" s="98" t="s">
        <v>1272</v>
      </c>
      <c r="D831" s="97">
        <v>1</v>
      </c>
      <c r="E831" s="97">
        <v>26.23</v>
      </c>
      <c r="F831" s="97"/>
      <c r="G831" s="97">
        <v>0.1</v>
      </c>
      <c r="H831" s="97">
        <v>2.6230000000000002</v>
      </c>
      <c r="I831" s="97">
        <v>2.62</v>
      </c>
      <c r="J831" s="105"/>
      <c r="K831" s="105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spans="1:26" s="93" customFormat="1" ht="19.95" customHeight="1">
      <c r="A832" s="96" t="s">
        <v>1278</v>
      </c>
      <c r="B832" s="102"/>
      <c r="C832" s="98" t="s">
        <v>1273</v>
      </c>
      <c r="D832" s="97">
        <v>1</v>
      </c>
      <c r="E832" s="97">
        <v>12.97</v>
      </c>
      <c r="F832" s="97"/>
      <c r="G832" s="97">
        <v>0.1</v>
      </c>
      <c r="H832" s="97">
        <v>1.2969999999999999</v>
      </c>
      <c r="I832" s="97">
        <v>1.3</v>
      </c>
      <c r="J832" s="105"/>
      <c r="K832" s="105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spans="1:26" s="93" customFormat="1" ht="19.95" customHeight="1">
      <c r="A833" s="96" t="s">
        <v>1279</v>
      </c>
      <c r="B833" s="102"/>
      <c r="C833" s="98" t="s">
        <v>1274</v>
      </c>
      <c r="D833" s="97">
        <v>1</v>
      </c>
      <c r="E833" s="97">
        <v>28.11</v>
      </c>
      <c r="F833" s="97"/>
      <c r="G833" s="97">
        <v>0.1</v>
      </c>
      <c r="H833" s="97">
        <v>2.8109999999999999</v>
      </c>
      <c r="I833" s="97">
        <v>2.81</v>
      </c>
      <c r="J833" s="105"/>
      <c r="K833" s="105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spans="1:26" s="93" customFormat="1" ht="19.95" customHeight="1">
      <c r="A834" s="96" t="s">
        <v>1280</v>
      </c>
      <c r="B834" s="102"/>
      <c r="C834" s="98" t="s">
        <v>1275</v>
      </c>
      <c r="D834" s="97">
        <v>1</v>
      </c>
      <c r="E834" s="97">
        <v>14.41</v>
      </c>
      <c r="F834" s="97"/>
      <c r="G834" s="97">
        <v>0.1</v>
      </c>
      <c r="H834" s="97">
        <v>1.4410000000000001</v>
      </c>
      <c r="I834" s="97">
        <v>1.44</v>
      </c>
      <c r="J834" s="105"/>
      <c r="K834" s="105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spans="1:26" ht="48.75" customHeight="1">
      <c r="A835" s="16" t="s">
        <v>369</v>
      </c>
      <c r="B835" s="17">
        <v>105521</v>
      </c>
      <c r="C835" s="73" t="s">
        <v>571</v>
      </c>
      <c r="D835" s="17"/>
      <c r="E835" s="17"/>
      <c r="F835" s="17"/>
      <c r="G835" s="17"/>
      <c r="H835" s="17"/>
      <c r="I835" s="17"/>
      <c r="J835" s="74">
        <v>25.69</v>
      </c>
      <c r="K835" s="105" t="s">
        <v>1205</v>
      </c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spans="1:26" s="93" customFormat="1" ht="19.95" customHeight="1">
      <c r="A836" s="96" t="s">
        <v>1266</v>
      </c>
      <c r="B836" s="102"/>
      <c r="C836" s="98" t="s">
        <v>1271</v>
      </c>
      <c r="D836" s="97">
        <v>1</v>
      </c>
      <c r="E836" s="97">
        <v>175.15</v>
      </c>
      <c r="F836" s="97"/>
      <c r="G836" s="97">
        <v>0.1</v>
      </c>
      <c r="H836" s="97">
        <v>17.515000000000001</v>
      </c>
      <c r="I836" s="97">
        <v>17.52</v>
      </c>
      <c r="J836" s="105"/>
      <c r="K836" s="105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spans="1:26" s="93" customFormat="1" ht="19.95" customHeight="1">
      <c r="A837" s="96" t="s">
        <v>1267</v>
      </c>
      <c r="B837" s="102"/>
      <c r="C837" s="98" t="s">
        <v>1272</v>
      </c>
      <c r="D837" s="97">
        <v>1</v>
      </c>
      <c r="E837" s="97">
        <v>26.23</v>
      </c>
      <c r="F837" s="97"/>
      <c r="G837" s="97">
        <v>0.1</v>
      </c>
      <c r="H837" s="97">
        <v>2.6230000000000002</v>
      </c>
      <c r="I837" s="97">
        <v>2.62</v>
      </c>
      <c r="J837" s="105"/>
      <c r="K837" s="105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spans="1:26" s="93" customFormat="1" ht="19.95" customHeight="1">
      <c r="A838" s="96" t="s">
        <v>1268</v>
      </c>
      <c r="B838" s="102"/>
      <c r="C838" s="98" t="s">
        <v>1273</v>
      </c>
      <c r="D838" s="97">
        <v>1</v>
      </c>
      <c r="E838" s="97">
        <v>12.97</v>
      </c>
      <c r="F838" s="97"/>
      <c r="G838" s="97">
        <v>0.1</v>
      </c>
      <c r="H838" s="97">
        <v>1.2969999999999999</v>
      </c>
      <c r="I838" s="97">
        <v>1.3</v>
      </c>
      <c r="J838" s="105"/>
      <c r="K838" s="105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spans="1:26" s="93" customFormat="1" ht="19.95" customHeight="1">
      <c r="A839" s="96" t="s">
        <v>1269</v>
      </c>
      <c r="B839" s="102"/>
      <c r="C839" s="98" t="s">
        <v>1274</v>
      </c>
      <c r="D839" s="97">
        <v>1</v>
      </c>
      <c r="E839" s="97">
        <v>28.11</v>
      </c>
      <c r="F839" s="97"/>
      <c r="G839" s="97">
        <v>0.1</v>
      </c>
      <c r="H839" s="97">
        <v>2.8109999999999999</v>
      </c>
      <c r="I839" s="97">
        <v>2.81</v>
      </c>
      <c r="J839" s="105"/>
      <c r="K839" s="105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spans="1:26" s="93" customFormat="1" ht="19.95" customHeight="1">
      <c r="A840" s="96" t="s">
        <v>1270</v>
      </c>
      <c r="B840" s="102"/>
      <c r="C840" s="98" t="s">
        <v>1275</v>
      </c>
      <c r="D840" s="97">
        <v>1</v>
      </c>
      <c r="E840" s="97">
        <v>14.41</v>
      </c>
      <c r="F840" s="97"/>
      <c r="G840" s="97">
        <v>0.1</v>
      </c>
      <c r="H840" s="97">
        <v>1.4410000000000001</v>
      </c>
      <c r="I840" s="97">
        <v>1.44</v>
      </c>
      <c r="J840" s="105"/>
      <c r="K840" s="105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spans="1:26" ht="49.95" customHeight="1">
      <c r="A841" s="16" t="s">
        <v>370</v>
      </c>
      <c r="B841" s="20">
        <v>25</v>
      </c>
      <c r="C841" s="73" t="s">
        <v>572</v>
      </c>
      <c r="D841" s="17"/>
      <c r="E841" s="17"/>
      <c r="F841" s="17"/>
      <c r="G841" s="17"/>
      <c r="H841" s="17"/>
      <c r="I841" s="17"/>
      <c r="J841" s="74">
        <v>3</v>
      </c>
      <c r="K841" s="69" t="s">
        <v>5</v>
      </c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spans="1:26" s="93" customFormat="1" ht="19.95" customHeight="1">
      <c r="A842" s="96" t="s">
        <v>1281</v>
      </c>
      <c r="B842" s="102"/>
      <c r="C842" s="98"/>
      <c r="D842" s="97">
        <v>1</v>
      </c>
      <c r="E842" s="97">
        <v>3</v>
      </c>
      <c r="F842" s="97"/>
      <c r="G842" s="97"/>
      <c r="H842" s="97">
        <v>3</v>
      </c>
      <c r="I842" s="97">
        <v>3</v>
      </c>
      <c r="J842" s="105"/>
      <c r="K842" s="105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spans="1:26" ht="25.2" customHeight="1">
      <c r="A843" s="46" t="s">
        <v>35</v>
      </c>
      <c r="B843" s="156" t="s">
        <v>371</v>
      </c>
      <c r="C843" s="156"/>
      <c r="D843" s="64"/>
      <c r="E843" s="64"/>
      <c r="F843" s="64"/>
      <c r="G843" s="64"/>
      <c r="H843" s="67"/>
      <c r="I843" s="67"/>
      <c r="J843" s="67"/>
      <c r="K843" s="67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spans="1:26" ht="49.95" customHeight="1">
      <c r="A844" s="16" t="s">
        <v>372</v>
      </c>
      <c r="B844" s="20">
        <v>93358</v>
      </c>
      <c r="C844" s="73" t="s">
        <v>400</v>
      </c>
      <c r="D844" s="17"/>
      <c r="E844" s="103"/>
      <c r="F844" s="103"/>
      <c r="G844" s="103"/>
      <c r="H844" s="17"/>
      <c r="I844" s="17"/>
      <c r="J844" s="74"/>
      <c r="K844" s="69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spans="1:26" s="93" customFormat="1" ht="19.95" customHeight="1">
      <c r="A845" s="96" t="s">
        <v>1068</v>
      </c>
      <c r="B845" s="102"/>
      <c r="C845" s="98" t="s">
        <v>1072</v>
      </c>
      <c r="D845" s="97"/>
      <c r="E845" s="97"/>
      <c r="F845" s="97"/>
      <c r="G845" s="97"/>
      <c r="H845" s="97"/>
      <c r="I845" s="97"/>
      <c r="J845" s="105"/>
      <c r="K845" s="105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spans="1:26" ht="49.95" customHeight="1">
      <c r="A846" s="16" t="s">
        <v>373</v>
      </c>
      <c r="B846" s="17">
        <v>101616</v>
      </c>
      <c r="C846" s="73" t="s">
        <v>403</v>
      </c>
      <c r="D846" s="17"/>
      <c r="E846" s="103"/>
      <c r="F846" s="17"/>
      <c r="G846" s="17"/>
      <c r="H846" s="17"/>
      <c r="I846" s="17"/>
      <c r="J846" s="74"/>
      <c r="K846" s="69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spans="1:26" s="93" customFormat="1" ht="19.95" customHeight="1">
      <c r="A847" s="96" t="s">
        <v>1069</v>
      </c>
      <c r="B847" s="102"/>
      <c r="C847" s="98" t="s">
        <v>1072</v>
      </c>
      <c r="D847" s="97"/>
      <c r="E847" s="97"/>
      <c r="F847" s="97"/>
      <c r="G847" s="97"/>
      <c r="H847" s="97"/>
      <c r="I847" s="97"/>
      <c r="J847" s="105"/>
      <c r="K847" s="105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spans="1:26" ht="49.95" customHeight="1">
      <c r="A848" s="16" t="s">
        <v>374</v>
      </c>
      <c r="B848" s="20">
        <v>96619</v>
      </c>
      <c r="C848" s="73" t="s">
        <v>402</v>
      </c>
      <c r="D848" s="17"/>
      <c r="E848" s="103"/>
      <c r="F848" s="17"/>
      <c r="G848" s="17"/>
      <c r="H848" s="17"/>
      <c r="I848" s="17"/>
      <c r="J848" s="106"/>
      <c r="K848" s="105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spans="1:26" s="93" customFormat="1" ht="19.95" customHeight="1">
      <c r="A849" s="96" t="s">
        <v>1070</v>
      </c>
      <c r="B849" s="102"/>
      <c r="C849" s="98" t="s">
        <v>1072</v>
      </c>
      <c r="D849" s="97"/>
      <c r="E849" s="97"/>
      <c r="F849" s="97"/>
      <c r="G849" s="97"/>
      <c r="H849" s="97"/>
      <c r="I849" s="97"/>
      <c r="J849" s="105"/>
      <c r="K849" s="105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spans="1:26" ht="49.95" customHeight="1">
      <c r="A850" s="16" t="s">
        <v>375</v>
      </c>
      <c r="B850" s="20">
        <v>8</v>
      </c>
      <c r="C850" s="73" t="s">
        <v>573</v>
      </c>
      <c r="D850" s="97"/>
      <c r="E850" s="103"/>
      <c r="F850" s="17"/>
      <c r="G850" s="17"/>
      <c r="H850" s="17"/>
      <c r="I850" s="17"/>
      <c r="J850" s="106"/>
      <c r="K850" s="105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spans="1:26" s="93" customFormat="1" ht="19.95" customHeight="1">
      <c r="A851" s="96" t="s">
        <v>1071</v>
      </c>
      <c r="B851" s="102"/>
      <c r="C851" s="98" t="s">
        <v>1072</v>
      </c>
      <c r="D851" s="97"/>
      <c r="E851" s="97"/>
      <c r="F851" s="97"/>
      <c r="G851" s="97"/>
      <c r="H851" s="97"/>
      <c r="I851" s="97"/>
      <c r="J851" s="105"/>
      <c r="K851" s="105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spans="1:26" ht="49.95" customHeight="1">
      <c r="A852" s="16" t="s">
        <v>376</v>
      </c>
      <c r="B852" s="20">
        <v>87878</v>
      </c>
      <c r="C852" s="73" t="s">
        <v>574</v>
      </c>
      <c r="D852" s="17"/>
      <c r="E852" s="103" t="s">
        <v>1282</v>
      </c>
      <c r="F852" s="17"/>
      <c r="G852" s="103" t="s">
        <v>1283</v>
      </c>
      <c r="H852" s="17"/>
      <c r="I852" s="17"/>
      <c r="J852" s="74">
        <v>14.4</v>
      </c>
      <c r="K852" s="69" t="s">
        <v>1205</v>
      </c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spans="1:26" s="93" customFormat="1" ht="19.95" customHeight="1">
      <c r="A853" s="96" t="s">
        <v>1284</v>
      </c>
      <c r="B853" s="102"/>
      <c r="C853" s="98" t="s">
        <v>1072</v>
      </c>
      <c r="D853" s="97">
        <v>8</v>
      </c>
      <c r="E853" s="97">
        <v>4</v>
      </c>
      <c r="F853" s="97">
        <v>0.45</v>
      </c>
      <c r="G853" s="97">
        <v>1</v>
      </c>
      <c r="H853" s="97">
        <v>1.8</v>
      </c>
      <c r="I853" s="97">
        <v>14.4</v>
      </c>
      <c r="J853" s="105"/>
      <c r="K853" s="105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spans="1:26" ht="49.95" customHeight="1">
      <c r="A854" s="16" t="s">
        <v>377</v>
      </c>
      <c r="B854" s="20">
        <v>87528</v>
      </c>
      <c r="C854" s="73" t="s">
        <v>575</v>
      </c>
      <c r="D854" s="97"/>
      <c r="E854" s="103" t="s">
        <v>1282</v>
      </c>
      <c r="F854" s="97"/>
      <c r="G854" s="103" t="s">
        <v>1283</v>
      </c>
      <c r="H854" s="97"/>
      <c r="I854" s="97"/>
      <c r="J854" s="106">
        <v>14.4</v>
      </c>
      <c r="K854" s="105" t="s">
        <v>1205</v>
      </c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spans="1:26" s="93" customFormat="1" ht="19.95" customHeight="1">
      <c r="A855" s="96" t="s">
        <v>1285</v>
      </c>
      <c r="B855" s="102"/>
      <c r="C855" s="98" t="s">
        <v>1072</v>
      </c>
      <c r="D855" s="97">
        <v>8</v>
      </c>
      <c r="E855" s="97">
        <v>4</v>
      </c>
      <c r="F855" s="97">
        <v>0.45</v>
      </c>
      <c r="G855" s="97">
        <v>1</v>
      </c>
      <c r="H855" s="97">
        <v>1.8</v>
      </c>
      <c r="I855" s="97">
        <v>14.4</v>
      </c>
      <c r="J855" s="105"/>
      <c r="K855" s="105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spans="1:26" ht="49.95" customHeight="1">
      <c r="A856" s="16" t="s">
        <v>378</v>
      </c>
      <c r="B856" s="20">
        <v>95305</v>
      </c>
      <c r="C856" s="73" t="s">
        <v>576</v>
      </c>
      <c r="D856" s="97"/>
      <c r="E856" s="103" t="s">
        <v>1282</v>
      </c>
      <c r="F856" s="97"/>
      <c r="G856" s="103" t="s">
        <v>1283</v>
      </c>
      <c r="H856" s="97"/>
      <c r="I856" s="97"/>
      <c r="J856" s="106">
        <v>14.4</v>
      </c>
      <c r="K856" s="105" t="s">
        <v>1205</v>
      </c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spans="1:26" s="93" customFormat="1" ht="19.95" customHeight="1">
      <c r="A857" s="96" t="s">
        <v>1286</v>
      </c>
      <c r="B857" s="102"/>
      <c r="C857" s="98" t="s">
        <v>1072</v>
      </c>
      <c r="D857" s="97">
        <v>8</v>
      </c>
      <c r="E857" s="97">
        <v>4</v>
      </c>
      <c r="F857" s="97">
        <v>0.45</v>
      </c>
      <c r="G857" s="97">
        <v>1</v>
      </c>
      <c r="H857" s="97">
        <v>1.8</v>
      </c>
      <c r="I857" s="97">
        <v>14.4</v>
      </c>
      <c r="J857" s="105"/>
      <c r="K857" s="105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spans="1:26" ht="49.95" customHeight="1">
      <c r="A858" s="16" t="s">
        <v>379</v>
      </c>
      <c r="B858" s="20">
        <v>8</v>
      </c>
      <c r="C858" s="73" t="s">
        <v>573</v>
      </c>
      <c r="D858" s="97"/>
      <c r="E858" s="103" t="s">
        <v>1282</v>
      </c>
      <c r="F858" s="97"/>
      <c r="G858" s="103"/>
      <c r="H858" s="97"/>
      <c r="I858" s="97"/>
      <c r="J858" s="106">
        <v>14.4</v>
      </c>
      <c r="K858" s="105" t="s">
        <v>1205</v>
      </c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spans="1:26" s="93" customFormat="1" ht="19.95" customHeight="1">
      <c r="A859" s="96" t="s">
        <v>1287</v>
      </c>
      <c r="B859" s="102"/>
      <c r="C859" s="98" t="s">
        <v>1288</v>
      </c>
      <c r="D859" s="97">
        <v>8</v>
      </c>
      <c r="E859" s="97">
        <v>4</v>
      </c>
      <c r="F859" s="97">
        <v>0.45</v>
      </c>
      <c r="G859" s="97"/>
      <c r="H859" s="97">
        <v>1.8</v>
      </c>
      <c r="I859" s="97">
        <v>14.4</v>
      </c>
      <c r="J859" s="105"/>
      <c r="K859" s="105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spans="1:26" ht="49.95" customHeight="1">
      <c r="A860" s="16" t="s">
        <v>380</v>
      </c>
      <c r="B860" s="20">
        <v>7</v>
      </c>
      <c r="C860" s="73" t="s">
        <v>577</v>
      </c>
      <c r="D860" s="17"/>
      <c r="E860" s="103" t="s">
        <v>1282</v>
      </c>
      <c r="F860" s="17"/>
      <c r="G860" s="17"/>
      <c r="H860" s="17"/>
      <c r="I860" s="17"/>
      <c r="J860" s="74">
        <v>6.5</v>
      </c>
      <c r="K860" s="105" t="s">
        <v>1205</v>
      </c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spans="1:26" s="93" customFormat="1" ht="19.95" customHeight="1">
      <c r="A861" s="96" t="s">
        <v>1290</v>
      </c>
      <c r="B861" s="102"/>
      <c r="C861" s="98" t="s">
        <v>1289</v>
      </c>
      <c r="D861" s="97">
        <v>8</v>
      </c>
      <c r="E861" s="97">
        <v>0.8125</v>
      </c>
      <c r="F861" s="97"/>
      <c r="G861" s="97"/>
      <c r="H861" s="97">
        <v>0.8125</v>
      </c>
      <c r="I861" s="97">
        <v>6.5</v>
      </c>
      <c r="J861" s="105"/>
      <c r="K861" s="105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spans="1:26" ht="25.2" customHeight="1">
      <c r="A862" s="46">
        <v>6</v>
      </c>
      <c r="B862" s="156" t="s">
        <v>381</v>
      </c>
      <c r="C862" s="156"/>
      <c r="D862" s="64"/>
      <c r="E862" s="64"/>
      <c r="F862" s="64"/>
      <c r="G862" s="64"/>
      <c r="H862" s="67"/>
      <c r="I862" s="67"/>
      <c r="J862" s="67"/>
      <c r="K862" s="67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spans="1:26" ht="49.95" customHeight="1">
      <c r="A863" s="16" t="s">
        <v>24</v>
      </c>
      <c r="B863" s="20">
        <v>93358</v>
      </c>
      <c r="C863" s="73" t="s">
        <v>400</v>
      </c>
      <c r="D863" s="17"/>
      <c r="E863" s="17"/>
      <c r="F863" s="17"/>
      <c r="G863" s="17"/>
      <c r="H863" s="17"/>
      <c r="I863" s="17"/>
      <c r="J863" s="74"/>
      <c r="K863" s="69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spans="1:26" s="93" customFormat="1" ht="19.95" customHeight="1">
      <c r="A864" s="96" t="s">
        <v>1073</v>
      </c>
      <c r="B864" s="102"/>
      <c r="C864" s="98" t="s">
        <v>1096</v>
      </c>
      <c r="D864" s="97"/>
      <c r="E864" s="97"/>
      <c r="F864" s="97"/>
      <c r="G864" s="97"/>
      <c r="H864" s="97"/>
      <c r="I864" s="97"/>
      <c r="J864" s="105"/>
      <c r="K864" s="105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spans="1:26" s="93" customFormat="1" ht="19.95" customHeight="1">
      <c r="A865" s="96" t="s">
        <v>1074</v>
      </c>
      <c r="B865" s="102"/>
      <c r="C865" s="98" t="s">
        <v>1097</v>
      </c>
      <c r="D865" s="97"/>
      <c r="E865" s="97"/>
      <c r="F865" s="97"/>
      <c r="G865" s="97"/>
      <c r="H865" s="97"/>
      <c r="I865" s="97"/>
      <c r="J865" s="105"/>
      <c r="K865" s="105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spans="1:26" ht="49.95" customHeight="1">
      <c r="A866" s="16" t="s">
        <v>36</v>
      </c>
      <c r="B866" s="17">
        <v>97882</v>
      </c>
      <c r="C866" s="73" t="s">
        <v>578</v>
      </c>
      <c r="D866" s="17"/>
      <c r="E866" s="17"/>
      <c r="F866" s="17"/>
      <c r="G866" s="17"/>
      <c r="H866" s="17"/>
      <c r="I866" s="17"/>
      <c r="J866" s="74"/>
      <c r="K866" s="69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spans="1:26" s="93" customFormat="1" ht="19.95" customHeight="1">
      <c r="A867" s="96" t="s">
        <v>1075</v>
      </c>
      <c r="B867" s="102"/>
      <c r="C867" s="98"/>
      <c r="D867" s="97"/>
      <c r="E867" s="97"/>
      <c r="F867" s="97"/>
      <c r="G867" s="97"/>
      <c r="H867" s="97"/>
      <c r="I867" s="97"/>
      <c r="J867" s="105"/>
      <c r="K867" s="105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spans="1:26" ht="49.95" customHeight="1">
      <c r="A868" s="16" t="s">
        <v>382</v>
      </c>
      <c r="B868" s="20">
        <v>20</v>
      </c>
      <c r="C868" s="73" t="s">
        <v>579</v>
      </c>
      <c r="D868" s="17"/>
      <c r="E868" s="17"/>
      <c r="F868" s="17"/>
      <c r="G868" s="17"/>
      <c r="H868" s="17"/>
      <c r="I868" s="17"/>
      <c r="J868" s="74"/>
      <c r="K868" s="105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spans="1:26" s="93" customFormat="1" ht="19.95" customHeight="1">
      <c r="A869" s="96" t="s">
        <v>1076</v>
      </c>
      <c r="B869" s="102"/>
      <c r="C869" s="98"/>
      <c r="D869" s="97"/>
      <c r="E869" s="97"/>
      <c r="F869" s="97"/>
      <c r="G869" s="97"/>
      <c r="H869" s="97"/>
      <c r="I869" s="97"/>
      <c r="J869" s="105"/>
      <c r="K869" s="105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spans="1:26" ht="49.95" customHeight="1">
      <c r="A870" s="16" t="s">
        <v>383</v>
      </c>
      <c r="B870" s="20">
        <v>91914</v>
      </c>
      <c r="C870" s="73" t="s">
        <v>461</v>
      </c>
      <c r="D870" s="97"/>
      <c r="E870" s="17"/>
      <c r="F870" s="17"/>
      <c r="G870" s="17"/>
      <c r="H870" s="17"/>
      <c r="I870" s="17"/>
      <c r="J870" s="74"/>
      <c r="K870" s="105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spans="1:26" s="93" customFormat="1" ht="19.95" customHeight="1">
      <c r="A871" s="96" t="s">
        <v>1077</v>
      </c>
      <c r="B871" s="102"/>
      <c r="C871" s="98"/>
      <c r="D871" s="97"/>
      <c r="E871" s="97"/>
      <c r="F871" s="97"/>
      <c r="G871" s="97"/>
      <c r="H871" s="97"/>
      <c r="I871" s="97"/>
      <c r="J871" s="105"/>
      <c r="K871" s="105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spans="1:26" ht="49.95" customHeight="1">
      <c r="A872" s="16" t="s">
        <v>384</v>
      </c>
      <c r="B872" s="20">
        <v>91902</v>
      </c>
      <c r="C872" s="73" t="s">
        <v>580</v>
      </c>
      <c r="D872" s="97"/>
      <c r="E872" s="17"/>
      <c r="F872" s="17"/>
      <c r="G872" s="17"/>
      <c r="H872" s="17"/>
      <c r="I872" s="17"/>
      <c r="J872" s="74"/>
      <c r="K872" s="105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spans="1:26" s="93" customFormat="1" ht="19.95" customHeight="1">
      <c r="A873" s="96" t="s">
        <v>1078</v>
      </c>
      <c r="B873" s="102"/>
      <c r="C873" s="98"/>
      <c r="D873" s="97"/>
      <c r="E873" s="97"/>
      <c r="F873" s="97"/>
      <c r="G873" s="97"/>
      <c r="H873" s="97"/>
      <c r="I873" s="97"/>
      <c r="J873" s="105"/>
      <c r="K873" s="105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spans="1:26" ht="49.95" customHeight="1">
      <c r="A874" s="16" t="s">
        <v>385</v>
      </c>
      <c r="B874" s="20">
        <v>91884</v>
      </c>
      <c r="C874" s="73" t="s">
        <v>462</v>
      </c>
      <c r="D874" s="97"/>
      <c r="E874" s="17"/>
      <c r="F874" s="17"/>
      <c r="G874" s="17"/>
      <c r="H874" s="17"/>
      <c r="I874" s="17"/>
      <c r="J874" s="74"/>
      <c r="K874" s="105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spans="1:26" s="93" customFormat="1" ht="19.95" customHeight="1">
      <c r="A875" s="96" t="s">
        <v>1079</v>
      </c>
      <c r="B875" s="102"/>
      <c r="C875" s="98"/>
      <c r="D875" s="97"/>
      <c r="E875" s="97"/>
      <c r="F875" s="97"/>
      <c r="G875" s="97"/>
      <c r="H875" s="97"/>
      <c r="I875" s="97"/>
      <c r="J875" s="105"/>
      <c r="K875" s="105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spans="1:26" ht="49.95" customHeight="1">
      <c r="A876" s="16" t="s">
        <v>386</v>
      </c>
      <c r="B876" s="20">
        <v>93013</v>
      </c>
      <c r="C876" s="73" t="s">
        <v>581</v>
      </c>
      <c r="D876" s="97"/>
      <c r="E876" s="17"/>
      <c r="F876" s="17"/>
      <c r="G876" s="17"/>
      <c r="H876" s="17"/>
      <c r="I876" s="17"/>
      <c r="J876" s="74"/>
      <c r="K876" s="105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spans="1:26" s="93" customFormat="1" ht="19.95" customHeight="1">
      <c r="A877" s="96" t="s">
        <v>1080</v>
      </c>
      <c r="B877" s="102"/>
      <c r="C877" s="98"/>
      <c r="D877" s="97"/>
      <c r="E877" s="97"/>
      <c r="F877" s="97"/>
      <c r="G877" s="97"/>
      <c r="H877" s="97"/>
      <c r="I877" s="97"/>
      <c r="J877" s="105"/>
      <c r="K877" s="105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spans="1:26" ht="49.95" customHeight="1">
      <c r="A878" s="16" t="s">
        <v>387</v>
      </c>
      <c r="B878" s="20">
        <v>39470</v>
      </c>
      <c r="C878" s="73" t="s">
        <v>463</v>
      </c>
      <c r="D878" s="97"/>
      <c r="E878" s="17"/>
      <c r="F878" s="17"/>
      <c r="G878" s="17"/>
      <c r="H878" s="17"/>
      <c r="I878" s="17"/>
      <c r="J878" s="74"/>
      <c r="K878" s="105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spans="1:26" s="93" customFormat="1" ht="19.95" customHeight="1">
      <c r="A879" s="96" t="s">
        <v>1081</v>
      </c>
      <c r="B879" s="102"/>
      <c r="C879" s="98"/>
      <c r="D879" s="97"/>
      <c r="E879" s="97"/>
      <c r="F879" s="97"/>
      <c r="G879" s="97"/>
      <c r="H879" s="97"/>
      <c r="I879" s="97"/>
      <c r="J879" s="105"/>
      <c r="K879" s="105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spans="1:26" ht="49.95" customHeight="1">
      <c r="A880" s="16" t="s">
        <v>388</v>
      </c>
      <c r="B880" s="20">
        <v>93656</v>
      </c>
      <c r="C880" s="73" t="s">
        <v>582</v>
      </c>
      <c r="D880" s="97"/>
      <c r="E880" s="17"/>
      <c r="F880" s="17"/>
      <c r="G880" s="17"/>
      <c r="H880" s="17"/>
      <c r="I880" s="17"/>
      <c r="J880" s="74"/>
      <c r="K880" s="105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spans="1:26" s="93" customFormat="1" ht="19.95" customHeight="1">
      <c r="A881" s="96" t="s">
        <v>1082</v>
      </c>
      <c r="B881" s="102"/>
      <c r="C881" s="98"/>
      <c r="D881" s="97"/>
      <c r="E881" s="97"/>
      <c r="F881" s="97"/>
      <c r="G881" s="97"/>
      <c r="H881" s="97"/>
      <c r="I881" s="97"/>
      <c r="J881" s="105"/>
      <c r="K881" s="105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spans="1:26" ht="49.95" customHeight="1">
      <c r="A882" s="16" t="s">
        <v>389</v>
      </c>
      <c r="B882" s="17">
        <v>93657</v>
      </c>
      <c r="C882" s="73" t="s">
        <v>467</v>
      </c>
      <c r="D882" s="97"/>
      <c r="E882" s="17"/>
      <c r="F882" s="17"/>
      <c r="G882" s="17"/>
      <c r="H882" s="17"/>
      <c r="I882" s="17"/>
      <c r="J882" s="74"/>
      <c r="K882" s="105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spans="1:26" s="93" customFormat="1" ht="19.95" customHeight="1">
      <c r="A883" s="96" t="s">
        <v>1083</v>
      </c>
      <c r="B883" s="102"/>
      <c r="C883" s="98"/>
      <c r="D883" s="97"/>
      <c r="E883" s="97"/>
      <c r="F883" s="97"/>
      <c r="G883" s="97"/>
      <c r="H883" s="97"/>
      <c r="I883" s="97"/>
      <c r="J883" s="105"/>
      <c r="K883" s="105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spans="1:26" ht="49.95" customHeight="1">
      <c r="A884" s="16" t="s">
        <v>390</v>
      </c>
      <c r="B884" s="20">
        <v>39396</v>
      </c>
      <c r="C884" s="73" t="s">
        <v>583</v>
      </c>
      <c r="D884" s="97"/>
      <c r="E884" s="17"/>
      <c r="F884" s="17"/>
      <c r="G884" s="17"/>
      <c r="H884" s="17"/>
      <c r="I884" s="17"/>
      <c r="J884" s="74"/>
      <c r="K884" s="105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spans="1:26" s="93" customFormat="1" ht="19.95" customHeight="1">
      <c r="A885" s="96" t="s">
        <v>1084</v>
      </c>
      <c r="B885" s="102"/>
      <c r="C885" s="98"/>
      <c r="D885" s="97"/>
      <c r="E885" s="97"/>
      <c r="F885" s="97"/>
      <c r="G885" s="97"/>
      <c r="H885" s="97"/>
      <c r="I885" s="97"/>
      <c r="J885" s="105"/>
      <c r="K885" s="105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spans="1:26" ht="49.95" customHeight="1">
      <c r="A886" s="16" t="s">
        <v>391</v>
      </c>
      <c r="B886" s="17">
        <v>21</v>
      </c>
      <c r="C886" s="73" t="s">
        <v>584</v>
      </c>
      <c r="D886" s="97"/>
      <c r="E886" s="17"/>
      <c r="F886" s="17"/>
      <c r="G886" s="17"/>
      <c r="H886" s="17"/>
      <c r="I886" s="17"/>
      <c r="J886" s="74"/>
      <c r="K886" s="105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spans="1:26" s="93" customFormat="1" ht="19.95" customHeight="1">
      <c r="A887" s="96" t="s">
        <v>1085</v>
      </c>
      <c r="B887" s="102"/>
      <c r="C887" s="98"/>
      <c r="D887" s="97"/>
      <c r="E887" s="97"/>
      <c r="F887" s="97"/>
      <c r="G887" s="97"/>
      <c r="H887" s="97"/>
      <c r="I887" s="97"/>
      <c r="J887" s="105"/>
      <c r="K887" s="105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spans="1:26" ht="49.95" customHeight="1">
      <c r="A888" s="16" t="s">
        <v>392</v>
      </c>
      <c r="B888" s="20">
        <v>101876</v>
      </c>
      <c r="C888" s="73" t="s">
        <v>538</v>
      </c>
      <c r="D888" s="97"/>
      <c r="E888" s="17"/>
      <c r="F888" s="17"/>
      <c r="G888" s="17"/>
      <c r="H888" s="17"/>
      <c r="I888" s="17"/>
      <c r="J888" s="74"/>
      <c r="K888" s="105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spans="1:26" s="93" customFormat="1" ht="19.95" customHeight="1">
      <c r="A889" s="96" t="s">
        <v>1086</v>
      </c>
      <c r="B889" s="102"/>
      <c r="C889" s="98"/>
      <c r="D889" s="97"/>
      <c r="E889" s="97"/>
      <c r="F889" s="97"/>
      <c r="G889" s="97"/>
      <c r="H889" s="97"/>
      <c r="I889" s="97"/>
      <c r="J889" s="105"/>
      <c r="K889" s="105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spans="1:26" ht="49.95" customHeight="1">
      <c r="A890" s="16" t="s">
        <v>393</v>
      </c>
      <c r="B890" s="20">
        <v>97886</v>
      </c>
      <c r="C890" s="73" t="s">
        <v>585</v>
      </c>
      <c r="D890" s="97"/>
      <c r="E890" s="17"/>
      <c r="F890" s="17"/>
      <c r="G890" s="17"/>
      <c r="H890" s="17"/>
      <c r="I890" s="17"/>
      <c r="J890" s="74"/>
      <c r="K890" s="105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spans="1:26" s="93" customFormat="1" ht="19.95" customHeight="1">
      <c r="A891" s="96" t="s">
        <v>1087</v>
      </c>
      <c r="B891" s="102"/>
      <c r="C891" s="98"/>
      <c r="D891" s="97"/>
      <c r="E891" s="97"/>
      <c r="F891" s="97"/>
      <c r="G891" s="97"/>
      <c r="H891" s="97"/>
      <c r="I891" s="97"/>
      <c r="J891" s="105"/>
      <c r="K891" s="105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spans="1:26" ht="49.95" customHeight="1">
      <c r="A892" s="16" t="s">
        <v>394</v>
      </c>
      <c r="B892" s="20">
        <v>17</v>
      </c>
      <c r="C892" s="73" t="s">
        <v>472</v>
      </c>
      <c r="D892" s="97"/>
      <c r="E892" s="17"/>
      <c r="F892" s="17"/>
      <c r="G892" s="17"/>
      <c r="H892" s="17"/>
      <c r="I892" s="17"/>
      <c r="J892" s="74"/>
      <c r="K892" s="105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spans="1:26" s="93" customFormat="1" ht="19.95" customHeight="1">
      <c r="A893" s="96" t="s">
        <v>1088</v>
      </c>
      <c r="B893" s="102"/>
      <c r="C893" s="98"/>
      <c r="D893" s="97"/>
      <c r="E893" s="97"/>
      <c r="F893" s="97"/>
      <c r="G893" s="97"/>
      <c r="H893" s="97"/>
      <c r="I893" s="97"/>
      <c r="J893" s="105"/>
      <c r="K893" s="105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spans="1:26" ht="49.95" customHeight="1">
      <c r="A894" s="16" t="s">
        <v>395</v>
      </c>
      <c r="B894" s="20">
        <v>96985</v>
      </c>
      <c r="C894" s="73" t="s">
        <v>471</v>
      </c>
      <c r="D894" s="97"/>
      <c r="E894" s="17"/>
      <c r="F894" s="17"/>
      <c r="G894" s="17"/>
      <c r="H894" s="17"/>
      <c r="I894" s="17"/>
      <c r="J894" s="74"/>
      <c r="K894" s="69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spans="1:26" s="93" customFormat="1" ht="19.95" customHeight="1">
      <c r="A895" s="96" t="s">
        <v>1089</v>
      </c>
      <c r="B895" s="102"/>
      <c r="C895" s="98"/>
      <c r="D895" s="97"/>
      <c r="E895" s="97"/>
      <c r="F895" s="97"/>
      <c r="G895" s="97"/>
      <c r="H895" s="97"/>
      <c r="I895" s="97"/>
      <c r="J895" s="105"/>
      <c r="K895" s="105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spans="1:26" ht="49.95" customHeight="1">
      <c r="A896" s="16" t="s">
        <v>396</v>
      </c>
      <c r="B896" s="20">
        <v>91929</v>
      </c>
      <c r="C896" s="73" t="s">
        <v>586</v>
      </c>
      <c r="D896" s="17"/>
      <c r="E896" s="17"/>
      <c r="F896" s="17"/>
      <c r="G896" s="17"/>
      <c r="H896" s="17"/>
      <c r="I896" s="17"/>
      <c r="J896" s="106"/>
      <c r="K896" s="105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spans="1:37" s="93" customFormat="1" ht="19.95" customHeight="1">
      <c r="A897" s="96" t="s">
        <v>1090</v>
      </c>
      <c r="B897" s="102"/>
      <c r="C897" s="98" t="s">
        <v>909</v>
      </c>
      <c r="D897" s="97"/>
      <c r="E897" s="97"/>
      <c r="F897" s="97"/>
      <c r="G897" s="97"/>
      <c r="H897" s="97"/>
      <c r="I897" s="97"/>
      <c r="J897" s="105"/>
      <c r="K897" s="105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spans="1:37" s="93" customFormat="1" ht="19.95" customHeight="1">
      <c r="A898" s="96" t="s">
        <v>1091</v>
      </c>
      <c r="B898" s="102"/>
      <c r="C898" s="98" t="s">
        <v>1098</v>
      </c>
      <c r="D898" s="97"/>
      <c r="E898" s="97"/>
      <c r="F898" s="97"/>
      <c r="G898" s="97"/>
      <c r="H898" s="97"/>
      <c r="I898" s="97"/>
      <c r="J898" s="105"/>
      <c r="K898" s="105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spans="1:37" s="93" customFormat="1" ht="19.95" customHeight="1">
      <c r="A899" s="96" t="s">
        <v>1092</v>
      </c>
      <c r="B899" s="102"/>
      <c r="C899" s="98" t="s">
        <v>911</v>
      </c>
      <c r="D899" s="97"/>
      <c r="E899" s="97"/>
      <c r="F899" s="97"/>
      <c r="G899" s="97"/>
      <c r="H899" s="97"/>
      <c r="I899" s="97"/>
      <c r="J899" s="105"/>
      <c r="K899" s="105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spans="1:37" ht="49.95" customHeight="1">
      <c r="A900" s="16" t="s">
        <v>397</v>
      </c>
      <c r="B900" s="20">
        <v>91931</v>
      </c>
      <c r="C900" s="73" t="s">
        <v>475</v>
      </c>
      <c r="D900" s="17"/>
      <c r="E900" s="17"/>
      <c r="F900" s="17"/>
      <c r="G900" s="17"/>
      <c r="H900" s="17"/>
      <c r="I900" s="17"/>
      <c r="J900" s="74"/>
      <c r="K900" s="69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spans="1:37" s="93" customFormat="1" ht="19.95" customHeight="1">
      <c r="A901" s="96" t="s">
        <v>1093</v>
      </c>
      <c r="B901" s="102"/>
      <c r="C901" s="98" t="s">
        <v>909</v>
      </c>
      <c r="D901" s="97"/>
      <c r="E901" s="97"/>
      <c r="F901" s="97"/>
      <c r="G901" s="97"/>
      <c r="H901" s="97"/>
      <c r="I901" s="97"/>
      <c r="J901" s="105"/>
      <c r="K901" s="105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spans="1:37" s="93" customFormat="1" ht="19.95" customHeight="1">
      <c r="A902" s="96" t="s">
        <v>1094</v>
      </c>
      <c r="B902" s="102"/>
      <c r="C902" s="98" t="s">
        <v>1098</v>
      </c>
      <c r="D902" s="97"/>
      <c r="E902" s="97"/>
      <c r="F902" s="97"/>
      <c r="G902" s="97"/>
      <c r="H902" s="97"/>
      <c r="I902" s="97"/>
      <c r="J902" s="105"/>
      <c r="K902" s="105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spans="1:37" s="93" customFormat="1" ht="19.95" customHeight="1">
      <c r="A903" s="96" t="s">
        <v>1095</v>
      </c>
      <c r="B903" s="102"/>
      <c r="C903" s="98" t="s">
        <v>911</v>
      </c>
      <c r="D903" s="97"/>
      <c r="E903" s="97"/>
      <c r="F903" s="97"/>
      <c r="G903" s="97"/>
      <c r="H903" s="97"/>
      <c r="I903" s="97"/>
      <c r="J903" s="105"/>
      <c r="K903" s="105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spans="1:37" ht="49.95" customHeight="1">
      <c r="A904" s="16" t="s">
        <v>398</v>
      </c>
      <c r="B904" s="20">
        <v>29</v>
      </c>
      <c r="C904" s="73" t="s">
        <v>587</v>
      </c>
      <c r="D904" s="17"/>
      <c r="E904" s="17"/>
      <c r="F904" s="17"/>
      <c r="G904" s="17"/>
      <c r="H904" s="17"/>
      <c r="I904" s="17"/>
      <c r="J904" s="74">
        <v>16</v>
      </c>
      <c r="K904" s="69" t="s">
        <v>5</v>
      </c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spans="1:37" s="93" customFormat="1" ht="19.95" customHeight="1">
      <c r="A905" s="96" t="s">
        <v>1308</v>
      </c>
      <c r="B905" s="102"/>
      <c r="C905" s="98"/>
      <c r="D905" s="97">
        <v>1</v>
      </c>
      <c r="E905" s="97">
        <v>16</v>
      </c>
      <c r="F905" s="97"/>
      <c r="G905" s="97"/>
      <c r="H905" s="97">
        <v>16</v>
      </c>
      <c r="I905" s="97">
        <v>16</v>
      </c>
      <c r="J905" s="105"/>
      <c r="K905" s="105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spans="1:37" s="33" customFormat="1" ht="70.2" customHeight="1">
      <c r="A906" s="178" t="s">
        <v>624</v>
      </c>
      <c r="B906" s="179"/>
      <c r="C906" s="180"/>
      <c r="D906" s="178" t="s">
        <v>625</v>
      </c>
      <c r="E906" s="179"/>
      <c r="F906" s="179"/>
      <c r="G906" s="179"/>
      <c r="H906" s="179"/>
      <c r="I906" s="179"/>
      <c r="J906" s="179"/>
      <c r="K906" s="180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</row>
    <row r="907" spans="1:37" s="33" customFormat="1">
      <c r="A907" s="181"/>
      <c r="B907" s="182"/>
      <c r="C907" s="183"/>
      <c r="D907" s="181"/>
      <c r="E907" s="182"/>
      <c r="F907" s="182"/>
      <c r="G907" s="182"/>
      <c r="H907" s="182"/>
      <c r="I907" s="182"/>
      <c r="J907" s="182"/>
      <c r="K907" s="183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</row>
    <row r="908" spans="1:37">
      <c r="A908" s="181"/>
      <c r="B908" s="182"/>
      <c r="C908" s="183"/>
      <c r="D908" s="181"/>
      <c r="E908" s="182"/>
      <c r="F908" s="182"/>
      <c r="G908" s="182"/>
      <c r="H908" s="182"/>
      <c r="I908" s="182"/>
      <c r="J908" s="182"/>
      <c r="K908" s="183"/>
    </row>
    <row r="909" spans="1:37" s="33" customFormat="1">
      <c r="A909" s="184"/>
      <c r="B909" s="185"/>
      <c r="C909" s="186"/>
      <c r="D909" s="184"/>
      <c r="E909" s="185"/>
      <c r="F909" s="185"/>
      <c r="G909" s="185"/>
      <c r="H909" s="185"/>
      <c r="I909" s="185"/>
      <c r="J909" s="185"/>
      <c r="K909" s="186"/>
      <c r="L909" s="9"/>
      <c r="M909" s="43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</row>
    <row r="910" spans="1:37" s="33" customForma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1"/>
      <c r="M910" s="9"/>
      <c r="N910" s="9"/>
      <c r="O910" s="11"/>
      <c r="P910" s="9"/>
      <c r="Q910" s="9"/>
      <c r="R910" s="11"/>
      <c r="S910" s="9"/>
      <c r="T910" s="9"/>
      <c r="U910" s="9"/>
      <c r="V910" s="9"/>
      <c r="W910" s="9"/>
      <c r="X910" s="11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</row>
    <row r="911" spans="1:37" s="33" customForma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</row>
    <row r="912" spans="1:37" s="33" customFormat="1">
      <c r="A912" s="9"/>
      <c r="B912" s="9"/>
      <c r="C912" s="11"/>
      <c r="D912" s="9"/>
      <c r="E912" s="11"/>
      <c r="F912" s="9"/>
      <c r="G912" s="9"/>
      <c r="H912" s="9"/>
      <c r="I912" s="12"/>
      <c r="J912" s="12"/>
      <c r="K912" s="9"/>
      <c r="L912" s="9"/>
      <c r="M912" s="9"/>
      <c r="N912" s="9"/>
      <c r="O912" s="12">
        <v>1451015.78</v>
      </c>
      <c r="P912" s="9" t="s">
        <v>53</v>
      </c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</row>
    <row r="913" spans="1:37" s="33" customForma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12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</row>
    <row r="914" spans="1:37" s="33" customFormat="1">
      <c r="A914" s="9"/>
      <c r="B914" s="9"/>
      <c r="C914" s="9"/>
      <c r="D914" s="9"/>
      <c r="E914" s="9"/>
      <c r="F914" s="9"/>
      <c r="G914" s="9"/>
      <c r="H914" s="9"/>
      <c r="I914" s="12"/>
      <c r="J914" s="12"/>
      <c r="K914" s="9"/>
      <c r="L914" s="9"/>
      <c r="M914" s="9"/>
      <c r="N914" s="9"/>
      <c r="O914" s="28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</row>
    <row r="915" spans="1:37" s="33" customFormat="1">
      <c r="A915" s="9"/>
      <c r="B915" s="9"/>
      <c r="C915" s="9"/>
      <c r="D915" s="9"/>
      <c r="E915" s="9"/>
      <c r="F915" s="9"/>
      <c r="G915" s="9"/>
      <c r="H915" s="9"/>
      <c r="I915" s="13"/>
      <c r="J915" s="13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</row>
    <row r="916" spans="1:37" s="33" customFormat="1">
      <c r="A916" s="9"/>
      <c r="B916" s="9"/>
      <c r="C916" s="9"/>
      <c r="D916" s="9"/>
      <c r="E916" s="9"/>
      <c r="F916" s="9"/>
      <c r="G916" s="9"/>
      <c r="H916" s="9"/>
      <c r="I916" s="12"/>
      <c r="J916" s="12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</row>
    <row r="917" spans="1:37" s="33" customFormat="1">
      <c r="A917" s="9"/>
      <c r="B917" s="9"/>
      <c r="C917" s="9"/>
      <c r="D917" s="9"/>
      <c r="E917" s="9"/>
      <c r="F917" s="9"/>
      <c r="G917" s="9"/>
      <c r="H917" s="9"/>
      <c r="I917" s="12"/>
      <c r="J917" s="12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</row>
    <row r="918" spans="1:37" s="33" customFormat="1">
      <c r="A918" s="9"/>
      <c r="B918" s="9"/>
      <c r="C918" s="9"/>
      <c r="D918" s="9"/>
      <c r="E918" s="9"/>
      <c r="F918" s="9"/>
      <c r="G918" s="9"/>
      <c r="H918" s="9"/>
      <c r="I918" s="12"/>
      <c r="J918" s="12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2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</row>
    <row r="919" spans="1:37" s="33" customFormat="1">
      <c r="A919" s="9"/>
      <c r="B919" s="9"/>
      <c r="C919" s="9"/>
      <c r="D919" s="9"/>
      <c r="E919" s="9"/>
      <c r="F919" s="9"/>
      <c r="G919" s="9"/>
      <c r="H919" s="9"/>
      <c r="I919" s="12"/>
      <c r="J919" s="12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</row>
    <row r="920" spans="1:37">
      <c r="I920" s="12"/>
      <c r="J920" s="12"/>
    </row>
    <row r="921" spans="1:37">
      <c r="I921" s="28"/>
      <c r="J921" s="28"/>
    </row>
  </sheetData>
  <mergeCells count="74">
    <mergeCell ref="B490:C490"/>
    <mergeCell ref="B622:C622"/>
    <mergeCell ref="B202:C202"/>
    <mergeCell ref="B32:C32"/>
    <mergeCell ref="B71:C71"/>
    <mergeCell ref="B107:C107"/>
    <mergeCell ref="B125:C125"/>
    <mergeCell ref="B184:C184"/>
    <mergeCell ref="B191:C191"/>
    <mergeCell ref="B201:C201"/>
    <mergeCell ref="B253:C253"/>
    <mergeCell ref="B515:C515"/>
    <mergeCell ref="B525:C525"/>
    <mergeCell ref="B575:C575"/>
    <mergeCell ref="B526:C526"/>
    <mergeCell ref="B15:C15"/>
    <mergeCell ref="B18:C18"/>
    <mergeCell ref="A3:D3"/>
    <mergeCell ref="E3:K3"/>
    <mergeCell ref="A2:D2"/>
    <mergeCell ref="E2:F2"/>
    <mergeCell ref="G2:I2"/>
    <mergeCell ref="B7:C7"/>
    <mergeCell ref="A4:K4"/>
    <mergeCell ref="A6:C6"/>
    <mergeCell ref="X1:Z2"/>
    <mergeCell ref="L1:N2"/>
    <mergeCell ref="O1:Q2"/>
    <mergeCell ref="R1:T2"/>
    <mergeCell ref="B14:C14"/>
    <mergeCell ref="J1:K1"/>
    <mergeCell ref="J2:K2"/>
    <mergeCell ref="B1:D1"/>
    <mergeCell ref="E1:F1"/>
    <mergeCell ref="G1:I1"/>
    <mergeCell ref="R7:T7"/>
    <mergeCell ref="U7:W7"/>
    <mergeCell ref="X7:Z7"/>
    <mergeCell ref="L3:M3"/>
    <mergeCell ref="O3:P3"/>
    <mergeCell ref="R3:S3"/>
    <mergeCell ref="X3:Y3"/>
    <mergeCell ref="L4:N4"/>
    <mergeCell ref="O4:Q4"/>
    <mergeCell ref="R4:T4"/>
    <mergeCell ref="X4:Z4"/>
    <mergeCell ref="L202:Z907"/>
    <mergeCell ref="D5:K5"/>
    <mergeCell ref="A906:C909"/>
    <mergeCell ref="D906:K909"/>
    <mergeCell ref="B301:C301"/>
    <mergeCell ref="B344:C344"/>
    <mergeCell ref="B357:C357"/>
    <mergeCell ref="B364:C364"/>
    <mergeCell ref="B365:C365"/>
    <mergeCell ref="B368:C368"/>
    <mergeCell ref="B375:C375"/>
    <mergeCell ref="B400:C400"/>
    <mergeCell ref="B432:C432"/>
    <mergeCell ref="B448:C448"/>
    <mergeCell ref="L7:N7"/>
    <mergeCell ref="O7:Q7"/>
    <mergeCell ref="B659:C659"/>
    <mergeCell ref="B670:C670"/>
    <mergeCell ref="B678:C678"/>
    <mergeCell ref="B679:C679"/>
    <mergeCell ref="B751:C751"/>
    <mergeCell ref="B699:C699"/>
    <mergeCell ref="B862:C862"/>
    <mergeCell ref="B784:C784"/>
    <mergeCell ref="B806:C806"/>
    <mergeCell ref="B807:C807"/>
    <mergeCell ref="B828:C828"/>
    <mergeCell ref="B843:C843"/>
  </mergeCells>
  <phoneticPr fontId="15" type="noConversion"/>
  <conditionalFormatting sqref="L8:L11 O8:O11 R8:R11 X8:X11 L14:L201 O14:O201 R14:R201 X14:X201">
    <cfRule type="cellIs" dxfId="5" priority="2043" operator="between">
      <formula>0.01</formula>
      <formula>1</formula>
    </cfRule>
  </conditionalFormatting>
  <conditionalFormatting sqref="L203:L905 O203:O905 R203:R905 X203:X905">
    <cfRule type="cellIs" dxfId="4" priority="3" operator="between">
      <formula>0.01</formula>
      <formula>1</formula>
    </cfRule>
  </conditionalFormatting>
  <conditionalFormatting sqref="M8:M11 P8:P11 S8:S11 Y8:Y11 M14:M201 P14:P201 S14:S201 Y14:Y201">
    <cfRule type="cellIs" dxfId="3" priority="2042" operator="between">
      <formula>1</formula>
      <formula>1000</formula>
    </cfRule>
  </conditionalFormatting>
  <conditionalFormatting sqref="M203:M905 P203:P905 S203:S905 Y203:Y905">
    <cfRule type="cellIs" dxfId="2" priority="2" operator="between">
      <formula>1</formula>
      <formula>1000</formula>
    </cfRule>
  </conditionalFormatting>
  <conditionalFormatting sqref="N8:N11 Q8:Q11 T8:W11 Z8:Z11 N14:N201 Q14:Q201 T14:W201 Z14:Z201">
    <cfRule type="cellIs" dxfId="1" priority="2041" operator="between">
      <formula>1</formula>
      <formula>100000</formula>
    </cfRule>
  </conditionalFormatting>
  <conditionalFormatting sqref="N203:N905 Q203:Q905 T203:W905 Z203:Z905">
    <cfRule type="cellIs" dxfId="0" priority="1" operator="between">
      <formula>1</formula>
      <formula>100000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4" fitToHeight="21" orientation="portrait" r:id="rId1"/>
  <rowBreaks count="13" manualBreakCount="13">
    <brk id="53" max="20" man="1"/>
    <brk id="97" max="20" man="1"/>
    <brk id="157" max="20" man="1"/>
    <brk id="220" max="20" man="1"/>
    <brk id="273" max="16383" man="1"/>
    <brk id="318" max="20" man="1"/>
    <brk id="377" max="20" man="1"/>
    <brk id="413" max="20" man="1"/>
    <brk id="536" max="20" man="1"/>
    <brk id="613" max="20" man="1"/>
    <brk id="686" max="20" man="1"/>
    <brk id="756" max="20" man="1"/>
    <brk id="847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 DE MEDIÇÃO</vt:lpstr>
      <vt:lpstr>MEMORIAL DE CALCULO</vt:lpstr>
      <vt:lpstr>'MEMORIAL DE CALCULO'!Area_de_impressao</vt:lpstr>
      <vt:lpstr>'PLANILHA DE MEDIÇÃO'!Area_de_impressao</vt:lpstr>
      <vt:lpstr>'MEMORIAL DE CALCULO'!Titulos_de_impressao</vt:lpstr>
      <vt:lpstr>'PLANILHA DE MEDIÇÃO'!Titulos_de_impressao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DOUGLAS WESLEY</cp:lastModifiedBy>
  <cp:lastPrinted>2026-08-10T11:33:59Z</cp:lastPrinted>
  <dcterms:created xsi:type="dcterms:W3CDTF">2024-08-07T11:01:56Z</dcterms:created>
  <dcterms:modified xsi:type="dcterms:W3CDTF">2026-08-10T11:34:04Z</dcterms:modified>
</cp:coreProperties>
</file>